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
    </mc:Choice>
  </mc:AlternateContent>
  <bookViews>
    <workbookView xWindow="480" yWindow="120" windowWidth="18195" windowHeight="11565" firstSheet="1" activeTab="2"/>
  </bookViews>
  <sheets>
    <sheet name="Infos zu dieser Mappe" sheetId="7" r:id="rId1"/>
    <sheet name="Legende_Thomschke" sheetId="9" r:id="rId2"/>
    <sheet name="III Drucke 1501-1560" sheetId="2" r:id="rId3"/>
    <sheet name="Zählenwenn" sheetId="11" r:id="rId4"/>
    <sheet name="Datentransfer" sheetId="10" r:id="rId5"/>
    <sheet name="Legende" sheetId="1" r:id="rId6"/>
    <sheet name="Zusammenfassung" sheetId="3" r:id="rId7"/>
  </sheets>
  <externalReferences>
    <externalReference r:id="rId8"/>
    <externalReference r:id="rId9"/>
  </externalReferences>
  <definedNames>
    <definedName name="_xlnm._FilterDatabase" localSheetId="2" hidden="1">'III Drucke 1501-1560'!$A$1:$BK$1236</definedName>
  </definedNames>
  <calcPr calcId="162913"/>
  <customWorkbookViews>
    <customWorkbookView name="Schmahl, Elke - Persönliche Ansicht" guid="{A07C3692-EABB-4B74-AB1D-882B5273FA86}" mergeInterval="0" personalView="1" maximized="1" xWindow="-8" yWindow="-8" windowWidth="1936" windowHeight="1056" activeSheetId="2"/>
    <customWorkbookView name="Meyer, Michael - Persönliche Ansicht" guid="{68C13D92-B8D6-49ED-87BD-F1D56A18DAE6}" mergeInterval="0" personalView="1" maximized="1" xWindow="-8" yWindow="-8" windowWidth="1936" windowHeight="1056" activeSheetId="2"/>
    <customWorkbookView name="Wendler, André - Persönliche Ansicht" guid="{47C58E4F-4B0A-4F6D-9AC2-D5A8CE817A2D}" mergeInterval="0" personalView="1" windowWidth="1909" windowHeight="1080" activeSheetId="2"/>
    <customWorkbookView name="Preuss, Stephanie - Persönliche Ansicht" guid="{20DC5495-FE75-4D22-AD3C-8B82E591B4A2}" mergeInterval="0" personalView="1" yWindow="67" windowWidth="1920" windowHeight="953" activeSheetId="2"/>
    <customWorkbookView name="Pauckert, Martina - Persönliche Ansicht" guid="{1FBC8F12-DC43-44D9-90D9-A91B72085471}" mergeInterval="0" personalView="1" maximized="1" xWindow="-11" yWindow="-11" windowWidth="1942" windowHeight="1042" activeSheetId="2"/>
    <customWorkbookView name="Morgenstern, Andreas - Persönliche Ansicht" guid="{38B2E3C7-1DFA-4658-A758-B49C3FF0D76D}" mergeInterval="0" personalView="1" xWindow="85" windowWidth="1920" windowHeight="933" activeSheetId="2"/>
  </customWorkbookViews>
</workbook>
</file>

<file path=xl/calcChain.xml><?xml version="1.0" encoding="utf-8"?>
<calcChain xmlns="http://schemas.openxmlformats.org/spreadsheetml/2006/main">
  <c r="AZ1234" i="2" l="1"/>
  <c r="CA2" i="11"/>
  <c r="CA14" i="11" s="1"/>
  <c r="BZ2" i="11"/>
  <c r="BZ14" i="11" s="1"/>
  <c r="BI6" i="11"/>
  <c r="BI5" i="11"/>
  <c r="BI4" i="11"/>
  <c r="BI3" i="11"/>
  <c r="BI2" i="11"/>
  <c r="BH2" i="11"/>
  <c r="BH14" i="11" s="1"/>
  <c r="BG2" i="11"/>
  <c r="BG14" i="11" s="1"/>
  <c r="BF3" i="11"/>
  <c r="BF2" i="11"/>
  <c r="BE4" i="11"/>
  <c r="BE3" i="11"/>
  <c r="BE2" i="11"/>
  <c r="BD2" i="11"/>
  <c r="BD14" i="11" s="1"/>
  <c r="BC4" i="11"/>
  <c r="BC3" i="11"/>
  <c r="BC2" i="11"/>
  <c r="BB5" i="11"/>
  <c r="BB4" i="11"/>
  <c r="BB3" i="11"/>
  <c r="BB2" i="11"/>
  <c r="BA2" i="11"/>
  <c r="BA14" i="11" s="1"/>
  <c r="AY6" i="11"/>
  <c r="AY5" i="11"/>
  <c r="AY4" i="11"/>
  <c r="AY3" i="11"/>
  <c r="AY2" i="11"/>
  <c r="AX2" i="11"/>
  <c r="AX14" i="11" s="1"/>
  <c r="AW2" i="11"/>
  <c r="AW14" i="11" s="1"/>
  <c r="AV2" i="11"/>
  <c r="AV14" i="11" s="1"/>
  <c r="AU13" i="11"/>
  <c r="AU12" i="11"/>
  <c r="AU11" i="11"/>
  <c r="AU10" i="11"/>
  <c r="AU9" i="11"/>
  <c r="AU8" i="11"/>
  <c r="AU7" i="11"/>
  <c r="AU6" i="11"/>
  <c r="AU5" i="11"/>
  <c r="AU4" i="11"/>
  <c r="AU3" i="11"/>
  <c r="AU2" i="11"/>
  <c r="AT2" i="11"/>
  <c r="AT14" i="11" s="1"/>
  <c r="AS7" i="11"/>
  <c r="AS6" i="11"/>
  <c r="AS5" i="11"/>
  <c r="AS4" i="11"/>
  <c r="AS2" i="11"/>
  <c r="AR3" i="11"/>
  <c r="AR2" i="11"/>
  <c r="AQ8" i="11"/>
  <c r="AQ7" i="11"/>
  <c r="AQ6" i="11"/>
  <c r="AQ5" i="11"/>
  <c r="AQ4" i="11"/>
  <c r="AQ3" i="11"/>
  <c r="AQ2" i="11"/>
  <c r="AP2" i="11"/>
  <c r="AP14" i="11" s="1"/>
  <c r="AO2" i="11"/>
  <c r="AO14" i="11" s="1"/>
  <c r="AN3" i="11"/>
  <c r="AN2" i="11"/>
  <c r="AM2" i="11"/>
  <c r="AM14" i="11" s="1"/>
  <c r="AL3" i="11"/>
  <c r="AL2" i="11"/>
  <c r="AK3" i="11"/>
  <c r="AK2" i="11"/>
  <c r="AJ2" i="11"/>
  <c r="AJ14" i="11" s="1"/>
  <c r="AI2" i="11"/>
  <c r="AI14" i="11" s="1"/>
  <c r="AH2" i="11"/>
  <c r="AH14" i="11" s="1"/>
  <c r="AG4" i="11"/>
  <c r="AG3" i="11"/>
  <c r="AG2" i="11"/>
  <c r="AF2" i="11"/>
  <c r="AF14" i="11" s="1"/>
  <c r="AE2" i="11"/>
  <c r="AE14" i="11" s="1"/>
  <c r="AD2" i="11"/>
  <c r="AD14" i="11" s="1"/>
  <c r="AC3" i="11"/>
  <c r="AC2" i="11"/>
  <c r="AB2" i="11"/>
  <c r="AB14" i="11" s="1"/>
  <c r="AA6" i="11"/>
  <c r="AA5" i="11"/>
  <c r="AA4" i="11"/>
  <c r="AA3" i="11"/>
  <c r="AA2" i="11"/>
  <c r="Z2" i="11"/>
  <c r="Z14" i="11" s="1"/>
  <c r="Y2" i="11"/>
  <c r="Y14" i="11" s="1"/>
  <c r="X13" i="11"/>
  <c r="X12" i="11"/>
  <c r="X11" i="11"/>
  <c r="X10" i="11"/>
  <c r="X9" i="11"/>
  <c r="X8" i="11"/>
  <c r="X7" i="11"/>
  <c r="X6" i="11"/>
  <c r="X5" i="11"/>
  <c r="X4" i="11"/>
  <c r="X3" i="11"/>
  <c r="X2" i="11"/>
  <c r="W2" i="11"/>
  <c r="W14" i="11" s="1"/>
  <c r="V2" i="11"/>
  <c r="V14" i="11" s="1"/>
  <c r="U2" i="11"/>
  <c r="U14" i="11" s="1"/>
  <c r="T2" i="11"/>
  <c r="T14" i="11" s="1"/>
  <c r="S2" i="11"/>
  <c r="S14" i="11" s="1"/>
  <c r="H5" i="11"/>
  <c r="H4" i="11"/>
  <c r="H3" i="11"/>
  <c r="H2" i="11"/>
  <c r="E2" i="11"/>
  <c r="E14" i="11" s="1"/>
  <c r="C2" i="10" s="1"/>
  <c r="BI14" i="11" l="1"/>
  <c r="BI15" i="11"/>
  <c r="BI16" i="11"/>
  <c r="AN14" i="11"/>
  <c r="AZ3" i="2"/>
  <c r="AZ4" i="2"/>
  <c r="AZ5" i="2"/>
  <c r="AZ6" i="2"/>
  <c r="AZ7" i="2"/>
  <c r="AZ8" i="2"/>
  <c r="AZ9" i="2"/>
  <c r="AZ10" i="2"/>
  <c r="AZ11" i="2"/>
  <c r="AZ12" i="2"/>
  <c r="AZ13" i="2"/>
  <c r="AZ14" i="2"/>
  <c r="AZ15" i="2"/>
  <c r="AZ16" i="2"/>
  <c r="AZ17" i="2"/>
  <c r="AZ18" i="2"/>
  <c r="AZ19" i="2"/>
  <c r="AZ20" i="2"/>
  <c r="AZ21" i="2"/>
  <c r="AZ22" i="2"/>
  <c r="AZ23" i="2"/>
  <c r="AZ24" i="2"/>
  <c r="AZ25" i="2"/>
  <c r="AZ26" i="2"/>
  <c r="AZ27" i="2"/>
  <c r="AZ28" i="2"/>
  <c r="AZ29" i="2"/>
  <c r="AZ30" i="2"/>
  <c r="AZ31" i="2"/>
  <c r="AZ32" i="2"/>
  <c r="AZ33" i="2"/>
  <c r="AZ34" i="2"/>
  <c r="AZ35" i="2"/>
  <c r="AZ36" i="2"/>
  <c r="AZ37" i="2"/>
  <c r="AZ38" i="2"/>
  <c r="AZ39" i="2"/>
  <c r="AZ40" i="2"/>
  <c r="AZ41" i="2"/>
  <c r="AZ42" i="2"/>
  <c r="AZ43" i="2"/>
  <c r="AZ44" i="2"/>
  <c r="AZ45" i="2"/>
  <c r="AZ46" i="2"/>
  <c r="AZ47" i="2"/>
  <c r="AZ48" i="2"/>
  <c r="AZ49" i="2"/>
  <c r="AZ50" i="2"/>
  <c r="AZ51" i="2"/>
  <c r="AZ52" i="2"/>
  <c r="AZ53" i="2"/>
  <c r="AZ54" i="2"/>
  <c r="AZ55"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5" i="2"/>
  <c r="AZ86" i="2"/>
  <c r="AZ87" i="2"/>
  <c r="AZ88" i="2"/>
  <c r="AZ89" i="2"/>
  <c r="AZ90" i="2"/>
  <c r="AZ91" i="2"/>
  <c r="AZ92" i="2"/>
  <c r="AZ93" i="2"/>
  <c r="AZ94" i="2"/>
  <c r="AZ95" i="2"/>
  <c r="AZ96" i="2"/>
  <c r="AZ97" i="2"/>
  <c r="AZ98" i="2"/>
  <c r="AZ99" i="2"/>
  <c r="AZ100" i="2"/>
  <c r="AZ101" i="2"/>
  <c r="AZ102" i="2"/>
  <c r="AZ103" i="2"/>
  <c r="AZ104" i="2"/>
  <c r="AZ105" i="2"/>
  <c r="AZ106" i="2"/>
  <c r="AZ107" i="2"/>
  <c r="AZ108" i="2"/>
  <c r="AZ109" i="2"/>
  <c r="AZ110" i="2"/>
  <c r="AZ111" i="2"/>
  <c r="AZ112" i="2"/>
  <c r="AZ113" i="2"/>
  <c r="AZ114" i="2"/>
  <c r="AZ115" i="2"/>
  <c r="AZ116" i="2"/>
  <c r="AZ117" i="2"/>
  <c r="AZ118" i="2"/>
  <c r="AZ119" i="2"/>
  <c r="AZ120" i="2"/>
  <c r="AZ121" i="2"/>
  <c r="AZ122" i="2"/>
  <c r="AZ123" i="2"/>
  <c r="AZ124" i="2"/>
  <c r="AZ125" i="2"/>
  <c r="AZ126" i="2"/>
  <c r="AZ127" i="2"/>
  <c r="AZ128" i="2"/>
  <c r="AZ129" i="2"/>
  <c r="AZ130" i="2"/>
  <c r="AZ131" i="2"/>
  <c r="AZ132" i="2"/>
  <c r="AZ133" i="2"/>
  <c r="AZ134" i="2"/>
  <c r="AZ135" i="2"/>
  <c r="AZ136" i="2"/>
  <c r="AZ137" i="2"/>
  <c r="AZ138" i="2"/>
  <c r="AZ139" i="2"/>
  <c r="AZ140" i="2"/>
  <c r="AZ141" i="2"/>
  <c r="AZ142" i="2"/>
  <c r="AZ143" i="2"/>
  <c r="AZ144" i="2"/>
  <c r="AZ145" i="2"/>
  <c r="AZ146" i="2"/>
  <c r="AZ147" i="2"/>
  <c r="AZ148" i="2"/>
  <c r="AZ149" i="2"/>
  <c r="AZ150" i="2"/>
  <c r="AZ151" i="2"/>
  <c r="AZ152" i="2"/>
  <c r="AZ153" i="2"/>
  <c r="AZ154" i="2"/>
  <c r="AZ155" i="2"/>
  <c r="AZ156" i="2"/>
  <c r="AZ157" i="2"/>
  <c r="AZ158" i="2"/>
  <c r="AZ159" i="2"/>
  <c r="AZ160" i="2"/>
  <c r="AZ161" i="2"/>
  <c r="AZ162" i="2"/>
  <c r="AZ163" i="2"/>
  <c r="AZ164" i="2"/>
  <c r="AZ165" i="2"/>
  <c r="AZ166" i="2"/>
  <c r="AZ167" i="2"/>
  <c r="AZ168" i="2"/>
  <c r="AZ169" i="2"/>
  <c r="AZ170" i="2"/>
  <c r="AZ171" i="2"/>
  <c r="AZ172" i="2"/>
  <c r="AZ173" i="2"/>
  <c r="AZ174" i="2"/>
  <c r="AZ175" i="2"/>
  <c r="AZ176" i="2"/>
  <c r="AZ177" i="2"/>
  <c r="AZ178" i="2"/>
  <c r="AZ179" i="2"/>
  <c r="AZ180" i="2"/>
  <c r="AZ181" i="2"/>
  <c r="AZ182" i="2"/>
  <c r="AZ183" i="2"/>
  <c r="AZ184" i="2"/>
  <c r="AZ185" i="2"/>
  <c r="AZ186" i="2"/>
  <c r="AZ187" i="2"/>
  <c r="AZ188" i="2"/>
  <c r="AZ189" i="2"/>
  <c r="AZ190" i="2"/>
  <c r="AZ191" i="2"/>
  <c r="AZ192" i="2"/>
  <c r="AZ193" i="2"/>
  <c r="AZ194" i="2"/>
  <c r="AZ195" i="2"/>
  <c r="AZ196" i="2"/>
  <c r="AZ197" i="2"/>
  <c r="AZ198" i="2"/>
  <c r="AZ199" i="2"/>
  <c r="AZ200" i="2"/>
  <c r="AZ201" i="2"/>
  <c r="AZ202" i="2"/>
  <c r="AZ203" i="2"/>
  <c r="AZ204" i="2"/>
  <c r="AZ205" i="2"/>
  <c r="AZ206" i="2"/>
  <c r="AZ207" i="2"/>
  <c r="AZ208" i="2"/>
  <c r="AZ209" i="2"/>
  <c r="AZ210" i="2"/>
  <c r="AZ211" i="2"/>
  <c r="AZ212" i="2"/>
  <c r="AZ213" i="2"/>
  <c r="AZ214" i="2"/>
  <c r="AZ215" i="2"/>
  <c r="AZ216" i="2"/>
  <c r="AZ217" i="2"/>
  <c r="AZ218" i="2"/>
  <c r="AZ219" i="2"/>
  <c r="AZ220" i="2"/>
  <c r="AZ221" i="2"/>
  <c r="AZ222" i="2"/>
  <c r="AZ223" i="2"/>
  <c r="AZ224" i="2"/>
  <c r="AZ225" i="2"/>
  <c r="AZ226" i="2"/>
  <c r="AZ227" i="2"/>
  <c r="AZ228" i="2"/>
  <c r="AZ229" i="2"/>
  <c r="AZ230" i="2"/>
  <c r="AZ231" i="2"/>
  <c r="AZ232" i="2"/>
  <c r="AZ233" i="2"/>
  <c r="AZ234" i="2"/>
  <c r="AZ235" i="2"/>
  <c r="AZ236" i="2"/>
  <c r="AZ237" i="2"/>
  <c r="AZ238" i="2"/>
  <c r="AZ239" i="2"/>
  <c r="AZ240" i="2"/>
  <c r="AZ241" i="2"/>
  <c r="AZ242" i="2"/>
  <c r="AZ243" i="2"/>
  <c r="AZ244" i="2"/>
  <c r="AZ245" i="2"/>
  <c r="AZ246" i="2"/>
  <c r="AZ247" i="2"/>
  <c r="AZ248" i="2"/>
  <c r="AZ249" i="2"/>
  <c r="AZ250" i="2"/>
  <c r="AZ251" i="2"/>
  <c r="AZ252" i="2"/>
  <c r="AZ253" i="2"/>
  <c r="AZ254" i="2"/>
  <c r="AZ255" i="2"/>
  <c r="AZ256" i="2"/>
  <c r="AZ257" i="2"/>
  <c r="AZ258" i="2"/>
  <c r="AZ259" i="2"/>
  <c r="AZ260" i="2"/>
  <c r="AZ261" i="2"/>
  <c r="AZ262" i="2"/>
  <c r="AZ263" i="2"/>
  <c r="AZ264" i="2"/>
  <c r="AZ265" i="2"/>
  <c r="AZ266" i="2"/>
  <c r="AZ267" i="2"/>
  <c r="AZ268" i="2"/>
  <c r="AZ269" i="2"/>
  <c r="AZ270" i="2"/>
  <c r="AZ271" i="2"/>
  <c r="AZ272" i="2"/>
  <c r="AZ273" i="2"/>
  <c r="AZ274"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301" i="2"/>
  <c r="AZ302" i="2"/>
  <c r="AZ303" i="2"/>
  <c r="AZ304" i="2"/>
  <c r="AZ305" i="2"/>
  <c r="AZ306" i="2"/>
  <c r="AZ307" i="2"/>
  <c r="AZ308" i="2"/>
  <c r="AZ309" i="2"/>
  <c r="AZ310" i="2"/>
  <c r="AZ311" i="2"/>
  <c r="AZ312" i="2"/>
  <c r="AZ313" i="2"/>
  <c r="AZ314" i="2"/>
  <c r="AZ315" i="2"/>
  <c r="AZ316" i="2"/>
  <c r="AZ317" i="2"/>
  <c r="AZ318" i="2"/>
  <c r="AZ319" i="2"/>
  <c r="AZ320" i="2"/>
  <c r="AZ321" i="2"/>
  <c r="AZ322" i="2"/>
  <c r="AZ323" i="2"/>
  <c r="AZ324" i="2"/>
  <c r="AZ325" i="2"/>
  <c r="AZ326" i="2"/>
  <c r="AZ327" i="2"/>
  <c r="AZ328" i="2"/>
  <c r="AZ329" i="2"/>
  <c r="AZ330" i="2"/>
  <c r="AZ331" i="2"/>
  <c r="AZ332" i="2"/>
  <c r="AZ333" i="2"/>
  <c r="AZ334" i="2"/>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AZ378" i="2"/>
  <c r="AZ379" i="2"/>
  <c r="AZ380" i="2"/>
  <c r="AZ381" i="2"/>
  <c r="AZ382" i="2"/>
  <c r="AZ383" i="2"/>
  <c r="AZ384" i="2"/>
  <c r="AZ385" i="2"/>
  <c r="AZ386" i="2"/>
  <c r="AZ387" i="2"/>
  <c r="AZ388" i="2"/>
  <c r="AZ389" i="2"/>
  <c r="AZ390" i="2"/>
  <c r="AZ391" i="2"/>
  <c r="AZ392" i="2"/>
  <c r="AZ393" i="2"/>
  <c r="AZ394" i="2"/>
  <c r="AZ395" i="2"/>
  <c r="AZ396" i="2"/>
  <c r="AZ397" i="2"/>
  <c r="AZ398" i="2"/>
  <c r="AZ399" i="2"/>
  <c r="AZ400" i="2"/>
  <c r="AZ401" i="2"/>
  <c r="AZ402" i="2"/>
  <c r="AZ403" i="2"/>
  <c r="AZ404" i="2"/>
  <c r="AZ405" i="2"/>
  <c r="AZ406" i="2"/>
  <c r="AZ407" i="2"/>
  <c r="AZ408" i="2"/>
  <c r="AZ409" i="2"/>
  <c r="AZ410" i="2"/>
  <c r="AZ411" i="2"/>
  <c r="AZ412" i="2"/>
  <c r="AZ413" i="2"/>
  <c r="AZ414" i="2"/>
  <c r="AZ415" i="2"/>
  <c r="AZ416" i="2"/>
  <c r="AZ417" i="2"/>
  <c r="AZ418" i="2"/>
  <c r="AZ419" i="2"/>
  <c r="AZ420" i="2"/>
  <c r="AZ421" i="2"/>
  <c r="AZ422" i="2"/>
  <c r="AZ423" i="2"/>
  <c r="AZ424" i="2"/>
  <c r="AZ425" i="2"/>
  <c r="AZ426" i="2"/>
  <c r="AZ427" i="2"/>
  <c r="AZ428" i="2"/>
  <c r="AZ429" i="2"/>
  <c r="AZ430" i="2"/>
  <c r="AZ431" i="2"/>
  <c r="AZ432" i="2"/>
  <c r="AZ433" i="2"/>
  <c r="AZ434" i="2"/>
  <c r="AZ435" i="2"/>
  <c r="AZ436" i="2"/>
  <c r="AZ437" i="2"/>
  <c r="AZ438" i="2"/>
  <c r="AZ439" i="2"/>
  <c r="AZ440" i="2"/>
  <c r="AZ441" i="2"/>
  <c r="AZ442" i="2"/>
  <c r="AZ443" i="2"/>
  <c r="AZ444" i="2"/>
  <c r="AZ445" i="2"/>
  <c r="AZ446" i="2"/>
  <c r="AZ447" i="2"/>
  <c r="AZ448" i="2"/>
  <c r="AZ449" i="2"/>
  <c r="AZ450" i="2"/>
  <c r="AZ451" i="2"/>
  <c r="AZ452" i="2"/>
  <c r="AZ453" i="2"/>
  <c r="AZ454" i="2"/>
  <c r="AZ455" i="2"/>
  <c r="AZ456" i="2"/>
  <c r="AZ457" i="2"/>
  <c r="AZ458" i="2"/>
  <c r="AZ459" i="2"/>
  <c r="AZ460" i="2"/>
  <c r="AZ461" i="2"/>
  <c r="AZ462" i="2"/>
  <c r="AZ463" i="2"/>
  <c r="AZ464" i="2"/>
  <c r="AZ465" i="2"/>
  <c r="AZ466" i="2"/>
  <c r="AZ467" i="2"/>
  <c r="AZ468" i="2"/>
  <c r="AZ469" i="2"/>
  <c r="AZ470" i="2"/>
  <c r="AZ471" i="2"/>
  <c r="AZ472" i="2"/>
  <c r="AZ473" i="2"/>
  <c r="AZ474" i="2"/>
  <c r="AZ475" i="2"/>
  <c r="AZ476" i="2"/>
  <c r="AZ477" i="2"/>
  <c r="AZ478" i="2"/>
  <c r="AZ479" i="2"/>
  <c r="AZ480" i="2"/>
  <c r="AZ481" i="2"/>
  <c r="AZ482" i="2"/>
  <c r="AZ483" i="2"/>
  <c r="AZ484" i="2"/>
  <c r="AZ485" i="2"/>
  <c r="AZ486" i="2"/>
  <c r="AZ487" i="2"/>
  <c r="AZ488" i="2"/>
  <c r="AZ489" i="2"/>
  <c r="AZ490" i="2"/>
  <c r="AZ491" i="2"/>
  <c r="AZ492" i="2"/>
  <c r="AZ493" i="2"/>
  <c r="AZ494" i="2"/>
  <c r="AZ495" i="2"/>
  <c r="AZ496" i="2"/>
  <c r="AZ497" i="2"/>
  <c r="AZ498" i="2"/>
  <c r="AZ499" i="2"/>
  <c r="AZ500" i="2"/>
  <c r="AZ501" i="2"/>
  <c r="AZ502" i="2"/>
  <c r="AZ503" i="2"/>
  <c r="AZ504" i="2"/>
  <c r="AZ505" i="2"/>
  <c r="AZ506" i="2"/>
  <c r="AZ507" i="2"/>
  <c r="AZ508" i="2"/>
  <c r="AZ509" i="2"/>
  <c r="AZ510" i="2"/>
  <c r="AZ511" i="2"/>
  <c r="AZ512" i="2"/>
  <c r="AZ513" i="2"/>
  <c r="AZ514" i="2"/>
  <c r="AZ515" i="2"/>
  <c r="AZ516" i="2"/>
  <c r="AZ517" i="2"/>
  <c r="AZ518" i="2"/>
  <c r="AZ519" i="2"/>
  <c r="AZ520" i="2"/>
  <c r="AZ521" i="2"/>
  <c r="AZ522" i="2"/>
  <c r="AZ523" i="2"/>
  <c r="AZ524" i="2"/>
  <c r="AZ525" i="2"/>
  <c r="AZ526" i="2"/>
  <c r="AZ527" i="2"/>
  <c r="AZ528" i="2"/>
  <c r="AZ529" i="2"/>
  <c r="AZ530" i="2"/>
  <c r="AZ531" i="2"/>
  <c r="AZ532" i="2"/>
  <c r="AZ533" i="2"/>
  <c r="AZ534" i="2"/>
  <c r="AZ535" i="2"/>
  <c r="AZ536" i="2"/>
  <c r="AZ537" i="2"/>
  <c r="AZ538" i="2"/>
  <c r="AZ539" i="2"/>
  <c r="AZ540" i="2"/>
  <c r="AZ541" i="2"/>
  <c r="AZ542" i="2"/>
  <c r="AZ543" i="2"/>
  <c r="AZ544" i="2"/>
  <c r="AZ545" i="2"/>
  <c r="AZ546" i="2"/>
  <c r="AZ547" i="2"/>
  <c r="AZ548" i="2"/>
  <c r="AZ549" i="2"/>
  <c r="AZ550" i="2"/>
  <c r="AZ551" i="2"/>
  <c r="AZ552" i="2"/>
  <c r="AZ553" i="2"/>
  <c r="AZ554" i="2"/>
  <c r="AZ555" i="2"/>
  <c r="AZ556" i="2"/>
  <c r="AZ557" i="2"/>
  <c r="AZ558" i="2"/>
  <c r="AZ559" i="2"/>
  <c r="AZ560" i="2"/>
  <c r="AZ561" i="2"/>
  <c r="AZ562" i="2"/>
  <c r="AZ563" i="2"/>
  <c r="AZ564" i="2"/>
  <c r="AZ565" i="2"/>
  <c r="AZ566" i="2"/>
  <c r="AZ567" i="2"/>
  <c r="AZ568" i="2"/>
  <c r="AZ569" i="2"/>
  <c r="AZ570" i="2"/>
  <c r="AZ571" i="2"/>
  <c r="AZ572" i="2"/>
  <c r="AZ573" i="2"/>
  <c r="AZ574" i="2"/>
  <c r="AZ575" i="2"/>
  <c r="AZ576" i="2"/>
  <c r="AZ577" i="2"/>
  <c r="AZ578" i="2"/>
  <c r="AZ579" i="2"/>
  <c r="AZ580" i="2"/>
  <c r="AZ581" i="2"/>
  <c r="AZ582" i="2"/>
  <c r="AZ583" i="2"/>
  <c r="AZ584" i="2"/>
  <c r="AZ585" i="2"/>
  <c r="AZ586" i="2"/>
  <c r="AZ587" i="2"/>
  <c r="AZ588" i="2"/>
  <c r="AZ589" i="2"/>
  <c r="AZ590" i="2"/>
  <c r="AZ591" i="2"/>
  <c r="AZ592" i="2"/>
  <c r="AZ593" i="2"/>
  <c r="AZ594" i="2"/>
  <c r="AZ595" i="2"/>
  <c r="AZ596" i="2"/>
  <c r="AZ597" i="2"/>
  <c r="AZ598" i="2"/>
  <c r="AZ599" i="2"/>
  <c r="AZ600" i="2"/>
  <c r="AZ601" i="2"/>
  <c r="AZ602" i="2"/>
  <c r="AZ603" i="2"/>
  <c r="AZ604" i="2"/>
  <c r="AZ605" i="2"/>
  <c r="AZ606" i="2"/>
  <c r="AZ607" i="2"/>
  <c r="AZ608" i="2"/>
  <c r="AZ609" i="2"/>
  <c r="AZ610" i="2"/>
  <c r="AZ611" i="2"/>
  <c r="AZ612" i="2"/>
  <c r="AZ613" i="2"/>
  <c r="AZ614" i="2"/>
  <c r="AZ615" i="2"/>
  <c r="AZ616" i="2"/>
  <c r="AZ617" i="2"/>
  <c r="AZ618" i="2"/>
  <c r="AZ619" i="2"/>
  <c r="AZ620" i="2"/>
  <c r="AZ621" i="2"/>
  <c r="AZ622" i="2"/>
  <c r="AZ623" i="2"/>
  <c r="AZ624" i="2"/>
  <c r="AZ625" i="2"/>
  <c r="AZ626" i="2"/>
  <c r="AZ627" i="2"/>
  <c r="AZ628" i="2"/>
  <c r="AZ629" i="2"/>
  <c r="AZ630" i="2"/>
  <c r="AZ631" i="2"/>
  <c r="AZ632" i="2"/>
  <c r="AZ633" i="2"/>
  <c r="AZ634" i="2"/>
  <c r="AZ635" i="2"/>
  <c r="AZ636" i="2"/>
  <c r="AZ637" i="2"/>
  <c r="AZ638" i="2"/>
  <c r="AZ639" i="2"/>
  <c r="AZ640" i="2"/>
  <c r="AZ641" i="2"/>
  <c r="AZ642" i="2"/>
  <c r="AZ643" i="2"/>
  <c r="AZ644" i="2"/>
  <c r="AZ645" i="2"/>
  <c r="AZ646" i="2"/>
  <c r="AZ647" i="2"/>
  <c r="AZ648" i="2"/>
  <c r="AZ649" i="2"/>
  <c r="AZ650" i="2"/>
  <c r="AZ651" i="2"/>
  <c r="AZ652" i="2"/>
  <c r="AZ653" i="2"/>
  <c r="AZ654" i="2"/>
  <c r="AZ655" i="2"/>
  <c r="AZ656" i="2"/>
  <c r="AZ657" i="2"/>
  <c r="AZ658" i="2"/>
  <c r="AZ659" i="2"/>
  <c r="AZ660" i="2"/>
  <c r="AZ661" i="2"/>
  <c r="AZ662" i="2"/>
  <c r="AZ663" i="2"/>
  <c r="AZ664" i="2"/>
  <c r="AZ665" i="2"/>
  <c r="AZ666" i="2"/>
  <c r="AZ667" i="2"/>
  <c r="AZ668" i="2"/>
  <c r="AZ669" i="2"/>
  <c r="AZ670" i="2"/>
  <c r="AZ671" i="2"/>
  <c r="AZ672" i="2"/>
  <c r="AZ673" i="2"/>
  <c r="AZ674" i="2"/>
  <c r="AZ675" i="2"/>
  <c r="AZ676" i="2"/>
  <c r="AZ677" i="2"/>
  <c r="AZ678" i="2"/>
  <c r="AZ679" i="2"/>
  <c r="AZ680" i="2"/>
  <c r="AZ681" i="2"/>
  <c r="AZ682" i="2"/>
  <c r="AZ683" i="2"/>
  <c r="AZ684" i="2"/>
  <c r="AZ685" i="2"/>
  <c r="AZ686" i="2"/>
  <c r="AZ687" i="2"/>
  <c r="AZ688" i="2"/>
  <c r="AZ689" i="2"/>
  <c r="AZ690" i="2"/>
  <c r="AZ691" i="2"/>
  <c r="AZ692" i="2"/>
  <c r="AZ693" i="2"/>
  <c r="AZ694" i="2"/>
  <c r="AZ695" i="2"/>
  <c r="AZ696" i="2"/>
  <c r="AZ697" i="2"/>
  <c r="AZ698" i="2"/>
  <c r="AZ699" i="2"/>
  <c r="AZ700" i="2"/>
  <c r="AZ701" i="2"/>
  <c r="AZ702" i="2"/>
  <c r="AZ703" i="2"/>
  <c r="AZ704" i="2"/>
  <c r="AZ705" i="2"/>
  <c r="AZ706" i="2"/>
  <c r="AZ707" i="2"/>
  <c r="AZ708" i="2"/>
  <c r="AZ709" i="2"/>
  <c r="AZ710" i="2"/>
  <c r="AZ711" i="2"/>
  <c r="AZ712" i="2"/>
  <c r="AZ713" i="2"/>
  <c r="AZ714" i="2"/>
  <c r="AZ715" i="2"/>
  <c r="AZ716" i="2"/>
  <c r="AZ717" i="2"/>
  <c r="AZ718" i="2"/>
  <c r="AZ719" i="2"/>
  <c r="AZ720" i="2"/>
  <c r="AZ721" i="2"/>
  <c r="AZ722" i="2"/>
  <c r="AZ723" i="2"/>
  <c r="AZ724" i="2"/>
  <c r="AZ725" i="2"/>
  <c r="AZ726" i="2"/>
  <c r="AZ727" i="2"/>
  <c r="AZ728" i="2"/>
  <c r="AZ729" i="2"/>
  <c r="AZ730" i="2"/>
  <c r="AZ731" i="2"/>
  <c r="AZ732" i="2"/>
  <c r="AZ733" i="2"/>
  <c r="AZ734" i="2"/>
  <c r="AZ735" i="2"/>
  <c r="AZ736" i="2"/>
  <c r="AZ737" i="2"/>
  <c r="AZ738" i="2"/>
  <c r="AZ739" i="2"/>
  <c r="AZ740" i="2"/>
  <c r="AZ741" i="2"/>
  <c r="AZ742" i="2"/>
  <c r="AZ743" i="2"/>
  <c r="AZ744" i="2"/>
  <c r="AZ745" i="2"/>
  <c r="AZ746" i="2"/>
  <c r="AZ747" i="2"/>
  <c r="AZ748" i="2"/>
  <c r="AZ749" i="2"/>
  <c r="AZ750" i="2"/>
  <c r="AZ751" i="2"/>
  <c r="AZ752" i="2"/>
  <c r="AZ753" i="2"/>
  <c r="AZ754" i="2"/>
  <c r="AZ755" i="2"/>
  <c r="AZ756" i="2"/>
  <c r="AZ757" i="2"/>
  <c r="AZ758" i="2"/>
  <c r="AZ759" i="2"/>
  <c r="AZ760" i="2"/>
  <c r="AZ761" i="2"/>
  <c r="AZ762" i="2"/>
  <c r="AZ763" i="2"/>
  <c r="AZ764" i="2"/>
  <c r="AZ765" i="2"/>
  <c r="AZ766" i="2"/>
  <c r="AZ767" i="2"/>
  <c r="AZ768" i="2"/>
  <c r="AZ769" i="2"/>
  <c r="AZ770" i="2"/>
  <c r="AZ771" i="2"/>
  <c r="AZ772" i="2"/>
  <c r="AZ773" i="2"/>
  <c r="AZ774" i="2"/>
  <c r="AZ775" i="2"/>
  <c r="AZ776" i="2"/>
  <c r="AZ777" i="2"/>
  <c r="AZ778" i="2"/>
  <c r="AZ779" i="2"/>
  <c r="AZ780" i="2"/>
  <c r="AZ781" i="2"/>
  <c r="AZ782" i="2"/>
  <c r="AZ783" i="2"/>
  <c r="AZ784" i="2"/>
  <c r="AZ785" i="2"/>
  <c r="AZ786" i="2"/>
  <c r="AZ787" i="2"/>
  <c r="AZ788" i="2"/>
  <c r="AZ789" i="2"/>
  <c r="AZ790" i="2"/>
  <c r="AZ791" i="2"/>
  <c r="AZ792" i="2"/>
  <c r="AZ793" i="2"/>
  <c r="AZ794" i="2"/>
  <c r="AZ795" i="2"/>
  <c r="AZ796" i="2"/>
  <c r="AZ797" i="2"/>
  <c r="AZ798" i="2"/>
  <c r="AZ799" i="2"/>
  <c r="AZ800" i="2"/>
  <c r="AZ801" i="2"/>
  <c r="AZ802" i="2"/>
  <c r="AZ803" i="2"/>
  <c r="AZ804" i="2"/>
  <c r="AZ805" i="2"/>
  <c r="AZ806" i="2"/>
  <c r="AZ807" i="2"/>
  <c r="AZ808" i="2"/>
  <c r="AZ809" i="2"/>
  <c r="AZ810" i="2"/>
  <c r="AZ811" i="2"/>
  <c r="AZ812" i="2"/>
  <c r="AZ813" i="2"/>
  <c r="AZ814" i="2"/>
  <c r="AZ815" i="2"/>
  <c r="AZ816" i="2"/>
  <c r="AZ817" i="2"/>
  <c r="AZ818" i="2"/>
  <c r="AZ819" i="2"/>
  <c r="AZ820" i="2"/>
  <c r="AZ821" i="2"/>
  <c r="AZ822" i="2"/>
  <c r="AZ823" i="2"/>
  <c r="AZ824" i="2"/>
  <c r="AZ825" i="2"/>
  <c r="AZ826" i="2"/>
  <c r="AZ827" i="2"/>
  <c r="AZ828" i="2"/>
  <c r="AZ829" i="2"/>
  <c r="AZ830" i="2"/>
  <c r="AZ831" i="2"/>
  <c r="AZ832" i="2"/>
  <c r="AZ833" i="2"/>
  <c r="AZ834" i="2"/>
  <c r="AZ835" i="2"/>
  <c r="AZ836" i="2"/>
  <c r="AZ837" i="2"/>
  <c r="AZ838" i="2"/>
  <c r="AZ839" i="2"/>
  <c r="AZ840" i="2"/>
  <c r="AZ841" i="2"/>
  <c r="AZ842" i="2"/>
  <c r="AZ843" i="2"/>
  <c r="AZ844" i="2"/>
  <c r="AZ845" i="2"/>
  <c r="AZ846" i="2"/>
  <c r="AZ847" i="2"/>
  <c r="AZ848" i="2"/>
  <c r="AZ849" i="2"/>
  <c r="AZ850" i="2"/>
  <c r="AZ851" i="2"/>
  <c r="AZ852" i="2"/>
  <c r="AZ853" i="2"/>
  <c r="AZ854" i="2"/>
  <c r="AZ855" i="2"/>
  <c r="AZ856" i="2"/>
  <c r="AZ857" i="2"/>
  <c r="AZ858" i="2"/>
  <c r="AZ859" i="2"/>
  <c r="AZ860" i="2"/>
  <c r="AZ861" i="2"/>
  <c r="AZ862" i="2"/>
  <c r="AZ863" i="2"/>
  <c r="AZ864" i="2"/>
  <c r="AZ865" i="2"/>
  <c r="AZ866" i="2"/>
  <c r="AZ867" i="2"/>
  <c r="AZ868" i="2"/>
  <c r="AZ869" i="2"/>
  <c r="AZ870" i="2"/>
  <c r="AZ871" i="2"/>
  <c r="AZ872" i="2"/>
  <c r="AZ873" i="2"/>
  <c r="AZ874" i="2"/>
  <c r="AZ875" i="2"/>
  <c r="AZ876" i="2"/>
  <c r="AZ877" i="2"/>
  <c r="AZ878" i="2"/>
  <c r="AZ879" i="2"/>
  <c r="AZ880" i="2"/>
  <c r="AZ881" i="2"/>
  <c r="AZ882" i="2"/>
  <c r="AZ883" i="2"/>
  <c r="AZ884" i="2"/>
  <c r="AZ885" i="2"/>
  <c r="AZ886" i="2"/>
  <c r="AZ887" i="2"/>
  <c r="AZ888" i="2"/>
  <c r="AZ889" i="2"/>
  <c r="AZ890" i="2"/>
  <c r="AZ891" i="2"/>
  <c r="AZ892" i="2"/>
  <c r="AZ893" i="2"/>
  <c r="AZ894" i="2"/>
  <c r="AZ895" i="2"/>
  <c r="AZ896" i="2"/>
  <c r="AZ897" i="2"/>
  <c r="AZ898" i="2"/>
  <c r="AZ899" i="2"/>
  <c r="AZ900" i="2"/>
  <c r="AZ901" i="2"/>
  <c r="AZ902" i="2"/>
  <c r="AZ903" i="2"/>
  <c r="AZ904" i="2"/>
  <c r="AZ905" i="2"/>
  <c r="AZ906" i="2"/>
  <c r="AZ907" i="2"/>
  <c r="AZ908" i="2"/>
  <c r="AZ909" i="2"/>
  <c r="AZ910" i="2"/>
  <c r="AZ911" i="2"/>
  <c r="AZ912" i="2"/>
  <c r="AZ913" i="2"/>
  <c r="AZ914" i="2"/>
  <c r="AZ915" i="2"/>
  <c r="AZ916" i="2"/>
  <c r="AZ917" i="2"/>
  <c r="AZ918" i="2"/>
  <c r="AZ919" i="2"/>
  <c r="AZ920" i="2"/>
  <c r="AZ921" i="2"/>
  <c r="AZ922" i="2"/>
  <c r="AZ923" i="2"/>
  <c r="AZ924" i="2"/>
  <c r="AZ925" i="2"/>
  <c r="AZ926" i="2"/>
  <c r="AZ927" i="2"/>
  <c r="AZ928" i="2"/>
  <c r="AZ929" i="2"/>
  <c r="AZ930" i="2"/>
  <c r="AZ931" i="2"/>
  <c r="AZ932" i="2"/>
  <c r="AZ933" i="2"/>
  <c r="AZ934" i="2"/>
  <c r="AZ935" i="2"/>
  <c r="AZ936" i="2"/>
  <c r="AZ937" i="2"/>
  <c r="AZ938" i="2"/>
  <c r="AZ939" i="2"/>
  <c r="AZ940" i="2"/>
  <c r="AZ941" i="2"/>
  <c r="AZ942" i="2"/>
  <c r="AZ943" i="2"/>
  <c r="AZ944" i="2"/>
  <c r="AZ945" i="2"/>
  <c r="AZ946" i="2"/>
  <c r="AZ947" i="2"/>
  <c r="AZ948" i="2"/>
  <c r="AZ949" i="2"/>
  <c r="AZ950" i="2"/>
  <c r="AZ951" i="2"/>
  <c r="AZ952" i="2"/>
  <c r="AZ953" i="2"/>
  <c r="AZ954" i="2"/>
  <c r="AZ955" i="2"/>
  <c r="AZ956" i="2"/>
  <c r="AZ957" i="2"/>
  <c r="AZ958" i="2"/>
  <c r="AZ959" i="2"/>
  <c r="AZ960" i="2"/>
  <c r="AZ961" i="2"/>
  <c r="AZ962" i="2"/>
  <c r="AZ963" i="2"/>
  <c r="AZ964" i="2"/>
  <c r="AZ965" i="2"/>
  <c r="AZ966" i="2"/>
  <c r="AZ967" i="2"/>
  <c r="AZ968" i="2"/>
  <c r="AZ969" i="2"/>
  <c r="AZ970" i="2"/>
  <c r="AZ971" i="2"/>
  <c r="AZ972" i="2"/>
  <c r="AZ973" i="2"/>
  <c r="AZ974" i="2"/>
  <c r="AZ975" i="2"/>
  <c r="AZ976" i="2"/>
  <c r="AZ977" i="2"/>
  <c r="AZ978" i="2"/>
  <c r="AZ979" i="2"/>
  <c r="AZ980" i="2"/>
  <c r="AZ981" i="2"/>
  <c r="AZ982" i="2"/>
  <c r="AZ983" i="2"/>
  <c r="AZ984" i="2"/>
  <c r="AZ985" i="2"/>
  <c r="AZ986" i="2"/>
  <c r="AZ987" i="2"/>
  <c r="AZ988" i="2"/>
  <c r="AZ989" i="2"/>
  <c r="AZ990" i="2"/>
  <c r="AZ991" i="2"/>
  <c r="AZ992" i="2"/>
  <c r="AZ993" i="2"/>
  <c r="AZ994" i="2"/>
  <c r="AZ995" i="2"/>
  <c r="AZ996" i="2"/>
  <c r="AZ997" i="2"/>
  <c r="AZ998" i="2"/>
  <c r="AZ999" i="2"/>
  <c r="AZ1000" i="2"/>
  <c r="AZ1001" i="2"/>
  <c r="AZ1002" i="2"/>
  <c r="AZ1003" i="2"/>
  <c r="AZ1004" i="2"/>
  <c r="AZ1005" i="2"/>
  <c r="AZ1006" i="2"/>
  <c r="AZ1007" i="2"/>
  <c r="AZ1008" i="2"/>
  <c r="AZ1009" i="2"/>
  <c r="AZ1010" i="2"/>
  <c r="AZ1011" i="2"/>
  <c r="AZ1012" i="2"/>
  <c r="AZ1013" i="2"/>
  <c r="AZ1014" i="2"/>
  <c r="AZ1015" i="2"/>
  <c r="AZ1016" i="2"/>
  <c r="AZ1017" i="2"/>
  <c r="AZ1018" i="2"/>
  <c r="AZ1019" i="2"/>
  <c r="AZ1020" i="2"/>
  <c r="AZ1021" i="2"/>
  <c r="AZ1022" i="2"/>
  <c r="AZ1023" i="2"/>
  <c r="AZ1024" i="2"/>
  <c r="AZ1025" i="2"/>
  <c r="AZ1026" i="2"/>
  <c r="AZ1027" i="2"/>
  <c r="AZ1028" i="2"/>
  <c r="AZ1029" i="2"/>
  <c r="AZ1030" i="2"/>
  <c r="AZ1031" i="2"/>
  <c r="AZ1032" i="2"/>
  <c r="AZ1033" i="2"/>
  <c r="AZ1034" i="2"/>
  <c r="AZ1035" i="2"/>
  <c r="AZ1036" i="2"/>
  <c r="AZ1037" i="2"/>
  <c r="AZ1038" i="2"/>
  <c r="AZ1039" i="2"/>
  <c r="AZ1040" i="2"/>
  <c r="AZ1041" i="2"/>
  <c r="AZ1042" i="2"/>
  <c r="AZ1043" i="2"/>
  <c r="AZ1044" i="2"/>
  <c r="AZ1045" i="2"/>
  <c r="AZ1046" i="2"/>
  <c r="AZ1047" i="2"/>
  <c r="AZ1048" i="2"/>
  <c r="AZ1049" i="2"/>
  <c r="AZ1050" i="2"/>
  <c r="AZ1051" i="2"/>
  <c r="AZ1052" i="2"/>
  <c r="AZ1053" i="2"/>
  <c r="AZ1054" i="2"/>
  <c r="AZ1055" i="2"/>
  <c r="AZ1056" i="2"/>
  <c r="AZ1057" i="2"/>
  <c r="AZ1058" i="2"/>
  <c r="AZ1059" i="2"/>
  <c r="AZ1060" i="2"/>
  <c r="AZ1061" i="2"/>
  <c r="AZ1062" i="2"/>
  <c r="AZ1063" i="2"/>
  <c r="AZ1064" i="2"/>
  <c r="AZ1065" i="2"/>
  <c r="AZ1066" i="2"/>
  <c r="AZ1067" i="2"/>
  <c r="AZ1068" i="2"/>
  <c r="AZ1069" i="2"/>
  <c r="AZ1070" i="2"/>
  <c r="AZ1071" i="2"/>
  <c r="AZ1072" i="2"/>
  <c r="AZ1073" i="2"/>
  <c r="AZ1074" i="2"/>
  <c r="AZ1075" i="2"/>
  <c r="AZ1076" i="2"/>
  <c r="AZ1077" i="2"/>
  <c r="AZ1078" i="2"/>
  <c r="AZ1079" i="2"/>
  <c r="AZ1080" i="2"/>
  <c r="AZ1081" i="2"/>
  <c r="AZ1082" i="2"/>
  <c r="AZ1083" i="2"/>
  <c r="AZ1084" i="2"/>
  <c r="AZ1085" i="2"/>
  <c r="AZ1086" i="2"/>
  <c r="AZ1087" i="2"/>
  <c r="AZ1088" i="2"/>
  <c r="AZ1089" i="2"/>
  <c r="AZ1090" i="2"/>
  <c r="AZ1091" i="2"/>
  <c r="AZ1092" i="2"/>
  <c r="AZ1093" i="2"/>
  <c r="AZ1094" i="2"/>
  <c r="AZ1095" i="2"/>
  <c r="AZ1096" i="2"/>
  <c r="AZ1097" i="2"/>
  <c r="AZ1098" i="2"/>
  <c r="AZ1099" i="2"/>
  <c r="AZ1100" i="2"/>
  <c r="AZ1101" i="2"/>
  <c r="AZ1102" i="2"/>
  <c r="AZ1103" i="2"/>
  <c r="AZ1104" i="2"/>
  <c r="AZ1105" i="2"/>
  <c r="AZ1106" i="2"/>
  <c r="AZ1107" i="2"/>
  <c r="AZ1108" i="2"/>
  <c r="AZ1109" i="2"/>
  <c r="AZ1110" i="2"/>
  <c r="AZ1111" i="2"/>
  <c r="AZ1112" i="2"/>
  <c r="AZ1113" i="2"/>
  <c r="AZ1114" i="2"/>
  <c r="AZ1115" i="2"/>
  <c r="AZ1116" i="2"/>
  <c r="AZ1117" i="2"/>
  <c r="AZ1118" i="2"/>
  <c r="AZ1119" i="2"/>
  <c r="AZ1120" i="2"/>
  <c r="AZ1121" i="2"/>
  <c r="AZ1122" i="2"/>
  <c r="AZ1123" i="2"/>
  <c r="AZ1124" i="2"/>
  <c r="AZ1125" i="2"/>
  <c r="AZ1126" i="2"/>
  <c r="AZ1127" i="2"/>
  <c r="AZ1128" i="2"/>
  <c r="AZ1129" i="2"/>
  <c r="AZ1130" i="2"/>
  <c r="AZ1131" i="2"/>
  <c r="AZ1132" i="2"/>
  <c r="AZ1133" i="2"/>
  <c r="AZ1134" i="2"/>
  <c r="AZ1135" i="2"/>
  <c r="AZ1136" i="2"/>
  <c r="AZ1137" i="2"/>
  <c r="AZ1138" i="2"/>
  <c r="AZ1139" i="2"/>
  <c r="AZ1140" i="2"/>
  <c r="AZ1141" i="2"/>
  <c r="AZ1142" i="2"/>
  <c r="AZ1143" i="2"/>
  <c r="AZ1144" i="2"/>
  <c r="AZ1145" i="2"/>
  <c r="AZ1146" i="2"/>
  <c r="AZ1147" i="2"/>
  <c r="AZ1148" i="2"/>
  <c r="AZ1149" i="2"/>
  <c r="AZ1150" i="2"/>
  <c r="AZ1151" i="2"/>
  <c r="AZ1152" i="2"/>
  <c r="AZ1153" i="2"/>
  <c r="AZ1154" i="2"/>
  <c r="AZ1155" i="2"/>
  <c r="AZ1156" i="2"/>
  <c r="AZ1157" i="2"/>
  <c r="AZ1158" i="2"/>
  <c r="AZ1159" i="2"/>
  <c r="AZ1160" i="2"/>
  <c r="AZ1161" i="2"/>
  <c r="AZ1162" i="2"/>
  <c r="AZ1163" i="2"/>
  <c r="AZ1164" i="2"/>
  <c r="AZ1165" i="2"/>
  <c r="AZ1166" i="2"/>
  <c r="AZ1167" i="2"/>
  <c r="AZ1168" i="2"/>
  <c r="AZ1169" i="2"/>
  <c r="AZ1170" i="2"/>
  <c r="AZ1171" i="2"/>
  <c r="AZ1172" i="2"/>
  <c r="AZ1173" i="2"/>
  <c r="AZ1174" i="2"/>
  <c r="AZ1175" i="2"/>
  <c r="AZ1176" i="2"/>
  <c r="AZ1177" i="2"/>
  <c r="AZ1178" i="2"/>
  <c r="AZ1179" i="2"/>
  <c r="AZ1180" i="2"/>
  <c r="AZ1181" i="2"/>
  <c r="AZ1182" i="2"/>
  <c r="AZ1183" i="2"/>
  <c r="AZ1184" i="2"/>
  <c r="AZ1185" i="2"/>
  <c r="AZ1186" i="2"/>
  <c r="AZ1187" i="2"/>
  <c r="AZ1188" i="2"/>
  <c r="AZ1189" i="2"/>
  <c r="AZ1190" i="2"/>
  <c r="AZ1191" i="2"/>
  <c r="AZ1192" i="2"/>
  <c r="AZ1193" i="2"/>
  <c r="AZ1194" i="2"/>
  <c r="AZ1195" i="2"/>
  <c r="AZ1196" i="2"/>
  <c r="AZ1197" i="2"/>
  <c r="AZ1198" i="2"/>
  <c r="AZ1199" i="2"/>
  <c r="AZ1200" i="2"/>
  <c r="AZ1201" i="2"/>
  <c r="AZ1202" i="2"/>
  <c r="AZ1203" i="2"/>
  <c r="AZ1204" i="2"/>
  <c r="AZ1205" i="2"/>
  <c r="AZ1206" i="2"/>
  <c r="AZ1207" i="2"/>
  <c r="AZ1208" i="2"/>
  <c r="AZ1209" i="2"/>
  <c r="AZ1210" i="2"/>
  <c r="AZ1211" i="2"/>
  <c r="AZ1212" i="2"/>
  <c r="AZ1213" i="2"/>
  <c r="AZ1214" i="2"/>
  <c r="AZ1215" i="2"/>
  <c r="AZ1216" i="2"/>
  <c r="AZ1217" i="2"/>
  <c r="AZ1218" i="2"/>
  <c r="AZ1219" i="2"/>
  <c r="AZ1220" i="2"/>
  <c r="AZ1221" i="2"/>
  <c r="AZ1222" i="2"/>
  <c r="AZ1223" i="2"/>
  <c r="AZ1224" i="2"/>
  <c r="AZ1225" i="2"/>
  <c r="AZ1226" i="2"/>
  <c r="AZ1227" i="2"/>
  <c r="AZ1228" i="2"/>
  <c r="AZ1229" i="2"/>
  <c r="AZ1230" i="2"/>
  <c r="AZ1231" i="2"/>
  <c r="AZ1232" i="2"/>
  <c r="AZ1233" i="2"/>
  <c r="AZ1235" i="2"/>
  <c r="AZ1236" i="2"/>
  <c r="AZ2" i="2"/>
  <c r="AZ14" i="11" l="1"/>
  <c r="C72" i="10"/>
  <c r="C28" i="2" l="1"/>
  <c r="C84" i="10" l="1"/>
  <c r="C82" i="10"/>
  <c r="C83" i="10"/>
  <c r="C67" i="10" l="1"/>
  <c r="C62" i="10" l="1"/>
  <c r="C25" i="10"/>
  <c r="C61" i="10"/>
  <c r="C24" i="10"/>
  <c r="C60" i="10"/>
  <c r="C23" i="10"/>
  <c r="C59" i="10"/>
  <c r="C22" i="10"/>
  <c r="C58" i="10"/>
  <c r="C21" i="10"/>
  <c r="C57" i="10"/>
  <c r="C20" i="10"/>
  <c r="C56" i="10"/>
  <c r="C19" i="10"/>
  <c r="C55" i="10"/>
  <c r="C18" i="10"/>
  <c r="C71" i="10"/>
  <c r="C54" i="10"/>
  <c r="C17" i="10"/>
  <c r="C9" i="10"/>
  <c r="C70" i="10"/>
  <c r="C53" i="10"/>
  <c r="C16" i="10"/>
  <c r="C8" i="10"/>
  <c r="C52" i="10"/>
  <c r="C37" i="10"/>
  <c r="C15" i="10"/>
  <c r="C7" i="10"/>
  <c r="C81" i="10"/>
  <c r="C80" i="10"/>
  <c r="C78" i="10"/>
  <c r="C77" i="10"/>
  <c r="C74" i="10"/>
  <c r="C66" i="10"/>
  <c r="C65" i="10"/>
  <c r="C64" i="10"/>
  <c r="C63" i="10"/>
  <c r="C51" i="10"/>
  <c r="AS3" i="11"/>
  <c r="C46" i="10"/>
  <c r="C44" i="10"/>
  <c r="C43" i="10"/>
  <c r="C40" i="10"/>
  <c r="C39" i="10"/>
  <c r="C38" i="10"/>
  <c r="C36" i="10"/>
  <c r="C35" i="10"/>
  <c r="C34" i="10"/>
  <c r="C33" i="10"/>
  <c r="C31" i="10"/>
  <c r="C28" i="10"/>
  <c r="C27" i="10"/>
  <c r="C14" i="10"/>
  <c r="C13" i="10"/>
  <c r="C12" i="10"/>
  <c r="C11" i="10"/>
  <c r="C10" i="10"/>
  <c r="C5" i="10"/>
  <c r="C6" i="10"/>
  <c r="C69" i="10" l="1"/>
  <c r="C68" i="10"/>
  <c r="C30" i="10"/>
  <c r="C29" i="10"/>
  <c r="C48" i="10"/>
  <c r="C42" i="10"/>
  <c r="C47" i="10"/>
  <c r="C3" i="10"/>
  <c r="C32" i="10"/>
  <c r="C76" i="10"/>
  <c r="C41" i="10"/>
  <c r="C79" i="10"/>
  <c r="D79" i="10" s="1"/>
  <c r="C49" i="10"/>
  <c r="C75" i="10"/>
  <c r="C4" i="10"/>
  <c r="C73" i="10" l="1"/>
  <c r="D177" i="2" l="1"/>
  <c r="D178" i="2"/>
  <c r="D790" i="2" l="1"/>
  <c r="D788" i="2"/>
  <c r="D786" i="2"/>
  <c r="D785" i="2"/>
  <c r="D784" i="2"/>
  <c r="D783" i="2"/>
  <c r="D782" i="2"/>
  <c r="D825" i="2"/>
  <c r="D780" i="2"/>
  <c r="D779" i="2"/>
  <c r="D778" i="2"/>
  <c r="D777" i="2" l="1"/>
  <c r="D776" i="2"/>
  <c r="D775" i="2"/>
  <c r="D773" i="2"/>
  <c r="D772" i="2"/>
  <c r="D821" i="2"/>
  <c r="D820" i="2"/>
  <c r="D818" i="2"/>
  <c r="D817" i="2"/>
  <c r="D819" i="2"/>
  <c r="D771" i="2"/>
  <c r="D770" i="2"/>
  <c r="D769" i="2"/>
  <c r="D768" i="2"/>
  <c r="D767" i="2"/>
  <c r="D766" i="2"/>
  <c r="D724" i="2" l="1"/>
  <c r="D623" i="2" l="1"/>
  <c r="D593" i="2" l="1"/>
  <c r="D594" i="2"/>
  <c r="D573" i="2"/>
  <c r="D568" i="2"/>
  <c r="D567" i="2"/>
  <c r="D498" i="2" l="1"/>
  <c r="D475" i="2"/>
  <c r="D473" i="2"/>
  <c r="D471" i="2"/>
  <c r="D470" i="2"/>
  <c r="D469" i="2"/>
  <c r="D468" i="2"/>
  <c r="D467" i="2"/>
  <c r="D465" i="2"/>
  <c r="D463" i="2" l="1"/>
  <c r="D461" i="2"/>
  <c r="D422" i="2"/>
  <c r="D456" i="2"/>
  <c r="D455" i="2"/>
  <c r="D454" i="2"/>
  <c r="D423" i="2"/>
  <c r="D451" i="2"/>
  <c r="D449" i="2"/>
  <c r="D420" i="2"/>
  <c r="D448" i="2"/>
  <c r="D446" i="2"/>
  <c r="D447" i="2"/>
  <c r="D445" i="2"/>
  <c r="D444" i="2"/>
  <c r="D442" i="2"/>
  <c r="D441" i="2"/>
  <c r="D419" i="2"/>
  <c r="D440" i="2"/>
  <c r="D439" i="2"/>
  <c r="D438" i="2"/>
  <c r="D417" i="2"/>
  <c r="D1217" i="2" l="1"/>
  <c r="D353" i="2"/>
  <c r="D339" i="2"/>
  <c r="D338" i="2"/>
  <c r="D337" i="2"/>
  <c r="D270" i="2" l="1"/>
  <c r="D269" i="2"/>
  <c r="D268" i="2"/>
  <c r="D271" i="2"/>
  <c r="D259" i="2"/>
  <c r="D258" i="2"/>
  <c r="D262" i="2"/>
  <c r="D266" i="2"/>
  <c r="D260" i="2"/>
  <c r="D261" i="2"/>
  <c r="D257" i="2"/>
  <c r="D265" i="2"/>
  <c r="D263" i="2"/>
  <c r="D264" i="2"/>
  <c r="D256" i="2"/>
  <c r="D233" i="2"/>
  <c r="D232" i="2"/>
  <c r="D231" i="2"/>
  <c r="D229" i="2"/>
  <c r="D226" i="2"/>
  <c r="D224" i="2"/>
  <c r="D223" i="2"/>
  <c r="D222" i="2"/>
  <c r="D221" i="2"/>
  <c r="D220" i="2"/>
  <c r="D218" i="2"/>
  <c r="D217" i="2"/>
  <c r="D216" i="2"/>
  <c r="D255" i="2"/>
  <c r="D204" i="2" l="1"/>
  <c r="D205" i="2"/>
  <c r="D202" i="2"/>
  <c r="D198" i="2"/>
  <c r="D192" i="2"/>
  <c r="D191" i="2"/>
  <c r="D190" i="2"/>
  <c r="D129" i="2"/>
  <c r="D128" i="2"/>
  <c r="D124" i="2"/>
  <c r="D122" i="2"/>
  <c r="D121" i="2"/>
  <c r="D120" i="2"/>
  <c r="D114" i="2" l="1"/>
  <c r="D180" i="2"/>
  <c r="D173" i="2"/>
  <c r="D110" i="2"/>
  <c r="D109" i="2"/>
  <c r="D108" i="2"/>
  <c r="D169" i="2"/>
  <c r="D167" i="2"/>
  <c r="D166" i="2"/>
  <c r="D161" i="2"/>
  <c r="D162" i="2"/>
  <c r="D105" i="2"/>
  <c r="D106" i="2"/>
  <c r="D104" i="2"/>
  <c r="D139" i="2" l="1"/>
  <c r="D146" i="2"/>
  <c r="D148" i="2"/>
  <c r="D147" i="2"/>
  <c r="D152" i="2"/>
  <c r="D151" i="2"/>
  <c r="D150" i="2"/>
  <c r="D156" i="2"/>
  <c r="D96" i="2"/>
  <c r="D97" i="2"/>
  <c r="D82" i="2" l="1"/>
  <c r="D83" i="2"/>
  <c r="D84" i="2"/>
  <c r="D85" i="2"/>
  <c r="D86" i="2"/>
  <c r="D87" i="2"/>
  <c r="D88" i="2"/>
  <c r="D89" i="2"/>
  <c r="D90" i="2"/>
  <c r="D91" i="2"/>
  <c r="D92" i="2"/>
  <c r="D93" i="2"/>
  <c r="D94" i="2"/>
  <c r="D95" i="2"/>
  <c r="D98" i="2"/>
  <c r="D99" i="2"/>
  <c r="D100" i="2"/>
  <c r="D101" i="2"/>
  <c r="D102" i="2"/>
  <c r="D103" i="2"/>
  <c r="D107" i="2"/>
  <c r="D111" i="2"/>
  <c r="D112" i="2"/>
  <c r="D113" i="2"/>
  <c r="D115" i="2"/>
  <c r="D116" i="2"/>
  <c r="D117" i="2"/>
  <c r="D118" i="2"/>
  <c r="D119" i="2"/>
  <c r="D123" i="2"/>
  <c r="D125" i="2"/>
  <c r="D126" i="2"/>
  <c r="D127" i="2"/>
  <c r="D130" i="2"/>
  <c r="D131" i="2"/>
  <c r="D132" i="2"/>
  <c r="D133" i="2"/>
  <c r="D134" i="2"/>
  <c r="D135" i="2"/>
  <c r="D136" i="2"/>
  <c r="D137" i="2"/>
  <c r="D138" i="2"/>
  <c r="D140" i="2"/>
  <c r="D141" i="2"/>
  <c r="D142" i="2"/>
  <c r="D143" i="2"/>
  <c r="D144" i="2"/>
  <c r="D145" i="2"/>
  <c r="D149" i="2"/>
  <c r="D153" i="2"/>
  <c r="D154" i="2"/>
  <c r="D155" i="2"/>
  <c r="D157" i="2"/>
  <c r="D158" i="2"/>
  <c r="D159" i="2"/>
  <c r="D160" i="2"/>
  <c r="D163" i="2"/>
  <c r="D164" i="2"/>
  <c r="D165" i="2"/>
  <c r="D168" i="2"/>
  <c r="D170" i="2"/>
  <c r="D171" i="2"/>
  <c r="D172" i="2"/>
  <c r="D174" i="2"/>
  <c r="D175" i="2"/>
  <c r="D176" i="2"/>
  <c r="D179" i="2"/>
  <c r="D181" i="2"/>
  <c r="D182" i="2"/>
  <c r="D183" i="2"/>
  <c r="D184" i="2"/>
  <c r="D185" i="2"/>
  <c r="D186" i="2"/>
  <c r="D187" i="2"/>
  <c r="D188" i="2"/>
  <c r="D189" i="2"/>
  <c r="D193" i="2"/>
  <c r="D194" i="2"/>
  <c r="D195" i="2"/>
  <c r="D196" i="2"/>
  <c r="D197" i="2"/>
  <c r="D199" i="2"/>
  <c r="D200" i="2"/>
  <c r="D201" i="2"/>
  <c r="D203" i="2"/>
  <c r="D206" i="2"/>
  <c r="D207" i="2"/>
  <c r="D208" i="2"/>
  <c r="D209" i="2"/>
  <c r="D210" i="2"/>
  <c r="D211" i="2"/>
  <c r="D212" i="2"/>
  <c r="D213" i="2"/>
  <c r="D214" i="2"/>
  <c r="D219" i="2"/>
  <c r="D225" i="2"/>
  <c r="D227" i="2"/>
  <c r="D228" i="2"/>
  <c r="D230" i="2"/>
  <c r="D234" i="2"/>
  <c r="D235" i="2"/>
  <c r="D236" i="2"/>
  <c r="D237" i="2"/>
  <c r="D238" i="2"/>
  <c r="D239" i="2"/>
  <c r="D240" i="2"/>
  <c r="D241" i="2"/>
  <c r="D242" i="2"/>
  <c r="D243" i="2"/>
  <c r="D244" i="2"/>
  <c r="D245" i="2"/>
  <c r="D246" i="2"/>
  <c r="D247" i="2"/>
  <c r="D248" i="2"/>
  <c r="D249" i="2"/>
  <c r="D250" i="2"/>
  <c r="D251" i="2"/>
  <c r="D252" i="2"/>
  <c r="D253" i="2"/>
  <c r="D254" i="2"/>
  <c r="D267"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40" i="2"/>
  <c r="D341" i="2"/>
  <c r="D342" i="2"/>
  <c r="D343" i="2"/>
  <c r="D344" i="2"/>
  <c r="D345" i="2"/>
  <c r="D346" i="2"/>
  <c r="D347" i="2"/>
  <c r="D348" i="2"/>
  <c r="D349" i="2"/>
  <c r="D350" i="2"/>
  <c r="D351" i="2"/>
  <c r="D352"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5" i="2"/>
  <c r="D396" i="2"/>
  <c r="D397" i="2"/>
  <c r="D398" i="2"/>
  <c r="D399" i="2"/>
  <c r="D400" i="2"/>
  <c r="D401" i="2"/>
  <c r="D402" i="2"/>
  <c r="D403" i="2"/>
  <c r="D404" i="2"/>
  <c r="D405" i="2"/>
  <c r="D406" i="2"/>
  <c r="D407" i="2"/>
  <c r="D408" i="2"/>
  <c r="D409" i="2"/>
  <c r="D410" i="2"/>
  <c r="D411" i="2"/>
  <c r="D412" i="2"/>
  <c r="D413" i="2"/>
  <c r="D414" i="2"/>
  <c r="D415" i="2"/>
  <c r="D416" i="2"/>
  <c r="D418" i="2"/>
  <c r="D421" i="2"/>
  <c r="D424" i="2"/>
  <c r="D425" i="2"/>
  <c r="D426" i="2"/>
  <c r="D427" i="2"/>
  <c r="D428" i="2"/>
  <c r="D429" i="2"/>
  <c r="D430" i="2"/>
  <c r="D431" i="2"/>
  <c r="D432" i="2"/>
  <c r="D433" i="2"/>
  <c r="D434" i="2"/>
  <c r="D435" i="2"/>
  <c r="D436" i="2"/>
  <c r="D437" i="2"/>
  <c r="D443" i="2"/>
  <c r="D450" i="2"/>
  <c r="D452" i="2"/>
  <c r="D457" i="2"/>
  <c r="D458" i="2"/>
  <c r="D459" i="2"/>
  <c r="D460" i="2"/>
  <c r="D462" i="2"/>
  <c r="D464" i="2"/>
  <c r="D466" i="2"/>
  <c r="D472" i="2"/>
  <c r="D474" i="2"/>
  <c r="D476" i="2"/>
  <c r="D477" i="2"/>
  <c r="D478" i="2"/>
  <c r="D479" i="2"/>
  <c r="D480" i="2"/>
  <c r="D481" i="2"/>
  <c r="D482" i="2"/>
  <c r="D483" i="2"/>
  <c r="D484" i="2"/>
  <c r="D485" i="2"/>
  <c r="D486" i="2"/>
  <c r="D487" i="2"/>
  <c r="D488" i="2"/>
  <c r="D489" i="2"/>
  <c r="D490" i="2"/>
  <c r="D491" i="2"/>
  <c r="D492" i="2"/>
  <c r="D493" i="2"/>
  <c r="D494" i="2"/>
  <c r="D495" i="2"/>
  <c r="D496" i="2"/>
  <c r="D497"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9" i="2"/>
  <c r="D570" i="2"/>
  <c r="D571" i="2"/>
  <c r="D572" i="2"/>
  <c r="D574" i="2"/>
  <c r="D575" i="2"/>
  <c r="D576" i="2"/>
  <c r="D577" i="2"/>
  <c r="D578" i="2"/>
  <c r="D579" i="2"/>
  <c r="D580" i="2"/>
  <c r="D581" i="2"/>
  <c r="D582" i="2"/>
  <c r="D583" i="2"/>
  <c r="D584" i="2"/>
  <c r="D585" i="2"/>
  <c r="D586" i="2"/>
  <c r="D587" i="2"/>
  <c r="D588" i="2"/>
  <c r="D589" i="2"/>
  <c r="D590" i="2"/>
  <c r="D591" i="2"/>
  <c r="D592"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5" i="2"/>
  <c r="D716" i="2"/>
  <c r="D717" i="2"/>
  <c r="D718" i="2"/>
  <c r="D719" i="2"/>
  <c r="D720" i="2"/>
  <c r="D721" i="2"/>
  <c r="D722" i="2"/>
  <c r="D723" i="2"/>
  <c r="D725" i="2"/>
  <c r="D726" i="2"/>
  <c r="D727" i="2"/>
  <c r="D728" i="2"/>
  <c r="D729" i="2"/>
  <c r="D730" i="2"/>
  <c r="D731" i="2"/>
  <c r="D734" i="2"/>
  <c r="D736" i="2"/>
  <c r="D737" i="2"/>
  <c r="D738" i="2"/>
  <c r="D739" i="2"/>
  <c r="D740" i="2"/>
  <c r="D741" i="2"/>
  <c r="D742" i="2"/>
  <c r="D743" i="2"/>
  <c r="D744" i="2"/>
  <c r="D745" i="2"/>
  <c r="D746" i="2"/>
  <c r="D747" i="2"/>
  <c r="D748" i="2"/>
  <c r="D750" i="2"/>
  <c r="D751" i="2"/>
  <c r="D752" i="2"/>
  <c r="D753" i="2"/>
  <c r="D754" i="2"/>
  <c r="D755" i="2"/>
  <c r="D756" i="2"/>
  <c r="D757" i="2"/>
  <c r="D758" i="2"/>
  <c r="D759" i="2"/>
  <c r="D760" i="2"/>
  <c r="D761" i="2"/>
  <c r="D762" i="2"/>
  <c r="D763" i="2"/>
  <c r="D764" i="2"/>
  <c r="D765" i="2"/>
  <c r="D781" i="2"/>
  <c r="D787"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22" i="2"/>
  <c r="D823" i="2"/>
  <c r="D824" i="2"/>
  <c r="D826" i="2"/>
  <c r="D827" i="2"/>
  <c r="D828" i="2"/>
  <c r="D829" i="2"/>
  <c r="D830" i="2"/>
  <c r="D831" i="2"/>
  <c r="D832" i="2"/>
  <c r="D833" i="2"/>
  <c r="D834" i="2"/>
  <c r="D835" i="2"/>
  <c r="D836" i="2"/>
  <c r="D837" i="2"/>
  <c r="D838" i="2"/>
  <c r="D839" i="2"/>
  <c r="D840"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9" i="2"/>
  <c r="D1210" i="2"/>
  <c r="D1211" i="2"/>
  <c r="D1212" i="2"/>
  <c r="D1213" i="2"/>
  <c r="D1214" i="2"/>
  <c r="D1215" i="2"/>
  <c r="D1218" i="2"/>
  <c r="D1219" i="2"/>
  <c r="D1220" i="2"/>
  <c r="D1221" i="2"/>
  <c r="D1222" i="2"/>
  <c r="D1223" i="2"/>
  <c r="D1224" i="2"/>
  <c r="D1225" i="2"/>
  <c r="D1226" i="2"/>
  <c r="D1227" i="2"/>
  <c r="D1228" i="2"/>
  <c r="D1229" i="2"/>
  <c r="D1230" i="2"/>
  <c r="D1231" i="2"/>
  <c r="D1232" i="2"/>
  <c r="D1233" i="2"/>
  <c r="D1235" i="2"/>
  <c r="D1236" i="2"/>
  <c r="D81" i="2"/>
  <c r="D76" i="2" l="1"/>
  <c r="D33" i="2" l="1"/>
  <c r="D80" i="2" l="1"/>
  <c r="D79" i="2"/>
  <c r="D78" i="2"/>
  <c r="D77"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H14" i="11" l="1"/>
  <c r="AA14" i="11"/>
  <c r="AA15" i="11"/>
  <c r="AC14" i="11"/>
  <c r="AG14" i="11"/>
  <c r="AK14" i="11"/>
  <c r="AL14" i="11"/>
  <c r="AQ14" i="11"/>
  <c r="AR14" i="11"/>
  <c r="AS14" i="11"/>
  <c r="AU14" i="11"/>
  <c r="AY14" i="11"/>
  <c r="BB14" i="11"/>
  <c r="BC14" i="11"/>
  <c r="BE14" i="11"/>
  <c r="BF14" i="11"/>
</calcChain>
</file>

<file path=xl/comments1.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BI2" authorId="0" shapeId="0">
      <text>
        <r>
          <rPr>
            <b/>
            <sz val="9"/>
            <color indexed="81"/>
            <rFont val="Segoe UI"/>
            <charset val="1"/>
          </rPr>
          <t>Thomschke, Friedrun:</t>
        </r>
        <r>
          <rPr>
            <sz val="9"/>
            <color indexed="81"/>
            <rFont val="Segoe UI"/>
            <charset val="1"/>
          </rPr>
          <t xml:space="preserve">
beschädigt, aber stabil</t>
        </r>
      </text>
    </comment>
    <comment ref="AA3" authorId="0" shapeId="0">
      <text>
        <r>
          <rPr>
            <b/>
            <sz val="9"/>
            <color indexed="81"/>
            <rFont val="Segoe UI"/>
            <charset val="1"/>
          </rPr>
          <t>Thomschke, Friedrun:</t>
        </r>
        <r>
          <rPr>
            <sz val="9"/>
            <color indexed="81"/>
            <rFont val="Segoe UI"/>
            <charset val="1"/>
          </rPr>
          <t xml:space="preserve">
inzwischen hohl</t>
        </r>
      </text>
    </comment>
    <comment ref="BI3" authorId="0" shapeId="0">
      <text>
        <r>
          <rPr>
            <b/>
            <sz val="9"/>
            <color indexed="81"/>
            <rFont val="Segoe UI"/>
            <charset val="1"/>
          </rPr>
          <t>Thomschke, Friedrun:</t>
        </r>
        <r>
          <rPr>
            <sz val="9"/>
            <color indexed="81"/>
            <rFont val="Segoe UI"/>
            <charset val="1"/>
          </rPr>
          <t xml:space="preserve">
beschädigt, aber stabil</t>
        </r>
      </text>
    </comment>
    <comment ref="BI8" authorId="0" shapeId="0">
      <text>
        <r>
          <rPr>
            <b/>
            <sz val="9"/>
            <color indexed="81"/>
            <rFont val="Segoe UI"/>
            <charset val="1"/>
          </rPr>
          <t>Thomschke, Friedrun:</t>
        </r>
        <r>
          <rPr>
            <sz val="9"/>
            <color indexed="81"/>
            <rFont val="Segoe UI"/>
            <charset val="1"/>
          </rPr>
          <t xml:space="preserve">
beschädigt aber stabil genug</t>
        </r>
      </text>
    </comment>
    <comment ref="BI10" authorId="0" shapeId="0">
      <text>
        <r>
          <rPr>
            <b/>
            <sz val="9"/>
            <color indexed="81"/>
            <rFont val="Segoe UI"/>
            <charset val="1"/>
          </rPr>
          <t>Thomschke, Friedrun:</t>
        </r>
        <r>
          <rPr>
            <sz val="9"/>
            <color indexed="81"/>
            <rFont val="Segoe UI"/>
            <charset val="1"/>
          </rPr>
          <t xml:space="preserve">
mit Schutzumschlag</t>
        </r>
      </text>
    </comment>
    <comment ref="BI44" authorId="0" shapeId="0">
      <text>
        <r>
          <rPr>
            <b/>
            <sz val="9"/>
            <color indexed="81"/>
            <rFont val="Segoe UI"/>
            <charset val="1"/>
          </rPr>
          <t>Thomschke, Friedrun:</t>
        </r>
        <r>
          <rPr>
            <sz val="9"/>
            <color indexed="81"/>
            <rFont val="Segoe UI"/>
            <charset val="1"/>
          </rPr>
          <t xml:space="preserve">
Bundsteg = 0, ist restauriert</t>
        </r>
      </text>
    </comment>
    <comment ref="AA110" authorId="0" shapeId="0">
      <text>
        <r>
          <rPr>
            <b/>
            <sz val="9"/>
            <color indexed="81"/>
            <rFont val="Segoe UI"/>
            <charset val="1"/>
          </rPr>
          <t>Thomschke, Friedrun:</t>
        </r>
        <r>
          <rPr>
            <sz val="9"/>
            <color indexed="81"/>
            <rFont val="Segoe UI"/>
            <charset val="1"/>
          </rPr>
          <t xml:space="preserve">
jetzt hohl</t>
        </r>
      </text>
    </comment>
    <comment ref="AA111" authorId="0" shapeId="0">
      <text>
        <r>
          <rPr>
            <b/>
            <sz val="9"/>
            <color indexed="81"/>
            <rFont val="Segoe UI"/>
            <family val="2"/>
          </rPr>
          <t>Thomschke, Friedrun:</t>
        </r>
        <r>
          <rPr>
            <sz val="9"/>
            <color indexed="81"/>
            <rFont val="Segoe UI"/>
            <family val="2"/>
          </rPr>
          <t xml:space="preserve">
inzwischen fast vollständig hohl</t>
        </r>
      </text>
    </comment>
    <comment ref="AU112" authorId="0" shapeId="0">
      <text>
        <r>
          <rPr>
            <b/>
            <sz val="9"/>
            <color indexed="81"/>
            <rFont val="Segoe UI"/>
            <charset val="1"/>
          </rPr>
          <t>Thomschke, Friedrun:</t>
        </r>
        <r>
          <rPr>
            <sz val="9"/>
            <color indexed="81"/>
            <rFont val="Segoe UI"/>
            <charset val="1"/>
          </rPr>
          <t xml:space="preserve">
wegen Rücken</t>
        </r>
      </text>
    </comment>
    <comment ref="BI143" authorId="0" shapeId="0">
      <text>
        <r>
          <rPr>
            <b/>
            <sz val="9"/>
            <color indexed="81"/>
            <rFont val="Segoe UI"/>
            <family val="2"/>
          </rPr>
          <t>Thomschke, Friedrun:</t>
        </r>
        <r>
          <rPr>
            <sz val="9"/>
            <color indexed="81"/>
            <rFont val="Segoe UI"/>
            <family val="2"/>
          </rPr>
          <t xml:space="preserve">
obere Schließe steif</t>
        </r>
      </text>
    </comment>
    <comment ref="AA156" authorId="0" shapeId="0">
      <text>
        <r>
          <rPr>
            <b/>
            <sz val="9"/>
            <color indexed="81"/>
            <rFont val="Segoe UI"/>
            <charset val="1"/>
          </rPr>
          <t>Thomschke, Friedrun:</t>
        </r>
        <r>
          <rPr>
            <sz val="9"/>
            <color indexed="81"/>
            <rFont val="Segoe UI"/>
            <charset val="1"/>
          </rPr>
          <t xml:space="preserve">
ehemals fest, jetzt hohl</t>
        </r>
      </text>
    </comment>
    <comment ref="AX175" authorId="0" shapeId="0">
      <text>
        <r>
          <rPr>
            <b/>
            <sz val="9"/>
            <color indexed="81"/>
            <rFont val="Segoe UI"/>
            <family val="2"/>
          </rPr>
          <t>Thomschke, Friedrun:</t>
        </r>
        <r>
          <rPr>
            <sz val="9"/>
            <color indexed="81"/>
            <rFont val="Segoe UI"/>
            <family val="2"/>
          </rPr>
          <t xml:space="preserve">
hinten</t>
        </r>
      </text>
    </comment>
    <comment ref="BG179" authorId="0" shapeId="0">
      <text>
        <r>
          <rPr>
            <b/>
            <sz val="9"/>
            <color indexed="81"/>
            <rFont val="Segoe UI"/>
            <family val="2"/>
          </rPr>
          <t>Thomschke, Friedrun:</t>
        </r>
        <r>
          <rPr>
            <sz val="9"/>
            <color indexed="81"/>
            <rFont val="Segoe UI"/>
            <family val="2"/>
          </rPr>
          <t xml:space="preserve">
Schuber etwas eng --&gt; Reibung --&gt; besser Box</t>
        </r>
      </text>
    </comment>
    <comment ref="E182" authorId="0" shapeId="0">
      <text>
        <r>
          <rPr>
            <b/>
            <sz val="9"/>
            <color indexed="81"/>
            <rFont val="Segoe UI"/>
            <family val="2"/>
          </rPr>
          <t>Thomschke, Friedrun:</t>
        </r>
        <r>
          <rPr>
            <sz val="9"/>
            <color indexed="81"/>
            <rFont val="Segoe UI"/>
            <family val="2"/>
          </rPr>
          <t xml:space="preserve">
?  Angebunden?</t>
        </r>
      </text>
    </comment>
    <comment ref="E184" authorId="0" shapeId="0">
      <text>
        <r>
          <rPr>
            <b/>
            <sz val="9"/>
            <color indexed="81"/>
            <rFont val="Segoe UI"/>
            <family val="2"/>
          </rPr>
          <t>Thomschke, Friedrun:</t>
        </r>
        <r>
          <rPr>
            <sz val="9"/>
            <color indexed="81"/>
            <rFont val="Segoe UI"/>
            <family val="2"/>
          </rPr>
          <t xml:space="preserve">
?angebunden?</t>
        </r>
      </text>
    </comment>
    <comment ref="E185" authorId="0" shapeId="0">
      <text>
        <r>
          <rPr>
            <b/>
            <sz val="9"/>
            <color indexed="81"/>
            <rFont val="Segoe UI"/>
            <family val="2"/>
          </rPr>
          <t>Thomschke, Friedrun:</t>
        </r>
        <r>
          <rPr>
            <sz val="9"/>
            <color indexed="81"/>
            <rFont val="Segoe UI"/>
            <family val="2"/>
          </rPr>
          <t xml:space="preserve">
angebunden?</t>
        </r>
      </text>
    </comment>
    <comment ref="X198" authorId="0" shapeId="0">
      <text>
        <r>
          <rPr>
            <b/>
            <sz val="9"/>
            <color indexed="81"/>
            <rFont val="Segoe UI"/>
            <charset val="1"/>
          </rPr>
          <t>Thomschke, Friedrun:</t>
        </r>
        <r>
          <rPr>
            <sz val="9"/>
            <color indexed="81"/>
            <rFont val="Segoe UI"/>
            <charset val="1"/>
          </rPr>
          <t xml:space="preserve">
flexibler Pg.</t>
        </r>
      </text>
    </comment>
    <comment ref="BI209" authorId="0" shapeId="0">
      <text>
        <r>
          <rPr>
            <b/>
            <sz val="9"/>
            <color indexed="81"/>
            <rFont val="Segoe UI"/>
            <charset val="1"/>
          </rPr>
          <t>Thomschke, Friedrun:</t>
        </r>
        <r>
          <rPr>
            <sz val="9"/>
            <color indexed="81"/>
            <rFont val="Segoe UI"/>
            <charset val="1"/>
          </rPr>
          <t xml:space="preserve">
beschädigt, Schutzumschlag</t>
        </r>
      </text>
    </comment>
    <comment ref="BI223" authorId="0" shapeId="0">
      <text>
        <r>
          <rPr>
            <b/>
            <sz val="9"/>
            <color indexed="81"/>
            <rFont val="Segoe UI"/>
            <charset val="1"/>
          </rPr>
          <t>Thomschke, Friedrun:</t>
        </r>
        <r>
          <rPr>
            <sz val="9"/>
            <color indexed="81"/>
            <rFont val="Segoe UI"/>
            <charset val="1"/>
          </rPr>
          <t xml:space="preserve">
extrem steife und dicke Rückeneinlage</t>
        </r>
      </text>
    </comment>
    <comment ref="BI243" authorId="0" shapeId="0">
      <text>
        <r>
          <rPr>
            <b/>
            <sz val="9"/>
            <color indexed="81"/>
            <rFont val="Segoe UI"/>
            <charset val="1"/>
          </rPr>
          <t>Thomschke, Friedrun:</t>
        </r>
        <r>
          <rPr>
            <sz val="9"/>
            <color indexed="81"/>
            <rFont val="Segoe UI"/>
            <charset val="1"/>
          </rPr>
          <t xml:space="preserve">
beschädigt</t>
        </r>
      </text>
    </comment>
    <comment ref="BI245" authorId="0" shapeId="0">
      <text>
        <r>
          <rPr>
            <b/>
            <sz val="9"/>
            <color indexed="81"/>
            <rFont val="Segoe UI"/>
            <charset val="1"/>
          </rPr>
          <t>Thomschke, Friedrun:</t>
        </r>
        <r>
          <rPr>
            <sz val="9"/>
            <color indexed="81"/>
            <rFont val="Segoe UI"/>
            <charset val="1"/>
          </rPr>
          <t xml:space="preserve">
beschädigt</t>
        </r>
      </text>
    </comment>
    <comment ref="E252" authorId="0" shapeId="0">
      <text>
        <r>
          <rPr>
            <b/>
            <sz val="9"/>
            <color indexed="81"/>
            <rFont val="Segoe UI"/>
            <family val="2"/>
          </rPr>
          <t>Thomschke, Friedrun:</t>
        </r>
        <r>
          <rPr>
            <sz val="9"/>
            <color indexed="81"/>
            <rFont val="Segoe UI"/>
            <family val="2"/>
          </rPr>
          <t xml:space="preserve">
liegt bei ÜF</t>
        </r>
      </text>
    </comment>
    <comment ref="X276" authorId="0" shapeId="0">
      <text>
        <r>
          <rPr>
            <b/>
            <sz val="9"/>
            <color indexed="81"/>
            <rFont val="Segoe UI"/>
            <charset val="1"/>
          </rPr>
          <t>Thomschke, Friedrun:</t>
        </r>
        <r>
          <rPr>
            <sz val="9"/>
            <color indexed="81"/>
            <rFont val="Segoe UI"/>
            <charset val="1"/>
          </rPr>
          <t xml:space="preserve">
flexibler Pg.</t>
        </r>
      </text>
    </comment>
    <comment ref="AG286" authorId="0" shapeId="0">
      <text>
        <r>
          <rPr>
            <b/>
            <sz val="9"/>
            <color indexed="81"/>
            <rFont val="Segoe UI"/>
            <family val="2"/>
          </rPr>
          <t>Thomschke, Friedrun:</t>
        </r>
        <r>
          <rPr>
            <sz val="9"/>
            <color indexed="81"/>
            <rFont val="Segoe UI"/>
            <family val="2"/>
          </rPr>
          <t xml:space="preserve">
Eine Lage aus Pergament enthalten mit Buchmalerei</t>
        </r>
      </text>
    </comment>
    <comment ref="BJ322" authorId="0" shapeId="0">
      <text>
        <r>
          <rPr>
            <b/>
            <sz val="9"/>
            <color indexed="81"/>
            <rFont val="Segoe UI"/>
            <charset val="1"/>
          </rPr>
          <t>Thomschke, Friedrun:</t>
        </r>
        <r>
          <rPr>
            <sz val="9"/>
            <color indexed="81"/>
            <rFont val="Segoe UI"/>
            <charset val="1"/>
          </rPr>
          <t xml:space="preserve">
Umschlag ist bereits angefertigt (in Zshg. mit der Entwicklung des Umschlages)</t>
        </r>
      </text>
    </comment>
    <comment ref="AS382" authorId="0" shapeId="0">
      <text>
        <r>
          <rPr>
            <b/>
            <sz val="9"/>
            <color indexed="81"/>
            <rFont val="Segoe UI"/>
            <family val="2"/>
          </rPr>
          <t>Thomschke, Friedrun:</t>
        </r>
        <r>
          <rPr>
            <sz val="9"/>
            <color indexed="81"/>
            <rFont val="Segoe UI"/>
            <family val="2"/>
          </rPr>
          <t xml:space="preserve">
muss man probieren</t>
        </r>
      </text>
    </comment>
    <comment ref="X395" authorId="0" shapeId="0">
      <text>
        <r>
          <rPr>
            <b/>
            <sz val="9"/>
            <color indexed="81"/>
            <rFont val="Segoe UI"/>
            <charset val="1"/>
          </rPr>
          <t>Thomschke, Friedrun:</t>
        </r>
        <r>
          <rPr>
            <sz val="9"/>
            <color indexed="81"/>
            <rFont val="Segoe UI"/>
            <charset val="1"/>
          </rPr>
          <t xml:space="preserve">
Buchblock liegt in einzelnen Lagen vor</t>
        </r>
      </text>
    </comment>
    <comment ref="E396" authorId="0" shapeId="0">
      <text>
        <r>
          <rPr>
            <b/>
            <sz val="9"/>
            <color indexed="81"/>
            <rFont val="Segoe UI"/>
            <charset val="1"/>
          </rPr>
          <t>Thomschke, Friedrun:</t>
        </r>
        <r>
          <rPr>
            <sz val="9"/>
            <color indexed="81"/>
            <rFont val="Segoe UI"/>
            <charset val="1"/>
          </rPr>
          <t xml:space="preserve">
herausgenommener Druck ist in DA, am Standort ist nur der "geschlachtete" Einband mit den saurem Füllmaterial</t>
        </r>
      </text>
    </comment>
    <comment ref="E399" authorId="0" shapeId="0">
      <text>
        <r>
          <rPr>
            <b/>
            <sz val="9"/>
            <color indexed="81"/>
            <rFont val="Segoe UI"/>
            <charset val="1"/>
          </rPr>
          <t>Thomschke, Friedrun:</t>
        </r>
        <r>
          <rPr>
            <sz val="9"/>
            <color indexed="81"/>
            <rFont val="Segoe UI"/>
            <charset val="1"/>
          </rPr>
          <t xml:space="preserve">
Druck in DA, Einbanddecke am Standort</t>
        </r>
      </text>
    </comment>
    <comment ref="E403" authorId="0" shapeId="0">
      <text>
        <r>
          <rPr>
            <b/>
            <sz val="9"/>
            <color indexed="81"/>
            <rFont val="Segoe UI"/>
            <charset val="1"/>
          </rPr>
          <t>Thomschke, Friedrun:</t>
        </r>
        <r>
          <rPr>
            <sz val="9"/>
            <color indexed="81"/>
            <rFont val="Segoe UI"/>
            <charset val="1"/>
          </rPr>
          <t xml:space="preserve">
Druck in DA, Einband am Standort</t>
        </r>
      </text>
    </comment>
    <comment ref="X404" authorId="0" shapeId="0">
      <text>
        <r>
          <rPr>
            <b/>
            <sz val="9"/>
            <color indexed="81"/>
            <rFont val="Segoe UI"/>
            <charset val="1"/>
          </rPr>
          <t>Thomschke, Friedrun:</t>
        </r>
        <r>
          <rPr>
            <sz val="9"/>
            <color indexed="81"/>
            <rFont val="Segoe UI"/>
            <charset val="1"/>
          </rPr>
          <t xml:space="preserve">
Einband liegt der Mappe bei</t>
        </r>
      </text>
    </comment>
    <comment ref="X410" authorId="0" shapeId="0">
      <text>
        <r>
          <rPr>
            <b/>
            <sz val="9"/>
            <color indexed="81"/>
            <rFont val="Segoe UI"/>
            <family val="2"/>
          </rPr>
          <t>Thomschke, Friedrun:</t>
        </r>
        <r>
          <rPr>
            <sz val="9"/>
            <color indexed="81"/>
            <rFont val="Segoe UI"/>
            <family val="2"/>
          </rPr>
          <t xml:space="preserve">
Einband liegt er Mappe bei</t>
        </r>
      </text>
    </comment>
    <comment ref="X411" authorId="0" shapeId="0">
      <text>
        <r>
          <rPr>
            <b/>
            <sz val="9"/>
            <color indexed="81"/>
            <rFont val="Segoe UI"/>
            <family val="2"/>
          </rPr>
          <t>Thomschke, Friedrun:</t>
        </r>
        <r>
          <rPr>
            <sz val="9"/>
            <color indexed="81"/>
            <rFont val="Segoe UI"/>
            <family val="2"/>
          </rPr>
          <t xml:space="preserve">
Einband liegt der Mappe bei</t>
        </r>
      </text>
    </comment>
    <comment ref="AU413" authorId="0" shapeId="0">
      <text>
        <r>
          <rPr>
            <b/>
            <sz val="9"/>
            <color indexed="81"/>
            <rFont val="Segoe UI"/>
            <family val="2"/>
          </rPr>
          <t>Thomschke, Friedrun:</t>
        </r>
        <r>
          <rPr>
            <sz val="9"/>
            <color indexed="81"/>
            <rFont val="Segoe UI"/>
            <family val="2"/>
          </rPr>
          <t xml:space="preserve">
wegen Rücken</t>
        </r>
      </text>
    </comment>
    <comment ref="X415" authorId="0" shapeId="0">
      <text>
        <r>
          <rPr>
            <b/>
            <sz val="9"/>
            <color indexed="81"/>
            <rFont val="Segoe UI"/>
            <family val="2"/>
          </rPr>
          <t>Thomschke, Friedrun:</t>
        </r>
        <r>
          <rPr>
            <sz val="9"/>
            <color indexed="81"/>
            <rFont val="Segoe UI"/>
            <family val="2"/>
          </rPr>
          <t xml:space="preserve">
Einband liegt lose bei</t>
        </r>
      </text>
    </comment>
    <comment ref="X421" authorId="0" shapeId="0">
      <text>
        <r>
          <rPr>
            <b/>
            <sz val="9"/>
            <color indexed="81"/>
            <rFont val="Segoe UI"/>
            <family val="2"/>
          </rPr>
          <t>Thomschke, Friedrun:</t>
        </r>
        <r>
          <rPr>
            <sz val="9"/>
            <color indexed="81"/>
            <rFont val="Segoe UI"/>
            <family val="2"/>
          </rPr>
          <t xml:space="preserve">
Einband mit saurem Füllmaterial liegt bei</t>
        </r>
      </text>
    </comment>
    <comment ref="S422" authorId="0" shapeId="0">
      <text>
        <r>
          <rPr>
            <b/>
            <sz val="9"/>
            <color indexed="81"/>
            <rFont val="Segoe UI"/>
            <family val="2"/>
          </rPr>
          <t>Thomschke, Friedrun:</t>
        </r>
        <r>
          <rPr>
            <sz val="9"/>
            <color indexed="81"/>
            <rFont val="Segoe UI"/>
            <family val="2"/>
          </rPr>
          <t xml:space="preserve">
Einband am Standort</t>
        </r>
      </text>
    </comment>
    <comment ref="AA424" authorId="0" shapeId="0">
      <text>
        <r>
          <rPr>
            <b/>
            <sz val="9"/>
            <color indexed="81"/>
            <rFont val="Segoe UI"/>
            <family val="2"/>
          </rPr>
          <t>Thomschke, Friedrun:</t>
        </r>
        <r>
          <rPr>
            <sz val="9"/>
            <color indexed="81"/>
            <rFont val="Segoe UI"/>
            <family val="2"/>
          </rPr>
          <t xml:space="preserve">
inzwischen hohl</t>
        </r>
      </text>
    </comment>
    <comment ref="X431" authorId="0" shapeId="0">
      <text>
        <r>
          <rPr>
            <b/>
            <sz val="9"/>
            <color indexed="81"/>
            <rFont val="Segoe UI"/>
            <family val="2"/>
          </rPr>
          <t>Thomschke, Friedrun:</t>
        </r>
        <r>
          <rPr>
            <sz val="9"/>
            <color indexed="81"/>
            <rFont val="Segoe UI"/>
            <family val="2"/>
          </rPr>
          <t xml:space="preserve">
Einband liegt lose bei</t>
        </r>
      </text>
    </comment>
    <comment ref="X434" authorId="0" shapeId="0">
      <text>
        <r>
          <rPr>
            <b/>
            <sz val="9"/>
            <color indexed="81"/>
            <rFont val="Segoe UI"/>
            <family val="2"/>
          </rPr>
          <t>Thomschke, Friedrun:</t>
        </r>
        <r>
          <rPr>
            <sz val="9"/>
            <color indexed="81"/>
            <rFont val="Segoe UI"/>
            <family val="2"/>
          </rPr>
          <t xml:space="preserve">
Umschlag liegt der Mappe bei</t>
        </r>
      </text>
    </comment>
    <comment ref="BI434" authorId="0" shapeId="0">
      <text>
        <r>
          <rPr>
            <b/>
            <sz val="9"/>
            <color indexed="81"/>
            <rFont val="Segoe UI"/>
            <family val="2"/>
          </rPr>
          <t>Thomschke, Friedrun:</t>
        </r>
        <r>
          <rPr>
            <sz val="9"/>
            <color indexed="81"/>
            <rFont val="Segoe UI"/>
            <family val="2"/>
          </rPr>
          <t xml:space="preserve">
Umschlag der Broschur liegt lose bei</t>
        </r>
      </text>
    </comment>
    <comment ref="X449" authorId="0" shapeId="0">
      <text>
        <r>
          <rPr>
            <b/>
            <sz val="9"/>
            <color indexed="81"/>
            <rFont val="Segoe UI"/>
            <family val="2"/>
          </rPr>
          <t>Thomschke, Friedrun:</t>
        </r>
        <r>
          <rPr>
            <sz val="9"/>
            <color indexed="81"/>
            <rFont val="Segoe UI"/>
            <family val="2"/>
          </rPr>
          <t xml:space="preserve">
Einband liegt bei</t>
        </r>
      </text>
    </comment>
    <comment ref="X452" authorId="0" shapeId="0">
      <text>
        <r>
          <rPr>
            <b/>
            <sz val="9"/>
            <color indexed="81"/>
            <rFont val="Segoe UI"/>
            <family val="2"/>
          </rPr>
          <t>Thomschke, Friedrun:</t>
        </r>
        <r>
          <rPr>
            <sz val="9"/>
            <color indexed="81"/>
            <rFont val="Segoe UI"/>
            <family val="2"/>
          </rPr>
          <t xml:space="preserve">
Einband liegt bei</t>
        </r>
      </text>
    </comment>
    <comment ref="AU480" authorId="0" shapeId="0">
      <text>
        <r>
          <rPr>
            <b/>
            <sz val="9"/>
            <color indexed="81"/>
            <rFont val="Segoe UI"/>
            <family val="2"/>
          </rPr>
          <t>Thomschke, Friedrun:</t>
        </r>
        <r>
          <rPr>
            <sz val="9"/>
            <color indexed="81"/>
            <rFont val="Segoe UI"/>
            <family val="2"/>
          </rPr>
          <t xml:space="preserve">
wegen Rücken, auch nach Rest. Sehr ws. nicht möglich/ratsam</t>
        </r>
      </text>
    </comment>
    <comment ref="AU490" authorId="0" shapeId="0">
      <text>
        <r>
          <rPr>
            <b/>
            <sz val="9"/>
            <color indexed="81"/>
            <rFont val="Segoe UI"/>
            <family val="2"/>
          </rPr>
          <t>Thomschke, Friedrun:</t>
        </r>
        <r>
          <rPr>
            <sz val="9"/>
            <color indexed="81"/>
            <rFont val="Segoe UI"/>
            <family val="2"/>
          </rPr>
          <t xml:space="preserve">
weniger als 45° zu öffnen</t>
        </r>
      </text>
    </comment>
    <comment ref="BI527" authorId="0" shapeId="0">
      <text>
        <r>
          <rPr>
            <b/>
            <sz val="9"/>
            <color indexed="81"/>
            <rFont val="Segoe UI"/>
            <family val="2"/>
          </rPr>
          <t>Thomschke, Friedrun:</t>
        </r>
        <r>
          <rPr>
            <sz val="9"/>
            <color indexed="81"/>
            <rFont val="Segoe UI"/>
            <family val="2"/>
          </rPr>
          <t xml:space="preserve">
voll restauriert, Neueinband</t>
        </r>
      </text>
    </comment>
    <comment ref="BL620" authorId="0" shapeId="0">
      <text>
        <r>
          <rPr>
            <b/>
            <sz val="9"/>
            <color indexed="81"/>
            <rFont val="Segoe UI"/>
            <charset val="1"/>
          </rPr>
          <t>Thomschke, Friedrun:</t>
        </r>
        <r>
          <rPr>
            <sz val="9"/>
            <color indexed="81"/>
            <rFont val="Segoe UI"/>
            <charset val="1"/>
          </rPr>
          <t xml:space="preserve">
ws. extrem!</t>
        </r>
      </text>
    </comment>
    <comment ref="E623" authorId="0" shapeId="0">
      <text>
        <r>
          <rPr>
            <b/>
            <sz val="9"/>
            <color indexed="81"/>
            <rFont val="Segoe UI"/>
            <charset val="1"/>
          </rPr>
          <t>Thomschke, Friedrun:</t>
        </r>
        <r>
          <rPr>
            <sz val="9"/>
            <color indexed="81"/>
            <rFont val="Segoe UI"/>
            <charset val="1"/>
          </rPr>
          <t xml:space="preserve">
überprüfen, ob das das erst enthaltene Werk ist</t>
        </r>
      </text>
    </comment>
    <comment ref="BL623" authorId="0" shapeId="0">
      <text>
        <r>
          <rPr>
            <b/>
            <sz val="9"/>
            <color indexed="81"/>
            <rFont val="Segoe UI"/>
            <charset val="1"/>
          </rPr>
          <t>Thomschke, Friedrun:</t>
        </r>
        <r>
          <rPr>
            <sz val="9"/>
            <color indexed="81"/>
            <rFont val="Segoe UI"/>
            <charset val="1"/>
          </rPr>
          <t xml:space="preserve">
ws. extrem!</t>
        </r>
      </text>
    </comment>
    <comment ref="BI650" authorId="0" shapeId="0">
      <text>
        <r>
          <rPr>
            <b/>
            <sz val="9"/>
            <color indexed="81"/>
            <rFont val="Segoe UI"/>
            <charset val="1"/>
          </rPr>
          <t>Thomschke, Friedrun:</t>
        </r>
        <r>
          <rPr>
            <sz val="9"/>
            <color indexed="81"/>
            <rFont val="Segoe UI"/>
            <charset val="1"/>
          </rPr>
          <t xml:space="preserve">
leichter Schaden im Gelenk</t>
        </r>
      </text>
    </comment>
    <comment ref="BI654" authorId="0" shapeId="0">
      <text>
        <r>
          <rPr>
            <b/>
            <sz val="9"/>
            <color indexed="81"/>
            <rFont val="Segoe UI"/>
            <charset val="1"/>
          </rPr>
          <t>Thomschke, Friedrun:</t>
        </r>
        <r>
          <rPr>
            <sz val="9"/>
            <color indexed="81"/>
            <rFont val="Segoe UI"/>
            <charset val="1"/>
          </rPr>
          <t xml:space="preserve">
ÖW ist eigentlich 60, dicker überformter Holzdeckelband</t>
        </r>
      </text>
    </comment>
    <comment ref="BI656" authorId="0" shapeId="0">
      <text>
        <r>
          <rPr>
            <b/>
            <sz val="9"/>
            <color indexed="81"/>
            <rFont val="Segoe UI"/>
            <charset val="1"/>
          </rPr>
          <t>Thomschke, Friedrun:</t>
        </r>
        <r>
          <rPr>
            <sz val="9"/>
            <color indexed="81"/>
            <rFont val="Segoe UI"/>
            <charset val="1"/>
          </rPr>
          <t xml:space="preserve">
unkompliziert, saures Füllmaterial</t>
        </r>
      </text>
    </comment>
    <comment ref="E657" authorId="0" shapeId="0">
      <text>
        <r>
          <rPr>
            <b/>
            <sz val="9"/>
            <color indexed="81"/>
            <rFont val="Segoe UI"/>
            <charset val="1"/>
          </rPr>
          <t>Thomschke, Friedrun:</t>
        </r>
        <r>
          <rPr>
            <sz val="9"/>
            <color indexed="81"/>
            <rFont val="Segoe UI"/>
            <charset val="1"/>
          </rPr>
          <t xml:space="preserve">
ist doppelt</t>
        </r>
      </text>
    </comment>
    <comment ref="BI679" authorId="0" shapeId="0">
      <text>
        <r>
          <rPr>
            <b/>
            <sz val="9"/>
            <color indexed="81"/>
            <rFont val="Segoe UI"/>
            <charset val="1"/>
          </rPr>
          <t>Thomschke, Friedrun:</t>
        </r>
        <r>
          <rPr>
            <sz val="9"/>
            <color indexed="81"/>
            <rFont val="Segoe UI"/>
            <charset val="1"/>
          </rPr>
          <t xml:space="preserve">
beschädigt</t>
        </r>
      </text>
    </comment>
    <comment ref="BI689" authorId="0" shapeId="0">
      <text>
        <r>
          <rPr>
            <b/>
            <sz val="9"/>
            <color indexed="81"/>
            <rFont val="Segoe UI"/>
            <charset val="1"/>
          </rPr>
          <t>Thomschke, Friedrun:</t>
        </r>
        <r>
          <rPr>
            <sz val="9"/>
            <color indexed="81"/>
            <rFont val="Segoe UI"/>
            <charset val="1"/>
          </rPr>
          <t xml:space="preserve">
BB aus Papier mit Perg.lage</t>
        </r>
      </text>
    </comment>
    <comment ref="AV690" authorId="0" shapeId="0">
      <text>
        <r>
          <rPr>
            <b/>
            <sz val="9"/>
            <color indexed="81"/>
            <rFont val="Segoe UI"/>
            <charset val="1"/>
          </rPr>
          <t>Thomschke, Friedrun:</t>
        </r>
        <r>
          <rPr>
            <sz val="9"/>
            <color indexed="81"/>
            <rFont val="Segoe UI"/>
            <charset val="1"/>
          </rPr>
          <t xml:space="preserve">
Rücken ggf. unterfüttern</t>
        </r>
      </text>
    </comment>
    <comment ref="BI694" authorId="0" shapeId="0">
      <text>
        <r>
          <rPr>
            <b/>
            <sz val="9"/>
            <color indexed="81"/>
            <rFont val="Segoe UI"/>
            <charset val="1"/>
          </rPr>
          <t>Thomschke, Friedrun:</t>
        </r>
        <r>
          <rPr>
            <sz val="9"/>
            <color indexed="81"/>
            <rFont val="Segoe UI"/>
            <charset val="1"/>
          </rPr>
          <t xml:space="preserve">
nur 110, wegen Schaden</t>
        </r>
      </text>
    </comment>
    <comment ref="BI698" authorId="0" shapeId="0">
      <text>
        <r>
          <rPr>
            <b/>
            <sz val="9"/>
            <color indexed="81"/>
            <rFont val="Segoe UI"/>
            <charset val="1"/>
          </rPr>
          <t>Thomschke, Friedrun:</t>
        </r>
        <r>
          <rPr>
            <sz val="9"/>
            <color indexed="81"/>
            <rFont val="Segoe UI"/>
            <charset val="1"/>
          </rPr>
          <t xml:space="preserve">
knapp 15 cm hoch</t>
        </r>
      </text>
    </comment>
    <comment ref="BI699" authorId="0" shapeId="0">
      <text>
        <r>
          <rPr>
            <b/>
            <sz val="9"/>
            <color indexed="81"/>
            <rFont val="Segoe UI"/>
            <charset val="1"/>
          </rPr>
          <t>Thomschke, Friedrun:</t>
        </r>
        <r>
          <rPr>
            <sz val="9"/>
            <color indexed="81"/>
            <rFont val="Segoe UI"/>
            <charset val="1"/>
          </rPr>
          <t xml:space="preserve">
aufgepilzte Ecken</t>
        </r>
      </text>
    </comment>
    <comment ref="BI756" authorId="0" shapeId="0">
      <text>
        <r>
          <rPr>
            <b/>
            <sz val="9"/>
            <color indexed="81"/>
            <rFont val="Segoe UI"/>
            <charset val="1"/>
          </rPr>
          <t>Thomschke, Friedrun:</t>
        </r>
        <r>
          <rPr>
            <sz val="9"/>
            <color indexed="81"/>
            <rFont val="Segoe UI"/>
            <charset val="1"/>
          </rPr>
          <t xml:space="preserve">
Neueinband (Perg.)</t>
        </r>
      </text>
    </comment>
    <comment ref="AU763" authorId="0" shapeId="0">
      <text>
        <r>
          <rPr>
            <b/>
            <sz val="9"/>
            <color indexed="81"/>
            <rFont val="Segoe UI"/>
            <charset val="1"/>
          </rPr>
          <t>Thomschke, Friedrun:</t>
        </r>
        <r>
          <rPr>
            <sz val="9"/>
            <color indexed="81"/>
            <rFont val="Segoe UI"/>
            <charset val="1"/>
          </rPr>
          <t xml:space="preserve">
wegen Rücken</t>
        </r>
      </text>
    </comment>
    <comment ref="AY763" authorId="0" shapeId="0">
      <text>
        <r>
          <rPr>
            <b/>
            <sz val="9"/>
            <color indexed="81"/>
            <rFont val="Segoe UI"/>
            <charset val="1"/>
          </rPr>
          <t>Thomschke, Friedrun:</t>
        </r>
        <r>
          <rPr>
            <sz val="9"/>
            <color indexed="81"/>
            <rFont val="Segoe UI"/>
            <charset val="1"/>
          </rPr>
          <t xml:space="preserve">
wird nicht digit., ist für die Benutzung stabil genug</t>
        </r>
      </text>
    </comment>
    <comment ref="E814" authorId="0" shapeId="0">
      <text>
        <r>
          <rPr>
            <b/>
            <sz val="9"/>
            <color indexed="81"/>
            <rFont val="Segoe UI"/>
            <charset val="1"/>
          </rPr>
          <t>Thomschke, Friedrun:</t>
        </r>
        <r>
          <rPr>
            <sz val="9"/>
            <color indexed="81"/>
            <rFont val="Segoe UI"/>
            <charset val="1"/>
          </rPr>
          <t xml:space="preserve">
Bibliogr. Angaben klären, kein Titelblatt</t>
        </r>
      </text>
    </comment>
    <comment ref="E815" authorId="0" shapeId="0">
      <text>
        <r>
          <rPr>
            <b/>
            <sz val="9"/>
            <color indexed="81"/>
            <rFont val="Segoe UI"/>
            <charset val="1"/>
          </rPr>
          <t>Thomschke, Friedrun:</t>
        </r>
        <r>
          <rPr>
            <sz val="9"/>
            <color indexed="81"/>
            <rFont val="Segoe UI"/>
            <charset val="1"/>
          </rPr>
          <t xml:space="preserve">
Bibliogr. Angaben klären, kein Titelblatt</t>
        </r>
      </text>
    </comment>
    <comment ref="BI833" authorId="0" shapeId="0">
      <text>
        <r>
          <rPr>
            <b/>
            <sz val="9"/>
            <color indexed="81"/>
            <rFont val="Segoe UI"/>
            <charset val="1"/>
          </rPr>
          <t>Thomschke, Friedrun:</t>
        </r>
        <r>
          <rPr>
            <sz val="9"/>
            <color indexed="81"/>
            <rFont val="Segoe UI"/>
            <charset val="1"/>
          </rPr>
          <t xml:space="preserve">
ÖW eigentlich 60</t>
        </r>
      </text>
    </comment>
    <comment ref="X841" authorId="0" shapeId="0">
      <text>
        <r>
          <rPr>
            <b/>
            <sz val="9"/>
            <color indexed="81"/>
            <rFont val="Segoe UI"/>
            <charset val="1"/>
          </rPr>
          <t>Thomschke, Friedrun:</t>
        </r>
        <r>
          <rPr>
            <sz val="9"/>
            <color indexed="81"/>
            <rFont val="Segoe UI"/>
            <charset val="1"/>
          </rPr>
          <t xml:space="preserve">
Pergamentumschlag</t>
        </r>
      </text>
    </comment>
    <comment ref="AV841" authorId="0" shapeId="0">
      <text>
        <r>
          <rPr>
            <b/>
            <sz val="9"/>
            <color indexed="81"/>
            <rFont val="Segoe UI"/>
            <charset val="1"/>
          </rPr>
          <t>Thomschke, Friedrun:</t>
        </r>
        <r>
          <rPr>
            <sz val="9"/>
            <color indexed="81"/>
            <rFont val="Segoe UI"/>
            <charset val="1"/>
          </rPr>
          <t xml:space="preserve">
bes. Vorsicht wegen Lage hinten</t>
        </r>
      </text>
    </comment>
    <comment ref="A843" authorId="0" shapeId="0">
      <text>
        <r>
          <rPr>
            <b/>
            <sz val="9"/>
            <color indexed="81"/>
            <rFont val="Segoe UI"/>
            <family val="2"/>
          </rPr>
          <t>Thomschke, Friedrun:</t>
        </r>
        <r>
          <rPr>
            <sz val="9"/>
            <color indexed="81"/>
            <rFont val="Segoe UI"/>
            <family val="2"/>
          </rPr>
          <t xml:space="preserve">
ab hier Prüfung durch Thomschke</t>
        </r>
      </text>
    </comment>
    <comment ref="E847" authorId="0" shapeId="0">
      <text>
        <r>
          <rPr>
            <b/>
            <sz val="9"/>
            <color indexed="81"/>
            <rFont val="Segoe UI"/>
          </rPr>
          <t>Thomschke, Friedrun:</t>
        </r>
        <r>
          <rPr>
            <sz val="9"/>
            <color indexed="81"/>
            <rFont val="Segoe UI"/>
          </rPr>
          <t xml:space="preserve">
doppelt?</t>
        </r>
      </text>
    </comment>
    <comment ref="AD855" authorId="0" shapeId="0">
      <text>
        <r>
          <rPr>
            <b/>
            <sz val="9"/>
            <color indexed="81"/>
            <rFont val="Segoe UI"/>
            <family val="2"/>
          </rPr>
          <t>Thomschke, Friedrun:</t>
        </r>
        <r>
          <rPr>
            <sz val="9"/>
            <color indexed="81"/>
            <rFont val="Segoe UI"/>
            <family val="2"/>
          </rPr>
          <t xml:space="preserve">
Deckel stark nach innen gerundet</t>
        </r>
      </text>
    </comment>
    <comment ref="AA918" authorId="0" shapeId="0">
      <text>
        <r>
          <rPr>
            <b/>
            <sz val="9"/>
            <color indexed="81"/>
            <rFont val="Segoe UI"/>
            <family val="2"/>
          </rPr>
          <t>Thomschke, Friedrun:</t>
        </r>
        <r>
          <rPr>
            <sz val="9"/>
            <color indexed="81"/>
            <rFont val="Segoe UI"/>
            <family val="2"/>
          </rPr>
          <t xml:space="preserve">
inzwischen hohl</t>
        </r>
      </text>
    </comment>
    <comment ref="E950" authorId="0" shapeId="0">
      <text>
        <r>
          <rPr>
            <b/>
            <sz val="9"/>
            <color indexed="81"/>
            <rFont val="Segoe UI"/>
            <family val="2"/>
          </rPr>
          <t>Thomschke, Friedrun:</t>
        </r>
        <r>
          <rPr>
            <sz val="9"/>
            <color indexed="81"/>
            <rFont val="Segoe UI"/>
            <family val="2"/>
          </rPr>
          <t xml:space="preserve">
ws. GF</t>
        </r>
      </text>
    </comment>
    <comment ref="X952" authorId="0" shapeId="0">
      <text>
        <r>
          <rPr>
            <b/>
            <sz val="9"/>
            <color indexed="81"/>
            <rFont val="Segoe UI"/>
            <charset val="1"/>
          </rPr>
          <t>Thomschke, Friedrun:</t>
        </r>
        <r>
          <rPr>
            <sz val="9"/>
            <color indexed="81"/>
            <rFont val="Segoe UI"/>
            <charset val="1"/>
          </rPr>
          <t xml:space="preserve">
Verlegereinband</t>
        </r>
      </text>
    </comment>
    <comment ref="AV967" authorId="0" shapeId="0">
      <text>
        <r>
          <rPr>
            <b/>
            <sz val="9"/>
            <color indexed="81"/>
            <rFont val="Segoe UI"/>
            <family val="2"/>
          </rPr>
          <t>Thomschke, Friedrun:</t>
        </r>
        <r>
          <rPr>
            <sz val="9"/>
            <color indexed="81"/>
            <rFont val="Segoe UI"/>
            <family val="2"/>
          </rPr>
          <t xml:space="preserve">
Rücken ausfüttern</t>
        </r>
      </text>
    </comment>
    <comment ref="E968" authorId="0" shapeId="0">
      <text>
        <r>
          <rPr>
            <b/>
            <sz val="9"/>
            <color indexed="81"/>
            <rFont val="Segoe UI"/>
            <charset val="1"/>
          </rPr>
          <t>Thomschke, Friedrun:</t>
        </r>
        <r>
          <rPr>
            <sz val="9"/>
            <color indexed="81"/>
            <rFont val="Segoe UI"/>
            <charset val="1"/>
          </rPr>
          <t xml:space="preserve">
steht bei GF</t>
        </r>
      </text>
    </comment>
    <comment ref="AS971" authorId="0" shapeId="0">
      <text>
        <r>
          <rPr>
            <b/>
            <sz val="9"/>
            <color indexed="81"/>
            <rFont val="Segoe UI"/>
            <family val="2"/>
          </rPr>
          <t>Thomschke, Friedrun:</t>
        </r>
        <r>
          <rPr>
            <sz val="9"/>
            <color indexed="81"/>
            <rFont val="Segoe UI"/>
            <family val="2"/>
          </rPr>
          <t xml:space="preserve">
durchgängige Tafeln</t>
        </r>
      </text>
    </comment>
    <comment ref="E975" authorId="0" shapeId="0">
      <text>
        <r>
          <rPr>
            <b/>
            <sz val="9"/>
            <color indexed="81"/>
            <rFont val="Segoe UI"/>
            <family val="2"/>
          </rPr>
          <t>Thomschke, Friedrun:</t>
        </r>
        <r>
          <rPr>
            <sz val="9"/>
            <color indexed="81"/>
            <rFont val="Segoe UI"/>
            <family val="2"/>
          </rPr>
          <t xml:space="preserve">
steht bei GF</t>
        </r>
      </text>
    </comment>
    <comment ref="E977" authorId="0" shapeId="0">
      <text>
        <r>
          <rPr>
            <b/>
            <sz val="9"/>
            <color indexed="81"/>
            <rFont val="Segoe UI"/>
            <family val="2"/>
          </rPr>
          <t>Thomschke, Friedrun:</t>
        </r>
        <r>
          <rPr>
            <sz val="9"/>
            <color indexed="81"/>
            <rFont val="Segoe UI"/>
            <family val="2"/>
          </rPr>
          <t xml:space="preserve">
steht bei GF</t>
        </r>
      </text>
    </comment>
    <comment ref="AV977" authorId="0" shapeId="0">
      <text>
        <r>
          <rPr>
            <b/>
            <sz val="9"/>
            <color indexed="81"/>
            <rFont val="Segoe UI"/>
            <charset val="1"/>
          </rPr>
          <t>Thomschke, Friedrun:</t>
        </r>
        <r>
          <rPr>
            <sz val="9"/>
            <color indexed="81"/>
            <rFont val="Segoe UI"/>
            <charset val="1"/>
          </rPr>
          <t xml:space="preserve">
wegen Rücken (der klappt ab)</t>
        </r>
      </text>
    </comment>
    <comment ref="BI977" authorId="0" shapeId="0">
      <text>
        <r>
          <rPr>
            <b/>
            <sz val="9"/>
            <color indexed="81"/>
            <rFont val="Segoe UI"/>
            <charset val="1"/>
          </rPr>
          <t>Thomschke, Friedrun:</t>
        </r>
        <r>
          <rPr>
            <sz val="9"/>
            <color indexed="81"/>
            <rFont val="Segoe UI"/>
            <charset val="1"/>
          </rPr>
          <t xml:space="preserve">
ist mit Begleitung wg. Rücken</t>
        </r>
      </text>
    </comment>
    <comment ref="E982" authorId="0" shapeId="0">
      <text>
        <r>
          <rPr>
            <b/>
            <sz val="9"/>
            <color indexed="81"/>
            <rFont val="Segoe UI"/>
            <family val="2"/>
          </rPr>
          <t>Thomschke, Friedrun:</t>
        </r>
        <r>
          <rPr>
            <sz val="9"/>
            <color indexed="81"/>
            <rFont val="Segoe UI"/>
            <family val="2"/>
          </rPr>
          <t xml:space="preserve">
steht bei GF</t>
        </r>
      </text>
    </comment>
    <comment ref="BI982" authorId="0" shapeId="0">
      <text>
        <r>
          <rPr>
            <b/>
            <sz val="9"/>
            <color indexed="81"/>
            <rFont val="Segoe UI"/>
            <charset val="1"/>
          </rPr>
          <t>Thomschke, Friedrun:</t>
        </r>
        <r>
          <rPr>
            <sz val="9"/>
            <color indexed="81"/>
            <rFont val="Segoe UI"/>
            <charset val="1"/>
          </rPr>
          <t xml:space="preserve">
BB baucht</t>
        </r>
      </text>
    </comment>
    <comment ref="X984" authorId="0" shapeId="0">
      <text>
        <r>
          <rPr>
            <b/>
            <sz val="9"/>
            <color indexed="81"/>
            <rFont val="Segoe UI"/>
            <family val="2"/>
          </rPr>
          <t>Thomschke, Friedrun:</t>
        </r>
        <r>
          <rPr>
            <sz val="9"/>
            <color indexed="81"/>
            <rFont val="Segoe UI"/>
            <family val="2"/>
          </rPr>
          <t xml:space="preserve">
durchbrochener Perg.bd. mit Damast unterlegt</t>
        </r>
      </text>
    </comment>
    <comment ref="X1002" authorId="0" shapeId="0">
      <text>
        <r>
          <rPr>
            <b/>
            <sz val="9"/>
            <color indexed="81"/>
            <rFont val="Segoe UI"/>
            <family val="2"/>
          </rPr>
          <t>Thomschke, Friedrun:</t>
        </r>
        <r>
          <rPr>
            <sz val="9"/>
            <color indexed="81"/>
            <rFont val="Segoe UI"/>
            <family val="2"/>
          </rPr>
          <t xml:space="preserve">
flexibler Perg.bd.</t>
        </r>
      </text>
    </comment>
    <comment ref="E1003" authorId="0" shapeId="0">
      <text>
        <r>
          <rPr>
            <b/>
            <sz val="9"/>
            <color indexed="81"/>
            <rFont val="Segoe UI"/>
            <family val="2"/>
          </rPr>
          <t>Thomschke, Friedrun:</t>
        </r>
        <r>
          <rPr>
            <sz val="9"/>
            <color indexed="81"/>
            <rFont val="Segoe UI"/>
            <family val="2"/>
          </rPr>
          <t xml:space="preserve">
??</t>
        </r>
      </text>
    </comment>
    <comment ref="E1007" authorId="0" shapeId="0">
      <text>
        <r>
          <rPr>
            <b/>
            <sz val="9"/>
            <color indexed="81"/>
            <rFont val="Segoe UI"/>
            <family val="2"/>
          </rPr>
          <t>Thomschke, Friedrun:</t>
        </r>
        <r>
          <rPr>
            <sz val="9"/>
            <color indexed="81"/>
            <rFont val="Segoe UI"/>
            <family val="2"/>
          </rPr>
          <t xml:space="preserve">
steht bei GF</t>
        </r>
      </text>
    </comment>
    <comment ref="BI1012" authorId="0" shapeId="0">
      <text>
        <r>
          <rPr>
            <b/>
            <sz val="9"/>
            <color indexed="81"/>
            <rFont val="Segoe UI"/>
            <family val="2"/>
          </rPr>
          <t>Thomschke, Friedrun:</t>
        </r>
        <r>
          <rPr>
            <sz val="9"/>
            <color indexed="81"/>
            <rFont val="Segoe UI"/>
            <family val="2"/>
          </rPr>
          <t xml:space="preserve">
vorn klebt ein Zettel mit Infos drin (ähnlich wie Rest.bericht hinten)</t>
        </r>
      </text>
    </comment>
    <comment ref="E1013" authorId="0" shapeId="0">
      <text>
        <r>
          <rPr>
            <b/>
            <sz val="9"/>
            <color indexed="81"/>
            <rFont val="Segoe UI"/>
            <family val="2"/>
          </rPr>
          <t>Thomschke, Friedrun:</t>
        </r>
        <r>
          <rPr>
            <sz val="9"/>
            <color indexed="81"/>
            <rFont val="Segoe UI"/>
            <family val="2"/>
          </rPr>
          <t xml:space="preserve">
steht bei GF</t>
        </r>
      </text>
    </comment>
    <comment ref="X1014" authorId="0" shapeId="0">
      <text>
        <r>
          <rPr>
            <b/>
            <sz val="9"/>
            <color indexed="81"/>
            <rFont val="Segoe UI"/>
            <family val="2"/>
          </rPr>
          <t>Thomschke, Friedrun:</t>
        </r>
        <r>
          <rPr>
            <sz val="9"/>
            <color indexed="81"/>
            <rFont val="Segoe UI"/>
            <family val="2"/>
          </rPr>
          <t xml:space="preserve">
flexibler Perg.bd.</t>
        </r>
      </text>
    </comment>
    <comment ref="X1019" authorId="0" shapeId="0">
      <text>
        <r>
          <rPr>
            <b/>
            <sz val="9"/>
            <color indexed="81"/>
            <rFont val="Segoe UI"/>
            <family val="2"/>
          </rPr>
          <t>Thomschke, Friedrun:</t>
        </r>
        <r>
          <rPr>
            <sz val="9"/>
            <color indexed="81"/>
            <rFont val="Segoe UI"/>
            <family val="2"/>
          </rPr>
          <t xml:space="preserve">
Pergamentumschlag mit Einschlägen</t>
        </r>
      </text>
    </comment>
    <comment ref="E1024" authorId="0" shapeId="0">
      <text>
        <r>
          <rPr>
            <b/>
            <sz val="9"/>
            <color indexed="81"/>
            <rFont val="Segoe UI"/>
            <family val="2"/>
          </rPr>
          <t>Thomschke, Friedrun:</t>
        </r>
        <r>
          <rPr>
            <sz val="9"/>
            <color indexed="81"/>
            <rFont val="Segoe UI"/>
            <family val="2"/>
          </rPr>
          <t xml:space="preserve">
doppelter Katalogeintrag?</t>
        </r>
      </text>
    </comment>
    <comment ref="X1026" authorId="0" shapeId="0">
      <text>
        <r>
          <rPr>
            <b/>
            <sz val="9"/>
            <color indexed="81"/>
            <rFont val="Segoe UI"/>
            <family val="2"/>
          </rPr>
          <t>Thomschke, Friedrun:</t>
        </r>
        <r>
          <rPr>
            <sz val="9"/>
            <color indexed="81"/>
            <rFont val="Segoe UI"/>
            <family val="2"/>
          </rPr>
          <t xml:space="preserve">
flexibler Perg.bd.</t>
        </r>
      </text>
    </comment>
    <comment ref="AD1032" authorId="0" shapeId="0">
      <text>
        <r>
          <rPr>
            <b/>
            <sz val="9"/>
            <color indexed="81"/>
            <rFont val="Segoe UI"/>
            <family val="2"/>
          </rPr>
          <t>Thomschke, Friedrun:</t>
        </r>
        <r>
          <rPr>
            <sz val="9"/>
            <color indexed="81"/>
            <rFont val="Segoe UI"/>
            <family val="2"/>
          </rPr>
          <t xml:space="preserve">
Vorderdeckel</t>
        </r>
      </text>
    </comment>
    <comment ref="E1060" authorId="0" shapeId="0">
      <text>
        <r>
          <rPr>
            <b/>
            <sz val="9"/>
            <color indexed="81"/>
            <rFont val="Segoe UI"/>
            <family val="2"/>
          </rPr>
          <t>Thomschke, Friedrun:</t>
        </r>
        <r>
          <rPr>
            <sz val="9"/>
            <color indexed="81"/>
            <rFont val="Segoe UI"/>
            <family val="2"/>
          </rPr>
          <t xml:space="preserve">
steht bei GF</t>
        </r>
      </text>
    </comment>
    <comment ref="E1063" authorId="0" shapeId="0">
      <text>
        <r>
          <rPr>
            <b/>
            <sz val="9"/>
            <color indexed="81"/>
            <rFont val="Segoe UI"/>
            <family val="2"/>
          </rPr>
          <t>Thomschke, Friedrun:</t>
        </r>
        <r>
          <rPr>
            <sz val="9"/>
            <color indexed="81"/>
            <rFont val="Segoe UI"/>
            <family val="2"/>
          </rPr>
          <t xml:space="preserve">
steht bei GF</t>
        </r>
      </text>
    </comment>
    <comment ref="BI1063" authorId="0" shapeId="0">
      <text>
        <r>
          <rPr>
            <b/>
            <sz val="9"/>
            <color indexed="81"/>
            <rFont val="Segoe UI"/>
            <charset val="1"/>
          </rPr>
          <t>Thomschke, Friedrun:</t>
        </r>
        <r>
          <rPr>
            <sz val="9"/>
            <color indexed="81"/>
            <rFont val="Segoe UI"/>
            <charset val="1"/>
          </rPr>
          <t xml:space="preserve">
13 cm dick, Bundsteg 0, steife Schließe</t>
        </r>
      </text>
    </comment>
    <comment ref="BI1075" authorId="0" shapeId="0">
      <text>
        <r>
          <rPr>
            <b/>
            <sz val="9"/>
            <color indexed="81"/>
            <rFont val="Segoe UI"/>
            <family val="2"/>
          </rPr>
          <t>Thomschke, Friedrun:</t>
        </r>
        <r>
          <rPr>
            <sz val="9"/>
            <color indexed="81"/>
            <rFont val="Segoe UI"/>
            <family val="2"/>
          </rPr>
          <t xml:space="preserve">
12°</t>
        </r>
      </text>
    </comment>
    <comment ref="BI1081" authorId="0" shapeId="0">
      <text>
        <r>
          <rPr>
            <b/>
            <sz val="9"/>
            <color indexed="81"/>
            <rFont val="Segoe UI"/>
            <family val="2"/>
          </rPr>
          <t>Thomschke, Friedrun:</t>
        </r>
        <r>
          <rPr>
            <sz val="9"/>
            <color indexed="81"/>
            <rFont val="Segoe UI"/>
            <family val="2"/>
          </rPr>
          <t xml:space="preserve">
hat Bauch, Textverlust</t>
        </r>
      </text>
    </comment>
    <comment ref="E1084" authorId="0" shapeId="0">
      <text>
        <r>
          <rPr>
            <b/>
            <sz val="9"/>
            <color indexed="81"/>
            <rFont val="Segoe UI"/>
            <family val="2"/>
          </rPr>
          <t>Thomschke, Friedrun:</t>
        </r>
        <r>
          <rPr>
            <sz val="9"/>
            <color indexed="81"/>
            <rFont val="Segoe UI"/>
            <family val="2"/>
          </rPr>
          <t xml:space="preserve">
steht bei GF</t>
        </r>
      </text>
    </comment>
    <comment ref="AA1094" authorId="0" shapeId="0">
      <text>
        <r>
          <rPr>
            <b/>
            <sz val="9"/>
            <color indexed="81"/>
            <rFont val="Segoe UI"/>
            <family val="2"/>
          </rPr>
          <t>Thomschke, Friedrun:</t>
        </r>
        <r>
          <rPr>
            <sz val="9"/>
            <color indexed="81"/>
            <rFont val="Segoe UI"/>
            <family val="2"/>
          </rPr>
          <t xml:space="preserve">
inzwischen hohl</t>
        </r>
      </text>
    </comment>
    <comment ref="AV1094" authorId="0" shapeId="0">
      <text>
        <r>
          <rPr>
            <b/>
            <sz val="9"/>
            <color indexed="81"/>
            <rFont val="Segoe UI"/>
            <family val="2"/>
          </rPr>
          <t>Thomschke, Friedrun:</t>
        </r>
        <r>
          <rPr>
            <sz val="9"/>
            <color indexed="81"/>
            <rFont val="Segoe UI"/>
            <family val="2"/>
          </rPr>
          <t xml:space="preserve">
evtl. Rücken ausfüttern</t>
        </r>
      </text>
    </comment>
    <comment ref="E1103" authorId="0" shapeId="0">
      <text>
        <r>
          <rPr>
            <b/>
            <sz val="9"/>
            <color indexed="81"/>
            <rFont val="Segoe UI"/>
            <charset val="1"/>
          </rPr>
          <t>Thomschke, Friedrun:</t>
        </r>
        <r>
          <rPr>
            <sz val="9"/>
            <color indexed="81"/>
            <rFont val="Segoe UI"/>
            <charset val="1"/>
          </rPr>
          <t xml:space="preserve">
steht bei GF</t>
        </r>
      </text>
    </comment>
    <comment ref="E1104" authorId="0" shapeId="0">
      <text>
        <r>
          <rPr>
            <b/>
            <sz val="9"/>
            <color indexed="81"/>
            <rFont val="Segoe UI"/>
            <charset val="1"/>
          </rPr>
          <t>Thomschke, Friedrun:</t>
        </r>
        <r>
          <rPr>
            <sz val="9"/>
            <color indexed="81"/>
            <rFont val="Segoe UI"/>
            <charset val="1"/>
          </rPr>
          <t xml:space="preserve">
steht bei GF</t>
        </r>
      </text>
    </comment>
    <comment ref="E1105" authorId="0" shapeId="0">
      <text>
        <r>
          <rPr>
            <b/>
            <sz val="9"/>
            <color indexed="81"/>
            <rFont val="Segoe UI"/>
            <charset val="1"/>
          </rPr>
          <t>Thomschke, Friedrun:</t>
        </r>
        <r>
          <rPr>
            <sz val="9"/>
            <color indexed="81"/>
            <rFont val="Segoe UI"/>
            <charset val="1"/>
          </rPr>
          <t xml:space="preserve">
steht bei GF</t>
        </r>
      </text>
    </comment>
    <comment ref="AA1128" authorId="0" shapeId="0">
      <text>
        <r>
          <rPr>
            <b/>
            <sz val="9"/>
            <color indexed="81"/>
            <rFont val="Segoe UI"/>
            <family val="2"/>
          </rPr>
          <t>Thomschke, Friedrun:</t>
        </r>
        <r>
          <rPr>
            <sz val="9"/>
            <color indexed="81"/>
            <rFont val="Segoe UI"/>
            <family val="2"/>
          </rPr>
          <t xml:space="preserve">
inzwischen hohl</t>
        </r>
      </text>
    </comment>
    <comment ref="BI1130" authorId="0" shapeId="0">
      <text>
        <r>
          <rPr>
            <b/>
            <sz val="9"/>
            <color indexed="81"/>
            <rFont val="Segoe UI"/>
            <family val="2"/>
          </rPr>
          <t>Thomschke, Friedrun:</t>
        </r>
        <r>
          <rPr>
            <sz val="9"/>
            <color indexed="81"/>
            <rFont val="Segoe UI"/>
            <family val="2"/>
          </rPr>
          <t xml:space="preserve">
mit eingeklebten Infoblatt vorn</t>
        </r>
      </text>
    </comment>
    <comment ref="E1137" authorId="0" shapeId="0">
      <text>
        <r>
          <rPr>
            <b/>
            <sz val="9"/>
            <color indexed="81"/>
            <rFont val="Segoe UI"/>
            <family val="2"/>
          </rPr>
          <t>Thomschke, Friedrun:</t>
        </r>
        <r>
          <rPr>
            <sz val="9"/>
            <color indexed="81"/>
            <rFont val="Segoe UI"/>
            <family val="2"/>
          </rPr>
          <t xml:space="preserve">
ws. GF, steht nicht bei NF</t>
        </r>
      </text>
    </comment>
    <comment ref="AU1178" authorId="0" shapeId="0">
      <text>
        <r>
          <rPr>
            <b/>
            <sz val="9"/>
            <color indexed="81"/>
            <rFont val="Segoe UI"/>
            <family val="2"/>
          </rPr>
          <t>Thomschke, Friedrun:</t>
        </r>
        <r>
          <rPr>
            <sz val="9"/>
            <color indexed="81"/>
            <rFont val="Segoe UI"/>
            <family val="2"/>
          </rPr>
          <t xml:space="preserve">
oder 0 (Ledernarben ist extrem brüchig und bröselig)</t>
        </r>
      </text>
    </comment>
    <comment ref="E1181" authorId="0" shapeId="0">
      <text>
        <r>
          <rPr>
            <b/>
            <sz val="9"/>
            <color indexed="81"/>
            <rFont val="Segoe UI"/>
            <family val="2"/>
          </rPr>
          <t>Thomschke, Friedrun:</t>
        </r>
        <r>
          <rPr>
            <sz val="9"/>
            <color indexed="81"/>
            <rFont val="Segoe UI"/>
            <family val="2"/>
          </rPr>
          <t xml:space="preserve">
liegt bei ÜF</t>
        </r>
      </text>
    </comment>
    <comment ref="E1185" authorId="0" shapeId="0">
      <text>
        <r>
          <rPr>
            <b/>
            <sz val="9"/>
            <color indexed="81"/>
            <rFont val="Segoe UI"/>
            <family val="2"/>
          </rPr>
          <t>Thomschke, Friedrun:</t>
        </r>
        <r>
          <rPr>
            <sz val="9"/>
            <color indexed="81"/>
            <rFont val="Segoe UI"/>
            <family val="2"/>
          </rPr>
          <t xml:space="preserve">
steht bei GF</t>
        </r>
      </text>
    </comment>
    <comment ref="AX1209" authorId="0" shapeId="0">
      <text>
        <r>
          <rPr>
            <b/>
            <sz val="9"/>
            <color indexed="81"/>
            <rFont val="Segoe UI"/>
            <family val="2"/>
          </rPr>
          <t>Thomschke, Friedrun:</t>
        </r>
        <r>
          <rPr>
            <sz val="9"/>
            <color indexed="81"/>
            <rFont val="Segoe UI"/>
            <family val="2"/>
          </rPr>
          <t xml:space="preserve">
hinten eingeklebt</t>
        </r>
      </text>
    </comment>
    <comment ref="E1210" authorId="0" shapeId="0">
      <text>
        <r>
          <rPr>
            <b/>
            <sz val="9"/>
            <color indexed="81"/>
            <rFont val="Segoe UI"/>
            <family val="2"/>
          </rPr>
          <t>Thomschke, Friedrun:</t>
        </r>
        <r>
          <rPr>
            <sz val="9"/>
            <color indexed="81"/>
            <rFont val="Segoe UI"/>
            <family val="2"/>
          </rPr>
          <t xml:space="preserve">
steht bei GF</t>
        </r>
      </text>
    </comment>
    <comment ref="AA1210" authorId="0" shapeId="0">
      <text>
        <r>
          <rPr>
            <b/>
            <sz val="9"/>
            <color indexed="81"/>
            <rFont val="Segoe UI"/>
          </rPr>
          <t>Thomschke, Friedrun:</t>
        </r>
        <r>
          <rPr>
            <sz val="9"/>
            <color indexed="81"/>
            <rFont val="Segoe UI"/>
          </rPr>
          <t xml:space="preserve">
inzwischen hohl</t>
        </r>
      </text>
    </comment>
    <comment ref="E1220" authorId="0" shapeId="0">
      <text>
        <r>
          <rPr>
            <b/>
            <sz val="9"/>
            <color indexed="81"/>
            <rFont val="Segoe UI"/>
            <charset val="1"/>
          </rPr>
          <t>Thomschke, Friedrun:</t>
        </r>
        <r>
          <rPr>
            <sz val="9"/>
            <color indexed="81"/>
            <rFont val="Segoe UI"/>
            <charset val="1"/>
          </rPr>
          <t xml:space="preserve">
Signaturschild ist mit kleinem "a" beschriftet</t>
        </r>
      </text>
    </comment>
    <comment ref="BI1220" authorId="0" shapeId="0">
      <text>
        <r>
          <rPr>
            <b/>
            <sz val="9"/>
            <color indexed="81"/>
            <rFont val="Segoe UI"/>
            <charset val="1"/>
          </rPr>
          <t>Thomschke, Friedrun:</t>
        </r>
        <r>
          <rPr>
            <sz val="9"/>
            <color indexed="81"/>
            <rFont val="Segoe UI"/>
            <charset val="1"/>
          </rPr>
          <t xml:space="preserve">
durch Rest. leichter! Bauch, sonst unkompliziert</t>
        </r>
      </text>
    </comment>
    <comment ref="X1223" authorId="0" shapeId="0">
      <text>
        <r>
          <rPr>
            <b/>
            <sz val="9"/>
            <color indexed="81"/>
            <rFont val="Segoe UI"/>
            <family val="2"/>
          </rPr>
          <t>Thomschke, Friedrun:</t>
        </r>
        <r>
          <rPr>
            <sz val="9"/>
            <color indexed="81"/>
            <rFont val="Segoe UI"/>
            <family val="2"/>
          </rPr>
          <t xml:space="preserve">
flexibel mit Klappe (Kopert)</t>
        </r>
      </text>
    </comment>
    <comment ref="E1228" authorId="0" shapeId="0">
      <text>
        <r>
          <rPr>
            <b/>
            <sz val="9"/>
            <color indexed="81"/>
            <rFont val="Segoe UI"/>
            <charset val="1"/>
          </rPr>
          <t xml:space="preserve">Thomschke, Friedrun:
</t>
        </r>
        <r>
          <rPr>
            <sz val="9"/>
            <color indexed="81"/>
            <rFont val="Segoe UI"/>
            <family val="2"/>
          </rPr>
          <t>Einband am Standort</t>
        </r>
      </text>
    </comment>
    <comment ref="S1230" authorId="0" shapeId="0">
      <text>
        <r>
          <rPr>
            <b/>
            <sz val="9"/>
            <color indexed="81"/>
            <rFont val="Segoe UI"/>
            <family val="2"/>
          </rPr>
          <t>Thomschke, Friedrun:</t>
        </r>
        <r>
          <rPr>
            <sz val="9"/>
            <color indexed="81"/>
            <rFont val="Segoe UI"/>
            <family val="2"/>
          </rPr>
          <t xml:space="preserve">
Einband am Standort</t>
        </r>
      </text>
    </comment>
    <comment ref="X1232" authorId="0" shapeId="0">
      <text>
        <r>
          <rPr>
            <b/>
            <sz val="9"/>
            <color indexed="81"/>
            <rFont val="Segoe UI"/>
            <charset val="1"/>
          </rPr>
          <t>Thomschke, Friedrun:</t>
        </r>
        <r>
          <rPr>
            <sz val="9"/>
            <color indexed="81"/>
            <rFont val="Segoe UI"/>
            <charset val="1"/>
          </rPr>
          <t xml:space="preserve">
Einband liegt lose bei</t>
        </r>
      </text>
    </comment>
  </commentList>
</comments>
</file>

<file path=xl/comments2.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U2" authorId="0" shapeId="0">
      <text>
        <r>
          <rPr>
            <b/>
            <sz val="9"/>
            <color indexed="81"/>
            <rFont val="Segoe UI"/>
            <family val="2"/>
          </rPr>
          <t>Thomschke, Friedrun:</t>
        </r>
        <r>
          <rPr>
            <sz val="9"/>
            <color indexed="81"/>
            <rFont val="Segoe UI"/>
            <family val="2"/>
          </rPr>
          <t xml:space="preserve">
Öffnungswinkel "0" bedeutet, das Buch ist nicht digitalisierbar</t>
        </r>
      </text>
    </comment>
  </commentList>
</comments>
</file>

<file path=xl/comments3.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charset val="1"/>
          </rPr>
          <t>Thomschke, Friedrun:</t>
        </r>
        <r>
          <rPr>
            <sz val="9"/>
            <color indexed="81"/>
            <rFont val="Segoe UI"/>
            <charset val="1"/>
          </rPr>
          <t xml:space="preserve">
Gesamtsumme Umschläge minus säurehaltige Umschläge (die werden von uns entfernt)</t>
        </r>
      </text>
    </comment>
  </commentList>
</comments>
</file>

<file path=xl/sharedStrings.xml><?xml version="1.0" encoding="utf-8"?>
<sst xmlns="http://schemas.openxmlformats.org/spreadsheetml/2006/main" count="9829" uniqueCount="3042">
  <si>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</si>
  <si>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</si>
  <si>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</si>
  <si>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</si>
  <si>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</si>
  <si>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</si>
  <si>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</si>
  <si>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</si>
  <si>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</si>
  <si>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</si>
  <si>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</si>
  <si>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</si>
  <si>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</si>
  <si>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</si>
  <si>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</si>
  <si>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</si>
  <si>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</si>
  <si>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</si>
  <si>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</si>
  <si>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</si>
  <si>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</si>
  <si>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</si>
  <si>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</si>
  <si>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</si>
  <si>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</si>
  <si>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</si>
  <si>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</si>
  <si>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</si>
  <si>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</si>
  <si>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</si>
  <si>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</si>
  <si>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</si>
  <si>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</si>
  <si>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</si>
  <si>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</si>
  <si>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</si>
  <si>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</si>
  <si>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</si>
  <si>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</si>
  <si>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</si>
  <si>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</si>
  <si>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</si>
  <si>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</si>
  <si>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</si>
  <si>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</si>
  <si>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</si>
  <si>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</si>
  <si>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</si>
  <si>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</si>
  <si>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</si>
  <si>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</si>
  <si>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</si>
  <si>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</si>
  <si>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</si>
  <si>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</si>
  <si>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</si>
  <si>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</si>
  <si>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</si>
  <si>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</si>
  <si>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</si>
  <si>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</si>
  <si>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</si>
  <si>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</si>
  <si>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</si>
  <si>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</si>
  <si>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</si>
  <si>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</si>
  <si>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</si>
  <si>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</si>
  <si>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</si>
  <si>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</si>
  <si>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</si>
  <si>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</si>
  <si>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</si>
  <si>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</si>
  <si>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</si>
  <si>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</si>
  <si>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</si>
  <si>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</si>
  <si>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</si>
  <si>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</si>
  <si>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</si>
  <si>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</si>
  <si>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</si>
  <si>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</si>
  <si>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</si>
  <si>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</si>
  <si>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</si>
  <si>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</si>
  <si>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</si>
  <si>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</si>
  <si>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</si>
  <si>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</si>
  <si>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</si>
  <si>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</si>
  <si>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</si>
  <si>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</si>
  <si>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</si>
  <si>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</si>
  <si>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</si>
  <si>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</si>
  <si>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</si>
  <si>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</si>
  <si>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</si>
  <si>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</si>
  <si>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</si>
  <si>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</si>
  <si>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L-1502-315318171</t>
  </si>
  <si>
    <t>III 2, 1</t>
  </si>
  <si>
    <t>L-1534-315317728</t>
  </si>
  <si>
    <t>III 2, 2</t>
  </si>
  <si>
    <t>L-1540-180391380</t>
  </si>
  <si>
    <t>III 2, 3</t>
  </si>
  <si>
    <t>L-1535-168291959</t>
  </si>
  <si>
    <t>III 2, 4</t>
  </si>
  <si>
    <t>L-1555-175067589</t>
  </si>
  <si>
    <t>III 2, 5</t>
  </si>
  <si>
    <t>L-1558-169832023</t>
  </si>
  <si>
    <t>III 2, 6</t>
  </si>
  <si>
    <t>L-1560-166917079</t>
  </si>
  <si>
    <t>III 2, 7</t>
  </si>
  <si>
    <t>L-1560-156009854</t>
  </si>
  <si>
    <t>III 2, 8</t>
  </si>
  <si>
    <t>L-1501-315295473</t>
  </si>
  <si>
    <t>III 3, 1</t>
  </si>
  <si>
    <t>L-1508-315494670</t>
  </si>
  <si>
    <t>III 3, 2</t>
  </si>
  <si>
    <t>L-1508-315469293</t>
  </si>
  <si>
    <t>III 3, 3</t>
  </si>
  <si>
    <t>L-1508-31549204X</t>
  </si>
  <si>
    <t>III 3, 4</t>
  </si>
  <si>
    <t>L-1512-315492252</t>
  </si>
  <si>
    <t>III 3, 5</t>
  </si>
  <si>
    <t>L-1510-315494212</t>
  </si>
  <si>
    <t>III 3, 6</t>
  </si>
  <si>
    <t>L-1513-315493801</t>
  </si>
  <si>
    <t>III 3, 7</t>
  </si>
  <si>
    <t>L-1515-315487372</t>
  </si>
  <si>
    <t>106695674X</t>
  </si>
  <si>
    <t>III 3, 8</t>
  </si>
  <si>
    <t>L-1517-315329688</t>
  </si>
  <si>
    <t>III 3, 9</t>
  </si>
  <si>
    <t>L-1518-315487518</t>
  </si>
  <si>
    <t>106695691X</t>
  </si>
  <si>
    <t>III 3, 10</t>
  </si>
  <si>
    <t>L-1522-154280380</t>
  </si>
  <si>
    <t>99400026X</t>
  </si>
  <si>
    <t>III 3, 12</t>
  </si>
  <si>
    <t>L-1522-31532936X</t>
  </si>
  <si>
    <t>III 3, 13</t>
  </si>
  <si>
    <t>L-1523-315299215</t>
  </si>
  <si>
    <t>III 3, 14</t>
  </si>
  <si>
    <t>L-1514-315465468</t>
  </si>
  <si>
    <t>III 3, 15</t>
  </si>
  <si>
    <t>L-1524-315493577</t>
  </si>
  <si>
    <t>III 3, 16</t>
  </si>
  <si>
    <t>L-1531-315308966</t>
  </si>
  <si>
    <t>106684996X</t>
  </si>
  <si>
    <t>III 3, 17</t>
  </si>
  <si>
    <t>L-1531-315469935</t>
  </si>
  <si>
    <t>III 3, 18</t>
  </si>
  <si>
    <t>L-1531-315469331</t>
  </si>
  <si>
    <t>III 3, 19</t>
  </si>
  <si>
    <t>L-1535-315464844</t>
  </si>
  <si>
    <t>III 3, 20</t>
  </si>
  <si>
    <t>L-1535-315470097</t>
  </si>
  <si>
    <t>106694248X</t>
  </si>
  <si>
    <t>III 3, 21</t>
  </si>
  <si>
    <t>L-1535-315317280</t>
  </si>
  <si>
    <t>III 3, 22</t>
  </si>
  <si>
    <t>L-1540-31549347X</t>
  </si>
  <si>
    <t>III 3, 23</t>
  </si>
  <si>
    <t>L-1537-315486937</t>
  </si>
  <si>
    <t>III 3, 24</t>
  </si>
  <si>
    <t>L-1522-315469528</t>
  </si>
  <si>
    <t>III 3, 25</t>
  </si>
  <si>
    <t>L-1525-315493941</t>
  </si>
  <si>
    <t>III 3, 26</t>
  </si>
  <si>
    <t>L-1522-31548828X</t>
  </si>
  <si>
    <t>III 3, 27</t>
  </si>
  <si>
    <t>L-1523-165117486</t>
  </si>
  <si>
    <t>III 3, 28</t>
  </si>
  <si>
    <t>L-1524-176403655</t>
  </si>
  <si>
    <t>III 3, 29</t>
  </si>
  <si>
    <t>L-1525-167684566</t>
  </si>
  <si>
    <t>III 3, 30</t>
  </si>
  <si>
    <t>L-1527-170103552</t>
  </si>
  <si>
    <t>III 3, 31</t>
  </si>
  <si>
    <t>L-9999-154449180</t>
  </si>
  <si>
    <t>III 3, 32</t>
  </si>
  <si>
    <t>L-1546-167648829</t>
  </si>
  <si>
    <t>III 3, 33</t>
  </si>
  <si>
    <t>L-1522-165117257</t>
  </si>
  <si>
    <t>III 3, 34</t>
  </si>
  <si>
    <t>L-2009-322630</t>
  </si>
  <si>
    <t>III 3, 35</t>
  </si>
  <si>
    <t>L-2012-301916</t>
  </si>
  <si>
    <t>III 3, 36</t>
  </si>
  <si>
    <t>L-1522-315488867</t>
  </si>
  <si>
    <t>106695822X</t>
  </si>
  <si>
    <t>III 3, 10 a</t>
  </si>
  <si>
    <t>L-1519-315489030</t>
  </si>
  <si>
    <t>III 3, 10 b</t>
  </si>
  <si>
    <t>L-1522-315492856</t>
  </si>
  <si>
    <t>III 3, 10 c</t>
  </si>
  <si>
    <t>L-1525-164450874</t>
  </si>
  <si>
    <t>III 3, 10 d</t>
  </si>
  <si>
    <t>L-1521-170695743</t>
  </si>
  <si>
    <t>III 3, 12 a</t>
  </si>
  <si>
    <t>L-1524-315490551</t>
  </si>
  <si>
    <t>106696002X</t>
  </si>
  <si>
    <t>III 3, 12 b</t>
  </si>
  <si>
    <t>L-1523-153700335</t>
  </si>
  <si>
    <t>III 3, 13 a</t>
  </si>
  <si>
    <t>L-1522-167111574</t>
  </si>
  <si>
    <t>III 3, 14 b</t>
  </si>
  <si>
    <t>L-1525-170699919</t>
  </si>
  <si>
    <t>III 3, 16 a</t>
  </si>
  <si>
    <t>L-1526-153949872</t>
  </si>
  <si>
    <t>99388654X</t>
  </si>
  <si>
    <t>III 3, 16 b</t>
  </si>
  <si>
    <t>L-1881-679691685</t>
  </si>
  <si>
    <t>III 3, 17 (Angebundenes Werk)</t>
  </si>
  <si>
    <t>L-1523-315493887</t>
  </si>
  <si>
    <t>III 3, 17 a</t>
  </si>
  <si>
    <t>L-1880-15546194X</t>
  </si>
  <si>
    <t>III 3, 17 a (1. angebundenes Werk)</t>
  </si>
  <si>
    <t>L-1879-175171637</t>
  </si>
  <si>
    <t>III 3, 17 a (2.angebundenes Werk)</t>
  </si>
  <si>
    <t>L-1880-676557937</t>
  </si>
  <si>
    <t>III 3, 17 a (3. angebundenes Werk)</t>
  </si>
  <si>
    <t>L-1880-156357070</t>
  </si>
  <si>
    <t>L-1879-161366910</t>
  </si>
  <si>
    <t>III 3, 17 a (4. angebundenes Werk)</t>
  </si>
  <si>
    <t>L-1880-161855016</t>
  </si>
  <si>
    <t>III 3, 17 a (5. angebundenes Werk)</t>
  </si>
  <si>
    <t>L-1524-167207652</t>
  </si>
  <si>
    <t>III 3, 17 b</t>
  </si>
  <si>
    <t>L-1531-336756208</t>
  </si>
  <si>
    <t>III 3, 18 (1. angebundenes Werk)</t>
  </si>
  <si>
    <t>L-1525-178547425</t>
  </si>
  <si>
    <t>III 3, 18 a</t>
  </si>
  <si>
    <t>L-1520-315220031</t>
  </si>
  <si>
    <t>106680012X</t>
  </si>
  <si>
    <t>III 3, 2 a</t>
  </si>
  <si>
    <t>L-1522-315494719</t>
  </si>
  <si>
    <t>III 3, 23 a</t>
  </si>
  <si>
    <t>L-1544-178431168</t>
  </si>
  <si>
    <t>III 3, 23 b</t>
  </si>
  <si>
    <t>L-1523-170696316</t>
  </si>
  <si>
    <t>III 3, 27 a</t>
  </si>
  <si>
    <t>L-1523-175552843</t>
  </si>
  <si>
    <t>III 3, 27 b</t>
  </si>
  <si>
    <t>L-1524-162673280</t>
  </si>
  <si>
    <t>III 3, 27 c</t>
  </si>
  <si>
    <t>L-1523-15411331X</t>
  </si>
  <si>
    <t>III 3, 27 d</t>
  </si>
  <si>
    <t>L-2007-325402</t>
  </si>
  <si>
    <t>III 3, 27 e</t>
  </si>
  <si>
    <t>L-1519-170697215</t>
  </si>
  <si>
    <t>III 3, 8 a</t>
  </si>
  <si>
    <t>L-1556-31532421X</t>
  </si>
  <si>
    <t>III 4, 1</t>
  </si>
  <si>
    <t>L-1501-315306459</t>
  </si>
  <si>
    <t>III 5, 1</t>
  </si>
  <si>
    <t>L-1512-315492287</t>
  </si>
  <si>
    <t>III 5, 2</t>
  </si>
  <si>
    <t>L-1507-315492791</t>
  </si>
  <si>
    <t>106696243X</t>
  </si>
  <si>
    <t>III 6, 1</t>
  </si>
  <si>
    <t>L-1510-315490659</t>
  </si>
  <si>
    <t>III 6, 3</t>
  </si>
  <si>
    <t>L-1509-31549011X</t>
  </si>
  <si>
    <t>III 6, 5</t>
  </si>
  <si>
    <t>L-1516-315490861</t>
  </si>
  <si>
    <t>III 6, 6</t>
  </si>
  <si>
    <t>L-1523-315488999</t>
  </si>
  <si>
    <t>III 6, 7</t>
  </si>
  <si>
    <t>L-1531-315301317</t>
  </si>
  <si>
    <t>III 6, 8</t>
  </si>
  <si>
    <t>L-1532-315491809</t>
  </si>
  <si>
    <t>III 6, 9</t>
  </si>
  <si>
    <t>L-1534-315220279</t>
  </si>
  <si>
    <t>L-1534-315491078</t>
  </si>
  <si>
    <t>III 6, 11</t>
  </si>
  <si>
    <t>L-1516-163534381</t>
  </si>
  <si>
    <t>L-1516-163533857</t>
  </si>
  <si>
    <t>99723816X</t>
  </si>
  <si>
    <t>L-1516-163533954</t>
  </si>
  <si>
    <t>L-1517-315464437</t>
  </si>
  <si>
    <t>III 6, 13</t>
  </si>
  <si>
    <t>L-1520-315328991</t>
  </si>
  <si>
    <t>III 6, 14</t>
  </si>
  <si>
    <t>L-1520-315323825</t>
  </si>
  <si>
    <t>106686554X</t>
  </si>
  <si>
    <t>III 6, 15</t>
  </si>
  <si>
    <t>L-1528-315492996</t>
  </si>
  <si>
    <t>III 6, 16</t>
  </si>
  <si>
    <t>L-1519-315492597</t>
  </si>
  <si>
    <t>III 6, 17</t>
  </si>
  <si>
    <t>L-1520-15394689X</t>
  </si>
  <si>
    <t>III 6, 18</t>
  </si>
  <si>
    <t>L-1520-169970418</t>
  </si>
  <si>
    <t>L-1527-315490845</t>
  </si>
  <si>
    <t>III 6, 19</t>
  </si>
  <si>
    <t>L-1533-169972178</t>
  </si>
  <si>
    <t>III 6, 20</t>
  </si>
  <si>
    <t>L-1519-315490616</t>
  </si>
  <si>
    <t>III 6, 21</t>
  </si>
  <si>
    <t>L-1522-315469250</t>
  </si>
  <si>
    <t>III 6, 22</t>
  </si>
  <si>
    <t>L-1522-315489200</t>
  </si>
  <si>
    <t>III 6, 25</t>
  </si>
  <si>
    <t>L-1530-315490063</t>
  </si>
  <si>
    <t>III 6, 26</t>
  </si>
  <si>
    <t>L-1544-154354929</t>
  </si>
  <si>
    <t>III 6, 27</t>
  </si>
  <si>
    <t>L-1540-315320400</t>
  </si>
  <si>
    <t>L-1557-315488565</t>
  </si>
  <si>
    <t>III 6, 28</t>
  </si>
  <si>
    <t>L-1560-315329416</t>
  </si>
  <si>
    <t>III 6, 29</t>
  </si>
  <si>
    <t>L-1533-315307676</t>
  </si>
  <si>
    <t>III 6, 30</t>
  </si>
  <si>
    <t>L-1534-315493275</t>
  </si>
  <si>
    <t>III 6, 31</t>
  </si>
  <si>
    <t>L-1540-315308206</t>
  </si>
  <si>
    <t>III 6, 32</t>
  </si>
  <si>
    <t>L-1538-315493291</t>
  </si>
  <si>
    <t>III 6, 33</t>
  </si>
  <si>
    <t>L-1543-315489871</t>
  </si>
  <si>
    <t>III 6, 34</t>
  </si>
  <si>
    <t>L-1543-315490411</t>
  </si>
  <si>
    <t>III 6, 35</t>
  </si>
  <si>
    <t>L-1543-315494433</t>
  </si>
  <si>
    <t>III 6, 36</t>
  </si>
  <si>
    <t>L-1551-163598088</t>
  </si>
  <si>
    <t>III 6, 37</t>
  </si>
  <si>
    <t>L-1551-163598045</t>
  </si>
  <si>
    <t>L-1551-169971058</t>
  </si>
  <si>
    <t>L-1552-315493992</t>
  </si>
  <si>
    <t>III 6, 38</t>
  </si>
  <si>
    <t>L-1555-17842868X</t>
  </si>
  <si>
    <t>III 6, 40</t>
  </si>
  <si>
    <t>L-1555-170542408</t>
  </si>
  <si>
    <t>L-1555-159344743</t>
  </si>
  <si>
    <t>L-1555-178428493</t>
  </si>
  <si>
    <t>III 6, 42</t>
  </si>
  <si>
    <t>L-1560-178157546</t>
  </si>
  <si>
    <t>III 6, 43</t>
  </si>
  <si>
    <t>L-1560-162039808</t>
  </si>
  <si>
    <t>III 6, 44</t>
  </si>
  <si>
    <t>L-1550-154117374</t>
  </si>
  <si>
    <t>III 6, 45</t>
  </si>
  <si>
    <t>L-1550-154117307</t>
  </si>
  <si>
    <t>L-2009-322713</t>
  </si>
  <si>
    <t>III 6, 46</t>
  </si>
  <si>
    <t>L-2012-327132</t>
  </si>
  <si>
    <t>III 6, 47</t>
  </si>
  <si>
    <t>L-1534-667829652</t>
  </si>
  <si>
    <t>III 6, 11 (angebunden)</t>
  </si>
  <si>
    <t>L-1538-169844722</t>
  </si>
  <si>
    <t>III 6, 11 a</t>
  </si>
  <si>
    <t>L-1555-163773319</t>
  </si>
  <si>
    <t>III 6, 11 b</t>
  </si>
  <si>
    <t>L-1555-163773475</t>
  </si>
  <si>
    <t>L-1557-167183141</t>
  </si>
  <si>
    <t>99889818X</t>
  </si>
  <si>
    <t>III 6, 11 c</t>
  </si>
  <si>
    <t>L-1517-668125241</t>
  </si>
  <si>
    <t>III 6, 13 (Angebundenes Werk)</t>
  </si>
  <si>
    <t>L-1522-176986065</t>
  </si>
  <si>
    <t>III 6, 14 a</t>
  </si>
  <si>
    <t>L-1517-170718212</t>
  </si>
  <si>
    <t>III 6, 14 b</t>
  </si>
  <si>
    <t>L-1522-167627902</t>
  </si>
  <si>
    <t>III 6, 14 c</t>
  </si>
  <si>
    <t>L-1521-159347181</t>
  </si>
  <si>
    <t>III 6, 15 a</t>
  </si>
  <si>
    <t>L-1531-16647780X</t>
  </si>
  <si>
    <t>L-1533-154002852</t>
  </si>
  <si>
    <t>III 6, 15 b</t>
  </si>
  <si>
    <t>L-1533-175496242</t>
  </si>
  <si>
    <t>L-1533-176474358</t>
  </si>
  <si>
    <t>L-9999-155943421</t>
  </si>
  <si>
    <t>L-1535-169968472</t>
  </si>
  <si>
    <t>III 6, 15 c</t>
  </si>
  <si>
    <t>L-1551-159354684</t>
  </si>
  <si>
    <t>III 6, 15 d</t>
  </si>
  <si>
    <t>L-1551-175065330</t>
  </si>
  <si>
    <t>100152828X</t>
  </si>
  <si>
    <t>L-1551-176762302</t>
  </si>
  <si>
    <t>L-1559-163620636</t>
  </si>
  <si>
    <t>III 6, 15 e</t>
  </si>
  <si>
    <t>L-1534-171135792</t>
  </si>
  <si>
    <t>100077130X</t>
  </si>
  <si>
    <t>III 6, 15 f</t>
  </si>
  <si>
    <t>L-1534-161289894</t>
  </si>
  <si>
    <t>L-1534-169918203</t>
  </si>
  <si>
    <t>L-1534-153917210</t>
  </si>
  <si>
    <t>L-1549-162141661</t>
  </si>
  <si>
    <t>III 6, 15 g</t>
  </si>
  <si>
    <t>L-1549-157863611</t>
  </si>
  <si>
    <t>99480251X</t>
  </si>
  <si>
    <t>L-1537-315066954</t>
  </si>
  <si>
    <t>III 6, 15 h</t>
  </si>
  <si>
    <t>L-1521-169770265</t>
  </si>
  <si>
    <t>III 6, 18 a</t>
  </si>
  <si>
    <t>L-1521-168951355</t>
  </si>
  <si>
    <t>L-1521-177835885</t>
  </si>
  <si>
    <t>L-2009-324233</t>
  </si>
  <si>
    <t>III 6, 26 a</t>
  </si>
  <si>
    <t>L-1544-15952167X</t>
  </si>
  <si>
    <t>L-1544-159504325</t>
  </si>
  <si>
    <t>L-1536-169681939</t>
  </si>
  <si>
    <t>III 6, 27 b</t>
  </si>
  <si>
    <t>L-1536-164449248</t>
  </si>
  <si>
    <t>L-1557-161526888</t>
  </si>
  <si>
    <t>III 6, 27 c</t>
  </si>
  <si>
    <t>L-1557-163414513</t>
  </si>
  <si>
    <t>99713237X</t>
  </si>
  <si>
    <t>L-1556-162142099</t>
  </si>
  <si>
    <t>III 6, 27 d</t>
  </si>
  <si>
    <t>L-1556-16692430X</t>
  </si>
  <si>
    <t>L-1556-166924229</t>
  </si>
  <si>
    <t>L-1556-166924490</t>
  </si>
  <si>
    <t>L-1540-17709835X</t>
  </si>
  <si>
    <t>III 6, 27 e</t>
  </si>
  <si>
    <t>L-1549-175974756</t>
  </si>
  <si>
    <t>100199566X</t>
  </si>
  <si>
    <t>III 6, 29 a</t>
  </si>
  <si>
    <t>L-1538-170205894</t>
  </si>
  <si>
    <t>III 6, 32 a</t>
  </si>
  <si>
    <t>L-1539-176023844</t>
  </si>
  <si>
    <t>III 6, 32 b</t>
  </si>
  <si>
    <t>L-1538-315494654</t>
  </si>
  <si>
    <t>III 6, 33 a</t>
  </si>
  <si>
    <t>L-1543-159380235</t>
  </si>
  <si>
    <t>III 6, 33 b</t>
  </si>
  <si>
    <t>L-1553-177912766</t>
  </si>
  <si>
    <t>III 6, 34 a</t>
  </si>
  <si>
    <t>L-1553-177913002</t>
  </si>
  <si>
    <t>L-1549-169972550</t>
  </si>
  <si>
    <t>III 6, 34 b</t>
  </si>
  <si>
    <t>L-1551-180257552</t>
  </si>
  <si>
    <t>III 6, 34 c</t>
  </si>
  <si>
    <t>L-1538-179398717</t>
  </si>
  <si>
    <t>III 6, 36 a</t>
  </si>
  <si>
    <t>L-1551-163598789</t>
  </si>
  <si>
    <t>III 6, 37 a</t>
  </si>
  <si>
    <t>L-1553-16359869X</t>
  </si>
  <si>
    <t>99729261X</t>
  </si>
  <si>
    <t>L-1553-173762050</t>
  </si>
  <si>
    <t>L-1551-169971120</t>
  </si>
  <si>
    <t>L-1513-320046397</t>
  </si>
  <si>
    <t>III 6, 48 - Fragm.</t>
  </si>
  <si>
    <t>L-1516-315489715</t>
  </si>
  <si>
    <t>III 6, 6 a</t>
  </si>
  <si>
    <t>L-1522-177748214</t>
  </si>
  <si>
    <t>III 6, 6 d</t>
  </si>
  <si>
    <t>L-1532-672619741</t>
  </si>
  <si>
    <t>III 6, 8 (angebundenes Werk)</t>
  </si>
  <si>
    <t>L-1542-315494409</t>
  </si>
  <si>
    <t>III 7, 1</t>
  </si>
  <si>
    <t>L-1555-315487259</t>
  </si>
  <si>
    <t>III 7, 2</t>
  </si>
  <si>
    <t>L-1556-315306424</t>
  </si>
  <si>
    <t>III 7, 3</t>
  </si>
  <si>
    <t>L-1557-315490152</t>
  </si>
  <si>
    <t>III 7, 4</t>
  </si>
  <si>
    <t>L-1540-315328770</t>
  </si>
  <si>
    <t>III 8, 1</t>
  </si>
  <si>
    <t>L-1541-315183861</t>
  </si>
  <si>
    <t>III 8, 2</t>
  </si>
  <si>
    <t>L-1542-315330813</t>
  </si>
  <si>
    <t>III 8, 3</t>
  </si>
  <si>
    <t>L-1939-315298626</t>
  </si>
  <si>
    <t>III 9, 1</t>
  </si>
  <si>
    <t>L-1543-315487356</t>
  </si>
  <si>
    <t>III 10, 1</t>
  </si>
  <si>
    <t>L-1545-667831827</t>
  </si>
  <si>
    <t>III 10, 1 (1. angebundenes Werk)</t>
  </si>
  <si>
    <t>L-1547-668126027</t>
  </si>
  <si>
    <t>III 10, 1 (2. angebundenes Werk)</t>
  </si>
  <si>
    <t>L-1557-315334738</t>
  </si>
  <si>
    <t>III 11, 1</t>
  </si>
  <si>
    <t>L-1523-315469307</t>
  </si>
  <si>
    <t>III 12, 1</t>
  </si>
  <si>
    <t>L-1523-315488174</t>
  </si>
  <si>
    <t>III 12, 2</t>
  </si>
  <si>
    <t>L-1519-315488638</t>
  </si>
  <si>
    <t>III 12, 3</t>
  </si>
  <si>
    <t>L-1870-370531019</t>
  </si>
  <si>
    <t>III 12, 1 (angebunden)</t>
  </si>
  <si>
    <t>L-1520-315338350</t>
  </si>
  <si>
    <t>III 13, 1</t>
  </si>
  <si>
    <t>L-1545-406971099</t>
  </si>
  <si>
    <t>III 14, 1</t>
  </si>
  <si>
    <t>L-1506-315066989</t>
  </si>
  <si>
    <t>III 15, 1</t>
  </si>
  <si>
    <t>L-1510-315468580</t>
  </si>
  <si>
    <t>III 17, 1</t>
  </si>
  <si>
    <t>L-1543-153967803</t>
  </si>
  <si>
    <t>III 18, 1</t>
  </si>
  <si>
    <t>L-1550-153916583</t>
  </si>
  <si>
    <t>III 20, 1</t>
  </si>
  <si>
    <t>L-1551-315492651</t>
  </si>
  <si>
    <t>III 20, 2</t>
  </si>
  <si>
    <t>L-1501-31533228X</t>
  </si>
  <si>
    <t>III 21, 1</t>
  </si>
  <si>
    <t>L-1502-154070270</t>
  </si>
  <si>
    <t>III 21, 2</t>
  </si>
  <si>
    <t>L-1516-31549249X</t>
  </si>
  <si>
    <t>106696209X</t>
  </si>
  <si>
    <t>III 21, 4</t>
  </si>
  <si>
    <t>L-1518-315299193</t>
  </si>
  <si>
    <t>106683914X</t>
  </si>
  <si>
    <t>III 21, 5</t>
  </si>
  <si>
    <t>L-1524-315329734</t>
  </si>
  <si>
    <t>III 21, 6</t>
  </si>
  <si>
    <t>L-1525-315323558</t>
  </si>
  <si>
    <t>III 21, 7</t>
  </si>
  <si>
    <t>L-1508-31548960X</t>
  </si>
  <si>
    <t>III 21, 8</t>
  </si>
  <si>
    <t>L-1549-315488158</t>
  </si>
  <si>
    <t>III 21, 9</t>
  </si>
  <si>
    <t>L-1549-315493429</t>
  </si>
  <si>
    <t>III 21, 10</t>
  </si>
  <si>
    <t>L-1554-315492392</t>
  </si>
  <si>
    <t>III 21, 11</t>
  </si>
  <si>
    <t>L-1555-315490748</t>
  </si>
  <si>
    <t>III 21, 12</t>
  </si>
  <si>
    <t>L-1503-315489111</t>
  </si>
  <si>
    <t>III 21, 13</t>
  </si>
  <si>
    <t>L-1504-315464100</t>
  </si>
  <si>
    <t>III 21, 14</t>
  </si>
  <si>
    <t>L-1506-315492910</t>
  </si>
  <si>
    <t>III 21, 15</t>
  </si>
  <si>
    <t>L-1508-315324228</t>
  </si>
  <si>
    <t>III 21, 16</t>
  </si>
  <si>
    <t>L-1510-315487119</t>
  </si>
  <si>
    <t>106695643X</t>
  </si>
  <si>
    <t>III 21, 17</t>
  </si>
  <si>
    <t>L-1508-315490632</t>
  </si>
  <si>
    <t>III 21, 18</t>
  </si>
  <si>
    <t>L-1508-315491116</t>
  </si>
  <si>
    <t>III 21, 19</t>
  </si>
  <si>
    <t>L-1509-315493216</t>
  </si>
  <si>
    <t>III 21, 20</t>
  </si>
  <si>
    <t>L-1519-315487623</t>
  </si>
  <si>
    <t>III 21, 21</t>
  </si>
  <si>
    <t>L-1522-315494190</t>
  </si>
  <si>
    <t>III 21, 22</t>
  </si>
  <si>
    <t>L-1510-315493909</t>
  </si>
  <si>
    <t>III 21, 23</t>
  </si>
  <si>
    <t>L-1526-315492473</t>
  </si>
  <si>
    <t>III 21, 24</t>
  </si>
  <si>
    <t>L-1526-315488379</t>
  </si>
  <si>
    <t>III 21, 25</t>
  </si>
  <si>
    <t>L-1526-315181427</t>
  </si>
  <si>
    <t>III 21, 26</t>
  </si>
  <si>
    <t>L-1531-153964464</t>
  </si>
  <si>
    <t>III 21, 27</t>
  </si>
  <si>
    <t>L-1527-154280437</t>
  </si>
  <si>
    <t>III 21, 28</t>
  </si>
  <si>
    <t>L-1531-315468513</t>
  </si>
  <si>
    <t>III 21, 29</t>
  </si>
  <si>
    <t>L-1532-315487801</t>
  </si>
  <si>
    <t>III 21, 30</t>
  </si>
  <si>
    <t>L-1532-315491167</t>
  </si>
  <si>
    <t>III 21, 31</t>
  </si>
  <si>
    <t>L-1536-315200499</t>
  </si>
  <si>
    <t>III 21, 32</t>
  </si>
  <si>
    <t>L-1539-315494484</t>
  </si>
  <si>
    <t>III 21, 33</t>
  </si>
  <si>
    <t>L-1544-315494360</t>
  </si>
  <si>
    <t>III 21, 34</t>
  </si>
  <si>
    <t>L-1538-315324120</t>
  </si>
  <si>
    <t>III 21, 35</t>
  </si>
  <si>
    <t>L-1550-315490322</t>
  </si>
  <si>
    <t>III 21, 36</t>
  </si>
  <si>
    <t>L-1552-315487410</t>
  </si>
  <si>
    <t>III 21, 37</t>
  </si>
  <si>
    <t>L-1560-155912321</t>
  </si>
  <si>
    <t>III 21, 38</t>
  </si>
  <si>
    <t>L-1505-16792236X</t>
  </si>
  <si>
    <t>III 21, 39</t>
  </si>
  <si>
    <t>L-2019-302374</t>
  </si>
  <si>
    <t>III 21, 40</t>
  </si>
  <si>
    <t>L-1503-676545815</t>
  </si>
  <si>
    <t>III 21, 14 (Angebundenes Werk)</t>
  </si>
  <si>
    <t>L-1880-678548862</t>
  </si>
  <si>
    <t>121095611X</t>
  </si>
  <si>
    <t>III 21, 18 (1. angebundenes Werk)</t>
  </si>
  <si>
    <t>L-1506-166225983</t>
  </si>
  <si>
    <t>III 21, 2 a</t>
  </si>
  <si>
    <t>L-1520-679679731</t>
  </si>
  <si>
    <t>III 21, 21 (Angebundenes Werk)</t>
  </si>
  <si>
    <t>L-1531-159236924</t>
  </si>
  <si>
    <t>III 21, 21 a</t>
  </si>
  <si>
    <t>L-1532-167685066</t>
  </si>
  <si>
    <t>L-1532-167685198</t>
  </si>
  <si>
    <t>L-1530-169892549</t>
  </si>
  <si>
    <t>L-1530-162143168</t>
  </si>
  <si>
    <t>L-1532-167685015</t>
  </si>
  <si>
    <t>99917830X</t>
  </si>
  <si>
    <t>L-1532-167685104</t>
  </si>
  <si>
    <t>L-1529-167646516</t>
  </si>
  <si>
    <t>L-1530-154382876</t>
  </si>
  <si>
    <t>L-1532-180006444</t>
  </si>
  <si>
    <t>L-1530-177109114</t>
  </si>
  <si>
    <t>100238494X</t>
  </si>
  <si>
    <t>L-1533-157862615</t>
  </si>
  <si>
    <t>III 21, 21 c</t>
  </si>
  <si>
    <t>L-1532-167049003</t>
  </si>
  <si>
    <t>L-2006-325430</t>
  </si>
  <si>
    <t>III 21, 21 d</t>
  </si>
  <si>
    <t>L-1525-161362591</t>
  </si>
  <si>
    <t>III 21, 21/b</t>
  </si>
  <si>
    <t>L-1526-671050176</t>
  </si>
  <si>
    <t>III 21, 24 (1. angebundenes Werk)</t>
  </si>
  <si>
    <t>L-1526-671050001</t>
  </si>
  <si>
    <t>III 21, 24 (2. angebundenes Werk)</t>
  </si>
  <si>
    <t>L-1526-671049410</t>
  </si>
  <si>
    <t>III 21, 24 (3. angebundenes Werk)</t>
  </si>
  <si>
    <t>L-1557-167360604</t>
  </si>
  <si>
    <t>III 21, 24 a</t>
  </si>
  <si>
    <t>L-1530-169953572</t>
  </si>
  <si>
    <t>III 21, 31 a</t>
  </si>
  <si>
    <t>L-1542-154112917</t>
  </si>
  <si>
    <t>III 21, 33 a</t>
  </si>
  <si>
    <t>L-1505-154046310</t>
  </si>
  <si>
    <t>99393689X</t>
  </si>
  <si>
    <t>III 21, 39 (1. angebundenes Werk)</t>
  </si>
  <si>
    <t>L-1500-405944926</t>
  </si>
  <si>
    <t>III 21, 39 (2. angebundenes Werk)</t>
  </si>
  <si>
    <t>L-1505-153972785</t>
  </si>
  <si>
    <t>III 21, 39 (3. angebundenes Werk)</t>
  </si>
  <si>
    <t>L-1521-315466200</t>
  </si>
  <si>
    <t>III 22, 1</t>
  </si>
  <si>
    <t>L-1506-315217251</t>
  </si>
  <si>
    <t>III 23, 1</t>
  </si>
  <si>
    <t>L-1518-315328878</t>
  </si>
  <si>
    <t>III 23, 2</t>
  </si>
  <si>
    <t>L-1553-31533178X</t>
  </si>
  <si>
    <t>III 24, 1</t>
  </si>
  <si>
    <t>L-1555-315490640</t>
  </si>
  <si>
    <t>III 24, 2</t>
  </si>
  <si>
    <t>L-1558-153966785</t>
  </si>
  <si>
    <t>III 24, 3</t>
  </si>
  <si>
    <t>L-1560-315465689</t>
  </si>
  <si>
    <t>III 24, 4</t>
  </si>
  <si>
    <t>L-1553-161856195</t>
  </si>
  <si>
    <t>III 24, 1 a</t>
  </si>
  <si>
    <t>L-1560-676525075</t>
  </si>
  <si>
    <t>III 24, 4 (Angebundenes Werk)</t>
  </si>
  <si>
    <t>L-1524-315329645</t>
  </si>
  <si>
    <t>III 25, 1</t>
  </si>
  <si>
    <t>L-1524-315329300</t>
  </si>
  <si>
    <t>III 25, 2</t>
  </si>
  <si>
    <t>L-1527-406933499</t>
  </si>
  <si>
    <t>III 25, 3</t>
  </si>
  <si>
    <t>L-1530-155465481</t>
  </si>
  <si>
    <t>99435195X</t>
  </si>
  <si>
    <t>III 26, 1</t>
  </si>
  <si>
    <t>L-1881-163020639</t>
  </si>
  <si>
    <t>III 26, 1 (1. angebundenes Werk)</t>
  </si>
  <si>
    <t>L-1880-170568237</t>
  </si>
  <si>
    <t>III 26, 1 (2. angebundenes Werk)</t>
  </si>
  <si>
    <t>L-1873-170566617</t>
  </si>
  <si>
    <t>III 26, 1 (3 an)</t>
  </si>
  <si>
    <t>L-1880-170566714</t>
  </si>
  <si>
    <t>III 26, 1 (3. angebundenes Werk)</t>
  </si>
  <si>
    <t>L-1870-370531027</t>
  </si>
  <si>
    <t>III 26, 1 (angebunden)</t>
  </si>
  <si>
    <t>L-1523-315492783</t>
  </si>
  <si>
    <t>III 28, 1</t>
  </si>
  <si>
    <t>L-1524-315490993</t>
  </si>
  <si>
    <t>106696050X</t>
  </si>
  <si>
    <t>III 28, 2</t>
  </si>
  <si>
    <t>L-1524-315491981</t>
  </si>
  <si>
    <t>III 28, 3</t>
  </si>
  <si>
    <t>L-1896-670707023</t>
  </si>
  <si>
    <t>III 28, 1 (1. angebundenes Werk)</t>
  </si>
  <si>
    <t>L-1880-670707007</t>
  </si>
  <si>
    <t>III 28, 1 (1.angebundenes Werk)</t>
  </si>
  <si>
    <t>L-1880-670819859</t>
  </si>
  <si>
    <t>III 28, 1 (2. angebundenes Werk)</t>
  </si>
  <si>
    <t>L-1880-670014834</t>
  </si>
  <si>
    <t>120834126X</t>
  </si>
  <si>
    <t>III 28, 1 (3.angebundenes Werk)</t>
  </si>
  <si>
    <t>L-1880-670952753</t>
  </si>
  <si>
    <t>III 28, 1 (4. angebundenes Werk)</t>
  </si>
  <si>
    <t>L-1559-315488298</t>
  </si>
  <si>
    <t>III 29, 2</t>
  </si>
  <si>
    <t>L-1560-315492740</t>
  </si>
  <si>
    <t>III 29, 3</t>
  </si>
  <si>
    <t>L-1554-171708245</t>
  </si>
  <si>
    <t>III 29, 4</t>
  </si>
  <si>
    <t>L-1560-154524085</t>
  </si>
  <si>
    <t>III 29, 5</t>
  </si>
  <si>
    <t>L-1514-315493143</t>
  </si>
  <si>
    <t>III 30, 1</t>
  </si>
  <si>
    <t>L-1523-315489340</t>
  </si>
  <si>
    <t>III 30, 2</t>
  </si>
  <si>
    <t>L-1546-315463899</t>
  </si>
  <si>
    <t>III 30, 3</t>
  </si>
  <si>
    <t>L-1523-165118105</t>
  </si>
  <si>
    <t>III 30, 4</t>
  </si>
  <si>
    <t>L-1519-158978161</t>
  </si>
  <si>
    <t>III 30, 1 a</t>
  </si>
  <si>
    <t>L-1519-158977858</t>
  </si>
  <si>
    <t>III 30, 1 b</t>
  </si>
  <si>
    <t>L-1881-670704695</t>
  </si>
  <si>
    <t>III 30, 2 (1. angebundenes Werk)</t>
  </si>
  <si>
    <t>L-1879-670801143</t>
  </si>
  <si>
    <t>III 30, 2 (2. angebundenes Werk)</t>
  </si>
  <si>
    <t>L-1880-670704938</t>
  </si>
  <si>
    <t>III 30, 2 (3. angebundenes Werk)</t>
  </si>
  <si>
    <t>L-1522-162909306</t>
  </si>
  <si>
    <t>III 30, 2 a</t>
  </si>
  <si>
    <t>L-1532-315493259</t>
  </si>
  <si>
    <t>III 31, 1</t>
  </si>
  <si>
    <t>L-1505-31533536X</t>
  </si>
  <si>
    <t>III 32, 1</t>
  </si>
  <si>
    <t>L-1507-315468572</t>
  </si>
  <si>
    <t>III 32, 2</t>
  </si>
  <si>
    <t>L-1882-679888950</t>
  </si>
  <si>
    <t>III 32, 1 (Angebundenes Werk)</t>
  </si>
  <si>
    <t>L-1509-315331828</t>
  </si>
  <si>
    <t>III 33, 1</t>
  </si>
  <si>
    <t>L-1504-315468483</t>
  </si>
  <si>
    <t>106694072X</t>
  </si>
  <si>
    <t>III 34, 1</t>
  </si>
  <si>
    <t>L-1520-315468297</t>
  </si>
  <si>
    <t>III 34, 2</t>
  </si>
  <si>
    <t>L-1549-406971676</t>
  </si>
  <si>
    <t>III 34, 3</t>
  </si>
  <si>
    <t>L-1550-406971684</t>
  </si>
  <si>
    <t>L-1551-315465670</t>
  </si>
  <si>
    <t>III 34, 4</t>
  </si>
  <si>
    <t>L-1553-178401951</t>
  </si>
  <si>
    <t>III 34, 5</t>
  </si>
  <si>
    <t>L-1514-170039528</t>
  </si>
  <si>
    <t>III 34, 1 a</t>
  </si>
  <si>
    <t>L-1517-169971295</t>
  </si>
  <si>
    <t>III 34, 1 b</t>
  </si>
  <si>
    <t>L-1517-177752815</t>
  </si>
  <si>
    <t>L-1513-31532886X</t>
  </si>
  <si>
    <t>III 35, 1</t>
  </si>
  <si>
    <t>L-1511-414748662</t>
  </si>
  <si>
    <t>III 36, 1</t>
  </si>
  <si>
    <t>L-1531-315462965</t>
  </si>
  <si>
    <t>III 36, 2</t>
  </si>
  <si>
    <t>L-1531-315301937</t>
  </si>
  <si>
    <t>III 36, 3</t>
  </si>
  <si>
    <t>L-1531-315493496</t>
  </si>
  <si>
    <t>III 36, 4</t>
  </si>
  <si>
    <t>L-1531-175175608</t>
  </si>
  <si>
    <t>III 36, 5</t>
  </si>
  <si>
    <t>L-1533-315332182</t>
  </si>
  <si>
    <t>III 36, 6</t>
  </si>
  <si>
    <t>L-1533-315492465</t>
  </si>
  <si>
    <t>III 36, 7</t>
  </si>
  <si>
    <t>L-1555-315488506</t>
  </si>
  <si>
    <t>III 36, 8</t>
  </si>
  <si>
    <t>L-1556-315493763</t>
  </si>
  <si>
    <t>III 36, 9</t>
  </si>
  <si>
    <t>L-1560-315493194</t>
  </si>
  <si>
    <t>III 36, 10</t>
  </si>
  <si>
    <t>L-9999-406955883</t>
  </si>
  <si>
    <t>III 36, 11</t>
  </si>
  <si>
    <t>L-1550-315492201</t>
  </si>
  <si>
    <t>III 36, 12</t>
  </si>
  <si>
    <t>L-1555-16764758X</t>
  </si>
  <si>
    <t>III 36, 13</t>
  </si>
  <si>
    <t>L-1881-168463865</t>
  </si>
  <si>
    <t>III 36, 1 (Angebundenes Werk)</t>
  </si>
  <si>
    <t>L-1544-154114529</t>
  </si>
  <si>
    <t>III 36, 13 a</t>
  </si>
  <si>
    <t>L-1532-315493585</t>
  </si>
  <si>
    <t>III 36, 5 a</t>
  </si>
  <si>
    <t>L-1553-167584758</t>
  </si>
  <si>
    <t>III 36, 7 a</t>
  </si>
  <si>
    <t>L-1502-315494557</t>
  </si>
  <si>
    <t>III 37, 1</t>
  </si>
  <si>
    <t>L-1553-168491079</t>
  </si>
  <si>
    <t>III 37, 5</t>
  </si>
  <si>
    <t>L-1523-315490578</t>
  </si>
  <si>
    <t>III 38, 1</t>
  </si>
  <si>
    <t>L-1522-315329106</t>
  </si>
  <si>
    <t>III 39, 1</t>
  </si>
  <si>
    <t>L-1505-153947101</t>
  </si>
  <si>
    <t>III 40, 1</t>
  </si>
  <si>
    <t>L-1505-153946962</t>
  </si>
  <si>
    <t>L-1505-15394692X</t>
  </si>
  <si>
    <t>L-1505-153946822</t>
  </si>
  <si>
    <t>99388282X</t>
  </si>
  <si>
    <t>L-1521-154137898</t>
  </si>
  <si>
    <t>III 40, 2</t>
  </si>
  <si>
    <t>L-1535-31522004X</t>
  </si>
  <si>
    <t>III 40, 3</t>
  </si>
  <si>
    <t>L-1504-169751783</t>
  </si>
  <si>
    <t>99993922X</t>
  </si>
  <si>
    <t>III 40, 4</t>
  </si>
  <si>
    <t>L-1526-167036696</t>
  </si>
  <si>
    <t>L-9999-167036742</t>
  </si>
  <si>
    <t>L-1548-153916184</t>
  </si>
  <si>
    <t>III 41, 1</t>
  </si>
  <si>
    <t>L-1554-153966742</t>
  </si>
  <si>
    <t>III 42, 1</t>
  </si>
  <si>
    <t>L-1559-315493984</t>
  </si>
  <si>
    <t>III 44, 1</t>
  </si>
  <si>
    <t>L-1559-315488514</t>
  </si>
  <si>
    <t>III 44, 2</t>
  </si>
  <si>
    <t>L-1555-154041289</t>
  </si>
  <si>
    <t>III 44, 3</t>
  </si>
  <si>
    <t>L-1559-176760954</t>
  </si>
  <si>
    <t>III 44, 4</t>
  </si>
  <si>
    <t>L-1555-154041327</t>
  </si>
  <si>
    <t>III 44, 3 a</t>
  </si>
  <si>
    <t>L-1534-154742171</t>
  </si>
  <si>
    <t>III 45, 1</t>
  </si>
  <si>
    <t>L-1544-315320907</t>
  </si>
  <si>
    <t>III 45, 2</t>
  </si>
  <si>
    <t>L-1551-17498541X</t>
  </si>
  <si>
    <t>III 45, 3</t>
  </si>
  <si>
    <t>L-1534-15474218X</t>
  </si>
  <si>
    <t>III 45, 1 a</t>
  </si>
  <si>
    <t>L-1534-154532711</t>
  </si>
  <si>
    <t>III 45, 1 b</t>
  </si>
  <si>
    <t>L-1879-678549249</t>
  </si>
  <si>
    <t>III 45, 2 (Angebundenes Werk)</t>
  </si>
  <si>
    <t>L-1542-159720354</t>
  </si>
  <si>
    <t>III 46, 1</t>
  </si>
  <si>
    <t>L-1548-315054778</t>
  </si>
  <si>
    <t>III 47, 1</t>
  </si>
  <si>
    <t>L-1552-315321458</t>
  </si>
  <si>
    <t>III 47, 2</t>
  </si>
  <si>
    <t>L-1554-315307048</t>
  </si>
  <si>
    <t>III 47, 3</t>
  </si>
  <si>
    <t>L-1555-153966025</t>
  </si>
  <si>
    <t>III 47, 4</t>
  </si>
  <si>
    <t>L-1515-315493011</t>
  </si>
  <si>
    <t>III 48, 1</t>
  </si>
  <si>
    <t>L-1517-315490128</t>
  </si>
  <si>
    <t>III 48, 2</t>
  </si>
  <si>
    <t>L-1522-315318384</t>
  </si>
  <si>
    <t>III 49, 1</t>
  </si>
  <si>
    <t>L-1501-315494093</t>
  </si>
  <si>
    <t>III 50, 1</t>
  </si>
  <si>
    <t>L-1515-315494662</t>
  </si>
  <si>
    <t>III 50, 2</t>
  </si>
  <si>
    <t>L-1516-315487577</t>
  </si>
  <si>
    <t>III 50, 3</t>
  </si>
  <si>
    <t>L-1526-315328762</t>
  </si>
  <si>
    <t>III 50, 4</t>
  </si>
  <si>
    <t>L-1502-31548747X</t>
  </si>
  <si>
    <t>III 51, 1</t>
  </si>
  <si>
    <t>L-1506-315494220</t>
  </si>
  <si>
    <t>III 51, 2</t>
  </si>
  <si>
    <t>L-1518-31549364X</t>
  </si>
  <si>
    <t>III 51, 4</t>
  </si>
  <si>
    <t>L-1518-315492163</t>
  </si>
  <si>
    <t>106696176X</t>
  </si>
  <si>
    <t>III 51, 5</t>
  </si>
  <si>
    <t>L-1501-31549445X</t>
  </si>
  <si>
    <t>106696422X</t>
  </si>
  <si>
    <t>III 51, 6</t>
  </si>
  <si>
    <t>L-1517-163740925</t>
  </si>
  <si>
    <t>III 51, 7</t>
  </si>
  <si>
    <t>L-1506-315494603</t>
  </si>
  <si>
    <t>III 51, 8</t>
  </si>
  <si>
    <t>L-1513-315494417</t>
  </si>
  <si>
    <t>106696419X</t>
  </si>
  <si>
    <t>III 51, 9</t>
  </si>
  <si>
    <t>L-1515-31549459X</t>
  </si>
  <si>
    <t>106696436X</t>
  </si>
  <si>
    <t>III 51, 10</t>
  </si>
  <si>
    <t>L-1516-315494476</t>
  </si>
  <si>
    <t>III 51, 11</t>
  </si>
  <si>
    <t>L-1518-315491965</t>
  </si>
  <si>
    <t>III 51, 12</t>
  </si>
  <si>
    <t>L-1520-315466057</t>
  </si>
  <si>
    <t>106693827X</t>
  </si>
  <si>
    <t>III 51, 13</t>
  </si>
  <si>
    <t>L-1522-315490810</t>
  </si>
  <si>
    <t>III 51, 14</t>
  </si>
  <si>
    <t>L-1523-315490624</t>
  </si>
  <si>
    <t>III 51, 15</t>
  </si>
  <si>
    <t>L-1523-315329297</t>
  </si>
  <si>
    <t>III 51, 16</t>
  </si>
  <si>
    <t>L-1525-315491426</t>
  </si>
  <si>
    <t>III 51, 17</t>
  </si>
  <si>
    <t>L-1510-315491833</t>
  </si>
  <si>
    <t>III 51, 18</t>
  </si>
  <si>
    <t>L-1524-315491647</t>
  </si>
  <si>
    <t>III 51, 19</t>
  </si>
  <si>
    <t>L-1526-315492007</t>
  </si>
  <si>
    <t>III 51, 20</t>
  </si>
  <si>
    <t>L-1537-306836408</t>
  </si>
  <si>
    <t>III 51, 21</t>
  </si>
  <si>
    <t>L-1528-315493860</t>
  </si>
  <si>
    <t>III 51, 22</t>
  </si>
  <si>
    <t>L-1529-315494581</t>
  </si>
  <si>
    <t>III 51, 23</t>
  </si>
  <si>
    <t>L-1538-315491825</t>
  </si>
  <si>
    <t>III 51, 24</t>
  </si>
  <si>
    <t>L-1528-315489022</t>
  </si>
  <si>
    <t>III 51, 25</t>
  </si>
  <si>
    <t>L-1545-315494638</t>
  </si>
  <si>
    <t>III 51, 26</t>
  </si>
  <si>
    <t>L-1531-315494387</t>
  </si>
  <si>
    <t>III 51, 27</t>
  </si>
  <si>
    <t>L-1560-315494034</t>
  </si>
  <si>
    <t>III 51, 28</t>
  </si>
  <si>
    <t>L-1557-31530636X</t>
  </si>
  <si>
    <t>III 51, 30</t>
  </si>
  <si>
    <t>L-1518-31548795X</t>
  </si>
  <si>
    <t>III 51, 32</t>
  </si>
  <si>
    <t>L-1519-315490608</t>
  </si>
  <si>
    <t>L-1531-167364022</t>
  </si>
  <si>
    <t>III 51, 34</t>
  </si>
  <si>
    <t>L-1542-170178528</t>
  </si>
  <si>
    <t>III 51, 35</t>
  </si>
  <si>
    <t>L-1511-164191984</t>
  </si>
  <si>
    <t>III 51, 1 a</t>
  </si>
  <si>
    <t>L-1510-16419424X</t>
  </si>
  <si>
    <t>L-1519-315062428</t>
  </si>
  <si>
    <t>III 51, 1 b</t>
  </si>
  <si>
    <t>L-1519-315059117</t>
  </si>
  <si>
    <t>106667051X</t>
  </si>
  <si>
    <t>III 51, 12 a</t>
  </si>
  <si>
    <t>L-1520-175548323</t>
  </si>
  <si>
    <t>III 51, 13 a</t>
  </si>
  <si>
    <t>L-1524-164333304</t>
  </si>
  <si>
    <t>III 51, 16 a</t>
  </si>
  <si>
    <t>L-1521-159366895</t>
  </si>
  <si>
    <t>III 51, 18 a</t>
  </si>
  <si>
    <t>L-1533-66796763X</t>
  </si>
  <si>
    <t>III 51, 19 (1. angebundenes Werk)</t>
  </si>
  <si>
    <t>L-1533-667968636</t>
  </si>
  <si>
    <t>III 51, 19 (2. angebundenes Werk)</t>
  </si>
  <si>
    <t>L-1534-163066078</t>
  </si>
  <si>
    <t>III 51, 20 a</t>
  </si>
  <si>
    <t>L-1541-315494255</t>
  </si>
  <si>
    <t>III 51, 21 a</t>
  </si>
  <si>
    <t>L-1521-315487437</t>
  </si>
  <si>
    <t>III 51, 22 a</t>
  </si>
  <si>
    <t>L-1516-176473513</t>
  </si>
  <si>
    <t>III 51, 23 a</t>
  </si>
  <si>
    <t>L-1534-179937960</t>
  </si>
  <si>
    <t>III 51, 27 a</t>
  </si>
  <si>
    <t>L-1533-161598072</t>
  </si>
  <si>
    <t>III 51, 27 b</t>
  </si>
  <si>
    <t>L-1526-31506224X</t>
  </si>
  <si>
    <t>III 51, 27 c</t>
  </si>
  <si>
    <t>L-1546-167646931</t>
  </si>
  <si>
    <t>III 51, 28 a</t>
  </si>
  <si>
    <t>L-1546-167647148</t>
  </si>
  <si>
    <t>III 51, 28 b</t>
  </si>
  <si>
    <t>L-1546-168348837</t>
  </si>
  <si>
    <t>III 51, 28 c</t>
  </si>
  <si>
    <t>L-1549-180493000</t>
  </si>
  <si>
    <t>III 51, 28 d</t>
  </si>
  <si>
    <t>L-1552-167647377</t>
  </si>
  <si>
    <t>III 51, 28 e</t>
  </si>
  <si>
    <t>L-1554-179346091</t>
  </si>
  <si>
    <t>III 51, 28 f</t>
  </si>
  <si>
    <t>L-1554-167644165</t>
  </si>
  <si>
    <t>L-1546-153952202</t>
  </si>
  <si>
    <t>L-1520-179470655</t>
  </si>
  <si>
    <t>III 51, 32 a</t>
  </si>
  <si>
    <t>L-1528-163501254</t>
  </si>
  <si>
    <t>III 51, 32 b</t>
  </si>
  <si>
    <t>L-1520-153968850</t>
  </si>
  <si>
    <t>III 51, 33 a</t>
  </si>
  <si>
    <t>L-1520-315490594</t>
  </si>
  <si>
    <t>III 51, 33 b</t>
  </si>
  <si>
    <t>L-1536-156361124</t>
  </si>
  <si>
    <t>III 51, 34 a</t>
  </si>
  <si>
    <t>L-1536-177856262</t>
  </si>
  <si>
    <t>L-1536-168645327</t>
  </si>
  <si>
    <t>L-1519-315183322</t>
  </si>
  <si>
    <t>III 51, 4 a</t>
  </si>
  <si>
    <t>L-1501-168303590</t>
  </si>
  <si>
    <t>III 51, 8 a</t>
  </si>
  <si>
    <t>L-1511-154678511</t>
  </si>
  <si>
    <t>III 51, 9 a</t>
  </si>
  <si>
    <t>L-1509-167327569</t>
  </si>
  <si>
    <t>III 51, 9 b</t>
  </si>
  <si>
    <t>L-1515-315318082</t>
  </si>
  <si>
    <t>III 52, 1</t>
  </si>
  <si>
    <t>L-1556-169798941</t>
  </si>
  <si>
    <t>III 52, 2</t>
  </si>
  <si>
    <t>L-1514-315491841</t>
  </si>
  <si>
    <t>106696145X</t>
  </si>
  <si>
    <t>III 53, 1</t>
  </si>
  <si>
    <t>L-1551-315207787</t>
  </si>
  <si>
    <t>III 54, 1</t>
  </si>
  <si>
    <t>L-1550-315329017</t>
  </si>
  <si>
    <t>III 55, 2</t>
  </si>
  <si>
    <t>L-1550-315326816</t>
  </si>
  <si>
    <t>III 55, 3</t>
  </si>
  <si>
    <t>L-1549-678820821</t>
  </si>
  <si>
    <t>III 55, 2 (1. angebundenes Werk)</t>
  </si>
  <si>
    <t>L-1550-678820686</t>
  </si>
  <si>
    <t>III 55, 2 (2. angebundenes Werk)</t>
  </si>
  <si>
    <t>L-1550-678820554</t>
  </si>
  <si>
    <t>III 55, 2 (3. angebundenes Werk)</t>
  </si>
  <si>
    <t>L-1550-678532680</t>
  </si>
  <si>
    <t>III 55, 3 (1. angebundenes Werk)</t>
  </si>
  <si>
    <t>L-1550-67853246X</t>
  </si>
  <si>
    <t>III 55, 3 (2. angebundenes Werk)</t>
  </si>
  <si>
    <t>L-1527-315489995</t>
  </si>
  <si>
    <t>III 56, 1</t>
  </si>
  <si>
    <t>L-1509-315468238</t>
  </si>
  <si>
    <t>III 57, 1</t>
  </si>
  <si>
    <t>L-1509-315297670</t>
  </si>
  <si>
    <t>III 57, 2</t>
  </si>
  <si>
    <t>L-1514-31531687X</t>
  </si>
  <si>
    <t>III 57, 3</t>
  </si>
  <si>
    <t>L-1531-31530863X</t>
  </si>
  <si>
    <t>III 57, 4</t>
  </si>
  <si>
    <t>L-1532-315468602</t>
  </si>
  <si>
    <t>III 57, 5</t>
  </si>
  <si>
    <t>L-1533-315463775</t>
  </si>
  <si>
    <t>III 57, 6</t>
  </si>
  <si>
    <t>L-1551-315207639</t>
  </si>
  <si>
    <t>106678602X</t>
  </si>
  <si>
    <t>III 57, 7</t>
  </si>
  <si>
    <t>L-1522-681003790</t>
  </si>
  <si>
    <t>III 57, 8</t>
  </si>
  <si>
    <t>L-1519-154739588</t>
  </si>
  <si>
    <t>III 57, 9</t>
  </si>
  <si>
    <t>L-1503-177752726</t>
  </si>
  <si>
    <t>100264612X</t>
  </si>
  <si>
    <t>III 57, 10</t>
  </si>
  <si>
    <t>L-1532-155962353</t>
  </si>
  <si>
    <t>L-1532-155962426</t>
  </si>
  <si>
    <t>99445807X</t>
  </si>
  <si>
    <t>L-1519-170340473</t>
  </si>
  <si>
    <t>III 57, 12</t>
  </si>
  <si>
    <t>L-1519-170340236</t>
  </si>
  <si>
    <t>100028736X</t>
  </si>
  <si>
    <t>L-1551-153918721</t>
  </si>
  <si>
    <t>III 57, 13</t>
  </si>
  <si>
    <t>L-1556-158415140</t>
  </si>
  <si>
    <t>III 57, 14</t>
  </si>
  <si>
    <t>L-1556-158414543</t>
  </si>
  <si>
    <t>L-1555-315220481</t>
  </si>
  <si>
    <t>III 57, 15</t>
  </si>
  <si>
    <t>L-1552-157516660</t>
  </si>
  <si>
    <t>L-1552-157516458</t>
  </si>
  <si>
    <t>L-1553-157517098</t>
  </si>
  <si>
    <t>L-1551-157516830</t>
  </si>
  <si>
    <t>L-1511-670405795</t>
  </si>
  <si>
    <t>III 57, 2 (1. angebundenes Werk)</t>
  </si>
  <si>
    <t>L-9999-670405825</t>
  </si>
  <si>
    <t>III 57, 2 (2. angebundenes Werk)</t>
  </si>
  <si>
    <t>L-1536-17596596X</t>
  </si>
  <si>
    <t>III 57, 2 a</t>
  </si>
  <si>
    <t>L-1514-670546879</t>
  </si>
  <si>
    <t>L-1549-671051946</t>
  </si>
  <si>
    <t>III 57, 7 (1. angebundenes Werk)</t>
  </si>
  <si>
    <t>L-1550-156068516</t>
  </si>
  <si>
    <t>III 57, 7 a</t>
  </si>
  <si>
    <t>L-1551-177021470</t>
  </si>
  <si>
    <t>100231917X</t>
  </si>
  <si>
    <t>III 57, 7 b</t>
  </si>
  <si>
    <t>L-1524-31549333X</t>
  </si>
  <si>
    <t>III 58, 1</t>
  </si>
  <si>
    <t>L-1534-154007358</t>
  </si>
  <si>
    <t>III 58, 2</t>
  </si>
  <si>
    <t>L-1537-315492368</t>
  </si>
  <si>
    <t>III 58, 3</t>
  </si>
  <si>
    <t>L-1875-670821322</t>
  </si>
  <si>
    <t>120880068X</t>
  </si>
  <si>
    <t>III 58, 1 (1.angebundenes Werk)</t>
  </si>
  <si>
    <t>L-1546-167294946</t>
  </si>
  <si>
    <t>99897188X</t>
  </si>
  <si>
    <t>III 58, 3 a</t>
  </si>
  <si>
    <t>L-1548-154006998</t>
  </si>
  <si>
    <t>III 58, 3 b</t>
  </si>
  <si>
    <t>L-1548-154041092</t>
  </si>
  <si>
    <t>III 58, 3 c</t>
  </si>
  <si>
    <t>L-1548-153700858</t>
  </si>
  <si>
    <t>III 58, 3 d</t>
  </si>
  <si>
    <t>L-1548-16758801X</t>
  </si>
  <si>
    <t>III 58, 3 e</t>
  </si>
  <si>
    <t>L-1549-169167011</t>
  </si>
  <si>
    <t>III 58, 3 f</t>
  </si>
  <si>
    <t>L-1549-154523437</t>
  </si>
  <si>
    <t>III 58, 3 g</t>
  </si>
  <si>
    <t>L-1549-154872075</t>
  </si>
  <si>
    <t>III 58, 3 h</t>
  </si>
  <si>
    <t>L-1549-15453336X</t>
  </si>
  <si>
    <t>III 58, 3 i</t>
  </si>
  <si>
    <t>L-1549-15453353X</t>
  </si>
  <si>
    <t>III 58, 3 ia</t>
  </si>
  <si>
    <t>L-1965-159364442</t>
  </si>
  <si>
    <t>III 58, 3 k</t>
  </si>
  <si>
    <t>L-1550-167081977</t>
  </si>
  <si>
    <t>III 58, 3 m</t>
  </si>
  <si>
    <t>L-1559-179548115</t>
  </si>
  <si>
    <t>III 58, 3 n</t>
  </si>
  <si>
    <t>L-1551-154031127</t>
  </si>
  <si>
    <t>III 58, 3 o</t>
  </si>
  <si>
    <t>L-1551-154011436</t>
  </si>
  <si>
    <t>III 58, 3 p</t>
  </si>
  <si>
    <t>L-1551-154007749</t>
  </si>
  <si>
    <t>III 58, 3 q</t>
  </si>
  <si>
    <t>L-1551-154007935</t>
  </si>
  <si>
    <t>III 58, 3 qa</t>
  </si>
  <si>
    <t>L-1552-16708402X</t>
  </si>
  <si>
    <t>III 58, 3 r</t>
  </si>
  <si>
    <t>L-1549-154067296</t>
  </si>
  <si>
    <t>III 58, 3 s</t>
  </si>
  <si>
    <t>L-1536-170698769</t>
  </si>
  <si>
    <t>III 58, 3 t</t>
  </si>
  <si>
    <t>L-1536-170698726</t>
  </si>
  <si>
    <t>III 58, 3 ta</t>
  </si>
  <si>
    <t>L-1529-167188550</t>
  </si>
  <si>
    <t>III 58, 3 u</t>
  </si>
  <si>
    <t>L-1550-154656631</t>
  </si>
  <si>
    <t>III 58, 3/1</t>
  </si>
  <si>
    <t>L-1548-160372135</t>
  </si>
  <si>
    <t>III 58, 4 b</t>
  </si>
  <si>
    <t>L-1549-154040134</t>
  </si>
  <si>
    <t>III 58, 4 c</t>
  </si>
  <si>
    <t>L-1550-153948892</t>
  </si>
  <si>
    <t>III 58, 4 d</t>
  </si>
  <si>
    <t>L-1550-160373263</t>
  </si>
  <si>
    <t>III 58, 4 e</t>
  </si>
  <si>
    <t>L-1550-175198233</t>
  </si>
  <si>
    <t>L-1550-17940069X</t>
  </si>
  <si>
    <t>III 58, 4 f</t>
  </si>
  <si>
    <t>L-1551-167083767</t>
  </si>
  <si>
    <t>99886126X</t>
  </si>
  <si>
    <t>III 58, 4 g</t>
  </si>
  <si>
    <t>L-1551-161282806</t>
  </si>
  <si>
    <t>III 58, 4 h</t>
  </si>
  <si>
    <t>L-1551-161282814</t>
  </si>
  <si>
    <t>III 58, 4 ha</t>
  </si>
  <si>
    <t>L-1551-161282822</t>
  </si>
  <si>
    <t>III 58, 4 hb</t>
  </si>
  <si>
    <t>L-1552-154040673</t>
  </si>
  <si>
    <t>III 58, 4 i</t>
  </si>
  <si>
    <t>L-1548-165520817</t>
  </si>
  <si>
    <t>III 58, 4 k</t>
  </si>
  <si>
    <t>L-1547-165521759</t>
  </si>
  <si>
    <t>III 58, 4 l</t>
  </si>
  <si>
    <t>L-1547-15402953X</t>
  </si>
  <si>
    <t>III 58, 4/1</t>
  </si>
  <si>
    <t>L-1548-154626945</t>
  </si>
  <si>
    <t>III 58, 4/a</t>
  </si>
  <si>
    <t>L-1506-315323124</t>
  </si>
  <si>
    <t>III 59, 1</t>
  </si>
  <si>
    <t>L-1506-315317515</t>
  </si>
  <si>
    <t>III 59, 2</t>
  </si>
  <si>
    <t>L-1513-315201282</t>
  </si>
  <si>
    <t>III 59, 3</t>
  </si>
  <si>
    <t>L-1523-315198222</t>
  </si>
  <si>
    <t>III 59, 4</t>
  </si>
  <si>
    <t>L-1505-315487100</t>
  </si>
  <si>
    <t>III 60, 1</t>
  </si>
  <si>
    <t>L-1506-315469579</t>
  </si>
  <si>
    <t>III 60, 2</t>
  </si>
  <si>
    <t>L-1508-315493917</t>
  </si>
  <si>
    <t>III 60, 3</t>
  </si>
  <si>
    <t>L-1508-315492732</t>
  </si>
  <si>
    <t>III 60, 4</t>
  </si>
  <si>
    <t>L-1509-315307617</t>
  </si>
  <si>
    <t>III 60, 5</t>
  </si>
  <si>
    <t>L-1509-315059818</t>
  </si>
  <si>
    <t>III 60, 6</t>
  </si>
  <si>
    <t>L-9999-155008226</t>
  </si>
  <si>
    <t>III 60, 8</t>
  </si>
  <si>
    <t>L-1514-315487291</t>
  </si>
  <si>
    <t>III 60, 9</t>
  </si>
  <si>
    <t>L-1514-315487135</t>
  </si>
  <si>
    <t>III 60, 10</t>
  </si>
  <si>
    <t>L-1515-315493119</t>
  </si>
  <si>
    <t>III 60, 11</t>
  </si>
  <si>
    <t>L-1516-315494301</t>
  </si>
  <si>
    <t>III 60, 12</t>
  </si>
  <si>
    <t>L-1517-315492864</t>
  </si>
  <si>
    <t>III 60, 13</t>
  </si>
  <si>
    <t>L-1518-315061391</t>
  </si>
  <si>
    <t>106667292X</t>
  </si>
  <si>
    <t>III 60, 14</t>
  </si>
  <si>
    <t>L-1518-315487267</t>
  </si>
  <si>
    <t>106695660X</t>
  </si>
  <si>
    <t>III 60, 15</t>
  </si>
  <si>
    <t>L-1519-315487208</t>
  </si>
  <si>
    <t>III 60, 16</t>
  </si>
  <si>
    <t>L-1519-315489987</t>
  </si>
  <si>
    <t>III 60, 17</t>
  </si>
  <si>
    <t>L-1520-315487283</t>
  </si>
  <si>
    <t>III 60, 19</t>
  </si>
  <si>
    <t>L-1520-315331054</t>
  </si>
  <si>
    <t>III 60, 20</t>
  </si>
  <si>
    <t>L-1521-154383287</t>
  </si>
  <si>
    <t>III 60, 22</t>
  </si>
  <si>
    <t>L-1521-679893105</t>
  </si>
  <si>
    <t>III 60, 23</t>
  </si>
  <si>
    <t>L-1521-679892613</t>
  </si>
  <si>
    <t>L-1521-315297972</t>
  </si>
  <si>
    <t>III 60, 24</t>
  </si>
  <si>
    <t>L-1521-315331518</t>
  </si>
  <si>
    <t>III 60, 25</t>
  </si>
  <si>
    <t>L-1521-315492309</t>
  </si>
  <si>
    <t>III 60, 26</t>
  </si>
  <si>
    <t>L-1521-315490217</t>
  </si>
  <si>
    <t>III 60, 27</t>
  </si>
  <si>
    <t>L-1521-679440615</t>
  </si>
  <si>
    <t>III 60, 28</t>
  </si>
  <si>
    <t>L-1521-315468289</t>
  </si>
  <si>
    <t>III 60, 29</t>
  </si>
  <si>
    <t>L-1522-315487364</t>
  </si>
  <si>
    <t>III 60, 30</t>
  </si>
  <si>
    <t>L-1523-315493658</t>
  </si>
  <si>
    <t>III 60, 31</t>
  </si>
  <si>
    <t>L-1523-315492147</t>
  </si>
  <si>
    <t>III 60, 32</t>
  </si>
  <si>
    <t>L-1524-315492244</t>
  </si>
  <si>
    <t>III 60, 33</t>
  </si>
  <si>
    <t>L-1524-315487224</t>
  </si>
  <si>
    <t>III 60, 34</t>
  </si>
  <si>
    <t>L-1520-315494026</t>
  </si>
  <si>
    <t>III 60, 35</t>
  </si>
  <si>
    <t>L-1525-315487216</t>
  </si>
  <si>
    <t>III 60, 36</t>
  </si>
  <si>
    <t>L-1525-315490144</t>
  </si>
  <si>
    <t>III 60, 37</t>
  </si>
  <si>
    <t>L-1521-315491876</t>
  </si>
  <si>
    <t>III 60, 38</t>
  </si>
  <si>
    <t>L-1527-315492066</t>
  </si>
  <si>
    <t>III 60, 39</t>
  </si>
  <si>
    <t>L-1529-315332352</t>
  </si>
  <si>
    <t>III 60, 40</t>
  </si>
  <si>
    <t>L-1529-31530698X</t>
  </si>
  <si>
    <t>III 60, 41</t>
  </si>
  <si>
    <t>L-1529-17775334X</t>
  </si>
  <si>
    <t>III 60, 42</t>
  </si>
  <si>
    <t>L-1530-315303786</t>
  </si>
  <si>
    <t>III 60, 43</t>
  </si>
  <si>
    <t>L-1530-315487526</t>
  </si>
  <si>
    <t>III 60, 44</t>
  </si>
  <si>
    <t>L-1531-315491140</t>
  </si>
  <si>
    <t>III 60, 45</t>
  </si>
  <si>
    <t>L-1531-315328681</t>
  </si>
  <si>
    <t>III 60, 46</t>
  </si>
  <si>
    <t>L-1531-315323213</t>
  </si>
  <si>
    <t>III 60, 47</t>
  </si>
  <si>
    <t>L-1532-164689494</t>
  </si>
  <si>
    <t>III 60, 48</t>
  </si>
  <si>
    <t>L-1532-164704965</t>
  </si>
  <si>
    <t>L-1533-315462140</t>
  </si>
  <si>
    <t>III 60, 50</t>
  </si>
  <si>
    <t>L-1533-315487739</t>
  </si>
  <si>
    <t>III 60, 51</t>
  </si>
  <si>
    <t>L-1533-315487674</t>
  </si>
  <si>
    <t>III 60, 52</t>
  </si>
  <si>
    <t>L-1533-315493895</t>
  </si>
  <si>
    <t>III 60, 53</t>
  </si>
  <si>
    <t>L-1533-315470011</t>
  </si>
  <si>
    <t>III 60, 54</t>
  </si>
  <si>
    <t>L-1533-315491108</t>
  </si>
  <si>
    <t>III 60, 55</t>
  </si>
  <si>
    <t>L-1534-315490365</t>
  </si>
  <si>
    <t>III 60, 56</t>
  </si>
  <si>
    <t>L-1535-315490373</t>
  </si>
  <si>
    <t>III 60, 57</t>
  </si>
  <si>
    <t>L-1535-315492929</t>
  </si>
  <si>
    <t>106696257X</t>
  </si>
  <si>
    <t>III 60, 58</t>
  </si>
  <si>
    <t>L-1537-315492953</t>
  </si>
  <si>
    <t>106696260X</t>
  </si>
  <si>
    <t>III 60, 59</t>
  </si>
  <si>
    <t>L-1537-315468831</t>
  </si>
  <si>
    <t>III 60, 60</t>
  </si>
  <si>
    <t>L-1537-315492716</t>
  </si>
  <si>
    <t>III 60, 61</t>
  </si>
  <si>
    <t>L-1537-315316721</t>
  </si>
  <si>
    <t>III 60, 62</t>
  </si>
  <si>
    <t>L-1539-315493097</t>
  </si>
  <si>
    <t>III 60, 63</t>
  </si>
  <si>
    <t>L-1540-315493453</t>
  </si>
  <si>
    <t>III 60, 64</t>
  </si>
  <si>
    <t>L-1540-315487429</t>
  </si>
  <si>
    <t>III 60, 65</t>
  </si>
  <si>
    <t>L-1540-315331186</t>
  </si>
  <si>
    <t>III 60, 66</t>
  </si>
  <si>
    <t>L-1541-164689737</t>
  </si>
  <si>
    <t>III 60, 67</t>
  </si>
  <si>
    <t>L-1541-315493437</t>
  </si>
  <si>
    <t>III 60, 68</t>
  </si>
  <si>
    <t>L-1541-315487666</t>
  </si>
  <si>
    <t>III 60, 69</t>
  </si>
  <si>
    <t>L-1542-315325887</t>
  </si>
  <si>
    <t>III 60, 70</t>
  </si>
  <si>
    <t>L-1544-315063092</t>
  </si>
  <si>
    <t>III 60, 71</t>
  </si>
  <si>
    <t>L-1546-154448621</t>
  </si>
  <si>
    <t>III 60, 72</t>
  </si>
  <si>
    <t>L-1546-315493399</t>
  </si>
  <si>
    <t>III 60, 73</t>
  </si>
  <si>
    <t>L-1546-343788683</t>
  </si>
  <si>
    <t>III 60, 74</t>
  </si>
  <si>
    <t>L-1548-164691529</t>
  </si>
  <si>
    <t>99774653X</t>
  </si>
  <si>
    <t>III 60, 75</t>
  </si>
  <si>
    <t>L-1548-164692118</t>
  </si>
  <si>
    <t>L-1548-164688943</t>
  </si>
  <si>
    <t>L-1548-164696334</t>
  </si>
  <si>
    <t>99775110X</t>
  </si>
  <si>
    <t>L-1548-164700684</t>
  </si>
  <si>
    <t>L-1548-164693211</t>
  </si>
  <si>
    <t>L-1548-315323418</t>
  </si>
  <si>
    <t>III 60, 76</t>
  </si>
  <si>
    <t>L-1549-315326913</t>
  </si>
  <si>
    <t>III 60, 77</t>
  </si>
  <si>
    <t>L-1549-315324384</t>
  </si>
  <si>
    <t>III 60, 78</t>
  </si>
  <si>
    <t>L-1549-315490187</t>
  </si>
  <si>
    <t>III 60, 79</t>
  </si>
  <si>
    <t>L-1549-315326158</t>
  </si>
  <si>
    <t>III 60, 80</t>
  </si>
  <si>
    <t>L-1549-164690077</t>
  </si>
  <si>
    <t>III 60, 81</t>
  </si>
  <si>
    <t>L-1549-315493755</t>
  </si>
  <si>
    <t>III 60, 82</t>
  </si>
  <si>
    <t>L-1549-315326166</t>
  </si>
  <si>
    <t>III 60, 83</t>
  </si>
  <si>
    <t>L-1549-315192097</t>
  </si>
  <si>
    <t>III 60, 84</t>
  </si>
  <si>
    <t>L-1550-315324899</t>
  </si>
  <si>
    <t>III 60, 85</t>
  </si>
  <si>
    <t>L-1550-315329068</t>
  </si>
  <si>
    <t>106687123X</t>
  </si>
  <si>
    <t>III 60, 86</t>
  </si>
  <si>
    <t>L-1551-31548764X</t>
  </si>
  <si>
    <t>III 60, 87</t>
  </si>
  <si>
    <t>L-1551-164690565</t>
  </si>
  <si>
    <t>III 60, 88</t>
  </si>
  <si>
    <t>L-1551-315491086</t>
  </si>
  <si>
    <t>III 60, 89</t>
  </si>
  <si>
    <t>L-1552-314710604</t>
  </si>
  <si>
    <t>III 60, 90</t>
  </si>
  <si>
    <t>L-1555-315326255</t>
  </si>
  <si>
    <t>III 60, 91</t>
  </si>
  <si>
    <t>L-1557-315216573</t>
  </si>
  <si>
    <t>III 60, 92</t>
  </si>
  <si>
    <t>L-1507-315494514</t>
  </si>
  <si>
    <t>III 60, 93</t>
  </si>
  <si>
    <t>L-1509-315493356</t>
  </si>
  <si>
    <t>106696307X</t>
  </si>
  <si>
    <t>III 60, 94</t>
  </si>
  <si>
    <t>L-1509-163089574</t>
  </si>
  <si>
    <t>III 60, 95</t>
  </si>
  <si>
    <t>L-1880-171088549</t>
  </si>
  <si>
    <t>L-1509-315074647</t>
  </si>
  <si>
    <t>III 60, 96</t>
  </si>
  <si>
    <t>L-1509-315328045</t>
  </si>
  <si>
    <t>III 60, 97</t>
  </si>
  <si>
    <t>L-1529-315328231</t>
  </si>
  <si>
    <t>III 60, 98</t>
  </si>
  <si>
    <t>L-1531-315493623</t>
  </si>
  <si>
    <t>III 60, 99</t>
  </si>
  <si>
    <t>L-1532-315299770</t>
  </si>
  <si>
    <t>III 60, 100</t>
  </si>
  <si>
    <t>L-1532-315493607</t>
  </si>
  <si>
    <t>III 60, 101</t>
  </si>
  <si>
    <t>L-1534-315191538</t>
  </si>
  <si>
    <t>III 60, 102</t>
  </si>
  <si>
    <t>L-1535-315492813</t>
  </si>
  <si>
    <t>III 60, 103</t>
  </si>
  <si>
    <t>L-1541-154091103</t>
  </si>
  <si>
    <t>III 60, 104</t>
  </si>
  <si>
    <t>L-1541-315489286</t>
  </si>
  <si>
    <t>106695867X</t>
  </si>
  <si>
    <t>III 60, 105</t>
  </si>
  <si>
    <t>L-1548-315470542</t>
  </si>
  <si>
    <t>III 60, 106</t>
  </si>
  <si>
    <t>L-1549-314709657</t>
  </si>
  <si>
    <t>III 60, 107</t>
  </si>
  <si>
    <t>L-1550-315493372</t>
  </si>
  <si>
    <t>III 60, 108</t>
  </si>
  <si>
    <t>L-1586-153970766</t>
  </si>
  <si>
    <t>III 60, 101 (1. angebundenes Werk)</t>
  </si>
  <si>
    <t>L-1521-315494298</t>
  </si>
  <si>
    <t>III 60, 18 - Fragm.</t>
  </si>
  <si>
    <t>L-1521-343788284</t>
  </si>
  <si>
    <t>III 60, 28 - Fragm.</t>
  </si>
  <si>
    <t>L-1529-177753358</t>
  </si>
  <si>
    <t>III 60, 42 a</t>
  </si>
  <si>
    <t>L-1529-67853358X</t>
  </si>
  <si>
    <t>III 60, 55 (1.angebundenes Werk)</t>
  </si>
  <si>
    <t>L-1552-169129314</t>
  </si>
  <si>
    <t>III 60, 90 a</t>
  </si>
  <si>
    <t>L-1531-667715355</t>
  </si>
  <si>
    <t>III 60, 98 (1. angebundenes Werk)</t>
  </si>
  <si>
    <t>L-1530-679671846</t>
  </si>
  <si>
    <t>III 60, 98 (2. angebundenes Werk)</t>
  </si>
  <si>
    <t>L-1541-315489251</t>
  </si>
  <si>
    <t>III 61, 1</t>
  </si>
  <si>
    <t>L-1504-154630012</t>
  </si>
  <si>
    <t>III 62, 1</t>
  </si>
  <si>
    <t>L-1520-315294949</t>
  </si>
  <si>
    <t>III 62, 2</t>
  </si>
  <si>
    <t>L-1528-315491752</t>
  </si>
  <si>
    <t>III 62, 3</t>
  </si>
  <si>
    <t>L-1510-315492198</t>
  </si>
  <si>
    <t>III 63, 1</t>
  </si>
  <si>
    <t>L-1510-670800783</t>
  </si>
  <si>
    <t>III 63, 1 (1. angebundenes Werk)</t>
  </si>
  <si>
    <t>L-1854-677261616</t>
  </si>
  <si>
    <t>III 63, 1 (2. angebundenes Werk)</t>
  </si>
  <si>
    <t>L-1534-31546450X</t>
  </si>
  <si>
    <t>III 64, 1</t>
  </si>
  <si>
    <t>L-1545-315487992</t>
  </si>
  <si>
    <t>III 65, 1</t>
  </si>
  <si>
    <t>L-1556-315494115</t>
  </si>
  <si>
    <t>III 65, 2</t>
  </si>
  <si>
    <t>L-1557-315468149</t>
  </si>
  <si>
    <t>III 65, 3</t>
  </si>
  <si>
    <t>L-1535-315211164</t>
  </si>
  <si>
    <t>III 66, 1</t>
  </si>
  <si>
    <t>L-1552-315492902</t>
  </si>
  <si>
    <t>III 67, 1</t>
  </si>
  <si>
    <t>L-1508-315338229</t>
  </si>
  <si>
    <t>III 68, 1</t>
  </si>
  <si>
    <t>L-1502-315493445</t>
  </si>
  <si>
    <t>III 69, 1</t>
  </si>
  <si>
    <t>L-1502-315486910</t>
  </si>
  <si>
    <t>III 69, 2</t>
  </si>
  <si>
    <t>L-1512-315486945</t>
  </si>
  <si>
    <t>III 69, 3</t>
  </si>
  <si>
    <t>L-1503-315493534</t>
  </si>
  <si>
    <t>III 69, 4</t>
  </si>
  <si>
    <t>L-1506-15404587X</t>
  </si>
  <si>
    <t>III 69, 5</t>
  </si>
  <si>
    <t>L-1517-315490667</t>
  </si>
  <si>
    <t>III 69, 6</t>
  </si>
  <si>
    <t>L-1503-315494107</t>
  </si>
  <si>
    <t>III 69, 7</t>
  </si>
  <si>
    <t>L-1508-315469676</t>
  </si>
  <si>
    <t>106694203X</t>
  </si>
  <si>
    <t>III 69, 8</t>
  </si>
  <si>
    <t>L-1515-315492139</t>
  </si>
  <si>
    <t>III 69, 9</t>
  </si>
  <si>
    <t>L-1514-315490675</t>
  </si>
  <si>
    <t>III 69, 10</t>
  </si>
  <si>
    <t>L-1507-315491000</t>
  </si>
  <si>
    <t>III 69, 11</t>
  </si>
  <si>
    <t>L-1509-315465298</t>
  </si>
  <si>
    <t>III 69, 12</t>
  </si>
  <si>
    <t>L-1510-315328789</t>
  </si>
  <si>
    <t>106687090X</t>
  </si>
  <si>
    <t>III 69, 13</t>
  </si>
  <si>
    <t>L-1524-315469986</t>
  </si>
  <si>
    <t>III 69, 15</t>
  </si>
  <si>
    <t>L-1527-153951540</t>
  </si>
  <si>
    <t>III 69, 16</t>
  </si>
  <si>
    <t>L-1525-315492678</t>
  </si>
  <si>
    <t>III 69, 17</t>
  </si>
  <si>
    <t>L-1525-315492708</t>
  </si>
  <si>
    <t>III 69, 18</t>
  </si>
  <si>
    <t>L-1531-315488166</t>
  </si>
  <si>
    <t>III 69, 19</t>
  </si>
  <si>
    <t>L-1538-315493704</t>
  </si>
  <si>
    <t>III 69, 20</t>
  </si>
  <si>
    <t>L-1531-315488115</t>
  </si>
  <si>
    <t>III 69, 21</t>
  </si>
  <si>
    <t>L-1531-315330821</t>
  </si>
  <si>
    <t>III 69, 22</t>
  </si>
  <si>
    <t>L-1548-315493267</t>
  </si>
  <si>
    <t>III 69, 23</t>
  </si>
  <si>
    <t>L-1551-315488050</t>
  </si>
  <si>
    <t>106695741X</t>
  </si>
  <si>
    <t>III 69, 24</t>
  </si>
  <si>
    <t>L-1552-315493666</t>
  </si>
  <si>
    <t>106696341X</t>
  </si>
  <si>
    <t>III 69, 25</t>
  </si>
  <si>
    <t>L-1553-315491868</t>
  </si>
  <si>
    <t>III 69, 26</t>
  </si>
  <si>
    <t>L-1553-315181508</t>
  </si>
  <si>
    <t>III 69, 27</t>
  </si>
  <si>
    <t>L-1554-315199806</t>
  </si>
  <si>
    <t>III 69, 28</t>
  </si>
  <si>
    <t>L-1523-315488344</t>
  </si>
  <si>
    <t>106695772X</t>
  </si>
  <si>
    <t>III 69, 29</t>
  </si>
  <si>
    <t>L-1519-315489049</t>
  </si>
  <si>
    <t>III 69, 30</t>
  </si>
  <si>
    <t>L-1557-16331375X</t>
  </si>
  <si>
    <t>III 69, 33</t>
  </si>
  <si>
    <t>L-1880-678829454</t>
  </si>
  <si>
    <t>III 69, 13 (Angebundenes Werk)</t>
  </si>
  <si>
    <t>L-1517-167583956</t>
  </si>
  <si>
    <t>III 69, 14 a</t>
  </si>
  <si>
    <t>L-1524-315328851</t>
  </si>
  <si>
    <t>III 69, 15 a</t>
  </si>
  <si>
    <t>L-1518-31549235X</t>
  </si>
  <si>
    <t>III 69, 15 b</t>
  </si>
  <si>
    <t>L-1523-178750948</t>
  </si>
  <si>
    <t>III 69, 15 c</t>
  </si>
  <si>
    <t>L-1531-166921947</t>
  </si>
  <si>
    <t>III 69, 15 d</t>
  </si>
  <si>
    <t>L-1530-16960019X</t>
  </si>
  <si>
    <t>L-2009-324232</t>
  </si>
  <si>
    <t>III 69, 15 e</t>
  </si>
  <si>
    <t>L-1528-163068933</t>
  </si>
  <si>
    <t>III 69, 16 a</t>
  </si>
  <si>
    <t>L-1528-153951982</t>
  </si>
  <si>
    <t>L-1525-176005064</t>
  </si>
  <si>
    <t>III 69, 18 a</t>
  </si>
  <si>
    <t>L-1524-315490179</t>
  </si>
  <si>
    <t>106695965X</t>
  </si>
  <si>
    <t>III 69, 18 b</t>
  </si>
  <si>
    <t>L-1525-166163945</t>
  </si>
  <si>
    <t>III 69, 23 a</t>
  </si>
  <si>
    <t>L-1546-157202518</t>
  </si>
  <si>
    <t>III 69, 23 b</t>
  </si>
  <si>
    <t>L-1546-167639609</t>
  </si>
  <si>
    <t>L-1525-168342626</t>
  </si>
  <si>
    <t>L-1880-433408642</t>
  </si>
  <si>
    <t>01831189X</t>
  </si>
  <si>
    <t>III 69, 5 (angebunden)</t>
  </si>
  <si>
    <t>L-1518-315492805</t>
  </si>
  <si>
    <t>III 71, 1</t>
  </si>
  <si>
    <t>L-1518-315191333</t>
  </si>
  <si>
    <t>106676882X</t>
  </si>
  <si>
    <t>III 72, 1</t>
  </si>
  <si>
    <t>L-1502-315186100</t>
  </si>
  <si>
    <t>III 73, 1</t>
  </si>
  <si>
    <t>L-1514-315294973</t>
  </si>
  <si>
    <t>III 73, 2</t>
  </si>
  <si>
    <t>L-1510-315220503</t>
  </si>
  <si>
    <t>III 73, 3</t>
  </si>
  <si>
    <t>L-1512-40695920X</t>
  </si>
  <si>
    <t>III 73, 4</t>
  </si>
  <si>
    <t>L-1512-406959226</t>
  </si>
  <si>
    <t>L-1507-315465352</t>
  </si>
  <si>
    <t>III 73, 5</t>
  </si>
  <si>
    <t>L-1548-315200790</t>
  </si>
  <si>
    <t>III 73, 6</t>
  </si>
  <si>
    <t>L-1502-154136255</t>
  </si>
  <si>
    <t>III 73, 7</t>
  </si>
  <si>
    <t>L-1502-154136115</t>
  </si>
  <si>
    <t>L-1502-332794555</t>
  </si>
  <si>
    <t>III 73, 8</t>
  </si>
  <si>
    <t>L-1503-31508166X</t>
  </si>
  <si>
    <t>III 73, 9</t>
  </si>
  <si>
    <t>L-1509-315337001</t>
  </si>
  <si>
    <t>III 73, 12</t>
  </si>
  <si>
    <t>L-1504-154135763</t>
  </si>
  <si>
    <t>III 73, 13</t>
  </si>
  <si>
    <t>L-1505-315174781</t>
  </si>
  <si>
    <t>III 73, 14</t>
  </si>
  <si>
    <t>L-1506-315208791</t>
  </si>
  <si>
    <t>III 73, 15</t>
  </si>
  <si>
    <t>L-1507-315208481</t>
  </si>
  <si>
    <t>III 73, 16</t>
  </si>
  <si>
    <t>L-1514-315308478</t>
  </si>
  <si>
    <t>III 73, 17</t>
  </si>
  <si>
    <t>L-1513-315294841</t>
  </si>
  <si>
    <t>III 73, 18</t>
  </si>
  <si>
    <t>L-1529-315318066</t>
  </si>
  <si>
    <t>III 73, 19</t>
  </si>
  <si>
    <t>L-1556-315309423</t>
  </si>
  <si>
    <t>III 73, 20</t>
  </si>
  <si>
    <t>L-1507-315176296</t>
  </si>
  <si>
    <t>III 73, 21</t>
  </si>
  <si>
    <t>L-1509-315199296</t>
  </si>
  <si>
    <t>III 73, 22</t>
  </si>
  <si>
    <t>L-1512-315468505</t>
  </si>
  <si>
    <t>III 73, 23</t>
  </si>
  <si>
    <t>L-1510-315461829</t>
  </si>
  <si>
    <t>III 73, 24</t>
  </si>
  <si>
    <t>L-1514-315333987</t>
  </si>
  <si>
    <t>III 73, 25</t>
  </si>
  <si>
    <t>L-1514-314736093</t>
  </si>
  <si>
    <t>III 73, 26</t>
  </si>
  <si>
    <t>L-1510-315465328</t>
  </si>
  <si>
    <t>III 73, 27</t>
  </si>
  <si>
    <t>L-1512-314736255</t>
  </si>
  <si>
    <t>III 73, 28</t>
  </si>
  <si>
    <t>L-1514-31546304X</t>
  </si>
  <si>
    <t>106693505X</t>
  </si>
  <si>
    <t>III 73, 29</t>
  </si>
  <si>
    <t>L-1523-315469390</t>
  </si>
  <si>
    <t>III 73, 30</t>
  </si>
  <si>
    <t>L-1514-315328649</t>
  </si>
  <si>
    <t>III 73, 31</t>
  </si>
  <si>
    <t>L-1514-31506286X</t>
  </si>
  <si>
    <t>III 73, 32</t>
  </si>
  <si>
    <t>L-1517-315331739</t>
  </si>
  <si>
    <t>III 73, 33</t>
  </si>
  <si>
    <t>L-1517-315310413</t>
  </si>
  <si>
    <t>III 73, 34</t>
  </si>
  <si>
    <t>L-1520-315457872</t>
  </si>
  <si>
    <t>III 73, 35</t>
  </si>
  <si>
    <t>L-1520-315335866</t>
  </si>
  <si>
    <t>III 73, 37</t>
  </si>
  <si>
    <t>L-1520-315464259</t>
  </si>
  <si>
    <t>III 73, 38</t>
  </si>
  <si>
    <t>L-1521-315300833</t>
  </si>
  <si>
    <t>106684092X</t>
  </si>
  <si>
    <t>III 73, 39</t>
  </si>
  <si>
    <t>L-1531-315469765</t>
  </si>
  <si>
    <t>III 73, 40</t>
  </si>
  <si>
    <t>L-1531-315463600</t>
  </si>
  <si>
    <t>III 73, 41</t>
  </si>
  <si>
    <t>L-1536-315464526</t>
  </si>
  <si>
    <t>III 73, 42</t>
  </si>
  <si>
    <t>L-1539-154002895</t>
  </si>
  <si>
    <t>III 73, 43</t>
  </si>
  <si>
    <t>L-1542-315456256</t>
  </si>
  <si>
    <t>III 73, 44</t>
  </si>
  <si>
    <t>L-1544-315208775</t>
  </si>
  <si>
    <t>III 73, 45</t>
  </si>
  <si>
    <t>L-1545-315209046</t>
  </si>
  <si>
    <t>III 73, 46</t>
  </si>
  <si>
    <t>L-1546-315465875</t>
  </si>
  <si>
    <t>III 73, 47</t>
  </si>
  <si>
    <t>L-1550-315463007</t>
  </si>
  <si>
    <t>III 73, 48</t>
  </si>
  <si>
    <t>L-1552-155412345</t>
  </si>
  <si>
    <t>III 73, 49</t>
  </si>
  <si>
    <t>L-1553-315332344</t>
  </si>
  <si>
    <t>III 73, 50</t>
  </si>
  <si>
    <t>L-1556-315175923</t>
  </si>
  <si>
    <t>III 73, 52</t>
  </si>
  <si>
    <t>L-1556-315468548</t>
  </si>
  <si>
    <t>III 73, 53</t>
  </si>
  <si>
    <t>L-1557-315202866</t>
  </si>
  <si>
    <t>106678132X</t>
  </si>
  <si>
    <t>III 73, 54</t>
  </si>
  <si>
    <t>L-1556-315297743</t>
  </si>
  <si>
    <t>III 73, 55</t>
  </si>
  <si>
    <t>L-1559-315463422</t>
  </si>
  <si>
    <t>III 73, 56</t>
  </si>
  <si>
    <t>L-1558-315297123</t>
  </si>
  <si>
    <t>III 73, 57</t>
  </si>
  <si>
    <t>L-1560-315207531</t>
  </si>
  <si>
    <t>III 73, 58</t>
  </si>
  <si>
    <t>L-1560-175715408</t>
  </si>
  <si>
    <t>III 73, 59</t>
  </si>
  <si>
    <t>L-1534-163758778</t>
  </si>
  <si>
    <t>III 73, 60</t>
  </si>
  <si>
    <t>L-2012-313164</t>
  </si>
  <si>
    <t>III 73, 61</t>
  </si>
  <si>
    <t>L-9999-239120728</t>
  </si>
  <si>
    <t>L-1509-31518079X</t>
  </si>
  <si>
    <t>III 73, 11 @</t>
  </si>
  <si>
    <t>L-1509-670032476</t>
  </si>
  <si>
    <t>III 73, 12 (1. angebundenes Werk)</t>
  </si>
  <si>
    <t>L-1510-670032921</t>
  </si>
  <si>
    <t>III 73, 12 (2. angebundenes Werk)</t>
  </si>
  <si>
    <t>L-1509-670032875</t>
  </si>
  <si>
    <t>III 73, 12 (3. angebundenes Werk)</t>
  </si>
  <si>
    <t>L-1531-163758182</t>
  </si>
  <si>
    <t>III 73, 12 b</t>
  </si>
  <si>
    <t>L-1545-15952797X</t>
  </si>
  <si>
    <t>III 73, 19 a</t>
  </si>
  <si>
    <t>L-1544-159528925</t>
  </si>
  <si>
    <t>L-1546-176987142</t>
  </si>
  <si>
    <t>III 73, 19 b</t>
  </si>
  <si>
    <t>L-1521-315082267</t>
  </si>
  <si>
    <t>III 73, 2 a</t>
  </si>
  <si>
    <t>L-1514-167032437</t>
  </si>
  <si>
    <t>99882707X</t>
  </si>
  <si>
    <t>III 73, 2 b</t>
  </si>
  <si>
    <t>L-1518-16992209X</t>
  </si>
  <si>
    <t>III 73, 2 c</t>
  </si>
  <si>
    <t>L-1536-156637766</t>
  </si>
  <si>
    <t>III 73, 21 a</t>
  </si>
  <si>
    <t>L-1512-66771572X</t>
  </si>
  <si>
    <t>III 73, 23 (angebunden)</t>
  </si>
  <si>
    <t>L-1813-162058691</t>
  </si>
  <si>
    <t>99637356X</t>
  </si>
  <si>
    <t>III 73, 23 a</t>
  </si>
  <si>
    <t>L-1513-154629308</t>
  </si>
  <si>
    <t>L-1514-315470828</t>
  </si>
  <si>
    <t>III 73, 31/a</t>
  </si>
  <si>
    <t>L-1511-17930142X</t>
  </si>
  <si>
    <t>III 73, 32 a</t>
  </si>
  <si>
    <t>L-1509-17930125X</t>
  </si>
  <si>
    <t>L-1509-156069016</t>
  </si>
  <si>
    <t>99451011X</t>
  </si>
  <si>
    <t>L-1555-171141768</t>
  </si>
  <si>
    <t>III 73, 33 a</t>
  </si>
  <si>
    <t>L-1557-171141873</t>
  </si>
  <si>
    <t>L-1543-156070618</t>
  </si>
  <si>
    <t>III 73, 40 a</t>
  </si>
  <si>
    <t>L-1524-154740756</t>
  </si>
  <si>
    <t>III 73, 40 b</t>
  </si>
  <si>
    <t>L-1529-177064625</t>
  </si>
  <si>
    <t>L-1535-158504658</t>
  </si>
  <si>
    <t>III 73, 42 a</t>
  </si>
  <si>
    <t>L-1549-15411684X</t>
  </si>
  <si>
    <t>III 73, 42/b</t>
  </si>
  <si>
    <t>L-1545-670022586</t>
  </si>
  <si>
    <t>III 73, 45 (1. angebundenes Werk)</t>
  </si>
  <si>
    <t>L-1553-674668146</t>
  </si>
  <si>
    <t>III 73, 50 (1. angebundenes Werk)</t>
  </si>
  <si>
    <t>L-1544-154505633</t>
  </si>
  <si>
    <t>99409843X</t>
  </si>
  <si>
    <t>III 73, 6 a</t>
  </si>
  <si>
    <t>L-1545-154505285</t>
  </si>
  <si>
    <t>L-1503-670825824</t>
  </si>
  <si>
    <t>III 73, 9 (1. angebundenes Werk)</t>
  </si>
  <si>
    <t>L-1503-670825719</t>
  </si>
  <si>
    <t>III 73, 9 (2. angebundenes Werk)</t>
  </si>
  <si>
    <t>L-1519-315324341</t>
  </si>
  <si>
    <t>III 74, 1</t>
  </si>
  <si>
    <t>L-1503-306836378</t>
  </si>
  <si>
    <t>III 75, 1</t>
  </si>
  <si>
    <t>L-1504-315491787</t>
  </si>
  <si>
    <t>III 75, 2</t>
  </si>
  <si>
    <t>L-1505-31549185X</t>
  </si>
  <si>
    <t>III 75, 3</t>
  </si>
  <si>
    <t>L-1507-154135283</t>
  </si>
  <si>
    <t>III 75, 4</t>
  </si>
  <si>
    <t>L-1506-170682692</t>
  </si>
  <si>
    <t>III 75, 5</t>
  </si>
  <si>
    <t>L-1541-315201436</t>
  </si>
  <si>
    <t>III 76, 1</t>
  </si>
  <si>
    <t>L-1558-315189622</t>
  </si>
  <si>
    <t>III 76, 2</t>
  </si>
  <si>
    <t>L-1554-315464313</t>
  </si>
  <si>
    <t>III 78, 1</t>
  </si>
  <si>
    <t>L-1560-161002250</t>
  </si>
  <si>
    <t>III 78, 2</t>
  </si>
  <si>
    <t>L-1501-315326328</t>
  </si>
  <si>
    <t>106686814X</t>
  </si>
  <si>
    <t>III 79, 1</t>
  </si>
  <si>
    <t>L-1517-315487054</t>
  </si>
  <si>
    <t>III 80, 1</t>
  </si>
  <si>
    <t>L-1504-315220163</t>
  </si>
  <si>
    <t>III 81, 1</t>
  </si>
  <si>
    <t>L-1504-315220155</t>
  </si>
  <si>
    <t>L-1521-315218711</t>
  </si>
  <si>
    <t>III 82, 1</t>
  </si>
  <si>
    <t>L-1520-315294493</t>
  </si>
  <si>
    <t>III 83, 1</t>
  </si>
  <si>
    <t>L-1522-170280322</t>
  </si>
  <si>
    <t>III 83, 3</t>
  </si>
  <si>
    <t>L-1545-154870943</t>
  </si>
  <si>
    <t>III 83, 4</t>
  </si>
  <si>
    <t>L-1533-157862151</t>
  </si>
  <si>
    <t>L-1529-315490942</t>
  </si>
  <si>
    <t>III 84, 1</t>
  </si>
  <si>
    <t>L-1557-315490489</t>
  </si>
  <si>
    <t>III 84, 2</t>
  </si>
  <si>
    <t>L-1544-315201215</t>
  </si>
  <si>
    <t>106677935X</t>
  </si>
  <si>
    <t>III 85, 1</t>
  </si>
  <si>
    <t>L-1552-315186844</t>
  </si>
  <si>
    <t>III 86, 1</t>
  </si>
  <si>
    <t>L-1880-671059777</t>
  </si>
  <si>
    <t>III 86, 1 (1. angebundenes Werk)</t>
  </si>
  <si>
    <t>L-1879-679671137</t>
  </si>
  <si>
    <t>III 86, 1 (2. angebundenes Werk)</t>
  </si>
  <si>
    <t>L-1878-671060147</t>
  </si>
  <si>
    <t>III 86, 1 (3. angebundenes Werk)</t>
  </si>
  <si>
    <t>L-1555-315465506</t>
  </si>
  <si>
    <t>III 87, 1</t>
  </si>
  <si>
    <t>L-1519-315494727</t>
  </si>
  <si>
    <t>III 88, 1</t>
  </si>
  <si>
    <t>L-1520-315492600</t>
  </si>
  <si>
    <t>III 88, 2</t>
  </si>
  <si>
    <t>L-1520-315493070</t>
  </si>
  <si>
    <t>106696274X</t>
  </si>
  <si>
    <t>III 88, 3</t>
  </si>
  <si>
    <t>L-1520-315493380</t>
  </si>
  <si>
    <t>106696310X</t>
  </si>
  <si>
    <t>III 88, 4</t>
  </si>
  <si>
    <t>L-1501-315463732</t>
  </si>
  <si>
    <t>III 89, 1</t>
  </si>
  <si>
    <t>L-1538-315493712</t>
  </si>
  <si>
    <t>III 90, 1</t>
  </si>
  <si>
    <t>L-1538-315208074</t>
  </si>
  <si>
    <t>III 90, 2</t>
  </si>
  <si>
    <t>L-1516-154007579</t>
  </si>
  <si>
    <t>99391909X</t>
  </si>
  <si>
    <t>III 91, 1</t>
  </si>
  <si>
    <t>L-1516-154006947</t>
  </si>
  <si>
    <t>L-1530-315492384</t>
  </si>
  <si>
    <t>III 92, 1</t>
  </si>
  <si>
    <t>L-1532-315488522</t>
  </si>
  <si>
    <t>III 92, 2</t>
  </si>
  <si>
    <t>L-1532-315488530</t>
  </si>
  <si>
    <t>III 92, 3</t>
  </si>
  <si>
    <t>L-1538-315490985</t>
  </si>
  <si>
    <t>III 93, 1</t>
  </si>
  <si>
    <t>L-1539-315466340</t>
  </si>
  <si>
    <t>106693858X</t>
  </si>
  <si>
    <t>III 93, 2</t>
  </si>
  <si>
    <t>L-1540-315470054</t>
  </si>
  <si>
    <t>III 93, 3</t>
  </si>
  <si>
    <t>L-1527-315490160</t>
  </si>
  <si>
    <t>III 94, 1</t>
  </si>
  <si>
    <t>L-1523-67293793X</t>
  </si>
  <si>
    <t>III 94, 1 (1. angebundenesWerk)</t>
  </si>
  <si>
    <t>L-1501-315492236</t>
  </si>
  <si>
    <t>III 95, 1</t>
  </si>
  <si>
    <t>L-1502-315469005</t>
  </si>
  <si>
    <t>III 95, 2</t>
  </si>
  <si>
    <t>L-1503-315331259</t>
  </si>
  <si>
    <t>III 95, 3</t>
  </si>
  <si>
    <t>L-1507-315492724</t>
  </si>
  <si>
    <t>III 95, 4</t>
  </si>
  <si>
    <t>L-1510-31549350X</t>
  </si>
  <si>
    <t>III 95, 5</t>
  </si>
  <si>
    <t>L-1512-315494379</t>
  </si>
  <si>
    <t>III 95, 6</t>
  </si>
  <si>
    <t>L-1502-315493100</t>
  </si>
  <si>
    <t>III 95, 7</t>
  </si>
  <si>
    <t>L-1502-406964831</t>
  </si>
  <si>
    <t>III 95, 8</t>
  </si>
  <si>
    <t>L-1502-406964823</t>
  </si>
  <si>
    <t>L-1503-406964815</t>
  </si>
  <si>
    <t>L-1516-315488557</t>
  </si>
  <si>
    <t>III 95, 9</t>
  </si>
  <si>
    <t>L-1518-315488549</t>
  </si>
  <si>
    <t>III 95, 10</t>
  </si>
  <si>
    <t>L-1505-315493402</t>
  </si>
  <si>
    <t>III 95, 11</t>
  </si>
  <si>
    <t>L-1511-315467916</t>
  </si>
  <si>
    <t>III 95, 12</t>
  </si>
  <si>
    <t>L-1513-161493610</t>
  </si>
  <si>
    <t>III 95, 13</t>
  </si>
  <si>
    <t>L-1513-170717194</t>
  </si>
  <si>
    <t>L-1516-315465034</t>
  </si>
  <si>
    <t>III 95, 14</t>
  </si>
  <si>
    <t>L-1519-315219564</t>
  </si>
  <si>
    <t>III 95, 15</t>
  </si>
  <si>
    <t>L-1519-315493003</t>
  </si>
  <si>
    <t>III 95, 16</t>
  </si>
  <si>
    <t>L-1521-315469374</t>
  </si>
  <si>
    <t>III 95, 17</t>
  </si>
  <si>
    <t>L-1504-31549252X</t>
  </si>
  <si>
    <t>106696212X</t>
  </si>
  <si>
    <t>III 95, 18</t>
  </si>
  <si>
    <t>L-1505-315332115</t>
  </si>
  <si>
    <t>III 95, 19</t>
  </si>
  <si>
    <t>L-1513-315317884</t>
  </si>
  <si>
    <t>III 95, 20</t>
  </si>
  <si>
    <t>L-1513-153914203</t>
  </si>
  <si>
    <t>III 95, 21</t>
  </si>
  <si>
    <t>L-1510-31546884X</t>
  </si>
  <si>
    <t>III 95, 22</t>
  </si>
  <si>
    <t>L-1511-315492260</t>
  </si>
  <si>
    <t>III 95, 23</t>
  </si>
  <si>
    <t>L-1512-342900307</t>
  </si>
  <si>
    <t>III 95, 24</t>
  </si>
  <si>
    <t>L-1522-315468971</t>
  </si>
  <si>
    <t>III 95, 25</t>
  </si>
  <si>
    <t>L-1522-315488735</t>
  </si>
  <si>
    <t>III 95, 26</t>
  </si>
  <si>
    <t>L-1524-315488654</t>
  </si>
  <si>
    <t>III 95, 27</t>
  </si>
  <si>
    <t>L-1525-315487143</t>
  </si>
  <si>
    <t>III 95, 28</t>
  </si>
  <si>
    <t>L-1524-315490535</t>
  </si>
  <si>
    <t>III 95, 29</t>
  </si>
  <si>
    <t>L-1524-315493518</t>
  </si>
  <si>
    <t>106696324X</t>
  </si>
  <si>
    <t>III 95, 30</t>
  </si>
  <si>
    <t>L-1530-31530765X</t>
  </si>
  <si>
    <t>III 95, 31</t>
  </si>
  <si>
    <t>L-1531-315331909</t>
  </si>
  <si>
    <t>III 95, 32</t>
  </si>
  <si>
    <t>L-1535-315487003</t>
  </si>
  <si>
    <t>III 95, 33</t>
  </si>
  <si>
    <t>L-1536-315487097</t>
  </si>
  <si>
    <t>III 95, 34</t>
  </si>
  <si>
    <t>L-1538-315306270</t>
  </si>
  <si>
    <t>III 95, 35</t>
  </si>
  <si>
    <t>L-1549-315487682</t>
  </si>
  <si>
    <t>III 95, 36</t>
  </si>
  <si>
    <t>L-1538-315301953</t>
  </si>
  <si>
    <t>III 95, 37</t>
  </si>
  <si>
    <t>L-1539-31549056X</t>
  </si>
  <si>
    <t>III 95, 38</t>
  </si>
  <si>
    <t>L-1541-315493178</t>
  </si>
  <si>
    <t>III 95, 39</t>
  </si>
  <si>
    <t>L-1538-315494328</t>
  </si>
  <si>
    <t>III 95, 40</t>
  </si>
  <si>
    <t>L-1540-31549073X</t>
  </si>
  <si>
    <t>III 95, 41</t>
  </si>
  <si>
    <t>L-1545-315488328</t>
  </si>
  <si>
    <t>III 95, 42</t>
  </si>
  <si>
    <t>L-1522-315490918</t>
  </si>
  <si>
    <t>III 95, 43</t>
  </si>
  <si>
    <t>L-1545-163209340</t>
  </si>
  <si>
    <t>99701475X</t>
  </si>
  <si>
    <t>III 95, 44</t>
  </si>
  <si>
    <t>L-1518-161495788</t>
  </si>
  <si>
    <t>III 95, 10 a</t>
  </si>
  <si>
    <t>L-2007-325491</t>
  </si>
  <si>
    <t>III 95, 10 b</t>
  </si>
  <si>
    <t>L-1507-169623483</t>
  </si>
  <si>
    <t>III 95, 11 a</t>
  </si>
  <si>
    <t>L-1503-169616517</t>
  </si>
  <si>
    <t>III 95, 11 b</t>
  </si>
  <si>
    <t>L-1513-16149370X</t>
  </si>
  <si>
    <t>III 95, 13/a</t>
  </si>
  <si>
    <t>L-1517-165577657</t>
  </si>
  <si>
    <t>99810082X</t>
  </si>
  <si>
    <t>III 95, 14 a</t>
  </si>
  <si>
    <t>L-1516-155603256</t>
  </si>
  <si>
    <t>III 95, 14/b</t>
  </si>
  <si>
    <t>L-1521-177021292</t>
  </si>
  <si>
    <t>III 95, 17 a</t>
  </si>
  <si>
    <t>L-1521-177021284</t>
  </si>
  <si>
    <t>L-1508-16618859X</t>
  </si>
  <si>
    <t>III 95, 22 a</t>
  </si>
  <si>
    <t>L-1521-31533049X</t>
  </si>
  <si>
    <t>III 95, 24 a</t>
  </si>
  <si>
    <t>L-1521-170885348</t>
  </si>
  <si>
    <t>III 95, 24 b</t>
  </si>
  <si>
    <t>L-1515-156064022</t>
  </si>
  <si>
    <t>III 95, 24 c</t>
  </si>
  <si>
    <t>L-1516-156068133</t>
  </si>
  <si>
    <t>L-1521-315487038</t>
  </si>
  <si>
    <t>III 95, 25 a</t>
  </si>
  <si>
    <t>L-1520-31529941X</t>
  </si>
  <si>
    <t>III 95, 25 b</t>
  </si>
  <si>
    <t>L-1520-315487232</t>
  </si>
  <si>
    <t>III 95, 25 c</t>
  </si>
  <si>
    <t>L-1523-315488700</t>
  </si>
  <si>
    <t>III 95, 25 d</t>
  </si>
  <si>
    <t>L-1511-167077805</t>
  </si>
  <si>
    <t>III 95, 25 e</t>
  </si>
  <si>
    <t>L-1525-163627339</t>
  </si>
  <si>
    <t>III 95, 28 a</t>
  </si>
  <si>
    <t>L-1503-177481706</t>
  </si>
  <si>
    <t>III 95, 3 a</t>
  </si>
  <si>
    <t>L-1561-669847550</t>
  </si>
  <si>
    <t>III 95, 35 (Angebundenes Werk)</t>
  </si>
  <si>
    <t>L-1541-156066491</t>
  </si>
  <si>
    <t>III 95, 35 a</t>
  </si>
  <si>
    <t>L-1559-175394415</t>
  </si>
  <si>
    <t>III 95, 36 a</t>
  </si>
  <si>
    <t>L-1540-674669541</t>
  </si>
  <si>
    <t>III 95, 38 (1. angebundenes Werk)</t>
  </si>
  <si>
    <t>L-1521-315469749</t>
  </si>
  <si>
    <t>III 96, 1</t>
  </si>
  <si>
    <t>L-1532-177606290</t>
  </si>
  <si>
    <t>III 96, 2</t>
  </si>
  <si>
    <t>L-1521-315334355</t>
  </si>
  <si>
    <t>III 97, 1</t>
  </si>
  <si>
    <t>L-1518-315462760</t>
  </si>
  <si>
    <t>III 98, 1</t>
  </si>
  <si>
    <t>L-1522-315326115</t>
  </si>
  <si>
    <t>III 99, 1</t>
  </si>
  <si>
    <t>L-1534-315492589</t>
  </si>
  <si>
    <t>III 99, 2</t>
  </si>
  <si>
    <t>L-9999-406966141</t>
  </si>
  <si>
    <t>III 99, 3</t>
  </si>
  <si>
    <t>L-9999-40696615X</t>
  </si>
  <si>
    <t>L-9999-406966168</t>
  </si>
  <si>
    <t>113264884X</t>
  </si>
  <si>
    <t>L-1546-315462531</t>
  </si>
  <si>
    <t>III 100, 1</t>
  </si>
  <si>
    <t>L-1501-315293942</t>
  </si>
  <si>
    <t>III 101, 1</t>
  </si>
  <si>
    <t>L-1503-315463260</t>
  </si>
  <si>
    <t>III 101, 2</t>
  </si>
  <si>
    <t>L-1521-156398605</t>
  </si>
  <si>
    <t>L-1523-156398680</t>
  </si>
  <si>
    <t>L-1519-156398532</t>
  </si>
  <si>
    <t>L-1559-315318430</t>
  </si>
  <si>
    <t>106685968X</t>
  </si>
  <si>
    <t>III 101, 4</t>
  </si>
  <si>
    <t>L-1501-315317256</t>
  </si>
  <si>
    <t>III 101, 5</t>
  </si>
  <si>
    <t>L-1503-315464275</t>
  </si>
  <si>
    <t>III 101, 6</t>
  </si>
  <si>
    <t>L-1503-31545430X</t>
  </si>
  <si>
    <t>III 101, 7</t>
  </si>
  <si>
    <t>L-1504-315300701</t>
  </si>
  <si>
    <t>III 101, 8</t>
  </si>
  <si>
    <t>L-1554-406969795</t>
  </si>
  <si>
    <t>III 101, 9</t>
  </si>
  <si>
    <t>L-1507-154281166</t>
  </si>
  <si>
    <t>99400091X</t>
  </si>
  <si>
    <t>III 101, 10</t>
  </si>
  <si>
    <t>L-1507-315463481</t>
  </si>
  <si>
    <t>III 101, 11</t>
  </si>
  <si>
    <t>L-1509-315326840</t>
  </si>
  <si>
    <t>III 101, 12</t>
  </si>
  <si>
    <t>L-1520-31530085X</t>
  </si>
  <si>
    <t>III 101, 13</t>
  </si>
  <si>
    <t>L-1512-315465379</t>
  </si>
  <si>
    <t>III 101, 14</t>
  </si>
  <si>
    <t>L-1519-315461691</t>
  </si>
  <si>
    <t>III 101, 15</t>
  </si>
  <si>
    <t>L-1522-154606200</t>
  </si>
  <si>
    <t>III 101, 16</t>
  </si>
  <si>
    <t>L-1534-177157356</t>
  </si>
  <si>
    <t>III 101, 17</t>
  </si>
  <si>
    <t>L-1524-315468866</t>
  </si>
  <si>
    <t>III 101, 18</t>
  </si>
  <si>
    <t>L-1534-315201002</t>
  </si>
  <si>
    <t>III 101, 19</t>
  </si>
  <si>
    <t>L-1542-315211334</t>
  </si>
  <si>
    <t>III 101, 20</t>
  </si>
  <si>
    <t>L-1542-315461683</t>
  </si>
  <si>
    <t>106693360X</t>
  </si>
  <si>
    <t>III 101, 21</t>
  </si>
  <si>
    <t>L-1543-315465255</t>
  </si>
  <si>
    <t>III 101, 22</t>
  </si>
  <si>
    <t>L-1557-15396765X</t>
  </si>
  <si>
    <t>99390601X</t>
  </si>
  <si>
    <t>III 101, 23</t>
  </si>
  <si>
    <t>L-1560-406972435</t>
  </si>
  <si>
    <t>III 101, 24</t>
  </si>
  <si>
    <t>L-1543-154047686</t>
  </si>
  <si>
    <t>III 101, 25</t>
  </si>
  <si>
    <t>L-1549-315323094</t>
  </si>
  <si>
    <t>L-5305-31530958X</t>
  </si>
  <si>
    <t>III 101, 28</t>
  </si>
  <si>
    <t>L-1548-315323426</t>
  </si>
  <si>
    <t>III 101, 29</t>
  </si>
  <si>
    <t>L-1503-177699183</t>
  </si>
  <si>
    <t>III 101, 30</t>
  </si>
  <si>
    <t>L-1503-169953904</t>
  </si>
  <si>
    <t>100005554X</t>
  </si>
  <si>
    <t>L-1503-169954072</t>
  </si>
  <si>
    <t>L-1524-315461527</t>
  </si>
  <si>
    <t>III 101, 31</t>
  </si>
  <si>
    <t>L-1551-177066873</t>
  </si>
  <si>
    <t>III 101, 32</t>
  </si>
  <si>
    <t>L-1552-166775851</t>
  </si>
  <si>
    <t>III 101, 33</t>
  </si>
  <si>
    <t>L-1540-161526535</t>
  </si>
  <si>
    <t>III 101, 34</t>
  </si>
  <si>
    <t>L-1540-158110234</t>
  </si>
  <si>
    <t>L-1555-177913347</t>
  </si>
  <si>
    <t>III 101, 35</t>
  </si>
  <si>
    <t>L-1550-154864390</t>
  </si>
  <si>
    <t>III 101, 36</t>
  </si>
  <si>
    <t>L-1540-163763593</t>
  </si>
  <si>
    <t>III 101, 37</t>
  </si>
  <si>
    <t>L-1540-169770877</t>
  </si>
  <si>
    <t>L-1540-169496759</t>
  </si>
  <si>
    <t>99981530X</t>
  </si>
  <si>
    <t>III 101, 38</t>
  </si>
  <si>
    <t>L-1548-160341663</t>
  </si>
  <si>
    <t>III 101, 39</t>
  </si>
  <si>
    <t>L-1558-169513238</t>
  </si>
  <si>
    <t>III 101, 40</t>
  </si>
  <si>
    <t>L-1501-15663757X</t>
  </si>
  <si>
    <t>III 101, 41</t>
  </si>
  <si>
    <t>L-1536-17692017X</t>
  </si>
  <si>
    <t>III 101, 42</t>
  </si>
  <si>
    <t>L-2012-327106</t>
  </si>
  <si>
    <t>III 101, 43</t>
  </si>
  <si>
    <t>L-2019-302232</t>
  </si>
  <si>
    <t>118582569X</t>
  </si>
  <si>
    <t>III 101, 44</t>
  </si>
  <si>
    <t>L-1507-670401528</t>
  </si>
  <si>
    <t>III 101, 12 (Angebunden, Fragment)</t>
  </si>
  <si>
    <t>L-1534-154988871</t>
  </si>
  <si>
    <t>III 101, 14 a</t>
  </si>
  <si>
    <t>L-1558-175074690</t>
  </si>
  <si>
    <t>100154014X</t>
  </si>
  <si>
    <t>III 101, 14 b</t>
  </si>
  <si>
    <t>L-1533-158991907</t>
  </si>
  <si>
    <t>III 101, 19 a</t>
  </si>
  <si>
    <t>L-1512-315463279</t>
  </si>
  <si>
    <t>III 101, 2 a</t>
  </si>
  <si>
    <t>L-1512-166255823</t>
  </si>
  <si>
    <t>L-1502-169491854</t>
  </si>
  <si>
    <t>III 101, 2 b</t>
  </si>
  <si>
    <t>L-1516-315195681</t>
  </si>
  <si>
    <t>III 101, 2 c</t>
  </si>
  <si>
    <t>L-1515-167033263</t>
  </si>
  <si>
    <t>III 101, 2 d</t>
  </si>
  <si>
    <t>L-1540-315063815</t>
  </si>
  <si>
    <t>III 101, 22 a</t>
  </si>
  <si>
    <t>L-1557-169504190</t>
  </si>
  <si>
    <t>III 101, 27 a</t>
  </si>
  <si>
    <t>L-1540-15639877X</t>
  </si>
  <si>
    <t>III 101, 3 a</t>
  </si>
  <si>
    <t>L-1523-315317000</t>
  </si>
  <si>
    <t>III 101, 3 b</t>
  </si>
  <si>
    <t>L-1551-171070313</t>
  </si>
  <si>
    <t>III 101, 4 a</t>
  </si>
  <si>
    <t>L-1551-169106802</t>
  </si>
  <si>
    <t>L-1554-157751198</t>
  </si>
  <si>
    <t>III 101, 4b</t>
  </si>
  <si>
    <t>L-1505-31549025X</t>
  </si>
  <si>
    <t>III 102, 1</t>
  </si>
  <si>
    <t>L-1516-315491884</t>
  </si>
  <si>
    <t>III 103, 1</t>
  </si>
  <si>
    <t>L-1516-169679969</t>
  </si>
  <si>
    <t>III 103, 2</t>
  </si>
  <si>
    <t>L-1539-315490756</t>
  </si>
  <si>
    <t>III 103, 3</t>
  </si>
  <si>
    <t>L-1554-155912364</t>
  </si>
  <si>
    <t>III 103, 4</t>
  </si>
  <si>
    <t>L-1555-177026413</t>
  </si>
  <si>
    <t>III 103, 5</t>
  </si>
  <si>
    <t>L-1515-169169995</t>
  </si>
  <si>
    <t>III 103, 1a</t>
  </si>
  <si>
    <t>L-1515-169171450</t>
  </si>
  <si>
    <t>L-1532-169952711</t>
  </si>
  <si>
    <t>L-1520-175435847</t>
  </si>
  <si>
    <t>III 103, 1b</t>
  </si>
  <si>
    <t>L-1522-167626604</t>
  </si>
  <si>
    <t>L-1520-155918680</t>
  </si>
  <si>
    <t>L-1880-161836186</t>
  </si>
  <si>
    <t>III 103, 2 (2. angebundenes Werk)</t>
  </si>
  <si>
    <t>L-1522-167210017</t>
  </si>
  <si>
    <t>III 103, 2 a</t>
  </si>
  <si>
    <t>L-1504-154448257</t>
  </si>
  <si>
    <t>III 104, 1</t>
  </si>
  <si>
    <t>L-1504-315493054</t>
  </si>
  <si>
    <t>III 104, 2</t>
  </si>
  <si>
    <t>L-1508-315487321</t>
  </si>
  <si>
    <t>III 104, 3</t>
  </si>
  <si>
    <t>L-1520-315489227</t>
  </si>
  <si>
    <t>III 104, 5</t>
  </si>
  <si>
    <t>L-1524-315491906</t>
  </si>
  <si>
    <t>III 104, 6</t>
  </si>
  <si>
    <t>L-1523-315488670</t>
  </si>
  <si>
    <t>III 104, 7</t>
  </si>
  <si>
    <t>L-1525-31548912X</t>
  </si>
  <si>
    <t>III 104, 8</t>
  </si>
  <si>
    <t>L-1521-315470100</t>
  </si>
  <si>
    <t>III 104, 9</t>
  </si>
  <si>
    <t>L-1521-315488026</t>
  </si>
  <si>
    <t>106695738X</t>
  </si>
  <si>
    <t>III 104, 10</t>
  </si>
  <si>
    <t>L-1522-315488212</t>
  </si>
  <si>
    <t>III 104, 11</t>
  </si>
  <si>
    <t>L-1542-315491949</t>
  </si>
  <si>
    <t>III 104, 12</t>
  </si>
  <si>
    <t>L-1532-315488085</t>
  </si>
  <si>
    <t>III 104, 13</t>
  </si>
  <si>
    <t>L-1525-315492082</t>
  </si>
  <si>
    <t>III 104, 14</t>
  </si>
  <si>
    <t>L-1527-315493208</t>
  </si>
  <si>
    <t>III 104, 15</t>
  </si>
  <si>
    <t>L-1531-315494573</t>
  </si>
  <si>
    <t>III 104, 16</t>
  </si>
  <si>
    <t>L-1531-315489243</t>
  </si>
  <si>
    <t>III 104, 17</t>
  </si>
  <si>
    <t>L-1532-315307668</t>
  </si>
  <si>
    <t>III 104, 18</t>
  </si>
  <si>
    <t>L-1538-315492058</t>
  </si>
  <si>
    <t>III 104, 19</t>
  </si>
  <si>
    <t>L-1539-315083689</t>
  </si>
  <si>
    <t>III 104, 20</t>
  </si>
  <si>
    <t>L-1540-315494549</t>
  </si>
  <si>
    <t>III 104, 21</t>
  </si>
  <si>
    <t>L-1542-315488190</t>
  </si>
  <si>
    <t>III 104, 22</t>
  </si>
  <si>
    <t>L-1556-315306971</t>
  </si>
  <si>
    <t>III 104, 23</t>
  </si>
  <si>
    <t>L-1526-15395048X</t>
  </si>
  <si>
    <t>III 104, 24</t>
  </si>
  <si>
    <t>L-1529-315488611</t>
  </si>
  <si>
    <t>III 104, 25</t>
  </si>
  <si>
    <t>L-1544-315492015</t>
  </si>
  <si>
    <t>III 104, 27</t>
  </si>
  <si>
    <t>L-1546-315487704</t>
  </si>
  <si>
    <t>III 104, 28</t>
  </si>
  <si>
    <t>L-1551-343799960</t>
  </si>
  <si>
    <t>III 104, 29</t>
  </si>
  <si>
    <t>L-1559-167208330</t>
  </si>
  <si>
    <t>99892413X</t>
  </si>
  <si>
    <t>III 104, 30</t>
  </si>
  <si>
    <t>L-1527-315490543</t>
  </si>
  <si>
    <t>III 104, 31</t>
  </si>
  <si>
    <t>L-1531-315488182</t>
  </si>
  <si>
    <t>106695755X</t>
  </si>
  <si>
    <t>III 104, 32</t>
  </si>
  <si>
    <t>L-1543-315488204</t>
  </si>
  <si>
    <t>III 104, 33</t>
  </si>
  <si>
    <t>L-1545-315332085</t>
  </si>
  <si>
    <t>III 104, 34</t>
  </si>
  <si>
    <t>L-1535-315492155</t>
  </si>
  <si>
    <t>III 104, 35</t>
  </si>
  <si>
    <t>L-1548-315487852</t>
  </si>
  <si>
    <t>III 104, 36</t>
  </si>
  <si>
    <t>L-1522-315489073</t>
  </si>
  <si>
    <t>III 104, 37</t>
  </si>
  <si>
    <t>L-1523-315493569</t>
  </si>
  <si>
    <t>III 104, 38</t>
  </si>
  <si>
    <t>L-1524-315308095</t>
  </si>
  <si>
    <t>106684903X</t>
  </si>
  <si>
    <t>III 104, 39</t>
  </si>
  <si>
    <t>L-1521-315489014</t>
  </si>
  <si>
    <t>III 104, 40</t>
  </si>
  <si>
    <t>L-1523-167640313</t>
  </si>
  <si>
    <t>III 104, 41</t>
  </si>
  <si>
    <t>L-1559-16764470X</t>
  </si>
  <si>
    <t>99917097X</t>
  </si>
  <si>
    <t>III 104, 42</t>
  </si>
  <si>
    <t>L-1555-167644955</t>
  </si>
  <si>
    <t>L-1560-178434418</t>
  </si>
  <si>
    <t>III 104, 43</t>
  </si>
  <si>
    <t>L-1551-167081187</t>
  </si>
  <si>
    <t>III 104, 44</t>
  </si>
  <si>
    <t>L-2017-325817</t>
  </si>
  <si>
    <t>III 104, 45</t>
  </si>
  <si>
    <t>L-1520-164981233</t>
  </si>
  <si>
    <t>III 104, 10 a</t>
  </si>
  <si>
    <t>L-1523-170687309</t>
  </si>
  <si>
    <t>III 104, 10 b</t>
  </si>
  <si>
    <t>L-1528-167085565</t>
  </si>
  <si>
    <t>III 104, 10 c</t>
  </si>
  <si>
    <t>L-1524-167183281</t>
  </si>
  <si>
    <t>III 104, 14 a</t>
  </si>
  <si>
    <t>L-1525-168342634</t>
  </si>
  <si>
    <t>III 104, 14 b</t>
  </si>
  <si>
    <t>L-1524-156068702</t>
  </si>
  <si>
    <t>L-1527-167684795</t>
  </si>
  <si>
    <t>III 104, 15 a</t>
  </si>
  <si>
    <t>L-1529-167684949</t>
  </si>
  <si>
    <t>III 104, 15 b</t>
  </si>
  <si>
    <t>L-1556-315062746</t>
  </si>
  <si>
    <t>106667423X</t>
  </si>
  <si>
    <t>III 104, 16 a</t>
  </si>
  <si>
    <t>L-1536-167113534</t>
  </si>
  <si>
    <t>III 104, 18 a</t>
  </si>
  <si>
    <t>L-1536-167934902</t>
  </si>
  <si>
    <t>III 104, 18 b</t>
  </si>
  <si>
    <t>L-1880-669845418</t>
  </si>
  <si>
    <t>III 104, 19 (1. angebundenes Werk)</t>
  </si>
  <si>
    <t>L-1880-669844985</t>
  </si>
  <si>
    <t>III 104, 19 (2. angebundenes Werk)</t>
  </si>
  <si>
    <t>L-1537-159443032</t>
  </si>
  <si>
    <t>III 104, 19 a</t>
  </si>
  <si>
    <t>L-1506-679691367</t>
  </si>
  <si>
    <t>III 104, 2 (1. angebundenes Werk)</t>
  </si>
  <si>
    <t>L-1619-670404942</t>
  </si>
  <si>
    <t>III 104, 20 (1. angebundenes Werk)</t>
  </si>
  <si>
    <t>L-1619-670405078</t>
  </si>
  <si>
    <t>III 104, 20 (2. angebundenes Werk)</t>
  </si>
  <si>
    <t>L-1550-16708013X</t>
  </si>
  <si>
    <t>L-1553-167080180</t>
  </si>
  <si>
    <t>L-1539-167079905</t>
  </si>
  <si>
    <t>L-1539-167183672</t>
  </si>
  <si>
    <t>III 104, 20 b</t>
  </si>
  <si>
    <t>L-1539-167109278</t>
  </si>
  <si>
    <t>III 104, 21 a</t>
  </si>
  <si>
    <t>L-1542-153948558</t>
  </si>
  <si>
    <t>III 104, 22 a</t>
  </si>
  <si>
    <t>L-1543-167685090</t>
  </si>
  <si>
    <t>III 104, 22 e</t>
  </si>
  <si>
    <t>L-1537-170696677</t>
  </si>
  <si>
    <t>III 104, 22 g</t>
  </si>
  <si>
    <t>L-1537-164064389</t>
  </si>
  <si>
    <t>L-1549-167645609</t>
  </si>
  <si>
    <t>L-1539-167629344</t>
  </si>
  <si>
    <t>L-1615-164493816</t>
  </si>
  <si>
    <t>L-1549-167646265</t>
  </si>
  <si>
    <t>III 104, 22 h</t>
  </si>
  <si>
    <t>L-1521-670015342</t>
  </si>
  <si>
    <t>III 104, 25 (1. angebundenes Werk)</t>
  </si>
  <si>
    <t>L-1529-156634635</t>
  </si>
  <si>
    <t>99456354X</t>
  </si>
  <si>
    <t>III 104, 25 a</t>
  </si>
  <si>
    <t>L-1534-167205846</t>
  </si>
  <si>
    <t>III 104, 25 b</t>
  </si>
  <si>
    <t>L-1534-164451234</t>
  </si>
  <si>
    <t>III 104, 26 a</t>
  </si>
  <si>
    <t>L-1535-154040312</t>
  </si>
  <si>
    <t>III 104, 26 b</t>
  </si>
  <si>
    <t>L-1536-171223543</t>
  </si>
  <si>
    <t>III 104, 26 c</t>
  </si>
  <si>
    <t>L-1535-167648985</t>
  </si>
  <si>
    <t>III 104, 26 d</t>
  </si>
  <si>
    <t>L-1532-167641727</t>
  </si>
  <si>
    <t>III 104, 32 a</t>
  </si>
  <si>
    <t>L-1531-167640917</t>
  </si>
  <si>
    <t>L-1540-167629735</t>
  </si>
  <si>
    <t>III 104, 32 b</t>
  </si>
  <si>
    <t>L-1541-16763996X</t>
  </si>
  <si>
    <t>III 104, 32 c</t>
  </si>
  <si>
    <t>L-1529-167648578</t>
  </si>
  <si>
    <t>III 104, 32 d</t>
  </si>
  <si>
    <t>L-1538-167110322</t>
  </si>
  <si>
    <t>L-1538-167209035</t>
  </si>
  <si>
    <t>L-1530-167209701</t>
  </si>
  <si>
    <t>III 104, 32 e</t>
  </si>
  <si>
    <t>L-1536-167186949</t>
  </si>
  <si>
    <t>III 104, 32 f</t>
  </si>
  <si>
    <t>L-1536-167187783</t>
  </si>
  <si>
    <t>III 104, 32 g</t>
  </si>
  <si>
    <t>L-1536-158186060</t>
  </si>
  <si>
    <t>III 104, 32 h</t>
  </si>
  <si>
    <t>L-1536-167648225</t>
  </si>
  <si>
    <t>III 104, 32 i</t>
  </si>
  <si>
    <t>L-1537-164064397</t>
  </si>
  <si>
    <t>III 104, 32 k</t>
  </si>
  <si>
    <t>L-1530-167110020</t>
  </si>
  <si>
    <t>III 104, 32 m</t>
  </si>
  <si>
    <t>L-1532-156356422</t>
  </si>
  <si>
    <t>III 104, 32/a</t>
  </si>
  <si>
    <t>L-1546-167638696</t>
  </si>
  <si>
    <t>III 104, 34 a</t>
  </si>
  <si>
    <t>L-1546-16763013X</t>
  </si>
  <si>
    <t>III 104, 34 b</t>
  </si>
  <si>
    <t>L-1530-167206249</t>
  </si>
  <si>
    <t>III 104, 35 a</t>
  </si>
  <si>
    <t>L-1522-175547769</t>
  </si>
  <si>
    <t>III 104, 37 a</t>
  </si>
  <si>
    <t>L-1533-153916281</t>
  </si>
  <si>
    <t>III 104, 37 b</t>
  </si>
  <si>
    <t>L-1535-16710943X</t>
  </si>
  <si>
    <t>III 104, 37 c</t>
  </si>
  <si>
    <t>L-1538-167685309</t>
  </si>
  <si>
    <t>III 104, 37 d</t>
  </si>
  <si>
    <t>L-1540-154381578</t>
  </si>
  <si>
    <t>99405288X</t>
  </si>
  <si>
    <t>III 104, 37 e</t>
  </si>
  <si>
    <t>L-1536-163195579</t>
  </si>
  <si>
    <t>III 104, 37 f</t>
  </si>
  <si>
    <t>L-1542-167110535</t>
  </si>
  <si>
    <t>III 104, 37 g</t>
  </si>
  <si>
    <t>L-2006-318808</t>
  </si>
  <si>
    <t>III 104, 37 h</t>
  </si>
  <si>
    <t>L-1523-668129328</t>
  </si>
  <si>
    <t>III 104, 39 (1. angebundenes Werk)</t>
  </si>
  <si>
    <t>L-1524-668132728</t>
  </si>
  <si>
    <t>III 104, 39 (10. angebundenes Werk)</t>
  </si>
  <si>
    <t>L-1524-668129654</t>
  </si>
  <si>
    <t>III 104, 39 (11. angebundenes Werk)</t>
  </si>
  <si>
    <t>L-1524-668129565</t>
  </si>
  <si>
    <t>III 104, 39 (12. angebundenes Werk)</t>
  </si>
  <si>
    <t>L-1524-668130490</t>
  </si>
  <si>
    <t>III 104, 39 (2. angebundenes Werk)</t>
  </si>
  <si>
    <t>L-1523-668130350</t>
  </si>
  <si>
    <t>III 104, 39 (3. angebundenes Werk)</t>
  </si>
  <si>
    <t>L-1522-668129840</t>
  </si>
  <si>
    <t>120757645X</t>
  </si>
  <si>
    <t>III 104, 39 (4. angebundenes Werk)</t>
  </si>
  <si>
    <t>L-1521-668130164</t>
  </si>
  <si>
    <t>III 104, 39 (5. angebundenes Werk)</t>
  </si>
  <si>
    <t>L-1521-667831495</t>
  </si>
  <si>
    <t>III 104, 39 (6. angebundenes Werk)</t>
  </si>
  <si>
    <t>L-1521-668130687</t>
  </si>
  <si>
    <t>III 104, 39 (7. angebundenes Werk)</t>
  </si>
  <si>
    <t>L-1523-66813268X</t>
  </si>
  <si>
    <t>III 104, 39 (8. angebundenes Werk)</t>
  </si>
  <si>
    <t>L-1524-668129700</t>
  </si>
  <si>
    <t>III 104, 39 (9. angebundenes Werk)</t>
  </si>
  <si>
    <t>L-1521-167207245</t>
  </si>
  <si>
    <t>III 104, 4 a</t>
  </si>
  <si>
    <t>L-1522-165117656</t>
  </si>
  <si>
    <t>99785636X</t>
  </si>
  <si>
    <t>III 104, 5 a</t>
  </si>
  <si>
    <t>L-1522-167107100</t>
  </si>
  <si>
    <t>99888409X</t>
  </si>
  <si>
    <t>III 104, 5 b</t>
  </si>
  <si>
    <t>L-1522-167107844</t>
  </si>
  <si>
    <t>99888488X</t>
  </si>
  <si>
    <t>L-1524-315488034</t>
  </si>
  <si>
    <t>III 104, 6 (1. angebundenes Werk)</t>
  </si>
  <si>
    <t>L-1524-670826324</t>
  </si>
  <si>
    <t>III 104, 6 (2. angebundenes Werk)</t>
  </si>
  <si>
    <t>L-1521-667967079</t>
  </si>
  <si>
    <t>III 104, 9 (1. angebundenes Werk)</t>
  </si>
  <si>
    <t>L-1523-667966862</t>
  </si>
  <si>
    <t>III 104, 9 (2. angebundenes Werk)</t>
  </si>
  <si>
    <t>L-1602-667962522</t>
  </si>
  <si>
    <t>III 104, 9 (3. angebundenes Werk)</t>
  </si>
  <si>
    <t>L-1635-666831262</t>
  </si>
  <si>
    <t>III 104, 9 (4. angebundenes Werk)</t>
  </si>
  <si>
    <t>L-1634-667962638</t>
  </si>
  <si>
    <t>III 104, 9 (5. angebundenes Werk)</t>
  </si>
  <si>
    <t>L-2009-324235</t>
  </si>
  <si>
    <t>III 104, 9 a</t>
  </si>
  <si>
    <t>L-1540-315332417</t>
  </si>
  <si>
    <t>III 105, 1</t>
  </si>
  <si>
    <t>L-1541-31533214X</t>
  </si>
  <si>
    <t>III 105, 2</t>
  </si>
  <si>
    <t>L-1541-315327685</t>
  </si>
  <si>
    <t>III 105, 3</t>
  </si>
  <si>
    <t>L-1529-331723204</t>
  </si>
  <si>
    <t>III 106, 1</t>
  </si>
  <si>
    <t>L-1530-315487763</t>
  </si>
  <si>
    <t>III 106, 2</t>
  </si>
  <si>
    <t>L-1536-315326794</t>
  </si>
  <si>
    <t>III 106, 3</t>
  </si>
  <si>
    <t>L-1539-31533102X</t>
  </si>
  <si>
    <t>III 106, 4</t>
  </si>
  <si>
    <t>L-1535-670685798</t>
  </si>
  <si>
    <t>III 106, 3 (Angebundenes Werk)</t>
  </si>
  <si>
    <t>L-1503-315490683</t>
  </si>
  <si>
    <t>III 107, 1</t>
  </si>
  <si>
    <t>L-1524-315493550</t>
  </si>
  <si>
    <t>III 108, 1</t>
  </si>
  <si>
    <t>L-1526-315493542</t>
  </si>
  <si>
    <t>III 108, 2</t>
  </si>
  <si>
    <t>L-1551-315317175</t>
  </si>
  <si>
    <t>III 108, 3</t>
  </si>
  <si>
    <t>L-1557-315491930</t>
  </si>
  <si>
    <t>III 108, 4</t>
  </si>
  <si>
    <t>L-1544-315218762</t>
  </si>
  <si>
    <t>106679863X</t>
  </si>
  <si>
    <t>III 108, 5</t>
  </si>
  <si>
    <t>L-1522-180631152</t>
  </si>
  <si>
    <t>III 108, 2 a</t>
  </si>
  <si>
    <t>L-1528-163047200</t>
  </si>
  <si>
    <t>III 108, 2 b</t>
  </si>
  <si>
    <t>L-1530-180629530</t>
  </si>
  <si>
    <t>III 108, 2 c</t>
  </si>
  <si>
    <t>L-1536-18062928X</t>
  </si>
  <si>
    <t>L-1535-180631810</t>
  </si>
  <si>
    <t>L-1563-67490303X</t>
  </si>
  <si>
    <t>120970370X</t>
  </si>
  <si>
    <t>III 108, 4 (1. angebundenes Werk)</t>
  </si>
  <si>
    <t>L-1563-674895401</t>
  </si>
  <si>
    <t>III 108, 4 (2. angebundenes Werk)</t>
  </si>
  <si>
    <t>L-1524-16738046X</t>
  </si>
  <si>
    <t>III 109, 1</t>
  </si>
  <si>
    <t>L-1523-315469854</t>
  </si>
  <si>
    <t>III 109, 2</t>
  </si>
  <si>
    <t>L-1523-315494522</t>
  </si>
  <si>
    <t>III 109, 3</t>
  </si>
  <si>
    <t>L-1524-315492341</t>
  </si>
  <si>
    <t>III 109, 4</t>
  </si>
  <si>
    <t>L-1540-315487720</t>
  </si>
  <si>
    <t>106695710X</t>
  </si>
  <si>
    <t>III 109, 5</t>
  </si>
  <si>
    <t>L-1523-678531870</t>
  </si>
  <si>
    <t>III 109, 2 (1. angebundenes Werk)</t>
  </si>
  <si>
    <t>L-1523-679441379</t>
  </si>
  <si>
    <t>III 109, 2 (2. angebundenes Werk)</t>
  </si>
  <si>
    <t>L-1879-670535966</t>
  </si>
  <si>
    <t>III 109, 4 (1. angebundenes Werk)</t>
  </si>
  <si>
    <t>L-1880-670535192</t>
  </si>
  <si>
    <t>III 109, 4 (2.angebundenes Werk)</t>
  </si>
  <si>
    <t>L-1858-67053563X</t>
  </si>
  <si>
    <t>III 109, 4 (3. angebundenes Werk)</t>
  </si>
  <si>
    <t>L-1870-670534641</t>
  </si>
  <si>
    <t>III 109, 4 (angebunden)</t>
  </si>
  <si>
    <t>L-1525-315494344</t>
  </si>
  <si>
    <t>III 110, 1</t>
  </si>
  <si>
    <t>L-1559-180416669</t>
  </si>
  <si>
    <t>III 110, 2</t>
  </si>
  <si>
    <t>L-1519-315487658</t>
  </si>
  <si>
    <t>III 110, 3</t>
  </si>
  <si>
    <t>L-1546-175573042</t>
  </si>
  <si>
    <t>III 110, 5</t>
  </si>
  <si>
    <t>L-1583-315465247</t>
  </si>
  <si>
    <t>III 110, 6</t>
  </si>
  <si>
    <t>L-1521-315490349</t>
  </si>
  <si>
    <t>106695982X</t>
  </si>
  <si>
    <t>III 110, 7</t>
  </si>
  <si>
    <t>L-1546-15823796X</t>
  </si>
  <si>
    <t>III 110, 8</t>
  </si>
  <si>
    <t>L-1539-170700631</t>
  </si>
  <si>
    <t>100048369X</t>
  </si>
  <si>
    <t>III 11 D, 1</t>
  </si>
  <si>
    <t>L-1539-170700836</t>
  </si>
  <si>
    <t>III 11 D, 1 a</t>
  </si>
  <si>
    <t>L-1519-171699971</t>
  </si>
  <si>
    <t>III 2 B, 1</t>
  </si>
  <si>
    <t>L-1557-155411853</t>
  </si>
  <si>
    <t>III 38 C, 1</t>
  </si>
  <si>
    <t>L-1550-154006726</t>
  </si>
  <si>
    <t>III 38 G, 1</t>
  </si>
  <si>
    <t>L-1523-165116986</t>
  </si>
  <si>
    <t>III 47 D, 1</t>
  </si>
  <si>
    <t>L-1520-31549462X</t>
  </si>
  <si>
    <t>III 61 A, 1</t>
  </si>
  <si>
    <t>L-1516-162612133</t>
  </si>
  <si>
    <t>III 73 A, 1</t>
  </si>
  <si>
    <t>L-1510-15538287X</t>
  </si>
  <si>
    <t>99431339X</t>
  </si>
  <si>
    <t>III 74 A, 1</t>
  </si>
  <si>
    <t>L-1558-154381950</t>
  </si>
  <si>
    <t>III 99 D, 1</t>
  </si>
  <si>
    <t>L-1564-163253587</t>
  </si>
  <si>
    <t>DA III 104, 23 d</t>
  </si>
  <si>
    <t>L-1559-165267879</t>
  </si>
  <si>
    <t>L-1531-315216824</t>
  </si>
  <si>
    <t>DA III 104, 26</t>
  </si>
  <si>
    <t>L-1521-315488409</t>
  </si>
  <si>
    <t>DA III 3, 14 a</t>
  </si>
  <si>
    <t>L-1522-159340187</t>
  </si>
  <si>
    <t>DA III 51, 14 a</t>
  </si>
  <si>
    <t>L-1520-163974322</t>
  </si>
  <si>
    <t>DA III 51, 23 b</t>
  </si>
  <si>
    <t>L-1519-315490586</t>
  </si>
  <si>
    <t>DA III 51, 31</t>
  </si>
  <si>
    <t>L-1519-167114379</t>
  </si>
  <si>
    <t>DA III 51, 6 a</t>
  </si>
  <si>
    <t>L-1520-315469781</t>
  </si>
  <si>
    <t>DA III 60, 21</t>
  </si>
  <si>
    <t>L-1524-678834245</t>
  </si>
  <si>
    <t>DA III 60, 21 (Angebundenes Werk)</t>
  </si>
  <si>
    <t>L-1525-158505301</t>
  </si>
  <si>
    <t>DA III 69, 32</t>
  </si>
  <si>
    <t>L-1527-158502809</t>
  </si>
  <si>
    <t>DA III 69, 32 angebunden</t>
  </si>
  <si>
    <t>Standort Normalformate 4. EWB, 4. OG Reihe 44</t>
  </si>
  <si>
    <t>Standort Großformate 4. EWB, 4. OG Reihe 38</t>
  </si>
  <si>
    <t>hohler Rücken, welliger Buchblock</t>
  </si>
  <si>
    <t>Ledereinband, Schließen, erhabene Buchbeschläge</t>
  </si>
  <si>
    <t>hohler Rücken, welliger Buchblock, Einband mit Schutz- oder Stoßkanten</t>
  </si>
  <si>
    <t>hohler Rücken, Einband mit Schutz- oder Stoßkanten</t>
  </si>
  <si>
    <t>fester Rücken mit Schmuckprägung, Schrift bis in den Falz</t>
  </si>
  <si>
    <t>stark brüchiges Einbandmaterial, fester Rücken mit Schmuckprägung</t>
  </si>
  <si>
    <t>hohler Rücken, Schrift bis in den Falz</t>
  </si>
  <si>
    <t>Halbledereinband, Schließen, erhabene Buchbeschläge</t>
  </si>
  <si>
    <t>welliger Buchblock, hohler Rücken</t>
  </si>
  <si>
    <t>Gewebeeinband, Schließen, erhabene Buchbeschläge</t>
  </si>
  <si>
    <t>hohler Rücken, stark brüchiges Einbandmaterial</t>
  </si>
  <si>
    <t>Pergamentband, Schließen, erhabene Buchbeschläge</t>
  </si>
  <si>
    <t>Halbpergamentband, Schließen, erhabene Buchbeschläge</t>
  </si>
  <si>
    <t>Papier- oder Pappeinband, Schließen, erhabene Buchbeschläge</t>
  </si>
  <si>
    <t>Broschur, Papier- oder Pappeinband</t>
  </si>
  <si>
    <t>Broschur, Halbpergamentband</t>
  </si>
  <si>
    <t>Broschur, Halbgewebeband</t>
  </si>
  <si>
    <t>fester Rücken mit Schmuckprägung, welliger Buchblock, Schrift bis in den Falz</t>
  </si>
  <si>
    <t>fester Rücken mit Schmuckprägung, stark brüchiges Einbandmaterial</t>
  </si>
  <si>
    <t>defekte Schließe in Sammelbox</t>
  </si>
  <si>
    <t>hohler Rücken, Kupferfraß</t>
  </si>
  <si>
    <t>III 6, 15 a (Angebundenes Werk)</t>
  </si>
  <si>
    <t>III 6, 27 a - 1</t>
  </si>
  <si>
    <t>III 6, 27 a - 2</t>
  </si>
  <si>
    <t>III 6, 27 d - 3</t>
  </si>
  <si>
    <t>III 6, 27 d - 2</t>
  </si>
  <si>
    <t>fester Rücken mit Schmuckprägung, welliger Buchblock</t>
  </si>
  <si>
    <t>III 6, 27 d - 4</t>
  </si>
  <si>
    <t>fester Rücken mit Schmuckprägung, welliger Buchblock, Tintenfraß</t>
  </si>
  <si>
    <t>Nein, Signaturfahne austauschen</t>
  </si>
  <si>
    <t>Einband und Buchblock jeweils einzeln im Archivkarton</t>
  </si>
  <si>
    <t>fester Rücken mit Schmuckprägung, gefaltete Blätter</t>
  </si>
  <si>
    <t>x</t>
  </si>
  <si>
    <t>gereinigt</t>
  </si>
  <si>
    <t>steht in ÜF</t>
  </si>
  <si>
    <t>Standort ÜF 4. EWB, 4. OG R 73A/ 10/ 1</t>
  </si>
  <si>
    <t>III 21, 3</t>
  </si>
  <si>
    <t>falscher Link zum Portal; Link gehört zu III 21, 3</t>
  </si>
  <si>
    <t>III 21, 21 a (Angebundenes Werk)</t>
  </si>
  <si>
    <t>III 21, 21 a ( 1. Angebundenes Werk)</t>
  </si>
  <si>
    <t>III 21, 21 a ( 3. Angebundenes Werk)</t>
  </si>
  <si>
    <t>III 21, 21 a ( 2. Angebundenes Werk)</t>
  </si>
  <si>
    <t>III 21, 21 a ( 7. Angebundenes Werk)</t>
  </si>
  <si>
    <t>III 21, 21 a ( 6. Angebundenes Werk)</t>
  </si>
  <si>
    <t>III 21, 21 a ( 4. Angebundenes Werk)</t>
  </si>
  <si>
    <t>III 21, 21 a ( 5. Angebundenes Werk)</t>
  </si>
  <si>
    <t>III 21, 21 c (Angebundenes Werk)</t>
  </si>
  <si>
    <t>hohler Rücken, stark deformiertes Objekt</t>
  </si>
  <si>
    <t>Pergamentband, Broschur</t>
  </si>
  <si>
    <t>hohler Rücken, Mehrfacheinbände innerhalb eines Buches</t>
  </si>
  <si>
    <t>hohler Rücken, Schrift bis in den Falz, stark brüchiges Einbandmaterial</t>
  </si>
  <si>
    <t>Halbgewebeband, Schließen, erhabene Buchbeschläge</t>
  </si>
  <si>
    <t>Kassette enthält auch alten Einband</t>
  </si>
  <si>
    <t>III 38 A, 1</t>
  </si>
  <si>
    <t>hohler Rücken, Schrift bis in den Falz, welliger Buchblock</t>
  </si>
  <si>
    <t>Halbgewebeband, Broschur</t>
  </si>
  <si>
    <t>hohler Rücken, stark brüchiges Einbandmaterial, Schrift bis in den Falz</t>
  </si>
  <si>
    <t>fester Rücken mit Schmuckprägung, Schrift bis in den Falz, stark brüchiges Einbandmaterial</t>
  </si>
  <si>
    <t>Halbledereinband, Ungebunden, Schließen, erhabene Buchbeschläge</t>
  </si>
  <si>
    <t>Schrift bis in den Falz, fester Rücken mit Schmuckprägung, stark brüchiges Einbandmaterial</t>
  </si>
  <si>
    <t>Band in Ausstellung</t>
  </si>
  <si>
    <t>Block und Einband zusammenfügen</t>
  </si>
  <si>
    <t>Schrift bis in den Falz, hohler Rücken</t>
  </si>
  <si>
    <t>III 51, 28 f (1. Angebundenes Werk)</t>
  </si>
  <si>
    <t>Buchblock und Einband getrennt</t>
  </si>
  <si>
    <t>III 51, 33 (Dauerausstellung)</t>
  </si>
  <si>
    <t>III 57, 3 ( Angebundenes Werk)</t>
  </si>
  <si>
    <t>enth. Blindlagen</t>
  </si>
  <si>
    <t>III 57, 12 - 2</t>
  </si>
  <si>
    <t>Einband mit Schutz- oder Stoßkanten, hohler Rücken</t>
  </si>
  <si>
    <t>Originaleinband mit Schließen extra in Kassette</t>
  </si>
  <si>
    <t>fester Rücken mit Schmuckprägung, Kreide, Pastell oder Rußtinte</t>
  </si>
  <si>
    <t>III 60, 49</t>
  </si>
  <si>
    <t>Einband und Buchblock separat</t>
  </si>
  <si>
    <t>Einband und Lagen separat</t>
  </si>
  <si>
    <t>Einband und Buchblock sperat</t>
  </si>
  <si>
    <t>Einband und Buchblock seperat</t>
  </si>
  <si>
    <t>enthält Blindlagen</t>
  </si>
  <si>
    <t>Seiten glätten?</t>
  </si>
  <si>
    <t>mit Blindlagen</t>
  </si>
  <si>
    <t>Originaleinband liegt bei</t>
  </si>
  <si>
    <t>III 69, 16 a - 2</t>
  </si>
  <si>
    <t>welliger Buchblock, fester Rücken mit Schmuckprägung</t>
  </si>
  <si>
    <t>Einband mit Schutz- oder Stoßkanten, Schrift bis in den Falz, welliger Buchblock</t>
  </si>
  <si>
    <t>Schrift bis in den Falz, welliger Buchblock, stark brüchiges Einbandmaterial</t>
  </si>
  <si>
    <t>III 51, 3</t>
  </si>
  <si>
    <t>mit Blindmaterial</t>
  </si>
  <si>
    <t>fester Rücken mit Schmuckprägung, welliger Buchblock, stark brüchiges Einbandmaterial</t>
  </si>
  <si>
    <t>III 69, 29 a</t>
  </si>
  <si>
    <t>mit  Blindmaterial</t>
  </si>
  <si>
    <t>III 69, 29 b</t>
  </si>
  <si>
    <t>III 69, 31</t>
  </si>
  <si>
    <t>III 69, 32</t>
  </si>
  <si>
    <t>III 73, 11</t>
  </si>
  <si>
    <t>Band steht in Austellung</t>
  </si>
  <si>
    <t>Fragmente beiliegend</t>
  </si>
  <si>
    <t>III 73, 32 a  (1. Angebundenes Werk)</t>
  </si>
  <si>
    <t>III 73, 32 a  (2. Angebundenes Werk)</t>
  </si>
  <si>
    <t>III 73, 33 a ( angebundenes Werk)</t>
  </si>
  <si>
    <t>III 73, 36</t>
  </si>
  <si>
    <t>hohler Rücken, erhabene Illuminationen</t>
  </si>
  <si>
    <t>III 73, 40 b (angebundenes Werk)</t>
  </si>
  <si>
    <t>fester Rücken mit Schmuckprägung, gefaltete Blätter, welliger Buchblock</t>
  </si>
  <si>
    <t>III 73, 51</t>
  </si>
  <si>
    <t xml:space="preserve">mit Blindmaterial </t>
  </si>
  <si>
    <t>Ledereinband, Buchblock aus Pergament</t>
  </si>
  <si>
    <t>hohler Rücken, gefaltete Blätter</t>
  </si>
  <si>
    <t>III 77, 1</t>
  </si>
  <si>
    <t>Halbgewebeband, Halbledereinband</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</si>
  <si>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</si>
  <si>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</si>
  <si>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</si>
  <si>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</si>
  <si>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</si>
  <si>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</si>
  <si>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</si>
  <si>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</si>
  <si>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</si>
  <si>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Standorte</t>
  </si>
  <si>
    <t>Informationen zu dieser Mappe</t>
  </si>
  <si>
    <t>Veränderungen an dieser Mappe:</t>
  </si>
  <si>
    <t>wann</t>
  </si>
  <si>
    <t>wer</t>
  </si>
  <si>
    <t>was</t>
  </si>
  <si>
    <t>F. Thomschke</t>
  </si>
  <si>
    <t>zusätzlich Zebra in Signaturspalte eingefügt</t>
  </si>
  <si>
    <t>relative Zellbezüge eingefügt (auf III_Drucke 1501-1560, Schäden_Einband, Schäden_Buchblock)</t>
  </si>
  <si>
    <t>Narben spaltet sich ab</t>
  </si>
  <si>
    <t>Heftung zerstört</t>
  </si>
  <si>
    <t>Risse am Rand</t>
  </si>
  <si>
    <t>Falten / Knicke</t>
  </si>
  <si>
    <t>Register-marken fragil</t>
  </si>
  <si>
    <t>HD</t>
  </si>
  <si>
    <t>f</t>
  </si>
  <si>
    <t>Pa</t>
  </si>
  <si>
    <t>ja vor</t>
  </si>
  <si>
    <t>G</t>
  </si>
  <si>
    <t>Pg</t>
  </si>
  <si>
    <t>h/E</t>
  </si>
  <si>
    <t>B/I/R</t>
  </si>
  <si>
    <t>xx</t>
  </si>
  <si>
    <t>nur 110</t>
  </si>
  <si>
    <t>n</t>
  </si>
  <si>
    <t>HL</t>
  </si>
  <si>
    <t>f/V</t>
  </si>
  <si>
    <t>ja vor und nach</t>
  </si>
  <si>
    <t>Digi-Grenzfall --&gt; Bundsteg muss an probieren</t>
  </si>
  <si>
    <t>v/h</t>
  </si>
  <si>
    <t>vor Digit. erstmal nur Umschlag und Notsicherung fragilen Leders am Rücken, danach dann Rest. der Gelenke</t>
  </si>
  <si>
    <t>I/R</t>
  </si>
  <si>
    <t>x sauer</t>
  </si>
  <si>
    <t>B: 15x21
F: 33x42</t>
  </si>
  <si>
    <t>VD</t>
  </si>
  <si>
    <t>nahezu gesamter BB mit Rissen, Fehlstellen, wattierten Blattbereichen; Rest.bedarf muss noch genauer geschätzt werden</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</si>
  <si>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</si>
  <si>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</si>
  <si>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</si>
  <si>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</si>
  <si>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</si>
  <si>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u</t>
  </si>
  <si>
    <t>oben</t>
  </si>
  <si>
    <t>o</t>
  </si>
  <si>
    <t>Rückdeckel</t>
  </si>
  <si>
    <t>RD</t>
  </si>
  <si>
    <t>Vorderdeckel</t>
  </si>
  <si>
    <t>hinten</t>
  </si>
  <si>
    <t>h</t>
  </si>
  <si>
    <t>vorn</t>
  </si>
  <si>
    <t>v</t>
  </si>
  <si>
    <t>Schäden/
Restaurierung</t>
  </si>
  <si>
    <t>Rubrikation</t>
  </si>
  <si>
    <t>R</t>
  </si>
  <si>
    <t>Initalien</t>
  </si>
  <si>
    <t>I</t>
  </si>
  <si>
    <t>Buchmalerei</t>
  </si>
  <si>
    <t>B</t>
  </si>
  <si>
    <t>Kolorierung</t>
  </si>
  <si>
    <t>K</t>
  </si>
  <si>
    <t>Ausstattung</t>
  </si>
  <si>
    <t>hohler Rücken mit Einlage</t>
  </si>
  <si>
    <t>fester Rücken mit Vergoldung</t>
  </si>
  <si>
    <t>fester Rücken</t>
  </si>
  <si>
    <t>Rücken</t>
  </si>
  <si>
    <t>Einzelblätter</t>
  </si>
  <si>
    <t>EB</t>
  </si>
  <si>
    <t>ohne Einband (ungebunden)</t>
  </si>
  <si>
    <t>oE</t>
  </si>
  <si>
    <t>HPg</t>
  </si>
  <si>
    <t>L</t>
  </si>
  <si>
    <t>Holzdeckelband</t>
  </si>
  <si>
    <t>HG</t>
  </si>
  <si>
    <t>Br</t>
  </si>
  <si>
    <t>Schutzbehältnis</t>
  </si>
  <si>
    <t>SB</t>
  </si>
  <si>
    <t>Überformat</t>
  </si>
  <si>
    <t>ÜF</t>
  </si>
  <si>
    <t>allg.</t>
  </si>
  <si>
    <t>Auflösung</t>
  </si>
  <si>
    <t>Abkürzung</t>
  </si>
  <si>
    <t xml:space="preserve">Signaturgruppe III </t>
  </si>
  <si>
    <t>Einfügen neuer Spalten in das Hauptblatt "III_Drucke 1501-1560". Diese worden mit Zebra versehen.</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</si>
  <si>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</si>
  <si>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</si>
  <si>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</si>
  <si>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</si>
  <si>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</si>
  <si>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</si>
  <si>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</si>
  <si>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</si>
  <si>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</si>
  <si>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</si>
  <si>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</si>
  <si>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</si>
  <si>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</si>
  <si>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</si>
  <si>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</si>
  <si>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</si>
  <si>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</si>
  <si>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</si>
  <si>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</si>
  <si>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</si>
  <si>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</si>
  <si>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</si>
  <si>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</si>
  <si>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</si>
  <si>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</si>
  <si>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</si>
  <si>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</si>
  <si>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</si>
  <si>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</si>
  <si>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</si>
  <si>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</si>
  <si>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</si>
  <si>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</si>
  <si>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</si>
  <si>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</si>
  <si>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</si>
  <si>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</si>
  <si>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</si>
  <si>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</si>
  <si>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</si>
  <si>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</si>
  <si>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</si>
  <si>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</si>
  <si>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</si>
  <si>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</si>
  <si>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</si>
  <si>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</si>
  <si>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</si>
  <si>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</si>
  <si>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</si>
  <si>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</si>
  <si>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</si>
  <si>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</si>
  <si>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</si>
  <si>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</si>
  <si>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</si>
  <si>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</si>
  <si>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</si>
  <si>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</si>
  <si>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</si>
  <si>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</si>
  <si>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</si>
  <si>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</si>
  <si>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Schutzbehältnis empfohlen</t>
  </si>
  <si>
    <t>DA</t>
  </si>
  <si>
    <t>nur Einband (Papierband) am Standort (Inhalt offenbar heraus gelöst)</t>
  </si>
  <si>
    <t>max 110</t>
  </si>
  <si>
    <t>Gewebe</t>
  </si>
  <si>
    <t>Box (wegen Deckeln)</t>
  </si>
  <si>
    <t>JP+Gewebe unterlegen</t>
  </si>
  <si>
    <t>x 110</t>
  </si>
  <si>
    <t>Schaden ist stabil</t>
  </si>
  <si>
    <t>III 95, 8 (angebunden)</t>
  </si>
  <si>
    <t>Box (sperrt)</t>
  </si>
  <si>
    <t>III 95, 13 (angebunden)</t>
  </si>
  <si>
    <t>III 95, 17 b</t>
  </si>
  <si>
    <t>III 95, 24 c (angebunden)</t>
  </si>
  <si>
    <t>Halbgewebe mit Papier</t>
  </si>
  <si>
    <t>mit JP+Gewebe unterlegen</t>
  </si>
  <si>
    <t>Gelenk vorn ganz durchtrennen?, mit JP+Gewebe unterlegen</t>
  </si>
  <si>
    <t>III 99, 3 (angebunden)</t>
  </si>
  <si>
    <t>Schaden am Einband ist stabil genug</t>
  </si>
  <si>
    <t>ca. mittig des BB am Fuß immer wieder Risse; Schaden am Einband belassen (ist m.E. stabil genug)</t>
  </si>
  <si>
    <t>Flexibler Perg.bd. mit Klappe (Kopert)</t>
  </si>
  <si>
    <t>Aldine</t>
  </si>
  <si>
    <t>Ecken festigen, Gelenk hinten überfangen</t>
  </si>
  <si>
    <t>III 101, 3 Bd. 2</t>
  </si>
  <si>
    <t>III 101, 3 Bd. 1</t>
  </si>
  <si>
    <t>III 101, 3 Bd. 3</t>
  </si>
  <si>
    <t>Kapital sichern, Gelenke/Rücken mit JP überfangen</t>
  </si>
  <si>
    <t>o/u</t>
  </si>
  <si>
    <t>Box (weg. Deckeln)</t>
  </si>
  <si>
    <t>Schaden(Insektenfraß) ggf. belassen, ist relativ stabil</t>
  </si>
  <si>
    <t>Buchschuh (abriebgefährdet)</t>
  </si>
  <si>
    <t>durchbrochener Perg.bd. mit Damast unterlegt</t>
  </si>
  <si>
    <t>III 101, 27 -1</t>
  </si>
  <si>
    <t>III 101, 27 -2</t>
  </si>
  <si>
    <t>Wellpappe</t>
  </si>
  <si>
    <t>evtl. festigen mit Klucel</t>
  </si>
  <si>
    <t>Rücken ist bereits gebrochen, scheint aber stabil genug</t>
  </si>
  <si>
    <t>III 101, 30 (angebunden?)</t>
  </si>
  <si>
    <t>III 101, 34 (angebunden?)</t>
  </si>
  <si>
    <t>III 103, 1a (angebunden)</t>
  </si>
  <si>
    <t>Schonernagel aus Holz hinten unten rechts fragil: loses Fragment gehört auf Position 4-6</t>
  </si>
  <si>
    <t>III 103, 1b (angebunden)</t>
  </si>
  <si>
    <t>x (Leder)</t>
  </si>
  <si>
    <t>Broschur in Ledermappe</t>
  </si>
  <si>
    <t>einige Einlagen inneliegend</t>
  </si>
  <si>
    <t>III 104, 4</t>
  </si>
  <si>
    <t>Einband liegt in der Mappe bei</t>
  </si>
  <si>
    <t>x nur 110</t>
  </si>
  <si>
    <t>III 104, 5 b (angebunden)</t>
  </si>
  <si>
    <t>mit III 104,6 (1. angeb. Werk) in einer Mappe</t>
  </si>
  <si>
    <t>x (Streckmappe ungünstig, Einband pudert)</t>
  </si>
  <si>
    <t>Box (Einband lose, der pudert)</t>
  </si>
  <si>
    <t>III 104, 14/b (angebunden)</t>
  </si>
  <si>
    <t>Buch ist stärker beschädigt, aber mit JP notgesichert, daher stabil genug für Digit. --&gt; mit Stephanie besprechen, ob Rest. dennoch erwünscht (dann ws. aber nicht mehr so gut aufzuschlagen)</t>
  </si>
  <si>
    <t>x nur 110, mit Begleitung</t>
  </si>
  <si>
    <t>Box (Kassette ist zu klein)</t>
  </si>
  <si>
    <t>Einband liegt der Kassette bei</t>
  </si>
  <si>
    <t>mit anderen Büchern gemeinsam in einer Kassette</t>
  </si>
  <si>
    <t>Gewebe mit Papier</t>
  </si>
  <si>
    <t>III 104, 22 g (angebunden)</t>
  </si>
  <si>
    <t>QF (21x15,5)</t>
  </si>
  <si>
    <t>III 104, 32 a (angebunden)</t>
  </si>
  <si>
    <t>III 104, 32 d (angebunden)</t>
  </si>
  <si>
    <t>Umschlag (Leder pudert)</t>
  </si>
  <si>
    <t>mit 6 weiteren HPg in einer Kassette, Makulatur der Deckel des Originaleinbandes beiliegend</t>
  </si>
  <si>
    <t>III 104, 42 (angebunden)</t>
  </si>
  <si>
    <t>Buchschließe mit Grünspan</t>
  </si>
  <si>
    <t>Buchschuh (hat Schließen)</t>
  </si>
  <si>
    <t>Box (sperrt, Schließe)</t>
  </si>
  <si>
    <t>nur das Nötigste</t>
  </si>
  <si>
    <t>Ledernarben ist extrem rissig, spröde und bröselig -&gt; Festigen? Mit Stephanie besprechen</t>
  </si>
  <si>
    <t>Umschlag (Ledernarben extrem empfindlich)</t>
  </si>
  <si>
    <t>Festigen oder belassen? Klucel? Rest.bedarf genauer kalkulieren!!</t>
  </si>
  <si>
    <t>III 108, 2 c (angebunden)</t>
  </si>
  <si>
    <t>III 110, 4</t>
  </si>
  <si>
    <t>Jurismappe</t>
  </si>
  <si>
    <t xml:space="preserve">Blatt mit Notizen zum Buch eingeklebt </t>
  </si>
  <si>
    <t>III 6, 12 - 1</t>
  </si>
  <si>
    <t>III 6, 12 - 1 (angebunden)</t>
  </si>
  <si>
    <t>III 6, 12 - 2 (angebunden)</t>
  </si>
  <si>
    <t>III 6, 15 b (angebunden?)</t>
  </si>
  <si>
    <t>x? 45</t>
  </si>
  <si>
    <t>nur das Nötigste: loses Material an Ecken und Kanten zurückkleben/sichern</t>
  </si>
  <si>
    <t>III 6, 15 g (angebunden)</t>
  </si>
  <si>
    <t>III 6, 18 a (angebunden?)</t>
  </si>
  <si>
    <t>Box (wg. Schließe, sperrt)</t>
  </si>
  <si>
    <t>Rücken/Gelenk sichern, Ecke belassen</t>
  </si>
  <si>
    <t>III 6, 27 b (angebunden?)</t>
  </si>
  <si>
    <t>Gelenk ggf. mit JP überfangen</t>
  </si>
  <si>
    <t>Umschlag (abriebgefährdet)</t>
  </si>
  <si>
    <t>ca. 100-120 Seiten sind am Vorderschnitt sehr wattig --&gt; Nachleimen (Sprühen)</t>
  </si>
  <si>
    <t>Gelenk evtl. mit Leder anstatt JP unterlegen wegen Flexibilität</t>
  </si>
  <si>
    <t>Schaden ist stabil genug, Rücken hat bereits Teilhülse bekommen</t>
  </si>
  <si>
    <t>III 51, 33 c</t>
  </si>
  <si>
    <t>nur loses Leder (Restaurierung) fixieren, Gelenk vorn belassen (ist stabil genug)</t>
  </si>
  <si>
    <t>III 57, 11 - 1</t>
  </si>
  <si>
    <t>III 57, 11 - 2</t>
  </si>
  <si>
    <t>III 57, 11 a - 3</t>
  </si>
  <si>
    <t>III 57, 11 a - 4</t>
  </si>
  <si>
    <t>III 57, 11 a - 2</t>
  </si>
  <si>
    <t>III 57, 11 a - 1</t>
  </si>
  <si>
    <t>III 57, 14 (angebunden)</t>
  </si>
  <si>
    <t>B: 22x32
F: 38x42</t>
  </si>
  <si>
    <t>Falttafel mit Rissen</t>
  </si>
  <si>
    <t>x 45</t>
  </si>
  <si>
    <t>Altreparaturen am Buchblock mit säurehaltigem Papier (belassen?) und auf Ergänzungen Schrift nachgezeichnet --&gt; etwas kurios --&gt; mit Stephanie besprechen</t>
  </si>
  <si>
    <t>Signaturen Gesamtanzahl</t>
  </si>
  <si>
    <t>Buchbinderische Einheiten</t>
  </si>
  <si>
    <t>Anzahl Überformat</t>
  </si>
  <si>
    <t>Anzahl Querformat</t>
  </si>
  <si>
    <t>Dicke
(&gt;12 cm)</t>
  </si>
  <si>
    <t>12° Format
(&lt;15 cm)</t>
  </si>
  <si>
    <t>Einband stark deformiert</t>
  </si>
  <si>
    <t>Größe Buch+
Falttafeln (BxH)</t>
  </si>
  <si>
    <t>nicht
am Standort (DA)</t>
  </si>
  <si>
    <t>Stehkanten
(bei Perg.)</t>
  </si>
  <si>
    <t>Beschläge bes. auftragend</t>
  </si>
  <si>
    <t>Buchschließe steif</t>
  </si>
  <si>
    <t>saures
Fülmaterial</t>
  </si>
  <si>
    <t>Registermarken</t>
  </si>
  <si>
    <t>Buchblock sehr wellig</t>
  </si>
  <si>
    <t>Buchblock neigt zum "Bauch"</t>
  </si>
  <si>
    <t>geschlossene Lagen</t>
  </si>
  <si>
    <t>Originalgrafik</t>
  </si>
  <si>
    <t>Kolorierung / Buchmalerei / Initialen / Rubrikation</t>
  </si>
  <si>
    <t>berührungsfreie Digit.</t>
  </si>
  <si>
    <t>Schrift weit bis in den Falz (Bundsteg in mm) Textverlust</t>
  </si>
  <si>
    <t>Digit. mit Begleitung</t>
  </si>
  <si>
    <t>max. Öffnungswinkel</t>
  </si>
  <si>
    <t>Verschmutzung (Vorsatz / Ränder /
ges. BB)</t>
  </si>
  <si>
    <t>mikrobieller Befall</t>
  </si>
  <si>
    <t>Rest.-Bericht eingeklebt</t>
  </si>
  <si>
    <t>Umschlag</t>
  </si>
  <si>
    <t>Leder pudert ab/
roter Zerfall (extrem)</t>
  </si>
  <si>
    <t>Einband überformt (ganz od. teilweise)</t>
  </si>
  <si>
    <t>Buch bereits restauriert</t>
  </si>
  <si>
    <t>Papier</t>
  </si>
  <si>
    <t>Pergament</t>
  </si>
  <si>
    <t>Buchblock</t>
  </si>
  <si>
    <t>max 45</t>
  </si>
  <si>
    <t>max 60</t>
  </si>
  <si>
    <t>max 80</t>
  </si>
  <si>
    <t>max 180</t>
  </si>
  <si>
    <t>Anzahl geprüfte Bücher durch Thomschke</t>
  </si>
  <si>
    <t>Anzahl Bücher mit Falttafeln</t>
  </si>
  <si>
    <t>vor Digit.</t>
  </si>
  <si>
    <t>nach Digit.</t>
  </si>
  <si>
    <t>vor und nach Digit.</t>
  </si>
  <si>
    <t>Anzahl erfolgter Restaurierung</t>
  </si>
  <si>
    <t>Öffnungswinkel 45</t>
  </si>
  <si>
    <t>Öffnungswinkel 110</t>
  </si>
  <si>
    <t>nicht digitalisierbar wegen Bundsteg (vorraussichtlich)</t>
  </si>
  <si>
    <t>gesamt</t>
  </si>
  <si>
    <t>Rest.-Aufwand gesamt
(in Std.)</t>
  </si>
  <si>
    <t>hohler Rücken (mit und ohne Einlage)</t>
  </si>
  <si>
    <t>fester Rücken (mit und ohne Vergoldung)</t>
  </si>
  <si>
    <t>Rest.
notwendig</t>
  </si>
  <si>
    <t>Datentransferblatt für III Drucke 1501-1560</t>
  </si>
  <si>
    <t>Besonderheiten (z.B. Perlen)</t>
  </si>
  <si>
    <t>Pa/Pg</t>
  </si>
  <si>
    <t>Gelenke trotzt Schaden stabil, ggf. nach Digit. Restaurieren</t>
  </si>
  <si>
    <t>Box</t>
  </si>
  <si>
    <t>nur loses Leder fixieren, Gelenke belassen (ist stabil genug), ggf. nach Digit. restaurieren)</t>
  </si>
  <si>
    <t>III 73, 4 (angebunden)</t>
  </si>
  <si>
    <t>III 73, 6 a (angebunden)</t>
  </si>
  <si>
    <t>Originaleinband liegt der Kassette bei</t>
  </si>
  <si>
    <t>x max 110</t>
  </si>
  <si>
    <t>III 73, 19 a (angebunden)</t>
  </si>
  <si>
    <t>Rest des Klemmeinbandes steht bei GF (in Mappe) hätte aber bei NF von Höhe her Platz (Regalboden ist allerdings mehr als voll)</t>
  </si>
  <si>
    <t>Buchschuh (wg. Schließen)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</si>
  <si>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</si>
  <si>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</si>
  <si>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Schaden ist stabil genug --&gt; belassen; mit Büttenrand</t>
  </si>
  <si>
    <t>nur loses Leder Fixieren, Gelenke belassen (ist stabil genug)</t>
  </si>
  <si>
    <t>Reste des Klemmeinbandes liegen der Kassette bei</t>
  </si>
  <si>
    <t>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t>
  </si>
  <si>
    <t>Rücken für die Digit. am besten belassen (oder flexibles Gelenk erzeugen)</t>
  </si>
  <si>
    <t>Vorsatz trocken reinigen (v.a. hinten)</t>
  </si>
  <si>
    <t>III 104, 20 a - 1</t>
  </si>
  <si>
    <t>III 104, 20 a - 3</t>
  </si>
  <si>
    <t>untere Schließe haltendes Teil</t>
  </si>
  <si>
    <t>III 104, 20 a - 6</t>
  </si>
  <si>
    <t>Box (wg. Schließe)</t>
  </si>
  <si>
    <t>III 70, 1</t>
  </si>
  <si>
    <t>Kapital stabilisieren, sonst stabil genug</t>
  </si>
  <si>
    <t>nur Kapital stabilisieren, der Reste sollte stabil genug sein (ggf.! Gelenke mit JP überfangen)</t>
  </si>
  <si>
    <t>Gelenk überfangen mit JP</t>
  </si>
  <si>
    <t>Hülse, ggf.! Gelenk mit JP überfangen</t>
  </si>
  <si>
    <t>Gelenk mit JP unterlegen</t>
  </si>
  <si>
    <t>Schaden stabil</t>
  </si>
  <si>
    <t>v.a. Rücken am Kopf, ggf. Ecke hinten unten; Rest ist stabil genug</t>
  </si>
  <si>
    <t>Nur Titelschild und Gelenk vorn unten überfangen mit JP, Rest belassen (ist stabil genug)</t>
  </si>
  <si>
    <t>Ergänzung/Stabilisierung mit JP</t>
  </si>
  <si>
    <t>Gelenk mit JP unterlegen/überfangen</t>
  </si>
  <si>
    <t>Hülse, ggf. Gelenk mit JP überfangen</t>
  </si>
  <si>
    <t>Fehlstelle mit JP ergänzen</t>
  </si>
  <si>
    <t>Material als "Brücke" einfügen</t>
  </si>
  <si>
    <t>Box (Pg. Mak.)</t>
  </si>
  <si>
    <t>nur das Nötigste: Ecken stabilisieren, loses Material an Rücken und Ecken zurückkleben/sichern, ggf. teils mit JP überfangen</t>
  </si>
  <si>
    <t>loses Material fixieren, Gelenke mit JP unterlegen</t>
  </si>
  <si>
    <t>III 6, 37 (angebunden?)</t>
  </si>
  <si>
    <t>Sonderkonto</t>
  </si>
  <si>
    <t>Box (flexibler Pg.)</t>
  </si>
  <si>
    <t>wie geht das bei 45° mit der steifen Schließe?</t>
  </si>
  <si>
    <t>am Rücken Leder fixieren und mit JP überfangen, Schließe: ggf. Material einfügen</t>
  </si>
  <si>
    <t>III 40, 5 - 1</t>
  </si>
  <si>
    <t>III 40, 5 - 2</t>
  </si>
  <si>
    <t>Leder am Rücken fixieren und überfangen, Gelenk mit JP unterlegen, Kapital "anhäkeln"</t>
  </si>
  <si>
    <t>Pg. am Rücken fixieren, Rücken mit Streifen aus JP überfangen</t>
  </si>
  <si>
    <t>Pg. am Rücken fixieren, mit JP überfangen</t>
  </si>
  <si>
    <t>III 51, 1 a (angebunden)</t>
  </si>
  <si>
    <t>Schaden an Ecke stabil</t>
  </si>
  <si>
    <t>Einband und Fragmente liegen der Kassette bei</t>
  </si>
  <si>
    <t>Einbandfragmente in der Kassette beiliegend</t>
  </si>
  <si>
    <t>Einband liegt der Mappe bei</t>
  </si>
  <si>
    <t>Pg am Rücken fixieren und mit JP überfangen</t>
  </si>
  <si>
    <t>Einband im Umschlag daneben</t>
  </si>
  <si>
    <t>Buchblock liegt lose im Einband</t>
  </si>
  <si>
    <t>Einband liegt lose in der Mappe, außerdem zwei weitere Drucke</t>
  </si>
  <si>
    <t>Umschlag liegt der Mappe bei</t>
  </si>
  <si>
    <t>Einband liegt lose bei</t>
  </si>
  <si>
    <t>Foto für Erheb. Rest. angefertigt (ab August)</t>
  </si>
  <si>
    <t>Fixieren des Leders in den Gelenken in weiten Teilen vermutlich ausreichend wegen Gewebefalz innen, ggf. mit JP überfangen</t>
  </si>
  <si>
    <t>Einband liegt bei</t>
  </si>
  <si>
    <t>fixieren und ggf. überfangen mit JP</t>
  </si>
  <si>
    <t>Restaurieren, wenn ÖW =0° ?</t>
  </si>
  <si>
    <t>Rücken vollständig ablösen, neu einledern und alten Rücken übertragen, auf hohlen Rücken arbeiten, da Rückenleder sehr brüchig</t>
  </si>
  <si>
    <t>fixieren und mit JP überfangen</t>
  </si>
  <si>
    <t>Gelenk vorn mit Leder unterlegen, hinten belassen (ist stabil)</t>
  </si>
  <si>
    <t>Schaden im Gelenk vorn ist stabil (alles sehr steif)</t>
  </si>
  <si>
    <t>nur Schließe und Titelschild bearbeiten, Gelenk vorn ist stabil (alles steif)</t>
  </si>
  <si>
    <t>Leder am Rücken fixieren (ggf. JP einsetzen), Gelenk belassen (ist stabil)</t>
  </si>
  <si>
    <t>Schaden stabil, Umschlag trotzt Buchschuh</t>
  </si>
  <si>
    <t>fixieren, ggf. JP unterlegen im Gelenk, mit JP überfangen, ws. Klucel einsetzen?</t>
  </si>
  <si>
    <t>III 60, 75 (angebunden?)</t>
  </si>
  <si>
    <t>Kapital und Leder fixieren, Gelenk mit JP-Gewebe-Laminat unterlegen und dadurch Deckel fixieren, ggf. mit JP überfangen, ggf. innen den Falz abdecken</t>
  </si>
  <si>
    <t>Einschlag fixieren, am Rücken evtl. nur überfangen</t>
  </si>
  <si>
    <t>III 60, 95 (angebunden)</t>
  </si>
  <si>
    <t>nur Leder am Rücken fixieren, Schaden ist stabil</t>
  </si>
  <si>
    <t>Schaden ansonsten stabil</t>
  </si>
  <si>
    <t>Gelenk vorn innen mit JP-Streifen stabilisieren, Gelenk außen unterlegen und/oder überfangen mit JP</t>
  </si>
  <si>
    <t>Box! (Schließen schließen nicht)</t>
  </si>
  <si>
    <t>unbedingt Box! (Schließen schließen nicht)</t>
  </si>
  <si>
    <t>evtl. sehr schmale Hülse</t>
  </si>
  <si>
    <t>Umschlag (Leder pudert, Rücken ist beschädigt)</t>
  </si>
  <si>
    <t>nur unechte Bünde und Leder sichern, Gelenke belassen (ist stabil und bekommt Umschlag)</t>
  </si>
  <si>
    <t>III 69, 23 b (angebunden)</t>
  </si>
  <si>
    <t>Box (wegen Einband)</t>
  </si>
  <si>
    <t>Leder niederkleben, Fehlstellen belassen (ist alles stabil)</t>
  </si>
  <si>
    <t>x (eher Ecken wattiert)</t>
  </si>
  <si>
    <t>wattierte Ecken vorn und hinten nachleimen und ggf. mit JP stabilisieren</t>
  </si>
  <si>
    <t>am ehesten Gelenke mit JP+Gewebe unterlegen (Bünde selbst nicht stabilisieren), ob Leder sich gut anheben lässt?, am Rücken die Kapitale sichern durch überkleben mit JP</t>
  </si>
  <si>
    <t>loses Leder fixieren, Gelenke ggf. mit JP überfangen</t>
  </si>
  <si>
    <t>Umschlag (bes. Einband)</t>
  </si>
  <si>
    <t>B: 22x33
F: 34x33</t>
  </si>
  <si>
    <t>Gelenk ggf. mit JP unterlegen</t>
  </si>
  <si>
    <t>Leder fixieren, Einschlag stabilisieren, Gelenke mit JP überfangen</t>
  </si>
  <si>
    <t>III 73, 61 (angebunden)</t>
  </si>
  <si>
    <t>mit JP unterlegen und überfangen</t>
  </si>
  <si>
    <t>evtl. kleine Hülse, Fragment inneliegend, ggf. Rücken mit JP überfangen</t>
  </si>
  <si>
    <t>v.a. Risse im Titelblatt , ggf auch letztes Blatt, Lage hinten belassen</t>
  </si>
  <si>
    <t>ja ÖW=0</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</si>
  <si>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</si>
  <si>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</si>
  <si>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</si>
  <si>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</si>
  <si>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Hülse, Ecken stabilisieren</t>
  </si>
  <si>
    <t>Testsignatur 2022</t>
  </si>
  <si>
    <t>III 6, 10 - 1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</si>
</sst>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2"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sz val="11"/>
      <color theme="1"/>
      <name val="Calibri"/>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5">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3" fillId="2" borderId="1" xfId="0" applyFont="1" applyFill="1" applyBorder="1"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0" fontId="15" fillId="0" borderId="0" xfId="0" applyFont="1" applyAlignment="1">
      <alignment horizontal="left" vertical="top" wrapText="1"/>
    </xf>
    <xf numFmtId="0" fontId="15"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0" fillId="0" borderId="1" xfId="0" applyFill="1" applyBorder="1" applyAlignment="1">
      <alignment horizontal="left" vertical="top"/>
    </xf>
    <xf numFmtId="0" fontId="8" fillId="0" borderId="0" xfId="2" applyFont="1" applyAlignment="1">
      <alignment horizontal="left" vertical="top"/>
    </xf>
    <xf numFmtId="0" fontId="0" fillId="0" borderId="1" xfId="0" applyFill="1" applyBorder="1" applyAlignment="1">
      <alignment horizontal="left" vertical="top" wrapText="1"/>
    </xf>
    <xf numFmtId="0" fontId="0" fillId="0" borderId="0" xfId="0" applyAlignment="1">
      <alignment horizontal="left" vertical="top" wrapText="1"/>
    </xf>
    <xf numFmtId="0" fontId="9" fillId="0" borderId="0" xfId="0" applyFont="1" applyFill="1" applyBorder="1" applyAlignment="1">
      <alignment horizontal="left" vertical="top"/>
    </xf>
    <xf numFmtId="0" fontId="8" fillId="0" borderId="0" xfId="2" applyFill="1" applyBorder="1" applyAlignment="1">
      <alignment horizontal="left" vertical="top"/>
    </xf>
    <xf numFmtId="0" fontId="4" fillId="0" borderId="1" xfId="0" applyFont="1" applyFill="1" applyBorder="1" applyAlignment="1">
      <alignment horizontal="left" vertical="top"/>
    </xf>
    <xf numFmtId="0" fontId="10" fillId="0" borderId="0" xfId="0" applyFont="1" applyAlignment="1">
      <alignment horizontal="left" vertical="top"/>
    </xf>
    <xf numFmtId="0" fontId="0" fillId="0" borderId="0" xfId="0" applyAlignment="1">
      <alignment horizontal="center" vertical="top"/>
    </xf>
    <xf numFmtId="0" fontId="8" fillId="0" borderId="0" xfId="2" applyFont="1" applyAlignment="1">
      <alignment horizontal="center" vertical="top"/>
    </xf>
    <xf numFmtId="0" fontId="0" fillId="0" borderId="0" xfId="0" applyAlignment="1">
      <alignment horizontal="center" vertical="top" wrapText="1"/>
    </xf>
    <xf numFmtId="0" fontId="0" fillId="0" borderId="0" xfId="0" applyAlignment="1">
      <alignment horizontal="righ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4"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6"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4" borderId="1" xfId="0" applyFill="1" applyBorder="1" applyAlignment="1">
      <alignment horizontal="left" vertical="top"/>
    </xf>
    <xf numFmtId="0" fontId="0" fillId="0" borderId="0" xfId="0" applyFill="1" applyAlignment="1">
      <alignment horizontal="left"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6" fillId="0" borderId="0" xfId="0" applyFont="1" applyAlignment="1">
      <alignment horizontal="left" vertical="top" wrapText="1"/>
    </xf>
    <xf numFmtId="2" fontId="0" fillId="0" borderId="0" xfId="0" applyNumberFormat="1" applyAlignment="1">
      <alignment horizontal="left" vertical="top" wrapText="1"/>
    </xf>
    <xf numFmtId="0" fontId="2" fillId="0" borderId="14" xfId="0" applyFont="1" applyBorder="1" applyAlignment="1">
      <alignment horizontal="center" vertical="top" wrapText="1"/>
    </xf>
    <xf numFmtId="0" fontId="0" fillId="0" borderId="14" xfId="0" applyBorder="1" applyAlignment="1">
      <alignment horizontal="center" vertical="top"/>
    </xf>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3"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14" fontId="0" fillId="0" borderId="0" xfId="0" applyNumberFormat="1" applyAlignment="1">
      <alignment horizontal="left" vertical="top"/>
    </xf>
    <xf numFmtId="0" fontId="0" fillId="0" borderId="0" xfId="0" applyAlignment="1">
      <alignment vertical="top" wrapText="1"/>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0" borderId="1" xfId="0" applyFont="1" applyFill="1" applyBorder="1" applyAlignment="1">
      <alignment horizontal="left" vertical="top" wrapText="1"/>
    </xf>
    <xf numFmtId="0" fontId="3" fillId="0" borderId="1" xfId="0" applyFont="1" applyFill="1" applyBorder="1" applyAlignment="1">
      <alignment horizontal="left" vertical="top"/>
    </xf>
    <xf numFmtId="0" fontId="3" fillId="0" borderId="11" xfId="0" applyFont="1" applyFill="1" applyBorder="1" applyAlignment="1">
      <alignment horizontal="left" vertical="top" wrapText="1"/>
    </xf>
    <xf numFmtId="0" fontId="3" fillId="0" borderId="11" xfId="0" applyFont="1" applyFill="1" applyBorder="1" applyAlignment="1">
      <alignment horizontal="left" vertical="top"/>
    </xf>
    <xf numFmtId="0" fontId="0" fillId="4" borderId="0" xfId="0" applyFill="1" applyAlignment="1">
      <alignment horizontal="lef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2">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S01\DNB-Gesamt\06_DBSM\08_Projekte\99_Digital%20Humanities\Datenlabor\Wendler\dbsm-altbestand\DBSM-Altbestand-Signaturliste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Data\thomschkef\Home\myData\Desktop\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ö Ink"/>
      <sheetName val="Bö M"/>
      <sheetName val="I Handschriften"/>
      <sheetName val="II Inkunabeln"/>
      <sheetName val="III Drucke 1501-1560"/>
      <sheetName val="IV Drucke 1561-1800"/>
      <sheetName val="V Drucke 1801-1830"/>
      <sheetName val="VIII"/>
      <sheetName val="Bö Fachbib"/>
      <sheetName val="Klemm Fachbib"/>
      <sheetName val="DBSM-Altbestand-Signaturlisten"/>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Tabelle1"/>
      <sheetName val="Schäden_Einband"/>
      <sheetName val="Schäden_Buchblock"/>
      <sheetName val="Datentransfer"/>
      <sheetName val="Legende"/>
      <sheetName val="Zusammenfassun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topLeftCell="A2" workbookViewId="0">
      <selection activeCell="A31" sqref="A31:XFD31"/>
    </sheetView>
  </sheetViews>
  <sheetFormatPr baseColWidth="10" defaultColWidth="11" defaultRowHeight="11.25" x14ac:dyDescent="0.15"/>
  <cols>
    <col min="1" max="2" width="13.625" style="127" customWidth="1"/>
    <col min="3" max="3" width="155.625" style="127" customWidth="1"/>
    <col min="4" max="16384" width="11" style="127"/>
  </cols>
  <sheetData>
    <row r="2" spans="1:3" ht="14.25" x14ac:dyDescent="0.15">
      <c r="A2" s="126" t="s">
        <v>42</v>
      </c>
      <c r="B2" s="63"/>
      <c r="C2" s="63"/>
    </row>
    <row r="3" spans="1:3" x14ac:dyDescent="0.15">
      <c r="B3" s="63"/>
      <c r="C3" s="63" t="s">
        <v>2626</v>
      </c>
    </row>
    <row r="4" spans="1:3" x14ac:dyDescent="0.15">
      <c r="A4" s="128" t="s">
        <v>2708</v>
      </c>
      <c r="B4" s="63"/>
      <c r="C4" s="63"/>
    </row>
    <row r="5" spans="1:3" x14ac:dyDescent="0.15">
      <c r="B5" s="63"/>
      <c r="C5" s="63"/>
    </row>
    <row r="6" spans="1:3" x14ac:dyDescent="0.15">
      <c r="A6" s="127" t="s">
        <v>2627</v>
      </c>
      <c r="B6" s="63"/>
      <c r="C6" s="63"/>
    </row>
    <row r="7" spans="1:3" x14ac:dyDescent="0.15">
      <c r="A7" s="127" t="s">
        <v>2507</v>
      </c>
      <c r="B7" s="63"/>
      <c r="C7" s="63"/>
    </row>
    <row r="8" spans="1:3" x14ac:dyDescent="0.15">
      <c r="B8" s="63"/>
      <c r="C8" s="63"/>
    </row>
    <row r="9" spans="1:3" x14ac:dyDescent="0.15">
      <c r="A9" s="127" t="s">
        <v>2508</v>
      </c>
      <c r="B9" s="63"/>
      <c r="C9" s="63"/>
    </row>
    <row r="10" spans="1:3" x14ac:dyDescent="0.15">
      <c r="A10" s="127" t="s">
        <v>2544</v>
      </c>
      <c r="B10" s="63"/>
      <c r="C10" s="63"/>
    </row>
    <row r="16" spans="1:3" ht="12.75" x14ac:dyDescent="0.15">
      <c r="A16" s="129" t="s">
        <v>2628</v>
      </c>
    </row>
    <row r="18" spans="1:3" x14ac:dyDescent="0.15">
      <c r="A18" s="127" t="s">
        <v>2666</v>
      </c>
    </row>
    <row r="20" spans="1:3" x14ac:dyDescent="0.15">
      <c r="A20" s="130" t="s">
        <v>2629</v>
      </c>
    </row>
    <row r="21" spans="1:3" s="131" customFormat="1" x14ac:dyDescent="0.15">
      <c r="A21" s="131" t="s">
        <v>2665</v>
      </c>
    </row>
    <row r="23" spans="1:3" x14ac:dyDescent="0.15">
      <c r="A23" s="127" t="s">
        <v>2630</v>
      </c>
      <c r="B23" s="127" t="s">
        <v>2631</v>
      </c>
      <c r="C23" s="127" t="s">
        <v>2632</v>
      </c>
    </row>
    <row r="25" spans="1:3" x14ac:dyDescent="0.15">
      <c r="A25" s="132">
        <v>44595</v>
      </c>
      <c r="B25" s="127" t="s">
        <v>2633</v>
      </c>
      <c r="C25" s="127" t="s">
        <v>2709</v>
      </c>
    </row>
    <row r="26" spans="1:3" x14ac:dyDescent="0.15">
      <c r="A26" s="132"/>
      <c r="C26" s="127" t="s">
        <v>2634</v>
      </c>
    </row>
    <row r="27" spans="1:3" x14ac:dyDescent="0.15">
      <c r="A27" s="132"/>
      <c r="C27" s="127" t="s">
        <v>2664</v>
      </c>
    </row>
    <row r="28" spans="1:3" x14ac:dyDescent="0.15">
      <c r="A28" s="132"/>
      <c r="C28" s="127" t="s">
        <v>2635</v>
      </c>
    </row>
    <row r="29" spans="1:3" x14ac:dyDescent="0.15">
      <c r="C29" s="127" t="s">
        <v>2663</v>
      </c>
    </row>
    <row r="30" spans="1:3" ht="33.75" x14ac:dyDescent="0.15">
      <c r="C30" s="133" t="s">
        <v>2943</v>
      </c>
    </row>
    <row r="31" spans="1:3" ht="33.75" x14ac:dyDescent="0.15">
      <c r="A31" s="132">
        <v>44734</v>
      </c>
      <c r="B31" s="127" t="s">
        <v>2633</v>
      </c>
      <c r="C31" s="133" t="s">
        <v>2944</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topLeftCell="A4" workbookViewId="0">
      <selection activeCell="B8" sqref="B8:B19"/>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71" customFormat="1" x14ac:dyDescent="0.15">
      <c r="A1" s="72" t="s">
        <v>2707</v>
      </c>
      <c r="B1" s="71" t="s">
        <v>2706</v>
      </c>
    </row>
    <row r="3" spans="1:2" x14ac:dyDescent="0.15">
      <c r="A3" s="69" t="s">
        <v>2705</v>
      </c>
    </row>
    <row r="4" spans="1:2" x14ac:dyDescent="0.15">
      <c r="A4" s="63" t="s">
        <v>2704</v>
      </c>
      <c r="B4" s="63" t="s">
        <v>2703</v>
      </c>
    </row>
    <row r="5" spans="1:2" x14ac:dyDescent="0.15">
      <c r="A5" s="63" t="s">
        <v>2702</v>
      </c>
      <c r="B5" s="63" t="s">
        <v>2701</v>
      </c>
    </row>
    <row r="7" spans="1:2" x14ac:dyDescent="0.15">
      <c r="A7" s="69" t="s">
        <v>2620</v>
      </c>
    </row>
    <row r="8" spans="1:2" x14ac:dyDescent="0.15">
      <c r="A8" s="63" t="s">
        <v>2643</v>
      </c>
      <c r="B8" s="70" t="s">
        <v>17</v>
      </c>
    </row>
    <row r="9" spans="1:2" x14ac:dyDescent="0.15">
      <c r="A9" s="63" t="s">
        <v>2700</v>
      </c>
      <c r="B9" s="70" t="s">
        <v>44</v>
      </c>
    </row>
    <row r="10" spans="1:2" x14ac:dyDescent="0.15">
      <c r="A10" s="63" t="s">
        <v>2645</v>
      </c>
      <c r="B10" s="70" t="s">
        <v>5</v>
      </c>
    </row>
    <row r="11" spans="1:2" x14ac:dyDescent="0.15">
      <c r="A11" s="63" t="s">
        <v>2699</v>
      </c>
      <c r="B11" s="51" t="s">
        <v>16</v>
      </c>
    </row>
    <row r="12" spans="1:2" x14ac:dyDescent="0.15">
      <c r="A12" s="63" t="s">
        <v>2641</v>
      </c>
      <c r="B12" s="63" t="s">
        <v>2698</v>
      </c>
    </row>
    <row r="13" spans="1:2" x14ac:dyDescent="0.15">
      <c r="A13" s="63" t="s">
        <v>2697</v>
      </c>
      <c r="B13" s="70" t="s">
        <v>4</v>
      </c>
    </row>
    <row r="14" spans="1:2" x14ac:dyDescent="0.15">
      <c r="A14" s="63" t="s">
        <v>2652</v>
      </c>
      <c r="B14" s="70" t="s">
        <v>3</v>
      </c>
    </row>
    <row r="15" spans="1:2" x14ac:dyDescent="0.15">
      <c r="A15" s="63" t="s">
        <v>2646</v>
      </c>
      <c r="B15" s="51" t="s">
        <v>45</v>
      </c>
    </row>
    <row r="16" spans="1:2" x14ac:dyDescent="0.15">
      <c r="A16" s="63" t="s">
        <v>2696</v>
      </c>
      <c r="B16" s="51" t="s">
        <v>46</v>
      </c>
    </row>
    <row r="17" spans="1:2" x14ac:dyDescent="0.15">
      <c r="A17" s="63" t="s">
        <v>2766</v>
      </c>
      <c r="B17" s="51" t="s">
        <v>2767</v>
      </c>
    </row>
    <row r="18" spans="1:2" x14ac:dyDescent="0.15">
      <c r="A18" s="63" t="s">
        <v>2695</v>
      </c>
      <c r="B18" s="51" t="s">
        <v>2694</v>
      </c>
    </row>
    <row r="19" spans="1:2" x14ac:dyDescent="0.15">
      <c r="A19" s="63" t="s">
        <v>2693</v>
      </c>
      <c r="B19" s="63" t="s">
        <v>2692</v>
      </c>
    </row>
    <row r="21" spans="1:2" x14ac:dyDescent="0.15">
      <c r="A21" s="69" t="s">
        <v>2691</v>
      </c>
    </row>
    <row r="22" spans="1:2" x14ac:dyDescent="0.15">
      <c r="A22" s="63" t="s">
        <v>2642</v>
      </c>
      <c r="B22" s="63" t="s">
        <v>2690</v>
      </c>
    </row>
    <row r="23" spans="1:2" x14ac:dyDescent="0.15">
      <c r="A23" s="63" t="s">
        <v>2653</v>
      </c>
      <c r="B23" s="63" t="s">
        <v>2689</v>
      </c>
    </row>
    <row r="24" spans="1:2" x14ac:dyDescent="0.15">
      <c r="A24" s="63" t="s">
        <v>2675</v>
      </c>
      <c r="B24" s="63" t="s">
        <v>81</v>
      </c>
    </row>
    <row r="25" spans="1:2" x14ac:dyDescent="0.15">
      <c r="A25" s="63" t="s">
        <v>2647</v>
      </c>
      <c r="B25" s="63" t="s">
        <v>2688</v>
      </c>
    </row>
    <row r="27" spans="1:2" x14ac:dyDescent="0.15">
      <c r="A27" s="69" t="s">
        <v>2687</v>
      </c>
    </row>
    <row r="28" spans="1:2" x14ac:dyDescent="0.15">
      <c r="A28" s="63" t="s">
        <v>2686</v>
      </c>
      <c r="B28" s="63" t="s">
        <v>2685</v>
      </c>
    </row>
    <row r="29" spans="1:2" x14ac:dyDescent="0.15">
      <c r="A29" s="63" t="s">
        <v>2684</v>
      </c>
      <c r="B29" s="63" t="s">
        <v>2683</v>
      </c>
    </row>
    <row r="30" spans="1:2" x14ac:dyDescent="0.15">
      <c r="A30" s="63" t="s">
        <v>2682</v>
      </c>
      <c r="B30" s="63" t="s">
        <v>2681</v>
      </c>
    </row>
    <row r="31" spans="1:2" x14ac:dyDescent="0.15">
      <c r="A31" s="63" t="s">
        <v>2680</v>
      </c>
      <c r="B31" s="63" t="s">
        <v>2679</v>
      </c>
    </row>
    <row r="33" spans="1:2" x14ac:dyDescent="0.15">
      <c r="A33" s="69" t="s">
        <v>2768</v>
      </c>
    </row>
    <row r="34" spans="1:2" x14ac:dyDescent="0.15">
      <c r="A34" s="63" t="s">
        <v>2650</v>
      </c>
      <c r="B34" s="63" t="s">
        <v>2769</v>
      </c>
    </row>
    <row r="35" spans="1:2" ht="45" x14ac:dyDescent="0.15">
      <c r="A35" s="63" t="s">
        <v>2770</v>
      </c>
      <c r="B35" s="79" t="s">
        <v>2771</v>
      </c>
    </row>
    <row r="37" spans="1:2" ht="22.5" x14ac:dyDescent="0.15">
      <c r="A37" s="68" t="s">
        <v>2678</v>
      </c>
    </row>
    <row r="38" spans="1:2" x14ac:dyDescent="0.15">
      <c r="A38" s="63" t="s">
        <v>2677</v>
      </c>
      <c r="B38" s="63" t="s">
        <v>2676</v>
      </c>
    </row>
    <row r="39" spans="1:2" x14ac:dyDescent="0.15">
      <c r="A39" s="63" t="s">
        <v>2675</v>
      </c>
      <c r="B39" s="63" t="s">
        <v>2674</v>
      </c>
    </row>
    <row r="40" spans="1:2" x14ac:dyDescent="0.15">
      <c r="A40" s="63" t="s">
        <v>2661</v>
      </c>
      <c r="B40" s="63" t="s">
        <v>2673</v>
      </c>
    </row>
    <row r="41" spans="1:2" x14ac:dyDescent="0.15">
      <c r="A41" s="63" t="s">
        <v>2672</v>
      </c>
      <c r="B41" s="63" t="s">
        <v>2671</v>
      </c>
    </row>
    <row r="42" spans="1:2" x14ac:dyDescent="0.15">
      <c r="A42" s="63" t="s">
        <v>2670</v>
      </c>
      <c r="B42" s="63" t="s">
        <v>2669</v>
      </c>
    </row>
    <row r="43" spans="1:2" x14ac:dyDescent="0.15">
      <c r="A43" s="63" t="s">
        <v>2668</v>
      </c>
      <c r="B43" s="63" t="s">
        <v>2667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R1236"/>
  <sheetViews>
    <sheetView tabSelected="1" topLeftCell="CE1" zoomScaleNormal="100" workbookViewId="0">
      <pane ySplit="1" topLeftCell="A1222" activePane="bottomLeft" state="frozen"/>
      <selection activeCell="AR1" sqref="AR1"/>
      <selection pane="bottomLeft" activeCell="AN1237" sqref="A1237:XFD1246"/>
    </sheetView>
  </sheetViews>
  <sheetFormatPr baseColWidth="10" defaultColWidth="11" defaultRowHeight="11.25" outlineLevelRow="1" x14ac:dyDescent="0.15"/>
  <cols>
    <col min="1" max="1" width="7.5" style="63" customWidth="1"/>
    <col min="2" max="2" width="17.375" style="63" customWidth="1"/>
    <col min="3" max="3" width="11.125" style="63" bestFit="1" customWidth="1"/>
    <col min="4" max="4" width="22.5" style="63" customWidth="1"/>
    <col min="5" max="5" width="20.625" style="63" customWidth="1"/>
    <col min="6" max="6" width="8.375" style="63" hidden="1" customWidth="1"/>
    <col min="7" max="7" width="25" style="79" hidden="1" customWidth="1"/>
    <col min="8" max="8" width="10.875" style="63" customWidth="1"/>
    <col min="9" max="9" width="30.875" style="79" hidden="1" customWidth="1"/>
    <col min="10" max="10" width="28.875" style="79" hidden="1" customWidth="1"/>
    <col min="11" max="11" width="13.5" style="63" hidden="1" customWidth="1"/>
    <col min="12" max="12" width="17" style="63" hidden="1" customWidth="1"/>
    <col min="13" max="13" width="20.625" style="63" hidden="1" customWidth="1"/>
    <col min="14" max="14" width="6.625" style="63" hidden="1" customWidth="1"/>
    <col min="15" max="15" width="25" style="63" hidden="1" customWidth="1"/>
    <col min="16" max="16" width="30.125" style="63" hidden="1" customWidth="1"/>
    <col min="17" max="17" width="28.125" style="63" hidden="1" customWidth="1"/>
    <col min="18" max="18" width="21.75" style="63" hidden="1" customWidth="1"/>
    <col min="19" max="20" width="9.25" style="84" customWidth="1"/>
    <col min="21" max="21" width="9.125" style="84" customWidth="1"/>
    <col min="22" max="23" width="8" style="84" customWidth="1"/>
    <col min="24" max="24" width="10.875" style="84" customWidth="1"/>
    <col min="25" max="35" width="10.875" style="84"/>
    <col min="36" max="36" width="10.5" style="84" bestFit="1" customWidth="1"/>
    <col min="37" max="39" width="10.875" style="84"/>
    <col min="40" max="42" width="10.875" style="84" customWidth="1"/>
    <col min="43" max="43" width="10.875" style="84"/>
    <col min="44" max="44" width="10.875" style="84" bestFit="1" customWidth="1"/>
    <col min="45" max="45" width="9.125" style="84" bestFit="1" customWidth="1"/>
    <col min="46" max="46" width="9.125" style="84" customWidth="1"/>
    <col min="47" max="47" width="10.625" style="84" bestFit="1" customWidth="1"/>
    <col min="48" max="48" width="9.125" style="84" customWidth="1"/>
    <col min="49" max="49" width="10.875" style="84"/>
    <col min="50" max="50" width="11" style="84"/>
    <col min="51" max="51" width="10.875" style="86"/>
    <col min="52" max="52" width="10.875" style="87"/>
    <col min="53" max="59" width="10.875" style="84"/>
    <col min="60" max="60" width="33.625" style="79" customWidth="1"/>
    <col min="61" max="61" width="11" style="63"/>
    <col min="62" max="62" width="11" style="79"/>
    <col min="63" max="63" width="11" style="63"/>
    <col min="64" max="64" width="11" style="84"/>
    <col min="65" max="65" width="11.125" style="84" customWidth="1"/>
    <col min="66" max="66" width="11" style="84"/>
    <col min="67" max="67" width="11.125" style="84" customWidth="1"/>
    <col min="68" max="75" width="11" style="84"/>
    <col min="76" max="76" width="11" style="87"/>
    <col min="77" max="77" width="33.625" style="79" customWidth="1"/>
    <col min="78" max="94" width="11" style="84"/>
    <col min="95" max="95" width="11" style="87"/>
    <col min="96" max="96" width="33.625" style="79" customWidth="1"/>
    <col min="97" max="16384" width="11" style="63"/>
  </cols>
  <sheetData>
    <row r="1" spans="1:96" ht="102" x14ac:dyDescent="0.15">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outlineLevel="1" x14ac:dyDescent="0.15">
      <c r="A2" s="76">
        <v>1</v>
      </c>
      <c r="B2" s="65" t="s">
        <v>107</v>
      </c>
      <c r="C2" s="65">
        <v>1066859469</v>
      </c>
      <c r="D2" s="77" t="e">
        <f>HYPERLINK(CONCATENATE("https://portal.dnb.de/opac.htm?method=simpleSearch&amp;cqlMode=true&amp;query=idn%3D",[1]!Tabelle5[[#This Row],[idn]]))</f>
        <v>#REF!</v>
      </c>
      <c r="E2" s="65" t="s">
        <v>108</v>
      </c>
      <c r="F2" s="76" t="s">
        <v>89</v>
      </c>
      <c r="G2" s="78" t="s">
        <v>4</v>
      </c>
      <c r="H2" s="76" t="s">
        <v>50</v>
      </c>
      <c r="I2" s="78" t="s">
        <v>90</v>
      </c>
      <c r="J2" s="78" t="s">
        <v>2509</v>
      </c>
      <c r="K2" s="76"/>
      <c r="L2" s="76"/>
      <c r="M2" s="76"/>
      <c r="N2" s="76">
        <v>3</v>
      </c>
      <c r="O2" s="76"/>
      <c r="P2" s="76"/>
      <c r="Q2" s="76"/>
      <c r="R2" s="76"/>
      <c r="W2" s="84" t="s">
        <v>2541</v>
      </c>
      <c r="X2" s="84" t="s">
        <v>2697</v>
      </c>
      <c r="Z2" s="84" t="s">
        <v>2541</v>
      </c>
      <c r="AA2" s="84" t="s">
        <v>2647</v>
      </c>
      <c r="AG2" s="84" t="s">
        <v>2643</v>
      </c>
      <c r="AQ2" s="84" t="s">
        <v>2680</v>
      </c>
      <c r="AR2" s="84" t="s">
        <v>2541</v>
      </c>
      <c r="AS2" s="84">
        <v>4</v>
      </c>
      <c r="AT2" s="84" t="s">
        <v>2541</v>
      </c>
      <c r="AU2" s="84">
        <v>45</v>
      </c>
      <c r="AY2" s="86" t="s">
        <v>2651</v>
      </c>
      <c r="AZ2" s="88">
        <f>BX2+CQ2</f>
        <v>0</v>
      </c>
      <c r="BH2" s="79" t="s">
        <v>2781</v>
      </c>
      <c r="BI2" s="63" t="s">
        <v>2877</v>
      </c>
      <c r="BX2" s="88"/>
      <c r="CQ2" s="88"/>
    </row>
    <row r="3" spans="1:96" ht="22.5" outlineLevel="1" x14ac:dyDescent="0.15">
      <c r="A3" s="76">
        <v>2</v>
      </c>
      <c r="B3" s="65" t="s">
        <v>109</v>
      </c>
      <c r="C3" s="65">
        <v>1066859000</v>
      </c>
      <c r="D3" s="80" t="e">
        <f>HYPERLINK(CONCATENATE("https://portal.dnb.de/opac.htm?method=simpleSearch&amp;cqlMode=true&amp;query=idn%3D",[1]!Tabelle5[[#This Row],[idn]]))</f>
        <v>#REF!</v>
      </c>
      <c r="E3" s="65" t="s">
        <v>110</v>
      </c>
      <c r="F3" s="76" t="s">
        <v>89</v>
      </c>
      <c r="G3" s="78" t="s">
        <v>2510</v>
      </c>
      <c r="H3" s="76" t="s">
        <v>51</v>
      </c>
      <c r="I3" s="78" t="s">
        <v>55</v>
      </c>
      <c r="J3" s="78" t="s">
        <v>2509</v>
      </c>
      <c r="K3" s="76"/>
      <c r="L3" s="76" t="s">
        <v>34</v>
      </c>
      <c r="M3" s="76" t="s">
        <v>37</v>
      </c>
      <c r="N3" s="76">
        <v>3</v>
      </c>
      <c r="O3" s="76"/>
      <c r="P3" s="76" t="s">
        <v>2542</v>
      </c>
      <c r="Q3" s="76"/>
      <c r="R3" s="76"/>
      <c r="X3" s="84" t="s">
        <v>2641</v>
      </c>
      <c r="AA3" s="84" t="s">
        <v>2675</v>
      </c>
      <c r="AG3" s="84" t="s">
        <v>2643</v>
      </c>
      <c r="AU3" s="84">
        <v>110</v>
      </c>
      <c r="AY3" s="86" t="s">
        <v>2651</v>
      </c>
      <c r="AZ3" s="88">
        <f t="shared" ref="AZ3:AZ66" si="0">BX3+CQ3</f>
        <v>0</v>
      </c>
      <c r="BD3" s="84" t="s">
        <v>2541</v>
      </c>
      <c r="BH3" s="79" t="s">
        <v>2781</v>
      </c>
      <c r="BI3" s="63" t="s">
        <v>2780</v>
      </c>
      <c r="BX3" s="88"/>
      <c r="CQ3" s="88"/>
    </row>
    <row r="4" spans="1:96" ht="33.75" outlineLevel="1" x14ac:dyDescent="0.15">
      <c r="A4" s="76">
        <v>3</v>
      </c>
      <c r="B4" s="65" t="s">
        <v>111</v>
      </c>
      <c r="C4" s="65">
        <v>1003653014</v>
      </c>
      <c r="D4" s="80" t="e">
        <f>HYPERLINK(CONCATENATE("https://portal.dnb.de/opac.htm?method=simpleSearch&amp;cqlMode=true&amp;query=idn%3D",[1]!Tabelle5[[#This Row],[idn]]))</f>
        <v>#REF!</v>
      </c>
      <c r="E4" s="65" t="s">
        <v>112</v>
      </c>
      <c r="F4" s="76" t="s">
        <v>89</v>
      </c>
      <c r="G4" s="78" t="s">
        <v>45</v>
      </c>
      <c r="H4" s="76" t="s">
        <v>50</v>
      </c>
      <c r="I4" s="78" t="s">
        <v>90</v>
      </c>
      <c r="J4" s="78" t="s">
        <v>2511</v>
      </c>
      <c r="K4" s="76"/>
      <c r="L4" s="76" t="s">
        <v>35</v>
      </c>
      <c r="M4" s="76" t="s">
        <v>37</v>
      </c>
      <c r="N4" s="76">
        <v>1</v>
      </c>
      <c r="O4" s="76"/>
      <c r="P4" s="76"/>
      <c r="Q4" s="76"/>
      <c r="R4" s="76"/>
      <c r="AZ4" s="88">
        <f t="shared" si="0"/>
        <v>0</v>
      </c>
      <c r="BX4" s="88"/>
      <c r="CQ4" s="88"/>
    </row>
    <row r="5" spans="1:96" outlineLevel="1" x14ac:dyDescent="0.15">
      <c r="A5" s="76">
        <v>4</v>
      </c>
      <c r="B5" s="65" t="s">
        <v>113</v>
      </c>
      <c r="C5" s="65">
        <v>999397737</v>
      </c>
      <c r="D5" s="80" t="e">
        <f>HYPERLINK(CONCATENATE("https://portal.dnb.de/opac.htm?method=simpleSearch&amp;cqlMode=true&amp;query=idn%3D",[1]!Tabelle5[[#This Row],[idn]]))</f>
        <v>#REF!</v>
      </c>
      <c r="E5" s="65" t="s">
        <v>114</v>
      </c>
      <c r="F5" s="76"/>
      <c r="G5" s="78" t="s">
        <v>46</v>
      </c>
      <c r="H5" s="76" t="s">
        <v>50</v>
      </c>
      <c r="I5" s="78" t="s">
        <v>90</v>
      </c>
      <c r="J5" s="78" t="s">
        <v>2509</v>
      </c>
      <c r="K5" s="76"/>
      <c r="L5" s="76"/>
      <c r="M5" s="76"/>
      <c r="N5" s="76">
        <v>0</v>
      </c>
      <c r="O5" s="76"/>
      <c r="P5" s="76"/>
      <c r="Q5" s="76"/>
      <c r="R5" s="76"/>
      <c r="AZ5" s="88">
        <f t="shared" si="0"/>
        <v>0</v>
      </c>
      <c r="BX5" s="88"/>
      <c r="CQ5" s="88"/>
    </row>
    <row r="6" spans="1:96" outlineLevel="1" x14ac:dyDescent="0.15">
      <c r="A6" s="76">
        <v>5</v>
      </c>
      <c r="B6" s="65" t="s">
        <v>115</v>
      </c>
      <c r="C6" s="65">
        <v>1001530470</v>
      </c>
      <c r="D6" s="80" t="e">
        <f>HYPERLINK(CONCATENATE("https://portal.dnb.de/opac.htm?method=simpleSearch&amp;cqlMode=true&amp;query=idn%3D",[1]!Tabelle5[[#This Row],[idn]]))</f>
        <v>#REF!</v>
      </c>
      <c r="E6" s="65" t="s">
        <v>116</v>
      </c>
      <c r="F6" s="76" t="s">
        <v>89</v>
      </c>
      <c r="G6" s="78" t="s">
        <v>45</v>
      </c>
      <c r="H6" s="76" t="s">
        <v>50</v>
      </c>
      <c r="I6" s="78" t="s">
        <v>90</v>
      </c>
      <c r="J6" s="78" t="s">
        <v>2509</v>
      </c>
      <c r="K6" s="76"/>
      <c r="L6" s="76"/>
      <c r="M6" s="76" t="s">
        <v>101</v>
      </c>
      <c r="N6" s="76">
        <v>0</v>
      </c>
      <c r="O6" s="76"/>
      <c r="P6" s="76"/>
      <c r="Q6" s="76"/>
      <c r="R6" s="76"/>
      <c r="AZ6" s="88">
        <f t="shared" si="0"/>
        <v>0</v>
      </c>
      <c r="BX6" s="88"/>
      <c r="CQ6" s="88"/>
    </row>
    <row r="7" spans="1:96" ht="22.5" outlineLevel="1" x14ac:dyDescent="0.15">
      <c r="A7" s="76">
        <v>6</v>
      </c>
      <c r="B7" s="65" t="s">
        <v>117</v>
      </c>
      <c r="C7" s="65">
        <v>999996789</v>
      </c>
      <c r="D7" s="80" t="e">
        <f>HYPERLINK(CONCATENATE("https://portal.dnb.de/opac.htm?method=simpleSearch&amp;cqlMode=true&amp;query=idn%3D",[1]!Tabelle5[[#This Row],[idn]]))</f>
        <v>#REF!</v>
      </c>
      <c r="E7" s="65" t="s">
        <v>118</v>
      </c>
      <c r="F7" s="76" t="s">
        <v>89</v>
      </c>
      <c r="G7" s="78" t="s">
        <v>45</v>
      </c>
      <c r="H7" s="76" t="s">
        <v>50</v>
      </c>
      <c r="I7" s="78" t="s">
        <v>90</v>
      </c>
      <c r="J7" s="78" t="s">
        <v>2512</v>
      </c>
      <c r="K7" s="76"/>
      <c r="L7" s="76" t="s">
        <v>35</v>
      </c>
      <c r="M7" s="76" t="s">
        <v>37</v>
      </c>
      <c r="N7" s="76">
        <v>0</v>
      </c>
      <c r="O7" s="76"/>
      <c r="P7" s="76"/>
      <c r="Q7" s="76"/>
      <c r="R7" s="76"/>
      <c r="U7" s="85"/>
      <c r="AZ7" s="88">
        <f t="shared" si="0"/>
        <v>0</v>
      </c>
      <c r="BX7" s="88"/>
      <c r="CQ7" s="88"/>
    </row>
    <row r="8" spans="1:96" ht="33.75" outlineLevel="1" x14ac:dyDescent="0.15">
      <c r="A8" s="76">
        <v>7</v>
      </c>
      <c r="B8" s="65" t="s">
        <v>119</v>
      </c>
      <c r="C8" s="65">
        <v>998774278</v>
      </c>
      <c r="D8" s="80" t="e">
        <f>HYPERLINK(CONCATENATE("https://portal.dnb.de/opac.htm?method=simpleSearch&amp;cqlMode=true&amp;query=idn%3D",[1]!Tabelle5[[#This Row],[idn]]))</f>
        <v>#REF!</v>
      </c>
      <c r="E8" s="65" t="s">
        <v>120</v>
      </c>
      <c r="F8" s="76" t="s">
        <v>89</v>
      </c>
      <c r="G8" s="78" t="s">
        <v>4</v>
      </c>
      <c r="H8" s="76" t="s">
        <v>50</v>
      </c>
      <c r="I8" s="78" t="s">
        <v>90</v>
      </c>
      <c r="J8" s="78" t="s">
        <v>2513</v>
      </c>
      <c r="K8" s="76"/>
      <c r="L8" s="76" t="s">
        <v>35</v>
      </c>
      <c r="M8" s="76" t="s">
        <v>37</v>
      </c>
      <c r="N8" s="76">
        <v>1</v>
      </c>
      <c r="O8" s="76"/>
      <c r="P8" s="76"/>
      <c r="Q8" s="76"/>
      <c r="R8" s="76"/>
      <c r="X8" s="84" t="s">
        <v>2697</v>
      </c>
      <c r="AA8" s="84" t="s">
        <v>2653</v>
      </c>
      <c r="AG8" s="84" t="s">
        <v>2643</v>
      </c>
      <c r="AU8" s="84">
        <v>45</v>
      </c>
      <c r="AY8" s="86" t="s">
        <v>2644</v>
      </c>
      <c r="AZ8" s="88">
        <f t="shared" si="0"/>
        <v>1</v>
      </c>
      <c r="BB8" s="84" t="s">
        <v>2777</v>
      </c>
      <c r="BH8" s="79" t="s">
        <v>2957</v>
      </c>
      <c r="BI8" s="63" t="s">
        <v>2877</v>
      </c>
      <c r="BK8" s="63" t="s">
        <v>2541</v>
      </c>
      <c r="BL8" s="84" t="s">
        <v>2541</v>
      </c>
      <c r="BM8" s="84" t="s">
        <v>2541</v>
      </c>
      <c r="BO8" s="84" t="s">
        <v>2656</v>
      </c>
      <c r="BW8" s="84" t="s">
        <v>2541</v>
      </c>
      <c r="BX8" s="88">
        <v>1</v>
      </c>
      <c r="BY8" s="79" t="s">
        <v>2958</v>
      </c>
      <c r="CQ8" s="88"/>
    </row>
    <row r="9" spans="1:96" outlineLevel="1" x14ac:dyDescent="0.15">
      <c r="A9" s="76">
        <v>8</v>
      </c>
      <c r="B9" s="65" t="s">
        <v>121</v>
      </c>
      <c r="C9" s="65">
        <v>994470045</v>
      </c>
      <c r="D9" s="80" t="e">
        <f>HYPERLINK(CONCATENATE("https://portal.dnb.de/opac.htm?method=simpleSearch&amp;cqlMode=true&amp;query=idn%3D",[1]!Tabelle5[[#This Row],[idn]]))</f>
        <v>#REF!</v>
      </c>
      <c r="E9" s="65" t="s">
        <v>122</v>
      </c>
      <c r="F9" s="76" t="s">
        <v>89</v>
      </c>
      <c r="G9" s="78" t="s">
        <v>3</v>
      </c>
      <c r="H9" s="76" t="s">
        <v>50</v>
      </c>
      <c r="I9" s="78" t="s">
        <v>90</v>
      </c>
      <c r="J9" s="78" t="s">
        <v>94</v>
      </c>
      <c r="K9" s="76"/>
      <c r="L9" s="76" t="s">
        <v>35</v>
      </c>
      <c r="M9" s="76" t="s">
        <v>37</v>
      </c>
      <c r="N9" s="76">
        <v>0</v>
      </c>
      <c r="O9" s="76"/>
      <c r="P9" s="76"/>
      <c r="Q9" s="76"/>
      <c r="R9" s="76"/>
      <c r="AZ9" s="88">
        <f t="shared" si="0"/>
        <v>0</v>
      </c>
      <c r="BX9" s="88"/>
      <c r="CQ9" s="88"/>
    </row>
    <row r="10" spans="1:96" ht="33.75" outlineLevel="1" x14ac:dyDescent="0.15">
      <c r="A10" s="76">
        <v>9</v>
      </c>
      <c r="B10" s="65" t="s">
        <v>123</v>
      </c>
      <c r="C10" s="65">
        <v>1066835527</v>
      </c>
      <c r="D10" s="80" t="e">
        <f>HYPERLINK(CONCATENATE("https://portal.dnb.de/opac.htm?method=simpleSearch&amp;cqlMode=true&amp;query=idn%3D",[1]!Tabelle5[[#This Row],[idn]]))</f>
        <v>#REF!</v>
      </c>
      <c r="E10" s="65" t="s">
        <v>124</v>
      </c>
      <c r="F10" s="76" t="s">
        <v>89</v>
      </c>
      <c r="G10" s="78" t="s">
        <v>2510</v>
      </c>
      <c r="H10" s="76" t="s">
        <v>51</v>
      </c>
      <c r="I10" s="78" t="s">
        <v>90</v>
      </c>
      <c r="J10" s="78" t="s">
        <v>2514</v>
      </c>
      <c r="K10" s="76"/>
      <c r="L10" s="76" t="s">
        <v>35</v>
      </c>
      <c r="M10" s="76" t="s">
        <v>37</v>
      </c>
      <c r="N10" s="76">
        <v>2</v>
      </c>
      <c r="O10" s="76"/>
      <c r="P10" s="76"/>
      <c r="Q10" s="76"/>
      <c r="R10" s="76"/>
      <c r="X10" s="84" t="s">
        <v>2641</v>
      </c>
      <c r="Y10" s="84" t="s">
        <v>2541</v>
      </c>
      <c r="AA10" s="84" t="s">
        <v>2642</v>
      </c>
      <c r="AC10" s="84" t="s">
        <v>2541</v>
      </c>
      <c r="AG10" s="84" t="s">
        <v>2643</v>
      </c>
      <c r="AU10" s="84">
        <v>110</v>
      </c>
      <c r="AY10" s="86" t="s">
        <v>2644</v>
      </c>
      <c r="AZ10" s="88">
        <f t="shared" si="0"/>
        <v>2</v>
      </c>
      <c r="BB10" s="84" t="s">
        <v>2777</v>
      </c>
      <c r="BI10" s="63" t="s">
        <v>2780</v>
      </c>
      <c r="BJ10" s="79" t="s">
        <v>2836</v>
      </c>
      <c r="BK10" s="63" t="s">
        <v>2541</v>
      </c>
      <c r="BL10" s="84" t="s">
        <v>2541</v>
      </c>
      <c r="BM10" s="84" t="s">
        <v>2541</v>
      </c>
      <c r="BX10" s="88">
        <v>2</v>
      </c>
      <c r="CQ10" s="88"/>
    </row>
    <row r="11" spans="1:96" ht="22.5" outlineLevel="1" x14ac:dyDescent="0.15">
      <c r="A11" s="76">
        <v>10</v>
      </c>
      <c r="B11" s="65" t="s">
        <v>125</v>
      </c>
      <c r="C11" s="65">
        <v>1066964440</v>
      </c>
      <c r="D11" s="80" t="e">
        <f>HYPERLINK(CONCATENATE("https://portal.dnb.de/opac.htm?method=simpleSearch&amp;cqlMode=true&amp;query=idn%3D",[1]!Tabelle5[[#This Row],[idn]]))</f>
        <v>#REF!</v>
      </c>
      <c r="E11" s="65" t="s">
        <v>126</v>
      </c>
      <c r="F11" s="76"/>
      <c r="G11" s="78" t="s">
        <v>2510</v>
      </c>
      <c r="H11" s="76" t="s">
        <v>50</v>
      </c>
      <c r="I11" s="78" t="s">
        <v>55</v>
      </c>
      <c r="J11" s="78" t="s">
        <v>81</v>
      </c>
      <c r="K11" s="76"/>
      <c r="L11" s="76" t="s">
        <v>34</v>
      </c>
      <c r="M11" s="76" t="s">
        <v>37</v>
      </c>
      <c r="N11" s="76">
        <v>0</v>
      </c>
      <c r="O11" s="76"/>
      <c r="P11" s="76"/>
      <c r="Q11" s="76"/>
      <c r="R11" s="76"/>
      <c r="X11" s="84" t="s">
        <v>2697</v>
      </c>
      <c r="Y11" s="84" t="s">
        <v>2541</v>
      </c>
      <c r="Z11" s="84" t="s">
        <v>2541</v>
      </c>
      <c r="AA11" s="84" t="s">
        <v>2647</v>
      </c>
      <c r="AG11" s="84" t="s">
        <v>2643</v>
      </c>
      <c r="AH11" s="84" t="s">
        <v>2541</v>
      </c>
      <c r="AU11" s="84">
        <v>80</v>
      </c>
      <c r="AY11" s="86" t="s">
        <v>2644</v>
      </c>
      <c r="AZ11" s="88">
        <f t="shared" si="0"/>
        <v>0.5</v>
      </c>
      <c r="BD11" s="84" t="s">
        <v>2541</v>
      </c>
      <c r="BK11" s="63" t="s">
        <v>2541</v>
      </c>
      <c r="BO11" s="84" t="s">
        <v>2677</v>
      </c>
      <c r="BX11" s="88">
        <v>0.5</v>
      </c>
      <c r="BY11" s="79" t="s">
        <v>2959</v>
      </c>
      <c r="CQ11" s="88"/>
    </row>
    <row r="12" spans="1:96" outlineLevel="1" x14ac:dyDescent="0.15">
      <c r="A12" s="76">
        <v>11</v>
      </c>
      <c r="B12" s="65" t="s">
        <v>127</v>
      </c>
      <c r="C12" s="65">
        <v>1066941645</v>
      </c>
      <c r="D12" s="80" t="e">
        <f>HYPERLINK(CONCATENATE("https://portal.dnb.de/opac.htm?method=simpleSearch&amp;cqlMode=true&amp;query=idn%3D",[1]!Tabelle5[[#This Row],[idn]]))</f>
        <v>#REF!</v>
      </c>
      <c r="E12" s="65" t="s">
        <v>128</v>
      </c>
      <c r="F12" s="76" t="s">
        <v>89</v>
      </c>
      <c r="G12" s="78" t="s">
        <v>4</v>
      </c>
      <c r="H12" s="76" t="s">
        <v>51</v>
      </c>
      <c r="I12" s="78" t="s">
        <v>55</v>
      </c>
      <c r="J12" s="78" t="s">
        <v>81</v>
      </c>
      <c r="K12" s="76"/>
      <c r="L12" s="76"/>
      <c r="M12" s="76"/>
      <c r="N12" s="76">
        <v>0</v>
      </c>
      <c r="O12" s="76"/>
      <c r="P12" s="76"/>
      <c r="Q12" s="76"/>
      <c r="R12" s="76"/>
      <c r="AZ12" s="88">
        <f t="shared" si="0"/>
        <v>0</v>
      </c>
      <c r="BX12" s="88"/>
      <c r="CQ12" s="88"/>
    </row>
    <row r="13" spans="1:96" ht="22.5" outlineLevel="1" x14ac:dyDescent="0.15">
      <c r="A13" s="76">
        <v>12</v>
      </c>
      <c r="B13" s="65" t="s">
        <v>129</v>
      </c>
      <c r="C13" s="65">
        <v>1066961646</v>
      </c>
      <c r="D13" s="80" t="e">
        <f>HYPERLINK(CONCATENATE("https://portal.dnb.de/opac.htm?method=simpleSearch&amp;cqlMode=true&amp;query=idn%3D",[1]!Tabelle5[[#This Row],[idn]]))</f>
        <v>#REF!</v>
      </c>
      <c r="E13" s="65" t="s">
        <v>130</v>
      </c>
      <c r="F13" s="76" t="s">
        <v>89</v>
      </c>
      <c r="G13" s="78" t="s">
        <v>2510</v>
      </c>
      <c r="H13" s="76" t="s">
        <v>51</v>
      </c>
      <c r="I13" s="78" t="s">
        <v>90</v>
      </c>
      <c r="J13" s="78"/>
      <c r="K13" s="76"/>
      <c r="L13" s="76" t="s">
        <v>34</v>
      </c>
      <c r="M13" s="76" t="s">
        <v>37</v>
      </c>
      <c r="N13" s="76">
        <v>0</v>
      </c>
      <c r="O13" s="76"/>
      <c r="P13" s="76"/>
      <c r="Q13" s="76"/>
      <c r="R13" s="76"/>
      <c r="AZ13" s="88">
        <f t="shared" si="0"/>
        <v>0</v>
      </c>
      <c r="BX13" s="88"/>
      <c r="CQ13" s="88"/>
    </row>
    <row r="14" spans="1:96" ht="22.5" outlineLevel="1" x14ac:dyDescent="0.15">
      <c r="A14" s="76">
        <v>13</v>
      </c>
      <c r="B14" s="65" t="s">
        <v>131</v>
      </c>
      <c r="C14" s="65">
        <v>1066961859</v>
      </c>
      <c r="D14" s="80" t="e">
        <f>HYPERLINK(CONCATENATE("https://portal.dnb.de/opac.htm?method=simpleSearch&amp;cqlMode=true&amp;query=idn%3D",[1]!Tabelle5[[#This Row],[idn]]))</f>
        <v>#REF!</v>
      </c>
      <c r="E14" s="65" t="s">
        <v>132</v>
      </c>
      <c r="F14" s="76" t="s">
        <v>89</v>
      </c>
      <c r="G14" s="78" t="s">
        <v>2516</v>
      </c>
      <c r="H14" s="76" t="s">
        <v>51</v>
      </c>
      <c r="I14" s="78" t="s">
        <v>90</v>
      </c>
      <c r="J14" s="78" t="s">
        <v>2517</v>
      </c>
      <c r="K14" s="76"/>
      <c r="L14" s="76" t="s">
        <v>34</v>
      </c>
      <c r="M14" s="76" t="s">
        <v>37</v>
      </c>
      <c r="N14" s="76">
        <v>0</v>
      </c>
      <c r="O14" s="76"/>
      <c r="P14" s="76"/>
      <c r="Q14" s="76"/>
      <c r="R14" s="76"/>
      <c r="AZ14" s="88">
        <f t="shared" si="0"/>
        <v>0</v>
      </c>
      <c r="BX14" s="88"/>
      <c r="CQ14" s="88"/>
    </row>
    <row r="15" spans="1:96" outlineLevel="1" x14ac:dyDescent="0.15">
      <c r="A15" s="76">
        <v>14</v>
      </c>
      <c r="B15" s="65" t="s">
        <v>133</v>
      </c>
      <c r="C15" s="65">
        <v>1066964009</v>
      </c>
      <c r="D15" s="80" t="e">
        <f>HYPERLINK(CONCATENATE("https://portal.dnb.de/opac.htm?method=simpleSearch&amp;cqlMode=true&amp;query=idn%3D",[1]!Tabelle5[[#This Row],[idn]]))</f>
        <v>#REF!</v>
      </c>
      <c r="E15" s="65" t="s">
        <v>134</v>
      </c>
      <c r="F15" s="76" t="s">
        <v>89</v>
      </c>
      <c r="G15" s="78" t="s">
        <v>45</v>
      </c>
      <c r="H15" s="76" t="s">
        <v>50</v>
      </c>
      <c r="I15" s="78" t="s">
        <v>55</v>
      </c>
      <c r="J15" s="78" t="s">
        <v>81</v>
      </c>
      <c r="K15" s="76"/>
      <c r="L15" s="76" t="s">
        <v>33</v>
      </c>
      <c r="M15" s="76" t="s">
        <v>93</v>
      </c>
      <c r="N15" s="76">
        <v>0</v>
      </c>
      <c r="O15" s="76"/>
      <c r="P15" s="76"/>
      <c r="Q15" s="76"/>
      <c r="R15" s="76"/>
      <c r="AZ15" s="88">
        <f t="shared" si="0"/>
        <v>0</v>
      </c>
      <c r="BX15" s="88"/>
      <c r="CQ15" s="88"/>
    </row>
    <row r="16" spans="1:96" outlineLevel="1" x14ac:dyDescent="0.15">
      <c r="A16" s="76">
        <v>15</v>
      </c>
      <c r="B16" s="65" t="s">
        <v>135</v>
      </c>
      <c r="C16" s="65">
        <v>1066963568</v>
      </c>
      <c r="D16" s="80" t="e">
        <f>HYPERLINK(CONCATENATE("https://portal.dnb.de/opac.htm?method=simpleSearch&amp;cqlMode=true&amp;query=idn%3D",[1]!Tabelle5[[#This Row],[idn]]))</f>
        <v>#REF!</v>
      </c>
      <c r="E16" s="65" t="s">
        <v>136</v>
      </c>
      <c r="F16" s="76"/>
      <c r="G16" s="78"/>
      <c r="H16" s="76"/>
      <c r="I16" s="78"/>
      <c r="J16" s="78"/>
      <c r="K16" s="76"/>
      <c r="L16" s="76"/>
      <c r="M16" s="76"/>
      <c r="N16" s="76"/>
      <c r="O16" s="76"/>
      <c r="P16" s="76"/>
      <c r="Q16" s="76"/>
      <c r="R16" s="76"/>
      <c r="AZ16" s="88">
        <f t="shared" si="0"/>
        <v>0</v>
      </c>
      <c r="BX16" s="88"/>
      <c r="CQ16" s="88"/>
    </row>
    <row r="17" spans="1:95" ht="22.5" outlineLevel="1" x14ac:dyDescent="0.15">
      <c r="A17" s="76">
        <v>16</v>
      </c>
      <c r="B17" s="65" t="s">
        <v>137</v>
      </c>
      <c r="C17" s="65" t="s">
        <v>138</v>
      </c>
      <c r="D17" s="80" t="e">
        <f>HYPERLINK(CONCATENATE("https://portal.dnb.de/opac.htm?method=simpleSearch&amp;cqlMode=true&amp;query=idn%3D",[1]!Tabelle5[[#This Row],[idn]]))</f>
        <v>#REF!</v>
      </c>
      <c r="E17" s="65" t="s">
        <v>139</v>
      </c>
      <c r="F17" s="76" t="s">
        <v>89</v>
      </c>
      <c r="G17" s="78" t="s">
        <v>2518</v>
      </c>
      <c r="H17" s="76" t="s">
        <v>51</v>
      </c>
      <c r="I17" s="78" t="s">
        <v>55</v>
      </c>
      <c r="J17" s="78" t="s">
        <v>81</v>
      </c>
      <c r="K17" s="76"/>
      <c r="L17" s="76" t="s">
        <v>34</v>
      </c>
      <c r="M17" s="76" t="s">
        <v>37</v>
      </c>
      <c r="N17" s="76">
        <v>0</v>
      </c>
      <c r="O17" s="76"/>
      <c r="P17" s="76"/>
      <c r="Q17" s="76"/>
      <c r="R17" s="76"/>
      <c r="AZ17" s="88">
        <f t="shared" si="0"/>
        <v>0</v>
      </c>
      <c r="BX17" s="88"/>
      <c r="CQ17" s="88"/>
    </row>
    <row r="18" spans="1:95" ht="22.5" outlineLevel="1" x14ac:dyDescent="0.15">
      <c r="A18" s="76">
        <v>17</v>
      </c>
      <c r="B18" s="65" t="s">
        <v>140</v>
      </c>
      <c r="C18" s="65">
        <v>1066871930</v>
      </c>
      <c r="D18" s="80" t="e">
        <f>HYPERLINK(CONCATENATE("https://portal.dnb.de/opac.htm?method=simpleSearch&amp;cqlMode=true&amp;query=idn%3D",[1]!Tabelle5[[#This Row],[idn]]))</f>
        <v>#REF!</v>
      </c>
      <c r="E18" s="65" t="s">
        <v>141</v>
      </c>
      <c r="F18" s="76" t="s">
        <v>89</v>
      </c>
      <c r="G18" s="78" t="s">
        <v>3</v>
      </c>
      <c r="H18" s="76" t="s">
        <v>50</v>
      </c>
      <c r="I18" s="78" t="s">
        <v>55</v>
      </c>
      <c r="J18" s="78" t="s">
        <v>2519</v>
      </c>
      <c r="K18" s="76"/>
      <c r="L18" s="76"/>
      <c r="M18" s="76"/>
      <c r="N18" s="76">
        <v>1</v>
      </c>
      <c r="O18" s="76"/>
      <c r="P18" s="76" t="s">
        <v>2542</v>
      </c>
      <c r="Q18" s="76"/>
      <c r="R18" s="76"/>
      <c r="AZ18" s="88">
        <f t="shared" si="0"/>
        <v>0</v>
      </c>
      <c r="BX18" s="88"/>
      <c r="CQ18" s="88"/>
    </row>
    <row r="19" spans="1:95" ht="22.5" outlineLevel="1" x14ac:dyDescent="0.15">
      <c r="A19" s="76">
        <v>18</v>
      </c>
      <c r="B19" s="65" t="s">
        <v>142</v>
      </c>
      <c r="C19" s="65" t="s">
        <v>143</v>
      </c>
      <c r="D19" s="80" t="e">
        <f>HYPERLINK(CONCATENATE("https://portal.dnb.de/opac.htm?method=simpleSearch&amp;cqlMode=true&amp;query=idn%3D",[1]!Tabelle5[[#This Row],[idn]]))</f>
        <v>#REF!</v>
      </c>
      <c r="E19" s="65" t="s">
        <v>144</v>
      </c>
      <c r="F19" s="76" t="s">
        <v>89</v>
      </c>
      <c r="G19" s="78" t="s">
        <v>2516</v>
      </c>
      <c r="H19" s="76" t="s">
        <v>50</v>
      </c>
      <c r="I19" s="78" t="s">
        <v>55</v>
      </c>
      <c r="J19" s="78" t="s">
        <v>94</v>
      </c>
      <c r="K19" s="76"/>
      <c r="L19" s="76" t="s">
        <v>30</v>
      </c>
      <c r="M19" s="76" t="s">
        <v>37</v>
      </c>
      <c r="N19" s="76">
        <v>0</v>
      </c>
      <c r="O19" s="76"/>
      <c r="P19" s="76"/>
      <c r="Q19" s="76"/>
      <c r="R19" s="76"/>
      <c r="AZ19" s="88">
        <f t="shared" si="0"/>
        <v>0</v>
      </c>
      <c r="BX19" s="88"/>
      <c r="CQ19" s="88"/>
    </row>
    <row r="20" spans="1:95" outlineLevel="1" x14ac:dyDescent="0.15">
      <c r="A20" s="76">
        <v>19</v>
      </c>
      <c r="B20" s="65" t="s">
        <v>145</v>
      </c>
      <c r="C20" s="65" t="s">
        <v>146</v>
      </c>
      <c r="D20" s="80" t="e">
        <f>HYPERLINK(CONCATENATE("https://portal.dnb.de/opac.htm?method=simpleSearch&amp;cqlMode=true&amp;query=idn%3D",[1]!Tabelle5[[#This Row],[idn]]))</f>
        <v>#REF!</v>
      </c>
      <c r="E20" s="65" t="s">
        <v>147</v>
      </c>
      <c r="F20" s="76" t="s">
        <v>89</v>
      </c>
      <c r="G20" s="78" t="s">
        <v>45</v>
      </c>
      <c r="H20" s="76" t="s">
        <v>50</v>
      </c>
      <c r="I20" s="78" t="s">
        <v>55</v>
      </c>
      <c r="J20" s="78" t="s">
        <v>105</v>
      </c>
      <c r="K20" s="76"/>
      <c r="L20" s="76"/>
      <c r="M20" s="76"/>
      <c r="N20" s="76">
        <v>1</v>
      </c>
      <c r="O20" s="76"/>
      <c r="P20" s="76"/>
      <c r="Q20" s="76"/>
      <c r="R20" s="76"/>
      <c r="AZ20" s="88">
        <f t="shared" si="0"/>
        <v>0</v>
      </c>
      <c r="BX20" s="88"/>
      <c r="CQ20" s="88"/>
    </row>
    <row r="21" spans="1:95" ht="22.5" outlineLevel="1" x14ac:dyDescent="0.15">
      <c r="A21" s="76">
        <v>20</v>
      </c>
      <c r="B21" s="65" t="s">
        <v>148</v>
      </c>
      <c r="C21" s="65">
        <v>1066871574</v>
      </c>
      <c r="D21" s="80" t="e">
        <f>HYPERLINK(CONCATENATE("https://portal.dnb.de/opac.htm?method=simpleSearch&amp;cqlMode=true&amp;query=idn%3D",[1]!Tabelle5[[#This Row],[idn]]))</f>
        <v>#REF!</v>
      </c>
      <c r="E21" s="65" t="s">
        <v>149</v>
      </c>
      <c r="F21" s="76"/>
      <c r="G21" s="78" t="s">
        <v>2520</v>
      </c>
      <c r="H21" s="76" t="s">
        <v>50</v>
      </c>
      <c r="I21" s="78" t="s">
        <v>55</v>
      </c>
      <c r="J21" s="78" t="s">
        <v>81</v>
      </c>
      <c r="K21" s="76"/>
      <c r="L21" s="76" t="s">
        <v>30</v>
      </c>
      <c r="M21" s="76" t="s">
        <v>37</v>
      </c>
      <c r="N21" s="76">
        <v>0</v>
      </c>
      <c r="O21" s="76"/>
      <c r="P21" s="76"/>
      <c r="Q21" s="76"/>
      <c r="R21" s="76"/>
      <c r="AZ21" s="88">
        <f t="shared" si="0"/>
        <v>0</v>
      </c>
      <c r="BX21" s="88"/>
      <c r="CQ21" s="88"/>
    </row>
    <row r="22" spans="1:95" ht="33.75" outlineLevel="1" x14ac:dyDescent="0.15">
      <c r="A22" s="76">
        <v>21</v>
      </c>
      <c r="B22" s="65" t="s">
        <v>150</v>
      </c>
      <c r="C22" s="65">
        <v>1066839182</v>
      </c>
      <c r="D22" s="80" t="e">
        <f>HYPERLINK(CONCATENATE("https://portal.dnb.de/opac.htm?method=simpleSearch&amp;cqlMode=true&amp;query=idn%3D",[1]!Tabelle5[[#This Row],[idn]]))</f>
        <v>#REF!</v>
      </c>
      <c r="E22" s="65" t="s">
        <v>151</v>
      </c>
      <c r="F22" s="76" t="s">
        <v>89</v>
      </c>
      <c r="G22" s="78" t="s">
        <v>2521</v>
      </c>
      <c r="H22" s="76" t="s">
        <v>50</v>
      </c>
      <c r="I22" s="78" t="s">
        <v>90</v>
      </c>
      <c r="J22" s="78" t="s">
        <v>81</v>
      </c>
      <c r="K22" s="76"/>
      <c r="L22" s="76"/>
      <c r="M22" s="76"/>
      <c r="N22" s="76">
        <v>0</v>
      </c>
      <c r="O22" s="76"/>
      <c r="P22" s="76"/>
      <c r="Q22" s="76"/>
      <c r="R22" s="76"/>
      <c r="AZ22" s="88">
        <f t="shared" si="0"/>
        <v>0</v>
      </c>
      <c r="BX22" s="88"/>
      <c r="CQ22" s="88"/>
    </row>
    <row r="23" spans="1:95" outlineLevel="1" x14ac:dyDescent="0.15">
      <c r="A23" s="76">
        <v>22</v>
      </c>
      <c r="B23" s="65" t="s">
        <v>152</v>
      </c>
      <c r="C23" s="65">
        <v>1066937621</v>
      </c>
      <c r="D23" s="80" t="e">
        <f>HYPERLINK(CONCATENATE("https://portal.dnb.de/opac.htm?method=simpleSearch&amp;cqlMode=true&amp;query=idn%3D",[1]!Tabelle5[[#This Row],[idn]]))</f>
        <v>#REF!</v>
      </c>
      <c r="E23" s="65" t="s">
        <v>153</v>
      </c>
      <c r="F23" s="76" t="s">
        <v>89</v>
      </c>
      <c r="G23" s="78" t="s">
        <v>17</v>
      </c>
      <c r="H23" s="76" t="s">
        <v>50</v>
      </c>
      <c r="I23" s="78" t="s">
        <v>55</v>
      </c>
      <c r="J23" s="78" t="s">
        <v>81</v>
      </c>
      <c r="K23" s="76"/>
      <c r="L23" s="76" t="s">
        <v>30</v>
      </c>
      <c r="M23" s="76" t="s">
        <v>37</v>
      </c>
      <c r="N23" s="76">
        <v>2</v>
      </c>
      <c r="O23" s="76"/>
      <c r="P23" s="76"/>
      <c r="Q23" s="76"/>
      <c r="R23" s="76"/>
      <c r="AZ23" s="88">
        <f t="shared" si="0"/>
        <v>0</v>
      </c>
      <c r="BX23" s="88"/>
      <c r="CQ23" s="88"/>
    </row>
    <row r="24" spans="1:95" outlineLevel="1" x14ac:dyDescent="0.15">
      <c r="A24" s="76">
        <v>23</v>
      </c>
      <c r="B24" s="65" t="s">
        <v>154</v>
      </c>
      <c r="C24" s="65">
        <v>1066963312</v>
      </c>
      <c r="D24" s="80" t="e">
        <f>HYPERLINK(CONCATENATE("https://portal.dnb.de/opac.htm?method=simpleSearch&amp;cqlMode=true&amp;query=idn%3D",[1]!Tabelle5[[#This Row],[idn]]))</f>
        <v>#REF!</v>
      </c>
      <c r="E24" s="65" t="s">
        <v>155</v>
      </c>
      <c r="F24" s="76" t="s">
        <v>89</v>
      </c>
      <c r="G24" s="78" t="s">
        <v>45</v>
      </c>
      <c r="H24" s="76" t="s">
        <v>50</v>
      </c>
      <c r="I24" s="78" t="s">
        <v>90</v>
      </c>
      <c r="J24" s="78" t="s">
        <v>81</v>
      </c>
      <c r="K24" s="76"/>
      <c r="L24" s="76" t="s">
        <v>33</v>
      </c>
      <c r="M24" s="76" t="s">
        <v>36</v>
      </c>
      <c r="N24" s="76">
        <v>0</v>
      </c>
      <c r="O24" s="76"/>
      <c r="P24" s="76"/>
      <c r="Q24" s="76"/>
      <c r="R24" s="76"/>
      <c r="AZ24" s="88">
        <f t="shared" si="0"/>
        <v>0</v>
      </c>
      <c r="BX24" s="88"/>
      <c r="CQ24" s="88"/>
    </row>
    <row r="25" spans="1:95" ht="22.5" outlineLevel="1" x14ac:dyDescent="0.15">
      <c r="A25" s="76">
        <v>24</v>
      </c>
      <c r="B25" s="65" t="s">
        <v>156</v>
      </c>
      <c r="C25" s="65" t="s">
        <v>157</v>
      </c>
      <c r="D25" s="80" t="e">
        <f>HYPERLINK(CONCATENATE("https://portal.dnb.de/opac.htm?method=simpleSearch&amp;cqlMode=true&amp;query=idn%3D",[1]!Tabelle5[[#This Row],[idn]]))</f>
        <v>#REF!</v>
      </c>
      <c r="E25" s="65" t="s">
        <v>158</v>
      </c>
      <c r="F25" s="76" t="s">
        <v>89</v>
      </c>
      <c r="G25" s="78" t="s">
        <v>2510</v>
      </c>
      <c r="H25" s="76" t="s">
        <v>50</v>
      </c>
      <c r="I25" s="78" t="s">
        <v>90</v>
      </c>
      <c r="J25" s="78" t="s">
        <v>2519</v>
      </c>
      <c r="K25" s="76"/>
      <c r="L25" s="76" t="s">
        <v>34</v>
      </c>
      <c r="M25" s="76" t="s">
        <v>37</v>
      </c>
      <c r="N25" s="76">
        <v>1</v>
      </c>
      <c r="O25" s="76"/>
      <c r="P25" s="76"/>
      <c r="Q25" s="76"/>
      <c r="R25" s="76"/>
      <c r="X25" s="84" t="s">
        <v>2645</v>
      </c>
      <c r="Y25" s="84" t="s">
        <v>2541</v>
      </c>
      <c r="AA25" s="84" t="s">
        <v>2647</v>
      </c>
      <c r="AG25" s="84" t="s">
        <v>2643</v>
      </c>
      <c r="AU25" s="84">
        <v>110</v>
      </c>
      <c r="AY25" s="86" t="s">
        <v>2644</v>
      </c>
      <c r="AZ25" s="88">
        <f t="shared" si="0"/>
        <v>0.5</v>
      </c>
      <c r="BD25" s="84" t="s">
        <v>2541</v>
      </c>
      <c r="BK25" s="63" t="s">
        <v>2541</v>
      </c>
      <c r="BO25" s="84" t="s">
        <v>2677</v>
      </c>
      <c r="BX25" s="88">
        <v>0.5</v>
      </c>
      <c r="BY25" s="79" t="s">
        <v>2960</v>
      </c>
      <c r="CQ25" s="88"/>
    </row>
    <row r="26" spans="1:95" outlineLevel="1" x14ac:dyDescent="0.15">
      <c r="A26" s="76">
        <v>25</v>
      </c>
      <c r="B26" s="65" t="s">
        <v>159</v>
      </c>
      <c r="C26" s="65">
        <v>1066942307</v>
      </c>
      <c r="D26" s="80" t="e">
        <f>HYPERLINK(CONCATENATE("https://portal.dnb.de/opac.htm?method=simpleSearch&amp;cqlMode=true&amp;query=idn%3D",[1]!Tabelle5[[#This Row],[idn]]))</f>
        <v>#REF!</v>
      </c>
      <c r="E26" s="65" t="s">
        <v>160</v>
      </c>
      <c r="F26" s="76"/>
      <c r="G26" s="78"/>
      <c r="H26" s="76" t="s">
        <v>51</v>
      </c>
      <c r="I26" s="78"/>
      <c r="J26" s="78"/>
      <c r="K26" s="76"/>
      <c r="L26" s="76"/>
      <c r="M26" s="76"/>
      <c r="N26" s="76"/>
      <c r="O26" s="76"/>
      <c r="P26" s="76"/>
      <c r="Q26" s="76"/>
      <c r="R26" s="76"/>
      <c r="X26" s="84" t="s">
        <v>2697</v>
      </c>
      <c r="AA26" s="84" t="s">
        <v>2653</v>
      </c>
      <c r="AG26" s="84" t="s">
        <v>2643</v>
      </c>
      <c r="AU26" s="84">
        <v>110</v>
      </c>
      <c r="AY26" s="86" t="s">
        <v>2644</v>
      </c>
      <c r="AZ26" s="88">
        <f t="shared" si="0"/>
        <v>2</v>
      </c>
      <c r="BK26" s="63" t="s">
        <v>2541</v>
      </c>
      <c r="BL26" s="84" t="s">
        <v>2541</v>
      </c>
      <c r="BM26" s="84" t="s">
        <v>2541</v>
      </c>
      <c r="BO26" s="84" t="s">
        <v>2677</v>
      </c>
      <c r="BX26" s="88">
        <v>2</v>
      </c>
      <c r="BY26" s="79" t="s">
        <v>2961</v>
      </c>
      <c r="CQ26" s="88"/>
    </row>
    <row r="27" spans="1:95" outlineLevel="1" x14ac:dyDescent="0.15">
      <c r="A27" s="76">
        <v>26</v>
      </c>
      <c r="B27" s="65" t="s">
        <v>161</v>
      </c>
      <c r="C27" s="65">
        <v>1066941688</v>
      </c>
      <c r="D27" s="80" t="e">
        <f>HYPERLINK(CONCATENATE("https://portal.dnb.de/opac.htm?method=simpleSearch&amp;cqlMode=true&amp;query=idn%3D",[1]!Tabelle5[[#This Row],[idn]]))</f>
        <v>#REF!</v>
      </c>
      <c r="E27" s="65" t="s">
        <v>162</v>
      </c>
      <c r="F27" s="76"/>
      <c r="G27" s="78"/>
      <c r="H27" s="76" t="s">
        <v>51</v>
      </c>
      <c r="I27" s="78"/>
      <c r="J27" s="78"/>
      <c r="K27" s="76"/>
      <c r="L27" s="76"/>
      <c r="M27" s="76"/>
      <c r="N27" s="76"/>
      <c r="O27" s="76"/>
      <c r="P27" s="76"/>
      <c r="Q27" s="76"/>
      <c r="R27" s="76"/>
      <c r="X27" s="84" t="s">
        <v>2697</v>
      </c>
      <c r="Y27" s="84" t="s">
        <v>2541</v>
      </c>
      <c r="AA27" s="84" t="s">
        <v>2653</v>
      </c>
      <c r="AG27" s="84" t="s">
        <v>2643</v>
      </c>
      <c r="AU27" s="84">
        <v>110</v>
      </c>
      <c r="AY27" s="86" t="s">
        <v>2644</v>
      </c>
      <c r="AZ27" s="88">
        <f t="shared" si="0"/>
        <v>0.5</v>
      </c>
      <c r="BD27" s="84" t="s">
        <v>2541</v>
      </c>
      <c r="BK27" s="63" t="s">
        <v>2541</v>
      </c>
      <c r="BL27" s="84" t="s">
        <v>2541</v>
      </c>
      <c r="BM27" s="84" t="s">
        <v>2541</v>
      </c>
      <c r="BX27" s="88">
        <v>0.5</v>
      </c>
      <c r="CQ27" s="88"/>
    </row>
    <row r="28" spans="1:95" ht="33.75" outlineLevel="1" x14ac:dyDescent="0.15">
      <c r="A28" s="76">
        <v>27</v>
      </c>
      <c r="B28" s="65" t="s">
        <v>163</v>
      </c>
      <c r="C28" s="65">
        <f>'III Drucke 1501-1560'!Z122</f>
        <v>0</v>
      </c>
      <c r="D28" s="80" t="e">
        <f>HYPERLINK(CONCATENATE("https://portal.dnb.de/opac.htm?method=simpleSearch&amp;cqlMode=true&amp;query=idn%3D",[1]!Tabelle5[[#This Row],[idn]]))</f>
        <v>#REF!</v>
      </c>
      <c r="E28" s="65" t="s">
        <v>164</v>
      </c>
      <c r="F28" s="76" t="s">
        <v>89</v>
      </c>
      <c r="G28" s="78" t="s">
        <v>2522</v>
      </c>
      <c r="H28" s="76" t="s">
        <v>51</v>
      </c>
      <c r="I28" s="78" t="s">
        <v>55</v>
      </c>
      <c r="J28" s="78" t="s">
        <v>81</v>
      </c>
      <c r="K28" s="76"/>
      <c r="L28" s="76" t="s">
        <v>34</v>
      </c>
      <c r="M28" s="76" t="s">
        <v>37</v>
      </c>
      <c r="N28" s="76">
        <v>2</v>
      </c>
      <c r="O28" s="76"/>
      <c r="P28" s="76"/>
      <c r="Q28" s="76"/>
      <c r="R28" s="76"/>
      <c r="X28" s="84" t="s">
        <v>2643</v>
      </c>
      <c r="Y28" s="84" t="s">
        <v>2541</v>
      </c>
      <c r="AA28" s="84" t="s">
        <v>2647</v>
      </c>
      <c r="AG28" s="84" t="s">
        <v>2643</v>
      </c>
      <c r="AU28" s="84">
        <v>110</v>
      </c>
      <c r="AY28" s="86" t="s">
        <v>2651</v>
      </c>
      <c r="AZ28" s="88">
        <f t="shared" si="0"/>
        <v>0</v>
      </c>
      <c r="BD28" s="84" t="s">
        <v>2541</v>
      </c>
      <c r="BH28" s="79" t="s">
        <v>2962</v>
      </c>
      <c r="BX28" s="88"/>
      <c r="CQ28" s="88"/>
    </row>
    <row r="29" spans="1:95" ht="33.75" outlineLevel="1" x14ac:dyDescent="0.15">
      <c r="A29" s="76">
        <v>28</v>
      </c>
      <c r="B29" s="65" t="s">
        <v>165</v>
      </c>
      <c r="C29" s="65" t="s">
        <v>166</v>
      </c>
      <c r="D29" s="80" t="e">
        <f>HYPERLINK(CONCATENATE("https://portal.dnb.de/opac.htm?method=simpleSearch&amp;cqlMode=true&amp;query=idn%3D",[1]!Tabelle5[[#This Row],[idn]]))</f>
        <v>#REF!</v>
      </c>
      <c r="E29" s="65" t="s">
        <v>167</v>
      </c>
      <c r="F29" s="76" t="s">
        <v>89</v>
      </c>
      <c r="G29" s="78" t="s">
        <v>2522</v>
      </c>
      <c r="H29" s="76" t="s">
        <v>51</v>
      </c>
      <c r="I29" s="78" t="s">
        <v>55</v>
      </c>
      <c r="J29" s="78" t="s">
        <v>81</v>
      </c>
      <c r="K29" s="76"/>
      <c r="L29" s="76" t="s">
        <v>34</v>
      </c>
      <c r="M29" s="76" t="s">
        <v>37</v>
      </c>
      <c r="N29" s="76">
        <v>2</v>
      </c>
      <c r="O29" s="76"/>
      <c r="P29" s="76"/>
      <c r="Q29" s="76"/>
      <c r="R29" s="76"/>
      <c r="X29" s="84" t="s">
        <v>2643</v>
      </c>
      <c r="Y29" s="84" t="s">
        <v>2541</v>
      </c>
      <c r="AA29" s="84" t="s">
        <v>2647</v>
      </c>
      <c r="AG29" s="84" t="s">
        <v>2643</v>
      </c>
      <c r="AU29" s="84">
        <v>110</v>
      </c>
      <c r="AY29" s="86" t="s">
        <v>2644</v>
      </c>
      <c r="AZ29" s="88">
        <f t="shared" si="0"/>
        <v>1.5</v>
      </c>
      <c r="BD29" s="84" t="s">
        <v>2541</v>
      </c>
      <c r="BK29" s="63" t="s">
        <v>2541</v>
      </c>
      <c r="BM29" s="84" t="s">
        <v>2541</v>
      </c>
      <c r="BX29" s="88">
        <v>1.5</v>
      </c>
      <c r="BY29" s="79" t="s">
        <v>2963</v>
      </c>
      <c r="CQ29" s="88"/>
    </row>
    <row r="30" spans="1:95" outlineLevel="1" x14ac:dyDescent="0.15">
      <c r="A30" s="76">
        <v>29</v>
      </c>
      <c r="B30" s="65" t="s">
        <v>168</v>
      </c>
      <c r="C30" s="65">
        <v>1066858500</v>
      </c>
      <c r="D30" s="80" t="e">
        <f>HYPERLINK(CONCATENATE("https://portal.dnb.de/opac.htm?method=simpleSearch&amp;cqlMode=true&amp;query=idn%3D",[1]!Tabelle5[[#This Row],[idn]]))</f>
        <v>#REF!</v>
      </c>
      <c r="E30" s="65" t="s">
        <v>169</v>
      </c>
      <c r="F30" s="76"/>
      <c r="G30" s="78"/>
      <c r="H30" s="76" t="s">
        <v>51</v>
      </c>
      <c r="I30" s="78"/>
      <c r="J30" s="78"/>
      <c r="K30" s="76"/>
      <c r="L30" s="76"/>
      <c r="M30" s="76"/>
      <c r="N30" s="76"/>
      <c r="O30" s="76"/>
      <c r="Q30" s="76"/>
      <c r="R30" s="76"/>
      <c r="X30" s="84" t="s">
        <v>2652</v>
      </c>
      <c r="Y30" s="84" t="s">
        <v>2541</v>
      </c>
      <c r="AA30" s="84" t="s">
        <v>2647</v>
      </c>
      <c r="AG30" s="84" t="s">
        <v>2643</v>
      </c>
      <c r="AU30" s="84">
        <v>110</v>
      </c>
      <c r="AY30" s="86" t="s">
        <v>2651</v>
      </c>
      <c r="AZ30" s="88">
        <f t="shared" si="0"/>
        <v>0</v>
      </c>
      <c r="BH30" s="79" t="s">
        <v>2962</v>
      </c>
      <c r="BX30" s="88"/>
      <c r="CQ30" s="88"/>
    </row>
    <row r="31" spans="1:95" ht="22.5" outlineLevel="1" x14ac:dyDescent="0.15">
      <c r="A31" s="76">
        <v>30</v>
      </c>
      <c r="B31" s="65" t="s">
        <v>170</v>
      </c>
      <c r="C31" s="65">
        <v>1066963193</v>
      </c>
      <c r="D31" s="80" t="e">
        <f>HYPERLINK(CONCATENATE("https://portal.dnb.de/opac.htm?method=simpleSearch&amp;cqlMode=true&amp;query=idn%3D",[1]!Tabelle5[[#This Row],[idn]]))</f>
        <v>#REF!</v>
      </c>
      <c r="E31" s="65" t="s">
        <v>171</v>
      </c>
      <c r="F31" s="76" t="s">
        <v>89</v>
      </c>
      <c r="G31" s="78" t="s">
        <v>2516</v>
      </c>
      <c r="H31" s="76" t="s">
        <v>51</v>
      </c>
      <c r="I31" s="78" t="s">
        <v>55</v>
      </c>
      <c r="J31" s="78" t="s">
        <v>2509</v>
      </c>
      <c r="K31" s="76"/>
      <c r="L31" s="76" t="s">
        <v>34</v>
      </c>
      <c r="M31" s="76" t="s">
        <v>37</v>
      </c>
      <c r="N31" s="76">
        <v>3</v>
      </c>
      <c r="O31" s="76"/>
      <c r="P31" s="76"/>
      <c r="Q31" s="76"/>
      <c r="R31" s="76"/>
      <c r="X31" s="84" t="s">
        <v>2643</v>
      </c>
      <c r="Y31" s="84" t="s">
        <v>2541</v>
      </c>
      <c r="AA31" s="84" t="s">
        <v>2647</v>
      </c>
      <c r="AG31" s="84" t="s">
        <v>2643</v>
      </c>
      <c r="AU31" s="84">
        <v>110</v>
      </c>
      <c r="AY31" s="86" t="s">
        <v>2644</v>
      </c>
      <c r="AZ31" s="88">
        <f t="shared" si="0"/>
        <v>0.5</v>
      </c>
      <c r="BD31" s="84" t="s">
        <v>2541</v>
      </c>
      <c r="BK31" s="63" t="s">
        <v>2541</v>
      </c>
      <c r="BL31" s="84" t="s">
        <v>2541</v>
      </c>
      <c r="BM31" s="84" t="s">
        <v>2541</v>
      </c>
      <c r="BX31" s="88">
        <v>0.5</v>
      </c>
      <c r="CQ31" s="88"/>
    </row>
    <row r="32" spans="1:95" ht="33.75" outlineLevel="1" x14ac:dyDescent="0.15">
      <c r="A32" s="76">
        <v>31</v>
      </c>
      <c r="B32" s="65" t="s">
        <v>172</v>
      </c>
      <c r="C32" s="65">
        <v>1066956219</v>
      </c>
      <c r="D32" s="80" t="e">
        <f>HYPERLINK(CONCATENATE("https://portal.dnb.de/opac.htm?method=simpleSearch&amp;cqlMode=true&amp;query=idn%3D",[1]!Tabelle5[[#This Row],[idn]]))</f>
        <v>#REF!</v>
      </c>
      <c r="E32" s="65" t="s">
        <v>173</v>
      </c>
      <c r="F32" s="76" t="s">
        <v>89</v>
      </c>
      <c r="G32" s="78" t="s">
        <v>2516</v>
      </c>
      <c r="H32" s="76" t="s">
        <v>51</v>
      </c>
      <c r="I32" s="78" t="s">
        <v>90</v>
      </c>
      <c r="J32" s="78" t="s">
        <v>94</v>
      </c>
      <c r="K32" s="76"/>
      <c r="L32" s="76" t="s">
        <v>34</v>
      </c>
      <c r="M32" s="76" t="s">
        <v>37</v>
      </c>
      <c r="N32" s="76">
        <v>3</v>
      </c>
      <c r="O32" s="76"/>
      <c r="P32" s="76"/>
      <c r="Q32" s="76"/>
      <c r="R32" s="76"/>
      <c r="X32" s="84" t="s">
        <v>2652</v>
      </c>
      <c r="Y32" s="84" t="s">
        <v>2541</v>
      </c>
      <c r="AA32" s="84" t="s">
        <v>2647</v>
      </c>
      <c r="AG32" s="84" t="s">
        <v>2643</v>
      </c>
      <c r="AI32" s="84" t="s">
        <v>2541</v>
      </c>
      <c r="AU32" s="84">
        <v>110</v>
      </c>
      <c r="AY32" s="86" t="s">
        <v>2644</v>
      </c>
      <c r="AZ32" s="88">
        <f t="shared" si="0"/>
        <v>0.5</v>
      </c>
      <c r="BD32" s="84" t="s">
        <v>2541</v>
      </c>
      <c r="BK32" s="63" t="s">
        <v>2541</v>
      </c>
      <c r="BL32" s="84" t="s">
        <v>2541</v>
      </c>
      <c r="BM32" s="84" t="s">
        <v>2541</v>
      </c>
      <c r="BO32" s="84" t="s">
        <v>2677</v>
      </c>
      <c r="BX32" s="88">
        <v>0.5</v>
      </c>
      <c r="BY32" s="79" t="s">
        <v>2964</v>
      </c>
      <c r="CQ32" s="88"/>
    </row>
    <row r="33" spans="1:95" outlineLevel="1" x14ac:dyDescent="0.15">
      <c r="A33" s="76">
        <v>32</v>
      </c>
      <c r="B33" s="65" t="s">
        <v>174</v>
      </c>
      <c r="C33" s="65">
        <v>1066941874</v>
      </c>
      <c r="D33" s="81" t="e">
        <f>HYPERLINK(CONCATENATE("https://portal.dnb.de/opac.htm?method=simpleSearch&amp;cqlMode=true&amp;query=idn%3D",[1]!Tabelle5[[#This Row],[idn]]))</f>
        <v>#REF!</v>
      </c>
      <c r="E33" s="65" t="s">
        <v>175</v>
      </c>
      <c r="F33" s="76"/>
      <c r="G33" s="78"/>
      <c r="H33" s="76"/>
      <c r="I33" s="78"/>
      <c r="J33" s="78"/>
      <c r="K33" s="76"/>
      <c r="L33" s="76"/>
      <c r="M33" s="76"/>
      <c r="N33" s="76"/>
      <c r="O33" s="76"/>
      <c r="P33" s="76"/>
      <c r="Q33" s="76"/>
      <c r="R33" s="76"/>
      <c r="AZ33" s="88">
        <f t="shared" si="0"/>
        <v>0</v>
      </c>
      <c r="BX33" s="88"/>
      <c r="CQ33" s="88"/>
    </row>
    <row r="34" spans="1:95" outlineLevel="1" x14ac:dyDescent="0.15">
      <c r="A34" s="76">
        <v>33</v>
      </c>
      <c r="B34" s="65" t="s">
        <v>176</v>
      </c>
      <c r="C34" s="65">
        <v>1066963703</v>
      </c>
      <c r="D34" s="80" t="e">
        <f>HYPERLINK(CONCATENATE("https://portal.dnb.de/opac.htm?method=simpleSearch&amp;cqlMode=true&amp;query=idn%3D",[1]!Tabelle5[[#This Row],[idn]]))</f>
        <v>#REF!</v>
      </c>
      <c r="E34" s="65" t="s">
        <v>177</v>
      </c>
      <c r="F34" s="76" t="s">
        <v>89</v>
      </c>
      <c r="G34" s="78" t="s">
        <v>45</v>
      </c>
      <c r="H34" s="76" t="s">
        <v>50</v>
      </c>
      <c r="I34" s="78" t="s">
        <v>90</v>
      </c>
      <c r="J34" s="78" t="s">
        <v>81</v>
      </c>
      <c r="K34" s="76"/>
      <c r="L34" s="76" t="s">
        <v>35</v>
      </c>
      <c r="M34" s="76" t="s">
        <v>37</v>
      </c>
      <c r="N34" s="76">
        <v>0</v>
      </c>
      <c r="O34" s="76"/>
      <c r="P34" s="76"/>
      <c r="Q34" s="76"/>
      <c r="R34" s="76"/>
      <c r="AZ34" s="88">
        <f t="shared" si="0"/>
        <v>0</v>
      </c>
      <c r="BX34" s="88"/>
      <c r="CQ34" s="88"/>
    </row>
    <row r="35" spans="1:95" ht="22.5" outlineLevel="1" x14ac:dyDescent="0.15">
      <c r="A35" s="76">
        <v>34</v>
      </c>
      <c r="B35" s="65" t="s">
        <v>178</v>
      </c>
      <c r="C35" s="65">
        <v>1066957665</v>
      </c>
      <c r="D35" s="80" t="e">
        <f>HYPERLINK(CONCATENATE("https://portal.dnb.de/opac.htm?method=simpleSearch&amp;cqlMode=true&amp;query=idn%3D",[1]!Tabelle5[[#This Row],[idn]]))</f>
        <v>#REF!</v>
      </c>
      <c r="E35" s="65" t="s">
        <v>179</v>
      </c>
      <c r="F35" s="76" t="s">
        <v>89</v>
      </c>
      <c r="G35" s="78" t="s">
        <v>2523</v>
      </c>
      <c r="H35" s="76" t="s">
        <v>50</v>
      </c>
      <c r="I35" s="78" t="s">
        <v>55</v>
      </c>
      <c r="J35" s="78"/>
      <c r="K35" s="76"/>
      <c r="L35" s="76"/>
      <c r="M35" s="76"/>
      <c r="N35" s="76">
        <v>0</v>
      </c>
      <c r="O35" s="76"/>
      <c r="P35" s="76"/>
      <c r="Q35" s="76"/>
      <c r="R35" s="76"/>
      <c r="AZ35" s="88">
        <f t="shared" si="0"/>
        <v>0</v>
      </c>
      <c r="BX35" s="88"/>
      <c r="CQ35" s="88"/>
    </row>
    <row r="36" spans="1:95" outlineLevel="1" x14ac:dyDescent="0.15">
      <c r="A36" s="76">
        <v>35</v>
      </c>
      <c r="B36" s="65" t="s">
        <v>180</v>
      </c>
      <c r="C36" s="65">
        <v>997856157</v>
      </c>
      <c r="D36" s="80" t="e">
        <f>HYPERLINK(CONCATENATE("https://portal.dnb.de/opac.htm?method=simpleSearch&amp;cqlMode=true&amp;query=idn%3D",[1]!Tabelle5[[#This Row],[idn]]))</f>
        <v>#REF!</v>
      </c>
      <c r="E36" s="65" t="s">
        <v>181</v>
      </c>
      <c r="F36" s="76"/>
      <c r="G36" s="78"/>
      <c r="H36" s="76"/>
      <c r="I36" s="78"/>
      <c r="J36" s="78"/>
      <c r="K36" s="76"/>
      <c r="L36" s="76"/>
      <c r="M36" s="76"/>
      <c r="N36" s="76"/>
      <c r="O36" s="76"/>
      <c r="P36" s="76"/>
      <c r="Q36" s="76"/>
      <c r="R36" s="76"/>
      <c r="AZ36" s="88">
        <f t="shared" si="0"/>
        <v>0</v>
      </c>
      <c r="BX36" s="88"/>
      <c r="CQ36" s="88"/>
    </row>
    <row r="37" spans="1:95" outlineLevel="1" x14ac:dyDescent="0.15">
      <c r="A37" s="76">
        <v>36</v>
      </c>
      <c r="B37" s="65" t="s">
        <v>182</v>
      </c>
      <c r="C37" s="65">
        <v>1002053153</v>
      </c>
      <c r="D37" s="80" t="e">
        <f>HYPERLINK(CONCATENATE("https://portal.dnb.de/opac.htm?method=simpleSearch&amp;cqlMode=true&amp;query=idn%3D",[1]!Tabelle5[[#This Row],[idn]]))</f>
        <v>#REF!</v>
      </c>
      <c r="E37" s="65" t="s">
        <v>183</v>
      </c>
      <c r="F37" s="76"/>
      <c r="G37" s="78"/>
      <c r="H37" s="76"/>
      <c r="I37" s="78"/>
      <c r="J37" s="78"/>
      <c r="K37" s="76"/>
      <c r="L37" s="76"/>
      <c r="M37" s="76"/>
      <c r="N37" s="76"/>
      <c r="O37" s="76"/>
      <c r="P37" s="76"/>
      <c r="Q37" s="76"/>
      <c r="R37" s="76"/>
      <c r="AZ37" s="88">
        <f t="shared" si="0"/>
        <v>0</v>
      </c>
      <c r="BX37" s="88"/>
      <c r="CQ37" s="88"/>
    </row>
    <row r="38" spans="1:95" outlineLevel="1" x14ac:dyDescent="0.15">
      <c r="A38" s="76">
        <v>37</v>
      </c>
      <c r="B38" s="65" t="s">
        <v>184</v>
      </c>
      <c r="C38" s="65">
        <v>999177729</v>
      </c>
      <c r="D38" s="80" t="e">
        <f>HYPERLINK(CONCATENATE("https://portal.dnb.de/opac.htm?method=simpleSearch&amp;cqlMode=true&amp;query=idn%3D",[1]!Tabelle5[[#This Row],[idn]]))</f>
        <v>#REF!</v>
      </c>
      <c r="E38" s="65" t="s">
        <v>185</v>
      </c>
      <c r="F38" s="76"/>
      <c r="G38" s="78"/>
      <c r="H38" s="76"/>
      <c r="I38" s="78"/>
      <c r="J38" s="78"/>
      <c r="K38" s="76"/>
      <c r="L38" s="76"/>
      <c r="M38" s="76"/>
      <c r="N38" s="76"/>
      <c r="O38" s="76"/>
      <c r="P38" s="76"/>
      <c r="Q38" s="76"/>
      <c r="R38" s="76"/>
      <c r="AZ38" s="88">
        <f t="shared" si="0"/>
        <v>0</v>
      </c>
      <c r="BX38" s="88"/>
      <c r="CQ38" s="88"/>
    </row>
    <row r="39" spans="1:95" outlineLevel="1" x14ac:dyDescent="0.15">
      <c r="A39" s="76">
        <v>38</v>
      </c>
      <c r="B39" s="65" t="s">
        <v>186</v>
      </c>
      <c r="C39" s="65">
        <v>1000152936</v>
      </c>
      <c r="D39" s="80" t="e">
        <f>HYPERLINK(CONCATENATE("https://portal.dnb.de/opac.htm?method=simpleSearch&amp;cqlMode=true&amp;query=idn%3D",[1]!Tabelle5[[#This Row],[idn]]))</f>
        <v>#REF!</v>
      </c>
      <c r="E39" s="65" t="s">
        <v>187</v>
      </c>
      <c r="F39" s="76"/>
      <c r="G39" s="78" t="s">
        <v>45</v>
      </c>
      <c r="H39" s="76" t="s">
        <v>50</v>
      </c>
      <c r="I39" s="78" t="s">
        <v>90</v>
      </c>
      <c r="J39" s="78"/>
      <c r="K39" s="76"/>
      <c r="L39" s="76"/>
      <c r="M39" s="76"/>
      <c r="N39" s="76">
        <v>0</v>
      </c>
      <c r="O39" s="76"/>
      <c r="P39" s="76"/>
      <c r="Q39" s="76"/>
      <c r="R39" s="76"/>
      <c r="AZ39" s="88">
        <f t="shared" si="0"/>
        <v>0</v>
      </c>
      <c r="BX39" s="88"/>
      <c r="CQ39" s="88"/>
    </row>
    <row r="40" spans="1:95" outlineLevel="1" x14ac:dyDescent="0.15">
      <c r="A40" s="76">
        <v>39</v>
      </c>
      <c r="B40" s="65" t="s">
        <v>188</v>
      </c>
      <c r="C40" s="65">
        <v>994061757</v>
      </c>
      <c r="D40" s="80" t="e">
        <f>HYPERLINK(CONCATENATE("https://portal.dnb.de/opac.htm?method=simpleSearch&amp;cqlMode=true&amp;query=idn%3D",[1]!Tabelle5[[#This Row],[idn]]))</f>
        <v>#REF!</v>
      </c>
      <c r="E40" s="65" t="s">
        <v>189</v>
      </c>
      <c r="F40" s="76"/>
      <c r="G40" s="78"/>
      <c r="H40" s="76"/>
      <c r="I40" s="78"/>
      <c r="J40" s="78"/>
      <c r="K40" s="76"/>
      <c r="L40" s="76"/>
      <c r="M40" s="76"/>
      <c r="N40" s="76"/>
      <c r="O40" s="76"/>
      <c r="P40" s="76"/>
      <c r="Q40" s="76"/>
      <c r="R40" s="76"/>
      <c r="AZ40" s="88">
        <f t="shared" si="0"/>
        <v>0</v>
      </c>
      <c r="BX40" s="88"/>
      <c r="CQ40" s="88"/>
    </row>
    <row r="41" spans="1:95" outlineLevel="1" x14ac:dyDescent="0.15">
      <c r="A41" s="76">
        <v>40</v>
      </c>
      <c r="B41" s="65" t="s">
        <v>190</v>
      </c>
      <c r="C41" s="65">
        <v>999175432</v>
      </c>
      <c r="D41" s="80" t="e">
        <f>HYPERLINK(CONCATENATE("https://portal.dnb.de/opac.htm?method=simpleSearch&amp;cqlMode=true&amp;query=idn%3D",[1]!Tabelle5[[#This Row],[idn]]))</f>
        <v>#REF!</v>
      </c>
      <c r="E41" s="65" t="s">
        <v>191</v>
      </c>
      <c r="F41" s="76"/>
      <c r="G41" s="78" t="s">
        <v>46</v>
      </c>
      <c r="H41" s="76" t="s">
        <v>50</v>
      </c>
      <c r="I41" s="78" t="s">
        <v>55</v>
      </c>
      <c r="J41" s="78" t="s">
        <v>81</v>
      </c>
      <c r="K41" s="76"/>
      <c r="L41" s="76"/>
      <c r="M41" s="76"/>
      <c r="N41" s="76">
        <v>0</v>
      </c>
      <c r="O41" s="76"/>
      <c r="P41" s="76"/>
      <c r="Q41" s="76"/>
      <c r="R41" s="76"/>
      <c r="AZ41" s="88">
        <f t="shared" si="0"/>
        <v>0</v>
      </c>
      <c r="BX41" s="88"/>
      <c r="CQ41" s="88"/>
    </row>
    <row r="42" spans="1:95" outlineLevel="1" x14ac:dyDescent="0.15">
      <c r="A42" s="76">
        <v>41</v>
      </c>
      <c r="B42" s="65" t="s">
        <v>192</v>
      </c>
      <c r="C42" s="65">
        <v>997855789</v>
      </c>
      <c r="D42" s="80" t="e">
        <f>HYPERLINK(CONCATENATE("https://portal.dnb.de/opac.htm?method=simpleSearch&amp;cqlMode=true&amp;query=idn%3D",[1]!Tabelle5[[#This Row],[idn]]))</f>
        <v>#REF!</v>
      </c>
      <c r="E42" s="65" t="s">
        <v>193</v>
      </c>
      <c r="F42" s="76"/>
      <c r="G42" s="78"/>
      <c r="H42" s="76"/>
      <c r="I42" s="78"/>
      <c r="J42" s="78"/>
      <c r="K42" s="76"/>
      <c r="L42" s="76"/>
      <c r="M42" s="76"/>
      <c r="N42" s="76"/>
      <c r="O42" s="76"/>
      <c r="P42" s="76"/>
      <c r="Q42" s="76"/>
      <c r="R42" s="76"/>
      <c r="AZ42" s="88">
        <f t="shared" si="0"/>
        <v>0</v>
      </c>
      <c r="BX42" s="88"/>
      <c r="CQ42" s="88"/>
    </row>
    <row r="43" spans="1:95" outlineLevel="1" x14ac:dyDescent="0.15">
      <c r="A43" s="76">
        <v>42</v>
      </c>
      <c r="B43" s="65" t="s">
        <v>194</v>
      </c>
      <c r="C43" s="65">
        <v>998431591</v>
      </c>
      <c r="D43" s="80" t="e">
        <f>HYPERLINK(CONCATENATE("https://portal.dnb.de/opac.htm?method=simpleSearch&amp;cqlMode=true&amp;query=idn%3D",[1]!Tabelle5[[#This Row],[idn]]))</f>
        <v>#REF!</v>
      </c>
      <c r="E43" s="65" t="s">
        <v>195</v>
      </c>
      <c r="F43" s="76"/>
      <c r="G43" s="78"/>
      <c r="H43" s="76"/>
      <c r="I43" s="78"/>
      <c r="J43" s="78"/>
      <c r="K43" s="76"/>
      <c r="L43" s="76"/>
      <c r="M43" s="76"/>
      <c r="N43" s="76"/>
      <c r="O43" s="76"/>
      <c r="P43" s="76"/>
      <c r="Q43" s="76"/>
      <c r="R43" s="76"/>
      <c r="AZ43" s="88">
        <f t="shared" si="0"/>
        <v>0</v>
      </c>
      <c r="BX43" s="88"/>
      <c r="CQ43" s="88"/>
    </row>
    <row r="44" spans="1:95" ht="22.5" outlineLevel="1" x14ac:dyDescent="0.15">
      <c r="A44" s="76">
        <v>43</v>
      </c>
      <c r="B44" s="65" t="s">
        <v>196</v>
      </c>
      <c r="C44" s="65">
        <v>1013629493</v>
      </c>
      <c r="D44" s="80" t="e">
        <f>HYPERLINK(CONCATENATE("https://portal.dnb.de/opac.htm?method=simpleSearch&amp;cqlMode=true&amp;query=idn%3D",[1]!Tabelle5[[#This Row],[idn]]))</f>
        <v>#REF!</v>
      </c>
      <c r="E44" s="65" t="s">
        <v>197</v>
      </c>
      <c r="F44" s="76"/>
      <c r="G44" s="78" t="s">
        <v>2510</v>
      </c>
      <c r="H44" s="76" t="s">
        <v>51</v>
      </c>
      <c r="I44" s="78" t="s">
        <v>90</v>
      </c>
      <c r="J44" s="78" t="s">
        <v>69</v>
      </c>
      <c r="K44" s="76"/>
      <c r="L44" s="76"/>
      <c r="M44" s="76"/>
      <c r="N44" s="76">
        <v>0</v>
      </c>
      <c r="O44" s="76"/>
      <c r="P44" s="76"/>
      <c r="Q44" s="76"/>
      <c r="R44" s="76"/>
      <c r="X44" s="84" t="s">
        <v>2641</v>
      </c>
      <c r="Z44" s="84" t="s">
        <v>2541</v>
      </c>
      <c r="AA44" s="84" t="s">
        <v>2642</v>
      </c>
      <c r="AG44" s="84" t="s">
        <v>2643</v>
      </c>
      <c r="AK44" s="84" t="s">
        <v>2541</v>
      </c>
      <c r="AS44" s="84">
        <v>0</v>
      </c>
      <c r="AT44" s="84" t="s">
        <v>2541</v>
      </c>
      <c r="AU44" s="84">
        <v>45</v>
      </c>
      <c r="AY44" s="86" t="s">
        <v>2651</v>
      </c>
      <c r="AZ44" s="88">
        <f t="shared" si="0"/>
        <v>0</v>
      </c>
      <c r="BI44" s="63" t="s">
        <v>2877</v>
      </c>
      <c r="BJ44" s="79" t="s">
        <v>2783</v>
      </c>
      <c r="BX44" s="88"/>
      <c r="CQ44" s="88"/>
    </row>
    <row r="45" spans="1:95" outlineLevel="1" x14ac:dyDescent="0.15">
      <c r="A45" s="76">
        <v>44</v>
      </c>
      <c r="B45" s="65" t="s">
        <v>198</v>
      </c>
      <c r="C45" s="65" t="s">
        <v>199</v>
      </c>
      <c r="D45" s="80" t="e">
        <f>HYPERLINK(CONCATENATE("https://portal.dnb.de/opac.htm?method=simpleSearch&amp;cqlMode=true&amp;query=idn%3D",[1]!Tabelle5[[#This Row],[idn]]))</f>
        <v>#REF!</v>
      </c>
      <c r="E45" s="65" t="s">
        <v>200</v>
      </c>
      <c r="F45" s="76" t="s">
        <v>89</v>
      </c>
      <c r="G45" s="78" t="s">
        <v>17</v>
      </c>
      <c r="H45" s="76" t="s">
        <v>50</v>
      </c>
      <c r="I45" s="78" t="s">
        <v>55</v>
      </c>
      <c r="J45" s="78"/>
      <c r="K45" s="76"/>
      <c r="L45" s="76" t="s">
        <v>30</v>
      </c>
      <c r="M45" s="76" t="s">
        <v>37</v>
      </c>
      <c r="N45" s="76">
        <v>0</v>
      </c>
      <c r="O45" s="76"/>
      <c r="P45" s="76"/>
      <c r="Q45" s="76"/>
      <c r="R45" s="76"/>
      <c r="AZ45" s="88">
        <f t="shared" si="0"/>
        <v>0</v>
      </c>
      <c r="BX45" s="88"/>
      <c r="CQ45" s="88"/>
    </row>
    <row r="46" spans="1:95" outlineLevel="1" x14ac:dyDescent="0.15">
      <c r="A46" s="76">
        <v>45</v>
      </c>
      <c r="B46" s="65" t="s">
        <v>201</v>
      </c>
      <c r="C46" s="65">
        <v>1066958416</v>
      </c>
      <c r="D46" s="80" t="e">
        <f>HYPERLINK(CONCATENATE("https://portal.dnb.de/opac.htm?method=simpleSearch&amp;cqlMode=true&amp;query=idn%3D",[1]!Tabelle5[[#This Row],[idn]]))</f>
        <v>#REF!</v>
      </c>
      <c r="E46" s="65" t="s">
        <v>202</v>
      </c>
      <c r="F46" s="76" t="s">
        <v>89</v>
      </c>
      <c r="G46" s="78" t="s">
        <v>16</v>
      </c>
      <c r="H46" s="76" t="s">
        <v>50</v>
      </c>
      <c r="I46" s="78" t="s">
        <v>55</v>
      </c>
      <c r="J46" s="78" t="s">
        <v>94</v>
      </c>
      <c r="K46" s="76"/>
      <c r="L46" s="76"/>
      <c r="M46" s="76"/>
      <c r="N46" s="76">
        <v>1</v>
      </c>
      <c r="O46" s="76"/>
      <c r="P46" s="76"/>
      <c r="Q46" s="76"/>
      <c r="R46" s="76"/>
      <c r="AZ46" s="88">
        <f t="shared" si="0"/>
        <v>0</v>
      </c>
      <c r="BX46" s="88"/>
      <c r="CQ46" s="88"/>
    </row>
    <row r="47" spans="1:95" outlineLevel="1" x14ac:dyDescent="0.15">
      <c r="A47" s="76">
        <v>46</v>
      </c>
      <c r="B47" s="65" t="s">
        <v>203</v>
      </c>
      <c r="C47" s="65">
        <v>1066962499</v>
      </c>
      <c r="D47" s="80" t="e">
        <f>HYPERLINK(CONCATENATE("https://portal.dnb.de/opac.htm?method=simpleSearch&amp;cqlMode=true&amp;query=idn%3D",[1]!Tabelle5[[#This Row],[idn]]))</f>
        <v>#REF!</v>
      </c>
      <c r="E47" s="65" t="s">
        <v>204</v>
      </c>
      <c r="F47" s="76" t="s">
        <v>89</v>
      </c>
      <c r="G47" s="78" t="s">
        <v>3</v>
      </c>
      <c r="H47" s="76" t="s">
        <v>50</v>
      </c>
      <c r="I47" s="78" t="s">
        <v>55</v>
      </c>
      <c r="J47" s="78" t="s">
        <v>94</v>
      </c>
      <c r="K47" s="76"/>
      <c r="L47" s="76"/>
      <c r="M47" s="76"/>
      <c r="N47" s="76">
        <v>0</v>
      </c>
      <c r="O47" s="76"/>
      <c r="P47" s="76"/>
      <c r="Q47" s="76"/>
      <c r="R47" s="76"/>
      <c r="AZ47" s="88">
        <f t="shared" si="0"/>
        <v>0</v>
      </c>
      <c r="BX47" s="88"/>
      <c r="CQ47" s="88"/>
    </row>
    <row r="48" spans="1:95" outlineLevel="1" x14ac:dyDescent="0.15">
      <c r="A48" s="76">
        <v>47</v>
      </c>
      <c r="B48" s="65" t="s">
        <v>205</v>
      </c>
      <c r="C48" s="65">
        <v>997626313</v>
      </c>
      <c r="D48" s="80" t="e">
        <f>HYPERLINK(CONCATENATE("https://portal.dnb.de/opac.htm?method=simpleSearch&amp;cqlMode=true&amp;query=idn%3D",[1]!Tabelle5[[#This Row],[idn]]))</f>
        <v>#REF!</v>
      </c>
      <c r="E48" s="65" t="s">
        <v>206</v>
      </c>
      <c r="F48" s="76"/>
      <c r="G48" s="78" t="s">
        <v>3</v>
      </c>
      <c r="H48" s="76" t="s">
        <v>50</v>
      </c>
      <c r="I48" s="78" t="s">
        <v>55</v>
      </c>
      <c r="J48" s="78" t="s">
        <v>81</v>
      </c>
      <c r="K48" s="76"/>
      <c r="L48" s="76"/>
      <c r="M48" s="76"/>
      <c r="N48" s="76">
        <v>0</v>
      </c>
      <c r="O48" s="76"/>
      <c r="P48" s="76"/>
      <c r="Q48" s="76"/>
      <c r="R48" s="76"/>
      <c r="AZ48" s="88">
        <f t="shared" si="0"/>
        <v>0</v>
      </c>
      <c r="BX48" s="88"/>
      <c r="CQ48" s="88"/>
    </row>
    <row r="49" spans="1:95" outlineLevel="1" x14ac:dyDescent="0.15">
      <c r="A49" s="76">
        <v>48</v>
      </c>
      <c r="B49" s="65" t="s">
        <v>207</v>
      </c>
      <c r="C49" s="65">
        <v>1000478475</v>
      </c>
      <c r="D49" s="80" t="e">
        <f>HYPERLINK(CONCATENATE("https://portal.dnb.de/opac.htm?method=simpleSearch&amp;cqlMode=true&amp;query=idn%3D",[1]!Tabelle5[[#This Row],[idn]]))</f>
        <v>#REF!</v>
      </c>
      <c r="E49" s="65" t="s">
        <v>208</v>
      </c>
      <c r="F49" s="76"/>
      <c r="G49" s="78" t="s">
        <v>46</v>
      </c>
      <c r="H49" s="76" t="s">
        <v>50</v>
      </c>
      <c r="I49" s="78" t="s">
        <v>55</v>
      </c>
      <c r="J49" s="78" t="s">
        <v>81</v>
      </c>
      <c r="K49" s="76"/>
      <c r="L49" s="76"/>
      <c r="M49" s="76"/>
      <c r="N49" s="76">
        <v>0</v>
      </c>
      <c r="O49" s="76"/>
      <c r="P49" s="76"/>
      <c r="Q49" s="76"/>
      <c r="R49" s="76"/>
      <c r="AZ49" s="88">
        <f t="shared" si="0"/>
        <v>0</v>
      </c>
      <c r="BX49" s="88"/>
      <c r="CQ49" s="88"/>
    </row>
    <row r="50" spans="1:95" outlineLevel="1" x14ac:dyDescent="0.15">
      <c r="A50" s="76">
        <v>49</v>
      </c>
      <c r="B50" s="65" t="s">
        <v>207</v>
      </c>
      <c r="C50" s="65">
        <v>1000478475</v>
      </c>
      <c r="D50" s="80" t="e">
        <f>HYPERLINK(CONCATENATE("https://portal.dnb.de/opac.htm?method=simpleSearch&amp;cqlMode=true&amp;query=idn%3D",[1]!Tabelle5[[#This Row],[idn]]))</f>
        <v>#REF!</v>
      </c>
      <c r="E50" s="65" t="s">
        <v>208</v>
      </c>
      <c r="F50" s="76"/>
      <c r="G50" s="78"/>
      <c r="H50" s="76"/>
      <c r="I50" s="78"/>
      <c r="J50" s="78"/>
      <c r="K50" s="76"/>
      <c r="L50" s="76"/>
      <c r="M50" s="76"/>
      <c r="N50" s="76"/>
      <c r="O50" s="76"/>
      <c r="P50" s="76"/>
      <c r="Q50" s="76"/>
      <c r="R50" s="76"/>
      <c r="AZ50" s="88">
        <f t="shared" si="0"/>
        <v>0</v>
      </c>
      <c r="BX50" s="88"/>
      <c r="CQ50" s="88"/>
    </row>
    <row r="51" spans="1:95" ht="22.5" outlineLevel="1" x14ac:dyDescent="0.15">
      <c r="A51" s="76">
        <v>50</v>
      </c>
      <c r="B51" s="65" t="s">
        <v>209</v>
      </c>
      <c r="C51" s="65" t="s">
        <v>210</v>
      </c>
      <c r="D51" s="80" t="e">
        <f>HYPERLINK(CONCATENATE("https://portal.dnb.de/opac.htm?method=simpleSearch&amp;cqlMode=true&amp;query=idn%3D",[1]!Tabelle5[[#This Row],[idn]]))</f>
        <v>#REF!</v>
      </c>
      <c r="E51" s="65" t="s">
        <v>211</v>
      </c>
      <c r="F51" s="76" t="s">
        <v>89</v>
      </c>
      <c r="G51" s="78" t="s">
        <v>2520</v>
      </c>
      <c r="H51" s="76" t="s">
        <v>50</v>
      </c>
      <c r="I51" s="78" t="s">
        <v>55</v>
      </c>
      <c r="J51" s="78" t="s">
        <v>2509</v>
      </c>
      <c r="K51" s="76"/>
      <c r="L51" s="76" t="s">
        <v>34</v>
      </c>
      <c r="M51" s="76" t="s">
        <v>37</v>
      </c>
      <c r="N51" s="76">
        <v>0</v>
      </c>
      <c r="O51" s="76"/>
      <c r="P51" s="76"/>
      <c r="Q51" s="76"/>
      <c r="R51" s="76"/>
      <c r="AZ51" s="88">
        <f t="shared" si="0"/>
        <v>0</v>
      </c>
      <c r="BX51" s="88"/>
      <c r="CQ51" s="88"/>
    </row>
    <row r="52" spans="1:95" outlineLevel="1" x14ac:dyDescent="0.15">
      <c r="A52" s="76">
        <v>51</v>
      </c>
      <c r="B52" s="65" t="s">
        <v>212</v>
      </c>
      <c r="C52" s="65">
        <v>993849784</v>
      </c>
      <c r="D52" s="80" t="e">
        <f>HYPERLINK(CONCATENATE("https://portal.dnb.de/opac.htm?method=simpleSearch&amp;cqlMode=true&amp;query=idn%3D",[1]!Tabelle5[[#This Row],[idn]]))</f>
        <v>#REF!</v>
      </c>
      <c r="E52" s="65" t="s">
        <v>213</v>
      </c>
      <c r="F52" s="76"/>
      <c r="G52" s="78" t="s">
        <v>46</v>
      </c>
      <c r="H52" s="76" t="s">
        <v>50</v>
      </c>
      <c r="I52" s="78" t="s">
        <v>55</v>
      </c>
      <c r="J52" s="78" t="s">
        <v>81</v>
      </c>
      <c r="K52" s="76"/>
      <c r="L52" s="76"/>
      <c r="M52" s="76"/>
      <c r="N52" s="76">
        <v>0</v>
      </c>
      <c r="O52" s="76"/>
      <c r="P52" s="76"/>
      <c r="Q52" s="76"/>
      <c r="R52" s="76"/>
      <c r="AZ52" s="88">
        <f t="shared" si="0"/>
        <v>0</v>
      </c>
      <c r="BX52" s="88"/>
      <c r="CQ52" s="88"/>
    </row>
    <row r="53" spans="1:95" outlineLevel="1" x14ac:dyDescent="0.15">
      <c r="A53" s="76">
        <v>52</v>
      </c>
      <c r="B53" s="65" t="s">
        <v>214</v>
      </c>
      <c r="C53" s="65">
        <v>998888257</v>
      </c>
      <c r="D53" s="80" t="e">
        <f>HYPERLINK(CONCATENATE("https://portal.dnb.de/opac.htm?method=simpleSearch&amp;cqlMode=true&amp;query=idn%3D",[1]!Tabelle5[[#This Row],[idn]]))</f>
        <v>#REF!</v>
      </c>
      <c r="E53" s="65" t="s">
        <v>215</v>
      </c>
      <c r="F53" s="76" t="s">
        <v>89</v>
      </c>
      <c r="G53" s="78" t="s">
        <v>17</v>
      </c>
      <c r="H53" s="76" t="s">
        <v>50</v>
      </c>
      <c r="I53" s="78" t="s">
        <v>55</v>
      </c>
      <c r="J53" s="78" t="s">
        <v>81</v>
      </c>
      <c r="K53" s="76"/>
      <c r="L53" s="76" t="s">
        <v>33</v>
      </c>
      <c r="M53" s="76" t="s">
        <v>36</v>
      </c>
      <c r="N53" s="76">
        <v>0</v>
      </c>
      <c r="O53" s="76"/>
      <c r="P53" s="76"/>
      <c r="Q53" s="76"/>
      <c r="R53" s="76"/>
      <c r="AZ53" s="88">
        <f t="shared" si="0"/>
        <v>0</v>
      </c>
      <c r="BX53" s="88"/>
      <c r="CQ53" s="88"/>
    </row>
    <row r="54" spans="1:95" outlineLevel="1" x14ac:dyDescent="0.15">
      <c r="A54" s="76">
        <v>53</v>
      </c>
      <c r="B54" s="65" t="s">
        <v>216</v>
      </c>
      <c r="C54" s="65">
        <v>1000482995</v>
      </c>
      <c r="D54" s="80" t="e">
        <f>HYPERLINK(CONCATENATE("https://portal.dnb.de/opac.htm?method=simpleSearch&amp;cqlMode=true&amp;query=idn%3D",[1]!Tabelle5[[#This Row],[idn]]))</f>
        <v>#REF!</v>
      </c>
      <c r="E54" s="65" t="s">
        <v>217</v>
      </c>
      <c r="F54" s="76"/>
      <c r="G54" s="78" t="s">
        <v>46</v>
      </c>
      <c r="H54" s="76" t="s">
        <v>50</v>
      </c>
      <c r="I54" s="78" t="s">
        <v>90</v>
      </c>
      <c r="J54" s="78" t="s">
        <v>81</v>
      </c>
      <c r="K54" s="76"/>
      <c r="L54" s="76"/>
      <c r="M54" s="76"/>
      <c r="N54" s="76">
        <v>0</v>
      </c>
      <c r="O54" s="76"/>
      <c r="P54" s="76"/>
      <c r="Q54" s="76"/>
      <c r="R54" s="76"/>
      <c r="AZ54" s="88">
        <f t="shared" si="0"/>
        <v>0</v>
      </c>
      <c r="BX54" s="88"/>
      <c r="CQ54" s="88"/>
    </row>
    <row r="55" spans="1:95" ht="33.75" outlineLevel="1" x14ac:dyDescent="0.15">
      <c r="A55" s="76">
        <v>54</v>
      </c>
      <c r="B55" s="65" t="s">
        <v>218</v>
      </c>
      <c r="C55" s="65" t="s">
        <v>219</v>
      </c>
      <c r="D55" s="80" t="e">
        <f>HYPERLINK(CONCATENATE("https://portal.dnb.de/opac.htm?method=simpleSearch&amp;cqlMode=true&amp;query=idn%3D",[1]!Tabelle5[[#This Row],[idn]]))</f>
        <v>#REF!</v>
      </c>
      <c r="E55" s="65" t="s">
        <v>220</v>
      </c>
      <c r="F55" s="76" t="s">
        <v>89</v>
      </c>
      <c r="G55" s="78" t="s">
        <v>2510</v>
      </c>
      <c r="H55" s="76" t="s">
        <v>50</v>
      </c>
      <c r="I55" s="78" t="s">
        <v>90</v>
      </c>
      <c r="J55" s="78" t="s">
        <v>2513</v>
      </c>
      <c r="K55" s="76"/>
      <c r="L55" s="76" t="s">
        <v>34</v>
      </c>
      <c r="M55" s="76" t="s">
        <v>37</v>
      </c>
      <c r="N55" s="76">
        <v>0</v>
      </c>
      <c r="O55" s="76"/>
      <c r="P55" s="76"/>
      <c r="Q55" s="76"/>
      <c r="R55" s="76"/>
      <c r="AZ55" s="88">
        <f t="shared" si="0"/>
        <v>0</v>
      </c>
      <c r="BX55" s="88"/>
      <c r="CQ55" s="88"/>
    </row>
    <row r="56" spans="1:95" outlineLevel="1" x14ac:dyDescent="0.15">
      <c r="A56" s="76">
        <v>55</v>
      </c>
      <c r="B56" s="65" t="s">
        <v>221</v>
      </c>
      <c r="C56" s="65">
        <v>1211523438</v>
      </c>
      <c r="D56" s="80" t="e">
        <f>HYPERLINK(CONCATENATE("https://portal.dnb.de/opac.htm?method=simpleSearch&amp;cqlMode=true&amp;query=idn%3D",[1]!Tabelle5[[#This Row],[idn]]))</f>
        <v>#REF!</v>
      </c>
      <c r="E56" s="65" t="s">
        <v>222</v>
      </c>
      <c r="F56" s="76"/>
      <c r="G56" s="78"/>
      <c r="H56" s="76"/>
      <c r="I56" s="78"/>
      <c r="J56" s="78"/>
      <c r="K56" s="76"/>
      <c r="L56" s="76"/>
      <c r="M56" s="76"/>
      <c r="N56" s="76"/>
      <c r="O56" s="76"/>
      <c r="P56" s="76"/>
      <c r="Q56" s="76"/>
      <c r="R56" s="76"/>
      <c r="AZ56" s="88">
        <f t="shared" si="0"/>
        <v>0</v>
      </c>
      <c r="BX56" s="88"/>
      <c r="CQ56" s="88"/>
    </row>
    <row r="57" spans="1:95" outlineLevel="1" x14ac:dyDescent="0.15">
      <c r="A57" s="76">
        <v>56</v>
      </c>
      <c r="B57" s="65" t="s">
        <v>223</v>
      </c>
      <c r="C57" s="65">
        <v>1066963649</v>
      </c>
      <c r="D57" s="80" t="e">
        <f>HYPERLINK(CONCATENATE("https://portal.dnb.de/opac.htm?method=simpleSearch&amp;cqlMode=true&amp;query=idn%3D",[1]!Tabelle5[[#This Row],[idn]]))</f>
        <v>#REF!</v>
      </c>
      <c r="E57" s="65" t="s">
        <v>224</v>
      </c>
      <c r="F57" s="76"/>
      <c r="G57" s="78"/>
      <c r="H57" s="76"/>
      <c r="I57" s="78"/>
      <c r="J57" s="78"/>
      <c r="K57" s="76"/>
      <c r="L57" s="76"/>
      <c r="M57" s="76"/>
      <c r="N57" s="76"/>
      <c r="O57" s="76"/>
      <c r="P57" s="76"/>
      <c r="Q57" s="76"/>
      <c r="R57" s="76"/>
      <c r="AZ57" s="88">
        <f t="shared" si="0"/>
        <v>0</v>
      </c>
      <c r="BX57" s="88"/>
      <c r="CQ57" s="88"/>
    </row>
    <row r="58" spans="1:95" outlineLevel="1" x14ac:dyDescent="0.15">
      <c r="A58" s="76">
        <v>57</v>
      </c>
      <c r="B58" s="65" t="s">
        <v>225</v>
      </c>
      <c r="C58" s="65">
        <v>994349130</v>
      </c>
      <c r="D58" s="80" t="e">
        <f>HYPERLINK(CONCATENATE("https://portal.dnb.de/opac.htm?method=simpleSearch&amp;cqlMode=true&amp;query=idn%3D",[1]!Tabelle5[[#This Row],[idn]]))</f>
        <v>#REF!</v>
      </c>
      <c r="E58" s="65" t="s">
        <v>226</v>
      </c>
      <c r="F58" s="76"/>
      <c r="G58" s="78"/>
      <c r="H58" s="76"/>
      <c r="I58" s="78"/>
      <c r="J58" s="78"/>
      <c r="K58" s="76"/>
      <c r="L58" s="76"/>
      <c r="M58" s="76"/>
      <c r="N58" s="76"/>
      <c r="O58" s="76"/>
      <c r="P58" s="76"/>
      <c r="Q58" s="76"/>
      <c r="R58" s="76"/>
      <c r="AZ58" s="88">
        <f t="shared" si="0"/>
        <v>0</v>
      </c>
      <c r="BX58" s="88"/>
      <c r="CQ58" s="88"/>
    </row>
    <row r="59" spans="1:95" outlineLevel="1" x14ac:dyDescent="0.15">
      <c r="A59" s="76">
        <v>58</v>
      </c>
      <c r="B59" s="65" t="s">
        <v>227</v>
      </c>
      <c r="C59" s="65">
        <v>1001578988</v>
      </c>
      <c r="D59" s="80" t="e">
        <f>HYPERLINK(CONCATENATE("https://portal.dnb.de/opac.htm?method=simpleSearch&amp;cqlMode=true&amp;query=idn%3D",[1]!Tabelle5[[#This Row],[idn]]))</f>
        <v>#REF!</v>
      </c>
      <c r="E59" s="65" t="s">
        <v>228</v>
      </c>
      <c r="F59" s="76"/>
      <c r="G59" s="78"/>
      <c r="H59" s="76"/>
      <c r="I59" s="78"/>
      <c r="J59" s="78"/>
      <c r="K59" s="76"/>
      <c r="L59" s="76"/>
      <c r="M59" s="76"/>
      <c r="N59" s="76"/>
      <c r="O59" s="76"/>
      <c r="P59" s="76"/>
      <c r="Q59" s="76"/>
      <c r="R59" s="76"/>
      <c r="AZ59" s="88">
        <f t="shared" si="0"/>
        <v>0</v>
      </c>
      <c r="BX59" s="88"/>
      <c r="CQ59" s="88"/>
    </row>
    <row r="60" spans="1:95" outlineLevel="1" x14ac:dyDescent="0.15">
      <c r="A60" s="76">
        <v>59</v>
      </c>
      <c r="B60" s="65" t="s">
        <v>229</v>
      </c>
      <c r="C60" s="65">
        <v>1210223023</v>
      </c>
      <c r="D60" s="80" t="e">
        <f>HYPERLINK(CONCATENATE("https://portal.dnb.de/opac.htm?method=simpleSearch&amp;cqlMode=true&amp;query=idn%3D",[1]!Tabelle5[[#This Row],[idn]]))</f>
        <v>#REF!</v>
      </c>
      <c r="E60" s="65" t="s">
        <v>230</v>
      </c>
      <c r="F60" s="76"/>
      <c r="G60" s="78"/>
      <c r="H60" s="76"/>
      <c r="I60" s="78"/>
      <c r="J60" s="78"/>
      <c r="K60" s="76"/>
      <c r="L60" s="76"/>
      <c r="M60" s="76"/>
      <c r="N60" s="76"/>
      <c r="O60" s="76"/>
      <c r="P60" s="76"/>
      <c r="Q60" s="76"/>
      <c r="R60" s="76"/>
      <c r="AZ60" s="88">
        <f t="shared" si="0"/>
        <v>0</v>
      </c>
      <c r="BX60" s="88"/>
      <c r="CQ60" s="88"/>
    </row>
    <row r="61" spans="1:95" outlineLevel="1" x14ac:dyDescent="0.15">
      <c r="A61" s="76">
        <v>60</v>
      </c>
      <c r="B61" s="65" t="s">
        <v>231</v>
      </c>
      <c r="C61" s="65">
        <v>17440912</v>
      </c>
      <c r="D61" s="80" t="e">
        <f>HYPERLINK(CONCATENATE("https://portal.dnb.de/opac.htm?method=simpleSearch&amp;cqlMode=true&amp;query=idn%3D",[1]!Tabelle5[[#This Row],[idn]]))</f>
        <v>#REF!</v>
      </c>
      <c r="E61" s="65" t="s">
        <v>230</v>
      </c>
      <c r="F61" s="76"/>
      <c r="G61" s="78"/>
      <c r="H61" s="76"/>
      <c r="I61" s="78"/>
      <c r="J61" s="78"/>
      <c r="K61" s="76"/>
      <c r="L61" s="76"/>
      <c r="M61" s="76"/>
      <c r="N61" s="76"/>
      <c r="O61" s="76"/>
      <c r="P61" s="76"/>
      <c r="Q61" s="76"/>
      <c r="R61" s="76"/>
      <c r="AZ61" s="88">
        <f t="shared" si="0"/>
        <v>0</v>
      </c>
      <c r="BX61" s="88"/>
      <c r="CQ61" s="88"/>
    </row>
    <row r="62" spans="1:95" outlineLevel="1" x14ac:dyDescent="0.15">
      <c r="A62" s="76">
        <v>61</v>
      </c>
      <c r="B62" s="65" t="s">
        <v>232</v>
      </c>
      <c r="C62" s="65">
        <v>995939500</v>
      </c>
      <c r="D62" s="80" t="e">
        <f>HYPERLINK(CONCATENATE("https://portal.dnb.de/opac.htm?method=simpleSearch&amp;cqlMode=true&amp;query=idn%3D",[1]!Tabelle5[[#This Row],[idn]]))</f>
        <v>#REF!</v>
      </c>
      <c r="E62" s="65" t="s">
        <v>233</v>
      </c>
      <c r="F62" s="76"/>
      <c r="G62" s="78"/>
      <c r="H62" s="76"/>
      <c r="I62" s="78"/>
      <c r="J62" s="78"/>
      <c r="K62" s="76"/>
      <c r="L62" s="76"/>
      <c r="M62" s="76"/>
      <c r="N62" s="76"/>
      <c r="O62" s="76"/>
      <c r="P62" s="76"/>
      <c r="Q62" s="76"/>
      <c r="R62" s="76"/>
      <c r="AZ62" s="88">
        <f t="shared" si="0"/>
        <v>0</v>
      </c>
      <c r="BX62" s="88"/>
      <c r="CQ62" s="88"/>
    </row>
    <row r="63" spans="1:95" outlineLevel="1" x14ac:dyDescent="0.15">
      <c r="A63" s="76">
        <v>62</v>
      </c>
      <c r="B63" s="65" t="s">
        <v>234</v>
      </c>
      <c r="C63" s="65">
        <v>996191984</v>
      </c>
      <c r="D63" s="80" t="e">
        <f>HYPERLINK(CONCATENATE("https://portal.dnb.de/opac.htm?method=simpleSearch&amp;cqlMode=true&amp;query=idn%3D",[1]!Tabelle5[[#This Row],[idn]]))</f>
        <v>#REF!</v>
      </c>
      <c r="E63" s="65" t="s">
        <v>235</v>
      </c>
      <c r="F63" s="76"/>
      <c r="G63" s="78"/>
      <c r="H63" s="76"/>
      <c r="I63" s="78"/>
      <c r="J63" s="78"/>
      <c r="K63" s="76"/>
      <c r="L63" s="76"/>
      <c r="M63" s="76"/>
      <c r="N63" s="76"/>
      <c r="O63" s="76"/>
      <c r="P63" s="76"/>
      <c r="Q63" s="76"/>
      <c r="R63" s="76"/>
      <c r="AZ63" s="88">
        <f t="shared" si="0"/>
        <v>0</v>
      </c>
      <c r="BX63" s="88"/>
      <c r="CQ63" s="88"/>
    </row>
    <row r="64" spans="1:95" outlineLevel="1" x14ac:dyDescent="0.15">
      <c r="A64" s="76">
        <v>63</v>
      </c>
      <c r="B64" s="65" t="s">
        <v>236</v>
      </c>
      <c r="C64" s="65">
        <v>998923478</v>
      </c>
      <c r="D64" s="80" t="e">
        <f>HYPERLINK(CONCATENATE("https://portal.dnb.de/opac.htm?method=simpleSearch&amp;cqlMode=true&amp;query=idn%3D",[1]!Tabelle5[[#This Row],[idn]]))</f>
        <v>#REF!</v>
      </c>
      <c r="E64" s="65" t="s">
        <v>237</v>
      </c>
      <c r="F64" s="76" t="s">
        <v>89</v>
      </c>
      <c r="G64" s="78" t="s">
        <v>3</v>
      </c>
      <c r="H64" s="76" t="s">
        <v>50</v>
      </c>
      <c r="I64" s="78" t="s">
        <v>55</v>
      </c>
      <c r="J64" s="78" t="s">
        <v>94</v>
      </c>
      <c r="K64" s="76"/>
      <c r="L64" s="76"/>
      <c r="M64" s="76"/>
      <c r="N64" s="76">
        <v>2</v>
      </c>
      <c r="O64" s="76"/>
      <c r="P64" s="76"/>
      <c r="Q64" s="76"/>
      <c r="R64" s="76"/>
      <c r="AZ64" s="88">
        <f t="shared" si="0"/>
        <v>0</v>
      </c>
      <c r="BX64" s="88"/>
      <c r="CQ64" s="88"/>
    </row>
    <row r="65" spans="1:95" outlineLevel="1" x14ac:dyDescent="0.15">
      <c r="A65" s="76">
        <v>64</v>
      </c>
      <c r="B65" s="65" t="s">
        <v>238</v>
      </c>
      <c r="C65" s="65">
        <v>1066941688</v>
      </c>
      <c r="D65" s="80" t="e">
        <f>HYPERLINK(CONCATENATE("https://portal.dnb.de/opac.htm?method=simpleSearch&amp;cqlMode=true&amp;query=idn%3D",[1]!Tabelle5[[#This Row],[idn]]))</f>
        <v>#REF!</v>
      </c>
      <c r="E65" s="65" t="s">
        <v>239</v>
      </c>
      <c r="F65" s="76"/>
      <c r="G65" s="78"/>
      <c r="H65" s="76"/>
      <c r="I65" s="78"/>
      <c r="J65" s="78"/>
      <c r="K65" s="76"/>
      <c r="L65" s="76"/>
      <c r="M65" s="76"/>
      <c r="N65" s="76"/>
      <c r="O65" s="76"/>
      <c r="P65" s="76"/>
      <c r="Q65" s="76"/>
      <c r="R65" s="76"/>
      <c r="AZ65" s="88">
        <f t="shared" si="0"/>
        <v>0</v>
      </c>
      <c r="BX65" s="88"/>
      <c r="CQ65" s="88"/>
    </row>
    <row r="66" spans="1:95" ht="22.5" outlineLevel="1" x14ac:dyDescent="0.15">
      <c r="A66" s="76">
        <v>65</v>
      </c>
      <c r="B66" s="65" t="s">
        <v>240</v>
      </c>
      <c r="C66" s="65">
        <v>1002988691</v>
      </c>
      <c r="D66" s="80" t="e">
        <f>HYPERLINK(CONCATENATE("https://portal.dnb.de/opac.htm?method=simpleSearch&amp;cqlMode=true&amp;query=idn%3D",[1]!Tabelle5[[#This Row],[idn]]))</f>
        <v>#REF!</v>
      </c>
      <c r="E66" s="65" t="s">
        <v>241</v>
      </c>
      <c r="F66" s="76"/>
      <c r="G66" s="78" t="s">
        <v>2524</v>
      </c>
      <c r="H66" s="76" t="s">
        <v>50</v>
      </c>
      <c r="I66" s="78" t="s">
        <v>55</v>
      </c>
      <c r="J66" s="78"/>
      <c r="K66" s="76"/>
      <c r="L66" s="76"/>
      <c r="M66" s="76"/>
      <c r="N66" s="76">
        <v>1</v>
      </c>
      <c r="O66" s="76"/>
      <c r="P66" s="76"/>
      <c r="Q66" s="76"/>
      <c r="R66" s="76"/>
      <c r="AZ66" s="88">
        <f t="shared" si="0"/>
        <v>0</v>
      </c>
      <c r="BX66" s="88"/>
      <c r="CQ66" s="88"/>
    </row>
    <row r="67" spans="1:95" ht="22.5" outlineLevel="1" x14ac:dyDescent="0.15">
      <c r="A67" s="76">
        <v>66</v>
      </c>
      <c r="B67" s="65" t="s">
        <v>242</v>
      </c>
      <c r="C67" s="65" t="s">
        <v>243</v>
      </c>
      <c r="D67" s="80" t="e">
        <f>HYPERLINK(CONCATENATE("https://portal.dnb.de/opac.htm?method=simpleSearch&amp;cqlMode=true&amp;query=idn%3D",[1]!Tabelle5[[#This Row],[idn]]))</f>
        <v>#REF!</v>
      </c>
      <c r="E67" s="65" t="s">
        <v>244</v>
      </c>
      <c r="F67" s="76" t="s">
        <v>89</v>
      </c>
      <c r="G67" s="78" t="s">
        <v>45</v>
      </c>
      <c r="H67" s="76" t="s">
        <v>50</v>
      </c>
      <c r="I67" s="78" t="s">
        <v>90</v>
      </c>
      <c r="J67" s="78" t="s">
        <v>2515</v>
      </c>
      <c r="K67" s="76"/>
      <c r="L67" s="76"/>
      <c r="M67" s="76"/>
      <c r="N67" s="76">
        <v>0</v>
      </c>
      <c r="O67" s="76"/>
      <c r="P67" s="76"/>
      <c r="Q67" s="76"/>
      <c r="R67" s="76"/>
      <c r="AZ67" s="88">
        <f t="shared" ref="AZ67:AZ127" si="1">BX67+CQ67</f>
        <v>0</v>
      </c>
      <c r="BX67" s="88"/>
      <c r="CQ67" s="88"/>
    </row>
    <row r="68" spans="1:95" outlineLevel="1" x14ac:dyDescent="0.15">
      <c r="A68" s="76">
        <v>67</v>
      </c>
      <c r="B68" s="65" t="s">
        <v>245</v>
      </c>
      <c r="C68" s="65">
        <v>1066964483</v>
      </c>
      <c r="D68" s="80" t="e">
        <f>HYPERLINK(CONCATENATE("https://portal.dnb.de/opac.htm?method=simpleSearch&amp;cqlMode=true&amp;query=idn%3D",[1]!Tabelle5[[#This Row],[idn]]))</f>
        <v>#REF!</v>
      </c>
      <c r="E68" s="65" t="s">
        <v>246</v>
      </c>
      <c r="F68" s="76" t="s">
        <v>89</v>
      </c>
      <c r="G68" s="78" t="s">
        <v>44</v>
      </c>
      <c r="H68" s="76" t="s">
        <v>50</v>
      </c>
      <c r="I68" s="78" t="s">
        <v>55</v>
      </c>
      <c r="J68" s="78"/>
      <c r="K68" s="76"/>
      <c r="L68" s="76"/>
      <c r="M68" s="76" t="s">
        <v>101</v>
      </c>
      <c r="N68" s="76">
        <v>0</v>
      </c>
      <c r="O68" s="76"/>
      <c r="P68" s="76"/>
      <c r="Q68" s="76"/>
      <c r="R68" s="76"/>
      <c r="AZ68" s="88">
        <f t="shared" si="1"/>
        <v>0</v>
      </c>
      <c r="BX68" s="88"/>
      <c r="CQ68" s="88"/>
    </row>
    <row r="69" spans="1:95" outlineLevel="1" x14ac:dyDescent="0.15">
      <c r="A69" s="76">
        <v>68</v>
      </c>
      <c r="B69" s="65" t="s">
        <v>247</v>
      </c>
      <c r="C69" s="65">
        <v>1002922046</v>
      </c>
      <c r="D69" s="80" t="e">
        <f>HYPERLINK(CONCATENATE("https://portal.dnb.de/opac.htm?method=simpleSearch&amp;cqlMode=true&amp;query=idn%3D",[1]!Tabelle5[[#This Row],[idn]]))</f>
        <v>#REF!</v>
      </c>
      <c r="E69" s="65" t="s">
        <v>248</v>
      </c>
      <c r="F69" s="76"/>
      <c r="G69" s="78"/>
      <c r="H69" s="76" t="s">
        <v>50</v>
      </c>
      <c r="I69" s="78"/>
      <c r="J69" s="78"/>
      <c r="K69" s="76"/>
      <c r="L69" s="76"/>
      <c r="M69" s="76"/>
      <c r="N69" s="76"/>
      <c r="O69" s="76"/>
      <c r="P69" s="76"/>
      <c r="Q69" s="76"/>
      <c r="R69" s="76"/>
      <c r="X69" s="84" t="s">
        <v>2643</v>
      </c>
      <c r="AA69" s="84" t="s">
        <v>2647</v>
      </c>
      <c r="AG69" s="84" t="s">
        <v>2643</v>
      </c>
      <c r="AU69" s="84">
        <v>110</v>
      </c>
      <c r="AY69" s="86" t="s">
        <v>2651</v>
      </c>
      <c r="AZ69" s="88">
        <f t="shared" si="1"/>
        <v>0</v>
      </c>
      <c r="BH69" s="79" t="s">
        <v>2962</v>
      </c>
      <c r="BX69" s="88"/>
      <c r="CQ69" s="88"/>
    </row>
    <row r="70" spans="1:95" outlineLevel="1" x14ac:dyDescent="0.15">
      <c r="A70" s="76">
        <v>69</v>
      </c>
      <c r="B70" s="65" t="s">
        <v>249</v>
      </c>
      <c r="C70" s="65">
        <v>1000479455</v>
      </c>
      <c r="D70" s="80" t="e">
        <f>HYPERLINK(CONCATENATE("https://portal.dnb.de/opac.htm?method=simpleSearch&amp;cqlMode=true&amp;query=idn%3D",[1]!Tabelle5[[#This Row],[idn]]))</f>
        <v>#REF!</v>
      </c>
      <c r="E70" s="65" t="s">
        <v>250</v>
      </c>
      <c r="F70" s="76"/>
      <c r="G70" s="78"/>
      <c r="H70" s="76"/>
      <c r="I70" s="78"/>
      <c r="J70" s="78"/>
      <c r="K70" s="76"/>
      <c r="L70" s="76"/>
      <c r="M70" s="76"/>
      <c r="N70" s="76"/>
      <c r="O70" s="76"/>
      <c r="P70" s="76"/>
      <c r="Q70" s="76"/>
      <c r="R70" s="76"/>
      <c r="AZ70" s="88">
        <f t="shared" si="1"/>
        <v>0</v>
      </c>
      <c r="BX70" s="88"/>
      <c r="CQ70" s="88"/>
    </row>
    <row r="71" spans="1:95" ht="22.5" outlineLevel="1" x14ac:dyDescent="0.15">
      <c r="A71" s="76">
        <v>70</v>
      </c>
      <c r="B71" s="65" t="s">
        <v>251</v>
      </c>
      <c r="C71" s="65">
        <v>1001776801</v>
      </c>
      <c r="D71" s="80" t="e">
        <f>HYPERLINK(CONCATENATE("https://portal.dnb.de/opac.htm?method=simpleSearch&amp;cqlMode=true&amp;query=idn%3D",[1]!Tabelle5[[#This Row],[idn]]))</f>
        <v>#REF!</v>
      </c>
      <c r="E71" s="65" t="s">
        <v>252</v>
      </c>
      <c r="F71" s="76"/>
      <c r="G71" s="78" t="s">
        <v>2524</v>
      </c>
      <c r="H71" s="76" t="s">
        <v>50</v>
      </c>
      <c r="I71" s="78" t="s">
        <v>55</v>
      </c>
      <c r="J71" s="78"/>
      <c r="K71" s="76"/>
      <c r="L71" s="76"/>
      <c r="M71" s="76"/>
      <c r="N71" s="76">
        <v>1</v>
      </c>
      <c r="O71" s="76"/>
      <c r="P71" s="76"/>
      <c r="Q71" s="76"/>
      <c r="R71" s="76"/>
      <c r="AZ71" s="88">
        <f t="shared" si="1"/>
        <v>0</v>
      </c>
      <c r="BX71" s="88"/>
      <c r="CQ71" s="88"/>
    </row>
    <row r="72" spans="1:95" outlineLevel="1" x14ac:dyDescent="0.15">
      <c r="A72" s="76">
        <v>71</v>
      </c>
      <c r="B72" s="65" t="s">
        <v>253</v>
      </c>
      <c r="C72" s="65">
        <v>996725954</v>
      </c>
      <c r="D72" s="80" t="e">
        <f>HYPERLINK(CONCATENATE("https://portal.dnb.de/opac.htm?method=simpleSearch&amp;cqlMode=true&amp;query=idn%3D",[1]!Tabelle5[[#This Row],[idn]]))</f>
        <v>#REF!</v>
      </c>
      <c r="E72" s="65" t="s">
        <v>254</v>
      </c>
      <c r="F72" s="76"/>
      <c r="G72" s="78"/>
      <c r="H72" s="76"/>
      <c r="I72" s="78"/>
      <c r="J72" s="78"/>
      <c r="K72" s="76"/>
      <c r="L72" s="76"/>
      <c r="M72" s="76"/>
      <c r="N72" s="76"/>
      <c r="O72" s="76"/>
      <c r="P72" s="76"/>
      <c r="Q72" s="76"/>
      <c r="R72" s="76"/>
      <c r="AZ72" s="88">
        <f t="shared" si="1"/>
        <v>0</v>
      </c>
      <c r="BX72" s="88"/>
      <c r="CQ72" s="88"/>
    </row>
    <row r="73" spans="1:95" ht="22.5" outlineLevel="1" x14ac:dyDescent="0.15">
      <c r="A73" s="76">
        <v>72</v>
      </c>
      <c r="B73" s="65" t="s">
        <v>255</v>
      </c>
      <c r="C73" s="65">
        <v>993973221</v>
      </c>
      <c r="D73" s="80" t="e">
        <f>HYPERLINK(CONCATENATE("https://portal.dnb.de/opac.htm?method=simpleSearch&amp;cqlMode=true&amp;query=idn%3D",[1]!Tabelle5[[#This Row],[idn]]))</f>
        <v>#REF!</v>
      </c>
      <c r="E73" s="65" t="s">
        <v>256</v>
      </c>
      <c r="F73" s="76" t="s">
        <v>89</v>
      </c>
      <c r="G73" s="78" t="s">
        <v>2510</v>
      </c>
      <c r="H73" s="76" t="s">
        <v>50</v>
      </c>
      <c r="I73" s="78" t="s">
        <v>90</v>
      </c>
      <c r="J73" s="78" t="s">
        <v>81</v>
      </c>
      <c r="K73" s="76"/>
      <c r="L73" s="76" t="s">
        <v>34</v>
      </c>
      <c r="M73" s="76" t="s">
        <v>37</v>
      </c>
      <c r="N73" s="76">
        <v>0</v>
      </c>
      <c r="O73" s="76"/>
      <c r="P73" s="76"/>
      <c r="Q73" s="76"/>
      <c r="R73" s="76"/>
      <c r="AZ73" s="88">
        <f t="shared" si="1"/>
        <v>0</v>
      </c>
      <c r="BX73" s="88"/>
      <c r="CQ73" s="88"/>
    </row>
    <row r="74" spans="1:95" outlineLevel="1" x14ac:dyDescent="0.15">
      <c r="A74" s="76">
        <v>73</v>
      </c>
      <c r="B74" s="65" t="s">
        <v>257</v>
      </c>
      <c r="C74" s="65">
        <v>986063355</v>
      </c>
      <c r="D74" s="80" t="e">
        <f>HYPERLINK(CONCATENATE("https://portal.dnb.de/opac.htm?method=simpleSearch&amp;cqlMode=true&amp;query=idn%3D",[1]!Tabelle5[[#This Row],[idn]]))</f>
        <v>#REF!</v>
      </c>
      <c r="E74" s="65" t="s">
        <v>258</v>
      </c>
      <c r="F74" s="76"/>
      <c r="G74" s="78" t="s">
        <v>44</v>
      </c>
      <c r="H74" s="76" t="s">
        <v>50</v>
      </c>
      <c r="I74" s="78" t="s">
        <v>55</v>
      </c>
      <c r="J74" s="78" t="s">
        <v>84</v>
      </c>
      <c r="K74" s="76"/>
      <c r="L74" s="76" t="s">
        <v>31</v>
      </c>
      <c r="M74" s="76" t="s">
        <v>37</v>
      </c>
      <c r="N74" s="76">
        <v>1</v>
      </c>
      <c r="O74" s="76"/>
      <c r="P74" s="76"/>
      <c r="Q74" s="76"/>
      <c r="R74" s="76"/>
      <c r="AZ74" s="88">
        <f t="shared" si="1"/>
        <v>0</v>
      </c>
      <c r="BX74" s="88"/>
      <c r="CQ74" s="88"/>
    </row>
    <row r="75" spans="1:95" outlineLevel="1" x14ac:dyDescent="0.15">
      <c r="A75" s="76">
        <v>74</v>
      </c>
      <c r="B75" s="65" t="s">
        <v>259</v>
      </c>
      <c r="C75" s="65">
        <v>1000480518</v>
      </c>
      <c r="D75" s="80" t="e">
        <f>HYPERLINK(CONCATENATE("https://portal.dnb.de/opac.htm?method=simpleSearch&amp;cqlMode=true&amp;query=idn%3D",[1]!Tabelle5[[#This Row],[idn]]))</f>
        <v>#REF!</v>
      </c>
      <c r="E75" s="65" t="s">
        <v>260</v>
      </c>
      <c r="F75" s="76"/>
      <c r="G75" s="78" t="s">
        <v>46</v>
      </c>
      <c r="H75" s="76" t="s">
        <v>50</v>
      </c>
      <c r="I75" s="78" t="s">
        <v>55</v>
      </c>
      <c r="J75" s="78" t="s">
        <v>81</v>
      </c>
      <c r="K75" s="76"/>
      <c r="L75" s="76"/>
      <c r="M75" s="76"/>
      <c r="N75" s="76">
        <v>0</v>
      </c>
      <c r="O75" s="76"/>
      <c r="P75" s="76"/>
      <c r="Q75" s="76"/>
      <c r="R75" s="76"/>
      <c r="AZ75" s="88">
        <f t="shared" si="1"/>
        <v>0</v>
      </c>
      <c r="BX75" s="88"/>
      <c r="CQ75" s="88"/>
    </row>
    <row r="76" spans="1:95" outlineLevel="1" x14ac:dyDescent="0.15">
      <c r="A76" s="76">
        <v>75</v>
      </c>
      <c r="B76" s="65" t="s">
        <v>261</v>
      </c>
      <c r="C76" s="65">
        <v>1066865930</v>
      </c>
      <c r="D76" s="81" t="e">
        <f>HYPERLINK(CONCATENATE("https://portal.dnb.de/opac.htm?method=simpleSearch&amp;cqlMode=true&amp;query=idn%3D",[1]!Tabelle5[[#This Row],[idn]]))</f>
        <v>#REF!</v>
      </c>
      <c r="E76" s="65" t="s">
        <v>262</v>
      </c>
      <c r="F76" s="76" t="s">
        <v>89</v>
      </c>
      <c r="G76" s="78" t="s">
        <v>2525</v>
      </c>
      <c r="H76" s="76" t="s">
        <v>50</v>
      </c>
      <c r="I76" s="78" t="s">
        <v>90</v>
      </c>
      <c r="J76" s="78"/>
      <c r="K76" s="76"/>
      <c r="L76" s="76"/>
      <c r="M76" s="76"/>
      <c r="N76" s="76">
        <v>1</v>
      </c>
      <c r="O76" s="76"/>
      <c r="P76" s="76"/>
      <c r="Q76" s="76"/>
      <c r="R76" s="76"/>
      <c r="AZ76" s="88">
        <f t="shared" si="1"/>
        <v>0</v>
      </c>
      <c r="BX76" s="88"/>
      <c r="CQ76" s="88"/>
    </row>
    <row r="77" spans="1:95" outlineLevel="1" x14ac:dyDescent="0.15">
      <c r="A77" s="76">
        <v>76</v>
      </c>
      <c r="B77" s="65" t="s">
        <v>263</v>
      </c>
      <c r="C77" s="65">
        <v>1066847150</v>
      </c>
      <c r="D77" s="80" t="e">
        <f>HYPERLINK(CONCATENATE("https://portal.dnb.de/opac.htm?method=simpleSearch&amp;cqlMode=true&amp;query=idn%3D",[1]!Tabelle5[[#This Row],[idn]]))</f>
        <v>#REF!</v>
      </c>
      <c r="E77" s="65" t="s">
        <v>264</v>
      </c>
      <c r="F77" s="76"/>
      <c r="G77" s="78"/>
      <c r="H77" s="76" t="s">
        <v>52</v>
      </c>
      <c r="I77" s="78"/>
      <c r="J77" s="78"/>
      <c r="K77" s="76"/>
      <c r="L77" s="76"/>
      <c r="M77" s="76"/>
      <c r="N77" s="76"/>
      <c r="O77" s="76"/>
      <c r="P77" s="76"/>
      <c r="Q77" s="76"/>
      <c r="R77" s="76"/>
      <c r="X77" s="84" t="s">
        <v>2652</v>
      </c>
      <c r="Y77" s="84" t="s">
        <v>2541</v>
      </c>
      <c r="AA77" s="84" t="s">
        <v>2647</v>
      </c>
      <c r="AG77" s="84" t="s">
        <v>2643</v>
      </c>
      <c r="AQ77" s="84" t="s">
        <v>2648</v>
      </c>
      <c r="AR77" s="84" t="s">
        <v>2541</v>
      </c>
      <c r="AU77" s="84">
        <v>45</v>
      </c>
      <c r="AY77" s="86" t="s">
        <v>2651</v>
      </c>
      <c r="AZ77" s="88">
        <f t="shared" si="1"/>
        <v>0</v>
      </c>
      <c r="BX77" s="88"/>
      <c r="CQ77" s="88"/>
    </row>
    <row r="78" spans="1:95" ht="12.75" outlineLevel="1" x14ac:dyDescent="0.15">
      <c r="A78" s="76">
        <v>77</v>
      </c>
      <c r="B78" s="65" t="s">
        <v>265</v>
      </c>
      <c r="C78" s="65">
        <v>1066961883</v>
      </c>
      <c r="D78" s="80" t="e">
        <f>HYPERLINK(CONCATENATE("https://portal.dnb.de/opac.htm?method=simpleSearch&amp;cqlMode=true&amp;query=idn%3D",[1]!Tabelle5[[#This Row],[idn]]))</f>
        <v>#REF!</v>
      </c>
      <c r="E78" s="65" t="s">
        <v>266</v>
      </c>
      <c r="F78" s="82"/>
      <c r="G78" s="78"/>
      <c r="H78" s="76"/>
      <c r="I78" s="78"/>
      <c r="J78" s="78"/>
      <c r="K78" s="76"/>
      <c r="L78" s="76"/>
      <c r="M78" s="76"/>
      <c r="N78" s="76"/>
      <c r="O78" s="76"/>
      <c r="P78" s="76"/>
      <c r="Q78" s="76"/>
      <c r="R78" s="76"/>
      <c r="AZ78" s="88">
        <f t="shared" si="1"/>
        <v>0</v>
      </c>
      <c r="BX78" s="88"/>
      <c r="CQ78" s="88"/>
    </row>
    <row r="79" spans="1:95" ht="12.75" outlineLevel="1" x14ac:dyDescent="0.15">
      <c r="A79" s="76">
        <v>78</v>
      </c>
      <c r="B79" s="65" t="s">
        <v>267</v>
      </c>
      <c r="C79" s="65" t="s">
        <v>268</v>
      </c>
      <c r="D79" s="80" t="e">
        <f>HYPERLINK(CONCATENATE("https://portal.dnb.de/opac.htm?method=simpleSearch&amp;cqlMode=true&amp;query=idn%3D",[1]!Tabelle5[[#This Row],[idn]]))</f>
        <v>#REF!</v>
      </c>
      <c r="E79" s="65" t="s">
        <v>269</v>
      </c>
      <c r="F79" s="82" t="s">
        <v>89</v>
      </c>
      <c r="G79" s="78" t="s">
        <v>5</v>
      </c>
      <c r="H79" s="76" t="s">
        <v>50</v>
      </c>
      <c r="I79" s="78" t="s">
        <v>90</v>
      </c>
      <c r="J79" s="78" t="s">
        <v>94</v>
      </c>
      <c r="K79" s="76"/>
      <c r="L79" s="76"/>
      <c r="M79" s="76"/>
      <c r="N79" s="76">
        <v>0</v>
      </c>
      <c r="O79" s="76"/>
      <c r="P79" s="76"/>
      <c r="Q79" s="76"/>
      <c r="R79" s="76"/>
      <c r="AZ79" s="88">
        <f t="shared" si="1"/>
        <v>0</v>
      </c>
      <c r="BX79" s="88"/>
      <c r="CQ79" s="88"/>
    </row>
    <row r="80" spans="1:95" outlineLevel="1" x14ac:dyDescent="0.15">
      <c r="A80" s="76">
        <v>80</v>
      </c>
      <c r="B80" s="65" t="s">
        <v>270</v>
      </c>
      <c r="C80" s="65">
        <v>1066960135</v>
      </c>
      <c r="D80" s="80" t="e">
        <f>HYPERLINK(CONCATENATE("https://portal.dnb.de/opac.htm?method=simpleSearch&amp;cqlMode=true&amp;query=idn%3D",[1]!Tabelle5[[#This Row],[idn]]))</f>
        <v>#REF!</v>
      </c>
      <c r="E80" s="65" t="s">
        <v>271</v>
      </c>
      <c r="F80" s="76"/>
      <c r="G80" s="78"/>
      <c r="H80" s="76"/>
      <c r="I80" s="78"/>
      <c r="J80" s="78"/>
      <c r="K80" s="76"/>
      <c r="L80" s="76"/>
      <c r="M80" s="76"/>
      <c r="N80" s="76"/>
      <c r="O80" s="76"/>
      <c r="P80" s="76"/>
      <c r="Q80" s="76"/>
      <c r="R80" s="76"/>
      <c r="S80" s="84" t="s">
        <v>2774</v>
      </c>
      <c r="AZ80" s="88">
        <f t="shared" si="1"/>
        <v>0</v>
      </c>
      <c r="BX80" s="88"/>
      <c r="CQ80" s="88"/>
    </row>
    <row r="81" spans="1:95" ht="33.75" outlineLevel="1" x14ac:dyDescent="0.15">
      <c r="A81" s="76">
        <v>82</v>
      </c>
      <c r="B81" s="65" t="s">
        <v>272</v>
      </c>
      <c r="C81" s="65">
        <v>1066959587</v>
      </c>
      <c r="D81" s="81" t="str">
        <f>HYPERLINK(CONCATENATE("https://portal.dnb.de/opac.htm?method=simpleSearch&amp;cqlMode=true&amp;query=idn%3D",C81))</f>
        <v>https://portal.dnb.de/opac.htm?method=simpleSearch&amp;cqlMode=true&amp;query=idn%3D1066959587</v>
      </c>
      <c r="E81" s="65" t="s">
        <v>273</v>
      </c>
      <c r="F81" s="76" t="s">
        <v>89</v>
      </c>
      <c r="G81" s="78" t="s">
        <v>4</v>
      </c>
      <c r="H81" s="76" t="s">
        <v>50</v>
      </c>
      <c r="I81" s="78" t="s">
        <v>90</v>
      </c>
      <c r="J81" s="78" t="s">
        <v>2527</v>
      </c>
      <c r="K81" s="76"/>
      <c r="L81" s="76"/>
      <c r="M81" s="76"/>
      <c r="N81" s="76">
        <v>3</v>
      </c>
      <c r="O81" s="76"/>
      <c r="P81" s="76"/>
      <c r="Q81" s="76"/>
      <c r="R81" s="76"/>
      <c r="X81" s="84" t="s">
        <v>2697</v>
      </c>
      <c r="Y81" s="84" t="s">
        <v>2541</v>
      </c>
      <c r="AA81" s="84" t="s">
        <v>2653</v>
      </c>
      <c r="AG81" s="84" t="s">
        <v>2643</v>
      </c>
      <c r="AU81" s="84">
        <v>45</v>
      </c>
      <c r="AY81" s="86" t="s">
        <v>2644</v>
      </c>
      <c r="AZ81" s="88">
        <f t="shared" si="1"/>
        <v>2</v>
      </c>
      <c r="BK81" s="63" t="s">
        <v>2541</v>
      </c>
      <c r="BL81" s="84" t="s">
        <v>2541</v>
      </c>
      <c r="BM81" s="84" t="s">
        <v>2541</v>
      </c>
      <c r="BO81" s="84" t="s">
        <v>2677</v>
      </c>
      <c r="BX81" s="88">
        <v>2</v>
      </c>
      <c r="BY81" s="79" t="s">
        <v>2965</v>
      </c>
      <c r="CQ81" s="88"/>
    </row>
    <row r="82" spans="1:95" ht="33.75" outlineLevel="1" x14ac:dyDescent="0.15">
      <c r="A82" s="76">
        <v>83</v>
      </c>
      <c r="B82" s="65" t="s">
        <v>274</v>
      </c>
      <c r="C82" s="65">
        <v>1066960372</v>
      </c>
      <c r="D82" s="81" t="str">
        <f t="shared" ref="D82:D144" si="2">HYPERLINK(CONCATENATE("https://portal.dnb.de/opac.htm?method=simpleSearch&amp;cqlMode=true&amp;query=idn%3D",C82))</f>
        <v>https://portal.dnb.de/opac.htm?method=simpleSearch&amp;cqlMode=true&amp;query=idn%3D1066960372</v>
      </c>
      <c r="E82" s="65" t="s">
        <v>275</v>
      </c>
      <c r="F82" s="76" t="s">
        <v>89</v>
      </c>
      <c r="G82" s="78" t="s">
        <v>4</v>
      </c>
      <c r="H82" s="76" t="s">
        <v>51</v>
      </c>
      <c r="I82" s="78" t="s">
        <v>90</v>
      </c>
      <c r="J82" s="78" t="s">
        <v>2526</v>
      </c>
      <c r="K82" s="76"/>
      <c r="L82" s="76"/>
      <c r="M82" s="76"/>
      <c r="N82" s="76">
        <v>3</v>
      </c>
      <c r="O82" s="76"/>
      <c r="P82" s="76"/>
      <c r="Q82" s="76"/>
      <c r="R82" s="76"/>
      <c r="X82" s="84" t="s">
        <v>2697</v>
      </c>
      <c r="Y82" s="84" t="s">
        <v>2541</v>
      </c>
      <c r="AA82" s="84" t="s">
        <v>2653</v>
      </c>
      <c r="AG82" s="84" t="s">
        <v>2643</v>
      </c>
      <c r="AU82" s="84">
        <v>110</v>
      </c>
      <c r="AY82" s="86" t="s">
        <v>2651</v>
      </c>
      <c r="AZ82" s="88">
        <f t="shared" si="1"/>
        <v>0</v>
      </c>
      <c r="BH82" s="79" t="s">
        <v>2962</v>
      </c>
      <c r="BX82" s="88"/>
      <c r="CQ82" s="88"/>
    </row>
    <row r="83" spans="1:95" outlineLevel="1" x14ac:dyDescent="0.15">
      <c r="A83" s="76">
        <v>84</v>
      </c>
      <c r="B83" s="65" t="s">
        <v>276</v>
      </c>
      <c r="C83" s="65">
        <v>1066958378</v>
      </c>
      <c r="D83" s="81" t="str">
        <f t="shared" si="2"/>
        <v>https://portal.dnb.de/opac.htm?method=simpleSearch&amp;cqlMode=true&amp;query=idn%3D1066958378</v>
      </c>
      <c r="E83" s="65" t="s">
        <v>277</v>
      </c>
      <c r="F83" s="76"/>
      <c r="G83" s="78"/>
      <c r="H83" s="76"/>
      <c r="I83" s="78"/>
      <c r="J83" s="78"/>
      <c r="K83" s="76"/>
      <c r="L83" s="76"/>
      <c r="M83" s="76"/>
      <c r="N83" s="76"/>
      <c r="O83" s="76"/>
      <c r="P83" s="76"/>
      <c r="Q83" s="76"/>
      <c r="R83" s="76"/>
      <c r="AZ83" s="88">
        <f t="shared" si="1"/>
        <v>0</v>
      </c>
      <c r="BX83" s="88"/>
      <c r="CQ83" s="88"/>
    </row>
    <row r="84" spans="1:95" ht="22.5" outlineLevel="1" x14ac:dyDescent="0.15">
      <c r="A84" s="76">
        <v>85</v>
      </c>
      <c r="B84" s="65" t="s">
        <v>278</v>
      </c>
      <c r="C84" s="65">
        <v>1066841489</v>
      </c>
      <c r="D84" s="81" t="str">
        <f t="shared" si="2"/>
        <v>https://portal.dnb.de/opac.htm?method=simpleSearch&amp;cqlMode=true&amp;query=idn%3D1066841489</v>
      </c>
      <c r="E84" s="65" t="s">
        <v>279</v>
      </c>
      <c r="F84" s="76" t="s">
        <v>89</v>
      </c>
      <c r="G84" s="78" t="s">
        <v>2510</v>
      </c>
      <c r="H84" s="76" t="s">
        <v>51</v>
      </c>
      <c r="I84" s="78" t="s">
        <v>90</v>
      </c>
      <c r="J84" s="78" t="s">
        <v>94</v>
      </c>
      <c r="K84" s="76"/>
      <c r="L84" s="76" t="s">
        <v>34</v>
      </c>
      <c r="M84" s="76" t="s">
        <v>37</v>
      </c>
      <c r="N84" s="76">
        <v>0</v>
      </c>
      <c r="O84" s="76"/>
      <c r="P84" s="76"/>
      <c r="Q84" s="76"/>
      <c r="R84" s="76"/>
      <c r="AZ84" s="88">
        <f t="shared" si="1"/>
        <v>0</v>
      </c>
      <c r="BX84" s="88"/>
      <c r="CQ84" s="88"/>
    </row>
    <row r="85" spans="1:95" ht="22.5" outlineLevel="1" x14ac:dyDescent="0.15">
      <c r="A85" s="76">
        <v>86</v>
      </c>
      <c r="B85" s="65" t="s">
        <v>280</v>
      </c>
      <c r="C85" s="65">
        <v>1066961395</v>
      </c>
      <c r="D85" s="81" t="str">
        <f t="shared" si="2"/>
        <v>https://portal.dnb.de/opac.htm?method=simpleSearch&amp;cqlMode=true&amp;query=idn%3D1066961395</v>
      </c>
      <c r="E85" s="65" t="s">
        <v>281</v>
      </c>
      <c r="F85" s="76" t="s">
        <v>89</v>
      </c>
      <c r="G85" s="78" t="s">
        <v>2518</v>
      </c>
      <c r="H85" s="76" t="s">
        <v>50</v>
      </c>
      <c r="I85" s="78" t="s">
        <v>55</v>
      </c>
      <c r="J85" s="78" t="s">
        <v>81</v>
      </c>
      <c r="K85" s="76"/>
      <c r="L85" s="76" t="s">
        <v>34</v>
      </c>
      <c r="M85" s="76" t="s">
        <v>37</v>
      </c>
      <c r="N85" s="76">
        <v>1</v>
      </c>
      <c r="O85" s="76"/>
      <c r="P85" s="76"/>
      <c r="Q85" s="76"/>
      <c r="R85" s="76"/>
      <c r="X85" s="84" t="s">
        <v>2645</v>
      </c>
      <c r="Y85" s="84" t="s">
        <v>2541</v>
      </c>
      <c r="AA85" s="84" t="s">
        <v>2647</v>
      </c>
      <c r="AG85" s="84" t="s">
        <v>2643</v>
      </c>
      <c r="AU85" s="84">
        <v>110</v>
      </c>
      <c r="AY85" s="86" t="s">
        <v>2644</v>
      </c>
      <c r="AZ85" s="88">
        <f t="shared" si="1"/>
        <v>1</v>
      </c>
      <c r="BD85" s="84" t="s">
        <v>2541</v>
      </c>
      <c r="BK85" s="63" t="s">
        <v>2541</v>
      </c>
      <c r="BO85" s="84" t="s">
        <v>2677</v>
      </c>
      <c r="BX85" s="88">
        <v>1</v>
      </c>
      <c r="BY85" s="79" t="s">
        <v>2966</v>
      </c>
      <c r="CQ85" s="88"/>
    </row>
    <row r="86" spans="1:95" outlineLevel="1" x14ac:dyDescent="0.15">
      <c r="A86" s="76">
        <v>87</v>
      </c>
      <c r="B86" s="65" t="s">
        <v>282</v>
      </c>
      <c r="C86" s="65">
        <v>1066800375</v>
      </c>
      <c r="D86" s="81" t="str">
        <f t="shared" si="2"/>
        <v>https://portal.dnb.de/opac.htm?method=simpleSearch&amp;cqlMode=true&amp;query=idn%3D1066800375</v>
      </c>
      <c r="E86" s="65" t="s">
        <v>3041</v>
      </c>
      <c r="F86" s="76"/>
      <c r="G86" s="78"/>
      <c r="H86" s="76" t="s">
        <v>51</v>
      </c>
      <c r="I86" s="78"/>
      <c r="J86" s="78"/>
      <c r="K86" s="76"/>
      <c r="L86" s="76"/>
      <c r="M86" s="76"/>
      <c r="N86" s="76"/>
      <c r="O86" s="76"/>
      <c r="P86" s="76"/>
      <c r="Q86" s="76"/>
      <c r="R86" s="76"/>
      <c r="X86" s="84" t="s">
        <v>2645</v>
      </c>
      <c r="Y86" s="84" t="s">
        <v>2541</v>
      </c>
      <c r="AA86" s="84" t="s">
        <v>2647</v>
      </c>
      <c r="AG86" s="84" t="s">
        <v>2643</v>
      </c>
      <c r="AU86" s="84">
        <v>110</v>
      </c>
      <c r="AY86" s="86" t="s">
        <v>2644</v>
      </c>
      <c r="AZ86" s="88">
        <f t="shared" si="1"/>
        <v>1</v>
      </c>
      <c r="BK86" s="63" t="s">
        <v>2541</v>
      </c>
      <c r="BO86" s="84" t="s">
        <v>2656</v>
      </c>
      <c r="BX86" s="88">
        <v>1</v>
      </c>
      <c r="BY86" s="79" t="s">
        <v>2967</v>
      </c>
      <c r="CQ86" s="88"/>
    </row>
    <row r="87" spans="1:95" outlineLevel="1" x14ac:dyDescent="0.15">
      <c r="A87" s="76">
        <v>88</v>
      </c>
      <c r="B87" s="65" t="s">
        <v>283</v>
      </c>
      <c r="C87" s="65">
        <v>1066960585</v>
      </c>
      <c r="D87" s="81" t="str">
        <f t="shared" si="2"/>
        <v>https://portal.dnb.de/opac.htm?method=simpleSearch&amp;cqlMode=true&amp;query=idn%3D1066960585</v>
      </c>
      <c r="E87" s="65" t="s">
        <v>284</v>
      </c>
      <c r="F87" s="76"/>
      <c r="G87" s="78"/>
      <c r="H87" s="76" t="s">
        <v>50</v>
      </c>
      <c r="I87" s="78"/>
      <c r="J87" s="78"/>
      <c r="K87" s="76"/>
      <c r="L87" s="76"/>
      <c r="M87" s="76"/>
      <c r="N87" s="76"/>
      <c r="O87" s="76"/>
      <c r="P87" s="76"/>
      <c r="Q87" s="76"/>
      <c r="R87" s="76"/>
      <c r="X87" s="84" t="s">
        <v>2641</v>
      </c>
      <c r="Y87" s="84" t="s">
        <v>2541</v>
      </c>
      <c r="AA87" s="84" t="s">
        <v>2653</v>
      </c>
      <c r="AG87" s="84" t="s">
        <v>2643</v>
      </c>
      <c r="AU87" s="84">
        <v>60</v>
      </c>
      <c r="AY87" s="86" t="s">
        <v>2644</v>
      </c>
      <c r="AZ87" s="88">
        <f t="shared" si="1"/>
        <v>0.5</v>
      </c>
      <c r="BC87" s="84" t="s">
        <v>2541</v>
      </c>
      <c r="BK87" s="63" t="s">
        <v>2541</v>
      </c>
      <c r="BM87" s="84" t="s">
        <v>2541</v>
      </c>
      <c r="BX87" s="88">
        <v>0.5</v>
      </c>
      <c r="CQ87" s="88"/>
    </row>
    <row r="88" spans="1:95" outlineLevel="1" x14ac:dyDescent="0.15">
      <c r="A88" s="76">
        <v>90</v>
      </c>
      <c r="B88" s="65" t="s">
        <v>285</v>
      </c>
      <c r="C88" s="65">
        <v>997238526</v>
      </c>
      <c r="D88" s="81" t="str">
        <f t="shared" si="2"/>
        <v>https://portal.dnb.de/opac.htm?method=simpleSearch&amp;cqlMode=true&amp;query=idn%3D997238526</v>
      </c>
      <c r="E88" s="65" t="s">
        <v>2852</v>
      </c>
      <c r="F88" s="76"/>
      <c r="G88" s="78"/>
      <c r="H88" s="76"/>
      <c r="I88" s="78"/>
      <c r="J88" s="78"/>
      <c r="K88" s="76"/>
      <c r="L88" s="76"/>
      <c r="M88" s="76"/>
      <c r="N88" s="76"/>
      <c r="O88" s="76"/>
      <c r="P88" s="76"/>
      <c r="Q88" s="76"/>
      <c r="R88" s="76"/>
      <c r="AZ88" s="88">
        <f t="shared" si="1"/>
        <v>0</v>
      </c>
      <c r="BX88" s="88"/>
      <c r="CQ88" s="88"/>
    </row>
    <row r="89" spans="1:95" outlineLevel="1" x14ac:dyDescent="0.15">
      <c r="A89" s="76">
        <v>91</v>
      </c>
      <c r="B89" s="65" t="s">
        <v>286</v>
      </c>
      <c r="C89" s="65" t="s">
        <v>287</v>
      </c>
      <c r="D89" s="81" t="str">
        <f t="shared" si="2"/>
        <v>https://portal.dnb.de/opac.htm?method=simpleSearch&amp;cqlMode=true&amp;query=idn%3D99723816X</v>
      </c>
      <c r="E89" s="65" t="s">
        <v>2850</v>
      </c>
      <c r="F89" s="76"/>
      <c r="G89" s="78"/>
      <c r="H89" s="76" t="s">
        <v>52</v>
      </c>
      <c r="I89" s="78"/>
      <c r="J89" s="78"/>
      <c r="K89" s="76"/>
      <c r="L89" s="76"/>
      <c r="M89" s="76"/>
      <c r="N89" s="76"/>
      <c r="O89" s="76"/>
      <c r="P89" s="76"/>
      <c r="Q89" s="76"/>
      <c r="R89" s="76"/>
      <c r="X89" s="84" t="s">
        <v>2641</v>
      </c>
      <c r="AA89" s="84" t="s">
        <v>2642</v>
      </c>
      <c r="AG89" s="84" t="s">
        <v>2643</v>
      </c>
      <c r="AS89" s="84">
        <v>0</v>
      </c>
      <c r="AT89" s="84" t="s">
        <v>2541</v>
      </c>
      <c r="AU89" s="84">
        <v>60</v>
      </c>
      <c r="AY89" s="86" t="s">
        <v>2651</v>
      </c>
      <c r="AZ89" s="88">
        <f t="shared" si="1"/>
        <v>0</v>
      </c>
      <c r="BF89" s="84" t="s">
        <v>2659</v>
      </c>
      <c r="BG89" s="84" t="s">
        <v>2541</v>
      </c>
      <c r="BJ89" s="79" t="s">
        <v>2783</v>
      </c>
      <c r="BX89" s="88"/>
      <c r="CQ89" s="88"/>
    </row>
    <row r="90" spans="1:95" outlineLevel="1" x14ac:dyDescent="0.15">
      <c r="A90" s="76">
        <v>92</v>
      </c>
      <c r="B90" s="65" t="s">
        <v>288</v>
      </c>
      <c r="C90" s="65">
        <v>997238208</v>
      </c>
      <c r="D90" s="81" t="str">
        <f t="shared" si="2"/>
        <v>https://portal.dnb.de/opac.htm?method=simpleSearch&amp;cqlMode=true&amp;query=idn%3D997238208</v>
      </c>
      <c r="E90" s="65" t="s">
        <v>2851</v>
      </c>
      <c r="F90" s="76"/>
      <c r="G90" s="78"/>
      <c r="H90" s="76"/>
      <c r="I90" s="78"/>
      <c r="J90" s="78"/>
      <c r="K90" s="76"/>
      <c r="L90" s="76"/>
      <c r="M90" s="76"/>
      <c r="N90" s="76"/>
      <c r="O90" s="76"/>
      <c r="P90" s="76"/>
      <c r="Q90" s="76"/>
      <c r="R90" s="76"/>
      <c r="AZ90" s="88">
        <f t="shared" si="1"/>
        <v>0</v>
      </c>
      <c r="BX90" s="88"/>
      <c r="CQ90" s="88"/>
    </row>
    <row r="91" spans="1:95" outlineLevel="1" x14ac:dyDescent="0.15">
      <c r="A91" s="76">
        <v>93</v>
      </c>
      <c r="B91" s="65" t="s">
        <v>289</v>
      </c>
      <c r="C91" s="65">
        <v>1066936609</v>
      </c>
      <c r="D91" s="81" t="str">
        <f t="shared" si="2"/>
        <v>https://portal.dnb.de/opac.htm?method=simpleSearch&amp;cqlMode=true&amp;query=idn%3D1066936609</v>
      </c>
      <c r="E91" s="65" t="s">
        <v>290</v>
      </c>
      <c r="F91" s="76"/>
      <c r="G91" s="78"/>
      <c r="H91" s="76"/>
      <c r="I91" s="78"/>
      <c r="J91" s="78"/>
      <c r="K91" s="76"/>
      <c r="L91" s="76"/>
      <c r="M91" s="76"/>
      <c r="N91" s="76"/>
      <c r="O91" s="76"/>
      <c r="P91" s="76"/>
      <c r="Q91" s="76"/>
      <c r="R91" s="76"/>
      <c r="AZ91" s="88">
        <f t="shared" si="1"/>
        <v>0</v>
      </c>
      <c r="BX91" s="88"/>
      <c r="CQ91" s="88"/>
    </row>
    <row r="92" spans="1:95" outlineLevel="1" x14ac:dyDescent="0.15">
      <c r="A92" s="76">
        <v>94</v>
      </c>
      <c r="B92" s="65" t="s">
        <v>291</v>
      </c>
      <c r="C92" s="65">
        <v>1066871159</v>
      </c>
      <c r="D92" s="81" t="str">
        <f t="shared" si="2"/>
        <v>https://portal.dnb.de/opac.htm?method=simpleSearch&amp;cqlMode=true&amp;query=idn%3D1066871159</v>
      </c>
      <c r="E92" s="65" t="s">
        <v>292</v>
      </c>
      <c r="F92" s="76"/>
      <c r="G92" s="78"/>
      <c r="H92" s="76"/>
      <c r="I92" s="78"/>
      <c r="J92" s="78"/>
      <c r="K92" s="76"/>
      <c r="L92" s="76"/>
      <c r="M92" s="76"/>
      <c r="N92" s="76"/>
      <c r="O92" s="76"/>
      <c r="P92" s="76"/>
      <c r="Q92" s="76"/>
      <c r="R92" s="76"/>
      <c r="AZ92" s="88">
        <f t="shared" si="1"/>
        <v>0</v>
      </c>
      <c r="BX92" s="88"/>
      <c r="CQ92" s="88"/>
    </row>
    <row r="93" spans="1:95" outlineLevel="1" x14ac:dyDescent="0.15">
      <c r="A93" s="76">
        <v>95</v>
      </c>
      <c r="B93" s="65" t="s">
        <v>293</v>
      </c>
      <c r="C93" s="65" t="s">
        <v>294</v>
      </c>
      <c r="D93" s="81" t="str">
        <f t="shared" si="2"/>
        <v>https://portal.dnb.de/opac.htm?method=simpleSearch&amp;cqlMode=true&amp;query=idn%3D106686554X</v>
      </c>
      <c r="E93" s="65" t="s">
        <v>295</v>
      </c>
      <c r="F93" s="76"/>
      <c r="G93" s="78"/>
      <c r="H93" s="76"/>
      <c r="I93" s="78"/>
      <c r="J93" s="78"/>
      <c r="K93" s="76"/>
      <c r="L93" s="76"/>
      <c r="M93" s="76"/>
      <c r="N93" s="76"/>
      <c r="O93" s="76"/>
      <c r="P93" s="76"/>
      <c r="Q93" s="76"/>
      <c r="R93" s="76"/>
      <c r="AZ93" s="88">
        <f t="shared" si="1"/>
        <v>0</v>
      </c>
      <c r="BX93" s="88"/>
      <c r="CQ93" s="88"/>
    </row>
    <row r="94" spans="1:95" ht="22.5" outlineLevel="1" x14ac:dyDescent="0.15">
      <c r="A94" s="76">
        <v>96</v>
      </c>
      <c r="B94" s="65" t="s">
        <v>296</v>
      </c>
      <c r="C94" s="65">
        <v>1066962642</v>
      </c>
      <c r="D94" s="81" t="str">
        <f t="shared" si="2"/>
        <v>https://portal.dnb.de/opac.htm?method=simpleSearch&amp;cqlMode=true&amp;query=idn%3D1066962642</v>
      </c>
      <c r="E94" s="65" t="s">
        <v>297</v>
      </c>
      <c r="F94" s="76" t="s">
        <v>89</v>
      </c>
      <c r="G94" s="78" t="s">
        <v>2510</v>
      </c>
      <c r="H94" s="76" t="s">
        <v>51</v>
      </c>
      <c r="I94" s="78" t="s">
        <v>55</v>
      </c>
      <c r="J94" s="78"/>
      <c r="K94" s="76"/>
      <c r="L94" s="76"/>
      <c r="M94" s="76"/>
      <c r="N94" s="76"/>
      <c r="O94" s="76"/>
      <c r="P94" s="76" t="s">
        <v>2528</v>
      </c>
      <c r="Q94" s="76"/>
      <c r="R94" s="76"/>
      <c r="X94" s="84" t="s">
        <v>2641</v>
      </c>
      <c r="Y94" s="84" t="s">
        <v>2541</v>
      </c>
      <c r="AA94" s="84" t="s">
        <v>2642</v>
      </c>
      <c r="AG94" s="84" t="s">
        <v>2643</v>
      </c>
      <c r="AU94" s="84">
        <v>80</v>
      </c>
      <c r="AY94" s="86" t="s">
        <v>2644</v>
      </c>
      <c r="AZ94" s="88">
        <f t="shared" si="1"/>
        <v>1</v>
      </c>
      <c r="BD94" s="84" t="s">
        <v>2541</v>
      </c>
      <c r="BK94" s="63" t="s">
        <v>2541</v>
      </c>
      <c r="BS94" s="84" t="s">
        <v>2670</v>
      </c>
      <c r="BX94" s="88">
        <v>1</v>
      </c>
      <c r="BY94" s="79" t="s">
        <v>2969</v>
      </c>
      <c r="CQ94" s="88"/>
    </row>
    <row r="95" spans="1:95" outlineLevel="1" x14ac:dyDescent="0.15">
      <c r="A95" s="76">
        <v>97</v>
      </c>
      <c r="B95" s="65" t="s">
        <v>298</v>
      </c>
      <c r="C95" s="65">
        <v>1066962197</v>
      </c>
      <c r="D95" s="81" t="str">
        <f t="shared" si="2"/>
        <v>https://portal.dnb.de/opac.htm?method=simpleSearch&amp;cqlMode=true&amp;query=idn%3D1066962197</v>
      </c>
      <c r="E95" s="65" t="s">
        <v>299</v>
      </c>
      <c r="F95" s="76" t="s">
        <v>89</v>
      </c>
      <c r="G95" s="78" t="s">
        <v>5</v>
      </c>
      <c r="H95" s="76" t="s">
        <v>50</v>
      </c>
      <c r="I95" s="78"/>
      <c r="J95" s="78"/>
      <c r="K95" s="76"/>
      <c r="L95" s="76"/>
      <c r="M95" s="76"/>
      <c r="N95" s="76"/>
      <c r="O95" s="76"/>
      <c r="P95" s="76"/>
      <c r="Q95" s="76"/>
      <c r="R95" s="76"/>
      <c r="AZ95" s="88">
        <f t="shared" si="1"/>
        <v>0</v>
      </c>
      <c r="BX95" s="88"/>
      <c r="CQ95" s="88"/>
    </row>
    <row r="96" spans="1:95" ht="22.5" outlineLevel="1" x14ac:dyDescent="0.15">
      <c r="A96" s="76">
        <v>98</v>
      </c>
      <c r="B96" s="65" t="s">
        <v>300</v>
      </c>
      <c r="C96" s="65">
        <v>993882870</v>
      </c>
      <c r="D96" s="81" t="str">
        <f>HYPERLINK(CONCATENATE("https://portal.dnb.de/opac.htm?method=simpleSearch&amp;cqlMode=true&amp;query=idn%3D",C96))</f>
        <v>https://portal.dnb.de/opac.htm?method=simpleSearch&amp;cqlMode=true&amp;query=idn%3D993882870</v>
      </c>
      <c r="E96" s="65" t="s">
        <v>301</v>
      </c>
      <c r="F96" s="76" t="s">
        <v>89</v>
      </c>
      <c r="G96" s="78" t="s">
        <v>2518</v>
      </c>
      <c r="H96" s="76" t="s">
        <v>50</v>
      </c>
      <c r="I96" s="78" t="s">
        <v>55</v>
      </c>
      <c r="J96" s="78" t="s">
        <v>81</v>
      </c>
      <c r="K96" s="76"/>
      <c r="L96" s="76" t="s">
        <v>29</v>
      </c>
      <c r="M96" s="76" t="s">
        <v>37</v>
      </c>
      <c r="N96" s="76">
        <v>0</v>
      </c>
      <c r="O96" s="76"/>
      <c r="P96" s="76"/>
      <c r="Q96" s="76"/>
      <c r="R96" s="76"/>
      <c r="AZ96" s="88">
        <f t="shared" si="1"/>
        <v>0</v>
      </c>
      <c r="BX96" s="88"/>
      <c r="CQ96" s="88"/>
    </row>
    <row r="97" spans="1:95" outlineLevel="1" x14ac:dyDescent="0.15">
      <c r="A97" s="76">
        <v>99</v>
      </c>
      <c r="B97" s="65" t="s">
        <v>302</v>
      </c>
      <c r="C97" s="65">
        <v>1000071774</v>
      </c>
      <c r="D97" s="81" t="str">
        <f>HYPERLINK(CONCATENATE("https://portal.dnb.de/opac.htm?method=simpleSearch&amp;cqlMode=true&amp;query=idn%3D",C97))</f>
        <v>https://portal.dnb.de/opac.htm?method=simpleSearch&amp;cqlMode=true&amp;query=idn%3D1000071774</v>
      </c>
      <c r="E97" s="65" t="s">
        <v>301</v>
      </c>
      <c r="F97" s="76"/>
      <c r="G97" s="78"/>
      <c r="H97" s="76"/>
      <c r="I97" s="78"/>
      <c r="J97" s="78"/>
      <c r="K97" s="76"/>
      <c r="L97" s="76"/>
      <c r="M97" s="76"/>
      <c r="N97" s="76"/>
      <c r="O97" s="76"/>
      <c r="P97" s="76"/>
      <c r="Q97" s="76"/>
      <c r="R97" s="76"/>
      <c r="AZ97" s="88">
        <f t="shared" si="1"/>
        <v>0</v>
      </c>
      <c r="BX97" s="88"/>
      <c r="CQ97" s="88"/>
    </row>
    <row r="98" spans="1:95" ht="22.5" outlineLevel="1" x14ac:dyDescent="0.15">
      <c r="A98" s="76">
        <v>100</v>
      </c>
      <c r="B98" s="65" t="s">
        <v>303</v>
      </c>
      <c r="C98" s="65">
        <v>1066960356</v>
      </c>
      <c r="D98" s="81" t="str">
        <f t="shared" si="2"/>
        <v>https://portal.dnb.de/opac.htm?method=simpleSearch&amp;cqlMode=true&amp;query=idn%3D1066960356</v>
      </c>
      <c r="E98" s="65" t="s">
        <v>304</v>
      </c>
      <c r="F98" s="76" t="s">
        <v>89</v>
      </c>
      <c r="G98" s="78" t="s">
        <v>2518</v>
      </c>
      <c r="H98" s="76" t="s">
        <v>50</v>
      </c>
      <c r="I98" s="78" t="s">
        <v>55</v>
      </c>
      <c r="J98" s="78" t="s">
        <v>81</v>
      </c>
      <c r="K98" s="76"/>
      <c r="L98" s="76" t="s">
        <v>29</v>
      </c>
      <c r="M98" s="76" t="s">
        <v>37</v>
      </c>
      <c r="N98" s="76">
        <v>0</v>
      </c>
      <c r="O98" s="76"/>
      <c r="P98" s="76"/>
      <c r="Q98" s="76"/>
      <c r="R98" s="76"/>
      <c r="AZ98" s="88">
        <f t="shared" si="1"/>
        <v>0</v>
      </c>
      <c r="BX98" s="88"/>
      <c r="CQ98" s="88"/>
    </row>
    <row r="99" spans="1:95" outlineLevel="1" x14ac:dyDescent="0.15">
      <c r="A99" s="76">
        <v>101</v>
      </c>
      <c r="B99" s="65" t="s">
        <v>305</v>
      </c>
      <c r="C99" s="65">
        <v>1000078248</v>
      </c>
      <c r="D99" s="81" t="str">
        <f t="shared" si="2"/>
        <v>https://portal.dnb.de/opac.htm?method=simpleSearch&amp;cqlMode=true&amp;query=idn%3D1000078248</v>
      </c>
      <c r="E99" s="65" t="s">
        <v>306</v>
      </c>
      <c r="F99" s="76"/>
      <c r="G99" s="78"/>
      <c r="H99" s="76" t="s">
        <v>51</v>
      </c>
      <c r="I99" s="78"/>
      <c r="J99" s="78"/>
      <c r="K99" s="76"/>
      <c r="L99" s="76"/>
      <c r="M99" s="76"/>
      <c r="N99" s="76"/>
      <c r="O99" s="76"/>
      <c r="P99" s="76"/>
      <c r="Q99" s="76"/>
      <c r="R99" s="76"/>
      <c r="X99" s="84" t="s">
        <v>2641</v>
      </c>
      <c r="Y99" s="84" t="s">
        <v>2541</v>
      </c>
      <c r="AA99" s="84" t="s">
        <v>2653</v>
      </c>
      <c r="AG99" s="84" t="s">
        <v>2643</v>
      </c>
      <c r="AU99" s="84">
        <v>60</v>
      </c>
      <c r="AY99" s="86" t="s">
        <v>2644</v>
      </c>
      <c r="AZ99" s="88">
        <f t="shared" si="1"/>
        <v>1.5</v>
      </c>
      <c r="BD99" s="84" t="s">
        <v>2541</v>
      </c>
      <c r="BL99" s="84" t="s">
        <v>2541</v>
      </c>
      <c r="BM99" s="84" t="s">
        <v>2541</v>
      </c>
      <c r="BO99" s="84" t="s">
        <v>2677</v>
      </c>
      <c r="BX99" s="88">
        <v>1.5</v>
      </c>
      <c r="BY99" s="79" t="s">
        <v>2859</v>
      </c>
      <c r="CQ99" s="88"/>
    </row>
    <row r="100" spans="1:95" outlineLevel="1" x14ac:dyDescent="0.15">
      <c r="A100" s="76">
        <v>102</v>
      </c>
      <c r="B100" s="65" t="s">
        <v>307</v>
      </c>
      <c r="C100" s="65">
        <v>1066960089</v>
      </c>
      <c r="D100" s="81" t="str">
        <f t="shared" si="2"/>
        <v>https://portal.dnb.de/opac.htm?method=simpleSearch&amp;cqlMode=true&amp;query=idn%3D1066960089</v>
      </c>
      <c r="E100" s="65" t="s">
        <v>308</v>
      </c>
      <c r="F100" s="76" t="s">
        <v>89</v>
      </c>
      <c r="G100" s="78" t="s">
        <v>5</v>
      </c>
      <c r="H100" s="76" t="s">
        <v>50</v>
      </c>
      <c r="I100" s="78" t="s">
        <v>55</v>
      </c>
      <c r="J100" s="78" t="s">
        <v>81</v>
      </c>
      <c r="K100" s="76"/>
      <c r="L100" s="76"/>
      <c r="M100" s="76"/>
      <c r="N100" s="76">
        <v>2</v>
      </c>
      <c r="O100" s="76"/>
      <c r="P100" s="76"/>
      <c r="Q100" s="76"/>
      <c r="R100" s="76"/>
      <c r="AZ100" s="88">
        <f t="shared" si="1"/>
        <v>0</v>
      </c>
      <c r="BX100" s="88"/>
      <c r="CQ100" s="88"/>
    </row>
    <row r="101" spans="1:95" outlineLevel="1" x14ac:dyDescent="0.15">
      <c r="A101" s="76">
        <v>103</v>
      </c>
      <c r="B101" s="65" t="s">
        <v>309</v>
      </c>
      <c r="C101" s="65">
        <v>1066941599</v>
      </c>
      <c r="D101" s="81" t="str">
        <f t="shared" si="2"/>
        <v>https://portal.dnb.de/opac.htm?method=simpleSearch&amp;cqlMode=true&amp;query=idn%3D1066941599</v>
      </c>
      <c r="E101" s="65" t="s">
        <v>310</v>
      </c>
      <c r="F101" s="76" t="s">
        <v>89</v>
      </c>
      <c r="G101" s="78" t="s">
        <v>5</v>
      </c>
      <c r="H101" s="76" t="s">
        <v>50</v>
      </c>
      <c r="I101" s="78" t="s">
        <v>55</v>
      </c>
      <c r="J101" s="78" t="s">
        <v>81</v>
      </c>
      <c r="K101" s="76"/>
      <c r="L101" s="76"/>
      <c r="M101" s="76"/>
      <c r="N101" s="76">
        <v>0</v>
      </c>
      <c r="O101" s="76"/>
      <c r="P101" s="76"/>
      <c r="Q101" s="76"/>
      <c r="R101" s="76"/>
      <c r="AZ101" s="88">
        <f t="shared" si="1"/>
        <v>0</v>
      </c>
      <c r="BX101" s="88"/>
      <c r="CQ101" s="88"/>
    </row>
    <row r="102" spans="1:95" outlineLevel="1" x14ac:dyDescent="0.15">
      <c r="A102" s="76">
        <v>104</v>
      </c>
      <c r="B102" s="65" t="s">
        <v>311</v>
      </c>
      <c r="C102" s="65">
        <v>1066958599</v>
      </c>
      <c r="D102" s="81" t="str">
        <f t="shared" si="2"/>
        <v>https://portal.dnb.de/opac.htm?method=simpleSearch&amp;cqlMode=true&amp;query=idn%3D1066958599</v>
      </c>
      <c r="E102" s="65" t="s">
        <v>312</v>
      </c>
      <c r="F102" s="76"/>
      <c r="G102" s="78"/>
      <c r="H102" s="76"/>
      <c r="I102" s="78"/>
      <c r="J102" s="78"/>
      <c r="K102" s="76"/>
      <c r="L102" s="76"/>
      <c r="M102" s="76"/>
      <c r="N102" s="76"/>
      <c r="O102" s="76"/>
      <c r="P102" s="76"/>
      <c r="Q102" s="76"/>
      <c r="R102" s="76"/>
      <c r="AZ102" s="88">
        <f t="shared" si="1"/>
        <v>0</v>
      </c>
      <c r="BX102" s="88"/>
      <c r="CQ102" s="88"/>
    </row>
    <row r="103" spans="1:95" ht="22.5" outlineLevel="1" x14ac:dyDescent="0.15">
      <c r="A103" s="76">
        <v>105</v>
      </c>
      <c r="B103" s="65" t="s">
        <v>313</v>
      </c>
      <c r="C103" s="65">
        <v>1066959501</v>
      </c>
      <c r="D103" s="81" t="str">
        <f t="shared" si="2"/>
        <v>https://portal.dnb.de/opac.htm?method=simpleSearch&amp;cqlMode=true&amp;query=idn%3D1066959501</v>
      </c>
      <c r="E103" s="65" t="s">
        <v>314</v>
      </c>
      <c r="F103" s="76" t="s">
        <v>89</v>
      </c>
      <c r="G103" s="78" t="s">
        <v>2518</v>
      </c>
      <c r="H103" s="76" t="s">
        <v>50</v>
      </c>
      <c r="I103" s="78" t="s">
        <v>55</v>
      </c>
      <c r="J103" s="78" t="s">
        <v>81</v>
      </c>
      <c r="K103" s="76"/>
      <c r="L103" s="76" t="s">
        <v>34</v>
      </c>
      <c r="M103" s="76" t="s">
        <v>37</v>
      </c>
      <c r="N103" s="76">
        <v>0</v>
      </c>
      <c r="O103" s="76"/>
      <c r="P103" s="76"/>
      <c r="Q103" s="76"/>
      <c r="R103" s="76"/>
      <c r="AZ103" s="88">
        <f t="shared" si="1"/>
        <v>0</v>
      </c>
      <c r="BX103" s="88"/>
      <c r="CQ103" s="88"/>
    </row>
    <row r="104" spans="1:95" outlineLevel="1" x14ac:dyDescent="0.15">
      <c r="A104" s="76">
        <v>106</v>
      </c>
      <c r="B104" s="65" t="s">
        <v>315</v>
      </c>
      <c r="C104" s="65">
        <v>994041403</v>
      </c>
      <c r="D104" s="81" t="str">
        <f>HYPERLINK(CONCATENATE("https://portal.dnb.de/opac.htm?method=simpleSearch&amp;cqlMode=true&amp;query=idn%3D",C104))</f>
        <v>https://portal.dnb.de/opac.htm?method=simpleSearch&amp;cqlMode=true&amp;query=idn%3D994041403</v>
      </c>
      <c r="E104" s="65" t="s">
        <v>316</v>
      </c>
      <c r="F104" s="76"/>
      <c r="G104" s="78"/>
      <c r="H104" s="76"/>
      <c r="I104" s="78"/>
      <c r="J104" s="78"/>
      <c r="K104" s="76"/>
      <c r="L104" s="76"/>
      <c r="M104" s="76"/>
      <c r="N104" s="76"/>
      <c r="O104" s="76"/>
      <c r="P104" s="76"/>
      <c r="Q104" s="76"/>
      <c r="R104" s="76"/>
      <c r="AZ104" s="88">
        <f t="shared" si="1"/>
        <v>0</v>
      </c>
      <c r="BX104" s="88"/>
      <c r="CQ104" s="88"/>
    </row>
    <row r="105" spans="1:95" ht="22.5" outlineLevel="1" x14ac:dyDescent="0.15">
      <c r="A105" s="76">
        <v>107</v>
      </c>
      <c r="B105" s="65" t="s">
        <v>317</v>
      </c>
      <c r="C105" s="65">
        <v>1066861765</v>
      </c>
      <c r="D105" s="81" t="str">
        <f>HYPERLINK(CONCATENATE("https://portal.dnb.de/opac.htm?method=simpleSearch&amp;cqlMode=true&amp;query=idn%3D",C105))</f>
        <v>https://portal.dnb.de/opac.htm?method=simpleSearch&amp;cqlMode=true&amp;query=idn%3D1066861765</v>
      </c>
      <c r="E105" s="65" t="s">
        <v>316</v>
      </c>
      <c r="F105" s="76" t="s">
        <v>89</v>
      </c>
      <c r="G105" s="78" t="s">
        <v>2510</v>
      </c>
      <c r="H105" s="76" t="s">
        <v>51</v>
      </c>
      <c r="I105" s="78" t="s">
        <v>90</v>
      </c>
      <c r="J105" s="78" t="s">
        <v>94</v>
      </c>
      <c r="K105" s="76"/>
      <c r="L105" s="76" t="s">
        <v>34</v>
      </c>
      <c r="M105" s="76" t="s">
        <v>37</v>
      </c>
      <c r="N105" s="76">
        <v>0</v>
      </c>
      <c r="O105" s="76"/>
      <c r="P105" s="76"/>
      <c r="Q105" s="76"/>
      <c r="R105" s="76"/>
      <c r="AZ105" s="88">
        <f t="shared" si="1"/>
        <v>0</v>
      </c>
      <c r="BX105" s="88"/>
      <c r="CQ105" s="88"/>
    </row>
    <row r="106" spans="1:95" outlineLevel="1" x14ac:dyDescent="0.15">
      <c r="A106" s="76">
        <v>108</v>
      </c>
      <c r="B106" s="65" t="s">
        <v>315</v>
      </c>
      <c r="C106" s="65">
        <v>994041403</v>
      </c>
      <c r="D106" s="81" t="str">
        <f>HYPERLINK(CONCATENATE("https://portal.dnb.de/opac.htm?method=simpleSearch&amp;cqlMode=true&amp;query=idn%3D",C106))</f>
        <v>https://portal.dnb.de/opac.htm?method=simpleSearch&amp;cqlMode=true&amp;query=idn%3D994041403</v>
      </c>
      <c r="E106" s="65" t="s">
        <v>316</v>
      </c>
      <c r="F106" s="76"/>
      <c r="G106" s="78"/>
      <c r="H106" s="76"/>
      <c r="I106" s="78"/>
      <c r="J106" s="78"/>
      <c r="K106" s="76"/>
      <c r="L106" s="76"/>
      <c r="M106" s="76"/>
      <c r="N106" s="76"/>
      <c r="O106" s="76"/>
      <c r="P106" s="76"/>
      <c r="Q106" s="76"/>
      <c r="R106" s="76"/>
      <c r="AZ106" s="88">
        <f t="shared" si="1"/>
        <v>0</v>
      </c>
      <c r="BX106" s="88"/>
      <c r="CQ106" s="88"/>
    </row>
    <row r="107" spans="1:95" ht="33.75" outlineLevel="1" x14ac:dyDescent="0.15">
      <c r="A107" s="76">
        <v>109</v>
      </c>
      <c r="B107" s="65" t="s">
        <v>318</v>
      </c>
      <c r="C107" s="65">
        <v>1066957924</v>
      </c>
      <c r="D107" s="81" t="str">
        <f t="shared" si="2"/>
        <v>https://portal.dnb.de/opac.htm?method=simpleSearch&amp;cqlMode=true&amp;query=idn%3D1066957924</v>
      </c>
      <c r="E107" s="65" t="s">
        <v>319</v>
      </c>
      <c r="F107" s="76" t="s">
        <v>89</v>
      </c>
      <c r="G107" s="78" t="s">
        <v>2521</v>
      </c>
      <c r="H107" s="76" t="s">
        <v>51</v>
      </c>
      <c r="I107" s="78" t="s">
        <v>55</v>
      </c>
      <c r="J107" s="78" t="s">
        <v>81</v>
      </c>
      <c r="K107" s="76"/>
      <c r="L107" s="76" t="s">
        <v>34</v>
      </c>
      <c r="M107" s="76" t="s">
        <v>37</v>
      </c>
      <c r="N107" s="76">
        <v>0</v>
      </c>
      <c r="O107" s="76"/>
      <c r="P107" s="76"/>
      <c r="Q107" s="76"/>
      <c r="R107" s="76"/>
      <c r="AZ107" s="88">
        <f t="shared" si="1"/>
        <v>0</v>
      </c>
      <c r="BX107" s="88"/>
      <c r="CQ107" s="88"/>
    </row>
    <row r="108" spans="1:95" ht="22.5" outlineLevel="1" x14ac:dyDescent="0.15">
      <c r="A108" s="76">
        <v>110</v>
      </c>
      <c r="B108" s="65" t="s">
        <v>320</v>
      </c>
      <c r="C108" s="65">
        <v>1066871612</v>
      </c>
      <c r="D108" s="81" t="str">
        <f>HYPERLINK(CONCATENATE("https://portal.dnb.de/opac.htm?method=simpleSearch&amp;cqlMode=true&amp;query=idn%3D",C108))</f>
        <v>https://portal.dnb.de/opac.htm?method=simpleSearch&amp;cqlMode=true&amp;query=idn%3D1066871612</v>
      </c>
      <c r="E108" s="65" t="s">
        <v>321</v>
      </c>
      <c r="F108" s="76" t="s">
        <v>89</v>
      </c>
      <c r="G108" s="78" t="s">
        <v>2520</v>
      </c>
      <c r="H108" s="76" t="s">
        <v>51</v>
      </c>
      <c r="I108" s="78" t="s">
        <v>55</v>
      </c>
      <c r="J108" s="78" t="s">
        <v>2509</v>
      </c>
      <c r="K108" s="76"/>
      <c r="L108" s="76" t="s">
        <v>34</v>
      </c>
      <c r="M108" s="76" t="s">
        <v>37</v>
      </c>
      <c r="N108" s="76">
        <v>0</v>
      </c>
      <c r="O108" s="76"/>
      <c r="P108" s="76" t="s">
        <v>2542</v>
      </c>
      <c r="Q108" s="76"/>
      <c r="R108" s="76"/>
      <c r="AZ108" s="88">
        <f t="shared" si="1"/>
        <v>0</v>
      </c>
      <c r="BX108" s="88"/>
      <c r="CQ108" s="88"/>
    </row>
    <row r="109" spans="1:95" outlineLevel="1" x14ac:dyDescent="0.15">
      <c r="A109" s="76">
        <v>111</v>
      </c>
      <c r="B109" s="65" t="s">
        <v>322</v>
      </c>
      <c r="C109" s="65">
        <v>1066848572</v>
      </c>
      <c r="D109" s="81" t="str">
        <f>HYPERLINK(CONCATENATE("https://portal.dnb.de/opac.htm?method=simpleSearch&amp;cqlMode=true&amp;query=idn%3D",C109))</f>
        <v>https://portal.dnb.de/opac.htm?method=simpleSearch&amp;cqlMode=true&amp;query=idn%3D1066848572</v>
      </c>
      <c r="E109" s="65" t="s">
        <v>323</v>
      </c>
      <c r="F109" s="76" t="s">
        <v>89</v>
      </c>
      <c r="G109" s="78" t="s">
        <v>17</v>
      </c>
      <c r="H109" s="76" t="s">
        <v>50</v>
      </c>
      <c r="I109" s="78" t="s">
        <v>55</v>
      </c>
      <c r="J109" s="78"/>
      <c r="K109" s="76"/>
      <c r="L109" s="76"/>
      <c r="M109" s="76"/>
      <c r="N109" s="76"/>
      <c r="O109" s="76"/>
      <c r="P109" s="76"/>
      <c r="Q109" s="76"/>
      <c r="R109" s="76"/>
      <c r="X109" s="84" t="s">
        <v>2643</v>
      </c>
      <c r="AG109" s="84" t="s">
        <v>2643</v>
      </c>
      <c r="AU109" s="84">
        <v>110</v>
      </c>
      <c r="AY109" s="86" t="s">
        <v>2644</v>
      </c>
      <c r="AZ109" s="88">
        <f t="shared" si="1"/>
        <v>1.5</v>
      </c>
      <c r="BK109" s="63" t="s">
        <v>2541</v>
      </c>
      <c r="BO109" s="84" t="s">
        <v>2677</v>
      </c>
      <c r="BQ109" s="84" t="s">
        <v>2541</v>
      </c>
      <c r="BX109" s="88">
        <v>1.5</v>
      </c>
      <c r="BY109" s="79" t="s">
        <v>3039</v>
      </c>
      <c r="CQ109" s="88"/>
    </row>
    <row r="110" spans="1:95" ht="22.5" outlineLevel="1" x14ac:dyDescent="0.15">
      <c r="A110" s="76">
        <v>112</v>
      </c>
      <c r="B110" s="65" t="s">
        <v>324</v>
      </c>
      <c r="C110" s="65">
        <v>1066963002</v>
      </c>
      <c r="D110" s="81" t="str">
        <f>HYPERLINK(CONCATENATE("https://portal.dnb.de/opac.htm?method=simpleSearch&amp;cqlMode=true&amp;query=idn%3D",C110))</f>
        <v>https://portal.dnb.de/opac.htm?method=simpleSearch&amp;cqlMode=true&amp;query=idn%3D1066963002</v>
      </c>
      <c r="E110" s="65" t="s">
        <v>325</v>
      </c>
      <c r="F110" s="76" t="s">
        <v>89</v>
      </c>
      <c r="G110" s="78" t="s">
        <v>2510</v>
      </c>
      <c r="H110" s="76" t="s">
        <v>50</v>
      </c>
      <c r="I110" s="78" t="s">
        <v>90</v>
      </c>
      <c r="J110" s="78" t="s">
        <v>2509</v>
      </c>
      <c r="K110" s="76"/>
      <c r="L110" s="76" t="s">
        <v>34</v>
      </c>
      <c r="M110" s="76" t="s">
        <v>37</v>
      </c>
      <c r="N110" s="76">
        <v>1</v>
      </c>
      <c r="O110" s="76"/>
      <c r="P110" s="76" t="s">
        <v>2542</v>
      </c>
      <c r="Q110" s="76"/>
      <c r="R110" s="76"/>
      <c r="X110" s="84" t="s">
        <v>2641</v>
      </c>
      <c r="Y110" s="84" t="s">
        <v>2541</v>
      </c>
      <c r="AA110" s="84" t="s">
        <v>2675</v>
      </c>
      <c r="AG110" s="84" t="s">
        <v>2643</v>
      </c>
      <c r="AU110" s="84">
        <v>80</v>
      </c>
      <c r="AY110" s="86" t="s">
        <v>2651</v>
      </c>
      <c r="AZ110" s="88">
        <f t="shared" si="1"/>
        <v>0</v>
      </c>
      <c r="BD110" s="84" t="s">
        <v>2541</v>
      </c>
      <c r="BX110" s="88"/>
      <c r="CQ110" s="88"/>
    </row>
    <row r="111" spans="1:95" outlineLevel="1" x14ac:dyDescent="0.15">
      <c r="A111" s="76">
        <v>113</v>
      </c>
      <c r="B111" s="65" t="s">
        <v>326</v>
      </c>
      <c r="C111" s="65">
        <v>1066849153</v>
      </c>
      <c r="D111" s="81" t="str">
        <f t="shared" si="2"/>
        <v>https://portal.dnb.de/opac.htm?method=simpleSearch&amp;cqlMode=true&amp;query=idn%3D1066849153</v>
      </c>
      <c r="E111" s="65" t="s">
        <v>327</v>
      </c>
      <c r="F111" s="76"/>
      <c r="G111" s="78"/>
      <c r="H111" s="76" t="s">
        <v>51</v>
      </c>
      <c r="I111" s="78"/>
      <c r="J111" s="78"/>
      <c r="K111" s="76"/>
      <c r="L111" s="76"/>
      <c r="M111" s="76"/>
      <c r="N111" s="76"/>
      <c r="O111" s="76"/>
      <c r="P111" s="76"/>
      <c r="Q111" s="76"/>
      <c r="R111" s="76"/>
      <c r="X111" s="84" t="s">
        <v>2641</v>
      </c>
      <c r="Y111" s="84" t="s">
        <v>2541</v>
      </c>
      <c r="Z111" s="84" t="s">
        <v>2541</v>
      </c>
      <c r="AA111" s="84" t="s">
        <v>2642</v>
      </c>
      <c r="AG111" s="84" t="s">
        <v>2643</v>
      </c>
      <c r="AU111" s="84">
        <v>45</v>
      </c>
      <c r="AY111" s="86" t="s">
        <v>2644</v>
      </c>
      <c r="AZ111" s="88">
        <f t="shared" si="1"/>
        <v>0.5</v>
      </c>
      <c r="BE111" s="84" t="s">
        <v>2541</v>
      </c>
      <c r="BL111" s="84" t="s">
        <v>2541</v>
      </c>
      <c r="BM111" s="84" t="s">
        <v>2541</v>
      </c>
      <c r="BX111" s="88">
        <v>0.5</v>
      </c>
      <c r="BY111" s="79" t="s">
        <v>2861</v>
      </c>
      <c r="CQ111" s="88"/>
    </row>
    <row r="112" spans="1:95" outlineLevel="1" x14ac:dyDescent="0.15">
      <c r="A112" s="76">
        <v>114</v>
      </c>
      <c r="B112" s="65" t="s">
        <v>328</v>
      </c>
      <c r="C112" s="65">
        <v>1066963029</v>
      </c>
      <c r="D112" s="81" t="str">
        <f t="shared" si="2"/>
        <v>https://portal.dnb.de/opac.htm?method=simpleSearch&amp;cqlMode=true&amp;query=idn%3D1066963029</v>
      </c>
      <c r="E112" s="65" t="s">
        <v>329</v>
      </c>
      <c r="F112" s="76" t="s">
        <v>89</v>
      </c>
      <c r="G112" s="78" t="s">
        <v>3</v>
      </c>
      <c r="H112" s="76" t="s">
        <v>50</v>
      </c>
      <c r="I112" s="78"/>
      <c r="J112" s="78"/>
      <c r="K112" s="76"/>
      <c r="L112" s="76"/>
      <c r="M112" s="76"/>
      <c r="N112" s="76"/>
      <c r="O112" s="76"/>
      <c r="P112" s="76"/>
      <c r="Q112" s="76"/>
      <c r="R112" s="76"/>
      <c r="X112" s="84" t="s">
        <v>2697</v>
      </c>
      <c r="AA112" s="84" t="s">
        <v>2653</v>
      </c>
      <c r="AG112" s="84" t="s">
        <v>2643</v>
      </c>
      <c r="AU112" s="84">
        <v>0</v>
      </c>
      <c r="AY112" s="86" t="s">
        <v>2651</v>
      </c>
      <c r="AZ112" s="88">
        <f t="shared" si="1"/>
        <v>0</v>
      </c>
      <c r="BX112" s="88"/>
      <c r="CQ112" s="88"/>
    </row>
    <row r="113" spans="1:95" ht="22.5" outlineLevel="1" x14ac:dyDescent="0.15">
      <c r="A113" s="76">
        <v>115</v>
      </c>
      <c r="B113" s="65" t="s">
        <v>330</v>
      </c>
      <c r="C113" s="65">
        <v>1066959285</v>
      </c>
      <c r="D113" s="81" t="str">
        <f t="shared" si="2"/>
        <v>https://portal.dnb.de/opac.htm?method=simpleSearch&amp;cqlMode=true&amp;query=idn%3D1066959285</v>
      </c>
      <c r="E113" s="65" t="s">
        <v>331</v>
      </c>
      <c r="F113" s="76" t="s">
        <v>89</v>
      </c>
      <c r="G113" s="78" t="s">
        <v>2516</v>
      </c>
      <c r="H113" s="76" t="s">
        <v>51</v>
      </c>
      <c r="I113" s="78"/>
      <c r="J113" s="78"/>
      <c r="K113" s="76"/>
      <c r="L113" s="76"/>
      <c r="M113" s="76"/>
      <c r="N113" s="76"/>
      <c r="O113" s="76"/>
      <c r="P113" s="76"/>
      <c r="Q113" s="76"/>
      <c r="R113" s="76"/>
      <c r="X113" s="84" t="s">
        <v>2652</v>
      </c>
      <c r="Y113" s="84" t="s">
        <v>2541</v>
      </c>
      <c r="AA113" s="84" t="s">
        <v>2653</v>
      </c>
      <c r="AG113" s="84" t="s">
        <v>2643</v>
      </c>
      <c r="AU113" s="84">
        <v>45</v>
      </c>
      <c r="AY113" s="86" t="s">
        <v>2644</v>
      </c>
      <c r="AZ113" s="88">
        <f t="shared" si="1"/>
        <v>6</v>
      </c>
      <c r="BD113" s="84" t="s">
        <v>2541</v>
      </c>
      <c r="BK113" s="63" t="s">
        <v>2541</v>
      </c>
      <c r="BL113" s="84" t="s">
        <v>2541</v>
      </c>
      <c r="BM113" s="84" t="s">
        <v>2541</v>
      </c>
      <c r="BO113" s="84" t="s">
        <v>2656</v>
      </c>
      <c r="BX113" s="88">
        <v>6</v>
      </c>
      <c r="BY113" s="79" t="s">
        <v>2972</v>
      </c>
      <c r="CQ113" s="88"/>
    </row>
    <row r="114" spans="1:95" ht="33.75" outlineLevel="1" x14ac:dyDescent="0.15">
      <c r="A114" s="76">
        <v>116</v>
      </c>
      <c r="B114" s="65" t="s">
        <v>332</v>
      </c>
      <c r="C114" s="65">
        <v>1066959897</v>
      </c>
      <c r="D114" s="81" t="str">
        <f>HYPERLINK(CONCATENATE("https://portal.dnb.de/opac.htm?method=simpleSearch&amp;cqlMode=true&amp;query=idn%3D",C114))</f>
        <v>https://portal.dnb.de/opac.htm?method=simpleSearch&amp;cqlMode=true&amp;query=idn%3D1066959897</v>
      </c>
      <c r="E114" s="65" t="s">
        <v>333</v>
      </c>
      <c r="F114" s="76" t="s">
        <v>89</v>
      </c>
      <c r="G114" s="78" t="s">
        <v>2510</v>
      </c>
      <c r="H114" s="76" t="s">
        <v>50</v>
      </c>
      <c r="I114" s="78" t="s">
        <v>86</v>
      </c>
      <c r="J114" s="78" t="s">
        <v>2513</v>
      </c>
      <c r="K114" s="76"/>
      <c r="L114" s="76" t="s">
        <v>35</v>
      </c>
      <c r="M114" s="76" t="s">
        <v>37</v>
      </c>
      <c r="N114" s="76">
        <v>0</v>
      </c>
      <c r="O114" s="76"/>
      <c r="P114" s="76"/>
      <c r="Q114" s="76"/>
      <c r="R114" s="76"/>
      <c r="AZ114" s="88">
        <f t="shared" si="1"/>
        <v>0</v>
      </c>
      <c r="BX114" s="88"/>
      <c r="CQ114" s="88"/>
    </row>
    <row r="115" spans="1:95" outlineLevel="1" x14ac:dyDescent="0.15">
      <c r="A115" s="76">
        <v>117</v>
      </c>
      <c r="B115" s="65" t="s">
        <v>334</v>
      </c>
      <c r="C115" s="65">
        <v>1066964203</v>
      </c>
      <c r="D115" s="81" t="str">
        <f t="shared" si="2"/>
        <v>https://portal.dnb.de/opac.htm?method=simpleSearch&amp;cqlMode=true&amp;query=idn%3D1066964203</v>
      </c>
      <c r="E115" s="65" t="s">
        <v>335</v>
      </c>
      <c r="F115" s="76"/>
      <c r="G115" s="78"/>
      <c r="H115" s="76"/>
      <c r="I115" s="78"/>
      <c r="J115" s="78"/>
      <c r="K115" s="76"/>
      <c r="L115" s="76"/>
      <c r="M115" s="76"/>
      <c r="N115" s="76"/>
      <c r="O115" s="76"/>
      <c r="P115" s="76"/>
      <c r="Q115" s="76"/>
      <c r="R115" s="76"/>
      <c r="AZ115" s="88">
        <f t="shared" si="1"/>
        <v>0</v>
      </c>
      <c r="BX115" s="88"/>
      <c r="CQ115" s="88"/>
    </row>
    <row r="116" spans="1:95" outlineLevel="1" x14ac:dyDescent="0.15">
      <c r="A116" s="76">
        <v>118</v>
      </c>
      <c r="B116" s="65" t="s">
        <v>336</v>
      </c>
      <c r="C116" s="65">
        <v>997291915</v>
      </c>
      <c r="D116" s="81" t="str">
        <f t="shared" si="2"/>
        <v>https://portal.dnb.de/opac.htm?method=simpleSearch&amp;cqlMode=true&amp;query=idn%3D997291915</v>
      </c>
      <c r="E116" s="65" t="s">
        <v>337</v>
      </c>
      <c r="F116" s="76"/>
      <c r="G116" s="78"/>
      <c r="H116" s="76" t="s">
        <v>51</v>
      </c>
      <c r="I116" s="78"/>
      <c r="J116" s="78"/>
      <c r="K116" s="76"/>
      <c r="L116" s="76"/>
      <c r="M116" s="76"/>
      <c r="N116" s="76"/>
      <c r="O116" s="76"/>
      <c r="P116" s="76"/>
      <c r="Q116" s="76"/>
      <c r="R116" s="76"/>
      <c r="X116" s="84" t="s">
        <v>2646</v>
      </c>
      <c r="Y116" s="84" t="s">
        <v>2541</v>
      </c>
      <c r="AA116" s="84" t="s">
        <v>2675</v>
      </c>
      <c r="AB116" s="84" t="s">
        <v>2541</v>
      </c>
      <c r="AG116" s="84" t="s">
        <v>2643</v>
      </c>
      <c r="AU116" s="84">
        <v>110</v>
      </c>
      <c r="AY116" s="86" t="s">
        <v>2644</v>
      </c>
      <c r="AZ116" s="88">
        <f t="shared" si="1"/>
        <v>0.5</v>
      </c>
      <c r="BD116" s="84" t="s">
        <v>2541</v>
      </c>
      <c r="BK116" s="63" t="s">
        <v>2541</v>
      </c>
      <c r="BM116" s="84" t="s">
        <v>2541</v>
      </c>
      <c r="BX116" s="88">
        <v>0.5</v>
      </c>
      <c r="CQ116" s="88"/>
    </row>
    <row r="117" spans="1:95" outlineLevel="1" x14ac:dyDescent="0.15">
      <c r="A117" s="76">
        <v>119</v>
      </c>
      <c r="B117" s="65" t="s">
        <v>338</v>
      </c>
      <c r="C117" s="65">
        <v>997291877</v>
      </c>
      <c r="D117" s="81" t="str">
        <f t="shared" si="2"/>
        <v>https://portal.dnb.de/opac.htm?method=simpleSearch&amp;cqlMode=true&amp;query=idn%3D997291877</v>
      </c>
      <c r="E117" s="65" t="s">
        <v>2973</v>
      </c>
      <c r="F117" s="76"/>
      <c r="G117" s="78"/>
      <c r="H117" s="76"/>
      <c r="I117" s="78"/>
      <c r="J117" s="78"/>
      <c r="K117" s="76"/>
      <c r="L117" s="76"/>
      <c r="M117" s="76"/>
      <c r="N117" s="76"/>
      <c r="O117" s="76"/>
      <c r="P117" s="76"/>
      <c r="Q117" s="76"/>
      <c r="R117" s="76"/>
      <c r="AZ117" s="88">
        <f t="shared" si="1"/>
        <v>0</v>
      </c>
      <c r="BX117" s="88"/>
      <c r="CQ117" s="88"/>
    </row>
    <row r="118" spans="1:95" outlineLevel="1" x14ac:dyDescent="0.15">
      <c r="A118" s="76">
        <v>120</v>
      </c>
      <c r="B118" s="65" t="s">
        <v>339</v>
      </c>
      <c r="C118" s="65">
        <v>1000072444</v>
      </c>
      <c r="D118" s="81" t="str">
        <f t="shared" si="2"/>
        <v>https://portal.dnb.de/opac.htm?method=simpleSearch&amp;cqlMode=true&amp;query=idn%3D1000072444</v>
      </c>
      <c r="E118" s="65" t="s">
        <v>2973</v>
      </c>
      <c r="F118" s="76"/>
      <c r="G118" s="78"/>
      <c r="H118" s="76"/>
      <c r="I118" s="78"/>
      <c r="J118" s="78"/>
      <c r="K118" s="76"/>
      <c r="L118" s="76"/>
      <c r="M118" s="76"/>
      <c r="N118" s="76"/>
      <c r="O118" s="76"/>
      <c r="P118" s="76"/>
      <c r="Q118" s="76"/>
      <c r="R118" s="76"/>
      <c r="AZ118" s="88">
        <f t="shared" si="1"/>
        <v>0</v>
      </c>
      <c r="BX118" s="88"/>
      <c r="CQ118" s="88"/>
    </row>
    <row r="119" spans="1:95" outlineLevel="1" x14ac:dyDescent="0.15">
      <c r="A119" s="76">
        <v>121</v>
      </c>
      <c r="B119" s="65" t="s">
        <v>340</v>
      </c>
      <c r="C119" s="65">
        <v>1066963789</v>
      </c>
      <c r="D119" s="81" t="str">
        <f t="shared" si="2"/>
        <v>https://portal.dnb.de/opac.htm?method=simpleSearch&amp;cqlMode=true&amp;query=idn%3D1066963789</v>
      </c>
      <c r="E119" s="65" t="s">
        <v>341</v>
      </c>
      <c r="F119" s="76"/>
      <c r="G119" s="78"/>
      <c r="H119" s="76"/>
      <c r="I119" s="78"/>
      <c r="J119" s="78"/>
      <c r="K119" s="76"/>
      <c r="L119" s="76"/>
      <c r="M119" s="76"/>
      <c r="N119" s="76"/>
      <c r="O119" s="76"/>
      <c r="P119" s="76"/>
      <c r="Q119" s="76"/>
      <c r="R119" s="76"/>
      <c r="AZ119" s="88">
        <f t="shared" si="1"/>
        <v>0</v>
      </c>
      <c r="BX119" s="88"/>
      <c r="CQ119" s="88"/>
    </row>
    <row r="120" spans="1:95" outlineLevel="1" x14ac:dyDescent="0.15">
      <c r="A120" s="76">
        <v>122</v>
      </c>
      <c r="B120" s="65" t="s">
        <v>342</v>
      </c>
      <c r="C120" s="65">
        <v>1002919940</v>
      </c>
      <c r="D120" s="81" t="str">
        <f>HYPERLINK(CONCATENATE("https://portal.dnb.de/opac.htm?method=simpleSearch&amp;cqlMode=true&amp;query=idn%3D",C120))</f>
        <v>https://portal.dnb.de/opac.htm?method=simpleSearch&amp;cqlMode=true&amp;query=idn%3D1002919940</v>
      </c>
      <c r="E120" s="65" t="s">
        <v>343</v>
      </c>
      <c r="F120" s="76"/>
      <c r="G120" s="78"/>
      <c r="H120" s="76"/>
      <c r="I120" s="78"/>
      <c r="J120" s="78"/>
      <c r="K120" s="76"/>
      <c r="L120" s="76"/>
      <c r="M120" s="76"/>
      <c r="N120" s="76"/>
      <c r="O120" s="76"/>
      <c r="P120" s="76"/>
      <c r="Q120" s="76"/>
      <c r="R120" s="76"/>
      <c r="AZ120" s="88">
        <f t="shared" si="1"/>
        <v>0</v>
      </c>
      <c r="BX120" s="88"/>
      <c r="CQ120" s="88"/>
    </row>
    <row r="121" spans="1:95" outlineLevel="1" x14ac:dyDescent="0.15">
      <c r="A121" s="76">
        <v>123</v>
      </c>
      <c r="B121" s="65" t="s">
        <v>344</v>
      </c>
      <c r="C121" s="65">
        <v>1000376133</v>
      </c>
      <c r="D121" s="81" t="str">
        <f>HYPERLINK(CONCATENATE("https://portal.dnb.de/opac.htm?method=simpleSearch&amp;cqlMode=true&amp;query=idn%3D",C121))</f>
        <v>https://portal.dnb.de/opac.htm?method=simpleSearch&amp;cqlMode=true&amp;query=idn%3D1000376133</v>
      </c>
      <c r="E121" s="65" t="s">
        <v>343</v>
      </c>
      <c r="F121" s="76"/>
      <c r="G121" s="78"/>
      <c r="H121" s="76"/>
      <c r="I121" s="78"/>
      <c r="J121" s="78"/>
      <c r="K121" s="76"/>
      <c r="L121" s="76"/>
      <c r="M121" s="76"/>
      <c r="N121" s="76"/>
      <c r="O121" s="76"/>
      <c r="P121" s="76"/>
      <c r="Q121" s="76"/>
      <c r="R121" s="76"/>
      <c r="AZ121" s="88">
        <f t="shared" si="1"/>
        <v>0</v>
      </c>
      <c r="BX121" s="88"/>
      <c r="CQ121" s="88"/>
    </row>
    <row r="122" spans="1:95" ht="22.5" outlineLevel="1" x14ac:dyDescent="0.15">
      <c r="A122" s="76">
        <v>124</v>
      </c>
      <c r="B122" s="65" t="s">
        <v>345</v>
      </c>
      <c r="C122" s="65">
        <v>995360138</v>
      </c>
      <c r="D122" s="81" t="str">
        <f>HYPERLINK(CONCATENATE("https://portal.dnb.de/opac.htm?method=simpleSearch&amp;cqlMode=true&amp;query=idn%3D",C122))</f>
        <v>https://portal.dnb.de/opac.htm?method=simpleSearch&amp;cqlMode=true&amp;query=idn%3D995360138</v>
      </c>
      <c r="E122" s="65" t="s">
        <v>343</v>
      </c>
      <c r="F122" s="76" t="s">
        <v>89</v>
      </c>
      <c r="G122" s="78" t="s">
        <v>2510</v>
      </c>
      <c r="H122" s="76" t="s">
        <v>50</v>
      </c>
      <c r="I122" s="78" t="s">
        <v>55</v>
      </c>
      <c r="J122" s="78" t="s">
        <v>81</v>
      </c>
      <c r="K122" s="76"/>
      <c r="L122" s="76" t="s">
        <v>34</v>
      </c>
      <c r="M122" s="76" t="s">
        <v>2538</v>
      </c>
      <c r="N122" s="76">
        <v>1</v>
      </c>
      <c r="O122" s="76"/>
      <c r="P122" s="76"/>
      <c r="Q122" s="76"/>
      <c r="R122" s="76"/>
      <c r="AZ122" s="88">
        <f t="shared" si="1"/>
        <v>0</v>
      </c>
      <c r="BX122" s="88"/>
      <c r="CQ122" s="88"/>
    </row>
    <row r="123" spans="1:95" ht="22.5" outlineLevel="1" x14ac:dyDescent="0.15">
      <c r="A123" s="76">
        <v>125</v>
      </c>
      <c r="B123" s="65" t="s">
        <v>346</v>
      </c>
      <c r="C123" s="65">
        <v>1002919827</v>
      </c>
      <c r="D123" s="81" t="str">
        <f t="shared" si="2"/>
        <v>https://portal.dnb.de/opac.htm?method=simpleSearch&amp;cqlMode=true&amp;query=idn%3D1002919827</v>
      </c>
      <c r="E123" s="65" t="s">
        <v>347</v>
      </c>
      <c r="F123" s="76" t="s">
        <v>89</v>
      </c>
      <c r="G123" s="78" t="s">
        <v>45</v>
      </c>
      <c r="H123" s="76" t="s">
        <v>51</v>
      </c>
      <c r="I123" s="78" t="s">
        <v>90</v>
      </c>
      <c r="J123" s="78" t="s">
        <v>2512</v>
      </c>
      <c r="K123" s="76"/>
      <c r="L123" s="76" t="s">
        <v>35</v>
      </c>
      <c r="M123" s="76" t="s">
        <v>37</v>
      </c>
      <c r="N123" s="76">
        <v>0</v>
      </c>
      <c r="O123" s="76"/>
      <c r="P123" s="76"/>
      <c r="Q123" s="76"/>
      <c r="R123" s="76"/>
      <c r="X123" s="84" t="s">
        <v>2646</v>
      </c>
      <c r="Z123" s="84" t="s">
        <v>2541</v>
      </c>
      <c r="AA123" s="84" t="s">
        <v>2647</v>
      </c>
      <c r="AB123" s="84" t="s">
        <v>2541</v>
      </c>
      <c r="AG123" s="84" t="s">
        <v>2643</v>
      </c>
      <c r="AU123" s="84">
        <v>110</v>
      </c>
      <c r="AY123" s="86" t="s">
        <v>2651</v>
      </c>
      <c r="AZ123" s="88">
        <f t="shared" si="1"/>
        <v>0</v>
      </c>
      <c r="BB123" s="84" t="s">
        <v>2777</v>
      </c>
      <c r="BX123" s="88"/>
      <c r="CQ123" s="88"/>
    </row>
    <row r="124" spans="1:95" ht="33.75" outlineLevel="1" x14ac:dyDescent="0.15">
      <c r="A124" s="76">
        <v>126</v>
      </c>
      <c r="B124" s="65" t="s">
        <v>348</v>
      </c>
      <c r="C124" s="65">
        <v>1002778123</v>
      </c>
      <c r="D124" s="81" t="str">
        <f>HYPERLINK(CONCATENATE("https://portal.dnb.de/opac.htm?method=simpleSearch&amp;cqlMode=true&amp;query=idn%3D",C124))</f>
        <v>https://portal.dnb.de/opac.htm?method=simpleSearch&amp;cqlMode=true&amp;query=idn%3D1002778123</v>
      </c>
      <c r="E124" s="65" t="s">
        <v>349</v>
      </c>
      <c r="F124" s="76"/>
      <c r="G124" s="78" t="s">
        <v>2510</v>
      </c>
      <c r="H124" s="76" t="s">
        <v>50</v>
      </c>
      <c r="I124" s="78" t="s">
        <v>86</v>
      </c>
      <c r="J124" s="78" t="s">
        <v>2513</v>
      </c>
      <c r="K124" s="76"/>
      <c r="L124" s="76" t="s">
        <v>35</v>
      </c>
      <c r="M124" s="76" t="s">
        <v>37</v>
      </c>
      <c r="N124" s="76">
        <v>0</v>
      </c>
      <c r="O124" s="76"/>
      <c r="P124" s="76"/>
      <c r="Q124" s="76"/>
      <c r="R124" s="76"/>
      <c r="AZ124" s="88">
        <f t="shared" si="1"/>
        <v>0</v>
      </c>
      <c r="BX124" s="88"/>
      <c r="CQ124" s="88"/>
    </row>
    <row r="125" spans="1:95" ht="22.5" outlineLevel="1" x14ac:dyDescent="0.15">
      <c r="A125" s="76">
        <v>127</v>
      </c>
      <c r="B125" s="65" t="s">
        <v>350</v>
      </c>
      <c r="C125" s="65">
        <v>996355340</v>
      </c>
      <c r="D125" s="81" t="str">
        <f t="shared" si="2"/>
        <v>https://portal.dnb.de/opac.htm?method=simpleSearch&amp;cqlMode=true&amp;query=idn%3D996355340</v>
      </c>
      <c r="E125" s="65" t="s">
        <v>351</v>
      </c>
      <c r="F125" s="76"/>
      <c r="G125" s="78" t="s">
        <v>2510</v>
      </c>
      <c r="H125" s="76" t="s">
        <v>51</v>
      </c>
      <c r="I125" s="78" t="s">
        <v>86</v>
      </c>
      <c r="J125" s="78" t="s">
        <v>69</v>
      </c>
      <c r="K125" s="76"/>
      <c r="L125" s="76" t="s">
        <v>34</v>
      </c>
      <c r="M125" s="76" t="s">
        <v>37</v>
      </c>
      <c r="N125" s="76">
        <v>1</v>
      </c>
      <c r="O125" s="76"/>
      <c r="P125" s="76"/>
      <c r="Q125" s="76"/>
      <c r="R125" s="76"/>
      <c r="X125" s="84" t="s">
        <v>2641</v>
      </c>
      <c r="AA125" s="84" t="s">
        <v>2642</v>
      </c>
      <c r="AG125" s="84" t="s">
        <v>2643</v>
      </c>
      <c r="AK125" s="84" t="s">
        <v>2541</v>
      </c>
      <c r="AS125" s="84">
        <v>2</v>
      </c>
      <c r="AT125" s="84" t="s">
        <v>2541</v>
      </c>
      <c r="AU125" s="84">
        <v>45</v>
      </c>
      <c r="AY125" s="86" t="s">
        <v>2644</v>
      </c>
      <c r="AZ125" s="88">
        <f t="shared" si="1"/>
        <v>2</v>
      </c>
      <c r="BD125" s="84" t="s">
        <v>2541</v>
      </c>
      <c r="BM125" s="84" t="s">
        <v>2541</v>
      </c>
      <c r="BS125" s="84" t="s">
        <v>2541</v>
      </c>
      <c r="BX125" s="88">
        <v>2</v>
      </c>
      <c r="CQ125" s="88"/>
    </row>
    <row r="126" spans="1:95" outlineLevel="1" x14ac:dyDescent="0.15">
      <c r="A126" s="76">
        <v>128</v>
      </c>
      <c r="B126" s="65" t="s">
        <v>352</v>
      </c>
      <c r="C126" s="65">
        <v>993976697</v>
      </c>
      <c r="D126" s="81" t="str">
        <f t="shared" si="2"/>
        <v>https://portal.dnb.de/opac.htm?method=simpleSearch&amp;cqlMode=true&amp;query=idn%3D993976697</v>
      </c>
      <c r="E126" s="65" t="s">
        <v>353</v>
      </c>
      <c r="F126" s="76"/>
      <c r="G126" s="78"/>
      <c r="H126" s="76"/>
      <c r="I126" s="78"/>
      <c r="J126" s="78"/>
      <c r="K126" s="76"/>
      <c r="L126" s="76"/>
      <c r="M126" s="76"/>
      <c r="N126" s="76"/>
      <c r="O126" s="76"/>
      <c r="P126" s="76"/>
      <c r="Q126" s="76"/>
      <c r="R126" s="76"/>
      <c r="AZ126" s="88">
        <f t="shared" si="1"/>
        <v>0</v>
      </c>
      <c r="BX126" s="88"/>
      <c r="CQ126" s="88"/>
    </row>
    <row r="127" spans="1:95" ht="22.5" outlineLevel="1" x14ac:dyDescent="0.15">
      <c r="A127" s="76">
        <v>129</v>
      </c>
      <c r="B127" s="65" t="s">
        <v>354</v>
      </c>
      <c r="C127" s="65">
        <v>993976670</v>
      </c>
      <c r="D127" s="81" t="str">
        <f t="shared" si="2"/>
        <v>https://portal.dnb.de/opac.htm?method=simpleSearch&amp;cqlMode=true&amp;query=idn%3D993976670</v>
      </c>
      <c r="E127" s="65" t="s">
        <v>353</v>
      </c>
      <c r="F127" s="76"/>
      <c r="G127" s="78" t="s">
        <v>2510</v>
      </c>
      <c r="H127" s="76" t="s">
        <v>52</v>
      </c>
      <c r="I127" s="78" t="s">
        <v>90</v>
      </c>
      <c r="J127" s="78" t="s">
        <v>69</v>
      </c>
      <c r="K127" s="76"/>
      <c r="L127" s="76" t="s">
        <v>35</v>
      </c>
      <c r="M127" s="76" t="s">
        <v>37</v>
      </c>
      <c r="N127" s="76">
        <v>0</v>
      </c>
      <c r="O127" s="76"/>
      <c r="P127" s="76"/>
      <c r="Q127" s="76"/>
      <c r="R127" s="76"/>
      <c r="X127" s="84" t="s">
        <v>2641</v>
      </c>
      <c r="Z127" s="84" t="s">
        <v>2541</v>
      </c>
      <c r="AA127" s="84" t="s">
        <v>2642</v>
      </c>
      <c r="AG127" s="84" t="s">
        <v>2643</v>
      </c>
      <c r="AL127" s="84" t="s">
        <v>2541</v>
      </c>
      <c r="AS127" s="84">
        <v>2</v>
      </c>
      <c r="AU127" s="84">
        <v>110</v>
      </c>
      <c r="AY127" s="86" t="s">
        <v>2644</v>
      </c>
      <c r="AZ127" s="88">
        <f t="shared" si="1"/>
        <v>1</v>
      </c>
      <c r="BB127" s="84" t="s">
        <v>2777</v>
      </c>
      <c r="BR127" s="84" t="s">
        <v>2541</v>
      </c>
      <c r="BX127" s="88">
        <v>1</v>
      </c>
      <c r="CQ127" s="88"/>
    </row>
    <row r="128" spans="1:95" outlineLevel="1" x14ac:dyDescent="0.15">
      <c r="A128" s="76">
        <v>130</v>
      </c>
      <c r="B128" s="65" t="s">
        <v>355</v>
      </c>
      <c r="C128" s="65">
        <v>998517313</v>
      </c>
      <c r="D128" s="81" t="str">
        <f>HYPERLINK(CONCATENATE("https://portal.dnb.de/opac.htm?method=simpleSearch&amp;cqlMode=true&amp;query=idn%3D",C128))</f>
        <v>https://portal.dnb.de/opac.htm?method=simpleSearch&amp;cqlMode=true&amp;query=idn%3D998517313</v>
      </c>
      <c r="E128" s="65" t="s">
        <v>356</v>
      </c>
      <c r="F128" s="76"/>
      <c r="G128" s="78" t="s">
        <v>46</v>
      </c>
      <c r="H128" s="76" t="s">
        <v>51</v>
      </c>
      <c r="I128" s="78" t="s">
        <v>55</v>
      </c>
      <c r="J128" s="78" t="s">
        <v>81</v>
      </c>
      <c r="K128" s="76"/>
      <c r="L128" s="76" t="s">
        <v>33</v>
      </c>
      <c r="M128" s="76" t="s">
        <v>93</v>
      </c>
      <c r="N128" s="76">
        <v>0</v>
      </c>
      <c r="O128" s="76"/>
      <c r="P128" s="76" t="s">
        <v>2542</v>
      </c>
      <c r="Q128" s="76"/>
      <c r="R128" s="76"/>
      <c r="AZ128" s="88">
        <f t="shared" ref="AZ128:AZ191" si="3">BX128+CQ128</f>
        <v>0</v>
      </c>
      <c r="BX128" s="88"/>
      <c r="CQ128" s="88"/>
    </row>
    <row r="129" spans="1:95" outlineLevel="1" x14ac:dyDescent="0.15">
      <c r="A129" s="76">
        <v>131</v>
      </c>
      <c r="B129" s="65" t="s">
        <v>357</v>
      </c>
      <c r="C129" s="65">
        <v>1027390439</v>
      </c>
      <c r="D129" s="81" t="str">
        <f>HYPERLINK(CONCATENATE("https://portal.dnb.de/opac.htm?method=simpleSearch&amp;cqlMode=true&amp;query=idn%3D",C129))</f>
        <v>https://portal.dnb.de/opac.htm?method=simpleSearch&amp;cqlMode=true&amp;query=idn%3D1027390439</v>
      </c>
      <c r="E129" s="65" t="s">
        <v>358</v>
      </c>
      <c r="F129" s="76"/>
      <c r="G129" s="78" t="s">
        <v>5</v>
      </c>
      <c r="H129" s="76" t="s">
        <v>51</v>
      </c>
      <c r="I129" s="78" t="s">
        <v>55</v>
      </c>
      <c r="J129" s="78" t="s">
        <v>81</v>
      </c>
      <c r="K129" s="76"/>
      <c r="L129" s="76" t="s">
        <v>30</v>
      </c>
      <c r="M129" s="76" t="s">
        <v>37</v>
      </c>
      <c r="N129" s="76">
        <v>0</v>
      </c>
      <c r="O129" s="76"/>
      <c r="P129" s="76"/>
      <c r="Q129" s="76"/>
      <c r="R129" s="76"/>
      <c r="AZ129" s="88">
        <f t="shared" si="3"/>
        <v>0</v>
      </c>
      <c r="BX129" s="88"/>
      <c r="CQ129" s="88"/>
    </row>
    <row r="130" spans="1:95" outlineLevel="1" x14ac:dyDescent="0.15">
      <c r="A130" s="76">
        <v>132</v>
      </c>
      <c r="B130" s="65" t="s">
        <v>359</v>
      </c>
      <c r="C130" s="65">
        <v>1207422266</v>
      </c>
      <c r="D130" s="81" t="str">
        <f t="shared" si="2"/>
        <v>https://portal.dnb.de/opac.htm?method=simpleSearch&amp;cqlMode=true&amp;query=idn%3D1207422266</v>
      </c>
      <c r="E130" s="65" t="s">
        <v>360</v>
      </c>
      <c r="F130" s="76"/>
      <c r="G130" s="78"/>
      <c r="H130" s="76"/>
      <c r="I130" s="78"/>
      <c r="J130" s="78"/>
      <c r="K130" s="76"/>
      <c r="L130" s="76"/>
      <c r="M130" s="76"/>
      <c r="N130" s="76"/>
      <c r="O130" s="76"/>
      <c r="P130" s="76"/>
      <c r="Q130" s="76"/>
      <c r="R130" s="76"/>
      <c r="AZ130" s="88">
        <f t="shared" si="3"/>
        <v>0</v>
      </c>
      <c r="BX130" s="88"/>
      <c r="CQ130" s="88"/>
    </row>
    <row r="131" spans="1:95" outlineLevel="1" x14ac:dyDescent="0.15">
      <c r="A131" s="76">
        <v>133</v>
      </c>
      <c r="B131" s="65" t="s">
        <v>361</v>
      </c>
      <c r="C131" s="65">
        <v>1000007804</v>
      </c>
      <c r="D131" s="81" t="str">
        <f t="shared" si="2"/>
        <v>https://portal.dnb.de/opac.htm?method=simpleSearch&amp;cqlMode=true&amp;query=idn%3D1000007804</v>
      </c>
      <c r="E131" s="65" t="s">
        <v>362</v>
      </c>
      <c r="F131" s="76"/>
      <c r="G131" s="78"/>
      <c r="H131" s="76" t="s">
        <v>51</v>
      </c>
      <c r="I131" s="78"/>
      <c r="J131" s="78"/>
      <c r="K131" s="76"/>
      <c r="L131" s="76"/>
      <c r="M131" s="76"/>
      <c r="N131" s="76"/>
      <c r="O131" s="76"/>
      <c r="P131" s="76"/>
      <c r="Q131" s="76"/>
      <c r="R131" s="76"/>
      <c r="X131" s="84" t="s">
        <v>2645</v>
      </c>
      <c r="Y131" s="84" t="s">
        <v>2541</v>
      </c>
      <c r="AA131" s="84" t="s">
        <v>2647</v>
      </c>
      <c r="AG131" s="84" t="s">
        <v>2643</v>
      </c>
      <c r="AU131" s="84">
        <v>110</v>
      </c>
      <c r="AY131" s="86" t="s">
        <v>2651</v>
      </c>
      <c r="AZ131" s="88">
        <f t="shared" si="3"/>
        <v>0</v>
      </c>
      <c r="BH131" s="79" t="s">
        <v>2962</v>
      </c>
      <c r="BX131" s="88"/>
      <c r="CQ131" s="88"/>
    </row>
    <row r="132" spans="1:95" outlineLevel="1" x14ac:dyDescent="0.15">
      <c r="A132" s="76">
        <v>134</v>
      </c>
      <c r="B132" s="65" t="s">
        <v>363</v>
      </c>
      <c r="C132" s="65">
        <v>997393971</v>
      </c>
      <c r="D132" s="81" t="str">
        <f t="shared" si="2"/>
        <v>https://portal.dnb.de/opac.htm?method=simpleSearch&amp;cqlMode=true&amp;query=idn%3D997393971</v>
      </c>
      <c r="E132" s="65" t="s">
        <v>364</v>
      </c>
      <c r="F132" s="76"/>
      <c r="G132" s="78"/>
      <c r="H132" s="76"/>
      <c r="I132" s="78"/>
      <c r="J132" s="78"/>
      <c r="K132" s="76"/>
      <c r="L132" s="76"/>
      <c r="M132" s="76"/>
      <c r="N132" s="76"/>
      <c r="O132" s="76"/>
      <c r="P132" s="76"/>
      <c r="Q132" s="76"/>
      <c r="R132" s="76"/>
      <c r="AZ132" s="88">
        <f t="shared" si="3"/>
        <v>0</v>
      </c>
      <c r="BX132" s="88"/>
      <c r="CQ132" s="88"/>
    </row>
    <row r="133" spans="1:95" outlineLevel="1" x14ac:dyDescent="0.15">
      <c r="A133" s="76">
        <v>135</v>
      </c>
      <c r="B133" s="65" t="s">
        <v>365</v>
      </c>
      <c r="C133" s="65">
        <v>997394153</v>
      </c>
      <c r="D133" s="81" t="str">
        <f t="shared" si="2"/>
        <v>https://portal.dnb.de/opac.htm?method=simpleSearch&amp;cqlMode=true&amp;query=idn%3D997394153</v>
      </c>
      <c r="E133" s="65" t="s">
        <v>364</v>
      </c>
      <c r="F133" s="76"/>
      <c r="G133" s="78"/>
      <c r="H133" s="76"/>
      <c r="I133" s="78"/>
      <c r="J133" s="78"/>
      <c r="K133" s="76"/>
      <c r="L133" s="76"/>
      <c r="M133" s="76"/>
      <c r="N133" s="76"/>
      <c r="O133" s="76"/>
      <c r="P133" s="76"/>
      <c r="Q133" s="76"/>
      <c r="R133" s="76"/>
      <c r="AZ133" s="88">
        <f t="shared" si="3"/>
        <v>0</v>
      </c>
      <c r="BX133" s="88"/>
      <c r="CQ133" s="88"/>
    </row>
    <row r="134" spans="1:95" outlineLevel="1" x14ac:dyDescent="0.15">
      <c r="A134" s="76">
        <v>136</v>
      </c>
      <c r="B134" s="65" t="s">
        <v>366</v>
      </c>
      <c r="C134" s="65" t="s">
        <v>367</v>
      </c>
      <c r="D134" s="81" t="str">
        <f t="shared" si="2"/>
        <v>https://portal.dnb.de/opac.htm?method=simpleSearch&amp;cqlMode=true&amp;query=idn%3D99889818X</v>
      </c>
      <c r="E134" s="65" t="s">
        <v>368</v>
      </c>
      <c r="F134" s="76"/>
      <c r="G134" s="78"/>
      <c r="H134" s="76"/>
      <c r="I134" s="78"/>
      <c r="J134" s="78"/>
      <c r="K134" s="76"/>
      <c r="L134" s="76"/>
      <c r="M134" s="76"/>
      <c r="N134" s="76"/>
      <c r="O134" s="76"/>
      <c r="P134" s="76"/>
      <c r="Q134" s="76"/>
      <c r="R134" s="76"/>
      <c r="AZ134" s="88">
        <f t="shared" si="3"/>
        <v>0</v>
      </c>
      <c r="BX134" s="88"/>
      <c r="CQ134" s="88"/>
    </row>
    <row r="135" spans="1:95" outlineLevel="1" x14ac:dyDescent="0.15">
      <c r="A135" s="76">
        <v>137</v>
      </c>
      <c r="B135" s="65" t="s">
        <v>369</v>
      </c>
      <c r="C135" s="65">
        <v>1207570680</v>
      </c>
      <c r="D135" s="81" t="str">
        <f t="shared" si="2"/>
        <v>https://portal.dnb.de/opac.htm?method=simpleSearch&amp;cqlMode=true&amp;query=idn%3D1207570680</v>
      </c>
      <c r="E135" s="65" t="s">
        <v>370</v>
      </c>
      <c r="F135" s="76"/>
      <c r="G135" s="78"/>
      <c r="H135" s="76"/>
      <c r="I135" s="78"/>
      <c r="J135" s="78"/>
      <c r="K135" s="76"/>
      <c r="L135" s="76"/>
      <c r="M135" s="76"/>
      <c r="N135" s="76"/>
      <c r="O135" s="76"/>
      <c r="P135" s="76"/>
      <c r="Q135" s="76"/>
      <c r="R135" s="76"/>
      <c r="AZ135" s="88">
        <f t="shared" si="3"/>
        <v>0</v>
      </c>
      <c r="BX135" s="88"/>
      <c r="CQ135" s="88"/>
    </row>
    <row r="136" spans="1:95" outlineLevel="1" x14ac:dyDescent="0.15">
      <c r="A136" s="76">
        <v>138</v>
      </c>
      <c r="B136" s="65" t="s">
        <v>371</v>
      </c>
      <c r="C136" s="65">
        <v>1002284589</v>
      </c>
      <c r="D136" s="81" t="str">
        <f t="shared" si="2"/>
        <v>https://portal.dnb.de/opac.htm?method=simpleSearch&amp;cqlMode=true&amp;query=idn%3D1002284589</v>
      </c>
      <c r="E136" s="65" t="s">
        <v>372</v>
      </c>
      <c r="F136" s="76"/>
      <c r="G136" s="78"/>
      <c r="H136" s="76" t="s">
        <v>51</v>
      </c>
      <c r="I136" s="78"/>
      <c r="J136" s="78"/>
      <c r="K136" s="76"/>
      <c r="L136" s="76"/>
      <c r="M136" s="76"/>
      <c r="N136" s="76"/>
      <c r="O136" s="76"/>
      <c r="P136" s="76"/>
      <c r="Q136" s="76"/>
      <c r="R136" s="76"/>
      <c r="X136" s="84" t="s">
        <v>2641</v>
      </c>
      <c r="Z136" s="84" t="s">
        <v>2541</v>
      </c>
      <c r="AA136" s="84" t="s">
        <v>2642</v>
      </c>
      <c r="AG136" s="84" t="s">
        <v>2643</v>
      </c>
      <c r="AU136" s="84">
        <v>110</v>
      </c>
      <c r="AY136" s="86" t="s">
        <v>2651</v>
      </c>
      <c r="AZ136" s="88">
        <f t="shared" si="3"/>
        <v>0</v>
      </c>
      <c r="BB136" s="84" t="s">
        <v>2777</v>
      </c>
      <c r="BX136" s="88"/>
      <c r="CQ136" s="88"/>
    </row>
    <row r="137" spans="1:95" outlineLevel="1" x14ac:dyDescent="0.15">
      <c r="A137" s="76">
        <v>139</v>
      </c>
      <c r="B137" s="65" t="s">
        <v>373</v>
      </c>
      <c r="C137" s="65">
        <v>1000490092</v>
      </c>
      <c r="D137" s="81" t="str">
        <f t="shared" si="2"/>
        <v>https://portal.dnb.de/opac.htm?method=simpleSearch&amp;cqlMode=true&amp;query=idn%3D1000490092</v>
      </c>
      <c r="E137" s="65" t="s">
        <v>374</v>
      </c>
      <c r="F137" s="76"/>
      <c r="G137" s="78"/>
      <c r="H137" s="76"/>
      <c r="I137" s="78"/>
      <c r="J137" s="78"/>
      <c r="K137" s="76"/>
      <c r="L137" s="76"/>
      <c r="M137" s="76"/>
      <c r="N137" s="76"/>
      <c r="O137" s="76"/>
      <c r="P137" s="76"/>
      <c r="Q137" s="76"/>
      <c r="R137" s="76"/>
      <c r="AZ137" s="88">
        <f t="shared" si="3"/>
        <v>0</v>
      </c>
      <c r="BX137" s="88"/>
      <c r="CQ137" s="88"/>
    </row>
    <row r="138" spans="1:95" outlineLevel="1" x14ac:dyDescent="0.15">
      <c r="A138" s="76">
        <v>140</v>
      </c>
      <c r="B138" s="65" t="s">
        <v>375</v>
      </c>
      <c r="C138" s="65">
        <v>999154273</v>
      </c>
      <c r="D138" s="81" t="str">
        <f t="shared" si="2"/>
        <v>https://portal.dnb.de/opac.htm?method=simpleSearch&amp;cqlMode=true&amp;query=idn%3D999154273</v>
      </c>
      <c r="E138" s="65" t="s">
        <v>376</v>
      </c>
      <c r="F138" s="76"/>
      <c r="G138" s="78"/>
      <c r="H138" s="76"/>
      <c r="I138" s="78"/>
      <c r="J138" s="78"/>
      <c r="K138" s="76"/>
      <c r="L138" s="76"/>
      <c r="M138" s="76"/>
      <c r="N138" s="76"/>
      <c r="O138" s="76"/>
      <c r="P138" s="76"/>
      <c r="Q138" s="76"/>
      <c r="R138" s="76"/>
      <c r="AZ138" s="88">
        <f t="shared" si="3"/>
        <v>0</v>
      </c>
      <c r="BX138" s="88"/>
      <c r="CQ138" s="88"/>
    </row>
    <row r="139" spans="1:95" outlineLevel="1" x14ac:dyDescent="0.15">
      <c r="A139" s="76">
        <v>141</v>
      </c>
      <c r="B139" s="65" t="s">
        <v>377</v>
      </c>
      <c r="C139" s="65">
        <v>995362432</v>
      </c>
      <c r="D139" s="81" t="str">
        <f>HYPERLINK(CONCATENATE("https://portal.dnb.de/opac.htm?method=simpleSearch&amp;cqlMode=true&amp;query=idn%3D",C139))</f>
        <v>https://portal.dnb.de/opac.htm?method=simpleSearch&amp;cqlMode=true&amp;query=idn%3D995362432</v>
      </c>
      <c r="E139" s="65" t="s">
        <v>2530</v>
      </c>
      <c r="F139" s="76"/>
      <c r="G139" s="78"/>
      <c r="H139" s="76"/>
      <c r="I139" s="78"/>
      <c r="J139" s="78"/>
      <c r="K139" s="76"/>
      <c r="L139" s="76"/>
      <c r="M139" s="76"/>
      <c r="N139" s="76"/>
      <c r="O139" s="76"/>
      <c r="P139" s="76"/>
      <c r="Q139" s="76"/>
      <c r="R139" s="76"/>
      <c r="AZ139" s="88">
        <f t="shared" si="3"/>
        <v>0</v>
      </c>
      <c r="BX139" s="88"/>
      <c r="CQ139" s="88"/>
    </row>
    <row r="140" spans="1:95" ht="22.5" outlineLevel="1" x14ac:dyDescent="0.15">
      <c r="A140" s="76">
        <v>142</v>
      </c>
      <c r="B140" s="65" t="s">
        <v>379</v>
      </c>
      <c r="C140" s="65">
        <v>998550892</v>
      </c>
      <c r="D140" s="81" t="str">
        <f t="shared" si="2"/>
        <v>https://portal.dnb.de/opac.htm?method=simpleSearch&amp;cqlMode=true&amp;query=idn%3D998550892</v>
      </c>
      <c r="E140" s="65" t="s">
        <v>378</v>
      </c>
      <c r="F140" s="76" t="s">
        <v>89</v>
      </c>
      <c r="G140" s="78" t="s">
        <v>2510</v>
      </c>
      <c r="H140" s="76" t="s">
        <v>50</v>
      </c>
      <c r="I140" s="78" t="s">
        <v>90</v>
      </c>
      <c r="J140" s="78" t="s">
        <v>94</v>
      </c>
      <c r="K140" s="76"/>
      <c r="L140" s="76" t="s">
        <v>35</v>
      </c>
      <c r="M140" s="76" t="s">
        <v>37</v>
      </c>
      <c r="N140" s="76">
        <v>0</v>
      </c>
      <c r="O140" s="76"/>
      <c r="P140" s="76"/>
      <c r="Q140" s="76"/>
      <c r="R140" s="76"/>
      <c r="AZ140" s="88">
        <f t="shared" si="3"/>
        <v>0</v>
      </c>
      <c r="BX140" s="88"/>
      <c r="CQ140" s="88"/>
    </row>
    <row r="141" spans="1:95" outlineLevel="1" x14ac:dyDescent="0.15">
      <c r="A141" s="76">
        <v>143</v>
      </c>
      <c r="B141" s="65" t="s">
        <v>380</v>
      </c>
      <c r="C141" s="65">
        <v>993914608</v>
      </c>
      <c r="D141" s="81" t="str">
        <f t="shared" si="2"/>
        <v>https://portal.dnb.de/opac.htm?method=simpleSearch&amp;cqlMode=true&amp;query=idn%3D993914608</v>
      </c>
      <c r="E141" s="65" t="s">
        <v>2853</v>
      </c>
      <c r="F141" s="76"/>
      <c r="G141" s="78"/>
      <c r="H141" s="76"/>
      <c r="I141" s="78"/>
      <c r="J141" s="78"/>
      <c r="K141" s="76"/>
      <c r="L141" s="76"/>
      <c r="M141" s="76"/>
      <c r="N141" s="76"/>
      <c r="O141" s="76"/>
      <c r="P141" s="76"/>
      <c r="Q141" s="76"/>
      <c r="R141" s="76"/>
      <c r="AZ141" s="88">
        <f t="shared" si="3"/>
        <v>0</v>
      </c>
      <c r="BX141" s="88"/>
      <c r="CQ141" s="88"/>
    </row>
    <row r="142" spans="1:95" outlineLevel="1" x14ac:dyDescent="0.15">
      <c r="A142" s="76">
        <v>144</v>
      </c>
      <c r="B142" s="65" t="s">
        <v>382</v>
      </c>
      <c r="C142" s="65">
        <v>1001756231</v>
      </c>
      <c r="D142" s="81" t="str">
        <f t="shared" si="2"/>
        <v>https://portal.dnb.de/opac.htm?method=simpleSearch&amp;cqlMode=true&amp;query=idn%3D1001756231</v>
      </c>
      <c r="E142" s="65" t="s">
        <v>2853</v>
      </c>
      <c r="F142" s="76"/>
      <c r="G142" s="78"/>
      <c r="H142" s="76"/>
      <c r="I142" s="78"/>
      <c r="J142" s="78"/>
      <c r="K142" s="76"/>
      <c r="L142" s="76"/>
      <c r="M142" s="76"/>
      <c r="N142" s="76"/>
      <c r="O142" s="76"/>
      <c r="P142" s="76"/>
      <c r="Q142" s="76"/>
      <c r="R142" s="76"/>
      <c r="AZ142" s="88">
        <f t="shared" si="3"/>
        <v>0</v>
      </c>
      <c r="BX142" s="88"/>
      <c r="CQ142" s="88"/>
    </row>
    <row r="143" spans="1:95" outlineLevel="1" x14ac:dyDescent="0.15">
      <c r="A143" s="76">
        <v>145</v>
      </c>
      <c r="B143" s="65" t="s">
        <v>383</v>
      </c>
      <c r="C143" s="65">
        <v>1002109876</v>
      </c>
      <c r="D143" s="81" t="str">
        <f t="shared" si="2"/>
        <v>https://portal.dnb.de/opac.htm?method=simpleSearch&amp;cqlMode=true&amp;query=idn%3D1002109876</v>
      </c>
      <c r="E143" s="65" t="s">
        <v>381</v>
      </c>
      <c r="F143" s="76"/>
      <c r="G143" s="78"/>
      <c r="H143" s="76" t="s">
        <v>52</v>
      </c>
      <c r="I143" s="78"/>
      <c r="J143" s="78"/>
      <c r="K143" s="76"/>
      <c r="L143" s="76"/>
      <c r="M143" s="76"/>
      <c r="N143" s="76"/>
      <c r="O143" s="76"/>
      <c r="P143" s="76"/>
      <c r="Q143" s="76"/>
      <c r="R143" s="76"/>
      <c r="X143" s="84" t="s">
        <v>2641</v>
      </c>
      <c r="AA143" s="84" t="s">
        <v>2642</v>
      </c>
      <c r="AF143" s="84" t="s">
        <v>2541</v>
      </c>
      <c r="AG143" s="84" t="s">
        <v>2643</v>
      </c>
      <c r="AU143" s="84">
        <v>45</v>
      </c>
      <c r="AY143" s="86" t="s">
        <v>2651</v>
      </c>
      <c r="AZ143" s="88">
        <f t="shared" si="3"/>
        <v>0</v>
      </c>
      <c r="BB143" s="86"/>
      <c r="BD143" s="84" t="s">
        <v>2541</v>
      </c>
      <c r="BI143" s="63" t="s">
        <v>2854</v>
      </c>
      <c r="BX143" s="88"/>
      <c r="CQ143" s="88"/>
    </row>
    <row r="144" spans="1:95" outlineLevel="1" x14ac:dyDescent="0.15">
      <c r="A144" s="76">
        <v>146</v>
      </c>
      <c r="B144" s="65" t="s">
        <v>384</v>
      </c>
      <c r="C144" s="65">
        <v>994442157</v>
      </c>
      <c r="D144" s="81" t="str">
        <f t="shared" si="2"/>
        <v>https://portal.dnb.de/opac.htm?method=simpleSearch&amp;cqlMode=true&amp;query=idn%3D994442157</v>
      </c>
      <c r="E144" s="65" t="s">
        <v>2853</v>
      </c>
      <c r="F144" s="76"/>
      <c r="G144" s="78"/>
      <c r="H144" s="76"/>
      <c r="I144" s="78"/>
      <c r="J144" s="78"/>
      <c r="K144" s="76"/>
      <c r="L144" s="76"/>
      <c r="M144" s="76"/>
      <c r="N144" s="76"/>
      <c r="O144" s="76"/>
      <c r="P144" s="76"/>
      <c r="Q144" s="76"/>
      <c r="R144" s="76"/>
      <c r="AZ144" s="88">
        <f t="shared" si="3"/>
        <v>0</v>
      </c>
      <c r="BX144" s="88"/>
      <c r="CQ144" s="88"/>
    </row>
    <row r="145" spans="1:95" ht="22.5" outlineLevel="1" x14ac:dyDescent="0.15">
      <c r="A145" s="76">
        <v>147</v>
      </c>
      <c r="B145" s="65" t="s">
        <v>385</v>
      </c>
      <c r="C145" s="65">
        <v>1000069990</v>
      </c>
      <c r="D145" s="81" t="str">
        <f t="shared" ref="D145:D208" si="4">HYPERLINK(CONCATENATE("https://portal.dnb.de/opac.htm?method=simpleSearch&amp;cqlMode=true&amp;query=idn%3D",C145))</f>
        <v>https://portal.dnb.de/opac.htm?method=simpleSearch&amp;cqlMode=true&amp;query=idn%3D1000069990</v>
      </c>
      <c r="E145" s="65" t="s">
        <v>386</v>
      </c>
      <c r="F145" s="76"/>
      <c r="G145" s="78"/>
      <c r="H145" s="76" t="s">
        <v>52</v>
      </c>
      <c r="I145" s="78"/>
      <c r="J145" s="78"/>
      <c r="K145" s="76"/>
      <c r="L145" s="76"/>
      <c r="M145" s="76"/>
      <c r="N145" s="76"/>
      <c r="O145" s="76"/>
      <c r="P145" s="76"/>
      <c r="Q145" s="76"/>
      <c r="R145" s="76"/>
      <c r="X145" s="84" t="s">
        <v>2697</v>
      </c>
      <c r="Z145" s="84" t="s">
        <v>2541</v>
      </c>
      <c r="AA145" s="84" t="s">
        <v>2653</v>
      </c>
      <c r="AG145" s="84" t="s">
        <v>2643</v>
      </c>
      <c r="AU145" s="84">
        <v>45</v>
      </c>
      <c r="AY145" s="86" t="s">
        <v>2651</v>
      </c>
      <c r="AZ145" s="88">
        <f t="shared" si="3"/>
        <v>0</v>
      </c>
      <c r="BB145" s="86" t="s">
        <v>2787</v>
      </c>
      <c r="BX145" s="88"/>
      <c r="CQ145" s="88"/>
    </row>
    <row r="146" spans="1:95" outlineLevel="1" x14ac:dyDescent="0.15">
      <c r="A146" s="76">
        <v>148</v>
      </c>
      <c r="B146" s="65" t="s">
        <v>387</v>
      </c>
      <c r="C146" s="65">
        <v>995369925</v>
      </c>
      <c r="D146" s="81" t="str">
        <f>HYPERLINK(CONCATENATE("https://portal.dnb.de/opac.htm?method=simpleSearch&amp;cqlMode=true&amp;query=idn%3D",C146))</f>
        <v>https://portal.dnb.de/opac.htm?method=simpleSearch&amp;cqlMode=true&amp;query=idn%3D995369925</v>
      </c>
      <c r="E146" s="65" t="s">
        <v>388</v>
      </c>
      <c r="F146" s="76"/>
      <c r="G146" s="78" t="s">
        <v>17</v>
      </c>
      <c r="H146" s="76" t="s">
        <v>50</v>
      </c>
      <c r="I146" s="78" t="s">
        <v>90</v>
      </c>
      <c r="J146" s="78" t="s">
        <v>81</v>
      </c>
      <c r="K146" s="76"/>
      <c r="L146" s="76"/>
      <c r="M146" s="76" t="s">
        <v>101</v>
      </c>
      <c r="N146" s="76">
        <v>0</v>
      </c>
      <c r="O146" s="76"/>
      <c r="P146" s="76"/>
      <c r="Q146" s="76"/>
      <c r="R146" s="76"/>
      <c r="AZ146" s="88">
        <f t="shared" si="3"/>
        <v>0</v>
      </c>
      <c r="BX146" s="88"/>
      <c r="CQ146" s="88"/>
    </row>
    <row r="147" spans="1:95" outlineLevel="1" x14ac:dyDescent="0.15">
      <c r="A147" s="76">
        <v>149</v>
      </c>
      <c r="B147" s="65" t="s">
        <v>389</v>
      </c>
      <c r="C147" s="65" t="s">
        <v>390</v>
      </c>
      <c r="D147" s="81" t="str">
        <f>HYPERLINK(CONCATENATE("https://portal.dnb.de/opac.htm?method=simpleSearch&amp;cqlMode=true&amp;query=idn%3D",C147))</f>
        <v>https://portal.dnb.de/opac.htm?method=simpleSearch&amp;cqlMode=true&amp;query=idn%3D100152828X</v>
      </c>
      <c r="E147" s="65" t="s">
        <v>388</v>
      </c>
      <c r="F147" s="76"/>
      <c r="G147" s="78"/>
      <c r="H147" s="76"/>
      <c r="I147" s="78"/>
      <c r="J147" s="78"/>
      <c r="K147" s="76"/>
      <c r="L147" s="76"/>
      <c r="M147" s="76"/>
      <c r="N147" s="76"/>
      <c r="O147" s="76"/>
      <c r="P147" s="76"/>
      <c r="Q147" s="76"/>
      <c r="R147" s="76"/>
      <c r="AZ147" s="88">
        <f t="shared" si="3"/>
        <v>0</v>
      </c>
      <c r="BX147" s="88"/>
      <c r="CQ147" s="88"/>
    </row>
    <row r="148" spans="1:95" outlineLevel="1" x14ac:dyDescent="0.15">
      <c r="A148" s="76">
        <v>150</v>
      </c>
      <c r="B148" s="65" t="s">
        <v>391</v>
      </c>
      <c r="C148" s="65">
        <v>1002180104</v>
      </c>
      <c r="D148" s="81" t="str">
        <f>HYPERLINK(CONCATENATE("https://portal.dnb.de/opac.htm?method=simpleSearch&amp;cqlMode=true&amp;query=idn%3D",C148))</f>
        <v>https://portal.dnb.de/opac.htm?method=simpleSearch&amp;cqlMode=true&amp;query=idn%3D1002180104</v>
      </c>
      <c r="E148" s="65" t="s">
        <v>388</v>
      </c>
      <c r="F148" s="76"/>
      <c r="G148" s="78"/>
      <c r="H148" s="76"/>
      <c r="I148" s="78"/>
      <c r="J148" s="78"/>
      <c r="K148" s="76"/>
      <c r="L148" s="76"/>
      <c r="M148" s="76"/>
      <c r="N148" s="76"/>
      <c r="O148" s="76"/>
      <c r="P148" s="76"/>
      <c r="Q148" s="76"/>
      <c r="R148" s="76"/>
      <c r="AZ148" s="88">
        <f t="shared" si="3"/>
        <v>0</v>
      </c>
      <c r="BX148" s="88"/>
      <c r="CQ148" s="88"/>
    </row>
    <row r="149" spans="1:95" ht="22.5" outlineLevel="1" x14ac:dyDescent="0.15">
      <c r="A149" s="76">
        <v>151</v>
      </c>
      <c r="B149" s="65" t="s">
        <v>392</v>
      </c>
      <c r="C149" s="65">
        <v>997304758</v>
      </c>
      <c r="D149" s="81" t="str">
        <f t="shared" si="4"/>
        <v>https://portal.dnb.de/opac.htm?method=simpleSearch&amp;cqlMode=true&amp;query=idn%3D997304758</v>
      </c>
      <c r="E149" s="65" t="s">
        <v>393</v>
      </c>
      <c r="F149" s="76"/>
      <c r="G149" s="78"/>
      <c r="H149" s="76" t="s">
        <v>51</v>
      </c>
      <c r="I149" s="78"/>
      <c r="J149" s="78"/>
      <c r="K149" s="76"/>
      <c r="L149" s="76"/>
      <c r="M149" s="76"/>
      <c r="N149" s="76"/>
      <c r="O149" s="76"/>
      <c r="P149" s="76"/>
      <c r="Q149" s="76"/>
      <c r="R149" s="76"/>
      <c r="X149" s="84" t="s">
        <v>2652</v>
      </c>
      <c r="AA149" s="84" t="s">
        <v>2642</v>
      </c>
      <c r="AG149" s="84" t="s">
        <v>2643</v>
      </c>
      <c r="AU149" s="84">
        <v>60</v>
      </c>
      <c r="AY149" s="86" t="s">
        <v>2644</v>
      </c>
      <c r="AZ149" s="88">
        <f t="shared" si="3"/>
        <v>4.5</v>
      </c>
      <c r="BD149" s="84" t="s">
        <v>2541</v>
      </c>
      <c r="BM149" s="84" t="s">
        <v>2541</v>
      </c>
      <c r="BX149" s="88">
        <v>1</v>
      </c>
      <c r="BY149" s="79" t="s">
        <v>2855</v>
      </c>
      <c r="CK149" s="84" t="s">
        <v>2541</v>
      </c>
      <c r="CQ149" s="88">
        <v>3.5</v>
      </c>
    </row>
    <row r="150" spans="1:95" outlineLevel="1" x14ac:dyDescent="0.15">
      <c r="A150" s="76">
        <v>152</v>
      </c>
      <c r="B150" s="65" t="s">
        <v>394</v>
      </c>
      <c r="C150" s="65" t="s">
        <v>395</v>
      </c>
      <c r="D150" s="81" t="str">
        <f>HYPERLINK(CONCATENATE("https://portal.dnb.de/opac.htm?method=simpleSearch&amp;cqlMode=true&amp;query=idn%3D",C150))</f>
        <v>https://portal.dnb.de/opac.htm?method=simpleSearch&amp;cqlMode=true&amp;query=idn%3D100077130X</v>
      </c>
      <c r="E150" s="65" t="s">
        <v>396</v>
      </c>
      <c r="F150" s="76"/>
      <c r="G150" s="78"/>
      <c r="H150" s="76"/>
      <c r="I150" s="78"/>
      <c r="J150" s="78"/>
      <c r="K150" s="76"/>
      <c r="L150" s="76"/>
      <c r="M150" s="76"/>
      <c r="N150" s="76"/>
      <c r="O150" s="76"/>
      <c r="P150" s="76"/>
      <c r="Q150" s="76"/>
      <c r="R150" s="76"/>
      <c r="AZ150" s="88">
        <f t="shared" si="3"/>
        <v>0</v>
      </c>
      <c r="BX150" s="88"/>
      <c r="CQ150" s="88"/>
    </row>
    <row r="151" spans="1:95" outlineLevel="1" x14ac:dyDescent="0.15">
      <c r="A151" s="76">
        <v>153</v>
      </c>
      <c r="B151" s="65" t="s">
        <v>397</v>
      </c>
      <c r="C151" s="65">
        <v>995883831</v>
      </c>
      <c r="D151" s="81" t="str">
        <f>HYPERLINK(CONCATENATE("https://portal.dnb.de/opac.htm?method=simpleSearch&amp;cqlMode=true&amp;query=idn%3D",C151))</f>
        <v>https://portal.dnb.de/opac.htm?method=simpleSearch&amp;cqlMode=true&amp;query=idn%3D995883831</v>
      </c>
      <c r="E151" s="65" t="s">
        <v>396</v>
      </c>
      <c r="F151" s="76"/>
      <c r="G151" s="78"/>
      <c r="H151" s="76"/>
      <c r="I151" s="78"/>
      <c r="J151" s="78"/>
      <c r="K151" s="76"/>
      <c r="L151" s="76"/>
      <c r="M151" s="76"/>
      <c r="N151" s="76"/>
      <c r="O151" s="76"/>
      <c r="P151" s="76"/>
      <c r="Q151" s="76"/>
      <c r="R151" s="76"/>
      <c r="AZ151" s="88">
        <f t="shared" si="3"/>
        <v>0</v>
      </c>
      <c r="BX151" s="88"/>
      <c r="CQ151" s="88"/>
    </row>
    <row r="152" spans="1:95" outlineLevel="1" x14ac:dyDescent="0.15">
      <c r="A152" s="76">
        <v>154</v>
      </c>
      <c r="B152" s="65" t="s">
        <v>398</v>
      </c>
      <c r="C152" s="65">
        <v>1000043290</v>
      </c>
      <c r="D152" s="81" t="str">
        <f>HYPERLINK(CONCATENATE("https://portal.dnb.de/opac.htm?method=simpleSearch&amp;cqlMode=true&amp;query=idn%3D",C152))</f>
        <v>https://portal.dnb.de/opac.htm?method=simpleSearch&amp;cqlMode=true&amp;query=idn%3D1000043290</v>
      </c>
      <c r="E152" s="65" t="s">
        <v>396</v>
      </c>
      <c r="F152" s="76"/>
      <c r="G152" s="78"/>
      <c r="H152" s="76"/>
      <c r="I152" s="78"/>
      <c r="J152" s="78"/>
      <c r="K152" s="76"/>
      <c r="L152" s="76"/>
      <c r="M152" s="76"/>
      <c r="N152" s="76"/>
      <c r="O152" s="76"/>
      <c r="P152" s="76"/>
      <c r="Q152" s="76"/>
      <c r="R152" s="76"/>
      <c r="AZ152" s="88">
        <f t="shared" si="3"/>
        <v>0</v>
      </c>
      <c r="BX152" s="88"/>
      <c r="CQ152" s="88"/>
    </row>
    <row r="153" spans="1:95" outlineLevel="1" x14ac:dyDescent="0.15">
      <c r="A153" s="76">
        <v>155</v>
      </c>
      <c r="B153" s="65" t="s">
        <v>399</v>
      </c>
      <c r="C153" s="65">
        <v>993863388</v>
      </c>
      <c r="D153" s="81" t="str">
        <f t="shared" si="4"/>
        <v>https://portal.dnb.de/opac.htm?method=simpleSearch&amp;cqlMode=true&amp;query=idn%3D993863388</v>
      </c>
      <c r="E153" s="65" t="s">
        <v>396</v>
      </c>
      <c r="F153" s="76" t="s">
        <v>89</v>
      </c>
      <c r="G153" s="78" t="s">
        <v>3</v>
      </c>
      <c r="H153" s="76" t="s">
        <v>50</v>
      </c>
      <c r="I153" s="78" t="s">
        <v>90</v>
      </c>
      <c r="J153" s="78" t="s">
        <v>2529</v>
      </c>
      <c r="K153" s="76"/>
      <c r="L153" s="76" t="s">
        <v>33</v>
      </c>
      <c r="M153" s="76" t="s">
        <v>36</v>
      </c>
      <c r="N153" s="76">
        <v>1</v>
      </c>
      <c r="O153" s="76"/>
      <c r="P153" s="76"/>
      <c r="Q153" s="76"/>
      <c r="R153" s="76"/>
      <c r="AZ153" s="88">
        <f t="shared" si="3"/>
        <v>0</v>
      </c>
      <c r="BX153" s="88"/>
      <c r="CQ153" s="88"/>
    </row>
    <row r="154" spans="1:95" outlineLevel="1" x14ac:dyDescent="0.15">
      <c r="A154" s="76">
        <v>156</v>
      </c>
      <c r="B154" s="65" t="s">
        <v>400</v>
      </c>
      <c r="C154" s="65">
        <v>996432159</v>
      </c>
      <c r="D154" s="81" t="str">
        <f t="shared" si="4"/>
        <v>https://portal.dnb.de/opac.htm?method=simpleSearch&amp;cqlMode=true&amp;query=idn%3D996432159</v>
      </c>
      <c r="E154" s="65" t="s">
        <v>2856</v>
      </c>
      <c r="F154" s="76"/>
      <c r="G154" s="78"/>
      <c r="H154" s="76"/>
      <c r="I154" s="78"/>
      <c r="J154" s="78"/>
      <c r="K154" s="76"/>
      <c r="L154" s="76"/>
      <c r="M154" s="76"/>
      <c r="N154" s="76"/>
      <c r="O154" s="76"/>
      <c r="P154" s="76"/>
      <c r="Q154" s="76"/>
      <c r="R154" s="76"/>
      <c r="AZ154" s="88">
        <f t="shared" si="3"/>
        <v>0</v>
      </c>
      <c r="BX154" s="88"/>
      <c r="CQ154" s="88"/>
    </row>
    <row r="155" spans="1:95" outlineLevel="1" x14ac:dyDescent="0.15">
      <c r="A155" s="76">
        <v>157</v>
      </c>
      <c r="B155" s="65" t="s">
        <v>402</v>
      </c>
      <c r="C155" s="65" t="s">
        <v>403</v>
      </c>
      <c r="D155" s="81" t="str">
        <f t="shared" si="4"/>
        <v>https://portal.dnb.de/opac.htm?method=simpleSearch&amp;cqlMode=true&amp;query=idn%3D99480251X</v>
      </c>
      <c r="E155" s="65" t="s">
        <v>401</v>
      </c>
      <c r="F155" s="76"/>
      <c r="G155" s="78"/>
      <c r="H155" s="76" t="s">
        <v>51</v>
      </c>
      <c r="I155" s="78"/>
      <c r="J155" s="78"/>
      <c r="K155" s="76"/>
      <c r="L155" s="76"/>
      <c r="M155" s="76"/>
      <c r="N155" s="76"/>
      <c r="O155" s="76"/>
      <c r="P155" s="76"/>
      <c r="Q155" s="76"/>
      <c r="R155" s="76"/>
      <c r="X155" s="84" t="s">
        <v>2697</v>
      </c>
      <c r="Z155" s="84" t="s">
        <v>2541</v>
      </c>
      <c r="AA155" s="84" t="s">
        <v>2642</v>
      </c>
      <c r="AG155" s="84" t="s">
        <v>2643</v>
      </c>
      <c r="AU155" s="84">
        <v>110</v>
      </c>
      <c r="AY155" s="86" t="s">
        <v>2651</v>
      </c>
      <c r="AZ155" s="88">
        <f t="shared" si="3"/>
        <v>0</v>
      </c>
      <c r="BB155" s="84" t="s">
        <v>2777</v>
      </c>
      <c r="BX155" s="88"/>
      <c r="CQ155" s="88"/>
    </row>
    <row r="156" spans="1:95" outlineLevel="1" x14ac:dyDescent="0.15">
      <c r="A156" s="76">
        <v>158</v>
      </c>
      <c r="B156" s="65" t="s">
        <v>404</v>
      </c>
      <c r="C156" s="65">
        <v>1066678316</v>
      </c>
      <c r="D156" s="81" t="str">
        <f>HYPERLINK(CONCATENATE("https://portal.dnb.de/opac.htm?method=simpleSearch&amp;cqlMode=true&amp;query=idn%3D",C156))</f>
        <v>https://portal.dnb.de/opac.htm?method=simpleSearch&amp;cqlMode=true&amp;query=idn%3D1066678316</v>
      </c>
      <c r="E156" s="65" t="s">
        <v>405</v>
      </c>
      <c r="F156" s="76" t="s">
        <v>89</v>
      </c>
      <c r="G156" s="78" t="s">
        <v>45</v>
      </c>
      <c r="H156" s="76" t="s">
        <v>51</v>
      </c>
      <c r="I156" s="78" t="s">
        <v>55</v>
      </c>
      <c r="J156" s="78" t="s">
        <v>81</v>
      </c>
      <c r="K156" s="76"/>
      <c r="L156" s="76" t="s">
        <v>33</v>
      </c>
      <c r="M156" s="76" t="s">
        <v>36</v>
      </c>
      <c r="N156" s="76">
        <v>1</v>
      </c>
      <c r="O156" s="76"/>
      <c r="P156" s="76"/>
      <c r="Q156" s="76"/>
      <c r="R156" s="76"/>
      <c r="X156" s="84" t="s">
        <v>2646</v>
      </c>
      <c r="AA156" s="84" t="s">
        <v>2675</v>
      </c>
      <c r="AG156" s="84" t="s">
        <v>2643</v>
      </c>
      <c r="AU156" s="84">
        <v>80</v>
      </c>
      <c r="AY156" s="86" t="s">
        <v>2644</v>
      </c>
      <c r="AZ156" s="88">
        <f t="shared" si="3"/>
        <v>2</v>
      </c>
      <c r="BF156" s="84" t="s">
        <v>2659</v>
      </c>
      <c r="BG156" s="84" t="s">
        <v>2541</v>
      </c>
      <c r="BK156" s="63" t="s">
        <v>2541</v>
      </c>
      <c r="BM156" s="84" t="s">
        <v>2541</v>
      </c>
      <c r="BX156" s="88">
        <v>2</v>
      </c>
      <c r="BY156" s="79" t="s">
        <v>2968</v>
      </c>
      <c r="CQ156" s="88"/>
    </row>
    <row r="157" spans="1:95" ht="33.75" outlineLevel="1" x14ac:dyDescent="0.15">
      <c r="A157" s="76">
        <v>159</v>
      </c>
      <c r="B157" s="65" t="s">
        <v>406</v>
      </c>
      <c r="C157" s="65">
        <v>999957643</v>
      </c>
      <c r="D157" s="81" t="str">
        <f t="shared" si="4"/>
        <v>https://portal.dnb.de/opac.htm?method=simpleSearch&amp;cqlMode=true&amp;query=idn%3D999957643</v>
      </c>
      <c r="E157" s="65" t="s">
        <v>407</v>
      </c>
      <c r="F157" s="76"/>
      <c r="G157" s="78"/>
      <c r="H157" s="76" t="s">
        <v>51</v>
      </c>
      <c r="I157" s="78"/>
      <c r="J157" s="78"/>
      <c r="K157" s="76"/>
      <c r="L157" s="76"/>
      <c r="M157" s="76"/>
      <c r="N157" s="76"/>
      <c r="O157" s="76"/>
      <c r="P157" s="76"/>
      <c r="Q157" s="76"/>
      <c r="R157" s="76"/>
      <c r="X157" s="84" t="s">
        <v>2641</v>
      </c>
      <c r="AA157" s="84" t="s">
        <v>2642</v>
      </c>
      <c r="AF157" s="84" t="s">
        <v>2541</v>
      </c>
      <c r="AG157" s="84" t="s">
        <v>2643</v>
      </c>
      <c r="AU157" s="84">
        <v>80</v>
      </c>
      <c r="AY157" s="86" t="s">
        <v>2644</v>
      </c>
      <c r="AZ157" s="88">
        <f t="shared" si="3"/>
        <v>2</v>
      </c>
      <c r="BF157" s="84" t="s">
        <v>2659</v>
      </c>
      <c r="BG157" s="84" t="s">
        <v>2541</v>
      </c>
      <c r="BJ157" s="79" t="s">
        <v>2858</v>
      </c>
      <c r="BM157" s="84" t="s">
        <v>2541</v>
      </c>
      <c r="BW157" s="84" t="s">
        <v>2541</v>
      </c>
      <c r="BX157" s="88">
        <v>1</v>
      </c>
      <c r="CI157" s="84" t="s">
        <v>2541</v>
      </c>
      <c r="CQ157" s="88">
        <v>1</v>
      </c>
    </row>
    <row r="158" spans="1:95" outlineLevel="1" x14ac:dyDescent="0.15">
      <c r="A158" s="76">
        <v>160</v>
      </c>
      <c r="B158" s="65" t="s">
        <v>408</v>
      </c>
      <c r="C158" s="65">
        <v>999656791</v>
      </c>
      <c r="D158" s="81" t="str">
        <f t="shared" si="4"/>
        <v>https://portal.dnb.de/opac.htm?method=simpleSearch&amp;cqlMode=true&amp;query=idn%3D999656791</v>
      </c>
      <c r="E158" s="65" t="s">
        <v>2857</v>
      </c>
      <c r="F158" s="76"/>
      <c r="G158" s="78"/>
      <c r="H158" s="76"/>
      <c r="I158" s="78"/>
      <c r="J158" s="78"/>
      <c r="K158" s="76"/>
      <c r="L158" s="76"/>
      <c r="M158" s="76"/>
      <c r="N158" s="76"/>
      <c r="O158" s="76"/>
      <c r="P158" s="76"/>
      <c r="Q158" s="76"/>
      <c r="R158" s="76"/>
      <c r="AZ158" s="88">
        <f t="shared" si="3"/>
        <v>0</v>
      </c>
      <c r="BX158" s="88"/>
      <c r="CQ158" s="88"/>
    </row>
    <row r="159" spans="1:95" outlineLevel="1" x14ac:dyDescent="0.15">
      <c r="A159" s="76">
        <v>161</v>
      </c>
      <c r="B159" s="65" t="s">
        <v>409</v>
      </c>
      <c r="C159" s="65">
        <v>1002682134</v>
      </c>
      <c r="D159" s="81" t="str">
        <f t="shared" si="4"/>
        <v>https://portal.dnb.de/opac.htm?method=simpleSearch&amp;cqlMode=true&amp;query=idn%3D1002682134</v>
      </c>
      <c r="E159" s="65" t="s">
        <v>2857</v>
      </c>
      <c r="F159" s="76"/>
      <c r="G159" s="78"/>
      <c r="H159" s="76"/>
      <c r="I159" s="78"/>
      <c r="J159" s="78"/>
      <c r="K159" s="76"/>
      <c r="L159" s="76"/>
      <c r="M159" s="76"/>
      <c r="N159" s="76"/>
      <c r="O159" s="76"/>
      <c r="P159" s="76"/>
      <c r="Q159" s="76"/>
      <c r="R159" s="76"/>
      <c r="AZ159" s="88">
        <f t="shared" si="3"/>
        <v>0</v>
      </c>
      <c r="BX159" s="88"/>
      <c r="CQ159" s="88"/>
    </row>
    <row r="160" spans="1:95" outlineLevel="1" x14ac:dyDescent="0.15">
      <c r="A160" s="76">
        <v>162</v>
      </c>
      <c r="B160" s="65" t="s">
        <v>410</v>
      </c>
      <c r="C160" s="65">
        <v>997607521</v>
      </c>
      <c r="D160" s="81" t="str">
        <f t="shared" si="4"/>
        <v>https://portal.dnb.de/opac.htm?method=simpleSearch&amp;cqlMode=true&amp;query=idn%3D997607521</v>
      </c>
      <c r="E160" s="65" t="s">
        <v>411</v>
      </c>
      <c r="F160" s="76"/>
      <c r="G160" s="78" t="s">
        <v>44</v>
      </c>
      <c r="H160" s="76" t="s">
        <v>50</v>
      </c>
      <c r="I160" s="78" t="s">
        <v>55</v>
      </c>
      <c r="J160" s="78"/>
      <c r="K160" s="76"/>
      <c r="L160" s="76" t="s">
        <v>33</v>
      </c>
      <c r="M160" s="76" t="s">
        <v>37</v>
      </c>
      <c r="N160" s="76">
        <v>0</v>
      </c>
      <c r="O160" s="76"/>
      <c r="P160" s="76"/>
      <c r="Q160" s="76"/>
      <c r="R160" s="76"/>
      <c r="AZ160" s="88">
        <f t="shared" si="3"/>
        <v>0</v>
      </c>
      <c r="BX160" s="88"/>
      <c r="CQ160" s="88"/>
    </row>
    <row r="161" spans="1:96" ht="45" outlineLevel="1" x14ac:dyDescent="0.15">
      <c r="A161" s="76">
        <v>163</v>
      </c>
      <c r="B161" s="65" t="s">
        <v>412</v>
      </c>
      <c r="C161" s="65">
        <v>995434395</v>
      </c>
      <c r="D161" s="81" t="str">
        <f>HYPERLINK(CONCATENATE("https://portal.dnb.de/opac.htm?method=simpleSearch&amp;cqlMode=true&amp;query=idn%3D",C161))</f>
        <v>https://portal.dnb.de/opac.htm?method=simpleSearch&amp;cqlMode=true&amp;query=idn%3D995434395</v>
      </c>
      <c r="E161" s="65" t="s">
        <v>2532</v>
      </c>
      <c r="F161" s="76"/>
      <c r="G161" s="78" t="s">
        <v>17</v>
      </c>
      <c r="H161" s="76" t="s">
        <v>50</v>
      </c>
      <c r="I161" s="78" t="s">
        <v>90</v>
      </c>
      <c r="J161" s="78" t="s">
        <v>59</v>
      </c>
      <c r="K161" s="76"/>
      <c r="L161" s="76" t="s">
        <v>33</v>
      </c>
      <c r="M161" s="76" t="s">
        <v>36</v>
      </c>
      <c r="N161" s="76">
        <v>2</v>
      </c>
      <c r="O161" s="76"/>
      <c r="P161" s="76"/>
      <c r="Q161" s="76"/>
      <c r="R161" s="76"/>
      <c r="X161" s="84" t="s">
        <v>2766</v>
      </c>
      <c r="AA161" s="84" t="s">
        <v>2642</v>
      </c>
      <c r="AG161" s="84" t="s">
        <v>2643</v>
      </c>
      <c r="AU161" s="84">
        <v>45</v>
      </c>
      <c r="AY161" s="86" t="s">
        <v>2644</v>
      </c>
      <c r="AZ161" s="88">
        <f t="shared" si="3"/>
        <v>3</v>
      </c>
      <c r="BF161" s="84" t="s">
        <v>2659</v>
      </c>
      <c r="BG161" s="84" t="s">
        <v>2541</v>
      </c>
      <c r="BJ161" s="79" t="s">
        <v>2970</v>
      </c>
      <c r="BK161" s="63" t="s">
        <v>2541</v>
      </c>
      <c r="BM161" s="84" t="s">
        <v>2541</v>
      </c>
      <c r="BO161" s="84" t="s">
        <v>2656</v>
      </c>
      <c r="BT161" s="84" t="s">
        <v>2541</v>
      </c>
      <c r="BX161" s="88">
        <v>3</v>
      </c>
      <c r="BY161" s="79" t="s">
        <v>2971</v>
      </c>
      <c r="CQ161" s="88"/>
    </row>
    <row r="162" spans="1:96" outlineLevel="1" x14ac:dyDescent="0.15">
      <c r="A162" s="76">
        <v>164</v>
      </c>
      <c r="B162" s="65" t="s">
        <v>413</v>
      </c>
      <c r="C162" s="65">
        <v>995417059</v>
      </c>
      <c r="D162" s="81" t="str">
        <f>HYPERLINK(CONCATENATE("https://portal.dnb.de/opac.htm?method=simpleSearch&amp;cqlMode=true&amp;query=idn%3D",C162))</f>
        <v>https://portal.dnb.de/opac.htm?method=simpleSearch&amp;cqlMode=true&amp;query=idn%3D995417059</v>
      </c>
      <c r="E162" s="65" t="s">
        <v>2531</v>
      </c>
      <c r="F162" s="76" t="s">
        <v>89</v>
      </c>
      <c r="G162" s="78" t="s">
        <v>4</v>
      </c>
      <c r="H162" s="76" t="s">
        <v>50</v>
      </c>
      <c r="I162" s="78" t="s">
        <v>90</v>
      </c>
      <c r="J162" s="78" t="s">
        <v>94</v>
      </c>
      <c r="K162" s="76"/>
      <c r="L162" s="76" t="s">
        <v>35</v>
      </c>
      <c r="M162" s="76" t="s">
        <v>37</v>
      </c>
      <c r="N162" s="76">
        <v>0</v>
      </c>
      <c r="O162" s="76"/>
      <c r="P162" s="76"/>
      <c r="Q162" s="76"/>
      <c r="R162" s="76"/>
      <c r="AZ162" s="88">
        <f t="shared" si="3"/>
        <v>0</v>
      </c>
      <c r="BX162" s="88"/>
      <c r="CQ162" s="88"/>
    </row>
    <row r="163" spans="1:96" outlineLevel="1" x14ac:dyDescent="0.15">
      <c r="A163" s="76">
        <v>165</v>
      </c>
      <c r="B163" s="65" t="s">
        <v>414</v>
      </c>
      <c r="C163" s="65">
        <v>999907077</v>
      </c>
      <c r="D163" s="81" t="str">
        <f t="shared" si="4"/>
        <v>https://portal.dnb.de/opac.htm?method=simpleSearch&amp;cqlMode=true&amp;query=idn%3D999907077</v>
      </c>
      <c r="E163" s="65" t="s">
        <v>2860</v>
      </c>
      <c r="F163" s="76"/>
      <c r="G163" s="78"/>
      <c r="H163" s="76"/>
      <c r="I163" s="78"/>
      <c r="J163" s="78"/>
      <c r="K163" s="76"/>
      <c r="L163" s="76"/>
      <c r="M163" s="76"/>
      <c r="N163" s="76"/>
      <c r="O163" s="76"/>
      <c r="P163" s="76"/>
      <c r="Q163" s="76"/>
      <c r="R163" s="76"/>
      <c r="AZ163" s="88">
        <f t="shared" si="3"/>
        <v>0</v>
      </c>
      <c r="BX163" s="88"/>
      <c r="CQ163" s="88"/>
    </row>
    <row r="164" spans="1:96" ht="22.5" outlineLevel="1" x14ac:dyDescent="0.15">
      <c r="A164" s="76">
        <v>166</v>
      </c>
      <c r="B164" s="65" t="s">
        <v>416</v>
      </c>
      <c r="C164" s="65">
        <v>997624930</v>
      </c>
      <c r="D164" s="81" t="str">
        <f t="shared" si="4"/>
        <v>https://portal.dnb.de/opac.htm?method=simpleSearch&amp;cqlMode=true&amp;query=idn%3D997624930</v>
      </c>
      <c r="E164" s="65" t="s">
        <v>415</v>
      </c>
      <c r="F164" s="76"/>
      <c r="G164" s="78"/>
      <c r="H164" s="76" t="s">
        <v>51</v>
      </c>
      <c r="I164" s="78"/>
      <c r="J164" s="78"/>
      <c r="K164" s="76"/>
      <c r="L164" s="76"/>
      <c r="M164" s="76"/>
      <c r="N164" s="76"/>
      <c r="O164" s="76"/>
      <c r="P164" s="76"/>
      <c r="Q164" s="76"/>
      <c r="R164" s="76"/>
      <c r="X164" s="84" t="s">
        <v>2641</v>
      </c>
      <c r="Z164" s="84" t="s">
        <v>2541</v>
      </c>
      <c r="AA164" s="84" t="s">
        <v>2642</v>
      </c>
      <c r="AG164" s="84" t="s">
        <v>2643</v>
      </c>
      <c r="AU164" s="84">
        <v>110</v>
      </c>
      <c r="AW164" s="84" t="s">
        <v>2541</v>
      </c>
      <c r="AY164" s="86" t="s">
        <v>2651</v>
      </c>
      <c r="AZ164" s="88">
        <f t="shared" si="3"/>
        <v>0</v>
      </c>
      <c r="BB164" s="86" t="s">
        <v>2831</v>
      </c>
      <c r="BX164" s="88"/>
      <c r="CQ164" s="88"/>
    </row>
    <row r="165" spans="1:96" outlineLevel="1" x14ac:dyDescent="0.15">
      <c r="A165" s="76">
        <v>167</v>
      </c>
      <c r="B165" s="65" t="s">
        <v>417</v>
      </c>
      <c r="C165" s="65">
        <v>995989966</v>
      </c>
      <c r="D165" s="81" t="str">
        <f t="shared" si="4"/>
        <v>https://portal.dnb.de/opac.htm?method=simpleSearch&amp;cqlMode=true&amp;query=idn%3D995989966</v>
      </c>
      <c r="E165" s="65" t="s">
        <v>418</v>
      </c>
      <c r="F165" s="76"/>
      <c r="G165" s="78"/>
      <c r="H165" s="76"/>
      <c r="I165" s="78"/>
      <c r="J165" s="78"/>
      <c r="K165" s="76"/>
      <c r="L165" s="76"/>
      <c r="M165" s="76"/>
      <c r="N165" s="76"/>
      <c r="O165" s="76"/>
      <c r="P165" s="76"/>
      <c r="Q165" s="76"/>
      <c r="R165" s="76"/>
      <c r="AZ165" s="88">
        <f t="shared" si="3"/>
        <v>0</v>
      </c>
      <c r="BX165" s="88"/>
      <c r="CQ165" s="88"/>
    </row>
    <row r="166" spans="1:96" outlineLevel="1" x14ac:dyDescent="0.15">
      <c r="A166" s="76">
        <v>168</v>
      </c>
      <c r="B166" s="65" t="s">
        <v>419</v>
      </c>
      <c r="C166" s="65" t="s">
        <v>420</v>
      </c>
      <c r="D166" s="81" t="str">
        <f>HYPERLINK(CONCATENATE("https://portal.dnb.de/opac.htm?method=simpleSearch&amp;cqlMode=true&amp;query=idn%3D",C166))</f>
        <v>https://portal.dnb.de/opac.htm?method=simpleSearch&amp;cqlMode=true&amp;query=idn%3D99713237X</v>
      </c>
      <c r="E166" s="65" t="s">
        <v>418</v>
      </c>
      <c r="F166" s="76" t="s">
        <v>89</v>
      </c>
      <c r="G166" s="78" t="s">
        <v>46</v>
      </c>
      <c r="H166" s="76" t="s">
        <v>51</v>
      </c>
      <c r="I166" s="78" t="s">
        <v>55</v>
      </c>
      <c r="J166" s="78" t="s">
        <v>2509</v>
      </c>
      <c r="K166" s="76"/>
      <c r="L166" s="76"/>
      <c r="M166" s="76"/>
      <c r="N166" s="76"/>
      <c r="O166" s="76"/>
      <c r="P166" s="76"/>
      <c r="Q166" s="76"/>
      <c r="R166" s="76"/>
      <c r="AZ166" s="88">
        <f t="shared" si="3"/>
        <v>0</v>
      </c>
      <c r="BX166" s="88"/>
      <c r="CQ166" s="88"/>
    </row>
    <row r="167" spans="1:96" outlineLevel="1" x14ac:dyDescent="0.15">
      <c r="A167" s="76">
        <v>169</v>
      </c>
      <c r="B167" s="65" t="s">
        <v>421</v>
      </c>
      <c r="C167" s="65">
        <v>996432566</v>
      </c>
      <c r="D167" s="81" t="str">
        <f>HYPERLINK(CONCATENATE("https://portal.dnb.de/opac.htm?method=simpleSearch&amp;cqlMode=true&amp;query=idn%3D",C167))</f>
        <v>https://portal.dnb.de/opac.htm?method=simpleSearch&amp;cqlMode=true&amp;query=idn%3D996432566</v>
      </c>
      <c r="E167" s="65" t="s">
        <v>422</v>
      </c>
      <c r="F167" s="76"/>
      <c r="G167" s="78"/>
      <c r="H167" s="76"/>
      <c r="I167" s="78"/>
      <c r="J167" s="78"/>
      <c r="K167" s="76"/>
      <c r="L167" s="76"/>
      <c r="M167" s="76"/>
      <c r="N167" s="76"/>
      <c r="O167" s="76"/>
      <c r="P167" s="76"/>
      <c r="Q167" s="76"/>
      <c r="R167" s="76"/>
      <c r="AZ167" s="88">
        <f t="shared" si="3"/>
        <v>0</v>
      </c>
      <c r="BX167" s="88"/>
      <c r="CQ167" s="88"/>
    </row>
    <row r="168" spans="1:96" ht="33.75" outlineLevel="1" x14ac:dyDescent="0.15">
      <c r="A168" s="76">
        <v>170</v>
      </c>
      <c r="B168" s="65" t="s">
        <v>423</v>
      </c>
      <c r="C168" s="65">
        <v>998780723</v>
      </c>
      <c r="D168" s="81" t="str">
        <f t="shared" si="4"/>
        <v>https://portal.dnb.de/opac.htm?method=simpleSearch&amp;cqlMode=true&amp;query=idn%3D998780723</v>
      </c>
      <c r="E168" s="65" t="s">
        <v>2533</v>
      </c>
      <c r="F168" s="76" t="s">
        <v>89</v>
      </c>
      <c r="G168" s="78" t="s">
        <v>2510</v>
      </c>
      <c r="H168" s="76" t="s">
        <v>50</v>
      </c>
      <c r="I168" s="78" t="s">
        <v>90</v>
      </c>
      <c r="J168" s="78" t="s">
        <v>2535</v>
      </c>
      <c r="K168" s="76"/>
      <c r="L168" s="76" t="s">
        <v>35</v>
      </c>
      <c r="M168" s="76" t="s">
        <v>37</v>
      </c>
      <c r="N168" s="76">
        <v>0</v>
      </c>
      <c r="O168" s="76"/>
      <c r="P168" s="76"/>
      <c r="Q168" s="76"/>
      <c r="R168" s="76"/>
      <c r="AZ168" s="88">
        <f t="shared" si="3"/>
        <v>0</v>
      </c>
      <c r="BX168" s="88"/>
      <c r="CQ168" s="88"/>
    </row>
    <row r="169" spans="1:96" ht="33.75" outlineLevel="1" x14ac:dyDescent="0.15">
      <c r="A169" s="76">
        <v>171</v>
      </c>
      <c r="B169" s="65" t="s">
        <v>424</v>
      </c>
      <c r="C169" s="65">
        <v>998780650</v>
      </c>
      <c r="D169" s="81" t="str">
        <f>HYPERLINK(CONCATENATE("https://portal.dnb.de/opac.htm?method=simpleSearch&amp;cqlMode=true&amp;query=idn%3D",C169))</f>
        <v>https://portal.dnb.de/opac.htm?method=simpleSearch&amp;cqlMode=true&amp;query=idn%3D998780650</v>
      </c>
      <c r="E169" s="65" t="s">
        <v>2534</v>
      </c>
      <c r="F169" s="76" t="s">
        <v>89</v>
      </c>
      <c r="G169" s="78" t="s">
        <v>2510</v>
      </c>
      <c r="H169" s="76" t="s">
        <v>50</v>
      </c>
      <c r="I169" s="78" t="s">
        <v>90</v>
      </c>
      <c r="J169" s="78" t="s">
        <v>2535</v>
      </c>
      <c r="K169" s="76"/>
      <c r="L169" s="76" t="s">
        <v>35</v>
      </c>
      <c r="M169" s="76" t="s">
        <v>37</v>
      </c>
      <c r="N169" s="76">
        <v>0</v>
      </c>
      <c r="O169" s="76"/>
      <c r="P169" s="76"/>
      <c r="Q169" s="76"/>
      <c r="R169" s="76"/>
      <c r="AZ169" s="88">
        <f t="shared" si="3"/>
        <v>0</v>
      </c>
      <c r="BX169" s="88"/>
      <c r="CQ169" s="88"/>
    </row>
    <row r="170" spans="1:96" ht="33.75" outlineLevel="1" x14ac:dyDescent="0.15">
      <c r="A170" s="76">
        <v>172</v>
      </c>
      <c r="B170" s="65" t="s">
        <v>425</v>
      </c>
      <c r="C170" s="65">
        <v>998780944</v>
      </c>
      <c r="D170" s="81" t="str">
        <f t="shared" si="4"/>
        <v>https://portal.dnb.de/opac.htm?method=simpleSearch&amp;cqlMode=true&amp;query=idn%3D998780944</v>
      </c>
      <c r="E170" s="65" t="s">
        <v>2536</v>
      </c>
      <c r="F170" s="76" t="s">
        <v>89</v>
      </c>
      <c r="G170" s="78" t="s">
        <v>2510</v>
      </c>
      <c r="H170" s="76" t="s">
        <v>50</v>
      </c>
      <c r="I170" s="78" t="s">
        <v>90</v>
      </c>
      <c r="J170" s="78" t="s">
        <v>2537</v>
      </c>
      <c r="K170" s="76"/>
      <c r="L170" s="76" t="s">
        <v>35</v>
      </c>
      <c r="M170" s="76" t="s">
        <v>37</v>
      </c>
      <c r="N170" s="76">
        <v>0</v>
      </c>
      <c r="O170" s="76"/>
      <c r="P170" s="76"/>
      <c r="Q170" s="76"/>
      <c r="R170" s="76"/>
      <c r="AZ170" s="88">
        <f t="shared" si="3"/>
        <v>0</v>
      </c>
      <c r="BX170" s="88"/>
      <c r="CQ170" s="88"/>
    </row>
    <row r="171" spans="1:96" outlineLevel="1" x14ac:dyDescent="0.15">
      <c r="A171" s="76">
        <v>173</v>
      </c>
      <c r="B171" s="65" t="s">
        <v>426</v>
      </c>
      <c r="C171" s="65">
        <v>1002374065</v>
      </c>
      <c r="D171" s="81" t="str">
        <f t="shared" si="4"/>
        <v>https://portal.dnb.de/opac.htm?method=simpleSearch&amp;cqlMode=true&amp;query=idn%3D1002374065</v>
      </c>
      <c r="E171" s="65" t="s">
        <v>427</v>
      </c>
      <c r="F171" s="76" t="s">
        <v>89</v>
      </c>
      <c r="G171" s="78" t="s">
        <v>17</v>
      </c>
      <c r="H171" s="76" t="s">
        <v>51</v>
      </c>
      <c r="I171" s="78" t="s">
        <v>55</v>
      </c>
      <c r="J171" s="78" t="s">
        <v>81</v>
      </c>
      <c r="K171" s="76"/>
      <c r="L171" s="76" t="s">
        <v>33</v>
      </c>
      <c r="M171" s="76" t="s">
        <v>36</v>
      </c>
      <c r="N171" s="76">
        <v>0</v>
      </c>
      <c r="O171" s="76"/>
      <c r="P171" s="76"/>
      <c r="Q171" s="76"/>
      <c r="R171" s="76"/>
      <c r="AZ171" s="88">
        <f t="shared" si="3"/>
        <v>0</v>
      </c>
      <c r="BX171" s="88"/>
      <c r="CQ171" s="88"/>
    </row>
    <row r="172" spans="1:96" outlineLevel="1" x14ac:dyDescent="0.15">
      <c r="A172" s="76">
        <v>174</v>
      </c>
      <c r="B172" s="65" t="s">
        <v>428</v>
      </c>
      <c r="C172" s="65" t="s">
        <v>429</v>
      </c>
      <c r="D172" s="81" t="str">
        <f t="shared" si="4"/>
        <v>https://portal.dnb.de/opac.htm?method=simpleSearch&amp;cqlMode=true&amp;query=idn%3D100199566X</v>
      </c>
      <c r="E172" s="65" t="s">
        <v>430</v>
      </c>
      <c r="F172" s="76"/>
      <c r="G172" s="78"/>
      <c r="H172" s="76" t="s">
        <v>51</v>
      </c>
      <c r="I172" s="78"/>
      <c r="J172" s="78"/>
      <c r="K172" s="76"/>
      <c r="L172" s="76"/>
      <c r="M172" s="76"/>
      <c r="N172" s="76"/>
      <c r="O172" s="76"/>
      <c r="P172" s="76"/>
      <c r="Q172" s="76"/>
      <c r="R172" s="76"/>
      <c r="X172" s="84" t="s">
        <v>2641</v>
      </c>
      <c r="Z172" s="84" t="s">
        <v>2541</v>
      </c>
      <c r="AA172" s="84" t="s">
        <v>2642</v>
      </c>
      <c r="AG172" s="84" t="s">
        <v>2643</v>
      </c>
      <c r="AU172" s="84">
        <v>110</v>
      </c>
      <c r="AY172" s="86" t="s">
        <v>2651</v>
      </c>
      <c r="AZ172" s="88">
        <f t="shared" si="3"/>
        <v>0</v>
      </c>
      <c r="BB172" s="84" t="s">
        <v>2777</v>
      </c>
      <c r="BX172" s="88"/>
      <c r="CQ172" s="88"/>
    </row>
    <row r="173" spans="1:96" outlineLevel="1" x14ac:dyDescent="0.15">
      <c r="A173" s="76">
        <v>175</v>
      </c>
      <c r="B173" s="65" t="s">
        <v>431</v>
      </c>
      <c r="C173" s="65">
        <v>1000202720</v>
      </c>
      <c r="D173" s="81" t="str">
        <f>HYPERLINK(CONCATENATE("https://portal.dnb.de/opac.htm?method=simpleSearch&amp;cqlMode=true&amp;query=idn%3D",C173))</f>
        <v>https://portal.dnb.de/opac.htm?method=simpleSearch&amp;cqlMode=true&amp;query=idn%3D1000202720</v>
      </c>
      <c r="E173" s="65" t="s">
        <v>432</v>
      </c>
      <c r="F173" s="76" t="s">
        <v>89</v>
      </c>
      <c r="G173" s="78" t="s">
        <v>17</v>
      </c>
      <c r="H173" s="76" t="s">
        <v>51</v>
      </c>
      <c r="I173" s="78" t="s">
        <v>55</v>
      </c>
      <c r="J173" s="78" t="s">
        <v>81</v>
      </c>
      <c r="K173" s="76"/>
      <c r="L173" s="76"/>
      <c r="M173" s="76"/>
      <c r="N173" s="76">
        <v>0</v>
      </c>
      <c r="O173" s="76"/>
      <c r="P173" s="76"/>
      <c r="Q173" s="76"/>
      <c r="R173" s="76"/>
      <c r="X173" s="84" t="s">
        <v>2643</v>
      </c>
      <c r="AA173" s="84" t="s">
        <v>2647</v>
      </c>
      <c r="AG173" s="84" t="s">
        <v>2643</v>
      </c>
      <c r="AU173" s="84">
        <v>110</v>
      </c>
      <c r="AY173" s="86" t="s">
        <v>2651</v>
      </c>
      <c r="AZ173" s="88">
        <f t="shared" si="3"/>
        <v>0</v>
      </c>
      <c r="BH173" s="79" t="s">
        <v>2962</v>
      </c>
      <c r="BX173" s="88"/>
      <c r="CQ173" s="88"/>
    </row>
    <row r="174" spans="1:96" ht="33.75" outlineLevel="1" x14ac:dyDescent="0.15">
      <c r="A174" s="76">
        <v>176</v>
      </c>
      <c r="B174" s="65" t="s">
        <v>433</v>
      </c>
      <c r="C174" s="65">
        <v>1002030188</v>
      </c>
      <c r="D174" s="81" t="str">
        <f t="shared" si="4"/>
        <v>https://portal.dnb.de/opac.htm?method=simpleSearch&amp;cqlMode=true&amp;query=idn%3D1002030188</v>
      </c>
      <c r="E174" s="65" t="s">
        <v>434</v>
      </c>
      <c r="F174" s="76"/>
      <c r="G174" s="78"/>
      <c r="H174" s="76" t="s">
        <v>51</v>
      </c>
      <c r="I174" s="78"/>
      <c r="J174" s="78"/>
      <c r="K174" s="76"/>
      <c r="L174" s="76"/>
      <c r="M174" s="76"/>
      <c r="N174" s="76"/>
      <c r="O174" s="76"/>
      <c r="P174" s="76"/>
      <c r="Q174" s="76"/>
      <c r="R174" s="76"/>
      <c r="X174" s="84" t="s">
        <v>2696</v>
      </c>
      <c r="AA174" s="84" t="s">
        <v>2647</v>
      </c>
      <c r="AG174" s="84" t="s">
        <v>2643</v>
      </c>
      <c r="AU174" s="84" t="s">
        <v>2776</v>
      </c>
      <c r="AX174" s="84" t="s">
        <v>2541</v>
      </c>
      <c r="AY174" s="86" t="s">
        <v>2644</v>
      </c>
      <c r="AZ174" s="88">
        <f t="shared" si="3"/>
        <v>5</v>
      </c>
      <c r="BF174" s="84" t="s">
        <v>2659</v>
      </c>
      <c r="BG174" s="84" t="s">
        <v>2541</v>
      </c>
      <c r="BJ174" s="79" t="s">
        <v>2862</v>
      </c>
      <c r="BX174" s="88"/>
      <c r="CH174" s="84" t="s">
        <v>2541</v>
      </c>
      <c r="CQ174" s="88">
        <v>5</v>
      </c>
      <c r="CR174" s="79" t="s">
        <v>2863</v>
      </c>
    </row>
    <row r="175" spans="1:96" outlineLevel="1" x14ac:dyDescent="0.15">
      <c r="A175" s="76">
        <v>177</v>
      </c>
      <c r="B175" s="65" t="s">
        <v>435</v>
      </c>
      <c r="C175" s="65">
        <v>1066964424</v>
      </c>
      <c r="D175" s="81" t="str">
        <f t="shared" si="4"/>
        <v>https://portal.dnb.de/opac.htm?method=simpleSearch&amp;cqlMode=true&amp;query=idn%3D1066964424</v>
      </c>
      <c r="E175" s="65" t="s">
        <v>436</v>
      </c>
      <c r="F175" s="76"/>
      <c r="G175" s="78"/>
      <c r="H175" s="76" t="s">
        <v>51</v>
      </c>
      <c r="I175" s="78"/>
      <c r="J175" s="78"/>
      <c r="K175" s="76"/>
      <c r="L175" s="76"/>
      <c r="M175" s="76"/>
      <c r="N175" s="76"/>
      <c r="O175" s="76"/>
      <c r="P175" s="76"/>
      <c r="Q175" s="76"/>
      <c r="R175" s="76"/>
      <c r="X175" s="84" t="s">
        <v>2641</v>
      </c>
      <c r="AA175" s="84" t="s">
        <v>2642</v>
      </c>
      <c r="AF175" s="84" t="s">
        <v>2541</v>
      </c>
      <c r="AG175" s="84" t="s">
        <v>2643</v>
      </c>
      <c r="AU175" s="84">
        <v>60</v>
      </c>
      <c r="AX175" s="84" t="s">
        <v>2541</v>
      </c>
      <c r="AY175" s="86" t="s">
        <v>2651</v>
      </c>
      <c r="AZ175" s="88">
        <f t="shared" si="3"/>
        <v>0</v>
      </c>
      <c r="BB175" s="84" t="s">
        <v>2777</v>
      </c>
      <c r="BX175" s="88"/>
      <c r="CQ175" s="88"/>
    </row>
    <row r="176" spans="1:96" ht="22.5" outlineLevel="1" x14ac:dyDescent="0.15">
      <c r="A176" s="76">
        <v>178</v>
      </c>
      <c r="B176" s="65" t="s">
        <v>437</v>
      </c>
      <c r="C176" s="65">
        <v>995382972</v>
      </c>
      <c r="D176" s="81" t="str">
        <f t="shared" si="4"/>
        <v>https://portal.dnb.de/opac.htm?method=simpleSearch&amp;cqlMode=true&amp;query=idn%3D995382972</v>
      </c>
      <c r="E176" s="65" t="s">
        <v>438</v>
      </c>
      <c r="F176" s="76"/>
      <c r="G176" s="78"/>
      <c r="H176" s="76" t="s">
        <v>52</v>
      </c>
      <c r="I176" s="78"/>
      <c r="J176" s="78"/>
      <c r="K176" s="76"/>
      <c r="L176" s="76"/>
      <c r="M176" s="76"/>
      <c r="N176" s="76"/>
      <c r="O176" s="76"/>
      <c r="P176" s="76"/>
      <c r="Q176" s="76"/>
      <c r="R176" s="76"/>
      <c r="X176" s="84" t="s">
        <v>2641</v>
      </c>
      <c r="AA176" s="84" t="s">
        <v>2642</v>
      </c>
      <c r="AG176" s="84" t="s">
        <v>2643</v>
      </c>
      <c r="AU176" s="84">
        <v>60</v>
      </c>
      <c r="AY176" s="86" t="s">
        <v>2644</v>
      </c>
      <c r="AZ176" s="88">
        <f t="shared" si="3"/>
        <v>2</v>
      </c>
      <c r="BF176" s="84" t="s">
        <v>2659</v>
      </c>
      <c r="BG176" s="84" t="s">
        <v>2541</v>
      </c>
      <c r="BJ176" s="79" t="s">
        <v>2783</v>
      </c>
      <c r="BL176" s="84" t="s">
        <v>2541</v>
      </c>
      <c r="BM176" s="84" t="s">
        <v>2541</v>
      </c>
      <c r="BO176" s="84" t="s">
        <v>2677</v>
      </c>
      <c r="BX176" s="88">
        <v>2</v>
      </c>
      <c r="BY176" s="79" t="s">
        <v>2864</v>
      </c>
      <c r="CQ176" s="88"/>
    </row>
    <row r="177" spans="1:95" outlineLevel="1" x14ac:dyDescent="0.15">
      <c r="A177" s="76">
        <v>179</v>
      </c>
      <c r="B177" s="65" t="s">
        <v>439</v>
      </c>
      <c r="C177" s="65">
        <v>1002740533</v>
      </c>
      <c r="D177" s="81" t="str">
        <f>HYPERLINK(CONCATENATE("https://portal.dnb.de/opac.htm?method=simpleSearch&amp;cqlMode=true&amp;query=idn%3D",C177))</f>
        <v>https://portal.dnb.de/opac.htm?method=simpleSearch&amp;cqlMode=true&amp;query=idn%3D1002740533</v>
      </c>
      <c r="E177" s="65" t="s">
        <v>440</v>
      </c>
      <c r="F177" s="76"/>
      <c r="G177" s="78"/>
      <c r="H177" s="76"/>
      <c r="I177" s="78"/>
      <c r="J177" s="78"/>
      <c r="K177" s="76"/>
      <c r="L177" s="76"/>
      <c r="M177" s="76"/>
      <c r="N177" s="76"/>
      <c r="O177" s="76"/>
      <c r="P177" s="76"/>
      <c r="Q177" s="76"/>
      <c r="R177" s="76"/>
      <c r="AZ177" s="88">
        <f t="shared" si="3"/>
        <v>0</v>
      </c>
      <c r="BX177" s="88"/>
      <c r="CQ177" s="88"/>
    </row>
    <row r="178" spans="1:95" ht="22.5" outlineLevel="1" x14ac:dyDescent="0.15">
      <c r="A178" s="76">
        <v>180</v>
      </c>
      <c r="B178" s="65" t="s">
        <v>441</v>
      </c>
      <c r="C178" s="65">
        <v>1002740738</v>
      </c>
      <c r="D178" s="81" t="str">
        <f>HYPERLINK(CONCATENATE("https://portal.dnb.de/opac.htm?method=simpleSearch&amp;cqlMode=true&amp;query=idn%3D",C178))</f>
        <v>https://portal.dnb.de/opac.htm?method=simpleSearch&amp;cqlMode=true&amp;query=idn%3D1002740738</v>
      </c>
      <c r="E178" s="65" t="s">
        <v>440</v>
      </c>
      <c r="F178" s="76" t="s">
        <v>89</v>
      </c>
      <c r="G178" s="78" t="s">
        <v>2510</v>
      </c>
      <c r="H178" s="76" t="s">
        <v>50</v>
      </c>
      <c r="I178" s="78" t="s">
        <v>90</v>
      </c>
      <c r="J178" s="78" t="s">
        <v>59</v>
      </c>
      <c r="K178" s="76"/>
      <c r="L178" s="76" t="s">
        <v>35</v>
      </c>
      <c r="M178" s="76" t="s">
        <v>37</v>
      </c>
      <c r="N178" s="76">
        <v>0</v>
      </c>
      <c r="O178" s="76"/>
      <c r="P178" s="76" t="s">
        <v>2542</v>
      </c>
      <c r="Q178" s="76"/>
      <c r="R178" s="76"/>
      <c r="AZ178" s="88">
        <f t="shared" si="3"/>
        <v>0</v>
      </c>
      <c r="BX178" s="88"/>
      <c r="CQ178" s="88"/>
    </row>
    <row r="179" spans="1:95" outlineLevel="1" x14ac:dyDescent="0.15">
      <c r="A179" s="76">
        <v>181</v>
      </c>
      <c r="B179" s="65" t="s">
        <v>442</v>
      </c>
      <c r="C179" s="65">
        <v>1000079600</v>
      </c>
      <c r="D179" s="81" t="str">
        <f t="shared" si="4"/>
        <v>https://portal.dnb.de/opac.htm?method=simpleSearch&amp;cqlMode=true&amp;query=idn%3D1000079600</v>
      </c>
      <c r="E179" s="65" t="s">
        <v>443</v>
      </c>
      <c r="F179" s="76"/>
      <c r="G179" s="78"/>
      <c r="H179" s="76" t="s">
        <v>52</v>
      </c>
      <c r="I179" s="78"/>
      <c r="J179" s="78"/>
      <c r="K179" s="76"/>
      <c r="L179" s="76"/>
      <c r="M179" s="76"/>
      <c r="N179" s="76"/>
      <c r="O179" s="76"/>
      <c r="P179" s="76"/>
      <c r="Q179" s="76"/>
      <c r="R179" s="76"/>
      <c r="X179" s="84" t="s">
        <v>2641</v>
      </c>
      <c r="AA179" s="84" t="s">
        <v>2642</v>
      </c>
      <c r="AG179" s="84" t="s">
        <v>2643</v>
      </c>
      <c r="AU179" s="84">
        <v>60</v>
      </c>
      <c r="AY179" s="86" t="s">
        <v>2651</v>
      </c>
      <c r="AZ179" s="88">
        <f t="shared" si="3"/>
        <v>0</v>
      </c>
      <c r="BC179" s="84" t="s">
        <v>2541</v>
      </c>
      <c r="BG179" s="84" t="s">
        <v>2541</v>
      </c>
      <c r="BJ179" s="79" t="s">
        <v>2783</v>
      </c>
      <c r="BX179" s="88"/>
      <c r="CQ179" s="88"/>
    </row>
    <row r="180" spans="1:95" ht="33.75" outlineLevel="1" x14ac:dyDescent="0.15">
      <c r="A180" s="76">
        <v>182</v>
      </c>
      <c r="B180" s="65" t="s">
        <v>444</v>
      </c>
      <c r="C180" s="65">
        <v>1003588670</v>
      </c>
      <c r="D180" s="81" t="str">
        <f>HYPERLINK(CONCATENATE("https://portal.dnb.de/opac.htm?method=simpleSearch&amp;cqlMode=true&amp;query=idn%3D",C180))</f>
        <v>https://portal.dnb.de/opac.htm?method=simpleSearch&amp;cqlMode=true&amp;query=idn%3D1003588670</v>
      </c>
      <c r="E180" s="65" t="s">
        <v>445</v>
      </c>
      <c r="F180" s="76"/>
      <c r="G180" s="78" t="s">
        <v>4</v>
      </c>
      <c r="H180" s="76" t="s">
        <v>50</v>
      </c>
      <c r="I180" s="78" t="s">
        <v>86</v>
      </c>
      <c r="J180" s="78" t="s">
        <v>2513</v>
      </c>
      <c r="K180" s="76"/>
      <c r="L180" s="76" t="s">
        <v>35</v>
      </c>
      <c r="M180" s="76" t="s">
        <v>37</v>
      </c>
      <c r="N180" s="76">
        <v>0</v>
      </c>
      <c r="O180" s="76"/>
      <c r="P180" s="76"/>
      <c r="Q180" s="76"/>
      <c r="R180" s="76"/>
      <c r="AZ180" s="88">
        <f t="shared" si="3"/>
        <v>0</v>
      </c>
      <c r="BX180" s="88"/>
      <c r="CQ180" s="88"/>
    </row>
    <row r="181" spans="1:95" outlineLevel="1" x14ac:dyDescent="0.15">
      <c r="A181" s="76">
        <v>183</v>
      </c>
      <c r="B181" s="65" t="s">
        <v>446</v>
      </c>
      <c r="C181" s="65">
        <v>1003299857</v>
      </c>
      <c r="D181" s="81" t="str">
        <f t="shared" si="4"/>
        <v>https://portal.dnb.de/opac.htm?method=simpleSearch&amp;cqlMode=true&amp;query=idn%3D1003299857</v>
      </c>
      <c r="E181" s="65" t="s">
        <v>447</v>
      </c>
      <c r="F181" s="76"/>
      <c r="G181" s="78"/>
      <c r="H181" s="76"/>
      <c r="I181" s="78"/>
      <c r="J181" s="78"/>
      <c r="K181" s="76"/>
      <c r="L181" s="76"/>
      <c r="M181" s="76"/>
      <c r="N181" s="76"/>
      <c r="O181" s="76"/>
      <c r="P181" s="76"/>
      <c r="Q181" s="76"/>
      <c r="R181" s="76"/>
      <c r="AZ181" s="88">
        <f t="shared" si="3"/>
        <v>0</v>
      </c>
      <c r="BX181" s="88"/>
      <c r="CQ181" s="88"/>
    </row>
    <row r="182" spans="1:95" outlineLevel="1" x14ac:dyDescent="0.15">
      <c r="A182" s="76">
        <v>184</v>
      </c>
      <c r="B182" s="65" t="s">
        <v>448</v>
      </c>
      <c r="C182" s="65">
        <v>997291915</v>
      </c>
      <c r="D182" s="81" t="str">
        <f t="shared" si="4"/>
        <v>https://portal.dnb.de/opac.htm?method=simpleSearch&amp;cqlMode=true&amp;query=idn%3D997291915</v>
      </c>
      <c r="E182" s="65" t="s">
        <v>449</v>
      </c>
      <c r="F182" s="76"/>
      <c r="G182" s="78"/>
      <c r="H182" s="76"/>
      <c r="I182" s="78"/>
      <c r="J182" s="78"/>
      <c r="K182" s="76"/>
      <c r="L182" s="76"/>
      <c r="M182" s="76"/>
      <c r="N182" s="76"/>
      <c r="O182" s="76"/>
      <c r="P182" s="76"/>
      <c r="Q182" s="76"/>
      <c r="R182" s="76"/>
      <c r="AZ182" s="88">
        <f t="shared" si="3"/>
        <v>0</v>
      </c>
      <c r="BX182" s="88"/>
      <c r="CQ182" s="88"/>
    </row>
    <row r="183" spans="1:95" ht="22.5" outlineLevel="1" x14ac:dyDescent="0.15">
      <c r="A183" s="76">
        <v>185</v>
      </c>
      <c r="B183" s="65" t="s">
        <v>450</v>
      </c>
      <c r="C183" s="65" t="s">
        <v>451</v>
      </c>
      <c r="D183" s="81" t="str">
        <f t="shared" si="4"/>
        <v>https://portal.dnb.de/opac.htm?method=simpleSearch&amp;cqlMode=true&amp;query=idn%3D99729261X</v>
      </c>
      <c r="E183" s="65" t="s">
        <v>449</v>
      </c>
      <c r="F183" s="76"/>
      <c r="G183" s="78" t="s">
        <v>2510</v>
      </c>
      <c r="H183" s="76" t="s">
        <v>51</v>
      </c>
      <c r="I183" s="78" t="s">
        <v>90</v>
      </c>
      <c r="J183" s="78" t="s">
        <v>69</v>
      </c>
      <c r="K183" s="76"/>
      <c r="L183" s="76" t="s">
        <v>35</v>
      </c>
      <c r="M183" s="76" t="s">
        <v>2538</v>
      </c>
      <c r="N183" s="76">
        <v>0</v>
      </c>
      <c r="O183" s="76"/>
      <c r="P183" s="76"/>
      <c r="Q183" s="76"/>
      <c r="R183" s="76"/>
      <c r="X183" s="84" t="s">
        <v>2641</v>
      </c>
      <c r="Z183" s="84" t="s">
        <v>2541</v>
      </c>
      <c r="AA183" s="84" t="s">
        <v>2642</v>
      </c>
      <c r="AG183" s="84" t="s">
        <v>2643</v>
      </c>
      <c r="AU183" s="84">
        <v>110</v>
      </c>
      <c r="AW183" s="84" t="s">
        <v>2541</v>
      </c>
      <c r="AY183" s="86" t="s">
        <v>2651</v>
      </c>
      <c r="AZ183" s="88">
        <f t="shared" si="3"/>
        <v>0</v>
      </c>
      <c r="BB183" s="84" t="s">
        <v>2777</v>
      </c>
      <c r="BX183" s="88"/>
      <c r="CQ183" s="88"/>
    </row>
    <row r="184" spans="1:95" outlineLevel="1" x14ac:dyDescent="0.15">
      <c r="A184" s="76">
        <v>186</v>
      </c>
      <c r="B184" s="65" t="s">
        <v>452</v>
      </c>
      <c r="C184" s="65">
        <v>1001169433</v>
      </c>
      <c r="D184" s="81" t="str">
        <f t="shared" si="4"/>
        <v>https://portal.dnb.de/opac.htm?method=simpleSearch&amp;cqlMode=true&amp;query=idn%3D1001169433</v>
      </c>
      <c r="E184" s="65" t="s">
        <v>449</v>
      </c>
      <c r="F184" s="76"/>
      <c r="G184" s="78"/>
      <c r="H184" s="76"/>
      <c r="I184" s="78"/>
      <c r="J184" s="78"/>
      <c r="K184" s="76"/>
      <c r="L184" s="76"/>
      <c r="M184" s="76"/>
      <c r="N184" s="76"/>
      <c r="O184" s="76"/>
      <c r="P184" s="76"/>
      <c r="Q184" s="76"/>
      <c r="R184" s="76"/>
      <c r="AZ184" s="88">
        <f t="shared" si="3"/>
        <v>0</v>
      </c>
      <c r="BX184" s="88"/>
      <c r="CQ184" s="88"/>
    </row>
    <row r="185" spans="1:95" outlineLevel="1" x14ac:dyDescent="0.15">
      <c r="A185" s="76">
        <v>187</v>
      </c>
      <c r="B185" s="65" t="s">
        <v>453</v>
      </c>
      <c r="C185" s="65">
        <v>1000072495</v>
      </c>
      <c r="D185" s="81" t="str">
        <f t="shared" si="4"/>
        <v>https://portal.dnb.de/opac.htm?method=simpleSearch&amp;cqlMode=true&amp;query=idn%3D1000072495</v>
      </c>
      <c r="E185" s="65" t="s">
        <v>449</v>
      </c>
      <c r="F185" s="76"/>
      <c r="G185" s="78"/>
      <c r="H185" s="76"/>
      <c r="I185" s="78"/>
      <c r="J185" s="78"/>
      <c r="K185" s="76"/>
      <c r="L185" s="76"/>
      <c r="M185" s="76"/>
      <c r="N185" s="76"/>
      <c r="O185" s="76"/>
      <c r="P185" s="76"/>
      <c r="Q185" s="76"/>
      <c r="R185" s="76"/>
      <c r="AZ185" s="88">
        <f t="shared" si="3"/>
        <v>0</v>
      </c>
      <c r="BX185" s="88"/>
      <c r="CQ185" s="88"/>
    </row>
    <row r="186" spans="1:95" outlineLevel="1" x14ac:dyDescent="0.15">
      <c r="A186" s="76">
        <v>188</v>
      </c>
      <c r="B186" s="65" t="s">
        <v>454</v>
      </c>
      <c r="C186" s="65">
        <v>1068927240</v>
      </c>
      <c r="D186" s="81" t="str">
        <f t="shared" si="4"/>
        <v>https://portal.dnb.de/opac.htm?method=simpleSearch&amp;cqlMode=true&amp;query=idn%3D1068927240</v>
      </c>
      <c r="E186" s="65" t="s">
        <v>455</v>
      </c>
      <c r="F186" s="76"/>
      <c r="G186" s="78"/>
      <c r="H186" s="76"/>
      <c r="I186" s="78"/>
      <c r="J186" s="78"/>
      <c r="K186" s="76"/>
      <c r="L186" s="76"/>
      <c r="M186" s="76"/>
      <c r="N186" s="76"/>
      <c r="O186" s="76"/>
      <c r="P186" s="76"/>
      <c r="Q186" s="76"/>
      <c r="R186" s="76"/>
      <c r="AZ186" s="88">
        <f t="shared" si="3"/>
        <v>0</v>
      </c>
      <c r="BX186" s="88"/>
      <c r="CQ186" s="88"/>
    </row>
    <row r="187" spans="1:95" ht="22.5" outlineLevel="1" x14ac:dyDescent="0.15">
      <c r="A187" s="76">
        <v>189</v>
      </c>
      <c r="B187" s="65" t="s">
        <v>456</v>
      </c>
      <c r="C187" s="65">
        <v>1066959099</v>
      </c>
      <c r="D187" s="81" t="str">
        <f t="shared" si="4"/>
        <v>https://portal.dnb.de/opac.htm?method=simpleSearch&amp;cqlMode=true&amp;query=idn%3D1066959099</v>
      </c>
      <c r="E187" s="65" t="s">
        <v>457</v>
      </c>
      <c r="F187" s="76" t="s">
        <v>89</v>
      </c>
      <c r="G187" s="78" t="s">
        <v>5</v>
      </c>
      <c r="H187" s="76" t="s">
        <v>51</v>
      </c>
      <c r="I187" s="78" t="s">
        <v>90</v>
      </c>
      <c r="J187" s="78" t="s">
        <v>2515</v>
      </c>
      <c r="K187" s="76"/>
      <c r="L187" s="76"/>
      <c r="M187" s="76"/>
      <c r="N187" s="76">
        <v>0</v>
      </c>
      <c r="O187" s="76"/>
      <c r="P187" s="76"/>
      <c r="Q187" s="76"/>
      <c r="R187" s="76"/>
      <c r="AZ187" s="88">
        <f t="shared" si="3"/>
        <v>0</v>
      </c>
      <c r="BX187" s="88"/>
      <c r="CQ187" s="88"/>
    </row>
    <row r="188" spans="1:95" ht="22.5" outlineLevel="1" x14ac:dyDescent="0.15">
      <c r="A188" s="76">
        <v>190</v>
      </c>
      <c r="B188" s="65" t="s">
        <v>458</v>
      </c>
      <c r="C188" s="65">
        <v>1002641578</v>
      </c>
      <c r="D188" s="81" t="str">
        <f t="shared" si="4"/>
        <v>https://portal.dnb.de/opac.htm?method=simpleSearch&amp;cqlMode=true&amp;query=idn%3D1002641578</v>
      </c>
      <c r="E188" s="65" t="s">
        <v>459</v>
      </c>
      <c r="F188" s="76"/>
      <c r="G188" s="78" t="s">
        <v>2523</v>
      </c>
      <c r="H188" s="76" t="s">
        <v>50</v>
      </c>
      <c r="I188" s="78" t="s">
        <v>55</v>
      </c>
      <c r="J188" s="78"/>
      <c r="K188" s="76"/>
      <c r="L188" s="76"/>
      <c r="M188" s="76"/>
      <c r="N188" s="76">
        <v>0</v>
      </c>
      <c r="O188" s="76"/>
      <c r="P188" s="76"/>
      <c r="Q188" s="76"/>
      <c r="R188" s="76"/>
      <c r="AZ188" s="88">
        <f t="shared" si="3"/>
        <v>0</v>
      </c>
      <c r="BX188" s="88"/>
      <c r="CQ188" s="88"/>
    </row>
    <row r="189" spans="1:95" outlineLevel="1" x14ac:dyDescent="0.15">
      <c r="A189" s="76">
        <v>191</v>
      </c>
      <c r="B189" s="65" t="s">
        <v>460</v>
      </c>
      <c r="C189" s="65">
        <v>1209069822</v>
      </c>
      <c r="D189" s="81" t="str">
        <f t="shared" si="4"/>
        <v>https://portal.dnb.de/opac.htm?method=simpleSearch&amp;cqlMode=true&amp;query=idn%3D1209069822</v>
      </c>
      <c r="E189" s="65" t="s">
        <v>461</v>
      </c>
      <c r="F189" s="76"/>
      <c r="G189" s="78"/>
      <c r="H189" s="76"/>
      <c r="I189" s="78"/>
      <c r="J189" s="78"/>
      <c r="K189" s="76"/>
      <c r="L189" s="76"/>
      <c r="M189" s="76"/>
      <c r="N189" s="76"/>
      <c r="O189" s="76"/>
      <c r="P189" s="76"/>
      <c r="Q189" s="76"/>
      <c r="R189" s="76"/>
      <c r="AZ189" s="88">
        <f t="shared" si="3"/>
        <v>0</v>
      </c>
      <c r="BX189" s="88"/>
      <c r="CQ189" s="88"/>
    </row>
    <row r="190" spans="1:95" ht="22.5" outlineLevel="1" x14ac:dyDescent="0.15">
      <c r="A190" s="76">
        <v>192</v>
      </c>
      <c r="B190" s="65" t="s">
        <v>462</v>
      </c>
      <c r="C190" s="65">
        <v>1066964181</v>
      </c>
      <c r="D190" s="81" t="str">
        <f>HYPERLINK(CONCATENATE("https://portal.dnb.de/opac.htm?method=simpleSearch&amp;cqlMode=true&amp;query=idn%3D",C190))</f>
        <v>https://portal.dnb.de/opac.htm?method=simpleSearch&amp;cqlMode=true&amp;query=idn%3D1066964181</v>
      </c>
      <c r="E190" s="65" t="s">
        <v>463</v>
      </c>
      <c r="F190" s="76" t="s">
        <v>89</v>
      </c>
      <c r="G190" s="78" t="s">
        <v>2520</v>
      </c>
      <c r="H190" s="76" t="s">
        <v>50</v>
      </c>
      <c r="I190" s="78" t="s">
        <v>55</v>
      </c>
      <c r="J190" s="78"/>
      <c r="K190" s="76"/>
      <c r="L190" s="76" t="s">
        <v>35</v>
      </c>
      <c r="M190" s="76" t="s">
        <v>37</v>
      </c>
      <c r="N190" s="76">
        <v>3</v>
      </c>
      <c r="O190" s="76"/>
      <c r="P190" s="76" t="s">
        <v>2539</v>
      </c>
      <c r="Q190" s="76"/>
      <c r="R190" s="76"/>
      <c r="AZ190" s="88">
        <f t="shared" si="3"/>
        <v>0</v>
      </c>
      <c r="BX190" s="88"/>
      <c r="CQ190" s="88"/>
    </row>
    <row r="191" spans="1:95" ht="22.5" outlineLevel="1" x14ac:dyDescent="0.15">
      <c r="A191" s="76">
        <v>193</v>
      </c>
      <c r="B191" s="65" t="s">
        <v>464</v>
      </c>
      <c r="C191" s="65">
        <v>1066956596</v>
      </c>
      <c r="D191" s="81" t="str">
        <f>HYPERLINK(CONCATENATE("https://portal.dnb.de/opac.htm?method=simpleSearch&amp;cqlMode=true&amp;query=idn%3D",C191))</f>
        <v>https://portal.dnb.de/opac.htm?method=simpleSearch&amp;cqlMode=true&amp;query=idn%3D1066956596</v>
      </c>
      <c r="E191" s="65" t="s">
        <v>465</v>
      </c>
      <c r="F191" s="76" t="s">
        <v>89</v>
      </c>
      <c r="G191" s="78" t="s">
        <v>3</v>
      </c>
      <c r="H191" s="76" t="s">
        <v>50</v>
      </c>
      <c r="I191" s="78" t="s">
        <v>90</v>
      </c>
      <c r="J191" s="78" t="s">
        <v>2540</v>
      </c>
      <c r="K191" s="76"/>
      <c r="L191" s="76" t="s">
        <v>33</v>
      </c>
      <c r="M191" s="76" t="s">
        <v>36</v>
      </c>
      <c r="N191" s="76">
        <v>0</v>
      </c>
      <c r="O191" s="76"/>
      <c r="P191" s="76"/>
      <c r="Q191" s="76"/>
      <c r="R191" s="76"/>
      <c r="X191" s="84" t="s">
        <v>2652</v>
      </c>
      <c r="AA191" s="84" t="s">
        <v>2642</v>
      </c>
      <c r="AG191" s="84" t="s">
        <v>2643</v>
      </c>
      <c r="AN191" s="84" t="s">
        <v>2541</v>
      </c>
      <c r="AO191" s="86" t="s">
        <v>2660</v>
      </c>
      <c r="AU191" s="84">
        <v>80</v>
      </c>
      <c r="AY191" s="86" t="s">
        <v>2644</v>
      </c>
      <c r="AZ191" s="88">
        <f t="shared" si="3"/>
        <v>1</v>
      </c>
      <c r="BF191" s="84" t="s">
        <v>2659</v>
      </c>
      <c r="BG191" s="84" t="s">
        <v>2541</v>
      </c>
      <c r="BX191" s="88"/>
      <c r="CI191" s="84" t="s">
        <v>2541</v>
      </c>
      <c r="CL191" s="84" t="s">
        <v>2541</v>
      </c>
      <c r="CQ191" s="88">
        <v>1</v>
      </c>
    </row>
    <row r="192" spans="1:95" ht="22.5" outlineLevel="1" x14ac:dyDescent="0.15">
      <c r="A192" s="76">
        <v>194</v>
      </c>
      <c r="B192" s="65" t="s">
        <v>466</v>
      </c>
      <c r="C192" s="65">
        <v>1066847134</v>
      </c>
      <c r="D192" s="81" t="str">
        <f>HYPERLINK(CONCATENATE("https://portal.dnb.de/opac.htm?method=simpleSearch&amp;cqlMode=true&amp;query=idn%3D",C192))</f>
        <v>https://portal.dnb.de/opac.htm?method=simpleSearch&amp;cqlMode=true&amp;query=idn%3D1066847134</v>
      </c>
      <c r="E192" s="65" t="s">
        <v>467</v>
      </c>
      <c r="F192" s="76" t="s">
        <v>89</v>
      </c>
      <c r="G192" s="78" t="s">
        <v>2518</v>
      </c>
      <c r="H192" s="76" t="s">
        <v>50</v>
      </c>
      <c r="I192" s="78" t="s">
        <v>55</v>
      </c>
      <c r="J192" s="78" t="s">
        <v>81</v>
      </c>
      <c r="K192" s="76"/>
      <c r="L192" s="76" t="s">
        <v>34</v>
      </c>
      <c r="M192" s="76" t="s">
        <v>37</v>
      </c>
      <c r="N192" s="76">
        <v>0</v>
      </c>
      <c r="O192" s="76"/>
      <c r="P192" s="76"/>
      <c r="Q192" s="76"/>
      <c r="R192" s="76"/>
      <c r="AZ192" s="88">
        <f t="shared" ref="AZ192:AZ255" si="5">BX192+CQ192</f>
        <v>0</v>
      </c>
      <c r="BX192" s="88"/>
      <c r="CQ192" s="88"/>
    </row>
    <row r="193" spans="1:95" outlineLevel="1" x14ac:dyDescent="0.15">
      <c r="A193" s="76">
        <v>195</v>
      </c>
      <c r="B193" s="65" t="s">
        <v>468</v>
      </c>
      <c r="C193" s="65">
        <v>1066959625</v>
      </c>
      <c r="D193" s="81" t="str">
        <f t="shared" si="4"/>
        <v>https://portal.dnb.de/opac.htm?method=simpleSearch&amp;cqlMode=true&amp;query=idn%3D1066959625</v>
      </c>
      <c r="E193" s="65" t="s">
        <v>469</v>
      </c>
      <c r="F193" s="76"/>
      <c r="G193" s="78"/>
      <c r="H193" s="76"/>
      <c r="I193" s="78"/>
      <c r="J193" s="78"/>
      <c r="K193" s="76"/>
      <c r="L193" s="76"/>
      <c r="M193" s="76"/>
      <c r="N193" s="76"/>
      <c r="O193" s="76"/>
      <c r="P193" s="76"/>
      <c r="Q193" s="76"/>
      <c r="R193" s="76"/>
      <c r="AZ193" s="88">
        <f t="shared" si="5"/>
        <v>0</v>
      </c>
      <c r="BX193" s="88"/>
      <c r="CQ193" s="88"/>
    </row>
    <row r="194" spans="1:95" outlineLevel="1" x14ac:dyDescent="0.15">
      <c r="A194" s="76">
        <v>196</v>
      </c>
      <c r="B194" s="65" t="s">
        <v>470</v>
      </c>
      <c r="C194" s="65">
        <v>1066870896</v>
      </c>
      <c r="D194" s="81" t="str">
        <f t="shared" si="4"/>
        <v>https://portal.dnb.de/opac.htm?method=simpleSearch&amp;cqlMode=true&amp;query=idn%3D1066870896</v>
      </c>
      <c r="E194" s="65" t="s">
        <v>471</v>
      </c>
      <c r="F194" s="76"/>
      <c r="G194" s="78"/>
      <c r="H194" s="76"/>
      <c r="I194" s="78"/>
      <c r="J194" s="78"/>
      <c r="K194" s="76"/>
      <c r="L194" s="76"/>
      <c r="M194" s="76"/>
      <c r="N194" s="76"/>
      <c r="O194" s="76"/>
      <c r="P194" s="76"/>
      <c r="Q194" s="76"/>
      <c r="R194" s="76"/>
      <c r="AZ194" s="88">
        <f t="shared" si="5"/>
        <v>0</v>
      </c>
      <c r="BX194" s="88"/>
      <c r="CQ194" s="88"/>
    </row>
    <row r="195" spans="1:95" outlineLevel="1" x14ac:dyDescent="0.15">
      <c r="A195" s="76">
        <v>197</v>
      </c>
      <c r="B195" s="65" t="s">
        <v>472</v>
      </c>
      <c r="C195" s="65">
        <v>1066761140</v>
      </c>
      <c r="D195" s="81" t="str">
        <f t="shared" si="4"/>
        <v>https://portal.dnb.de/opac.htm?method=simpleSearch&amp;cqlMode=true&amp;query=idn%3D1066761140</v>
      </c>
      <c r="E195" s="65" t="s">
        <v>473</v>
      </c>
      <c r="F195" s="76"/>
      <c r="G195" s="78"/>
      <c r="H195" s="76"/>
      <c r="I195" s="78"/>
      <c r="J195" s="78"/>
      <c r="K195" s="76"/>
      <c r="L195" s="76"/>
      <c r="M195" s="76"/>
      <c r="N195" s="76"/>
      <c r="O195" s="76"/>
      <c r="P195" s="76"/>
      <c r="Q195" s="76"/>
      <c r="R195" s="76"/>
      <c r="AZ195" s="88">
        <f t="shared" si="5"/>
        <v>0</v>
      </c>
      <c r="BX195" s="88"/>
      <c r="CQ195" s="88"/>
    </row>
    <row r="196" spans="1:95" outlineLevel="1" x14ac:dyDescent="0.15">
      <c r="A196" s="76">
        <v>198</v>
      </c>
      <c r="B196" s="65" t="s">
        <v>474</v>
      </c>
      <c r="C196" s="65">
        <v>1066873054</v>
      </c>
      <c r="D196" s="81" t="str">
        <f t="shared" si="4"/>
        <v>https://portal.dnb.de/opac.htm?method=simpleSearch&amp;cqlMode=true&amp;query=idn%3D1066873054</v>
      </c>
      <c r="E196" s="65" t="s">
        <v>475</v>
      </c>
      <c r="F196" s="76"/>
      <c r="G196" s="78"/>
      <c r="H196" s="76"/>
      <c r="I196" s="78"/>
      <c r="J196" s="78"/>
      <c r="K196" s="76"/>
      <c r="L196" s="76"/>
      <c r="M196" s="76"/>
      <c r="N196" s="76"/>
      <c r="O196" s="76"/>
      <c r="P196" s="76"/>
      <c r="Q196" s="76"/>
      <c r="R196" s="76"/>
      <c r="AZ196" s="88">
        <f t="shared" si="5"/>
        <v>0</v>
      </c>
      <c r="BX196" s="88"/>
      <c r="CQ196" s="88"/>
    </row>
    <row r="197" spans="1:95" outlineLevel="1" x14ac:dyDescent="0.15">
      <c r="A197" s="76">
        <v>199</v>
      </c>
      <c r="B197" s="65" t="s">
        <v>476</v>
      </c>
      <c r="C197" s="65">
        <v>1066838550</v>
      </c>
      <c r="D197" s="81" t="str">
        <f t="shared" si="4"/>
        <v>https://portal.dnb.de/opac.htm?method=simpleSearch&amp;cqlMode=true&amp;query=idn%3D1066838550</v>
      </c>
      <c r="E197" s="65" t="s">
        <v>477</v>
      </c>
      <c r="F197" s="76"/>
      <c r="G197" s="78"/>
      <c r="H197" s="76"/>
      <c r="I197" s="78"/>
      <c r="J197" s="78"/>
      <c r="K197" s="76"/>
      <c r="L197" s="76"/>
      <c r="M197" s="76"/>
      <c r="N197" s="76"/>
      <c r="O197" s="76"/>
      <c r="P197" s="76"/>
      <c r="Q197" s="76"/>
      <c r="R197" s="76"/>
      <c r="AZ197" s="88">
        <f t="shared" si="5"/>
        <v>0</v>
      </c>
      <c r="BX197" s="88"/>
      <c r="CQ197" s="88"/>
    </row>
    <row r="198" spans="1:95" outlineLevel="1" x14ac:dyDescent="0.15">
      <c r="A198" s="76">
        <v>200</v>
      </c>
      <c r="B198" s="65" t="s">
        <v>478</v>
      </c>
      <c r="C198" s="65">
        <v>1066956715</v>
      </c>
      <c r="D198" s="81" t="str">
        <f>HYPERLINK(CONCATENATE("https://portal.dnb.de/opac.htm?method=simpleSearch&amp;cqlMode=true&amp;query=idn%3D",C198))</f>
        <v>https://portal.dnb.de/opac.htm?method=simpleSearch&amp;cqlMode=true&amp;query=idn%3D1066956715</v>
      </c>
      <c r="E198" s="65" t="s">
        <v>479</v>
      </c>
      <c r="F198" s="76" t="s">
        <v>89</v>
      </c>
      <c r="G198" s="78" t="s">
        <v>45</v>
      </c>
      <c r="H198" s="76" t="s">
        <v>51</v>
      </c>
      <c r="I198" s="78" t="s">
        <v>55</v>
      </c>
      <c r="J198" s="78" t="s">
        <v>81</v>
      </c>
      <c r="K198" s="76"/>
      <c r="L198" s="76" t="s">
        <v>35</v>
      </c>
      <c r="M198" s="76" t="s">
        <v>37</v>
      </c>
      <c r="N198" s="76">
        <v>3</v>
      </c>
      <c r="O198" s="76"/>
      <c r="P198" s="76"/>
      <c r="Q198" s="76"/>
      <c r="R198" s="76"/>
      <c r="X198" s="84" t="s">
        <v>2646</v>
      </c>
      <c r="AA198" s="84" t="s">
        <v>2675</v>
      </c>
      <c r="AG198" s="84" t="s">
        <v>2643</v>
      </c>
      <c r="AU198" s="84">
        <v>80</v>
      </c>
      <c r="AY198" s="86" t="s">
        <v>2651</v>
      </c>
      <c r="AZ198" s="88">
        <f t="shared" si="5"/>
        <v>0</v>
      </c>
      <c r="BB198" s="84" t="s">
        <v>2777</v>
      </c>
      <c r="BH198" s="79" t="s">
        <v>2962</v>
      </c>
      <c r="BX198" s="88"/>
      <c r="CQ198" s="88"/>
    </row>
    <row r="199" spans="1:95" outlineLevel="1" x14ac:dyDescent="0.15">
      <c r="A199" s="76">
        <v>201</v>
      </c>
      <c r="B199" s="65" t="s">
        <v>480</v>
      </c>
      <c r="C199" s="65">
        <v>1207426016</v>
      </c>
      <c r="D199" s="81" t="str">
        <f t="shared" si="4"/>
        <v>https://portal.dnb.de/opac.htm?method=simpleSearch&amp;cqlMode=true&amp;query=idn%3D1207426016</v>
      </c>
      <c r="E199" s="65" t="s">
        <v>481</v>
      </c>
      <c r="F199" s="76"/>
      <c r="G199" s="78"/>
      <c r="H199" s="76"/>
      <c r="I199" s="78"/>
      <c r="J199" s="78"/>
      <c r="K199" s="76"/>
      <c r="L199" s="76"/>
      <c r="M199" s="76"/>
      <c r="N199" s="76"/>
      <c r="O199" s="76"/>
      <c r="P199" s="76"/>
      <c r="Q199" s="76"/>
      <c r="R199" s="76"/>
      <c r="AZ199" s="88">
        <f t="shared" si="5"/>
        <v>0</v>
      </c>
      <c r="BX199" s="88"/>
      <c r="CQ199" s="88"/>
    </row>
    <row r="200" spans="1:95" outlineLevel="1" x14ac:dyDescent="0.15">
      <c r="A200" s="76">
        <v>202</v>
      </c>
      <c r="B200" s="65" t="s">
        <v>482</v>
      </c>
      <c r="C200" s="65">
        <v>1207571555</v>
      </c>
      <c r="D200" s="81" t="str">
        <f t="shared" si="4"/>
        <v>https://portal.dnb.de/opac.htm?method=simpleSearch&amp;cqlMode=true&amp;query=idn%3D1207571555</v>
      </c>
      <c r="E200" s="65" t="s">
        <v>483</v>
      </c>
      <c r="F200" s="76"/>
      <c r="G200" s="78"/>
      <c r="H200" s="76"/>
      <c r="I200" s="78"/>
      <c r="J200" s="78"/>
      <c r="K200" s="76"/>
      <c r="L200" s="76"/>
      <c r="M200" s="76"/>
      <c r="N200" s="76"/>
      <c r="O200" s="76"/>
      <c r="P200" s="76"/>
      <c r="Q200" s="76"/>
      <c r="R200" s="76"/>
      <c r="AZ200" s="88">
        <f t="shared" si="5"/>
        <v>0</v>
      </c>
      <c r="BX200" s="88"/>
      <c r="CQ200" s="88"/>
    </row>
    <row r="201" spans="1:95" outlineLevel="1" x14ac:dyDescent="0.15">
      <c r="A201" s="76">
        <v>203</v>
      </c>
      <c r="B201" s="65" t="s">
        <v>484</v>
      </c>
      <c r="C201" s="65">
        <v>1066877033</v>
      </c>
      <c r="D201" s="81" t="str">
        <f t="shared" si="4"/>
        <v>https://portal.dnb.de/opac.htm?method=simpleSearch&amp;cqlMode=true&amp;query=idn%3D1066877033</v>
      </c>
      <c r="E201" s="65" t="s">
        <v>485</v>
      </c>
      <c r="F201" s="76"/>
      <c r="G201" s="78"/>
      <c r="H201" s="76"/>
      <c r="I201" s="78"/>
      <c r="J201" s="78"/>
      <c r="K201" s="76"/>
      <c r="L201" s="76"/>
      <c r="M201" s="76"/>
      <c r="N201" s="76"/>
      <c r="O201" s="76"/>
      <c r="P201" s="76"/>
      <c r="Q201" s="76"/>
      <c r="R201" s="76"/>
      <c r="AZ201" s="88">
        <f t="shared" si="5"/>
        <v>0</v>
      </c>
      <c r="BX201" s="88"/>
      <c r="CQ201" s="88"/>
    </row>
    <row r="202" spans="1:95" ht="22.5" outlineLevel="1" x14ac:dyDescent="0.15">
      <c r="A202" s="76">
        <v>204</v>
      </c>
      <c r="B202" s="65" t="s">
        <v>486</v>
      </c>
      <c r="C202" s="65">
        <v>1066941653</v>
      </c>
      <c r="D202" s="81" t="str">
        <f>HYPERLINK(CONCATENATE("https://portal.dnb.de/opac.htm?method=simpleSearch&amp;cqlMode=true&amp;query=idn%3D",C202))</f>
        <v>https://portal.dnb.de/opac.htm?method=simpleSearch&amp;cqlMode=true&amp;query=idn%3D1066941653</v>
      </c>
      <c r="E202" s="65" t="s">
        <v>487</v>
      </c>
      <c r="F202" s="76"/>
      <c r="G202" s="78" t="s">
        <v>2516</v>
      </c>
      <c r="H202" s="76" t="s">
        <v>50</v>
      </c>
      <c r="I202" s="78" t="s">
        <v>55</v>
      </c>
      <c r="J202" s="78" t="s">
        <v>81</v>
      </c>
      <c r="K202" s="76"/>
      <c r="L202" s="76" t="s">
        <v>34</v>
      </c>
      <c r="M202" s="76" t="s">
        <v>37</v>
      </c>
      <c r="N202" s="76">
        <v>0</v>
      </c>
      <c r="O202" s="76"/>
      <c r="P202" s="76"/>
      <c r="Q202" s="76"/>
      <c r="R202" s="76"/>
      <c r="AZ202" s="88">
        <f t="shared" si="5"/>
        <v>0</v>
      </c>
      <c r="BX202" s="88"/>
      <c r="CQ202" s="88"/>
    </row>
    <row r="203" spans="1:95" outlineLevel="1" x14ac:dyDescent="0.15">
      <c r="A203" s="76">
        <v>205</v>
      </c>
      <c r="B203" s="65" t="s">
        <v>488</v>
      </c>
      <c r="C203" s="65">
        <v>1066957541</v>
      </c>
      <c r="D203" s="81" t="str">
        <f t="shared" si="4"/>
        <v>https://portal.dnb.de/opac.htm?method=simpleSearch&amp;cqlMode=true&amp;query=idn%3D1066957541</v>
      </c>
      <c r="E203" s="65" t="s">
        <v>489</v>
      </c>
      <c r="F203" s="76"/>
      <c r="G203" s="78"/>
      <c r="H203" s="76"/>
      <c r="I203" s="78"/>
      <c r="J203" s="78"/>
      <c r="K203" s="76"/>
      <c r="L203" s="76"/>
      <c r="M203" s="76"/>
      <c r="N203" s="76"/>
      <c r="O203" s="76"/>
      <c r="P203" s="76"/>
      <c r="Q203" s="76"/>
      <c r="R203" s="76"/>
      <c r="AZ203" s="88">
        <f t="shared" si="5"/>
        <v>0</v>
      </c>
      <c r="BX203" s="88"/>
      <c r="CQ203" s="88"/>
    </row>
    <row r="204" spans="1:95" outlineLevel="1" x14ac:dyDescent="0.15">
      <c r="A204" s="76">
        <v>206</v>
      </c>
      <c r="B204" s="65" t="s">
        <v>490</v>
      </c>
      <c r="C204" s="65">
        <v>1066957991</v>
      </c>
      <c r="D204" s="81" t="str">
        <f>HYPERLINK(CONCATENATE("https://portal.dnb.de/opac.htm?method=simpleSearch&amp;cqlMode=true&amp;query=idn%3D",C204))</f>
        <v>https://portal.dnb.de/opac.htm?method=simpleSearch&amp;cqlMode=true&amp;query=idn%3D1066957991</v>
      </c>
      <c r="E204" s="65" t="s">
        <v>491</v>
      </c>
      <c r="F204" s="76" t="s">
        <v>89</v>
      </c>
      <c r="G204" s="78" t="s">
        <v>16</v>
      </c>
      <c r="H204" s="76" t="s">
        <v>50</v>
      </c>
      <c r="I204" s="78" t="s">
        <v>55</v>
      </c>
      <c r="J204" s="78"/>
      <c r="K204" s="76"/>
      <c r="L204" s="76"/>
      <c r="M204" s="76" t="s">
        <v>101</v>
      </c>
      <c r="N204" s="76">
        <v>0</v>
      </c>
      <c r="O204" s="76"/>
      <c r="P204" s="76"/>
      <c r="Q204" s="76"/>
      <c r="R204" s="76"/>
      <c r="AZ204" s="88">
        <f t="shared" si="5"/>
        <v>0</v>
      </c>
      <c r="BX204" s="88"/>
      <c r="CQ204" s="88"/>
    </row>
    <row r="205" spans="1:95" outlineLevel="1" x14ac:dyDescent="0.15">
      <c r="A205" s="76">
        <v>207</v>
      </c>
      <c r="B205" s="65" t="s">
        <v>492</v>
      </c>
      <c r="C205" s="65">
        <v>10730419</v>
      </c>
      <c r="D205" s="81" t="str">
        <f>HYPERLINK(CONCATENATE("https://portal.dnb.de/opac.htm?method=simpleSearch&amp;cqlMode=true&amp;query=idn%3D",C205))</f>
        <v>https://portal.dnb.de/opac.htm?method=simpleSearch&amp;cqlMode=true&amp;query=idn%3D10730419</v>
      </c>
      <c r="E205" s="65" t="s">
        <v>493</v>
      </c>
      <c r="F205" s="76"/>
      <c r="G205" s="78"/>
      <c r="H205" s="76"/>
      <c r="I205" s="78"/>
      <c r="J205" s="78"/>
      <c r="K205" s="76"/>
      <c r="L205" s="76"/>
      <c r="M205" s="76"/>
      <c r="N205" s="76"/>
      <c r="O205" s="76"/>
      <c r="P205" s="76"/>
      <c r="Q205" s="76"/>
      <c r="R205" s="76"/>
      <c r="AZ205" s="88">
        <f t="shared" si="5"/>
        <v>0</v>
      </c>
      <c r="BX205" s="88"/>
      <c r="CQ205" s="88"/>
    </row>
    <row r="206" spans="1:95" outlineLevel="1" x14ac:dyDescent="0.15">
      <c r="A206" s="76">
        <v>208</v>
      </c>
      <c r="B206" s="65" t="s">
        <v>494</v>
      </c>
      <c r="C206" s="65">
        <v>1066880867</v>
      </c>
      <c r="D206" s="81" t="str">
        <f t="shared" si="4"/>
        <v>https://portal.dnb.de/opac.htm?method=simpleSearch&amp;cqlMode=true&amp;query=idn%3D1066880867</v>
      </c>
      <c r="E206" s="65" t="s">
        <v>495</v>
      </c>
      <c r="F206" s="76"/>
      <c r="G206" s="78"/>
      <c r="H206" s="76"/>
      <c r="I206" s="78"/>
      <c r="J206" s="78"/>
      <c r="K206" s="76"/>
      <c r="L206" s="76"/>
      <c r="M206" s="76"/>
      <c r="N206" s="76"/>
      <c r="O206" s="76"/>
      <c r="P206" s="76"/>
      <c r="Q206" s="76"/>
      <c r="R206" s="76"/>
      <c r="AZ206" s="88">
        <f t="shared" si="5"/>
        <v>0</v>
      </c>
      <c r="BX206" s="88"/>
      <c r="CQ206" s="88"/>
    </row>
    <row r="207" spans="1:95" ht="22.5" outlineLevel="1" x14ac:dyDescent="0.15">
      <c r="A207" s="76">
        <v>209</v>
      </c>
      <c r="B207" s="65" t="s">
        <v>496</v>
      </c>
      <c r="C207" s="65">
        <v>1132654785</v>
      </c>
      <c r="D207" s="81" t="str">
        <f t="shared" si="4"/>
        <v>https://portal.dnb.de/opac.htm?method=simpleSearch&amp;cqlMode=true&amp;query=idn%3D1132654785</v>
      </c>
      <c r="E207" s="65" t="s">
        <v>497</v>
      </c>
      <c r="F207" s="76" t="s">
        <v>89</v>
      </c>
      <c r="G207" s="78" t="s">
        <v>2516</v>
      </c>
      <c r="H207" s="76" t="s">
        <v>51</v>
      </c>
      <c r="I207" s="78" t="s">
        <v>55</v>
      </c>
      <c r="J207" s="78" t="s">
        <v>94</v>
      </c>
      <c r="K207" s="76"/>
      <c r="L207" s="76" t="s">
        <v>34</v>
      </c>
      <c r="M207" s="76" t="s">
        <v>37</v>
      </c>
      <c r="N207" s="76">
        <v>2</v>
      </c>
      <c r="O207" s="76"/>
      <c r="P207" s="76"/>
      <c r="Q207" s="76"/>
      <c r="R207" s="76"/>
      <c r="X207" s="84" t="s">
        <v>2652</v>
      </c>
      <c r="Y207" s="84" t="s">
        <v>2541</v>
      </c>
      <c r="AA207" s="84" t="s">
        <v>2647</v>
      </c>
      <c r="AG207" s="84" t="s">
        <v>2643</v>
      </c>
      <c r="AH207" s="84" t="s">
        <v>2541</v>
      </c>
      <c r="AU207" s="84">
        <v>110</v>
      </c>
      <c r="AY207" s="86" t="s">
        <v>2651</v>
      </c>
      <c r="AZ207" s="88">
        <f t="shared" si="5"/>
        <v>0</v>
      </c>
      <c r="BD207" s="84" t="s">
        <v>2541</v>
      </c>
      <c r="BH207" s="79" t="s">
        <v>2962</v>
      </c>
      <c r="BX207" s="88"/>
      <c r="CQ207" s="88"/>
    </row>
    <row r="208" spans="1:95" outlineLevel="1" x14ac:dyDescent="0.15">
      <c r="A208" s="76">
        <v>210</v>
      </c>
      <c r="B208" s="65" t="s">
        <v>498</v>
      </c>
      <c r="C208" s="65">
        <v>1066678340</v>
      </c>
      <c r="D208" s="81" t="str">
        <f t="shared" si="4"/>
        <v>https://portal.dnb.de/opac.htm?method=simpleSearch&amp;cqlMode=true&amp;query=idn%3D1066678340</v>
      </c>
      <c r="E208" s="65" t="s">
        <v>499</v>
      </c>
      <c r="F208" s="76"/>
      <c r="G208" s="78"/>
      <c r="H208" s="76"/>
      <c r="I208" s="78"/>
      <c r="J208" s="78"/>
      <c r="K208" s="76"/>
      <c r="L208" s="76"/>
      <c r="M208" s="76"/>
      <c r="N208" s="76"/>
      <c r="O208" s="76"/>
      <c r="P208" s="76"/>
      <c r="Q208" s="76"/>
      <c r="R208" s="76"/>
      <c r="AZ208" s="88">
        <f t="shared" si="5"/>
        <v>0</v>
      </c>
      <c r="BX208" s="88"/>
      <c r="CQ208" s="88"/>
    </row>
    <row r="209" spans="1:95" ht="33.75" outlineLevel="1" x14ac:dyDescent="0.15">
      <c r="A209" s="76">
        <v>211</v>
      </c>
      <c r="B209" s="65" t="s">
        <v>500</v>
      </c>
      <c r="C209" s="65">
        <v>1066940827</v>
      </c>
      <c r="D209" s="81" t="str">
        <f t="shared" ref="D209:D273" si="6">HYPERLINK(CONCATENATE("https://portal.dnb.de/opac.htm?method=simpleSearch&amp;cqlMode=true&amp;query=idn%3D",C209))</f>
        <v>https://portal.dnb.de/opac.htm?method=simpleSearch&amp;cqlMode=true&amp;query=idn%3D1066940827</v>
      </c>
      <c r="E209" s="65" t="s">
        <v>501</v>
      </c>
      <c r="F209" s="76"/>
      <c r="G209" s="78"/>
      <c r="H209" s="76" t="s">
        <v>51</v>
      </c>
      <c r="I209" s="78"/>
      <c r="J209" s="78"/>
      <c r="K209" s="76"/>
      <c r="L209" s="76"/>
      <c r="M209" s="76"/>
      <c r="N209" s="76"/>
      <c r="O209" s="76"/>
      <c r="P209" s="76"/>
      <c r="Q209" s="76"/>
      <c r="R209" s="76"/>
      <c r="X209" s="84" t="s">
        <v>2652</v>
      </c>
      <c r="Y209" s="84" t="s">
        <v>2541</v>
      </c>
      <c r="AA209" s="84" t="s">
        <v>2647</v>
      </c>
      <c r="AC209" s="84" t="s">
        <v>2541</v>
      </c>
      <c r="AG209" s="84" t="s">
        <v>2643</v>
      </c>
      <c r="AU209" s="84">
        <v>110</v>
      </c>
      <c r="AY209" s="86" t="s">
        <v>2651</v>
      </c>
      <c r="AZ209" s="88">
        <f t="shared" si="5"/>
        <v>0</v>
      </c>
      <c r="BD209" s="84" t="s">
        <v>2541</v>
      </c>
      <c r="BH209" s="79" t="s">
        <v>2962</v>
      </c>
      <c r="BI209" s="63" t="s">
        <v>2780</v>
      </c>
      <c r="BJ209" s="79" t="s">
        <v>2836</v>
      </c>
      <c r="BX209" s="88"/>
      <c r="CQ209" s="88"/>
    </row>
    <row r="210" spans="1:95" ht="22.5" outlineLevel="1" x14ac:dyDescent="0.15">
      <c r="A210" s="76">
        <v>212</v>
      </c>
      <c r="B210" s="65" t="s">
        <v>502</v>
      </c>
      <c r="C210" s="65">
        <v>993906184</v>
      </c>
      <c r="D210" s="81" t="str">
        <f t="shared" si="6"/>
        <v>https://portal.dnb.de/opac.htm?method=simpleSearch&amp;cqlMode=true&amp;query=idn%3D993906184</v>
      </c>
      <c r="E210" s="65" t="s">
        <v>503</v>
      </c>
      <c r="F210" s="76" t="s">
        <v>89</v>
      </c>
      <c r="G210" s="78" t="s">
        <v>2520</v>
      </c>
      <c r="H210" s="76" t="s">
        <v>50</v>
      </c>
      <c r="I210" s="78" t="s">
        <v>55</v>
      </c>
      <c r="J210" s="78" t="s">
        <v>81</v>
      </c>
      <c r="K210" s="76"/>
      <c r="L210" s="76" t="s">
        <v>34</v>
      </c>
      <c r="M210" s="76" t="s">
        <v>37</v>
      </c>
      <c r="N210" s="76">
        <v>0</v>
      </c>
      <c r="O210" s="76"/>
      <c r="P210" s="76"/>
      <c r="Q210" s="76"/>
      <c r="R210" s="76"/>
      <c r="AZ210" s="88">
        <f t="shared" si="5"/>
        <v>0</v>
      </c>
      <c r="BX210" s="88"/>
      <c r="CQ210" s="88"/>
    </row>
    <row r="211" spans="1:95" outlineLevel="1" x14ac:dyDescent="0.15">
      <c r="A211" s="76">
        <v>213</v>
      </c>
      <c r="B211" s="65" t="s">
        <v>504</v>
      </c>
      <c r="C211" s="65">
        <v>993862659</v>
      </c>
      <c r="D211" s="81" t="str">
        <f t="shared" si="6"/>
        <v>https://portal.dnb.de/opac.htm?method=simpleSearch&amp;cqlMode=true&amp;query=idn%3D993862659</v>
      </c>
      <c r="E211" s="65" t="s">
        <v>505</v>
      </c>
      <c r="F211" s="76" t="s">
        <v>89</v>
      </c>
      <c r="G211" s="78" t="s">
        <v>17</v>
      </c>
      <c r="H211" s="76" t="s">
        <v>50</v>
      </c>
      <c r="I211" s="78" t="s">
        <v>55</v>
      </c>
      <c r="J211" s="78" t="s">
        <v>81</v>
      </c>
      <c r="K211" s="76"/>
      <c r="L211" s="76"/>
      <c r="M211" s="76"/>
      <c r="N211" s="76">
        <v>1</v>
      </c>
      <c r="O211" s="76"/>
      <c r="P211" s="76"/>
      <c r="Q211" s="76"/>
      <c r="R211" s="76"/>
      <c r="AZ211" s="88">
        <f t="shared" si="5"/>
        <v>0</v>
      </c>
      <c r="BX211" s="88"/>
      <c r="CQ211" s="88"/>
    </row>
    <row r="212" spans="1:95" outlineLevel="1" x14ac:dyDescent="0.15">
      <c r="A212" s="76">
        <v>214</v>
      </c>
      <c r="B212" s="65" t="s">
        <v>506</v>
      </c>
      <c r="C212" s="65">
        <v>1066962251</v>
      </c>
      <c r="D212" s="81" t="str">
        <f t="shared" si="6"/>
        <v>https://portal.dnb.de/opac.htm?method=simpleSearch&amp;cqlMode=true&amp;query=idn%3D1066962251</v>
      </c>
      <c r="E212" s="65" t="s">
        <v>507</v>
      </c>
      <c r="F212" s="76" t="s">
        <v>2541</v>
      </c>
      <c r="G212" s="78" t="s">
        <v>16</v>
      </c>
      <c r="H212" s="76" t="s">
        <v>50</v>
      </c>
      <c r="I212" s="78" t="s">
        <v>55</v>
      </c>
      <c r="J212" s="78"/>
      <c r="K212" s="76"/>
      <c r="L212" s="76"/>
      <c r="M212" s="76"/>
      <c r="N212" s="76">
        <v>0</v>
      </c>
      <c r="O212" s="76"/>
      <c r="P212" s="76"/>
      <c r="Q212" s="76"/>
      <c r="R212" s="76"/>
      <c r="AZ212" s="88">
        <f t="shared" si="5"/>
        <v>0</v>
      </c>
      <c r="BX212" s="88"/>
      <c r="CQ212" s="88"/>
    </row>
    <row r="213" spans="1:95" ht="33.75" outlineLevel="1" x14ac:dyDescent="0.15">
      <c r="A213" s="76">
        <v>215</v>
      </c>
      <c r="B213" s="65" t="s">
        <v>508</v>
      </c>
      <c r="C213" s="65">
        <v>1066874492</v>
      </c>
      <c r="D213" s="81" t="str">
        <f t="shared" si="6"/>
        <v>https://portal.dnb.de/opac.htm?method=simpleSearch&amp;cqlMode=true&amp;query=idn%3D1066874492</v>
      </c>
      <c r="E213" s="65" t="s">
        <v>509</v>
      </c>
      <c r="F213" s="76" t="s">
        <v>2541</v>
      </c>
      <c r="G213" s="78" t="s">
        <v>2516</v>
      </c>
      <c r="H213" s="76" t="s">
        <v>50</v>
      </c>
      <c r="I213" s="78" t="s">
        <v>55</v>
      </c>
      <c r="J213" s="78" t="s">
        <v>2513</v>
      </c>
      <c r="K213" s="76"/>
      <c r="L213" s="76" t="s">
        <v>34</v>
      </c>
      <c r="M213" s="76" t="s">
        <v>37</v>
      </c>
      <c r="N213" s="76">
        <v>3</v>
      </c>
      <c r="O213" s="76"/>
      <c r="P213" s="76"/>
      <c r="Q213" s="76"/>
      <c r="R213" s="76"/>
      <c r="X213" s="84" t="s">
        <v>2652</v>
      </c>
      <c r="Y213" s="84" t="s">
        <v>2541</v>
      </c>
      <c r="AA213" s="84" t="s">
        <v>2647</v>
      </c>
      <c r="AG213" s="84" t="s">
        <v>2643</v>
      </c>
      <c r="AH213" s="84" t="s">
        <v>2541</v>
      </c>
      <c r="AU213" s="84">
        <v>80</v>
      </c>
      <c r="AY213" s="86" t="s">
        <v>2651</v>
      </c>
      <c r="AZ213" s="88">
        <f t="shared" si="5"/>
        <v>0</v>
      </c>
      <c r="BD213" s="84" t="s">
        <v>2541</v>
      </c>
      <c r="BX213" s="88"/>
      <c r="CQ213" s="88"/>
    </row>
    <row r="214" spans="1:95" ht="22.5" outlineLevel="1" x14ac:dyDescent="0.15">
      <c r="A214" s="76">
        <v>216</v>
      </c>
      <c r="B214" s="65" t="s">
        <v>510</v>
      </c>
      <c r="C214" s="65">
        <v>993948014</v>
      </c>
      <c r="D214" s="81" t="str">
        <f t="shared" si="6"/>
        <v>https://portal.dnb.de/opac.htm?method=simpleSearch&amp;cqlMode=true&amp;query=idn%3D993948014</v>
      </c>
      <c r="E214" s="65" t="s">
        <v>511</v>
      </c>
      <c r="F214" s="76"/>
      <c r="G214" s="78" t="s">
        <v>2510</v>
      </c>
      <c r="H214" s="76" t="s">
        <v>50</v>
      </c>
      <c r="I214" s="78" t="s">
        <v>90</v>
      </c>
      <c r="J214" s="78" t="s">
        <v>81</v>
      </c>
      <c r="K214" s="76"/>
      <c r="L214" s="76" t="s">
        <v>34</v>
      </c>
      <c r="M214" s="76" t="s">
        <v>37</v>
      </c>
      <c r="N214" s="76">
        <v>0</v>
      </c>
      <c r="O214" s="76"/>
      <c r="P214" s="76"/>
      <c r="Q214" s="76"/>
      <c r="R214" s="76"/>
      <c r="AZ214" s="88">
        <f t="shared" si="5"/>
        <v>0</v>
      </c>
      <c r="BX214" s="88"/>
      <c r="CQ214" s="88"/>
    </row>
    <row r="215" spans="1:95" outlineLevel="1" x14ac:dyDescent="0.15">
      <c r="A215" s="76"/>
      <c r="B215" s="65"/>
      <c r="C215" s="65"/>
      <c r="D215" s="81"/>
      <c r="E215" s="65" t="s">
        <v>2545</v>
      </c>
      <c r="F215" s="76" t="s">
        <v>89</v>
      </c>
      <c r="G215" s="78" t="s">
        <v>5</v>
      </c>
      <c r="H215" s="76" t="s">
        <v>50</v>
      </c>
      <c r="I215" s="78" t="s">
        <v>55</v>
      </c>
      <c r="J215" s="78" t="s">
        <v>81</v>
      </c>
      <c r="K215" s="76"/>
      <c r="L215" s="76"/>
      <c r="M215" s="76"/>
      <c r="N215" s="76">
        <v>0</v>
      </c>
      <c r="O215" s="76"/>
      <c r="P215" s="76"/>
      <c r="Q215" s="76"/>
      <c r="R215" s="76"/>
      <c r="AZ215" s="88">
        <f t="shared" si="5"/>
        <v>0</v>
      </c>
      <c r="BX215" s="88"/>
      <c r="CQ215" s="88"/>
    </row>
    <row r="216" spans="1:95" outlineLevel="1" x14ac:dyDescent="0.15">
      <c r="A216" s="76">
        <v>217</v>
      </c>
      <c r="B216" s="65" t="s">
        <v>512</v>
      </c>
      <c r="C216" s="65" t="s">
        <v>513</v>
      </c>
      <c r="D216" s="81" t="str">
        <f>HYPERLINK(CONCATENATE("https://portal.dnb.de/opac.htm?method=simpleSearch&amp;cqlMode=true&amp;query=idn%3D",C216))</f>
        <v>https://portal.dnb.de/opac.htm?method=simpleSearch&amp;cqlMode=true&amp;query=idn%3D106696209X</v>
      </c>
      <c r="E216" s="65" t="s">
        <v>514</v>
      </c>
      <c r="F216" s="76" t="s">
        <v>89</v>
      </c>
      <c r="G216" s="78" t="s">
        <v>5</v>
      </c>
      <c r="H216" s="76" t="s">
        <v>50</v>
      </c>
      <c r="I216" s="78" t="s">
        <v>55</v>
      </c>
      <c r="J216" s="78" t="s">
        <v>81</v>
      </c>
      <c r="K216" s="76"/>
      <c r="L216" s="76"/>
      <c r="M216" s="76"/>
      <c r="N216" s="76">
        <v>0</v>
      </c>
      <c r="O216" s="76"/>
      <c r="P216" s="76"/>
      <c r="Q216" s="76"/>
      <c r="R216" s="76"/>
      <c r="AZ216" s="88">
        <f t="shared" si="5"/>
        <v>0</v>
      </c>
      <c r="BX216" s="88"/>
      <c r="CQ216" s="88"/>
    </row>
    <row r="217" spans="1:95" ht="22.5" outlineLevel="1" x14ac:dyDescent="0.15">
      <c r="A217" s="76">
        <v>218</v>
      </c>
      <c r="B217" s="65" t="s">
        <v>515</v>
      </c>
      <c r="C217" s="65" t="s">
        <v>516</v>
      </c>
      <c r="D217" s="81" t="str">
        <f>HYPERLINK(CONCATENATE("https://portal.dnb.de/opac.htm?method=simpleSearch&amp;cqlMode=true&amp;query=idn%3D",C217))</f>
        <v>https://portal.dnb.de/opac.htm?method=simpleSearch&amp;cqlMode=true&amp;query=idn%3D106683914X</v>
      </c>
      <c r="E217" s="65" t="s">
        <v>517</v>
      </c>
      <c r="F217" s="76" t="s">
        <v>89</v>
      </c>
      <c r="G217" s="78" t="s">
        <v>2518</v>
      </c>
      <c r="H217" s="76" t="s">
        <v>50</v>
      </c>
      <c r="I217" s="78" t="s">
        <v>90</v>
      </c>
      <c r="J217" s="78" t="s">
        <v>81</v>
      </c>
      <c r="K217" s="76"/>
      <c r="L217" s="76" t="s">
        <v>34</v>
      </c>
      <c r="M217" s="76" t="s">
        <v>37</v>
      </c>
      <c r="N217" s="76">
        <v>0</v>
      </c>
      <c r="O217" s="76"/>
      <c r="P217" s="76"/>
      <c r="Q217" s="76"/>
      <c r="R217" s="76"/>
      <c r="AZ217" s="88">
        <f t="shared" si="5"/>
        <v>0</v>
      </c>
      <c r="BX217" s="88"/>
      <c r="CQ217" s="88"/>
    </row>
    <row r="218" spans="1:95" ht="22.5" outlineLevel="1" x14ac:dyDescent="0.15">
      <c r="A218" s="76">
        <v>219</v>
      </c>
      <c r="B218" s="65" t="s">
        <v>518</v>
      </c>
      <c r="C218" s="65">
        <v>1066871981</v>
      </c>
      <c r="D218" s="81" t="str">
        <f>HYPERLINK(CONCATENATE("https://portal.dnb.de/opac.htm?method=simpleSearch&amp;cqlMode=true&amp;query=idn%3D",C218))</f>
        <v>https://portal.dnb.de/opac.htm?method=simpleSearch&amp;cqlMode=true&amp;query=idn%3D1066871981</v>
      </c>
      <c r="E218" s="65" t="s">
        <v>519</v>
      </c>
      <c r="F218" s="76" t="s">
        <v>89</v>
      </c>
      <c r="G218" s="78" t="s">
        <v>2518</v>
      </c>
      <c r="H218" s="76" t="s">
        <v>50</v>
      </c>
      <c r="I218" s="78" t="s">
        <v>55</v>
      </c>
      <c r="J218" s="78" t="s">
        <v>81</v>
      </c>
      <c r="K218" s="76"/>
      <c r="L218" s="76" t="s">
        <v>34</v>
      </c>
      <c r="M218" s="76" t="s">
        <v>37</v>
      </c>
      <c r="N218" s="76">
        <v>0</v>
      </c>
      <c r="O218" s="76"/>
      <c r="P218" s="76"/>
      <c r="Q218" s="76"/>
      <c r="R218" s="76"/>
      <c r="AZ218" s="88">
        <f t="shared" si="5"/>
        <v>0</v>
      </c>
      <c r="BX218" s="88"/>
      <c r="CQ218" s="88"/>
    </row>
    <row r="219" spans="1:95" outlineLevel="1" x14ac:dyDescent="0.15">
      <c r="A219" s="76">
        <v>220</v>
      </c>
      <c r="B219" s="65" t="s">
        <v>520</v>
      </c>
      <c r="C219" s="65">
        <v>1066865256</v>
      </c>
      <c r="D219" s="81" t="str">
        <f t="shared" si="6"/>
        <v>https://portal.dnb.de/opac.htm?method=simpleSearch&amp;cqlMode=true&amp;query=idn%3D1066865256</v>
      </c>
      <c r="E219" s="65" t="s">
        <v>521</v>
      </c>
      <c r="F219" s="76" t="s">
        <v>89</v>
      </c>
      <c r="G219" s="78" t="s">
        <v>5</v>
      </c>
      <c r="H219" s="76" t="s">
        <v>50</v>
      </c>
      <c r="I219" s="78" t="s">
        <v>55</v>
      </c>
      <c r="J219" s="78" t="s">
        <v>81</v>
      </c>
      <c r="K219" s="76"/>
      <c r="L219" s="76"/>
      <c r="M219" s="76"/>
      <c r="N219" s="76">
        <v>0</v>
      </c>
      <c r="O219" s="76"/>
      <c r="P219" s="76"/>
      <c r="Q219" s="76"/>
      <c r="R219" s="76"/>
      <c r="AZ219" s="88">
        <f t="shared" si="5"/>
        <v>0</v>
      </c>
      <c r="BX219" s="88"/>
      <c r="CQ219" s="88"/>
    </row>
    <row r="220" spans="1:95" outlineLevel="1" x14ac:dyDescent="0.15">
      <c r="A220" s="76">
        <v>221</v>
      </c>
      <c r="B220" s="65" t="s">
        <v>522</v>
      </c>
      <c r="C220" s="65">
        <v>1066958998</v>
      </c>
      <c r="D220" s="81" t="str">
        <f>HYPERLINK(CONCATENATE("https://portal.dnb.de/opac.htm?method=simpleSearch&amp;cqlMode=true&amp;query=idn%3D",C220))</f>
        <v>https://portal.dnb.de/opac.htm?method=simpleSearch&amp;cqlMode=true&amp;query=idn%3D1066958998</v>
      </c>
      <c r="E220" s="65" t="s">
        <v>523</v>
      </c>
      <c r="F220" s="76" t="s">
        <v>89</v>
      </c>
      <c r="G220" s="78" t="s">
        <v>4</v>
      </c>
      <c r="H220" s="76" t="s">
        <v>50</v>
      </c>
      <c r="I220" s="78" t="s">
        <v>90</v>
      </c>
      <c r="J220" s="78" t="s">
        <v>81</v>
      </c>
      <c r="K220" s="76"/>
      <c r="L220" s="76" t="s">
        <v>35</v>
      </c>
      <c r="M220" s="76" t="s">
        <v>37</v>
      </c>
      <c r="N220" s="76">
        <v>0</v>
      </c>
      <c r="O220" s="76"/>
      <c r="P220" s="76"/>
      <c r="Q220" s="76" t="s">
        <v>2546</v>
      </c>
      <c r="R220" s="76"/>
      <c r="AZ220" s="88">
        <f t="shared" si="5"/>
        <v>0</v>
      </c>
      <c r="BX220" s="88"/>
      <c r="CQ220" s="88"/>
    </row>
    <row r="221" spans="1:95" outlineLevel="1" x14ac:dyDescent="0.15">
      <c r="A221" s="76">
        <v>222</v>
      </c>
      <c r="B221" s="65" t="s">
        <v>524</v>
      </c>
      <c r="C221" s="65">
        <v>1066957525</v>
      </c>
      <c r="D221" s="81" t="str">
        <f>HYPERLINK(CONCATENATE("https://portal.dnb.de/opac.htm?method=simpleSearch&amp;cqlMode=true&amp;query=idn%3D",C221))</f>
        <v>https://portal.dnb.de/opac.htm?method=simpleSearch&amp;cqlMode=true&amp;query=idn%3D1066957525</v>
      </c>
      <c r="E221" s="65" t="s">
        <v>525</v>
      </c>
      <c r="F221" s="76" t="s">
        <v>89</v>
      </c>
      <c r="G221" s="78" t="s">
        <v>5</v>
      </c>
      <c r="H221" s="76" t="s">
        <v>50</v>
      </c>
      <c r="I221" s="78" t="s">
        <v>55</v>
      </c>
      <c r="J221" s="78" t="s">
        <v>81</v>
      </c>
      <c r="K221" s="76"/>
      <c r="L221" s="76"/>
      <c r="M221" s="76"/>
      <c r="N221" s="76">
        <v>1</v>
      </c>
      <c r="O221" s="76"/>
      <c r="P221" s="76"/>
      <c r="Q221" s="76"/>
      <c r="R221" s="76"/>
      <c r="AZ221" s="88">
        <f t="shared" si="5"/>
        <v>0</v>
      </c>
      <c r="BX221" s="88"/>
      <c r="CQ221" s="88"/>
    </row>
    <row r="222" spans="1:95" outlineLevel="1" x14ac:dyDescent="0.15">
      <c r="A222" s="76">
        <v>223</v>
      </c>
      <c r="B222" s="65" t="s">
        <v>526</v>
      </c>
      <c r="C222" s="65">
        <v>1066963142</v>
      </c>
      <c r="D222" s="81" t="str">
        <f>HYPERLINK(CONCATENATE("https://portal.dnb.de/opac.htm?method=simpleSearch&amp;cqlMode=true&amp;query=idn%3D",C222))</f>
        <v>https://portal.dnb.de/opac.htm?method=simpleSearch&amp;cqlMode=true&amp;query=idn%3D1066963142</v>
      </c>
      <c r="E222" s="65" t="s">
        <v>527</v>
      </c>
      <c r="F222" s="76" t="s">
        <v>89</v>
      </c>
      <c r="G222" s="78" t="s">
        <v>5</v>
      </c>
      <c r="H222" s="76" t="s">
        <v>50</v>
      </c>
      <c r="I222" s="78" t="s">
        <v>55</v>
      </c>
      <c r="J222" s="78" t="s">
        <v>81</v>
      </c>
      <c r="K222" s="76"/>
      <c r="L222" s="76"/>
      <c r="M222" s="76"/>
      <c r="N222" s="76">
        <v>0</v>
      </c>
      <c r="O222" s="76"/>
      <c r="P222" s="76"/>
      <c r="Q222" s="76"/>
      <c r="R222" s="76"/>
      <c r="AZ222" s="88">
        <f t="shared" si="5"/>
        <v>0</v>
      </c>
      <c r="BX222" s="88"/>
      <c r="CQ222" s="88"/>
    </row>
    <row r="223" spans="1:95" outlineLevel="1" x14ac:dyDescent="0.15">
      <c r="A223" s="76">
        <v>224</v>
      </c>
      <c r="B223" s="65" t="s">
        <v>528</v>
      </c>
      <c r="C223" s="65">
        <v>1066961999</v>
      </c>
      <c r="D223" s="81" t="str">
        <f>HYPERLINK(CONCATENATE("https://portal.dnb.de/opac.htm?method=simpleSearch&amp;cqlMode=true&amp;query=idn%3D",C223))</f>
        <v>https://portal.dnb.de/opac.htm?method=simpleSearch&amp;cqlMode=true&amp;query=idn%3D1066961999</v>
      </c>
      <c r="E223" s="65" t="s">
        <v>529</v>
      </c>
      <c r="F223" s="76" t="s">
        <v>89</v>
      </c>
      <c r="G223" s="78" t="s">
        <v>4</v>
      </c>
      <c r="H223" s="76" t="s">
        <v>51</v>
      </c>
      <c r="I223" s="78"/>
      <c r="J223" s="78" t="s">
        <v>81</v>
      </c>
      <c r="K223" s="76"/>
      <c r="L223" s="76"/>
      <c r="M223" s="76"/>
      <c r="N223" s="76">
        <v>0</v>
      </c>
      <c r="O223" s="76"/>
      <c r="P223" s="76"/>
      <c r="Q223" s="76"/>
      <c r="R223" s="76"/>
      <c r="X223" s="84" t="s">
        <v>2697</v>
      </c>
      <c r="Y223" s="84" t="s">
        <v>2541</v>
      </c>
      <c r="AA223" s="84" t="s">
        <v>2647</v>
      </c>
      <c r="AG223" s="84" t="s">
        <v>2643</v>
      </c>
      <c r="AU223" s="84">
        <v>110</v>
      </c>
      <c r="AY223" s="86" t="s">
        <v>2651</v>
      </c>
      <c r="AZ223" s="88">
        <f t="shared" si="5"/>
        <v>0</v>
      </c>
      <c r="BI223" s="63" t="s">
        <v>2780</v>
      </c>
      <c r="BX223" s="88"/>
      <c r="CQ223" s="88"/>
    </row>
    <row r="224" spans="1:95" ht="33.75" outlineLevel="1" x14ac:dyDescent="0.15">
      <c r="A224" s="76">
        <v>225</v>
      </c>
      <c r="B224" s="65" t="s">
        <v>530</v>
      </c>
      <c r="C224" s="65">
        <v>1066960232</v>
      </c>
      <c r="D224" s="81" t="str">
        <f>HYPERLINK(CONCATENATE("https://portal.dnb.de/opac.htm?method=simpleSearch&amp;cqlMode=true&amp;query=idn%3D",C224))</f>
        <v>https://portal.dnb.de/opac.htm?method=simpleSearch&amp;cqlMode=true&amp;query=idn%3D1066960232</v>
      </c>
      <c r="E224" s="65" t="s">
        <v>531</v>
      </c>
      <c r="F224" s="76" t="s">
        <v>89</v>
      </c>
      <c r="G224" s="78" t="s">
        <v>2510</v>
      </c>
      <c r="H224" s="76" t="s">
        <v>50</v>
      </c>
      <c r="I224" s="78" t="s">
        <v>86</v>
      </c>
      <c r="J224" s="78" t="s">
        <v>2526</v>
      </c>
      <c r="K224" s="76"/>
      <c r="L224" s="76" t="s">
        <v>34</v>
      </c>
      <c r="M224" s="76" t="s">
        <v>37</v>
      </c>
      <c r="N224" s="76">
        <v>0</v>
      </c>
      <c r="O224" s="76"/>
      <c r="P224" s="76"/>
      <c r="Q224" s="76"/>
      <c r="R224" s="76"/>
      <c r="AZ224" s="88">
        <f t="shared" si="5"/>
        <v>0</v>
      </c>
      <c r="BX224" s="88"/>
      <c r="CQ224" s="88"/>
    </row>
    <row r="225" spans="1:95" outlineLevel="1" x14ac:dyDescent="0.15">
      <c r="A225" s="76">
        <v>226</v>
      </c>
      <c r="B225" s="65" t="s">
        <v>532</v>
      </c>
      <c r="C225" s="65">
        <v>1066958491</v>
      </c>
      <c r="D225" s="81" t="str">
        <f t="shared" si="6"/>
        <v>https://portal.dnb.de/opac.htm?method=simpleSearch&amp;cqlMode=true&amp;query=idn%3D1066958491</v>
      </c>
      <c r="E225" s="65" t="s">
        <v>533</v>
      </c>
      <c r="F225" s="76" t="s">
        <v>89</v>
      </c>
      <c r="G225" s="78" t="s">
        <v>5</v>
      </c>
      <c r="H225" s="76" t="s">
        <v>50</v>
      </c>
      <c r="I225" s="78" t="s">
        <v>90</v>
      </c>
      <c r="J225" s="78" t="s">
        <v>81</v>
      </c>
      <c r="K225" s="76"/>
      <c r="L225" s="76"/>
      <c r="M225" s="76"/>
      <c r="N225" s="76">
        <v>0</v>
      </c>
      <c r="O225" s="76"/>
      <c r="P225" s="76"/>
      <c r="Q225" s="76"/>
      <c r="R225" s="76"/>
      <c r="AZ225" s="88">
        <f t="shared" si="5"/>
        <v>0</v>
      </c>
      <c r="BX225" s="88"/>
      <c r="CQ225" s="88"/>
    </row>
    <row r="226" spans="1:95" ht="33.75" outlineLevel="1" x14ac:dyDescent="0.15">
      <c r="A226" s="76">
        <v>227</v>
      </c>
      <c r="B226" s="65" t="s">
        <v>534</v>
      </c>
      <c r="C226" s="65">
        <v>1066936242</v>
      </c>
      <c r="D226" s="81" t="str">
        <f>HYPERLINK(CONCATENATE("https://portal.dnb.de/opac.htm?method=simpleSearch&amp;cqlMode=true&amp;query=idn%3D",C226))</f>
        <v>https://portal.dnb.de/opac.htm?method=simpleSearch&amp;cqlMode=true&amp;query=idn%3D1066936242</v>
      </c>
      <c r="E226" s="65" t="s">
        <v>535</v>
      </c>
      <c r="F226" s="76" t="s">
        <v>89</v>
      </c>
      <c r="G226" s="78" t="s">
        <v>2510</v>
      </c>
      <c r="H226" s="76" t="s">
        <v>50</v>
      </c>
      <c r="I226" s="78" t="s">
        <v>86</v>
      </c>
      <c r="J226" s="78" t="s">
        <v>2526</v>
      </c>
      <c r="K226" s="76"/>
      <c r="L226" s="76" t="s">
        <v>35</v>
      </c>
      <c r="M226" s="76" t="s">
        <v>37</v>
      </c>
      <c r="N226" s="76">
        <v>0</v>
      </c>
      <c r="O226" s="76"/>
      <c r="P226" s="76"/>
      <c r="Q226" s="76"/>
      <c r="R226" s="76"/>
      <c r="AZ226" s="88">
        <f t="shared" si="5"/>
        <v>0</v>
      </c>
      <c r="BX226" s="88"/>
      <c r="CQ226" s="88"/>
    </row>
    <row r="227" spans="1:95" ht="22.5" outlineLevel="1" x14ac:dyDescent="0.15">
      <c r="A227" s="76">
        <v>228</v>
      </c>
      <c r="B227" s="65" t="s">
        <v>536</v>
      </c>
      <c r="C227" s="65">
        <v>1066962561</v>
      </c>
      <c r="D227" s="81" t="str">
        <f t="shared" si="6"/>
        <v>https://portal.dnb.de/opac.htm?method=simpleSearch&amp;cqlMode=true&amp;query=idn%3D1066962561</v>
      </c>
      <c r="E227" s="65" t="s">
        <v>537</v>
      </c>
      <c r="F227" s="76" t="s">
        <v>89</v>
      </c>
      <c r="G227" s="78" t="s">
        <v>2516</v>
      </c>
      <c r="H227" s="76" t="s">
        <v>50</v>
      </c>
      <c r="I227" s="78" t="s">
        <v>90</v>
      </c>
      <c r="J227" s="78" t="s">
        <v>94</v>
      </c>
      <c r="K227" s="76"/>
      <c r="L227" s="76" t="s">
        <v>34</v>
      </c>
      <c r="M227" s="76" t="s">
        <v>37</v>
      </c>
      <c r="N227" s="76">
        <v>0</v>
      </c>
      <c r="O227" s="76"/>
      <c r="P227" s="76"/>
      <c r="Q227" s="76"/>
      <c r="R227" s="76"/>
      <c r="AZ227" s="88">
        <f t="shared" si="5"/>
        <v>0</v>
      </c>
      <c r="BX227" s="88"/>
      <c r="CQ227" s="88"/>
    </row>
    <row r="228" spans="1:95" outlineLevel="1" x14ac:dyDescent="0.15">
      <c r="A228" s="76">
        <v>229</v>
      </c>
      <c r="B228" s="65" t="s">
        <v>538</v>
      </c>
      <c r="C228" s="65">
        <v>1066865949</v>
      </c>
      <c r="D228" s="81" t="str">
        <f t="shared" si="6"/>
        <v>https://portal.dnb.de/opac.htm?method=simpleSearch&amp;cqlMode=true&amp;query=idn%3D1066865949</v>
      </c>
      <c r="E228" s="65" t="s">
        <v>539</v>
      </c>
      <c r="F228" s="76" t="s">
        <v>89</v>
      </c>
      <c r="G228" s="78" t="s">
        <v>5</v>
      </c>
      <c r="H228" s="76" t="s">
        <v>50</v>
      </c>
      <c r="I228" s="78" t="s">
        <v>55</v>
      </c>
      <c r="J228" s="78" t="s">
        <v>81</v>
      </c>
      <c r="K228" s="76"/>
      <c r="L228" s="76"/>
      <c r="M228" s="76"/>
      <c r="N228" s="76">
        <v>0</v>
      </c>
      <c r="O228" s="76"/>
      <c r="P228" s="76"/>
      <c r="Q228" s="76"/>
      <c r="R228" s="76"/>
      <c r="AZ228" s="88">
        <f t="shared" si="5"/>
        <v>0</v>
      </c>
      <c r="BX228" s="88"/>
      <c r="CQ228" s="88"/>
    </row>
    <row r="229" spans="1:95" ht="22.5" outlineLevel="1" x14ac:dyDescent="0.15">
      <c r="A229" s="76">
        <v>230</v>
      </c>
      <c r="B229" s="65" t="s">
        <v>540</v>
      </c>
      <c r="C229" s="65" t="s">
        <v>541</v>
      </c>
      <c r="D229" s="81" t="str">
        <f>HYPERLINK(CONCATENATE("https://portal.dnb.de/opac.htm?method=simpleSearch&amp;cqlMode=true&amp;query=idn%3D",C229))</f>
        <v>https://portal.dnb.de/opac.htm?method=simpleSearch&amp;cqlMode=true&amp;query=idn%3D106695643X</v>
      </c>
      <c r="E229" s="65" t="s">
        <v>542</v>
      </c>
      <c r="F229" s="76" t="s">
        <v>89</v>
      </c>
      <c r="G229" s="78" t="s">
        <v>2518</v>
      </c>
      <c r="H229" s="76" t="s">
        <v>50</v>
      </c>
      <c r="I229" s="78" t="s">
        <v>90</v>
      </c>
      <c r="J229" s="78" t="s">
        <v>81</v>
      </c>
      <c r="K229" s="76"/>
      <c r="L229" s="76" t="s">
        <v>34</v>
      </c>
      <c r="M229" s="76" t="s">
        <v>37</v>
      </c>
      <c r="N229" s="76">
        <v>0</v>
      </c>
      <c r="O229" s="76"/>
      <c r="P229" s="76"/>
      <c r="Q229" s="76"/>
      <c r="R229" s="76"/>
      <c r="AZ229" s="88">
        <f t="shared" si="5"/>
        <v>0</v>
      </c>
      <c r="BX229" s="88"/>
      <c r="CQ229" s="88"/>
    </row>
    <row r="230" spans="1:95" ht="22.5" outlineLevel="1" x14ac:dyDescent="0.15">
      <c r="A230" s="76">
        <v>231</v>
      </c>
      <c r="B230" s="65" t="s">
        <v>543</v>
      </c>
      <c r="C230" s="65">
        <v>1066960119</v>
      </c>
      <c r="D230" s="81" t="str">
        <f t="shared" si="6"/>
        <v>https://portal.dnb.de/opac.htm?method=simpleSearch&amp;cqlMode=true&amp;query=idn%3D1066960119</v>
      </c>
      <c r="E230" s="65" t="s">
        <v>544</v>
      </c>
      <c r="F230" s="76" t="s">
        <v>89</v>
      </c>
      <c r="G230" s="78" t="s">
        <v>2516</v>
      </c>
      <c r="H230" s="76" t="s">
        <v>50</v>
      </c>
      <c r="I230" s="78" t="s">
        <v>55</v>
      </c>
      <c r="J230" s="78" t="s">
        <v>81</v>
      </c>
      <c r="K230" s="76"/>
      <c r="L230" s="76" t="s">
        <v>34</v>
      </c>
      <c r="M230" s="76" t="s">
        <v>37</v>
      </c>
      <c r="N230" s="76">
        <v>0</v>
      </c>
      <c r="O230" s="76"/>
      <c r="P230" s="76"/>
      <c r="Q230" s="76"/>
      <c r="R230" s="76"/>
      <c r="AZ230" s="88">
        <f t="shared" si="5"/>
        <v>0</v>
      </c>
      <c r="BX230" s="88"/>
      <c r="CQ230" s="88"/>
    </row>
    <row r="231" spans="1:95" outlineLevel="1" x14ac:dyDescent="0.15">
      <c r="A231" s="76">
        <v>232</v>
      </c>
      <c r="B231" s="65" t="s">
        <v>545</v>
      </c>
      <c r="C231" s="65">
        <v>1066960623</v>
      </c>
      <c r="D231" s="81" t="str">
        <f>HYPERLINK(CONCATENATE("https://portal.dnb.de/opac.htm?method=simpleSearch&amp;cqlMode=true&amp;query=idn%3D",C231))</f>
        <v>https://portal.dnb.de/opac.htm?method=simpleSearch&amp;cqlMode=true&amp;query=idn%3D1066960623</v>
      </c>
      <c r="E231" s="65" t="s">
        <v>546</v>
      </c>
      <c r="F231" s="76" t="s">
        <v>89</v>
      </c>
      <c r="G231" s="78" t="s">
        <v>3</v>
      </c>
      <c r="H231" s="76" t="s">
        <v>50</v>
      </c>
      <c r="I231" s="78" t="s">
        <v>55</v>
      </c>
      <c r="J231" s="78" t="s">
        <v>81</v>
      </c>
      <c r="K231" s="76"/>
      <c r="L231" s="76"/>
      <c r="M231" s="76"/>
      <c r="N231" s="76">
        <v>1</v>
      </c>
      <c r="O231" s="76"/>
      <c r="P231" s="76"/>
      <c r="Q231" s="76"/>
      <c r="R231" s="76"/>
      <c r="AZ231" s="88">
        <f t="shared" si="5"/>
        <v>0</v>
      </c>
      <c r="BX231" s="88"/>
      <c r="CQ231" s="88"/>
    </row>
    <row r="232" spans="1:95" ht="22.5" outlineLevel="1" x14ac:dyDescent="0.15">
      <c r="A232" s="76">
        <v>233</v>
      </c>
      <c r="B232" s="65" t="s">
        <v>547</v>
      </c>
      <c r="C232" s="65">
        <v>1066962944</v>
      </c>
      <c r="D232" s="81" t="str">
        <f>HYPERLINK(CONCATENATE("https://portal.dnb.de/opac.htm?method=simpleSearch&amp;cqlMode=true&amp;query=idn%3D",C232))</f>
        <v>https://portal.dnb.de/opac.htm?method=simpleSearch&amp;cqlMode=true&amp;query=idn%3D1066962944</v>
      </c>
      <c r="E232" s="65" t="s">
        <v>548</v>
      </c>
      <c r="F232" s="76" t="s">
        <v>89</v>
      </c>
      <c r="G232" s="78" t="s">
        <v>2518</v>
      </c>
      <c r="H232" s="76" t="s">
        <v>50</v>
      </c>
      <c r="I232" s="78" t="s">
        <v>55</v>
      </c>
      <c r="J232" s="78" t="s">
        <v>81</v>
      </c>
      <c r="K232" s="76"/>
      <c r="L232" s="76" t="s">
        <v>34</v>
      </c>
      <c r="M232" s="76" t="s">
        <v>37</v>
      </c>
      <c r="N232" s="76">
        <v>0</v>
      </c>
      <c r="O232" s="76"/>
      <c r="P232" s="76"/>
      <c r="Q232" s="76"/>
      <c r="R232" s="76"/>
      <c r="AZ232" s="88">
        <f t="shared" si="5"/>
        <v>0</v>
      </c>
      <c r="BX232" s="88"/>
      <c r="CQ232" s="88"/>
    </row>
    <row r="233" spans="1:95" ht="22.5" outlineLevel="1" x14ac:dyDescent="0.15">
      <c r="A233" s="76">
        <v>234</v>
      </c>
      <c r="B233" s="65" t="s">
        <v>549</v>
      </c>
      <c r="C233" s="65">
        <v>1066957002</v>
      </c>
      <c r="D233" s="81" t="str">
        <f>HYPERLINK(CONCATENATE("https://portal.dnb.de/opac.htm?method=simpleSearch&amp;cqlMode=true&amp;query=idn%3D",C233))</f>
        <v>https://portal.dnb.de/opac.htm?method=simpleSearch&amp;cqlMode=true&amp;query=idn%3D1066957002</v>
      </c>
      <c r="E233" s="65" t="s">
        <v>550</v>
      </c>
      <c r="F233" s="76" t="s">
        <v>89</v>
      </c>
      <c r="G233" s="78" t="s">
        <v>2510</v>
      </c>
      <c r="H233" s="76" t="s">
        <v>51</v>
      </c>
      <c r="I233" s="78" t="s">
        <v>90</v>
      </c>
      <c r="J233" s="78" t="s">
        <v>94</v>
      </c>
      <c r="K233" s="76"/>
      <c r="L233" s="76" t="s">
        <v>35</v>
      </c>
      <c r="M233" s="76" t="s">
        <v>37</v>
      </c>
      <c r="N233" s="76">
        <v>0</v>
      </c>
      <c r="O233" s="76"/>
      <c r="P233" s="76"/>
      <c r="Q233" s="76"/>
      <c r="R233" s="76"/>
      <c r="AZ233" s="88">
        <f t="shared" si="5"/>
        <v>0</v>
      </c>
      <c r="BX233" s="88"/>
      <c r="CQ233" s="88"/>
    </row>
    <row r="234" spans="1:95" outlineLevel="1" x14ac:dyDescent="0.15">
      <c r="A234" s="76">
        <v>235</v>
      </c>
      <c r="B234" s="65" t="s">
        <v>551</v>
      </c>
      <c r="C234" s="65">
        <v>1066963983</v>
      </c>
      <c r="D234" s="81" t="str">
        <f t="shared" si="6"/>
        <v>https://portal.dnb.de/opac.htm?method=simpleSearch&amp;cqlMode=true&amp;query=idn%3D1066963983</v>
      </c>
      <c r="E234" s="65" t="s">
        <v>552</v>
      </c>
      <c r="F234" s="76" t="s">
        <v>89</v>
      </c>
      <c r="G234" s="78" t="s">
        <v>45</v>
      </c>
      <c r="H234" s="76" t="s">
        <v>50</v>
      </c>
      <c r="I234" s="78" t="s">
        <v>90</v>
      </c>
      <c r="J234" s="78" t="s">
        <v>81</v>
      </c>
      <c r="K234" s="76"/>
      <c r="L234" s="76" t="s">
        <v>35</v>
      </c>
      <c r="M234" s="76" t="s">
        <v>37</v>
      </c>
      <c r="N234" s="76">
        <v>0</v>
      </c>
      <c r="O234" s="76"/>
      <c r="P234" s="76"/>
      <c r="Q234" s="76"/>
      <c r="R234" s="76"/>
      <c r="AZ234" s="88">
        <f t="shared" si="5"/>
        <v>0</v>
      </c>
      <c r="BX234" s="88"/>
      <c r="CQ234" s="88"/>
    </row>
    <row r="235" spans="1:95" outlineLevel="1" x14ac:dyDescent="0.15">
      <c r="A235" s="76">
        <v>236</v>
      </c>
      <c r="B235" s="65" t="s">
        <v>553</v>
      </c>
      <c r="C235" s="65">
        <v>1066963665</v>
      </c>
      <c r="D235" s="81" t="str">
        <f t="shared" si="6"/>
        <v>https://portal.dnb.de/opac.htm?method=simpleSearch&amp;cqlMode=true&amp;query=idn%3D1066963665</v>
      </c>
      <c r="E235" s="65" t="s">
        <v>554</v>
      </c>
      <c r="F235" s="76" t="s">
        <v>89</v>
      </c>
      <c r="G235" s="78" t="s">
        <v>5</v>
      </c>
      <c r="H235" s="76" t="s">
        <v>50</v>
      </c>
      <c r="I235" s="78" t="s">
        <v>90</v>
      </c>
      <c r="J235" s="78" t="s">
        <v>81</v>
      </c>
      <c r="K235" s="76"/>
      <c r="L235" s="76"/>
      <c r="M235" s="76"/>
      <c r="N235" s="76">
        <v>0</v>
      </c>
      <c r="O235" s="76"/>
      <c r="P235" s="76"/>
      <c r="Q235" s="76"/>
      <c r="R235" s="76"/>
      <c r="S235" s="84" t="s">
        <v>2974</v>
      </c>
      <c r="AZ235" s="88">
        <f t="shared" si="5"/>
        <v>0</v>
      </c>
      <c r="BX235" s="88"/>
      <c r="CQ235" s="88"/>
    </row>
    <row r="236" spans="1:95" ht="33.75" outlineLevel="1" x14ac:dyDescent="0.15">
      <c r="A236" s="76">
        <v>237</v>
      </c>
      <c r="B236" s="65" t="s">
        <v>555</v>
      </c>
      <c r="C236" s="65">
        <v>1066962073</v>
      </c>
      <c r="D236" s="81" t="str">
        <f t="shared" si="6"/>
        <v>https://portal.dnb.de/opac.htm?method=simpleSearch&amp;cqlMode=true&amp;query=idn%3D1066962073</v>
      </c>
      <c r="E236" s="65" t="s">
        <v>556</v>
      </c>
      <c r="F236" s="76" t="s">
        <v>89</v>
      </c>
      <c r="G236" s="78" t="s">
        <v>2510</v>
      </c>
      <c r="H236" s="76" t="s">
        <v>51</v>
      </c>
      <c r="I236" s="78" t="s">
        <v>90</v>
      </c>
      <c r="J236" s="78" t="s">
        <v>2535</v>
      </c>
      <c r="K236" s="76"/>
      <c r="L236" s="76" t="s">
        <v>34</v>
      </c>
      <c r="M236" s="76" t="s">
        <v>37</v>
      </c>
      <c r="N236" s="76">
        <v>1</v>
      </c>
      <c r="O236" s="76"/>
      <c r="P236" s="76"/>
      <c r="Q236" s="76"/>
      <c r="R236" s="76"/>
      <c r="X236" s="84" t="s">
        <v>2641</v>
      </c>
      <c r="Y236" s="84" t="s">
        <v>2541</v>
      </c>
      <c r="AA236" s="84" t="s">
        <v>2653</v>
      </c>
      <c r="AG236" s="84" t="s">
        <v>2643</v>
      </c>
      <c r="AU236" s="84">
        <v>45</v>
      </c>
      <c r="AY236" s="86" t="s">
        <v>2644</v>
      </c>
      <c r="AZ236" s="88">
        <f t="shared" si="5"/>
        <v>1</v>
      </c>
      <c r="BD236" s="84" t="s">
        <v>2541</v>
      </c>
      <c r="BK236" s="63" t="s">
        <v>2541</v>
      </c>
      <c r="BM236" s="84" t="s">
        <v>2541</v>
      </c>
      <c r="BW236" s="84" t="s">
        <v>2670</v>
      </c>
      <c r="BX236" s="88">
        <v>1</v>
      </c>
      <c r="CQ236" s="88"/>
    </row>
    <row r="237" spans="1:95" ht="22.5" outlineLevel="1" x14ac:dyDescent="0.15">
      <c r="A237" s="76">
        <v>238</v>
      </c>
      <c r="B237" s="65" t="s">
        <v>557</v>
      </c>
      <c r="C237" s="65">
        <v>1066957754</v>
      </c>
      <c r="D237" s="81" t="str">
        <f t="shared" si="6"/>
        <v>https://portal.dnb.de/opac.htm?method=simpleSearch&amp;cqlMode=true&amp;query=idn%3D1066957754</v>
      </c>
      <c r="E237" s="65" t="s">
        <v>558</v>
      </c>
      <c r="F237" s="76" t="s">
        <v>89</v>
      </c>
      <c r="G237" s="78" t="s">
        <v>2518</v>
      </c>
      <c r="H237" s="76" t="s">
        <v>51</v>
      </c>
      <c r="I237" s="78" t="s">
        <v>55</v>
      </c>
      <c r="J237" s="78" t="s">
        <v>81</v>
      </c>
      <c r="K237" s="76"/>
      <c r="L237" s="76" t="s">
        <v>34</v>
      </c>
      <c r="M237" s="76" t="s">
        <v>37</v>
      </c>
      <c r="N237" s="76">
        <v>1</v>
      </c>
      <c r="O237" s="76"/>
      <c r="P237" s="76"/>
      <c r="Q237" s="76"/>
      <c r="R237" s="76"/>
      <c r="AZ237" s="88">
        <f t="shared" si="5"/>
        <v>0</v>
      </c>
      <c r="BX237" s="88"/>
      <c r="CQ237" s="88"/>
    </row>
    <row r="238" spans="1:95" outlineLevel="1" x14ac:dyDescent="0.15">
      <c r="A238" s="76">
        <v>239</v>
      </c>
      <c r="B238" s="65" t="s">
        <v>559</v>
      </c>
      <c r="C238" s="65">
        <v>1066758786</v>
      </c>
      <c r="D238" s="81" t="str">
        <f t="shared" si="6"/>
        <v>https://portal.dnb.de/opac.htm?method=simpleSearch&amp;cqlMode=true&amp;query=idn%3D1066758786</v>
      </c>
      <c r="E238" s="65" t="s">
        <v>560</v>
      </c>
      <c r="F238" s="76" t="s">
        <v>89</v>
      </c>
      <c r="G238" s="78" t="s">
        <v>5</v>
      </c>
      <c r="H238" s="76" t="s">
        <v>51</v>
      </c>
      <c r="I238" s="78" t="s">
        <v>55</v>
      </c>
      <c r="J238" s="78" t="s">
        <v>81</v>
      </c>
      <c r="K238" s="76"/>
      <c r="L238" s="76"/>
      <c r="M238" s="76"/>
      <c r="N238" s="76">
        <v>1</v>
      </c>
      <c r="O238" s="76"/>
      <c r="P238" s="76"/>
      <c r="Q238" s="76"/>
      <c r="R238" s="76"/>
      <c r="AZ238" s="88">
        <f t="shared" si="5"/>
        <v>0</v>
      </c>
      <c r="BX238" s="88"/>
      <c r="CQ238" s="88"/>
    </row>
    <row r="239" spans="1:95" ht="22.5" outlineLevel="1" x14ac:dyDescent="0.15">
      <c r="A239" s="76">
        <v>240</v>
      </c>
      <c r="B239" s="65" t="s">
        <v>561</v>
      </c>
      <c r="C239" s="65">
        <v>993901212</v>
      </c>
      <c r="D239" s="81" t="str">
        <f t="shared" si="6"/>
        <v>https://portal.dnb.de/opac.htm?method=simpleSearch&amp;cqlMode=true&amp;query=idn%3D993901212</v>
      </c>
      <c r="E239" s="65" t="s">
        <v>562</v>
      </c>
      <c r="F239" s="76" t="s">
        <v>89</v>
      </c>
      <c r="G239" s="78" t="s">
        <v>2520</v>
      </c>
      <c r="H239" s="76" t="s">
        <v>50</v>
      </c>
      <c r="I239" s="78" t="s">
        <v>90</v>
      </c>
      <c r="J239" s="78"/>
      <c r="K239" s="76"/>
      <c r="L239" s="76" t="s">
        <v>35</v>
      </c>
      <c r="M239" s="76" t="s">
        <v>37</v>
      </c>
      <c r="N239" s="76">
        <v>0</v>
      </c>
      <c r="O239" s="76"/>
      <c r="P239" s="76"/>
      <c r="Q239" s="76"/>
      <c r="R239" s="76"/>
      <c r="AZ239" s="88">
        <f t="shared" si="5"/>
        <v>0</v>
      </c>
      <c r="BX239" s="88"/>
      <c r="CQ239" s="88"/>
    </row>
    <row r="240" spans="1:95" ht="22.5" outlineLevel="1" x14ac:dyDescent="0.15">
      <c r="A240" s="76">
        <v>241</v>
      </c>
      <c r="B240" s="65" t="s">
        <v>563</v>
      </c>
      <c r="C240" s="65">
        <v>994000316</v>
      </c>
      <c r="D240" s="81" t="str">
        <f t="shared" si="6"/>
        <v>https://portal.dnb.de/opac.htm?method=simpleSearch&amp;cqlMode=true&amp;query=idn%3D994000316</v>
      </c>
      <c r="E240" s="65" t="s">
        <v>564</v>
      </c>
      <c r="F240" s="76" t="s">
        <v>89</v>
      </c>
      <c r="G240" s="78" t="s">
        <v>5</v>
      </c>
      <c r="H240" s="76" t="s">
        <v>50</v>
      </c>
      <c r="I240" s="78" t="s">
        <v>90</v>
      </c>
      <c r="J240" s="78" t="s">
        <v>2515</v>
      </c>
      <c r="K240" s="76"/>
      <c r="L240" s="76"/>
      <c r="M240" s="76"/>
      <c r="N240" s="76">
        <v>0</v>
      </c>
      <c r="O240" s="76"/>
      <c r="P240" s="76"/>
      <c r="Q240" s="76"/>
      <c r="R240" s="76"/>
      <c r="AZ240" s="88">
        <f t="shared" si="5"/>
        <v>0</v>
      </c>
      <c r="BX240" s="88"/>
      <c r="CQ240" s="88"/>
    </row>
    <row r="241" spans="1:96" outlineLevel="1" x14ac:dyDescent="0.15">
      <c r="A241" s="76">
        <v>242</v>
      </c>
      <c r="B241" s="65" t="s">
        <v>565</v>
      </c>
      <c r="C241" s="65">
        <v>1066940754</v>
      </c>
      <c r="D241" s="81" t="str">
        <f t="shared" si="6"/>
        <v>https://portal.dnb.de/opac.htm?method=simpleSearch&amp;cqlMode=true&amp;query=idn%3D1066940754</v>
      </c>
      <c r="E241" s="65" t="s">
        <v>566</v>
      </c>
      <c r="F241" s="76" t="s">
        <v>89</v>
      </c>
      <c r="G241" s="78" t="s">
        <v>17</v>
      </c>
      <c r="H241" s="76" t="s">
        <v>50</v>
      </c>
      <c r="I241" s="78" t="s">
        <v>90</v>
      </c>
      <c r="J241" s="78" t="s">
        <v>81</v>
      </c>
      <c r="K241" s="76"/>
      <c r="L241" s="76"/>
      <c r="M241" s="76"/>
      <c r="N241" s="76">
        <v>1</v>
      </c>
      <c r="O241" s="76"/>
      <c r="P241" s="76"/>
      <c r="Q241" s="76"/>
      <c r="R241" s="76"/>
      <c r="AZ241" s="88">
        <f t="shared" si="5"/>
        <v>0</v>
      </c>
      <c r="BX241" s="88"/>
      <c r="CQ241" s="88"/>
    </row>
    <row r="242" spans="1:96" outlineLevel="1" x14ac:dyDescent="0.15">
      <c r="A242" s="76">
        <v>243</v>
      </c>
      <c r="B242" s="65" t="s">
        <v>567</v>
      </c>
      <c r="C242" s="65">
        <v>1066957185</v>
      </c>
      <c r="D242" s="81" t="str">
        <f t="shared" si="6"/>
        <v>https://portal.dnb.de/opac.htm?method=simpleSearch&amp;cqlMode=true&amp;query=idn%3D1066957185</v>
      </c>
      <c r="E242" s="65" t="s">
        <v>568</v>
      </c>
      <c r="F242" s="76" t="s">
        <v>89</v>
      </c>
      <c r="G242" s="78" t="s">
        <v>5</v>
      </c>
      <c r="H242" s="76" t="s">
        <v>50</v>
      </c>
      <c r="I242" s="78" t="s">
        <v>90</v>
      </c>
      <c r="J242" s="78" t="s">
        <v>81</v>
      </c>
      <c r="K242" s="76"/>
      <c r="L242" s="76"/>
      <c r="M242" s="76"/>
      <c r="N242" s="76">
        <v>0</v>
      </c>
      <c r="O242" s="76"/>
      <c r="P242" s="76"/>
      <c r="Q242" s="76"/>
      <c r="R242" s="76"/>
      <c r="AZ242" s="88">
        <f t="shared" si="5"/>
        <v>0</v>
      </c>
      <c r="BX242" s="88"/>
      <c r="CQ242" s="88"/>
    </row>
    <row r="243" spans="1:96" ht="22.5" outlineLevel="1" x14ac:dyDescent="0.15">
      <c r="A243" s="76">
        <v>244</v>
      </c>
      <c r="B243" s="65" t="s">
        <v>569</v>
      </c>
      <c r="C243" s="65">
        <v>1066960682</v>
      </c>
      <c r="D243" s="81" t="str">
        <f t="shared" si="6"/>
        <v>https://portal.dnb.de/opac.htm?method=simpleSearch&amp;cqlMode=true&amp;query=idn%3D1066960682</v>
      </c>
      <c r="E243" s="65" t="s">
        <v>570</v>
      </c>
      <c r="F243" s="76" t="s">
        <v>89</v>
      </c>
      <c r="G243" s="78" t="s">
        <v>2510</v>
      </c>
      <c r="H243" s="76" t="s">
        <v>50</v>
      </c>
      <c r="I243" s="78" t="s">
        <v>90</v>
      </c>
      <c r="J243" s="78" t="s">
        <v>94</v>
      </c>
      <c r="K243" s="76"/>
      <c r="L243" s="76" t="s">
        <v>34</v>
      </c>
      <c r="M243" s="76" t="s">
        <v>37</v>
      </c>
      <c r="N243" s="76">
        <v>2</v>
      </c>
      <c r="O243" s="76"/>
      <c r="P243" s="76"/>
      <c r="Q243" s="76"/>
      <c r="R243" s="76"/>
      <c r="X243" s="84" t="s">
        <v>2697</v>
      </c>
      <c r="Y243" s="84" t="s">
        <v>2541</v>
      </c>
      <c r="AA243" s="84" t="s">
        <v>2675</v>
      </c>
      <c r="AG243" s="84" t="s">
        <v>2643</v>
      </c>
      <c r="AU243" s="84">
        <v>110</v>
      </c>
      <c r="AY243" s="86" t="s">
        <v>2651</v>
      </c>
      <c r="AZ243" s="88">
        <f t="shared" si="5"/>
        <v>0</v>
      </c>
      <c r="BD243" s="84" t="s">
        <v>2541</v>
      </c>
      <c r="BH243" s="79" t="s">
        <v>2962</v>
      </c>
      <c r="BI243" s="63" t="s">
        <v>2780</v>
      </c>
      <c r="BX243" s="88"/>
      <c r="CQ243" s="88"/>
    </row>
    <row r="244" spans="1:96" ht="22.5" outlineLevel="1" x14ac:dyDescent="0.15">
      <c r="A244" s="76">
        <v>245</v>
      </c>
      <c r="B244" s="65" t="s">
        <v>571</v>
      </c>
      <c r="C244" s="65">
        <v>1066778531</v>
      </c>
      <c r="D244" s="81" t="str">
        <f t="shared" si="6"/>
        <v>https://portal.dnb.de/opac.htm?method=simpleSearch&amp;cqlMode=true&amp;query=idn%3D1066778531</v>
      </c>
      <c r="E244" s="65" t="s">
        <v>572</v>
      </c>
      <c r="F244" s="76" t="s">
        <v>89</v>
      </c>
      <c r="G244" s="78" t="s">
        <v>2510</v>
      </c>
      <c r="H244" s="76" t="s">
        <v>50</v>
      </c>
      <c r="I244" s="78" t="s">
        <v>90</v>
      </c>
      <c r="J244" s="78" t="s">
        <v>94</v>
      </c>
      <c r="K244" s="76"/>
      <c r="L244" s="76" t="s">
        <v>34</v>
      </c>
      <c r="M244" s="76" t="s">
        <v>37</v>
      </c>
      <c r="N244" s="76">
        <v>0</v>
      </c>
      <c r="O244" s="76"/>
      <c r="P244" s="76"/>
      <c r="Q244" s="76"/>
      <c r="R244" s="76"/>
      <c r="AZ244" s="88">
        <f t="shared" si="5"/>
        <v>0</v>
      </c>
      <c r="BX244" s="88"/>
      <c r="CQ244" s="88"/>
    </row>
    <row r="245" spans="1:96" outlineLevel="1" x14ac:dyDescent="0.15">
      <c r="A245" s="76">
        <v>246</v>
      </c>
      <c r="B245" s="65" t="s">
        <v>573</v>
      </c>
      <c r="C245" s="65">
        <v>1066964254</v>
      </c>
      <c r="D245" s="81" t="str">
        <f t="shared" si="6"/>
        <v>https://portal.dnb.de/opac.htm?method=simpleSearch&amp;cqlMode=true&amp;query=idn%3D1066964254</v>
      </c>
      <c r="E245" s="65" t="s">
        <v>574</v>
      </c>
      <c r="F245" s="76" t="s">
        <v>89</v>
      </c>
      <c r="G245" s="78" t="s">
        <v>5</v>
      </c>
      <c r="H245" s="76" t="s">
        <v>51</v>
      </c>
      <c r="I245" s="78" t="s">
        <v>90</v>
      </c>
      <c r="J245" s="78" t="s">
        <v>81</v>
      </c>
      <c r="K245" s="76"/>
      <c r="L245" s="76"/>
      <c r="M245" s="76"/>
      <c r="N245" s="76">
        <v>1</v>
      </c>
      <c r="O245" s="76"/>
      <c r="P245" s="76"/>
      <c r="Q245" s="76"/>
      <c r="R245" s="76"/>
      <c r="X245" s="84" t="s">
        <v>2645</v>
      </c>
      <c r="Y245" s="84" t="s">
        <v>2541</v>
      </c>
      <c r="AA245" s="84" t="s">
        <v>2647</v>
      </c>
      <c r="AG245" s="84" t="s">
        <v>2643</v>
      </c>
      <c r="AU245" s="84">
        <v>45</v>
      </c>
      <c r="AY245" s="86" t="s">
        <v>2651</v>
      </c>
      <c r="AZ245" s="88">
        <f t="shared" si="5"/>
        <v>0</v>
      </c>
      <c r="BH245" s="79" t="s">
        <v>2962</v>
      </c>
      <c r="BI245" s="63" t="s">
        <v>2877</v>
      </c>
      <c r="BX245" s="88"/>
      <c r="CQ245" s="88"/>
    </row>
    <row r="246" spans="1:96" ht="22.5" outlineLevel="1" x14ac:dyDescent="0.15">
      <c r="A246" s="76">
        <v>247</v>
      </c>
      <c r="B246" s="65" t="s">
        <v>575</v>
      </c>
      <c r="C246" s="65">
        <v>1066964149</v>
      </c>
      <c r="D246" s="81" t="str">
        <f t="shared" si="6"/>
        <v>https://portal.dnb.de/opac.htm?method=simpleSearch&amp;cqlMode=true&amp;query=idn%3D1066964149</v>
      </c>
      <c r="E246" s="65" t="s">
        <v>576</v>
      </c>
      <c r="F246" s="76" t="s">
        <v>89</v>
      </c>
      <c r="G246" s="78" t="s">
        <v>5</v>
      </c>
      <c r="H246" s="76" t="s">
        <v>50</v>
      </c>
      <c r="I246" s="78" t="s">
        <v>90</v>
      </c>
      <c r="J246" s="78" t="s">
        <v>2515</v>
      </c>
      <c r="K246" s="76"/>
      <c r="L246" s="76"/>
      <c r="M246" s="76"/>
      <c r="N246" s="76">
        <v>0</v>
      </c>
      <c r="O246" s="76"/>
      <c r="P246" s="76"/>
      <c r="Q246" s="76"/>
      <c r="R246" s="76"/>
      <c r="AZ246" s="88">
        <f t="shared" si="5"/>
        <v>0</v>
      </c>
      <c r="BX246" s="88"/>
      <c r="CQ246" s="88"/>
    </row>
    <row r="247" spans="1:96" outlineLevel="1" x14ac:dyDescent="0.15">
      <c r="A247" s="76">
        <v>248</v>
      </c>
      <c r="B247" s="65" t="s">
        <v>577</v>
      </c>
      <c r="C247" s="65">
        <v>1066865841</v>
      </c>
      <c r="D247" s="81" t="str">
        <f t="shared" si="6"/>
        <v>https://portal.dnb.de/opac.htm?method=simpleSearch&amp;cqlMode=true&amp;query=idn%3D1066865841</v>
      </c>
      <c r="E247" s="65" t="s">
        <v>578</v>
      </c>
      <c r="F247" s="76" t="s">
        <v>89</v>
      </c>
      <c r="G247" s="78" t="s">
        <v>5</v>
      </c>
      <c r="H247" s="76" t="s">
        <v>50</v>
      </c>
      <c r="I247" s="78" t="s">
        <v>90</v>
      </c>
      <c r="J247" s="78" t="s">
        <v>81</v>
      </c>
      <c r="K247" s="76"/>
      <c r="L247" s="76"/>
      <c r="M247" s="76"/>
      <c r="N247" s="76">
        <v>0</v>
      </c>
      <c r="O247" s="76"/>
      <c r="P247" s="76"/>
      <c r="Q247" s="76"/>
      <c r="R247" s="76"/>
      <c r="AZ247" s="88">
        <f t="shared" si="5"/>
        <v>0</v>
      </c>
      <c r="BX247" s="88"/>
      <c r="CQ247" s="88"/>
    </row>
    <row r="248" spans="1:96" outlineLevel="1" x14ac:dyDescent="0.15">
      <c r="A248" s="76">
        <v>249</v>
      </c>
      <c r="B248" s="65" t="s">
        <v>579</v>
      </c>
      <c r="C248" s="65">
        <v>1066959803</v>
      </c>
      <c r="D248" s="81" t="str">
        <f t="shared" si="6"/>
        <v>https://portal.dnb.de/opac.htm?method=simpleSearch&amp;cqlMode=true&amp;query=idn%3D1066959803</v>
      </c>
      <c r="E248" s="65" t="s">
        <v>580</v>
      </c>
      <c r="F248" s="76" t="s">
        <v>89</v>
      </c>
      <c r="G248" s="78" t="s">
        <v>5</v>
      </c>
      <c r="H248" s="76" t="s">
        <v>50</v>
      </c>
      <c r="I248" s="78" t="s">
        <v>90</v>
      </c>
      <c r="J248" s="78" t="s">
        <v>81</v>
      </c>
      <c r="K248" s="76"/>
      <c r="L248" s="76"/>
      <c r="M248" s="76"/>
      <c r="N248" s="76">
        <v>1</v>
      </c>
      <c r="O248" s="76"/>
      <c r="P248" s="76"/>
      <c r="Q248" s="76"/>
      <c r="R248" s="76"/>
      <c r="AZ248" s="88">
        <f t="shared" si="5"/>
        <v>0</v>
      </c>
      <c r="BX248" s="88"/>
      <c r="CQ248" s="88"/>
    </row>
    <row r="249" spans="1:96" outlineLevel="1" x14ac:dyDescent="0.15">
      <c r="A249" s="76">
        <v>250</v>
      </c>
      <c r="B249" s="65" t="s">
        <v>581</v>
      </c>
      <c r="C249" s="65">
        <v>1066956804</v>
      </c>
      <c r="D249" s="81" t="str">
        <f t="shared" si="6"/>
        <v>https://portal.dnb.de/opac.htm?method=simpleSearch&amp;cqlMode=true&amp;query=idn%3D1066956804</v>
      </c>
      <c r="E249" s="65" t="s">
        <v>582</v>
      </c>
      <c r="F249" s="76" t="s">
        <v>89</v>
      </c>
      <c r="G249" s="78" t="s">
        <v>5</v>
      </c>
      <c r="H249" s="76" t="s">
        <v>51</v>
      </c>
      <c r="I249" s="78" t="s">
        <v>90</v>
      </c>
      <c r="J249" s="78" t="s">
        <v>81</v>
      </c>
      <c r="K249" s="76"/>
      <c r="L249" s="76"/>
      <c r="M249" s="76"/>
      <c r="N249" s="76">
        <v>0</v>
      </c>
      <c r="O249" s="76"/>
      <c r="P249" s="76"/>
      <c r="Q249" s="76"/>
      <c r="R249" s="76"/>
      <c r="AZ249" s="88">
        <f t="shared" si="5"/>
        <v>0</v>
      </c>
      <c r="BX249" s="88"/>
      <c r="CQ249" s="88"/>
    </row>
    <row r="250" spans="1:96" outlineLevel="1" x14ac:dyDescent="0.15">
      <c r="A250" s="76">
        <v>251</v>
      </c>
      <c r="B250" s="65" t="s">
        <v>583</v>
      </c>
      <c r="C250" s="65">
        <v>994422881</v>
      </c>
      <c r="D250" s="81" t="str">
        <f t="shared" si="6"/>
        <v>https://portal.dnb.de/opac.htm?method=simpleSearch&amp;cqlMode=true&amp;query=idn%3D994422881</v>
      </c>
      <c r="E250" s="65" t="s">
        <v>584</v>
      </c>
      <c r="F250" s="76"/>
      <c r="G250" s="78" t="s">
        <v>45</v>
      </c>
      <c r="H250" s="76" t="s">
        <v>50</v>
      </c>
      <c r="I250" s="78" t="s">
        <v>90</v>
      </c>
      <c r="J250" s="78" t="s">
        <v>69</v>
      </c>
      <c r="K250" s="76"/>
      <c r="L250" s="76" t="s">
        <v>35</v>
      </c>
      <c r="M250" s="76" t="s">
        <v>37</v>
      </c>
      <c r="N250" s="76">
        <v>0</v>
      </c>
      <c r="O250" s="76"/>
      <c r="P250" s="76"/>
      <c r="Q250" s="76"/>
      <c r="R250" s="76"/>
      <c r="AZ250" s="88">
        <f t="shared" si="5"/>
        <v>0</v>
      </c>
      <c r="BX250" s="88"/>
      <c r="CQ250" s="88"/>
    </row>
    <row r="251" spans="1:96" outlineLevel="1" x14ac:dyDescent="0.15">
      <c r="A251" s="76">
        <v>252</v>
      </c>
      <c r="B251" s="65" t="s">
        <v>585</v>
      </c>
      <c r="C251" s="65">
        <v>999323601</v>
      </c>
      <c r="D251" s="81" t="str">
        <f t="shared" si="6"/>
        <v>https://portal.dnb.de/opac.htm?method=simpleSearch&amp;cqlMode=true&amp;query=idn%3D999323601</v>
      </c>
      <c r="E251" s="65" t="s">
        <v>586</v>
      </c>
      <c r="F251" s="76"/>
      <c r="G251" s="78" t="s">
        <v>45</v>
      </c>
      <c r="H251" s="76" t="s">
        <v>50</v>
      </c>
      <c r="I251" s="78" t="s">
        <v>90</v>
      </c>
      <c r="J251" s="78"/>
      <c r="K251" s="76"/>
      <c r="L251" s="76" t="s">
        <v>35</v>
      </c>
      <c r="M251" s="76" t="s">
        <v>37</v>
      </c>
      <c r="N251" s="76">
        <v>2</v>
      </c>
      <c r="O251" s="76"/>
      <c r="P251" s="76"/>
      <c r="Q251" s="76"/>
      <c r="R251" s="76"/>
      <c r="AZ251" s="88">
        <f t="shared" si="5"/>
        <v>0</v>
      </c>
      <c r="BX251" s="88"/>
      <c r="CQ251" s="88"/>
    </row>
    <row r="252" spans="1:96" ht="45" outlineLevel="1" x14ac:dyDescent="0.15">
      <c r="A252" s="76">
        <v>253</v>
      </c>
      <c r="B252" s="65" t="s">
        <v>587</v>
      </c>
      <c r="C252" s="65">
        <v>1194269303</v>
      </c>
      <c r="D252" s="81" t="str">
        <f t="shared" si="6"/>
        <v>https://portal.dnb.de/opac.htm?method=simpleSearch&amp;cqlMode=true&amp;query=idn%3D1194269303</v>
      </c>
      <c r="E252" s="65" t="s">
        <v>588</v>
      </c>
      <c r="F252" s="76"/>
      <c r="G252" s="78"/>
      <c r="H252" s="76" t="s">
        <v>53</v>
      </c>
      <c r="I252" s="78"/>
      <c r="J252" s="78"/>
      <c r="K252" s="76"/>
      <c r="L252" s="76"/>
      <c r="M252" s="76"/>
      <c r="N252" s="76"/>
      <c r="O252" s="76"/>
      <c r="P252" s="76"/>
      <c r="Q252" s="76"/>
      <c r="R252" s="76"/>
      <c r="X252" s="84" t="s">
        <v>2641</v>
      </c>
      <c r="AA252" s="84" t="s">
        <v>2642</v>
      </c>
      <c r="AG252" s="84" t="s">
        <v>2643</v>
      </c>
      <c r="AU252" s="84">
        <v>110</v>
      </c>
      <c r="AY252" s="86" t="s">
        <v>2644</v>
      </c>
      <c r="AZ252" s="88">
        <f t="shared" si="5"/>
        <v>64</v>
      </c>
      <c r="BB252" s="84" t="s">
        <v>2807</v>
      </c>
      <c r="BM252" s="84" t="s">
        <v>2541</v>
      </c>
      <c r="BU252" s="84" t="s">
        <v>2661</v>
      </c>
      <c r="BX252" s="88">
        <v>4</v>
      </c>
      <c r="CA252" s="84" t="s">
        <v>2541</v>
      </c>
      <c r="CE252" s="84" t="s">
        <v>2541</v>
      </c>
      <c r="CH252" s="84" t="s">
        <v>2541</v>
      </c>
      <c r="CI252" s="84" t="s">
        <v>2541</v>
      </c>
      <c r="CJ252" s="84" t="s">
        <v>2541</v>
      </c>
      <c r="CQ252" s="88">
        <v>60</v>
      </c>
      <c r="CR252" s="79" t="s">
        <v>2662</v>
      </c>
    </row>
    <row r="253" spans="1:96" outlineLevel="1" x14ac:dyDescent="0.15">
      <c r="A253" s="76">
        <v>254</v>
      </c>
      <c r="B253" s="65" t="s">
        <v>589</v>
      </c>
      <c r="C253" s="65">
        <v>1210208466</v>
      </c>
      <c r="D253" s="81" t="str">
        <f t="shared" si="6"/>
        <v>https://portal.dnb.de/opac.htm?method=simpleSearch&amp;cqlMode=true&amp;query=idn%3D1210208466</v>
      </c>
      <c r="E253" s="65" t="s">
        <v>590</v>
      </c>
      <c r="F253" s="76"/>
      <c r="G253" s="78"/>
      <c r="H253" s="76"/>
      <c r="I253" s="78"/>
      <c r="J253" s="78"/>
      <c r="K253" s="76"/>
      <c r="L253" s="76"/>
      <c r="M253" s="76"/>
      <c r="N253" s="76"/>
      <c r="O253" s="76"/>
      <c r="P253" s="76"/>
      <c r="Q253" s="76"/>
      <c r="R253" s="76"/>
      <c r="AZ253" s="88">
        <f t="shared" si="5"/>
        <v>0</v>
      </c>
      <c r="BX253" s="88"/>
      <c r="CQ253" s="88"/>
    </row>
    <row r="254" spans="1:96" outlineLevel="1" x14ac:dyDescent="0.15">
      <c r="A254" s="76">
        <v>255</v>
      </c>
      <c r="B254" s="65" t="s">
        <v>591</v>
      </c>
      <c r="C254" s="65" t="s">
        <v>592</v>
      </c>
      <c r="D254" s="81" t="str">
        <f t="shared" si="6"/>
        <v>https://portal.dnb.de/opac.htm?method=simpleSearch&amp;cqlMode=true&amp;query=idn%3D121095611X</v>
      </c>
      <c r="E254" s="65" t="s">
        <v>593</v>
      </c>
      <c r="F254" s="76"/>
      <c r="G254" s="78"/>
      <c r="H254" s="76"/>
      <c r="I254" s="78"/>
      <c r="J254" s="78"/>
      <c r="K254" s="76"/>
      <c r="L254" s="76"/>
      <c r="M254" s="76"/>
      <c r="N254" s="76"/>
      <c r="O254" s="76"/>
      <c r="P254" s="76"/>
      <c r="Q254" s="76"/>
      <c r="R254" s="76"/>
      <c r="AZ254" s="88">
        <f t="shared" si="5"/>
        <v>0</v>
      </c>
      <c r="BX254" s="88"/>
      <c r="CQ254" s="88"/>
    </row>
    <row r="255" spans="1:96" outlineLevel="1" x14ac:dyDescent="0.15">
      <c r="A255" s="76">
        <v>256</v>
      </c>
      <c r="B255" s="65" t="s">
        <v>594</v>
      </c>
      <c r="C255" s="65">
        <v>998441562</v>
      </c>
      <c r="D255" s="81" t="str">
        <f t="shared" ref="D255:D266" si="7">HYPERLINK(CONCATENATE("https://portal.dnb.de/opac.htm?method=simpleSearch&amp;cqlMode=true&amp;query=idn%3D",C255))</f>
        <v>https://portal.dnb.de/opac.htm?method=simpleSearch&amp;cqlMode=true&amp;query=idn%3D998441562</v>
      </c>
      <c r="E255" s="65" t="s">
        <v>595</v>
      </c>
      <c r="F255" s="76"/>
      <c r="G255" s="78" t="s">
        <v>46</v>
      </c>
      <c r="H255" s="76" t="s">
        <v>50</v>
      </c>
      <c r="I255" s="78" t="s">
        <v>55</v>
      </c>
      <c r="J255" s="78" t="s">
        <v>81</v>
      </c>
      <c r="K255" s="76"/>
      <c r="L255" s="76"/>
      <c r="M255" s="76"/>
      <c r="N255" s="76">
        <v>0</v>
      </c>
      <c r="O255" s="76"/>
      <c r="P255" s="76"/>
      <c r="Q255" s="76"/>
      <c r="R255" s="76"/>
      <c r="AZ255" s="88">
        <f t="shared" si="5"/>
        <v>0</v>
      </c>
      <c r="BX255" s="88"/>
      <c r="CQ255" s="88"/>
    </row>
    <row r="256" spans="1:96" outlineLevel="1" x14ac:dyDescent="0.15">
      <c r="A256" s="76">
        <v>257</v>
      </c>
      <c r="B256" s="65" t="s">
        <v>596</v>
      </c>
      <c r="C256" s="65">
        <v>1211505642</v>
      </c>
      <c r="D256" s="81" t="str">
        <f t="shared" si="7"/>
        <v>https://portal.dnb.de/opac.htm?method=simpleSearch&amp;cqlMode=true&amp;query=idn%3D1211505642</v>
      </c>
      <c r="E256" s="65" t="s">
        <v>597</v>
      </c>
      <c r="F256" s="76"/>
      <c r="G256" s="78"/>
      <c r="H256" s="76"/>
      <c r="I256" s="78"/>
      <c r="J256" s="78"/>
      <c r="K256" s="76"/>
      <c r="L256" s="76"/>
      <c r="M256" s="76"/>
      <c r="N256" s="76"/>
      <c r="O256" s="76"/>
      <c r="P256" s="76"/>
      <c r="Q256" s="76"/>
      <c r="R256" s="76"/>
      <c r="AZ256" s="88">
        <f t="shared" ref="AZ256:AZ319" si="8">BX256+CQ256</f>
        <v>0</v>
      </c>
      <c r="BX256" s="88"/>
      <c r="CQ256" s="88"/>
    </row>
    <row r="257" spans="1:95" outlineLevel="1" x14ac:dyDescent="0.15">
      <c r="A257" s="76">
        <v>258</v>
      </c>
      <c r="B257" s="65" t="s">
        <v>598</v>
      </c>
      <c r="C257" s="65">
        <v>995310181</v>
      </c>
      <c r="D257" s="81" t="str">
        <f t="shared" si="7"/>
        <v>https://portal.dnb.de/opac.htm?method=simpleSearch&amp;cqlMode=true&amp;query=idn%3D995310181</v>
      </c>
      <c r="E257" s="65" t="s">
        <v>2548</v>
      </c>
      <c r="F257" s="76"/>
      <c r="G257" s="78"/>
      <c r="H257" s="76"/>
      <c r="I257" s="78"/>
      <c r="J257" s="78"/>
      <c r="K257" s="76"/>
      <c r="L257" s="76"/>
      <c r="M257" s="76"/>
      <c r="N257" s="76"/>
      <c r="O257" s="76"/>
      <c r="P257" s="76"/>
      <c r="Q257" s="76"/>
      <c r="R257" s="76"/>
      <c r="AZ257" s="88">
        <f t="shared" si="8"/>
        <v>0</v>
      </c>
      <c r="BX257" s="88"/>
      <c r="CQ257" s="88"/>
    </row>
    <row r="258" spans="1:95" outlineLevel="1" x14ac:dyDescent="0.15">
      <c r="A258" s="76">
        <v>259</v>
      </c>
      <c r="B258" s="65" t="s">
        <v>600</v>
      </c>
      <c r="C258" s="65">
        <v>999178369</v>
      </c>
      <c r="D258" s="81" t="str">
        <f t="shared" si="7"/>
        <v>https://portal.dnb.de/opac.htm?method=simpleSearch&amp;cqlMode=true&amp;query=idn%3D999178369</v>
      </c>
      <c r="E258" s="65" t="s">
        <v>2547</v>
      </c>
      <c r="F258" s="76"/>
      <c r="G258" s="78"/>
      <c r="H258" s="76"/>
      <c r="I258" s="78"/>
      <c r="J258" s="78"/>
      <c r="K258" s="76"/>
      <c r="L258" s="76"/>
      <c r="M258" s="76"/>
      <c r="N258" s="76"/>
      <c r="O258" s="76"/>
      <c r="P258" s="76"/>
      <c r="Q258" s="76"/>
      <c r="R258" s="76"/>
      <c r="AZ258" s="88">
        <f t="shared" si="8"/>
        <v>0</v>
      </c>
      <c r="BX258" s="88"/>
      <c r="CQ258" s="88"/>
    </row>
    <row r="259" spans="1:95" outlineLevel="1" x14ac:dyDescent="0.15">
      <c r="A259" s="76">
        <v>260</v>
      </c>
      <c r="B259" s="65" t="s">
        <v>601</v>
      </c>
      <c r="C259" s="65">
        <v>999178547</v>
      </c>
      <c r="D259" s="81" t="str">
        <f t="shared" si="7"/>
        <v>https://portal.dnb.de/opac.htm?method=simpleSearch&amp;cqlMode=true&amp;query=idn%3D999178547</v>
      </c>
      <c r="E259" s="65" t="s">
        <v>2547</v>
      </c>
      <c r="F259" s="76"/>
      <c r="G259" s="78"/>
      <c r="H259" s="76"/>
      <c r="I259" s="78"/>
      <c r="J259" s="78"/>
      <c r="K259" s="76"/>
      <c r="L259" s="76"/>
      <c r="M259" s="76"/>
      <c r="N259" s="76"/>
      <c r="O259" s="76"/>
      <c r="P259" s="76"/>
      <c r="Q259" s="76"/>
      <c r="R259" s="76"/>
      <c r="AZ259" s="88">
        <f t="shared" si="8"/>
        <v>0</v>
      </c>
      <c r="BX259" s="88"/>
      <c r="CQ259" s="88"/>
    </row>
    <row r="260" spans="1:95" outlineLevel="1" x14ac:dyDescent="0.15">
      <c r="A260" s="76">
        <v>261</v>
      </c>
      <c r="B260" s="65" t="s">
        <v>602</v>
      </c>
      <c r="C260" s="65">
        <v>1000018237</v>
      </c>
      <c r="D260" s="81" t="str">
        <f t="shared" si="7"/>
        <v>https://portal.dnb.de/opac.htm?method=simpleSearch&amp;cqlMode=true&amp;query=idn%3D1000018237</v>
      </c>
      <c r="E260" s="65" t="s">
        <v>2549</v>
      </c>
      <c r="F260" s="76"/>
      <c r="G260" s="78"/>
      <c r="H260" s="76"/>
      <c r="I260" s="78"/>
      <c r="J260" s="78"/>
      <c r="K260" s="76"/>
      <c r="L260" s="76"/>
      <c r="M260" s="76"/>
      <c r="N260" s="76"/>
      <c r="O260" s="76"/>
      <c r="P260" s="76"/>
      <c r="Q260" s="76"/>
      <c r="R260" s="76"/>
      <c r="AZ260" s="88">
        <f t="shared" si="8"/>
        <v>0</v>
      </c>
      <c r="BX260" s="88"/>
      <c r="CQ260" s="88"/>
    </row>
    <row r="261" spans="1:95" outlineLevel="1" x14ac:dyDescent="0.15">
      <c r="A261" s="76">
        <v>262</v>
      </c>
      <c r="B261" s="65" t="s">
        <v>603</v>
      </c>
      <c r="C261" s="65">
        <v>996433384</v>
      </c>
      <c r="D261" s="81" t="str">
        <f t="shared" si="7"/>
        <v>https://portal.dnb.de/opac.htm?method=simpleSearch&amp;cqlMode=true&amp;query=idn%3D996433384</v>
      </c>
      <c r="E261" s="65" t="s">
        <v>2550</v>
      </c>
      <c r="F261" s="76"/>
      <c r="G261" s="78"/>
      <c r="H261" s="76"/>
      <c r="I261" s="78"/>
      <c r="J261" s="78"/>
      <c r="K261" s="76"/>
      <c r="L261" s="76"/>
      <c r="M261" s="76"/>
      <c r="N261" s="76"/>
      <c r="O261" s="76"/>
      <c r="P261" s="76"/>
      <c r="Q261" s="76"/>
      <c r="R261" s="76"/>
      <c r="AZ261" s="88">
        <f t="shared" si="8"/>
        <v>0</v>
      </c>
      <c r="BX261" s="88"/>
      <c r="CQ261" s="88"/>
    </row>
    <row r="262" spans="1:95" outlineLevel="1" x14ac:dyDescent="0.15">
      <c r="A262" s="76">
        <v>263</v>
      </c>
      <c r="B262" s="65" t="s">
        <v>604</v>
      </c>
      <c r="C262" s="65" t="s">
        <v>605</v>
      </c>
      <c r="D262" s="81" t="str">
        <f t="shared" si="7"/>
        <v>https://portal.dnb.de/opac.htm?method=simpleSearch&amp;cqlMode=true&amp;query=idn%3D99917830X</v>
      </c>
      <c r="E262" s="65" t="s">
        <v>2554</v>
      </c>
      <c r="F262" s="76"/>
      <c r="G262" s="78"/>
      <c r="H262" s="76"/>
      <c r="I262" s="78"/>
      <c r="J262" s="78"/>
      <c r="K262" s="76"/>
      <c r="L262" s="76"/>
      <c r="M262" s="76"/>
      <c r="N262" s="76"/>
      <c r="O262" s="76"/>
      <c r="P262" s="76"/>
      <c r="Q262" s="76"/>
      <c r="R262" s="76"/>
      <c r="AZ262" s="88">
        <f t="shared" si="8"/>
        <v>0</v>
      </c>
      <c r="BX262" s="88"/>
      <c r="CQ262" s="88"/>
    </row>
    <row r="263" spans="1:95" outlineLevel="1" x14ac:dyDescent="0.15">
      <c r="A263" s="76">
        <v>264</v>
      </c>
      <c r="B263" s="65" t="s">
        <v>606</v>
      </c>
      <c r="C263" s="65">
        <v>999178415</v>
      </c>
      <c r="D263" s="81" t="str">
        <f t="shared" si="7"/>
        <v>https://portal.dnb.de/opac.htm?method=simpleSearch&amp;cqlMode=true&amp;query=idn%3D999178415</v>
      </c>
      <c r="E263" s="65" t="s">
        <v>599</v>
      </c>
      <c r="F263" s="76"/>
      <c r="G263" s="78"/>
      <c r="H263" s="76"/>
      <c r="I263" s="78"/>
      <c r="J263" s="78"/>
      <c r="K263" s="76"/>
      <c r="L263" s="76"/>
      <c r="M263" s="76"/>
      <c r="N263" s="76"/>
      <c r="O263" s="76"/>
      <c r="P263" s="76"/>
      <c r="Q263" s="76"/>
      <c r="R263" s="76"/>
      <c r="AZ263" s="88">
        <f t="shared" si="8"/>
        <v>0</v>
      </c>
      <c r="BX263" s="88"/>
      <c r="CQ263" s="88"/>
    </row>
    <row r="264" spans="1:95" ht="33.75" outlineLevel="1" x14ac:dyDescent="0.15">
      <c r="A264" s="76">
        <v>265</v>
      </c>
      <c r="B264" s="65" t="s">
        <v>607</v>
      </c>
      <c r="C264" s="65">
        <v>999172697</v>
      </c>
      <c r="D264" s="81" t="str">
        <f t="shared" si="7"/>
        <v>https://portal.dnb.de/opac.htm?method=simpleSearch&amp;cqlMode=true&amp;query=idn%3D999172697</v>
      </c>
      <c r="E264" s="65" t="s">
        <v>599</v>
      </c>
      <c r="F264" s="76"/>
      <c r="G264" s="78" t="s">
        <v>2510</v>
      </c>
      <c r="H264" s="76" t="s">
        <v>50</v>
      </c>
      <c r="I264" s="78" t="s">
        <v>86</v>
      </c>
      <c r="J264" s="78" t="s">
        <v>2513</v>
      </c>
      <c r="K264" s="76"/>
      <c r="L264" s="76" t="s">
        <v>35</v>
      </c>
      <c r="M264" s="76" t="s">
        <v>37</v>
      </c>
      <c r="N264" s="76">
        <v>0</v>
      </c>
      <c r="O264" s="76"/>
      <c r="P264" s="76"/>
      <c r="Q264" s="76"/>
      <c r="R264" s="76"/>
      <c r="AZ264" s="88">
        <f t="shared" si="8"/>
        <v>0</v>
      </c>
      <c r="BX264" s="88"/>
      <c r="CQ264" s="88"/>
    </row>
    <row r="265" spans="1:95" outlineLevel="1" x14ac:dyDescent="0.15">
      <c r="A265" s="76">
        <v>266</v>
      </c>
      <c r="B265" s="65" t="s">
        <v>608</v>
      </c>
      <c r="C265" s="65">
        <v>994054076</v>
      </c>
      <c r="D265" s="81" t="str">
        <f t="shared" si="7"/>
        <v>https://portal.dnb.de/opac.htm?method=simpleSearch&amp;cqlMode=true&amp;query=idn%3D994054076</v>
      </c>
      <c r="E265" s="65" t="s">
        <v>2551</v>
      </c>
      <c r="F265" s="76"/>
      <c r="G265" s="78"/>
      <c r="H265" s="76"/>
      <c r="I265" s="78"/>
      <c r="J265" s="78"/>
      <c r="K265" s="76"/>
      <c r="L265" s="76"/>
      <c r="M265" s="76"/>
      <c r="N265" s="76"/>
      <c r="O265" s="76"/>
      <c r="P265" s="76"/>
      <c r="Q265" s="76"/>
      <c r="R265" s="76"/>
      <c r="AZ265" s="88">
        <f t="shared" si="8"/>
        <v>0</v>
      </c>
      <c r="BX265" s="88"/>
      <c r="CQ265" s="88"/>
    </row>
    <row r="266" spans="1:95" outlineLevel="1" x14ac:dyDescent="0.15">
      <c r="A266" s="76">
        <v>267</v>
      </c>
      <c r="B266" s="65" t="s">
        <v>609</v>
      </c>
      <c r="C266" s="65">
        <v>1003501338</v>
      </c>
      <c r="D266" s="81" t="str">
        <f t="shared" si="7"/>
        <v>https://portal.dnb.de/opac.htm?method=simpleSearch&amp;cqlMode=true&amp;query=idn%3D1003501338</v>
      </c>
      <c r="E266" s="65" t="s">
        <v>2553</v>
      </c>
      <c r="F266" s="76"/>
      <c r="G266" s="78"/>
      <c r="H266" s="76"/>
      <c r="I266" s="78"/>
      <c r="J266" s="78"/>
      <c r="K266" s="76"/>
      <c r="L266" s="76"/>
      <c r="M266" s="76"/>
      <c r="N266" s="76"/>
      <c r="O266" s="76"/>
      <c r="P266" s="76"/>
      <c r="Q266" s="76"/>
      <c r="R266" s="76"/>
      <c r="AZ266" s="88">
        <f t="shared" si="8"/>
        <v>0</v>
      </c>
      <c r="BX266" s="88"/>
      <c r="CQ266" s="88"/>
    </row>
    <row r="267" spans="1:95" outlineLevel="1" x14ac:dyDescent="0.15">
      <c r="A267" s="76">
        <v>268</v>
      </c>
      <c r="B267" s="65" t="s">
        <v>610</v>
      </c>
      <c r="C267" s="65" t="s">
        <v>611</v>
      </c>
      <c r="D267" s="81" t="str">
        <f t="shared" si="6"/>
        <v>https://portal.dnb.de/opac.htm?method=simpleSearch&amp;cqlMode=true&amp;query=idn%3D100238494X</v>
      </c>
      <c r="E267" s="65" t="s">
        <v>2552</v>
      </c>
      <c r="F267" s="76"/>
      <c r="G267" s="78"/>
      <c r="H267" s="76"/>
      <c r="I267" s="78"/>
      <c r="J267" s="78"/>
      <c r="K267" s="76"/>
      <c r="L267" s="76"/>
      <c r="M267" s="76"/>
      <c r="N267" s="76"/>
      <c r="O267" s="76"/>
      <c r="P267" s="76"/>
      <c r="Q267" s="76"/>
      <c r="R267" s="76"/>
      <c r="AZ267" s="88">
        <f t="shared" si="8"/>
        <v>0</v>
      </c>
      <c r="BX267" s="88"/>
      <c r="CQ267" s="88"/>
    </row>
    <row r="268" spans="1:95" ht="33.75" outlineLevel="1" x14ac:dyDescent="0.15">
      <c r="A268" s="76">
        <v>269</v>
      </c>
      <c r="B268" s="65" t="s">
        <v>612</v>
      </c>
      <c r="C268" s="65">
        <v>994801777</v>
      </c>
      <c r="D268" s="81" t="str">
        <f>HYPERLINK(CONCATENATE("https://portal.dnb.de/opac.htm?method=simpleSearch&amp;cqlMode=true&amp;query=idn%3D",C268))</f>
        <v>https://portal.dnb.de/opac.htm?method=simpleSearch&amp;cqlMode=true&amp;query=idn%3D994801777</v>
      </c>
      <c r="E268" s="65" t="s">
        <v>613</v>
      </c>
      <c r="F268" s="76" t="s">
        <v>89</v>
      </c>
      <c r="G268" s="78" t="s">
        <v>2510</v>
      </c>
      <c r="H268" s="76" t="s">
        <v>50</v>
      </c>
      <c r="I268" s="78" t="s">
        <v>86</v>
      </c>
      <c r="J268" s="78" t="s">
        <v>2513</v>
      </c>
      <c r="K268" s="76"/>
      <c r="L268" s="76" t="s">
        <v>35</v>
      </c>
      <c r="M268" s="76" t="s">
        <v>37</v>
      </c>
      <c r="N268" s="76">
        <v>0</v>
      </c>
      <c r="O268" s="76"/>
      <c r="P268" s="76"/>
      <c r="Q268" s="76"/>
      <c r="R268" s="76"/>
      <c r="AZ268" s="88">
        <f t="shared" si="8"/>
        <v>0</v>
      </c>
      <c r="BX268" s="88"/>
      <c r="CQ268" s="88"/>
    </row>
    <row r="269" spans="1:95" outlineLevel="1" x14ac:dyDescent="0.15">
      <c r="A269" s="76">
        <v>270</v>
      </c>
      <c r="B269" s="65" t="s">
        <v>614</v>
      </c>
      <c r="C269" s="65">
        <v>998842877</v>
      </c>
      <c r="D269" s="81" t="str">
        <f>HYPERLINK(CONCATENATE("https://portal.dnb.de/opac.htm?method=simpleSearch&amp;cqlMode=true&amp;query=idn%3D",C269))</f>
        <v>https://portal.dnb.de/opac.htm?method=simpleSearch&amp;cqlMode=true&amp;query=idn%3D998842877</v>
      </c>
      <c r="E269" s="65" t="s">
        <v>2555</v>
      </c>
      <c r="F269" s="76"/>
      <c r="G269" s="78"/>
      <c r="H269" s="76"/>
      <c r="I269" s="78"/>
      <c r="J269" s="78"/>
      <c r="K269" s="76"/>
      <c r="L269" s="76"/>
      <c r="M269" s="76"/>
      <c r="N269" s="76"/>
      <c r="O269" s="76"/>
      <c r="P269" s="76"/>
      <c r="Q269" s="76"/>
      <c r="R269" s="76"/>
      <c r="AZ269" s="88">
        <f t="shared" si="8"/>
        <v>0</v>
      </c>
      <c r="BX269" s="88"/>
      <c r="CQ269" s="88"/>
    </row>
    <row r="270" spans="1:95" ht="22.5" outlineLevel="1" x14ac:dyDescent="0.15">
      <c r="A270" s="76">
        <v>271</v>
      </c>
      <c r="B270" s="65" t="s">
        <v>615</v>
      </c>
      <c r="C270" s="65">
        <v>981668178</v>
      </c>
      <c r="D270" s="81" t="str">
        <f>HYPERLINK(CONCATENATE("https://portal.dnb.de/opac.htm?method=simpleSearch&amp;cqlMode=true&amp;query=idn%3D",C270))</f>
        <v>https://portal.dnb.de/opac.htm?method=simpleSearch&amp;cqlMode=true&amp;query=idn%3D981668178</v>
      </c>
      <c r="E270" s="65" t="s">
        <v>616</v>
      </c>
      <c r="F270" s="76"/>
      <c r="G270" s="78" t="s">
        <v>2617</v>
      </c>
      <c r="H270" s="76" t="s">
        <v>51</v>
      </c>
      <c r="I270" s="78" t="s">
        <v>55</v>
      </c>
      <c r="J270" s="78" t="s">
        <v>94</v>
      </c>
      <c r="K270" s="76"/>
      <c r="L270" s="76" t="s">
        <v>31</v>
      </c>
      <c r="M270" s="76" t="s">
        <v>37</v>
      </c>
      <c r="N270" s="76">
        <v>2</v>
      </c>
      <c r="O270" s="76"/>
      <c r="P270" s="76"/>
      <c r="Q270" s="76"/>
      <c r="R270" s="76"/>
      <c r="X270" s="84" t="s">
        <v>2696</v>
      </c>
      <c r="AA270" s="84" t="s">
        <v>2675</v>
      </c>
      <c r="AG270" s="84" t="s">
        <v>2643</v>
      </c>
      <c r="AU270" s="84">
        <v>110</v>
      </c>
      <c r="AY270" s="86" t="s">
        <v>2651</v>
      </c>
      <c r="AZ270" s="88">
        <f t="shared" si="8"/>
        <v>0</v>
      </c>
      <c r="BE270" s="84" t="s">
        <v>2541</v>
      </c>
      <c r="BH270" s="79" t="s">
        <v>2962</v>
      </c>
      <c r="BX270" s="88"/>
      <c r="CQ270" s="88"/>
    </row>
    <row r="271" spans="1:95" ht="21.75" customHeight="1" outlineLevel="1" x14ac:dyDescent="0.15">
      <c r="A271" s="76">
        <v>272</v>
      </c>
      <c r="B271" s="65" t="s">
        <v>617</v>
      </c>
      <c r="C271" s="65">
        <v>995935467</v>
      </c>
      <c r="D271" s="81" t="str">
        <f>HYPERLINK(CONCATENATE("https://portal.dnb.de/opac.htm?method=simpleSearch&amp;cqlMode=true&amp;query=idn%3D",C271))</f>
        <v>https://portal.dnb.de/opac.htm?method=simpleSearch&amp;cqlMode=true&amp;query=idn%3D995935467</v>
      </c>
      <c r="E271" s="65" t="s">
        <v>618</v>
      </c>
      <c r="F271" s="76"/>
      <c r="G271" s="78" t="s">
        <v>17</v>
      </c>
      <c r="H271" s="76" t="s">
        <v>50</v>
      </c>
      <c r="I271" s="78" t="s">
        <v>55</v>
      </c>
      <c r="J271" s="78" t="s">
        <v>81</v>
      </c>
      <c r="K271" s="76"/>
      <c r="L271" s="76"/>
      <c r="M271" s="76" t="s">
        <v>101</v>
      </c>
      <c r="N271" s="76">
        <v>0</v>
      </c>
      <c r="O271" s="76"/>
      <c r="P271" s="78"/>
      <c r="Q271" s="76"/>
      <c r="R271" s="76"/>
      <c r="AZ271" s="88">
        <f t="shared" si="8"/>
        <v>0</v>
      </c>
      <c r="BX271" s="88"/>
      <c r="CQ271" s="88"/>
    </row>
    <row r="272" spans="1:95" ht="32.25" customHeight="1" outlineLevel="1" x14ac:dyDescent="0.15">
      <c r="A272" s="76">
        <v>273</v>
      </c>
      <c r="B272" s="65" t="s">
        <v>619</v>
      </c>
      <c r="C272" s="65">
        <v>1208924478</v>
      </c>
      <c r="D272" s="81" t="str">
        <f t="shared" si="6"/>
        <v>https://portal.dnb.de/opac.htm?method=simpleSearch&amp;cqlMode=true&amp;query=idn%3D1208924478</v>
      </c>
      <c r="E272" s="65" t="s">
        <v>620</v>
      </c>
      <c r="F272" s="76"/>
      <c r="G272" s="78"/>
      <c r="H272" s="76"/>
      <c r="I272" s="78"/>
      <c r="J272" s="78"/>
      <c r="K272" s="76"/>
      <c r="L272" s="76"/>
      <c r="M272" s="76"/>
      <c r="N272" s="76"/>
      <c r="O272" s="76"/>
      <c r="P272" s="76"/>
      <c r="Q272" s="78"/>
      <c r="R272" s="76"/>
      <c r="AZ272" s="88">
        <f t="shared" si="8"/>
        <v>0</v>
      </c>
      <c r="BX272" s="88"/>
      <c r="CQ272" s="88"/>
    </row>
    <row r="273" spans="1:95" outlineLevel="1" x14ac:dyDescent="0.15">
      <c r="A273" s="76">
        <v>274</v>
      </c>
      <c r="B273" s="65" t="s">
        <v>621</v>
      </c>
      <c r="C273" s="65">
        <v>1208924192</v>
      </c>
      <c r="D273" s="81" t="str">
        <f t="shared" si="6"/>
        <v>https://portal.dnb.de/opac.htm?method=simpleSearch&amp;cqlMode=true&amp;query=idn%3D1208924192</v>
      </c>
      <c r="E273" s="65" t="s">
        <v>622</v>
      </c>
      <c r="F273" s="76"/>
      <c r="G273" s="78"/>
      <c r="H273" s="76"/>
      <c r="I273" s="78"/>
      <c r="J273" s="78"/>
      <c r="K273" s="76"/>
      <c r="L273" s="76"/>
      <c r="M273" s="76"/>
      <c r="N273" s="76"/>
      <c r="O273" s="76"/>
      <c r="P273" s="76"/>
      <c r="Q273" s="76"/>
      <c r="R273" s="76"/>
      <c r="AZ273" s="88">
        <f t="shared" si="8"/>
        <v>0</v>
      </c>
      <c r="BX273" s="88"/>
      <c r="CQ273" s="88"/>
    </row>
    <row r="274" spans="1:95" outlineLevel="1" x14ac:dyDescent="0.15">
      <c r="A274" s="76">
        <v>275</v>
      </c>
      <c r="B274" s="65" t="s">
        <v>623</v>
      </c>
      <c r="C274" s="65">
        <v>1208923269</v>
      </c>
      <c r="D274" s="81" t="str">
        <f t="shared" ref="D274:D336" si="9">HYPERLINK(CONCATENATE("https://portal.dnb.de/opac.htm?method=simpleSearch&amp;cqlMode=true&amp;query=idn%3D",C274))</f>
        <v>https://portal.dnb.de/opac.htm?method=simpleSearch&amp;cqlMode=true&amp;query=idn%3D1208923269</v>
      </c>
      <c r="E274" s="65" t="s">
        <v>624</v>
      </c>
      <c r="F274" s="76"/>
      <c r="G274" s="78"/>
      <c r="H274" s="76"/>
      <c r="I274" s="78"/>
      <c r="J274" s="78"/>
      <c r="K274" s="76"/>
      <c r="L274" s="76"/>
      <c r="M274" s="76"/>
      <c r="N274" s="76"/>
      <c r="O274" s="76"/>
      <c r="P274" s="76"/>
      <c r="Q274" s="76"/>
      <c r="R274" s="76"/>
      <c r="AZ274" s="88">
        <f t="shared" si="8"/>
        <v>0</v>
      </c>
      <c r="BX274" s="88"/>
      <c r="CQ274" s="88"/>
    </row>
    <row r="275" spans="1:95" ht="22.5" outlineLevel="1" x14ac:dyDescent="0.15">
      <c r="A275" s="76">
        <v>276</v>
      </c>
      <c r="B275" s="65" t="s">
        <v>625</v>
      </c>
      <c r="C275" s="65">
        <v>999011383</v>
      </c>
      <c r="D275" s="81" t="str">
        <f t="shared" si="9"/>
        <v>https://portal.dnb.de/opac.htm?method=simpleSearch&amp;cqlMode=true&amp;query=idn%3D999011383</v>
      </c>
      <c r="E275" s="65" t="s">
        <v>626</v>
      </c>
      <c r="F275" s="76"/>
      <c r="G275" s="78" t="s">
        <v>2520</v>
      </c>
      <c r="H275" s="76" t="s">
        <v>50</v>
      </c>
      <c r="I275" s="78" t="s">
        <v>90</v>
      </c>
      <c r="J275" s="78" t="s">
        <v>2512</v>
      </c>
      <c r="K275" s="76"/>
      <c r="L275" s="76" t="s">
        <v>35</v>
      </c>
      <c r="M275" s="76" t="s">
        <v>37</v>
      </c>
      <c r="N275" s="76">
        <v>0</v>
      </c>
      <c r="O275" s="76"/>
      <c r="P275" s="76"/>
      <c r="Q275" s="76"/>
      <c r="R275" s="76"/>
      <c r="AZ275" s="88">
        <f t="shared" si="8"/>
        <v>0</v>
      </c>
      <c r="BX275" s="88"/>
      <c r="CQ275" s="88"/>
    </row>
    <row r="276" spans="1:95" ht="22.5" outlineLevel="1" x14ac:dyDescent="0.15">
      <c r="A276" s="76">
        <v>277</v>
      </c>
      <c r="B276" s="65" t="s">
        <v>627</v>
      </c>
      <c r="C276" s="65">
        <v>1000055183</v>
      </c>
      <c r="D276" s="81" t="str">
        <f t="shared" si="9"/>
        <v>https://portal.dnb.de/opac.htm?method=simpleSearch&amp;cqlMode=true&amp;query=idn%3D1000055183</v>
      </c>
      <c r="E276" s="65" t="s">
        <v>628</v>
      </c>
      <c r="F276" s="76"/>
      <c r="G276" s="78" t="s">
        <v>45</v>
      </c>
      <c r="H276" s="76" t="s">
        <v>50</v>
      </c>
      <c r="I276" s="78" t="s">
        <v>90</v>
      </c>
      <c r="J276" s="78"/>
      <c r="K276" s="76"/>
      <c r="L276" s="76" t="s">
        <v>33</v>
      </c>
      <c r="M276" s="76" t="s">
        <v>36</v>
      </c>
      <c r="N276" s="76">
        <v>1</v>
      </c>
      <c r="O276" s="76"/>
      <c r="P276" s="76"/>
      <c r="Q276" s="76"/>
      <c r="R276" s="76"/>
      <c r="X276" s="84" t="s">
        <v>2646</v>
      </c>
      <c r="AA276" s="84" t="s">
        <v>2675</v>
      </c>
      <c r="AG276" s="84" t="s">
        <v>2643</v>
      </c>
      <c r="AU276" s="84">
        <v>45</v>
      </c>
      <c r="AY276" s="86" t="s">
        <v>2651</v>
      </c>
      <c r="AZ276" s="88">
        <f t="shared" si="8"/>
        <v>0</v>
      </c>
      <c r="BF276" s="84" t="s">
        <v>2659</v>
      </c>
      <c r="BG276" s="84" t="s">
        <v>2541</v>
      </c>
      <c r="BH276" s="79" t="s">
        <v>2962</v>
      </c>
      <c r="BJ276" s="79" t="s">
        <v>2975</v>
      </c>
      <c r="BX276" s="88"/>
      <c r="CQ276" s="88"/>
    </row>
    <row r="277" spans="1:95" outlineLevel="1" x14ac:dyDescent="0.15">
      <c r="A277" s="76">
        <v>278</v>
      </c>
      <c r="B277" s="65" t="s">
        <v>629</v>
      </c>
      <c r="C277" s="65">
        <v>993972926</v>
      </c>
      <c r="D277" s="81" t="str">
        <f t="shared" si="9"/>
        <v>https://portal.dnb.de/opac.htm?method=simpleSearch&amp;cqlMode=true&amp;query=idn%3D993972926</v>
      </c>
      <c r="E277" s="65" t="s">
        <v>630</v>
      </c>
      <c r="F277" s="76" t="s">
        <v>89</v>
      </c>
      <c r="G277" s="78" t="s">
        <v>46</v>
      </c>
      <c r="H277" s="76" t="s">
        <v>50</v>
      </c>
      <c r="I277" s="78" t="s">
        <v>90</v>
      </c>
      <c r="J277" s="78"/>
      <c r="K277" s="76"/>
      <c r="L277" s="76"/>
      <c r="M277" s="76" t="s">
        <v>101</v>
      </c>
      <c r="N277" s="76">
        <v>0</v>
      </c>
      <c r="O277" s="76"/>
      <c r="P277" s="76"/>
      <c r="Q277" s="76"/>
      <c r="R277" s="76"/>
      <c r="AZ277" s="88">
        <f t="shared" si="8"/>
        <v>0</v>
      </c>
      <c r="BX277" s="88"/>
      <c r="CQ277" s="88"/>
    </row>
    <row r="278" spans="1:95" outlineLevel="1" x14ac:dyDescent="0.15">
      <c r="A278" s="76">
        <v>279</v>
      </c>
      <c r="B278" s="65" t="s">
        <v>631</v>
      </c>
      <c r="C278" s="65" t="s">
        <v>632</v>
      </c>
      <c r="D278" s="81" t="str">
        <f t="shared" si="9"/>
        <v>https://portal.dnb.de/opac.htm?method=simpleSearch&amp;cqlMode=true&amp;query=idn%3D99393689X</v>
      </c>
      <c r="E278" s="65" t="s">
        <v>633</v>
      </c>
      <c r="F278" s="76"/>
      <c r="G278" s="78"/>
      <c r="H278" s="76"/>
      <c r="I278" s="78"/>
      <c r="J278" s="78"/>
      <c r="K278" s="76"/>
      <c r="L278" s="76"/>
      <c r="M278" s="76"/>
      <c r="N278" s="76"/>
      <c r="O278" s="76"/>
      <c r="P278" s="76"/>
      <c r="Q278" s="76"/>
      <c r="R278" s="76"/>
      <c r="AZ278" s="88">
        <f t="shared" si="8"/>
        <v>0</v>
      </c>
      <c r="BX278" s="88"/>
      <c r="CQ278" s="88"/>
    </row>
    <row r="279" spans="1:95" outlineLevel="1" x14ac:dyDescent="0.15">
      <c r="A279" s="76">
        <v>280</v>
      </c>
      <c r="B279" s="65" t="s">
        <v>634</v>
      </c>
      <c r="C279" s="65">
        <v>1132093619</v>
      </c>
      <c r="D279" s="81" t="str">
        <f t="shared" si="9"/>
        <v>https://portal.dnb.de/opac.htm?method=simpleSearch&amp;cqlMode=true&amp;query=idn%3D1132093619</v>
      </c>
      <c r="E279" s="65" t="s">
        <v>635</v>
      </c>
      <c r="F279" s="76"/>
      <c r="G279" s="78"/>
      <c r="H279" s="76"/>
      <c r="I279" s="78"/>
      <c r="J279" s="78"/>
      <c r="K279" s="76"/>
      <c r="L279" s="76"/>
      <c r="M279" s="76"/>
      <c r="N279" s="76"/>
      <c r="O279" s="76"/>
      <c r="P279" s="76"/>
      <c r="Q279" s="76"/>
      <c r="R279" s="76"/>
      <c r="AZ279" s="88">
        <f t="shared" si="8"/>
        <v>0</v>
      </c>
      <c r="BX279" s="88"/>
      <c r="CQ279" s="88"/>
    </row>
    <row r="280" spans="1:95" outlineLevel="1" x14ac:dyDescent="0.15">
      <c r="A280" s="76">
        <v>281</v>
      </c>
      <c r="B280" s="65" t="s">
        <v>634</v>
      </c>
      <c r="C280" s="65">
        <v>1132093619</v>
      </c>
      <c r="D280" s="81" t="str">
        <f t="shared" si="9"/>
        <v>https://portal.dnb.de/opac.htm?method=simpleSearch&amp;cqlMode=true&amp;query=idn%3D1132093619</v>
      </c>
      <c r="E280" s="65" t="s">
        <v>635</v>
      </c>
      <c r="F280" s="76"/>
      <c r="G280" s="78"/>
      <c r="H280" s="76"/>
      <c r="I280" s="78"/>
      <c r="J280" s="78"/>
      <c r="K280" s="76"/>
      <c r="L280" s="76"/>
      <c r="M280" s="76"/>
      <c r="N280" s="76"/>
      <c r="O280" s="76"/>
      <c r="P280" s="76"/>
      <c r="Q280" s="76"/>
      <c r="R280" s="76"/>
      <c r="AZ280" s="88">
        <f t="shared" si="8"/>
        <v>0</v>
      </c>
      <c r="BX280" s="88"/>
      <c r="CQ280" s="88"/>
    </row>
    <row r="281" spans="1:95" outlineLevel="1" x14ac:dyDescent="0.15">
      <c r="A281" s="76">
        <v>282</v>
      </c>
      <c r="B281" s="65" t="s">
        <v>636</v>
      </c>
      <c r="C281" s="65">
        <v>993910246</v>
      </c>
      <c r="D281" s="81" t="str">
        <f t="shared" si="9"/>
        <v>https://portal.dnb.de/opac.htm?method=simpleSearch&amp;cqlMode=true&amp;query=idn%3D993910246</v>
      </c>
      <c r="E281" s="65" t="s">
        <v>637</v>
      </c>
      <c r="F281" s="76"/>
      <c r="G281" s="78"/>
      <c r="H281" s="76"/>
      <c r="I281" s="78"/>
      <c r="J281" s="78"/>
      <c r="K281" s="76"/>
      <c r="L281" s="76"/>
      <c r="M281" s="76"/>
      <c r="N281" s="76"/>
      <c r="O281" s="76"/>
      <c r="P281" s="76"/>
      <c r="Q281" s="76"/>
      <c r="R281" s="76"/>
      <c r="AZ281" s="88">
        <f t="shared" si="8"/>
        <v>0</v>
      </c>
      <c r="BX281" s="88"/>
      <c r="CQ281" s="88"/>
    </row>
    <row r="282" spans="1:95" outlineLevel="1" x14ac:dyDescent="0.15">
      <c r="A282" s="76">
        <v>283</v>
      </c>
      <c r="B282" s="65" t="s">
        <v>638</v>
      </c>
      <c r="C282" s="65">
        <v>1066938423</v>
      </c>
      <c r="D282" s="81" t="str">
        <f t="shared" si="9"/>
        <v>https://portal.dnb.de/opac.htm?method=simpleSearch&amp;cqlMode=true&amp;query=idn%3D1066938423</v>
      </c>
      <c r="E282" s="65" t="s">
        <v>639</v>
      </c>
      <c r="F282" s="76"/>
      <c r="G282" s="78"/>
      <c r="H282" s="76"/>
      <c r="I282" s="78"/>
      <c r="J282" s="78"/>
      <c r="K282" s="76"/>
      <c r="L282" s="76"/>
      <c r="M282" s="76"/>
      <c r="N282" s="76"/>
      <c r="O282" s="76"/>
      <c r="P282" s="76"/>
      <c r="Q282" s="76"/>
      <c r="R282" s="76"/>
      <c r="S282" s="84" t="s">
        <v>2774</v>
      </c>
      <c r="AZ282" s="88">
        <f t="shared" si="8"/>
        <v>0</v>
      </c>
      <c r="BX282" s="88"/>
      <c r="CQ282" s="88"/>
    </row>
    <row r="283" spans="1:95" outlineLevel="1" x14ac:dyDescent="0.15">
      <c r="A283" s="76">
        <v>284</v>
      </c>
      <c r="B283" s="65" t="s">
        <v>640</v>
      </c>
      <c r="C283" s="65">
        <v>1066796890</v>
      </c>
      <c r="D283" s="81" t="str">
        <f t="shared" si="9"/>
        <v>https://portal.dnb.de/opac.htm?method=simpleSearch&amp;cqlMode=true&amp;query=idn%3D1066796890</v>
      </c>
      <c r="E283" s="65" t="s">
        <v>641</v>
      </c>
      <c r="F283" s="76"/>
      <c r="G283" s="78" t="s">
        <v>45</v>
      </c>
      <c r="H283" s="76" t="s">
        <v>50</v>
      </c>
      <c r="I283" s="78" t="s">
        <v>90</v>
      </c>
      <c r="J283" s="78"/>
      <c r="K283" s="76"/>
      <c r="L283" s="76" t="s">
        <v>35</v>
      </c>
      <c r="M283" s="76" t="s">
        <v>37</v>
      </c>
      <c r="N283" s="76">
        <v>0</v>
      </c>
      <c r="O283" s="76"/>
      <c r="P283" s="76"/>
      <c r="Q283" s="76"/>
      <c r="R283" s="76"/>
      <c r="AZ283" s="88">
        <f t="shared" si="8"/>
        <v>0</v>
      </c>
      <c r="BX283" s="88"/>
      <c r="CQ283" s="88"/>
    </row>
    <row r="284" spans="1:95" outlineLevel="1" x14ac:dyDescent="0.15">
      <c r="A284" s="76">
        <v>285</v>
      </c>
      <c r="B284" s="65" t="s">
        <v>642</v>
      </c>
      <c r="C284" s="65">
        <v>1066871019</v>
      </c>
      <c r="D284" s="81" t="str">
        <f t="shared" si="9"/>
        <v>https://portal.dnb.de/opac.htm?method=simpleSearch&amp;cqlMode=true&amp;query=idn%3D1066871019</v>
      </c>
      <c r="E284" s="65" t="s">
        <v>643</v>
      </c>
      <c r="F284" s="76" t="s">
        <v>89</v>
      </c>
      <c r="G284" s="78" t="s">
        <v>3</v>
      </c>
      <c r="H284" s="76" t="s">
        <v>50</v>
      </c>
      <c r="I284" s="78" t="s">
        <v>55</v>
      </c>
      <c r="J284" s="78"/>
      <c r="K284" s="76"/>
      <c r="L284" s="76"/>
      <c r="M284" s="76"/>
      <c r="N284" s="76">
        <v>0</v>
      </c>
      <c r="O284" s="76"/>
      <c r="P284" s="76"/>
      <c r="Q284" s="76"/>
      <c r="R284" s="76"/>
      <c r="AZ284" s="88">
        <f t="shared" si="8"/>
        <v>0</v>
      </c>
      <c r="BX284" s="88"/>
      <c r="CQ284" s="88"/>
    </row>
    <row r="285" spans="1:95" outlineLevel="1" x14ac:dyDescent="0.15">
      <c r="A285" s="76">
        <v>286</v>
      </c>
      <c r="B285" s="65" t="s">
        <v>644</v>
      </c>
      <c r="C285" s="65">
        <v>1066873984</v>
      </c>
      <c r="D285" s="81" t="str">
        <f t="shared" si="9"/>
        <v>https://portal.dnb.de/opac.htm?method=simpleSearch&amp;cqlMode=true&amp;query=idn%3D1066873984</v>
      </c>
      <c r="E285" s="65" t="s">
        <v>645</v>
      </c>
      <c r="F285" s="76" t="s">
        <v>89</v>
      </c>
      <c r="G285" s="78" t="s">
        <v>45</v>
      </c>
      <c r="H285" s="76" t="s">
        <v>50</v>
      </c>
      <c r="I285" s="78" t="s">
        <v>90</v>
      </c>
      <c r="J285" s="78"/>
      <c r="K285" s="76"/>
      <c r="L285" s="76"/>
      <c r="M285" s="76"/>
      <c r="N285" s="76">
        <v>0</v>
      </c>
      <c r="O285" s="76"/>
      <c r="P285" s="76"/>
      <c r="Q285" s="76"/>
      <c r="R285" s="76"/>
      <c r="AZ285" s="88">
        <f t="shared" si="8"/>
        <v>0</v>
      </c>
      <c r="BX285" s="88"/>
      <c r="CQ285" s="88"/>
    </row>
    <row r="286" spans="1:95" ht="33.75" outlineLevel="1" x14ac:dyDescent="0.15">
      <c r="A286" s="76">
        <v>287</v>
      </c>
      <c r="B286" s="65" t="s">
        <v>646</v>
      </c>
      <c r="C286" s="65">
        <v>1066960127</v>
      </c>
      <c r="D286" s="81" t="str">
        <f t="shared" si="9"/>
        <v>https://portal.dnb.de/opac.htm?method=simpleSearch&amp;cqlMode=true&amp;query=idn%3D1066960127</v>
      </c>
      <c r="E286" s="65" t="s">
        <v>647</v>
      </c>
      <c r="F286" s="76" t="s">
        <v>89</v>
      </c>
      <c r="G286" s="78" t="s">
        <v>2520</v>
      </c>
      <c r="H286" s="76" t="s">
        <v>52</v>
      </c>
      <c r="I286" s="78" t="s">
        <v>90</v>
      </c>
      <c r="J286" s="78" t="s">
        <v>2592</v>
      </c>
      <c r="K286" s="76"/>
      <c r="L286" s="76" t="s">
        <v>34</v>
      </c>
      <c r="M286" s="76" t="s">
        <v>37</v>
      </c>
      <c r="N286" s="76">
        <v>0</v>
      </c>
      <c r="O286" s="76"/>
      <c r="P286" s="76"/>
      <c r="Q286" s="76"/>
      <c r="R286" s="76"/>
      <c r="X286" s="84" t="s">
        <v>2646</v>
      </c>
      <c r="Z286" s="84" t="s">
        <v>2541</v>
      </c>
      <c r="AA286" s="84" t="s">
        <v>2647</v>
      </c>
      <c r="AB286" s="84" t="s">
        <v>2541</v>
      </c>
      <c r="AG286" s="84" t="s">
        <v>2932</v>
      </c>
      <c r="AQ286" s="84" t="s">
        <v>2648</v>
      </c>
      <c r="AR286" s="84" t="s">
        <v>2649</v>
      </c>
      <c r="AU286" s="84" t="s">
        <v>2650</v>
      </c>
      <c r="AY286" s="86" t="s">
        <v>2651</v>
      </c>
      <c r="AZ286" s="88">
        <f t="shared" si="8"/>
        <v>0</v>
      </c>
      <c r="BD286" s="84" t="s">
        <v>2541</v>
      </c>
      <c r="BX286" s="88"/>
      <c r="CQ286" s="88"/>
    </row>
    <row r="287" spans="1:95" ht="22.5" outlineLevel="1" x14ac:dyDescent="0.15">
      <c r="A287" s="76">
        <v>288</v>
      </c>
      <c r="B287" s="65" t="s">
        <v>648</v>
      </c>
      <c r="C287" s="65">
        <v>993903541</v>
      </c>
      <c r="D287" s="81" t="str">
        <f t="shared" si="9"/>
        <v>https://portal.dnb.de/opac.htm?method=simpleSearch&amp;cqlMode=true&amp;query=idn%3D993903541</v>
      </c>
      <c r="E287" s="65" t="s">
        <v>649</v>
      </c>
      <c r="F287" s="76" t="s">
        <v>89</v>
      </c>
      <c r="G287" s="78" t="s">
        <v>2518</v>
      </c>
      <c r="H287" s="76" t="s">
        <v>50</v>
      </c>
      <c r="I287" s="78" t="s">
        <v>90</v>
      </c>
      <c r="J287" s="78" t="s">
        <v>81</v>
      </c>
      <c r="K287" s="76"/>
      <c r="L287" s="76" t="s">
        <v>34</v>
      </c>
      <c r="M287" s="76" t="s">
        <v>37</v>
      </c>
      <c r="N287" s="76">
        <v>0</v>
      </c>
      <c r="O287" s="76"/>
      <c r="P287" s="76"/>
      <c r="Q287" s="76"/>
      <c r="R287" s="76"/>
      <c r="AZ287" s="88">
        <f t="shared" si="8"/>
        <v>0</v>
      </c>
      <c r="BX287" s="88"/>
      <c r="CQ287" s="88"/>
    </row>
    <row r="288" spans="1:95" ht="22.5" outlineLevel="1" x14ac:dyDescent="0.15">
      <c r="A288" s="76">
        <v>289</v>
      </c>
      <c r="B288" s="65" t="s">
        <v>650</v>
      </c>
      <c r="C288" s="65">
        <v>1066937885</v>
      </c>
      <c r="D288" s="81" t="str">
        <f t="shared" si="9"/>
        <v>https://portal.dnb.de/opac.htm?method=simpleSearch&amp;cqlMode=true&amp;query=idn%3D1066937885</v>
      </c>
      <c r="E288" s="65" t="s">
        <v>651</v>
      </c>
      <c r="F288" s="76" t="s">
        <v>89</v>
      </c>
      <c r="G288" s="78" t="s">
        <v>4</v>
      </c>
      <c r="H288" s="76" t="s">
        <v>50</v>
      </c>
      <c r="I288" s="78" t="s">
        <v>90</v>
      </c>
      <c r="J288" s="78" t="s">
        <v>81</v>
      </c>
      <c r="K288" s="76"/>
      <c r="L288" s="76" t="s">
        <v>34</v>
      </c>
      <c r="M288" s="76" t="s">
        <v>37</v>
      </c>
      <c r="N288" s="76">
        <v>1</v>
      </c>
      <c r="O288" s="76"/>
      <c r="P288" s="76"/>
      <c r="Q288" s="76"/>
      <c r="R288" s="76"/>
      <c r="X288" s="84" t="s">
        <v>2641</v>
      </c>
      <c r="Y288" s="84" t="s">
        <v>2541</v>
      </c>
      <c r="AA288" s="84" t="s">
        <v>2642</v>
      </c>
      <c r="AF288" s="84" t="s">
        <v>2541</v>
      </c>
      <c r="AG288" s="84" t="s">
        <v>2643</v>
      </c>
      <c r="AU288" s="84">
        <v>45</v>
      </c>
      <c r="AY288" s="86" t="s">
        <v>2651</v>
      </c>
      <c r="AZ288" s="88">
        <f t="shared" si="8"/>
        <v>0</v>
      </c>
      <c r="BD288" s="84" t="s">
        <v>2541</v>
      </c>
      <c r="BH288" s="79" t="s">
        <v>2976</v>
      </c>
      <c r="BX288" s="88"/>
      <c r="CQ288" s="88"/>
    </row>
    <row r="289" spans="1:95" outlineLevel="1" x14ac:dyDescent="0.15">
      <c r="A289" s="76">
        <v>290</v>
      </c>
      <c r="B289" s="65" t="s">
        <v>652</v>
      </c>
      <c r="C289" s="65">
        <v>996193081</v>
      </c>
      <c r="D289" s="81" t="str">
        <f t="shared" si="9"/>
        <v>https://portal.dnb.de/opac.htm?method=simpleSearch&amp;cqlMode=true&amp;query=idn%3D996193081</v>
      </c>
      <c r="E289" s="65" t="s">
        <v>653</v>
      </c>
      <c r="F289" s="76"/>
      <c r="G289" s="78" t="s">
        <v>45</v>
      </c>
      <c r="H289" s="76" t="s">
        <v>50</v>
      </c>
      <c r="I289" s="78" t="s">
        <v>90</v>
      </c>
      <c r="J289" s="78" t="s">
        <v>69</v>
      </c>
      <c r="K289" s="76"/>
      <c r="L289" s="76"/>
      <c r="M289" s="76"/>
      <c r="N289" s="76">
        <v>2</v>
      </c>
      <c r="O289" s="76"/>
      <c r="P289" s="76"/>
      <c r="Q289" s="76"/>
      <c r="R289" s="76"/>
      <c r="AZ289" s="88">
        <f t="shared" si="8"/>
        <v>0</v>
      </c>
      <c r="BX289" s="88"/>
      <c r="CQ289" s="88"/>
    </row>
    <row r="290" spans="1:95" outlineLevel="1" x14ac:dyDescent="0.15">
      <c r="A290" s="76">
        <v>291</v>
      </c>
      <c r="B290" s="65" t="s">
        <v>654</v>
      </c>
      <c r="C290" s="65">
        <v>1210182750</v>
      </c>
      <c r="D290" s="81" t="str">
        <f t="shared" si="9"/>
        <v>https://portal.dnb.de/opac.htm?method=simpleSearch&amp;cqlMode=true&amp;query=idn%3D1210182750</v>
      </c>
      <c r="E290" s="65" t="s">
        <v>655</v>
      </c>
      <c r="F290" s="76"/>
      <c r="G290" s="78"/>
      <c r="H290" s="76"/>
      <c r="I290" s="78"/>
      <c r="J290" s="78"/>
      <c r="K290" s="76"/>
      <c r="L290" s="76"/>
      <c r="M290" s="76"/>
      <c r="N290" s="76"/>
      <c r="O290" s="76"/>
      <c r="P290" s="76"/>
      <c r="Q290" s="76"/>
      <c r="R290" s="76"/>
      <c r="AZ290" s="88">
        <f t="shared" si="8"/>
        <v>0</v>
      </c>
      <c r="BX290" s="88"/>
      <c r="CQ290" s="88"/>
    </row>
    <row r="291" spans="1:95" outlineLevel="1" x14ac:dyDescent="0.15">
      <c r="A291" s="76">
        <v>292</v>
      </c>
      <c r="B291" s="65" t="s">
        <v>656</v>
      </c>
      <c r="C291" s="65">
        <v>1066871884</v>
      </c>
      <c r="D291" s="81" t="str">
        <f t="shared" si="9"/>
        <v>https://portal.dnb.de/opac.htm?method=simpleSearch&amp;cqlMode=true&amp;query=idn%3D1066871884</v>
      </c>
      <c r="E291" s="65" t="s">
        <v>657</v>
      </c>
      <c r="F291" s="76" t="s">
        <v>89</v>
      </c>
      <c r="G291" s="78" t="s">
        <v>45</v>
      </c>
      <c r="H291" s="76" t="s">
        <v>50</v>
      </c>
      <c r="I291" s="78" t="s">
        <v>90</v>
      </c>
      <c r="J291" s="78" t="s">
        <v>81</v>
      </c>
      <c r="K291" s="76"/>
      <c r="L291" s="76"/>
      <c r="M291" s="76"/>
      <c r="N291" s="76">
        <v>1</v>
      </c>
      <c r="O291" s="76"/>
      <c r="P291" s="76"/>
      <c r="Q291" s="76"/>
      <c r="R291" s="76"/>
      <c r="AZ291" s="88">
        <f t="shared" si="8"/>
        <v>0</v>
      </c>
      <c r="BX291" s="88"/>
      <c r="CQ291" s="88"/>
    </row>
    <row r="292" spans="1:95" outlineLevel="1" x14ac:dyDescent="0.15">
      <c r="A292" s="76">
        <v>293</v>
      </c>
      <c r="B292" s="65" t="s">
        <v>658</v>
      </c>
      <c r="C292" s="65">
        <v>1066871523</v>
      </c>
      <c r="D292" s="81" t="str">
        <f t="shared" si="9"/>
        <v>https://portal.dnb.de/opac.htm?method=simpleSearch&amp;cqlMode=true&amp;query=idn%3D1066871523</v>
      </c>
      <c r="E292" s="65" t="s">
        <v>659</v>
      </c>
      <c r="F292" s="76" t="s">
        <v>89</v>
      </c>
      <c r="G292" s="78" t="s">
        <v>45</v>
      </c>
      <c r="H292" s="76" t="s">
        <v>50</v>
      </c>
      <c r="I292" s="78" t="s">
        <v>55</v>
      </c>
      <c r="J292" s="78"/>
      <c r="K292" s="76"/>
      <c r="L292" s="76"/>
      <c r="M292" s="76"/>
      <c r="N292" s="76">
        <v>1</v>
      </c>
      <c r="O292" s="76"/>
      <c r="P292" s="76"/>
      <c r="Q292" s="76"/>
      <c r="R292" s="76"/>
      <c r="AZ292" s="88">
        <f t="shared" si="8"/>
        <v>0</v>
      </c>
      <c r="BX292" s="88"/>
      <c r="CQ292" s="88"/>
    </row>
    <row r="293" spans="1:95" ht="22.5" outlineLevel="1" x14ac:dyDescent="0.15">
      <c r="A293" s="76">
        <v>294</v>
      </c>
      <c r="B293" s="65" t="s">
        <v>660</v>
      </c>
      <c r="C293" s="65">
        <v>1132614945</v>
      </c>
      <c r="D293" s="81" t="str">
        <f t="shared" si="9"/>
        <v>https://portal.dnb.de/opac.htm?method=simpleSearch&amp;cqlMode=true&amp;query=idn%3D1132614945</v>
      </c>
      <c r="E293" s="65" t="s">
        <v>661</v>
      </c>
      <c r="F293" s="76"/>
      <c r="G293" s="78" t="s">
        <v>2510</v>
      </c>
      <c r="H293" s="76" t="s">
        <v>51</v>
      </c>
      <c r="I293" s="78" t="s">
        <v>90</v>
      </c>
      <c r="J293" s="78" t="s">
        <v>69</v>
      </c>
      <c r="K293" s="76"/>
      <c r="L293" s="76" t="s">
        <v>35</v>
      </c>
      <c r="M293" s="76" t="s">
        <v>37</v>
      </c>
      <c r="N293" s="76">
        <v>0</v>
      </c>
      <c r="O293" s="76"/>
      <c r="P293" s="76"/>
      <c r="Q293" s="76"/>
      <c r="R293" s="76"/>
      <c r="AZ293" s="88">
        <f t="shared" si="8"/>
        <v>0</v>
      </c>
      <c r="BX293" s="88"/>
      <c r="CQ293" s="88"/>
    </row>
    <row r="294" spans="1:95" ht="22.5" outlineLevel="1" x14ac:dyDescent="0.15">
      <c r="A294" s="76">
        <v>295</v>
      </c>
      <c r="B294" s="65" t="s">
        <v>662</v>
      </c>
      <c r="C294" s="65" t="s">
        <v>663</v>
      </c>
      <c r="D294" s="81" t="str">
        <f t="shared" si="9"/>
        <v>https://portal.dnb.de/opac.htm?method=simpleSearch&amp;cqlMode=true&amp;query=idn%3D99435195X</v>
      </c>
      <c r="E294" s="65" t="s">
        <v>664</v>
      </c>
      <c r="F294" s="76" t="s">
        <v>89</v>
      </c>
      <c r="G294" s="78" t="s">
        <v>2518</v>
      </c>
      <c r="H294" s="76" t="s">
        <v>50</v>
      </c>
      <c r="I294" s="78" t="s">
        <v>90</v>
      </c>
      <c r="J294" s="78" t="s">
        <v>81</v>
      </c>
      <c r="K294" s="76"/>
      <c r="L294" s="76" t="s">
        <v>34</v>
      </c>
      <c r="M294" s="76" t="s">
        <v>37</v>
      </c>
      <c r="N294" s="76">
        <v>0</v>
      </c>
      <c r="O294" s="76"/>
      <c r="P294" s="76"/>
      <c r="Q294" s="76"/>
      <c r="R294" s="76"/>
      <c r="AZ294" s="88">
        <f t="shared" si="8"/>
        <v>0</v>
      </c>
      <c r="BX294" s="88"/>
      <c r="CQ294" s="88"/>
    </row>
    <row r="295" spans="1:95" outlineLevel="1" x14ac:dyDescent="0.15">
      <c r="A295" s="76">
        <v>296</v>
      </c>
      <c r="B295" s="65" t="s">
        <v>665</v>
      </c>
      <c r="C295" s="65">
        <v>996910387</v>
      </c>
      <c r="D295" s="81" t="str">
        <f t="shared" si="9"/>
        <v>https://portal.dnb.de/opac.htm?method=simpleSearch&amp;cqlMode=true&amp;query=idn%3D996910387</v>
      </c>
      <c r="E295" s="65" t="s">
        <v>666</v>
      </c>
      <c r="F295" s="76"/>
      <c r="G295" s="78"/>
      <c r="H295" s="76"/>
      <c r="I295" s="78"/>
      <c r="J295" s="78"/>
      <c r="K295" s="76"/>
      <c r="L295" s="76"/>
      <c r="M295" s="76"/>
      <c r="N295" s="76"/>
      <c r="O295" s="76"/>
      <c r="P295" s="76"/>
      <c r="Q295" s="76"/>
      <c r="R295" s="76"/>
      <c r="AZ295" s="88">
        <f t="shared" si="8"/>
        <v>0</v>
      </c>
      <c r="BX295" s="88"/>
      <c r="CQ295" s="88"/>
    </row>
    <row r="296" spans="1:95" outlineLevel="1" x14ac:dyDescent="0.15">
      <c r="A296" s="76">
        <v>297</v>
      </c>
      <c r="B296" s="65" t="s">
        <v>667</v>
      </c>
      <c r="C296" s="65">
        <v>1000401340</v>
      </c>
      <c r="D296" s="81" t="str">
        <f t="shared" si="9"/>
        <v>https://portal.dnb.de/opac.htm?method=simpleSearch&amp;cqlMode=true&amp;query=idn%3D1000401340</v>
      </c>
      <c r="E296" s="65" t="s">
        <v>668</v>
      </c>
      <c r="F296" s="76"/>
      <c r="G296" s="78"/>
      <c r="H296" s="76"/>
      <c r="I296" s="78"/>
      <c r="J296" s="78"/>
      <c r="K296" s="76"/>
      <c r="L296" s="76"/>
      <c r="M296" s="76"/>
      <c r="N296" s="76"/>
      <c r="O296" s="76"/>
      <c r="P296" s="76"/>
      <c r="Q296" s="76"/>
      <c r="R296" s="76"/>
      <c r="AZ296" s="88">
        <f t="shared" si="8"/>
        <v>0</v>
      </c>
      <c r="BX296" s="88"/>
      <c r="CQ296" s="88"/>
    </row>
    <row r="297" spans="1:95" outlineLevel="1" x14ac:dyDescent="0.15">
      <c r="A297" s="76">
        <v>298</v>
      </c>
      <c r="B297" s="65" t="s">
        <v>669</v>
      </c>
      <c r="C297" s="65">
        <v>26289377</v>
      </c>
      <c r="D297" s="81" t="str">
        <f t="shared" si="9"/>
        <v>https://portal.dnb.de/opac.htm?method=simpleSearch&amp;cqlMode=true&amp;query=idn%3D26289377</v>
      </c>
      <c r="E297" s="65" t="s">
        <v>670</v>
      </c>
      <c r="F297" s="76"/>
      <c r="G297" s="78"/>
      <c r="H297" s="76"/>
      <c r="I297" s="78"/>
      <c r="J297" s="78"/>
      <c r="K297" s="76"/>
      <c r="L297" s="76"/>
      <c r="M297" s="76"/>
      <c r="N297" s="76"/>
      <c r="O297" s="76"/>
      <c r="P297" s="76"/>
      <c r="Q297" s="76"/>
      <c r="R297" s="76"/>
      <c r="AZ297" s="88">
        <f t="shared" si="8"/>
        <v>0</v>
      </c>
      <c r="BX297" s="88"/>
      <c r="CQ297" s="88"/>
    </row>
    <row r="298" spans="1:95" outlineLevel="1" x14ac:dyDescent="0.15">
      <c r="A298" s="76">
        <v>299</v>
      </c>
      <c r="B298" s="65" t="s">
        <v>671</v>
      </c>
      <c r="C298" s="65">
        <v>1000399702</v>
      </c>
      <c r="D298" s="81" t="str">
        <f t="shared" si="9"/>
        <v>https://portal.dnb.de/opac.htm?method=simpleSearch&amp;cqlMode=true&amp;query=idn%3D1000399702</v>
      </c>
      <c r="E298" s="65" t="s">
        <v>672</v>
      </c>
      <c r="F298" s="76"/>
      <c r="G298" s="78"/>
      <c r="H298" s="76"/>
      <c r="I298" s="78"/>
      <c r="J298" s="78"/>
      <c r="K298" s="76"/>
      <c r="L298" s="76"/>
      <c r="M298" s="76"/>
      <c r="N298" s="76"/>
      <c r="O298" s="76"/>
      <c r="P298" s="76"/>
      <c r="Q298" s="76"/>
      <c r="R298" s="76"/>
      <c r="AZ298" s="88">
        <f t="shared" si="8"/>
        <v>0</v>
      </c>
      <c r="BX298" s="88"/>
      <c r="CQ298" s="88"/>
    </row>
    <row r="299" spans="1:95" outlineLevel="1" x14ac:dyDescent="0.15">
      <c r="A299" s="76">
        <v>300</v>
      </c>
      <c r="B299" s="65" t="s">
        <v>673</v>
      </c>
      <c r="C299" s="65">
        <v>10730419</v>
      </c>
      <c r="D299" s="81" t="str">
        <f t="shared" si="9"/>
        <v>https://portal.dnb.de/opac.htm?method=simpleSearch&amp;cqlMode=true&amp;query=idn%3D10730419</v>
      </c>
      <c r="E299" s="65" t="s">
        <v>674</v>
      </c>
      <c r="F299" s="76"/>
      <c r="G299" s="78"/>
      <c r="H299" s="76"/>
      <c r="I299" s="78"/>
      <c r="J299" s="78"/>
      <c r="K299" s="76"/>
      <c r="L299" s="76"/>
      <c r="M299" s="76"/>
      <c r="N299" s="76"/>
      <c r="O299" s="76"/>
      <c r="P299" s="76"/>
      <c r="Q299" s="76"/>
      <c r="R299" s="76"/>
      <c r="AZ299" s="88">
        <f t="shared" si="8"/>
        <v>0</v>
      </c>
      <c r="BX299" s="88"/>
      <c r="CQ299" s="88"/>
    </row>
    <row r="300" spans="1:95" ht="22.5" outlineLevel="1" x14ac:dyDescent="0.15">
      <c r="A300" s="76">
        <v>301</v>
      </c>
      <c r="B300" s="65" t="s">
        <v>675</v>
      </c>
      <c r="C300" s="65">
        <v>1066962413</v>
      </c>
      <c r="D300" s="81" t="str">
        <f t="shared" si="9"/>
        <v>https://portal.dnb.de/opac.htm?method=simpleSearch&amp;cqlMode=true&amp;query=idn%3D1066962413</v>
      </c>
      <c r="E300" s="65" t="s">
        <v>676</v>
      </c>
      <c r="F300" s="76" t="s">
        <v>89</v>
      </c>
      <c r="G300" s="78" t="s">
        <v>2516</v>
      </c>
      <c r="H300" s="76" t="s">
        <v>50</v>
      </c>
      <c r="I300" s="78" t="s">
        <v>90</v>
      </c>
      <c r="J300" s="78" t="s">
        <v>81</v>
      </c>
      <c r="K300" s="76"/>
      <c r="L300" s="76" t="s">
        <v>34</v>
      </c>
      <c r="M300" s="76" t="s">
        <v>37</v>
      </c>
      <c r="N300" s="76">
        <v>1</v>
      </c>
      <c r="O300" s="76"/>
      <c r="P300" s="76"/>
      <c r="Q300" s="76"/>
      <c r="R300" s="76"/>
      <c r="AZ300" s="88">
        <f t="shared" si="8"/>
        <v>0</v>
      </c>
      <c r="BX300" s="88"/>
      <c r="CQ300" s="88"/>
    </row>
    <row r="301" spans="1:95" outlineLevel="1" x14ac:dyDescent="0.15">
      <c r="A301" s="76">
        <v>302</v>
      </c>
      <c r="B301" s="65" t="s">
        <v>677</v>
      </c>
      <c r="C301" s="65" t="s">
        <v>678</v>
      </c>
      <c r="D301" s="81" t="str">
        <f t="shared" si="9"/>
        <v>https://portal.dnb.de/opac.htm?method=simpleSearch&amp;cqlMode=true&amp;query=idn%3D106696050X</v>
      </c>
      <c r="E301" s="65" t="s">
        <v>679</v>
      </c>
      <c r="F301" s="76" t="s">
        <v>89</v>
      </c>
      <c r="G301" s="78" t="s">
        <v>4</v>
      </c>
      <c r="H301" s="76" t="s">
        <v>50</v>
      </c>
      <c r="I301" s="78" t="s">
        <v>55</v>
      </c>
      <c r="J301" s="78" t="s">
        <v>81</v>
      </c>
      <c r="K301" s="76"/>
      <c r="L301" s="76"/>
      <c r="M301" s="76"/>
      <c r="N301" s="76">
        <v>0</v>
      </c>
      <c r="O301" s="76"/>
      <c r="P301" s="76"/>
      <c r="Q301" s="76"/>
      <c r="R301" s="76"/>
      <c r="AZ301" s="88">
        <f t="shared" si="8"/>
        <v>0</v>
      </c>
      <c r="BX301" s="88"/>
      <c r="CQ301" s="88"/>
    </row>
    <row r="302" spans="1:95" ht="22.5" outlineLevel="1" x14ac:dyDescent="0.15">
      <c r="A302" s="76">
        <v>303</v>
      </c>
      <c r="B302" s="65" t="s">
        <v>680</v>
      </c>
      <c r="C302" s="65">
        <v>1066961581</v>
      </c>
      <c r="D302" s="81" t="str">
        <f t="shared" si="9"/>
        <v>https://portal.dnb.de/opac.htm?method=simpleSearch&amp;cqlMode=true&amp;query=idn%3D1066961581</v>
      </c>
      <c r="E302" s="65" t="s">
        <v>681</v>
      </c>
      <c r="F302" s="76" t="s">
        <v>89</v>
      </c>
      <c r="G302" s="78" t="s">
        <v>2516</v>
      </c>
      <c r="H302" s="76" t="s">
        <v>50</v>
      </c>
      <c r="I302" s="78" t="s">
        <v>90</v>
      </c>
      <c r="J302" s="78"/>
      <c r="K302" s="76"/>
      <c r="L302" s="76" t="s">
        <v>31</v>
      </c>
      <c r="M302" s="76" t="s">
        <v>37</v>
      </c>
      <c r="N302" s="76">
        <v>3</v>
      </c>
      <c r="O302" s="76"/>
      <c r="P302" s="76"/>
      <c r="Q302" s="76"/>
      <c r="R302" s="76"/>
      <c r="AZ302" s="88">
        <f t="shared" si="8"/>
        <v>0</v>
      </c>
      <c r="BX302" s="88"/>
      <c r="CQ302" s="88"/>
    </row>
    <row r="303" spans="1:95" outlineLevel="1" x14ac:dyDescent="0.15">
      <c r="A303" s="76">
        <v>304</v>
      </c>
      <c r="B303" s="65" t="s">
        <v>682</v>
      </c>
      <c r="C303" s="65">
        <v>19699794</v>
      </c>
      <c r="D303" s="81" t="str">
        <f t="shared" si="9"/>
        <v>https://portal.dnb.de/opac.htm?method=simpleSearch&amp;cqlMode=true&amp;query=idn%3D19699794</v>
      </c>
      <c r="E303" s="65" t="s">
        <v>683</v>
      </c>
      <c r="F303" s="76"/>
      <c r="G303" s="78"/>
      <c r="H303" s="76"/>
      <c r="I303" s="78"/>
      <c r="J303" s="78"/>
      <c r="K303" s="76"/>
      <c r="L303" s="76"/>
      <c r="M303" s="76"/>
      <c r="N303" s="76"/>
      <c r="O303" s="76"/>
      <c r="P303" s="76"/>
      <c r="Q303" s="76"/>
      <c r="R303" s="76"/>
      <c r="AZ303" s="88">
        <f t="shared" si="8"/>
        <v>0</v>
      </c>
      <c r="BX303" s="88"/>
      <c r="CQ303" s="88"/>
    </row>
    <row r="304" spans="1:95" outlineLevel="1" x14ac:dyDescent="0.15">
      <c r="A304" s="76">
        <v>305</v>
      </c>
      <c r="B304" s="65" t="s">
        <v>684</v>
      </c>
      <c r="C304" s="65">
        <v>1208738313</v>
      </c>
      <c r="D304" s="81" t="str">
        <f t="shared" si="9"/>
        <v>https://portal.dnb.de/opac.htm?method=simpleSearch&amp;cqlMode=true&amp;query=idn%3D1208738313</v>
      </c>
      <c r="E304" s="65" t="s">
        <v>685</v>
      </c>
      <c r="F304" s="76"/>
      <c r="G304" s="78"/>
      <c r="H304" s="76"/>
      <c r="I304" s="78"/>
      <c r="J304" s="78"/>
      <c r="K304" s="76"/>
      <c r="L304" s="76"/>
      <c r="M304" s="76"/>
      <c r="N304" s="76"/>
      <c r="O304" s="76"/>
      <c r="P304" s="76"/>
      <c r="Q304" s="76"/>
      <c r="R304" s="76"/>
      <c r="AZ304" s="88">
        <f t="shared" si="8"/>
        <v>0</v>
      </c>
      <c r="BX304" s="88"/>
      <c r="CQ304" s="88"/>
    </row>
    <row r="305" spans="1:95" outlineLevel="1" x14ac:dyDescent="0.15">
      <c r="A305" s="76">
        <v>306</v>
      </c>
      <c r="B305" s="65" t="s">
        <v>686</v>
      </c>
      <c r="C305" s="65">
        <v>1208798723</v>
      </c>
      <c r="D305" s="81" t="str">
        <f t="shared" si="9"/>
        <v>https://portal.dnb.de/opac.htm?method=simpleSearch&amp;cqlMode=true&amp;query=idn%3D1208798723</v>
      </c>
      <c r="E305" s="65" t="s">
        <v>687</v>
      </c>
      <c r="F305" s="76"/>
      <c r="G305" s="78"/>
      <c r="H305" s="76"/>
      <c r="I305" s="78"/>
      <c r="J305" s="78"/>
      <c r="K305" s="76"/>
      <c r="L305" s="76"/>
      <c r="M305" s="76"/>
      <c r="N305" s="76"/>
      <c r="O305" s="76"/>
      <c r="P305" s="76"/>
      <c r="Q305" s="76"/>
      <c r="R305" s="76"/>
      <c r="AZ305" s="88">
        <f t="shared" si="8"/>
        <v>0</v>
      </c>
      <c r="BX305" s="88"/>
      <c r="CQ305" s="88"/>
    </row>
    <row r="306" spans="1:95" outlineLevel="1" x14ac:dyDescent="0.15">
      <c r="A306" s="76">
        <v>307</v>
      </c>
      <c r="B306" s="65" t="s">
        <v>688</v>
      </c>
      <c r="C306" s="65" t="s">
        <v>689</v>
      </c>
      <c r="D306" s="81" t="str">
        <f t="shared" si="9"/>
        <v>https://portal.dnb.de/opac.htm?method=simpleSearch&amp;cqlMode=true&amp;query=idn%3D120834126X</v>
      </c>
      <c r="E306" s="65" t="s">
        <v>690</v>
      </c>
      <c r="F306" s="76"/>
      <c r="G306" s="78"/>
      <c r="H306" s="76"/>
      <c r="I306" s="78"/>
      <c r="J306" s="78"/>
      <c r="K306" s="76"/>
      <c r="L306" s="76"/>
      <c r="M306" s="76"/>
      <c r="N306" s="76"/>
      <c r="O306" s="76"/>
      <c r="P306" s="76"/>
      <c r="Q306" s="76"/>
      <c r="R306" s="76"/>
      <c r="AZ306" s="88">
        <f t="shared" si="8"/>
        <v>0</v>
      </c>
      <c r="BX306" s="88"/>
      <c r="CQ306" s="88"/>
    </row>
    <row r="307" spans="1:95" outlineLevel="1" x14ac:dyDescent="0.15">
      <c r="A307" s="76">
        <v>308</v>
      </c>
      <c r="B307" s="65" t="s">
        <v>691</v>
      </c>
      <c r="C307" s="65">
        <v>1208877550</v>
      </c>
      <c r="D307" s="81" t="str">
        <f t="shared" si="9"/>
        <v>https://portal.dnb.de/opac.htm?method=simpleSearch&amp;cqlMode=true&amp;query=idn%3D1208877550</v>
      </c>
      <c r="E307" s="65" t="s">
        <v>692</v>
      </c>
      <c r="F307" s="76"/>
      <c r="G307" s="78"/>
      <c r="H307" s="76"/>
      <c r="I307" s="78"/>
      <c r="J307" s="78"/>
      <c r="K307" s="76"/>
      <c r="L307" s="76"/>
      <c r="M307" s="76"/>
      <c r="N307" s="76"/>
      <c r="O307" s="76"/>
      <c r="P307" s="76"/>
      <c r="Q307" s="76"/>
      <c r="R307" s="76"/>
      <c r="AZ307" s="88">
        <f t="shared" si="8"/>
        <v>0</v>
      </c>
      <c r="BX307" s="88"/>
      <c r="CQ307" s="88"/>
    </row>
    <row r="308" spans="1:95" outlineLevel="1" x14ac:dyDescent="0.15">
      <c r="A308" s="76">
        <v>309</v>
      </c>
      <c r="B308" s="65" t="s">
        <v>693</v>
      </c>
      <c r="C308" s="65">
        <v>1066957673</v>
      </c>
      <c r="D308" s="81" t="str">
        <f t="shared" si="9"/>
        <v>https://portal.dnb.de/opac.htm?method=simpleSearch&amp;cqlMode=true&amp;query=idn%3D1066957673</v>
      </c>
      <c r="E308" s="65" t="s">
        <v>694</v>
      </c>
      <c r="F308" s="76" t="s">
        <v>89</v>
      </c>
      <c r="G308" s="78" t="s">
        <v>17</v>
      </c>
      <c r="H308" s="76" t="s">
        <v>50</v>
      </c>
      <c r="I308" s="78" t="s">
        <v>55</v>
      </c>
      <c r="J308" s="78"/>
      <c r="K308" s="76"/>
      <c r="L308" s="76" t="s">
        <v>31</v>
      </c>
      <c r="M308" s="76" t="s">
        <v>36</v>
      </c>
      <c r="N308" s="76">
        <v>0</v>
      </c>
      <c r="O308" s="76"/>
      <c r="P308" s="76"/>
      <c r="Q308" s="76"/>
      <c r="R308" s="76"/>
      <c r="AZ308" s="88">
        <f t="shared" si="8"/>
        <v>0</v>
      </c>
      <c r="BX308" s="88"/>
      <c r="CQ308" s="88"/>
    </row>
    <row r="309" spans="1:95" ht="33.75" outlineLevel="1" x14ac:dyDescent="0.15">
      <c r="A309" s="76">
        <v>310</v>
      </c>
      <c r="B309" s="65" t="s">
        <v>695</v>
      </c>
      <c r="C309" s="65">
        <v>1066962367</v>
      </c>
      <c r="D309" s="81" t="str">
        <f t="shared" si="9"/>
        <v>https://portal.dnb.de/opac.htm?method=simpleSearch&amp;cqlMode=true&amp;query=idn%3D1066962367</v>
      </c>
      <c r="E309" s="65" t="s">
        <v>696</v>
      </c>
      <c r="F309" s="76" t="s">
        <v>89</v>
      </c>
      <c r="G309" s="78" t="s">
        <v>2521</v>
      </c>
      <c r="H309" s="76" t="s">
        <v>50</v>
      </c>
      <c r="I309" s="78" t="s">
        <v>55</v>
      </c>
      <c r="J309" s="78" t="s">
        <v>2556</v>
      </c>
      <c r="K309" s="76"/>
      <c r="L309" s="76" t="s">
        <v>34</v>
      </c>
      <c r="M309" s="76" t="s">
        <v>37</v>
      </c>
      <c r="N309" s="76">
        <v>1</v>
      </c>
      <c r="O309" s="76"/>
      <c r="P309" s="76"/>
      <c r="Q309" s="76"/>
      <c r="R309" s="76"/>
      <c r="X309" s="84" t="s">
        <v>2766</v>
      </c>
      <c r="Y309" s="84" t="s">
        <v>2541</v>
      </c>
      <c r="AA309" s="84" t="s">
        <v>2675</v>
      </c>
      <c r="AG309" s="84" t="s">
        <v>2643</v>
      </c>
      <c r="AU309" s="84">
        <v>110</v>
      </c>
      <c r="AY309" s="86" t="s">
        <v>2651</v>
      </c>
      <c r="AZ309" s="88">
        <f t="shared" si="8"/>
        <v>0</v>
      </c>
      <c r="BD309" s="84" t="s">
        <v>2541</v>
      </c>
      <c r="BH309" s="79" t="s">
        <v>2781</v>
      </c>
      <c r="BX309" s="88"/>
      <c r="CQ309" s="88"/>
    </row>
    <row r="310" spans="1:95" outlineLevel="1" x14ac:dyDescent="0.15">
      <c r="A310" s="76">
        <v>311</v>
      </c>
      <c r="B310" s="65" t="s">
        <v>697</v>
      </c>
      <c r="C310" s="65">
        <v>1000941396</v>
      </c>
      <c r="D310" s="81" t="str">
        <f t="shared" si="9"/>
        <v>https://portal.dnb.de/opac.htm?method=simpleSearch&amp;cqlMode=true&amp;query=idn%3D1000941396</v>
      </c>
      <c r="E310" s="65" t="s">
        <v>698</v>
      </c>
      <c r="F310" s="76"/>
      <c r="G310" s="78" t="s">
        <v>46</v>
      </c>
      <c r="H310" s="76" t="s">
        <v>50</v>
      </c>
      <c r="I310" s="78" t="s">
        <v>55</v>
      </c>
      <c r="J310" s="78" t="s">
        <v>81</v>
      </c>
      <c r="K310" s="76"/>
      <c r="L310" s="76"/>
      <c r="M310" s="76"/>
      <c r="N310" s="76">
        <v>0</v>
      </c>
      <c r="O310" s="76"/>
      <c r="P310" s="76"/>
      <c r="Q310" s="76"/>
      <c r="R310" s="76"/>
      <c r="AZ310" s="88">
        <f t="shared" si="8"/>
        <v>0</v>
      </c>
      <c r="BX310" s="88"/>
      <c r="CQ310" s="88"/>
    </row>
    <row r="311" spans="1:95" ht="22.5" outlineLevel="1" x14ac:dyDescent="0.15">
      <c r="A311" s="76">
        <v>312</v>
      </c>
      <c r="B311" s="65" t="s">
        <v>699</v>
      </c>
      <c r="C311" s="65">
        <v>994116683</v>
      </c>
      <c r="D311" s="81" t="str">
        <f t="shared" si="9"/>
        <v>https://portal.dnb.de/opac.htm?method=simpleSearch&amp;cqlMode=true&amp;query=idn%3D994116683</v>
      </c>
      <c r="E311" s="65" t="s">
        <v>700</v>
      </c>
      <c r="F311" s="76"/>
      <c r="G311" s="78" t="s">
        <v>2510</v>
      </c>
      <c r="H311" s="76" t="s">
        <v>50</v>
      </c>
      <c r="I311" s="78" t="s">
        <v>90</v>
      </c>
      <c r="J311" s="78" t="s">
        <v>59</v>
      </c>
      <c r="K311" s="76"/>
      <c r="L311" s="76"/>
      <c r="M311" s="76"/>
      <c r="N311" s="76">
        <v>2</v>
      </c>
      <c r="O311" s="76"/>
      <c r="P311" s="76"/>
      <c r="Q311" s="76"/>
      <c r="R311" s="76"/>
      <c r="X311" s="84" t="s">
        <v>2641</v>
      </c>
      <c r="AA311" s="84" t="s">
        <v>2642</v>
      </c>
      <c r="AG311" s="84" t="s">
        <v>2643</v>
      </c>
      <c r="AU311" s="84">
        <v>45</v>
      </c>
      <c r="AY311" s="86" t="s">
        <v>2651</v>
      </c>
      <c r="AZ311" s="88">
        <f t="shared" si="8"/>
        <v>0</v>
      </c>
      <c r="BH311" s="79" t="s">
        <v>2781</v>
      </c>
      <c r="BX311" s="88"/>
      <c r="CQ311" s="88"/>
    </row>
    <row r="312" spans="1:95" outlineLevel="1" x14ac:dyDescent="0.15">
      <c r="A312" s="76">
        <v>313</v>
      </c>
      <c r="B312" s="65" t="s">
        <v>701</v>
      </c>
      <c r="C312" s="65">
        <v>1066962855</v>
      </c>
      <c r="D312" s="81" t="str">
        <f t="shared" si="9"/>
        <v>https://portal.dnb.de/opac.htm?method=simpleSearch&amp;cqlMode=true&amp;query=idn%3D1066962855</v>
      </c>
      <c r="E312" s="65" t="s">
        <v>702</v>
      </c>
      <c r="F312" s="76" t="s">
        <v>89</v>
      </c>
      <c r="G312" s="78" t="s">
        <v>45</v>
      </c>
      <c r="H312" s="76" t="s">
        <v>50</v>
      </c>
      <c r="I312" s="78" t="s">
        <v>90</v>
      </c>
      <c r="J312" s="78" t="s">
        <v>81</v>
      </c>
      <c r="K312" s="76"/>
      <c r="L312" s="76"/>
      <c r="M312" s="76"/>
      <c r="N312" s="76">
        <v>0</v>
      </c>
      <c r="O312" s="76"/>
      <c r="P312" s="76"/>
      <c r="Q312" s="76"/>
      <c r="R312" s="76"/>
      <c r="AZ312" s="88">
        <f t="shared" si="8"/>
        <v>0</v>
      </c>
      <c r="BX312" s="88"/>
      <c r="CQ312" s="88"/>
    </row>
    <row r="313" spans="1:95" outlineLevel="1" x14ac:dyDescent="0.15">
      <c r="A313" s="76">
        <v>314</v>
      </c>
      <c r="B313" s="65" t="s">
        <v>703</v>
      </c>
      <c r="C313" s="65">
        <v>1066958734</v>
      </c>
      <c r="D313" s="81" t="str">
        <f t="shared" si="9"/>
        <v>https://portal.dnb.de/opac.htm?method=simpleSearch&amp;cqlMode=true&amp;query=idn%3D1066958734</v>
      </c>
      <c r="E313" s="65" t="s">
        <v>704</v>
      </c>
      <c r="F313" s="76"/>
      <c r="G313" s="78"/>
      <c r="H313" s="76"/>
      <c r="I313" s="78"/>
      <c r="J313" s="78"/>
      <c r="K313" s="76"/>
      <c r="L313" s="76"/>
      <c r="M313" s="76"/>
      <c r="N313" s="76"/>
      <c r="O313" s="76"/>
      <c r="P313" s="76"/>
      <c r="Q313" s="76"/>
      <c r="R313" s="76"/>
      <c r="AZ313" s="88">
        <f t="shared" si="8"/>
        <v>0</v>
      </c>
      <c r="BX313" s="88"/>
      <c r="CQ313" s="88"/>
    </row>
    <row r="314" spans="1:95" outlineLevel="1" x14ac:dyDescent="0.15">
      <c r="A314" s="76">
        <v>315</v>
      </c>
      <c r="B314" s="65" t="s">
        <v>705</v>
      </c>
      <c r="C314" s="65">
        <v>1066936013</v>
      </c>
      <c r="D314" s="81" t="str">
        <f t="shared" si="9"/>
        <v>https://portal.dnb.de/opac.htm?method=simpleSearch&amp;cqlMode=true&amp;query=idn%3D1066936013</v>
      </c>
      <c r="E314" s="65" t="s">
        <v>706</v>
      </c>
      <c r="F314" s="76" t="s">
        <v>89</v>
      </c>
      <c r="G314" s="78" t="s">
        <v>5</v>
      </c>
      <c r="H314" s="76" t="s">
        <v>50</v>
      </c>
      <c r="I314" s="78" t="s">
        <v>55</v>
      </c>
      <c r="J314" s="78" t="s">
        <v>81</v>
      </c>
      <c r="K314" s="76"/>
      <c r="L314" s="76"/>
      <c r="M314" s="76"/>
      <c r="N314" s="76">
        <v>0</v>
      </c>
      <c r="O314" s="76"/>
      <c r="P314" s="76"/>
      <c r="Q314" s="76"/>
      <c r="R314" s="76"/>
      <c r="AZ314" s="88">
        <f t="shared" si="8"/>
        <v>0</v>
      </c>
      <c r="BX314" s="88"/>
      <c r="CQ314" s="88"/>
    </row>
    <row r="315" spans="1:95" outlineLevel="1" x14ac:dyDescent="0.15">
      <c r="A315" s="76">
        <v>316</v>
      </c>
      <c r="B315" s="65" t="s">
        <v>707</v>
      </c>
      <c r="C315" s="65">
        <v>997856971</v>
      </c>
      <c r="D315" s="81" t="str">
        <f t="shared" si="9"/>
        <v>https://portal.dnb.de/opac.htm?method=simpleSearch&amp;cqlMode=true&amp;query=idn%3D997856971</v>
      </c>
      <c r="E315" s="65" t="s">
        <v>708</v>
      </c>
      <c r="F315" s="76"/>
      <c r="G315" s="78" t="s">
        <v>17</v>
      </c>
      <c r="H315" s="76" t="s">
        <v>50</v>
      </c>
      <c r="I315" s="78" t="s">
        <v>90</v>
      </c>
      <c r="J315" s="78" t="s">
        <v>81</v>
      </c>
      <c r="K315" s="76"/>
      <c r="L315" s="76"/>
      <c r="M315" s="76"/>
      <c r="N315" s="76">
        <v>0</v>
      </c>
      <c r="O315" s="76"/>
      <c r="P315" s="76"/>
      <c r="Q315" s="76"/>
      <c r="R315" s="76"/>
      <c r="AZ315" s="88">
        <f t="shared" si="8"/>
        <v>0</v>
      </c>
      <c r="BX315" s="88"/>
      <c r="CQ315" s="88"/>
    </row>
    <row r="316" spans="1:95" outlineLevel="1" x14ac:dyDescent="0.15">
      <c r="A316" s="76">
        <v>317</v>
      </c>
      <c r="B316" s="65" t="s">
        <v>709</v>
      </c>
      <c r="C316" s="65">
        <v>995212651</v>
      </c>
      <c r="D316" s="81" t="str">
        <f t="shared" si="9"/>
        <v>https://portal.dnb.de/opac.htm?method=simpleSearch&amp;cqlMode=true&amp;query=idn%3D995212651</v>
      </c>
      <c r="E316" s="65" t="s">
        <v>710</v>
      </c>
      <c r="F316" s="76"/>
      <c r="G316" s="78" t="s">
        <v>2557</v>
      </c>
      <c r="H316" s="76" t="s">
        <v>50</v>
      </c>
      <c r="I316" s="78" t="s">
        <v>90</v>
      </c>
      <c r="J316" s="78"/>
      <c r="K316" s="76"/>
      <c r="L316" s="76" t="s">
        <v>35</v>
      </c>
      <c r="M316" s="76" t="s">
        <v>37</v>
      </c>
      <c r="N316" s="76">
        <v>1</v>
      </c>
      <c r="O316" s="76"/>
      <c r="P316" s="76"/>
      <c r="Q316" s="76"/>
      <c r="R316" s="76"/>
      <c r="AZ316" s="88">
        <f t="shared" si="8"/>
        <v>0</v>
      </c>
      <c r="BX316" s="88"/>
      <c r="CQ316" s="88"/>
    </row>
    <row r="317" spans="1:95" ht="33.75" outlineLevel="1" x14ac:dyDescent="0.15">
      <c r="A317" s="76">
        <v>318</v>
      </c>
      <c r="B317" s="65" t="s">
        <v>711</v>
      </c>
      <c r="C317" s="65">
        <v>995212384</v>
      </c>
      <c r="D317" s="81" t="str">
        <f t="shared" si="9"/>
        <v>https://portal.dnb.de/opac.htm?method=simpleSearch&amp;cqlMode=true&amp;query=idn%3D995212384</v>
      </c>
      <c r="E317" s="65" t="s">
        <v>712</v>
      </c>
      <c r="F317" s="76" t="s">
        <v>89</v>
      </c>
      <c r="G317" s="78" t="s">
        <v>3</v>
      </c>
      <c r="H317" s="76" t="s">
        <v>50</v>
      </c>
      <c r="I317" s="78" t="s">
        <v>90</v>
      </c>
      <c r="J317" s="78" t="s">
        <v>2519</v>
      </c>
      <c r="K317" s="76"/>
      <c r="L317" s="76"/>
      <c r="M317" s="76"/>
      <c r="N317" s="76">
        <v>3</v>
      </c>
      <c r="O317" s="76"/>
      <c r="P317" s="76"/>
      <c r="Q317" s="76"/>
      <c r="R317" s="76"/>
      <c r="X317" s="84" t="s">
        <v>2652</v>
      </c>
      <c r="AA317" s="84" t="s">
        <v>2647</v>
      </c>
      <c r="AC317" s="84" t="s">
        <v>2541</v>
      </c>
      <c r="AG317" s="84" t="s">
        <v>2643</v>
      </c>
      <c r="AH317" s="84" t="s">
        <v>2541</v>
      </c>
      <c r="AU317" s="84">
        <v>110</v>
      </c>
      <c r="AX317" s="84" t="s">
        <v>2541</v>
      </c>
      <c r="AY317" s="86" t="s">
        <v>2651</v>
      </c>
      <c r="AZ317" s="88">
        <f t="shared" si="8"/>
        <v>0</v>
      </c>
      <c r="BJ317" s="79" t="s">
        <v>2836</v>
      </c>
      <c r="BX317" s="88"/>
      <c r="CQ317" s="88"/>
    </row>
    <row r="318" spans="1:95" ht="22.5" outlineLevel="1" x14ac:dyDescent="0.15">
      <c r="A318" s="76">
        <v>319</v>
      </c>
      <c r="B318" s="65" t="s">
        <v>713</v>
      </c>
      <c r="C318" s="65">
        <v>1208734385</v>
      </c>
      <c r="D318" s="81" t="str">
        <f t="shared" si="9"/>
        <v>https://portal.dnb.de/opac.htm?method=simpleSearch&amp;cqlMode=true&amp;query=idn%3D1208734385</v>
      </c>
      <c r="E318" s="65" t="s">
        <v>714</v>
      </c>
      <c r="F318" s="76" t="s">
        <v>89</v>
      </c>
      <c r="G318" s="78" t="s">
        <v>3</v>
      </c>
      <c r="H318" s="76" t="s">
        <v>50</v>
      </c>
      <c r="I318" s="78" t="s">
        <v>90</v>
      </c>
      <c r="J318" s="78" t="s">
        <v>2558</v>
      </c>
      <c r="K318" s="76"/>
      <c r="L318" s="76"/>
      <c r="M318" s="76"/>
      <c r="N318" s="76">
        <v>2</v>
      </c>
      <c r="O318" s="76"/>
      <c r="P318" s="76"/>
      <c r="Q318" s="76"/>
      <c r="R318" s="76"/>
      <c r="AZ318" s="88">
        <f t="shared" si="8"/>
        <v>0</v>
      </c>
      <c r="BX318" s="88"/>
      <c r="CQ318" s="88"/>
    </row>
    <row r="319" spans="1:95" outlineLevel="1" x14ac:dyDescent="0.15">
      <c r="A319" s="76">
        <v>320</v>
      </c>
      <c r="B319" s="65" t="s">
        <v>715</v>
      </c>
      <c r="C319" s="65">
        <v>1208775456</v>
      </c>
      <c r="D319" s="81" t="str">
        <f t="shared" si="9"/>
        <v>https://portal.dnb.de/opac.htm?method=simpleSearch&amp;cqlMode=true&amp;query=idn%3D1208775456</v>
      </c>
      <c r="E319" s="65" t="s">
        <v>716</v>
      </c>
      <c r="F319" s="76"/>
      <c r="G319" s="78"/>
      <c r="H319" s="76"/>
      <c r="I319" s="78"/>
      <c r="J319" s="78"/>
      <c r="K319" s="76"/>
      <c r="L319" s="76"/>
      <c r="M319" s="76"/>
      <c r="N319" s="76"/>
      <c r="O319" s="76"/>
      <c r="P319" s="76"/>
      <c r="Q319" s="76"/>
      <c r="R319" s="76"/>
      <c r="AZ319" s="88">
        <f t="shared" si="8"/>
        <v>0</v>
      </c>
      <c r="BX319" s="88"/>
      <c r="CQ319" s="88"/>
    </row>
    <row r="320" spans="1:95" outlineLevel="1" x14ac:dyDescent="0.15">
      <c r="A320" s="76">
        <v>321</v>
      </c>
      <c r="B320" s="65" t="s">
        <v>717</v>
      </c>
      <c r="C320" s="65">
        <v>1208734695</v>
      </c>
      <c r="D320" s="81" t="str">
        <f t="shared" si="9"/>
        <v>https://portal.dnb.de/opac.htm?method=simpleSearch&amp;cqlMode=true&amp;query=idn%3D1208734695</v>
      </c>
      <c r="E320" s="65" t="s">
        <v>718</v>
      </c>
      <c r="F320" s="76"/>
      <c r="G320" s="78"/>
      <c r="H320" s="76"/>
      <c r="I320" s="78"/>
      <c r="J320" s="78"/>
      <c r="K320" s="76"/>
      <c r="L320" s="76"/>
      <c r="M320" s="76"/>
      <c r="N320" s="76"/>
      <c r="O320" s="76"/>
      <c r="P320" s="76"/>
      <c r="Q320" s="76"/>
      <c r="R320" s="76"/>
      <c r="AZ320" s="88">
        <f t="shared" ref="AZ320:AZ383" si="10">BX320+CQ320</f>
        <v>0</v>
      </c>
      <c r="BX320" s="88"/>
      <c r="CQ320" s="88"/>
    </row>
    <row r="321" spans="1:95" outlineLevel="1" x14ac:dyDescent="0.15">
      <c r="A321" s="76">
        <v>322</v>
      </c>
      <c r="B321" s="65" t="s">
        <v>719</v>
      </c>
      <c r="C321" s="65">
        <v>996820817</v>
      </c>
      <c r="D321" s="81" t="str">
        <f t="shared" si="9"/>
        <v>https://portal.dnb.de/opac.htm?method=simpleSearch&amp;cqlMode=true&amp;query=idn%3D996820817</v>
      </c>
      <c r="E321" s="65" t="s">
        <v>720</v>
      </c>
      <c r="F321" s="76"/>
      <c r="G321" s="78" t="s">
        <v>46</v>
      </c>
      <c r="H321" s="76" t="s">
        <v>50</v>
      </c>
      <c r="I321" s="78" t="s">
        <v>55</v>
      </c>
      <c r="J321" s="78" t="s">
        <v>81</v>
      </c>
      <c r="K321" s="76"/>
      <c r="L321" s="76"/>
      <c r="M321" s="76"/>
      <c r="N321" s="76">
        <v>0</v>
      </c>
      <c r="O321" s="76"/>
      <c r="P321" s="76"/>
      <c r="Q321" s="76"/>
      <c r="R321" s="76"/>
      <c r="AZ321" s="88">
        <f t="shared" si="10"/>
        <v>0</v>
      </c>
      <c r="BX321" s="88"/>
      <c r="CQ321" s="88"/>
    </row>
    <row r="322" spans="1:95" ht="33.75" outlineLevel="1" x14ac:dyDescent="0.15">
      <c r="A322" s="76">
        <v>323</v>
      </c>
      <c r="B322" s="65" t="s">
        <v>721</v>
      </c>
      <c r="C322" s="65">
        <v>1066962987</v>
      </c>
      <c r="D322" s="81" t="str">
        <f t="shared" si="9"/>
        <v>https://portal.dnb.de/opac.htm?method=simpleSearch&amp;cqlMode=true&amp;query=idn%3D1066962987</v>
      </c>
      <c r="E322" s="65" t="s">
        <v>722</v>
      </c>
      <c r="F322" s="76" t="s">
        <v>89</v>
      </c>
      <c r="G322" s="78" t="s">
        <v>2516</v>
      </c>
      <c r="H322" s="76" t="s">
        <v>50</v>
      </c>
      <c r="I322" s="78" t="s">
        <v>55</v>
      </c>
      <c r="J322" s="78" t="s">
        <v>2559</v>
      </c>
      <c r="K322" s="76"/>
      <c r="L322" s="76" t="s">
        <v>34</v>
      </c>
      <c r="M322" s="76" t="s">
        <v>37</v>
      </c>
      <c r="N322" s="76">
        <v>3</v>
      </c>
      <c r="O322" s="76"/>
      <c r="P322" s="76"/>
      <c r="Q322" s="76"/>
      <c r="R322" s="76"/>
      <c r="X322" s="84" t="s">
        <v>2652</v>
      </c>
      <c r="Y322" s="84" t="s">
        <v>2541</v>
      </c>
      <c r="AA322" s="84" t="s">
        <v>2647</v>
      </c>
      <c r="AC322" s="84" t="s">
        <v>2541</v>
      </c>
      <c r="AG322" s="84" t="s">
        <v>2643</v>
      </c>
      <c r="AU322" s="84">
        <v>110</v>
      </c>
      <c r="AY322" s="86" t="s">
        <v>2651</v>
      </c>
      <c r="AZ322" s="88">
        <f t="shared" si="10"/>
        <v>0</v>
      </c>
      <c r="BD322" s="84" t="s">
        <v>2541</v>
      </c>
      <c r="BJ322" s="79" t="s">
        <v>2836</v>
      </c>
      <c r="BX322" s="88"/>
      <c r="CQ322" s="88"/>
    </row>
    <row r="323" spans="1:95" ht="22.5" outlineLevel="1" x14ac:dyDescent="0.15">
      <c r="A323" s="76">
        <v>324</v>
      </c>
      <c r="B323" s="65" t="s">
        <v>723</v>
      </c>
      <c r="C323" s="65">
        <v>1066877688</v>
      </c>
      <c r="D323" s="81" t="str">
        <f t="shared" si="9"/>
        <v>https://portal.dnb.de/opac.htm?method=simpleSearch&amp;cqlMode=true&amp;query=idn%3D1066877688</v>
      </c>
      <c r="E323" s="65" t="s">
        <v>724</v>
      </c>
      <c r="F323" s="76" t="s">
        <v>89</v>
      </c>
      <c r="G323" s="78" t="s">
        <v>2518</v>
      </c>
      <c r="H323" s="76" t="s">
        <v>50</v>
      </c>
      <c r="I323" s="78" t="s">
        <v>90</v>
      </c>
      <c r="J323" s="78" t="s">
        <v>81</v>
      </c>
      <c r="K323" s="76"/>
      <c r="L323" s="76" t="s">
        <v>34</v>
      </c>
      <c r="M323" s="76" t="s">
        <v>37</v>
      </c>
      <c r="N323" s="76">
        <v>0</v>
      </c>
      <c r="O323" s="76"/>
      <c r="P323" s="76"/>
      <c r="Q323" s="76"/>
      <c r="R323" s="76"/>
      <c r="AZ323" s="88">
        <f t="shared" si="10"/>
        <v>0</v>
      </c>
      <c r="BX323" s="88"/>
      <c r="CQ323" s="88"/>
    </row>
    <row r="324" spans="1:95" ht="33.75" outlineLevel="1" x14ac:dyDescent="0.15">
      <c r="A324" s="76">
        <v>325</v>
      </c>
      <c r="B324" s="65" t="s">
        <v>725</v>
      </c>
      <c r="C324" s="65">
        <v>1066940819</v>
      </c>
      <c r="D324" s="81" t="str">
        <f t="shared" si="9"/>
        <v>https://portal.dnb.de/opac.htm?method=simpleSearch&amp;cqlMode=true&amp;query=idn%3D1066940819</v>
      </c>
      <c r="E324" s="65" t="s">
        <v>726</v>
      </c>
      <c r="F324" s="76"/>
      <c r="G324" s="78" t="s">
        <v>2516</v>
      </c>
      <c r="H324" s="76" t="s">
        <v>51</v>
      </c>
      <c r="I324" s="78" t="s">
        <v>90</v>
      </c>
      <c r="J324" s="78" t="s">
        <v>2535</v>
      </c>
      <c r="K324" s="76"/>
      <c r="L324" s="76" t="s">
        <v>34</v>
      </c>
      <c r="M324" s="76" t="s">
        <v>37</v>
      </c>
      <c r="N324" s="76">
        <v>0</v>
      </c>
      <c r="O324" s="76"/>
      <c r="P324" s="76"/>
      <c r="Q324" s="76"/>
      <c r="R324" s="76"/>
      <c r="AZ324" s="88">
        <f t="shared" si="10"/>
        <v>0</v>
      </c>
      <c r="BD324" s="84" t="s">
        <v>2541</v>
      </c>
      <c r="BX324" s="88"/>
      <c r="CQ324" s="88"/>
    </row>
    <row r="325" spans="1:95" outlineLevel="1" x14ac:dyDescent="0.15">
      <c r="A325" s="76">
        <v>326</v>
      </c>
      <c r="B325" s="65" t="s">
        <v>727</v>
      </c>
      <c r="C325" s="65">
        <v>1211577015</v>
      </c>
      <c r="D325" s="81" t="str">
        <f t="shared" si="9"/>
        <v>https://portal.dnb.de/opac.htm?method=simpleSearch&amp;cqlMode=true&amp;query=idn%3D1211577015</v>
      </c>
      <c r="E325" s="65" t="s">
        <v>728</v>
      </c>
      <c r="F325" s="76"/>
      <c r="G325" s="78"/>
      <c r="H325" s="76"/>
      <c r="I325" s="78"/>
      <c r="J325" s="78"/>
      <c r="K325" s="76"/>
      <c r="L325" s="76"/>
      <c r="M325" s="76"/>
      <c r="N325" s="76"/>
      <c r="O325" s="76"/>
      <c r="P325" s="76"/>
      <c r="Q325" s="76"/>
      <c r="R325" s="76"/>
      <c r="AZ325" s="88">
        <f t="shared" si="10"/>
        <v>0</v>
      </c>
      <c r="BX325" s="88"/>
      <c r="CQ325" s="88"/>
    </row>
    <row r="326" spans="1:95" outlineLevel="1" x14ac:dyDescent="0.15">
      <c r="A326" s="76">
        <v>327</v>
      </c>
      <c r="B326" s="65" t="s">
        <v>729</v>
      </c>
      <c r="C326" s="65">
        <v>1066874026</v>
      </c>
      <c r="D326" s="81" t="str">
        <f t="shared" si="9"/>
        <v>https://portal.dnb.de/opac.htm?method=simpleSearch&amp;cqlMode=true&amp;query=idn%3D1066874026</v>
      </c>
      <c r="E326" s="65" t="s">
        <v>730</v>
      </c>
      <c r="F326" s="76" t="s">
        <v>89</v>
      </c>
      <c r="G326" s="78" t="s">
        <v>5</v>
      </c>
      <c r="H326" s="76" t="s">
        <v>50</v>
      </c>
      <c r="I326" s="78" t="s">
        <v>90</v>
      </c>
      <c r="J326" s="78" t="s">
        <v>81</v>
      </c>
      <c r="K326" s="76"/>
      <c r="L326" s="76"/>
      <c r="M326" s="76"/>
      <c r="N326" s="76">
        <v>1</v>
      </c>
      <c r="O326" s="76"/>
      <c r="P326" s="76"/>
      <c r="Q326" s="76"/>
      <c r="R326" s="76"/>
      <c r="X326" s="84" t="s">
        <v>2645</v>
      </c>
      <c r="Y326" s="84" t="s">
        <v>2541</v>
      </c>
      <c r="AA326" s="84" t="s">
        <v>2647</v>
      </c>
      <c r="AG326" s="84" t="s">
        <v>2643</v>
      </c>
      <c r="AU326" s="84">
        <v>110</v>
      </c>
      <c r="AY326" s="86" t="s">
        <v>2651</v>
      </c>
      <c r="AZ326" s="88">
        <f t="shared" si="10"/>
        <v>0</v>
      </c>
      <c r="BH326" s="79" t="s">
        <v>2962</v>
      </c>
      <c r="BX326" s="88"/>
      <c r="CQ326" s="88"/>
    </row>
    <row r="327" spans="1:95" outlineLevel="1" x14ac:dyDescent="0.15">
      <c r="A327" s="76">
        <v>328</v>
      </c>
      <c r="B327" s="65" t="s">
        <v>731</v>
      </c>
      <c r="C327" s="65" t="s">
        <v>732</v>
      </c>
      <c r="D327" s="81" t="str">
        <f t="shared" si="9"/>
        <v>https://portal.dnb.de/opac.htm?method=simpleSearch&amp;cqlMode=true&amp;query=idn%3D106694072X</v>
      </c>
      <c r="E327" s="65" t="s">
        <v>733</v>
      </c>
      <c r="F327" s="76"/>
      <c r="G327" s="78"/>
      <c r="H327" s="76" t="s">
        <v>51</v>
      </c>
      <c r="I327" s="78"/>
      <c r="J327" s="78"/>
      <c r="K327" s="76"/>
      <c r="L327" s="76"/>
      <c r="M327" s="76"/>
      <c r="N327" s="76"/>
      <c r="O327" s="76"/>
      <c r="P327" s="76"/>
      <c r="Q327" s="76"/>
      <c r="R327" s="76"/>
      <c r="X327" s="84" t="s">
        <v>2643</v>
      </c>
      <c r="AA327" s="84" t="s">
        <v>2647</v>
      </c>
      <c r="AG327" s="84" t="s">
        <v>2643</v>
      </c>
      <c r="AU327" s="84">
        <v>110</v>
      </c>
      <c r="AY327" s="86" t="s">
        <v>2651</v>
      </c>
      <c r="AZ327" s="88">
        <f t="shared" si="10"/>
        <v>0</v>
      </c>
      <c r="BH327" s="79" t="s">
        <v>2962</v>
      </c>
      <c r="BX327" s="88"/>
      <c r="CQ327" s="88"/>
    </row>
    <row r="328" spans="1:95" outlineLevel="1" x14ac:dyDescent="0.15">
      <c r="A328" s="76">
        <v>329</v>
      </c>
      <c r="B328" s="65" t="s">
        <v>734</v>
      </c>
      <c r="C328" s="65">
        <v>1066940517</v>
      </c>
      <c r="D328" s="81" t="str">
        <f t="shared" si="9"/>
        <v>https://portal.dnb.de/opac.htm?method=simpleSearch&amp;cqlMode=true&amp;query=idn%3D1066940517</v>
      </c>
      <c r="E328" s="65" t="s">
        <v>735</v>
      </c>
      <c r="F328" s="76"/>
      <c r="G328" s="78"/>
      <c r="H328" s="76" t="s">
        <v>50</v>
      </c>
      <c r="I328" s="78"/>
      <c r="J328" s="78"/>
      <c r="K328" s="76"/>
      <c r="L328" s="76"/>
      <c r="M328" s="76"/>
      <c r="N328" s="76"/>
      <c r="O328" s="76"/>
      <c r="P328" s="76"/>
      <c r="Q328" s="76"/>
      <c r="R328" s="76"/>
      <c r="X328" s="84" t="s">
        <v>2645</v>
      </c>
      <c r="Y328" s="84" t="s">
        <v>2541</v>
      </c>
      <c r="AA328" s="84" t="s">
        <v>2647</v>
      </c>
      <c r="AG328" s="84" t="s">
        <v>2643</v>
      </c>
      <c r="AU328" s="84">
        <v>110</v>
      </c>
      <c r="AY328" s="86" t="s">
        <v>2651</v>
      </c>
      <c r="AZ328" s="88">
        <f t="shared" si="10"/>
        <v>0</v>
      </c>
      <c r="BH328" s="79" t="s">
        <v>2962</v>
      </c>
      <c r="BX328" s="88"/>
      <c r="CQ328" s="88"/>
    </row>
    <row r="329" spans="1:95" outlineLevel="1" x14ac:dyDescent="0.15">
      <c r="A329" s="76">
        <v>330</v>
      </c>
      <c r="B329" s="65" t="s">
        <v>736</v>
      </c>
      <c r="C329" s="65">
        <v>1132655722</v>
      </c>
      <c r="D329" s="81" t="str">
        <f t="shared" si="9"/>
        <v>https://portal.dnb.de/opac.htm?method=simpleSearch&amp;cqlMode=true&amp;query=idn%3D1132655722</v>
      </c>
      <c r="E329" s="65" t="s">
        <v>737</v>
      </c>
      <c r="F329" s="76"/>
      <c r="G329" s="78"/>
      <c r="H329" s="76"/>
      <c r="I329" s="78"/>
      <c r="J329" s="78"/>
      <c r="K329" s="76"/>
      <c r="L329" s="76"/>
      <c r="M329" s="76"/>
      <c r="N329" s="76"/>
      <c r="O329" s="76"/>
      <c r="P329" s="76"/>
      <c r="Q329" s="76"/>
      <c r="R329" s="76"/>
      <c r="AZ329" s="88">
        <f t="shared" si="10"/>
        <v>0</v>
      </c>
      <c r="BX329" s="88"/>
      <c r="CQ329" s="88"/>
    </row>
    <row r="330" spans="1:95" outlineLevel="1" x14ac:dyDescent="0.15">
      <c r="A330" s="76">
        <v>331</v>
      </c>
      <c r="B330" s="65" t="s">
        <v>738</v>
      </c>
      <c r="C330" s="65">
        <v>1132655730</v>
      </c>
      <c r="D330" s="81" t="str">
        <f t="shared" si="9"/>
        <v>https://portal.dnb.de/opac.htm?method=simpleSearch&amp;cqlMode=true&amp;query=idn%3D1132655730</v>
      </c>
      <c r="E330" s="65" t="s">
        <v>737</v>
      </c>
      <c r="F330" s="76"/>
      <c r="G330" s="78"/>
      <c r="H330" s="76"/>
      <c r="I330" s="78"/>
      <c r="J330" s="78"/>
      <c r="K330" s="76"/>
      <c r="L330" s="76"/>
      <c r="M330" s="76"/>
      <c r="N330" s="76"/>
      <c r="O330" s="76"/>
      <c r="P330" s="76"/>
      <c r="Q330" s="76"/>
      <c r="R330" s="76"/>
      <c r="AZ330" s="88">
        <f t="shared" si="10"/>
        <v>0</v>
      </c>
      <c r="BX330" s="88"/>
      <c r="CQ330" s="88"/>
    </row>
    <row r="331" spans="1:95" ht="22.5" outlineLevel="1" x14ac:dyDescent="0.15">
      <c r="A331" s="76">
        <v>332</v>
      </c>
      <c r="B331" s="65" t="s">
        <v>739</v>
      </c>
      <c r="C331" s="65">
        <v>1066937877</v>
      </c>
      <c r="D331" s="81" t="str">
        <f t="shared" si="9"/>
        <v>https://portal.dnb.de/opac.htm?method=simpleSearch&amp;cqlMode=true&amp;query=idn%3D1066937877</v>
      </c>
      <c r="E331" s="65" t="s">
        <v>740</v>
      </c>
      <c r="F331" s="76" t="s">
        <v>89</v>
      </c>
      <c r="G331" s="78" t="s">
        <v>2560</v>
      </c>
      <c r="H331" s="76" t="s">
        <v>50</v>
      </c>
      <c r="I331" s="78" t="s">
        <v>55</v>
      </c>
      <c r="J331" s="78" t="s">
        <v>2509</v>
      </c>
      <c r="K331" s="76"/>
      <c r="L331" s="76" t="s">
        <v>34</v>
      </c>
      <c r="M331" s="76" t="s">
        <v>37</v>
      </c>
      <c r="N331" s="76">
        <v>0</v>
      </c>
      <c r="O331" s="76"/>
      <c r="P331" s="76"/>
      <c r="Q331" s="76"/>
      <c r="R331" s="76"/>
      <c r="AZ331" s="88">
        <f t="shared" si="10"/>
        <v>0</v>
      </c>
      <c r="BX331" s="88"/>
      <c r="CQ331" s="88"/>
    </row>
    <row r="332" spans="1:95" outlineLevel="1" x14ac:dyDescent="0.15">
      <c r="A332" s="76">
        <v>333</v>
      </c>
      <c r="B332" s="65" t="s">
        <v>741</v>
      </c>
      <c r="C332" s="65">
        <v>1002893801</v>
      </c>
      <c r="D332" s="81" t="str">
        <f t="shared" si="9"/>
        <v>https://portal.dnb.de/opac.htm?method=simpleSearch&amp;cqlMode=true&amp;query=idn%3D1002893801</v>
      </c>
      <c r="E332" s="65" t="s">
        <v>742</v>
      </c>
      <c r="F332" s="76"/>
      <c r="G332" s="78"/>
      <c r="H332" s="76"/>
      <c r="I332" s="78"/>
      <c r="J332" s="78"/>
      <c r="K332" s="76"/>
      <c r="L332" s="76"/>
      <c r="M332" s="76"/>
      <c r="N332" s="76"/>
      <c r="O332" s="76"/>
      <c r="P332" s="76"/>
      <c r="Q332" s="76"/>
      <c r="R332" s="76"/>
      <c r="AZ332" s="88">
        <f t="shared" si="10"/>
        <v>0</v>
      </c>
      <c r="BX332" s="88"/>
      <c r="CQ332" s="88"/>
    </row>
    <row r="333" spans="1:95" outlineLevel="1" x14ac:dyDescent="0.15">
      <c r="A333" s="76">
        <v>334</v>
      </c>
      <c r="B333" s="65" t="s">
        <v>743</v>
      </c>
      <c r="C333" s="65">
        <v>1000120279</v>
      </c>
      <c r="D333" s="81" t="str">
        <f t="shared" si="9"/>
        <v>https://portal.dnb.de/opac.htm?method=simpleSearch&amp;cqlMode=true&amp;query=idn%3D1000120279</v>
      </c>
      <c r="E333" s="65" t="s">
        <v>744</v>
      </c>
      <c r="F333" s="76"/>
      <c r="G333" s="78"/>
      <c r="H333" s="76"/>
      <c r="I333" s="78"/>
      <c r="J333" s="78"/>
      <c r="K333" s="76"/>
      <c r="L333" s="76"/>
      <c r="M333" s="76"/>
      <c r="N333" s="76"/>
      <c r="O333" s="76"/>
      <c r="P333" s="76"/>
      <c r="Q333" s="76"/>
      <c r="R333" s="76"/>
      <c r="AZ333" s="88">
        <f t="shared" si="10"/>
        <v>0</v>
      </c>
      <c r="BX333" s="88"/>
      <c r="CQ333" s="88"/>
    </row>
    <row r="334" spans="1:95" outlineLevel="1" x14ac:dyDescent="0.15">
      <c r="A334" s="76">
        <v>335</v>
      </c>
      <c r="B334" s="65" t="s">
        <v>745</v>
      </c>
      <c r="C334" s="65">
        <v>1000072649</v>
      </c>
      <c r="D334" s="81" t="str">
        <f t="shared" si="9"/>
        <v>https://portal.dnb.de/opac.htm?method=simpleSearch&amp;cqlMode=true&amp;query=idn%3D1000072649</v>
      </c>
      <c r="E334" s="65" t="s">
        <v>746</v>
      </c>
      <c r="F334" s="76"/>
      <c r="G334" s="78"/>
      <c r="H334" s="76"/>
      <c r="I334" s="78"/>
      <c r="J334" s="78"/>
      <c r="K334" s="76"/>
      <c r="L334" s="76"/>
      <c r="M334" s="76"/>
      <c r="N334" s="76"/>
      <c r="O334" s="76"/>
      <c r="P334" s="76"/>
      <c r="Q334" s="76"/>
      <c r="R334" s="76"/>
      <c r="AZ334" s="88">
        <f t="shared" si="10"/>
        <v>0</v>
      </c>
      <c r="BX334" s="88"/>
      <c r="CQ334" s="88"/>
    </row>
    <row r="335" spans="1:95" outlineLevel="1" x14ac:dyDescent="0.15">
      <c r="A335" s="76">
        <v>336</v>
      </c>
      <c r="B335" s="65" t="s">
        <v>747</v>
      </c>
      <c r="C335" s="65">
        <v>1002646235</v>
      </c>
      <c r="D335" s="81" t="str">
        <f t="shared" si="9"/>
        <v>https://portal.dnb.de/opac.htm?method=simpleSearch&amp;cqlMode=true&amp;query=idn%3D1002646235</v>
      </c>
      <c r="E335" s="65" t="s">
        <v>746</v>
      </c>
      <c r="F335" s="76"/>
      <c r="G335" s="78"/>
      <c r="H335" s="76"/>
      <c r="I335" s="78"/>
      <c r="J335" s="78"/>
      <c r="K335" s="76"/>
      <c r="L335" s="76"/>
      <c r="M335" s="76"/>
      <c r="N335" s="76"/>
      <c r="O335" s="76"/>
      <c r="P335" s="76"/>
      <c r="Q335" s="76"/>
      <c r="R335" s="76"/>
      <c r="AZ335" s="88">
        <f t="shared" si="10"/>
        <v>0</v>
      </c>
      <c r="BX335" s="88"/>
      <c r="CQ335" s="88"/>
    </row>
    <row r="336" spans="1:95" ht="22.5" outlineLevel="1" x14ac:dyDescent="0.15">
      <c r="A336" s="76">
        <v>337</v>
      </c>
      <c r="B336" s="65" t="s">
        <v>748</v>
      </c>
      <c r="C336" s="65">
        <v>1066871000</v>
      </c>
      <c r="D336" s="81" t="str">
        <f t="shared" si="9"/>
        <v>https://portal.dnb.de/opac.htm?method=simpleSearch&amp;cqlMode=true&amp;query=idn%3D1066871000</v>
      </c>
      <c r="E336" s="65" t="s">
        <v>749</v>
      </c>
      <c r="F336" s="76" t="s">
        <v>89</v>
      </c>
      <c r="G336" s="78" t="s">
        <v>2516</v>
      </c>
      <c r="H336" s="76" t="s">
        <v>51</v>
      </c>
      <c r="I336" s="78" t="s">
        <v>55</v>
      </c>
      <c r="J336" s="78" t="s">
        <v>81</v>
      </c>
      <c r="K336" s="76"/>
      <c r="L336" s="76"/>
      <c r="M336" s="76"/>
      <c r="N336" s="76">
        <v>0</v>
      </c>
      <c r="O336" s="76"/>
      <c r="P336" s="76"/>
      <c r="Q336" s="76"/>
      <c r="R336" s="76"/>
      <c r="X336" s="84" t="s">
        <v>2652</v>
      </c>
      <c r="Y336" s="84" t="s">
        <v>2541</v>
      </c>
      <c r="AA336" s="84" t="s">
        <v>2647</v>
      </c>
      <c r="AG336" s="84" t="s">
        <v>2643</v>
      </c>
      <c r="AQ336" s="84" t="s">
        <v>2680</v>
      </c>
      <c r="AR336" s="84" t="s">
        <v>2541</v>
      </c>
      <c r="AU336" s="84">
        <v>110</v>
      </c>
      <c r="AY336" s="86" t="s">
        <v>2651</v>
      </c>
      <c r="AZ336" s="88">
        <f t="shared" si="10"/>
        <v>0</v>
      </c>
      <c r="BX336" s="88"/>
      <c r="CQ336" s="88"/>
    </row>
    <row r="337" spans="1:95" ht="22.5" outlineLevel="1" x14ac:dyDescent="0.15">
      <c r="A337" s="76">
        <v>338</v>
      </c>
      <c r="B337" s="65" t="s">
        <v>750</v>
      </c>
      <c r="C337" s="65">
        <v>1003962432</v>
      </c>
      <c r="D337" s="81" t="str">
        <f>HYPERLINK(CONCATENATE("https://portal.dnb.de/opac.htm?method=simpleSearch&amp;cqlMode=true&amp;query=idn%3D",C337))</f>
        <v>https://portal.dnb.de/opac.htm?method=simpleSearch&amp;cqlMode=true&amp;query=idn%3D1003962432</v>
      </c>
      <c r="E337" s="65" t="s">
        <v>751</v>
      </c>
      <c r="F337" s="76" t="s">
        <v>89</v>
      </c>
      <c r="G337" s="78" t="s">
        <v>2510</v>
      </c>
      <c r="H337" s="76" t="s">
        <v>50</v>
      </c>
      <c r="I337" s="78" t="s">
        <v>55</v>
      </c>
      <c r="J337" s="78" t="s">
        <v>81</v>
      </c>
      <c r="K337" s="76"/>
      <c r="L337" s="76" t="s">
        <v>34</v>
      </c>
      <c r="M337" s="76" t="s">
        <v>37</v>
      </c>
      <c r="N337" s="76">
        <v>1</v>
      </c>
      <c r="O337" s="76"/>
      <c r="P337" s="76"/>
      <c r="Q337" s="76"/>
      <c r="R337" s="76"/>
      <c r="AZ337" s="88">
        <f t="shared" si="10"/>
        <v>0</v>
      </c>
      <c r="BX337" s="88"/>
      <c r="CQ337" s="88"/>
    </row>
    <row r="338" spans="1:95" ht="22.5" outlineLevel="1" x14ac:dyDescent="0.15">
      <c r="A338" s="76">
        <v>339</v>
      </c>
      <c r="B338" s="65" t="s">
        <v>752</v>
      </c>
      <c r="C338" s="65">
        <v>1066934975</v>
      </c>
      <c r="D338" s="81" t="str">
        <f>HYPERLINK(CONCATENATE("https://portal.dnb.de/opac.htm?method=simpleSearch&amp;cqlMode=true&amp;query=idn%3D",C338))</f>
        <v>https://portal.dnb.de/opac.htm?method=simpleSearch&amp;cqlMode=true&amp;query=idn%3D1066934975</v>
      </c>
      <c r="E338" s="65" t="s">
        <v>753</v>
      </c>
      <c r="F338" s="76" t="s">
        <v>89</v>
      </c>
      <c r="G338" s="78" t="s">
        <v>2510</v>
      </c>
      <c r="H338" s="76" t="s">
        <v>50</v>
      </c>
      <c r="I338" s="78" t="s">
        <v>55</v>
      </c>
      <c r="J338" s="78" t="s">
        <v>81</v>
      </c>
      <c r="K338" s="76"/>
      <c r="L338" s="76" t="s">
        <v>34</v>
      </c>
      <c r="M338" s="76" t="s">
        <v>37</v>
      </c>
      <c r="N338" s="76">
        <v>0</v>
      </c>
      <c r="O338" s="76"/>
      <c r="P338" s="76"/>
      <c r="Q338" s="76"/>
      <c r="R338" s="76"/>
      <c r="AZ338" s="88">
        <f t="shared" si="10"/>
        <v>0</v>
      </c>
      <c r="BX338" s="88"/>
      <c r="CQ338" s="88"/>
    </row>
    <row r="339" spans="1:95" ht="22.5" outlineLevel="1" x14ac:dyDescent="0.15">
      <c r="A339" s="76">
        <v>340</v>
      </c>
      <c r="B339" s="65" t="s">
        <v>754</v>
      </c>
      <c r="C339" s="65">
        <v>1066842191</v>
      </c>
      <c r="D339" s="81" t="str">
        <f>HYPERLINK(CONCATENATE("https://portal.dnb.de/opac.htm?method=simpleSearch&amp;cqlMode=true&amp;query=idn%3D",C339))</f>
        <v>https://portal.dnb.de/opac.htm?method=simpleSearch&amp;cqlMode=true&amp;query=idn%3D1066842191</v>
      </c>
      <c r="E339" s="65" t="s">
        <v>755</v>
      </c>
      <c r="F339" s="76" t="s">
        <v>89</v>
      </c>
      <c r="G339" s="78" t="s">
        <v>45</v>
      </c>
      <c r="H339" s="76" t="s">
        <v>50</v>
      </c>
      <c r="I339" s="78" t="s">
        <v>55</v>
      </c>
      <c r="J339" s="78" t="s">
        <v>2512</v>
      </c>
      <c r="K339" s="76"/>
      <c r="L339" s="76" t="s">
        <v>35</v>
      </c>
      <c r="M339" s="76" t="s">
        <v>37</v>
      </c>
      <c r="N339" s="76">
        <v>0</v>
      </c>
      <c r="O339" s="76"/>
      <c r="P339" s="76"/>
      <c r="Q339" s="76"/>
      <c r="R339" s="76"/>
      <c r="AZ339" s="88">
        <f t="shared" si="10"/>
        <v>0</v>
      </c>
      <c r="BX339" s="88"/>
      <c r="CQ339" s="88"/>
    </row>
    <row r="340" spans="1:95" outlineLevel="1" x14ac:dyDescent="0.15">
      <c r="A340" s="76">
        <v>341</v>
      </c>
      <c r="B340" s="65" t="s">
        <v>756</v>
      </c>
      <c r="C340" s="65">
        <v>1066963223</v>
      </c>
      <c r="D340" s="81" t="str">
        <f t="shared" ref="D340:D402" si="11">HYPERLINK(CONCATENATE("https://portal.dnb.de/opac.htm?method=simpleSearch&amp;cqlMode=true&amp;query=idn%3D",C340))</f>
        <v>https://portal.dnb.de/opac.htm?method=simpleSearch&amp;cqlMode=true&amp;query=idn%3D1066963223</v>
      </c>
      <c r="E340" s="65" t="s">
        <v>757</v>
      </c>
      <c r="F340" s="76" t="s">
        <v>89</v>
      </c>
      <c r="G340" s="78" t="s">
        <v>45</v>
      </c>
      <c r="H340" s="76" t="s">
        <v>51</v>
      </c>
      <c r="I340" s="78" t="s">
        <v>55</v>
      </c>
      <c r="J340" s="78" t="s">
        <v>81</v>
      </c>
      <c r="K340" s="76"/>
      <c r="L340" s="76" t="s">
        <v>35</v>
      </c>
      <c r="M340" s="76" t="s">
        <v>37</v>
      </c>
      <c r="N340" s="76">
        <v>0</v>
      </c>
      <c r="O340" s="76"/>
      <c r="P340" s="76"/>
      <c r="Q340" s="76"/>
      <c r="R340" s="76"/>
      <c r="AZ340" s="88">
        <f t="shared" si="10"/>
        <v>0</v>
      </c>
      <c r="BX340" s="88"/>
      <c r="CQ340" s="88"/>
    </row>
    <row r="341" spans="1:95" outlineLevel="1" x14ac:dyDescent="0.15">
      <c r="A341" s="76">
        <v>342</v>
      </c>
      <c r="B341" s="65" t="s">
        <v>758</v>
      </c>
      <c r="C341" s="65">
        <v>1001583299</v>
      </c>
      <c r="D341" s="81" t="str">
        <f t="shared" si="11"/>
        <v>https://portal.dnb.de/opac.htm?method=simpleSearch&amp;cqlMode=true&amp;query=idn%3D1001583299</v>
      </c>
      <c r="E341" s="65" t="s">
        <v>759</v>
      </c>
      <c r="F341" s="76"/>
      <c r="G341" s="78" t="s">
        <v>46</v>
      </c>
      <c r="H341" s="76" t="s">
        <v>50</v>
      </c>
      <c r="I341" s="78" t="s">
        <v>55</v>
      </c>
      <c r="J341" s="78" t="s">
        <v>81</v>
      </c>
      <c r="K341" s="76"/>
      <c r="L341" s="76"/>
      <c r="M341" s="76"/>
      <c r="N341" s="76">
        <v>0</v>
      </c>
      <c r="O341" s="76"/>
      <c r="P341" s="76"/>
      <c r="Q341" s="76"/>
      <c r="R341" s="76"/>
      <c r="AZ341" s="88">
        <f t="shared" si="10"/>
        <v>0</v>
      </c>
      <c r="BX341" s="88"/>
      <c r="CQ341" s="88"/>
    </row>
    <row r="342" spans="1:95" outlineLevel="1" x14ac:dyDescent="0.15">
      <c r="A342" s="76">
        <v>343</v>
      </c>
      <c r="B342" s="65" t="s">
        <v>760</v>
      </c>
      <c r="C342" s="65">
        <v>1066874379</v>
      </c>
      <c r="D342" s="81" t="str">
        <f t="shared" si="11"/>
        <v>https://portal.dnb.de/opac.htm?method=simpleSearch&amp;cqlMode=true&amp;query=idn%3D1066874379</v>
      </c>
      <c r="E342" s="65" t="s">
        <v>761</v>
      </c>
      <c r="F342" s="76" t="s">
        <v>89</v>
      </c>
      <c r="G342" s="78" t="s">
        <v>17</v>
      </c>
      <c r="H342" s="76" t="s">
        <v>50</v>
      </c>
      <c r="I342" s="78" t="s">
        <v>55</v>
      </c>
      <c r="J342" s="78" t="s">
        <v>81</v>
      </c>
      <c r="K342" s="76"/>
      <c r="L342" s="76"/>
      <c r="M342" s="76"/>
      <c r="N342" s="76">
        <v>0</v>
      </c>
      <c r="O342" s="76"/>
      <c r="P342" s="76"/>
      <c r="Q342" s="76"/>
      <c r="R342" s="76"/>
      <c r="X342" s="84" t="s">
        <v>2766</v>
      </c>
      <c r="AA342" s="84" t="s">
        <v>2675</v>
      </c>
      <c r="AG342" s="84" t="s">
        <v>2643</v>
      </c>
      <c r="AU342" s="84">
        <v>110</v>
      </c>
      <c r="AY342" s="86" t="s">
        <v>2651</v>
      </c>
      <c r="AZ342" s="88">
        <f t="shared" si="10"/>
        <v>0</v>
      </c>
      <c r="BH342" s="79" t="s">
        <v>2962</v>
      </c>
      <c r="BX342" s="88"/>
      <c r="CQ342" s="88"/>
    </row>
    <row r="343" spans="1:95" ht="22.5" outlineLevel="1" x14ac:dyDescent="0.15">
      <c r="A343" s="76">
        <v>344</v>
      </c>
      <c r="B343" s="65" t="s">
        <v>762</v>
      </c>
      <c r="C343" s="65">
        <v>1066962065</v>
      </c>
      <c r="D343" s="81" t="str">
        <f t="shared" si="11"/>
        <v>https://portal.dnb.de/opac.htm?method=simpleSearch&amp;cqlMode=true&amp;query=idn%3D1066962065</v>
      </c>
      <c r="E343" s="65" t="s">
        <v>763</v>
      </c>
      <c r="F343" s="76" t="s">
        <v>89</v>
      </c>
      <c r="G343" s="78" t="s">
        <v>2510</v>
      </c>
      <c r="H343" s="76" t="s">
        <v>50</v>
      </c>
      <c r="I343" s="78" t="s">
        <v>90</v>
      </c>
      <c r="J343" s="78" t="s">
        <v>2515</v>
      </c>
      <c r="K343" s="76"/>
      <c r="L343" s="76" t="s">
        <v>34</v>
      </c>
      <c r="M343" s="76" t="s">
        <v>37</v>
      </c>
      <c r="N343" s="76">
        <v>0</v>
      </c>
      <c r="O343" s="76"/>
      <c r="P343" s="76"/>
      <c r="Q343" s="76"/>
      <c r="R343" s="76"/>
      <c r="AZ343" s="88">
        <f t="shared" si="10"/>
        <v>0</v>
      </c>
      <c r="BX343" s="88"/>
      <c r="CQ343" s="88"/>
    </row>
    <row r="344" spans="1:95" ht="22.5" outlineLevel="1" x14ac:dyDescent="0.15">
      <c r="A344" s="76">
        <v>345</v>
      </c>
      <c r="B344" s="65" t="s">
        <v>764</v>
      </c>
      <c r="C344" s="65">
        <v>1066957878</v>
      </c>
      <c r="D344" s="81" t="str">
        <f t="shared" si="11"/>
        <v>https://portal.dnb.de/opac.htm?method=simpleSearch&amp;cqlMode=true&amp;query=idn%3D1066957878</v>
      </c>
      <c r="E344" s="65" t="s">
        <v>765</v>
      </c>
      <c r="F344" s="76" t="s">
        <v>89</v>
      </c>
      <c r="G344" s="78" t="s">
        <v>2560</v>
      </c>
      <c r="H344" s="76" t="s">
        <v>50</v>
      </c>
      <c r="I344" s="78" t="s">
        <v>55</v>
      </c>
      <c r="J344" s="78" t="s">
        <v>81</v>
      </c>
      <c r="K344" s="76"/>
      <c r="L344" s="76" t="s">
        <v>34</v>
      </c>
      <c r="M344" s="76" t="s">
        <v>37</v>
      </c>
      <c r="N344" s="76">
        <v>0</v>
      </c>
      <c r="O344" s="76"/>
      <c r="P344" s="76"/>
      <c r="Q344" s="76"/>
      <c r="R344" s="76"/>
      <c r="AZ344" s="88">
        <f t="shared" si="10"/>
        <v>0</v>
      </c>
      <c r="BX344" s="88"/>
      <c r="CQ344" s="88"/>
    </row>
    <row r="345" spans="1:95" outlineLevel="1" x14ac:dyDescent="0.15">
      <c r="A345" s="76">
        <v>346</v>
      </c>
      <c r="B345" s="65" t="s">
        <v>766</v>
      </c>
      <c r="C345" s="65">
        <v>1066963533</v>
      </c>
      <c r="D345" s="81" t="str">
        <f t="shared" si="11"/>
        <v>https://portal.dnb.de/opac.htm?method=simpleSearch&amp;cqlMode=true&amp;query=idn%3D1066963533</v>
      </c>
      <c r="E345" s="65" t="s">
        <v>767</v>
      </c>
      <c r="F345" s="76" t="s">
        <v>89</v>
      </c>
      <c r="G345" s="78" t="s">
        <v>45</v>
      </c>
      <c r="H345" s="76" t="s">
        <v>50</v>
      </c>
      <c r="I345" s="78" t="s">
        <v>90</v>
      </c>
      <c r="J345" s="78" t="s">
        <v>81</v>
      </c>
      <c r="K345" s="76"/>
      <c r="L345" s="76" t="s">
        <v>35</v>
      </c>
      <c r="M345" s="76" t="s">
        <v>37</v>
      </c>
      <c r="N345" s="76">
        <v>0</v>
      </c>
      <c r="O345" s="76"/>
      <c r="P345" s="76" t="s">
        <v>2561</v>
      </c>
      <c r="Q345" s="76"/>
      <c r="R345" s="76"/>
      <c r="AZ345" s="88">
        <f t="shared" si="10"/>
        <v>0</v>
      </c>
      <c r="BX345" s="88"/>
      <c r="CQ345" s="88"/>
    </row>
    <row r="346" spans="1:95" ht="33.75" outlineLevel="1" x14ac:dyDescent="0.15">
      <c r="A346" s="76">
        <v>347</v>
      </c>
      <c r="B346" s="65" t="s">
        <v>768</v>
      </c>
      <c r="C346" s="65">
        <v>1066962928</v>
      </c>
      <c r="D346" s="81" t="str">
        <f t="shared" si="11"/>
        <v>https://portal.dnb.de/opac.htm?method=simpleSearch&amp;cqlMode=true&amp;query=idn%3D1066962928</v>
      </c>
      <c r="E346" s="65" t="s">
        <v>769</v>
      </c>
      <c r="F346" s="76" t="s">
        <v>89</v>
      </c>
      <c r="G346" s="78" t="s">
        <v>2510</v>
      </c>
      <c r="H346" s="76" t="s">
        <v>50</v>
      </c>
      <c r="I346" s="78" t="s">
        <v>90</v>
      </c>
      <c r="J346" s="78" t="s">
        <v>2513</v>
      </c>
      <c r="K346" s="76"/>
      <c r="L346" s="76" t="s">
        <v>34</v>
      </c>
      <c r="M346" s="76" t="s">
        <v>37</v>
      </c>
      <c r="N346" s="76">
        <v>1</v>
      </c>
      <c r="O346" s="76"/>
      <c r="P346" s="76"/>
      <c r="Q346" s="76"/>
      <c r="R346" s="76"/>
      <c r="X346" s="84" t="s">
        <v>2641</v>
      </c>
      <c r="AA346" s="84" t="s">
        <v>2642</v>
      </c>
      <c r="AG346" s="84" t="s">
        <v>2643</v>
      </c>
      <c r="AI346" s="84" t="s">
        <v>2541</v>
      </c>
      <c r="AU346" s="84">
        <v>60</v>
      </c>
      <c r="AY346" s="86" t="s">
        <v>2644</v>
      </c>
      <c r="AZ346" s="88">
        <f t="shared" si="10"/>
        <v>1</v>
      </c>
      <c r="BD346" s="84" t="s">
        <v>2541</v>
      </c>
      <c r="BK346" s="63" t="s">
        <v>2541</v>
      </c>
      <c r="BM346" s="84" t="s">
        <v>2541</v>
      </c>
      <c r="BS346" s="84" t="s">
        <v>2541</v>
      </c>
      <c r="BX346" s="88">
        <v>1</v>
      </c>
      <c r="BY346" s="79" t="s">
        <v>2977</v>
      </c>
      <c r="CQ346" s="88"/>
    </row>
    <row r="347" spans="1:95" outlineLevel="1" x14ac:dyDescent="0.15">
      <c r="A347" s="76">
        <v>348</v>
      </c>
      <c r="B347" s="65" t="s">
        <v>770</v>
      </c>
      <c r="C347" s="65">
        <v>1132638577</v>
      </c>
      <c r="D347" s="81" t="str">
        <f t="shared" si="11"/>
        <v>https://portal.dnb.de/opac.htm?method=simpleSearch&amp;cqlMode=true&amp;query=idn%3D1132638577</v>
      </c>
      <c r="E347" s="65" t="s">
        <v>771</v>
      </c>
      <c r="F347" s="76"/>
      <c r="G347" s="78"/>
      <c r="H347" s="76"/>
      <c r="I347" s="78"/>
      <c r="J347" s="78"/>
      <c r="K347" s="76"/>
      <c r="L347" s="76"/>
      <c r="M347" s="76"/>
      <c r="N347" s="76"/>
      <c r="O347" s="76"/>
      <c r="P347" s="76"/>
      <c r="Q347" s="76"/>
      <c r="R347" s="76"/>
      <c r="S347" s="84" t="s">
        <v>2774</v>
      </c>
      <c r="AZ347" s="88">
        <f t="shared" si="10"/>
        <v>0</v>
      </c>
      <c r="BX347" s="88"/>
      <c r="CQ347" s="88"/>
    </row>
    <row r="348" spans="1:95" outlineLevel="1" x14ac:dyDescent="0.15">
      <c r="A348" s="76">
        <v>349</v>
      </c>
      <c r="B348" s="65" t="s">
        <v>772</v>
      </c>
      <c r="C348" s="65">
        <v>1066961808</v>
      </c>
      <c r="D348" s="81" t="str">
        <f t="shared" si="11"/>
        <v>https://portal.dnb.de/opac.htm?method=simpleSearch&amp;cqlMode=true&amp;query=idn%3D1066961808</v>
      </c>
      <c r="E348" s="65" t="s">
        <v>773</v>
      </c>
      <c r="F348" s="76"/>
      <c r="G348" s="78"/>
      <c r="H348" s="76"/>
      <c r="I348" s="78"/>
      <c r="J348" s="78"/>
      <c r="K348" s="76"/>
      <c r="L348" s="76"/>
      <c r="M348" s="76"/>
      <c r="N348" s="76"/>
      <c r="O348" s="76"/>
      <c r="P348" s="76"/>
      <c r="Q348" s="76"/>
      <c r="R348" s="76"/>
      <c r="S348" s="84" t="s">
        <v>2774</v>
      </c>
      <c r="AZ348" s="88">
        <f t="shared" si="10"/>
        <v>0</v>
      </c>
      <c r="BX348" s="88"/>
      <c r="CQ348" s="88"/>
    </row>
    <row r="349" spans="1:95" ht="22.5" outlineLevel="1" x14ac:dyDescent="0.15">
      <c r="A349" s="76">
        <v>350</v>
      </c>
      <c r="B349" s="65" t="s">
        <v>774</v>
      </c>
      <c r="C349" s="65">
        <v>999174002</v>
      </c>
      <c r="D349" s="81" t="str">
        <f t="shared" si="11"/>
        <v>https://portal.dnb.de/opac.htm?method=simpleSearch&amp;cqlMode=true&amp;query=idn%3D999174002</v>
      </c>
      <c r="E349" s="65" t="s">
        <v>775</v>
      </c>
      <c r="F349" s="76"/>
      <c r="G349" s="78" t="s">
        <v>46</v>
      </c>
      <c r="H349" s="76" t="s">
        <v>50</v>
      </c>
      <c r="I349" s="78" t="s">
        <v>90</v>
      </c>
      <c r="J349" s="78" t="s">
        <v>2515</v>
      </c>
      <c r="K349" s="76"/>
      <c r="L349" s="76"/>
      <c r="M349" s="76" t="s">
        <v>101</v>
      </c>
      <c r="N349" s="76">
        <v>1</v>
      </c>
      <c r="O349" s="76"/>
      <c r="P349" s="76"/>
      <c r="Q349" s="76"/>
      <c r="R349" s="76"/>
      <c r="AZ349" s="88">
        <f t="shared" si="10"/>
        <v>0</v>
      </c>
      <c r="BX349" s="88"/>
      <c r="CQ349" s="88"/>
    </row>
    <row r="350" spans="1:95" outlineLevel="1" x14ac:dyDescent="0.15">
      <c r="A350" s="76">
        <v>351</v>
      </c>
      <c r="B350" s="65" t="s">
        <v>776</v>
      </c>
      <c r="C350" s="65">
        <v>999501941</v>
      </c>
      <c r="D350" s="81" t="str">
        <f t="shared" si="11"/>
        <v>https://portal.dnb.de/opac.htm?method=simpleSearch&amp;cqlMode=true&amp;query=idn%3D999501941</v>
      </c>
      <c r="E350" s="65" t="s">
        <v>777</v>
      </c>
      <c r="F350" s="76"/>
      <c r="G350" s="78"/>
      <c r="H350" s="76"/>
      <c r="I350" s="78"/>
      <c r="J350" s="78"/>
      <c r="K350" s="76"/>
      <c r="L350" s="76"/>
      <c r="M350" s="76"/>
      <c r="N350" s="76"/>
      <c r="O350" s="76"/>
      <c r="P350" s="76"/>
      <c r="Q350" s="76"/>
      <c r="R350" s="76"/>
      <c r="AZ350" s="88">
        <f t="shared" si="10"/>
        <v>0</v>
      </c>
      <c r="BX350" s="88"/>
      <c r="CQ350" s="88"/>
    </row>
    <row r="351" spans="1:95" ht="33.75" outlineLevel="1" x14ac:dyDescent="0.15">
      <c r="A351" s="76">
        <v>352</v>
      </c>
      <c r="B351" s="65" t="s">
        <v>778</v>
      </c>
      <c r="C351" s="65">
        <v>993974147</v>
      </c>
      <c r="D351" s="81" t="str">
        <f t="shared" si="11"/>
        <v>https://portal.dnb.de/opac.htm?method=simpleSearch&amp;cqlMode=true&amp;query=idn%3D993974147</v>
      </c>
      <c r="E351" s="65" t="s">
        <v>779</v>
      </c>
      <c r="F351" s="76" t="s">
        <v>89</v>
      </c>
      <c r="G351" s="78" t="s">
        <v>2510</v>
      </c>
      <c r="H351" s="76" t="s">
        <v>50</v>
      </c>
      <c r="I351" s="78" t="s">
        <v>90</v>
      </c>
      <c r="J351" s="78" t="s">
        <v>2513</v>
      </c>
      <c r="K351" s="76"/>
      <c r="L351" s="76" t="s">
        <v>35</v>
      </c>
      <c r="M351" s="76" t="s">
        <v>37</v>
      </c>
      <c r="N351" s="76">
        <v>0</v>
      </c>
      <c r="O351" s="76"/>
      <c r="P351" s="76"/>
      <c r="Q351" s="76"/>
      <c r="R351" s="76"/>
      <c r="AZ351" s="88">
        <f t="shared" si="10"/>
        <v>0</v>
      </c>
      <c r="BX351" s="88"/>
      <c r="CQ351" s="88"/>
    </row>
    <row r="352" spans="1:95" ht="22.5" outlineLevel="1" x14ac:dyDescent="0.15">
      <c r="A352" s="76">
        <v>353</v>
      </c>
      <c r="B352" s="65" t="s">
        <v>780</v>
      </c>
      <c r="C352" s="65">
        <v>1066963320</v>
      </c>
      <c r="D352" s="81" t="str">
        <f t="shared" si="11"/>
        <v>https://portal.dnb.de/opac.htm?method=simpleSearch&amp;cqlMode=true&amp;query=idn%3D1066963320</v>
      </c>
      <c r="E352" s="65" t="s">
        <v>781</v>
      </c>
      <c r="F352" s="76" t="s">
        <v>89</v>
      </c>
      <c r="G352" s="78" t="s">
        <v>2516</v>
      </c>
      <c r="H352" s="76" t="s">
        <v>50</v>
      </c>
      <c r="I352" s="78" t="s">
        <v>90</v>
      </c>
      <c r="J352" s="78" t="s">
        <v>81</v>
      </c>
      <c r="K352" s="76"/>
      <c r="L352" s="76" t="s">
        <v>34</v>
      </c>
      <c r="M352" s="76" t="s">
        <v>37</v>
      </c>
      <c r="N352" s="76">
        <v>0</v>
      </c>
      <c r="O352" s="76"/>
      <c r="P352" s="76"/>
      <c r="Q352" s="76"/>
      <c r="R352" s="76"/>
      <c r="AZ352" s="88">
        <f t="shared" si="10"/>
        <v>0</v>
      </c>
      <c r="BX352" s="88"/>
      <c r="CQ352" s="88"/>
    </row>
    <row r="353" spans="1:95" outlineLevel="1" x14ac:dyDescent="0.15">
      <c r="A353" s="76">
        <v>354</v>
      </c>
      <c r="B353" s="65" t="s">
        <v>782</v>
      </c>
      <c r="C353" s="65">
        <v>999124927</v>
      </c>
      <c r="D353" s="81" t="str">
        <f>HYPERLINK(CONCATENATE("https://portal.dnb.de/opac.htm?method=simpleSearch&amp;cqlMode=true&amp;query=idn%3D",C353))</f>
        <v>https://portal.dnb.de/opac.htm?method=simpleSearch&amp;cqlMode=true&amp;query=idn%3D999124927</v>
      </c>
      <c r="E353" s="65" t="s">
        <v>783</v>
      </c>
      <c r="F353" s="76" t="s">
        <v>89</v>
      </c>
      <c r="G353" s="78" t="s">
        <v>45</v>
      </c>
      <c r="H353" s="76" t="s">
        <v>51</v>
      </c>
      <c r="I353" s="78" t="s">
        <v>90</v>
      </c>
      <c r="J353" s="78" t="s">
        <v>81</v>
      </c>
      <c r="K353" s="76"/>
      <c r="L353" s="76" t="s">
        <v>33</v>
      </c>
      <c r="M353" s="76" t="s">
        <v>36</v>
      </c>
      <c r="N353" s="76">
        <v>0</v>
      </c>
      <c r="O353" s="76"/>
      <c r="P353" s="76"/>
      <c r="Q353" s="76"/>
      <c r="R353" s="76"/>
      <c r="AZ353" s="88">
        <f t="shared" si="10"/>
        <v>0</v>
      </c>
      <c r="BX353" s="88"/>
      <c r="CQ353" s="88"/>
    </row>
    <row r="354" spans="1:95" outlineLevel="1" x14ac:dyDescent="0.15">
      <c r="A354" s="76">
        <v>355</v>
      </c>
      <c r="B354" s="65" t="s">
        <v>784</v>
      </c>
      <c r="C354" s="65">
        <v>1066964335</v>
      </c>
      <c r="D354" s="81" t="str">
        <f t="shared" si="11"/>
        <v>https://portal.dnb.de/opac.htm?method=simpleSearch&amp;cqlMode=true&amp;query=idn%3D1066964335</v>
      </c>
      <c r="E354" s="65" t="s">
        <v>785</v>
      </c>
      <c r="F354" s="76"/>
      <c r="G354" s="78"/>
      <c r="H354" s="76"/>
      <c r="I354" s="78"/>
      <c r="J354" s="78"/>
      <c r="K354" s="76"/>
      <c r="L354" s="76"/>
      <c r="M354" s="76"/>
      <c r="N354" s="76"/>
      <c r="O354" s="76"/>
      <c r="P354" s="76"/>
      <c r="Q354" s="76"/>
      <c r="R354" s="76"/>
      <c r="AZ354" s="88">
        <f t="shared" si="10"/>
        <v>0</v>
      </c>
      <c r="BX354" s="88"/>
      <c r="CQ354" s="88"/>
    </row>
    <row r="355" spans="1:95" outlineLevel="1" x14ac:dyDescent="0.15">
      <c r="A355" s="76">
        <v>356</v>
      </c>
      <c r="B355" s="65" t="s">
        <v>786</v>
      </c>
      <c r="C355" s="65">
        <v>999514849</v>
      </c>
      <c r="D355" s="81" t="str">
        <f t="shared" si="11"/>
        <v>https://portal.dnb.de/opac.htm?method=simpleSearch&amp;cqlMode=true&amp;query=idn%3D999514849</v>
      </c>
      <c r="E355" s="65" t="s">
        <v>787</v>
      </c>
      <c r="F355" s="76"/>
      <c r="G355" s="78" t="s">
        <v>46</v>
      </c>
      <c r="H355" s="76" t="s">
        <v>50</v>
      </c>
      <c r="I355" s="78" t="s">
        <v>55</v>
      </c>
      <c r="J355" s="78" t="s">
        <v>81</v>
      </c>
      <c r="K355" s="76"/>
      <c r="L355" s="76"/>
      <c r="M355" s="76"/>
      <c r="N355" s="76">
        <v>0</v>
      </c>
      <c r="O355" s="76"/>
      <c r="P355" s="76"/>
      <c r="Q355" s="76"/>
      <c r="R355" s="76"/>
      <c r="AZ355" s="88">
        <f t="shared" si="10"/>
        <v>0</v>
      </c>
      <c r="BX355" s="88"/>
      <c r="CQ355" s="88"/>
    </row>
    <row r="356" spans="1:95" ht="22.5" outlineLevel="1" x14ac:dyDescent="0.15">
      <c r="A356" s="76">
        <v>357</v>
      </c>
      <c r="B356" s="65" t="s">
        <v>788</v>
      </c>
      <c r="C356" s="65">
        <v>1066960046</v>
      </c>
      <c r="D356" s="81" t="str">
        <f t="shared" si="11"/>
        <v>https://portal.dnb.de/opac.htm?method=simpleSearch&amp;cqlMode=true&amp;query=idn%3D1066960046</v>
      </c>
      <c r="E356" s="65" t="s">
        <v>789</v>
      </c>
      <c r="F356" s="76" t="s">
        <v>89</v>
      </c>
      <c r="G356" s="78" t="s">
        <v>2520</v>
      </c>
      <c r="H356" s="76" t="s">
        <v>50</v>
      </c>
      <c r="I356" s="78" t="s">
        <v>55</v>
      </c>
      <c r="J356" s="78" t="s">
        <v>81</v>
      </c>
      <c r="K356" s="76"/>
      <c r="L356" s="76" t="s">
        <v>34</v>
      </c>
      <c r="M356" s="76" t="s">
        <v>37</v>
      </c>
      <c r="N356" s="76">
        <v>1</v>
      </c>
      <c r="O356" s="76"/>
      <c r="P356" s="76"/>
      <c r="Q356" s="76"/>
      <c r="R356" s="76"/>
      <c r="AZ356" s="88">
        <f t="shared" si="10"/>
        <v>0</v>
      </c>
      <c r="BX356" s="88"/>
      <c r="CQ356" s="88"/>
    </row>
    <row r="357" spans="1:95" ht="22.5" outlineLevel="1" x14ac:dyDescent="0.15">
      <c r="A357" s="76">
        <v>358</v>
      </c>
      <c r="B357" s="65" t="s">
        <v>790</v>
      </c>
      <c r="C357" s="65">
        <v>1066871272</v>
      </c>
      <c r="D357" s="81" t="str">
        <f t="shared" si="11"/>
        <v>https://portal.dnb.de/opac.htm?method=simpleSearch&amp;cqlMode=true&amp;query=idn%3D1066871272</v>
      </c>
      <c r="E357" s="65" t="s">
        <v>791</v>
      </c>
      <c r="F357" s="76" t="s">
        <v>89</v>
      </c>
      <c r="G357" s="78" t="s">
        <v>41</v>
      </c>
      <c r="H357" s="76" t="s">
        <v>50</v>
      </c>
      <c r="I357" s="78" t="s">
        <v>55</v>
      </c>
      <c r="J357" s="78" t="s">
        <v>2519</v>
      </c>
      <c r="K357" s="76"/>
      <c r="L357" s="76" t="s">
        <v>34</v>
      </c>
      <c r="M357" s="76" t="s">
        <v>37</v>
      </c>
      <c r="N357" s="76">
        <v>3</v>
      </c>
      <c r="O357" s="76"/>
      <c r="P357" s="76"/>
      <c r="Q357" s="76"/>
      <c r="R357" s="76"/>
      <c r="X357" s="84" t="s">
        <v>2652</v>
      </c>
      <c r="Y357" s="84" t="s">
        <v>2541</v>
      </c>
      <c r="AA357" s="84" t="s">
        <v>2647</v>
      </c>
      <c r="AE357" s="84" t="s">
        <v>2541</v>
      </c>
      <c r="AG357" s="84" t="s">
        <v>2643</v>
      </c>
      <c r="AH357" s="84" t="s">
        <v>2541</v>
      </c>
      <c r="AU357" s="84">
        <v>110</v>
      </c>
      <c r="AY357" s="86" t="s">
        <v>2651</v>
      </c>
      <c r="AZ357" s="88">
        <f t="shared" si="10"/>
        <v>0</v>
      </c>
      <c r="BH357" s="79" t="s">
        <v>2962</v>
      </c>
      <c r="BX357" s="88"/>
      <c r="CQ357" s="88"/>
    </row>
    <row r="358" spans="1:95" ht="22.5" outlineLevel="1" x14ac:dyDescent="0.15">
      <c r="A358" s="76">
        <v>359</v>
      </c>
      <c r="B358" s="65" t="s">
        <v>792</v>
      </c>
      <c r="C358" s="65">
        <v>993883141</v>
      </c>
      <c r="D358" s="81" t="str">
        <f t="shared" si="11"/>
        <v>https://portal.dnb.de/opac.htm?method=simpleSearch&amp;cqlMode=true&amp;query=idn%3D993883141</v>
      </c>
      <c r="E358" s="65" t="s">
        <v>793</v>
      </c>
      <c r="F358" s="76" t="s">
        <v>89</v>
      </c>
      <c r="G358" s="78" t="s">
        <v>2516</v>
      </c>
      <c r="H358" s="76" t="s">
        <v>51</v>
      </c>
      <c r="I358" s="78" t="s">
        <v>90</v>
      </c>
      <c r="J358" s="78" t="s">
        <v>2509</v>
      </c>
      <c r="K358" s="76"/>
      <c r="L358" s="76" t="s">
        <v>34</v>
      </c>
      <c r="M358" s="76" t="s">
        <v>37</v>
      </c>
      <c r="N358" s="76">
        <v>1</v>
      </c>
      <c r="O358" s="76"/>
      <c r="P358" s="76"/>
      <c r="Q358" s="76"/>
      <c r="R358" s="76"/>
      <c r="AZ358" s="88">
        <f t="shared" si="10"/>
        <v>0</v>
      </c>
      <c r="BX358" s="88"/>
      <c r="CQ358" s="88"/>
    </row>
    <row r="359" spans="1:95" outlineLevel="1" x14ac:dyDescent="0.15">
      <c r="A359" s="76">
        <v>360</v>
      </c>
      <c r="B359" s="65" t="s">
        <v>794</v>
      </c>
      <c r="C359" s="65">
        <v>993882951</v>
      </c>
      <c r="D359" s="81" t="str">
        <f t="shared" si="11"/>
        <v>https://portal.dnb.de/opac.htm?method=simpleSearch&amp;cqlMode=true&amp;query=idn%3D993882951</v>
      </c>
      <c r="E359" s="65" t="s">
        <v>793</v>
      </c>
      <c r="F359" s="76"/>
      <c r="G359" s="78"/>
      <c r="H359" s="76"/>
      <c r="I359" s="78"/>
      <c r="J359" s="78"/>
      <c r="K359" s="76"/>
      <c r="L359" s="76"/>
      <c r="M359" s="76"/>
      <c r="N359" s="76"/>
      <c r="O359" s="76"/>
      <c r="P359" s="76"/>
      <c r="Q359" s="76"/>
      <c r="R359" s="76"/>
      <c r="AZ359" s="88">
        <f t="shared" si="10"/>
        <v>0</v>
      </c>
      <c r="BX359" s="88"/>
      <c r="CQ359" s="88"/>
    </row>
    <row r="360" spans="1:95" outlineLevel="1" x14ac:dyDescent="0.15">
      <c r="A360" s="76">
        <v>361</v>
      </c>
      <c r="B360" s="65" t="s">
        <v>795</v>
      </c>
      <c r="C360" s="65">
        <v>993882900</v>
      </c>
      <c r="D360" s="81" t="str">
        <f t="shared" si="11"/>
        <v>https://portal.dnb.de/opac.htm?method=simpleSearch&amp;cqlMode=true&amp;query=idn%3D993882900</v>
      </c>
      <c r="E360" s="65" t="s">
        <v>793</v>
      </c>
      <c r="F360" s="76"/>
      <c r="G360" s="78"/>
      <c r="H360" s="76"/>
      <c r="I360" s="78"/>
      <c r="J360" s="78"/>
      <c r="K360" s="76"/>
      <c r="L360" s="76"/>
      <c r="M360" s="76"/>
      <c r="N360" s="76"/>
      <c r="O360" s="76"/>
      <c r="P360" s="76"/>
      <c r="Q360" s="76"/>
      <c r="R360" s="76"/>
      <c r="AZ360" s="88">
        <f t="shared" si="10"/>
        <v>0</v>
      </c>
      <c r="BX360" s="88"/>
      <c r="CQ360" s="88"/>
    </row>
    <row r="361" spans="1:95" outlineLevel="1" x14ac:dyDescent="0.15">
      <c r="A361" s="76">
        <v>362</v>
      </c>
      <c r="B361" s="65" t="s">
        <v>796</v>
      </c>
      <c r="C361" s="65" t="s">
        <v>797</v>
      </c>
      <c r="D361" s="81" t="str">
        <f t="shared" si="11"/>
        <v>https://portal.dnb.de/opac.htm?method=simpleSearch&amp;cqlMode=true&amp;query=idn%3D99388282X</v>
      </c>
      <c r="E361" s="65" t="s">
        <v>793</v>
      </c>
      <c r="F361" s="76"/>
      <c r="G361" s="78"/>
      <c r="H361" s="76"/>
      <c r="I361" s="78"/>
      <c r="J361" s="78"/>
      <c r="K361" s="76"/>
      <c r="L361" s="76"/>
      <c r="M361" s="76"/>
      <c r="N361" s="76"/>
      <c r="O361" s="76"/>
      <c r="P361" s="76"/>
      <c r="Q361" s="76"/>
      <c r="R361" s="76"/>
      <c r="AZ361" s="88">
        <f t="shared" si="10"/>
        <v>0</v>
      </c>
      <c r="BX361" s="88"/>
      <c r="CQ361" s="88"/>
    </row>
    <row r="362" spans="1:95" outlineLevel="1" x14ac:dyDescent="0.15">
      <c r="A362" s="76">
        <v>363</v>
      </c>
      <c r="B362" s="65" t="s">
        <v>798</v>
      </c>
      <c r="C362" s="65">
        <v>993995845</v>
      </c>
      <c r="D362" s="81" t="str">
        <f t="shared" si="11"/>
        <v>https://portal.dnb.de/opac.htm?method=simpleSearch&amp;cqlMode=true&amp;query=idn%3D993995845</v>
      </c>
      <c r="E362" s="65" t="s">
        <v>799</v>
      </c>
      <c r="F362" s="76" t="s">
        <v>89</v>
      </c>
      <c r="G362" s="78" t="s">
        <v>5</v>
      </c>
      <c r="H362" s="76" t="s">
        <v>50</v>
      </c>
      <c r="I362" s="78" t="s">
        <v>55</v>
      </c>
      <c r="J362" s="78" t="s">
        <v>81</v>
      </c>
      <c r="K362" s="76"/>
      <c r="L362" s="76"/>
      <c r="M362" s="76"/>
      <c r="N362" s="76">
        <v>1</v>
      </c>
      <c r="O362" s="76"/>
      <c r="P362" s="76"/>
      <c r="Q362" s="76"/>
      <c r="R362" s="76"/>
      <c r="X362" s="84" t="s">
        <v>2645</v>
      </c>
      <c r="Y362" s="84" t="s">
        <v>2541</v>
      </c>
      <c r="Z362" s="84" t="s">
        <v>2541</v>
      </c>
      <c r="AA362" s="84" t="s">
        <v>2647</v>
      </c>
      <c r="AG362" s="84" t="s">
        <v>2643</v>
      </c>
      <c r="AH362" s="84" t="s">
        <v>2541</v>
      </c>
      <c r="AU362" s="84">
        <v>80</v>
      </c>
      <c r="AY362" s="86" t="s">
        <v>2651</v>
      </c>
      <c r="AZ362" s="88">
        <f t="shared" si="10"/>
        <v>0</v>
      </c>
      <c r="BD362" s="84" t="s">
        <v>2541</v>
      </c>
      <c r="BX362" s="88"/>
      <c r="CQ362" s="88"/>
    </row>
    <row r="363" spans="1:95" ht="22.5" outlineLevel="1" x14ac:dyDescent="0.15">
      <c r="A363" s="76">
        <v>364</v>
      </c>
      <c r="B363" s="65" t="s">
        <v>800</v>
      </c>
      <c r="C363" s="65">
        <v>1066800138</v>
      </c>
      <c r="D363" s="81" t="str">
        <f t="shared" si="11"/>
        <v>https://portal.dnb.de/opac.htm?method=simpleSearch&amp;cqlMode=true&amp;query=idn%3D1066800138</v>
      </c>
      <c r="E363" s="65" t="s">
        <v>801</v>
      </c>
      <c r="F363" s="76" t="s">
        <v>89</v>
      </c>
      <c r="G363" s="78" t="s">
        <v>2510</v>
      </c>
      <c r="H363" s="76" t="s">
        <v>50</v>
      </c>
      <c r="I363" s="78" t="s">
        <v>86</v>
      </c>
      <c r="J363" s="78"/>
      <c r="K363" s="76"/>
      <c r="L363" s="76" t="s">
        <v>35</v>
      </c>
      <c r="M363" s="76" t="s">
        <v>37</v>
      </c>
      <c r="N363" s="76">
        <v>0</v>
      </c>
      <c r="O363" s="76"/>
      <c r="P363" s="76"/>
      <c r="Q363" s="76"/>
      <c r="R363" s="76"/>
      <c r="AZ363" s="88">
        <f t="shared" si="10"/>
        <v>0</v>
      </c>
      <c r="BX363" s="88"/>
      <c r="CQ363" s="88"/>
    </row>
    <row r="364" spans="1:95" outlineLevel="1" x14ac:dyDescent="0.15">
      <c r="A364" s="76">
        <v>365</v>
      </c>
      <c r="B364" s="65" t="s">
        <v>802</v>
      </c>
      <c r="C364" s="65" t="s">
        <v>803</v>
      </c>
      <c r="D364" s="81" t="str">
        <f t="shared" si="11"/>
        <v>https://portal.dnb.de/opac.htm?method=simpleSearch&amp;cqlMode=true&amp;query=idn%3D99993922X</v>
      </c>
      <c r="E364" s="65" t="s">
        <v>804</v>
      </c>
      <c r="F364" s="76"/>
      <c r="G364" s="78" t="s">
        <v>17</v>
      </c>
      <c r="H364" s="76" t="s">
        <v>51</v>
      </c>
      <c r="I364" s="78" t="s">
        <v>90</v>
      </c>
      <c r="J364" s="78" t="s">
        <v>81</v>
      </c>
      <c r="K364" s="76"/>
      <c r="L364" s="76"/>
      <c r="M364" s="76"/>
      <c r="N364" s="76">
        <v>1</v>
      </c>
      <c r="O364" s="76"/>
      <c r="P364" s="76"/>
      <c r="Q364" s="76"/>
      <c r="R364" s="76"/>
      <c r="X364" s="84" t="s">
        <v>2643</v>
      </c>
      <c r="AA364" s="84" t="s">
        <v>2647</v>
      </c>
      <c r="AG364" s="84" t="s">
        <v>2643</v>
      </c>
      <c r="AU364" s="84">
        <v>60</v>
      </c>
      <c r="AY364" s="86" t="s">
        <v>2651</v>
      </c>
      <c r="AZ364" s="88">
        <f t="shared" si="10"/>
        <v>0</v>
      </c>
      <c r="BH364" s="79" t="s">
        <v>2962</v>
      </c>
      <c r="BX364" s="88"/>
      <c r="CQ364" s="88"/>
    </row>
    <row r="365" spans="1:95" outlineLevel="1" x14ac:dyDescent="0.15">
      <c r="A365" s="76">
        <v>366</v>
      </c>
      <c r="B365" s="65" t="s">
        <v>805</v>
      </c>
      <c r="C365" s="65">
        <v>998831123</v>
      </c>
      <c r="D365" s="81" t="str">
        <f t="shared" si="11"/>
        <v>https://portal.dnb.de/opac.htm?method=simpleSearch&amp;cqlMode=true&amp;query=idn%3D998831123</v>
      </c>
      <c r="E365" s="65" t="s">
        <v>2978</v>
      </c>
      <c r="F365" s="76" t="s">
        <v>89</v>
      </c>
      <c r="G365" s="78" t="s">
        <v>4</v>
      </c>
      <c r="H365" s="76" t="s">
        <v>50</v>
      </c>
      <c r="I365" s="78" t="s">
        <v>90</v>
      </c>
      <c r="J365" s="78"/>
      <c r="K365" s="76"/>
      <c r="L365" s="76" t="s">
        <v>35</v>
      </c>
      <c r="M365" s="76" t="s">
        <v>37</v>
      </c>
      <c r="N365" s="76">
        <v>1</v>
      </c>
      <c r="O365" s="76"/>
      <c r="P365" s="76"/>
      <c r="Q365" s="76"/>
      <c r="R365" s="76"/>
      <c r="X365" s="84" t="s">
        <v>2697</v>
      </c>
      <c r="Z365" s="84" t="s">
        <v>2541</v>
      </c>
      <c r="AA365" s="84" t="s">
        <v>2642</v>
      </c>
      <c r="AG365" s="84" t="s">
        <v>2643</v>
      </c>
      <c r="AU365" s="84">
        <v>80</v>
      </c>
      <c r="AY365" s="86" t="s">
        <v>2651</v>
      </c>
      <c r="AZ365" s="88">
        <f t="shared" si="10"/>
        <v>0</v>
      </c>
      <c r="BB365" s="84" t="s">
        <v>2777</v>
      </c>
      <c r="BX365" s="88"/>
      <c r="CQ365" s="88"/>
    </row>
    <row r="366" spans="1:95" outlineLevel="1" x14ac:dyDescent="0.15">
      <c r="A366" s="76">
        <v>367</v>
      </c>
      <c r="B366" s="65" t="s">
        <v>806</v>
      </c>
      <c r="C366" s="65">
        <v>998831182</v>
      </c>
      <c r="D366" s="81" t="str">
        <f t="shared" si="11"/>
        <v>https://portal.dnb.de/opac.htm?method=simpleSearch&amp;cqlMode=true&amp;query=idn%3D998831182</v>
      </c>
      <c r="E366" s="65" t="s">
        <v>2979</v>
      </c>
      <c r="F366" s="76" t="s">
        <v>89</v>
      </c>
      <c r="G366" s="78" t="s">
        <v>4</v>
      </c>
      <c r="H366" s="76" t="s">
        <v>50</v>
      </c>
      <c r="I366" s="78" t="s">
        <v>90</v>
      </c>
      <c r="J366" s="78"/>
      <c r="K366" s="76"/>
      <c r="L366" s="76" t="s">
        <v>35</v>
      </c>
      <c r="M366" s="76" t="s">
        <v>37</v>
      </c>
      <c r="N366" s="76">
        <v>2</v>
      </c>
      <c r="O366" s="76"/>
      <c r="P366" s="76"/>
      <c r="Q366" s="76"/>
      <c r="R366" s="76"/>
      <c r="X366" s="84" t="s">
        <v>2697</v>
      </c>
      <c r="AA366" s="84" t="s">
        <v>2642</v>
      </c>
      <c r="AG366" s="84" t="s">
        <v>2643</v>
      </c>
      <c r="AU366" s="84">
        <v>45</v>
      </c>
      <c r="AY366" s="86" t="s">
        <v>2651</v>
      </c>
      <c r="AZ366" s="88">
        <f t="shared" si="10"/>
        <v>0</v>
      </c>
      <c r="BB366" s="84" t="s">
        <v>2777</v>
      </c>
      <c r="BH366" s="79" t="s">
        <v>2962</v>
      </c>
      <c r="BX366" s="88"/>
      <c r="CQ366" s="88"/>
    </row>
    <row r="367" spans="1:95" outlineLevel="1" x14ac:dyDescent="0.15">
      <c r="A367" s="76">
        <v>368</v>
      </c>
      <c r="B367" s="65" t="s">
        <v>807</v>
      </c>
      <c r="C367" s="65">
        <v>993862233</v>
      </c>
      <c r="D367" s="81" t="str">
        <f t="shared" si="11"/>
        <v>https://portal.dnb.de/opac.htm?method=simpleSearch&amp;cqlMode=true&amp;query=idn%3D993862233</v>
      </c>
      <c r="E367" s="65" t="s">
        <v>808</v>
      </c>
      <c r="F367" s="76" t="s">
        <v>89</v>
      </c>
      <c r="G367" s="78" t="s">
        <v>45</v>
      </c>
      <c r="H367" s="76" t="s">
        <v>50</v>
      </c>
      <c r="I367" s="78" t="s">
        <v>90</v>
      </c>
      <c r="J367" s="78" t="s">
        <v>81</v>
      </c>
      <c r="K367" s="76"/>
      <c r="L367" s="76" t="s">
        <v>35</v>
      </c>
      <c r="M367" s="76" t="s">
        <v>37</v>
      </c>
      <c r="N367" s="76">
        <v>0</v>
      </c>
      <c r="O367" s="76"/>
      <c r="P367" s="76"/>
      <c r="Q367" s="76"/>
      <c r="R367" s="76"/>
      <c r="AZ367" s="88">
        <f t="shared" si="10"/>
        <v>0</v>
      </c>
      <c r="BX367" s="88"/>
      <c r="CQ367" s="88"/>
    </row>
    <row r="368" spans="1:95" outlineLevel="1" x14ac:dyDescent="0.15">
      <c r="A368" s="76">
        <v>369</v>
      </c>
      <c r="B368" s="65" t="s">
        <v>809</v>
      </c>
      <c r="C368" s="65">
        <v>993903487</v>
      </c>
      <c r="D368" s="81" t="str">
        <f t="shared" si="11"/>
        <v>https://portal.dnb.de/opac.htm?method=simpleSearch&amp;cqlMode=true&amp;query=idn%3D993903487</v>
      </c>
      <c r="E368" s="65" t="s">
        <v>810</v>
      </c>
      <c r="F368" s="76" t="s">
        <v>89</v>
      </c>
      <c r="G368" s="78" t="s">
        <v>2564</v>
      </c>
      <c r="H368" s="76" t="s">
        <v>50</v>
      </c>
      <c r="I368" s="78" t="s">
        <v>55</v>
      </c>
      <c r="J368" s="78"/>
      <c r="K368" s="76"/>
      <c r="L368" s="76"/>
      <c r="M368" s="76"/>
      <c r="N368" s="76">
        <v>1</v>
      </c>
      <c r="O368" s="76"/>
      <c r="P368" s="76"/>
      <c r="Q368" s="76"/>
      <c r="R368" s="76"/>
      <c r="AZ368" s="88">
        <f t="shared" si="10"/>
        <v>0</v>
      </c>
      <c r="BX368" s="88"/>
      <c r="CQ368" s="88"/>
    </row>
    <row r="369" spans="1:95" ht="33.75" outlineLevel="1" x14ac:dyDescent="0.15">
      <c r="A369" s="76">
        <v>370</v>
      </c>
      <c r="B369" s="65" t="s">
        <v>811</v>
      </c>
      <c r="C369" s="65">
        <v>1066963770</v>
      </c>
      <c r="D369" s="81" t="str">
        <f t="shared" si="11"/>
        <v>https://portal.dnb.de/opac.htm?method=simpleSearch&amp;cqlMode=true&amp;query=idn%3D1066963770</v>
      </c>
      <c r="E369" s="65" t="s">
        <v>812</v>
      </c>
      <c r="F369" s="76" t="s">
        <v>89</v>
      </c>
      <c r="G369" s="78" t="s">
        <v>4</v>
      </c>
      <c r="H369" s="76" t="s">
        <v>50</v>
      </c>
      <c r="I369" s="78" t="s">
        <v>90</v>
      </c>
      <c r="J369" s="78" t="s">
        <v>2565</v>
      </c>
      <c r="K369" s="76"/>
      <c r="L369" s="76"/>
      <c r="M369" s="76"/>
      <c r="N369" s="76">
        <v>3</v>
      </c>
      <c r="O369" s="76"/>
      <c r="P369" s="76"/>
      <c r="Q369" s="76"/>
      <c r="R369" s="76"/>
      <c r="AZ369" s="88">
        <f t="shared" si="10"/>
        <v>0</v>
      </c>
      <c r="BX369" s="88"/>
      <c r="CQ369" s="88"/>
    </row>
    <row r="370" spans="1:95" outlineLevel="1" x14ac:dyDescent="0.15">
      <c r="A370" s="76">
        <v>371</v>
      </c>
      <c r="B370" s="65" t="s">
        <v>813</v>
      </c>
      <c r="C370" s="65">
        <v>1066957886</v>
      </c>
      <c r="D370" s="81" t="str">
        <f t="shared" si="11"/>
        <v>https://portal.dnb.de/opac.htm?method=simpleSearch&amp;cqlMode=true&amp;query=idn%3D1066957886</v>
      </c>
      <c r="E370" s="65" t="s">
        <v>814</v>
      </c>
      <c r="F370" s="76" t="s">
        <v>89</v>
      </c>
      <c r="G370" s="78" t="s">
        <v>3</v>
      </c>
      <c r="H370" s="76" t="s">
        <v>50</v>
      </c>
      <c r="I370" s="78" t="s">
        <v>55</v>
      </c>
      <c r="J370" s="78" t="s">
        <v>81</v>
      </c>
      <c r="K370" s="76"/>
      <c r="L370" s="76"/>
      <c r="M370" s="76"/>
      <c r="N370" s="76">
        <v>0</v>
      </c>
      <c r="O370" s="76"/>
      <c r="P370" s="76"/>
      <c r="Q370" s="76"/>
      <c r="R370" s="76"/>
      <c r="AZ370" s="88">
        <f t="shared" si="10"/>
        <v>0</v>
      </c>
      <c r="BX370" s="88"/>
      <c r="CQ370" s="88"/>
    </row>
    <row r="371" spans="1:95" outlineLevel="1" x14ac:dyDescent="0.15">
      <c r="A371" s="76">
        <v>372</v>
      </c>
      <c r="B371" s="65" t="s">
        <v>815</v>
      </c>
      <c r="C371" s="65">
        <v>993931669</v>
      </c>
      <c r="D371" s="81" t="str">
        <f t="shared" si="11"/>
        <v>https://portal.dnb.de/opac.htm?method=simpleSearch&amp;cqlMode=true&amp;query=idn%3D993931669</v>
      </c>
      <c r="E371" s="65" t="s">
        <v>816</v>
      </c>
      <c r="F371" s="76"/>
      <c r="G371" s="78" t="s">
        <v>46</v>
      </c>
      <c r="H371" s="76" t="s">
        <v>50</v>
      </c>
      <c r="I371" s="78" t="s">
        <v>55</v>
      </c>
      <c r="J371" s="78"/>
      <c r="K371" s="76"/>
      <c r="L371" s="76"/>
      <c r="M371" s="76"/>
      <c r="N371" s="76">
        <v>0</v>
      </c>
      <c r="O371" s="76"/>
      <c r="P371" s="76"/>
      <c r="Q371" s="76"/>
      <c r="R371" s="76"/>
      <c r="AZ371" s="88">
        <f t="shared" si="10"/>
        <v>0</v>
      </c>
      <c r="BX371" s="88"/>
      <c r="CQ371" s="88"/>
    </row>
    <row r="372" spans="1:95" ht="22.5" outlineLevel="1" x14ac:dyDescent="0.15">
      <c r="A372" s="76">
        <v>373</v>
      </c>
      <c r="B372" s="65" t="s">
        <v>817</v>
      </c>
      <c r="C372" s="65">
        <v>1002178991</v>
      </c>
      <c r="D372" s="81" t="str">
        <f t="shared" si="11"/>
        <v>https://portal.dnb.de/opac.htm?method=simpleSearch&amp;cqlMode=true&amp;query=idn%3D1002178991</v>
      </c>
      <c r="E372" s="65" t="s">
        <v>818</v>
      </c>
      <c r="F372" s="76"/>
      <c r="G372" s="78" t="s">
        <v>2510</v>
      </c>
      <c r="H372" s="76" t="s">
        <v>51</v>
      </c>
      <c r="I372" s="78" t="s">
        <v>90</v>
      </c>
      <c r="J372" s="78" t="s">
        <v>69</v>
      </c>
      <c r="K372" s="76"/>
      <c r="L372" s="76" t="s">
        <v>35</v>
      </c>
      <c r="M372" s="76" t="s">
        <v>37</v>
      </c>
      <c r="N372" s="76">
        <v>0</v>
      </c>
      <c r="O372" s="76"/>
      <c r="P372" s="76"/>
      <c r="Q372" s="76"/>
      <c r="R372" s="76"/>
      <c r="X372" s="84" t="s">
        <v>2641</v>
      </c>
      <c r="Z372" s="84" t="s">
        <v>2541</v>
      </c>
      <c r="AA372" s="84" t="s">
        <v>2642</v>
      </c>
      <c r="AG372" s="84" t="s">
        <v>2643</v>
      </c>
      <c r="AS372" s="84">
        <v>0</v>
      </c>
      <c r="AU372" s="84">
        <v>110</v>
      </c>
      <c r="AW372" s="84" t="s">
        <v>2541</v>
      </c>
      <c r="AY372" s="86" t="s">
        <v>2651</v>
      </c>
      <c r="AZ372" s="88">
        <f t="shared" si="10"/>
        <v>0</v>
      </c>
      <c r="BB372" s="84" t="s">
        <v>2777</v>
      </c>
      <c r="BX372" s="88"/>
      <c r="CQ372" s="88"/>
    </row>
    <row r="373" spans="1:95" outlineLevel="1" x14ac:dyDescent="0.15">
      <c r="A373" s="76">
        <v>374</v>
      </c>
      <c r="B373" s="65" t="s">
        <v>819</v>
      </c>
      <c r="C373" s="65">
        <v>993931669</v>
      </c>
      <c r="D373" s="81" t="str">
        <f t="shared" si="11"/>
        <v>https://portal.dnb.de/opac.htm?method=simpleSearch&amp;cqlMode=true&amp;query=idn%3D993931669</v>
      </c>
      <c r="E373" s="65" t="s">
        <v>820</v>
      </c>
      <c r="F373" s="76"/>
      <c r="G373" s="78" t="s">
        <v>17</v>
      </c>
      <c r="H373" s="76" t="s">
        <v>50</v>
      </c>
      <c r="I373" s="78" t="s">
        <v>55</v>
      </c>
      <c r="J373" s="78"/>
      <c r="K373" s="76"/>
      <c r="L373" s="76"/>
      <c r="M373" s="76"/>
      <c r="N373" s="76">
        <v>1</v>
      </c>
      <c r="O373" s="76"/>
      <c r="P373" s="76"/>
      <c r="Q373" s="76"/>
      <c r="R373" s="76"/>
      <c r="AZ373" s="88">
        <f t="shared" si="10"/>
        <v>0</v>
      </c>
      <c r="BX373" s="88"/>
      <c r="CQ373" s="88"/>
    </row>
    <row r="374" spans="1:95" ht="33.75" outlineLevel="1" x14ac:dyDescent="0.15">
      <c r="A374" s="76">
        <v>375</v>
      </c>
      <c r="B374" s="65" t="s">
        <v>821</v>
      </c>
      <c r="C374" s="65">
        <v>994216866</v>
      </c>
      <c r="D374" s="81" t="str">
        <f t="shared" si="11"/>
        <v>https://portal.dnb.de/opac.htm?method=simpleSearch&amp;cqlMode=true&amp;query=idn%3D994216866</v>
      </c>
      <c r="E374" s="65" t="s">
        <v>822</v>
      </c>
      <c r="F374" s="76" t="s">
        <v>89</v>
      </c>
      <c r="G374" s="78" t="s">
        <v>2522</v>
      </c>
      <c r="H374" s="76" t="s">
        <v>51</v>
      </c>
      <c r="I374" s="78" t="s">
        <v>55</v>
      </c>
      <c r="J374" s="78" t="s">
        <v>81</v>
      </c>
      <c r="K374" s="76"/>
      <c r="L374" s="76" t="s">
        <v>34</v>
      </c>
      <c r="M374" s="76" t="s">
        <v>37</v>
      </c>
      <c r="N374" s="76">
        <v>1</v>
      </c>
      <c r="O374" s="76"/>
      <c r="P374" s="76"/>
      <c r="Q374" s="76"/>
      <c r="R374" s="76"/>
      <c r="X374" s="84" t="s">
        <v>2646</v>
      </c>
      <c r="Y374" s="84" t="s">
        <v>2541</v>
      </c>
      <c r="AA374" s="84" t="s">
        <v>2675</v>
      </c>
      <c r="AG374" s="84" t="s">
        <v>2643</v>
      </c>
      <c r="AU374" s="84">
        <v>110</v>
      </c>
      <c r="AY374" s="86" t="s">
        <v>2651</v>
      </c>
      <c r="AZ374" s="88">
        <f t="shared" si="10"/>
        <v>0</v>
      </c>
      <c r="BD374" s="84" t="s">
        <v>2541</v>
      </c>
      <c r="BX374" s="88"/>
      <c r="CQ374" s="88"/>
    </row>
    <row r="375" spans="1:95" ht="22.5" outlineLevel="1" x14ac:dyDescent="0.15">
      <c r="A375" s="76">
        <v>376</v>
      </c>
      <c r="B375" s="65" t="s">
        <v>823</v>
      </c>
      <c r="C375" s="65">
        <v>1066862311</v>
      </c>
      <c r="D375" s="81" t="str">
        <f t="shared" si="11"/>
        <v>https://portal.dnb.de/opac.htm?method=simpleSearch&amp;cqlMode=true&amp;query=idn%3D1066862311</v>
      </c>
      <c r="E375" s="65" t="s">
        <v>824</v>
      </c>
      <c r="F375" s="76" t="s">
        <v>89</v>
      </c>
      <c r="G375" s="78" t="s">
        <v>2510</v>
      </c>
      <c r="H375" s="76" t="s">
        <v>50</v>
      </c>
      <c r="I375" s="78" t="s">
        <v>90</v>
      </c>
      <c r="J375" s="78" t="s">
        <v>81</v>
      </c>
      <c r="K375" s="76"/>
      <c r="L375" s="76" t="s">
        <v>34</v>
      </c>
      <c r="M375" s="76" t="s">
        <v>37</v>
      </c>
      <c r="N375" s="76">
        <v>1</v>
      </c>
      <c r="O375" s="76"/>
      <c r="P375" s="76"/>
      <c r="Q375" s="76"/>
      <c r="R375" s="76"/>
      <c r="AZ375" s="88">
        <f t="shared" si="10"/>
        <v>0</v>
      </c>
      <c r="BX375" s="88"/>
      <c r="CQ375" s="88"/>
    </row>
    <row r="376" spans="1:95" outlineLevel="1" x14ac:dyDescent="0.15">
      <c r="A376" s="76">
        <v>377</v>
      </c>
      <c r="B376" s="65" t="s">
        <v>825</v>
      </c>
      <c r="C376" s="65">
        <v>1001488202</v>
      </c>
      <c r="D376" s="81" t="str">
        <f t="shared" si="11"/>
        <v>https://portal.dnb.de/opac.htm?method=simpleSearch&amp;cqlMode=true&amp;query=idn%3D1001488202</v>
      </c>
      <c r="E376" s="65" t="s">
        <v>826</v>
      </c>
      <c r="F376" s="76"/>
      <c r="G376" s="78" t="s">
        <v>45</v>
      </c>
      <c r="H376" s="76" t="s">
        <v>50</v>
      </c>
      <c r="I376" s="78" t="s">
        <v>55</v>
      </c>
      <c r="J376" s="78" t="s">
        <v>81</v>
      </c>
      <c r="K376" s="76"/>
      <c r="L376" s="76" t="s">
        <v>29</v>
      </c>
      <c r="M376" s="76" t="s">
        <v>37</v>
      </c>
      <c r="N376" s="76">
        <v>1</v>
      </c>
      <c r="O376" s="76"/>
      <c r="P376" s="76"/>
      <c r="Q376" s="76"/>
      <c r="R376" s="76"/>
      <c r="AZ376" s="88">
        <f t="shared" si="10"/>
        <v>0</v>
      </c>
      <c r="BX376" s="88"/>
      <c r="CQ376" s="88"/>
    </row>
    <row r="377" spans="1:95" ht="33.75" outlineLevel="1" x14ac:dyDescent="0.15">
      <c r="A377" s="76">
        <v>378</v>
      </c>
      <c r="B377" s="65" t="s">
        <v>827</v>
      </c>
      <c r="C377" s="65">
        <v>994216866</v>
      </c>
      <c r="D377" s="81" t="str">
        <f t="shared" si="11"/>
        <v>https://portal.dnb.de/opac.htm?method=simpleSearch&amp;cqlMode=true&amp;query=idn%3D994216866</v>
      </c>
      <c r="E377" s="65" t="s">
        <v>828</v>
      </c>
      <c r="F377" s="76"/>
      <c r="G377" s="78" t="s">
        <v>2516</v>
      </c>
      <c r="H377" s="76" t="s">
        <v>51</v>
      </c>
      <c r="I377" s="78" t="s">
        <v>90</v>
      </c>
      <c r="J377" s="78"/>
      <c r="K377" s="76"/>
      <c r="L377" s="76" t="s">
        <v>34</v>
      </c>
      <c r="M377" s="76" t="s">
        <v>37</v>
      </c>
      <c r="N377" s="76">
        <v>2</v>
      </c>
      <c r="O377" s="76"/>
      <c r="P377" s="76"/>
      <c r="Q377" s="76"/>
      <c r="R377" s="76"/>
      <c r="X377" s="84" t="s">
        <v>2641</v>
      </c>
      <c r="AA377" s="84" t="s">
        <v>2642</v>
      </c>
      <c r="AG377" s="84" t="s">
        <v>2643</v>
      </c>
      <c r="AU377" s="84">
        <v>60</v>
      </c>
      <c r="AY377" s="86" t="s">
        <v>2644</v>
      </c>
      <c r="AZ377" s="88">
        <f t="shared" si="10"/>
        <v>2</v>
      </c>
      <c r="BD377" s="84" t="s">
        <v>2541</v>
      </c>
      <c r="BK377" s="63" t="s">
        <v>2541</v>
      </c>
      <c r="BM377" s="84" t="s">
        <v>2541</v>
      </c>
      <c r="BO377" s="84" t="s">
        <v>2677</v>
      </c>
      <c r="BW377" s="84" t="s">
        <v>2670</v>
      </c>
      <c r="BX377" s="88">
        <v>2</v>
      </c>
      <c r="BY377" s="79" t="s">
        <v>2980</v>
      </c>
      <c r="CQ377" s="88"/>
    </row>
    <row r="378" spans="1:95" outlineLevel="1" x14ac:dyDescent="0.15">
      <c r="A378" s="76">
        <v>379</v>
      </c>
      <c r="B378" s="65" t="s">
        <v>829</v>
      </c>
      <c r="C378" s="65">
        <v>994123973</v>
      </c>
      <c r="D378" s="81" t="str">
        <f t="shared" si="11"/>
        <v>https://portal.dnb.de/opac.htm?method=simpleSearch&amp;cqlMode=true&amp;query=idn%3D994123973</v>
      </c>
      <c r="E378" s="65" t="s">
        <v>830</v>
      </c>
      <c r="F378" s="76"/>
      <c r="G378" s="78" t="s">
        <v>46</v>
      </c>
      <c r="H378" s="76" t="s">
        <v>51</v>
      </c>
      <c r="I378" s="78" t="s">
        <v>90</v>
      </c>
      <c r="J378" s="78" t="s">
        <v>81</v>
      </c>
      <c r="K378" s="76"/>
      <c r="L378" s="76"/>
      <c r="M378" s="76"/>
      <c r="N378" s="76">
        <v>0</v>
      </c>
      <c r="O378" s="76"/>
      <c r="P378" s="76"/>
      <c r="Q378" s="76"/>
      <c r="R378" s="76"/>
      <c r="AZ378" s="88">
        <f t="shared" si="10"/>
        <v>0</v>
      </c>
      <c r="BX378" s="88"/>
      <c r="CQ378" s="88"/>
    </row>
    <row r="379" spans="1:95" outlineLevel="1" x14ac:dyDescent="0.15">
      <c r="A379" s="76">
        <v>380</v>
      </c>
      <c r="B379" s="65" t="s">
        <v>831</v>
      </c>
      <c r="C379" s="65">
        <v>1210956756</v>
      </c>
      <c r="D379" s="81" t="str">
        <f t="shared" si="11"/>
        <v>https://portal.dnb.de/opac.htm?method=simpleSearch&amp;cqlMode=true&amp;query=idn%3D1210956756</v>
      </c>
      <c r="E379" s="65" t="s">
        <v>832</v>
      </c>
      <c r="F379" s="76"/>
      <c r="G379" s="78"/>
      <c r="H379" s="76"/>
      <c r="I379" s="78"/>
      <c r="J379" s="78"/>
      <c r="K379" s="76"/>
      <c r="L379" s="76"/>
      <c r="M379" s="76"/>
      <c r="N379" s="76"/>
      <c r="O379" s="76"/>
      <c r="P379" s="76"/>
      <c r="Q379" s="76"/>
      <c r="R379" s="76"/>
      <c r="AZ379" s="88">
        <f t="shared" si="10"/>
        <v>0</v>
      </c>
      <c r="BX379" s="88"/>
      <c r="CQ379" s="88"/>
    </row>
    <row r="380" spans="1:95" outlineLevel="1" x14ac:dyDescent="0.15">
      <c r="A380" s="76">
        <v>381</v>
      </c>
      <c r="B380" s="65" t="s">
        <v>833</v>
      </c>
      <c r="C380" s="65">
        <v>995542139</v>
      </c>
      <c r="D380" s="81" t="str">
        <f t="shared" si="11"/>
        <v>https://portal.dnb.de/opac.htm?method=simpleSearch&amp;cqlMode=true&amp;query=idn%3D995542139</v>
      </c>
      <c r="E380" s="65" t="s">
        <v>834</v>
      </c>
      <c r="F380" s="76" t="s">
        <v>89</v>
      </c>
      <c r="G380" s="78" t="s">
        <v>46</v>
      </c>
      <c r="H380" s="76"/>
      <c r="I380" s="78" t="s">
        <v>90</v>
      </c>
      <c r="J380" s="78" t="s">
        <v>81</v>
      </c>
      <c r="K380" s="76"/>
      <c r="L380" s="76"/>
      <c r="M380" s="76"/>
      <c r="N380" s="76">
        <v>0</v>
      </c>
      <c r="O380" s="76"/>
      <c r="P380" s="76"/>
      <c r="Q380" s="76"/>
      <c r="R380" s="76"/>
      <c r="AZ380" s="88">
        <f t="shared" si="10"/>
        <v>0</v>
      </c>
      <c r="BX380" s="88"/>
      <c r="CQ380" s="88"/>
    </row>
    <row r="381" spans="1:95" ht="22.5" outlineLevel="1" x14ac:dyDescent="0.15">
      <c r="A381" s="76">
        <v>382</v>
      </c>
      <c r="B381" s="65" t="s">
        <v>835</v>
      </c>
      <c r="C381" s="65">
        <v>1066666245</v>
      </c>
      <c r="D381" s="81" t="str">
        <f t="shared" si="11"/>
        <v>https://portal.dnb.de/opac.htm?method=simpleSearch&amp;cqlMode=true&amp;query=idn%3D1066666245</v>
      </c>
      <c r="E381" s="65" t="s">
        <v>836</v>
      </c>
      <c r="F381" s="76" t="s">
        <v>89</v>
      </c>
      <c r="G381" s="78" t="s">
        <v>2518</v>
      </c>
      <c r="H381" s="76" t="s">
        <v>50</v>
      </c>
      <c r="I381" s="78" t="s">
        <v>90</v>
      </c>
      <c r="J381" s="78" t="s">
        <v>81</v>
      </c>
      <c r="K381" s="76"/>
      <c r="L381" s="76" t="s">
        <v>34</v>
      </c>
      <c r="M381" s="76" t="s">
        <v>37</v>
      </c>
      <c r="N381" s="76">
        <v>1</v>
      </c>
      <c r="O381" s="76"/>
      <c r="P381" s="76"/>
      <c r="Q381" s="76"/>
      <c r="R381" s="76"/>
      <c r="AZ381" s="88">
        <f t="shared" si="10"/>
        <v>0</v>
      </c>
      <c r="BX381" s="88"/>
      <c r="CQ381" s="88"/>
    </row>
    <row r="382" spans="1:95" ht="33.75" outlineLevel="1" x14ac:dyDescent="0.15">
      <c r="A382" s="76">
        <v>383</v>
      </c>
      <c r="B382" s="65" t="s">
        <v>837</v>
      </c>
      <c r="C382" s="65">
        <v>1066862958</v>
      </c>
      <c r="D382" s="81" t="str">
        <f t="shared" si="11"/>
        <v>https://portal.dnb.de/opac.htm?method=simpleSearch&amp;cqlMode=true&amp;query=idn%3D1066862958</v>
      </c>
      <c r="E382" s="65" t="s">
        <v>838</v>
      </c>
      <c r="F382" s="76" t="s">
        <v>89</v>
      </c>
      <c r="G382" s="78" t="s">
        <v>2516</v>
      </c>
      <c r="H382" s="76" t="s">
        <v>52</v>
      </c>
      <c r="I382" s="78" t="s">
        <v>86</v>
      </c>
      <c r="J382" s="78" t="s">
        <v>2593</v>
      </c>
      <c r="K382" s="76"/>
      <c r="L382" s="76" t="s">
        <v>34</v>
      </c>
      <c r="M382" s="76" t="s">
        <v>37</v>
      </c>
      <c r="N382" s="76">
        <v>3</v>
      </c>
      <c r="O382" s="76"/>
      <c r="P382" s="76"/>
      <c r="Q382" s="76"/>
      <c r="R382" s="76"/>
      <c r="X382" s="84" t="s">
        <v>2652</v>
      </c>
      <c r="Y382" s="84" t="s">
        <v>2541</v>
      </c>
      <c r="AA382" s="84" t="s">
        <v>2653</v>
      </c>
      <c r="AC382" s="84" t="s">
        <v>2541</v>
      </c>
      <c r="AG382" s="84" t="s">
        <v>2643</v>
      </c>
      <c r="AK382" s="84" t="s">
        <v>2541</v>
      </c>
      <c r="AL382" s="84" t="s">
        <v>2541</v>
      </c>
      <c r="AS382" s="84">
        <v>6</v>
      </c>
      <c r="AU382" s="84">
        <v>45</v>
      </c>
      <c r="AY382" s="86" t="s">
        <v>2654</v>
      </c>
      <c r="AZ382" s="88">
        <f t="shared" si="10"/>
        <v>8.5</v>
      </c>
      <c r="BD382" s="84" t="s">
        <v>2541</v>
      </c>
      <c r="BH382" s="79" t="s">
        <v>2655</v>
      </c>
      <c r="BJ382" s="79" t="s">
        <v>2836</v>
      </c>
      <c r="BL382" s="84" t="s">
        <v>2541</v>
      </c>
      <c r="BM382" s="84" t="s">
        <v>2541</v>
      </c>
      <c r="BO382" s="84" t="s">
        <v>2656</v>
      </c>
      <c r="BP382" s="84">
        <v>1</v>
      </c>
      <c r="BX382" s="88">
        <v>8.5</v>
      </c>
      <c r="BY382" s="79" t="s">
        <v>2657</v>
      </c>
      <c r="CQ382" s="88"/>
    </row>
    <row r="383" spans="1:95" outlineLevel="1" x14ac:dyDescent="0.15">
      <c r="A383" s="76">
        <v>384</v>
      </c>
      <c r="B383" s="65" t="s">
        <v>839</v>
      </c>
      <c r="C383" s="65">
        <v>1066847886</v>
      </c>
      <c r="D383" s="81" t="str">
        <f t="shared" si="11"/>
        <v>https://portal.dnb.de/opac.htm?method=simpleSearch&amp;cqlMode=true&amp;query=idn%3D1066847886</v>
      </c>
      <c r="E383" s="65" t="s">
        <v>840</v>
      </c>
      <c r="F383" s="76" t="s">
        <v>89</v>
      </c>
      <c r="G383" s="78" t="s">
        <v>4</v>
      </c>
      <c r="H383" s="76" t="s">
        <v>50</v>
      </c>
      <c r="I383" s="78" t="s">
        <v>90</v>
      </c>
      <c r="J383" s="78"/>
      <c r="K383" s="76"/>
      <c r="L383" s="76"/>
      <c r="M383" s="76"/>
      <c r="N383" s="76">
        <v>0</v>
      </c>
      <c r="O383" s="76"/>
      <c r="P383" s="76"/>
      <c r="Q383" s="76"/>
      <c r="R383" s="76"/>
      <c r="AZ383" s="88">
        <f t="shared" si="10"/>
        <v>0</v>
      </c>
      <c r="BX383" s="88"/>
      <c r="CQ383" s="88"/>
    </row>
    <row r="384" spans="1:95" ht="22.5" outlineLevel="1" x14ac:dyDescent="0.15">
      <c r="A384" s="76">
        <v>385</v>
      </c>
      <c r="B384" s="65" t="s">
        <v>841</v>
      </c>
      <c r="C384" s="65">
        <v>993902642</v>
      </c>
      <c r="D384" s="81" t="str">
        <f t="shared" si="11"/>
        <v>https://portal.dnb.de/opac.htm?method=simpleSearch&amp;cqlMode=true&amp;query=idn%3D993902642</v>
      </c>
      <c r="E384" s="65" t="s">
        <v>842</v>
      </c>
      <c r="F384" s="76"/>
      <c r="G384" s="78" t="s">
        <v>17</v>
      </c>
      <c r="H384" s="76" t="s">
        <v>50</v>
      </c>
      <c r="I384" s="78" t="s">
        <v>55</v>
      </c>
      <c r="J384" s="78" t="s">
        <v>64</v>
      </c>
      <c r="K384" s="76"/>
      <c r="L384" s="76"/>
      <c r="M384" s="76"/>
      <c r="N384" s="76">
        <v>2</v>
      </c>
      <c r="O384" s="76"/>
      <c r="P384" s="76"/>
      <c r="Q384" s="76"/>
      <c r="R384" s="76"/>
      <c r="X384" s="84" t="s">
        <v>2696</v>
      </c>
      <c r="AA384" s="84" t="s">
        <v>2642</v>
      </c>
      <c r="AG384" s="84" t="s">
        <v>2643</v>
      </c>
      <c r="AU384" s="84">
        <v>110</v>
      </c>
      <c r="AX384" s="84" t="s">
        <v>2541</v>
      </c>
      <c r="AY384" s="86" t="s">
        <v>2644</v>
      </c>
      <c r="AZ384" s="88">
        <f t="shared" ref="AZ384:AZ447" si="12">BX384+CQ384</f>
        <v>0.5</v>
      </c>
      <c r="BK384" s="63" t="s">
        <v>2541</v>
      </c>
      <c r="BM384" s="84" t="s">
        <v>2541</v>
      </c>
      <c r="BX384" s="88">
        <v>0.5</v>
      </c>
      <c r="BY384" s="79" t="s">
        <v>2981</v>
      </c>
      <c r="CQ384" s="88"/>
    </row>
    <row r="385" spans="1:95" ht="22.5" outlineLevel="1" x14ac:dyDescent="0.15">
      <c r="A385" s="76">
        <v>386</v>
      </c>
      <c r="B385" s="65" t="s">
        <v>843</v>
      </c>
      <c r="C385" s="65">
        <v>1066962677</v>
      </c>
      <c r="D385" s="81" t="str">
        <f t="shared" si="11"/>
        <v>https://portal.dnb.de/opac.htm?method=simpleSearch&amp;cqlMode=true&amp;query=idn%3D1066962677</v>
      </c>
      <c r="E385" s="65" t="s">
        <v>844</v>
      </c>
      <c r="F385" s="76" t="s">
        <v>89</v>
      </c>
      <c r="G385" s="78" t="s">
        <v>3</v>
      </c>
      <c r="H385" s="76" t="s">
        <v>50</v>
      </c>
      <c r="I385" s="78" t="s">
        <v>90</v>
      </c>
      <c r="J385" s="78" t="s">
        <v>2519</v>
      </c>
      <c r="K385" s="76"/>
      <c r="L385" s="76"/>
      <c r="M385" s="76"/>
      <c r="N385" s="76">
        <v>3</v>
      </c>
      <c r="O385" s="76"/>
      <c r="P385" s="76"/>
      <c r="Q385" s="76"/>
      <c r="R385" s="76"/>
      <c r="AZ385" s="88">
        <f t="shared" si="12"/>
        <v>0</v>
      </c>
      <c r="BX385" s="88"/>
      <c r="CQ385" s="88"/>
    </row>
    <row r="386" spans="1:95" ht="22.5" outlineLevel="1" x14ac:dyDescent="0.15">
      <c r="A386" s="76">
        <v>387</v>
      </c>
      <c r="B386" s="65" t="s">
        <v>845</v>
      </c>
      <c r="C386" s="65">
        <v>1066959595</v>
      </c>
      <c r="D386" s="81" t="str">
        <f t="shared" si="11"/>
        <v>https://portal.dnb.de/opac.htm?method=simpleSearch&amp;cqlMode=true&amp;query=idn%3D1066959595</v>
      </c>
      <c r="E386" s="65" t="s">
        <v>846</v>
      </c>
      <c r="F386" s="76" t="s">
        <v>89</v>
      </c>
      <c r="G386" s="78" t="s">
        <v>2510</v>
      </c>
      <c r="H386" s="76" t="s">
        <v>50</v>
      </c>
      <c r="I386" s="78" t="s">
        <v>90</v>
      </c>
      <c r="J386" s="78" t="s">
        <v>81</v>
      </c>
      <c r="K386" s="76"/>
      <c r="L386" s="76" t="s">
        <v>34</v>
      </c>
      <c r="M386" s="76" t="s">
        <v>37</v>
      </c>
      <c r="N386" s="76">
        <v>1</v>
      </c>
      <c r="O386" s="76"/>
      <c r="P386" s="76"/>
      <c r="Q386" s="76"/>
      <c r="R386" s="76"/>
      <c r="AZ386" s="88">
        <f t="shared" si="12"/>
        <v>0</v>
      </c>
      <c r="BX386" s="88"/>
      <c r="CQ386" s="88"/>
    </row>
    <row r="387" spans="1:95" ht="22.5" outlineLevel="1" x14ac:dyDescent="0.15">
      <c r="A387" s="76">
        <v>388</v>
      </c>
      <c r="B387" s="65" t="s">
        <v>847</v>
      </c>
      <c r="C387" s="65">
        <v>1066859639</v>
      </c>
      <c r="D387" s="81" t="str">
        <f t="shared" si="11"/>
        <v>https://portal.dnb.de/opac.htm?method=simpleSearch&amp;cqlMode=true&amp;query=idn%3D1066859639</v>
      </c>
      <c r="E387" s="65" t="s">
        <v>848</v>
      </c>
      <c r="F387" s="76" t="s">
        <v>89</v>
      </c>
      <c r="G387" s="78" t="s">
        <v>17</v>
      </c>
      <c r="H387" s="76" t="s">
        <v>50</v>
      </c>
      <c r="I387" s="78" t="s">
        <v>55</v>
      </c>
      <c r="J387" s="78" t="s">
        <v>64</v>
      </c>
      <c r="K387" s="76"/>
      <c r="L387" s="76"/>
      <c r="M387" s="76"/>
      <c r="N387" s="76">
        <v>2</v>
      </c>
      <c r="O387" s="76"/>
      <c r="P387" s="76"/>
      <c r="Q387" s="76"/>
      <c r="R387" s="76"/>
      <c r="X387" s="84" t="s">
        <v>2696</v>
      </c>
      <c r="AA387" s="84" t="s">
        <v>2647</v>
      </c>
      <c r="AG387" s="84" t="s">
        <v>2643</v>
      </c>
      <c r="AU387" s="84">
        <v>110</v>
      </c>
      <c r="AY387" s="86" t="s">
        <v>2644</v>
      </c>
      <c r="AZ387" s="88">
        <f t="shared" si="12"/>
        <v>0.5</v>
      </c>
      <c r="BK387" s="63" t="s">
        <v>2541</v>
      </c>
      <c r="BM387" s="84" t="s">
        <v>2541</v>
      </c>
      <c r="BX387" s="88">
        <v>0.5</v>
      </c>
      <c r="BY387" s="79" t="s">
        <v>2982</v>
      </c>
      <c r="CQ387" s="88"/>
    </row>
    <row r="388" spans="1:95" outlineLevel="1" x14ac:dyDescent="0.15">
      <c r="A388" s="76">
        <v>389</v>
      </c>
      <c r="B388" s="65" t="s">
        <v>849</v>
      </c>
      <c r="C388" s="65">
        <v>1066963894</v>
      </c>
      <c r="D388" s="81" t="str">
        <f t="shared" si="11"/>
        <v>https://portal.dnb.de/opac.htm?method=simpleSearch&amp;cqlMode=true&amp;query=idn%3D1066963894</v>
      </c>
      <c r="E388" s="65" t="s">
        <v>850</v>
      </c>
      <c r="F388" s="76" t="s">
        <v>89</v>
      </c>
      <c r="G388" s="78" t="s">
        <v>3</v>
      </c>
      <c r="H388" s="76" t="s">
        <v>50</v>
      </c>
      <c r="I388" s="78" t="s">
        <v>55</v>
      </c>
      <c r="J388" s="78"/>
      <c r="K388" s="76"/>
      <c r="L388" s="76"/>
      <c r="M388" s="76"/>
      <c r="N388" s="76">
        <v>1</v>
      </c>
      <c r="O388" s="76"/>
      <c r="P388" s="76"/>
      <c r="Q388" s="76"/>
      <c r="R388" s="76"/>
      <c r="X388" s="84" t="s">
        <v>2652</v>
      </c>
      <c r="AA388" s="84" t="s">
        <v>2642</v>
      </c>
      <c r="AG388" s="84" t="s">
        <v>2643</v>
      </c>
      <c r="AU388" s="84">
        <v>110</v>
      </c>
      <c r="AY388" s="86" t="s">
        <v>2651</v>
      </c>
      <c r="AZ388" s="88">
        <f t="shared" si="12"/>
        <v>0</v>
      </c>
      <c r="BX388" s="88"/>
      <c r="CQ388" s="88"/>
    </row>
    <row r="389" spans="1:95" ht="22.5" outlineLevel="1" x14ac:dyDescent="0.15">
      <c r="A389" s="76">
        <v>390</v>
      </c>
      <c r="B389" s="65" t="s">
        <v>851</v>
      </c>
      <c r="C389" s="65">
        <v>1066964432</v>
      </c>
      <c r="D389" s="81" t="str">
        <f t="shared" si="11"/>
        <v>https://portal.dnb.de/opac.htm?method=simpleSearch&amp;cqlMode=true&amp;query=idn%3D1066964432</v>
      </c>
      <c r="E389" s="65" t="s">
        <v>852</v>
      </c>
      <c r="F389" s="76" t="s">
        <v>89</v>
      </c>
      <c r="G389" s="78" t="s">
        <v>2510</v>
      </c>
      <c r="H389" s="76" t="s">
        <v>51</v>
      </c>
      <c r="I389" s="78" t="s">
        <v>55</v>
      </c>
      <c r="J389" s="78" t="s">
        <v>2509</v>
      </c>
      <c r="K389" s="76"/>
      <c r="L389" s="76" t="s">
        <v>34</v>
      </c>
      <c r="M389" s="76" t="s">
        <v>37</v>
      </c>
      <c r="N389" s="76">
        <v>1</v>
      </c>
      <c r="O389" s="76"/>
      <c r="P389" s="76"/>
      <c r="Q389" s="76"/>
      <c r="R389" s="76"/>
      <c r="AZ389" s="88">
        <f t="shared" si="12"/>
        <v>0</v>
      </c>
      <c r="BX389" s="88"/>
      <c r="CQ389" s="88"/>
    </row>
    <row r="390" spans="1:95" ht="22.5" outlineLevel="1" x14ac:dyDescent="0.15">
      <c r="A390" s="76">
        <v>391</v>
      </c>
      <c r="B390" s="65" t="s">
        <v>853</v>
      </c>
      <c r="C390" s="65">
        <v>1066956960</v>
      </c>
      <c r="D390" s="81" t="str">
        <f t="shared" si="11"/>
        <v>https://portal.dnb.de/opac.htm?method=simpleSearch&amp;cqlMode=true&amp;query=idn%3D1066956960</v>
      </c>
      <c r="E390" s="65" t="s">
        <v>854</v>
      </c>
      <c r="F390" s="76" t="s">
        <v>89</v>
      </c>
      <c r="G390" s="78" t="s">
        <v>2516</v>
      </c>
      <c r="H390" s="76" t="s">
        <v>51</v>
      </c>
      <c r="I390" s="78" t="s">
        <v>55</v>
      </c>
      <c r="J390" s="78" t="s">
        <v>81</v>
      </c>
      <c r="K390" s="76"/>
      <c r="L390" s="76" t="s">
        <v>34</v>
      </c>
      <c r="M390" s="76" t="s">
        <v>37</v>
      </c>
      <c r="N390" s="76">
        <v>1</v>
      </c>
      <c r="O390" s="76"/>
      <c r="P390" s="76"/>
      <c r="Q390" s="76"/>
      <c r="R390" s="76"/>
      <c r="AZ390" s="88">
        <f t="shared" si="12"/>
        <v>0</v>
      </c>
      <c r="BX390" s="88"/>
      <c r="CQ390" s="88"/>
    </row>
    <row r="391" spans="1:95" ht="22.5" outlineLevel="1" x14ac:dyDescent="0.15">
      <c r="A391" s="76">
        <v>392</v>
      </c>
      <c r="B391" s="65" t="s">
        <v>855</v>
      </c>
      <c r="C391" s="65">
        <v>1066870888</v>
      </c>
      <c r="D391" s="81" t="str">
        <f t="shared" si="11"/>
        <v>https://portal.dnb.de/opac.htm?method=simpleSearch&amp;cqlMode=true&amp;query=idn%3D1066870888</v>
      </c>
      <c r="E391" s="65" t="s">
        <v>856</v>
      </c>
      <c r="F391" s="76" t="s">
        <v>89</v>
      </c>
      <c r="G391" s="78" t="s">
        <v>2516</v>
      </c>
      <c r="H391" s="76" t="s">
        <v>50</v>
      </c>
      <c r="I391" s="78" t="s">
        <v>55</v>
      </c>
      <c r="J391" s="78" t="s">
        <v>81</v>
      </c>
      <c r="K391" s="76"/>
      <c r="L391" s="76" t="s">
        <v>34</v>
      </c>
      <c r="M391" s="76" t="s">
        <v>37</v>
      </c>
      <c r="N391" s="76">
        <v>1</v>
      </c>
      <c r="O391" s="76"/>
      <c r="P391" s="76"/>
      <c r="Q391" s="76"/>
      <c r="R391" s="76"/>
      <c r="AZ391" s="88">
        <f t="shared" si="12"/>
        <v>0</v>
      </c>
      <c r="BX391" s="88"/>
      <c r="CQ391" s="88"/>
    </row>
    <row r="392" spans="1:95" ht="45" outlineLevel="1" x14ac:dyDescent="0.15">
      <c r="A392" s="76">
        <v>393</v>
      </c>
      <c r="B392" s="65" t="s">
        <v>857</v>
      </c>
      <c r="C392" s="65">
        <v>1066956871</v>
      </c>
      <c r="D392" s="81" t="str">
        <f t="shared" si="11"/>
        <v>https://portal.dnb.de/opac.htm?method=simpleSearch&amp;cqlMode=true&amp;query=idn%3D1066956871</v>
      </c>
      <c r="E392" s="65" t="s">
        <v>858</v>
      </c>
      <c r="F392" s="76" t="s">
        <v>89</v>
      </c>
      <c r="G392" s="78" t="s">
        <v>2516</v>
      </c>
      <c r="H392" s="76" t="s">
        <v>51</v>
      </c>
      <c r="I392" s="78" t="s">
        <v>55</v>
      </c>
      <c r="J392" s="78" t="s">
        <v>2566</v>
      </c>
      <c r="K392" s="76"/>
      <c r="L392" s="76" t="s">
        <v>35</v>
      </c>
      <c r="M392" s="76" t="s">
        <v>37</v>
      </c>
      <c r="N392" s="76">
        <v>3</v>
      </c>
      <c r="O392" s="76"/>
      <c r="P392" s="76"/>
      <c r="Q392" s="76"/>
      <c r="R392" s="76"/>
      <c r="AZ392" s="88">
        <f t="shared" si="12"/>
        <v>0</v>
      </c>
      <c r="BX392" s="88"/>
      <c r="CQ392" s="88"/>
    </row>
    <row r="393" spans="1:95" outlineLevel="1" x14ac:dyDescent="0.15">
      <c r="A393" s="76">
        <v>394</v>
      </c>
      <c r="B393" s="65" t="s">
        <v>859</v>
      </c>
      <c r="C393" s="65">
        <v>1066964017</v>
      </c>
      <c r="D393" s="81" t="str">
        <f t="shared" si="11"/>
        <v>https://portal.dnb.de/opac.htm?method=simpleSearch&amp;cqlMode=true&amp;query=idn%3D1066964017</v>
      </c>
      <c r="E393" s="65" t="s">
        <v>860</v>
      </c>
      <c r="F393" s="76" t="s">
        <v>89</v>
      </c>
      <c r="G393" s="78" t="s">
        <v>17</v>
      </c>
      <c r="H393" s="76" t="s">
        <v>50</v>
      </c>
      <c r="I393" s="78" t="s">
        <v>55</v>
      </c>
      <c r="J393" s="78"/>
      <c r="K393" s="76"/>
      <c r="L393" s="76" t="s">
        <v>31</v>
      </c>
      <c r="M393" s="76" t="s">
        <v>37</v>
      </c>
      <c r="N393" s="76">
        <v>3</v>
      </c>
      <c r="O393" s="76"/>
      <c r="P393" s="76" t="s">
        <v>2582</v>
      </c>
      <c r="Q393" s="76"/>
      <c r="R393" s="76"/>
      <c r="AZ393" s="88">
        <f t="shared" si="12"/>
        <v>0</v>
      </c>
      <c r="BX393" s="88"/>
      <c r="CQ393" s="88"/>
    </row>
    <row r="394" spans="1:95" ht="22.5" outlineLevel="1" x14ac:dyDescent="0.15">
      <c r="A394" s="76"/>
      <c r="B394" s="65"/>
      <c r="C394" s="65"/>
      <c r="D394" s="81"/>
      <c r="E394" s="65" t="s">
        <v>2594</v>
      </c>
      <c r="F394" s="76" t="s">
        <v>89</v>
      </c>
      <c r="G394" s="78" t="s">
        <v>3</v>
      </c>
      <c r="H394" s="76" t="s">
        <v>52</v>
      </c>
      <c r="I394" s="78" t="s">
        <v>55</v>
      </c>
      <c r="J394" s="78" t="s">
        <v>81</v>
      </c>
      <c r="K394" s="76"/>
      <c r="L394" s="76"/>
      <c r="M394" s="76" t="s">
        <v>101</v>
      </c>
      <c r="N394" s="76">
        <v>2</v>
      </c>
      <c r="O394" s="76"/>
      <c r="P394" s="76"/>
      <c r="Q394" s="76"/>
      <c r="R394" s="76"/>
      <c r="X394" s="84" t="s">
        <v>2652</v>
      </c>
      <c r="Y394" s="84" t="s">
        <v>2541</v>
      </c>
      <c r="AA394" s="84" t="s">
        <v>2647</v>
      </c>
      <c r="AG394" s="84" t="s">
        <v>2646</v>
      </c>
      <c r="AH394" s="84" t="s">
        <v>2541</v>
      </c>
      <c r="AQ394" s="84" t="s">
        <v>2684</v>
      </c>
      <c r="AR394" s="84" t="s">
        <v>2541</v>
      </c>
      <c r="AU394" s="84">
        <v>110</v>
      </c>
      <c r="AY394" s="86" t="s">
        <v>2651</v>
      </c>
      <c r="AZ394" s="88">
        <f t="shared" si="12"/>
        <v>0</v>
      </c>
      <c r="BD394" s="84" t="s">
        <v>2541</v>
      </c>
      <c r="BH394" s="79" t="s">
        <v>2865</v>
      </c>
      <c r="BI394" s="63" t="s">
        <v>2780</v>
      </c>
      <c r="BX394" s="88"/>
      <c r="CQ394" s="88"/>
    </row>
    <row r="395" spans="1:95" ht="33.75" outlineLevel="1" x14ac:dyDescent="0.15">
      <c r="A395" s="76">
        <v>395</v>
      </c>
      <c r="B395" s="65" t="s">
        <v>861</v>
      </c>
      <c r="C395" s="65">
        <v>1066963398</v>
      </c>
      <c r="D395" s="81" t="str">
        <f t="shared" si="11"/>
        <v>https://portal.dnb.de/opac.htm?method=simpleSearch&amp;cqlMode=true&amp;query=idn%3D1066963398</v>
      </c>
      <c r="E395" s="65" t="s">
        <v>862</v>
      </c>
      <c r="F395" s="76"/>
      <c r="G395" s="78" t="s">
        <v>2567</v>
      </c>
      <c r="H395" s="76" t="s">
        <v>50</v>
      </c>
      <c r="I395" s="78" t="s">
        <v>55</v>
      </c>
      <c r="J395" s="78"/>
      <c r="K395" s="76"/>
      <c r="L395" s="76" t="s">
        <v>35</v>
      </c>
      <c r="M395" s="76" t="s">
        <v>37</v>
      </c>
      <c r="N395" s="76">
        <v>3</v>
      </c>
      <c r="O395" s="76"/>
      <c r="P395" s="76" t="s">
        <v>2583</v>
      </c>
      <c r="Q395" s="76"/>
      <c r="R395" s="76"/>
      <c r="X395" s="84" t="s">
        <v>2695</v>
      </c>
      <c r="Z395" s="84" t="s">
        <v>2541</v>
      </c>
      <c r="AG395" s="84" t="s">
        <v>2643</v>
      </c>
      <c r="AQ395" s="84" t="s">
        <v>2680</v>
      </c>
      <c r="AR395" s="84" t="s">
        <v>2541</v>
      </c>
      <c r="AU395" s="84">
        <v>180</v>
      </c>
      <c r="AY395" s="86" t="s">
        <v>2651</v>
      </c>
      <c r="AZ395" s="88">
        <f t="shared" si="12"/>
        <v>0</v>
      </c>
      <c r="BB395" s="84" t="s">
        <v>2807</v>
      </c>
      <c r="BH395" s="79" t="s">
        <v>2985</v>
      </c>
      <c r="BX395" s="88"/>
      <c r="CQ395" s="88"/>
    </row>
    <row r="396" spans="1:95" outlineLevel="1" x14ac:dyDescent="0.15">
      <c r="A396" s="76">
        <v>396</v>
      </c>
      <c r="B396" s="65" t="s">
        <v>863</v>
      </c>
      <c r="C396" s="65" t="s">
        <v>864</v>
      </c>
      <c r="D396" s="81" t="str">
        <f t="shared" si="11"/>
        <v>https://portal.dnb.de/opac.htm?method=simpleSearch&amp;cqlMode=true&amp;query=idn%3D106696176X</v>
      </c>
      <c r="E396" s="65" t="s">
        <v>865</v>
      </c>
      <c r="F396" s="76"/>
      <c r="G396" s="78"/>
      <c r="H396" s="76"/>
      <c r="I396" s="78"/>
      <c r="J396" s="78"/>
      <c r="K396" s="76"/>
      <c r="L396" s="76"/>
      <c r="M396" s="76"/>
      <c r="N396" s="76"/>
      <c r="O396" s="76"/>
      <c r="P396" s="76"/>
      <c r="Q396" s="76"/>
      <c r="R396" s="76"/>
      <c r="S396" s="84" t="s">
        <v>2774</v>
      </c>
      <c r="AZ396" s="88">
        <f t="shared" si="12"/>
        <v>0</v>
      </c>
      <c r="BX396" s="88"/>
      <c r="CQ396" s="88"/>
    </row>
    <row r="397" spans="1:95" outlineLevel="1" x14ac:dyDescent="0.15">
      <c r="A397" s="76">
        <v>397</v>
      </c>
      <c r="B397" s="65" t="s">
        <v>866</v>
      </c>
      <c r="C397" s="65" t="s">
        <v>867</v>
      </c>
      <c r="D397" s="81" t="str">
        <f t="shared" si="11"/>
        <v>https://portal.dnb.de/opac.htm?method=simpleSearch&amp;cqlMode=true&amp;query=idn%3D106696422X</v>
      </c>
      <c r="E397" s="65" t="s">
        <v>868</v>
      </c>
      <c r="F397" s="76"/>
      <c r="G397" s="78"/>
      <c r="H397" s="76"/>
      <c r="I397" s="78"/>
      <c r="J397" s="78"/>
      <c r="K397" s="76"/>
      <c r="L397" s="76"/>
      <c r="M397" s="76"/>
      <c r="N397" s="76"/>
      <c r="O397" s="76"/>
      <c r="P397" s="76"/>
      <c r="Q397" s="76"/>
      <c r="R397" s="76"/>
      <c r="AZ397" s="88">
        <f t="shared" si="12"/>
        <v>0</v>
      </c>
      <c r="BX397" s="88"/>
      <c r="CQ397" s="88"/>
    </row>
    <row r="398" spans="1:95" outlineLevel="1" x14ac:dyDescent="0.15">
      <c r="A398" s="76">
        <v>398</v>
      </c>
      <c r="B398" s="65" t="s">
        <v>869</v>
      </c>
      <c r="C398" s="65">
        <v>997383259</v>
      </c>
      <c r="D398" s="81" t="str">
        <f t="shared" si="11"/>
        <v>https://portal.dnb.de/opac.htm?method=simpleSearch&amp;cqlMode=true&amp;query=idn%3D997383259</v>
      </c>
      <c r="E398" s="65" t="s">
        <v>870</v>
      </c>
      <c r="F398" s="76"/>
      <c r="G398" s="78" t="s">
        <v>3</v>
      </c>
      <c r="H398" s="76" t="s">
        <v>50</v>
      </c>
      <c r="I398" s="78" t="s">
        <v>55</v>
      </c>
      <c r="J398" s="78" t="s">
        <v>81</v>
      </c>
      <c r="K398" s="76"/>
      <c r="L398" s="76"/>
      <c r="M398" s="76" t="s">
        <v>101</v>
      </c>
      <c r="N398" s="76">
        <v>0</v>
      </c>
      <c r="O398" s="76"/>
      <c r="P398" s="76"/>
      <c r="Q398" s="76"/>
      <c r="R398" s="76"/>
      <c r="X398" s="84" t="s">
        <v>2652</v>
      </c>
      <c r="AA398" s="84" t="s">
        <v>2647</v>
      </c>
      <c r="AG398" s="84" t="s">
        <v>2643</v>
      </c>
      <c r="AQ398" s="84" t="s">
        <v>2680</v>
      </c>
      <c r="AR398" s="84" t="s">
        <v>2541</v>
      </c>
      <c r="AU398" s="84">
        <v>110</v>
      </c>
      <c r="AY398" s="86" t="s">
        <v>2651</v>
      </c>
      <c r="AZ398" s="88">
        <f t="shared" si="12"/>
        <v>0</v>
      </c>
      <c r="BH398" s="79" t="s">
        <v>2962</v>
      </c>
      <c r="BX398" s="88"/>
      <c r="CQ398" s="88"/>
    </row>
    <row r="399" spans="1:95" outlineLevel="1" x14ac:dyDescent="0.15">
      <c r="A399" s="76">
        <v>399</v>
      </c>
      <c r="B399" s="65" t="s">
        <v>871</v>
      </c>
      <c r="C399" s="65">
        <v>1066964378</v>
      </c>
      <c r="D399" s="81" t="str">
        <f t="shared" si="11"/>
        <v>https://portal.dnb.de/opac.htm?method=simpleSearch&amp;cqlMode=true&amp;query=idn%3D1066964378</v>
      </c>
      <c r="E399" s="65" t="s">
        <v>872</v>
      </c>
      <c r="F399" s="76"/>
      <c r="G399" s="78"/>
      <c r="H399" s="76"/>
      <c r="I399" s="78"/>
      <c r="J399" s="78"/>
      <c r="K399" s="76"/>
      <c r="L399" s="76"/>
      <c r="M399" s="76"/>
      <c r="N399" s="76"/>
      <c r="O399" s="76"/>
      <c r="P399" s="76"/>
      <c r="Q399" s="76"/>
      <c r="R399" s="76"/>
      <c r="S399" s="84" t="s">
        <v>2774</v>
      </c>
      <c r="AZ399" s="88">
        <f t="shared" si="12"/>
        <v>0</v>
      </c>
      <c r="BX399" s="88"/>
      <c r="CQ399" s="88"/>
    </row>
    <row r="400" spans="1:95" ht="22.5" outlineLevel="1" x14ac:dyDescent="0.15">
      <c r="A400" s="76">
        <v>400</v>
      </c>
      <c r="B400" s="65" t="s">
        <v>873</v>
      </c>
      <c r="C400" s="65" t="s">
        <v>874</v>
      </c>
      <c r="D400" s="81" t="str">
        <f t="shared" si="11"/>
        <v>https://portal.dnb.de/opac.htm?method=simpleSearch&amp;cqlMode=true&amp;query=idn%3D106696419X</v>
      </c>
      <c r="E400" s="65" t="s">
        <v>875</v>
      </c>
      <c r="F400" s="76"/>
      <c r="G400" s="78" t="s">
        <v>2518</v>
      </c>
      <c r="H400" s="76" t="s">
        <v>50</v>
      </c>
      <c r="I400" s="78" t="s">
        <v>55</v>
      </c>
      <c r="J400" s="78" t="s">
        <v>81</v>
      </c>
      <c r="K400" s="76"/>
      <c r="L400" s="76" t="s">
        <v>34</v>
      </c>
      <c r="M400" s="76" t="s">
        <v>37</v>
      </c>
      <c r="N400" s="76">
        <v>0</v>
      </c>
      <c r="O400" s="76"/>
      <c r="P400" s="76"/>
      <c r="Q400" s="76"/>
      <c r="R400" s="76"/>
      <c r="AZ400" s="88">
        <f t="shared" si="12"/>
        <v>0</v>
      </c>
      <c r="BX400" s="88"/>
      <c r="CQ400" s="88"/>
    </row>
    <row r="401" spans="1:95" ht="33.75" outlineLevel="1" x14ac:dyDescent="0.15">
      <c r="A401" s="76">
        <v>401</v>
      </c>
      <c r="B401" s="65" t="s">
        <v>876</v>
      </c>
      <c r="C401" s="65" t="s">
        <v>877</v>
      </c>
      <c r="D401" s="81" t="str">
        <f t="shared" si="11"/>
        <v>https://portal.dnb.de/opac.htm?method=simpleSearch&amp;cqlMode=true&amp;query=idn%3D106696436X</v>
      </c>
      <c r="E401" s="65" t="s">
        <v>878</v>
      </c>
      <c r="F401" s="76" t="s">
        <v>89</v>
      </c>
      <c r="G401" s="78" t="s">
        <v>2516</v>
      </c>
      <c r="H401" s="76" t="s">
        <v>51</v>
      </c>
      <c r="I401" s="78" t="s">
        <v>55</v>
      </c>
      <c r="J401" s="78" t="s">
        <v>2568</v>
      </c>
      <c r="K401" s="76"/>
      <c r="L401" s="76" t="s">
        <v>35</v>
      </c>
      <c r="M401" s="76" t="s">
        <v>37</v>
      </c>
      <c r="N401" s="76">
        <v>3</v>
      </c>
      <c r="O401" s="76"/>
      <c r="P401" s="76"/>
      <c r="Q401" s="76"/>
      <c r="R401" s="76"/>
      <c r="AZ401" s="88">
        <f t="shared" si="12"/>
        <v>0</v>
      </c>
      <c r="BX401" s="88"/>
      <c r="CQ401" s="88"/>
    </row>
    <row r="402" spans="1:95" ht="22.5" outlineLevel="1" x14ac:dyDescent="0.15">
      <c r="A402" s="76">
        <v>402</v>
      </c>
      <c r="B402" s="65" t="s">
        <v>879</v>
      </c>
      <c r="C402" s="65">
        <v>1066964246</v>
      </c>
      <c r="D402" s="81" t="str">
        <f t="shared" si="11"/>
        <v>https://portal.dnb.de/opac.htm?method=simpleSearch&amp;cqlMode=true&amp;query=idn%3D1066964246</v>
      </c>
      <c r="E402" s="65" t="s">
        <v>880</v>
      </c>
      <c r="F402" s="76"/>
      <c r="G402" s="78"/>
      <c r="H402" s="76" t="s">
        <v>50</v>
      </c>
      <c r="I402" s="78"/>
      <c r="J402" s="78"/>
      <c r="K402" s="76"/>
      <c r="L402" s="76"/>
      <c r="M402" s="76"/>
      <c r="N402" s="76"/>
      <c r="O402" s="76"/>
      <c r="P402" s="76"/>
      <c r="Q402" s="76"/>
      <c r="R402" s="76"/>
      <c r="X402" s="84" t="s">
        <v>2695</v>
      </c>
      <c r="Z402" s="84" t="s">
        <v>2541</v>
      </c>
      <c r="AG402" s="84" t="s">
        <v>2643</v>
      </c>
      <c r="AU402" s="84" t="s">
        <v>2650</v>
      </c>
      <c r="AY402" s="86" t="s">
        <v>2651</v>
      </c>
      <c r="AZ402" s="88">
        <f t="shared" si="12"/>
        <v>0</v>
      </c>
      <c r="BB402" s="84" t="s">
        <v>2807</v>
      </c>
      <c r="BH402" s="79" t="s">
        <v>2986</v>
      </c>
      <c r="BX402" s="88"/>
      <c r="CQ402" s="88"/>
    </row>
    <row r="403" spans="1:95" outlineLevel="1" x14ac:dyDescent="0.15">
      <c r="A403" s="76">
        <v>403</v>
      </c>
      <c r="B403" s="65" t="s">
        <v>881</v>
      </c>
      <c r="C403" s="65">
        <v>1066961573</v>
      </c>
      <c r="D403" s="81" t="str">
        <f t="shared" ref="D403:D466" si="13">HYPERLINK(CONCATENATE("https://portal.dnb.de/opac.htm?method=simpleSearch&amp;cqlMode=true&amp;query=idn%3D",C403))</f>
        <v>https://portal.dnb.de/opac.htm?method=simpleSearch&amp;cqlMode=true&amp;query=idn%3D1066961573</v>
      </c>
      <c r="E403" s="65" t="s">
        <v>882</v>
      </c>
      <c r="F403" s="76"/>
      <c r="G403" s="78" t="s">
        <v>44</v>
      </c>
      <c r="H403" s="76"/>
      <c r="I403" s="78"/>
      <c r="J403" s="78"/>
      <c r="K403" s="76"/>
      <c r="L403" s="76"/>
      <c r="M403" s="76"/>
      <c r="N403" s="76"/>
      <c r="O403" s="76"/>
      <c r="P403" s="76" t="s">
        <v>2569</v>
      </c>
      <c r="Q403" s="76"/>
      <c r="R403" s="76"/>
      <c r="S403" s="84" t="s">
        <v>2774</v>
      </c>
      <c r="AZ403" s="88">
        <f t="shared" si="12"/>
        <v>0</v>
      </c>
      <c r="BX403" s="88"/>
      <c r="CQ403" s="88"/>
    </row>
    <row r="404" spans="1:95" ht="22.5" outlineLevel="1" x14ac:dyDescent="0.15">
      <c r="A404" s="76">
        <v>404</v>
      </c>
      <c r="B404" s="65" t="s">
        <v>883</v>
      </c>
      <c r="C404" s="65" t="s">
        <v>884</v>
      </c>
      <c r="D404" s="81" t="str">
        <f t="shared" si="13"/>
        <v>https://portal.dnb.de/opac.htm?method=simpleSearch&amp;cqlMode=true&amp;query=idn%3D106693827X</v>
      </c>
      <c r="E404" s="65" t="s">
        <v>885</v>
      </c>
      <c r="F404" s="76" t="s">
        <v>89</v>
      </c>
      <c r="G404" s="78" t="s">
        <v>2520</v>
      </c>
      <c r="H404" s="76" t="s">
        <v>50</v>
      </c>
      <c r="I404" s="78" t="s">
        <v>55</v>
      </c>
      <c r="J404" s="78"/>
      <c r="K404" s="76"/>
      <c r="L404" s="76" t="s">
        <v>30</v>
      </c>
      <c r="M404" s="76" t="s">
        <v>37</v>
      </c>
      <c r="N404" s="76">
        <v>3</v>
      </c>
      <c r="O404" s="76"/>
      <c r="P404" s="76" t="s">
        <v>2570</v>
      </c>
      <c r="Q404" s="76"/>
      <c r="R404" s="76"/>
      <c r="X404" s="84" t="s">
        <v>2695</v>
      </c>
      <c r="Z404" s="84" t="s">
        <v>2541</v>
      </c>
      <c r="AG404" s="84" t="s">
        <v>2643</v>
      </c>
      <c r="AU404" s="84">
        <v>180</v>
      </c>
      <c r="AY404" s="86" t="s">
        <v>2651</v>
      </c>
      <c r="AZ404" s="88">
        <f t="shared" si="12"/>
        <v>0</v>
      </c>
      <c r="BE404" s="84" t="s">
        <v>2541</v>
      </c>
      <c r="BH404" s="79" t="s">
        <v>2987</v>
      </c>
      <c r="BX404" s="88"/>
      <c r="CQ404" s="88"/>
    </row>
    <row r="405" spans="1:95" outlineLevel="1" x14ac:dyDescent="0.15">
      <c r="A405" s="76">
        <v>405</v>
      </c>
      <c r="B405" s="65" t="s">
        <v>886</v>
      </c>
      <c r="C405" s="65">
        <v>1066960321</v>
      </c>
      <c r="D405" s="81" t="str">
        <f t="shared" si="13"/>
        <v>https://portal.dnb.de/opac.htm?method=simpleSearch&amp;cqlMode=true&amp;query=idn%3D1066960321</v>
      </c>
      <c r="E405" s="65" t="s">
        <v>887</v>
      </c>
      <c r="F405" s="76"/>
      <c r="G405" s="78"/>
      <c r="H405" s="76" t="s">
        <v>50</v>
      </c>
      <c r="I405" s="78"/>
      <c r="J405" s="78"/>
      <c r="K405" s="76"/>
      <c r="L405" s="76"/>
      <c r="M405" s="76"/>
      <c r="N405" s="76"/>
      <c r="O405" s="76"/>
      <c r="P405" s="76"/>
      <c r="Q405" s="76"/>
      <c r="R405" s="76"/>
      <c r="X405" s="84" t="s">
        <v>2645</v>
      </c>
      <c r="Y405" s="84" t="s">
        <v>2541</v>
      </c>
      <c r="AA405" s="84" t="s">
        <v>2647</v>
      </c>
      <c r="AG405" s="84" t="s">
        <v>2643</v>
      </c>
      <c r="AU405" s="84">
        <v>110</v>
      </c>
      <c r="AY405" s="86" t="s">
        <v>2651</v>
      </c>
      <c r="AZ405" s="88">
        <f t="shared" si="12"/>
        <v>0</v>
      </c>
      <c r="BX405" s="88"/>
      <c r="CQ405" s="88"/>
    </row>
    <row r="406" spans="1:95" outlineLevel="1" x14ac:dyDescent="0.15">
      <c r="A406" s="76">
        <v>406</v>
      </c>
      <c r="B406" s="65" t="s">
        <v>888</v>
      </c>
      <c r="C406" s="65">
        <v>1066960100</v>
      </c>
      <c r="D406" s="81" t="str">
        <f t="shared" si="13"/>
        <v>https://portal.dnb.de/opac.htm?method=simpleSearch&amp;cqlMode=true&amp;query=idn%3D1066960100</v>
      </c>
      <c r="E406" s="65" t="s">
        <v>889</v>
      </c>
      <c r="F406" s="76"/>
      <c r="G406" s="78"/>
      <c r="H406" s="76"/>
      <c r="I406" s="78"/>
      <c r="J406" s="78"/>
      <c r="K406" s="76"/>
      <c r="L406" s="76"/>
      <c r="M406" s="76"/>
      <c r="N406" s="76"/>
      <c r="O406" s="76"/>
      <c r="P406" s="76"/>
      <c r="Q406" s="76"/>
      <c r="R406" s="76"/>
      <c r="AZ406" s="88">
        <f t="shared" si="12"/>
        <v>0</v>
      </c>
      <c r="BX406" s="88"/>
      <c r="CQ406" s="88"/>
    </row>
    <row r="407" spans="1:95" outlineLevel="1" x14ac:dyDescent="0.15">
      <c r="A407" s="76">
        <v>407</v>
      </c>
      <c r="B407" s="65" t="s">
        <v>890</v>
      </c>
      <c r="C407" s="65">
        <v>1066871515</v>
      </c>
      <c r="D407" s="81" t="str">
        <f t="shared" si="13"/>
        <v>https://portal.dnb.de/opac.htm?method=simpleSearch&amp;cqlMode=true&amp;query=idn%3D1066871515</v>
      </c>
      <c r="E407" s="65" t="s">
        <v>891</v>
      </c>
      <c r="F407" s="76"/>
      <c r="G407" s="78"/>
      <c r="H407" s="76" t="s">
        <v>50</v>
      </c>
      <c r="I407" s="78"/>
      <c r="J407" s="78"/>
      <c r="K407" s="76"/>
      <c r="L407" s="76"/>
      <c r="M407" s="76"/>
      <c r="N407" s="76"/>
      <c r="O407" s="76"/>
      <c r="P407" s="76"/>
      <c r="Q407" s="76"/>
      <c r="R407" s="76"/>
      <c r="X407" s="84" t="s">
        <v>2643</v>
      </c>
      <c r="Y407" s="84" t="s">
        <v>2541</v>
      </c>
      <c r="AA407" s="84" t="s">
        <v>2647</v>
      </c>
      <c r="AG407" s="84" t="s">
        <v>2643</v>
      </c>
      <c r="AU407" s="84">
        <v>180</v>
      </c>
      <c r="AY407" s="86" t="s">
        <v>2651</v>
      </c>
      <c r="AZ407" s="88">
        <f t="shared" si="12"/>
        <v>0</v>
      </c>
      <c r="BB407" s="84" t="s">
        <v>2807</v>
      </c>
      <c r="BX407" s="88"/>
      <c r="CQ407" s="88"/>
    </row>
    <row r="408" spans="1:95" ht="22.5" outlineLevel="1" x14ac:dyDescent="0.15">
      <c r="A408" s="76">
        <v>408</v>
      </c>
      <c r="B408" s="65" t="s">
        <v>892</v>
      </c>
      <c r="C408" s="65">
        <v>1066960976</v>
      </c>
      <c r="D408" s="81" t="str">
        <f t="shared" si="13"/>
        <v>https://portal.dnb.de/opac.htm?method=simpleSearch&amp;cqlMode=true&amp;query=idn%3D1066960976</v>
      </c>
      <c r="E408" s="65" t="s">
        <v>893</v>
      </c>
      <c r="F408" s="76"/>
      <c r="G408" s="78"/>
      <c r="H408" s="76" t="s">
        <v>50</v>
      </c>
      <c r="I408" s="78"/>
      <c r="J408" s="78"/>
      <c r="K408" s="76"/>
      <c r="L408" s="76"/>
      <c r="M408" s="76"/>
      <c r="N408" s="76"/>
      <c r="O408" s="76"/>
      <c r="P408" s="76"/>
      <c r="Q408" s="76"/>
      <c r="R408" s="76"/>
      <c r="X408" s="84" t="s">
        <v>2696</v>
      </c>
      <c r="AA408" s="84" t="s">
        <v>2647</v>
      </c>
      <c r="AG408" s="84" t="s">
        <v>2643</v>
      </c>
      <c r="AU408" s="84">
        <v>110</v>
      </c>
      <c r="AY408" s="86" t="s">
        <v>2644</v>
      </c>
      <c r="AZ408" s="88">
        <f t="shared" si="12"/>
        <v>0.5</v>
      </c>
      <c r="BK408" s="63" t="s">
        <v>2541</v>
      </c>
      <c r="BM408" s="84" t="s">
        <v>2541</v>
      </c>
      <c r="BX408" s="88">
        <v>0.5</v>
      </c>
      <c r="BY408" s="79" t="s">
        <v>2988</v>
      </c>
      <c r="CQ408" s="88"/>
    </row>
    <row r="409" spans="1:95" outlineLevel="1" x14ac:dyDescent="0.15">
      <c r="A409" s="76">
        <v>409</v>
      </c>
      <c r="B409" s="65" t="s">
        <v>894</v>
      </c>
      <c r="C409" s="65">
        <v>1066961441</v>
      </c>
      <c r="D409" s="81" t="str">
        <f t="shared" si="13"/>
        <v>https://portal.dnb.de/opac.htm?method=simpleSearch&amp;cqlMode=true&amp;query=idn%3D1066961441</v>
      </c>
      <c r="E409" s="65" t="s">
        <v>895</v>
      </c>
      <c r="F409" s="76"/>
      <c r="G409" s="78"/>
      <c r="H409" s="76"/>
      <c r="I409" s="78"/>
      <c r="J409" s="78"/>
      <c r="K409" s="76"/>
      <c r="L409" s="76"/>
      <c r="M409" s="76"/>
      <c r="N409" s="76"/>
      <c r="O409" s="76"/>
      <c r="P409" s="76"/>
      <c r="Q409" s="76"/>
      <c r="R409" s="76"/>
      <c r="AZ409" s="88">
        <f t="shared" si="12"/>
        <v>0</v>
      </c>
      <c r="BX409" s="88"/>
      <c r="CQ409" s="88"/>
    </row>
    <row r="410" spans="1:95" ht="22.5" outlineLevel="1" x14ac:dyDescent="0.15">
      <c r="A410" s="76">
        <v>410</v>
      </c>
      <c r="B410" s="65" t="s">
        <v>896</v>
      </c>
      <c r="C410" s="65">
        <v>1066961204</v>
      </c>
      <c r="D410" s="81" t="str">
        <f t="shared" si="13"/>
        <v>https://portal.dnb.de/opac.htm?method=simpleSearch&amp;cqlMode=true&amp;query=idn%3D1066961204</v>
      </c>
      <c r="E410" s="65" t="s">
        <v>897</v>
      </c>
      <c r="F410" s="76"/>
      <c r="G410" s="78"/>
      <c r="H410" s="76" t="s">
        <v>50</v>
      </c>
      <c r="I410" s="78"/>
      <c r="J410" s="78"/>
      <c r="K410" s="76"/>
      <c r="L410" s="76"/>
      <c r="M410" s="76"/>
      <c r="N410" s="76"/>
      <c r="O410" s="76"/>
      <c r="P410" s="76"/>
      <c r="Q410" s="76"/>
      <c r="R410" s="76"/>
      <c r="X410" s="84" t="s">
        <v>2695</v>
      </c>
      <c r="AG410" s="84" t="s">
        <v>2643</v>
      </c>
      <c r="AU410" s="84" t="s">
        <v>2650</v>
      </c>
      <c r="AY410" s="86" t="s">
        <v>2651</v>
      </c>
      <c r="AZ410" s="88">
        <f t="shared" si="12"/>
        <v>0</v>
      </c>
      <c r="BH410" s="79" t="s">
        <v>2991</v>
      </c>
      <c r="BX410" s="88"/>
      <c r="CQ410" s="88"/>
    </row>
    <row r="411" spans="1:95" outlineLevel="1" x14ac:dyDescent="0.15">
      <c r="A411" s="76">
        <v>411</v>
      </c>
      <c r="B411" s="65" t="s">
        <v>898</v>
      </c>
      <c r="C411" s="65">
        <v>1066961603</v>
      </c>
      <c r="D411" s="81" t="str">
        <f t="shared" si="13"/>
        <v>https://portal.dnb.de/opac.htm?method=simpleSearch&amp;cqlMode=true&amp;query=idn%3D1066961603</v>
      </c>
      <c r="E411" s="65" t="s">
        <v>899</v>
      </c>
      <c r="F411" s="76" t="s">
        <v>89</v>
      </c>
      <c r="G411" s="78" t="s">
        <v>102</v>
      </c>
      <c r="H411" s="76" t="s">
        <v>50</v>
      </c>
      <c r="I411" s="78" t="s">
        <v>55</v>
      </c>
      <c r="J411" s="78"/>
      <c r="K411" s="76"/>
      <c r="L411" s="76" t="s">
        <v>30</v>
      </c>
      <c r="M411" s="76" t="s">
        <v>37</v>
      </c>
      <c r="N411" s="76">
        <v>3</v>
      </c>
      <c r="O411" s="76"/>
      <c r="P411" s="76" t="s">
        <v>2582</v>
      </c>
      <c r="Q411" s="76"/>
      <c r="R411" s="76"/>
      <c r="X411" s="84" t="s">
        <v>2695</v>
      </c>
      <c r="AG411" s="84" t="s">
        <v>2643</v>
      </c>
      <c r="AU411" s="84">
        <v>180</v>
      </c>
      <c r="AY411" s="86" t="s">
        <v>2651</v>
      </c>
      <c r="AZ411" s="88">
        <f t="shared" si="12"/>
        <v>0</v>
      </c>
      <c r="BE411" s="84" t="s">
        <v>2541</v>
      </c>
      <c r="BH411" s="79" t="s">
        <v>2987</v>
      </c>
      <c r="BX411" s="88"/>
      <c r="CQ411" s="88"/>
    </row>
    <row r="412" spans="1:95" outlineLevel="1" x14ac:dyDescent="0.15">
      <c r="A412" s="76">
        <v>412</v>
      </c>
      <c r="B412" s="65" t="s">
        <v>900</v>
      </c>
      <c r="C412" s="65">
        <v>361853246</v>
      </c>
      <c r="D412" s="81" t="str">
        <f t="shared" si="13"/>
        <v>https://portal.dnb.de/opac.htm?method=simpleSearch&amp;cqlMode=true&amp;query=idn%3D361853246</v>
      </c>
      <c r="E412" s="65" t="s">
        <v>901</v>
      </c>
      <c r="F412" s="76"/>
      <c r="G412" s="78"/>
      <c r="H412" s="76"/>
      <c r="I412" s="78"/>
      <c r="J412" s="78"/>
      <c r="K412" s="76"/>
      <c r="L412" s="76"/>
      <c r="M412" s="76"/>
      <c r="N412" s="76"/>
      <c r="O412" s="76"/>
      <c r="P412" s="76"/>
      <c r="Q412" s="76"/>
      <c r="R412" s="76"/>
      <c r="AZ412" s="88">
        <f t="shared" si="12"/>
        <v>0</v>
      </c>
      <c r="BX412" s="88"/>
      <c r="CQ412" s="88"/>
    </row>
    <row r="413" spans="1:95" outlineLevel="1" x14ac:dyDescent="0.15">
      <c r="A413" s="76">
        <v>413</v>
      </c>
      <c r="B413" s="65" t="s">
        <v>902</v>
      </c>
      <c r="C413" s="65">
        <v>1066963622</v>
      </c>
      <c r="D413" s="81" t="str">
        <f t="shared" si="13"/>
        <v>https://portal.dnb.de/opac.htm?method=simpleSearch&amp;cqlMode=true&amp;query=idn%3D1066963622</v>
      </c>
      <c r="E413" s="65" t="s">
        <v>903</v>
      </c>
      <c r="F413" s="76"/>
      <c r="G413" s="78"/>
      <c r="H413" s="76" t="s">
        <v>50</v>
      </c>
      <c r="I413" s="78"/>
      <c r="J413" s="78"/>
      <c r="K413" s="76"/>
      <c r="L413" s="76"/>
      <c r="M413" s="76"/>
      <c r="N413" s="76"/>
      <c r="O413" s="76"/>
      <c r="P413" s="76"/>
      <c r="Q413" s="76"/>
      <c r="R413" s="76"/>
      <c r="W413" s="84" t="s">
        <v>2541</v>
      </c>
      <c r="X413" s="84" t="s">
        <v>2697</v>
      </c>
      <c r="Y413" s="84" t="s">
        <v>2541</v>
      </c>
      <c r="AA413" s="84" t="s">
        <v>2653</v>
      </c>
      <c r="AG413" s="84" t="s">
        <v>2643</v>
      </c>
      <c r="AU413" s="84">
        <v>0</v>
      </c>
      <c r="AY413" s="86" t="s">
        <v>2651</v>
      </c>
      <c r="AZ413" s="88">
        <f t="shared" si="12"/>
        <v>0</v>
      </c>
      <c r="BX413" s="88"/>
      <c r="CQ413" s="88"/>
    </row>
    <row r="414" spans="1:95" outlineLevel="1" x14ac:dyDescent="0.15">
      <c r="A414" s="76">
        <v>414</v>
      </c>
      <c r="B414" s="65" t="s">
        <v>904</v>
      </c>
      <c r="C414" s="65">
        <v>1066964351</v>
      </c>
      <c r="D414" s="81" t="str">
        <f t="shared" si="13"/>
        <v>https://portal.dnb.de/opac.htm?method=simpleSearch&amp;cqlMode=true&amp;query=idn%3D1066964351</v>
      </c>
      <c r="E414" s="65" t="s">
        <v>905</v>
      </c>
      <c r="F414" s="76"/>
      <c r="G414" s="78"/>
      <c r="H414" s="76" t="s">
        <v>50</v>
      </c>
      <c r="I414" s="78"/>
      <c r="J414" s="78"/>
      <c r="K414" s="76"/>
      <c r="L414" s="76"/>
      <c r="M414" s="76"/>
      <c r="N414" s="76"/>
      <c r="O414" s="76"/>
      <c r="P414" s="76"/>
      <c r="Q414" s="76"/>
      <c r="R414" s="76"/>
      <c r="W414" s="84" t="s">
        <v>2541</v>
      </c>
      <c r="X414" s="84" t="s">
        <v>2697</v>
      </c>
      <c r="Y414" s="84" t="s">
        <v>2541</v>
      </c>
      <c r="AA414" s="84" t="s">
        <v>2647</v>
      </c>
      <c r="AG414" s="84" t="s">
        <v>2643</v>
      </c>
      <c r="AQ414" s="84" t="s">
        <v>2658</v>
      </c>
      <c r="AR414" s="84" t="s">
        <v>2541</v>
      </c>
      <c r="AU414" s="84">
        <v>110</v>
      </c>
      <c r="AY414" s="86" t="s">
        <v>2651</v>
      </c>
      <c r="AZ414" s="88">
        <f t="shared" si="12"/>
        <v>0</v>
      </c>
      <c r="BX414" s="88"/>
      <c r="CQ414" s="88"/>
    </row>
    <row r="415" spans="1:95" outlineLevel="1" x14ac:dyDescent="0.15">
      <c r="A415" s="76">
        <v>415</v>
      </c>
      <c r="B415" s="65" t="s">
        <v>906</v>
      </c>
      <c r="C415" s="65">
        <v>1066961433</v>
      </c>
      <c r="D415" s="81" t="str">
        <f t="shared" si="13"/>
        <v>https://portal.dnb.de/opac.htm?method=simpleSearch&amp;cqlMode=true&amp;query=idn%3D1066961433</v>
      </c>
      <c r="E415" s="65" t="s">
        <v>907</v>
      </c>
      <c r="F415" s="76" t="s">
        <v>89</v>
      </c>
      <c r="G415" s="78" t="s">
        <v>17</v>
      </c>
      <c r="H415" s="76" t="s">
        <v>50</v>
      </c>
      <c r="I415" s="78" t="s">
        <v>55</v>
      </c>
      <c r="J415" s="78"/>
      <c r="K415" s="76"/>
      <c r="L415" s="76" t="s">
        <v>35</v>
      </c>
      <c r="M415" s="76" t="s">
        <v>37</v>
      </c>
      <c r="N415" s="76">
        <v>3</v>
      </c>
      <c r="O415" s="76"/>
      <c r="P415" s="76" t="s">
        <v>2582</v>
      </c>
      <c r="Q415" s="76"/>
      <c r="R415" s="76"/>
      <c r="W415" s="84" t="s">
        <v>2541</v>
      </c>
      <c r="X415" s="84" t="s">
        <v>2695</v>
      </c>
      <c r="Z415" s="84" t="s">
        <v>2541</v>
      </c>
      <c r="AG415" s="84" t="s">
        <v>2643</v>
      </c>
      <c r="AU415" s="84" t="s">
        <v>2650</v>
      </c>
      <c r="AY415" s="86" t="s">
        <v>2651</v>
      </c>
      <c r="AZ415" s="88">
        <f t="shared" si="12"/>
        <v>0</v>
      </c>
      <c r="BB415" s="84" t="s">
        <v>2777</v>
      </c>
      <c r="BH415" s="79" t="s">
        <v>2993</v>
      </c>
      <c r="BX415" s="88"/>
      <c r="CQ415" s="88"/>
    </row>
    <row r="416" spans="1:95" ht="45" outlineLevel="1" x14ac:dyDescent="0.15">
      <c r="A416" s="76">
        <v>416</v>
      </c>
      <c r="B416" s="65" t="s">
        <v>908</v>
      </c>
      <c r="C416" s="65">
        <v>1066958408</v>
      </c>
      <c r="D416" s="81" t="str">
        <f t="shared" si="13"/>
        <v>https://portal.dnb.de/opac.htm?method=simpleSearch&amp;cqlMode=true&amp;query=idn%3D1066958408</v>
      </c>
      <c r="E416" s="65" t="s">
        <v>909</v>
      </c>
      <c r="F416" s="76" t="s">
        <v>89</v>
      </c>
      <c r="G416" s="78" t="s">
        <v>2510</v>
      </c>
      <c r="H416" s="76" t="s">
        <v>51</v>
      </c>
      <c r="I416" s="78" t="s">
        <v>90</v>
      </c>
      <c r="J416" s="78" t="s">
        <v>2527</v>
      </c>
      <c r="K416" s="76"/>
      <c r="L416" s="76" t="s">
        <v>34</v>
      </c>
      <c r="M416" s="76" t="s">
        <v>37</v>
      </c>
      <c r="N416" s="76">
        <v>3</v>
      </c>
      <c r="O416" s="76"/>
      <c r="P416" s="76"/>
      <c r="Q416" s="76"/>
      <c r="R416" s="76"/>
      <c r="X416" s="84" t="s">
        <v>2697</v>
      </c>
      <c r="Y416" s="84" t="s">
        <v>2541</v>
      </c>
      <c r="AA416" s="84" t="s">
        <v>2653</v>
      </c>
      <c r="AG416" s="84" t="s">
        <v>2643</v>
      </c>
      <c r="AU416" s="84">
        <v>60</v>
      </c>
      <c r="AY416" s="86" t="s">
        <v>2644</v>
      </c>
      <c r="AZ416" s="88">
        <f t="shared" si="12"/>
        <v>2</v>
      </c>
      <c r="BD416" s="84" t="s">
        <v>2541</v>
      </c>
      <c r="BK416" s="63" t="s">
        <v>2541</v>
      </c>
      <c r="BL416" s="84" t="s">
        <v>2541</v>
      </c>
      <c r="BM416" s="84" t="s">
        <v>2541</v>
      </c>
      <c r="BN416" s="84" t="s">
        <v>2541</v>
      </c>
      <c r="BO416" s="84" t="s">
        <v>2656</v>
      </c>
      <c r="BX416" s="88">
        <v>2</v>
      </c>
      <c r="BY416" s="79" t="s">
        <v>2995</v>
      </c>
      <c r="CQ416" s="88"/>
    </row>
    <row r="417" spans="1:95" ht="22.5" outlineLevel="1" x14ac:dyDescent="0.15">
      <c r="A417" s="76">
        <v>417</v>
      </c>
      <c r="B417" s="65" t="s">
        <v>910</v>
      </c>
      <c r="C417" s="65">
        <v>1066964408</v>
      </c>
      <c r="D417" s="81" t="str">
        <f>HYPERLINK(CONCATENATE("https://portal.dnb.de/opac.htm?method=simpleSearch&amp;cqlMode=true&amp;query=idn%3D",C417))</f>
        <v>https://portal.dnb.de/opac.htm?method=simpleSearch&amp;cqlMode=true&amp;query=idn%3D1066964408</v>
      </c>
      <c r="E417" s="65" t="s">
        <v>911</v>
      </c>
      <c r="F417" s="76" t="s">
        <v>89</v>
      </c>
      <c r="G417" s="78" t="s">
        <v>2510</v>
      </c>
      <c r="H417" s="76" t="s">
        <v>51</v>
      </c>
      <c r="I417" s="78" t="s">
        <v>90</v>
      </c>
      <c r="J417" s="78" t="s">
        <v>94</v>
      </c>
      <c r="K417" s="76"/>
      <c r="L417" s="76" t="s">
        <v>34</v>
      </c>
      <c r="M417" s="76" t="s">
        <v>37</v>
      </c>
      <c r="N417" s="76">
        <v>0</v>
      </c>
      <c r="O417" s="76"/>
      <c r="P417" s="76"/>
      <c r="Q417" s="76"/>
      <c r="R417" s="76"/>
      <c r="AZ417" s="88">
        <f t="shared" si="12"/>
        <v>0</v>
      </c>
      <c r="BX417" s="88"/>
      <c r="CQ417" s="88"/>
    </row>
    <row r="418" spans="1:95" ht="22.5" outlineLevel="1" x14ac:dyDescent="0.15">
      <c r="A418" s="76">
        <v>418</v>
      </c>
      <c r="B418" s="65" t="s">
        <v>912</v>
      </c>
      <c r="C418" s="65">
        <v>1066964165</v>
      </c>
      <c r="D418" s="81" t="str">
        <f t="shared" si="13"/>
        <v>https://portal.dnb.de/opac.htm?method=simpleSearch&amp;cqlMode=true&amp;query=idn%3D1066964165</v>
      </c>
      <c r="E418" s="65" t="s">
        <v>913</v>
      </c>
      <c r="F418" s="76" t="s">
        <v>89</v>
      </c>
      <c r="G418" s="78" t="s">
        <v>2520</v>
      </c>
      <c r="H418" s="76"/>
      <c r="I418" s="78" t="s">
        <v>90</v>
      </c>
      <c r="J418" s="78"/>
      <c r="K418" s="76"/>
      <c r="L418" s="76" t="s">
        <v>30</v>
      </c>
      <c r="M418" s="76" t="s">
        <v>37</v>
      </c>
      <c r="N418" s="76">
        <v>2</v>
      </c>
      <c r="O418" s="76"/>
      <c r="P418" s="76" t="s">
        <v>2584</v>
      </c>
      <c r="Q418" s="76"/>
      <c r="R418" s="76"/>
      <c r="S418" s="84" t="s">
        <v>2974</v>
      </c>
      <c r="AZ418" s="88">
        <f t="shared" si="12"/>
        <v>0</v>
      </c>
      <c r="BX418" s="88"/>
      <c r="CQ418" s="88"/>
    </row>
    <row r="419" spans="1:95" ht="22.5" outlineLevel="1" x14ac:dyDescent="0.15">
      <c r="A419" s="76">
        <v>419</v>
      </c>
      <c r="B419" s="65" t="s">
        <v>914</v>
      </c>
      <c r="C419" s="65">
        <v>1066963827</v>
      </c>
      <c r="D419" s="81" t="str">
        <f>HYPERLINK(CONCATENATE("https://portal.dnb.de/opac.htm?method=simpleSearch&amp;cqlMode=true&amp;query=idn%3D",C419))</f>
        <v>https://portal.dnb.de/opac.htm?method=simpleSearch&amp;cqlMode=true&amp;query=idn%3D1066963827</v>
      </c>
      <c r="E419" s="65" t="s">
        <v>915</v>
      </c>
      <c r="F419" s="76" t="s">
        <v>89</v>
      </c>
      <c r="G419" s="78" t="s">
        <v>2510</v>
      </c>
      <c r="H419" s="76" t="s">
        <v>50</v>
      </c>
      <c r="I419" s="78" t="s">
        <v>90</v>
      </c>
      <c r="J419" s="78" t="s">
        <v>2515</v>
      </c>
      <c r="K419" s="76"/>
      <c r="L419" s="76" t="s">
        <v>30</v>
      </c>
      <c r="M419" s="76" t="s">
        <v>37</v>
      </c>
      <c r="N419" s="76">
        <v>1</v>
      </c>
      <c r="O419" s="76"/>
      <c r="P419" s="76"/>
      <c r="Q419" s="76"/>
      <c r="R419" s="76"/>
      <c r="AZ419" s="88">
        <f t="shared" si="12"/>
        <v>0</v>
      </c>
      <c r="BX419" s="88"/>
      <c r="CQ419" s="88"/>
    </row>
    <row r="420" spans="1:95" ht="22.5" outlineLevel="1" x14ac:dyDescent="0.15">
      <c r="A420" s="76">
        <v>420</v>
      </c>
      <c r="B420" s="65" t="s">
        <v>916</v>
      </c>
      <c r="C420" s="65">
        <v>1066847088</v>
      </c>
      <c r="D420" s="81" t="str">
        <f>HYPERLINK(CONCATENATE("https://portal.dnb.de/opac.htm?method=simpleSearch&amp;cqlMode=true&amp;query=idn%3D",C420))</f>
        <v>https://portal.dnb.de/opac.htm?method=simpleSearch&amp;cqlMode=true&amp;query=idn%3D1066847088</v>
      </c>
      <c r="E420" s="65" t="s">
        <v>917</v>
      </c>
      <c r="F420" s="76" t="s">
        <v>89</v>
      </c>
      <c r="G420" s="78" t="s">
        <v>2516</v>
      </c>
      <c r="H420" s="76" t="s">
        <v>51</v>
      </c>
      <c r="I420" s="78" t="s">
        <v>55</v>
      </c>
      <c r="J420" s="78" t="s">
        <v>81</v>
      </c>
      <c r="K420" s="76"/>
      <c r="L420" s="76" t="s">
        <v>34</v>
      </c>
      <c r="M420" s="76" t="s">
        <v>37</v>
      </c>
      <c r="N420" s="76">
        <v>1</v>
      </c>
      <c r="O420" s="76"/>
      <c r="P420" s="76"/>
      <c r="Q420" s="76"/>
      <c r="R420" s="76"/>
      <c r="X420" s="84" t="s">
        <v>2652</v>
      </c>
      <c r="Y420" s="84" t="s">
        <v>2541</v>
      </c>
      <c r="AA420" s="84" t="s">
        <v>2647</v>
      </c>
      <c r="AG420" s="84" t="s">
        <v>2643</v>
      </c>
      <c r="AU420" s="84">
        <v>110</v>
      </c>
      <c r="AY420" s="86" t="s">
        <v>2644</v>
      </c>
      <c r="AZ420" s="88">
        <f t="shared" si="12"/>
        <v>0.5</v>
      </c>
      <c r="BD420" s="84" t="s">
        <v>2541</v>
      </c>
      <c r="BK420" s="63" t="s">
        <v>2541</v>
      </c>
      <c r="BL420" s="84" t="s">
        <v>2541</v>
      </c>
      <c r="BM420" s="84" t="s">
        <v>2541</v>
      </c>
      <c r="BX420" s="88">
        <v>0.5</v>
      </c>
      <c r="CQ420" s="88"/>
    </row>
    <row r="421" spans="1:95" outlineLevel="1" x14ac:dyDescent="0.15">
      <c r="A421" s="76">
        <v>421</v>
      </c>
      <c r="B421" s="65" t="s">
        <v>918</v>
      </c>
      <c r="C421" s="65">
        <v>1066957304</v>
      </c>
      <c r="D421" s="81" t="str">
        <f t="shared" si="13"/>
        <v>https://portal.dnb.de/opac.htm?method=simpleSearch&amp;cqlMode=true&amp;query=idn%3D1066957304</v>
      </c>
      <c r="E421" s="65" t="s">
        <v>919</v>
      </c>
      <c r="F421" s="76" t="s">
        <v>89</v>
      </c>
      <c r="G421" s="78" t="s">
        <v>3</v>
      </c>
      <c r="H421" s="76" t="s">
        <v>50</v>
      </c>
      <c r="I421" s="78" t="s">
        <v>55</v>
      </c>
      <c r="J421" s="78"/>
      <c r="K421" s="76"/>
      <c r="L421" s="76" t="s">
        <v>30</v>
      </c>
      <c r="M421" s="76" t="s">
        <v>37</v>
      </c>
      <c r="N421" s="76">
        <v>2</v>
      </c>
      <c r="O421" s="76"/>
      <c r="P421" s="76" t="s">
        <v>2573</v>
      </c>
      <c r="Q421" s="76"/>
      <c r="R421" s="76"/>
      <c r="X421" s="84" t="s">
        <v>2695</v>
      </c>
      <c r="AG421" s="84" t="s">
        <v>2643</v>
      </c>
      <c r="AU421" s="84">
        <v>180</v>
      </c>
      <c r="AY421" s="86" t="s">
        <v>2651</v>
      </c>
      <c r="AZ421" s="88">
        <f t="shared" si="12"/>
        <v>0</v>
      </c>
      <c r="BE421" s="84" t="s">
        <v>2541</v>
      </c>
      <c r="BH421" s="79" t="s">
        <v>2996</v>
      </c>
      <c r="BX421" s="88"/>
      <c r="CQ421" s="88"/>
    </row>
    <row r="422" spans="1:95" outlineLevel="1" x14ac:dyDescent="0.15">
      <c r="A422" s="76">
        <v>422</v>
      </c>
      <c r="B422" s="65" t="s">
        <v>920</v>
      </c>
      <c r="C422" s="65">
        <v>1066960070</v>
      </c>
      <c r="D422" s="81" t="str">
        <f>HYPERLINK(CONCATENATE("https://portal.dnb.de/opac.htm?method=simpleSearch&amp;cqlMode=true&amp;query=idn%3D",C422))</f>
        <v>https://portal.dnb.de/opac.htm?method=simpleSearch&amp;cqlMode=true&amp;query=idn%3D1066960070</v>
      </c>
      <c r="E422" s="65" t="s">
        <v>2574</v>
      </c>
      <c r="F422" s="76"/>
      <c r="G422" s="78"/>
      <c r="H422" s="76"/>
      <c r="I422" s="78"/>
      <c r="J422" s="78"/>
      <c r="K422" s="76"/>
      <c r="L422" s="76"/>
      <c r="M422" s="76"/>
      <c r="N422" s="76"/>
      <c r="O422" s="76"/>
      <c r="P422" s="76"/>
      <c r="Q422" s="76"/>
      <c r="R422" s="76"/>
      <c r="S422" s="84" t="s">
        <v>2774</v>
      </c>
      <c r="AZ422" s="88">
        <f t="shared" si="12"/>
        <v>0</v>
      </c>
      <c r="BX422" s="88"/>
      <c r="CQ422" s="88"/>
    </row>
    <row r="423" spans="1:95" outlineLevel="1" x14ac:dyDescent="0.15">
      <c r="A423" s="76">
        <v>423</v>
      </c>
      <c r="B423" s="65" t="s">
        <v>921</v>
      </c>
      <c r="C423" s="65">
        <v>999014935</v>
      </c>
      <c r="D423" s="81" t="str">
        <f>HYPERLINK(CONCATENATE("https://portal.dnb.de/opac.htm?method=simpleSearch&amp;cqlMode=true&amp;query=idn%3D",C423))</f>
        <v>https://portal.dnb.de/opac.htm?method=simpleSearch&amp;cqlMode=true&amp;query=idn%3D999014935</v>
      </c>
      <c r="E423" s="65" t="s">
        <v>922</v>
      </c>
      <c r="F423" s="76"/>
      <c r="G423" s="78" t="s">
        <v>4</v>
      </c>
      <c r="H423" s="76" t="s">
        <v>50</v>
      </c>
      <c r="I423" s="78" t="s">
        <v>55</v>
      </c>
      <c r="J423" s="78" t="s">
        <v>94</v>
      </c>
      <c r="K423" s="76"/>
      <c r="L423" s="76"/>
      <c r="M423" s="76"/>
      <c r="N423" s="76">
        <v>0</v>
      </c>
      <c r="O423" s="76"/>
      <c r="P423" s="76"/>
      <c r="Q423" s="76"/>
      <c r="R423" s="76"/>
      <c r="AZ423" s="88">
        <f t="shared" si="12"/>
        <v>0</v>
      </c>
      <c r="BX423" s="88"/>
      <c r="CQ423" s="88"/>
    </row>
    <row r="424" spans="1:95" ht="22.5" outlineLevel="1" x14ac:dyDescent="0.15">
      <c r="A424" s="76">
        <v>424</v>
      </c>
      <c r="B424" s="65" t="s">
        <v>923</v>
      </c>
      <c r="C424" s="65">
        <v>1000186962</v>
      </c>
      <c r="D424" s="81" t="str">
        <f t="shared" si="13"/>
        <v>https://portal.dnb.de/opac.htm?method=simpleSearch&amp;cqlMode=true&amp;query=idn%3D1000186962</v>
      </c>
      <c r="E424" s="65" t="s">
        <v>924</v>
      </c>
      <c r="F424" s="76"/>
      <c r="G424" s="78" t="s">
        <v>2510</v>
      </c>
      <c r="H424" s="76" t="s">
        <v>50</v>
      </c>
      <c r="I424" s="78" t="s">
        <v>55</v>
      </c>
      <c r="J424" s="78" t="s">
        <v>81</v>
      </c>
      <c r="K424" s="76"/>
      <c r="L424" s="76" t="s">
        <v>34</v>
      </c>
      <c r="M424" s="76" t="s">
        <v>37</v>
      </c>
      <c r="N424" s="76">
        <v>1</v>
      </c>
      <c r="O424" s="76"/>
      <c r="P424" s="76"/>
      <c r="Q424" s="76"/>
      <c r="R424" s="76"/>
      <c r="X424" s="84" t="s">
        <v>2697</v>
      </c>
      <c r="AA424" s="84" t="s">
        <v>2675</v>
      </c>
      <c r="AG424" s="84" t="s">
        <v>2643</v>
      </c>
      <c r="AU424" s="84">
        <v>110</v>
      </c>
      <c r="AY424" s="86" t="s">
        <v>2651</v>
      </c>
      <c r="AZ424" s="88">
        <f t="shared" si="12"/>
        <v>0</v>
      </c>
      <c r="BD424" s="84" t="s">
        <v>2541</v>
      </c>
      <c r="BX424" s="88"/>
      <c r="CQ424" s="88"/>
    </row>
    <row r="425" spans="1:95" ht="22.5" outlineLevel="1" x14ac:dyDescent="0.15">
      <c r="A425" s="76">
        <v>425</v>
      </c>
      <c r="B425" s="65" t="s">
        <v>925</v>
      </c>
      <c r="C425" s="65">
        <v>997548614</v>
      </c>
      <c r="D425" s="81" t="str">
        <f t="shared" si="13"/>
        <v>https://portal.dnb.de/opac.htm?method=simpleSearch&amp;cqlMode=true&amp;query=idn%3D997548614</v>
      </c>
      <c r="E425" s="65" t="s">
        <v>926</v>
      </c>
      <c r="F425" s="76"/>
      <c r="G425" s="78" t="s">
        <v>2516</v>
      </c>
      <c r="H425" s="76" t="s">
        <v>50</v>
      </c>
      <c r="I425" s="78" t="s">
        <v>90</v>
      </c>
      <c r="J425" s="78"/>
      <c r="K425" s="76"/>
      <c r="L425" s="76" t="s">
        <v>35</v>
      </c>
      <c r="M425" s="76" t="s">
        <v>37</v>
      </c>
      <c r="N425" s="76">
        <v>2</v>
      </c>
      <c r="O425" s="76"/>
      <c r="P425" s="76"/>
      <c r="Q425" s="76"/>
      <c r="R425" s="76"/>
      <c r="X425" s="84" t="s">
        <v>2641</v>
      </c>
      <c r="AA425" s="84" t="s">
        <v>2642</v>
      </c>
      <c r="AG425" s="84" t="s">
        <v>2643</v>
      </c>
      <c r="AU425" s="84">
        <v>60</v>
      </c>
      <c r="AY425" s="86" t="s">
        <v>2651</v>
      </c>
      <c r="AZ425" s="88">
        <f t="shared" si="12"/>
        <v>0</v>
      </c>
      <c r="BH425" s="79" t="s">
        <v>2984</v>
      </c>
      <c r="BX425" s="88"/>
      <c r="CQ425" s="88"/>
    </row>
    <row r="426" spans="1:95" outlineLevel="1" x14ac:dyDescent="0.15">
      <c r="A426" s="76">
        <v>426</v>
      </c>
      <c r="B426" s="65" t="s">
        <v>927</v>
      </c>
      <c r="C426" s="65">
        <v>997550619</v>
      </c>
      <c r="D426" s="81" t="str">
        <f t="shared" si="13"/>
        <v>https://portal.dnb.de/opac.htm?method=simpleSearch&amp;cqlMode=true&amp;query=idn%3D997550619</v>
      </c>
      <c r="E426" s="65" t="s">
        <v>2983</v>
      </c>
      <c r="F426" s="76"/>
      <c r="G426" s="78"/>
      <c r="H426" s="76"/>
      <c r="I426" s="78"/>
      <c r="J426" s="78"/>
      <c r="K426" s="76"/>
      <c r="L426" s="76"/>
      <c r="M426" s="76"/>
      <c r="N426" s="76"/>
      <c r="O426" s="76"/>
      <c r="P426" s="76"/>
      <c r="Q426" s="76"/>
      <c r="R426" s="76"/>
      <c r="AZ426" s="88">
        <f t="shared" si="12"/>
        <v>0</v>
      </c>
      <c r="BX426" s="88"/>
      <c r="CQ426" s="88"/>
    </row>
    <row r="427" spans="1:95" outlineLevel="1" x14ac:dyDescent="0.15">
      <c r="A427" s="76">
        <v>427</v>
      </c>
      <c r="B427" s="65" t="s">
        <v>928</v>
      </c>
      <c r="C427" s="65">
        <v>1066673942</v>
      </c>
      <c r="D427" s="81" t="str">
        <f t="shared" si="13"/>
        <v>https://portal.dnb.de/opac.htm?method=simpleSearch&amp;cqlMode=true&amp;query=idn%3D1066673942</v>
      </c>
      <c r="E427" s="65" t="s">
        <v>929</v>
      </c>
      <c r="F427" s="76"/>
      <c r="G427" s="78" t="s">
        <v>102</v>
      </c>
      <c r="H427" s="76" t="s">
        <v>50</v>
      </c>
      <c r="I427" s="78" t="s">
        <v>55</v>
      </c>
      <c r="J427" s="78"/>
      <c r="K427" s="76"/>
      <c r="L427" s="76" t="s">
        <v>31</v>
      </c>
      <c r="M427" s="76" t="s">
        <v>37</v>
      </c>
      <c r="N427" s="76">
        <v>1</v>
      </c>
      <c r="O427" s="76"/>
      <c r="P427" s="76"/>
      <c r="Q427" s="76"/>
      <c r="R427" s="76"/>
      <c r="AZ427" s="88">
        <f t="shared" si="12"/>
        <v>0</v>
      </c>
      <c r="BX427" s="88"/>
      <c r="CQ427" s="88"/>
    </row>
    <row r="428" spans="1:95" outlineLevel="1" x14ac:dyDescent="0.15">
      <c r="A428" s="76">
        <v>428</v>
      </c>
      <c r="B428" s="65" t="s">
        <v>930</v>
      </c>
      <c r="C428" s="65" t="s">
        <v>931</v>
      </c>
      <c r="D428" s="81" t="str">
        <f t="shared" si="13"/>
        <v>https://portal.dnb.de/opac.htm?method=simpleSearch&amp;cqlMode=true&amp;query=idn%3D106667051X</v>
      </c>
      <c r="E428" s="65" t="s">
        <v>932</v>
      </c>
      <c r="F428" s="76"/>
      <c r="G428" s="78"/>
      <c r="H428" s="76" t="s">
        <v>50</v>
      </c>
      <c r="I428" s="78"/>
      <c r="J428" s="78"/>
      <c r="K428" s="76"/>
      <c r="L428" s="76"/>
      <c r="M428" s="76"/>
      <c r="N428" s="76"/>
      <c r="O428" s="76"/>
      <c r="P428" s="76"/>
      <c r="Q428" s="76"/>
      <c r="R428" s="76"/>
      <c r="X428" s="84" t="s">
        <v>2700</v>
      </c>
      <c r="AA428" s="84" t="s">
        <v>2642</v>
      </c>
      <c r="AG428" s="84" t="s">
        <v>2643</v>
      </c>
      <c r="AU428" s="84">
        <v>180</v>
      </c>
      <c r="AY428" s="86" t="s">
        <v>2651</v>
      </c>
      <c r="AZ428" s="88">
        <f t="shared" si="12"/>
        <v>0</v>
      </c>
      <c r="BE428" s="84" t="s">
        <v>2541</v>
      </c>
      <c r="BX428" s="88"/>
      <c r="CQ428" s="88"/>
    </row>
    <row r="429" spans="1:95" outlineLevel="1" x14ac:dyDescent="0.15">
      <c r="A429" s="76">
        <v>429</v>
      </c>
      <c r="B429" s="65" t="s">
        <v>933</v>
      </c>
      <c r="C429" s="65">
        <v>1001772008</v>
      </c>
      <c r="D429" s="81" t="str">
        <f t="shared" si="13"/>
        <v>https://portal.dnb.de/opac.htm?method=simpleSearch&amp;cqlMode=true&amp;query=idn%3D1001772008</v>
      </c>
      <c r="E429" s="65" t="s">
        <v>934</v>
      </c>
      <c r="F429" s="76"/>
      <c r="G429" s="78"/>
      <c r="H429" s="76" t="s">
        <v>50</v>
      </c>
      <c r="I429" s="78"/>
      <c r="J429" s="78"/>
      <c r="K429" s="76"/>
      <c r="L429" s="76"/>
      <c r="M429" s="76"/>
      <c r="N429" s="76"/>
      <c r="O429" s="76"/>
      <c r="P429" s="76"/>
      <c r="Q429" s="76"/>
      <c r="R429" s="76"/>
      <c r="X429" s="84" t="s">
        <v>2695</v>
      </c>
      <c r="AG429" s="84" t="s">
        <v>2643</v>
      </c>
      <c r="AU429" s="84" t="s">
        <v>2650</v>
      </c>
      <c r="AY429" s="86" t="s">
        <v>2651</v>
      </c>
      <c r="AZ429" s="88">
        <f t="shared" si="12"/>
        <v>0</v>
      </c>
      <c r="BE429" s="84" t="s">
        <v>2541</v>
      </c>
      <c r="BX429" s="88"/>
      <c r="CQ429" s="88"/>
    </row>
    <row r="430" spans="1:95" outlineLevel="1" x14ac:dyDescent="0.15">
      <c r="A430" s="76">
        <v>430</v>
      </c>
      <c r="B430" s="65" t="s">
        <v>935</v>
      </c>
      <c r="C430" s="65">
        <v>997608625</v>
      </c>
      <c r="D430" s="81" t="str">
        <f t="shared" si="13"/>
        <v>https://portal.dnb.de/opac.htm?method=simpleSearch&amp;cqlMode=true&amp;query=idn%3D997608625</v>
      </c>
      <c r="E430" s="65" t="s">
        <v>936</v>
      </c>
      <c r="F430" s="76"/>
      <c r="G430" s="78" t="s">
        <v>44</v>
      </c>
      <c r="H430" s="76" t="s">
        <v>50</v>
      </c>
      <c r="I430" s="78" t="s">
        <v>55</v>
      </c>
      <c r="J430" s="78"/>
      <c r="K430" s="76"/>
      <c r="L430" s="76" t="s">
        <v>30</v>
      </c>
      <c r="M430" s="76" t="s">
        <v>2538</v>
      </c>
      <c r="N430" s="76">
        <v>0</v>
      </c>
      <c r="O430" s="76"/>
      <c r="P430" s="76"/>
      <c r="Q430" s="76"/>
      <c r="R430" s="76"/>
      <c r="X430" s="84" t="s">
        <v>2695</v>
      </c>
      <c r="AG430" s="84" t="s">
        <v>2643</v>
      </c>
      <c r="AU430" s="84" t="s">
        <v>2650</v>
      </c>
      <c r="AY430" s="86" t="s">
        <v>2651</v>
      </c>
      <c r="AZ430" s="88">
        <f t="shared" si="12"/>
        <v>0</v>
      </c>
      <c r="BE430" s="84" t="s">
        <v>2541</v>
      </c>
      <c r="BH430" s="79" t="s">
        <v>2989</v>
      </c>
      <c r="BX430" s="88"/>
      <c r="CQ430" s="88"/>
    </row>
    <row r="431" spans="1:95" outlineLevel="1" x14ac:dyDescent="0.15">
      <c r="A431" s="76">
        <v>431</v>
      </c>
      <c r="B431" s="65" t="s">
        <v>937</v>
      </c>
      <c r="C431" s="65">
        <v>995382867</v>
      </c>
      <c r="D431" s="81" t="str">
        <f t="shared" si="13"/>
        <v>https://portal.dnb.de/opac.htm?method=simpleSearch&amp;cqlMode=true&amp;query=idn%3D995382867</v>
      </c>
      <c r="E431" s="65" t="s">
        <v>938</v>
      </c>
      <c r="F431" s="76"/>
      <c r="G431" s="78" t="s">
        <v>17</v>
      </c>
      <c r="H431" s="76" t="s">
        <v>50</v>
      </c>
      <c r="I431" s="78" t="s">
        <v>55</v>
      </c>
      <c r="J431" s="78"/>
      <c r="K431" s="76"/>
      <c r="L431" s="76" t="s">
        <v>30</v>
      </c>
      <c r="M431" s="76" t="s">
        <v>37</v>
      </c>
      <c r="N431" s="76">
        <v>3</v>
      </c>
      <c r="O431" s="76"/>
      <c r="P431" s="76" t="s">
        <v>2582</v>
      </c>
      <c r="Q431" s="76"/>
      <c r="R431" s="76"/>
      <c r="X431" s="84" t="s">
        <v>2695</v>
      </c>
      <c r="Z431" s="84" t="s">
        <v>2541</v>
      </c>
      <c r="AG431" s="84" t="s">
        <v>2643</v>
      </c>
      <c r="AU431" s="84" t="s">
        <v>2650</v>
      </c>
      <c r="AY431" s="86" t="s">
        <v>2651</v>
      </c>
      <c r="AZ431" s="88">
        <f t="shared" si="12"/>
        <v>0</v>
      </c>
      <c r="BE431" s="84" t="s">
        <v>2541</v>
      </c>
      <c r="BH431" s="79" t="s">
        <v>2990</v>
      </c>
      <c r="BX431" s="88"/>
      <c r="CQ431" s="88"/>
    </row>
    <row r="432" spans="1:95" outlineLevel="1" x14ac:dyDescent="0.15">
      <c r="A432" s="76">
        <v>432</v>
      </c>
      <c r="B432" s="65" t="s">
        <v>939</v>
      </c>
      <c r="C432" s="65">
        <v>1207511412</v>
      </c>
      <c r="D432" s="81" t="str">
        <f t="shared" si="13"/>
        <v>https://portal.dnb.de/opac.htm?method=simpleSearch&amp;cqlMode=true&amp;query=idn%3D1207511412</v>
      </c>
      <c r="E432" s="65" t="s">
        <v>940</v>
      </c>
      <c r="F432" s="76"/>
      <c r="G432" s="78"/>
      <c r="H432" s="76" t="s">
        <v>50</v>
      </c>
      <c r="I432" s="78"/>
      <c r="J432" s="78"/>
      <c r="K432" s="76"/>
      <c r="L432" s="76"/>
      <c r="M432" s="76"/>
      <c r="N432" s="76"/>
      <c r="O432" s="76"/>
      <c r="P432" s="76"/>
      <c r="Q432" s="76"/>
      <c r="R432" s="76"/>
      <c r="X432" s="84" t="s">
        <v>2695</v>
      </c>
      <c r="Z432" s="84" t="s">
        <v>2541</v>
      </c>
      <c r="AG432" s="84" t="s">
        <v>2643</v>
      </c>
      <c r="AU432" s="84" t="s">
        <v>2650</v>
      </c>
      <c r="AY432" s="86" t="s">
        <v>2651</v>
      </c>
      <c r="AZ432" s="88">
        <f t="shared" si="12"/>
        <v>0</v>
      </c>
      <c r="BX432" s="88"/>
      <c r="CQ432" s="88"/>
    </row>
    <row r="433" spans="1:95" outlineLevel="1" x14ac:dyDescent="0.15">
      <c r="A433" s="76">
        <v>433</v>
      </c>
      <c r="B433" s="65" t="s">
        <v>941</v>
      </c>
      <c r="C433" s="65">
        <v>1207511900</v>
      </c>
      <c r="D433" s="81" t="str">
        <f t="shared" si="13"/>
        <v>https://portal.dnb.de/opac.htm?method=simpleSearch&amp;cqlMode=true&amp;query=idn%3D1207511900</v>
      </c>
      <c r="E433" s="65" t="s">
        <v>942</v>
      </c>
      <c r="F433" s="76"/>
      <c r="G433" s="78"/>
      <c r="H433" s="76" t="s">
        <v>50</v>
      </c>
      <c r="I433" s="78"/>
      <c r="J433" s="78"/>
      <c r="K433" s="76"/>
      <c r="L433" s="76"/>
      <c r="M433" s="76"/>
      <c r="N433" s="76"/>
      <c r="O433" s="76"/>
      <c r="P433" s="76"/>
      <c r="Q433" s="76"/>
      <c r="R433" s="76"/>
      <c r="X433" s="84" t="s">
        <v>2695</v>
      </c>
      <c r="Z433" s="84" t="s">
        <v>2541</v>
      </c>
      <c r="AG433" s="84" t="s">
        <v>2643</v>
      </c>
      <c r="AU433" s="84" t="s">
        <v>2650</v>
      </c>
      <c r="AY433" s="86" t="s">
        <v>2651</v>
      </c>
      <c r="AZ433" s="88">
        <f t="shared" si="12"/>
        <v>0</v>
      </c>
      <c r="BX433" s="88"/>
      <c r="CQ433" s="88"/>
    </row>
    <row r="434" spans="1:95" outlineLevel="1" x14ac:dyDescent="0.15">
      <c r="A434" s="76">
        <v>434</v>
      </c>
      <c r="B434" s="65" t="s">
        <v>943</v>
      </c>
      <c r="C434" s="65">
        <v>996943757</v>
      </c>
      <c r="D434" s="81" t="str">
        <f t="shared" si="13"/>
        <v>https://portal.dnb.de/opac.htm?method=simpleSearch&amp;cqlMode=true&amp;query=idn%3D996943757</v>
      </c>
      <c r="E434" s="65" t="s">
        <v>944</v>
      </c>
      <c r="F434" s="76"/>
      <c r="G434" s="78" t="s">
        <v>102</v>
      </c>
      <c r="H434" s="76" t="s">
        <v>50</v>
      </c>
      <c r="I434" s="78" t="s">
        <v>55</v>
      </c>
      <c r="J434" s="78"/>
      <c r="K434" s="76"/>
      <c r="L434" s="76" t="s">
        <v>30</v>
      </c>
      <c r="M434" s="76" t="s">
        <v>37</v>
      </c>
      <c r="N434" s="76">
        <v>3</v>
      </c>
      <c r="O434" s="76"/>
      <c r="P434" s="76" t="s">
        <v>2585</v>
      </c>
      <c r="Q434" s="76"/>
      <c r="R434" s="76"/>
      <c r="X434" s="84" t="s">
        <v>2695</v>
      </c>
      <c r="AG434" s="84" t="s">
        <v>2643</v>
      </c>
      <c r="AU434" s="84" t="s">
        <v>2650</v>
      </c>
      <c r="AY434" s="86" t="s">
        <v>2651</v>
      </c>
      <c r="AZ434" s="88">
        <f t="shared" si="12"/>
        <v>0</v>
      </c>
      <c r="BE434" s="84" t="s">
        <v>2541</v>
      </c>
      <c r="BH434" s="79" t="s">
        <v>2992</v>
      </c>
      <c r="BI434" s="63" t="s">
        <v>2820</v>
      </c>
      <c r="BX434" s="88"/>
      <c r="CQ434" s="88"/>
    </row>
    <row r="435" spans="1:95" outlineLevel="1" x14ac:dyDescent="0.15">
      <c r="A435" s="76">
        <v>435</v>
      </c>
      <c r="B435" s="65" t="s">
        <v>945</v>
      </c>
      <c r="C435" s="65">
        <v>1066964041</v>
      </c>
      <c r="D435" s="81" t="str">
        <f t="shared" si="13"/>
        <v>https://portal.dnb.de/opac.htm?method=simpleSearch&amp;cqlMode=true&amp;query=idn%3D1066964041</v>
      </c>
      <c r="E435" s="65" t="s">
        <v>946</v>
      </c>
      <c r="F435" s="76"/>
      <c r="G435" s="78" t="s">
        <v>46</v>
      </c>
      <c r="H435" s="76" t="s">
        <v>50</v>
      </c>
      <c r="I435" s="78" t="s">
        <v>55</v>
      </c>
      <c r="J435" s="78" t="s">
        <v>81</v>
      </c>
      <c r="K435" s="76"/>
      <c r="L435" s="76"/>
      <c r="M435" s="76" t="s">
        <v>101</v>
      </c>
      <c r="N435" s="76">
        <v>0</v>
      </c>
      <c r="O435" s="76"/>
      <c r="P435" s="76"/>
      <c r="Q435" s="76"/>
      <c r="R435" s="76"/>
      <c r="AZ435" s="88">
        <f t="shared" si="12"/>
        <v>0</v>
      </c>
      <c r="BX435" s="88"/>
      <c r="CQ435" s="88"/>
    </row>
    <row r="436" spans="1:95" outlineLevel="1" x14ac:dyDescent="0.15">
      <c r="A436" s="76">
        <v>436</v>
      </c>
      <c r="B436" s="65" t="s">
        <v>947</v>
      </c>
      <c r="C436" s="65">
        <v>1066956820</v>
      </c>
      <c r="D436" s="81" t="str">
        <f t="shared" si="13"/>
        <v>https://portal.dnb.de/opac.htm?method=simpleSearch&amp;cqlMode=true&amp;query=idn%3D1066956820</v>
      </c>
      <c r="E436" s="65" t="s">
        <v>948</v>
      </c>
      <c r="F436" s="76" t="s">
        <v>89</v>
      </c>
      <c r="G436" s="78" t="s">
        <v>45</v>
      </c>
      <c r="H436" s="76" t="s">
        <v>50</v>
      </c>
      <c r="I436" s="78" t="s">
        <v>55</v>
      </c>
      <c r="J436" s="78"/>
      <c r="K436" s="76"/>
      <c r="L436" s="76" t="s">
        <v>35</v>
      </c>
      <c r="M436" s="76" t="s">
        <v>37</v>
      </c>
      <c r="N436" s="76">
        <v>0</v>
      </c>
      <c r="O436" s="76"/>
      <c r="P436" s="76"/>
      <c r="Q436" s="76"/>
      <c r="R436" s="76"/>
      <c r="AZ436" s="88">
        <f t="shared" si="12"/>
        <v>0</v>
      </c>
      <c r="BX436" s="88"/>
      <c r="CQ436" s="88"/>
    </row>
    <row r="437" spans="1:95" ht="22.5" outlineLevel="1" x14ac:dyDescent="0.15">
      <c r="A437" s="76">
        <v>437</v>
      </c>
      <c r="B437" s="65" t="s">
        <v>949</v>
      </c>
      <c r="C437" s="65">
        <v>1002109116</v>
      </c>
      <c r="D437" s="81" t="str">
        <f t="shared" si="13"/>
        <v>https://portal.dnb.de/opac.htm?method=simpleSearch&amp;cqlMode=true&amp;query=idn%3D1002109116</v>
      </c>
      <c r="E437" s="65" t="s">
        <v>950</v>
      </c>
      <c r="F437" s="76"/>
      <c r="G437" s="78" t="s">
        <v>17</v>
      </c>
      <c r="H437" s="76" t="s">
        <v>50</v>
      </c>
      <c r="I437" s="78" t="s">
        <v>90</v>
      </c>
      <c r="J437" s="78" t="s">
        <v>2571</v>
      </c>
      <c r="K437" s="76"/>
      <c r="L437" s="76" t="s">
        <v>33</v>
      </c>
      <c r="M437" s="76" t="s">
        <v>36</v>
      </c>
      <c r="N437" s="76">
        <v>0</v>
      </c>
      <c r="O437" s="76"/>
      <c r="P437" s="76"/>
      <c r="Q437" s="76"/>
      <c r="R437" s="76"/>
      <c r="AZ437" s="88">
        <f t="shared" si="12"/>
        <v>0</v>
      </c>
      <c r="BX437" s="88"/>
      <c r="CQ437" s="88"/>
    </row>
    <row r="438" spans="1:95" outlineLevel="1" x14ac:dyDescent="0.15">
      <c r="A438" s="76">
        <v>438</v>
      </c>
      <c r="B438" s="65" t="s">
        <v>951</v>
      </c>
      <c r="C438" s="65">
        <v>1003453864</v>
      </c>
      <c r="D438" s="81" t="str">
        <f>HYPERLINK(CONCATENATE("https://portal.dnb.de/opac.htm?method=simpleSearch&amp;cqlMode=true&amp;query=idn%3D",C438))</f>
        <v>https://portal.dnb.de/opac.htm?method=simpleSearch&amp;cqlMode=true&amp;query=idn%3D1003453864</v>
      </c>
      <c r="E438" s="65" t="s">
        <v>952</v>
      </c>
      <c r="F438" s="76"/>
      <c r="G438" s="78" t="s">
        <v>46</v>
      </c>
      <c r="H438" s="76" t="s">
        <v>50</v>
      </c>
      <c r="I438" s="78" t="s">
        <v>55</v>
      </c>
      <c r="J438" s="78" t="s">
        <v>81</v>
      </c>
      <c r="K438" s="76"/>
      <c r="L438" s="76"/>
      <c r="M438" s="76"/>
      <c r="N438" s="76">
        <v>0</v>
      </c>
      <c r="O438" s="76"/>
      <c r="P438" s="76"/>
      <c r="Q438" s="76"/>
      <c r="R438" s="76"/>
      <c r="AZ438" s="88">
        <f t="shared" si="12"/>
        <v>0</v>
      </c>
      <c r="BX438" s="88"/>
      <c r="CQ438" s="88"/>
    </row>
    <row r="439" spans="1:95" outlineLevel="1" x14ac:dyDescent="0.15">
      <c r="A439" s="76">
        <v>439</v>
      </c>
      <c r="B439" s="65" t="s">
        <v>953</v>
      </c>
      <c r="C439" s="65">
        <v>996037756</v>
      </c>
      <c r="D439" s="81" t="str">
        <f>HYPERLINK(CONCATENATE("https://portal.dnb.de/opac.htm?method=simpleSearch&amp;cqlMode=true&amp;query=idn%3D",C439))</f>
        <v>https://portal.dnb.de/opac.htm?method=simpleSearch&amp;cqlMode=true&amp;query=idn%3D996037756</v>
      </c>
      <c r="E439" s="65" t="s">
        <v>954</v>
      </c>
      <c r="F439" s="76"/>
      <c r="G439" s="78" t="s">
        <v>44</v>
      </c>
      <c r="H439" s="76" t="s">
        <v>50</v>
      </c>
      <c r="I439" s="78" t="s">
        <v>55</v>
      </c>
      <c r="J439" s="78"/>
      <c r="K439" s="76"/>
      <c r="L439" s="76" t="s">
        <v>30</v>
      </c>
      <c r="M439" s="76" t="s">
        <v>37</v>
      </c>
      <c r="N439" s="76">
        <v>1</v>
      </c>
      <c r="O439" s="76"/>
      <c r="P439" s="76"/>
      <c r="Q439" s="76"/>
      <c r="R439" s="76"/>
      <c r="X439" s="84" t="s">
        <v>2695</v>
      </c>
      <c r="AG439" s="84" t="s">
        <v>2643</v>
      </c>
      <c r="AU439" s="84" t="s">
        <v>2650</v>
      </c>
      <c r="AY439" s="86" t="s">
        <v>2651</v>
      </c>
      <c r="AZ439" s="88">
        <f t="shared" si="12"/>
        <v>0</v>
      </c>
      <c r="BE439" s="84" t="s">
        <v>2541</v>
      </c>
      <c r="BX439" s="88"/>
      <c r="CQ439" s="88"/>
    </row>
    <row r="440" spans="1:95" outlineLevel="1" x14ac:dyDescent="0.15">
      <c r="A440" s="76">
        <v>440</v>
      </c>
      <c r="B440" s="65" t="s">
        <v>955</v>
      </c>
      <c r="C440" s="65">
        <v>1066673780</v>
      </c>
      <c r="D440" s="81" t="str">
        <f>HYPERLINK(CONCATENATE("https://portal.dnb.de/opac.htm?method=simpleSearch&amp;cqlMode=true&amp;query=idn%3D",C440))</f>
        <v>https://portal.dnb.de/opac.htm?method=simpleSearch&amp;cqlMode=true&amp;query=idn%3D1066673780</v>
      </c>
      <c r="E440" s="65" t="s">
        <v>956</v>
      </c>
      <c r="F440" s="76" t="s">
        <v>89</v>
      </c>
      <c r="G440" s="78" t="s">
        <v>44</v>
      </c>
      <c r="H440" s="76" t="s">
        <v>50</v>
      </c>
      <c r="I440" s="78" t="s">
        <v>90</v>
      </c>
      <c r="J440" s="78" t="s">
        <v>59</v>
      </c>
      <c r="K440" s="76"/>
      <c r="L440" s="76" t="s">
        <v>30</v>
      </c>
      <c r="M440" s="76" t="s">
        <v>37</v>
      </c>
      <c r="N440" s="76">
        <v>0</v>
      </c>
      <c r="O440" s="76"/>
      <c r="P440" s="76"/>
      <c r="Q440" s="76"/>
      <c r="R440" s="76"/>
      <c r="X440" s="84" t="s">
        <v>2700</v>
      </c>
      <c r="AA440" s="84" t="s">
        <v>2642</v>
      </c>
      <c r="AG440" s="84" t="s">
        <v>2643</v>
      </c>
      <c r="AU440" s="84" t="s">
        <v>2650</v>
      </c>
      <c r="AY440" s="86" t="s">
        <v>2651</v>
      </c>
      <c r="AZ440" s="88">
        <f t="shared" si="12"/>
        <v>0</v>
      </c>
      <c r="BE440" s="84" t="s">
        <v>2541</v>
      </c>
      <c r="BH440" s="79" t="s">
        <v>2962</v>
      </c>
      <c r="BX440" s="88"/>
      <c r="CQ440" s="88"/>
    </row>
    <row r="441" spans="1:95" ht="33.75" outlineLevel="1" x14ac:dyDescent="0.15">
      <c r="A441" s="76">
        <v>441</v>
      </c>
      <c r="B441" s="65" t="s">
        <v>957</v>
      </c>
      <c r="C441" s="65">
        <v>999173235</v>
      </c>
      <c r="D441" s="81" t="str">
        <f>HYPERLINK(CONCATENATE("https://portal.dnb.de/opac.htm?method=simpleSearch&amp;cqlMode=true&amp;query=idn%3D",C441))</f>
        <v>https://portal.dnb.de/opac.htm?method=simpleSearch&amp;cqlMode=true&amp;query=idn%3D999173235</v>
      </c>
      <c r="E441" s="65" t="s">
        <v>958</v>
      </c>
      <c r="F441" s="76"/>
      <c r="G441" s="78" t="s">
        <v>2510</v>
      </c>
      <c r="H441" s="76" t="s">
        <v>50</v>
      </c>
      <c r="I441" s="78" t="s">
        <v>90</v>
      </c>
      <c r="J441" s="78" t="s">
        <v>2513</v>
      </c>
      <c r="K441" s="76"/>
      <c r="L441" s="76" t="s">
        <v>35</v>
      </c>
      <c r="M441" s="76" t="s">
        <v>37</v>
      </c>
      <c r="N441" s="76">
        <v>0</v>
      </c>
      <c r="O441" s="76"/>
      <c r="P441" s="76"/>
      <c r="Q441" s="76"/>
      <c r="R441" s="76"/>
      <c r="AZ441" s="88">
        <f t="shared" si="12"/>
        <v>0</v>
      </c>
      <c r="BX441" s="88"/>
      <c r="CQ441" s="88"/>
    </row>
    <row r="442" spans="1:95" outlineLevel="1" x14ac:dyDescent="0.15">
      <c r="A442" s="76">
        <v>442</v>
      </c>
      <c r="B442" s="65" t="s">
        <v>959</v>
      </c>
      <c r="C442" s="65">
        <v>999173472</v>
      </c>
      <c r="D442" s="81" t="str">
        <f>HYPERLINK(CONCATENATE("https://portal.dnb.de/opac.htm?method=simpleSearch&amp;cqlMode=true&amp;query=idn%3D",C442))</f>
        <v>https://portal.dnb.de/opac.htm?method=simpleSearch&amp;cqlMode=true&amp;query=idn%3D999173472</v>
      </c>
      <c r="E442" s="65" t="s">
        <v>960</v>
      </c>
      <c r="F442" s="76"/>
      <c r="G442" s="78" t="s">
        <v>46</v>
      </c>
      <c r="H442" s="76" t="s">
        <v>50</v>
      </c>
      <c r="I442" s="78" t="s">
        <v>90</v>
      </c>
      <c r="J442" s="78" t="s">
        <v>81</v>
      </c>
      <c r="K442" s="76"/>
      <c r="L442" s="76"/>
      <c r="M442" s="76"/>
      <c r="N442" s="76">
        <v>0</v>
      </c>
      <c r="O442" s="76"/>
      <c r="P442" s="76"/>
      <c r="Q442" s="76"/>
      <c r="R442" s="76"/>
      <c r="AZ442" s="88">
        <f t="shared" si="12"/>
        <v>0</v>
      </c>
      <c r="BX442" s="88"/>
      <c r="CQ442" s="88"/>
    </row>
    <row r="443" spans="1:95" outlineLevel="1" x14ac:dyDescent="0.15">
      <c r="A443" s="76">
        <v>443</v>
      </c>
      <c r="B443" s="65" t="s">
        <v>961</v>
      </c>
      <c r="C443" s="65">
        <v>999424467</v>
      </c>
      <c r="D443" s="81" t="str">
        <f t="shared" si="13"/>
        <v>https://portal.dnb.de/opac.htm?method=simpleSearch&amp;cqlMode=true&amp;query=idn%3D999424467</v>
      </c>
      <c r="E443" s="65" t="s">
        <v>962</v>
      </c>
      <c r="F443" s="76" t="s">
        <v>89</v>
      </c>
      <c r="G443" s="78" t="s">
        <v>46</v>
      </c>
      <c r="H443" s="76" t="s">
        <v>50</v>
      </c>
      <c r="I443" s="78" t="s">
        <v>90</v>
      </c>
      <c r="J443" s="78"/>
      <c r="K443" s="76"/>
      <c r="L443" s="76" t="s">
        <v>30</v>
      </c>
      <c r="M443" s="76" t="s">
        <v>37</v>
      </c>
      <c r="N443" s="76">
        <v>0</v>
      </c>
      <c r="O443" s="76"/>
      <c r="P443" s="76" t="s">
        <v>2573</v>
      </c>
      <c r="Q443" s="76"/>
      <c r="R443" s="76"/>
      <c r="AZ443" s="88">
        <f t="shared" si="12"/>
        <v>0</v>
      </c>
      <c r="BX443" s="88"/>
      <c r="CQ443" s="88"/>
    </row>
    <row r="444" spans="1:95" outlineLevel="1" x14ac:dyDescent="0.15">
      <c r="A444" s="76">
        <v>444</v>
      </c>
      <c r="B444" s="65" t="s">
        <v>963</v>
      </c>
      <c r="C444" s="65">
        <v>1003702910</v>
      </c>
      <c r="D444" s="81" t="str">
        <f t="shared" ref="D444:D449" si="14">HYPERLINK(CONCATENATE("https://portal.dnb.de/opac.htm?method=simpleSearch&amp;cqlMode=true&amp;query=idn%3D",C444))</f>
        <v>https://portal.dnb.de/opac.htm?method=simpleSearch&amp;cqlMode=true&amp;query=idn%3D1003702910</v>
      </c>
      <c r="E444" s="65" t="s">
        <v>964</v>
      </c>
      <c r="F444" s="76"/>
      <c r="G444" s="78" t="s">
        <v>46</v>
      </c>
      <c r="H444" s="76" t="s">
        <v>50</v>
      </c>
      <c r="I444" s="78" t="s">
        <v>55</v>
      </c>
      <c r="J444" s="78" t="s">
        <v>81</v>
      </c>
      <c r="K444" s="76"/>
      <c r="L444" s="76"/>
      <c r="M444" s="76"/>
      <c r="N444" s="76">
        <v>0</v>
      </c>
      <c r="O444" s="76"/>
      <c r="P444" s="76"/>
      <c r="Q444" s="76"/>
      <c r="R444" s="76"/>
      <c r="AZ444" s="88">
        <f t="shared" si="12"/>
        <v>0</v>
      </c>
      <c r="BX444" s="88"/>
      <c r="CQ444" s="88"/>
    </row>
    <row r="445" spans="1:95" outlineLevel="1" x14ac:dyDescent="0.15">
      <c r="A445" s="76">
        <v>445</v>
      </c>
      <c r="B445" s="65" t="s">
        <v>965</v>
      </c>
      <c r="C445" s="65">
        <v>999173707</v>
      </c>
      <c r="D445" s="81" t="str">
        <f t="shared" si="14"/>
        <v>https://portal.dnb.de/opac.htm?method=simpleSearch&amp;cqlMode=true&amp;query=idn%3D999173707</v>
      </c>
      <c r="E445" s="65" t="s">
        <v>966</v>
      </c>
      <c r="F445" s="76"/>
      <c r="G445" s="78" t="s">
        <v>46</v>
      </c>
      <c r="H445" s="76" t="s">
        <v>50</v>
      </c>
      <c r="I445" s="78" t="s">
        <v>90</v>
      </c>
      <c r="J445" s="78" t="s">
        <v>2509</v>
      </c>
      <c r="K445" s="76"/>
      <c r="L445" s="76"/>
      <c r="M445" s="76"/>
      <c r="N445" s="76">
        <v>0</v>
      </c>
      <c r="O445" s="76"/>
      <c r="P445" s="76"/>
      <c r="Q445" s="76"/>
      <c r="R445" s="76"/>
      <c r="AZ445" s="88">
        <f t="shared" si="12"/>
        <v>0</v>
      </c>
      <c r="BX445" s="88"/>
      <c r="CQ445" s="88"/>
    </row>
    <row r="446" spans="1:95" outlineLevel="1" x14ac:dyDescent="0.15">
      <c r="A446" s="76">
        <v>446</v>
      </c>
      <c r="B446" s="65" t="s">
        <v>967</v>
      </c>
      <c r="C446" s="65">
        <v>1003272215</v>
      </c>
      <c r="D446" s="81" t="str">
        <f t="shared" si="14"/>
        <v>https://portal.dnb.de/opac.htm?method=simpleSearch&amp;cqlMode=true&amp;query=idn%3D1003272215</v>
      </c>
      <c r="E446" s="65" t="s">
        <v>968</v>
      </c>
      <c r="F446" s="76"/>
      <c r="G446" s="78"/>
      <c r="H446" s="76"/>
      <c r="I446" s="78"/>
      <c r="J446" s="78"/>
      <c r="K446" s="76"/>
      <c r="L446" s="76"/>
      <c r="M446" s="76"/>
      <c r="N446" s="76"/>
      <c r="O446" s="76"/>
      <c r="P446" s="76"/>
      <c r="Q446" s="76"/>
      <c r="R446" s="76"/>
      <c r="AZ446" s="88">
        <f t="shared" si="12"/>
        <v>0</v>
      </c>
      <c r="BX446" s="88"/>
      <c r="CQ446" s="88"/>
    </row>
    <row r="447" spans="1:95" ht="22.5" outlineLevel="1" x14ac:dyDescent="0.15">
      <c r="A447" s="76">
        <v>447</v>
      </c>
      <c r="B447" s="65" t="s">
        <v>969</v>
      </c>
      <c r="C447" s="65">
        <v>999170414</v>
      </c>
      <c r="D447" s="81" t="str">
        <f t="shared" si="14"/>
        <v>https://portal.dnb.de/opac.htm?method=simpleSearch&amp;cqlMode=true&amp;query=idn%3D999170414</v>
      </c>
      <c r="E447" s="65" t="s">
        <v>968</v>
      </c>
      <c r="F447" s="76" t="s">
        <v>89</v>
      </c>
      <c r="G447" s="78" t="s">
        <v>2510</v>
      </c>
      <c r="H447" s="76" t="s">
        <v>50</v>
      </c>
      <c r="I447" s="78" t="s">
        <v>90</v>
      </c>
      <c r="J447" s="78" t="s">
        <v>2515</v>
      </c>
      <c r="K447" s="76"/>
      <c r="L447" s="76" t="s">
        <v>35</v>
      </c>
      <c r="M447" s="76" t="s">
        <v>2538</v>
      </c>
      <c r="N447" s="76">
        <v>0</v>
      </c>
      <c r="O447" s="76"/>
      <c r="P447" s="76"/>
      <c r="Q447" s="76"/>
      <c r="R447" s="76"/>
      <c r="AZ447" s="88">
        <f t="shared" si="12"/>
        <v>0</v>
      </c>
      <c r="BX447" s="88"/>
      <c r="CQ447" s="88"/>
    </row>
    <row r="448" spans="1:95" outlineLevel="1" x14ac:dyDescent="0.15">
      <c r="A448" s="76">
        <v>448</v>
      </c>
      <c r="B448" s="65" t="s">
        <v>970</v>
      </c>
      <c r="C448" s="65">
        <v>993888828</v>
      </c>
      <c r="D448" s="81" t="str">
        <f t="shared" si="14"/>
        <v>https://portal.dnb.de/opac.htm?method=simpleSearch&amp;cqlMode=true&amp;query=idn%3D993888828</v>
      </c>
      <c r="E448" s="65" t="s">
        <v>2572</v>
      </c>
      <c r="F448" s="76"/>
      <c r="G448" s="78"/>
      <c r="H448" s="76"/>
      <c r="I448" s="78"/>
      <c r="J448" s="78"/>
      <c r="K448" s="76"/>
      <c r="L448" s="76"/>
      <c r="M448" s="76"/>
      <c r="N448" s="76"/>
      <c r="O448" s="76"/>
      <c r="P448" s="76"/>
      <c r="Q448" s="76"/>
      <c r="R448" s="76"/>
      <c r="AZ448" s="88">
        <f t="shared" ref="AZ448:AZ511" si="15">BX448+CQ448</f>
        <v>0</v>
      </c>
      <c r="BX448" s="88"/>
      <c r="CQ448" s="88"/>
    </row>
    <row r="449" spans="1:95" outlineLevel="1" x14ac:dyDescent="0.15">
      <c r="A449" s="76">
        <v>449</v>
      </c>
      <c r="B449" s="65" t="s">
        <v>971</v>
      </c>
      <c r="C449" s="65">
        <v>1003325297</v>
      </c>
      <c r="D449" s="81" t="str">
        <f t="shared" si="14"/>
        <v>https://portal.dnb.de/opac.htm?method=simpleSearch&amp;cqlMode=true&amp;query=idn%3D1003325297</v>
      </c>
      <c r="E449" s="65" t="s">
        <v>972</v>
      </c>
      <c r="F449" s="76"/>
      <c r="G449" s="78" t="s">
        <v>46</v>
      </c>
      <c r="H449" s="76" t="s">
        <v>50</v>
      </c>
      <c r="I449" s="78" t="s">
        <v>55</v>
      </c>
      <c r="J449" s="78"/>
      <c r="K449" s="76"/>
      <c r="L449" s="76" t="s">
        <v>30</v>
      </c>
      <c r="M449" s="76" t="s">
        <v>37</v>
      </c>
      <c r="N449" s="76">
        <v>0</v>
      </c>
      <c r="O449" s="76"/>
      <c r="P449" s="76" t="s">
        <v>2573</v>
      </c>
      <c r="Q449" s="76"/>
      <c r="R449" s="76"/>
      <c r="X449" s="84" t="s">
        <v>2695</v>
      </c>
      <c r="AG449" s="84" t="s">
        <v>2643</v>
      </c>
      <c r="AU449" s="84">
        <v>180</v>
      </c>
      <c r="AY449" s="86" t="s">
        <v>2651</v>
      </c>
      <c r="AZ449" s="88">
        <f t="shared" si="15"/>
        <v>0</v>
      </c>
      <c r="BE449" s="84" t="s">
        <v>2541</v>
      </c>
      <c r="BH449" s="79" t="s">
        <v>2996</v>
      </c>
      <c r="BX449" s="88"/>
      <c r="CQ449" s="88"/>
    </row>
    <row r="450" spans="1:95" outlineLevel="1" x14ac:dyDescent="0.15">
      <c r="A450" s="76">
        <v>450</v>
      </c>
      <c r="B450" s="65" t="s">
        <v>973</v>
      </c>
      <c r="C450" s="65">
        <v>997214228</v>
      </c>
      <c r="D450" s="81" t="str">
        <f t="shared" si="13"/>
        <v>https://portal.dnb.de/opac.htm?method=simpleSearch&amp;cqlMode=true&amp;query=idn%3D997214228</v>
      </c>
      <c r="E450" s="65" t="s">
        <v>974</v>
      </c>
      <c r="F450" s="76"/>
      <c r="G450" s="78" t="s">
        <v>46</v>
      </c>
      <c r="H450" s="76" t="s">
        <v>50</v>
      </c>
      <c r="I450" s="78" t="s">
        <v>55</v>
      </c>
      <c r="J450" s="78" t="s">
        <v>81</v>
      </c>
      <c r="K450" s="76"/>
      <c r="L450" s="76"/>
      <c r="M450" s="76"/>
      <c r="N450" s="76">
        <v>0</v>
      </c>
      <c r="O450" s="76"/>
      <c r="P450" s="76"/>
      <c r="Q450" s="76"/>
      <c r="R450" s="76"/>
      <c r="X450" s="84" t="s">
        <v>2696</v>
      </c>
      <c r="Z450" s="84" t="s">
        <v>2541</v>
      </c>
      <c r="AA450" s="84" t="s">
        <v>2647</v>
      </c>
      <c r="AG450" s="84" t="s">
        <v>2643</v>
      </c>
      <c r="AU450" s="84">
        <v>110</v>
      </c>
      <c r="AY450" s="86" t="s">
        <v>2651</v>
      </c>
      <c r="AZ450" s="88">
        <f t="shared" si="15"/>
        <v>0</v>
      </c>
      <c r="BE450" s="84" t="s">
        <v>2541</v>
      </c>
      <c r="BX450" s="88"/>
      <c r="CQ450" s="88"/>
    </row>
    <row r="451" spans="1:95" outlineLevel="1" x14ac:dyDescent="0.15">
      <c r="A451" s="76">
        <v>451</v>
      </c>
      <c r="B451" s="65" t="s">
        <v>975</v>
      </c>
      <c r="C451" s="65">
        <v>993907032</v>
      </c>
      <c r="D451" s="81" t="str">
        <f>HYPERLINK(CONCATENATE("https://portal.dnb.de/opac.htm?method=simpleSearch&amp;cqlMode=true&amp;query=idn%3D",C451))</f>
        <v>https://portal.dnb.de/opac.htm?method=simpleSearch&amp;cqlMode=true&amp;query=idn%3D993907032</v>
      </c>
      <c r="E451" s="65" t="s">
        <v>976</v>
      </c>
      <c r="F451" s="76"/>
      <c r="G451" s="78"/>
      <c r="H451" s="76" t="s">
        <v>50</v>
      </c>
      <c r="I451" s="78"/>
      <c r="J451" s="78"/>
      <c r="K451" s="76"/>
      <c r="L451" s="76"/>
      <c r="M451" s="76"/>
      <c r="N451" s="76"/>
      <c r="O451" s="76"/>
      <c r="P451" s="76"/>
      <c r="Q451" s="76"/>
      <c r="R451" s="76"/>
      <c r="X451" s="84" t="s">
        <v>2700</v>
      </c>
      <c r="AA451" s="84" t="s">
        <v>2642</v>
      </c>
      <c r="AG451" s="84" t="s">
        <v>2643</v>
      </c>
      <c r="AU451" s="84" t="s">
        <v>2650</v>
      </c>
      <c r="AY451" s="86" t="s">
        <v>2651</v>
      </c>
      <c r="AZ451" s="88">
        <f t="shared" si="15"/>
        <v>0</v>
      </c>
      <c r="BE451" s="84" t="s">
        <v>2541</v>
      </c>
      <c r="BX451" s="88"/>
      <c r="CQ451" s="88"/>
    </row>
    <row r="452" spans="1:95" outlineLevel="1" x14ac:dyDescent="0.15">
      <c r="A452" s="76">
        <v>452</v>
      </c>
      <c r="B452" s="65" t="s">
        <v>977</v>
      </c>
      <c r="C452" s="65">
        <v>1066960062</v>
      </c>
      <c r="D452" s="81" t="str">
        <f t="shared" si="13"/>
        <v>https://portal.dnb.de/opac.htm?method=simpleSearch&amp;cqlMode=true&amp;query=idn%3D1066960062</v>
      </c>
      <c r="E452" s="65" t="s">
        <v>978</v>
      </c>
      <c r="F452" s="76" t="s">
        <v>89</v>
      </c>
      <c r="G452" s="78" t="s">
        <v>17</v>
      </c>
      <c r="H452" s="76" t="s">
        <v>50</v>
      </c>
      <c r="I452" s="78" t="s">
        <v>55</v>
      </c>
      <c r="J452" s="78"/>
      <c r="K452" s="76"/>
      <c r="L452" s="76" t="s">
        <v>30</v>
      </c>
      <c r="M452" s="76" t="s">
        <v>37</v>
      </c>
      <c r="N452" s="76">
        <v>0</v>
      </c>
      <c r="O452" s="76"/>
      <c r="P452" s="76" t="s">
        <v>2573</v>
      </c>
      <c r="Q452" s="76"/>
      <c r="R452" s="76"/>
      <c r="X452" s="84" t="s">
        <v>2695</v>
      </c>
      <c r="AG452" s="84" t="s">
        <v>2643</v>
      </c>
      <c r="AU452" s="84">
        <v>180</v>
      </c>
      <c r="AY452" s="86" t="s">
        <v>2651</v>
      </c>
      <c r="AZ452" s="88">
        <f t="shared" si="15"/>
        <v>0</v>
      </c>
      <c r="BE452" s="84" t="s">
        <v>2541</v>
      </c>
      <c r="BX452" s="88"/>
      <c r="CQ452" s="88"/>
    </row>
    <row r="453" spans="1:95" ht="22.5" outlineLevel="1" x14ac:dyDescent="0.15">
      <c r="A453" s="76"/>
      <c r="B453" s="65"/>
      <c r="C453" s="65"/>
      <c r="D453" s="81"/>
      <c r="E453" s="65" t="s">
        <v>2866</v>
      </c>
      <c r="F453" s="76"/>
      <c r="G453" s="78"/>
      <c r="H453" s="76" t="s">
        <v>51</v>
      </c>
      <c r="I453" s="78"/>
      <c r="J453" s="78"/>
      <c r="K453" s="76"/>
      <c r="L453" s="76"/>
      <c r="M453" s="76"/>
      <c r="N453" s="76"/>
      <c r="O453" s="76"/>
      <c r="P453" s="76"/>
      <c r="Q453" s="76"/>
      <c r="R453" s="76"/>
      <c r="X453" s="84" t="s">
        <v>2641</v>
      </c>
      <c r="Z453" s="84" t="s">
        <v>2541</v>
      </c>
      <c r="AA453" s="84" t="s">
        <v>2642</v>
      </c>
      <c r="AG453" s="84" t="s">
        <v>2643</v>
      </c>
      <c r="AU453" s="84">
        <v>60</v>
      </c>
      <c r="AZ453" s="88">
        <f t="shared" si="15"/>
        <v>1</v>
      </c>
      <c r="BB453" s="84" t="s">
        <v>2807</v>
      </c>
      <c r="BL453" s="84" t="s">
        <v>2541</v>
      </c>
      <c r="BM453" s="84" t="s">
        <v>2541</v>
      </c>
      <c r="BO453" s="84" t="s">
        <v>2677</v>
      </c>
      <c r="BX453" s="88">
        <v>1</v>
      </c>
      <c r="BY453" s="79" t="s">
        <v>2867</v>
      </c>
      <c r="CQ453" s="88"/>
    </row>
    <row r="454" spans="1:95" outlineLevel="1" x14ac:dyDescent="0.15">
      <c r="A454" s="76">
        <v>453</v>
      </c>
      <c r="B454" s="65" t="s">
        <v>979</v>
      </c>
      <c r="C454" s="65">
        <v>994520050</v>
      </c>
      <c r="D454" s="81" t="str">
        <f>HYPERLINK(CONCATENATE("https://portal.dnb.de/opac.htm?method=simpleSearch&amp;cqlMode=true&amp;query=idn%3D",C454))</f>
        <v>https://portal.dnb.de/opac.htm?method=simpleSearch&amp;cqlMode=true&amp;query=idn%3D994520050</v>
      </c>
      <c r="E454" s="65" t="s">
        <v>980</v>
      </c>
      <c r="F454" s="76"/>
      <c r="G454" s="78"/>
      <c r="H454" s="76"/>
      <c r="I454" s="78"/>
      <c r="J454" s="78"/>
      <c r="K454" s="76"/>
      <c r="L454" s="76"/>
      <c r="M454" s="76"/>
      <c r="N454" s="76"/>
      <c r="O454" s="76"/>
      <c r="P454" s="76"/>
      <c r="Q454" s="76"/>
      <c r="R454" s="76"/>
      <c r="AZ454" s="88">
        <f t="shared" si="15"/>
        <v>0</v>
      </c>
      <c r="BX454" s="88"/>
      <c r="CQ454" s="88"/>
    </row>
    <row r="455" spans="1:95" outlineLevel="1" x14ac:dyDescent="0.15">
      <c r="A455" s="76">
        <v>454</v>
      </c>
      <c r="B455" s="65" t="s">
        <v>981</v>
      </c>
      <c r="C455" s="65">
        <v>1002701767</v>
      </c>
      <c r="D455" s="81" t="str">
        <f>HYPERLINK(CONCATENATE("https://portal.dnb.de/opac.htm?method=simpleSearch&amp;cqlMode=true&amp;query=idn%3D",C455))</f>
        <v>https://portal.dnb.de/opac.htm?method=simpleSearch&amp;cqlMode=true&amp;query=idn%3D1002701767</v>
      </c>
      <c r="E455" s="65" t="s">
        <v>980</v>
      </c>
      <c r="F455" s="76"/>
      <c r="G455" s="78"/>
      <c r="H455" s="76"/>
      <c r="I455" s="78"/>
      <c r="J455" s="78"/>
      <c r="K455" s="76"/>
      <c r="L455" s="76"/>
      <c r="M455" s="76"/>
      <c r="N455" s="76"/>
      <c r="O455" s="76"/>
      <c r="P455" s="76"/>
      <c r="Q455" s="76"/>
      <c r="R455" s="76"/>
      <c r="AZ455" s="88">
        <f t="shared" si="15"/>
        <v>0</v>
      </c>
      <c r="BX455" s="88"/>
      <c r="CQ455" s="88"/>
    </row>
    <row r="456" spans="1:95" ht="22.5" outlineLevel="1" x14ac:dyDescent="0.15">
      <c r="A456" s="76">
        <v>455</v>
      </c>
      <c r="B456" s="65" t="s">
        <v>982</v>
      </c>
      <c r="C456" s="65">
        <v>999640356</v>
      </c>
      <c r="D456" s="81" t="str">
        <f>HYPERLINK(CONCATENATE("https://portal.dnb.de/opac.htm?method=simpleSearch&amp;cqlMode=true&amp;query=idn%3D",C456))</f>
        <v>https://portal.dnb.de/opac.htm?method=simpleSearch&amp;cqlMode=true&amp;query=idn%3D999640356</v>
      </c>
      <c r="E456" s="65" t="s">
        <v>980</v>
      </c>
      <c r="F456" s="76" t="s">
        <v>89</v>
      </c>
      <c r="G456" s="78" t="s">
        <v>2510</v>
      </c>
      <c r="H456" s="76" t="s">
        <v>50</v>
      </c>
      <c r="I456" s="78" t="s">
        <v>55</v>
      </c>
      <c r="J456" s="78" t="s">
        <v>94</v>
      </c>
      <c r="K456" s="76"/>
      <c r="L456" s="76" t="s">
        <v>34</v>
      </c>
      <c r="M456" s="76" t="s">
        <v>37</v>
      </c>
      <c r="N456" s="76">
        <v>1</v>
      </c>
      <c r="O456" s="76"/>
      <c r="P456" s="76"/>
      <c r="Q456" s="76"/>
      <c r="R456" s="76"/>
      <c r="AZ456" s="88">
        <f t="shared" si="15"/>
        <v>0</v>
      </c>
      <c r="BX456" s="88"/>
      <c r="CQ456" s="88"/>
    </row>
    <row r="457" spans="1:95" outlineLevel="1" x14ac:dyDescent="0.15">
      <c r="A457" s="76">
        <v>456</v>
      </c>
      <c r="B457" s="65" t="s">
        <v>983</v>
      </c>
      <c r="C457" s="65">
        <v>1066760713</v>
      </c>
      <c r="D457" s="81" t="str">
        <f t="shared" si="13"/>
        <v>https://portal.dnb.de/opac.htm?method=simpleSearch&amp;cqlMode=true&amp;query=idn%3D1066760713</v>
      </c>
      <c r="E457" s="65" t="s">
        <v>984</v>
      </c>
      <c r="F457" s="76"/>
      <c r="G457" s="78" t="s">
        <v>17</v>
      </c>
      <c r="H457" s="76" t="s">
        <v>50</v>
      </c>
      <c r="I457" s="78" t="s">
        <v>55</v>
      </c>
      <c r="J457" s="78" t="s">
        <v>94</v>
      </c>
      <c r="K457" s="76"/>
      <c r="L457" s="76" t="s">
        <v>33</v>
      </c>
      <c r="M457" s="76" t="s">
        <v>36</v>
      </c>
      <c r="N457" s="76">
        <v>0</v>
      </c>
      <c r="O457" s="76"/>
      <c r="P457" s="76"/>
      <c r="Q457" s="76"/>
      <c r="R457" s="76"/>
      <c r="AZ457" s="88">
        <f t="shared" si="15"/>
        <v>0</v>
      </c>
      <c r="BX457" s="88"/>
      <c r="CQ457" s="88"/>
    </row>
    <row r="458" spans="1:95" outlineLevel="1" x14ac:dyDescent="0.15">
      <c r="A458" s="76">
        <v>457</v>
      </c>
      <c r="B458" s="65" t="s">
        <v>985</v>
      </c>
      <c r="C458" s="65">
        <v>999408836</v>
      </c>
      <c r="D458" s="81" t="str">
        <f t="shared" si="13"/>
        <v>https://portal.dnb.de/opac.htm?method=simpleSearch&amp;cqlMode=true&amp;query=idn%3D999408836</v>
      </c>
      <c r="E458" s="65" t="s">
        <v>986</v>
      </c>
      <c r="F458" s="76"/>
      <c r="G458" s="78"/>
      <c r="H458" s="76"/>
      <c r="I458" s="78"/>
      <c r="J458" s="78"/>
      <c r="K458" s="76"/>
      <c r="L458" s="76"/>
      <c r="M458" s="76"/>
      <c r="N458" s="76"/>
      <c r="O458" s="76"/>
      <c r="P458" s="76"/>
      <c r="Q458" s="76"/>
      <c r="R458" s="76"/>
      <c r="AZ458" s="88">
        <f t="shared" si="15"/>
        <v>0</v>
      </c>
      <c r="BX458" s="88"/>
      <c r="CQ458" s="88"/>
    </row>
    <row r="459" spans="1:95" outlineLevel="1" x14ac:dyDescent="0.15">
      <c r="A459" s="76">
        <v>458</v>
      </c>
      <c r="B459" s="65" t="s">
        <v>987</v>
      </c>
      <c r="C459" s="65">
        <v>994182236</v>
      </c>
      <c r="D459" s="81" t="str">
        <f t="shared" si="13"/>
        <v>https://portal.dnb.de/opac.htm?method=simpleSearch&amp;cqlMode=true&amp;query=idn%3D994182236</v>
      </c>
      <c r="E459" s="65" t="s">
        <v>988</v>
      </c>
      <c r="F459" s="76"/>
      <c r="G459" s="78"/>
      <c r="H459" s="76"/>
      <c r="I459" s="78"/>
      <c r="J459" s="78"/>
      <c r="K459" s="76"/>
      <c r="L459" s="76"/>
      <c r="M459" s="76"/>
      <c r="N459" s="76"/>
      <c r="O459" s="76"/>
      <c r="P459" s="76"/>
      <c r="Q459" s="76"/>
      <c r="R459" s="76"/>
      <c r="AZ459" s="88">
        <f t="shared" si="15"/>
        <v>0</v>
      </c>
      <c r="BX459" s="88"/>
      <c r="CQ459" s="88"/>
    </row>
    <row r="460" spans="1:95" outlineLevel="1" x14ac:dyDescent="0.15">
      <c r="A460" s="76">
        <v>459</v>
      </c>
      <c r="B460" s="65" t="s">
        <v>989</v>
      </c>
      <c r="C460" s="65">
        <v>999002953</v>
      </c>
      <c r="D460" s="81" t="str">
        <f t="shared" si="13"/>
        <v>https://portal.dnb.de/opac.htm?method=simpleSearch&amp;cqlMode=true&amp;query=idn%3D999002953</v>
      </c>
      <c r="E460" s="65" t="s">
        <v>990</v>
      </c>
      <c r="F460" s="76"/>
      <c r="G460" s="78"/>
      <c r="H460" s="76"/>
      <c r="I460" s="78"/>
      <c r="J460" s="78"/>
      <c r="K460" s="76"/>
      <c r="L460" s="76"/>
      <c r="M460" s="76"/>
      <c r="N460" s="76"/>
      <c r="O460" s="76"/>
      <c r="P460" s="76"/>
      <c r="Q460" s="76"/>
      <c r="R460" s="76"/>
      <c r="AZ460" s="88">
        <f t="shared" si="15"/>
        <v>0</v>
      </c>
      <c r="BX460" s="88"/>
      <c r="CQ460" s="88"/>
    </row>
    <row r="461" spans="1:95" outlineLevel="1" x14ac:dyDescent="0.15">
      <c r="A461" s="76">
        <v>460</v>
      </c>
      <c r="B461" s="65" t="s">
        <v>991</v>
      </c>
      <c r="C461" s="65">
        <v>1066859388</v>
      </c>
      <c r="D461" s="81" t="str">
        <f>HYPERLINK(CONCATENATE("https://portal.dnb.de/opac.htm?method=simpleSearch&amp;cqlMode=true&amp;query=idn%3D",C461))</f>
        <v>https://portal.dnb.de/opac.htm?method=simpleSearch&amp;cqlMode=true&amp;query=idn%3D1066859388</v>
      </c>
      <c r="E461" s="65" t="s">
        <v>992</v>
      </c>
      <c r="F461" s="76" t="s">
        <v>89</v>
      </c>
      <c r="G461" s="78" t="s">
        <v>3</v>
      </c>
      <c r="H461" s="76" t="s">
        <v>51</v>
      </c>
      <c r="I461" s="78" t="s">
        <v>55</v>
      </c>
      <c r="J461" s="78" t="s">
        <v>81</v>
      </c>
      <c r="K461" s="76"/>
      <c r="L461" s="76"/>
      <c r="M461" s="76"/>
      <c r="N461" s="76">
        <v>1</v>
      </c>
      <c r="O461" s="76"/>
      <c r="P461" s="76"/>
      <c r="Q461" s="76"/>
      <c r="R461" s="76"/>
      <c r="X461" s="84" t="s">
        <v>2652</v>
      </c>
      <c r="AA461" s="84" t="s">
        <v>2647</v>
      </c>
      <c r="AG461" s="84" t="s">
        <v>2643</v>
      </c>
      <c r="AU461" s="84">
        <v>110</v>
      </c>
      <c r="AY461" s="86" t="s">
        <v>2651</v>
      </c>
      <c r="AZ461" s="88">
        <f t="shared" si="15"/>
        <v>0</v>
      </c>
      <c r="BH461" s="79" t="s">
        <v>2962</v>
      </c>
      <c r="BX461" s="88"/>
      <c r="CQ461" s="88"/>
    </row>
    <row r="462" spans="1:95" ht="33.75" outlineLevel="1" x14ac:dyDescent="0.15">
      <c r="A462" s="76">
        <v>461</v>
      </c>
      <c r="B462" s="65" t="s">
        <v>993</v>
      </c>
      <c r="C462" s="65">
        <v>999973878</v>
      </c>
      <c r="D462" s="81" t="str">
        <f t="shared" si="13"/>
        <v>https://portal.dnb.de/opac.htm?method=simpleSearch&amp;cqlMode=true&amp;query=idn%3D999973878</v>
      </c>
      <c r="E462" s="65" t="s">
        <v>994</v>
      </c>
      <c r="F462" s="76" t="s">
        <v>89</v>
      </c>
      <c r="G462" s="78" t="s">
        <v>4</v>
      </c>
      <c r="H462" s="76" t="s">
        <v>50</v>
      </c>
      <c r="I462" s="78" t="s">
        <v>90</v>
      </c>
      <c r="J462" s="78" t="s">
        <v>2535</v>
      </c>
      <c r="K462" s="76"/>
      <c r="L462" s="76"/>
      <c r="M462" s="76"/>
      <c r="N462" s="76">
        <v>1</v>
      </c>
      <c r="O462" s="76"/>
      <c r="P462" s="76"/>
      <c r="Q462" s="76"/>
      <c r="R462" s="76"/>
      <c r="X462" s="84" t="s">
        <v>2697</v>
      </c>
      <c r="AA462" s="84" t="s">
        <v>2653</v>
      </c>
      <c r="AG462" s="84" t="s">
        <v>2643</v>
      </c>
      <c r="AU462" s="84">
        <v>60</v>
      </c>
      <c r="AY462" s="86" t="s">
        <v>2644</v>
      </c>
      <c r="AZ462" s="88">
        <f t="shared" si="15"/>
        <v>1</v>
      </c>
      <c r="BK462" s="63" t="s">
        <v>2541</v>
      </c>
      <c r="BL462" s="84" t="s">
        <v>2541</v>
      </c>
      <c r="BM462" s="84" t="s">
        <v>2541</v>
      </c>
      <c r="BX462" s="88">
        <v>1</v>
      </c>
      <c r="BY462" s="79" t="s">
        <v>2997</v>
      </c>
      <c r="CQ462" s="88"/>
    </row>
    <row r="463" spans="1:95" outlineLevel="1" x14ac:dyDescent="0.15">
      <c r="A463" s="76">
        <v>462</v>
      </c>
      <c r="B463" s="65" t="s">
        <v>995</v>
      </c>
      <c r="C463" s="65" t="s">
        <v>996</v>
      </c>
      <c r="D463" s="81" t="str">
        <f>HYPERLINK(CONCATENATE("https://portal.dnb.de/opac.htm?method=simpleSearch&amp;cqlMode=true&amp;query=idn%3D",C463))</f>
        <v>https://portal.dnb.de/opac.htm?method=simpleSearch&amp;cqlMode=true&amp;query=idn%3D106696145X</v>
      </c>
      <c r="E463" s="65" t="s">
        <v>997</v>
      </c>
      <c r="F463" s="76" t="s">
        <v>89</v>
      </c>
      <c r="G463" s="78" t="s">
        <v>46</v>
      </c>
      <c r="H463" s="76" t="s">
        <v>50</v>
      </c>
      <c r="I463" s="78" t="s">
        <v>55</v>
      </c>
      <c r="J463" s="78" t="s">
        <v>81</v>
      </c>
      <c r="K463" s="76"/>
      <c r="L463" s="76"/>
      <c r="M463" s="76"/>
      <c r="N463" s="76">
        <v>0</v>
      </c>
      <c r="O463" s="76"/>
      <c r="P463" s="76"/>
      <c r="Q463" s="76"/>
      <c r="R463" s="76"/>
      <c r="AZ463" s="88">
        <f t="shared" si="15"/>
        <v>0</v>
      </c>
      <c r="BX463" s="88"/>
      <c r="CQ463" s="88"/>
    </row>
    <row r="464" spans="1:95" outlineLevel="1" x14ac:dyDescent="0.15">
      <c r="A464" s="76">
        <v>463</v>
      </c>
      <c r="B464" s="65" t="s">
        <v>998</v>
      </c>
      <c r="C464" s="65">
        <v>1066786194</v>
      </c>
      <c r="D464" s="81" t="str">
        <f t="shared" si="13"/>
        <v>https://portal.dnb.de/opac.htm?method=simpleSearch&amp;cqlMode=true&amp;query=idn%3D1066786194</v>
      </c>
      <c r="E464" s="65" t="s">
        <v>999</v>
      </c>
      <c r="F464" s="76" t="s">
        <v>89</v>
      </c>
      <c r="G464" s="78" t="s">
        <v>3</v>
      </c>
      <c r="H464" s="76" t="s">
        <v>50</v>
      </c>
      <c r="I464" s="78" t="s">
        <v>55</v>
      </c>
      <c r="J464" s="78" t="s">
        <v>81</v>
      </c>
      <c r="K464" s="76"/>
      <c r="L464" s="76"/>
      <c r="M464" s="76"/>
      <c r="N464" s="76">
        <v>0</v>
      </c>
      <c r="O464" s="76"/>
      <c r="P464" s="76"/>
      <c r="Q464" s="76"/>
      <c r="R464" s="76"/>
      <c r="AZ464" s="88">
        <f t="shared" si="15"/>
        <v>0</v>
      </c>
      <c r="BX464" s="88"/>
      <c r="CQ464" s="88"/>
    </row>
    <row r="465" spans="1:95" ht="22.5" outlineLevel="1" x14ac:dyDescent="0.15">
      <c r="A465" s="76">
        <v>464</v>
      </c>
      <c r="B465" s="65" t="s">
        <v>1000</v>
      </c>
      <c r="C465" s="65">
        <v>1066871183</v>
      </c>
      <c r="D465" s="81" t="str">
        <f>HYPERLINK(CONCATENATE("https://portal.dnb.de/opac.htm?method=simpleSearch&amp;cqlMode=true&amp;query=idn%3D",C465))</f>
        <v>https://portal.dnb.de/opac.htm?method=simpleSearch&amp;cqlMode=true&amp;query=idn%3D1066871183</v>
      </c>
      <c r="E465" s="65" t="s">
        <v>1001</v>
      </c>
      <c r="F465" s="76" t="s">
        <v>89</v>
      </c>
      <c r="G465" s="78" t="s">
        <v>2516</v>
      </c>
      <c r="H465" s="76" t="s">
        <v>51</v>
      </c>
      <c r="I465" s="78" t="s">
        <v>55</v>
      </c>
      <c r="J465" s="78" t="s">
        <v>81</v>
      </c>
      <c r="K465" s="76"/>
      <c r="L465" s="76" t="s">
        <v>34</v>
      </c>
      <c r="M465" s="76" t="s">
        <v>37</v>
      </c>
      <c r="N465" s="76">
        <v>0</v>
      </c>
      <c r="O465" s="76"/>
      <c r="P465" s="76"/>
      <c r="Q465" s="76"/>
      <c r="R465" s="76"/>
      <c r="AZ465" s="88">
        <f t="shared" si="15"/>
        <v>0</v>
      </c>
      <c r="BX465" s="88"/>
      <c r="CQ465" s="88"/>
    </row>
    <row r="466" spans="1:95" ht="22.5" outlineLevel="1" x14ac:dyDescent="0.15">
      <c r="A466" s="76">
        <v>465</v>
      </c>
      <c r="B466" s="65" t="s">
        <v>1002</v>
      </c>
      <c r="C466" s="65">
        <v>1066868778</v>
      </c>
      <c r="D466" s="81" t="str">
        <f t="shared" si="13"/>
        <v>https://portal.dnb.de/opac.htm?method=simpleSearch&amp;cqlMode=true&amp;query=idn%3D1066868778</v>
      </c>
      <c r="E466" s="65" t="s">
        <v>1003</v>
      </c>
      <c r="F466" s="76" t="s">
        <v>89</v>
      </c>
      <c r="G466" s="78" t="s">
        <v>2516</v>
      </c>
      <c r="H466" s="76" t="s">
        <v>51</v>
      </c>
      <c r="I466" s="78" t="s">
        <v>55</v>
      </c>
      <c r="J466" s="78" t="s">
        <v>81</v>
      </c>
      <c r="K466" s="76"/>
      <c r="L466" s="76" t="s">
        <v>34</v>
      </c>
      <c r="M466" s="76" t="s">
        <v>37</v>
      </c>
      <c r="N466" s="76">
        <v>0</v>
      </c>
      <c r="O466" s="76"/>
      <c r="P466" s="76"/>
      <c r="Q466" s="76"/>
      <c r="R466" s="76"/>
      <c r="AZ466" s="88">
        <f t="shared" si="15"/>
        <v>0</v>
      </c>
      <c r="BX466" s="88"/>
      <c r="CQ466" s="88"/>
    </row>
    <row r="467" spans="1:95" outlineLevel="1" x14ac:dyDescent="0.15">
      <c r="A467" s="76">
        <v>466</v>
      </c>
      <c r="B467" s="65" t="s">
        <v>1004</v>
      </c>
      <c r="C467" s="65">
        <v>1211106616</v>
      </c>
      <c r="D467" s="81" t="str">
        <f>HYPERLINK(CONCATENATE("https://portal.dnb.de/opac.htm?method=simpleSearch&amp;cqlMode=true&amp;query=idn%3D",C467))</f>
        <v>https://portal.dnb.de/opac.htm?method=simpleSearch&amp;cqlMode=true&amp;query=idn%3D1211106616</v>
      </c>
      <c r="E467" s="65" t="s">
        <v>1005</v>
      </c>
      <c r="F467" s="76"/>
      <c r="G467" s="78"/>
      <c r="H467" s="76"/>
      <c r="I467" s="78"/>
      <c r="J467" s="78"/>
      <c r="K467" s="76"/>
      <c r="L467" s="76"/>
      <c r="M467" s="76"/>
      <c r="N467" s="76"/>
      <c r="O467" s="76"/>
      <c r="P467" s="76"/>
      <c r="Q467" s="76"/>
      <c r="R467" s="76"/>
      <c r="AZ467" s="88">
        <f t="shared" si="15"/>
        <v>0</v>
      </c>
      <c r="BX467" s="88"/>
      <c r="CQ467" s="88"/>
    </row>
    <row r="468" spans="1:95" outlineLevel="1" x14ac:dyDescent="0.15">
      <c r="A468" s="76">
        <v>467</v>
      </c>
      <c r="B468" s="65" t="s">
        <v>1006</v>
      </c>
      <c r="C468" s="65">
        <v>1211106357</v>
      </c>
      <c r="D468" s="81" t="str">
        <f>HYPERLINK(CONCATENATE("https://portal.dnb.de/opac.htm?method=simpleSearch&amp;cqlMode=true&amp;query=idn%3D",C468))</f>
        <v>https://portal.dnb.de/opac.htm?method=simpleSearch&amp;cqlMode=true&amp;query=idn%3D1211106357</v>
      </c>
      <c r="E468" s="65" t="s">
        <v>1007</v>
      </c>
      <c r="F468" s="76"/>
      <c r="G468" s="78"/>
      <c r="H468" s="76"/>
      <c r="I468" s="78"/>
      <c r="J468" s="78"/>
      <c r="K468" s="76"/>
      <c r="L468" s="76"/>
      <c r="M468" s="76"/>
      <c r="N468" s="76"/>
      <c r="O468" s="76"/>
      <c r="P468" s="76"/>
      <c r="Q468" s="76"/>
      <c r="R468" s="76"/>
      <c r="AZ468" s="88">
        <f t="shared" si="15"/>
        <v>0</v>
      </c>
      <c r="BX468" s="88"/>
      <c r="CQ468" s="88"/>
    </row>
    <row r="469" spans="1:95" outlineLevel="1" x14ac:dyDescent="0.15">
      <c r="A469" s="76">
        <v>468</v>
      </c>
      <c r="B469" s="65" t="s">
        <v>1008</v>
      </c>
      <c r="C469" s="65">
        <v>1211106055</v>
      </c>
      <c r="D469" s="81" t="str">
        <f>HYPERLINK(CONCATENATE("https://portal.dnb.de/opac.htm?method=simpleSearch&amp;cqlMode=true&amp;query=idn%3D",C469))</f>
        <v>https://portal.dnb.de/opac.htm?method=simpleSearch&amp;cqlMode=true&amp;query=idn%3D1211106055</v>
      </c>
      <c r="E469" s="65" t="s">
        <v>1009</v>
      </c>
      <c r="F469" s="76"/>
      <c r="G469" s="78"/>
      <c r="H469" s="76"/>
      <c r="I469" s="78"/>
      <c r="J469" s="78"/>
      <c r="K469" s="76"/>
      <c r="L469" s="76"/>
      <c r="M469" s="76"/>
      <c r="N469" s="76"/>
      <c r="O469" s="76"/>
      <c r="P469" s="76"/>
      <c r="Q469" s="76"/>
      <c r="R469" s="76"/>
      <c r="AZ469" s="88">
        <f t="shared" si="15"/>
        <v>0</v>
      </c>
      <c r="BX469" s="88"/>
      <c r="CQ469" s="88"/>
    </row>
    <row r="470" spans="1:95" outlineLevel="1" x14ac:dyDescent="0.15">
      <c r="A470" s="76">
        <v>469</v>
      </c>
      <c r="B470" s="65" t="s">
        <v>1010</v>
      </c>
      <c r="C470" s="65">
        <v>1210936100</v>
      </c>
      <c r="D470" s="81" t="str">
        <f>HYPERLINK(CONCATENATE("https://portal.dnb.de/opac.htm?method=simpleSearch&amp;cqlMode=true&amp;query=idn%3D",C470))</f>
        <v>https://portal.dnb.de/opac.htm?method=simpleSearch&amp;cqlMode=true&amp;query=idn%3D1210936100</v>
      </c>
      <c r="E470" s="65" t="s">
        <v>1011</v>
      </c>
      <c r="F470" s="76"/>
      <c r="G470" s="78"/>
      <c r="H470" s="76"/>
      <c r="I470" s="78"/>
      <c r="J470" s="78"/>
      <c r="K470" s="76"/>
      <c r="L470" s="76"/>
      <c r="M470" s="76"/>
      <c r="N470" s="76"/>
      <c r="O470" s="76"/>
      <c r="P470" s="76"/>
      <c r="Q470" s="76"/>
      <c r="R470" s="76"/>
      <c r="AZ470" s="88">
        <f t="shared" si="15"/>
        <v>0</v>
      </c>
      <c r="BX470" s="88"/>
      <c r="CQ470" s="88"/>
    </row>
    <row r="471" spans="1:95" outlineLevel="1" x14ac:dyDescent="0.15">
      <c r="A471" s="76">
        <v>470</v>
      </c>
      <c r="B471" s="65" t="s">
        <v>1012</v>
      </c>
      <c r="C471" s="65">
        <v>1210935783</v>
      </c>
      <c r="D471" s="81" t="str">
        <f>HYPERLINK(CONCATENATE("https://portal.dnb.de/opac.htm?method=simpleSearch&amp;cqlMode=true&amp;query=idn%3D",C471))</f>
        <v>https://portal.dnb.de/opac.htm?method=simpleSearch&amp;cqlMode=true&amp;query=idn%3D1210935783</v>
      </c>
      <c r="E471" s="65" t="s">
        <v>1013</v>
      </c>
      <c r="F471" s="76"/>
      <c r="G471" s="78"/>
      <c r="H471" s="76"/>
      <c r="I471" s="78"/>
      <c r="J471" s="78"/>
      <c r="K471" s="76"/>
      <c r="L471" s="76"/>
      <c r="M471" s="76"/>
      <c r="N471" s="76"/>
      <c r="O471" s="76"/>
      <c r="P471" s="76"/>
      <c r="Q471" s="76"/>
      <c r="R471" s="76"/>
      <c r="AZ471" s="88">
        <f t="shared" si="15"/>
        <v>0</v>
      </c>
      <c r="BX471" s="88"/>
      <c r="CQ471" s="88"/>
    </row>
    <row r="472" spans="1:95" ht="22.5" outlineLevel="1" x14ac:dyDescent="0.15">
      <c r="A472" s="76">
        <v>471</v>
      </c>
      <c r="B472" s="65" t="s">
        <v>1014</v>
      </c>
      <c r="C472" s="65">
        <v>1066959412</v>
      </c>
      <c r="D472" s="81" t="str">
        <f t="shared" ref="D472:D531" si="16">HYPERLINK(CONCATENATE("https://portal.dnb.de/opac.htm?method=simpleSearch&amp;cqlMode=true&amp;query=idn%3D",C472))</f>
        <v>https://portal.dnb.de/opac.htm?method=simpleSearch&amp;cqlMode=true&amp;query=idn%3D1066959412</v>
      </c>
      <c r="E472" s="65" t="s">
        <v>1015</v>
      </c>
      <c r="F472" s="76" t="s">
        <v>89</v>
      </c>
      <c r="G472" s="78" t="s">
        <v>2516</v>
      </c>
      <c r="H472" s="76" t="s">
        <v>50</v>
      </c>
      <c r="I472" s="78" t="s">
        <v>90</v>
      </c>
      <c r="J472" s="78" t="s">
        <v>81</v>
      </c>
      <c r="K472" s="76"/>
      <c r="L472" s="76" t="s">
        <v>34</v>
      </c>
      <c r="M472" s="76" t="s">
        <v>37</v>
      </c>
      <c r="N472" s="76">
        <v>0</v>
      </c>
      <c r="O472" s="76"/>
      <c r="P472" s="76"/>
      <c r="Q472" s="76"/>
      <c r="R472" s="76"/>
      <c r="AZ472" s="88">
        <f t="shared" si="15"/>
        <v>0</v>
      </c>
      <c r="BX472" s="88"/>
      <c r="CQ472" s="88"/>
    </row>
    <row r="473" spans="1:95" ht="22.5" outlineLevel="1" x14ac:dyDescent="0.15">
      <c r="A473" s="76">
        <v>472</v>
      </c>
      <c r="B473" s="65" t="s">
        <v>1016</v>
      </c>
      <c r="C473" s="65">
        <v>1066940452</v>
      </c>
      <c r="D473" s="81" t="str">
        <f>HYPERLINK(CONCATENATE("https://portal.dnb.de/opac.htm?method=simpleSearch&amp;cqlMode=true&amp;query=idn%3D",C473))</f>
        <v>https://portal.dnb.de/opac.htm?method=simpleSearch&amp;cqlMode=true&amp;query=idn%3D1066940452</v>
      </c>
      <c r="E473" s="65" t="s">
        <v>1017</v>
      </c>
      <c r="F473" s="76" t="s">
        <v>89</v>
      </c>
      <c r="G473" s="78" t="s">
        <v>2510</v>
      </c>
      <c r="H473" s="76" t="s">
        <v>53</v>
      </c>
      <c r="I473" s="78" t="s">
        <v>90</v>
      </c>
      <c r="J473" s="78" t="s">
        <v>69</v>
      </c>
      <c r="K473" s="76"/>
      <c r="L473" s="76" t="s">
        <v>35</v>
      </c>
      <c r="M473" s="76" t="s">
        <v>37</v>
      </c>
      <c r="N473" s="76">
        <v>0</v>
      </c>
      <c r="O473" s="76"/>
      <c r="P473" s="76"/>
      <c r="Q473" s="76"/>
      <c r="R473" s="76"/>
      <c r="X473" s="84" t="s">
        <v>2641</v>
      </c>
      <c r="Z473" s="84" t="s">
        <v>2541</v>
      </c>
      <c r="AA473" s="84" t="s">
        <v>2642</v>
      </c>
      <c r="AF473" s="84" t="s">
        <v>2541</v>
      </c>
      <c r="AG473" s="84" t="s">
        <v>2643</v>
      </c>
      <c r="AQ473" s="84" t="s">
        <v>2658</v>
      </c>
      <c r="AR473" s="84" t="s">
        <v>2541</v>
      </c>
      <c r="AS473" s="84">
        <v>0</v>
      </c>
      <c r="AT473" s="84" t="s">
        <v>2541</v>
      </c>
      <c r="AU473" s="84">
        <v>110</v>
      </c>
      <c r="AY473" s="86" t="s">
        <v>2651</v>
      </c>
      <c r="AZ473" s="88">
        <f t="shared" si="15"/>
        <v>0</v>
      </c>
      <c r="BB473" s="86" t="s">
        <v>2831</v>
      </c>
      <c r="BX473" s="88"/>
      <c r="CQ473" s="88"/>
    </row>
    <row r="474" spans="1:95" ht="33.75" outlineLevel="1" x14ac:dyDescent="0.15">
      <c r="A474" s="76">
        <v>473</v>
      </c>
      <c r="B474" s="65" t="s">
        <v>1018</v>
      </c>
      <c r="C474" s="65">
        <v>1066837589</v>
      </c>
      <c r="D474" s="81" t="str">
        <f t="shared" si="16"/>
        <v>https://portal.dnb.de/opac.htm?method=simpleSearch&amp;cqlMode=true&amp;query=idn%3D1066837589</v>
      </c>
      <c r="E474" s="65" t="s">
        <v>1019</v>
      </c>
      <c r="F474" s="76" t="s">
        <v>89</v>
      </c>
      <c r="G474" s="78" t="s">
        <v>2510</v>
      </c>
      <c r="H474" s="76" t="s">
        <v>50</v>
      </c>
      <c r="I474" s="78" t="s">
        <v>90</v>
      </c>
      <c r="J474" s="78" t="s">
        <v>2513</v>
      </c>
      <c r="K474" s="76"/>
      <c r="L474" s="76" t="s">
        <v>35</v>
      </c>
      <c r="M474" s="76" t="s">
        <v>37</v>
      </c>
      <c r="N474" s="76">
        <v>0</v>
      </c>
      <c r="O474" s="76"/>
      <c r="P474" s="76"/>
      <c r="Q474" s="76"/>
      <c r="R474" s="76"/>
      <c r="AZ474" s="88">
        <f t="shared" si="15"/>
        <v>0</v>
      </c>
      <c r="BX474" s="88"/>
      <c r="CQ474" s="88"/>
    </row>
    <row r="475" spans="1:95" ht="22.5" outlineLevel="1" x14ac:dyDescent="0.15">
      <c r="A475" s="76">
        <v>474</v>
      </c>
      <c r="B475" s="65" t="s">
        <v>1020</v>
      </c>
      <c r="C475" s="65">
        <v>1066858055</v>
      </c>
      <c r="D475" s="81" t="str">
        <f>HYPERLINK(CONCATENATE("https://portal.dnb.de/opac.htm?method=simpleSearch&amp;cqlMode=true&amp;query=idn%3D",C475))</f>
        <v>https://portal.dnb.de/opac.htm?method=simpleSearch&amp;cqlMode=true&amp;query=idn%3D1066858055</v>
      </c>
      <c r="E475" s="65" t="s">
        <v>1021</v>
      </c>
      <c r="F475" s="76" t="s">
        <v>89</v>
      </c>
      <c r="G475" s="78" t="s">
        <v>2516</v>
      </c>
      <c r="H475" s="76" t="s">
        <v>51</v>
      </c>
      <c r="I475" s="78" t="s">
        <v>55</v>
      </c>
      <c r="J475" s="78" t="s">
        <v>81</v>
      </c>
      <c r="K475" s="76"/>
      <c r="L475" s="76" t="s">
        <v>34</v>
      </c>
      <c r="M475" s="76" t="s">
        <v>37</v>
      </c>
      <c r="N475" s="76">
        <v>0</v>
      </c>
      <c r="O475" s="76"/>
      <c r="P475" s="76"/>
      <c r="Q475" s="76"/>
      <c r="R475" s="76"/>
      <c r="AZ475" s="88">
        <f t="shared" si="15"/>
        <v>0</v>
      </c>
      <c r="BX475" s="88"/>
      <c r="CQ475" s="88"/>
    </row>
    <row r="476" spans="1:95" outlineLevel="1" x14ac:dyDescent="0.15">
      <c r="A476" s="76">
        <v>475</v>
      </c>
      <c r="B476" s="65" t="s">
        <v>1022</v>
      </c>
      <c r="C476" s="65">
        <v>1066849633</v>
      </c>
      <c r="D476" s="81" t="str">
        <f t="shared" si="16"/>
        <v>https://portal.dnb.de/opac.htm?method=simpleSearch&amp;cqlMode=true&amp;query=idn%3D1066849633</v>
      </c>
      <c r="E476" s="65" t="s">
        <v>1023</v>
      </c>
      <c r="F476" s="76" t="s">
        <v>89</v>
      </c>
      <c r="G476" s="78" t="s">
        <v>5</v>
      </c>
      <c r="H476" s="76" t="s">
        <v>50</v>
      </c>
      <c r="I476" s="78" t="s">
        <v>90</v>
      </c>
      <c r="J476" s="78" t="s">
        <v>81</v>
      </c>
      <c r="K476" s="76"/>
      <c r="L476" s="76"/>
      <c r="M476" s="76"/>
      <c r="N476" s="76">
        <v>0</v>
      </c>
      <c r="O476" s="76"/>
      <c r="P476" s="76" t="s">
        <v>2576</v>
      </c>
      <c r="Q476" s="76"/>
      <c r="R476" s="76"/>
      <c r="AZ476" s="88">
        <f t="shared" si="15"/>
        <v>0</v>
      </c>
      <c r="BX476" s="88"/>
      <c r="CQ476" s="88"/>
    </row>
    <row r="477" spans="1:95" ht="22.5" outlineLevel="1" x14ac:dyDescent="0.15">
      <c r="A477" s="76">
        <v>476</v>
      </c>
      <c r="B477" s="65" t="s">
        <v>1024</v>
      </c>
      <c r="C477" s="65">
        <v>1066940851</v>
      </c>
      <c r="D477" s="81" t="str">
        <f t="shared" si="16"/>
        <v>https://portal.dnb.de/opac.htm?method=simpleSearch&amp;cqlMode=true&amp;query=idn%3D1066940851</v>
      </c>
      <c r="E477" s="65" t="s">
        <v>1025</v>
      </c>
      <c r="F477" s="76" t="s">
        <v>89</v>
      </c>
      <c r="G477" s="78" t="s">
        <v>5</v>
      </c>
      <c r="H477" s="76" t="s">
        <v>50</v>
      </c>
      <c r="I477" s="78" t="s">
        <v>90</v>
      </c>
      <c r="J477" s="78" t="s">
        <v>2515</v>
      </c>
      <c r="K477" s="76"/>
      <c r="L477" s="76"/>
      <c r="M477" s="76"/>
      <c r="N477" s="76">
        <v>0</v>
      </c>
      <c r="O477" s="76"/>
      <c r="P477" s="76" t="s">
        <v>2576</v>
      </c>
      <c r="Q477" s="76"/>
      <c r="R477" s="76"/>
      <c r="AZ477" s="88">
        <f t="shared" si="15"/>
        <v>0</v>
      </c>
      <c r="BX477" s="88"/>
      <c r="CQ477" s="88"/>
    </row>
    <row r="478" spans="1:95" ht="22.5" outlineLevel="1" x14ac:dyDescent="0.15">
      <c r="A478" s="76">
        <v>477</v>
      </c>
      <c r="B478" s="65" t="s">
        <v>1026</v>
      </c>
      <c r="C478" s="65">
        <v>1066935866</v>
      </c>
      <c r="D478" s="81" t="str">
        <f t="shared" si="16"/>
        <v>https://portal.dnb.de/opac.htm?method=simpleSearch&amp;cqlMode=true&amp;query=idn%3D1066935866</v>
      </c>
      <c r="E478" s="65" t="s">
        <v>1027</v>
      </c>
      <c r="F478" s="76" t="s">
        <v>89</v>
      </c>
      <c r="G478" s="78" t="s">
        <v>5</v>
      </c>
      <c r="H478" s="76" t="s">
        <v>50</v>
      </c>
      <c r="I478" s="78" t="s">
        <v>90</v>
      </c>
      <c r="J478" s="78" t="s">
        <v>2515</v>
      </c>
      <c r="K478" s="76"/>
      <c r="L478" s="76"/>
      <c r="M478" s="76"/>
      <c r="N478" s="76">
        <v>0</v>
      </c>
      <c r="O478" s="76"/>
      <c r="P478" s="76" t="s">
        <v>2576</v>
      </c>
      <c r="Q478" s="76"/>
      <c r="R478" s="76"/>
      <c r="AZ478" s="88">
        <f t="shared" si="15"/>
        <v>0</v>
      </c>
      <c r="BX478" s="88"/>
      <c r="CQ478" s="88"/>
    </row>
    <row r="479" spans="1:95" ht="33.75" outlineLevel="1" x14ac:dyDescent="0.15">
      <c r="A479" s="76">
        <v>478</v>
      </c>
      <c r="B479" s="65" t="s">
        <v>1028</v>
      </c>
      <c r="C479" s="65" t="s">
        <v>1029</v>
      </c>
      <c r="D479" s="81" t="str">
        <f t="shared" si="16"/>
        <v>https://portal.dnb.de/opac.htm?method=simpleSearch&amp;cqlMode=true&amp;query=idn%3D106678602X</v>
      </c>
      <c r="E479" s="65" t="s">
        <v>1030</v>
      </c>
      <c r="F479" s="76" t="s">
        <v>89</v>
      </c>
      <c r="G479" s="78" t="s">
        <v>4</v>
      </c>
      <c r="H479" s="76" t="s">
        <v>50</v>
      </c>
      <c r="I479" s="78" t="s">
        <v>90</v>
      </c>
      <c r="J479" s="78" t="s">
        <v>2513</v>
      </c>
      <c r="K479" s="76"/>
      <c r="L479" s="76" t="s">
        <v>35</v>
      </c>
      <c r="M479" s="76" t="s">
        <v>37</v>
      </c>
      <c r="N479" s="76">
        <v>0</v>
      </c>
      <c r="O479" s="76"/>
      <c r="P479" s="76"/>
      <c r="Q479" s="76"/>
      <c r="R479" s="76"/>
      <c r="AZ479" s="88">
        <f t="shared" si="15"/>
        <v>0</v>
      </c>
      <c r="BX479" s="88"/>
      <c r="CQ479" s="88"/>
    </row>
    <row r="480" spans="1:95" ht="45" outlineLevel="1" x14ac:dyDescent="0.15">
      <c r="A480" s="76">
        <v>479</v>
      </c>
      <c r="B480" s="65" t="s">
        <v>1031</v>
      </c>
      <c r="C480" s="65">
        <v>1132616654</v>
      </c>
      <c r="D480" s="81" t="str">
        <f t="shared" si="16"/>
        <v>https://portal.dnb.de/opac.htm?method=simpleSearch&amp;cqlMode=true&amp;query=idn%3D1132616654</v>
      </c>
      <c r="E480" s="65" t="s">
        <v>1032</v>
      </c>
      <c r="F480" s="76" t="s">
        <v>89</v>
      </c>
      <c r="G480" s="78" t="s">
        <v>4</v>
      </c>
      <c r="H480" s="76" t="s">
        <v>50</v>
      </c>
      <c r="I480" s="78" t="s">
        <v>90</v>
      </c>
      <c r="J480" s="78" t="s">
        <v>94</v>
      </c>
      <c r="K480" s="76"/>
      <c r="L480" s="76" t="s">
        <v>97</v>
      </c>
      <c r="M480" s="76" t="s">
        <v>37</v>
      </c>
      <c r="N480" s="76">
        <v>2</v>
      </c>
      <c r="O480" s="76"/>
      <c r="P480" s="76"/>
      <c r="Q480" s="76"/>
      <c r="R480" s="76"/>
      <c r="W480" s="84" t="s">
        <v>2541</v>
      </c>
      <c r="X480" s="84" t="s">
        <v>2697</v>
      </c>
      <c r="AA480" s="84" t="s">
        <v>2653</v>
      </c>
      <c r="AG480" s="84" t="s">
        <v>2643</v>
      </c>
      <c r="AU480" s="84">
        <v>0</v>
      </c>
      <c r="AY480" s="86" t="s">
        <v>3034</v>
      </c>
      <c r="AZ480" s="88">
        <f t="shared" si="15"/>
        <v>6</v>
      </c>
      <c r="BB480" s="84" t="s">
        <v>2777</v>
      </c>
      <c r="BH480" s="79" t="s">
        <v>2998</v>
      </c>
      <c r="BK480" s="63" t="s">
        <v>2541</v>
      </c>
      <c r="BL480" s="84" t="s">
        <v>2541</v>
      </c>
      <c r="BM480" s="84" t="s">
        <v>2541</v>
      </c>
      <c r="BO480" s="84" t="s">
        <v>2677</v>
      </c>
      <c r="BX480" s="88">
        <v>6</v>
      </c>
      <c r="BY480" s="79" t="s">
        <v>2999</v>
      </c>
      <c r="CQ480" s="88"/>
    </row>
    <row r="481" spans="1:96" ht="22.5" outlineLevel="1" x14ac:dyDescent="0.15">
      <c r="A481" s="76">
        <v>480</v>
      </c>
      <c r="B481" s="65" t="s">
        <v>1033</v>
      </c>
      <c r="C481" s="65">
        <v>994214782</v>
      </c>
      <c r="D481" s="81" t="str">
        <f t="shared" si="16"/>
        <v>https://portal.dnb.de/opac.htm?method=simpleSearch&amp;cqlMode=true&amp;query=idn%3D994214782</v>
      </c>
      <c r="E481" s="65" t="s">
        <v>1034</v>
      </c>
      <c r="F481" s="76"/>
      <c r="G481" s="78" t="s">
        <v>2510</v>
      </c>
      <c r="H481" s="76" t="s">
        <v>52</v>
      </c>
      <c r="I481" s="78" t="s">
        <v>90</v>
      </c>
      <c r="J481" s="78" t="s">
        <v>69</v>
      </c>
      <c r="K481" s="76"/>
      <c r="L481" s="76" t="s">
        <v>29</v>
      </c>
      <c r="M481" s="76" t="s">
        <v>37</v>
      </c>
      <c r="N481" s="76">
        <v>0</v>
      </c>
      <c r="O481" s="76"/>
      <c r="P481" s="76"/>
      <c r="Q481" s="76"/>
      <c r="R481" s="76"/>
      <c r="X481" s="84" t="s">
        <v>2641</v>
      </c>
      <c r="Z481" s="84" t="s">
        <v>2541</v>
      </c>
      <c r="AA481" s="84" t="s">
        <v>2642</v>
      </c>
      <c r="AG481" s="84" t="s">
        <v>2643</v>
      </c>
      <c r="AS481" s="84">
        <v>0</v>
      </c>
      <c r="AT481" s="84" t="s">
        <v>2541</v>
      </c>
      <c r="AU481" s="84" t="s">
        <v>2776</v>
      </c>
      <c r="AY481" s="86" t="s">
        <v>2651</v>
      </c>
      <c r="AZ481" s="88">
        <f t="shared" si="15"/>
        <v>0</v>
      </c>
      <c r="BC481" s="84" t="s">
        <v>2541</v>
      </c>
      <c r="BX481" s="88"/>
      <c r="CQ481" s="88"/>
    </row>
    <row r="482" spans="1:96" outlineLevel="1" x14ac:dyDescent="0.15">
      <c r="A482" s="76">
        <v>481</v>
      </c>
      <c r="B482" s="65" t="s">
        <v>1035</v>
      </c>
      <c r="C482" s="65" t="s">
        <v>1036</v>
      </c>
      <c r="D482" s="81" t="str">
        <f t="shared" si="16"/>
        <v>https://portal.dnb.de/opac.htm?method=simpleSearch&amp;cqlMode=true&amp;query=idn%3D100264612X</v>
      </c>
      <c r="E482" s="65" t="s">
        <v>1037</v>
      </c>
      <c r="F482" s="76"/>
      <c r="G482" s="78"/>
      <c r="H482" s="76"/>
      <c r="I482" s="78"/>
      <c r="J482" s="78"/>
      <c r="K482" s="76"/>
      <c r="L482" s="76"/>
      <c r="M482" s="76"/>
      <c r="N482" s="76"/>
      <c r="O482" s="76"/>
      <c r="P482" s="76"/>
      <c r="Q482" s="76"/>
      <c r="R482" s="76"/>
      <c r="AZ482" s="88">
        <f t="shared" si="15"/>
        <v>0</v>
      </c>
      <c r="BX482" s="88"/>
      <c r="CQ482" s="88"/>
    </row>
    <row r="483" spans="1:96" outlineLevel="1" x14ac:dyDescent="0.15">
      <c r="A483" s="76">
        <v>482</v>
      </c>
      <c r="B483" s="65" t="s">
        <v>1038</v>
      </c>
      <c r="C483" s="65">
        <v>994458029</v>
      </c>
      <c r="D483" s="81" t="str">
        <f t="shared" si="16"/>
        <v>https://portal.dnb.de/opac.htm?method=simpleSearch&amp;cqlMode=true&amp;query=idn%3D994458029</v>
      </c>
      <c r="E483" s="65" t="s">
        <v>2868</v>
      </c>
      <c r="F483" s="76"/>
      <c r="G483" s="78"/>
      <c r="H483" s="76" t="s">
        <v>52</v>
      </c>
      <c r="I483" s="78"/>
      <c r="J483" s="78"/>
      <c r="K483" s="76"/>
      <c r="L483" s="76"/>
      <c r="M483" s="76"/>
      <c r="N483" s="76"/>
      <c r="O483" s="76"/>
      <c r="P483" s="76"/>
      <c r="Q483" s="76"/>
      <c r="R483" s="76"/>
      <c r="X483" s="84" t="s">
        <v>2696</v>
      </c>
      <c r="Z483" s="84" t="s">
        <v>2541</v>
      </c>
      <c r="AA483" s="84" t="s">
        <v>2647</v>
      </c>
      <c r="AG483" s="84" t="s">
        <v>2643</v>
      </c>
      <c r="AU483" s="84">
        <v>110</v>
      </c>
      <c r="AX483" s="84" t="s">
        <v>2541</v>
      </c>
      <c r="AY483" s="86" t="s">
        <v>2651</v>
      </c>
      <c r="AZ483" s="88">
        <f t="shared" si="15"/>
        <v>0</v>
      </c>
      <c r="BX483" s="88"/>
      <c r="CQ483" s="88"/>
    </row>
    <row r="484" spans="1:96" outlineLevel="1" x14ac:dyDescent="0.15">
      <c r="A484" s="76">
        <v>483</v>
      </c>
      <c r="B484" s="65" t="s">
        <v>1039</v>
      </c>
      <c r="C484" s="65" t="s">
        <v>1040</v>
      </c>
      <c r="D484" s="81" t="str">
        <f t="shared" si="16"/>
        <v>https://portal.dnb.de/opac.htm?method=simpleSearch&amp;cqlMode=true&amp;query=idn%3D99445807X</v>
      </c>
      <c r="E484" s="65" t="s">
        <v>2869</v>
      </c>
      <c r="F484" s="76"/>
      <c r="G484" s="78"/>
      <c r="H484" s="76" t="s">
        <v>52</v>
      </c>
      <c r="I484" s="78"/>
      <c r="J484" s="78"/>
      <c r="K484" s="76"/>
      <c r="L484" s="76"/>
      <c r="M484" s="76"/>
      <c r="N484" s="76"/>
      <c r="O484" s="76"/>
      <c r="P484" s="76"/>
      <c r="Q484" s="76"/>
      <c r="R484" s="76"/>
      <c r="X484" s="84" t="s">
        <v>2696</v>
      </c>
      <c r="Z484" s="84" t="s">
        <v>2541</v>
      </c>
      <c r="AA484" s="84" t="s">
        <v>2647</v>
      </c>
      <c r="AG484" s="84" t="s">
        <v>2643</v>
      </c>
      <c r="AU484" s="84">
        <v>110</v>
      </c>
      <c r="AX484" s="84" t="s">
        <v>2541</v>
      </c>
      <c r="AY484" s="86" t="s">
        <v>2651</v>
      </c>
      <c r="AZ484" s="88">
        <f t="shared" si="15"/>
        <v>0</v>
      </c>
      <c r="BX484" s="88"/>
      <c r="CQ484" s="88"/>
    </row>
    <row r="485" spans="1:96" ht="33.75" outlineLevel="1" x14ac:dyDescent="0.15">
      <c r="A485" s="76">
        <v>484</v>
      </c>
      <c r="B485" s="65" t="s">
        <v>1041</v>
      </c>
      <c r="C485" s="65">
        <v>1000287688</v>
      </c>
      <c r="D485" s="81" t="str">
        <f t="shared" si="16"/>
        <v>https://portal.dnb.de/opac.htm?method=simpleSearch&amp;cqlMode=true&amp;query=idn%3D1000287688</v>
      </c>
      <c r="E485" s="65" t="s">
        <v>2577</v>
      </c>
      <c r="F485" s="76"/>
      <c r="G485" s="78" t="s">
        <v>4</v>
      </c>
      <c r="H485" s="76" t="s">
        <v>51</v>
      </c>
      <c r="I485" s="78" t="s">
        <v>90</v>
      </c>
      <c r="J485" s="78" t="s">
        <v>2513</v>
      </c>
      <c r="K485" s="76"/>
      <c r="L485" s="76" t="s">
        <v>35</v>
      </c>
      <c r="M485" s="76" t="s">
        <v>37</v>
      </c>
      <c r="N485" s="76">
        <v>0</v>
      </c>
      <c r="O485" s="76"/>
      <c r="P485" s="76"/>
      <c r="Q485" s="76"/>
      <c r="R485" s="76"/>
      <c r="AZ485" s="88">
        <f t="shared" si="15"/>
        <v>0</v>
      </c>
      <c r="BX485" s="88"/>
      <c r="CQ485" s="88"/>
    </row>
    <row r="486" spans="1:96" outlineLevel="1" x14ac:dyDescent="0.15">
      <c r="A486" s="76">
        <v>485</v>
      </c>
      <c r="B486" s="65" t="s">
        <v>1043</v>
      </c>
      <c r="C486" s="65" t="s">
        <v>1044</v>
      </c>
      <c r="D486" s="81" t="str">
        <f t="shared" si="16"/>
        <v>https://portal.dnb.de/opac.htm?method=simpleSearch&amp;cqlMode=true&amp;query=idn%3D100028736X</v>
      </c>
      <c r="E486" s="65" t="s">
        <v>1042</v>
      </c>
      <c r="F486" s="76"/>
      <c r="G486" s="78"/>
      <c r="H486" s="76"/>
      <c r="I486" s="78"/>
      <c r="J486" s="78"/>
      <c r="K486" s="76"/>
      <c r="L486" s="76"/>
      <c r="M486" s="76"/>
      <c r="N486" s="76"/>
      <c r="O486" s="76"/>
      <c r="P486" s="76"/>
      <c r="Q486" s="76"/>
      <c r="R486" s="76"/>
      <c r="AZ486" s="88">
        <f t="shared" si="15"/>
        <v>0</v>
      </c>
      <c r="BX486" s="88"/>
      <c r="CQ486" s="88"/>
    </row>
    <row r="487" spans="1:96" outlineLevel="1" x14ac:dyDescent="0.15">
      <c r="A487" s="76">
        <v>486</v>
      </c>
      <c r="B487" s="65" t="s">
        <v>1045</v>
      </c>
      <c r="C487" s="65">
        <v>993865046</v>
      </c>
      <c r="D487" s="81" t="str">
        <f t="shared" si="16"/>
        <v>https://portal.dnb.de/opac.htm?method=simpleSearch&amp;cqlMode=true&amp;query=idn%3D993865046</v>
      </c>
      <c r="E487" s="65" t="s">
        <v>1046</v>
      </c>
      <c r="F487" s="76"/>
      <c r="G487" s="78"/>
      <c r="H487" s="76"/>
      <c r="I487" s="78"/>
      <c r="J487" s="78"/>
      <c r="K487" s="76"/>
      <c r="L487" s="76"/>
      <c r="M487" s="76"/>
      <c r="N487" s="76"/>
      <c r="O487" s="76"/>
      <c r="P487" s="76"/>
      <c r="Q487" s="76"/>
      <c r="R487" s="76"/>
      <c r="AZ487" s="88">
        <f t="shared" si="15"/>
        <v>0</v>
      </c>
      <c r="BX487" s="88"/>
      <c r="CQ487" s="88"/>
    </row>
    <row r="488" spans="1:96" ht="22.5" outlineLevel="1" x14ac:dyDescent="0.15">
      <c r="A488" s="76">
        <v>487</v>
      </c>
      <c r="B488" s="65" t="s">
        <v>1047</v>
      </c>
      <c r="C488" s="65">
        <v>994952821</v>
      </c>
      <c r="D488" s="81" t="str">
        <f t="shared" si="16"/>
        <v>https://portal.dnb.de/opac.htm?method=simpleSearch&amp;cqlMode=true&amp;query=idn%3D994952821</v>
      </c>
      <c r="E488" s="65" t="s">
        <v>1048</v>
      </c>
      <c r="F488" s="76" t="s">
        <v>89</v>
      </c>
      <c r="G488" s="78" t="s">
        <v>4</v>
      </c>
      <c r="H488" s="76" t="s">
        <v>51</v>
      </c>
      <c r="I488" s="78" t="s">
        <v>90</v>
      </c>
      <c r="J488" s="78" t="s">
        <v>2540</v>
      </c>
      <c r="K488" s="76"/>
      <c r="L488" s="76" t="s">
        <v>35</v>
      </c>
      <c r="M488" s="76" t="s">
        <v>37</v>
      </c>
      <c r="N488" s="76">
        <v>0</v>
      </c>
      <c r="O488" s="76"/>
      <c r="P488" s="76"/>
      <c r="Q488" s="76"/>
      <c r="R488" s="76"/>
      <c r="X488" s="84" t="s">
        <v>2697</v>
      </c>
      <c r="Z488" s="84" t="s">
        <v>2541</v>
      </c>
      <c r="AA488" s="84" t="s">
        <v>2647</v>
      </c>
      <c r="AG488" s="84" t="s">
        <v>2643</v>
      </c>
      <c r="AN488" s="84" t="s">
        <v>2541</v>
      </c>
      <c r="AO488" s="86" t="s">
        <v>2875</v>
      </c>
      <c r="AU488" s="84">
        <v>110</v>
      </c>
      <c r="AW488" s="84" t="s">
        <v>2541</v>
      </c>
      <c r="AY488" s="86" t="s">
        <v>2644</v>
      </c>
      <c r="AZ488" s="88">
        <f t="shared" si="15"/>
        <v>0.5</v>
      </c>
      <c r="BB488" s="84" t="s">
        <v>2777</v>
      </c>
      <c r="BX488" s="88"/>
      <c r="CH488" s="84" t="s">
        <v>2541</v>
      </c>
      <c r="CQ488" s="88">
        <v>0.5</v>
      </c>
      <c r="CR488" s="79" t="s">
        <v>2876</v>
      </c>
    </row>
    <row r="489" spans="1:96" outlineLevel="1" x14ac:dyDescent="0.15">
      <c r="A489" s="76">
        <v>488</v>
      </c>
      <c r="B489" s="65" t="s">
        <v>1049</v>
      </c>
      <c r="C489" s="65">
        <v>994952139</v>
      </c>
      <c r="D489" s="81" t="str">
        <f t="shared" si="16"/>
        <v>https://portal.dnb.de/opac.htm?method=simpleSearch&amp;cqlMode=true&amp;query=idn%3D994952139</v>
      </c>
      <c r="E489" s="65" t="s">
        <v>2874</v>
      </c>
      <c r="F489" s="76"/>
      <c r="G489" s="78"/>
      <c r="H489" s="76"/>
      <c r="I489" s="78"/>
      <c r="J489" s="78"/>
      <c r="K489" s="76"/>
      <c r="L489" s="76"/>
      <c r="M489" s="76"/>
      <c r="N489" s="76"/>
      <c r="O489" s="76"/>
      <c r="P489" s="76"/>
      <c r="Q489" s="76"/>
      <c r="R489" s="76"/>
      <c r="AZ489" s="88">
        <f t="shared" si="15"/>
        <v>0</v>
      </c>
      <c r="BX489" s="88"/>
      <c r="CQ489" s="88"/>
    </row>
    <row r="490" spans="1:96" outlineLevel="1" x14ac:dyDescent="0.15">
      <c r="A490" s="76">
        <v>489</v>
      </c>
      <c r="B490" s="65" t="s">
        <v>1050</v>
      </c>
      <c r="C490" s="65">
        <v>1066800626</v>
      </c>
      <c r="D490" s="81" t="str">
        <f t="shared" si="16"/>
        <v>https://portal.dnb.de/opac.htm?method=simpleSearch&amp;cqlMode=true&amp;query=idn%3D1066800626</v>
      </c>
      <c r="E490" s="65" t="s">
        <v>1051</v>
      </c>
      <c r="F490" s="76" t="s">
        <v>89</v>
      </c>
      <c r="G490" s="78" t="s">
        <v>4</v>
      </c>
      <c r="H490" s="76" t="s">
        <v>50</v>
      </c>
      <c r="I490" s="78" t="s">
        <v>86</v>
      </c>
      <c r="J490" s="78" t="s">
        <v>94</v>
      </c>
      <c r="K490" s="76"/>
      <c r="L490" s="76" t="s">
        <v>35</v>
      </c>
      <c r="M490" s="76" t="s">
        <v>37</v>
      </c>
      <c r="N490" s="76">
        <v>0</v>
      </c>
      <c r="O490" s="76"/>
      <c r="P490" s="76"/>
      <c r="Q490" s="76"/>
      <c r="R490" s="76"/>
      <c r="X490" s="84" t="s">
        <v>2697</v>
      </c>
      <c r="Z490" s="84" t="s">
        <v>2541</v>
      </c>
      <c r="AA490" s="84" t="s">
        <v>2653</v>
      </c>
      <c r="AG490" s="84" t="s">
        <v>2643</v>
      </c>
      <c r="AS490" s="84">
        <v>4</v>
      </c>
      <c r="AU490" s="84">
        <v>0</v>
      </c>
      <c r="AY490" s="86" t="s">
        <v>2651</v>
      </c>
      <c r="AZ490" s="88">
        <f t="shared" si="15"/>
        <v>0</v>
      </c>
      <c r="BB490" s="84" t="s">
        <v>2777</v>
      </c>
      <c r="BX490" s="88"/>
      <c r="CQ490" s="88"/>
    </row>
    <row r="491" spans="1:96" outlineLevel="1" x14ac:dyDescent="0.15">
      <c r="A491" s="76">
        <v>490</v>
      </c>
      <c r="B491" s="65" t="s">
        <v>1052</v>
      </c>
      <c r="C491" s="65">
        <v>994684622</v>
      </c>
      <c r="D491" s="81" t="str">
        <f t="shared" si="16"/>
        <v>https://portal.dnb.de/opac.htm?method=simpleSearch&amp;cqlMode=true&amp;query=idn%3D994684622</v>
      </c>
      <c r="E491" s="65" t="s">
        <v>2872</v>
      </c>
      <c r="F491" s="76"/>
      <c r="G491" s="78" t="s">
        <v>46</v>
      </c>
      <c r="H491" s="76" t="s">
        <v>52</v>
      </c>
      <c r="I491" s="78" t="s">
        <v>90</v>
      </c>
      <c r="J491" s="78" t="s">
        <v>2517</v>
      </c>
      <c r="K491" s="76"/>
      <c r="L491" s="76"/>
      <c r="M491" s="76"/>
      <c r="N491" s="76">
        <v>1</v>
      </c>
      <c r="O491" s="76"/>
      <c r="P491" s="76"/>
      <c r="Q491" s="76"/>
      <c r="R491" s="76"/>
      <c r="X491" s="84" t="s">
        <v>2641</v>
      </c>
      <c r="Z491" s="84" t="s">
        <v>2541</v>
      </c>
      <c r="AA491" s="84" t="s">
        <v>2642</v>
      </c>
      <c r="AG491" s="84" t="s">
        <v>2643</v>
      </c>
      <c r="AL491" s="84" t="s">
        <v>2541</v>
      </c>
      <c r="AQ491" s="84" t="s">
        <v>2658</v>
      </c>
      <c r="AR491" s="84" t="s">
        <v>2541</v>
      </c>
      <c r="AS491" s="84">
        <v>0</v>
      </c>
      <c r="AT491" s="84" t="s">
        <v>2541</v>
      </c>
      <c r="AU491" s="84">
        <v>80</v>
      </c>
      <c r="AY491" s="86" t="s">
        <v>2651</v>
      </c>
      <c r="AZ491" s="88">
        <f t="shared" si="15"/>
        <v>0</v>
      </c>
      <c r="BB491" s="84" t="s">
        <v>2777</v>
      </c>
      <c r="BX491" s="88"/>
      <c r="CQ491" s="88"/>
    </row>
    <row r="492" spans="1:96" outlineLevel="1" x14ac:dyDescent="0.15">
      <c r="A492" s="76">
        <v>491</v>
      </c>
      <c r="B492" s="65" t="s">
        <v>1053</v>
      </c>
      <c r="C492" s="65">
        <v>994684444</v>
      </c>
      <c r="D492" s="81" t="str">
        <f t="shared" si="16"/>
        <v>https://portal.dnb.de/opac.htm?method=simpleSearch&amp;cqlMode=true&amp;query=idn%3D994684444</v>
      </c>
      <c r="E492" s="65" t="s">
        <v>2873</v>
      </c>
      <c r="F492" s="76" t="s">
        <v>89</v>
      </c>
      <c r="G492" s="78" t="s">
        <v>46</v>
      </c>
      <c r="H492" s="76" t="s">
        <v>52</v>
      </c>
      <c r="I492" s="78" t="s">
        <v>90</v>
      </c>
      <c r="J492" s="78" t="s">
        <v>2509</v>
      </c>
      <c r="K492" s="76"/>
      <c r="L492" s="76"/>
      <c r="M492" s="76"/>
      <c r="N492" s="76">
        <v>0</v>
      </c>
      <c r="O492" s="76"/>
      <c r="P492" s="76"/>
      <c r="Q492" s="76"/>
      <c r="R492" s="76"/>
      <c r="X492" s="84" t="s">
        <v>2641</v>
      </c>
      <c r="Z492" s="84" t="s">
        <v>2541</v>
      </c>
      <c r="AA492" s="84" t="s">
        <v>2642</v>
      </c>
      <c r="AG492" s="84" t="s">
        <v>2643</v>
      </c>
      <c r="AL492" s="84" t="s">
        <v>2541</v>
      </c>
      <c r="AQ492" s="84" t="s">
        <v>2658</v>
      </c>
      <c r="AR492" s="84" t="s">
        <v>2541</v>
      </c>
      <c r="AS492" s="84">
        <v>0</v>
      </c>
      <c r="AT492" s="84" t="s">
        <v>2541</v>
      </c>
      <c r="AU492" s="84">
        <v>60</v>
      </c>
      <c r="AY492" s="86" t="s">
        <v>2651</v>
      </c>
      <c r="AZ492" s="88">
        <f t="shared" si="15"/>
        <v>0</v>
      </c>
      <c r="BB492" s="84" t="s">
        <v>2777</v>
      </c>
      <c r="BX492" s="88"/>
      <c r="CQ492" s="88"/>
    </row>
    <row r="493" spans="1:96" ht="22.5" outlineLevel="1" x14ac:dyDescent="0.15">
      <c r="A493" s="76">
        <v>492</v>
      </c>
      <c r="B493" s="65" t="s">
        <v>1054</v>
      </c>
      <c r="C493" s="65">
        <v>994685009</v>
      </c>
      <c r="D493" s="81" t="str">
        <f t="shared" si="16"/>
        <v>https://portal.dnb.de/opac.htm?method=simpleSearch&amp;cqlMode=true&amp;query=idn%3D994685009</v>
      </c>
      <c r="E493" s="65" t="s">
        <v>2871</v>
      </c>
      <c r="F493" s="76"/>
      <c r="G493" s="78" t="s">
        <v>2510</v>
      </c>
      <c r="H493" s="76" t="s">
        <v>53</v>
      </c>
      <c r="I493" s="78" t="s">
        <v>90</v>
      </c>
      <c r="J493" s="78" t="s">
        <v>69</v>
      </c>
      <c r="K493" s="76"/>
      <c r="L493" s="76" t="s">
        <v>35</v>
      </c>
      <c r="M493" s="76" t="s">
        <v>37</v>
      </c>
      <c r="N493" s="76">
        <v>0</v>
      </c>
      <c r="O493" s="76"/>
      <c r="P493" s="76"/>
      <c r="Q493" s="76"/>
      <c r="R493" s="76"/>
      <c r="X493" s="84" t="s">
        <v>2641</v>
      </c>
      <c r="Z493" s="84" t="s">
        <v>2541</v>
      </c>
      <c r="AA493" s="84" t="s">
        <v>2642</v>
      </c>
      <c r="AG493" s="84" t="s">
        <v>2643</v>
      </c>
      <c r="AL493" s="84" t="s">
        <v>2541</v>
      </c>
      <c r="AQ493" s="84" t="s">
        <v>2658</v>
      </c>
      <c r="AR493" s="84" t="s">
        <v>2541</v>
      </c>
      <c r="AS493" s="84">
        <v>0</v>
      </c>
      <c r="AT493" s="84" t="s">
        <v>2541</v>
      </c>
      <c r="AU493" s="84">
        <v>80</v>
      </c>
      <c r="AY493" s="86" t="s">
        <v>2651</v>
      </c>
      <c r="AZ493" s="88">
        <f t="shared" si="15"/>
        <v>0</v>
      </c>
      <c r="BB493" s="84" t="s">
        <v>2777</v>
      </c>
      <c r="BX493" s="88"/>
      <c r="CQ493" s="88"/>
    </row>
    <row r="494" spans="1:96" ht="22.5" outlineLevel="1" x14ac:dyDescent="0.15">
      <c r="A494" s="76">
        <v>493</v>
      </c>
      <c r="B494" s="65" t="s">
        <v>1055</v>
      </c>
      <c r="C494" s="65">
        <v>994684754</v>
      </c>
      <c r="D494" s="81" t="str">
        <f t="shared" si="16"/>
        <v>https://portal.dnb.de/opac.htm?method=simpleSearch&amp;cqlMode=true&amp;query=idn%3D994684754</v>
      </c>
      <c r="E494" s="65" t="s">
        <v>2870</v>
      </c>
      <c r="F494" s="76"/>
      <c r="G494" s="78" t="s">
        <v>2510</v>
      </c>
      <c r="H494" s="76" t="s">
        <v>53</v>
      </c>
      <c r="I494" s="78" t="s">
        <v>90</v>
      </c>
      <c r="J494" s="78" t="s">
        <v>69</v>
      </c>
      <c r="K494" s="76"/>
      <c r="L494" s="76" t="s">
        <v>35</v>
      </c>
      <c r="M494" s="76" t="s">
        <v>37</v>
      </c>
      <c r="N494" s="76">
        <v>0</v>
      </c>
      <c r="O494" s="76"/>
      <c r="P494" s="76"/>
      <c r="Q494" s="76"/>
      <c r="R494" s="76"/>
      <c r="X494" s="84" t="s">
        <v>2641</v>
      </c>
      <c r="Z494" s="84" t="s">
        <v>2541</v>
      </c>
      <c r="AA494" s="84" t="s">
        <v>2642</v>
      </c>
      <c r="AG494" s="84" t="s">
        <v>2643</v>
      </c>
      <c r="AL494" s="84" t="s">
        <v>2541</v>
      </c>
      <c r="AQ494" s="84" t="s">
        <v>2658</v>
      </c>
      <c r="AR494" s="84" t="s">
        <v>2541</v>
      </c>
      <c r="AS494" s="84">
        <v>0</v>
      </c>
      <c r="AT494" s="84" t="s">
        <v>2541</v>
      </c>
      <c r="AU494" s="84">
        <v>80</v>
      </c>
      <c r="AY494" s="86" t="s">
        <v>2651</v>
      </c>
      <c r="AZ494" s="88">
        <f t="shared" si="15"/>
        <v>0</v>
      </c>
      <c r="BB494" s="84" t="s">
        <v>2777</v>
      </c>
      <c r="BX494" s="88"/>
      <c r="CQ494" s="88"/>
    </row>
    <row r="495" spans="1:96" outlineLevel="1" x14ac:dyDescent="0.15">
      <c r="A495" s="76">
        <v>494</v>
      </c>
      <c r="B495" s="65" t="s">
        <v>1056</v>
      </c>
      <c r="C495" s="65">
        <v>1208537865</v>
      </c>
      <c r="D495" s="81" t="str">
        <f t="shared" si="16"/>
        <v>https://portal.dnb.de/opac.htm?method=simpleSearch&amp;cqlMode=true&amp;query=idn%3D1208537865</v>
      </c>
      <c r="E495" s="65" t="s">
        <v>1057</v>
      </c>
      <c r="F495" s="76"/>
      <c r="G495" s="78"/>
      <c r="H495" s="76"/>
      <c r="I495" s="78"/>
      <c r="J495" s="78"/>
      <c r="K495" s="76"/>
      <c r="L495" s="76"/>
      <c r="M495" s="76"/>
      <c r="N495" s="76"/>
      <c r="O495" s="76"/>
      <c r="P495" s="76"/>
      <c r="Q495" s="76"/>
      <c r="R495" s="76"/>
      <c r="AZ495" s="88">
        <f t="shared" si="15"/>
        <v>0</v>
      </c>
      <c r="BX495" s="88"/>
      <c r="CQ495" s="88"/>
    </row>
    <row r="496" spans="1:96" outlineLevel="1" x14ac:dyDescent="0.15">
      <c r="A496" s="76">
        <v>495</v>
      </c>
      <c r="B496" s="65" t="s">
        <v>1058</v>
      </c>
      <c r="C496" s="65">
        <v>1208537962</v>
      </c>
      <c r="D496" s="81" t="str">
        <f t="shared" si="16"/>
        <v>https://portal.dnb.de/opac.htm?method=simpleSearch&amp;cqlMode=true&amp;query=idn%3D1208537962</v>
      </c>
      <c r="E496" s="65" t="s">
        <v>1059</v>
      </c>
      <c r="F496" s="76"/>
      <c r="G496" s="78"/>
      <c r="H496" s="76"/>
      <c r="I496" s="78"/>
      <c r="J496" s="78"/>
      <c r="K496" s="76"/>
      <c r="L496" s="76"/>
      <c r="M496" s="76"/>
      <c r="N496" s="76"/>
      <c r="O496" s="76"/>
      <c r="P496" s="76"/>
      <c r="Q496" s="76"/>
      <c r="R496" s="76"/>
      <c r="AZ496" s="88">
        <f t="shared" si="15"/>
        <v>0</v>
      </c>
      <c r="BX496" s="88"/>
      <c r="CQ496" s="88"/>
    </row>
    <row r="497" spans="1:95" outlineLevel="1" x14ac:dyDescent="0.15">
      <c r="A497" s="76">
        <v>496</v>
      </c>
      <c r="B497" s="65" t="s">
        <v>1060</v>
      </c>
      <c r="C497" s="65">
        <v>1001987322</v>
      </c>
      <c r="D497" s="81" t="str">
        <f t="shared" si="16"/>
        <v>https://portal.dnb.de/opac.htm?method=simpleSearch&amp;cqlMode=true&amp;query=idn%3D1001987322</v>
      </c>
      <c r="E497" s="65" t="s">
        <v>1061</v>
      </c>
      <c r="F497" s="76"/>
      <c r="G497" s="78" t="s">
        <v>17</v>
      </c>
      <c r="H497" s="76" t="s">
        <v>50</v>
      </c>
      <c r="I497" s="78" t="s">
        <v>55</v>
      </c>
      <c r="J497" s="78" t="s">
        <v>81</v>
      </c>
      <c r="K497" s="76"/>
      <c r="L497" s="76" t="s">
        <v>35</v>
      </c>
      <c r="M497" s="76" t="s">
        <v>37</v>
      </c>
      <c r="N497" s="76">
        <v>0</v>
      </c>
      <c r="O497" s="76"/>
      <c r="P497" s="76"/>
      <c r="Q497" s="76"/>
      <c r="R497" s="76"/>
      <c r="AZ497" s="88">
        <f t="shared" si="15"/>
        <v>0</v>
      </c>
      <c r="BX497" s="88"/>
      <c r="CQ497" s="88"/>
    </row>
    <row r="498" spans="1:95" outlineLevel="1" x14ac:dyDescent="0.15">
      <c r="A498" s="76">
        <v>497</v>
      </c>
      <c r="B498" s="65" t="s">
        <v>1062</v>
      </c>
      <c r="C498" s="65">
        <v>1208663151</v>
      </c>
      <c r="D498" s="81" t="str">
        <f>HYPERLINK(CONCATENATE("https://portal.dnb.de/opac.htm?method=simpleSearch&amp;cqlMode=true&amp;query=idn%3D",C498))</f>
        <v>https://portal.dnb.de/opac.htm?method=simpleSearch&amp;cqlMode=true&amp;query=idn%3D1208663151</v>
      </c>
      <c r="E498" s="65" t="s">
        <v>2575</v>
      </c>
      <c r="F498" s="76"/>
      <c r="G498" s="78"/>
      <c r="H498" s="76"/>
      <c r="I498" s="78"/>
      <c r="J498" s="78"/>
      <c r="K498" s="76"/>
      <c r="L498" s="76"/>
      <c r="M498" s="76"/>
      <c r="N498" s="76"/>
      <c r="O498" s="76"/>
      <c r="P498" s="76"/>
      <c r="Q498" s="76"/>
      <c r="R498" s="76"/>
      <c r="AZ498" s="88">
        <f t="shared" si="15"/>
        <v>0</v>
      </c>
      <c r="BX498" s="88"/>
      <c r="CQ498" s="88"/>
    </row>
    <row r="499" spans="1:95" outlineLevel="1" x14ac:dyDescent="0.15">
      <c r="A499" s="76">
        <v>498</v>
      </c>
      <c r="B499" s="65" t="s">
        <v>1063</v>
      </c>
      <c r="C499" s="65">
        <v>1208926721</v>
      </c>
      <c r="D499" s="81" t="str">
        <f t="shared" si="16"/>
        <v>https://portal.dnb.de/opac.htm?method=simpleSearch&amp;cqlMode=true&amp;query=idn%3D1208926721</v>
      </c>
      <c r="E499" s="65" t="s">
        <v>1064</v>
      </c>
      <c r="F499" s="76"/>
      <c r="G499" s="78"/>
      <c r="H499" s="76"/>
      <c r="I499" s="78"/>
      <c r="J499" s="78"/>
      <c r="K499" s="76"/>
      <c r="L499" s="76"/>
      <c r="M499" s="76"/>
      <c r="N499" s="76"/>
      <c r="O499" s="76"/>
      <c r="P499" s="76"/>
      <c r="Q499" s="76"/>
      <c r="R499" s="76"/>
      <c r="AZ499" s="88">
        <f t="shared" si="15"/>
        <v>0</v>
      </c>
      <c r="BX499" s="88"/>
      <c r="CQ499" s="88"/>
    </row>
    <row r="500" spans="1:95" outlineLevel="1" x14ac:dyDescent="0.15">
      <c r="A500" s="76">
        <v>499</v>
      </c>
      <c r="B500" s="65" t="s">
        <v>1065</v>
      </c>
      <c r="C500" s="65">
        <v>994509766</v>
      </c>
      <c r="D500" s="81" t="str">
        <f t="shared" si="16"/>
        <v>https://portal.dnb.de/opac.htm?method=simpleSearch&amp;cqlMode=true&amp;query=idn%3D994509766</v>
      </c>
      <c r="E500" s="65" t="s">
        <v>1066</v>
      </c>
      <c r="F500" s="76" t="s">
        <v>89</v>
      </c>
      <c r="G500" s="78" t="s">
        <v>4</v>
      </c>
      <c r="H500" s="76" t="s">
        <v>50</v>
      </c>
      <c r="I500" s="78" t="s">
        <v>90</v>
      </c>
      <c r="J500" s="78" t="s">
        <v>94</v>
      </c>
      <c r="K500" s="76"/>
      <c r="L500" s="76" t="s">
        <v>35</v>
      </c>
      <c r="M500" s="76" t="s">
        <v>37</v>
      </c>
      <c r="N500" s="76">
        <v>0</v>
      </c>
      <c r="O500" s="76"/>
      <c r="P500" s="76"/>
      <c r="Q500" s="76"/>
      <c r="R500" s="76"/>
      <c r="AZ500" s="88">
        <f t="shared" si="15"/>
        <v>0</v>
      </c>
      <c r="BX500" s="88"/>
      <c r="CQ500" s="88"/>
    </row>
    <row r="501" spans="1:95" outlineLevel="1" x14ac:dyDescent="0.15">
      <c r="A501" s="76">
        <v>500</v>
      </c>
      <c r="B501" s="65" t="s">
        <v>1067</v>
      </c>
      <c r="C501" s="65" t="s">
        <v>1068</v>
      </c>
      <c r="D501" s="81" t="str">
        <f t="shared" si="16"/>
        <v>https://portal.dnb.de/opac.htm?method=simpleSearch&amp;cqlMode=true&amp;query=idn%3D100231917X</v>
      </c>
      <c r="E501" s="65" t="s">
        <v>1069</v>
      </c>
      <c r="F501" s="76"/>
      <c r="G501" s="78"/>
      <c r="H501" s="76"/>
      <c r="I501" s="78"/>
      <c r="J501" s="78"/>
      <c r="K501" s="76"/>
      <c r="L501" s="76"/>
      <c r="M501" s="76"/>
      <c r="N501" s="76"/>
      <c r="O501" s="76"/>
      <c r="P501" s="76"/>
      <c r="Q501" s="76"/>
      <c r="R501" s="76"/>
      <c r="AZ501" s="88">
        <f t="shared" si="15"/>
        <v>0</v>
      </c>
      <c r="BX501" s="88"/>
      <c r="CQ501" s="88"/>
    </row>
    <row r="502" spans="1:95" outlineLevel="1" x14ac:dyDescent="0.15">
      <c r="A502" s="76">
        <v>501</v>
      </c>
      <c r="B502" s="65" t="s">
        <v>1070</v>
      </c>
      <c r="C502" s="65">
        <v>1066963053</v>
      </c>
      <c r="D502" s="81" t="str">
        <f t="shared" si="16"/>
        <v>https://portal.dnb.de/opac.htm?method=simpleSearch&amp;cqlMode=true&amp;query=idn%3D1066963053</v>
      </c>
      <c r="E502" s="65" t="s">
        <v>1071</v>
      </c>
      <c r="F502" s="76"/>
      <c r="G502" s="78"/>
      <c r="H502" s="76"/>
      <c r="I502" s="78"/>
      <c r="J502" s="78"/>
      <c r="K502" s="76"/>
      <c r="L502" s="76"/>
      <c r="M502" s="76"/>
      <c r="N502" s="76"/>
      <c r="O502" s="76"/>
      <c r="P502" s="76"/>
      <c r="Q502" s="76"/>
      <c r="R502" s="76"/>
      <c r="AZ502" s="88">
        <f t="shared" si="15"/>
        <v>0</v>
      </c>
      <c r="BX502" s="88"/>
      <c r="CQ502" s="88"/>
    </row>
    <row r="503" spans="1:95" outlineLevel="1" x14ac:dyDescent="0.15">
      <c r="A503" s="76">
        <v>502</v>
      </c>
      <c r="B503" s="65" t="s">
        <v>1072</v>
      </c>
      <c r="C503" s="65">
        <v>993918859</v>
      </c>
      <c r="D503" s="81" t="str">
        <f t="shared" si="16"/>
        <v>https://portal.dnb.de/opac.htm?method=simpleSearch&amp;cqlMode=true&amp;query=idn%3D993918859</v>
      </c>
      <c r="E503" s="65" t="s">
        <v>1073</v>
      </c>
      <c r="F503" s="76" t="s">
        <v>89</v>
      </c>
      <c r="G503" s="78" t="s">
        <v>5</v>
      </c>
      <c r="H503" s="76" t="s">
        <v>50</v>
      </c>
      <c r="I503" s="78" t="s">
        <v>90</v>
      </c>
      <c r="J503" s="78" t="s">
        <v>81</v>
      </c>
      <c r="K503" s="76"/>
      <c r="L503" s="76"/>
      <c r="M503" s="76"/>
      <c r="N503" s="76">
        <v>0</v>
      </c>
      <c r="O503" s="76"/>
      <c r="P503" s="76"/>
      <c r="Q503" s="76"/>
      <c r="R503" s="76"/>
      <c r="AZ503" s="88">
        <f t="shared" si="15"/>
        <v>0</v>
      </c>
      <c r="BX503" s="88"/>
      <c r="CQ503" s="88"/>
    </row>
    <row r="504" spans="1:95" outlineLevel="1" x14ac:dyDescent="0.15">
      <c r="A504" s="76">
        <v>503</v>
      </c>
      <c r="B504" s="65" t="s">
        <v>1074</v>
      </c>
      <c r="C504" s="65">
        <v>1066961964</v>
      </c>
      <c r="D504" s="81" t="str">
        <f t="shared" si="16"/>
        <v>https://portal.dnb.de/opac.htm?method=simpleSearch&amp;cqlMode=true&amp;query=idn%3D1066961964</v>
      </c>
      <c r="E504" s="65" t="s">
        <v>1075</v>
      </c>
      <c r="F504" s="76"/>
      <c r="G504" s="78"/>
      <c r="H504" s="76"/>
      <c r="I504" s="78"/>
      <c r="J504" s="78"/>
      <c r="K504" s="76"/>
      <c r="L504" s="76"/>
      <c r="M504" s="76"/>
      <c r="N504" s="76"/>
      <c r="O504" s="76"/>
      <c r="P504" s="76"/>
      <c r="Q504" s="76"/>
      <c r="R504" s="76"/>
      <c r="AZ504" s="88">
        <f t="shared" si="15"/>
        <v>0</v>
      </c>
      <c r="BX504" s="88"/>
      <c r="CQ504" s="88"/>
    </row>
    <row r="505" spans="1:95" outlineLevel="1" x14ac:dyDescent="0.15">
      <c r="A505" s="76">
        <v>504</v>
      </c>
      <c r="B505" s="65" t="s">
        <v>1076</v>
      </c>
      <c r="C505" s="65" t="s">
        <v>1077</v>
      </c>
      <c r="D505" s="81" t="str">
        <f t="shared" si="16"/>
        <v>https://portal.dnb.de/opac.htm?method=simpleSearch&amp;cqlMode=true&amp;query=idn%3D120880068X</v>
      </c>
      <c r="E505" s="65" t="s">
        <v>1078</v>
      </c>
      <c r="F505" s="76"/>
      <c r="G505" s="78"/>
      <c r="H505" s="76"/>
      <c r="I505" s="78"/>
      <c r="J505" s="78"/>
      <c r="K505" s="76"/>
      <c r="L505" s="76"/>
      <c r="M505" s="76"/>
      <c r="N505" s="76"/>
      <c r="O505" s="76"/>
      <c r="P505" s="76"/>
      <c r="Q505" s="76"/>
      <c r="R505" s="76"/>
      <c r="AZ505" s="88">
        <f t="shared" si="15"/>
        <v>0</v>
      </c>
      <c r="BX505" s="88"/>
      <c r="CQ505" s="88"/>
    </row>
    <row r="506" spans="1:95" outlineLevel="1" x14ac:dyDescent="0.15">
      <c r="A506" s="76">
        <v>505</v>
      </c>
      <c r="B506" s="65" t="s">
        <v>1079</v>
      </c>
      <c r="C506" s="65" t="s">
        <v>1080</v>
      </c>
      <c r="D506" s="81" t="str">
        <f t="shared" si="16"/>
        <v>https://portal.dnb.de/opac.htm?method=simpleSearch&amp;cqlMode=true&amp;query=idn%3D99897188X</v>
      </c>
      <c r="E506" s="65" t="s">
        <v>1081</v>
      </c>
      <c r="F506" s="76"/>
      <c r="G506" s="78" t="s">
        <v>17</v>
      </c>
      <c r="H506" s="76" t="s">
        <v>50</v>
      </c>
      <c r="I506" s="78" t="s">
        <v>55</v>
      </c>
      <c r="J506" s="78"/>
      <c r="K506" s="76"/>
      <c r="L506" s="76"/>
      <c r="M506" s="76"/>
      <c r="N506" s="76">
        <v>0</v>
      </c>
      <c r="O506" s="76"/>
      <c r="P506" s="76"/>
      <c r="Q506" s="76"/>
      <c r="R506" s="76"/>
      <c r="AZ506" s="88">
        <f t="shared" si="15"/>
        <v>0</v>
      </c>
      <c r="BX506" s="88"/>
      <c r="CQ506" s="88"/>
    </row>
    <row r="507" spans="1:95" outlineLevel="1" x14ac:dyDescent="0.15">
      <c r="A507" s="76">
        <v>506</v>
      </c>
      <c r="B507" s="65" t="s">
        <v>1082</v>
      </c>
      <c r="C507" s="65">
        <v>993918581</v>
      </c>
      <c r="D507" s="81" t="str">
        <f t="shared" si="16"/>
        <v>https://portal.dnb.de/opac.htm?method=simpleSearch&amp;cqlMode=true&amp;query=idn%3D993918581</v>
      </c>
      <c r="E507" s="65" t="s">
        <v>1083</v>
      </c>
      <c r="F507" s="76"/>
      <c r="G507" s="78"/>
      <c r="H507" s="76"/>
      <c r="I507" s="78"/>
      <c r="J507" s="78"/>
      <c r="K507" s="76"/>
      <c r="L507" s="76"/>
      <c r="M507" s="76"/>
      <c r="N507" s="76"/>
      <c r="O507" s="76"/>
      <c r="P507" s="76"/>
      <c r="Q507" s="76"/>
      <c r="R507" s="76"/>
      <c r="AZ507" s="88">
        <f t="shared" si="15"/>
        <v>0</v>
      </c>
      <c r="BX507" s="88"/>
      <c r="CQ507" s="88"/>
    </row>
    <row r="508" spans="1:95" outlineLevel="1" x14ac:dyDescent="0.15">
      <c r="A508" s="76">
        <v>507</v>
      </c>
      <c r="B508" s="65" t="s">
        <v>1084</v>
      </c>
      <c r="C508" s="65">
        <v>993931456</v>
      </c>
      <c r="D508" s="81" t="str">
        <f t="shared" si="16"/>
        <v>https://portal.dnb.de/opac.htm?method=simpleSearch&amp;cqlMode=true&amp;query=idn%3D993931456</v>
      </c>
      <c r="E508" s="65" t="s">
        <v>1085</v>
      </c>
      <c r="F508" s="76"/>
      <c r="G508" s="78" t="s">
        <v>46</v>
      </c>
      <c r="H508" s="76" t="s">
        <v>50</v>
      </c>
      <c r="I508" s="78" t="s">
        <v>55</v>
      </c>
      <c r="J508" s="78"/>
      <c r="K508" s="76"/>
      <c r="L508" s="76"/>
      <c r="M508" s="76"/>
      <c r="N508" s="76">
        <v>0</v>
      </c>
      <c r="O508" s="76"/>
      <c r="P508" s="76"/>
      <c r="Q508" s="76"/>
      <c r="R508" s="76"/>
      <c r="AZ508" s="88">
        <f t="shared" si="15"/>
        <v>0</v>
      </c>
      <c r="BX508" s="88"/>
      <c r="CQ508" s="88"/>
    </row>
    <row r="509" spans="1:95" outlineLevel="1" x14ac:dyDescent="0.15">
      <c r="A509" s="76">
        <v>508</v>
      </c>
      <c r="B509" s="65" t="s">
        <v>1086</v>
      </c>
      <c r="C509" s="65">
        <v>993850308</v>
      </c>
      <c r="D509" s="81" t="str">
        <f t="shared" si="16"/>
        <v>https://portal.dnb.de/opac.htm?method=simpleSearch&amp;cqlMode=true&amp;query=idn%3D993850308</v>
      </c>
      <c r="E509" s="65" t="s">
        <v>1087</v>
      </c>
      <c r="F509" s="76"/>
      <c r="G509" s="78"/>
      <c r="H509" s="76"/>
      <c r="I509" s="78"/>
      <c r="J509" s="78"/>
      <c r="K509" s="76"/>
      <c r="L509" s="76"/>
      <c r="M509" s="76"/>
      <c r="N509" s="76"/>
      <c r="O509" s="76"/>
      <c r="P509" s="76"/>
      <c r="Q509" s="76"/>
      <c r="R509" s="76"/>
      <c r="AZ509" s="88">
        <f t="shared" si="15"/>
        <v>0</v>
      </c>
      <c r="BX509" s="88"/>
      <c r="CQ509" s="88"/>
    </row>
    <row r="510" spans="1:95" outlineLevel="1" x14ac:dyDescent="0.15">
      <c r="A510" s="76">
        <v>509</v>
      </c>
      <c r="B510" s="65" t="s">
        <v>1088</v>
      </c>
      <c r="C510" s="65">
        <v>999128655</v>
      </c>
      <c r="D510" s="81" t="str">
        <f t="shared" si="16"/>
        <v>https://portal.dnb.de/opac.htm?method=simpleSearch&amp;cqlMode=true&amp;query=idn%3D999128655</v>
      </c>
      <c r="E510" s="65" t="s">
        <v>1089</v>
      </c>
      <c r="F510" s="76"/>
      <c r="G510" s="78" t="s">
        <v>17</v>
      </c>
      <c r="H510" s="76" t="s">
        <v>50</v>
      </c>
      <c r="I510" s="78" t="s">
        <v>55</v>
      </c>
      <c r="J510" s="78" t="s">
        <v>81</v>
      </c>
      <c r="K510" s="76"/>
      <c r="L510" s="76"/>
      <c r="M510" s="76" t="s">
        <v>101</v>
      </c>
      <c r="N510" s="76">
        <v>0</v>
      </c>
      <c r="O510" s="76"/>
      <c r="P510" s="76"/>
      <c r="Q510" s="76"/>
      <c r="R510" s="76"/>
      <c r="AZ510" s="88">
        <f t="shared" si="15"/>
        <v>0</v>
      </c>
      <c r="BX510" s="88"/>
      <c r="CQ510" s="88"/>
    </row>
    <row r="511" spans="1:95" outlineLevel="1" x14ac:dyDescent="0.15">
      <c r="A511" s="76">
        <v>510</v>
      </c>
      <c r="B511" s="65" t="s">
        <v>1090</v>
      </c>
      <c r="C511" s="65">
        <v>999794914</v>
      </c>
      <c r="D511" s="81" t="str">
        <f t="shared" si="16"/>
        <v>https://portal.dnb.de/opac.htm?method=simpleSearch&amp;cqlMode=true&amp;query=idn%3D999794914</v>
      </c>
      <c r="E511" s="65" t="s">
        <v>1091</v>
      </c>
      <c r="F511" s="76"/>
      <c r="G511" s="78"/>
      <c r="H511" s="76"/>
      <c r="I511" s="78"/>
      <c r="J511" s="78"/>
      <c r="K511" s="76"/>
      <c r="L511" s="76"/>
      <c r="M511" s="76"/>
      <c r="N511" s="76"/>
      <c r="O511" s="76"/>
      <c r="P511" s="76"/>
      <c r="Q511" s="76"/>
      <c r="R511" s="76"/>
      <c r="AZ511" s="88">
        <f t="shared" si="15"/>
        <v>0</v>
      </c>
      <c r="BX511" s="88"/>
      <c r="CQ511" s="88"/>
    </row>
    <row r="512" spans="1:95" outlineLevel="1" x14ac:dyDescent="0.15">
      <c r="A512" s="76">
        <v>511</v>
      </c>
      <c r="B512" s="65" t="s">
        <v>1092</v>
      </c>
      <c r="C512" s="65">
        <v>994116098</v>
      </c>
      <c r="D512" s="81" t="str">
        <f t="shared" si="16"/>
        <v>https://portal.dnb.de/opac.htm?method=simpleSearch&amp;cqlMode=true&amp;query=idn%3D994116098</v>
      </c>
      <c r="E512" s="65" t="s">
        <v>1093</v>
      </c>
      <c r="F512" s="76"/>
      <c r="G512" s="78"/>
      <c r="H512" s="76"/>
      <c r="I512" s="78"/>
      <c r="J512" s="78"/>
      <c r="K512" s="76"/>
      <c r="L512" s="76"/>
      <c r="M512" s="76"/>
      <c r="N512" s="76"/>
      <c r="O512" s="76"/>
      <c r="P512" s="76"/>
      <c r="Q512" s="76"/>
      <c r="R512" s="76"/>
      <c r="AZ512" s="88">
        <f t="shared" ref="AZ512:AZ575" si="17">BX512+CQ512</f>
        <v>0</v>
      </c>
      <c r="BX512" s="88"/>
      <c r="CQ512" s="88"/>
    </row>
    <row r="513" spans="1:95" outlineLevel="1" x14ac:dyDescent="0.15">
      <c r="A513" s="76">
        <v>512</v>
      </c>
      <c r="B513" s="65" t="s">
        <v>1094</v>
      </c>
      <c r="C513" s="65">
        <v>994252374</v>
      </c>
      <c r="D513" s="81" t="str">
        <f t="shared" si="16"/>
        <v>https://portal.dnb.de/opac.htm?method=simpleSearch&amp;cqlMode=true&amp;query=idn%3D994252374</v>
      </c>
      <c r="E513" s="65" t="s">
        <v>1095</v>
      </c>
      <c r="F513" s="76"/>
      <c r="G513" s="78" t="s">
        <v>46</v>
      </c>
      <c r="H513" s="76" t="s">
        <v>50</v>
      </c>
      <c r="I513" s="78" t="s">
        <v>55</v>
      </c>
      <c r="J513" s="78" t="s">
        <v>81</v>
      </c>
      <c r="K513" s="76"/>
      <c r="L513" s="76"/>
      <c r="M513" s="76"/>
      <c r="N513" s="76">
        <v>0</v>
      </c>
      <c r="O513" s="76"/>
      <c r="P513" s="76"/>
      <c r="Q513" s="76"/>
      <c r="R513" s="76"/>
      <c r="AZ513" s="88">
        <f t="shared" si="17"/>
        <v>0</v>
      </c>
      <c r="BX513" s="88"/>
      <c r="CQ513" s="88"/>
    </row>
    <row r="514" spans="1:95" outlineLevel="1" x14ac:dyDescent="0.15">
      <c r="A514" s="76">
        <v>513</v>
      </c>
      <c r="B514" s="65" t="s">
        <v>1096</v>
      </c>
      <c r="C514" s="65">
        <v>572342640</v>
      </c>
      <c r="D514" s="81" t="str">
        <f t="shared" si="16"/>
        <v>https://portal.dnb.de/opac.htm?method=simpleSearch&amp;cqlMode=true&amp;query=idn%3D572342640</v>
      </c>
      <c r="E514" s="65" t="s">
        <v>1097</v>
      </c>
      <c r="F514" s="76"/>
      <c r="G514" s="78" t="s">
        <v>46</v>
      </c>
      <c r="H514" s="76" t="s">
        <v>50</v>
      </c>
      <c r="I514" s="78" t="s">
        <v>55</v>
      </c>
      <c r="J514" s="78"/>
      <c r="K514" s="76"/>
      <c r="L514" s="76"/>
      <c r="M514" s="76"/>
      <c r="N514" s="76">
        <v>0</v>
      </c>
      <c r="O514" s="76"/>
      <c r="P514" s="76"/>
      <c r="Q514" s="76"/>
      <c r="R514" s="76"/>
      <c r="AZ514" s="88">
        <f t="shared" si="17"/>
        <v>0</v>
      </c>
      <c r="BX514" s="88"/>
      <c r="CQ514" s="88"/>
    </row>
    <row r="515" spans="1:95" outlineLevel="1" x14ac:dyDescent="0.15">
      <c r="A515" s="76">
        <v>514</v>
      </c>
      <c r="B515" s="65" t="s">
        <v>1098</v>
      </c>
      <c r="C515" s="65">
        <v>572342640</v>
      </c>
      <c r="D515" s="81" t="str">
        <f t="shared" si="16"/>
        <v>https://portal.dnb.de/opac.htm?method=simpleSearch&amp;cqlMode=true&amp;query=idn%3D572342640</v>
      </c>
      <c r="E515" s="65" t="s">
        <v>1099</v>
      </c>
      <c r="F515" s="76"/>
      <c r="G515" s="78"/>
      <c r="H515" s="76"/>
      <c r="I515" s="78"/>
      <c r="J515" s="78"/>
      <c r="K515" s="76"/>
      <c r="L515" s="76"/>
      <c r="M515" s="76"/>
      <c r="N515" s="76"/>
      <c r="O515" s="76"/>
      <c r="P515" s="76"/>
      <c r="Q515" s="76"/>
      <c r="R515" s="76"/>
      <c r="AZ515" s="88">
        <f t="shared" si="17"/>
        <v>0</v>
      </c>
      <c r="BX515" s="88"/>
      <c r="CQ515" s="88"/>
    </row>
    <row r="516" spans="1:95" outlineLevel="1" x14ac:dyDescent="0.15">
      <c r="A516" s="76">
        <v>515</v>
      </c>
      <c r="B516" s="65" t="s">
        <v>1100</v>
      </c>
      <c r="C516" s="65">
        <v>995380783</v>
      </c>
      <c r="D516" s="81" t="str">
        <f t="shared" si="16"/>
        <v>https://portal.dnb.de/opac.htm?method=simpleSearch&amp;cqlMode=true&amp;query=idn%3D995380783</v>
      </c>
      <c r="E516" s="65" t="s">
        <v>1101</v>
      </c>
      <c r="F516" s="76"/>
      <c r="G516" s="78" t="s">
        <v>46</v>
      </c>
      <c r="H516" s="76" t="s">
        <v>50</v>
      </c>
      <c r="I516" s="78" t="s">
        <v>55</v>
      </c>
      <c r="J516" s="78"/>
      <c r="K516" s="76"/>
      <c r="L516" s="76"/>
      <c r="M516" s="76"/>
      <c r="N516" s="76">
        <v>0</v>
      </c>
      <c r="O516" s="76"/>
      <c r="P516" s="76"/>
      <c r="Q516" s="76"/>
      <c r="R516" s="76"/>
      <c r="AZ516" s="88">
        <f t="shared" si="17"/>
        <v>0</v>
      </c>
      <c r="BX516" s="88"/>
      <c r="CQ516" s="88"/>
    </row>
    <row r="517" spans="1:95" outlineLevel="1" x14ac:dyDescent="0.15">
      <c r="A517" s="76">
        <v>516</v>
      </c>
      <c r="B517" s="65" t="s">
        <v>1102</v>
      </c>
      <c r="C517" s="65">
        <v>998859680</v>
      </c>
      <c r="D517" s="81" t="str">
        <f t="shared" si="16"/>
        <v>https://portal.dnb.de/opac.htm?method=simpleSearch&amp;cqlMode=true&amp;query=idn%3D998859680</v>
      </c>
      <c r="E517" s="65" t="s">
        <v>1103</v>
      </c>
      <c r="F517" s="76"/>
      <c r="G517" s="78" t="s">
        <v>46</v>
      </c>
      <c r="H517" s="76" t="s">
        <v>50</v>
      </c>
      <c r="I517" s="78" t="s">
        <v>55</v>
      </c>
      <c r="J517" s="78" t="s">
        <v>81</v>
      </c>
      <c r="K517" s="76"/>
      <c r="L517" s="76"/>
      <c r="M517" s="76"/>
      <c r="N517" s="76">
        <v>0</v>
      </c>
      <c r="O517" s="76"/>
      <c r="P517" s="76"/>
      <c r="Q517" s="76"/>
      <c r="R517" s="76"/>
      <c r="AZ517" s="88">
        <f t="shared" si="17"/>
        <v>0</v>
      </c>
      <c r="BX517" s="88"/>
      <c r="CQ517" s="88"/>
    </row>
    <row r="518" spans="1:95" outlineLevel="1" x14ac:dyDescent="0.15">
      <c r="A518" s="76">
        <v>517</v>
      </c>
      <c r="B518" s="65" t="s">
        <v>1104</v>
      </c>
      <c r="C518" s="65">
        <v>1003362400</v>
      </c>
      <c r="D518" s="81" t="str">
        <f t="shared" si="16"/>
        <v>https://portal.dnb.de/opac.htm?method=simpleSearch&amp;cqlMode=true&amp;query=idn%3D1003362400</v>
      </c>
      <c r="E518" s="65" t="s">
        <v>1105</v>
      </c>
      <c r="F518" s="76"/>
      <c r="G518" s="78" t="s">
        <v>3</v>
      </c>
      <c r="H518" s="76" t="s">
        <v>50</v>
      </c>
      <c r="I518" s="78" t="s">
        <v>55</v>
      </c>
      <c r="J518" s="78"/>
      <c r="K518" s="76"/>
      <c r="L518" s="76"/>
      <c r="M518" s="76"/>
      <c r="N518" s="76">
        <v>0</v>
      </c>
      <c r="O518" s="76"/>
      <c r="P518" s="76"/>
      <c r="Q518" s="76"/>
      <c r="R518" s="76"/>
      <c r="AZ518" s="88">
        <f t="shared" si="17"/>
        <v>0</v>
      </c>
      <c r="BX518" s="88"/>
      <c r="CQ518" s="88"/>
    </row>
    <row r="519" spans="1:95" outlineLevel="1" x14ac:dyDescent="0.15">
      <c r="A519" s="76">
        <v>518</v>
      </c>
      <c r="B519" s="65" t="s">
        <v>1106</v>
      </c>
      <c r="C519" s="65">
        <v>993921655</v>
      </c>
      <c r="D519" s="81" t="str">
        <f t="shared" si="16"/>
        <v>https://portal.dnb.de/opac.htm?method=simpleSearch&amp;cqlMode=true&amp;query=idn%3D993921655</v>
      </c>
      <c r="E519" s="65" t="s">
        <v>1107</v>
      </c>
      <c r="F519" s="76"/>
      <c r="G519" s="78"/>
      <c r="H519" s="76"/>
      <c r="I519" s="78"/>
      <c r="J519" s="78"/>
      <c r="K519" s="76"/>
      <c r="L519" s="76"/>
      <c r="M519" s="76"/>
      <c r="N519" s="76"/>
      <c r="O519" s="76"/>
      <c r="P519" s="76"/>
      <c r="Q519" s="76"/>
      <c r="R519" s="76"/>
      <c r="AZ519" s="88">
        <f t="shared" si="17"/>
        <v>0</v>
      </c>
      <c r="BX519" s="88"/>
      <c r="CQ519" s="88"/>
    </row>
    <row r="520" spans="1:95" outlineLevel="1" x14ac:dyDescent="0.15">
      <c r="A520" s="76">
        <v>519</v>
      </c>
      <c r="B520" s="65" t="s">
        <v>1108</v>
      </c>
      <c r="C520" s="65">
        <v>993919928</v>
      </c>
      <c r="D520" s="81" t="str">
        <f t="shared" si="16"/>
        <v>https://portal.dnb.de/opac.htm?method=simpleSearch&amp;cqlMode=true&amp;query=idn%3D993919928</v>
      </c>
      <c r="E520" s="65" t="s">
        <v>1109</v>
      </c>
      <c r="F520" s="76"/>
      <c r="G520" s="78"/>
      <c r="H520" s="76"/>
      <c r="I520" s="78"/>
      <c r="J520" s="78"/>
      <c r="K520" s="76"/>
      <c r="L520" s="76"/>
      <c r="M520" s="76"/>
      <c r="N520" s="76"/>
      <c r="O520" s="76"/>
      <c r="P520" s="76"/>
      <c r="Q520" s="76"/>
      <c r="R520" s="76"/>
      <c r="AZ520" s="88">
        <f t="shared" si="17"/>
        <v>0</v>
      </c>
      <c r="BX520" s="88"/>
      <c r="CQ520" s="88"/>
    </row>
    <row r="521" spans="1:95" outlineLevel="1" x14ac:dyDescent="0.15">
      <c r="A521" s="76">
        <v>520</v>
      </c>
      <c r="B521" s="65" t="s">
        <v>1110</v>
      </c>
      <c r="C521" s="65">
        <v>993919243</v>
      </c>
      <c r="D521" s="81" t="str">
        <f t="shared" si="16"/>
        <v>https://portal.dnb.de/opac.htm?method=simpleSearch&amp;cqlMode=true&amp;query=idn%3D993919243</v>
      </c>
      <c r="E521" s="65" t="s">
        <v>1111</v>
      </c>
      <c r="F521" s="76"/>
      <c r="G521" s="78" t="s">
        <v>46</v>
      </c>
      <c r="H521" s="76" t="s">
        <v>50</v>
      </c>
      <c r="I521" s="78" t="s">
        <v>55</v>
      </c>
      <c r="J521" s="78"/>
      <c r="K521" s="76"/>
      <c r="L521" s="76"/>
      <c r="M521" s="76"/>
      <c r="N521" s="76">
        <v>0</v>
      </c>
      <c r="O521" s="76"/>
      <c r="P521" s="76"/>
      <c r="Q521" s="76"/>
      <c r="R521" s="76"/>
      <c r="AZ521" s="88">
        <f t="shared" si="17"/>
        <v>0</v>
      </c>
      <c r="BX521" s="88"/>
      <c r="CQ521" s="88"/>
    </row>
    <row r="522" spans="1:95" outlineLevel="1" x14ac:dyDescent="0.15">
      <c r="A522" s="76">
        <v>521</v>
      </c>
      <c r="B522" s="65" t="s">
        <v>1112</v>
      </c>
      <c r="C522" s="65">
        <v>996746560</v>
      </c>
      <c r="D522" s="81" t="str">
        <f t="shared" si="16"/>
        <v>https://portal.dnb.de/opac.htm?method=simpleSearch&amp;cqlMode=true&amp;query=idn%3D996746560</v>
      </c>
      <c r="E522" s="65" t="s">
        <v>1113</v>
      </c>
      <c r="F522" s="76"/>
      <c r="G522" s="78" t="s">
        <v>46</v>
      </c>
      <c r="H522" s="76" t="s">
        <v>50</v>
      </c>
      <c r="I522" s="78" t="s">
        <v>55</v>
      </c>
      <c r="J522" s="78"/>
      <c r="K522" s="76"/>
      <c r="L522" s="76"/>
      <c r="M522" s="76"/>
      <c r="N522" s="76">
        <v>0</v>
      </c>
      <c r="O522" s="76"/>
      <c r="P522" s="76"/>
      <c r="Q522" s="76"/>
      <c r="R522" s="76"/>
      <c r="AZ522" s="88">
        <f t="shared" si="17"/>
        <v>0</v>
      </c>
      <c r="BX522" s="88"/>
      <c r="CQ522" s="88"/>
    </row>
    <row r="523" spans="1:95" outlineLevel="1" x14ac:dyDescent="0.15">
      <c r="A523" s="76">
        <v>522</v>
      </c>
      <c r="B523" s="65" t="s">
        <v>1114</v>
      </c>
      <c r="C523" s="65">
        <v>998861545</v>
      </c>
      <c r="D523" s="81" t="str">
        <f t="shared" si="16"/>
        <v>https://portal.dnb.de/opac.htm?method=simpleSearch&amp;cqlMode=true&amp;query=idn%3D998861545</v>
      </c>
      <c r="E523" s="65" t="s">
        <v>1115</v>
      </c>
      <c r="F523" s="76"/>
      <c r="G523" s="78"/>
      <c r="H523" s="76"/>
      <c r="I523" s="78"/>
      <c r="J523" s="78"/>
      <c r="K523" s="76"/>
      <c r="L523" s="76"/>
      <c r="M523" s="76"/>
      <c r="N523" s="76"/>
      <c r="O523" s="76"/>
      <c r="P523" s="76"/>
      <c r="Q523" s="76"/>
      <c r="R523" s="76"/>
      <c r="AZ523" s="88">
        <f t="shared" si="17"/>
        <v>0</v>
      </c>
      <c r="BX523" s="88"/>
      <c r="CQ523" s="88"/>
    </row>
    <row r="524" spans="1:95" outlineLevel="1" x14ac:dyDescent="0.15">
      <c r="A524" s="76">
        <v>523</v>
      </c>
      <c r="B524" s="65" t="s">
        <v>1116</v>
      </c>
      <c r="C524" s="65">
        <v>993944442</v>
      </c>
      <c r="D524" s="81" t="str">
        <f t="shared" si="16"/>
        <v>https://portal.dnb.de/opac.htm?method=simpleSearch&amp;cqlMode=true&amp;query=idn%3D993944442</v>
      </c>
      <c r="E524" s="65" t="s">
        <v>1117</v>
      </c>
      <c r="F524" s="76"/>
      <c r="G524" s="78" t="s">
        <v>46</v>
      </c>
      <c r="H524" s="76" t="s">
        <v>50</v>
      </c>
      <c r="I524" s="78" t="s">
        <v>55</v>
      </c>
      <c r="J524" s="78"/>
      <c r="K524" s="76"/>
      <c r="L524" s="76"/>
      <c r="M524" s="76"/>
      <c r="N524" s="76">
        <v>0</v>
      </c>
      <c r="O524" s="76"/>
      <c r="P524" s="76"/>
      <c r="Q524" s="76"/>
      <c r="R524" s="76"/>
      <c r="AZ524" s="88">
        <f t="shared" si="17"/>
        <v>0</v>
      </c>
      <c r="BX524" s="88"/>
      <c r="CQ524" s="88"/>
    </row>
    <row r="525" spans="1:95" outlineLevel="1" x14ac:dyDescent="0.15">
      <c r="A525" s="76">
        <v>524</v>
      </c>
      <c r="B525" s="65" t="s">
        <v>1118</v>
      </c>
      <c r="C525" s="65">
        <v>1000481581</v>
      </c>
      <c r="D525" s="81" t="str">
        <f t="shared" si="16"/>
        <v>https://portal.dnb.de/opac.htm?method=simpleSearch&amp;cqlMode=true&amp;query=idn%3D1000481581</v>
      </c>
      <c r="E525" s="65" t="s">
        <v>1119</v>
      </c>
      <c r="F525" s="76"/>
      <c r="G525" s="78"/>
      <c r="H525" s="76"/>
      <c r="I525" s="78"/>
      <c r="J525" s="78"/>
      <c r="K525" s="76"/>
      <c r="L525" s="76"/>
      <c r="M525" s="76"/>
      <c r="N525" s="76"/>
      <c r="O525" s="76"/>
      <c r="P525" s="76"/>
      <c r="Q525" s="76"/>
      <c r="R525" s="76"/>
      <c r="AZ525" s="88">
        <f t="shared" si="17"/>
        <v>0</v>
      </c>
      <c r="BX525" s="88"/>
      <c r="CQ525" s="88"/>
    </row>
    <row r="526" spans="1:95" outlineLevel="1" x14ac:dyDescent="0.15">
      <c r="A526" s="76">
        <v>525</v>
      </c>
      <c r="B526" s="65" t="s">
        <v>1120</v>
      </c>
      <c r="C526" s="65">
        <v>1000481581</v>
      </c>
      <c r="D526" s="81" t="str">
        <f t="shared" si="16"/>
        <v>https://portal.dnb.de/opac.htm?method=simpleSearch&amp;cqlMode=true&amp;query=idn%3D1000481581</v>
      </c>
      <c r="E526" s="65" t="s">
        <v>1121</v>
      </c>
      <c r="F526" s="76"/>
      <c r="G526" s="78"/>
      <c r="H526" s="76" t="s">
        <v>50</v>
      </c>
      <c r="I526" s="78"/>
      <c r="J526" s="78"/>
      <c r="K526" s="76"/>
      <c r="L526" s="76"/>
      <c r="M526" s="76"/>
      <c r="N526" s="76"/>
      <c r="O526" s="76"/>
      <c r="P526" s="76"/>
      <c r="Q526" s="76"/>
      <c r="R526" s="76"/>
      <c r="X526" s="84" t="s">
        <v>2696</v>
      </c>
      <c r="Z526" s="84" t="s">
        <v>2541</v>
      </c>
      <c r="AA526" s="84" t="s">
        <v>2647</v>
      </c>
      <c r="AG526" s="84" t="s">
        <v>2643</v>
      </c>
      <c r="AU526" s="84">
        <v>110</v>
      </c>
      <c r="AY526" s="86" t="s">
        <v>2651</v>
      </c>
      <c r="AZ526" s="88">
        <f t="shared" si="17"/>
        <v>0</v>
      </c>
      <c r="BX526" s="88"/>
      <c r="CQ526" s="88"/>
    </row>
    <row r="527" spans="1:95" ht="22.5" outlineLevel="1" x14ac:dyDescent="0.15">
      <c r="A527" s="76">
        <v>526</v>
      </c>
      <c r="B527" s="65" t="s">
        <v>1122</v>
      </c>
      <c r="C527" s="65">
        <v>998904147</v>
      </c>
      <c r="D527" s="81" t="str">
        <f t="shared" si="16"/>
        <v>https://portal.dnb.de/opac.htm?method=simpleSearch&amp;cqlMode=true&amp;query=idn%3D998904147</v>
      </c>
      <c r="E527" s="65" t="s">
        <v>1123</v>
      </c>
      <c r="F527" s="76"/>
      <c r="G527" s="78" t="s">
        <v>45</v>
      </c>
      <c r="H527" s="76" t="s">
        <v>51</v>
      </c>
      <c r="I527" s="78" t="s">
        <v>55</v>
      </c>
      <c r="J527" s="78" t="s">
        <v>2578</v>
      </c>
      <c r="K527" s="76"/>
      <c r="L527" s="76" t="s">
        <v>33</v>
      </c>
      <c r="M527" s="76" t="s">
        <v>36</v>
      </c>
      <c r="N527" s="76">
        <v>0</v>
      </c>
      <c r="O527" s="76"/>
      <c r="P527" s="76"/>
      <c r="Q527" s="76"/>
      <c r="R527" s="76"/>
      <c r="X527" s="84" t="s">
        <v>2646</v>
      </c>
      <c r="Z527" s="84" t="s">
        <v>2541</v>
      </c>
      <c r="AA527" s="84" t="s">
        <v>2647</v>
      </c>
      <c r="AB527" s="84" t="s">
        <v>2541</v>
      </c>
      <c r="AG527" s="84" t="s">
        <v>2643</v>
      </c>
      <c r="AU527" s="84">
        <v>110</v>
      </c>
      <c r="AY527" s="86" t="s">
        <v>2651</v>
      </c>
      <c r="AZ527" s="88">
        <f t="shared" si="17"/>
        <v>0</v>
      </c>
      <c r="BF527" s="84" t="s">
        <v>2659</v>
      </c>
      <c r="BG527" s="84" t="s">
        <v>2541</v>
      </c>
      <c r="BI527" s="63" t="s">
        <v>2780</v>
      </c>
      <c r="BX527" s="88"/>
      <c r="CQ527" s="88"/>
    </row>
    <row r="528" spans="1:95" outlineLevel="1" x14ac:dyDescent="0.15">
      <c r="A528" s="76">
        <v>527</v>
      </c>
      <c r="B528" s="65" t="s">
        <v>1124</v>
      </c>
      <c r="C528" s="65">
        <v>994160615</v>
      </c>
      <c r="D528" s="81" t="str">
        <f t="shared" si="16"/>
        <v>https://portal.dnb.de/opac.htm?method=simpleSearch&amp;cqlMode=true&amp;query=idn%3D994160615</v>
      </c>
      <c r="E528" s="65" t="s">
        <v>1125</v>
      </c>
      <c r="F528" s="76"/>
      <c r="G528" s="78"/>
      <c r="H528" s="76"/>
      <c r="I528" s="78"/>
      <c r="J528" s="78"/>
      <c r="K528" s="76"/>
      <c r="L528" s="76"/>
      <c r="M528" s="76"/>
      <c r="N528" s="76"/>
      <c r="O528" s="76"/>
      <c r="P528" s="76"/>
      <c r="Q528" s="76"/>
      <c r="R528" s="76"/>
      <c r="AZ528" s="88">
        <f t="shared" si="17"/>
        <v>0</v>
      </c>
      <c r="BX528" s="88"/>
      <c r="CQ528" s="88"/>
    </row>
    <row r="529" spans="1:95" outlineLevel="1" x14ac:dyDescent="0.15">
      <c r="A529" s="76">
        <v>528</v>
      </c>
      <c r="B529" s="65" t="s">
        <v>1126</v>
      </c>
      <c r="C529" s="65">
        <v>995662185</v>
      </c>
      <c r="D529" s="81" t="str">
        <f t="shared" si="16"/>
        <v>https://portal.dnb.de/opac.htm?method=simpleSearch&amp;cqlMode=true&amp;query=idn%3D995662185</v>
      </c>
      <c r="E529" s="65" t="s">
        <v>1127</v>
      </c>
      <c r="F529" s="76"/>
      <c r="G529" s="78"/>
      <c r="H529" s="76"/>
      <c r="I529" s="78"/>
      <c r="J529" s="78"/>
      <c r="K529" s="76"/>
      <c r="L529" s="76"/>
      <c r="M529" s="76"/>
      <c r="N529" s="76"/>
      <c r="O529" s="76"/>
      <c r="P529" s="76"/>
      <c r="Q529" s="76"/>
      <c r="R529" s="76"/>
      <c r="AZ529" s="88">
        <f t="shared" si="17"/>
        <v>0</v>
      </c>
      <c r="BX529" s="88"/>
      <c r="CQ529" s="88"/>
    </row>
    <row r="530" spans="1:95" outlineLevel="1" x14ac:dyDescent="0.15">
      <c r="A530" s="76">
        <v>529</v>
      </c>
      <c r="B530" s="65" t="s">
        <v>1128</v>
      </c>
      <c r="C530" s="65">
        <v>993930492</v>
      </c>
      <c r="D530" s="81" t="str">
        <f t="shared" si="16"/>
        <v>https://portal.dnb.de/opac.htm?method=simpleSearch&amp;cqlMode=true&amp;query=idn%3D993930492</v>
      </c>
      <c r="E530" s="65" t="s">
        <v>1129</v>
      </c>
      <c r="F530" s="76"/>
      <c r="G530" s="78" t="s">
        <v>46</v>
      </c>
      <c r="H530" s="76" t="s">
        <v>50</v>
      </c>
      <c r="I530" s="78" t="s">
        <v>55</v>
      </c>
      <c r="J530" s="78"/>
      <c r="K530" s="76"/>
      <c r="L530" s="76"/>
      <c r="M530" s="76"/>
      <c r="N530" s="76">
        <v>0</v>
      </c>
      <c r="O530" s="76"/>
      <c r="P530" s="76"/>
      <c r="Q530" s="76"/>
      <c r="R530" s="76"/>
      <c r="AZ530" s="88">
        <f t="shared" si="17"/>
        <v>0</v>
      </c>
      <c r="BX530" s="88"/>
      <c r="CQ530" s="88"/>
    </row>
    <row r="531" spans="1:95" outlineLevel="1" x14ac:dyDescent="0.15">
      <c r="A531" s="76">
        <v>530</v>
      </c>
      <c r="B531" s="65" t="s">
        <v>1130</v>
      </c>
      <c r="C531" s="65">
        <v>993885411</v>
      </c>
      <c r="D531" s="81" t="str">
        <f t="shared" si="16"/>
        <v>https://portal.dnb.de/opac.htm?method=simpleSearch&amp;cqlMode=true&amp;query=idn%3D993885411</v>
      </c>
      <c r="E531" s="65" t="s">
        <v>1131</v>
      </c>
      <c r="F531" s="76"/>
      <c r="G531" s="78" t="s">
        <v>46</v>
      </c>
      <c r="H531" s="76" t="s">
        <v>50</v>
      </c>
      <c r="I531" s="78" t="s">
        <v>90</v>
      </c>
      <c r="J531" s="78" t="s">
        <v>81</v>
      </c>
      <c r="K531" s="76"/>
      <c r="L531" s="76"/>
      <c r="M531" s="76"/>
      <c r="N531" s="76">
        <v>0</v>
      </c>
      <c r="O531" s="76"/>
      <c r="P531" s="76"/>
      <c r="Q531" s="76"/>
      <c r="R531" s="76"/>
      <c r="AZ531" s="88">
        <f t="shared" si="17"/>
        <v>0</v>
      </c>
      <c r="BX531" s="88"/>
      <c r="CQ531" s="88"/>
    </row>
    <row r="532" spans="1:95" outlineLevel="1" x14ac:dyDescent="0.15">
      <c r="A532" s="76">
        <v>531</v>
      </c>
      <c r="B532" s="65" t="s">
        <v>1132</v>
      </c>
      <c r="C532" s="65">
        <v>995663084</v>
      </c>
      <c r="D532" s="81" t="str">
        <f t="shared" ref="D532:D596" si="18">HYPERLINK(CONCATENATE("https://portal.dnb.de/opac.htm?method=simpleSearch&amp;cqlMode=true&amp;query=idn%3D",C532))</f>
        <v>https://portal.dnb.de/opac.htm?method=simpleSearch&amp;cqlMode=true&amp;query=idn%3D995663084</v>
      </c>
      <c r="E532" s="65" t="s">
        <v>1133</v>
      </c>
      <c r="F532" s="76"/>
      <c r="G532" s="78"/>
      <c r="H532" s="76"/>
      <c r="I532" s="78"/>
      <c r="J532" s="78"/>
      <c r="K532" s="76"/>
      <c r="L532" s="76"/>
      <c r="M532" s="76"/>
      <c r="N532" s="76"/>
      <c r="O532" s="76"/>
      <c r="P532" s="76"/>
      <c r="Q532" s="76"/>
      <c r="R532" s="76"/>
      <c r="AZ532" s="88">
        <f t="shared" si="17"/>
        <v>0</v>
      </c>
      <c r="BX532" s="88"/>
      <c r="CQ532" s="88"/>
    </row>
    <row r="533" spans="1:95" outlineLevel="1" x14ac:dyDescent="0.15">
      <c r="A533" s="76">
        <v>532</v>
      </c>
      <c r="B533" s="65" t="s">
        <v>1134</v>
      </c>
      <c r="C533" s="65">
        <v>1001606396</v>
      </c>
      <c r="D533" s="81" t="str">
        <f t="shared" si="18"/>
        <v>https://portal.dnb.de/opac.htm?method=simpleSearch&amp;cqlMode=true&amp;query=idn%3D1001606396</v>
      </c>
      <c r="E533" s="65" t="s">
        <v>1133</v>
      </c>
      <c r="F533" s="76"/>
      <c r="G533" s="78"/>
      <c r="H533" s="76"/>
      <c r="I533" s="78"/>
      <c r="J533" s="78"/>
      <c r="K533" s="76"/>
      <c r="L533" s="76"/>
      <c r="M533" s="76"/>
      <c r="N533" s="76"/>
      <c r="O533" s="76"/>
      <c r="P533" s="76"/>
      <c r="Q533" s="76"/>
      <c r="R533" s="76"/>
      <c r="AZ533" s="88">
        <f t="shared" si="17"/>
        <v>0</v>
      </c>
      <c r="BX533" s="88"/>
      <c r="CQ533" s="88"/>
    </row>
    <row r="534" spans="1:95" outlineLevel="1" x14ac:dyDescent="0.15">
      <c r="A534" s="76">
        <v>533</v>
      </c>
      <c r="B534" s="65" t="s">
        <v>1135</v>
      </c>
      <c r="C534" s="65">
        <v>1003301878</v>
      </c>
      <c r="D534" s="81" t="str">
        <f t="shared" si="18"/>
        <v>https://portal.dnb.de/opac.htm?method=simpleSearch&amp;cqlMode=true&amp;query=idn%3D1003301878</v>
      </c>
      <c r="E534" s="65" t="s">
        <v>1136</v>
      </c>
      <c r="F534" s="76"/>
      <c r="G534" s="78" t="s">
        <v>46</v>
      </c>
      <c r="H534" s="76" t="s">
        <v>50</v>
      </c>
      <c r="I534" s="78" t="s">
        <v>55</v>
      </c>
      <c r="J534" s="78"/>
      <c r="K534" s="76"/>
      <c r="L534" s="76"/>
      <c r="M534" s="76"/>
      <c r="N534" s="76">
        <v>0</v>
      </c>
      <c r="O534" s="76"/>
      <c r="P534" s="76"/>
      <c r="Q534" s="76"/>
      <c r="R534" s="76"/>
      <c r="AZ534" s="88">
        <f t="shared" si="17"/>
        <v>0</v>
      </c>
      <c r="BX534" s="88"/>
      <c r="CQ534" s="88"/>
    </row>
    <row r="535" spans="1:95" outlineLevel="1" x14ac:dyDescent="0.15">
      <c r="A535" s="76">
        <v>534</v>
      </c>
      <c r="B535" s="65" t="s">
        <v>1137</v>
      </c>
      <c r="C535" s="65" t="s">
        <v>1138</v>
      </c>
      <c r="D535" s="81" t="str">
        <f t="shared" si="18"/>
        <v>https://portal.dnb.de/opac.htm?method=simpleSearch&amp;cqlMode=true&amp;query=idn%3D99886126X</v>
      </c>
      <c r="E535" s="65" t="s">
        <v>1139</v>
      </c>
      <c r="F535" s="76"/>
      <c r="G535" s="78" t="s">
        <v>46</v>
      </c>
      <c r="H535" s="76" t="s">
        <v>50</v>
      </c>
      <c r="I535" s="78" t="s">
        <v>55</v>
      </c>
      <c r="J535" s="78" t="s">
        <v>81</v>
      </c>
      <c r="K535" s="76"/>
      <c r="L535" s="76"/>
      <c r="M535" s="76"/>
      <c r="N535" s="76">
        <v>0</v>
      </c>
      <c r="O535" s="76"/>
      <c r="P535" s="76"/>
      <c r="Q535" s="76"/>
      <c r="R535" s="76"/>
      <c r="AZ535" s="88">
        <f t="shared" si="17"/>
        <v>0</v>
      </c>
      <c r="BX535" s="88"/>
      <c r="CQ535" s="88"/>
    </row>
    <row r="536" spans="1:95" outlineLevel="1" x14ac:dyDescent="0.15">
      <c r="A536" s="76">
        <v>535</v>
      </c>
      <c r="B536" s="65" t="s">
        <v>1140</v>
      </c>
      <c r="C536" s="65">
        <v>993920780</v>
      </c>
      <c r="D536" s="81" t="str">
        <f t="shared" si="18"/>
        <v>https://portal.dnb.de/opac.htm?method=simpleSearch&amp;cqlMode=true&amp;query=idn%3D993920780</v>
      </c>
      <c r="E536" s="65" t="s">
        <v>1141</v>
      </c>
      <c r="F536" s="76" t="s">
        <v>89</v>
      </c>
      <c r="G536" s="78" t="s">
        <v>17</v>
      </c>
      <c r="H536" s="76" t="s">
        <v>50</v>
      </c>
      <c r="I536" s="78" t="s">
        <v>55</v>
      </c>
      <c r="J536" s="78"/>
      <c r="K536" s="76"/>
      <c r="L536" s="76"/>
      <c r="M536" s="76"/>
      <c r="N536" s="76">
        <v>0</v>
      </c>
      <c r="O536" s="76"/>
      <c r="P536" s="76"/>
      <c r="Q536" s="76"/>
      <c r="R536" s="76"/>
      <c r="AZ536" s="88">
        <f t="shared" si="17"/>
        <v>0</v>
      </c>
      <c r="BX536" s="88"/>
      <c r="CQ536" s="88"/>
    </row>
    <row r="537" spans="1:95" outlineLevel="1" x14ac:dyDescent="0.15">
      <c r="A537" s="76">
        <v>536</v>
      </c>
      <c r="B537" s="65" t="s">
        <v>1142</v>
      </c>
      <c r="C537" s="65">
        <v>993920780</v>
      </c>
      <c r="D537" s="81" t="str">
        <f t="shared" si="18"/>
        <v>https://portal.dnb.de/opac.htm?method=simpleSearch&amp;cqlMode=true&amp;query=idn%3D993920780</v>
      </c>
      <c r="E537" s="65" t="s">
        <v>1143</v>
      </c>
      <c r="F537" s="76"/>
      <c r="G537" s="78"/>
      <c r="H537" s="76"/>
      <c r="I537" s="78"/>
      <c r="J537" s="78"/>
      <c r="K537" s="76"/>
      <c r="L537" s="76"/>
      <c r="M537" s="76"/>
      <c r="N537" s="76"/>
      <c r="O537" s="76"/>
      <c r="P537" s="76"/>
      <c r="Q537" s="76"/>
      <c r="R537" s="76"/>
      <c r="AZ537" s="88">
        <f t="shared" si="17"/>
        <v>0</v>
      </c>
      <c r="BX537" s="88"/>
      <c r="CQ537" s="88"/>
    </row>
    <row r="538" spans="1:95" outlineLevel="1" x14ac:dyDescent="0.15">
      <c r="A538" s="76">
        <v>537</v>
      </c>
      <c r="B538" s="65" t="s">
        <v>1144</v>
      </c>
      <c r="C538" s="65">
        <v>993920780</v>
      </c>
      <c r="D538" s="81" t="str">
        <f t="shared" si="18"/>
        <v>https://portal.dnb.de/opac.htm?method=simpleSearch&amp;cqlMode=true&amp;query=idn%3D993920780</v>
      </c>
      <c r="E538" s="65" t="s">
        <v>1145</v>
      </c>
      <c r="F538" s="76"/>
      <c r="G538" s="78" t="s">
        <v>46</v>
      </c>
      <c r="H538" s="76" t="s">
        <v>50</v>
      </c>
      <c r="I538" s="78" t="s">
        <v>55</v>
      </c>
      <c r="J538" s="78"/>
      <c r="K538" s="76"/>
      <c r="L538" s="76"/>
      <c r="M538" s="76"/>
      <c r="N538" s="76">
        <v>0</v>
      </c>
      <c r="O538" s="76"/>
      <c r="P538" s="76"/>
      <c r="Q538" s="76"/>
      <c r="R538" s="76"/>
      <c r="AZ538" s="88">
        <f t="shared" si="17"/>
        <v>0</v>
      </c>
      <c r="BX538" s="88"/>
      <c r="CQ538" s="88"/>
    </row>
    <row r="539" spans="1:95" outlineLevel="1" x14ac:dyDescent="0.15">
      <c r="A539" s="76">
        <v>538</v>
      </c>
      <c r="B539" s="65" t="s">
        <v>1146</v>
      </c>
      <c r="C539" s="65">
        <v>993931057</v>
      </c>
      <c r="D539" s="81" t="str">
        <f t="shared" si="18"/>
        <v>https://portal.dnb.de/opac.htm?method=simpleSearch&amp;cqlMode=true&amp;query=idn%3D993931057</v>
      </c>
      <c r="E539" s="65" t="s">
        <v>1147</v>
      </c>
      <c r="F539" s="76"/>
      <c r="G539" s="78"/>
      <c r="H539" s="76"/>
      <c r="I539" s="78"/>
      <c r="J539" s="78"/>
      <c r="K539" s="76"/>
      <c r="L539" s="76"/>
      <c r="M539" s="76"/>
      <c r="N539" s="76"/>
      <c r="O539" s="76"/>
      <c r="P539" s="76"/>
      <c r="Q539" s="76"/>
      <c r="R539" s="76"/>
      <c r="AZ539" s="88">
        <f t="shared" si="17"/>
        <v>0</v>
      </c>
      <c r="BX539" s="88"/>
      <c r="CQ539" s="88"/>
    </row>
    <row r="540" spans="1:95" outlineLevel="1" x14ac:dyDescent="0.15">
      <c r="A540" s="76">
        <v>539</v>
      </c>
      <c r="B540" s="65" t="s">
        <v>1148</v>
      </c>
      <c r="C540" s="65">
        <v>998071609</v>
      </c>
      <c r="D540" s="81" t="str">
        <f t="shared" si="18"/>
        <v>https://portal.dnb.de/opac.htm?method=simpleSearch&amp;cqlMode=true&amp;query=idn%3D998071609</v>
      </c>
      <c r="E540" s="65" t="s">
        <v>1149</v>
      </c>
      <c r="F540" s="76"/>
      <c r="G540" s="78" t="s">
        <v>17</v>
      </c>
      <c r="H540" s="76" t="s">
        <v>50</v>
      </c>
      <c r="I540" s="78" t="s">
        <v>55</v>
      </c>
      <c r="J540" s="78"/>
      <c r="K540" s="76"/>
      <c r="L540" s="76"/>
      <c r="M540" s="76" t="s">
        <v>101</v>
      </c>
      <c r="N540" s="76">
        <v>0</v>
      </c>
      <c r="O540" s="76"/>
      <c r="P540" s="76"/>
      <c r="Q540" s="76"/>
      <c r="R540" s="76"/>
      <c r="AZ540" s="88">
        <f t="shared" si="17"/>
        <v>0</v>
      </c>
      <c r="BX540" s="88"/>
      <c r="CQ540" s="88"/>
    </row>
    <row r="541" spans="1:95" ht="22.5" outlineLevel="1" x14ac:dyDescent="0.15">
      <c r="A541" s="76">
        <v>540</v>
      </c>
      <c r="B541" s="65" t="s">
        <v>1150</v>
      </c>
      <c r="C541" s="65">
        <v>998072052</v>
      </c>
      <c r="D541" s="81" t="str">
        <f t="shared" si="18"/>
        <v>https://portal.dnb.de/opac.htm?method=simpleSearch&amp;cqlMode=true&amp;query=idn%3D998072052</v>
      </c>
      <c r="E541" s="65" t="s">
        <v>1151</v>
      </c>
      <c r="F541" s="76" t="s">
        <v>89</v>
      </c>
      <c r="G541" s="78" t="s">
        <v>2520</v>
      </c>
      <c r="H541" s="76" t="s">
        <v>50</v>
      </c>
      <c r="I541" s="78" t="s">
        <v>55</v>
      </c>
      <c r="J541" s="78"/>
      <c r="K541" s="76"/>
      <c r="L541" s="76"/>
      <c r="M541" s="76"/>
      <c r="N541" s="76"/>
      <c r="O541" s="76"/>
      <c r="P541" s="76"/>
      <c r="Q541" s="76"/>
      <c r="R541" s="76"/>
      <c r="AZ541" s="88">
        <f t="shared" si="17"/>
        <v>0</v>
      </c>
      <c r="BX541" s="88"/>
      <c r="CQ541" s="88"/>
    </row>
    <row r="542" spans="1:95" outlineLevel="1" x14ac:dyDescent="0.15">
      <c r="A542" s="76">
        <v>541</v>
      </c>
      <c r="B542" s="65" t="s">
        <v>1152</v>
      </c>
      <c r="C542" s="65">
        <v>993921310</v>
      </c>
      <c r="D542" s="81" t="str">
        <f t="shared" si="18"/>
        <v>https://portal.dnb.de/opac.htm?method=simpleSearch&amp;cqlMode=true&amp;query=idn%3D993921310</v>
      </c>
      <c r="E542" s="65" t="s">
        <v>1153</v>
      </c>
      <c r="F542" s="76"/>
      <c r="G542" s="78"/>
      <c r="H542" s="76"/>
      <c r="I542" s="78"/>
      <c r="J542" s="78"/>
      <c r="K542" s="76"/>
      <c r="L542" s="76"/>
      <c r="M542" s="76"/>
      <c r="N542" s="76"/>
      <c r="O542" s="76"/>
      <c r="P542" s="76"/>
      <c r="Q542" s="76"/>
      <c r="R542" s="76"/>
      <c r="AZ542" s="88">
        <f t="shared" si="17"/>
        <v>0</v>
      </c>
      <c r="BX542" s="88"/>
      <c r="CQ542" s="88"/>
    </row>
    <row r="543" spans="1:95" outlineLevel="1" x14ac:dyDescent="0.15">
      <c r="A543" s="76">
        <v>542</v>
      </c>
      <c r="B543" s="65" t="s">
        <v>1154</v>
      </c>
      <c r="C543" s="65">
        <v>994149603</v>
      </c>
      <c r="D543" s="81" t="str">
        <f t="shared" si="18"/>
        <v>https://portal.dnb.de/opac.htm?method=simpleSearch&amp;cqlMode=true&amp;query=idn%3D994149603</v>
      </c>
      <c r="E543" s="65" t="s">
        <v>1155</v>
      </c>
      <c r="F543" s="76"/>
      <c r="G543" s="78"/>
      <c r="H543" s="76"/>
      <c r="I543" s="78"/>
      <c r="J543" s="78"/>
      <c r="K543" s="76"/>
      <c r="L543" s="76"/>
      <c r="M543" s="76"/>
      <c r="N543" s="76"/>
      <c r="O543" s="76"/>
      <c r="P543" s="76"/>
      <c r="Q543" s="76"/>
      <c r="R543" s="76"/>
      <c r="AZ543" s="88">
        <f t="shared" si="17"/>
        <v>0</v>
      </c>
      <c r="BX543" s="88"/>
      <c r="CQ543" s="88"/>
    </row>
    <row r="544" spans="1:95" outlineLevel="1" x14ac:dyDescent="0.15">
      <c r="A544" s="76">
        <v>543</v>
      </c>
      <c r="B544" s="65" t="s">
        <v>1156</v>
      </c>
      <c r="C544" s="65">
        <v>1066864748</v>
      </c>
      <c r="D544" s="81" t="str">
        <f t="shared" si="18"/>
        <v>https://portal.dnb.de/opac.htm?method=simpleSearch&amp;cqlMode=true&amp;query=idn%3D1066864748</v>
      </c>
      <c r="E544" s="65" t="s">
        <v>1157</v>
      </c>
      <c r="F544" s="76"/>
      <c r="G544" s="78"/>
      <c r="H544" s="76" t="s">
        <v>51</v>
      </c>
      <c r="I544" s="78"/>
      <c r="J544" s="78"/>
      <c r="K544" s="76"/>
      <c r="L544" s="76"/>
      <c r="M544" s="76"/>
      <c r="N544" s="76"/>
      <c r="O544" s="76"/>
      <c r="P544" s="76"/>
      <c r="Q544" s="76"/>
      <c r="R544" s="76"/>
      <c r="X544" s="84" t="s">
        <v>2652</v>
      </c>
      <c r="Y544" s="84" t="s">
        <v>2541</v>
      </c>
      <c r="Z544" s="84" t="s">
        <v>2541</v>
      </c>
      <c r="AA544" s="84" t="s">
        <v>2647</v>
      </c>
      <c r="AG544" s="84" t="s">
        <v>2643</v>
      </c>
      <c r="AU544" s="84" t="s">
        <v>2776</v>
      </c>
      <c r="AY544" s="86" t="s">
        <v>2651</v>
      </c>
      <c r="AZ544" s="88">
        <f t="shared" si="17"/>
        <v>0</v>
      </c>
      <c r="BH544" s="79" t="s">
        <v>2962</v>
      </c>
      <c r="BX544" s="88"/>
      <c r="CQ544" s="88"/>
    </row>
    <row r="545" spans="1:95" ht="22.5" outlineLevel="1" x14ac:dyDescent="0.15">
      <c r="A545" s="76">
        <v>544</v>
      </c>
      <c r="B545" s="65" t="s">
        <v>1158</v>
      </c>
      <c r="C545" s="65">
        <v>1066858721</v>
      </c>
      <c r="D545" s="81" t="str">
        <f t="shared" si="18"/>
        <v>https://portal.dnb.de/opac.htm?method=simpleSearch&amp;cqlMode=true&amp;query=idn%3D1066858721</v>
      </c>
      <c r="E545" s="65" t="s">
        <v>1159</v>
      </c>
      <c r="F545" s="76" t="s">
        <v>89</v>
      </c>
      <c r="G545" s="78" t="s">
        <v>2516</v>
      </c>
      <c r="H545" s="76" t="s">
        <v>51</v>
      </c>
      <c r="I545" s="78" t="s">
        <v>90</v>
      </c>
      <c r="J545" s="78" t="s">
        <v>81</v>
      </c>
      <c r="K545" s="76"/>
      <c r="L545" s="76" t="s">
        <v>34</v>
      </c>
      <c r="M545" s="76" t="s">
        <v>37</v>
      </c>
      <c r="N545" s="76">
        <v>0</v>
      </c>
      <c r="O545" s="76"/>
      <c r="P545" s="76"/>
      <c r="Q545" s="76"/>
      <c r="R545" s="76"/>
      <c r="X545" s="84" t="s">
        <v>2652</v>
      </c>
      <c r="Y545" s="84" t="s">
        <v>2541</v>
      </c>
      <c r="Z545" s="84" t="s">
        <v>2541</v>
      </c>
      <c r="AA545" s="84" t="s">
        <v>2647</v>
      </c>
      <c r="AG545" s="84" t="s">
        <v>2643</v>
      </c>
      <c r="AU545" s="84">
        <v>45</v>
      </c>
      <c r="AY545" s="86" t="s">
        <v>2651</v>
      </c>
      <c r="AZ545" s="88">
        <f t="shared" si="17"/>
        <v>0</v>
      </c>
      <c r="BD545" s="84" t="s">
        <v>2541</v>
      </c>
      <c r="BX545" s="88"/>
      <c r="CQ545" s="88"/>
    </row>
    <row r="546" spans="1:95" ht="22.5" outlineLevel="1" x14ac:dyDescent="0.15">
      <c r="A546" s="76">
        <v>545</v>
      </c>
      <c r="B546" s="65" t="s">
        <v>1160</v>
      </c>
      <c r="C546" s="65">
        <v>1066779449</v>
      </c>
      <c r="D546" s="81" t="str">
        <f t="shared" si="18"/>
        <v>https://portal.dnb.de/opac.htm?method=simpleSearch&amp;cqlMode=true&amp;query=idn%3D1066779449</v>
      </c>
      <c r="E546" s="65" t="s">
        <v>1161</v>
      </c>
      <c r="F546" s="76" t="s">
        <v>89</v>
      </c>
      <c r="G546" s="78" t="s">
        <v>2510</v>
      </c>
      <c r="H546" s="76" t="s">
        <v>51</v>
      </c>
      <c r="I546" s="78" t="s">
        <v>55</v>
      </c>
      <c r="J546" s="78" t="s">
        <v>94</v>
      </c>
      <c r="K546" s="76"/>
      <c r="L546" s="76" t="s">
        <v>34</v>
      </c>
      <c r="M546" s="76" t="s">
        <v>37</v>
      </c>
      <c r="N546" s="76">
        <v>1</v>
      </c>
      <c r="O546" s="76"/>
      <c r="P546" s="76"/>
      <c r="Q546" s="76"/>
      <c r="R546" s="76"/>
      <c r="X546" s="84" t="s">
        <v>2697</v>
      </c>
      <c r="AA546" s="84" t="s">
        <v>2653</v>
      </c>
      <c r="AG546" s="84" t="s">
        <v>2643</v>
      </c>
      <c r="AU546" s="84">
        <v>60</v>
      </c>
      <c r="AY546" s="86" t="s">
        <v>2651</v>
      </c>
      <c r="AZ546" s="88">
        <f t="shared" si="17"/>
        <v>0</v>
      </c>
      <c r="BD546" s="84" t="s">
        <v>2541</v>
      </c>
      <c r="BX546" s="88"/>
      <c r="CQ546" s="88"/>
    </row>
    <row r="547" spans="1:95" outlineLevel="1" x14ac:dyDescent="0.15">
      <c r="A547" s="76">
        <v>546</v>
      </c>
      <c r="B547" s="65" t="s">
        <v>1162</v>
      </c>
      <c r="C547" s="65">
        <v>1066776202</v>
      </c>
      <c r="D547" s="81" t="str">
        <f t="shared" si="18"/>
        <v>https://portal.dnb.de/opac.htm?method=simpleSearch&amp;cqlMode=true&amp;query=idn%3D1066776202</v>
      </c>
      <c r="E547" s="65" t="s">
        <v>1163</v>
      </c>
      <c r="F547" s="76"/>
      <c r="G547" s="78"/>
      <c r="H547" s="76"/>
      <c r="I547" s="78"/>
      <c r="J547" s="78"/>
      <c r="K547" s="76"/>
      <c r="L547" s="76"/>
      <c r="M547" s="76"/>
      <c r="N547" s="76"/>
      <c r="O547" s="76"/>
      <c r="P547" s="76"/>
      <c r="Q547" s="76"/>
      <c r="R547" s="76"/>
      <c r="AZ547" s="88">
        <f t="shared" si="17"/>
        <v>0</v>
      </c>
      <c r="BX547" s="88"/>
      <c r="CQ547" s="88"/>
    </row>
    <row r="548" spans="1:95" outlineLevel="1" x14ac:dyDescent="0.15">
      <c r="A548" s="76">
        <v>547</v>
      </c>
      <c r="B548" s="65" t="s">
        <v>1164</v>
      </c>
      <c r="C548" s="65">
        <v>1066956421</v>
      </c>
      <c r="D548" s="81" t="str">
        <f t="shared" si="18"/>
        <v>https://portal.dnb.de/opac.htm?method=simpleSearch&amp;cqlMode=true&amp;query=idn%3D1066956421</v>
      </c>
      <c r="E548" s="65" t="s">
        <v>1165</v>
      </c>
      <c r="F548" s="76"/>
      <c r="G548" s="78"/>
      <c r="H548" s="76"/>
      <c r="I548" s="78"/>
      <c r="J548" s="78"/>
      <c r="K548" s="76"/>
      <c r="L548" s="76"/>
      <c r="M548" s="76"/>
      <c r="N548" s="76"/>
      <c r="O548" s="76"/>
      <c r="P548" s="76"/>
      <c r="Q548" s="76"/>
      <c r="R548" s="76"/>
      <c r="AZ548" s="88">
        <f t="shared" si="17"/>
        <v>0</v>
      </c>
      <c r="BX548" s="88"/>
      <c r="CQ548" s="88"/>
    </row>
    <row r="549" spans="1:95" outlineLevel="1" x14ac:dyDescent="0.15">
      <c r="A549" s="76">
        <v>548</v>
      </c>
      <c r="B549" s="65" t="s">
        <v>1166</v>
      </c>
      <c r="C549" s="65">
        <v>1066941939</v>
      </c>
      <c r="D549" s="81" t="str">
        <f t="shared" si="18"/>
        <v>https://portal.dnb.de/opac.htm?method=simpleSearch&amp;cqlMode=true&amp;query=idn%3D1066941939</v>
      </c>
      <c r="E549" s="65" t="s">
        <v>1167</v>
      </c>
      <c r="F549" s="76"/>
      <c r="G549" s="78"/>
      <c r="H549" s="76" t="s">
        <v>50</v>
      </c>
      <c r="I549" s="78"/>
      <c r="J549" s="78"/>
      <c r="K549" s="76"/>
      <c r="L549" s="76"/>
      <c r="M549" s="76"/>
      <c r="N549" s="76"/>
      <c r="O549" s="76"/>
      <c r="P549" s="76"/>
      <c r="Q549" s="76"/>
      <c r="R549" s="76"/>
      <c r="X549" s="84" t="s">
        <v>2643</v>
      </c>
      <c r="Y549" s="84" t="s">
        <v>2541</v>
      </c>
      <c r="AA549" s="84" t="s">
        <v>2647</v>
      </c>
      <c r="AG549" s="84" t="s">
        <v>2643</v>
      </c>
      <c r="AU549" s="84">
        <v>110</v>
      </c>
      <c r="AY549" s="86" t="s">
        <v>2644</v>
      </c>
      <c r="AZ549" s="88">
        <f t="shared" si="17"/>
        <v>0.5</v>
      </c>
      <c r="BB549" s="84" t="s">
        <v>2807</v>
      </c>
      <c r="BK549" s="63" t="s">
        <v>2541</v>
      </c>
      <c r="BM549" s="84" t="s">
        <v>2541</v>
      </c>
      <c r="BX549" s="88">
        <v>0.5</v>
      </c>
      <c r="BY549" s="79" t="s">
        <v>3000</v>
      </c>
      <c r="CQ549" s="88"/>
    </row>
    <row r="550" spans="1:95" outlineLevel="1" x14ac:dyDescent="0.15">
      <c r="A550" s="76">
        <v>549</v>
      </c>
      <c r="B550" s="65" t="s">
        <v>1168</v>
      </c>
      <c r="C550" s="65">
        <v>1066963673</v>
      </c>
      <c r="D550" s="81" t="str">
        <f t="shared" si="18"/>
        <v>https://portal.dnb.de/opac.htm?method=simpleSearch&amp;cqlMode=true&amp;query=idn%3D1066963673</v>
      </c>
      <c r="E550" s="65" t="s">
        <v>1169</v>
      </c>
      <c r="F550" s="76"/>
      <c r="G550" s="78"/>
      <c r="H550" s="76"/>
      <c r="I550" s="78"/>
      <c r="J550" s="78"/>
      <c r="K550" s="76"/>
      <c r="L550" s="76"/>
      <c r="M550" s="76"/>
      <c r="N550" s="76"/>
      <c r="O550" s="76"/>
      <c r="P550" s="76"/>
      <c r="Q550" s="76"/>
      <c r="R550" s="76"/>
      <c r="AZ550" s="88">
        <f t="shared" si="17"/>
        <v>0</v>
      </c>
      <c r="BX550" s="88"/>
      <c r="CQ550" s="88"/>
    </row>
    <row r="551" spans="1:95" outlineLevel="1" x14ac:dyDescent="0.15">
      <c r="A551" s="76">
        <v>550</v>
      </c>
      <c r="B551" s="65" t="s">
        <v>1170</v>
      </c>
      <c r="C551" s="65">
        <v>1066962332</v>
      </c>
      <c r="D551" s="81" t="str">
        <f t="shared" si="18"/>
        <v>https://portal.dnb.de/opac.htm?method=simpleSearch&amp;cqlMode=true&amp;query=idn%3D1066962332</v>
      </c>
      <c r="E551" s="65" t="s">
        <v>1171</v>
      </c>
      <c r="F551" s="76"/>
      <c r="G551" s="78"/>
      <c r="H551" s="76"/>
      <c r="I551" s="78"/>
      <c r="J551" s="78"/>
      <c r="K551" s="76"/>
      <c r="L551" s="76"/>
      <c r="M551" s="76"/>
      <c r="N551" s="76"/>
      <c r="O551" s="76"/>
      <c r="P551" s="76"/>
      <c r="Q551" s="76"/>
      <c r="R551" s="76"/>
      <c r="AZ551" s="88">
        <f t="shared" si="17"/>
        <v>0</v>
      </c>
      <c r="BX551" s="88"/>
      <c r="CQ551" s="88"/>
    </row>
    <row r="552" spans="1:95" ht="22.5" outlineLevel="1" x14ac:dyDescent="0.15">
      <c r="A552" s="76">
        <v>551</v>
      </c>
      <c r="B552" s="65" t="s">
        <v>1172</v>
      </c>
      <c r="C552" s="65">
        <v>1066848513</v>
      </c>
      <c r="D552" s="81" t="str">
        <f t="shared" si="18"/>
        <v>https://portal.dnb.de/opac.htm?method=simpleSearch&amp;cqlMode=true&amp;query=idn%3D1066848513</v>
      </c>
      <c r="E552" s="65" t="s">
        <v>1173</v>
      </c>
      <c r="F552" s="76" t="s">
        <v>89</v>
      </c>
      <c r="G552" s="78" t="s">
        <v>2510</v>
      </c>
      <c r="H552" s="76" t="s">
        <v>51</v>
      </c>
      <c r="I552" s="78" t="s">
        <v>90</v>
      </c>
      <c r="J552" s="78"/>
      <c r="K552" s="76"/>
      <c r="L552" s="76" t="s">
        <v>34</v>
      </c>
      <c r="M552" s="76" t="s">
        <v>2538</v>
      </c>
      <c r="N552" s="76">
        <v>0</v>
      </c>
      <c r="O552" s="76"/>
      <c r="P552" s="76"/>
      <c r="Q552" s="76"/>
      <c r="R552" s="76"/>
      <c r="X552" s="84" t="s">
        <v>2697</v>
      </c>
      <c r="Y552" s="84" t="s">
        <v>2541</v>
      </c>
      <c r="AA552" s="84" t="s">
        <v>2647</v>
      </c>
      <c r="AE552" s="84" t="s">
        <v>2541</v>
      </c>
      <c r="AG552" s="84" t="s">
        <v>2643</v>
      </c>
      <c r="AQ552" s="84" t="s">
        <v>2658</v>
      </c>
      <c r="AR552" s="84" t="s">
        <v>2541</v>
      </c>
      <c r="AU552" s="84">
        <v>45</v>
      </c>
      <c r="AY552" s="86" t="s">
        <v>2651</v>
      </c>
      <c r="AZ552" s="88">
        <f t="shared" si="17"/>
        <v>0</v>
      </c>
      <c r="BD552" s="84" t="s">
        <v>2541</v>
      </c>
      <c r="BI552" s="63" t="s">
        <v>2877</v>
      </c>
      <c r="BX552" s="88"/>
      <c r="CQ552" s="88"/>
    </row>
    <row r="553" spans="1:95" outlineLevel="1" x14ac:dyDescent="0.15">
      <c r="A553" s="76">
        <v>552</v>
      </c>
      <c r="B553" s="65" t="s">
        <v>1174</v>
      </c>
      <c r="C553" s="65">
        <v>1066671311</v>
      </c>
      <c r="D553" s="81" t="str">
        <f t="shared" si="18"/>
        <v>https://portal.dnb.de/opac.htm?method=simpleSearch&amp;cqlMode=true&amp;query=idn%3D1066671311</v>
      </c>
      <c r="E553" s="65" t="s">
        <v>1175</v>
      </c>
      <c r="F553" s="76"/>
      <c r="G553" s="78"/>
      <c r="H553" s="76"/>
      <c r="I553" s="78"/>
      <c r="J553" s="78"/>
      <c r="K553" s="76"/>
      <c r="L553" s="76"/>
      <c r="M553" s="76"/>
      <c r="N553" s="76"/>
      <c r="O553" s="76"/>
      <c r="P553" s="76"/>
      <c r="Q553" s="76"/>
      <c r="R553" s="76"/>
      <c r="AZ553" s="88">
        <f t="shared" si="17"/>
        <v>0</v>
      </c>
      <c r="BX553" s="88"/>
      <c r="CQ553" s="88"/>
    </row>
    <row r="554" spans="1:95" outlineLevel="1" x14ac:dyDescent="0.15">
      <c r="A554" s="76">
        <v>553</v>
      </c>
      <c r="B554" s="65" t="s">
        <v>1176</v>
      </c>
      <c r="C554" s="65">
        <v>994273215</v>
      </c>
      <c r="D554" s="81" t="str">
        <f t="shared" si="18"/>
        <v>https://portal.dnb.de/opac.htm?method=simpleSearch&amp;cqlMode=true&amp;query=idn%3D994273215</v>
      </c>
      <c r="E554" s="65" t="s">
        <v>1177</v>
      </c>
      <c r="F554" s="76"/>
      <c r="G554" s="78"/>
      <c r="H554" s="76"/>
      <c r="I554" s="78"/>
      <c r="J554" s="78"/>
      <c r="K554" s="76"/>
      <c r="L554" s="76"/>
      <c r="M554" s="76"/>
      <c r="N554" s="76"/>
      <c r="O554" s="76"/>
      <c r="P554" s="76"/>
      <c r="Q554" s="76"/>
      <c r="R554" s="76"/>
      <c r="AZ554" s="88">
        <f t="shared" si="17"/>
        <v>0</v>
      </c>
      <c r="BX554" s="88"/>
      <c r="CQ554" s="88"/>
    </row>
    <row r="555" spans="1:95" ht="22.5" outlineLevel="1" x14ac:dyDescent="0.15">
      <c r="A555" s="76">
        <v>554</v>
      </c>
      <c r="B555" s="65" t="s">
        <v>1178</v>
      </c>
      <c r="C555" s="65">
        <v>1066956650</v>
      </c>
      <c r="D555" s="81" t="str">
        <f t="shared" si="18"/>
        <v>https://portal.dnb.de/opac.htm?method=simpleSearch&amp;cqlMode=true&amp;query=idn%3D1066956650</v>
      </c>
      <c r="E555" s="65" t="s">
        <v>1179</v>
      </c>
      <c r="F555" s="76"/>
      <c r="G555" s="78"/>
      <c r="H555" s="76" t="s">
        <v>51</v>
      </c>
      <c r="I555" s="78"/>
      <c r="J555" s="78"/>
      <c r="K555" s="76"/>
      <c r="L555" s="76"/>
      <c r="M555" s="76"/>
      <c r="N555" s="76"/>
      <c r="O555" s="76"/>
      <c r="P555" s="76"/>
      <c r="Q555" s="76"/>
      <c r="R555" s="76"/>
      <c r="X555" s="84" t="s">
        <v>2697</v>
      </c>
      <c r="Z555" s="84" t="s">
        <v>2541</v>
      </c>
      <c r="AA555" s="84" t="s">
        <v>2653</v>
      </c>
      <c r="AG555" s="84" t="s">
        <v>2643</v>
      </c>
      <c r="AU555" s="84">
        <v>80</v>
      </c>
      <c r="AY555" s="86" t="s">
        <v>2644</v>
      </c>
      <c r="AZ555" s="88">
        <f t="shared" si="17"/>
        <v>6</v>
      </c>
      <c r="BD555" s="84" t="s">
        <v>2541</v>
      </c>
      <c r="BK555" s="63" t="s">
        <v>2541</v>
      </c>
      <c r="BL555" s="84" t="s">
        <v>2541</v>
      </c>
      <c r="BM555" s="84" t="s">
        <v>2541</v>
      </c>
      <c r="BO555" s="84" t="s">
        <v>2677</v>
      </c>
      <c r="BX555" s="88">
        <v>6</v>
      </c>
      <c r="BY555" s="79" t="s">
        <v>3001</v>
      </c>
      <c r="CQ555" s="88"/>
    </row>
    <row r="556" spans="1:95" outlineLevel="1" x14ac:dyDescent="0.15">
      <c r="A556" s="76">
        <v>555</v>
      </c>
      <c r="B556" s="65" t="s">
        <v>1180</v>
      </c>
      <c r="C556" s="65">
        <v>1066956464</v>
      </c>
      <c r="D556" s="81" t="str">
        <f t="shared" si="18"/>
        <v>https://portal.dnb.de/opac.htm?method=simpleSearch&amp;cqlMode=true&amp;query=idn%3D1066956464</v>
      </c>
      <c r="E556" s="65" t="s">
        <v>1181</v>
      </c>
      <c r="F556" s="76"/>
      <c r="G556" s="78"/>
      <c r="H556" s="76"/>
      <c r="I556" s="78"/>
      <c r="J556" s="78"/>
      <c r="K556" s="76"/>
      <c r="L556" s="76"/>
      <c r="M556" s="76"/>
      <c r="N556" s="76"/>
      <c r="O556" s="76"/>
      <c r="P556" s="76"/>
      <c r="Q556" s="76"/>
      <c r="R556" s="76"/>
      <c r="AZ556" s="88">
        <f t="shared" si="17"/>
        <v>0</v>
      </c>
      <c r="BX556" s="88"/>
      <c r="CQ556" s="88"/>
    </row>
    <row r="557" spans="1:95" outlineLevel="1" x14ac:dyDescent="0.15">
      <c r="A557" s="76">
        <v>556</v>
      </c>
      <c r="B557" s="65" t="s">
        <v>1182</v>
      </c>
      <c r="C557" s="65">
        <v>1066962812</v>
      </c>
      <c r="D557" s="81" t="str">
        <f t="shared" si="18"/>
        <v>https://portal.dnb.de/opac.htm?method=simpleSearch&amp;cqlMode=true&amp;query=idn%3D1066962812</v>
      </c>
      <c r="E557" s="65" t="s">
        <v>1183</v>
      </c>
      <c r="F557" s="76"/>
      <c r="G557" s="78"/>
      <c r="H557" s="76" t="s">
        <v>51</v>
      </c>
      <c r="I557" s="78"/>
      <c r="J557" s="78"/>
      <c r="K557" s="76"/>
      <c r="L557" s="76"/>
      <c r="M557" s="76"/>
      <c r="N557" s="76"/>
      <c r="O557" s="76"/>
      <c r="P557" s="76"/>
      <c r="Q557" s="76"/>
      <c r="R557" s="76"/>
      <c r="X557" s="84" t="s">
        <v>2697</v>
      </c>
      <c r="AA557" s="84" t="s">
        <v>2653</v>
      </c>
      <c r="AG557" s="84" t="s">
        <v>2643</v>
      </c>
      <c r="AU557" s="84">
        <v>80</v>
      </c>
      <c r="AY557" s="86" t="s">
        <v>2651</v>
      </c>
      <c r="AZ557" s="88">
        <f t="shared" si="17"/>
        <v>0</v>
      </c>
      <c r="BD557" s="84" t="s">
        <v>2541</v>
      </c>
      <c r="BH557" s="79" t="s">
        <v>2962</v>
      </c>
      <c r="BX557" s="88"/>
      <c r="CQ557" s="88"/>
    </row>
    <row r="558" spans="1:95" ht="56.25" outlineLevel="1" x14ac:dyDescent="0.15">
      <c r="A558" s="76">
        <v>557</v>
      </c>
      <c r="B558" s="65" t="s">
        <v>1184</v>
      </c>
      <c r="C558" s="65">
        <v>1066964084</v>
      </c>
      <c r="D558" s="81" t="str">
        <f t="shared" si="18"/>
        <v>https://portal.dnb.de/opac.htm?method=simpleSearch&amp;cqlMode=true&amp;query=idn%3D1066964084</v>
      </c>
      <c r="E558" s="65" t="s">
        <v>1185</v>
      </c>
      <c r="F558" s="76"/>
      <c r="G558" s="78"/>
      <c r="H558" s="76" t="s">
        <v>51</v>
      </c>
      <c r="I558" s="78"/>
      <c r="J558" s="78"/>
      <c r="K558" s="76"/>
      <c r="L558" s="76"/>
      <c r="M558" s="76"/>
      <c r="N558" s="76"/>
      <c r="O558" s="76"/>
      <c r="P558" s="76"/>
      <c r="Q558" s="76"/>
      <c r="R558" s="76"/>
      <c r="X558" s="84" t="s">
        <v>2697</v>
      </c>
      <c r="Y558" s="84" t="s">
        <v>2541</v>
      </c>
      <c r="AA558" s="84" t="s">
        <v>2647</v>
      </c>
      <c r="AG558" s="84" t="s">
        <v>2643</v>
      </c>
      <c r="AQ558" s="84" t="s">
        <v>2658</v>
      </c>
      <c r="AR558" s="84" t="s">
        <v>2541</v>
      </c>
      <c r="AU558" s="84">
        <v>110</v>
      </c>
      <c r="AY558" s="86" t="s">
        <v>2651</v>
      </c>
      <c r="AZ558" s="88">
        <f t="shared" si="17"/>
        <v>0</v>
      </c>
      <c r="BH558" s="79" t="s">
        <v>2878</v>
      </c>
      <c r="BX558" s="88"/>
      <c r="CQ558" s="88"/>
    </row>
    <row r="559" spans="1:95" outlineLevel="1" x14ac:dyDescent="0.15">
      <c r="A559" s="76">
        <v>558</v>
      </c>
      <c r="B559" s="65" t="s">
        <v>1186</v>
      </c>
      <c r="C559" s="65">
        <v>1066962502</v>
      </c>
      <c r="D559" s="81" t="str">
        <f t="shared" si="18"/>
        <v>https://portal.dnb.de/opac.htm?method=simpleSearch&amp;cqlMode=true&amp;query=idn%3D1066962502</v>
      </c>
      <c r="E559" s="65" t="s">
        <v>1187</v>
      </c>
      <c r="F559" s="76"/>
      <c r="G559" s="78"/>
      <c r="H559" s="76"/>
      <c r="I559" s="78"/>
      <c r="J559" s="78"/>
      <c r="K559" s="76"/>
      <c r="L559" s="76"/>
      <c r="M559" s="76"/>
      <c r="N559" s="76"/>
      <c r="O559" s="76"/>
      <c r="P559" s="76"/>
      <c r="Q559" s="76"/>
      <c r="R559" s="76"/>
      <c r="AZ559" s="88">
        <f t="shared" si="17"/>
        <v>0</v>
      </c>
      <c r="BX559" s="88"/>
      <c r="CQ559" s="88"/>
    </row>
    <row r="560" spans="1:95" ht="22.5" outlineLevel="1" x14ac:dyDescent="0.15">
      <c r="A560" s="76">
        <v>559</v>
      </c>
      <c r="B560" s="65" t="s">
        <v>1188</v>
      </c>
      <c r="C560" s="65" t="s">
        <v>1189</v>
      </c>
      <c r="D560" s="81" t="str">
        <f t="shared" si="18"/>
        <v>https://portal.dnb.de/opac.htm?method=simpleSearch&amp;cqlMode=true&amp;query=idn%3D106667292X</v>
      </c>
      <c r="E560" s="65" t="s">
        <v>1190</v>
      </c>
      <c r="F560" s="76"/>
      <c r="G560" s="78"/>
      <c r="H560" s="76" t="s">
        <v>51</v>
      </c>
      <c r="I560" s="78"/>
      <c r="J560" s="78"/>
      <c r="K560" s="76"/>
      <c r="L560" s="76"/>
      <c r="M560" s="76"/>
      <c r="N560" s="76"/>
      <c r="O560" s="76"/>
      <c r="P560" s="76"/>
      <c r="Q560" s="76"/>
      <c r="R560" s="76"/>
      <c r="X560" s="84" t="s">
        <v>2641</v>
      </c>
      <c r="Y560" s="84" t="s">
        <v>2541</v>
      </c>
      <c r="AA560" s="84" t="s">
        <v>2653</v>
      </c>
      <c r="AF560" s="84" t="s">
        <v>2541</v>
      </c>
      <c r="AG560" s="84" t="s">
        <v>2643</v>
      </c>
      <c r="AU560" s="84">
        <v>60</v>
      </c>
      <c r="AY560" s="86" t="s">
        <v>2644</v>
      </c>
      <c r="AZ560" s="88">
        <f t="shared" si="17"/>
        <v>1</v>
      </c>
      <c r="BD560" s="84" t="s">
        <v>2541</v>
      </c>
      <c r="BH560" s="79" t="s">
        <v>3002</v>
      </c>
      <c r="BK560" s="63" t="s">
        <v>2541</v>
      </c>
      <c r="BM560" s="84" t="s">
        <v>2541</v>
      </c>
      <c r="BS560" s="84" t="s">
        <v>2541</v>
      </c>
      <c r="BX560" s="88">
        <v>1</v>
      </c>
      <c r="BY560" s="79" t="s">
        <v>3003</v>
      </c>
      <c r="CQ560" s="88"/>
    </row>
    <row r="561" spans="1:95" outlineLevel="1" x14ac:dyDescent="0.15">
      <c r="A561" s="76">
        <v>560</v>
      </c>
      <c r="B561" s="65" t="s">
        <v>1191</v>
      </c>
      <c r="C561" s="65" t="s">
        <v>1192</v>
      </c>
      <c r="D561" s="81" t="str">
        <f t="shared" si="18"/>
        <v>https://portal.dnb.de/opac.htm?method=simpleSearch&amp;cqlMode=true&amp;query=idn%3D106695660X</v>
      </c>
      <c r="E561" s="65" t="s">
        <v>1193</v>
      </c>
      <c r="F561" s="76"/>
      <c r="G561" s="78"/>
      <c r="H561" s="76"/>
      <c r="I561" s="78"/>
      <c r="J561" s="78"/>
      <c r="K561" s="76"/>
      <c r="L561" s="76"/>
      <c r="M561" s="76"/>
      <c r="N561" s="76"/>
      <c r="O561" s="76"/>
      <c r="P561" s="76"/>
      <c r="Q561" s="76"/>
      <c r="R561" s="76"/>
      <c r="AZ561" s="88">
        <f t="shared" si="17"/>
        <v>0</v>
      </c>
      <c r="BX561" s="88"/>
      <c r="CQ561" s="88"/>
    </row>
    <row r="562" spans="1:95" outlineLevel="1" x14ac:dyDescent="0.15">
      <c r="A562" s="76">
        <v>561</v>
      </c>
      <c r="B562" s="65" t="s">
        <v>1194</v>
      </c>
      <c r="C562" s="65">
        <v>1066956537</v>
      </c>
      <c r="D562" s="81" t="str">
        <f t="shared" si="18"/>
        <v>https://portal.dnb.de/opac.htm?method=simpleSearch&amp;cqlMode=true&amp;query=idn%3D1066956537</v>
      </c>
      <c r="E562" s="65" t="s">
        <v>1195</v>
      </c>
      <c r="F562" s="76" t="s">
        <v>89</v>
      </c>
      <c r="G562" s="78" t="s">
        <v>5</v>
      </c>
      <c r="H562" s="76" t="s">
        <v>50</v>
      </c>
      <c r="I562" s="78" t="s">
        <v>55</v>
      </c>
      <c r="J562" s="78" t="s">
        <v>81</v>
      </c>
      <c r="K562" s="76"/>
      <c r="L562" s="76"/>
      <c r="M562" s="76"/>
      <c r="N562" s="76">
        <v>0</v>
      </c>
      <c r="O562" s="76"/>
      <c r="P562" s="76" t="s">
        <v>2576</v>
      </c>
      <c r="Q562" s="76"/>
      <c r="R562" s="76"/>
      <c r="AZ562" s="88">
        <f t="shared" si="17"/>
        <v>0</v>
      </c>
      <c r="BX562" s="88"/>
      <c r="CQ562" s="88"/>
    </row>
    <row r="563" spans="1:95" outlineLevel="1" x14ac:dyDescent="0.15">
      <c r="A563" s="76">
        <v>562</v>
      </c>
      <c r="B563" s="65" t="s">
        <v>1196</v>
      </c>
      <c r="C563" s="65">
        <v>1066959404</v>
      </c>
      <c r="D563" s="81" t="str">
        <f t="shared" si="18"/>
        <v>https://portal.dnb.de/opac.htm?method=simpleSearch&amp;cqlMode=true&amp;query=idn%3D1066959404</v>
      </c>
      <c r="E563" s="65" t="s">
        <v>1197</v>
      </c>
      <c r="F563" s="76" t="s">
        <v>89</v>
      </c>
      <c r="G563" s="78" t="s">
        <v>3</v>
      </c>
      <c r="H563" s="76" t="s">
        <v>50</v>
      </c>
      <c r="I563" s="78" t="s">
        <v>55</v>
      </c>
      <c r="J563" s="78" t="s">
        <v>81</v>
      </c>
      <c r="K563" s="76"/>
      <c r="L563" s="76"/>
      <c r="M563" s="76" t="s">
        <v>101</v>
      </c>
      <c r="N563" s="76">
        <v>0</v>
      </c>
      <c r="O563" s="76"/>
      <c r="P563" s="76"/>
      <c r="Q563" s="76"/>
      <c r="R563" s="76"/>
      <c r="AZ563" s="88">
        <f t="shared" si="17"/>
        <v>0</v>
      </c>
      <c r="BX563" s="88"/>
      <c r="CQ563" s="88"/>
    </row>
    <row r="564" spans="1:95" ht="33.75" outlineLevel="1" x14ac:dyDescent="0.15">
      <c r="A564" s="76">
        <v>563</v>
      </c>
      <c r="B564" s="65" t="s">
        <v>1198</v>
      </c>
      <c r="C564" s="65">
        <v>1066956642</v>
      </c>
      <c r="D564" s="81" t="str">
        <f t="shared" si="18"/>
        <v>https://portal.dnb.de/opac.htm?method=simpleSearch&amp;cqlMode=true&amp;query=idn%3D1066956642</v>
      </c>
      <c r="E564" s="65" t="s">
        <v>1199</v>
      </c>
      <c r="F564" s="76" t="s">
        <v>89</v>
      </c>
      <c r="G564" s="78" t="s">
        <v>2522</v>
      </c>
      <c r="H564" s="76" t="s">
        <v>50</v>
      </c>
      <c r="I564" s="78" t="s">
        <v>55</v>
      </c>
      <c r="J564" s="78" t="s">
        <v>81</v>
      </c>
      <c r="K564" s="76"/>
      <c r="L564" s="76" t="s">
        <v>34</v>
      </c>
      <c r="M564" s="76" t="s">
        <v>37</v>
      </c>
      <c r="N564" s="76">
        <v>1</v>
      </c>
      <c r="O564" s="76"/>
      <c r="P564" s="76"/>
      <c r="Q564" s="76"/>
      <c r="R564" s="76"/>
      <c r="X564" s="84" t="s">
        <v>2643</v>
      </c>
      <c r="Y564" s="84" t="s">
        <v>2541</v>
      </c>
      <c r="AA564" s="84" t="s">
        <v>2647</v>
      </c>
      <c r="AG564" s="84" t="s">
        <v>2643</v>
      </c>
      <c r="AU564" s="84">
        <v>110</v>
      </c>
      <c r="AY564" s="86" t="s">
        <v>2651</v>
      </c>
      <c r="AZ564" s="88">
        <f t="shared" si="17"/>
        <v>0</v>
      </c>
      <c r="BD564" s="84" t="s">
        <v>2541</v>
      </c>
      <c r="BH564" s="79" t="s">
        <v>2962</v>
      </c>
      <c r="BX564" s="88"/>
      <c r="CQ564" s="88"/>
    </row>
    <row r="565" spans="1:95" outlineLevel="1" x14ac:dyDescent="0.15">
      <c r="A565" s="76">
        <v>564</v>
      </c>
      <c r="B565" s="65" t="s">
        <v>1200</v>
      </c>
      <c r="C565" s="65">
        <v>1066873240</v>
      </c>
      <c r="D565" s="81" t="str">
        <f t="shared" si="18"/>
        <v>https://portal.dnb.de/opac.htm?method=simpleSearch&amp;cqlMode=true&amp;query=idn%3D1066873240</v>
      </c>
      <c r="E565" s="65" t="s">
        <v>1201</v>
      </c>
      <c r="F565" s="76"/>
      <c r="G565" s="78"/>
      <c r="H565" s="76"/>
      <c r="I565" s="78"/>
      <c r="J565" s="78"/>
      <c r="K565" s="76"/>
      <c r="L565" s="76"/>
      <c r="M565" s="76"/>
      <c r="N565" s="76"/>
      <c r="O565" s="76"/>
      <c r="P565" s="76"/>
      <c r="Q565" s="76"/>
      <c r="R565" s="76"/>
      <c r="AZ565" s="88">
        <f t="shared" si="17"/>
        <v>0</v>
      </c>
      <c r="BX565" s="88"/>
      <c r="CQ565" s="88"/>
    </row>
    <row r="566" spans="1:95" ht="22.5" outlineLevel="1" x14ac:dyDescent="0.15">
      <c r="A566" s="76">
        <v>565</v>
      </c>
      <c r="B566" s="65" t="s">
        <v>1202</v>
      </c>
      <c r="C566" s="65">
        <v>994054432</v>
      </c>
      <c r="D566" s="81" t="str">
        <f t="shared" si="18"/>
        <v>https://portal.dnb.de/opac.htm?method=simpleSearch&amp;cqlMode=true&amp;query=idn%3D994054432</v>
      </c>
      <c r="E566" s="65" t="s">
        <v>1203</v>
      </c>
      <c r="F566" s="76" t="s">
        <v>89</v>
      </c>
      <c r="G566" s="78" t="s">
        <v>2510</v>
      </c>
      <c r="H566" s="76" t="s">
        <v>50</v>
      </c>
      <c r="I566" s="78"/>
      <c r="J566" s="78" t="s">
        <v>81</v>
      </c>
      <c r="K566" s="76"/>
      <c r="L566" s="76" t="s">
        <v>34</v>
      </c>
      <c r="M566" s="76" t="s">
        <v>37</v>
      </c>
      <c r="N566" s="76">
        <v>0</v>
      </c>
      <c r="O566" s="76"/>
      <c r="P566" s="76" t="s">
        <v>2576</v>
      </c>
      <c r="Q566" s="76"/>
      <c r="R566" s="76"/>
      <c r="AZ566" s="88">
        <f t="shared" si="17"/>
        <v>0</v>
      </c>
      <c r="BX566" s="88"/>
      <c r="CQ566" s="88"/>
    </row>
    <row r="567" spans="1:95" outlineLevel="1" x14ac:dyDescent="0.15">
      <c r="A567" s="76">
        <v>566</v>
      </c>
      <c r="B567" s="65" t="s">
        <v>1204</v>
      </c>
      <c r="C567" s="65">
        <v>1079607048</v>
      </c>
      <c r="D567" s="81" t="str">
        <f>HYPERLINK(CONCATENATE("https://portal.dnb.de/opac.htm?method=simpleSearch&amp;cqlMode=true&amp;query=idn%3D",C567))</f>
        <v>https://portal.dnb.de/opac.htm?method=simpleSearch&amp;cqlMode=true&amp;query=idn%3D1079607048</v>
      </c>
      <c r="E567" s="65" t="s">
        <v>1205</v>
      </c>
      <c r="F567" s="76"/>
      <c r="G567" s="78"/>
      <c r="H567" s="76"/>
      <c r="I567" s="78"/>
      <c r="J567" s="78"/>
      <c r="K567" s="76"/>
      <c r="L567" s="76"/>
      <c r="M567" s="76"/>
      <c r="N567" s="76"/>
      <c r="O567" s="76"/>
      <c r="P567" s="76"/>
      <c r="Q567" s="76"/>
      <c r="R567" s="76"/>
      <c r="AZ567" s="88">
        <f t="shared" si="17"/>
        <v>0</v>
      </c>
      <c r="BX567" s="88"/>
      <c r="CQ567" s="88"/>
    </row>
    <row r="568" spans="1:95" ht="22.5" outlineLevel="1" x14ac:dyDescent="0.15">
      <c r="A568" s="76">
        <v>567</v>
      </c>
      <c r="B568" s="65" t="s">
        <v>1206</v>
      </c>
      <c r="C568" s="65">
        <v>1211581829</v>
      </c>
      <c r="D568" s="81" t="str">
        <f>HYPERLINK(CONCATENATE("https://portal.dnb.de/opac.htm?method=simpleSearch&amp;cqlMode=true&amp;query=idn%3D",C568))</f>
        <v>https://portal.dnb.de/opac.htm?method=simpleSearch&amp;cqlMode=true&amp;query=idn%3D1211581829</v>
      </c>
      <c r="E568" s="65" t="s">
        <v>1205</v>
      </c>
      <c r="F568" s="76" t="s">
        <v>89</v>
      </c>
      <c r="G568" s="78" t="s">
        <v>2518</v>
      </c>
      <c r="H568" s="76" t="s">
        <v>51</v>
      </c>
      <c r="I568" s="78" t="s">
        <v>55</v>
      </c>
      <c r="J568" s="78" t="s">
        <v>81</v>
      </c>
      <c r="K568" s="76"/>
      <c r="L568" s="76" t="s">
        <v>34</v>
      </c>
      <c r="M568" s="76" t="s">
        <v>37</v>
      </c>
      <c r="N568" s="76">
        <v>0</v>
      </c>
      <c r="O568" s="76"/>
      <c r="P568" s="76" t="s">
        <v>2576</v>
      </c>
      <c r="Q568" s="76"/>
      <c r="R568" s="76"/>
      <c r="AZ568" s="88">
        <f t="shared" si="17"/>
        <v>0</v>
      </c>
      <c r="BX568" s="88"/>
      <c r="CQ568" s="88"/>
    </row>
    <row r="569" spans="1:95" outlineLevel="1" x14ac:dyDescent="0.15">
      <c r="A569" s="76">
        <v>568</v>
      </c>
      <c r="B569" s="65" t="s">
        <v>1207</v>
      </c>
      <c r="C569" s="65">
        <v>1066837856</v>
      </c>
      <c r="D569" s="81" t="str">
        <f t="shared" si="18"/>
        <v>https://portal.dnb.de/opac.htm?method=simpleSearch&amp;cqlMode=true&amp;query=idn%3D1066837856</v>
      </c>
      <c r="E569" s="65" t="s">
        <v>1208</v>
      </c>
      <c r="F569" s="76"/>
      <c r="G569" s="78"/>
      <c r="H569" s="76"/>
      <c r="I569" s="78"/>
      <c r="J569" s="78"/>
      <c r="K569" s="76"/>
      <c r="L569" s="76"/>
      <c r="M569" s="76"/>
      <c r="N569" s="76"/>
      <c r="O569" s="76"/>
      <c r="P569" s="76"/>
      <c r="Q569" s="76"/>
      <c r="R569" s="76"/>
      <c r="AZ569" s="88">
        <f t="shared" si="17"/>
        <v>0</v>
      </c>
      <c r="BX569" s="88"/>
      <c r="CQ569" s="88"/>
    </row>
    <row r="570" spans="1:95" outlineLevel="1" x14ac:dyDescent="0.15">
      <c r="A570" s="76">
        <v>569</v>
      </c>
      <c r="B570" s="65" t="s">
        <v>1209</v>
      </c>
      <c r="C570" s="65">
        <v>1066873720</v>
      </c>
      <c r="D570" s="81" t="str">
        <f t="shared" si="18"/>
        <v>https://portal.dnb.de/opac.htm?method=simpleSearch&amp;cqlMode=true&amp;query=idn%3D1066873720</v>
      </c>
      <c r="E570" s="65" t="s">
        <v>1210</v>
      </c>
      <c r="F570" s="76"/>
      <c r="G570" s="78"/>
      <c r="H570" s="76"/>
      <c r="I570" s="78"/>
      <c r="J570" s="78"/>
      <c r="K570" s="76"/>
      <c r="L570" s="76"/>
      <c r="M570" s="76"/>
      <c r="N570" s="76"/>
      <c r="O570" s="76"/>
      <c r="P570" s="76"/>
      <c r="Q570" s="76"/>
      <c r="R570" s="76"/>
      <c r="AZ570" s="88">
        <f t="shared" si="17"/>
        <v>0</v>
      </c>
      <c r="BX570" s="88"/>
      <c r="CQ570" s="88"/>
    </row>
    <row r="571" spans="1:95" outlineLevel="1" x14ac:dyDescent="0.15">
      <c r="A571" s="76">
        <v>570</v>
      </c>
      <c r="B571" s="65" t="s">
        <v>1211</v>
      </c>
      <c r="C571" s="65">
        <v>1066961905</v>
      </c>
      <c r="D571" s="81" t="str">
        <f t="shared" si="18"/>
        <v>https://portal.dnb.de/opac.htm?method=simpleSearch&amp;cqlMode=true&amp;query=idn%3D1066961905</v>
      </c>
      <c r="E571" s="65" t="s">
        <v>1212</v>
      </c>
      <c r="F571" s="76"/>
      <c r="G571" s="78"/>
      <c r="H571" s="76" t="s">
        <v>50</v>
      </c>
      <c r="I571" s="78"/>
      <c r="J571" s="78"/>
      <c r="K571" s="76"/>
      <c r="L571" s="76"/>
      <c r="M571" s="76"/>
      <c r="N571" s="76"/>
      <c r="O571" s="76"/>
      <c r="P571" s="76"/>
      <c r="Q571" s="76"/>
      <c r="R571" s="76"/>
      <c r="X571" s="84" t="s">
        <v>2652</v>
      </c>
      <c r="Y571" s="84" t="s">
        <v>2541</v>
      </c>
      <c r="AA571" s="84" t="s">
        <v>2647</v>
      </c>
      <c r="AG571" s="84" t="s">
        <v>2643</v>
      </c>
      <c r="AU571" s="84">
        <v>110</v>
      </c>
      <c r="AY571" s="86" t="s">
        <v>2644</v>
      </c>
      <c r="AZ571" s="88">
        <f t="shared" si="17"/>
        <v>0.5</v>
      </c>
      <c r="BD571" s="84" t="s">
        <v>2541</v>
      </c>
      <c r="BK571" s="63" t="s">
        <v>2541</v>
      </c>
      <c r="BL571" s="84" t="s">
        <v>2541</v>
      </c>
      <c r="BM571" s="84" t="s">
        <v>2541</v>
      </c>
      <c r="BX571" s="88">
        <v>0.5</v>
      </c>
      <c r="CQ571" s="88"/>
    </row>
    <row r="572" spans="1:95" ht="22.5" outlineLevel="1" x14ac:dyDescent="0.15">
      <c r="A572" s="76">
        <v>571</v>
      </c>
      <c r="B572" s="65" t="s">
        <v>1213</v>
      </c>
      <c r="C572" s="65">
        <v>1066959684</v>
      </c>
      <c r="D572" s="81" t="str">
        <f t="shared" si="18"/>
        <v>https://portal.dnb.de/opac.htm?method=simpleSearch&amp;cqlMode=true&amp;query=idn%3D1066959684</v>
      </c>
      <c r="E572" s="65" t="s">
        <v>1214</v>
      </c>
      <c r="F572" s="76" t="s">
        <v>89</v>
      </c>
      <c r="G572" s="78" t="s">
        <v>2518</v>
      </c>
      <c r="H572" s="76" t="s">
        <v>51</v>
      </c>
      <c r="I572" s="78" t="s">
        <v>55</v>
      </c>
      <c r="J572" s="78" t="s">
        <v>81</v>
      </c>
      <c r="K572" s="76"/>
      <c r="L572" s="76" t="s">
        <v>34</v>
      </c>
      <c r="M572" s="76" t="s">
        <v>37</v>
      </c>
      <c r="N572" s="76">
        <v>0</v>
      </c>
      <c r="O572" s="76"/>
      <c r="P572" s="76" t="s">
        <v>2576</v>
      </c>
      <c r="Q572" s="76"/>
      <c r="R572" s="76"/>
      <c r="AZ572" s="88">
        <f t="shared" si="17"/>
        <v>0</v>
      </c>
      <c r="BX572" s="88"/>
      <c r="CQ572" s="88"/>
    </row>
    <row r="573" spans="1:95" outlineLevel="1" x14ac:dyDescent="0.15">
      <c r="A573" s="76">
        <v>572</v>
      </c>
      <c r="B573" s="65" t="s">
        <v>1215</v>
      </c>
      <c r="C573" s="65">
        <v>1211351726</v>
      </c>
      <c r="D573" s="81" t="str">
        <f>HYPERLINK(CONCATENATE("https://portal.dnb.de/opac.htm?method=simpleSearch&amp;cqlMode=true&amp;query=idn%3D",C573))</f>
        <v>https://portal.dnb.de/opac.htm?method=simpleSearch&amp;cqlMode=true&amp;query=idn%3D1211351726</v>
      </c>
      <c r="E573" s="65" t="s">
        <v>1216</v>
      </c>
      <c r="F573" s="76" t="s">
        <v>89</v>
      </c>
      <c r="G573" s="78" t="s">
        <v>5</v>
      </c>
      <c r="H573" s="76" t="s">
        <v>51</v>
      </c>
      <c r="I573" s="78" t="s">
        <v>55</v>
      </c>
      <c r="J573" s="78" t="s">
        <v>81</v>
      </c>
      <c r="K573" s="76"/>
      <c r="L573" s="76"/>
      <c r="M573" s="76"/>
      <c r="N573" s="76">
        <v>0</v>
      </c>
      <c r="O573" s="76"/>
      <c r="P573" s="76" t="s">
        <v>2576</v>
      </c>
      <c r="Q573" s="76"/>
      <c r="R573" s="76"/>
      <c r="AZ573" s="88">
        <f t="shared" si="17"/>
        <v>0</v>
      </c>
      <c r="BX573" s="88"/>
      <c r="CQ573" s="88"/>
    </row>
    <row r="574" spans="1:95" outlineLevel="1" x14ac:dyDescent="0.15">
      <c r="A574" s="76">
        <v>573</v>
      </c>
      <c r="B574" s="65" t="s">
        <v>1217</v>
      </c>
      <c r="C574" s="65">
        <v>1066940509</v>
      </c>
      <c r="D574" s="81" t="str">
        <f t="shared" si="18"/>
        <v>https://portal.dnb.de/opac.htm?method=simpleSearch&amp;cqlMode=true&amp;query=idn%3D1066940509</v>
      </c>
      <c r="E574" s="65" t="s">
        <v>1218</v>
      </c>
      <c r="F574" s="76"/>
      <c r="G574" s="78"/>
      <c r="H574" s="76" t="s">
        <v>50</v>
      </c>
      <c r="I574" s="78"/>
      <c r="J574" s="78"/>
      <c r="K574" s="76"/>
      <c r="L574" s="76"/>
      <c r="M574" s="76"/>
      <c r="N574" s="76"/>
      <c r="O574" s="76"/>
      <c r="P574" s="76"/>
      <c r="Q574" s="76"/>
      <c r="R574" s="76"/>
      <c r="X574" s="84" t="s">
        <v>2652</v>
      </c>
      <c r="Y574" s="84" t="s">
        <v>2541</v>
      </c>
      <c r="AA574" s="84" t="s">
        <v>2647</v>
      </c>
      <c r="AG574" s="84" t="s">
        <v>2643</v>
      </c>
      <c r="AH574" s="84" t="s">
        <v>2541</v>
      </c>
      <c r="AU574" s="84">
        <v>110</v>
      </c>
      <c r="AY574" s="86" t="s">
        <v>2651</v>
      </c>
      <c r="AZ574" s="88">
        <f t="shared" si="17"/>
        <v>0</v>
      </c>
      <c r="BD574" s="84" t="s">
        <v>2541</v>
      </c>
      <c r="BH574" s="79" t="s">
        <v>2962</v>
      </c>
      <c r="BX574" s="88"/>
      <c r="CQ574" s="88"/>
    </row>
    <row r="575" spans="1:95" outlineLevel="1" x14ac:dyDescent="0.15">
      <c r="A575" s="76">
        <v>574</v>
      </c>
      <c r="B575" s="65" t="s">
        <v>1219</v>
      </c>
      <c r="C575" s="65">
        <v>1066956723</v>
      </c>
      <c r="D575" s="81" t="str">
        <f t="shared" si="18"/>
        <v>https://portal.dnb.de/opac.htm?method=simpleSearch&amp;cqlMode=true&amp;query=idn%3D1066956723</v>
      </c>
      <c r="E575" s="65" t="s">
        <v>1220</v>
      </c>
      <c r="F575" s="76"/>
      <c r="G575" s="78"/>
      <c r="H575" s="76" t="s">
        <v>50</v>
      </c>
      <c r="I575" s="78"/>
      <c r="J575" s="78"/>
      <c r="K575" s="76"/>
      <c r="L575" s="76"/>
      <c r="M575" s="76"/>
      <c r="N575" s="76"/>
      <c r="O575" s="76"/>
      <c r="P575" s="76"/>
      <c r="Q575" s="76"/>
      <c r="R575" s="76"/>
      <c r="X575" s="84" t="s">
        <v>2643</v>
      </c>
      <c r="AA575" s="84" t="s">
        <v>2647</v>
      </c>
      <c r="AG575" s="84" t="s">
        <v>2643</v>
      </c>
      <c r="AU575" s="84">
        <v>110</v>
      </c>
      <c r="AY575" s="86" t="s">
        <v>2644</v>
      </c>
      <c r="AZ575" s="88">
        <f t="shared" si="17"/>
        <v>0.5</v>
      </c>
      <c r="BK575" s="63" t="s">
        <v>2541</v>
      </c>
      <c r="BM575" s="84" t="s">
        <v>2541</v>
      </c>
      <c r="BX575" s="88">
        <v>0.5</v>
      </c>
      <c r="BY575" s="79" t="s">
        <v>3000</v>
      </c>
      <c r="CQ575" s="88"/>
    </row>
    <row r="576" spans="1:95" outlineLevel="1" x14ac:dyDescent="0.15">
      <c r="A576" s="76">
        <v>575</v>
      </c>
      <c r="B576" s="65" t="s">
        <v>1221</v>
      </c>
      <c r="C576" s="65">
        <v>1066963401</v>
      </c>
      <c r="D576" s="81" t="str">
        <f t="shared" si="18"/>
        <v>https://portal.dnb.de/opac.htm?method=simpleSearch&amp;cqlMode=true&amp;query=idn%3D1066963401</v>
      </c>
      <c r="E576" s="65" t="s">
        <v>1222</v>
      </c>
      <c r="F576" s="76"/>
      <c r="G576" s="78"/>
      <c r="H576" s="76"/>
      <c r="I576" s="78"/>
      <c r="J576" s="78"/>
      <c r="K576" s="76"/>
      <c r="L576" s="76"/>
      <c r="M576" s="76"/>
      <c r="N576" s="76"/>
      <c r="O576" s="76"/>
      <c r="P576" s="76"/>
      <c r="Q576" s="76"/>
      <c r="R576" s="76"/>
      <c r="AZ576" s="88">
        <f t="shared" ref="AZ576:AZ639" si="19">BX576+CQ576</f>
        <v>0</v>
      </c>
      <c r="BX576" s="88"/>
      <c r="CQ576" s="88"/>
    </row>
    <row r="577" spans="1:95" outlineLevel="1" x14ac:dyDescent="0.15">
      <c r="A577" s="76">
        <v>576</v>
      </c>
      <c r="B577" s="65" t="s">
        <v>1223</v>
      </c>
      <c r="C577" s="65">
        <v>1066961743</v>
      </c>
      <c r="D577" s="81" t="str">
        <f t="shared" si="18"/>
        <v>https://portal.dnb.de/opac.htm?method=simpleSearch&amp;cqlMode=true&amp;query=idn%3D1066961743</v>
      </c>
      <c r="E577" s="65" t="s">
        <v>1224</v>
      </c>
      <c r="F577" s="76" t="s">
        <v>89</v>
      </c>
      <c r="G577" s="78" t="s">
        <v>3</v>
      </c>
      <c r="H577" s="76" t="s">
        <v>51</v>
      </c>
      <c r="I577" s="78" t="s">
        <v>90</v>
      </c>
      <c r="J577" s="78" t="s">
        <v>81</v>
      </c>
      <c r="K577" s="76"/>
      <c r="L577" s="76"/>
      <c r="M577" s="76"/>
      <c r="N577" s="76">
        <v>0</v>
      </c>
      <c r="O577" s="76"/>
      <c r="P577" s="76"/>
      <c r="Q577" s="76"/>
      <c r="R577" s="76"/>
      <c r="AZ577" s="88">
        <f t="shared" si="19"/>
        <v>0</v>
      </c>
      <c r="BX577" s="88"/>
      <c r="CQ577" s="88"/>
    </row>
    <row r="578" spans="1:95" outlineLevel="1" x14ac:dyDescent="0.15">
      <c r="A578" s="76">
        <v>577</v>
      </c>
      <c r="B578" s="65" t="s">
        <v>1225</v>
      </c>
      <c r="C578" s="65">
        <v>1066961840</v>
      </c>
      <c r="D578" s="81" t="str">
        <f t="shared" si="18"/>
        <v>https://portal.dnb.de/opac.htm?method=simpleSearch&amp;cqlMode=true&amp;query=idn%3D1066961840</v>
      </c>
      <c r="E578" s="65" t="s">
        <v>1226</v>
      </c>
      <c r="F578" s="76"/>
      <c r="G578" s="78"/>
      <c r="H578" s="76"/>
      <c r="I578" s="78"/>
      <c r="J578" s="78"/>
      <c r="K578" s="76"/>
      <c r="L578" s="76"/>
      <c r="M578" s="76"/>
      <c r="N578" s="76"/>
      <c r="O578" s="76"/>
      <c r="P578" s="76"/>
      <c r="Q578" s="76"/>
      <c r="R578" s="76"/>
      <c r="AZ578" s="88">
        <f t="shared" si="19"/>
        <v>0</v>
      </c>
      <c r="BX578" s="88"/>
      <c r="CQ578" s="88"/>
    </row>
    <row r="579" spans="1:95" outlineLevel="1" x14ac:dyDescent="0.15">
      <c r="A579" s="76">
        <v>578</v>
      </c>
      <c r="B579" s="65" t="s">
        <v>1227</v>
      </c>
      <c r="C579" s="65">
        <v>1066956553</v>
      </c>
      <c r="D579" s="81" t="str">
        <f t="shared" si="18"/>
        <v>https://portal.dnb.de/opac.htm?method=simpleSearch&amp;cqlMode=true&amp;query=idn%3D1066956553</v>
      </c>
      <c r="E579" s="65" t="s">
        <v>1228</v>
      </c>
      <c r="F579" s="76"/>
      <c r="G579" s="78"/>
      <c r="H579" s="76"/>
      <c r="I579" s="78"/>
      <c r="J579" s="78"/>
      <c r="K579" s="76"/>
      <c r="L579" s="76"/>
      <c r="M579" s="76"/>
      <c r="N579" s="76"/>
      <c r="O579" s="76"/>
      <c r="P579" s="76"/>
      <c r="Q579" s="76"/>
      <c r="R579" s="76"/>
      <c r="AZ579" s="88">
        <f t="shared" si="19"/>
        <v>0</v>
      </c>
      <c r="BX579" s="88"/>
      <c r="CQ579" s="88"/>
    </row>
    <row r="580" spans="1:95" outlineLevel="1" x14ac:dyDescent="0.15">
      <c r="A580" s="76">
        <v>579</v>
      </c>
      <c r="B580" s="65" t="s">
        <v>1229</v>
      </c>
      <c r="C580" s="65">
        <v>1066963819</v>
      </c>
      <c r="D580" s="81" t="str">
        <f t="shared" si="18"/>
        <v>https://portal.dnb.de/opac.htm?method=simpleSearch&amp;cqlMode=true&amp;query=idn%3D1066963819</v>
      </c>
      <c r="E580" s="65" t="s">
        <v>1230</v>
      </c>
      <c r="F580" s="76"/>
      <c r="G580" s="78"/>
      <c r="H580" s="76"/>
      <c r="I580" s="78"/>
      <c r="J580" s="78"/>
      <c r="K580" s="76"/>
      <c r="L580" s="76"/>
      <c r="M580" s="76"/>
      <c r="N580" s="76"/>
      <c r="O580" s="76"/>
      <c r="P580" s="76"/>
      <c r="Q580" s="76"/>
      <c r="R580" s="76"/>
      <c r="AZ580" s="88">
        <f t="shared" si="19"/>
        <v>0</v>
      </c>
      <c r="BX580" s="88"/>
      <c r="CQ580" s="88"/>
    </row>
    <row r="581" spans="1:95" ht="22.5" outlineLevel="1" x14ac:dyDescent="0.15">
      <c r="A581" s="76">
        <v>580</v>
      </c>
      <c r="B581" s="65" t="s">
        <v>1231</v>
      </c>
      <c r="C581" s="65">
        <v>1066956545</v>
      </c>
      <c r="D581" s="81" t="str">
        <f t="shared" si="18"/>
        <v>https://portal.dnb.de/opac.htm?method=simpleSearch&amp;cqlMode=true&amp;query=idn%3D1066956545</v>
      </c>
      <c r="E581" s="65" t="s">
        <v>1232</v>
      </c>
      <c r="F581" s="76"/>
      <c r="G581" s="78"/>
      <c r="H581" s="76" t="s">
        <v>51</v>
      </c>
      <c r="I581" s="78"/>
      <c r="J581" s="78"/>
      <c r="K581" s="76"/>
      <c r="L581" s="76"/>
      <c r="M581" s="76"/>
      <c r="N581" s="76"/>
      <c r="O581" s="76"/>
      <c r="P581" s="76"/>
      <c r="Q581" s="76"/>
      <c r="R581" s="76"/>
      <c r="X581" s="84" t="s">
        <v>2697</v>
      </c>
      <c r="AA581" s="84" t="s">
        <v>2653</v>
      </c>
      <c r="AG581" s="84" t="s">
        <v>2643</v>
      </c>
      <c r="AU581" s="84">
        <v>80</v>
      </c>
      <c r="AY581" s="86" t="s">
        <v>2644</v>
      </c>
      <c r="AZ581" s="88">
        <f t="shared" si="19"/>
        <v>1</v>
      </c>
      <c r="BK581" s="63" t="s">
        <v>2541</v>
      </c>
      <c r="BL581" s="84" t="s">
        <v>2541</v>
      </c>
      <c r="BM581" s="84" t="s">
        <v>2541</v>
      </c>
      <c r="BO581" s="84" t="s">
        <v>2677</v>
      </c>
      <c r="BX581" s="88">
        <v>1</v>
      </c>
      <c r="BY581" s="79" t="s">
        <v>3004</v>
      </c>
      <c r="CQ581" s="88"/>
    </row>
    <row r="582" spans="1:95" ht="22.5" outlineLevel="1" x14ac:dyDescent="0.15">
      <c r="A582" s="76">
        <v>581</v>
      </c>
      <c r="B582" s="65" t="s">
        <v>1233</v>
      </c>
      <c r="C582" s="65">
        <v>1066959617</v>
      </c>
      <c r="D582" s="81" t="str">
        <f t="shared" si="18"/>
        <v>https://portal.dnb.de/opac.htm?method=simpleSearch&amp;cqlMode=true&amp;query=idn%3D1066959617</v>
      </c>
      <c r="E582" s="65" t="s">
        <v>1234</v>
      </c>
      <c r="F582" s="76" t="s">
        <v>89</v>
      </c>
      <c r="G582" s="78" t="s">
        <v>2516</v>
      </c>
      <c r="H582" s="76" t="s">
        <v>51</v>
      </c>
      <c r="I582" s="78" t="s">
        <v>90</v>
      </c>
      <c r="J582" s="78" t="s">
        <v>94</v>
      </c>
      <c r="K582" s="76"/>
      <c r="L582" s="76" t="s">
        <v>34</v>
      </c>
      <c r="M582" s="76" t="s">
        <v>37</v>
      </c>
      <c r="N582" s="76">
        <v>1</v>
      </c>
      <c r="O582" s="76"/>
      <c r="P582" s="76"/>
      <c r="Q582" s="76"/>
      <c r="R582" s="76"/>
      <c r="X582" s="84" t="s">
        <v>2641</v>
      </c>
      <c r="Y582" s="84" t="s">
        <v>2541</v>
      </c>
      <c r="AA582" s="84" t="s">
        <v>2653</v>
      </c>
      <c r="AG582" s="84" t="s">
        <v>2643</v>
      </c>
      <c r="AU582" s="84">
        <v>45</v>
      </c>
      <c r="AY582" s="86" t="s">
        <v>2651</v>
      </c>
      <c r="AZ582" s="88">
        <f t="shared" si="19"/>
        <v>0</v>
      </c>
      <c r="BD582" s="84" t="s">
        <v>2541</v>
      </c>
      <c r="BH582" s="79" t="s">
        <v>2962</v>
      </c>
      <c r="BX582" s="88"/>
      <c r="CQ582" s="88"/>
    </row>
    <row r="583" spans="1:95" outlineLevel="1" x14ac:dyDescent="0.15">
      <c r="A583" s="76">
        <v>582</v>
      </c>
      <c r="B583" s="65" t="s">
        <v>1235</v>
      </c>
      <c r="C583" s="65">
        <v>1066961484</v>
      </c>
      <c r="D583" s="81" t="str">
        <f t="shared" si="18"/>
        <v>https://portal.dnb.de/opac.htm?method=simpleSearch&amp;cqlMode=true&amp;query=idn%3D1066961484</v>
      </c>
      <c r="E583" s="65" t="s">
        <v>1236</v>
      </c>
      <c r="F583" s="76"/>
      <c r="G583" s="78"/>
      <c r="H583" s="76"/>
      <c r="I583" s="78"/>
      <c r="J583" s="78"/>
      <c r="K583" s="76"/>
      <c r="L583" s="76"/>
      <c r="M583" s="76"/>
      <c r="N583" s="76"/>
      <c r="O583" s="76"/>
      <c r="P583" s="76"/>
      <c r="Q583" s="76"/>
      <c r="R583" s="76"/>
      <c r="AZ583" s="88">
        <f t="shared" si="19"/>
        <v>0</v>
      </c>
      <c r="BX583" s="88"/>
      <c r="CQ583" s="88"/>
    </row>
    <row r="584" spans="1:95" outlineLevel="1" x14ac:dyDescent="0.15">
      <c r="A584" s="76">
        <v>583</v>
      </c>
      <c r="B584" s="65" t="s">
        <v>1237</v>
      </c>
      <c r="C584" s="65">
        <v>1066961662</v>
      </c>
      <c r="D584" s="81" t="str">
        <f t="shared" si="18"/>
        <v>https://portal.dnb.de/opac.htm?method=simpleSearch&amp;cqlMode=true&amp;query=idn%3D1066961662</v>
      </c>
      <c r="E584" s="65" t="s">
        <v>1238</v>
      </c>
      <c r="F584" s="76"/>
      <c r="G584" s="78"/>
      <c r="H584" s="76"/>
      <c r="I584" s="78"/>
      <c r="J584" s="78"/>
      <c r="K584" s="76"/>
      <c r="L584" s="76"/>
      <c r="M584" s="76"/>
      <c r="N584" s="76"/>
      <c r="O584" s="76"/>
      <c r="P584" s="76"/>
      <c r="Q584" s="76"/>
      <c r="R584" s="76"/>
      <c r="AZ584" s="88">
        <f t="shared" si="19"/>
        <v>0</v>
      </c>
      <c r="BX584" s="88"/>
      <c r="CQ584" s="88"/>
    </row>
    <row r="585" spans="1:95" ht="33.75" outlineLevel="1" x14ac:dyDescent="0.15">
      <c r="A585" s="76">
        <v>584</v>
      </c>
      <c r="B585" s="65" t="s">
        <v>1239</v>
      </c>
      <c r="C585" s="65">
        <v>1066874581</v>
      </c>
      <c r="D585" s="81" t="str">
        <f t="shared" si="18"/>
        <v>https://portal.dnb.de/opac.htm?method=simpleSearch&amp;cqlMode=true&amp;query=idn%3D1066874581</v>
      </c>
      <c r="E585" s="65" t="s">
        <v>1240</v>
      </c>
      <c r="F585" s="76" t="s">
        <v>89</v>
      </c>
      <c r="G585" s="78" t="s">
        <v>4</v>
      </c>
      <c r="H585" s="76" t="s">
        <v>50</v>
      </c>
      <c r="I585" s="78" t="s">
        <v>90</v>
      </c>
      <c r="J585" s="78" t="s">
        <v>2513</v>
      </c>
      <c r="K585" s="76"/>
      <c r="L585" s="76" t="s">
        <v>35</v>
      </c>
      <c r="M585" s="76" t="s">
        <v>37</v>
      </c>
      <c r="N585" s="76">
        <v>0</v>
      </c>
      <c r="O585" s="76"/>
      <c r="P585" s="76" t="s">
        <v>2579</v>
      </c>
      <c r="Q585" s="76"/>
      <c r="R585" s="76"/>
      <c r="AZ585" s="88">
        <f t="shared" si="19"/>
        <v>0</v>
      </c>
      <c r="BX585" s="88"/>
      <c r="CQ585" s="88"/>
    </row>
    <row r="586" spans="1:95" outlineLevel="1" x14ac:dyDescent="0.15">
      <c r="A586" s="76">
        <v>585</v>
      </c>
      <c r="B586" s="65" t="s">
        <v>1241</v>
      </c>
      <c r="C586" s="65">
        <v>1066847827</v>
      </c>
      <c r="D586" s="81" t="str">
        <f t="shared" si="18"/>
        <v>https://portal.dnb.de/opac.htm?method=simpleSearch&amp;cqlMode=true&amp;query=idn%3D1066847827</v>
      </c>
      <c r="E586" s="65" t="s">
        <v>1242</v>
      </c>
      <c r="F586" s="76"/>
      <c r="G586" s="78"/>
      <c r="H586" s="76"/>
      <c r="I586" s="78"/>
      <c r="J586" s="78"/>
      <c r="K586" s="76"/>
      <c r="L586" s="76"/>
      <c r="M586" s="76"/>
      <c r="N586" s="76"/>
      <c r="O586" s="76"/>
      <c r="P586" s="76"/>
      <c r="Q586" s="76"/>
      <c r="R586" s="76"/>
      <c r="AZ586" s="88">
        <f t="shared" si="19"/>
        <v>0</v>
      </c>
      <c r="BX586" s="88"/>
      <c r="CQ586" s="88"/>
    </row>
    <row r="587" spans="1:95" outlineLevel="1" x14ac:dyDescent="0.15">
      <c r="A587" s="76">
        <v>586</v>
      </c>
      <c r="B587" s="65" t="s">
        <v>1243</v>
      </c>
      <c r="C587" s="65">
        <v>1002646758</v>
      </c>
      <c r="D587" s="81" t="str">
        <f t="shared" si="18"/>
        <v>https://portal.dnb.de/opac.htm?method=simpleSearch&amp;cqlMode=true&amp;query=idn%3D1002646758</v>
      </c>
      <c r="E587" s="65" t="s">
        <v>1244</v>
      </c>
      <c r="F587" s="76"/>
      <c r="G587" s="78"/>
      <c r="H587" s="76"/>
      <c r="I587" s="78"/>
      <c r="J587" s="78"/>
      <c r="K587" s="76"/>
      <c r="L587" s="76"/>
      <c r="M587" s="76"/>
      <c r="N587" s="76"/>
      <c r="O587" s="76"/>
      <c r="P587" s="76"/>
      <c r="Q587" s="76"/>
      <c r="R587" s="76"/>
      <c r="AZ587" s="88">
        <f t="shared" si="19"/>
        <v>0</v>
      </c>
      <c r="BX587" s="88"/>
      <c r="CQ587" s="88"/>
    </row>
    <row r="588" spans="1:95" outlineLevel="1" x14ac:dyDescent="0.15">
      <c r="A588" s="76">
        <v>587</v>
      </c>
      <c r="B588" s="65" t="s">
        <v>1245</v>
      </c>
      <c r="C588" s="65">
        <v>1066844275</v>
      </c>
      <c r="D588" s="81" t="str">
        <f t="shared" si="18"/>
        <v>https://portal.dnb.de/opac.htm?method=simpleSearch&amp;cqlMode=true&amp;query=idn%3D1066844275</v>
      </c>
      <c r="E588" s="65" t="s">
        <v>1246</v>
      </c>
      <c r="F588" s="76"/>
      <c r="G588" s="78"/>
      <c r="H588" s="76"/>
      <c r="I588" s="78"/>
      <c r="J588" s="78"/>
      <c r="K588" s="76"/>
      <c r="L588" s="76"/>
      <c r="M588" s="76"/>
      <c r="N588" s="76"/>
      <c r="O588" s="76"/>
      <c r="P588" s="76"/>
      <c r="Q588" s="76"/>
      <c r="R588" s="76"/>
      <c r="AZ588" s="88">
        <f t="shared" si="19"/>
        <v>0</v>
      </c>
      <c r="BX588" s="88"/>
      <c r="CQ588" s="88"/>
    </row>
    <row r="589" spans="1:95" ht="33.75" outlineLevel="1" x14ac:dyDescent="0.15">
      <c r="A589" s="76">
        <v>588</v>
      </c>
      <c r="B589" s="65" t="s">
        <v>1247</v>
      </c>
      <c r="C589" s="65">
        <v>1066956928</v>
      </c>
      <c r="D589" s="81" t="str">
        <f t="shared" si="18"/>
        <v>https://portal.dnb.de/opac.htm?method=simpleSearch&amp;cqlMode=true&amp;query=idn%3D1066956928</v>
      </c>
      <c r="E589" s="65" t="s">
        <v>1248</v>
      </c>
      <c r="F589" s="76" t="s">
        <v>89</v>
      </c>
      <c r="G589" s="78" t="s">
        <v>2510</v>
      </c>
      <c r="H589" s="76" t="s">
        <v>51</v>
      </c>
      <c r="I589" s="78" t="s">
        <v>90</v>
      </c>
      <c r="J589" s="78" t="s">
        <v>2580</v>
      </c>
      <c r="K589" s="76"/>
      <c r="L589" s="76" t="s">
        <v>34</v>
      </c>
      <c r="M589" s="76" t="s">
        <v>2538</v>
      </c>
      <c r="N589" s="76">
        <v>1</v>
      </c>
      <c r="O589" s="76"/>
      <c r="P589" s="76"/>
      <c r="Q589" s="76"/>
      <c r="R589" s="76"/>
      <c r="X589" s="84" t="s">
        <v>2641</v>
      </c>
      <c r="Y589" s="84" t="s">
        <v>2541</v>
      </c>
      <c r="AA589" s="84" t="s">
        <v>2653</v>
      </c>
      <c r="AG589" s="84" t="s">
        <v>2643</v>
      </c>
      <c r="AU589" s="84">
        <v>45</v>
      </c>
      <c r="AY589" s="86" t="s">
        <v>2644</v>
      </c>
      <c r="AZ589" s="88">
        <f t="shared" si="19"/>
        <v>0.5</v>
      </c>
      <c r="BD589" s="84" t="s">
        <v>2541</v>
      </c>
      <c r="BK589" s="63" t="s">
        <v>2541</v>
      </c>
      <c r="BL589" s="84" t="s">
        <v>2541</v>
      </c>
      <c r="BM589" s="84" t="s">
        <v>2541</v>
      </c>
      <c r="BX589" s="88">
        <v>0.5</v>
      </c>
      <c r="CQ589" s="88"/>
    </row>
    <row r="590" spans="1:95" outlineLevel="1" x14ac:dyDescent="0.15">
      <c r="A590" s="76">
        <v>589</v>
      </c>
      <c r="B590" s="65" t="s">
        <v>1249</v>
      </c>
      <c r="C590" s="65">
        <v>1066960658</v>
      </c>
      <c r="D590" s="81" t="str">
        <f t="shared" si="18"/>
        <v>https://portal.dnb.de/opac.htm?method=simpleSearch&amp;cqlMode=true&amp;query=idn%3D1066960658</v>
      </c>
      <c r="E590" s="65" t="s">
        <v>1250</v>
      </c>
      <c r="F590" s="76"/>
      <c r="G590" s="78"/>
      <c r="H590" s="76"/>
      <c r="I590" s="78"/>
      <c r="J590" s="78"/>
      <c r="K590" s="76"/>
      <c r="L590" s="76"/>
      <c r="M590" s="76"/>
      <c r="N590" s="76"/>
      <c r="O590" s="76"/>
      <c r="P590" s="76"/>
      <c r="Q590" s="76"/>
      <c r="R590" s="76"/>
      <c r="AZ590" s="88">
        <f t="shared" si="19"/>
        <v>0</v>
      </c>
      <c r="BX590" s="88"/>
      <c r="CQ590" s="88"/>
    </row>
    <row r="591" spans="1:95" outlineLevel="1" x14ac:dyDescent="0.15">
      <c r="A591" s="76">
        <v>590</v>
      </c>
      <c r="B591" s="65" t="s">
        <v>1251</v>
      </c>
      <c r="C591" s="65">
        <v>1066870799</v>
      </c>
      <c r="D591" s="81" t="str">
        <f t="shared" si="18"/>
        <v>https://portal.dnb.de/opac.htm?method=simpleSearch&amp;cqlMode=true&amp;query=idn%3D1066870799</v>
      </c>
      <c r="E591" s="65" t="s">
        <v>1252</v>
      </c>
      <c r="F591" s="76"/>
      <c r="G591" s="78"/>
      <c r="H591" s="76" t="s">
        <v>51</v>
      </c>
      <c r="I591" s="78"/>
      <c r="J591" s="78"/>
      <c r="K591" s="76"/>
      <c r="L591" s="76"/>
      <c r="M591" s="76"/>
      <c r="N591" s="76"/>
      <c r="O591" s="76"/>
      <c r="P591" s="76"/>
      <c r="Q591" s="76"/>
      <c r="R591" s="76"/>
      <c r="X591" s="84" t="s">
        <v>2645</v>
      </c>
      <c r="Y591" s="84" t="s">
        <v>2541</v>
      </c>
      <c r="AA591" s="84" t="s">
        <v>2647</v>
      </c>
      <c r="AG591" s="84" t="s">
        <v>2643</v>
      </c>
      <c r="AU591" s="84">
        <v>110</v>
      </c>
      <c r="AY591" s="86" t="s">
        <v>2651</v>
      </c>
      <c r="AZ591" s="88">
        <f t="shared" si="19"/>
        <v>0</v>
      </c>
      <c r="BD591" s="84" t="s">
        <v>2541</v>
      </c>
      <c r="BH591" s="79" t="s">
        <v>2962</v>
      </c>
      <c r="BX591" s="88"/>
      <c r="CQ591" s="88"/>
    </row>
    <row r="592" spans="1:95" ht="22.5" outlineLevel="1" x14ac:dyDescent="0.15">
      <c r="A592" s="76">
        <v>591</v>
      </c>
      <c r="B592" s="65" t="s">
        <v>1253</v>
      </c>
      <c r="C592" s="65">
        <v>1066864837</v>
      </c>
      <c r="D592" s="81" t="str">
        <f t="shared" si="18"/>
        <v>https://portal.dnb.de/opac.htm?method=simpleSearch&amp;cqlMode=true&amp;query=idn%3D1066864837</v>
      </c>
      <c r="E592" s="65" t="s">
        <v>1254</v>
      </c>
      <c r="F592" s="76" t="s">
        <v>89</v>
      </c>
      <c r="G592" s="78" t="s">
        <v>2518</v>
      </c>
      <c r="H592" s="76" t="s">
        <v>50</v>
      </c>
      <c r="I592" s="78" t="s">
        <v>55</v>
      </c>
      <c r="J592" s="78" t="s">
        <v>81</v>
      </c>
      <c r="K592" s="76"/>
      <c r="L592" s="76" t="s">
        <v>34</v>
      </c>
      <c r="M592" s="76" t="s">
        <v>37</v>
      </c>
      <c r="N592" s="76">
        <v>2</v>
      </c>
      <c r="O592" s="76"/>
      <c r="P592" s="76"/>
      <c r="Q592" s="76"/>
      <c r="R592" s="76"/>
      <c r="X592" s="84" t="s">
        <v>2652</v>
      </c>
      <c r="Y592" s="84" t="s">
        <v>2541</v>
      </c>
      <c r="AA592" s="84" t="s">
        <v>2647</v>
      </c>
      <c r="AG592" s="84" t="s">
        <v>2643</v>
      </c>
      <c r="AU592" s="84">
        <v>110</v>
      </c>
      <c r="AY592" s="86" t="s">
        <v>2651</v>
      </c>
      <c r="AZ592" s="88">
        <f t="shared" si="19"/>
        <v>0</v>
      </c>
      <c r="BD592" s="84" t="s">
        <v>2541</v>
      </c>
      <c r="BH592" s="79" t="s">
        <v>2962</v>
      </c>
      <c r="BX592" s="88"/>
      <c r="CQ592" s="88"/>
    </row>
    <row r="593" spans="1:95" outlineLevel="1" x14ac:dyDescent="0.15">
      <c r="A593" s="76">
        <v>592</v>
      </c>
      <c r="B593" s="65" t="s">
        <v>1255</v>
      </c>
      <c r="C593" s="65">
        <v>997744367</v>
      </c>
      <c r="D593" s="81" t="str">
        <f>HYPERLINK(CONCATENATE("https://portal.dnb.de/opac.htm?method=simpleSearch&amp;cqlMode=true&amp;query=idn%3D",C593))</f>
        <v>https://portal.dnb.de/opac.htm?method=simpleSearch&amp;cqlMode=true&amp;query=idn%3D997744367</v>
      </c>
      <c r="E593" s="65" t="s">
        <v>1256</v>
      </c>
      <c r="F593" s="76"/>
      <c r="G593" s="78"/>
      <c r="H593" s="76"/>
      <c r="I593" s="78"/>
      <c r="J593" s="78"/>
      <c r="K593" s="76"/>
      <c r="L593" s="76"/>
      <c r="M593" s="76"/>
      <c r="N593" s="76"/>
      <c r="O593" s="76"/>
      <c r="P593" s="76"/>
      <c r="Q593" s="76"/>
      <c r="R593" s="76"/>
      <c r="AZ593" s="88">
        <f t="shared" si="19"/>
        <v>0</v>
      </c>
      <c r="BX593" s="88"/>
      <c r="CQ593" s="88"/>
    </row>
    <row r="594" spans="1:95" outlineLevel="1" x14ac:dyDescent="0.15">
      <c r="A594" s="76">
        <v>593</v>
      </c>
      <c r="B594" s="65" t="s">
        <v>1257</v>
      </c>
      <c r="C594" s="65">
        <v>997758619</v>
      </c>
      <c r="D594" s="81" t="str">
        <f>HYPERLINK(CONCATENATE("https://portal.dnb.de/opac.htm?method=simpleSearch&amp;cqlMode=true&amp;query=idn%3D",C594))</f>
        <v>https://portal.dnb.de/opac.htm?method=simpleSearch&amp;cqlMode=true&amp;query=idn%3D997758619</v>
      </c>
      <c r="E594" s="65" t="s">
        <v>1256</v>
      </c>
      <c r="F594" s="76"/>
      <c r="G594" s="78"/>
      <c r="H594" s="76"/>
      <c r="I594" s="78"/>
      <c r="J594" s="78"/>
      <c r="K594" s="76"/>
      <c r="L594" s="76"/>
      <c r="M594" s="76"/>
      <c r="N594" s="76"/>
      <c r="O594" s="76"/>
      <c r="P594" s="76"/>
      <c r="Q594" s="76"/>
      <c r="R594" s="76"/>
      <c r="AZ594" s="88">
        <f t="shared" si="19"/>
        <v>0</v>
      </c>
      <c r="BX594" s="88"/>
      <c r="CQ594" s="88"/>
    </row>
    <row r="595" spans="1:95" outlineLevel="1" x14ac:dyDescent="0.15">
      <c r="A595" s="76"/>
      <c r="B595" s="65"/>
      <c r="C595" s="65"/>
      <c r="D595" s="81"/>
      <c r="E595" s="65" t="s">
        <v>2581</v>
      </c>
      <c r="F595" s="76" t="s">
        <v>89</v>
      </c>
      <c r="G595" s="78" t="s">
        <v>4</v>
      </c>
      <c r="H595" s="76" t="s">
        <v>50</v>
      </c>
      <c r="I595" s="78" t="s">
        <v>90</v>
      </c>
      <c r="J595" s="78" t="s">
        <v>81</v>
      </c>
      <c r="K595" s="76"/>
      <c r="L595" s="76"/>
      <c r="M595" s="76"/>
      <c r="N595" s="76">
        <v>1</v>
      </c>
      <c r="O595" s="76"/>
      <c r="P595" s="76"/>
      <c r="Q595" s="76"/>
      <c r="R595" s="76"/>
      <c r="AZ595" s="88">
        <f t="shared" si="19"/>
        <v>0</v>
      </c>
      <c r="BX595" s="88"/>
      <c r="CQ595" s="88"/>
    </row>
    <row r="596" spans="1:95" outlineLevel="1" x14ac:dyDescent="0.15">
      <c r="A596" s="76">
        <v>594</v>
      </c>
      <c r="B596" s="65" t="s">
        <v>1258</v>
      </c>
      <c r="C596" s="65">
        <v>1066934118</v>
      </c>
      <c r="D596" s="81" t="str">
        <f t="shared" si="18"/>
        <v>https://portal.dnb.de/opac.htm?method=simpleSearch&amp;cqlMode=true&amp;query=idn%3D1066934118</v>
      </c>
      <c r="E596" s="65" t="s">
        <v>1259</v>
      </c>
      <c r="F596" s="76"/>
      <c r="G596" s="78"/>
      <c r="H596" s="76" t="s">
        <v>50</v>
      </c>
      <c r="I596" s="78"/>
      <c r="J596" s="78"/>
      <c r="K596" s="76"/>
      <c r="L596" s="76"/>
      <c r="M596" s="76"/>
      <c r="N596" s="76"/>
      <c r="O596" s="76"/>
      <c r="P596" s="76"/>
      <c r="Q596" s="76"/>
      <c r="R596" s="76"/>
      <c r="X596" s="84" t="s">
        <v>2652</v>
      </c>
      <c r="Y596" s="84" t="s">
        <v>2541</v>
      </c>
      <c r="AA596" s="84" t="s">
        <v>2647</v>
      </c>
      <c r="AG596" s="84" t="s">
        <v>2643</v>
      </c>
      <c r="AH596" s="84" t="s">
        <v>2541</v>
      </c>
      <c r="AU596" s="84">
        <v>110</v>
      </c>
      <c r="AY596" s="86" t="s">
        <v>2651</v>
      </c>
      <c r="AZ596" s="88">
        <f t="shared" si="19"/>
        <v>0</v>
      </c>
      <c r="BD596" s="84" t="s">
        <v>2541</v>
      </c>
      <c r="BX596" s="88"/>
      <c r="CQ596" s="88"/>
    </row>
    <row r="597" spans="1:95" outlineLevel="1" x14ac:dyDescent="0.15">
      <c r="A597" s="76">
        <v>595</v>
      </c>
      <c r="B597" s="65" t="s">
        <v>1260</v>
      </c>
      <c r="C597" s="65">
        <v>1066957118</v>
      </c>
      <c r="D597" s="81" t="str">
        <f t="shared" ref="D597:D660" si="20">HYPERLINK(CONCATENATE("https://portal.dnb.de/opac.htm?method=simpleSearch&amp;cqlMode=true&amp;query=idn%3D",C597))</f>
        <v>https://portal.dnb.de/opac.htm?method=simpleSearch&amp;cqlMode=true&amp;query=idn%3D1066957118</v>
      </c>
      <c r="E597" s="65" t="s">
        <v>1261</v>
      </c>
      <c r="F597" s="76"/>
      <c r="G597" s="78"/>
      <c r="H597" s="76"/>
      <c r="I597" s="78"/>
      <c r="J597" s="78"/>
      <c r="K597" s="76"/>
      <c r="L597" s="76"/>
      <c r="M597" s="76"/>
      <c r="N597" s="76"/>
      <c r="O597" s="76"/>
      <c r="P597" s="76"/>
      <c r="Q597" s="76"/>
      <c r="R597" s="76"/>
      <c r="AZ597" s="88">
        <f t="shared" si="19"/>
        <v>0</v>
      </c>
      <c r="BX597" s="88"/>
      <c r="CQ597" s="88"/>
    </row>
    <row r="598" spans="1:95" ht="33.75" outlineLevel="1" x14ac:dyDescent="0.15">
      <c r="A598" s="76">
        <v>596</v>
      </c>
      <c r="B598" s="65" t="s">
        <v>1262</v>
      </c>
      <c r="C598" s="65">
        <v>1066957053</v>
      </c>
      <c r="D598" s="81" t="str">
        <f t="shared" si="20"/>
        <v>https://portal.dnb.de/opac.htm?method=simpleSearch&amp;cqlMode=true&amp;query=idn%3D1066957053</v>
      </c>
      <c r="E598" s="65" t="s">
        <v>1263</v>
      </c>
      <c r="F598" s="76"/>
      <c r="G598" s="78" t="s">
        <v>2516</v>
      </c>
      <c r="H598" s="76" t="s">
        <v>51</v>
      </c>
      <c r="I598" s="78" t="s">
        <v>90</v>
      </c>
      <c r="J598" s="78" t="s">
        <v>2513</v>
      </c>
      <c r="K598" s="76"/>
      <c r="L598" s="76" t="s">
        <v>34</v>
      </c>
      <c r="M598" s="76" t="s">
        <v>37</v>
      </c>
      <c r="N598" s="76">
        <v>1</v>
      </c>
      <c r="O598" s="76"/>
      <c r="P598" s="76"/>
      <c r="Q598" s="76"/>
      <c r="R598" s="76"/>
      <c r="AZ598" s="88">
        <f t="shared" si="19"/>
        <v>0</v>
      </c>
      <c r="BX598" s="88"/>
      <c r="CQ598" s="88"/>
    </row>
    <row r="599" spans="1:95" outlineLevel="1" x14ac:dyDescent="0.15">
      <c r="A599" s="76">
        <v>597</v>
      </c>
      <c r="B599" s="65" t="s">
        <v>1264</v>
      </c>
      <c r="C599" s="65">
        <v>1066963657</v>
      </c>
      <c r="D599" s="81" t="str">
        <f t="shared" si="20"/>
        <v>https://portal.dnb.de/opac.htm?method=simpleSearch&amp;cqlMode=true&amp;query=idn%3D1066963657</v>
      </c>
      <c r="E599" s="65" t="s">
        <v>1265</v>
      </c>
      <c r="F599" s="76"/>
      <c r="G599" s="78"/>
      <c r="H599" s="76"/>
      <c r="I599" s="78"/>
      <c r="J599" s="78"/>
      <c r="K599" s="76"/>
      <c r="L599" s="76"/>
      <c r="M599" s="76"/>
      <c r="N599" s="76"/>
      <c r="O599" s="76"/>
      <c r="P599" s="76"/>
      <c r="Q599" s="76"/>
      <c r="R599" s="76"/>
      <c r="AZ599" s="88">
        <f t="shared" si="19"/>
        <v>0</v>
      </c>
      <c r="BX599" s="88"/>
      <c r="CQ599" s="88"/>
    </row>
    <row r="600" spans="1:95" outlineLevel="1" x14ac:dyDescent="0.15">
      <c r="A600" s="76">
        <v>598</v>
      </c>
      <c r="B600" s="65" t="s">
        <v>1266</v>
      </c>
      <c r="C600" s="65">
        <v>1066942382</v>
      </c>
      <c r="D600" s="81" t="str">
        <f t="shared" si="20"/>
        <v>https://portal.dnb.de/opac.htm?method=simpleSearch&amp;cqlMode=true&amp;query=idn%3D1066942382</v>
      </c>
      <c r="E600" s="65" t="s">
        <v>1267</v>
      </c>
      <c r="F600" s="76"/>
      <c r="G600" s="78"/>
      <c r="H600" s="76"/>
      <c r="I600" s="78"/>
      <c r="J600" s="78"/>
      <c r="K600" s="76"/>
      <c r="L600" s="76"/>
      <c r="M600" s="76"/>
      <c r="N600" s="76"/>
      <c r="O600" s="76"/>
      <c r="P600" s="76"/>
      <c r="Q600" s="76"/>
      <c r="R600" s="76"/>
      <c r="AZ600" s="88">
        <f t="shared" si="19"/>
        <v>0</v>
      </c>
      <c r="BX600" s="88"/>
      <c r="CQ600" s="88"/>
    </row>
    <row r="601" spans="1:95" outlineLevel="1" x14ac:dyDescent="0.15">
      <c r="A601" s="76">
        <v>599</v>
      </c>
      <c r="B601" s="65" t="s">
        <v>1268</v>
      </c>
      <c r="C601" s="65">
        <v>1066960615</v>
      </c>
      <c r="D601" s="81" t="str">
        <f t="shared" si="20"/>
        <v>https://portal.dnb.de/opac.htm?method=simpleSearch&amp;cqlMode=true&amp;query=idn%3D1066960615</v>
      </c>
      <c r="E601" s="65" t="s">
        <v>1269</v>
      </c>
      <c r="F601" s="76" t="s">
        <v>89</v>
      </c>
      <c r="G601" s="78" t="s">
        <v>4</v>
      </c>
      <c r="H601" s="76" t="s">
        <v>50</v>
      </c>
      <c r="I601" s="78" t="s">
        <v>90</v>
      </c>
      <c r="J601" s="78" t="s">
        <v>94</v>
      </c>
      <c r="K601" s="76"/>
      <c r="L601" s="76"/>
      <c r="M601" s="76"/>
      <c r="N601" s="76">
        <v>0</v>
      </c>
      <c r="O601" s="76"/>
      <c r="P601" s="76"/>
      <c r="Q601" s="76"/>
      <c r="R601" s="76"/>
      <c r="AZ601" s="88">
        <f t="shared" si="19"/>
        <v>0</v>
      </c>
      <c r="BX601" s="88"/>
      <c r="CQ601" s="88"/>
    </row>
    <row r="602" spans="1:95" outlineLevel="1" x14ac:dyDescent="0.15">
      <c r="A602" s="76">
        <v>600</v>
      </c>
      <c r="B602" s="65" t="s">
        <v>1270</v>
      </c>
      <c r="C602" s="65">
        <v>1066959846</v>
      </c>
      <c r="D602" s="81" t="str">
        <f t="shared" si="20"/>
        <v>https://portal.dnb.de/opac.htm?method=simpleSearch&amp;cqlMode=true&amp;query=idn%3D1066959846</v>
      </c>
      <c r="E602" s="65" t="s">
        <v>1271</v>
      </c>
      <c r="F602" s="76"/>
      <c r="G602" s="78"/>
      <c r="H602" s="76"/>
      <c r="I602" s="78"/>
      <c r="J602" s="78"/>
      <c r="K602" s="76"/>
      <c r="L602" s="76"/>
      <c r="M602" s="76"/>
      <c r="N602" s="76"/>
      <c r="O602" s="76"/>
      <c r="P602" s="76"/>
      <c r="Q602" s="76"/>
      <c r="R602" s="76"/>
      <c r="AZ602" s="88">
        <f t="shared" si="19"/>
        <v>0</v>
      </c>
      <c r="BX602" s="88"/>
      <c r="CQ602" s="88"/>
    </row>
    <row r="603" spans="1:95" ht="33.75" outlineLevel="1" x14ac:dyDescent="0.15">
      <c r="A603" s="76">
        <v>601</v>
      </c>
      <c r="B603" s="65" t="s">
        <v>1272</v>
      </c>
      <c r="C603" s="65">
        <v>1066959854</v>
      </c>
      <c r="D603" s="81" t="str">
        <f t="shared" si="20"/>
        <v>https://portal.dnb.de/opac.htm?method=simpleSearch&amp;cqlMode=true&amp;query=idn%3D1066959854</v>
      </c>
      <c r="E603" s="65" t="s">
        <v>1273</v>
      </c>
      <c r="F603" s="76" t="s">
        <v>89</v>
      </c>
      <c r="G603" s="78" t="s">
        <v>2522</v>
      </c>
      <c r="H603" s="76" t="s">
        <v>51</v>
      </c>
      <c r="I603" s="78" t="s">
        <v>55</v>
      </c>
      <c r="J603" s="78" t="s">
        <v>81</v>
      </c>
      <c r="K603" s="76"/>
      <c r="L603" s="76" t="s">
        <v>34</v>
      </c>
      <c r="M603" s="76" t="s">
        <v>37</v>
      </c>
      <c r="N603" s="76">
        <v>0</v>
      </c>
      <c r="O603" s="76"/>
      <c r="P603" s="76"/>
      <c r="Q603" s="76"/>
      <c r="R603" s="76"/>
      <c r="AZ603" s="88">
        <f t="shared" si="19"/>
        <v>0</v>
      </c>
      <c r="BX603" s="88"/>
      <c r="CQ603" s="88"/>
    </row>
    <row r="604" spans="1:95" outlineLevel="1" x14ac:dyDescent="0.15">
      <c r="A604" s="76">
        <v>602</v>
      </c>
      <c r="B604" s="65" t="s">
        <v>1274</v>
      </c>
      <c r="C604" s="65" t="s">
        <v>1275</v>
      </c>
      <c r="D604" s="81" t="str">
        <f t="shared" si="20"/>
        <v>https://portal.dnb.de/opac.htm?method=simpleSearch&amp;cqlMode=true&amp;query=idn%3D106696257X</v>
      </c>
      <c r="E604" s="65" t="s">
        <v>1276</v>
      </c>
      <c r="F604" s="76"/>
      <c r="G604" s="78"/>
      <c r="H604" s="76"/>
      <c r="I604" s="78"/>
      <c r="J604" s="78"/>
      <c r="K604" s="76"/>
      <c r="L604" s="76"/>
      <c r="M604" s="76"/>
      <c r="N604" s="76"/>
      <c r="O604" s="76"/>
      <c r="P604" s="76"/>
      <c r="Q604" s="76"/>
      <c r="R604" s="76"/>
      <c r="AZ604" s="88">
        <f t="shared" si="19"/>
        <v>0</v>
      </c>
      <c r="BX604" s="88"/>
      <c r="CQ604" s="88"/>
    </row>
    <row r="605" spans="1:95" outlineLevel="1" x14ac:dyDescent="0.15">
      <c r="A605" s="76">
        <v>603</v>
      </c>
      <c r="B605" s="65" t="s">
        <v>1277</v>
      </c>
      <c r="C605" s="65" t="s">
        <v>1278</v>
      </c>
      <c r="D605" s="81" t="str">
        <f t="shared" si="20"/>
        <v>https://portal.dnb.de/opac.htm?method=simpleSearch&amp;cqlMode=true&amp;query=idn%3D106696260X</v>
      </c>
      <c r="E605" s="65" t="s">
        <v>1279</v>
      </c>
      <c r="F605" s="76"/>
      <c r="G605" s="78"/>
      <c r="H605" s="76"/>
      <c r="I605" s="78"/>
      <c r="J605" s="78"/>
      <c r="K605" s="76"/>
      <c r="L605" s="76"/>
      <c r="M605" s="76"/>
      <c r="N605" s="76"/>
      <c r="O605" s="76"/>
      <c r="P605" s="76"/>
      <c r="Q605" s="76"/>
      <c r="R605" s="76"/>
      <c r="AZ605" s="88">
        <f t="shared" si="19"/>
        <v>0</v>
      </c>
      <c r="BX605" s="88"/>
      <c r="CQ605" s="88"/>
    </row>
    <row r="606" spans="1:95" outlineLevel="1" x14ac:dyDescent="0.15">
      <c r="A606" s="76">
        <v>604</v>
      </c>
      <c r="B606" s="65" t="s">
        <v>1280</v>
      </c>
      <c r="C606" s="65">
        <v>1066941106</v>
      </c>
      <c r="D606" s="81" t="str">
        <f t="shared" si="20"/>
        <v>https://portal.dnb.de/opac.htm?method=simpleSearch&amp;cqlMode=true&amp;query=idn%3D1066941106</v>
      </c>
      <c r="E606" s="65" t="s">
        <v>1281</v>
      </c>
      <c r="F606" s="76" t="s">
        <v>89</v>
      </c>
      <c r="G606" s="78" t="s">
        <v>17</v>
      </c>
      <c r="H606" s="76" t="s">
        <v>50</v>
      </c>
      <c r="I606" s="78" t="s">
        <v>55</v>
      </c>
      <c r="J606" s="78" t="s">
        <v>81</v>
      </c>
      <c r="K606" s="76"/>
      <c r="L606" s="76"/>
      <c r="M606" s="76"/>
      <c r="N606" s="76">
        <v>0</v>
      </c>
      <c r="O606" s="76"/>
      <c r="P606" s="76"/>
      <c r="Q606" s="76"/>
      <c r="R606" s="76"/>
      <c r="AZ606" s="88">
        <f t="shared" si="19"/>
        <v>0</v>
      </c>
      <c r="BX606" s="88"/>
      <c r="CQ606" s="88"/>
    </row>
    <row r="607" spans="1:95" outlineLevel="1" x14ac:dyDescent="0.15">
      <c r="A607" s="76">
        <v>605</v>
      </c>
      <c r="B607" s="65" t="s">
        <v>1282</v>
      </c>
      <c r="C607" s="65">
        <v>1066962316</v>
      </c>
      <c r="D607" s="81" t="str">
        <f t="shared" si="20"/>
        <v>https://portal.dnb.de/opac.htm?method=simpleSearch&amp;cqlMode=true&amp;query=idn%3D1066962316</v>
      </c>
      <c r="E607" s="65" t="s">
        <v>1283</v>
      </c>
      <c r="F607" s="76"/>
      <c r="G607" s="78"/>
      <c r="H607" s="76" t="s">
        <v>51</v>
      </c>
      <c r="I607" s="78"/>
      <c r="J607" s="78"/>
      <c r="K607" s="76"/>
      <c r="L607" s="76"/>
      <c r="M607" s="76"/>
      <c r="N607" s="76"/>
      <c r="O607" s="76"/>
      <c r="P607" s="76"/>
      <c r="Q607" s="76"/>
      <c r="R607" s="76"/>
      <c r="X607" s="84" t="s">
        <v>2696</v>
      </c>
      <c r="AA607" s="84" t="s">
        <v>2647</v>
      </c>
      <c r="AG607" s="84" t="s">
        <v>2643</v>
      </c>
      <c r="AU607" s="84">
        <v>110</v>
      </c>
      <c r="AY607" s="86" t="s">
        <v>2644</v>
      </c>
      <c r="AZ607" s="88">
        <f t="shared" si="19"/>
        <v>0.5</v>
      </c>
      <c r="BK607" s="63" t="s">
        <v>2541</v>
      </c>
      <c r="BM607" s="84" t="s">
        <v>2541</v>
      </c>
      <c r="BX607" s="88">
        <v>0.5</v>
      </c>
      <c r="CQ607" s="88"/>
    </row>
    <row r="608" spans="1:95" outlineLevel="1" x14ac:dyDescent="0.15">
      <c r="A608" s="76">
        <v>606</v>
      </c>
      <c r="B608" s="65" t="s">
        <v>1284</v>
      </c>
      <c r="C608" s="65">
        <v>1066857881</v>
      </c>
      <c r="D608" s="81" t="str">
        <f t="shared" si="20"/>
        <v>https://portal.dnb.de/opac.htm?method=simpleSearch&amp;cqlMode=true&amp;query=idn%3D1066857881</v>
      </c>
      <c r="E608" s="65" t="s">
        <v>1285</v>
      </c>
      <c r="F608" s="76" t="s">
        <v>89</v>
      </c>
      <c r="G608" s="78" t="s">
        <v>5</v>
      </c>
      <c r="H608" s="76" t="s">
        <v>51</v>
      </c>
      <c r="I608" s="78" t="s">
        <v>90</v>
      </c>
      <c r="J608" s="78" t="s">
        <v>94</v>
      </c>
      <c r="K608" s="76"/>
      <c r="L608" s="76"/>
      <c r="M608" s="76"/>
      <c r="N608" s="76">
        <v>1</v>
      </c>
      <c r="O608" s="76"/>
      <c r="P608" s="76" t="s">
        <v>2576</v>
      </c>
      <c r="Q608" s="76"/>
      <c r="R608" s="76"/>
      <c r="X608" s="84" t="s">
        <v>2645</v>
      </c>
      <c r="Y608" s="84" t="s">
        <v>2541</v>
      </c>
      <c r="AA608" s="84" t="s">
        <v>2647</v>
      </c>
      <c r="AG608" s="84" t="s">
        <v>2643</v>
      </c>
      <c r="AH608" s="84" t="s">
        <v>2541</v>
      </c>
      <c r="AU608" s="84">
        <v>110</v>
      </c>
      <c r="AY608" s="86" t="s">
        <v>2651</v>
      </c>
      <c r="AZ608" s="88">
        <f t="shared" si="19"/>
        <v>0</v>
      </c>
      <c r="BH608" s="79" t="s">
        <v>2962</v>
      </c>
      <c r="BX608" s="88"/>
      <c r="CQ608" s="88"/>
    </row>
    <row r="609" spans="1:95" outlineLevel="1" x14ac:dyDescent="0.15">
      <c r="A609" s="76">
        <v>607</v>
      </c>
      <c r="B609" s="65" t="s">
        <v>1286</v>
      </c>
      <c r="C609" s="65">
        <v>1066962766</v>
      </c>
      <c r="D609" s="81" t="str">
        <f t="shared" si="20"/>
        <v>https://portal.dnb.de/opac.htm?method=simpleSearch&amp;cqlMode=true&amp;query=idn%3D1066962766</v>
      </c>
      <c r="E609" s="65" t="s">
        <v>1287</v>
      </c>
      <c r="F609" s="76"/>
      <c r="G609" s="78"/>
      <c r="H609" s="76"/>
      <c r="I609" s="78"/>
      <c r="J609" s="78"/>
      <c r="K609" s="76"/>
      <c r="L609" s="76"/>
      <c r="M609" s="76"/>
      <c r="N609" s="76"/>
      <c r="O609" s="76"/>
      <c r="P609" s="76"/>
      <c r="Q609" s="76"/>
      <c r="R609" s="76"/>
      <c r="AZ609" s="88">
        <f t="shared" si="19"/>
        <v>0</v>
      </c>
      <c r="BX609" s="88"/>
      <c r="CQ609" s="88"/>
    </row>
    <row r="610" spans="1:95" ht="33.75" outlineLevel="1" x14ac:dyDescent="0.15">
      <c r="A610" s="76">
        <v>608</v>
      </c>
      <c r="B610" s="65" t="s">
        <v>1288</v>
      </c>
      <c r="C610" s="65">
        <v>1066963177</v>
      </c>
      <c r="D610" s="81" t="str">
        <f t="shared" si="20"/>
        <v>https://portal.dnb.de/opac.htm?method=simpleSearch&amp;cqlMode=true&amp;query=idn%3D1066963177</v>
      </c>
      <c r="E610" s="65" t="s">
        <v>1289</v>
      </c>
      <c r="F610" s="76" t="s">
        <v>89</v>
      </c>
      <c r="G610" s="78" t="s">
        <v>2516</v>
      </c>
      <c r="H610" s="76" t="s">
        <v>50</v>
      </c>
      <c r="I610" s="78" t="s">
        <v>55</v>
      </c>
      <c r="J610" s="78" t="s">
        <v>81</v>
      </c>
      <c r="K610" s="76"/>
      <c r="L610" s="76" t="s">
        <v>34</v>
      </c>
      <c r="M610" s="76" t="s">
        <v>37</v>
      </c>
      <c r="N610" s="76">
        <v>1</v>
      </c>
      <c r="O610" s="76"/>
      <c r="P610" s="76" t="s">
        <v>2576</v>
      </c>
      <c r="Q610" s="76"/>
      <c r="R610" s="76"/>
      <c r="X610" s="84" t="s">
        <v>2652</v>
      </c>
      <c r="Y610" s="84" t="s">
        <v>2541</v>
      </c>
      <c r="AA610" s="84" t="s">
        <v>2647</v>
      </c>
      <c r="AC610" s="84" t="s">
        <v>2541</v>
      </c>
      <c r="AG610" s="84" t="s">
        <v>2643</v>
      </c>
      <c r="AH610" s="84" t="s">
        <v>2541</v>
      </c>
      <c r="AU610" s="84">
        <v>80</v>
      </c>
      <c r="AY610" s="86" t="s">
        <v>2651</v>
      </c>
      <c r="AZ610" s="88">
        <f t="shared" si="19"/>
        <v>0</v>
      </c>
      <c r="BD610" s="84" t="s">
        <v>2541</v>
      </c>
      <c r="BH610" s="79" t="s">
        <v>3005</v>
      </c>
      <c r="BJ610" s="79" t="s">
        <v>2836</v>
      </c>
      <c r="BX610" s="88"/>
      <c r="CQ610" s="88"/>
    </row>
    <row r="611" spans="1:95" ht="33.75" outlineLevel="1" x14ac:dyDescent="0.15">
      <c r="A611" s="76">
        <v>609</v>
      </c>
      <c r="B611" s="65" t="s">
        <v>1290</v>
      </c>
      <c r="C611" s="65">
        <v>1066956812</v>
      </c>
      <c r="D611" s="81" t="str">
        <f t="shared" si="20"/>
        <v>https://portal.dnb.de/opac.htm?method=simpleSearch&amp;cqlMode=true&amp;query=idn%3D1066956812</v>
      </c>
      <c r="E611" s="65" t="s">
        <v>1291</v>
      </c>
      <c r="F611" s="76" t="s">
        <v>89</v>
      </c>
      <c r="G611" s="78" t="s">
        <v>2516</v>
      </c>
      <c r="H611" s="76" t="s">
        <v>50</v>
      </c>
      <c r="I611" s="78" t="s">
        <v>55</v>
      </c>
      <c r="J611" s="78" t="s">
        <v>81</v>
      </c>
      <c r="K611" s="76"/>
      <c r="L611" s="76" t="s">
        <v>34</v>
      </c>
      <c r="M611" s="76" t="s">
        <v>37</v>
      </c>
      <c r="N611" s="76">
        <v>1</v>
      </c>
      <c r="O611" s="76"/>
      <c r="P611" s="76" t="s">
        <v>2576</v>
      </c>
      <c r="Q611" s="76"/>
      <c r="R611" s="76"/>
      <c r="X611" s="84" t="s">
        <v>2652</v>
      </c>
      <c r="Y611" s="84" t="s">
        <v>2541</v>
      </c>
      <c r="AA611" s="84" t="s">
        <v>2647</v>
      </c>
      <c r="AC611" s="84" t="s">
        <v>2541</v>
      </c>
      <c r="AG611" s="84" t="s">
        <v>2643</v>
      </c>
      <c r="AH611" s="84" t="s">
        <v>2541</v>
      </c>
      <c r="AU611" s="84">
        <v>80</v>
      </c>
      <c r="AY611" s="86" t="s">
        <v>2651</v>
      </c>
      <c r="AZ611" s="88">
        <f t="shared" si="19"/>
        <v>0</v>
      </c>
      <c r="BD611" s="84" t="s">
        <v>2541</v>
      </c>
      <c r="BH611" s="79" t="s">
        <v>3005</v>
      </c>
      <c r="BJ611" s="79" t="s">
        <v>2836</v>
      </c>
      <c r="BX611" s="88"/>
      <c r="CQ611" s="88"/>
    </row>
    <row r="612" spans="1:95" outlineLevel="1" x14ac:dyDescent="0.15">
      <c r="A612" s="76">
        <v>610</v>
      </c>
      <c r="B612" s="65" t="s">
        <v>1292</v>
      </c>
      <c r="C612" s="65">
        <v>1066873380</v>
      </c>
      <c r="D612" s="81" t="str">
        <f t="shared" si="20"/>
        <v>https://portal.dnb.de/opac.htm?method=simpleSearch&amp;cqlMode=true&amp;query=idn%3D1066873380</v>
      </c>
      <c r="E612" s="65" t="s">
        <v>1293</v>
      </c>
      <c r="F612" s="76" t="s">
        <v>89</v>
      </c>
      <c r="G612" s="78" t="s">
        <v>46</v>
      </c>
      <c r="H612" s="76" t="s">
        <v>50</v>
      </c>
      <c r="I612" s="78" t="s">
        <v>90</v>
      </c>
      <c r="J612" s="78" t="s">
        <v>94</v>
      </c>
      <c r="K612" s="76"/>
      <c r="L612" s="76"/>
      <c r="M612" s="76"/>
      <c r="N612" s="76">
        <v>0</v>
      </c>
      <c r="O612" s="76"/>
      <c r="P612" s="76" t="s">
        <v>2576</v>
      </c>
      <c r="Q612" s="76"/>
      <c r="R612" s="76"/>
      <c r="AZ612" s="88">
        <f t="shared" si="19"/>
        <v>0</v>
      </c>
      <c r="BX612" s="88"/>
      <c r="CQ612" s="88"/>
    </row>
    <row r="613" spans="1:95" outlineLevel="1" x14ac:dyDescent="0.15">
      <c r="A613" s="76">
        <v>611</v>
      </c>
      <c r="B613" s="65" t="s">
        <v>1294</v>
      </c>
      <c r="C613" s="65">
        <v>997744677</v>
      </c>
      <c r="D613" s="81" t="str">
        <f t="shared" si="20"/>
        <v>https://portal.dnb.de/opac.htm?method=simpleSearch&amp;cqlMode=true&amp;query=idn%3D997744677</v>
      </c>
      <c r="E613" s="65" t="s">
        <v>1295</v>
      </c>
      <c r="F613" s="76" t="s">
        <v>89</v>
      </c>
      <c r="G613" s="78" t="s">
        <v>5</v>
      </c>
      <c r="H613" s="76" t="s">
        <v>51</v>
      </c>
      <c r="I613" s="78" t="s">
        <v>55</v>
      </c>
      <c r="J613" s="78" t="s">
        <v>94</v>
      </c>
      <c r="K613" s="76"/>
      <c r="L613" s="76"/>
      <c r="M613" s="76"/>
      <c r="N613" s="76">
        <v>1</v>
      </c>
      <c r="O613" s="76"/>
      <c r="P613" s="76"/>
      <c r="Q613" s="76"/>
      <c r="R613" s="76"/>
      <c r="AZ613" s="88">
        <f t="shared" si="19"/>
        <v>0</v>
      </c>
      <c r="BX613" s="88"/>
      <c r="CQ613" s="88"/>
    </row>
    <row r="614" spans="1:95" outlineLevel="1" x14ac:dyDescent="0.15">
      <c r="A614" s="76">
        <v>612</v>
      </c>
      <c r="B614" s="65" t="s">
        <v>1296</v>
      </c>
      <c r="C614" s="65">
        <v>1066963150</v>
      </c>
      <c r="D614" s="81" t="str">
        <f t="shared" si="20"/>
        <v>https://portal.dnb.de/opac.htm?method=simpleSearch&amp;cqlMode=true&amp;query=idn%3D1066963150</v>
      </c>
      <c r="E614" s="65" t="s">
        <v>1297</v>
      </c>
      <c r="F614" s="76" t="s">
        <v>89</v>
      </c>
      <c r="G614" s="78" t="s">
        <v>4</v>
      </c>
      <c r="H614" s="76" t="s">
        <v>50</v>
      </c>
      <c r="I614" s="78" t="s">
        <v>90</v>
      </c>
      <c r="J614" s="78" t="s">
        <v>94</v>
      </c>
      <c r="K614" s="76"/>
      <c r="L614" s="76"/>
      <c r="M614" s="76"/>
      <c r="N614" s="76">
        <v>1</v>
      </c>
      <c r="O614" s="76"/>
      <c r="P614" s="76" t="s">
        <v>2576</v>
      </c>
      <c r="Q614" s="76"/>
      <c r="R614" s="76"/>
      <c r="W614" s="84" t="s">
        <v>2541</v>
      </c>
      <c r="X614" s="84" t="s">
        <v>2697</v>
      </c>
      <c r="Z614" s="84" t="s">
        <v>2541</v>
      </c>
      <c r="AG614" s="84" t="s">
        <v>2643</v>
      </c>
      <c r="AH614" s="84" t="s">
        <v>2541</v>
      </c>
      <c r="AU614" s="84">
        <v>110</v>
      </c>
      <c r="AY614" s="86" t="s">
        <v>2651</v>
      </c>
      <c r="AZ614" s="88">
        <f t="shared" si="19"/>
        <v>0</v>
      </c>
      <c r="BH614" s="79" t="s">
        <v>2962</v>
      </c>
      <c r="BX614" s="88"/>
      <c r="CQ614" s="88"/>
    </row>
    <row r="615" spans="1:95" outlineLevel="1" x14ac:dyDescent="0.15">
      <c r="A615" s="76">
        <v>613</v>
      </c>
      <c r="B615" s="65" t="s">
        <v>1298</v>
      </c>
      <c r="C615" s="65">
        <v>1066957045</v>
      </c>
      <c r="D615" s="81" t="str">
        <f t="shared" si="20"/>
        <v>https://portal.dnb.de/opac.htm?method=simpleSearch&amp;cqlMode=true&amp;query=idn%3D1066957045</v>
      </c>
      <c r="E615" s="65" t="s">
        <v>1299</v>
      </c>
      <c r="F615" s="76" t="s">
        <v>89</v>
      </c>
      <c r="G615" s="78" t="s">
        <v>3</v>
      </c>
      <c r="H615" s="76" t="s">
        <v>51</v>
      </c>
      <c r="I615" s="78" t="s">
        <v>90</v>
      </c>
      <c r="J615" s="78" t="s">
        <v>81</v>
      </c>
      <c r="K615" s="76"/>
      <c r="L615" s="76"/>
      <c r="M615" s="76"/>
      <c r="N615" s="76">
        <v>0</v>
      </c>
      <c r="O615" s="76"/>
      <c r="P615" s="76"/>
      <c r="Q615" s="76"/>
      <c r="R615" s="76"/>
      <c r="AZ615" s="88">
        <f t="shared" si="19"/>
        <v>0</v>
      </c>
      <c r="BX615" s="88"/>
      <c r="CQ615" s="88"/>
    </row>
    <row r="616" spans="1:95" outlineLevel="1" x14ac:dyDescent="0.15">
      <c r="A616" s="76">
        <v>614</v>
      </c>
      <c r="B616" s="65" t="s">
        <v>1300</v>
      </c>
      <c r="C616" s="65">
        <v>1066867704</v>
      </c>
      <c r="D616" s="81" t="str">
        <f t="shared" si="20"/>
        <v>https://portal.dnb.de/opac.htm?method=simpleSearch&amp;cqlMode=true&amp;query=idn%3D1066867704</v>
      </c>
      <c r="E616" s="65" t="s">
        <v>1301</v>
      </c>
      <c r="F616" s="76" t="s">
        <v>89</v>
      </c>
      <c r="G616" s="78" t="s">
        <v>16</v>
      </c>
      <c r="H616" s="76" t="s">
        <v>51</v>
      </c>
      <c r="I616" s="78" t="s">
        <v>55</v>
      </c>
      <c r="J616" s="78" t="s">
        <v>81</v>
      </c>
      <c r="K616" s="76"/>
      <c r="L616" s="76"/>
      <c r="M616" s="76"/>
      <c r="N616" s="76">
        <v>0</v>
      </c>
      <c r="O616" s="76"/>
      <c r="P616" s="76"/>
      <c r="Q616" s="76"/>
      <c r="R616" s="76"/>
      <c r="AZ616" s="88">
        <f t="shared" si="19"/>
        <v>0</v>
      </c>
      <c r="BX616" s="88"/>
      <c r="CQ616" s="88"/>
    </row>
    <row r="617" spans="1:95" ht="22.5" outlineLevel="1" x14ac:dyDescent="0.15">
      <c r="A617" s="76">
        <v>615</v>
      </c>
      <c r="B617" s="65" t="s">
        <v>1302</v>
      </c>
      <c r="C617" s="65">
        <v>1066674566</v>
      </c>
      <c r="D617" s="81" t="str">
        <f t="shared" si="20"/>
        <v>https://portal.dnb.de/opac.htm?method=simpleSearch&amp;cqlMode=true&amp;query=idn%3D1066674566</v>
      </c>
      <c r="E617" s="65" t="s">
        <v>1303</v>
      </c>
      <c r="F617" s="76" t="s">
        <v>89</v>
      </c>
      <c r="G617" s="78" t="s">
        <v>2510</v>
      </c>
      <c r="H617" s="76" t="s">
        <v>50</v>
      </c>
      <c r="I617" s="78" t="s">
        <v>90</v>
      </c>
      <c r="J617" s="78" t="s">
        <v>94</v>
      </c>
      <c r="K617" s="76"/>
      <c r="L617" s="76" t="s">
        <v>34</v>
      </c>
      <c r="M617" s="76" t="s">
        <v>37</v>
      </c>
      <c r="N617" s="76">
        <v>0</v>
      </c>
      <c r="O617" s="76"/>
      <c r="P617" s="76"/>
      <c r="Q617" s="76"/>
      <c r="R617" s="76"/>
      <c r="AZ617" s="88">
        <f t="shared" si="19"/>
        <v>0</v>
      </c>
      <c r="BX617" s="88"/>
      <c r="CQ617" s="88"/>
    </row>
    <row r="618" spans="1:95" outlineLevel="1" x14ac:dyDescent="0.15">
      <c r="A618" s="76">
        <v>616</v>
      </c>
      <c r="B618" s="65" t="s">
        <v>1304</v>
      </c>
      <c r="C618" s="65">
        <v>994061137</v>
      </c>
      <c r="D618" s="81" t="str">
        <f t="shared" si="20"/>
        <v>https://portal.dnb.de/opac.htm?method=simpleSearch&amp;cqlMode=true&amp;query=idn%3D994061137</v>
      </c>
      <c r="E618" s="65" t="s">
        <v>1305</v>
      </c>
      <c r="F618" s="76" t="s">
        <v>89</v>
      </c>
      <c r="G618" s="78" t="s">
        <v>17</v>
      </c>
      <c r="H618" s="76" t="s">
        <v>50</v>
      </c>
      <c r="I618" s="78" t="s">
        <v>55</v>
      </c>
      <c r="J618" s="78"/>
      <c r="K618" s="76"/>
      <c r="L618" s="76"/>
      <c r="M618" s="76"/>
      <c r="N618" s="76">
        <v>1</v>
      </c>
      <c r="O618" s="76"/>
      <c r="P618" s="76"/>
      <c r="Q618" s="76"/>
      <c r="R618" s="76"/>
      <c r="W618" s="84" t="s">
        <v>2541</v>
      </c>
      <c r="X618" s="84" t="s">
        <v>2643</v>
      </c>
      <c r="AA618" s="84" t="s">
        <v>2647</v>
      </c>
      <c r="AG618" s="84" t="s">
        <v>2643</v>
      </c>
      <c r="AU618" s="84">
        <v>110</v>
      </c>
      <c r="AY618" s="86" t="s">
        <v>2644</v>
      </c>
      <c r="AZ618" s="88">
        <f t="shared" si="19"/>
        <v>0.5</v>
      </c>
      <c r="BK618" s="63" t="s">
        <v>2541</v>
      </c>
      <c r="BM618" s="84" t="s">
        <v>2541</v>
      </c>
      <c r="BX618" s="88">
        <v>0.5</v>
      </c>
      <c r="BY618" s="79" t="s">
        <v>3000</v>
      </c>
      <c r="CQ618" s="88"/>
    </row>
    <row r="619" spans="1:95" ht="22.5" outlineLevel="1" x14ac:dyDescent="0.15">
      <c r="A619" s="76">
        <v>617</v>
      </c>
      <c r="B619" s="65" t="s">
        <v>1306</v>
      </c>
      <c r="C619" s="65">
        <v>1066963118</v>
      </c>
      <c r="D619" s="81" t="str">
        <f t="shared" si="20"/>
        <v>https://portal.dnb.de/opac.htm?method=simpleSearch&amp;cqlMode=true&amp;query=idn%3D1066963118</v>
      </c>
      <c r="E619" s="65" t="s">
        <v>1307</v>
      </c>
      <c r="F619" s="76"/>
      <c r="G619" s="78" t="s">
        <v>2510</v>
      </c>
      <c r="H619" s="76" t="s">
        <v>50</v>
      </c>
      <c r="I619" s="78" t="s">
        <v>55</v>
      </c>
      <c r="J619" s="78" t="s">
        <v>2519</v>
      </c>
      <c r="K619" s="76"/>
      <c r="L619" s="76" t="s">
        <v>34</v>
      </c>
      <c r="M619" s="76" t="s">
        <v>37</v>
      </c>
      <c r="N619" s="76">
        <v>3</v>
      </c>
      <c r="O619" s="76"/>
      <c r="P619" s="76" t="s">
        <v>2586</v>
      </c>
      <c r="Q619" s="76"/>
      <c r="R619" s="76"/>
      <c r="AZ619" s="88">
        <f t="shared" si="19"/>
        <v>0</v>
      </c>
      <c r="BX619" s="88"/>
      <c r="CQ619" s="88"/>
    </row>
    <row r="620" spans="1:95" ht="33.75" outlineLevel="1" x14ac:dyDescent="0.15">
      <c r="A620" s="76">
        <v>618</v>
      </c>
      <c r="B620" s="65" t="s">
        <v>1308</v>
      </c>
      <c r="C620" s="65">
        <v>1079607978</v>
      </c>
      <c r="D620" s="81" t="str">
        <f t="shared" si="20"/>
        <v>https://portal.dnb.de/opac.htm?method=simpleSearch&amp;cqlMode=true&amp;query=idn%3D1079607978</v>
      </c>
      <c r="E620" s="65" t="s">
        <v>1309</v>
      </c>
      <c r="F620" s="76" t="s">
        <v>89</v>
      </c>
      <c r="G620" s="78" t="s">
        <v>4</v>
      </c>
      <c r="H620" s="76" t="s">
        <v>51</v>
      </c>
      <c r="I620" s="78" t="s">
        <v>55</v>
      </c>
      <c r="J620" s="78" t="s">
        <v>2527</v>
      </c>
      <c r="K620" s="76"/>
      <c r="L620" s="76"/>
      <c r="M620" s="76"/>
      <c r="N620" s="76">
        <v>3</v>
      </c>
      <c r="O620" s="76"/>
      <c r="P620" s="76"/>
      <c r="Q620" s="76"/>
      <c r="R620" s="76"/>
      <c r="X620" s="84" t="s">
        <v>2697</v>
      </c>
      <c r="AA620" s="84" t="s">
        <v>2653</v>
      </c>
      <c r="AC620" s="84" t="s">
        <v>2541</v>
      </c>
      <c r="AG620" s="84" t="s">
        <v>2643</v>
      </c>
      <c r="AU620" s="84">
        <v>45</v>
      </c>
      <c r="AY620" s="86" t="s">
        <v>2644</v>
      </c>
      <c r="AZ620" s="88">
        <f t="shared" si="19"/>
        <v>2.5</v>
      </c>
      <c r="BJ620" s="79" t="s">
        <v>2836</v>
      </c>
      <c r="BK620" s="63" t="s">
        <v>2541</v>
      </c>
      <c r="BL620" s="84" t="s">
        <v>2541</v>
      </c>
      <c r="BM620" s="84" t="s">
        <v>2541</v>
      </c>
      <c r="BN620" s="84" t="s">
        <v>2541</v>
      </c>
      <c r="BO620" s="84" t="s">
        <v>2677</v>
      </c>
      <c r="BX620" s="88">
        <v>2.5</v>
      </c>
      <c r="BY620" s="79" t="s">
        <v>3006</v>
      </c>
      <c r="CQ620" s="88"/>
    </row>
    <row r="621" spans="1:95" outlineLevel="1" x14ac:dyDescent="0.15">
      <c r="A621" s="76">
        <v>619</v>
      </c>
      <c r="B621" s="65" t="s">
        <v>1310</v>
      </c>
      <c r="C621" s="65" t="s">
        <v>1311</v>
      </c>
      <c r="D621" s="81" t="str">
        <f t="shared" si="20"/>
        <v>https://portal.dnb.de/opac.htm?method=simpleSearch&amp;cqlMode=true&amp;query=idn%3D99774653X</v>
      </c>
      <c r="E621" s="65" t="s">
        <v>3007</v>
      </c>
      <c r="F621" s="76"/>
      <c r="G621" s="78"/>
      <c r="H621" s="76"/>
      <c r="I621" s="78"/>
      <c r="J621" s="78"/>
      <c r="K621" s="76"/>
      <c r="L621" s="76"/>
      <c r="M621" s="76"/>
      <c r="N621" s="76"/>
      <c r="O621" s="76"/>
      <c r="P621" s="76"/>
      <c r="Q621" s="76"/>
      <c r="R621" s="76"/>
      <c r="AZ621" s="88">
        <f t="shared" si="19"/>
        <v>0</v>
      </c>
      <c r="BX621" s="88"/>
      <c r="CQ621" s="88"/>
    </row>
    <row r="622" spans="1:95" outlineLevel="1" x14ac:dyDescent="0.15">
      <c r="A622" s="76">
        <v>620</v>
      </c>
      <c r="B622" s="65" t="s">
        <v>1313</v>
      </c>
      <c r="C622" s="65">
        <v>997747110</v>
      </c>
      <c r="D622" s="81" t="str">
        <f t="shared" si="20"/>
        <v>https://portal.dnb.de/opac.htm?method=simpleSearch&amp;cqlMode=true&amp;query=idn%3D997747110</v>
      </c>
      <c r="E622" s="65" t="s">
        <v>3007</v>
      </c>
      <c r="F622" s="76"/>
      <c r="G622" s="78"/>
      <c r="H622" s="76"/>
      <c r="I622" s="78"/>
      <c r="J622" s="78"/>
      <c r="K622" s="76"/>
      <c r="L622" s="76"/>
      <c r="M622" s="76"/>
      <c r="N622" s="76"/>
      <c r="O622" s="76"/>
      <c r="P622" s="76"/>
      <c r="Q622" s="76"/>
      <c r="R622" s="76"/>
      <c r="AZ622" s="88">
        <f t="shared" si="19"/>
        <v>0</v>
      </c>
      <c r="BX622" s="88"/>
      <c r="CQ622" s="88"/>
    </row>
    <row r="623" spans="1:95" ht="56.25" outlineLevel="1" x14ac:dyDescent="0.15">
      <c r="A623" s="76">
        <v>621</v>
      </c>
      <c r="B623" s="65" t="s">
        <v>1314</v>
      </c>
      <c r="C623" s="65">
        <v>997743751</v>
      </c>
      <c r="D623" s="81" t="str">
        <f>F627</f>
        <v>X</v>
      </c>
      <c r="E623" s="65" t="s">
        <v>1312</v>
      </c>
      <c r="F623" s="76" t="s">
        <v>89</v>
      </c>
      <c r="G623" s="78" t="s">
        <v>4</v>
      </c>
      <c r="H623" s="76" t="s">
        <v>51</v>
      </c>
      <c r="I623" s="78" t="s">
        <v>55</v>
      </c>
      <c r="J623" s="78" t="s">
        <v>2527</v>
      </c>
      <c r="K623" s="76"/>
      <c r="L623" s="76"/>
      <c r="M623" s="76"/>
      <c r="N623" s="76">
        <v>3</v>
      </c>
      <c r="O623" s="76"/>
      <c r="P623" s="76"/>
      <c r="Q623" s="76"/>
      <c r="R623" s="76"/>
      <c r="X623" s="84" t="s">
        <v>2697</v>
      </c>
      <c r="AA623" s="84" t="s">
        <v>2653</v>
      </c>
      <c r="AC623" s="84" t="s">
        <v>2541</v>
      </c>
      <c r="AG623" s="84" t="s">
        <v>2643</v>
      </c>
      <c r="AU623" s="84">
        <v>45</v>
      </c>
      <c r="AY623" s="86" t="s">
        <v>2644</v>
      </c>
      <c r="AZ623" s="88">
        <f t="shared" si="19"/>
        <v>7</v>
      </c>
      <c r="BJ623" s="79" t="s">
        <v>2836</v>
      </c>
      <c r="BK623" s="63" t="s">
        <v>2541</v>
      </c>
      <c r="BL623" s="84" t="s">
        <v>2541</v>
      </c>
      <c r="BM623" s="84" t="s">
        <v>2541</v>
      </c>
      <c r="BN623" s="84" t="s">
        <v>2541</v>
      </c>
      <c r="BO623" s="84" t="s">
        <v>2677</v>
      </c>
      <c r="BP623" s="84">
        <v>2</v>
      </c>
      <c r="BV623" s="84" t="s">
        <v>2661</v>
      </c>
      <c r="BW623" s="84" t="s">
        <v>2541</v>
      </c>
      <c r="BX623" s="88">
        <v>7</v>
      </c>
      <c r="BY623" s="79" t="s">
        <v>3008</v>
      </c>
      <c r="CQ623" s="88"/>
    </row>
    <row r="624" spans="1:95" outlineLevel="1" x14ac:dyDescent="0.15">
      <c r="A624" s="76">
        <v>622</v>
      </c>
      <c r="B624" s="65" t="s">
        <v>1315</v>
      </c>
      <c r="C624" s="65" t="s">
        <v>1316</v>
      </c>
      <c r="D624" s="81" t="str">
        <f t="shared" si="20"/>
        <v>https://portal.dnb.de/opac.htm?method=simpleSearch&amp;cqlMode=true&amp;query=idn%3D99775110X</v>
      </c>
      <c r="E624" s="65" t="s">
        <v>3007</v>
      </c>
      <c r="F624" s="76"/>
      <c r="G624" s="78"/>
      <c r="H624" s="76"/>
      <c r="I624" s="78"/>
      <c r="J624" s="78"/>
      <c r="K624" s="76"/>
      <c r="L624" s="76"/>
      <c r="M624" s="76"/>
      <c r="N624" s="76"/>
      <c r="O624" s="76"/>
      <c r="P624" s="76"/>
      <c r="Q624" s="76"/>
      <c r="R624" s="76"/>
      <c r="AZ624" s="88">
        <f t="shared" si="19"/>
        <v>0</v>
      </c>
      <c r="BX624" s="88"/>
      <c r="CQ624" s="88"/>
    </row>
    <row r="625" spans="1:95" outlineLevel="1" x14ac:dyDescent="0.15">
      <c r="A625" s="76">
        <v>623</v>
      </c>
      <c r="B625" s="65" t="s">
        <v>1317</v>
      </c>
      <c r="C625" s="65">
        <v>997755229</v>
      </c>
      <c r="D625" s="81" t="str">
        <f t="shared" si="20"/>
        <v>https://portal.dnb.de/opac.htm?method=simpleSearch&amp;cqlMode=true&amp;query=idn%3D997755229</v>
      </c>
      <c r="E625" s="65" t="s">
        <v>3007</v>
      </c>
      <c r="F625" s="76"/>
      <c r="G625" s="78"/>
      <c r="H625" s="76"/>
      <c r="I625" s="78"/>
      <c r="J625" s="78"/>
      <c r="K625" s="76"/>
      <c r="L625" s="76"/>
      <c r="M625" s="76"/>
      <c r="N625" s="76"/>
      <c r="O625" s="76"/>
      <c r="P625" s="76"/>
      <c r="Q625" s="76"/>
      <c r="R625" s="76"/>
      <c r="AZ625" s="88">
        <f t="shared" si="19"/>
        <v>0</v>
      </c>
      <c r="BX625" s="88"/>
      <c r="CQ625" s="88"/>
    </row>
    <row r="626" spans="1:95" outlineLevel="1" x14ac:dyDescent="0.15">
      <c r="A626" s="76">
        <v>624</v>
      </c>
      <c r="B626" s="65" t="s">
        <v>1318</v>
      </c>
      <c r="C626" s="65">
        <v>997748354</v>
      </c>
      <c r="D626" s="81" t="str">
        <f t="shared" si="20"/>
        <v>https://portal.dnb.de/opac.htm?method=simpleSearch&amp;cqlMode=true&amp;query=idn%3D997748354</v>
      </c>
      <c r="E626" s="65" t="s">
        <v>3007</v>
      </c>
      <c r="F626" s="76"/>
      <c r="G626" s="78"/>
      <c r="H626" s="76"/>
      <c r="I626" s="78"/>
      <c r="J626" s="78"/>
      <c r="K626" s="76"/>
      <c r="L626" s="76"/>
      <c r="M626" s="76"/>
      <c r="N626" s="76"/>
      <c r="O626" s="76"/>
      <c r="P626" s="76"/>
      <c r="Q626" s="76"/>
      <c r="R626" s="76"/>
      <c r="AZ626" s="88">
        <f t="shared" si="19"/>
        <v>0</v>
      </c>
      <c r="BX626" s="88"/>
      <c r="CQ626" s="88"/>
    </row>
    <row r="627" spans="1:95" outlineLevel="1" x14ac:dyDescent="0.15">
      <c r="A627" s="76">
        <v>625</v>
      </c>
      <c r="B627" s="65" t="s">
        <v>1319</v>
      </c>
      <c r="C627" s="65">
        <v>1066865094</v>
      </c>
      <c r="D627" s="81" t="str">
        <f t="shared" si="20"/>
        <v>https://portal.dnb.de/opac.htm?method=simpleSearch&amp;cqlMode=true&amp;query=idn%3D1066865094</v>
      </c>
      <c r="E627" s="65" t="s">
        <v>1320</v>
      </c>
      <c r="F627" s="76" t="s">
        <v>89</v>
      </c>
      <c r="G627" s="78" t="s">
        <v>17</v>
      </c>
      <c r="H627" s="76" t="s">
        <v>51</v>
      </c>
      <c r="I627" s="78" t="s">
        <v>55</v>
      </c>
      <c r="J627" s="78"/>
      <c r="K627" s="76"/>
      <c r="L627" s="76"/>
      <c r="M627" s="76"/>
      <c r="N627" s="76">
        <v>0</v>
      </c>
      <c r="O627" s="76"/>
      <c r="P627" s="76"/>
      <c r="Q627" s="76"/>
      <c r="R627" s="76"/>
      <c r="AZ627" s="88">
        <f t="shared" si="19"/>
        <v>0</v>
      </c>
      <c r="BX627" s="88"/>
      <c r="CQ627" s="88"/>
    </row>
    <row r="628" spans="1:95" outlineLevel="1" x14ac:dyDescent="0.15">
      <c r="A628" s="76">
        <v>626</v>
      </c>
      <c r="B628" s="65" t="s">
        <v>1321</v>
      </c>
      <c r="C628" s="65">
        <v>1066868867</v>
      </c>
      <c r="D628" s="81" t="str">
        <f t="shared" si="20"/>
        <v>https://portal.dnb.de/opac.htm?method=simpleSearch&amp;cqlMode=true&amp;query=idn%3D1066868867</v>
      </c>
      <c r="E628" s="65" t="s">
        <v>1322</v>
      </c>
      <c r="F628" s="76" t="s">
        <v>89</v>
      </c>
      <c r="G628" s="78" t="s">
        <v>17</v>
      </c>
      <c r="H628" s="76" t="s">
        <v>51</v>
      </c>
      <c r="I628" s="78" t="s">
        <v>55</v>
      </c>
      <c r="J628" s="78"/>
      <c r="K628" s="76"/>
      <c r="L628" s="76"/>
      <c r="M628" s="76"/>
      <c r="N628" s="76">
        <v>0</v>
      </c>
      <c r="O628" s="76"/>
      <c r="P628" s="76"/>
      <c r="Q628" s="76"/>
      <c r="R628" s="76"/>
      <c r="AZ628" s="88">
        <f t="shared" si="19"/>
        <v>0</v>
      </c>
      <c r="BX628" s="88"/>
      <c r="CQ628" s="88"/>
    </row>
    <row r="629" spans="1:95" outlineLevel="1" x14ac:dyDescent="0.15">
      <c r="A629" s="76">
        <v>627</v>
      </c>
      <c r="B629" s="65" t="s">
        <v>1323</v>
      </c>
      <c r="C629" s="65">
        <v>1066866147</v>
      </c>
      <c r="D629" s="81" t="str">
        <f t="shared" si="20"/>
        <v>https://portal.dnb.de/opac.htm?method=simpleSearch&amp;cqlMode=true&amp;query=idn%3D1066866147</v>
      </c>
      <c r="E629" s="65" t="s">
        <v>1324</v>
      </c>
      <c r="F629" s="76" t="s">
        <v>89</v>
      </c>
      <c r="G629" s="78" t="s">
        <v>17</v>
      </c>
      <c r="H629" s="76" t="s">
        <v>51</v>
      </c>
      <c r="I629" s="78" t="s">
        <v>55</v>
      </c>
      <c r="J629" s="78"/>
      <c r="K629" s="76"/>
      <c r="L629" s="76"/>
      <c r="M629" s="76"/>
      <c r="N629" s="76">
        <v>0</v>
      </c>
      <c r="O629" s="76"/>
      <c r="P629" s="76"/>
      <c r="Q629" s="76"/>
      <c r="R629" s="76"/>
      <c r="AZ629" s="88">
        <f t="shared" si="19"/>
        <v>0</v>
      </c>
      <c r="BX629" s="88"/>
      <c r="CQ629" s="88"/>
    </row>
    <row r="630" spans="1:95" outlineLevel="1" x14ac:dyDescent="0.15">
      <c r="A630" s="76">
        <v>628</v>
      </c>
      <c r="B630" s="65" t="s">
        <v>1325</v>
      </c>
      <c r="C630" s="65">
        <v>1066959668</v>
      </c>
      <c r="D630" s="81" t="str">
        <f t="shared" si="20"/>
        <v>https://portal.dnb.de/opac.htm?method=simpleSearch&amp;cqlMode=true&amp;query=idn%3D1066959668</v>
      </c>
      <c r="E630" s="65" t="s">
        <v>1326</v>
      </c>
      <c r="F630" s="76" t="s">
        <v>89</v>
      </c>
      <c r="G630" s="78" t="s">
        <v>17</v>
      </c>
      <c r="H630" s="76" t="s">
        <v>51</v>
      </c>
      <c r="I630" s="78" t="s">
        <v>55</v>
      </c>
      <c r="J630" s="78"/>
      <c r="K630" s="76"/>
      <c r="L630" s="76"/>
      <c r="M630" s="76"/>
      <c r="N630" s="76">
        <v>0</v>
      </c>
      <c r="O630" s="76"/>
      <c r="P630" s="76" t="s">
        <v>2587</v>
      </c>
      <c r="Q630" s="76"/>
      <c r="R630" s="76"/>
      <c r="AZ630" s="88">
        <f t="shared" si="19"/>
        <v>0</v>
      </c>
      <c r="BX630" s="88"/>
      <c r="CQ630" s="88"/>
    </row>
    <row r="631" spans="1:95" outlineLevel="1" x14ac:dyDescent="0.15">
      <c r="A631" s="76">
        <v>629</v>
      </c>
      <c r="B631" s="65" t="s">
        <v>1327</v>
      </c>
      <c r="C631" s="65">
        <v>1066867984</v>
      </c>
      <c r="D631" s="81" t="str">
        <f t="shared" si="20"/>
        <v>https://portal.dnb.de/opac.htm?method=simpleSearch&amp;cqlMode=true&amp;query=idn%3D1066867984</v>
      </c>
      <c r="E631" s="65" t="s">
        <v>1328</v>
      </c>
      <c r="F631" s="76" t="s">
        <v>89</v>
      </c>
      <c r="G631" s="78" t="s">
        <v>17</v>
      </c>
      <c r="H631" s="76" t="s">
        <v>51</v>
      </c>
      <c r="I631" s="78" t="s">
        <v>55</v>
      </c>
      <c r="J631" s="78" t="s">
        <v>59</v>
      </c>
      <c r="K631" s="76"/>
      <c r="L631" s="76"/>
      <c r="M631" s="76"/>
      <c r="N631" s="76"/>
      <c r="O631" s="76"/>
      <c r="P631" s="76"/>
      <c r="Q631" s="76"/>
      <c r="R631" s="76"/>
      <c r="AZ631" s="88">
        <f t="shared" si="19"/>
        <v>0</v>
      </c>
      <c r="BX631" s="88"/>
      <c r="CQ631" s="88"/>
    </row>
    <row r="632" spans="1:95" outlineLevel="1" x14ac:dyDescent="0.15">
      <c r="A632" s="76">
        <v>630</v>
      </c>
      <c r="B632" s="65" t="s">
        <v>1329</v>
      </c>
      <c r="C632" s="65">
        <v>997745096</v>
      </c>
      <c r="D632" s="81" t="str">
        <f t="shared" si="20"/>
        <v>https://portal.dnb.de/opac.htm?method=simpleSearch&amp;cqlMode=true&amp;query=idn%3D997745096</v>
      </c>
      <c r="E632" s="65" t="s">
        <v>1330</v>
      </c>
      <c r="F632" s="76" t="s">
        <v>89</v>
      </c>
      <c r="G632" s="78" t="s">
        <v>17</v>
      </c>
      <c r="H632" s="76" t="s">
        <v>51</v>
      </c>
      <c r="I632" s="78" t="s">
        <v>55</v>
      </c>
      <c r="J632" s="78"/>
      <c r="K632" s="76"/>
      <c r="L632" s="76"/>
      <c r="M632" s="76"/>
      <c r="N632" s="76">
        <v>0</v>
      </c>
      <c r="O632" s="76"/>
      <c r="P632" s="76"/>
      <c r="Q632" s="76"/>
      <c r="R632" s="76"/>
      <c r="AZ632" s="88">
        <f t="shared" si="19"/>
        <v>0</v>
      </c>
      <c r="BX632" s="88"/>
      <c r="CQ632" s="88"/>
    </row>
    <row r="633" spans="1:95" outlineLevel="1" x14ac:dyDescent="0.15">
      <c r="A633" s="76">
        <v>631</v>
      </c>
      <c r="B633" s="65" t="s">
        <v>1331</v>
      </c>
      <c r="C633" s="65">
        <v>1066963517</v>
      </c>
      <c r="D633" s="81" t="str">
        <f t="shared" si="20"/>
        <v>https://portal.dnb.de/opac.htm?method=simpleSearch&amp;cqlMode=true&amp;query=idn%3D1066963517</v>
      </c>
      <c r="E633" s="65" t="s">
        <v>1332</v>
      </c>
      <c r="F633" s="76" t="s">
        <v>89</v>
      </c>
      <c r="G633" s="78" t="s">
        <v>5</v>
      </c>
      <c r="H633" s="76" t="s">
        <v>51</v>
      </c>
      <c r="I633" s="78" t="s">
        <v>55</v>
      </c>
      <c r="J633" s="78" t="s">
        <v>81</v>
      </c>
      <c r="K633" s="76"/>
      <c r="L633" s="76"/>
      <c r="M633" s="76"/>
      <c r="N633" s="76">
        <v>0</v>
      </c>
      <c r="O633" s="76"/>
      <c r="P633" s="76" t="s">
        <v>2588</v>
      </c>
      <c r="Q633" s="76"/>
      <c r="R633" s="76"/>
      <c r="AZ633" s="88">
        <f t="shared" si="19"/>
        <v>0</v>
      </c>
      <c r="BX633" s="88"/>
      <c r="CQ633" s="88"/>
    </row>
    <row r="634" spans="1:95" outlineLevel="1" x14ac:dyDescent="0.15">
      <c r="A634" s="76">
        <v>632</v>
      </c>
      <c r="B634" s="65" t="s">
        <v>1333</v>
      </c>
      <c r="C634" s="65">
        <v>1066867984</v>
      </c>
      <c r="D634" s="81" t="str">
        <f t="shared" si="20"/>
        <v>https://portal.dnb.de/opac.htm?method=simpleSearch&amp;cqlMode=true&amp;query=idn%3D1066867984</v>
      </c>
      <c r="E634" s="65" t="s">
        <v>1334</v>
      </c>
      <c r="F634" s="76" t="s">
        <v>89</v>
      </c>
      <c r="G634" s="78" t="s">
        <v>5</v>
      </c>
      <c r="H634" s="76" t="s">
        <v>51</v>
      </c>
      <c r="I634" s="78" t="s">
        <v>55</v>
      </c>
      <c r="J634" s="78" t="s">
        <v>94</v>
      </c>
      <c r="K634" s="76"/>
      <c r="L634" s="76"/>
      <c r="M634" s="76"/>
      <c r="N634" s="76">
        <v>0</v>
      </c>
      <c r="O634" s="76"/>
      <c r="P634" s="76" t="s">
        <v>2588</v>
      </c>
      <c r="Q634" s="76"/>
      <c r="R634" s="76"/>
      <c r="AZ634" s="88">
        <f t="shared" si="19"/>
        <v>0</v>
      </c>
      <c r="BX634" s="88"/>
      <c r="CQ634" s="88"/>
    </row>
    <row r="635" spans="1:95" outlineLevel="1" x14ac:dyDescent="0.15">
      <c r="A635" s="76">
        <v>633</v>
      </c>
      <c r="B635" s="65" t="s">
        <v>1335</v>
      </c>
      <c r="C635" s="65">
        <v>1066769680</v>
      </c>
      <c r="D635" s="81" t="str">
        <f t="shared" si="20"/>
        <v>https://portal.dnb.de/opac.htm?method=simpleSearch&amp;cqlMode=true&amp;query=idn%3D1066769680</v>
      </c>
      <c r="E635" s="65" t="s">
        <v>1336</v>
      </c>
      <c r="F635" s="76" t="s">
        <v>89</v>
      </c>
      <c r="G635" s="78" t="s">
        <v>17</v>
      </c>
      <c r="H635" s="76" t="s">
        <v>51</v>
      </c>
      <c r="I635" s="78" t="s">
        <v>55</v>
      </c>
      <c r="J635" s="78"/>
      <c r="K635" s="76"/>
      <c r="L635" s="76"/>
      <c r="M635" s="76"/>
      <c r="N635" s="76">
        <v>0</v>
      </c>
      <c r="O635" s="76"/>
      <c r="P635" s="76"/>
      <c r="Q635" s="76"/>
      <c r="R635" s="76"/>
      <c r="AZ635" s="88">
        <f t="shared" si="19"/>
        <v>0</v>
      </c>
      <c r="BX635" s="88"/>
      <c r="CQ635" s="88"/>
    </row>
    <row r="636" spans="1:95" outlineLevel="1" x14ac:dyDescent="0.15">
      <c r="A636" s="76">
        <v>634</v>
      </c>
      <c r="B636" s="65" t="s">
        <v>1337</v>
      </c>
      <c r="C636" s="65">
        <v>1066866635</v>
      </c>
      <c r="D636" s="81" t="str">
        <f t="shared" si="20"/>
        <v>https://portal.dnb.de/opac.htm?method=simpleSearch&amp;cqlMode=true&amp;query=idn%3D1066866635</v>
      </c>
      <c r="E636" s="65" t="s">
        <v>1338</v>
      </c>
      <c r="F636" s="76" t="s">
        <v>89</v>
      </c>
      <c r="G636" s="78" t="s">
        <v>46</v>
      </c>
      <c r="H636" s="76" t="s">
        <v>51</v>
      </c>
      <c r="I636" s="78" t="s">
        <v>55</v>
      </c>
      <c r="J636" s="78" t="s">
        <v>81</v>
      </c>
      <c r="K636" s="76"/>
      <c r="L636" s="76"/>
      <c r="M636" s="76"/>
      <c r="N636" s="76">
        <v>0</v>
      </c>
      <c r="O636" s="76"/>
      <c r="P636" s="76"/>
      <c r="Q636" s="76"/>
      <c r="R636" s="76"/>
      <c r="AZ636" s="88">
        <f t="shared" si="19"/>
        <v>0</v>
      </c>
      <c r="BX636" s="88"/>
      <c r="CQ636" s="88"/>
    </row>
    <row r="637" spans="1:95" ht="22.5" outlineLevel="1" x14ac:dyDescent="0.15">
      <c r="A637" s="76">
        <v>635</v>
      </c>
      <c r="B637" s="65" t="s">
        <v>1339</v>
      </c>
      <c r="C637" s="65" t="s">
        <v>1340</v>
      </c>
      <c r="D637" s="81" t="str">
        <f t="shared" si="20"/>
        <v>https://portal.dnb.de/opac.htm?method=simpleSearch&amp;cqlMode=true&amp;query=idn%3D106687123X</v>
      </c>
      <c r="E637" s="65" t="s">
        <v>1341</v>
      </c>
      <c r="F637" s="76" t="s">
        <v>89</v>
      </c>
      <c r="G637" s="78" t="s">
        <v>2516</v>
      </c>
      <c r="H637" s="76" t="s">
        <v>50</v>
      </c>
      <c r="I637" s="78" t="s">
        <v>86</v>
      </c>
      <c r="J637" s="78" t="s">
        <v>94</v>
      </c>
      <c r="K637" s="76"/>
      <c r="L637" s="76" t="s">
        <v>34</v>
      </c>
      <c r="M637" s="76" t="s">
        <v>37</v>
      </c>
      <c r="N637" s="76">
        <v>0</v>
      </c>
      <c r="O637" s="76"/>
      <c r="P637" s="76"/>
      <c r="Q637" s="76"/>
      <c r="R637" s="76"/>
      <c r="AZ637" s="88">
        <f t="shared" si="19"/>
        <v>0</v>
      </c>
      <c r="BX637" s="88"/>
      <c r="CQ637" s="88"/>
    </row>
    <row r="638" spans="1:95" outlineLevel="1" x14ac:dyDescent="0.15">
      <c r="A638" s="76">
        <v>636</v>
      </c>
      <c r="B638" s="65" t="s">
        <v>1342</v>
      </c>
      <c r="C638" s="65">
        <v>1066957029</v>
      </c>
      <c r="D638" s="81" t="str">
        <f t="shared" si="20"/>
        <v>https://portal.dnb.de/opac.htm?method=simpleSearch&amp;cqlMode=true&amp;query=idn%3D1066957029</v>
      </c>
      <c r="E638" s="65" t="s">
        <v>1343</v>
      </c>
      <c r="F638" s="76" t="s">
        <v>89</v>
      </c>
      <c r="G638" s="78" t="s">
        <v>45</v>
      </c>
      <c r="H638" s="76" t="s">
        <v>51</v>
      </c>
      <c r="I638" s="78" t="s">
        <v>90</v>
      </c>
      <c r="J638" s="78"/>
      <c r="K638" s="76"/>
      <c r="L638" s="76"/>
      <c r="M638" s="76"/>
      <c r="N638" s="76">
        <v>0</v>
      </c>
      <c r="O638" s="76"/>
      <c r="P638" s="76"/>
      <c r="Q638" s="76"/>
      <c r="R638" s="76"/>
      <c r="AZ638" s="88">
        <f t="shared" si="19"/>
        <v>0</v>
      </c>
      <c r="BX638" s="88"/>
      <c r="CQ638" s="88"/>
    </row>
    <row r="639" spans="1:95" outlineLevel="1" x14ac:dyDescent="0.15">
      <c r="A639" s="76">
        <v>637</v>
      </c>
      <c r="B639" s="65" t="s">
        <v>1344</v>
      </c>
      <c r="C639" s="65">
        <v>997745622</v>
      </c>
      <c r="D639" s="81" t="str">
        <f t="shared" si="20"/>
        <v>https://portal.dnb.de/opac.htm?method=simpleSearch&amp;cqlMode=true&amp;query=idn%3D997745622</v>
      </c>
      <c r="E639" s="65" t="s">
        <v>1345</v>
      </c>
      <c r="F639" s="76" t="s">
        <v>89</v>
      </c>
      <c r="G639" s="78" t="s">
        <v>5</v>
      </c>
      <c r="H639" s="76" t="s">
        <v>51</v>
      </c>
      <c r="I639" s="78" t="s">
        <v>55</v>
      </c>
      <c r="J639" s="78" t="s">
        <v>94</v>
      </c>
      <c r="K639" s="76"/>
      <c r="L639" s="76"/>
      <c r="M639" s="76"/>
      <c r="N639" s="76">
        <v>1</v>
      </c>
      <c r="O639" s="76"/>
      <c r="P639" s="76" t="s">
        <v>2588</v>
      </c>
      <c r="Q639" s="76"/>
      <c r="R639" s="76"/>
      <c r="X639" s="84" t="s">
        <v>2645</v>
      </c>
      <c r="Y639" s="84" t="s">
        <v>2541</v>
      </c>
      <c r="AA639" s="84" t="s">
        <v>2647</v>
      </c>
      <c r="AG639" s="84" t="s">
        <v>2643</v>
      </c>
      <c r="AH639" s="84" t="s">
        <v>2541</v>
      </c>
      <c r="AU639" s="84">
        <v>110</v>
      </c>
      <c r="AY639" s="86" t="s">
        <v>2651</v>
      </c>
      <c r="AZ639" s="88">
        <f t="shared" si="19"/>
        <v>0</v>
      </c>
      <c r="BH639" s="79" t="s">
        <v>2962</v>
      </c>
      <c r="BX639" s="88"/>
      <c r="CQ639" s="88"/>
    </row>
    <row r="640" spans="1:95" outlineLevel="1" x14ac:dyDescent="0.15">
      <c r="A640" s="76">
        <v>638</v>
      </c>
      <c r="B640" s="65" t="s">
        <v>1346</v>
      </c>
      <c r="C640" s="65">
        <v>1066960593</v>
      </c>
      <c r="D640" s="81" t="str">
        <f t="shared" si="20"/>
        <v>https://portal.dnb.de/opac.htm?method=simpleSearch&amp;cqlMode=true&amp;query=idn%3D1066960593</v>
      </c>
      <c r="E640" s="65" t="s">
        <v>1347</v>
      </c>
      <c r="F640" s="76"/>
      <c r="G640" s="78"/>
      <c r="H640" s="76" t="s">
        <v>51</v>
      </c>
      <c r="I640" s="78"/>
      <c r="J640" s="78"/>
      <c r="K640" s="76"/>
      <c r="L640" s="76"/>
      <c r="M640" s="76"/>
      <c r="N640" s="76"/>
      <c r="O640" s="76"/>
      <c r="P640" s="76"/>
      <c r="Q640" s="76"/>
      <c r="R640" s="76"/>
      <c r="X640" s="84" t="s">
        <v>2643</v>
      </c>
      <c r="Y640" s="84" t="s">
        <v>2541</v>
      </c>
      <c r="AA640" s="84" t="s">
        <v>2647</v>
      </c>
      <c r="AG640" s="84" t="s">
        <v>2643</v>
      </c>
      <c r="AU640" s="84">
        <v>110</v>
      </c>
      <c r="AY640" s="86" t="s">
        <v>2651</v>
      </c>
      <c r="AZ640" s="88">
        <f t="shared" ref="AZ640:AZ703" si="21">BX640+CQ640</f>
        <v>0</v>
      </c>
      <c r="BD640" s="84" t="s">
        <v>2541</v>
      </c>
      <c r="BH640" s="79" t="s">
        <v>2962</v>
      </c>
      <c r="BX640" s="88"/>
      <c r="CQ640" s="88"/>
    </row>
    <row r="641" spans="1:95" outlineLevel="1" x14ac:dyDescent="0.15">
      <c r="A641" s="76">
        <v>639</v>
      </c>
      <c r="B641" s="65" t="s">
        <v>1348</v>
      </c>
      <c r="C641" s="65">
        <v>1066458820</v>
      </c>
      <c r="D641" s="81" t="str">
        <f t="shared" si="20"/>
        <v>https://portal.dnb.de/opac.htm?method=simpleSearch&amp;cqlMode=true&amp;query=idn%3D1066458820</v>
      </c>
      <c r="E641" s="65" t="s">
        <v>1349</v>
      </c>
      <c r="F641" s="76"/>
      <c r="G641" s="78"/>
      <c r="H641" s="76"/>
      <c r="I641" s="78"/>
      <c r="J641" s="78"/>
      <c r="K641" s="76"/>
      <c r="L641" s="76"/>
      <c r="M641" s="76"/>
      <c r="N641" s="76"/>
      <c r="O641" s="76"/>
      <c r="P641" s="76"/>
      <c r="Q641" s="76"/>
      <c r="R641" s="76"/>
      <c r="AZ641" s="88">
        <f t="shared" si="21"/>
        <v>0</v>
      </c>
      <c r="BX641" s="88"/>
      <c r="CQ641" s="88"/>
    </row>
    <row r="642" spans="1:95" outlineLevel="1" x14ac:dyDescent="0.15">
      <c r="A642" s="76">
        <v>640</v>
      </c>
      <c r="B642" s="65" t="s">
        <v>1350</v>
      </c>
      <c r="C642" s="65">
        <v>1066868050</v>
      </c>
      <c r="D642" s="81" t="str">
        <f t="shared" si="20"/>
        <v>https://portal.dnb.de/opac.htm?method=simpleSearch&amp;cqlMode=true&amp;query=idn%3D1066868050</v>
      </c>
      <c r="E642" s="65" t="s">
        <v>1351</v>
      </c>
      <c r="F642" s="76"/>
      <c r="G642" s="78"/>
      <c r="H642" s="76"/>
      <c r="I642" s="78"/>
      <c r="J642" s="78"/>
      <c r="K642" s="76"/>
      <c r="L642" s="76"/>
      <c r="M642" s="76"/>
      <c r="N642" s="76"/>
      <c r="O642" s="76"/>
      <c r="P642" s="76"/>
      <c r="Q642" s="76"/>
      <c r="R642" s="76"/>
      <c r="AZ642" s="88">
        <f t="shared" si="21"/>
        <v>0</v>
      </c>
      <c r="BX642" s="88"/>
      <c r="CQ642" s="88"/>
    </row>
    <row r="643" spans="1:95" outlineLevel="1" x14ac:dyDescent="0.15">
      <c r="A643" s="76">
        <v>641</v>
      </c>
      <c r="B643" s="65" t="s">
        <v>1352</v>
      </c>
      <c r="C643" s="65">
        <v>1066796122</v>
      </c>
      <c r="D643" s="81" t="str">
        <f t="shared" si="20"/>
        <v>https://portal.dnb.de/opac.htm?method=simpleSearch&amp;cqlMode=true&amp;query=idn%3D1066796122</v>
      </c>
      <c r="E643" s="65" t="s">
        <v>1353</v>
      </c>
      <c r="F643" s="76"/>
      <c r="G643" s="78"/>
      <c r="H643" s="76" t="s">
        <v>51</v>
      </c>
      <c r="I643" s="78"/>
      <c r="J643" s="78"/>
      <c r="K643" s="76"/>
      <c r="L643" s="76"/>
      <c r="M643" s="76"/>
      <c r="N643" s="76"/>
      <c r="O643" s="76"/>
      <c r="P643" s="76"/>
      <c r="Q643" s="76"/>
      <c r="R643" s="76"/>
      <c r="X643" s="84" t="s">
        <v>2641</v>
      </c>
      <c r="Y643" s="84" t="s">
        <v>2541</v>
      </c>
      <c r="AA643" s="84" t="s">
        <v>2653</v>
      </c>
      <c r="AG643" s="84" t="s">
        <v>2643</v>
      </c>
      <c r="AK643" s="84" t="s">
        <v>2541</v>
      </c>
      <c r="AS643" s="84">
        <v>0</v>
      </c>
      <c r="AT643" s="84" t="s">
        <v>2541</v>
      </c>
      <c r="AU643" s="84">
        <v>45</v>
      </c>
      <c r="AY643" s="86" t="s">
        <v>2644</v>
      </c>
      <c r="AZ643" s="88">
        <f t="shared" si="21"/>
        <v>0.5</v>
      </c>
      <c r="BD643" s="84" t="s">
        <v>2541</v>
      </c>
      <c r="BK643" s="63" t="s">
        <v>2541</v>
      </c>
      <c r="BL643" s="84" t="s">
        <v>2541</v>
      </c>
      <c r="BM643" s="84" t="s">
        <v>2541</v>
      </c>
      <c r="BX643" s="88">
        <v>0.5</v>
      </c>
      <c r="CQ643" s="88"/>
    </row>
    <row r="644" spans="1:95" outlineLevel="1" x14ac:dyDescent="0.15">
      <c r="A644" s="76">
        <v>642</v>
      </c>
      <c r="B644" s="65" t="s">
        <v>1354</v>
      </c>
      <c r="C644" s="65">
        <v>1066964289</v>
      </c>
      <c r="D644" s="81" t="str">
        <f t="shared" si="20"/>
        <v>https://portal.dnb.de/opac.htm?method=simpleSearch&amp;cqlMode=true&amp;query=idn%3D1066964289</v>
      </c>
      <c r="E644" s="65" t="s">
        <v>1355</v>
      </c>
      <c r="F644" s="76"/>
      <c r="G644" s="78"/>
      <c r="H644" s="76"/>
      <c r="I644" s="78"/>
      <c r="J644" s="78"/>
      <c r="K644" s="76"/>
      <c r="L644" s="76"/>
      <c r="M644" s="76"/>
      <c r="N644" s="76"/>
      <c r="O644" s="76"/>
      <c r="P644" s="76"/>
      <c r="Q644" s="76"/>
      <c r="R644" s="76"/>
      <c r="AZ644" s="88">
        <f t="shared" si="21"/>
        <v>0</v>
      </c>
      <c r="BX644" s="88"/>
      <c r="CQ644" s="88"/>
    </row>
    <row r="645" spans="1:95" ht="33.75" outlineLevel="1" x14ac:dyDescent="0.15">
      <c r="A645" s="76">
        <v>643</v>
      </c>
      <c r="B645" s="65" t="s">
        <v>1356</v>
      </c>
      <c r="C645" s="65" t="s">
        <v>1357</v>
      </c>
      <c r="D645" s="81" t="str">
        <f t="shared" si="20"/>
        <v>https://portal.dnb.de/opac.htm?method=simpleSearch&amp;cqlMode=true&amp;query=idn%3D106696307X</v>
      </c>
      <c r="E645" s="65" t="s">
        <v>1358</v>
      </c>
      <c r="F645" s="76"/>
      <c r="G645" s="78"/>
      <c r="H645" s="76" t="s">
        <v>51</v>
      </c>
      <c r="I645" s="78"/>
      <c r="J645" s="78"/>
      <c r="K645" s="76"/>
      <c r="L645" s="76"/>
      <c r="M645" s="76"/>
      <c r="N645" s="76"/>
      <c r="O645" s="76"/>
      <c r="P645" s="76"/>
      <c r="Q645" s="76"/>
      <c r="R645" s="76"/>
      <c r="X645" s="84" t="s">
        <v>2641</v>
      </c>
      <c r="Y645" s="84" t="s">
        <v>2541</v>
      </c>
      <c r="AA645" s="84" t="s">
        <v>2653</v>
      </c>
      <c r="AC645" s="84" t="s">
        <v>2541</v>
      </c>
      <c r="AG645" s="84" t="s">
        <v>2643</v>
      </c>
      <c r="AU645" s="84">
        <v>80</v>
      </c>
      <c r="AY645" s="86" t="s">
        <v>2644</v>
      </c>
      <c r="AZ645" s="88">
        <f t="shared" si="21"/>
        <v>1</v>
      </c>
      <c r="BD645" s="84" t="s">
        <v>2541</v>
      </c>
      <c r="BJ645" s="79" t="s">
        <v>2836</v>
      </c>
      <c r="BK645" s="63" t="s">
        <v>2541</v>
      </c>
      <c r="BL645" s="84" t="s">
        <v>2541</v>
      </c>
      <c r="BM645" s="84" t="s">
        <v>2541</v>
      </c>
      <c r="BX645" s="88">
        <v>1</v>
      </c>
      <c r="BY645" s="79" t="s">
        <v>3009</v>
      </c>
      <c r="CQ645" s="88"/>
    </row>
    <row r="646" spans="1:95" ht="33.75" outlineLevel="1" x14ac:dyDescent="0.15">
      <c r="A646" s="76">
        <v>644</v>
      </c>
      <c r="B646" s="65" t="s">
        <v>1359</v>
      </c>
      <c r="C646" s="65">
        <v>996967060</v>
      </c>
      <c r="D646" s="81" t="str">
        <f t="shared" si="20"/>
        <v>https://portal.dnb.de/opac.htm?method=simpleSearch&amp;cqlMode=true&amp;query=idn%3D996967060</v>
      </c>
      <c r="E646" s="65" t="s">
        <v>1360</v>
      </c>
      <c r="F646" s="76"/>
      <c r="G646" s="78"/>
      <c r="H646" s="76" t="s">
        <v>50</v>
      </c>
      <c r="I646" s="78"/>
      <c r="J646" s="78"/>
      <c r="K646" s="76"/>
      <c r="L646" s="76"/>
      <c r="M646" s="76"/>
      <c r="N646" s="76"/>
      <c r="O646" s="76"/>
      <c r="P646" s="76"/>
      <c r="Q646" s="76"/>
      <c r="R646" s="76"/>
      <c r="X646" s="84" t="s">
        <v>2652</v>
      </c>
      <c r="Y646" s="84" t="s">
        <v>2541</v>
      </c>
      <c r="Z646" s="84" t="s">
        <v>2541</v>
      </c>
      <c r="AA646" s="84" t="s">
        <v>2647</v>
      </c>
      <c r="AC646" s="84" t="s">
        <v>2541</v>
      </c>
      <c r="AG646" s="84" t="s">
        <v>2643</v>
      </c>
      <c r="AU646" s="84">
        <v>110</v>
      </c>
      <c r="AY646" s="86" t="s">
        <v>2644</v>
      </c>
      <c r="AZ646" s="88">
        <f t="shared" si="21"/>
        <v>0.5</v>
      </c>
      <c r="BD646" s="84" t="s">
        <v>2541</v>
      </c>
      <c r="BH646" s="79" t="s">
        <v>3012</v>
      </c>
      <c r="BJ646" s="79" t="s">
        <v>2836</v>
      </c>
      <c r="BK646" s="63" t="s">
        <v>2541</v>
      </c>
      <c r="BL646" s="84" t="s">
        <v>2541</v>
      </c>
      <c r="BM646" s="84" t="s">
        <v>2541</v>
      </c>
      <c r="BO646" s="84" t="s">
        <v>2656</v>
      </c>
      <c r="BX646" s="88">
        <v>0.5</v>
      </c>
      <c r="BY646" s="79" t="s">
        <v>3011</v>
      </c>
      <c r="CQ646" s="88"/>
    </row>
    <row r="647" spans="1:95" outlineLevel="1" x14ac:dyDescent="0.15">
      <c r="A647" s="76">
        <v>645</v>
      </c>
      <c r="B647" s="65" t="s">
        <v>1361</v>
      </c>
      <c r="C647" s="65">
        <v>1000737918</v>
      </c>
      <c r="D647" s="81" t="str">
        <f t="shared" si="20"/>
        <v>https://portal.dnb.de/opac.htm?method=simpleSearch&amp;cqlMode=true&amp;query=idn%3D1000737918</v>
      </c>
      <c r="E647" s="65" t="s">
        <v>3010</v>
      </c>
      <c r="F647" s="76"/>
      <c r="G647" s="78"/>
      <c r="H647" s="76"/>
      <c r="I647" s="78"/>
      <c r="J647" s="78"/>
      <c r="K647" s="76"/>
      <c r="L647" s="76"/>
      <c r="M647" s="76"/>
      <c r="N647" s="76"/>
      <c r="O647" s="76"/>
      <c r="P647" s="76"/>
      <c r="Q647" s="76"/>
      <c r="R647" s="76"/>
      <c r="AZ647" s="88">
        <f t="shared" si="21"/>
        <v>0</v>
      </c>
      <c r="BX647" s="88"/>
      <c r="CQ647" s="88"/>
    </row>
    <row r="648" spans="1:95" outlineLevel="1" x14ac:dyDescent="0.15">
      <c r="A648" s="76">
        <v>646</v>
      </c>
      <c r="B648" s="65" t="s">
        <v>1362</v>
      </c>
      <c r="C648" s="65">
        <v>1066686521</v>
      </c>
      <c r="D648" s="81" t="str">
        <f t="shared" si="20"/>
        <v>https://portal.dnb.de/opac.htm?method=simpleSearch&amp;cqlMode=true&amp;query=idn%3D1066686521</v>
      </c>
      <c r="E648" s="65" t="s">
        <v>1363</v>
      </c>
      <c r="F648" s="76"/>
      <c r="G648" s="78"/>
      <c r="H648" s="76" t="s">
        <v>50</v>
      </c>
      <c r="I648" s="78"/>
      <c r="J648" s="78"/>
      <c r="K648" s="76"/>
      <c r="L648" s="76"/>
      <c r="M648" s="76"/>
      <c r="N648" s="76"/>
      <c r="O648" s="76"/>
      <c r="P648" s="76"/>
      <c r="Q648" s="76"/>
      <c r="R648" s="76"/>
      <c r="X648" s="84" t="s">
        <v>2652</v>
      </c>
      <c r="Y648" s="84" t="s">
        <v>2541</v>
      </c>
      <c r="AA648" s="84" t="s">
        <v>2647</v>
      </c>
      <c r="AG648" s="84" t="s">
        <v>2643</v>
      </c>
      <c r="AU648" s="84">
        <v>110</v>
      </c>
      <c r="AY648" s="86" t="s">
        <v>2651</v>
      </c>
      <c r="AZ648" s="88">
        <f t="shared" si="21"/>
        <v>0</v>
      </c>
      <c r="BD648" s="84" t="s">
        <v>2541</v>
      </c>
      <c r="BH648" s="79" t="s">
        <v>2962</v>
      </c>
      <c r="BX648" s="88"/>
      <c r="CQ648" s="88"/>
    </row>
    <row r="649" spans="1:95" outlineLevel="1" x14ac:dyDescent="0.15">
      <c r="A649" s="76">
        <v>647</v>
      </c>
      <c r="B649" s="65" t="s">
        <v>1364</v>
      </c>
      <c r="C649" s="65">
        <v>1066870136</v>
      </c>
      <c r="D649" s="81" t="str">
        <f t="shared" si="20"/>
        <v>https://portal.dnb.de/opac.htm?method=simpleSearch&amp;cqlMode=true&amp;query=idn%3D1066870136</v>
      </c>
      <c r="E649" s="65" t="s">
        <v>1365</v>
      </c>
      <c r="F649" s="76"/>
      <c r="G649" s="78"/>
      <c r="H649" s="76"/>
      <c r="I649" s="78"/>
      <c r="J649" s="78"/>
      <c r="K649" s="76"/>
      <c r="L649" s="76"/>
      <c r="M649" s="76"/>
      <c r="N649" s="76"/>
      <c r="O649" s="76"/>
      <c r="P649" s="76"/>
      <c r="Q649" s="76"/>
      <c r="R649" s="76"/>
      <c r="AZ649" s="88">
        <f t="shared" si="21"/>
        <v>0</v>
      </c>
      <c r="BX649" s="88"/>
      <c r="CQ649" s="88"/>
    </row>
    <row r="650" spans="1:95" outlineLevel="1" x14ac:dyDescent="0.15">
      <c r="A650" s="76">
        <v>648</v>
      </c>
      <c r="B650" s="65" t="s">
        <v>1366</v>
      </c>
      <c r="C650" s="65">
        <v>1066870330</v>
      </c>
      <c r="D650" s="81" t="str">
        <f t="shared" si="20"/>
        <v>https://portal.dnb.de/opac.htm?method=simpleSearch&amp;cqlMode=true&amp;query=idn%3D1066870330</v>
      </c>
      <c r="E650" s="65" t="s">
        <v>1367</v>
      </c>
      <c r="F650" s="76"/>
      <c r="G650" s="78"/>
      <c r="H650" s="76" t="s">
        <v>51</v>
      </c>
      <c r="I650" s="78"/>
      <c r="J650" s="78"/>
      <c r="K650" s="76"/>
      <c r="L650" s="76"/>
      <c r="M650" s="76"/>
      <c r="N650" s="76"/>
      <c r="O650" s="76"/>
      <c r="P650" s="76"/>
      <c r="Q650" s="76"/>
      <c r="R650" s="76"/>
      <c r="X650" s="84" t="s">
        <v>2699</v>
      </c>
      <c r="AA650" s="84" t="s">
        <v>2647</v>
      </c>
      <c r="AG650" s="84" t="s">
        <v>2643</v>
      </c>
      <c r="AH650" s="84" t="s">
        <v>2541</v>
      </c>
      <c r="AU650" s="84">
        <v>110</v>
      </c>
      <c r="AY650" s="86" t="s">
        <v>2651</v>
      </c>
      <c r="AZ650" s="88">
        <f t="shared" si="21"/>
        <v>0</v>
      </c>
      <c r="BH650" s="79" t="s">
        <v>2962</v>
      </c>
      <c r="BI650" s="63" t="s">
        <v>2780</v>
      </c>
      <c r="BX650" s="88"/>
      <c r="CQ650" s="88"/>
    </row>
    <row r="651" spans="1:95" outlineLevel="1" x14ac:dyDescent="0.15">
      <c r="A651" s="76">
        <v>649</v>
      </c>
      <c r="B651" s="65" t="s">
        <v>1368</v>
      </c>
      <c r="C651" s="65">
        <v>1066963363</v>
      </c>
      <c r="D651" s="81" t="str">
        <f t="shared" si="20"/>
        <v>https://portal.dnb.de/opac.htm?method=simpleSearch&amp;cqlMode=true&amp;query=idn%3D1066963363</v>
      </c>
      <c r="E651" s="65" t="s">
        <v>1369</v>
      </c>
      <c r="F651" s="76"/>
      <c r="G651" s="78"/>
      <c r="H651" s="76"/>
      <c r="I651" s="78"/>
      <c r="J651" s="78"/>
      <c r="K651" s="76"/>
      <c r="L651" s="76"/>
      <c r="M651" s="76"/>
      <c r="N651" s="76"/>
      <c r="O651" s="76"/>
      <c r="P651" s="76"/>
      <c r="Q651" s="76"/>
      <c r="R651" s="76"/>
      <c r="AZ651" s="88">
        <f t="shared" si="21"/>
        <v>0</v>
      </c>
      <c r="BX651" s="88"/>
      <c r="CQ651" s="88"/>
    </row>
    <row r="652" spans="1:95" ht="33.75" outlineLevel="1" x14ac:dyDescent="0.15">
      <c r="A652" s="76">
        <v>650</v>
      </c>
      <c r="B652" s="65" t="s">
        <v>1370</v>
      </c>
      <c r="C652" s="65">
        <v>1066839743</v>
      </c>
      <c r="D652" s="81" t="str">
        <f t="shared" si="20"/>
        <v>https://portal.dnb.de/opac.htm?method=simpleSearch&amp;cqlMode=true&amp;query=idn%3D1066839743</v>
      </c>
      <c r="E652" s="65" t="s">
        <v>1371</v>
      </c>
      <c r="F652" s="76"/>
      <c r="G652" s="78"/>
      <c r="H652" s="76" t="s">
        <v>50</v>
      </c>
      <c r="I652" s="78"/>
      <c r="J652" s="78"/>
      <c r="K652" s="76"/>
      <c r="L652" s="76"/>
      <c r="M652" s="76"/>
      <c r="N652" s="76"/>
      <c r="O652" s="76"/>
      <c r="P652" s="76"/>
      <c r="Q652" s="76"/>
      <c r="R652" s="76"/>
      <c r="X652" s="84" t="s">
        <v>2652</v>
      </c>
      <c r="AA652" s="84" t="s">
        <v>2653</v>
      </c>
      <c r="AG652" s="84" t="s">
        <v>2643</v>
      </c>
      <c r="AU652" s="84">
        <v>110</v>
      </c>
      <c r="AY652" s="86" t="s">
        <v>2644</v>
      </c>
      <c r="AZ652" s="88">
        <f t="shared" si="21"/>
        <v>1.5</v>
      </c>
      <c r="BB652" s="84" t="s">
        <v>2807</v>
      </c>
      <c r="BK652" s="63" t="s">
        <v>2541</v>
      </c>
      <c r="BL652" s="84" t="s">
        <v>2541</v>
      </c>
      <c r="BM652" s="84" t="s">
        <v>2541</v>
      </c>
      <c r="BO652" s="84" t="s">
        <v>2677</v>
      </c>
      <c r="BV652" s="84" t="s">
        <v>2661</v>
      </c>
      <c r="BX652" s="88">
        <v>1.5</v>
      </c>
      <c r="BY652" s="79" t="s">
        <v>3013</v>
      </c>
      <c r="CQ652" s="88"/>
    </row>
    <row r="653" spans="1:95" outlineLevel="1" x14ac:dyDescent="0.15">
      <c r="A653" s="76">
        <v>651</v>
      </c>
      <c r="B653" s="65" t="s">
        <v>1372</v>
      </c>
      <c r="C653" s="65">
        <v>1066963347</v>
      </c>
      <c r="D653" s="81" t="str">
        <f t="shared" si="20"/>
        <v>https://portal.dnb.de/opac.htm?method=simpleSearch&amp;cqlMode=true&amp;query=idn%3D1066963347</v>
      </c>
      <c r="E653" s="65" t="s">
        <v>1373</v>
      </c>
      <c r="F653" s="76"/>
      <c r="G653" s="78"/>
      <c r="H653" s="76"/>
      <c r="I653" s="78"/>
      <c r="J653" s="78"/>
      <c r="K653" s="76"/>
      <c r="L653" s="76"/>
      <c r="M653" s="76"/>
      <c r="N653" s="76"/>
      <c r="O653" s="76"/>
      <c r="P653" s="76"/>
      <c r="Q653" s="76"/>
      <c r="R653" s="76"/>
      <c r="AZ653" s="88">
        <f t="shared" si="21"/>
        <v>0</v>
      </c>
      <c r="BX653" s="88"/>
      <c r="CQ653" s="88"/>
    </row>
    <row r="654" spans="1:95" ht="45" outlineLevel="1" x14ac:dyDescent="0.15">
      <c r="A654" s="76">
        <v>652</v>
      </c>
      <c r="B654" s="65" t="s">
        <v>1374</v>
      </c>
      <c r="C654" s="65">
        <v>1066769036</v>
      </c>
      <c r="D654" s="81" t="str">
        <f t="shared" si="20"/>
        <v>https://portal.dnb.de/opac.htm?method=simpleSearch&amp;cqlMode=true&amp;query=idn%3D1066769036</v>
      </c>
      <c r="E654" s="65" t="s">
        <v>1375</v>
      </c>
      <c r="F654" s="76"/>
      <c r="G654" s="78"/>
      <c r="H654" s="76" t="s">
        <v>51</v>
      </c>
      <c r="I654" s="78"/>
      <c r="J654" s="78"/>
      <c r="K654" s="76"/>
      <c r="L654" s="76"/>
      <c r="M654" s="76"/>
      <c r="N654" s="76"/>
      <c r="O654" s="76"/>
      <c r="P654" s="76"/>
      <c r="Q654" s="76"/>
      <c r="R654" s="76"/>
      <c r="X654" s="84" t="s">
        <v>2641</v>
      </c>
      <c r="Y654" s="84" t="s">
        <v>2541</v>
      </c>
      <c r="AA654" s="84" t="s">
        <v>2653</v>
      </c>
      <c r="AG654" s="84" t="s">
        <v>2643</v>
      </c>
      <c r="AU654" s="84">
        <v>60</v>
      </c>
      <c r="AY654" s="86" t="s">
        <v>2644</v>
      </c>
      <c r="AZ654" s="88">
        <f t="shared" si="21"/>
        <v>1.5</v>
      </c>
      <c r="BG654" s="84" t="s">
        <v>2541</v>
      </c>
      <c r="BH654" s="79" t="s">
        <v>3015</v>
      </c>
      <c r="BI654" s="63" t="s">
        <v>2877</v>
      </c>
      <c r="BJ654" s="79" t="s">
        <v>3014</v>
      </c>
      <c r="BK654" s="63" t="s">
        <v>2541</v>
      </c>
      <c r="BL654" s="84" t="s">
        <v>2541</v>
      </c>
      <c r="BM654" s="84" t="s">
        <v>2541</v>
      </c>
      <c r="BX654" s="88">
        <v>1</v>
      </c>
      <c r="CG654" s="84" t="s">
        <v>2541</v>
      </c>
      <c r="CQ654" s="88">
        <v>0.5</v>
      </c>
    </row>
    <row r="655" spans="1:95" outlineLevel="1" x14ac:dyDescent="0.15">
      <c r="A655" s="76">
        <v>653</v>
      </c>
      <c r="B655" s="65" t="s">
        <v>1376</v>
      </c>
      <c r="C655" s="65">
        <v>1066962456</v>
      </c>
      <c r="D655" s="81" t="str">
        <f t="shared" si="20"/>
        <v>https://portal.dnb.de/opac.htm?method=simpleSearch&amp;cqlMode=true&amp;query=idn%3D1066962456</v>
      </c>
      <c r="E655" s="65" t="s">
        <v>1377</v>
      </c>
      <c r="F655" s="76"/>
      <c r="G655" s="78"/>
      <c r="H655" s="76"/>
      <c r="I655" s="78"/>
      <c r="J655" s="78"/>
      <c r="K655" s="76"/>
      <c r="L655" s="76"/>
      <c r="M655" s="76"/>
      <c r="N655" s="76"/>
      <c r="O655" s="76"/>
      <c r="P655" s="76"/>
      <c r="Q655" s="76"/>
      <c r="R655" s="76"/>
      <c r="AZ655" s="88">
        <f t="shared" si="21"/>
        <v>0</v>
      </c>
      <c r="BX655" s="88"/>
      <c r="CQ655" s="88"/>
    </row>
    <row r="656" spans="1:95" outlineLevel="1" x14ac:dyDescent="0.15">
      <c r="A656" s="76">
        <v>654</v>
      </c>
      <c r="B656" s="65" t="s">
        <v>1378</v>
      </c>
      <c r="C656" s="65">
        <v>993968074</v>
      </c>
      <c r="D656" s="81" t="str">
        <f t="shared" si="20"/>
        <v>https://portal.dnb.de/opac.htm?method=simpleSearch&amp;cqlMode=true&amp;query=idn%3D993968074</v>
      </c>
      <c r="E656" s="65" t="s">
        <v>1379</v>
      </c>
      <c r="F656" s="76"/>
      <c r="G656" s="78"/>
      <c r="H656" s="76" t="s">
        <v>50</v>
      </c>
      <c r="I656" s="78"/>
      <c r="J656" s="78"/>
      <c r="K656" s="76"/>
      <c r="L656" s="76"/>
      <c r="M656" s="76"/>
      <c r="N656" s="76"/>
      <c r="O656" s="76"/>
      <c r="P656" s="76"/>
      <c r="Q656" s="76"/>
      <c r="R656" s="76"/>
      <c r="X656" s="84" t="s">
        <v>2697</v>
      </c>
      <c r="Y656" s="84" t="s">
        <v>2541</v>
      </c>
      <c r="AA656" s="84" t="s">
        <v>2647</v>
      </c>
      <c r="AG656" s="84" t="s">
        <v>2643</v>
      </c>
      <c r="AH656" s="84" t="s">
        <v>2541</v>
      </c>
      <c r="AU656" s="84">
        <v>110</v>
      </c>
      <c r="AY656" s="86" t="s">
        <v>2651</v>
      </c>
      <c r="AZ656" s="88">
        <f t="shared" si="21"/>
        <v>0</v>
      </c>
      <c r="BD656" s="84" t="s">
        <v>2541</v>
      </c>
      <c r="BH656" s="79" t="s">
        <v>2962</v>
      </c>
      <c r="BI656" s="63" t="s">
        <v>2780</v>
      </c>
      <c r="BX656" s="88"/>
      <c r="CQ656" s="88"/>
    </row>
    <row r="657" spans="1:95" outlineLevel="1" x14ac:dyDescent="0.15">
      <c r="A657" s="76">
        <v>655</v>
      </c>
      <c r="B657" s="65" t="s">
        <v>1378</v>
      </c>
      <c r="C657" s="65">
        <v>993968074</v>
      </c>
      <c r="D657" s="81" t="str">
        <f t="shared" si="20"/>
        <v>https://portal.dnb.de/opac.htm?method=simpleSearch&amp;cqlMode=true&amp;query=idn%3D993968074</v>
      </c>
      <c r="E657" s="65" t="s">
        <v>1379</v>
      </c>
      <c r="F657" s="76"/>
      <c r="G657" s="78"/>
      <c r="H657" s="76"/>
      <c r="I657" s="78"/>
      <c r="J657" s="78"/>
      <c r="K657" s="76"/>
      <c r="L657" s="76"/>
      <c r="M657" s="76"/>
      <c r="N657" s="76"/>
      <c r="O657" s="76"/>
      <c r="P657" s="76"/>
      <c r="Q657" s="76"/>
      <c r="R657" s="76"/>
      <c r="AZ657" s="88">
        <f t="shared" si="21"/>
        <v>0</v>
      </c>
      <c r="BX657" s="88"/>
      <c r="CQ657" s="88"/>
    </row>
    <row r="658" spans="1:95" outlineLevel="1" x14ac:dyDescent="0.15">
      <c r="A658" s="76">
        <v>656</v>
      </c>
      <c r="B658" s="65" t="s">
        <v>1380</v>
      </c>
      <c r="C658" s="65" t="s">
        <v>1381</v>
      </c>
      <c r="D658" s="81" t="str">
        <f t="shared" si="20"/>
        <v>https://portal.dnb.de/opac.htm?method=simpleSearch&amp;cqlMode=true&amp;query=idn%3D106695867X</v>
      </c>
      <c r="E658" s="65" t="s">
        <v>1382</v>
      </c>
      <c r="F658" s="76"/>
      <c r="G658" s="78"/>
      <c r="H658" s="76" t="s">
        <v>50</v>
      </c>
      <c r="I658" s="78"/>
      <c r="J658" s="78"/>
      <c r="K658" s="76"/>
      <c r="L658" s="76"/>
      <c r="M658" s="76"/>
      <c r="N658" s="76"/>
      <c r="O658" s="76"/>
      <c r="P658" s="76"/>
      <c r="Q658" s="76"/>
      <c r="R658" s="76"/>
      <c r="X658" s="84" t="s">
        <v>2652</v>
      </c>
      <c r="Y658" s="84" t="s">
        <v>2541</v>
      </c>
      <c r="AA658" s="84" t="s">
        <v>2647</v>
      </c>
      <c r="AG658" s="84" t="s">
        <v>2643</v>
      </c>
      <c r="AU658" s="84">
        <v>110</v>
      </c>
      <c r="AY658" s="86" t="s">
        <v>2651</v>
      </c>
      <c r="AZ658" s="88">
        <f t="shared" si="21"/>
        <v>0</v>
      </c>
      <c r="BD658" s="84" t="s">
        <v>2541</v>
      </c>
      <c r="BH658" s="79" t="s">
        <v>2962</v>
      </c>
      <c r="BX658" s="88"/>
      <c r="CQ658" s="88"/>
    </row>
    <row r="659" spans="1:95" outlineLevel="1" x14ac:dyDescent="0.15">
      <c r="A659" s="76">
        <v>657</v>
      </c>
      <c r="B659" s="65" t="s">
        <v>1383</v>
      </c>
      <c r="C659" s="65">
        <v>1066942919</v>
      </c>
      <c r="D659" s="81" t="str">
        <f t="shared" si="20"/>
        <v>https://portal.dnb.de/opac.htm?method=simpleSearch&amp;cqlMode=true&amp;query=idn%3D1066942919</v>
      </c>
      <c r="E659" s="65" t="s">
        <v>1384</v>
      </c>
      <c r="F659" s="76"/>
      <c r="G659" s="78"/>
      <c r="H659" s="76"/>
      <c r="I659" s="78"/>
      <c r="J659" s="78"/>
      <c r="K659" s="76"/>
      <c r="L659" s="76"/>
      <c r="M659" s="76"/>
      <c r="N659" s="76"/>
      <c r="O659" s="76"/>
      <c r="P659" s="76"/>
      <c r="Q659" s="76"/>
      <c r="R659" s="76"/>
      <c r="AZ659" s="88">
        <f t="shared" si="21"/>
        <v>0</v>
      </c>
      <c r="BX659" s="88"/>
      <c r="CQ659" s="88"/>
    </row>
    <row r="660" spans="1:95" outlineLevel="1" x14ac:dyDescent="0.15">
      <c r="A660" s="76">
        <v>658</v>
      </c>
      <c r="B660" s="65" t="s">
        <v>1385</v>
      </c>
      <c r="C660" s="65">
        <v>1066457662</v>
      </c>
      <c r="D660" s="81" t="str">
        <f t="shared" si="20"/>
        <v>https://portal.dnb.de/opac.htm?method=simpleSearch&amp;cqlMode=true&amp;query=idn%3D1066457662</v>
      </c>
      <c r="E660" s="65" t="s">
        <v>1386</v>
      </c>
      <c r="F660" s="76"/>
      <c r="G660" s="78"/>
      <c r="H660" s="76"/>
      <c r="I660" s="78"/>
      <c r="J660" s="78"/>
      <c r="K660" s="76"/>
      <c r="L660" s="76"/>
      <c r="M660" s="76"/>
      <c r="N660" s="76"/>
      <c r="O660" s="76"/>
      <c r="P660" s="76"/>
      <c r="Q660" s="76"/>
      <c r="R660" s="76"/>
      <c r="AZ660" s="88">
        <f t="shared" si="21"/>
        <v>0</v>
      </c>
      <c r="BX660" s="88"/>
      <c r="CQ660" s="88"/>
    </row>
    <row r="661" spans="1:95" outlineLevel="1" x14ac:dyDescent="0.15">
      <c r="A661" s="76">
        <v>659</v>
      </c>
      <c r="B661" s="65" t="s">
        <v>1387</v>
      </c>
      <c r="C661" s="65">
        <v>1066963096</v>
      </c>
      <c r="D661" s="81" t="str">
        <f t="shared" ref="D661:D726" si="22">HYPERLINK(CONCATENATE("https://portal.dnb.de/opac.htm?method=simpleSearch&amp;cqlMode=true&amp;query=idn%3D",C661))</f>
        <v>https://portal.dnb.de/opac.htm?method=simpleSearch&amp;cqlMode=true&amp;query=idn%3D1066963096</v>
      </c>
      <c r="E661" s="65" t="s">
        <v>1388</v>
      </c>
      <c r="F661" s="76"/>
      <c r="G661" s="78"/>
      <c r="H661" s="76"/>
      <c r="I661" s="78"/>
      <c r="J661" s="78"/>
      <c r="K661" s="76"/>
      <c r="L661" s="76"/>
      <c r="M661" s="76"/>
      <c r="N661" s="76"/>
      <c r="O661" s="76"/>
      <c r="P661" s="76"/>
      <c r="Q661" s="76"/>
      <c r="R661" s="76"/>
      <c r="AZ661" s="88">
        <f t="shared" si="21"/>
        <v>0</v>
      </c>
      <c r="BX661" s="88"/>
      <c r="CQ661" s="88"/>
    </row>
    <row r="662" spans="1:95" outlineLevel="1" x14ac:dyDescent="0.15">
      <c r="A662" s="76">
        <v>660</v>
      </c>
      <c r="B662" s="65" t="s">
        <v>1389</v>
      </c>
      <c r="C662" s="65">
        <v>993908357</v>
      </c>
      <c r="D662" s="81" t="str">
        <f t="shared" si="22"/>
        <v>https://portal.dnb.de/opac.htm?method=simpleSearch&amp;cqlMode=true&amp;query=idn%3D993908357</v>
      </c>
      <c r="E662" s="65" t="s">
        <v>1390</v>
      </c>
      <c r="F662" s="76"/>
      <c r="G662" s="78"/>
      <c r="H662" s="76"/>
      <c r="I662" s="78"/>
      <c r="J662" s="78"/>
      <c r="K662" s="76"/>
      <c r="L662" s="76"/>
      <c r="M662" s="76"/>
      <c r="N662" s="76"/>
      <c r="O662" s="76"/>
      <c r="P662" s="76"/>
      <c r="Q662" s="76"/>
      <c r="R662" s="76"/>
      <c r="AZ662" s="88">
        <f t="shared" si="21"/>
        <v>0</v>
      </c>
      <c r="BX662" s="88"/>
      <c r="CQ662" s="88"/>
    </row>
    <row r="663" spans="1:95" outlineLevel="1" x14ac:dyDescent="0.15">
      <c r="A663" s="76">
        <v>661</v>
      </c>
      <c r="B663" s="65" t="s">
        <v>1391</v>
      </c>
      <c r="C663" s="65">
        <v>1066964076</v>
      </c>
      <c r="D663" s="81" t="str">
        <f t="shared" si="22"/>
        <v>https://portal.dnb.de/opac.htm?method=simpleSearch&amp;cqlMode=true&amp;query=idn%3D1066964076</v>
      </c>
      <c r="E663" s="65" t="s">
        <v>1392</v>
      </c>
      <c r="F663" s="76"/>
      <c r="G663" s="78"/>
      <c r="H663" s="76"/>
      <c r="I663" s="78"/>
      <c r="J663" s="78"/>
      <c r="K663" s="76"/>
      <c r="L663" s="76"/>
      <c r="M663" s="76"/>
      <c r="N663" s="76"/>
      <c r="O663" s="76"/>
      <c r="P663" s="76"/>
      <c r="Q663" s="76"/>
      <c r="R663" s="76"/>
      <c r="AZ663" s="88">
        <f t="shared" si="21"/>
        <v>0</v>
      </c>
      <c r="BX663" s="88"/>
      <c r="CQ663" s="88"/>
    </row>
    <row r="664" spans="1:95" outlineLevel="1" x14ac:dyDescent="0.15">
      <c r="A664" s="76">
        <v>662</v>
      </c>
      <c r="B664" s="65" t="s">
        <v>1393</v>
      </c>
      <c r="C664" s="65">
        <v>1079607048</v>
      </c>
      <c r="D664" s="81" t="str">
        <f t="shared" si="22"/>
        <v>https://portal.dnb.de/opac.htm?method=simpleSearch&amp;cqlMode=true&amp;query=idn%3D1079607048</v>
      </c>
      <c r="E664" s="65" t="s">
        <v>1394</v>
      </c>
      <c r="F664" s="76"/>
      <c r="G664" s="78"/>
      <c r="H664" s="76"/>
      <c r="I664" s="78"/>
      <c r="J664" s="78"/>
      <c r="K664" s="76"/>
      <c r="L664" s="76"/>
      <c r="M664" s="76"/>
      <c r="N664" s="76"/>
      <c r="O664" s="76"/>
      <c r="P664" s="76"/>
      <c r="Q664" s="76"/>
      <c r="R664" s="76"/>
      <c r="AZ664" s="88">
        <f t="shared" si="21"/>
        <v>0</v>
      </c>
      <c r="BX664" s="88"/>
      <c r="CQ664" s="88"/>
    </row>
    <row r="665" spans="1:95" ht="22.5" outlineLevel="1" x14ac:dyDescent="0.15">
      <c r="A665" s="76">
        <v>663</v>
      </c>
      <c r="B665" s="65" t="s">
        <v>1395</v>
      </c>
      <c r="C665" s="65">
        <v>1002646758</v>
      </c>
      <c r="D665" s="81" t="str">
        <f t="shared" si="22"/>
        <v>https://portal.dnb.de/opac.htm?method=simpleSearch&amp;cqlMode=true&amp;query=idn%3D1002646758</v>
      </c>
      <c r="E665" s="65" t="s">
        <v>1396</v>
      </c>
      <c r="F665" s="76" t="s">
        <v>89</v>
      </c>
      <c r="G665" s="78" t="s">
        <v>2510</v>
      </c>
      <c r="H665" s="76" t="s">
        <v>50</v>
      </c>
      <c r="I665" s="78" t="s">
        <v>90</v>
      </c>
      <c r="J665" s="78" t="s">
        <v>81</v>
      </c>
      <c r="K665" s="76"/>
      <c r="L665" s="76" t="s">
        <v>34</v>
      </c>
      <c r="M665" s="76" t="s">
        <v>2538</v>
      </c>
      <c r="N665" s="76">
        <v>1</v>
      </c>
      <c r="O665" s="76"/>
      <c r="P665" s="76"/>
      <c r="Q665" s="76"/>
      <c r="R665" s="76"/>
      <c r="AZ665" s="88">
        <f t="shared" si="21"/>
        <v>0</v>
      </c>
      <c r="BX665" s="88"/>
      <c r="CQ665" s="88"/>
    </row>
    <row r="666" spans="1:95" outlineLevel="1" x14ac:dyDescent="0.15">
      <c r="A666" s="76">
        <v>664</v>
      </c>
      <c r="B666" s="65" t="s">
        <v>1397</v>
      </c>
      <c r="C666" s="65">
        <v>1210937646</v>
      </c>
      <c r="D666" s="81" t="str">
        <f t="shared" si="22"/>
        <v>https://portal.dnb.de/opac.htm?method=simpleSearch&amp;cqlMode=true&amp;query=idn%3D1210937646</v>
      </c>
      <c r="E666" s="65" t="s">
        <v>1398</v>
      </c>
      <c r="F666" s="76"/>
      <c r="G666" s="78"/>
      <c r="H666" s="76"/>
      <c r="I666" s="78"/>
      <c r="J666" s="78"/>
      <c r="K666" s="76"/>
      <c r="L666" s="76"/>
      <c r="M666" s="76"/>
      <c r="N666" s="76"/>
      <c r="O666" s="76"/>
      <c r="P666" s="76"/>
      <c r="Q666" s="76"/>
      <c r="R666" s="76"/>
      <c r="AZ666" s="88">
        <f t="shared" si="21"/>
        <v>0</v>
      </c>
      <c r="BX666" s="88"/>
      <c r="CQ666" s="88"/>
    </row>
    <row r="667" spans="1:95" outlineLevel="1" x14ac:dyDescent="0.15">
      <c r="A667" s="76">
        <v>665</v>
      </c>
      <c r="B667" s="65" t="s">
        <v>1399</v>
      </c>
      <c r="C667" s="65">
        <v>999770985</v>
      </c>
      <c r="D667" s="81" t="str">
        <f t="shared" si="22"/>
        <v>https://portal.dnb.de/opac.htm?method=simpleSearch&amp;cqlMode=true&amp;query=idn%3D999770985</v>
      </c>
      <c r="E667" s="65" t="s">
        <v>1400</v>
      </c>
      <c r="F667" s="76"/>
      <c r="G667" s="78"/>
      <c r="H667" s="76"/>
      <c r="I667" s="78"/>
      <c r="J667" s="78"/>
      <c r="K667" s="76"/>
      <c r="L667" s="76"/>
      <c r="M667" s="76"/>
      <c r="N667" s="76"/>
      <c r="O667" s="76"/>
      <c r="P667" s="76"/>
      <c r="Q667" s="76"/>
      <c r="R667" s="76"/>
      <c r="AZ667" s="88">
        <f t="shared" si="21"/>
        <v>0</v>
      </c>
      <c r="BX667" s="88"/>
      <c r="CQ667" s="88"/>
    </row>
    <row r="668" spans="1:95" outlineLevel="1" x14ac:dyDescent="0.15">
      <c r="A668" s="76">
        <v>666</v>
      </c>
      <c r="B668" s="65" t="s">
        <v>1401</v>
      </c>
      <c r="C668" s="65">
        <v>1207351121</v>
      </c>
      <c r="D668" s="81" t="str">
        <f t="shared" si="22"/>
        <v>https://portal.dnb.de/opac.htm?method=simpleSearch&amp;cqlMode=true&amp;query=idn%3D1207351121</v>
      </c>
      <c r="E668" s="65" t="s">
        <v>1402</v>
      </c>
      <c r="F668" s="76"/>
      <c r="G668" s="78"/>
      <c r="H668" s="76"/>
      <c r="I668" s="78"/>
      <c r="J668" s="78"/>
      <c r="K668" s="76"/>
      <c r="L668" s="76"/>
      <c r="M668" s="76"/>
      <c r="N668" s="76"/>
      <c r="O668" s="76"/>
      <c r="P668" s="76"/>
      <c r="Q668" s="76"/>
      <c r="R668" s="76"/>
      <c r="AZ668" s="88">
        <f t="shared" si="21"/>
        <v>0</v>
      </c>
      <c r="BX668" s="88"/>
      <c r="CQ668" s="88"/>
    </row>
    <row r="669" spans="1:95" outlineLevel="1" x14ac:dyDescent="0.15">
      <c r="A669" s="76">
        <v>667</v>
      </c>
      <c r="B669" s="65" t="s">
        <v>1403</v>
      </c>
      <c r="C669" s="65">
        <v>1211496015</v>
      </c>
      <c r="D669" s="81" t="str">
        <f t="shared" si="22"/>
        <v>https://portal.dnb.de/opac.htm?method=simpleSearch&amp;cqlMode=true&amp;query=idn%3D1211496015</v>
      </c>
      <c r="E669" s="65" t="s">
        <v>1404</v>
      </c>
      <c r="F669" s="76"/>
      <c r="G669" s="78"/>
      <c r="H669" s="76"/>
      <c r="I669" s="78"/>
      <c r="J669" s="78"/>
      <c r="K669" s="76"/>
      <c r="L669" s="76"/>
      <c r="M669" s="76"/>
      <c r="N669" s="76"/>
      <c r="O669" s="76"/>
      <c r="P669" s="76"/>
      <c r="Q669" s="76"/>
      <c r="R669" s="76"/>
      <c r="AZ669" s="88">
        <f t="shared" si="21"/>
        <v>0</v>
      </c>
      <c r="BX669" s="88"/>
      <c r="CQ669" s="88"/>
    </row>
    <row r="670" spans="1:95" outlineLevel="1" x14ac:dyDescent="0.15">
      <c r="A670" s="76">
        <v>668</v>
      </c>
      <c r="B670" s="65" t="s">
        <v>1405</v>
      </c>
      <c r="C670" s="65">
        <v>1066958645</v>
      </c>
      <c r="D670" s="81" t="str">
        <f t="shared" si="22"/>
        <v>https://portal.dnb.de/opac.htm?method=simpleSearch&amp;cqlMode=true&amp;query=idn%3D1066958645</v>
      </c>
      <c r="E670" s="65" t="s">
        <v>1406</v>
      </c>
      <c r="F670" s="76" t="s">
        <v>89</v>
      </c>
      <c r="G670" s="78" t="s">
        <v>17</v>
      </c>
      <c r="H670" s="76" t="s">
        <v>50</v>
      </c>
      <c r="I670" s="78" t="s">
        <v>55</v>
      </c>
      <c r="J670" s="78"/>
      <c r="K670" s="76"/>
      <c r="L670" s="76"/>
      <c r="M670" s="76"/>
      <c r="N670" s="76">
        <v>0</v>
      </c>
      <c r="O670" s="76"/>
      <c r="P670" s="76"/>
      <c r="Q670" s="76"/>
      <c r="R670" s="76"/>
      <c r="AZ670" s="88">
        <f t="shared" si="21"/>
        <v>0</v>
      </c>
      <c r="BX670" s="88"/>
      <c r="CQ670" s="88"/>
    </row>
    <row r="671" spans="1:95" outlineLevel="1" x14ac:dyDescent="0.15">
      <c r="A671" s="76">
        <v>669</v>
      </c>
      <c r="B671" s="65" t="s">
        <v>1407</v>
      </c>
      <c r="C671" s="65">
        <v>994152264</v>
      </c>
      <c r="D671" s="81" t="str">
        <f t="shared" si="22"/>
        <v>https://portal.dnb.de/opac.htm?method=simpleSearch&amp;cqlMode=true&amp;query=idn%3D994152264</v>
      </c>
      <c r="E671" s="65" t="s">
        <v>1408</v>
      </c>
      <c r="F671" s="76"/>
      <c r="G671" s="78"/>
      <c r="H671" s="76"/>
      <c r="I671" s="78"/>
      <c r="J671" s="78"/>
      <c r="K671" s="76"/>
      <c r="L671" s="76"/>
      <c r="M671" s="76"/>
      <c r="N671" s="76"/>
      <c r="O671" s="76"/>
      <c r="P671" s="76"/>
      <c r="Q671" s="76"/>
      <c r="R671" s="76"/>
      <c r="AZ671" s="88">
        <f t="shared" si="21"/>
        <v>0</v>
      </c>
      <c r="BX671" s="88"/>
      <c r="CQ671" s="88"/>
    </row>
    <row r="672" spans="1:95" outlineLevel="1" x14ac:dyDescent="0.15">
      <c r="A672" s="76">
        <v>670</v>
      </c>
      <c r="B672" s="65" t="s">
        <v>1409</v>
      </c>
      <c r="C672" s="65">
        <v>1066834997</v>
      </c>
      <c r="D672" s="81" t="str">
        <f t="shared" si="22"/>
        <v>https://portal.dnb.de/opac.htm?method=simpleSearch&amp;cqlMode=true&amp;query=idn%3D1066834997</v>
      </c>
      <c r="E672" s="65" t="s">
        <v>1410</v>
      </c>
      <c r="F672" s="76"/>
      <c r="G672" s="78"/>
      <c r="H672" s="76" t="s">
        <v>51</v>
      </c>
      <c r="I672" s="78"/>
      <c r="J672" s="78"/>
      <c r="K672" s="76"/>
      <c r="L672" s="76"/>
      <c r="M672" s="76"/>
      <c r="N672" s="76"/>
      <c r="O672" s="76"/>
      <c r="P672" s="76"/>
      <c r="Q672" s="76"/>
      <c r="R672" s="76"/>
      <c r="X672" s="84" t="s">
        <v>2652</v>
      </c>
      <c r="Y672" s="84" t="s">
        <v>2541</v>
      </c>
      <c r="AA672" s="84" t="s">
        <v>2653</v>
      </c>
      <c r="AG672" s="84" t="s">
        <v>2643</v>
      </c>
      <c r="AU672" s="84">
        <v>110</v>
      </c>
      <c r="AY672" s="86" t="s">
        <v>2644</v>
      </c>
      <c r="AZ672" s="88">
        <f t="shared" si="21"/>
        <v>0.5</v>
      </c>
      <c r="BD672" s="84" t="s">
        <v>2541</v>
      </c>
      <c r="BK672" s="63" t="s">
        <v>2541</v>
      </c>
      <c r="BL672" s="84" t="s">
        <v>2541</v>
      </c>
      <c r="BM672" s="84" t="s">
        <v>2541</v>
      </c>
      <c r="BX672" s="88">
        <v>0.5</v>
      </c>
      <c r="CQ672" s="88"/>
    </row>
    <row r="673" spans="1:95" ht="22.5" outlineLevel="1" x14ac:dyDescent="0.15">
      <c r="A673" s="76">
        <v>671</v>
      </c>
      <c r="B673" s="65" t="s">
        <v>1411</v>
      </c>
      <c r="C673" s="65">
        <v>1066961344</v>
      </c>
      <c r="D673" s="81" t="str">
        <f t="shared" si="22"/>
        <v>https://portal.dnb.de/opac.htm?method=simpleSearch&amp;cqlMode=true&amp;query=idn%3D1066961344</v>
      </c>
      <c r="E673" s="65" t="s">
        <v>1412</v>
      </c>
      <c r="F673" s="76"/>
      <c r="G673" s="78" t="s">
        <v>45</v>
      </c>
      <c r="H673" s="76" t="s">
        <v>51</v>
      </c>
      <c r="I673" s="78" t="s">
        <v>55</v>
      </c>
      <c r="J673" s="78" t="s">
        <v>92</v>
      </c>
      <c r="K673" s="76"/>
      <c r="L673" s="76" t="s">
        <v>35</v>
      </c>
      <c r="M673" s="76" t="s">
        <v>37</v>
      </c>
      <c r="N673" s="76">
        <v>0</v>
      </c>
      <c r="O673" s="76"/>
      <c r="P673" s="76"/>
      <c r="Q673" s="76"/>
      <c r="R673" s="76"/>
      <c r="AZ673" s="88">
        <f t="shared" si="21"/>
        <v>0</v>
      </c>
      <c r="BX673" s="88"/>
      <c r="CQ673" s="88"/>
    </row>
    <row r="674" spans="1:95" outlineLevel="1" x14ac:dyDescent="0.15">
      <c r="A674" s="76">
        <v>672</v>
      </c>
      <c r="B674" s="65" t="s">
        <v>1413</v>
      </c>
      <c r="C674" s="65">
        <v>1066961794</v>
      </c>
      <c r="D674" s="81" t="str">
        <f t="shared" si="22"/>
        <v>https://portal.dnb.de/opac.htm?method=simpleSearch&amp;cqlMode=true&amp;query=idn%3D1066961794</v>
      </c>
      <c r="E674" s="65" t="s">
        <v>1414</v>
      </c>
      <c r="F674" s="76"/>
      <c r="G674" s="78"/>
      <c r="H674" s="76"/>
      <c r="I674" s="78"/>
      <c r="J674" s="78"/>
      <c r="K674" s="76"/>
      <c r="L674" s="76"/>
      <c r="M674" s="76"/>
      <c r="N674" s="76"/>
      <c r="O674" s="76"/>
      <c r="P674" s="76"/>
      <c r="Q674" s="76"/>
      <c r="R674" s="76"/>
      <c r="AZ674" s="88">
        <f t="shared" si="21"/>
        <v>0</v>
      </c>
      <c r="BX674" s="88"/>
      <c r="CQ674" s="88"/>
    </row>
    <row r="675" spans="1:95" outlineLevel="1" x14ac:dyDescent="0.15">
      <c r="A675" s="76">
        <v>673</v>
      </c>
      <c r="B675" s="65" t="s">
        <v>1415</v>
      </c>
      <c r="C675" s="65">
        <v>1208775006</v>
      </c>
      <c r="D675" s="81" t="str">
        <f t="shared" si="22"/>
        <v>https://portal.dnb.de/opac.htm?method=simpleSearch&amp;cqlMode=true&amp;query=idn%3D1208775006</v>
      </c>
      <c r="E675" s="65" t="s">
        <v>1416</v>
      </c>
      <c r="F675" s="76"/>
      <c r="G675" s="78"/>
      <c r="H675" s="76"/>
      <c r="I675" s="78"/>
      <c r="J675" s="78"/>
      <c r="K675" s="76"/>
      <c r="L675" s="76"/>
      <c r="M675" s="76"/>
      <c r="N675" s="76"/>
      <c r="O675" s="76"/>
      <c r="P675" s="76"/>
      <c r="Q675" s="76"/>
      <c r="R675" s="76"/>
      <c r="AZ675" s="88">
        <f t="shared" si="21"/>
        <v>0</v>
      </c>
      <c r="BX675" s="88"/>
      <c r="CQ675" s="88"/>
    </row>
    <row r="676" spans="1:95" outlineLevel="1" x14ac:dyDescent="0.15">
      <c r="A676" s="76">
        <v>674</v>
      </c>
      <c r="B676" s="65" t="s">
        <v>1417</v>
      </c>
      <c r="C676" s="65">
        <v>1210519062</v>
      </c>
      <c r="D676" s="81" t="str">
        <f t="shared" si="22"/>
        <v>https://portal.dnb.de/opac.htm?method=simpleSearch&amp;cqlMode=true&amp;query=idn%3D1210519062</v>
      </c>
      <c r="E676" s="65" t="s">
        <v>1418</v>
      </c>
      <c r="F676" s="76"/>
      <c r="G676" s="78"/>
      <c r="H676" s="76"/>
      <c r="I676" s="78"/>
      <c r="J676" s="78"/>
      <c r="K676" s="76"/>
      <c r="L676" s="76"/>
      <c r="M676" s="76"/>
      <c r="N676" s="76"/>
      <c r="O676" s="76"/>
      <c r="P676" s="76"/>
      <c r="Q676" s="76"/>
      <c r="R676" s="76"/>
      <c r="AZ676" s="88">
        <f t="shared" si="21"/>
        <v>0</v>
      </c>
      <c r="BX676" s="88"/>
      <c r="CQ676" s="88"/>
    </row>
    <row r="677" spans="1:95" outlineLevel="1" x14ac:dyDescent="0.15">
      <c r="A677" s="76">
        <v>675</v>
      </c>
      <c r="B677" s="65" t="s">
        <v>1419</v>
      </c>
      <c r="C677" s="65">
        <v>1066936676</v>
      </c>
      <c r="D677" s="81" t="str">
        <f t="shared" si="22"/>
        <v>https://portal.dnb.de/opac.htm?method=simpleSearch&amp;cqlMode=true&amp;query=idn%3D1066936676</v>
      </c>
      <c r="E677" s="65" t="s">
        <v>1420</v>
      </c>
      <c r="F677" s="76"/>
      <c r="G677" s="78"/>
      <c r="H677" s="76"/>
      <c r="I677" s="78"/>
      <c r="J677" s="78"/>
      <c r="K677" s="76"/>
      <c r="L677" s="76"/>
      <c r="M677" s="76"/>
      <c r="N677" s="76"/>
      <c r="O677" s="76"/>
      <c r="P677" s="76"/>
      <c r="Q677" s="76"/>
      <c r="R677" s="76"/>
      <c r="AZ677" s="88">
        <f t="shared" si="21"/>
        <v>0</v>
      </c>
      <c r="BX677" s="88"/>
      <c r="CQ677" s="88"/>
    </row>
    <row r="678" spans="1:95" outlineLevel="1" x14ac:dyDescent="0.15">
      <c r="A678" s="76">
        <v>676</v>
      </c>
      <c r="B678" s="65" t="s">
        <v>1421</v>
      </c>
      <c r="C678" s="65">
        <v>1066957347</v>
      </c>
      <c r="D678" s="81" t="str">
        <f t="shared" si="22"/>
        <v>https://portal.dnb.de/opac.htm?method=simpleSearch&amp;cqlMode=true&amp;query=idn%3D1066957347</v>
      </c>
      <c r="E678" s="65" t="s">
        <v>1422</v>
      </c>
      <c r="F678" s="76"/>
      <c r="G678" s="78"/>
      <c r="H678" s="76"/>
      <c r="I678" s="78"/>
      <c r="J678" s="78"/>
      <c r="K678" s="76"/>
      <c r="L678" s="76"/>
      <c r="M678" s="76"/>
      <c r="N678" s="76"/>
      <c r="O678" s="76"/>
      <c r="P678" s="76"/>
      <c r="Q678" s="76"/>
      <c r="R678" s="76"/>
      <c r="AZ678" s="88">
        <f t="shared" si="21"/>
        <v>0</v>
      </c>
      <c r="BX678" s="88"/>
      <c r="CQ678" s="88"/>
    </row>
    <row r="679" spans="1:95" outlineLevel="1" x14ac:dyDescent="0.15">
      <c r="A679" s="76">
        <v>677</v>
      </c>
      <c r="B679" s="65" t="s">
        <v>1423</v>
      </c>
      <c r="C679" s="65">
        <v>1066963916</v>
      </c>
      <c r="D679" s="81" t="str">
        <f t="shared" si="22"/>
        <v>https://portal.dnb.de/opac.htm?method=simpleSearch&amp;cqlMode=true&amp;query=idn%3D1066963916</v>
      </c>
      <c r="E679" s="65" t="s">
        <v>1424</v>
      </c>
      <c r="F679" s="76"/>
      <c r="G679" s="78"/>
      <c r="H679" s="76" t="s">
        <v>50</v>
      </c>
      <c r="I679" s="78"/>
      <c r="J679" s="78"/>
      <c r="K679" s="76"/>
      <c r="L679" s="76"/>
      <c r="M679" s="76"/>
      <c r="N679" s="76"/>
      <c r="O679" s="76"/>
      <c r="P679" s="76"/>
      <c r="Q679" s="76"/>
      <c r="R679" s="76"/>
      <c r="X679" s="84" t="s">
        <v>2645</v>
      </c>
      <c r="AA679" s="84" t="s">
        <v>2647</v>
      </c>
      <c r="AG679" s="84" t="s">
        <v>2643</v>
      </c>
      <c r="AU679" s="84">
        <v>110</v>
      </c>
      <c r="AY679" s="86" t="s">
        <v>2651</v>
      </c>
      <c r="AZ679" s="88">
        <f t="shared" si="21"/>
        <v>0</v>
      </c>
      <c r="BD679" s="84" t="s">
        <v>2541</v>
      </c>
      <c r="BH679" s="79" t="s">
        <v>2962</v>
      </c>
      <c r="BI679" s="63" t="s">
        <v>2780</v>
      </c>
      <c r="BX679" s="88"/>
      <c r="CQ679" s="88"/>
    </row>
    <row r="680" spans="1:95" outlineLevel="1" x14ac:dyDescent="0.15">
      <c r="A680" s="76">
        <v>678</v>
      </c>
      <c r="B680" s="65" t="s">
        <v>1425</v>
      </c>
      <c r="C680" s="65">
        <v>1066940363</v>
      </c>
      <c r="D680" s="81" t="str">
        <f t="shared" si="22"/>
        <v>https://portal.dnb.de/opac.htm?method=simpleSearch&amp;cqlMode=true&amp;query=idn%3D1066940363</v>
      </c>
      <c r="E680" s="65" t="s">
        <v>1426</v>
      </c>
      <c r="F680" s="76" t="s">
        <v>89</v>
      </c>
      <c r="G680" s="78" t="s">
        <v>45</v>
      </c>
      <c r="H680" s="76" t="s">
        <v>51</v>
      </c>
      <c r="I680" s="78" t="s">
        <v>55</v>
      </c>
      <c r="J680" s="78" t="s">
        <v>81</v>
      </c>
      <c r="K680" s="76"/>
      <c r="L680" s="76" t="s">
        <v>35</v>
      </c>
      <c r="M680" s="76" t="s">
        <v>37</v>
      </c>
      <c r="N680" s="76">
        <v>0</v>
      </c>
      <c r="O680" s="76"/>
      <c r="P680" s="76"/>
      <c r="Q680" s="76"/>
      <c r="R680" s="76"/>
      <c r="AZ680" s="88">
        <f t="shared" si="21"/>
        <v>0</v>
      </c>
      <c r="BX680" s="88"/>
      <c r="CQ680" s="88"/>
    </row>
    <row r="681" spans="1:95" outlineLevel="1" x14ac:dyDescent="0.15">
      <c r="A681" s="76">
        <v>679</v>
      </c>
      <c r="B681" s="65" t="s">
        <v>1427</v>
      </c>
      <c r="C681" s="65">
        <v>1066790078</v>
      </c>
      <c r="D681" s="81" t="str">
        <f t="shared" si="22"/>
        <v>https://portal.dnb.de/opac.htm?method=simpleSearch&amp;cqlMode=true&amp;query=idn%3D1066790078</v>
      </c>
      <c r="E681" s="65" t="s">
        <v>1428</v>
      </c>
      <c r="F681" s="76"/>
      <c r="G681" s="78"/>
      <c r="H681" s="76" t="s">
        <v>52</v>
      </c>
      <c r="I681" s="78"/>
      <c r="J681" s="78"/>
      <c r="K681" s="76"/>
      <c r="L681" s="76"/>
      <c r="M681" s="76"/>
      <c r="N681" s="76"/>
      <c r="O681" s="76"/>
      <c r="P681" s="76"/>
      <c r="Q681" s="76"/>
      <c r="R681" s="76"/>
      <c r="X681" s="84" t="s">
        <v>2641</v>
      </c>
      <c r="Z681" s="84" t="s">
        <v>2541</v>
      </c>
      <c r="AA681" s="84" t="s">
        <v>2642</v>
      </c>
      <c r="AG681" s="84" t="s">
        <v>2643</v>
      </c>
      <c r="AU681" s="84">
        <v>110</v>
      </c>
      <c r="AY681" s="86" t="s">
        <v>2651</v>
      </c>
      <c r="AZ681" s="88">
        <f t="shared" si="21"/>
        <v>0</v>
      </c>
      <c r="BB681" s="84" t="s">
        <v>2777</v>
      </c>
      <c r="BX681" s="88"/>
      <c r="CQ681" s="88"/>
    </row>
    <row r="682" spans="1:95" outlineLevel="1" x14ac:dyDescent="0.15">
      <c r="A682" s="76">
        <v>680</v>
      </c>
      <c r="B682" s="65" t="s">
        <v>1429</v>
      </c>
      <c r="C682" s="65">
        <v>1066962553</v>
      </c>
      <c r="D682" s="81" t="str">
        <f t="shared" si="22"/>
        <v>https://portal.dnb.de/opac.htm?method=simpleSearch&amp;cqlMode=true&amp;query=idn%3D1066962553</v>
      </c>
      <c r="E682" s="65" t="s">
        <v>1430</v>
      </c>
      <c r="F682" s="76"/>
      <c r="G682" s="78"/>
      <c r="H682" s="76"/>
      <c r="I682" s="78"/>
      <c r="J682" s="78"/>
      <c r="K682" s="76"/>
      <c r="L682" s="76"/>
      <c r="M682" s="76"/>
      <c r="N682" s="76"/>
      <c r="O682" s="76"/>
      <c r="P682" s="76"/>
      <c r="Q682" s="76"/>
      <c r="R682" s="76"/>
      <c r="AZ682" s="88">
        <f t="shared" si="21"/>
        <v>0</v>
      </c>
      <c r="BX682" s="88"/>
      <c r="CQ682" s="88"/>
    </row>
    <row r="683" spans="1:95" outlineLevel="1" x14ac:dyDescent="0.15">
      <c r="A683" s="76">
        <v>681</v>
      </c>
      <c r="B683" s="65" t="s">
        <v>1431</v>
      </c>
      <c r="C683" s="65">
        <v>1066880700</v>
      </c>
      <c r="D683" s="81" t="str">
        <f t="shared" si="22"/>
        <v>https://portal.dnb.de/opac.htm?method=simpleSearch&amp;cqlMode=true&amp;query=idn%3D1066880700</v>
      </c>
      <c r="E683" s="65" t="s">
        <v>1432</v>
      </c>
      <c r="F683" s="76"/>
      <c r="G683" s="78"/>
      <c r="H683" s="76"/>
      <c r="I683" s="78"/>
      <c r="J683" s="78"/>
      <c r="K683" s="76"/>
      <c r="L683" s="76"/>
      <c r="M683" s="76"/>
      <c r="N683" s="76"/>
      <c r="O683" s="76"/>
      <c r="P683" s="76"/>
      <c r="Q683" s="76"/>
      <c r="R683" s="76"/>
      <c r="AZ683" s="88">
        <f t="shared" si="21"/>
        <v>0</v>
      </c>
      <c r="BX683" s="88"/>
      <c r="CQ683" s="88"/>
    </row>
    <row r="684" spans="1:95" outlineLevel="1" x14ac:dyDescent="0.15">
      <c r="A684" s="76">
        <v>682</v>
      </c>
      <c r="B684" s="65" t="s">
        <v>1433</v>
      </c>
      <c r="C684" s="65">
        <v>1066963169</v>
      </c>
      <c r="D684" s="81" t="str">
        <f t="shared" si="22"/>
        <v>https://portal.dnb.de/opac.htm?method=simpleSearch&amp;cqlMode=true&amp;query=idn%3D1066963169</v>
      </c>
      <c r="E684" s="65" t="s">
        <v>1434</v>
      </c>
      <c r="F684" s="76" t="s">
        <v>89</v>
      </c>
      <c r="G684" s="78" t="s">
        <v>3</v>
      </c>
      <c r="H684" s="76" t="s">
        <v>50</v>
      </c>
      <c r="I684" s="78" t="s">
        <v>90</v>
      </c>
      <c r="J684" s="78" t="s">
        <v>81</v>
      </c>
      <c r="K684" s="76"/>
      <c r="L684" s="76"/>
      <c r="M684" s="76" t="s">
        <v>101</v>
      </c>
      <c r="N684" s="76">
        <v>1</v>
      </c>
      <c r="O684" s="76"/>
      <c r="P684" s="76"/>
      <c r="Q684" s="76"/>
      <c r="R684" s="76"/>
      <c r="X684" s="84" t="s">
        <v>2652</v>
      </c>
      <c r="AA684" s="84" t="s">
        <v>2653</v>
      </c>
      <c r="AG684" s="84" t="s">
        <v>2643</v>
      </c>
      <c r="AU684" s="84">
        <v>80</v>
      </c>
      <c r="AY684" s="86" t="s">
        <v>2644</v>
      </c>
      <c r="AZ684" s="88">
        <f t="shared" si="21"/>
        <v>1</v>
      </c>
      <c r="BK684" s="63" t="s">
        <v>2541</v>
      </c>
      <c r="BM684" s="84" t="s">
        <v>2541</v>
      </c>
      <c r="BO684" s="84" t="s">
        <v>2677</v>
      </c>
      <c r="BX684" s="88">
        <v>1</v>
      </c>
      <c r="BY684" s="79" t="s">
        <v>3016</v>
      </c>
      <c r="CQ684" s="88"/>
    </row>
    <row r="685" spans="1:95" outlineLevel="1" x14ac:dyDescent="0.15">
      <c r="A685" s="76">
        <v>683</v>
      </c>
      <c r="B685" s="65" t="s">
        <v>1435</v>
      </c>
      <c r="C685" s="65">
        <v>1066956189</v>
      </c>
      <c r="D685" s="81" t="str">
        <f t="shared" si="22"/>
        <v>https://portal.dnb.de/opac.htm?method=simpleSearch&amp;cqlMode=true&amp;query=idn%3D1066956189</v>
      </c>
      <c r="E685" s="65" t="s">
        <v>1436</v>
      </c>
      <c r="F685" s="76"/>
      <c r="G685" s="78"/>
      <c r="H685" s="76" t="s">
        <v>50</v>
      </c>
      <c r="I685" s="78"/>
      <c r="J685" s="78"/>
      <c r="K685" s="76"/>
      <c r="L685" s="76"/>
      <c r="M685" s="76"/>
      <c r="N685" s="76"/>
      <c r="O685" s="76"/>
      <c r="P685" s="76"/>
      <c r="Q685" s="76"/>
      <c r="R685" s="76"/>
      <c r="X685" s="84" t="s">
        <v>2645</v>
      </c>
      <c r="AA685" s="84" t="s">
        <v>2647</v>
      </c>
      <c r="AG685" s="84" t="s">
        <v>2643</v>
      </c>
      <c r="AH685" s="84" t="s">
        <v>2541</v>
      </c>
      <c r="AU685" s="84">
        <v>110</v>
      </c>
      <c r="AY685" s="86" t="s">
        <v>2644</v>
      </c>
      <c r="AZ685" s="88">
        <f t="shared" si="21"/>
        <v>0.5</v>
      </c>
      <c r="BD685" s="84" t="s">
        <v>2541</v>
      </c>
      <c r="BK685" s="63" t="s">
        <v>2541</v>
      </c>
      <c r="BM685" s="84" t="s">
        <v>2541</v>
      </c>
      <c r="BX685" s="88">
        <v>0.5</v>
      </c>
      <c r="CQ685" s="88"/>
    </row>
    <row r="686" spans="1:95" ht="33.75" outlineLevel="1" x14ac:dyDescent="0.15">
      <c r="A686" s="76">
        <v>684</v>
      </c>
      <c r="B686" s="65" t="s">
        <v>1437</v>
      </c>
      <c r="C686" s="65">
        <v>1066956227</v>
      </c>
      <c r="D686" s="81" t="str">
        <f t="shared" si="22"/>
        <v>https://portal.dnb.de/opac.htm?method=simpleSearch&amp;cqlMode=true&amp;query=idn%3D1066956227</v>
      </c>
      <c r="E686" s="65" t="s">
        <v>1438</v>
      </c>
      <c r="F686" s="76"/>
      <c r="G686" s="78"/>
      <c r="H686" s="76" t="s">
        <v>50</v>
      </c>
      <c r="I686" s="78"/>
      <c r="J686" s="78"/>
      <c r="K686" s="76"/>
      <c r="L686" s="76"/>
      <c r="M686" s="76"/>
      <c r="N686" s="76"/>
      <c r="O686" s="76"/>
      <c r="P686" s="76"/>
      <c r="Q686" s="76"/>
      <c r="R686" s="76"/>
      <c r="X686" s="84" t="s">
        <v>2652</v>
      </c>
      <c r="Y686" s="84" t="s">
        <v>2541</v>
      </c>
      <c r="AA686" s="84" t="s">
        <v>2647</v>
      </c>
      <c r="AC686" s="84" t="s">
        <v>2541</v>
      </c>
      <c r="AG686" s="84" t="s">
        <v>2643</v>
      </c>
      <c r="AH686" s="84" t="s">
        <v>2541</v>
      </c>
      <c r="AU686" s="84">
        <v>80</v>
      </c>
      <c r="AY686" s="86" t="s">
        <v>2651</v>
      </c>
      <c r="AZ686" s="88">
        <f t="shared" si="21"/>
        <v>0</v>
      </c>
      <c r="BH686" s="79" t="s">
        <v>2962</v>
      </c>
      <c r="BJ686" s="79" t="s">
        <v>2836</v>
      </c>
      <c r="BX686" s="88"/>
      <c r="CQ686" s="88"/>
    </row>
    <row r="687" spans="1:95" outlineLevel="1" x14ac:dyDescent="0.15">
      <c r="A687" s="76">
        <v>685</v>
      </c>
      <c r="B687" s="65" t="s">
        <v>1439</v>
      </c>
      <c r="C687" s="65">
        <v>1066963266</v>
      </c>
      <c r="D687" s="81" t="str">
        <f t="shared" si="22"/>
        <v>https://portal.dnb.de/opac.htm?method=simpleSearch&amp;cqlMode=true&amp;query=idn%3D1066963266</v>
      </c>
      <c r="E687" s="65" t="s">
        <v>1440</v>
      </c>
      <c r="F687" s="76" t="s">
        <v>89</v>
      </c>
      <c r="G687" s="78" t="s">
        <v>45</v>
      </c>
      <c r="H687" s="76" t="s">
        <v>50</v>
      </c>
      <c r="I687" s="78" t="s">
        <v>55</v>
      </c>
      <c r="J687" s="78" t="s">
        <v>81</v>
      </c>
      <c r="K687" s="76"/>
      <c r="L687" s="76" t="s">
        <v>35</v>
      </c>
      <c r="M687" s="76" t="s">
        <v>37</v>
      </c>
      <c r="N687" s="76">
        <v>0</v>
      </c>
      <c r="O687" s="76"/>
      <c r="P687" s="76"/>
      <c r="Q687" s="76"/>
      <c r="R687" s="76"/>
      <c r="X687" s="84" t="s">
        <v>2646</v>
      </c>
      <c r="Z687" s="84" t="s">
        <v>2541</v>
      </c>
      <c r="AA687" s="84" t="s">
        <v>2647</v>
      </c>
      <c r="AG687" s="84" t="s">
        <v>2643</v>
      </c>
      <c r="AQ687" s="84" t="s">
        <v>2680</v>
      </c>
      <c r="AR687" s="84" t="s">
        <v>2541</v>
      </c>
      <c r="AU687" s="84">
        <v>110</v>
      </c>
      <c r="AY687" s="86" t="s">
        <v>2651</v>
      </c>
      <c r="AZ687" s="88">
        <f t="shared" si="21"/>
        <v>0</v>
      </c>
      <c r="BB687" s="84" t="s">
        <v>2777</v>
      </c>
      <c r="BX687" s="88"/>
      <c r="CQ687" s="88"/>
    </row>
    <row r="688" spans="1:95" outlineLevel="1" x14ac:dyDescent="0.15">
      <c r="A688" s="76">
        <v>686</v>
      </c>
      <c r="B688" s="65" t="s">
        <v>1441</v>
      </c>
      <c r="C688" s="65">
        <v>993936261</v>
      </c>
      <c r="D688" s="81" t="str">
        <f t="shared" si="22"/>
        <v>https://portal.dnb.de/opac.htm?method=simpleSearch&amp;cqlMode=true&amp;query=idn%3D993936261</v>
      </c>
      <c r="E688" s="65" t="s">
        <v>1442</v>
      </c>
      <c r="F688" s="76"/>
      <c r="G688" s="78"/>
      <c r="H688" s="76"/>
      <c r="I688" s="78"/>
      <c r="J688" s="78"/>
      <c r="K688" s="76"/>
      <c r="L688" s="76"/>
      <c r="M688" s="76"/>
      <c r="N688" s="76"/>
      <c r="O688" s="76"/>
      <c r="P688" s="76"/>
      <c r="Q688" s="76"/>
      <c r="R688" s="76"/>
      <c r="AZ688" s="88">
        <f t="shared" si="21"/>
        <v>0</v>
      </c>
      <c r="BX688" s="88"/>
      <c r="CQ688" s="88"/>
    </row>
    <row r="689" spans="1:95" outlineLevel="1" x14ac:dyDescent="0.15">
      <c r="A689" s="76">
        <v>687</v>
      </c>
      <c r="B689" s="65" t="s">
        <v>1443</v>
      </c>
      <c r="C689" s="65">
        <v>1066960143</v>
      </c>
      <c r="D689" s="81" t="str">
        <f t="shared" si="22"/>
        <v>https://portal.dnb.de/opac.htm?method=simpleSearch&amp;cqlMode=true&amp;query=idn%3D1066960143</v>
      </c>
      <c r="E689" s="65" t="s">
        <v>1444</v>
      </c>
      <c r="F689" s="76"/>
      <c r="G689" s="78"/>
      <c r="H689" s="76" t="s">
        <v>52</v>
      </c>
      <c r="I689" s="78"/>
      <c r="J689" s="78"/>
      <c r="K689" s="76"/>
      <c r="L689" s="76"/>
      <c r="M689" s="76"/>
      <c r="N689" s="76"/>
      <c r="O689" s="76"/>
      <c r="P689" s="76"/>
      <c r="Q689" s="76"/>
      <c r="R689" s="76"/>
      <c r="X689" s="84" t="s">
        <v>2641</v>
      </c>
      <c r="Y689" s="84" t="s">
        <v>2541</v>
      </c>
      <c r="Z689" s="84" t="s">
        <v>2541</v>
      </c>
      <c r="AA689" s="84" t="s">
        <v>2647</v>
      </c>
      <c r="AG689" s="84" t="s">
        <v>2932</v>
      </c>
      <c r="AU689" s="84">
        <v>110</v>
      </c>
      <c r="AY689" s="86" t="s">
        <v>2651</v>
      </c>
      <c r="AZ689" s="88">
        <f t="shared" si="21"/>
        <v>0</v>
      </c>
      <c r="BI689" s="63" t="s">
        <v>2780</v>
      </c>
      <c r="BX689" s="88"/>
      <c r="CQ689" s="88"/>
    </row>
    <row r="690" spans="1:95" ht="33.75" outlineLevel="1" x14ac:dyDescent="0.15">
      <c r="A690" s="76">
        <v>688</v>
      </c>
      <c r="B690" s="65" t="s">
        <v>1445</v>
      </c>
      <c r="C690" s="65">
        <v>1066963908</v>
      </c>
      <c r="D690" s="81" t="str">
        <f t="shared" si="22"/>
        <v>https://portal.dnb.de/opac.htm?method=simpleSearch&amp;cqlMode=true&amp;query=idn%3D1066963908</v>
      </c>
      <c r="E690" s="65" t="s">
        <v>1446</v>
      </c>
      <c r="F690" s="76"/>
      <c r="G690" s="78"/>
      <c r="H690" s="76" t="s">
        <v>51</v>
      </c>
      <c r="I690" s="78"/>
      <c r="J690" s="78"/>
      <c r="K690" s="76"/>
      <c r="L690" s="76"/>
      <c r="M690" s="76"/>
      <c r="N690" s="76"/>
      <c r="O690" s="76"/>
      <c r="P690" s="76"/>
      <c r="Q690" s="76"/>
      <c r="R690" s="76"/>
      <c r="X690" s="84" t="s">
        <v>2641</v>
      </c>
      <c r="Y690" s="84" t="s">
        <v>2541</v>
      </c>
      <c r="Z690" s="84" t="s">
        <v>2541</v>
      </c>
      <c r="AA690" s="84" t="s">
        <v>2647</v>
      </c>
      <c r="AG690" s="84" t="s">
        <v>2932</v>
      </c>
      <c r="AQ690" s="84" t="s">
        <v>2648</v>
      </c>
      <c r="AR690" s="84" t="s">
        <v>2541</v>
      </c>
      <c r="AU690" s="84">
        <v>110</v>
      </c>
      <c r="AV690" s="84" t="s">
        <v>2541</v>
      </c>
      <c r="AY690" s="86" t="s">
        <v>2644</v>
      </c>
      <c r="AZ690" s="88">
        <f t="shared" si="21"/>
        <v>1</v>
      </c>
      <c r="BH690" s="79" t="s">
        <v>2933</v>
      </c>
      <c r="BJ690" s="79" t="s">
        <v>2934</v>
      </c>
      <c r="BL690" s="84" t="s">
        <v>2541</v>
      </c>
      <c r="BM690" s="84" t="s">
        <v>2541</v>
      </c>
      <c r="BN690" s="84" t="s">
        <v>2541</v>
      </c>
      <c r="BO690" s="84" t="s">
        <v>2656</v>
      </c>
      <c r="BX690" s="88">
        <v>1</v>
      </c>
      <c r="BY690" s="79" t="s">
        <v>2935</v>
      </c>
      <c r="CQ690" s="88"/>
    </row>
    <row r="691" spans="1:95" outlineLevel="1" x14ac:dyDescent="0.15">
      <c r="A691" s="76">
        <v>689</v>
      </c>
      <c r="B691" s="65" t="s">
        <v>1447</v>
      </c>
      <c r="C691" s="65" t="s">
        <v>1448</v>
      </c>
      <c r="D691" s="81" t="str">
        <f t="shared" si="22"/>
        <v>https://portal.dnb.de/opac.htm?method=simpleSearch&amp;cqlMode=true&amp;query=idn%3D106694203X</v>
      </c>
      <c r="E691" s="65" t="s">
        <v>1449</v>
      </c>
      <c r="F691" s="76" t="s">
        <v>89</v>
      </c>
      <c r="G691" s="78" t="s">
        <v>45</v>
      </c>
      <c r="H691" s="76" t="s">
        <v>51</v>
      </c>
      <c r="I691" s="78" t="s">
        <v>90</v>
      </c>
      <c r="J691" s="78"/>
      <c r="K691" s="76"/>
      <c r="L691" s="76" t="s">
        <v>35</v>
      </c>
      <c r="M691" s="76" t="s">
        <v>37</v>
      </c>
      <c r="N691" s="76">
        <v>0</v>
      </c>
      <c r="O691" s="76"/>
      <c r="P691" s="76" t="s">
        <v>2589</v>
      </c>
      <c r="Q691" s="76"/>
      <c r="R691" s="76"/>
      <c r="AZ691" s="88">
        <f t="shared" si="21"/>
        <v>0</v>
      </c>
      <c r="BX691" s="88"/>
      <c r="CQ691" s="88"/>
    </row>
    <row r="692" spans="1:95" outlineLevel="1" x14ac:dyDescent="0.15">
      <c r="A692" s="76">
        <v>690</v>
      </c>
      <c r="B692" s="65" t="s">
        <v>1450</v>
      </c>
      <c r="C692" s="65">
        <v>1066961735</v>
      </c>
      <c r="D692" s="81" t="str">
        <f t="shared" si="22"/>
        <v>https://portal.dnb.de/opac.htm?method=simpleSearch&amp;cqlMode=true&amp;query=idn%3D1066961735</v>
      </c>
      <c r="E692" s="65" t="s">
        <v>1451</v>
      </c>
      <c r="F692" s="76"/>
      <c r="G692" s="78"/>
      <c r="H692" s="76"/>
      <c r="I692" s="78"/>
      <c r="J692" s="78"/>
      <c r="K692" s="76"/>
      <c r="L692" s="76"/>
      <c r="M692" s="76"/>
      <c r="N692" s="76"/>
      <c r="O692" s="76"/>
      <c r="P692" s="76"/>
      <c r="Q692" s="76"/>
      <c r="R692" s="76"/>
      <c r="AZ692" s="88">
        <f t="shared" si="21"/>
        <v>0</v>
      </c>
      <c r="BX692" s="88"/>
      <c r="CQ692" s="88"/>
    </row>
    <row r="693" spans="1:95" ht="22.5" outlineLevel="1" x14ac:dyDescent="0.15">
      <c r="A693" s="76">
        <v>691</v>
      </c>
      <c r="B693" s="65" t="s">
        <v>1452</v>
      </c>
      <c r="C693" s="65">
        <v>1066960151</v>
      </c>
      <c r="D693" s="81" t="str">
        <f t="shared" si="22"/>
        <v>https://portal.dnb.de/opac.htm?method=simpleSearch&amp;cqlMode=true&amp;query=idn%3D1066960151</v>
      </c>
      <c r="E693" s="65" t="s">
        <v>1453</v>
      </c>
      <c r="F693" s="76" t="s">
        <v>89</v>
      </c>
      <c r="G693" s="78" t="s">
        <v>4</v>
      </c>
      <c r="H693" s="76" t="s">
        <v>50</v>
      </c>
      <c r="I693" s="78" t="s">
        <v>55</v>
      </c>
      <c r="J693" s="78" t="s">
        <v>2519</v>
      </c>
      <c r="K693" s="76"/>
      <c r="L693" s="76"/>
      <c r="M693" s="76"/>
      <c r="N693" s="76">
        <v>3</v>
      </c>
      <c r="O693" s="76"/>
      <c r="P693" s="76"/>
      <c r="Q693" s="76"/>
      <c r="R693" s="76"/>
      <c r="X693" s="84" t="s">
        <v>2652</v>
      </c>
      <c r="Z693" s="84" t="s">
        <v>2541</v>
      </c>
      <c r="AA693" s="84" t="s">
        <v>2675</v>
      </c>
      <c r="AG693" s="84" t="s">
        <v>2643</v>
      </c>
      <c r="AU693" s="84">
        <v>45</v>
      </c>
      <c r="AY693" s="86" t="s">
        <v>2651</v>
      </c>
      <c r="AZ693" s="88">
        <f t="shared" si="21"/>
        <v>0</v>
      </c>
      <c r="BI693" s="63" t="s">
        <v>2877</v>
      </c>
      <c r="BX693" s="88"/>
      <c r="CQ693" s="88"/>
    </row>
    <row r="694" spans="1:95" outlineLevel="1" x14ac:dyDescent="0.15">
      <c r="A694" s="76">
        <v>692</v>
      </c>
      <c r="B694" s="65" t="s">
        <v>1454</v>
      </c>
      <c r="C694" s="65">
        <v>1066960518</v>
      </c>
      <c r="D694" s="81" t="str">
        <f t="shared" si="22"/>
        <v>https://portal.dnb.de/opac.htm?method=simpleSearch&amp;cqlMode=true&amp;query=idn%3D1066960518</v>
      </c>
      <c r="E694" s="65" t="s">
        <v>1455</v>
      </c>
      <c r="F694" s="76"/>
      <c r="G694" s="78"/>
      <c r="H694" s="76" t="s">
        <v>51</v>
      </c>
      <c r="I694" s="78"/>
      <c r="J694" s="78"/>
      <c r="K694" s="76"/>
      <c r="L694" s="76"/>
      <c r="M694" s="76"/>
      <c r="N694" s="76"/>
      <c r="O694" s="76"/>
      <c r="P694" s="76"/>
      <c r="Q694" s="76"/>
      <c r="R694" s="76"/>
      <c r="X694" s="84" t="s">
        <v>2643</v>
      </c>
      <c r="AA694" s="84" t="s">
        <v>2647</v>
      </c>
      <c r="AG694" s="84" t="s">
        <v>2643</v>
      </c>
      <c r="AU694" s="84" t="s">
        <v>2650</v>
      </c>
      <c r="AY694" s="86" t="s">
        <v>2651</v>
      </c>
      <c r="AZ694" s="88">
        <f t="shared" si="21"/>
        <v>0</v>
      </c>
      <c r="BB694" s="84" t="s">
        <v>2777</v>
      </c>
      <c r="BH694" s="79" t="s">
        <v>2962</v>
      </c>
      <c r="BI694" s="63" t="s">
        <v>2780</v>
      </c>
      <c r="BX694" s="88"/>
      <c r="CQ694" s="88"/>
    </row>
    <row r="695" spans="1:95" ht="22.5" outlineLevel="1" x14ac:dyDescent="0.15">
      <c r="A695" s="76">
        <v>693</v>
      </c>
      <c r="B695" s="65" t="s">
        <v>1456</v>
      </c>
      <c r="C695" s="65">
        <v>1066937443</v>
      </c>
      <c r="D695" s="81" t="str">
        <f t="shared" si="22"/>
        <v>https://portal.dnb.de/opac.htm?method=simpleSearch&amp;cqlMode=true&amp;query=idn%3D1066937443</v>
      </c>
      <c r="E695" s="65" t="s">
        <v>1457</v>
      </c>
      <c r="F695" s="76" t="s">
        <v>89</v>
      </c>
      <c r="G695" s="78" t="s">
        <v>2510</v>
      </c>
      <c r="H695" s="76" t="s">
        <v>51</v>
      </c>
      <c r="I695" s="78" t="s">
        <v>55</v>
      </c>
      <c r="J695" s="78" t="s">
        <v>94</v>
      </c>
      <c r="K695" s="76"/>
      <c r="L695" s="76" t="s">
        <v>34</v>
      </c>
      <c r="M695" s="76" t="s">
        <v>37</v>
      </c>
      <c r="N695" s="76">
        <v>0</v>
      </c>
      <c r="O695" s="76"/>
      <c r="P695" s="76"/>
      <c r="Q695" s="76"/>
      <c r="R695" s="76"/>
      <c r="X695" s="84" t="s">
        <v>2641</v>
      </c>
      <c r="Y695" s="84" t="s">
        <v>2541</v>
      </c>
      <c r="AA695" s="84" t="s">
        <v>2653</v>
      </c>
      <c r="AG695" s="84" t="s">
        <v>2643</v>
      </c>
      <c r="AU695" s="84">
        <v>60</v>
      </c>
      <c r="AY695" s="86" t="s">
        <v>2651</v>
      </c>
      <c r="AZ695" s="88">
        <f t="shared" si="21"/>
        <v>0</v>
      </c>
      <c r="BD695" s="84" t="s">
        <v>2541</v>
      </c>
      <c r="BX695" s="88"/>
      <c r="CQ695" s="88"/>
    </row>
    <row r="696" spans="1:95" outlineLevel="1" x14ac:dyDescent="0.15">
      <c r="A696" s="76">
        <v>694</v>
      </c>
      <c r="B696" s="65" t="s">
        <v>1458</v>
      </c>
      <c r="C696" s="65" t="s">
        <v>1459</v>
      </c>
      <c r="D696" s="81" t="str">
        <f t="shared" si="22"/>
        <v>https://portal.dnb.de/opac.htm?method=simpleSearch&amp;cqlMode=true&amp;query=idn%3D106687090X</v>
      </c>
      <c r="E696" s="65" t="s">
        <v>1460</v>
      </c>
      <c r="F696" s="76"/>
      <c r="G696" s="78"/>
      <c r="H696" s="76"/>
      <c r="I696" s="78"/>
      <c r="J696" s="78"/>
      <c r="K696" s="76"/>
      <c r="L696" s="76"/>
      <c r="M696" s="76"/>
      <c r="N696" s="76"/>
      <c r="O696" s="76"/>
      <c r="P696" s="76"/>
      <c r="Q696" s="76"/>
      <c r="R696" s="76"/>
      <c r="AZ696" s="88">
        <f t="shared" si="21"/>
        <v>0</v>
      </c>
      <c r="BX696" s="88"/>
      <c r="CQ696" s="88"/>
    </row>
    <row r="697" spans="1:95" outlineLevel="1" x14ac:dyDescent="0.15">
      <c r="A697" s="76">
        <v>695</v>
      </c>
      <c r="B697" s="65" t="s">
        <v>1461</v>
      </c>
      <c r="C697" s="65">
        <v>1066942358</v>
      </c>
      <c r="D697" s="81" t="str">
        <f t="shared" si="22"/>
        <v>https://portal.dnb.de/opac.htm?method=simpleSearch&amp;cqlMode=true&amp;query=idn%3D1066942358</v>
      </c>
      <c r="E697" s="65" t="s">
        <v>1462</v>
      </c>
      <c r="F697" s="76"/>
      <c r="G697" s="78"/>
      <c r="H697" s="76"/>
      <c r="I697" s="78"/>
      <c r="J697" s="78"/>
      <c r="K697" s="76"/>
      <c r="L697" s="76"/>
      <c r="M697" s="76"/>
      <c r="N697" s="76"/>
      <c r="O697" s="76"/>
      <c r="P697" s="76"/>
      <c r="Q697" s="76"/>
      <c r="R697" s="76"/>
      <c r="S697" s="84" t="s">
        <v>2774</v>
      </c>
      <c r="AZ697" s="88">
        <f t="shared" si="21"/>
        <v>0</v>
      </c>
      <c r="BX697" s="88"/>
      <c r="CQ697" s="88"/>
    </row>
    <row r="698" spans="1:95" outlineLevel="1" x14ac:dyDescent="0.15">
      <c r="A698" s="76">
        <v>696</v>
      </c>
      <c r="B698" s="65" t="s">
        <v>1463</v>
      </c>
      <c r="C698" s="65">
        <v>993888127</v>
      </c>
      <c r="D698" s="81" t="str">
        <f t="shared" si="22"/>
        <v>https://portal.dnb.de/opac.htm?method=simpleSearch&amp;cqlMode=true&amp;query=idn%3D993888127</v>
      </c>
      <c r="E698" s="65" t="s">
        <v>1464</v>
      </c>
      <c r="F698" s="76"/>
      <c r="G698" s="78"/>
      <c r="H698" s="76" t="s">
        <v>50</v>
      </c>
      <c r="I698" s="78"/>
      <c r="J698" s="78"/>
      <c r="K698" s="76"/>
      <c r="L698" s="76"/>
      <c r="M698" s="76"/>
      <c r="N698" s="76"/>
      <c r="O698" s="76"/>
      <c r="P698" s="76"/>
      <c r="Q698" s="76"/>
      <c r="R698" s="76"/>
      <c r="W698" s="84" t="s">
        <v>2541</v>
      </c>
      <c r="X698" s="84" t="s">
        <v>2645</v>
      </c>
      <c r="Y698" s="84" t="s">
        <v>2541</v>
      </c>
      <c r="AA698" s="84" t="s">
        <v>2647</v>
      </c>
      <c r="AG698" s="84" t="s">
        <v>2643</v>
      </c>
      <c r="AU698" s="84">
        <v>110</v>
      </c>
      <c r="AY698" s="86" t="s">
        <v>2644</v>
      </c>
      <c r="AZ698" s="88">
        <f t="shared" si="21"/>
        <v>0.5</v>
      </c>
      <c r="BD698" s="84" t="s">
        <v>2541</v>
      </c>
      <c r="BI698" s="63" t="s">
        <v>2780</v>
      </c>
      <c r="BK698" s="63" t="s">
        <v>2541</v>
      </c>
      <c r="BM698" s="84" t="s">
        <v>2541</v>
      </c>
      <c r="BX698" s="88">
        <v>0.5</v>
      </c>
      <c r="CQ698" s="88"/>
    </row>
    <row r="699" spans="1:95" outlineLevel="1" x14ac:dyDescent="0.15">
      <c r="A699" s="76">
        <v>697</v>
      </c>
      <c r="B699" s="65" t="s">
        <v>1465</v>
      </c>
      <c r="C699" s="65">
        <v>1066962278</v>
      </c>
      <c r="D699" s="81" t="str">
        <f t="shared" si="22"/>
        <v>https://portal.dnb.de/opac.htm?method=simpleSearch&amp;cqlMode=true&amp;query=idn%3D1066962278</v>
      </c>
      <c r="E699" s="65" t="s">
        <v>1466</v>
      </c>
      <c r="F699" s="76"/>
      <c r="G699" s="78"/>
      <c r="H699" s="76" t="s">
        <v>50</v>
      </c>
      <c r="I699" s="78"/>
      <c r="J699" s="78"/>
      <c r="K699" s="76"/>
      <c r="L699" s="76"/>
      <c r="M699" s="76"/>
      <c r="N699" s="76"/>
      <c r="O699" s="76"/>
      <c r="P699" s="76"/>
      <c r="Q699" s="76"/>
      <c r="R699" s="76"/>
      <c r="X699" s="84" t="s">
        <v>2643</v>
      </c>
      <c r="Y699" s="84" t="s">
        <v>2541</v>
      </c>
      <c r="AA699" s="84" t="s">
        <v>2647</v>
      </c>
      <c r="AG699" s="84" t="s">
        <v>2643</v>
      </c>
      <c r="AU699" s="84">
        <v>110</v>
      </c>
      <c r="AY699" s="86" t="s">
        <v>2651</v>
      </c>
      <c r="AZ699" s="88">
        <f t="shared" si="21"/>
        <v>0</v>
      </c>
      <c r="BD699" s="84" t="s">
        <v>2541</v>
      </c>
      <c r="BH699" s="79" t="s">
        <v>2962</v>
      </c>
      <c r="BI699" s="63" t="s">
        <v>2780</v>
      </c>
      <c r="BX699" s="88"/>
      <c r="CQ699" s="88"/>
    </row>
    <row r="700" spans="1:95" ht="22.5" outlineLevel="1" x14ac:dyDescent="0.15">
      <c r="A700" s="76">
        <v>698</v>
      </c>
      <c r="B700" s="65" t="s">
        <v>1467</v>
      </c>
      <c r="C700" s="65">
        <v>1066962308</v>
      </c>
      <c r="D700" s="81" t="str">
        <f t="shared" si="22"/>
        <v>https://portal.dnb.de/opac.htm?method=simpleSearch&amp;cqlMode=true&amp;query=idn%3D1066962308</v>
      </c>
      <c r="E700" s="65" t="s">
        <v>1468</v>
      </c>
      <c r="F700" s="76" t="s">
        <v>89</v>
      </c>
      <c r="G700" s="78" t="s">
        <v>2510</v>
      </c>
      <c r="H700" s="76" t="s">
        <v>50</v>
      </c>
      <c r="I700" s="78" t="s">
        <v>90</v>
      </c>
      <c r="J700" s="78" t="s">
        <v>2591</v>
      </c>
      <c r="K700" s="76"/>
      <c r="L700" s="76" t="s">
        <v>34</v>
      </c>
      <c r="M700" s="76" t="s">
        <v>37</v>
      </c>
      <c r="N700" s="76">
        <v>0</v>
      </c>
      <c r="O700" s="76"/>
      <c r="P700" s="76"/>
      <c r="Q700" s="76"/>
      <c r="R700" s="76"/>
      <c r="X700" s="84" t="s">
        <v>2641</v>
      </c>
      <c r="Y700" s="84" t="s">
        <v>2541</v>
      </c>
      <c r="AA700" s="84" t="s">
        <v>2653</v>
      </c>
      <c r="AG700" s="84" t="s">
        <v>2643</v>
      </c>
      <c r="AU700" s="84">
        <v>45</v>
      </c>
      <c r="AY700" s="86" t="s">
        <v>2651</v>
      </c>
      <c r="AZ700" s="88">
        <f t="shared" si="21"/>
        <v>0</v>
      </c>
      <c r="BD700" s="84" t="s">
        <v>2541</v>
      </c>
      <c r="BI700" s="63" t="s">
        <v>2877</v>
      </c>
      <c r="BX700" s="88"/>
      <c r="CQ700" s="88"/>
    </row>
    <row r="701" spans="1:95" ht="56.25" outlineLevel="1" x14ac:dyDescent="0.15">
      <c r="A701" s="76">
        <v>699</v>
      </c>
      <c r="B701" s="65" t="s">
        <v>1469</v>
      </c>
      <c r="C701" s="65">
        <v>1066957533</v>
      </c>
      <c r="D701" s="81" t="str">
        <f t="shared" si="22"/>
        <v>https://portal.dnb.de/opac.htm?method=simpleSearch&amp;cqlMode=true&amp;query=idn%3D1066957533</v>
      </c>
      <c r="E701" s="65" t="s">
        <v>1470</v>
      </c>
      <c r="F701" s="76" t="s">
        <v>89</v>
      </c>
      <c r="G701" s="78" t="s">
        <v>3</v>
      </c>
      <c r="H701" s="76" t="s">
        <v>50</v>
      </c>
      <c r="I701" s="78" t="s">
        <v>90</v>
      </c>
      <c r="J701" s="78" t="s">
        <v>2527</v>
      </c>
      <c r="K701" s="76"/>
      <c r="L701" s="76"/>
      <c r="M701" s="76"/>
      <c r="N701" s="76">
        <v>3</v>
      </c>
      <c r="O701" s="76"/>
      <c r="P701" s="76" t="s">
        <v>2595</v>
      </c>
      <c r="Q701" s="76"/>
      <c r="R701" s="76"/>
      <c r="X701" s="84" t="s">
        <v>2652</v>
      </c>
      <c r="Y701" s="84" t="s">
        <v>2541</v>
      </c>
      <c r="AA701" s="84" t="s">
        <v>2647</v>
      </c>
      <c r="AC701" s="84" t="s">
        <v>2541</v>
      </c>
      <c r="AG701" s="84" t="s">
        <v>2643</v>
      </c>
      <c r="AH701" s="84" t="s">
        <v>2541</v>
      </c>
      <c r="AU701" s="84">
        <v>80</v>
      </c>
      <c r="AY701" s="86" t="s">
        <v>2644</v>
      </c>
      <c r="AZ701" s="88">
        <f t="shared" si="21"/>
        <v>0.5</v>
      </c>
      <c r="BH701" s="79" t="s">
        <v>3012</v>
      </c>
      <c r="BJ701" s="79" t="s">
        <v>3017</v>
      </c>
      <c r="BK701" s="63" t="s">
        <v>2541</v>
      </c>
      <c r="BL701" s="84" t="s">
        <v>2541</v>
      </c>
      <c r="BM701" s="84" t="s">
        <v>2541</v>
      </c>
      <c r="BO701" s="84" t="s">
        <v>2656</v>
      </c>
      <c r="BX701" s="88">
        <v>0.5</v>
      </c>
      <c r="BY701" s="79" t="s">
        <v>3018</v>
      </c>
      <c r="CQ701" s="88"/>
    </row>
    <row r="702" spans="1:95" outlineLevel="1" x14ac:dyDescent="0.15">
      <c r="A702" s="76">
        <v>700</v>
      </c>
      <c r="B702" s="65" t="s">
        <v>1471</v>
      </c>
      <c r="C702" s="65">
        <v>1066963452</v>
      </c>
      <c r="D702" s="81" t="str">
        <f t="shared" si="22"/>
        <v>https://portal.dnb.de/opac.htm?method=simpleSearch&amp;cqlMode=true&amp;query=idn%3D1066963452</v>
      </c>
      <c r="E702" s="65" t="s">
        <v>1472</v>
      </c>
      <c r="F702" s="76" t="s">
        <v>89</v>
      </c>
      <c r="G702" s="78" t="s">
        <v>3</v>
      </c>
      <c r="H702" s="76" t="s">
        <v>50</v>
      </c>
      <c r="I702" s="78" t="s">
        <v>55</v>
      </c>
      <c r="J702" s="78" t="s">
        <v>81</v>
      </c>
      <c r="K702" s="76"/>
      <c r="L702" s="76"/>
      <c r="M702" s="76"/>
      <c r="N702" s="76">
        <v>1</v>
      </c>
      <c r="O702" s="76"/>
      <c r="P702" s="76"/>
      <c r="Q702" s="76"/>
      <c r="R702" s="76"/>
      <c r="X702" s="84" t="s">
        <v>2652</v>
      </c>
      <c r="AA702" s="84" t="s">
        <v>2647</v>
      </c>
      <c r="AG702" s="84" t="s">
        <v>2643</v>
      </c>
      <c r="AU702" s="84">
        <v>80</v>
      </c>
      <c r="AY702" s="86" t="s">
        <v>2651</v>
      </c>
      <c r="AZ702" s="88">
        <f t="shared" si="21"/>
        <v>0</v>
      </c>
      <c r="BH702" s="79" t="s">
        <v>2962</v>
      </c>
      <c r="BX702" s="88"/>
      <c r="CQ702" s="88"/>
    </row>
    <row r="703" spans="1:95" ht="22.5" outlineLevel="1" x14ac:dyDescent="0.15">
      <c r="A703" s="76">
        <v>701</v>
      </c>
      <c r="B703" s="65" t="s">
        <v>1473</v>
      </c>
      <c r="C703" s="65">
        <v>1066957479</v>
      </c>
      <c r="D703" s="81" t="str">
        <f t="shared" si="22"/>
        <v>https://portal.dnb.de/opac.htm?method=simpleSearch&amp;cqlMode=true&amp;query=idn%3D1066957479</v>
      </c>
      <c r="E703" s="65" t="s">
        <v>1474</v>
      </c>
      <c r="F703" s="76"/>
      <c r="G703" s="78" t="s">
        <v>2520</v>
      </c>
      <c r="H703" s="76" t="s">
        <v>50</v>
      </c>
      <c r="I703" s="78" t="s">
        <v>90</v>
      </c>
      <c r="J703" s="78"/>
      <c r="K703" s="76"/>
      <c r="L703" s="76" t="s">
        <v>35</v>
      </c>
      <c r="M703" s="76" t="s">
        <v>37</v>
      </c>
      <c r="N703" s="76"/>
      <c r="O703" s="76"/>
      <c r="P703" s="76" t="s">
        <v>2589</v>
      </c>
      <c r="Q703" s="76"/>
      <c r="R703" s="76"/>
      <c r="AZ703" s="88">
        <f t="shared" si="21"/>
        <v>0</v>
      </c>
      <c r="BX703" s="88"/>
      <c r="CQ703" s="88"/>
    </row>
    <row r="704" spans="1:95" outlineLevel="1" x14ac:dyDescent="0.15">
      <c r="A704" s="76">
        <v>702</v>
      </c>
      <c r="B704" s="65" t="s">
        <v>1475</v>
      </c>
      <c r="C704" s="65">
        <v>1066873062</v>
      </c>
      <c r="D704" s="81" t="str">
        <f t="shared" si="22"/>
        <v>https://portal.dnb.de/opac.htm?method=simpleSearch&amp;cqlMode=true&amp;query=idn%3D1066873062</v>
      </c>
      <c r="E704" s="65" t="s">
        <v>1476</v>
      </c>
      <c r="F704" s="76" t="s">
        <v>89</v>
      </c>
      <c r="G704" s="78" t="s">
        <v>17</v>
      </c>
      <c r="H704" s="76" t="s">
        <v>50</v>
      </c>
      <c r="I704" s="78" t="s">
        <v>55</v>
      </c>
      <c r="J704" s="78"/>
      <c r="K704" s="76"/>
      <c r="L704" s="76"/>
      <c r="M704" s="76"/>
      <c r="N704" s="76">
        <v>1</v>
      </c>
      <c r="O704" s="76"/>
      <c r="P704" s="76"/>
      <c r="Q704" s="76"/>
      <c r="R704" s="76"/>
      <c r="AZ704" s="88">
        <f t="shared" ref="AZ704:AZ767" si="23">BX704+CQ704</f>
        <v>0</v>
      </c>
      <c r="BX704" s="88"/>
      <c r="CQ704" s="88"/>
    </row>
    <row r="705" spans="1:95" outlineLevel="1" x14ac:dyDescent="0.15">
      <c r="A705" s="76">
        <v>703</v>
      </c>
      <c r="B705" s="65" t="s">
        <v>1477</v>
      </c>
      <c r="C705" s="65">
        <v>1066962995</v>
      </c>
      <c r="D705" s="81" t="str">
        <f t="shared" si="22"/>
        <v>https://portal.dnb.de/opac.htm?method=simpleSearch&amp;cqlMode=true&amp;query=idn%3D1066962995</v>
      </c>
      <c r="E705" s="65" t="s">
        <v>1478</v>
      </c>
      <c r="F705" s="76" t="s">
        <v>89</v>
      </c>
      <c r="G705" s="78" t="s">
        <v>3</v>
      </c>
      <c r="H705" s="76" t="s">
        <v>51</v>
      </c>
      <c r="I705" s="78" t="s">
        <v>90</v>
      </c>
      <c r="J705" s="78" t="s">
        <v>81</v>
      </c>
      <c r="K705" s="76"/>
      <c r="L705" s="76"/>
      <c r="M705" s="76" t="s">
        <v>101</v>
      </c>
      <c r="N705" s="76">
        <v>0</v>
      </c>
      <c r="O705" s="76"/>
      <c r="P705" s="76"/>
      <c r="Q705" s="76"/>
      <c r="R705" s="76"/>
      <c r="AZ705" s="88">
        <f t="shared" si="23"/>
        <v>0</v>
      </c>
      <c r="BX705" s="88"/>
      <c r="CQ705" s="88"/>
    </row>
    <row r="706" spans="1:95" ht="45" outlineLevel="1" x14ac:dyDescent="0.15">
      <c r="A706" s="76">
        <v>704</v>
      </c>
      <c r="B706" s="65" t="s">
        <v>1479</v>
      </c>
      <c r="C706" s="65" t="s">
        <v>1480</v>
      </c>
      <c r="D706" s="81" t="str">
        <f t="shared" si="22"/>
        <v>https://portal.dnb.de/opac.htm?method=simpleSearch&amp;cqlMode=true&amp;query=idn%3D106695741X</v>
      </c>
      <c r="E706" s="65" t="s">
        <v>1481</v>
      </c>
      <c r="F706" s="76" t="s">
        <v>89</v>
      </c>
      <c r="G706" s="78" t="s">
        <v>2510</v>
      </c>
      <c r="H706" s="76" t="s">
        <v>51</v>
      </c>
      <c r="I706" s="78" t="s">
        <v>90</v>
      </c>
      <c r="J706" s="78" t="s">
        <v>2596</v>
      </c>
      <c r="K706" s="76"/>
      <c r="L706" s="76"/>
      <c r="M706" s="76"/>
      <c r="N706" s="76">
        <v>3</v>
      </c>
      <c r="O706" s="76"/>
      <c r="P706" s="76"/>
      <c r="Q706" s="76"/>
      <c r="R706" s="76"/>
      <c r="AZ706" s="88">
        <f t="shared" si="23"/>
        <v>0</v>
      </c>
      <c r="BX706" s="88"/>
      <c r="CQ706" s="88"/>
    </row>
    <row r="707" spans="1:95" ht="22.5" outlineLevel="1" x14ac:dyDescent="0.15">
      <c r="A707" s="76">
        <v>705</v>
      </c>
      <c r="B707" s="65" t="s">
        <v>1482</v>
      </c>
      <c r="C707" s="65" t="s">
        <v>1483</v>
      </c>
      <c r="D707" s="81" t="str">
        <f t="shared" si="22"/>
        <v>https://portal.dnb.de/opac.htm?method=simpleSearch&amp;cqlMode=true&amp;query=idn%3D106696341X</v>
      </c>
      <c r="E707" s="65" t="s">
        <v>1484</v>
      </c>
      <c r="F707" s="76" t="s">
        <v>89</v>
      </c>
      <c r="G707" s="78" t="s">
        <v>2518</v>
      </c>
      <c r="H707" s="76" t="s">
        <v>51</v>
      </c>
      <c r="I707" s="78" t="s">
        <v>90</v>
      </c>
      <c r="J707" s="78" t="s">
        <v>81</v>
      </c>
      <c r="K707" s="76"/>
      <c r="L707" s="76" t="s">
        <v>34</v>
      </c>
      <c r="M707" s="76" t="s">
        <v>37</v>
      </c>
      <c r="N707" s="76">
        <v>0</v>
      </c>
      <c r="O707" s="76"/>
      <c r="P707" s="76"/>
      <c r="Q707" s="76"/>
      <c r="R707" s="76"/>
      <c r="X707" s="84" t="s">
        <v>2645</v>
      </c>
      <c r="Y707" s="84" t="s">
        <v>2541</v>
      </c>
      <c r="Z707" s="84" t="s">
        <v>2541</v>
      </c>
      <c r="AA707" s="84" t="s">
        <v>2647</v>
      </c>
      <c r="AG707" s="84" t="s">
        <v>2643</v>
      </c>
      <c r="AU707" s="84">
        <v>110</v>
      </c>
      <c r="AY707" s="86" t="s">
        <v>2651</v>
      </c>
      <c r="AZ707" s="88">
        <f t="shared" si="23"/>
        <v>0</v>
      </c>
      <c r="BD707" s="84" t="s">
        <v>2541</v>
      </c>
      <c r="BH707" s="79" t="s">
        <v>2962</v>
      </c>
      <c r="BX707" s="88"/>
      <c r="CQ707" s="88"/>
    </row>
    <row r="708" spans="1:95" outlineLevel="1" x14ac:dyDescent="0.15">
      <c r="A708" s="76">
        <v>706</v>
      </c>
      <c r="B708" s="65" t="s">
        <v>1485</v>
      </c>
      <c r="C708" s="65">
        <v>1066961476</v>
      </c>
      <c r="D708" s="81" t="str">
        <f t="shared" si="22"/>
        <v>https://portal.dnb.de/opac.htm?method=simpleSearch&amp;cqlMode=true&amp;query=idn%3D1066961476</v>
      </c>
      <c r="E708" s="65" t="s">
        <v>1486</v>
      </c>
      <c r="F708" s="76" t="s">
        <v>89</v>
      </c>
      <c r="G708" s="78" t="s">
        <v>17</v>
      </c>
      <c r="H708" s="76" t="s">
        <v>50</v>
      </c>
      <c r="I708" s="78" t="s">
        <v>90</v>
      </c>
      <c r="J708" s="78" t="s">
        <v>81</v>
      </c>
      <c r="K708" s="76"/>
      <c r="L708" s="76"/>
      <c r="M708" s="76" t="s">
        <v>101</v>
      </c>
      <c r="N708" s="76">
        <v>0</v>
      </c>
      <c r="O708" s="76"/>
      <c r="P708" s="76"/>
      <c r="Q708" s="76"/>
      <c r="R708" s="76"/>
      <c r="AZ708" s="88">
        <f t="shared" si="23"/>
        <v>0</v>
      </c>
      <c r="BX708" s="88"/>
      <c r="CQ708" s="88"/>
    </row>
    <row r="709" spans="1:95" outlineLevel="1" x14ac:dyDescent="0.15">
      <c r="A709" s="76">
        <v>707</v>
      </c>
      <c r="B709" s="65" t="s">
        <v>1487</v>
      </c>
      <c r="C709" s="65">
        <v>1066758840</v>
      </c>
      <c r="D709" s="81" t="str">
        <f t="shared" si="22"/>
        <v>https://portal.dnb.de/opac.htm?method=simpleSearch&amp;cqlMode=true&amp;query=idn%3D1066758840</v>
      </c>
      <c r="E709" s="65" t="s">
        <v>1488</v>
      </c>
      <c r="F709" s="76"/>
      <c r="G709" s="78" t="s">
        <v>4</v>
      </c>
      <c r="H709" s="76" t="s">
        <v>51</v>
      </c>
      <c r="I709" s="78" t="s">
        <v>55</v>
      </c>
      <c r="J709" s="78"/>
      <c r="K709" s="76"/>
      <c r="L709" s="76" t="s">
        <v>30</v>
      </c>
      <c r="M709" s="76" t="s">
        <v>37</v>
      </c>
      <c r="N709" s="76">
        <v>2</v>
      </c>
      <c r="O709" s="76"/>
      <c r="P709" s="76" t="s">
        <v>2569</v>
      </c>
      <c r="Q709" s="76"/>
      <c r="R709" s="76"/>
      <c r="AZ709" s="88">
        <f t="shared" si="23"/>
        <v>0</v>
      </c>
      <c r="BX709" s="88"/>
      <c r="CQ709" s="88"/>
    </row>
    <row r="710" spans="1:95" outlineLevel="1" x14ac:dyDescent="0.15">
      <c r="A710" s="76">
        <v>708</v>
      </c>
      <c r="B710" s="65" t="s">
        <v>1489</v>
      </c>
      <c r="C710" s="65">
        <v>1066777829</v>
      </c>
      <c r="D710" s="81" t="str">
        <f t="shared" si="22"/>
        <v>https://portal.dnb.de/opac.htm?method=simpleSearch&amp;cqlMode=true&amp;query=idn%3D1066777829</v>
      </c>
      <c r="E710" s="65" t="s">
        <v>1490</v>
      </c>
      <c r="F710" s="76" t="s">
        <v>89</v>
      </c>
      <c r="G710" s="78" t="s">
        <v>45</v>
      </c>
      <c r="H710" s="76" t="s">
        <v>50</v>
      </c>
      <c r="I710" s="78" t="s">
        <v>55</v>
      </c>
      <c r="J710" s="78" t="s">
        <v>81</v>
      </c>
      <c r="K710" s="76"/>
      <c r="L710" s="76"/>
      <c r="M710" s="76" t="s">
        <v>101</v>
      </c>
      <c r="N710" s="76">
        <v>0</v>
      </c>
      <c r="O710" s="76"/>
      <c r="P710" s="76"/>
      <c r="Q710" s="76"/>
      <c r="R710" s="76"/>
      <c r="AZ710" s="88">
        <f t="shared" si="23"/>
        <v>0</v>
      </c>
      <c r="BX710" s="88"/>
      <c r="CQ710" s="88"/>
    </row>
    <row r="711" spans="1:95" outlineLevel="1" x14ac:dyDescent="0.15">
      <c r="A711" s="76">
        <v>709</v>
      </c>
      <c r="B711" s="65" t="s">
        <v>1491</v>
      </c>
      <c r="C711" s="65" t="s">
        <v>1492</v>
      </c>
      <c r="D711" s="81" t="str">
        <f t="shared" si="22"/>
        <v>https://portal.dnb.de/opac.htm?method=simpleSearch&amp;cqlMode=true&amp;query=idn%3D106695772X</v>
      </c>
      <c r="E711" s="65" t="s">
        <v>1493</v>
      </c>
      <c r="F711" s="76" t="s">
        <v>89</v>
      </c>
      <c r="G711" s="78" t="s">
        <v>3</v>
      </c>
      <c r="H711" s="76" t="s">
        <v>50</v>
      </c>
      <c r="I711" s="78" t="s">
        <v>55</v>
      </c>
      <c r="J711" s="78"/>
      <c r="K711" s="76"/>
      <c r="L711" s="76"/>
      <c r="M711" s="76" t="s">
        <v>101</v>
      </c>
      <c r="N711" s="76">
        <v>0</v>
      </c>
      <c r="O711" s="76"/>
      <c r="P711" s="76"/>
      <c r="Q711" s="76"/>
      <c r="R711" s="76"/>
      <c r="AZ711" s="88">
        <f t="shared" si="23"/>
        <v>0</v>
      </c>
      <c r="BX711" s="88"/>
      <c r="CQ711" s="88"/>
    </row>
    <row r="712" spans="1:95" outlineLevel="1" x14ac:dyDescent="0.15">
      <c r="A712" s="76">
        <v>710</v>
      </c>
      <c r="B712" s="65" t="s">
        <v>1494</v>
      </c>
      <c r="C712" s="65">
        <v>1066958424</v>
      </c>
      <c r="D712" s="81" t="str">
        <f t="shared" si="22"/>
        <v>https://portal.dnb.de/opac.htm?method=simpleSearch&amp;cqlMode=true&amp;query=idn%3D1066958424</v>
      </c>
      <c r="E712" s="65" t="s">
        <v>1495</v>
      </c>
      <c r="F712" s="76" t="s">
        <v>89</v>
      </c>
      <c r="G712" s="78" t="s">
        <v>3</v>
      </c>
      <c r="H712" s="76" t="s">
        <v>50</v>
      </c>
      <c r="I712" s="78" t="s">
        <v>55</v>
      </c>
      <c r="J712" s="78" t="s">
        <v>94</v>
      </c>
      <c r="K712" s="76"/>
      <c r="L712" s="76"/>
      <c r="M712" s="76"/>
      <c r="N712" s="76">
        <v>0</v>
      </c>
      <c r="O712" s="76"/>
      <c r="P712" s="76" t="s">
        <v>2595</v>
      </c>
      <c r="Q712" s="76"/>
      <c r="R712" s="76"/>
      <c r="AZ712" s="88">
        <f t="shared" si="23"/>
        <v>0</v>
      </c>
      <c r="BX712" s="88"/>
      <c r="CQ712" s="88"/>
    </row>
    <row r="713" spans="1:95" outlineLevel="1" x14ac:dyDescent="0.15">
      <c r="A713" s="76"/>
      <c r="B713" s="65"/>
      <c r="C713" s="65"/>
      <c r="D713" s="81"/>
      <c r="E713" s="65" t="s">
        <v>2600</v>
      </c>
      <c r="F713" s="76" t="s">
        <v>89</v>
      </c>
      <c r="G713" s="78" t="s">
        <v>5</v>
      </c>
      <c r="H713" s="76" t="s">
        <v>50</v>
      </c>
      <c r="I713" s="78" t="s">
        <v>90</v>
      </c>
      <c r="J713" s="78" t="s">
        <v>81</v>
      </c>
      <c r="K713" s="76"/>
      <c r="L713" s="76"/>
      <c r="M713" s="76" t="s">
        <v>101</v>
      </c>
      <c r="N713" s="76">
        <v>0</v>
      </c>
      <c r="O713" s="76"/>
      <c r="P713" s="76" t="s">
        <v>2595</v>
      </c>
      <c r="Q713" s="76"/>
      <c r="R713" s="76"/>
      <c r="X713" s="84" t="s">
        <v>2645</v>
      </c>
      <c r="Y713" s="84" t="s">
        <v>2541</v>
      </c>
      <c r="AA713" s="84" t="s">
        <v>2647</v>
      </c>
      <c r="AG713" s="84" t="s">
        <v>2643</v>
      </c>
      <c r="AH713" s="84" t="s">
        <v>2541</v>
      </c>
      <c r="AU713" s="84">
        <v>110</v>
      </c>
      <c r="AY713" s="86" t="s">
        <v>2651</v>
      </c>
      <c r="AZ713" s="88">
        <f t="shared" si="23"/>
        <v>0</v>
      </c>
      <c r="BH713" s="79" t="s">
        <v>2962</v>
      </c>
      <c r="BX713" s="88"/>
      <c r="CQ713" s="88"/>
    </row>
    <row r="714" spans="1:95" outlineLevel="1" x14ac:dyDescent="0.15">
      <c r="A714" s="76"/>
      <c r="B714" s="65"/>
      <c r="C714" s="65"/>
      <c r="D714" s="81"/>
      <c r="E714" s="65" t="s">
        <v>2601</v>
      </c>
      <c r="F714" s="76"/>
      <c r="G714" s="78"/>
      <c r="H714" s="76"/>
      <c r="I714" s="78"/>
      <c r="J714" s="78"/>
      <c r="K714" s="76"/>
      <c r="L714" s="76" t="s">
        <v>30</v>
      </c>
      <c r="M714" s="76" t="s">
        <v>37</v>
      </c>
      <c r="N714" s="76">
        <v>0</v>
      </c>
      <c r="O714" s="76"/>
      <c r="P714" s="76" t="s">
        <v>2569</v>
      </c>
      <c r="Q714" s="76"/>
      <c r="R714" s="76"/>
      <c r="S714" s="84" t="s">
        <v>2774</v>
      </c>
      <c r="AZ714" s="88">
        <f t="shared" si="23"/>
        <v>0</v>
      </c>
      <c r="BX714" s="88"/>
      <c r="CQ714" s="88"/>
    </row>
    <row r="715" spans="1:95" outlineLevel="1" x14ac:dyDescent="0.15">
      <c r="A715" s="76">
        <v>711</v>
      </c>
      <c r="B715" s="65" t="s">
        <v>1496</v>
      </c>
      <c r="C715" s="65">
        <v>997077026</v>
      </c>
      <c r="D715" s="81" t="str">
        <f t="shared" si="22"/>
        <v>https://portal.dnb.de/opac.htm?method=simpleSearch&amp;cqlMode=true&amp;query=idn%3D997077026</v>
      </c>
      <c r="E715" s="65" t="s">
        <v>1497</v>
      </c>
      <c r="F715" s="76" t="s">
        <v>89</v>
      </c>
      <c r="G715" s="78" t="s">
        <v>46</v>
      </c>
      <c r="H715" s="76" t="s">
        <v>50</v>
      </c>
      <c r="I715" s="78" t="s">
        <v>55</v>
      </c>
      <c r="J715" s="78" t="s">
        <v>81</v>
      </c>
      <c r="K715" s="76"/>
      <c r="L715" s="76"/>
      <c r="M715" s="76"/>
      <c r="N715" s="76">
        <v>0</v>
      </c>
      <c r="O715" s="76"/>
      <c r="P715" s="76"/>
      <c r="Q715" s="76"/>
      <c r="R715" s="76"/>
      <c r="AZ715" s="88">
        <f t="shared" si="23"/>
        <v>0</v>
      </c>
      <c r="BX715" s="88"/>
      <c r="CQ715" s="88"/>
    </row>
    <row r="716" spans="1:95" outlineLevel="1" x14ac:dyDescent="0.15">
      <c r="A716" s="76">
        <v>712</v>
      </c>
      <c r="B716" s="65" t="s">
        <v>1498</v>
      </c>
      <c r="C716" s="65">
        <v>998301590</v>
      </c>
      <c r="D716" s="81" t="str">
        <f t="shared" si="22"/>
        <v>https://portal.dnb.de/opac.htm?method=simpleSearch&amp;cqlMode=true&amp;query=idn%3D998301590</v>
      </c>
      <c r="E716" s="65" t="s">
        <v>1499</v>
      </c>
      <c r="F716" s="76"/>
      <c r="G716" s="78"/>
      <c r="H716" s="76"/>
      <c r="I716" s="78"/>
      <c r="J716" s="78"/>
      <c r="K716" s="76"/>
      <c r="L716" s="76"/>
      <c r="M716" s="76"/>
      <c r="N716" s="76"/>
      <c r="O716" s="76"/>
      <c r="P716" s="76"/>
      <c r="Q716" s="76"/>
      <c r="R716" s="76"/>
      <c r="AZ716" s="88">
        <f t="shared" si="23"/>
        <v>0</v>
      </c>
      <c r="BX716" s="88"/>
      <c r="CQ716" s="88"/>
    </row>
    <row r="717" spans="1:95" outlineLevel="1" x14ac:dyDescent="0.15">
      <c r="A717" s="76">
        <v>713</v>
      </c>
      <c r="B717" s="65" t="s">
        <v>1500</v>
      </c>
      <c r="C717" s="65">
        <v>999124102</v>
      </c>
      <c r="D717" s="81" t="str">
        <f t="shared" si="22"/>
        <v>https://portal.dnb.de/opac.htm?method=simpleSearch&amp;cqlMode=true&amp;query=idn%3D999124102</v>
      </c>
      <c r="E717" s="65" t="s">
        <v>1501</v>
      </c>
      <c r="F717" s="76"/>
      <c r="G717" s="78"/>
      <c r="H717" s="76" t="s">
        <v>52</v>
      </c>
      <c r="I717" s="78"/>
      <c r="J717" s="78"/>
      <c r="K717" s="76"/>
      <c r="L717" s="76"/>
      <c r="M717" s="76"/>
      <c r="N717" s="76"/>
      <c r="O717" s="76"/>
      <c r="P717" s="76"/>
      <c r="Q717" s="76"/>
      <c r="R717" s="76"/>
      <c r="X717" s="84" t="s">
        <v>2646</v>
      </c>
      <c r="Z717" s="84" t="s">
        <v>2541</v>
      </c>
      <c r="AA717" s="84" t="s">
        <v>2675</v>
      </c>
      <c r="AG717" s="84" t="s">
        <v>2643</v>
      </c>
      <c r="AU717" s="84">
        <v>110</v>
      </c>
      <c r="AY717" s="86" t="s">
        <v>2651</v>
      </c>
      <c r="AZ717" s="88">
        <f t="shared" si="23"/>
        <v>0</v>
      </c>
      <c r="BB717" s="84" t="s">
        <v>2777</v>
      </c>
      <c r="BX717" s="88"/>
      <c r="CQ717" s="88"/>
    </row>
    <row r="718" spans="1:95" outlineLevel="1" x14ac:dyDescent="0.15">
      <c r="A718" s="76">
        <v>714</v>
      </c>
      <c r="B718" s="65" t="s">
        <v>1502</v>
      </c>
      <c r="C718" s="65">
        <v>1066870993</v>
      </c>
      <c r="D718" s="81" t="str">
        <f t="shared" si="22"/>
        <v>https://portal.dnb.de/opac.htm?method=simpleSearch&amp;cqlMode=true&amp;query=idn%3D1066870993</v>
      </c>
      <c r="E718" s="65" t="s">
        <v>1503</v>
      </c>
      <c r="F718" s="76" t="s">
        <v>89</v>
      </c>
      <c r="G718" s="78" t="s">
        <v>17</v>
      </c>
      <c r="H718" s="76" t="s">
        <v>50</v>
      </c>
      <c r="I718" s="78" t="s">
        <v>55</v>
      </c>
      <c r="J718" s="78"/>
      <c r="K718" s="76"/>
      <c r="L718" s="76"/>
      <c r="M718" s="76"/>
      <c r="N718" s="76">
        <v>0</v>
      </c>
      <c r="O718" s="76"/>
      <c r="P718" s="76"/>
      <c r="Q718" s="76"/>
      <c r="R718" s="76"/>
      <c r="AZ718" s="88">
        <f t="shared" si="23"/>
        <v>0</v>
      </c>
      <c r="BX718" s="88"/>
      <c r="CQ718" s="88"/>
    </row>
    <row r="719" spans="1:95" outlineLevel="1" x14ac:dyDescent="0.15">
      <c r="A719" s="76">
        <v>715</v>
      </c>
      <c r="B719" s="65" t="s">
        <v>1504</v>
      </c>
      <c r="C719" s="65">
        <v>1066961956</v>
      </c>
      <c r="D719" s="81" t="str">
        <f t="shared" si="22"/>
        <v>https://portal.dnb.de/opac.htm?method=simpleSearch&amp;cqlMode=true&amp;query=idn%3D1066961956</v>
      </c>
      <c r="E719" s="65" t="s">
        <v>1505</v>
      </c>
      <c r="F719" s="76"/>
      <c r="G719" s="78"/>
      <c r="H719" s="76"/>
      <c r="I719" s="78"/>
      <c r="J719" s="78"/>
      <c r="K719" s="76"/>
      <c r="L719" s="76"/>
      <c r="M719" s="76"/>
      <c r="N719" s="76"/>
      <c r="O719" s="76"/>
      <c r="P719" s="76"/>
      <c r="Q719" s="76"/>
      <c r="R719" s="76"/>
      <c r="AZ719" s="88">
        <f t="shared" si="23"/>
        <v>0</v>
      </c>
      <c r="BX719" s="88"/>
      <c r="CQ719" s="88"/>
    </row>
    <row r="720" spans="1:95" outlineLevel="1" x14ac:dyDescent="0.15">
      <c r="A720" s="76">
        <v>716</v>
      </c>
      <c r="B720" s="65" t="s">
        <v>1506</v>
      </c>
      <c r="C720" s="65">
        <v>1003104428</v>
      </c>
      <c r="D720" s="81" t="str">
        <f t="shared" si="22"/>
        <v>https://portal.dnb.de/opac.htm?method=simpleSearch&amp;cqlMode=true&amp;query=idn%3D1003104428</v>
      </c>
      <c r="E720" s="65" t="s">
        <v>1507</v>
      </c>
      <c r="F720" s="76"/>
      <c r="G720" s="78"/>
      <c r="H720" s="76"/>
      <c r="I720" s="78"/>
      <c r="J720" s="78"/>
      <c r="K720" s="76"/>
      <c r="L720" s="76"/>
      <c r="M720" s="76"/>
      <c r="N720" s="76"/>
      <c r="O720" s="76"/>
      <c r="P720" s="76"/>
      <c r="Q720" s="76"/>
      <c r="R720" s="76"/>
      <c r="AZ720" s="88">
        <f t="shared" si="23"/>
        <v>0</v>
      </c>
      <c r="BX720" s="88"/>
      <c r="CQ720" s="88"/>
    </row>
    <row r="721" spans="1:96" outlineLevel="1" x14ac:dyDescent="0.15">
      <c r="A721" s="76">
        <v>717</v>
      </c>
      <c r="B721" s="65" t="s">
        <v>1508</v>
      </c>
      <c r="C721" s="65">
        <v>998778656</v>
      </c>
      <c r="D721" s="81" t="str">
        <f t="shared" si="22"/>
        <v>https://portal.dnb.de/opac.htm?method=simpleSearch&amp;cqlMode=true&amp;query=idn%3D998778656</v>
      </c>
      <c r="E721" s="65" t="s">
        <v>1509</v>
      </c>
      <c r="F721" s="76"/>
      <c r="G721" s="78"/>
      <c r="H721" s="76"/>
      <c r="I721" s="78"/>
      <c r="J721" s="78"/>
      <c r="K721" s="76"/>
      <c r="L721" s="76"/>
      <c r="M721" s="76"/>
      <c r="N721" s="76"/>
      <c r="O721" s="76"/>
      <c r="P721" s="76"/>
      <c r="Q721" s="76"/>
      <c r="R721" s="76"/>
      <c r="AZ721" s="88">
        <f t="shared" si="23"/>
        <v>0</v>
      </c>
      <c r="BX721" s="88"/>
      <c r="CQ721" s="88"/>
    </row>
    <row r="722" spans="1:96" outlineLevel="1" x14ac:dyDescent="0.15">
      <c r="A722" s="76">
        <v>718</v>
      </c>
      <c r="B722" s="65" t="s">
        <v>1510</v>
      </c>
      <c r="C722" s="65">
        <v>999868853</v>
      </c>
      <c r="D722" s="81" t="str">
        <f t="shared" si="22"/>
        <v>https://portal.dnb.de/opac.htm?method=simpleSearch&amp;cqlMode=true&amp;query=idn%3D999868853</v>
      </c>
      <c r="E722" s="65" t="s">
        <v>1509</v>
      </c>
      <c r="F722" s="76"/>
      <c r="G722" s="78"/>
      <c r="H722" s="76"/>
      <c r="I722" s="78"/>
      <c r="J722" s="78"/>
      <c r="K722" s="76"/>
      <c r="L722" s="76"/>
      <c r="M722" s="76"/>
      <c r="N722" s="76"/>
      <c r="O722" s="76"/>
      <c r="P722" s="76"/>
      <c r="Q722" s="76"/>
      <c r="R722" s="76"/>
      <c r="AZ722" s="88">
        <f t="shared" si="23"/>
        <v>0</v>
      </c>
      <c r="BX722" s="88"/>
      <c r="CQ722" s="88"/>
    </row>
    <row r="723" spans="1:96" outlineLevel="1" x14ac:dyDescent="0.15">
      <c r="A723" s="76">
        <v>719</v>
      </c>
      <c r="B723" s="65" t="s">
        <v>1511</v>
      </c>
      <c r="C723" s="65">
        <v>997592117</v>
      </c>
      <c r="D723" s="81" t="str">
        <f t="shared" si="22"/>
        <v>https://portal.dnb.de/opac.htm?method=simpleSearch&amp;cqlMode=true&amp;query=idn%3D997592117</v>
      </c>
      <c r="E723" s="65" t="s">
        <v>1512</v>
      </c>
      <c r="F723" s="76"/>
      <c r="G723" s="78" t="s">
        <v>44</v>
      </c>
      <c r="H723" s="76" t="s">
        <v>50</v>
      </c>
      <c r="I723" s="78" t="s">
        <v>55</v>
      </c>
      <c r="J723" s="78"/>
      <c r="K723" s="76"/>
      <c r="L723" s="76" t="s">
        <v>30</v>
      </c>
      <c r="M723" s="76" t="s">
        <v>37</v>
      </c>
      <c r="N723" s="76">
        <v>0</v>
      </c>
      <c r="O723" s="76"/>
      <c r="P723" s="76"/>
      <c r="Q723" s="76"/>
      <c r="R723" s="76"/>
      <c r="X723" s="84" t="s">
        <v>2695</v>
      </c>
      <c r="AG723" s="84" t="s">
        <v>2643</v>
      </c>
      <c r="AU723" s="84">
        <v>180</v>
      </c>
      <c r="AY723" s="86" t="s">
        <v>2651</v>
      </c>
      <c r="AZ723" s="88">
        <f t="shared" si="23"/>
        <v>0</v>
      </c>
      <c r="BE723" s="84" t="s">
        <v>2541</v>
      </c>
      <c r="BX723" s="88"/>
      <c r="CQ723" s="88"/>
    </row>
    <row r="724" spans="1:96" outlineLevel="1" x14ac:dyDescent="0.15">
      <c r="A724" s="76">
        <v>720</v>
      </c>
      <c r="B724" s="65" t="s">
        <v>1513</v>
      </c>
      <c r="C724" s="65">
        <v>996946691</v>
      </c>
      <c r="D724" s="81" t="str">
        <f>HYPERLINK(CONCATENATE("https://portal.dnb.de/opac.htm?method=simpleSearch&amp;cqlMode=true&amp;query=idn%3D",C724))</f>
        <v>https://portal.dnb.de/opac.htm?method=simpleSearch&amp;cqlMode=true&amp;query=idn%3D996946691</v>
      </c>
      <c r="E724" s="65" t="s">
        <v>2590</v>
      </c>
      <c r="F724" s="76"/>
      <c r="G724" s="78" t="s">
        <v>46</v>
      </c>
      <c r="H724" s="76" t="s">
        <v>50</v>
      </c>
      <c r="I724" s="78" t="s">
        <v>90</v>
      </c>
      <c r="J724" s="78" t="s">
        <v>81</v>
      </c>
      <c r="K724" s="76"/>
      <c r="L724" s="76"/>
      <c r="M724" s="76"/>
      <c r="N724" s="76">
        <v>0</v>
      </c>
      <c r="O724" s="76"/>
      <c r="P724" s="76"/>
      <c r="Q724" s="76"/>
      <c r="R724" s="76"/>
      <c r="AZ724" s="88">
        <f t="shared" si="23"/>
        <v>0</v>
      </c>
      <c r="BX724" s="88"/>
      <c r="CQ724" s="88"/>
    </row>
    <row r="725" spans="1:96" outlineLevel="1" x14ac:dyDescent="0.15">
      <c r="A725" s="76">
        <v>721</v>
      </c>
      <c r="B725" s="65" t="s">
        <v>1515</v>
      </c>
      <c r="C725" s="65">
        <v>993888585</v>
      </c>
      <c r="D725" s="81" t="str">
        <f t="shared" si="22"/>
        <v>https://portal.dnb.de/opac.htm?method=simpleSearch&amp;cqlMode=true&amp;query=idn%3D993888585</v>
      </c>
      <c r="E725" s="65" t="s">
        <v>1514</v>
      </c>
      <c r="F725" s="76"/>
      <c r="G725" s="78"/>
      <c r="H725" s="76"/>
      <c r="I725" s="78"/>
      <c r="J725" s="78"/>
      <c r="K725" s="76"/>
      <c r="L725" s="76"/>
      <c r="M725" s="76"/>
      <c r="N725" s="76"/>
      <c r="O725" s="76"/>
      <c r="P725" s="76"/>
      <c r="Q725" s="76"/>
      <c r="R725" s="76"/>
      <c r="AZ725" s="88">
        <f t="shared" si="23"/>
        <v>0</v>
      </c>
      <c r="BX725" s="88"/>
      <c r="CQ725" s="88"/>
    </row>
    <row r="726" spans="1:96" outlineLevel="1" x14ac:dyDescent="0.15">
      <c r="A726" s="76">
        <v>722</v>
      </c>
      <c r="B726" s="65" t="s">
        <v>1516</v>
      </c>
      <c r="C726" s="65">
        <v>1002012155</v>
      </c>
      <c r="D726" s="81" t="str">
        <f t="shared" si="22"/>
        <v>https://portal.dnb.de/opac.htm?method=simpleSearch&amp;cqlMode=true&amp;query=idn%3D1002012155</v>
      </c>
      <c r="E726" s="65" t="s">
        <v>1517</v>
      </c>
      <c r="F726" s="76" t="s">
        <v>89</v>
      </c>
      <c r="G726" s="78" t="s">
        <v>17</v>
      </c>
      <c r="H726" s="76" t="s">
        <v>50</v>
      </c>
      <c r="I726" s="78" t="s">
        <v>55</v>
      </c>
      <c r="J726" s="78"/>
      <c r="K726" s="76"/>
      <c r="L726" s="76"/>
      <c r="M726" s="76" t="s">
        <v>101</v>
      </c>
      <c r="N726" s="76">
        <v>0</v>
      </c>
      <c r="O726" s="76"/>
      <c r="P726" s="76"/>
      <c r="Q726" s="76"/>
      <c r="R726" s="76"/>
      <c r="AZ726" s="88">
        <f t="shared" si="23"/>
        <v>0</v>
      </c>
      <c r="BX726" s="88"/>
      <c r="CQ726" s="88"/>
    </row>
    <row r="727" spans="1:96" outlineLevel="1" x14ac:dyDescent="0.15">
      <c r="A727" s="76">
        <v>723</v>
      </c>
      <c r="B727" s="65" t="s">
        <v>1518</v>
      </c>
      <c r="C727" s="65" t="s">
        <v>1519</v>
      </c>
      <c r="D727" s="81" t="str">
        <f t="shared" ref="D727:D796" si="24">HYPERLINK(CONCATENATE("https://portal.dnb.de/opac.htm?method=simpleSearch&amp;cqlMode=true&amp;query=idn%3D",C727))</f>
        <v>https://portal.dnb.de/opac.htm?method=simpleSearch&amp;cqlMode=true&amp;query=idn%3D106695965X</v>
      </c>
      <c r="E727" s="65" t="s">
        <v>1520</v>
      </c>
      <c r="F727" s="76" t="s">
        <v>89</v>
      </c>
      <c r="G727" s="78" t="s">
        <v>17</v>
      </c>
      <c r="H727" s="76" t="s">
        <v>50</v>
      </c>
      <c r="I727" s="78" t="s">
        <v>55</v>
      </c>
      <c r="J727" s="78"/>
      <c r="K727" s="76"/>
      <c r="L727" s="76"/>
      <c r="M727" s="76"/>
      <c r="N727" s="76">
        <v>0</v>
      </c>
      <c r="O727" s="76"/>
      <c r="P727" s="76"/>
      <c r="Q727" s="76"/>
      <c r="R727" s="76"/>
      <c r="AZ727" s="88">
        <f t="shared" si="23"/>
        <v>0</v>
      </c>
      <c r="BX727" s="88"/>
      <c r="CQ727" s="88"/>
    </row>
    <row r="728" spans="1:96" outlineLevel="1" x14ac:dyDescent="0.15">
      <c r="A728" s="76">
        <v>724</v>
      </c>
      <c r="B728" s="65" t="s">
        <v>1521</v>
      </c>
      <c r="C728" s="65">
        <v>998402117</v>
      </c>
      <c r="D728" s="81" t="str">
        <f t="shared" si="24"/>
        <v>https://portal.dnb.de/opac.htm?method=simpleSearch&amp;cqlMode=true&amp;query=idn%3D998402117</v>
      </c>
      <c r="E728" s="65" t="s">
        <v>1522</v>
      </c>
      <c r="F728" s="76"/>
      <c r="G728" s="78" t="s">
        <v>17</v>
      </c>
      <c r="H728" s="76" t="s">
        <v>50</v>
      </c>
      <c r="I728" s="78" t="s">
        <v>55</v>
      </c>
      <c r="J728" s="78" t="s">
        <v>81</v>
      </c>
      <c r="K728" s="76"/>
      <c r="L728" s="76"/>
      <c r="M728" s="76"/>
      <c r="N728" s="76">
        <v>0</v>
      </c>
      <c r="O728" s="76"/>
      <c r="P728" s="76"/>
      <c r="Q728" s="76"/>
      <c r="R728" s="76"/>
      <c r="W728" s="84" t="s">
        <v>2541</v>
      </c>
      <c r="X728" s="84" t="s">
        <v>2643</v>
      </c>
      <c r="AA728" s="84" t="s">
        <v>2647</v>
      </c>
      <c r="AG728" s="84" t="s">
        <v>2643</v>
      </c>
      <c r="AU728" s="84">
        <v>110</v>
      </c>
      <c r="AY728" s="86" t="s">
        <v>2651</v>
      </c>
      <c r="AZ728" s="88">
        <f t="shared" si="23"/>
        <v>0</v>
      </c>
      <c r="BH728" s="79" t="s">
        <v>2962</v>
      </c>
      <c r="BX728" s="88"/>
      <c r="CQ728" s="88"/>
    </row>
    <row r="729" spans="1:96" outlineLevel="1" x14ac:dyDescent="0.15">
      <c r="A729" s="76">
        <v>725</v>
      </c>
      <c r="B729" s="65" t="s">
        <v>1523</v>
      </c>
      <c r="C729" s="65">
        <v>994662076</v>
      </c>
      <c r="D729" s="81" t="str">
        <f t="shared" si="24"/>
        <v>https://portal.dnb.de/opac.htm?method=simpleSearch&amp;cqlMode=true&amp;query=idn%3D994662076</v>
      </c>
      <c r="E729" s="65" t="s">
        <v>3019</v>
      </c>
      <c r="F729" s="76"/>
      <c r="G729" s="78"/>
      <c r="H729" s="76"/>
      <c r="I729" s="78"/>
      <c r="J729" s="78"/>
      <c r="K729" s="76"/>
      <c r="L729" s="76"/>
      <c r="M729" s="76"/>
      <c r="N729" s="76"/>
      <c r="O729" s="76"/>
      <c r="P729" s="76"/>
      <c r="Q729" s="76"/>
      <c r="R729" s="76"/>
      <c r="AZ729" s="88">
        <f t="shared" si="23"/>
        <v>0</v>
      </c>
      <c r="BX729" s="88"/>
      <c r="CQ729" s="88"/>
    </row>
    <row r="730" spans="1:96" outlineLevel="1" x14ac:dyDescent="0.15">
      <c r="A730" s="76">
        <v>726</v>
      </c>
      <c r="B730" s="65" t="s">
        <v>1525</v>
      </c>
      <c r="C730" s="65">
        <v>999166352</v>
      </c>
      <c r="D730" s="81" t="str">
        <f t="shared" si="24"/>
        <v>https://portal.dnb.de/opac.htm?method=simpleSearch&amp;cqlMode=true&amp;query=idn%3D999166352</v>
      </c>
      <c r="E730" s="65" t="s">
        <v>3019</v>
      </c>
      <c r="F730" s="76"/>
      <c r="G730" s="78"/>
      <c r="H730" s="76"/>
      <c r="I730" s="78"/>
      <c r="J730" s="78"/>
      <c r="K730" s="76"/>
      <c r="L730" s="76"/>
      <c r="M730" s="76"/>
      <c r="N730" s="76"/>
      <c r="O730" s="76"/>
      <c r="P730" s="76"/>
      <c r="Q730" s="76"/>
      <c r="R730" s="76"/>
      <c r="AZ730" s="88">
        <f t="shared" si="23"/>
        <v>0</v>
      </c>
      <c r="BX730" s="88"/>
      <c r="CQ730" s="88"/>
    </row>
    <row r="731" spans="1:96" ht="33.75" outlineLevel="1" x14ac:dyDescent="0.15">
      <c r="A731" s="76">
        <v>727</v>
      </c>
      <c r="B731" s="65" t="s">
        <v>1526</v>
      </c>
      <c r="C731" s="65">
        <v>999418424</v>
      </c>
      <c r="D731" s="81" t="str">
        <f t="shared" si="24"/>
        <v>https://portal.dnb.de/opac.htm?method=simpleSearch&amp;cqlMode=true&amp;query=idn%3D999418424</v>
      </c>
      <c r="E731" s="65" t="s">
        <v>1524</v>
      </c>
      <c r="F731" s="76"/>
      <c r="G731" s="78" t="s">
        <v>2520</v>
      </c>
      <c r="H731" s="76" t="s">
        <v>50</v>
      </c>
      <c r="I731" s="78" t="s">
        <v>90</v>
      </c>
      <c r="J731" s="78"/>
      <c r="K731" s="76"/>
      <c r="L731" s="76" t="s">
        <v>33</v>
      </c>
      <c r="M731" s="76" t="s">
        <v>36</v>
      </c>
      <c r="N731" s="76">
        <v>1</v>
      </c>
      <c r="O731" s="76"/>
      <c r="P731" s="76"/>
      <c r="Q731" s="76"/>
      <c r="R731" s="76"/>
      <c r="X731" s="84" t="s">
        <v>2641</v>
      </c>
      <c r="AA731" s="84" t="s">
        <v>2642</v>
      </c>
      <c r="AG731" s="84" t="s">
        <v>2643</v>
      </c>
      <c r="AU731" s="84">
        <v>60</v>
      </c>
      <c r="AY731" s="86" t="s">
        <v>2644</v>
      </c>
      <c r="AZ731" s="88">
        <f t="shared" si="23"/>
        <v>2.5</v>
      </c>
      <c r="BF731" s="84" t="s">
        <v>2659</v>
      </c>
      <c r="BG731" s="84" t="s">
        <v>2541</v>
      </c>
      <c r="BJ731" s="79" t="s">
        <v>3020</v>
      </c>
      <c r="BK731" s="63" t="s">
        <v>2541</v>
      </c>
      <c r="BM731" s="84" t="s">
        <v>2541</v>
      </c>
      <c r="BX731" s="88">
        <v>1</v>
      </c>
      <c r="BY731" s="79" t="s">
        <v>3021</v>
      </c>
      <c r="BZ731" s="84" t="s">
        <v>2541</v>
      </c>
      <c r="CI731" s="86" t="s">
        <v>3022</v>
      </c>
      <c r="CQ731" s="88">
        <v>1.5</v>
      </c>
      <c r="CR731" s="79" t="s">
        <v>3023</v>
      </c>
    </row>
    <row r="732" spans="1:96" outlineLevel="1" x14ac:dyDescent="0.15">
      <c r="A732" s="76"/>
      <c r="B732" s="65"/>
      <c r="C732" s="65"/>
      <c r="D732" s="81"/>
      <c r="E732" s="65" t="s">
        <v>2597</v>
      </c>
      <c r="F732" s="76" t="s">
        <v>89</v>
      </c>
      <c r="G732" s="78" t="s">
        <v>3</v>
      </c>
      <c r="H732" s="76" t="s">
        <v>50</v>
      </c>
      <c r="I732" s="78" t="s">
        <v>90</v>
      </c>
      <c r="J732" s="78" t="s">
        <v>94</v>
      </c>
      <c r="K732" s="76"/>
      <c r="L732" s="76"/>
      <c r="M732" s="76" t="s">
        <v>101</v>
      </c>
      <c r="N732" s="76">
        <v>0</v>
      </c>
      <c r="O732" s="76"/>
      <c r="P732" s="76" t="s">
        <v>2598</v>
      </c>
      <c r="Q732" s="76"/>
      <c r="R732" s="76"/>
      <c r="AZ732" s="88">
        <f t="shared" si="23"/>
        <v>0</v>
      </c>
      <c r="BX732" s="88"/>
      <c r="CQ732" s="88"/>
    </row>
    <row r="733" spans="1:96" outlineLevel="1" x14ac:dyDescent="0.15">
      <c r="A733" s="76"/>
      <c r="B733" s="65"/>
      <c r="C733" s="65"/>
      <c r="D733" s="81"/>
      <c r="E733" s="65" t="s">
        <v>2599</v>
      </c>
      <c r="F733" s="76" t="s">
        <v>89</v>
      </c>
      <c r="G733" s="78" t="s">
        <v>44</v>
      </c>
      <c r="H733" s="76" t="s">
        <v>50</v>
      </c>
      <c r="I733" s="78" t="s">
        <v>55</v>
      </c>
      <c r="J733" s="78"/>
      <c r="K733" s="76"/>
      <c r="L733" s="76" t="s">
        <v>30</v>
      </c>
      <c r="M733" s="76"/>
      <c r="N733" s="76">
        <v>0</v>
      </c>
      <c r="O733" s="76"/>
      <c r="P733" s="76"/>
      <c r="Q733" s="76"/>
      <c r="R733" s="76"/>
      <c r="X733" s="84" t="s">
        <v>2700</v>
      </c>
      <c r="AG733" s="84" t="s">
        <v>2643</v>
      </c>
      <c r="AU733" s="84">
        <v>180</v>
      </c>
      <c r="AY733" s="86" t="s">
        <v>2651</v>
      </c>
      <c r="AZ733" s="88">
        <f t="shared" si="23"/>
        <v>0</v>
      </c>
      <c r="BE733" s="84" t="s">
        <v>2541</v>
      </c>
      <c r="BX733" s="88"/>
      <c r="CQ733" s="88"/>
    </row>
    <row r="734" spans="1:96" outlineLevel="1" x14ac:dyDescent="0.15">
      <c r="A734" s="76">
        <v>728</v>
      </c>
      <c r="B734" s="65" t="s">
        <v>1527</v>
      </c>
      <c r="C734" s="65" t="s">
        <v>1528</v>
      </c>
      <c r="D734" s="81" t="str">
        <f t="shared" si="24"/>
        <v>https://portal.dnb.de/opac.htm?method=simpleSearch&amp;cqlMode=true&amp;query=idn%3D01831189X</v>
      </c>
      <c r="E734" s="65" t="s">
        <v>1529</v>
      </c>
      <c r="F734" s="76"/>
      <c r="G734" s="78"/>
      <c r="H734" s="76"/>
      <c r="I734" s="78"/>
      <c r="J734" s="78"/>
      <c r="K734" s="76"/>
      <c r="L734" s="76"/>
      <c r="M734" s="76"/>
      <c r="N734" s="76"/>
      <c r="O734" s="76"/>
      <c r="P734" s="76"/>
      <c r="Q734" s="76"/>
      <c r="R734" s="76"/>
      <c r="AZ734" s="88">
        <f t="shared" si="23"/>
        <v>0</v>
      </c>
      <c r="BX734" s="88"/>
      <c r="CQ734" s="88"/>
    </row>
    <row r="735" spans="1:96" ht="56.25" outlineLevel="1" x14ac:dyDescent="0.15">
      <c r="A735" s="76"/>
      <c r="B735" s="65"/>
      <c r="C735" s="65"/>
      <c r="D735" s="81"/>
      <c r="E735" s="65" t="s">
        <v>2956</v>
      </c>
      <c r="F735" s="76"/>
      <c r="G735" s="78"/>
      <c r="H735" s="76" t="s">
        <v>51</v>
      </c>
      <c r="I735" s="78"/>
      <c r="J735" s="78"/>
      <c r="K735" s="76"/>
      <c r="L735" s="76"/>
      <c r="M735" s="76"/>
      <c r="N735" s="76"/>
      <c r="O735" s="76"/>
      <c r="P735" s="76"/>
      <c r="Q735" s="76"/>
      <c r="R735" s="76"/>
      <c r="X735" s="84" t="s">
        <v>2641</v>
      </c>
      <c r="Y735" s="84" t="s">
        <v>2541</v>
      </c>
      <c r="AA735" s="84" t="s">
        <v>2653</v>
      </c>
      <c r="AG735" s="84" t="s">
        <v>2643</v>
      </c>
      <c r="AU735" s="84">
        <v>45</v>
      </c>
      <c r="AY735" s="86" t="s">
        <v>2644</v>
      </c>
      <c r="AZ735" s="88">
        <f t="shared" si="23"/>
        <v>6</v>
      </c>
      <c r="BD735" s="84" t="s">
        <v>2541</v>
      </c>
      <c r="BK735" s="63" t="s">
        <v>2541</v>
      </c>
      <c r="BL735" s="84" t="s">
        <v>2541</v>
      </c>
      <c r="BM735" s="84" t="s">
        <v>2541</v>
      </c>
      <c r="BO735" s="84" t="s">
        <v>2656</v>
      </c>
      <c r="BP735" s="84">
        <v>3</v>
      </c>
      <c r="BX735" s="88">
        <v>6</v>
      </c>
      <c r="BY735" s="79" t="s">
        <v>3024</v>
      </c>
      <c r="CQ735" s="88"/>
    </row>
    <row r="736" spans="1:96" outlineLevel="1" x14ac:dyDescent="0.15">
      <c r="A736" s="76">
        <v>729</v>
      </c>
      <c r="B736" s="65" t="s">
        <v>1530</v>
      </c>
      <c r="C736" s="65">
        <v>1066962448</v>
      </c>
      <c r="D736" s="81" t="str">
        <f t="shared" si="24"/>
        <v>https://portal.dnb.de/opac.htm?method=simpleSearch&amp;cqlMode=true&amp;query=idn%3D1066962448</v>
      </c>
      <c r="E736" s="65" t="s">
        <v>1531</v>
      </c>
      <c r="F736" s="76"/>
      <c r="G736" s="78"/>
      <c r="H736" s="76"/>
      <c r="I736" s="78"/>
      <c r="J736" s="78"/>
      <c r="K736" s="76"/>
      <c r="L736" s="76"/>
      <c r="M736" s="76"/>
      <c r="N736" s="76"/>
      <c r="O736" s="76"/>
      <c r="P736" s="76"/>
      <c r="Q736" s="76"/>
      <c r="R736" s="76"/>
      <c r="AZ736" s="88">
        <f t="shared" si="23"/>
        <v>0</v>
      </c>
      <c r="BX736" s="88"/>
      <c r="CQ736" s="88"/>
    </row>
    <row r="737" spans="1:95" outlineLevel="1" x14ac:dyDescent="0.15">
      <c r="A737" s="76">
        <v>730</v>
      </c>
      <c r="B737" s="65" t="s">
        <v>1532</v>
      </c>
      <c r="C737" s="65" t="s">
        <v>1533</v>
      </c>
      <c r="D737" s="81" t="str">
        <f t="shared" si="24"/>
        <v>https://portal.dnb.de/opac.htm?method=simpleSearch&amp;cqlMode=true&amp;query=idn%3D106676882X</v>
      </c>
      <c r="E737" s="65" t="s">
        <v>1534</v>
      </c>
      <c r="F737" s="76"/>
      <c r="G737" s="78"/>
      <c r="H737" s="76"/>
      <c r="I737" s="78"/>
      <c r="J737" s="78"/>
      <c r="K737" s="76"/>
      <c r="L737" s="76"/>
      <c r="M737" s="76"/>
      <c r="N737" s="76"/>
      <c r="O737" s="76"/>
      <c r="P737" s="76"/>
      <c r="Q737" s="76"/>
      <c r="R737" s="76"/>
      <c r="AZ737" s="88">
        <f t="shared" si="23"/>
        <v>0</v>
      </c>
      <c r="BX737" s="88"/>
      <c r="CQ737" s="88"/>
    </row>
    <row r="738" spans="1:95" outlineLevel="1" x14ac:dyDescent="0.15">
      <c r="A738" s="76">
        <v>731</v>
      </c>
      <c r="B738" s="65" t="s">
        <v>1535</v>
      </c>
      <c r="C738" s="65">
        <v>1066763372</v>
      </c>
      <c r="D738" s="81" t="str">
        <f t="shared" si="24"/>
        <v>https://portal.dnb.de/opac.htm?method=simpleSearch&amp;cqlMode=true&amp;query=idn%3D1066763372</v>
      </c>
      <c r="E738" s="65" t="s">
        <v>1536</v>
      </c>
      <c r="F738" s="76"/>
      <c r="G738" s="78"/>
      <c r="H738" s="76"/>
      <c r="I738" s="78"/>
      <c r="J738" s="78"/>
      <c r="K738" s="76"/>
      <c r="L738" s="76"/>
      <c r="M738" s="76"/>
      <c r="N738" s="76"/>
      <c r="O738" s="76"/>
      <c r="P738" s="76"/>
      <c r="Q738" s="76"/>
      <c r="R738" s="76"/>
      <c r="AZ738" s="88">
        <f t="shared" si="23"/>
        <v>0</v>
      </c>
      <c r="BX738" s="88"/>
      <c r="CQ738" s="88"/>
    </row>
    <row r="739" spans="1:95" outlineLevel="1" x14ac:dyDescent="0.15">
      <c r="A739" s="76">
        <v>732</v>
      </c>
      <c r="B739" s="65" t="s">
        <v>1537</v>
      </c>
      <c r="C739" s="65">
        <v>1066835012</v>
      </c>
      <c r="D739" s="81" t="str">
        <f t="shared" si="24"/>
        <v>https://portal.dnb.de/opac.htm?method=simpleSearch&amp;cqlMode=true&amp;query=idn%3D1066835012</v>
      </c>
      <c r="E739" s="65" t="s">
        <v>1538</v>
      </c>
      <c r="F739" s="76"/>
      <c r="G739" s="78"/>
      <c r="H739" s="76"/>
      <c r="I739" s="78"/>
      <c r="J739" s="78"/>
      <c r="K739" s="76"/>
      <c r="L739" s="76"/>
      <c r="M739" s="76"/>
      <c r="N739" s="76"/>
      <c r="O739" s="76"/>
      <c r="P739" s="76"/>
      <c r="Q739" s="76"/>
      <c r="R739" s="76"/>
      <c r="AZ739" s="88">
        <f t="shared" si="23"/>
        <v>0</v>
      </c>
      <c r="BX739" s="88"/>
      <c r="CQ739" s="88"/>
    </row>
    <row r="740" spans="1:95" ht="22.5" outlineLevel="1" x14ac:dyDescent="0.15">
      <c r="A740" s="76">
        <v>733</v>
      </c>
      <c r="B740" s="65" t="s">
        <v>1539</v>
      </c>
      <c r="C740" s="65">
        <v>1066800642</v>
      </c>
      <c r="D740" s="81" t="str">
        <f t="shared" si="24"/>
        <v>https://portal.dnb.de/opac.htm?method=simpleSearch&amp;cqlMode=true&amp;query=idn%3D1066800642</v>
      </c>
      <c r="E740" s="65" t="s">
        <v>1540</v>
      </c>
      <c r="F740" s="76"/>
      <c r="G740" s="78"/>
      <c r="H740" s="76" t="s">
        <v>51</v>
      </c>
      <c r="I740" s="78"/>
      <c r="J740" s="78"/>
      <c r="K740" s="76"/>
      <c r="L740" s="76"/>
      <c r="M740" s="76"/>
      <c r="N740" s="76"/>
      <c r="O740" s="76"/>
      <c r="P740" s="76"/>
      <c r="Q740" s="76"/>
      <c r="R740" s="76"/>
      <c r="X740" s="84" t="s">
        <v>2652</v>
      </c>
      <c r="Y740" s="84" t="s">
        <v>2541</v>
      </c>
      <c r="AA740" s="84" t="s">
        <v>2653</v>
      </c>
      <c r="AG740" s="84" t="s">
        <v>2643</v>
      </c>
      <c r="AU740" s="84">
        <v>60</v>
      </c>
      <c r="AY740" s="86" t="s">
        <v>2644</v>
      </c>
      <c r="AZ740" s="88">
        <f t="shared" si="23"/>
        <v>2</v>
      </c>
      <c r="BD740" s="84" t="s">
        <v>2541</v>
      </c>
      <c r="BK740" s="63" t="s">
        <v>2541</v>
      </c>
      <c r="BL740" s="84" t="s">
        <v>2541</v>
      </c>
      <c r="BM740" s="84" t="s">
        <v>2541</v>
      </c>
      <c r="BO740" s="84" t="s">
        <v>2656</v>
      </c>
      <c r="BX740" s="88">
        <v>2</v>
      </c>
      <c r="BY740" s="79" t="s">
        <v>3025</v>
      </c>
      <c r="CQ740" s="88"/>
    </row>
    <row r="741" spans="1:95" outlineLevel="1" x14ac:dyDescent="0.15">
      <c r="A741" s="76">
        <v>734</v>
      </c>
      <c r="B741" s="65" t="s">
        <v>1541</v>
      </c>
      <c r="C741" s="65">
        <v>1132641950</v>
      </c>
      <c r="D741" s="81" t="str">
        <f t="shared" si="24"/>
        <v>https://portal.dnb.de/opac.htm?method=simpleSearch&amp;cqlMode=true&amp;query=idn%3D1132641950</v>
      </c>
      <c r="E741" s="65" t="s">
        <v>1542</v>
      </c>
      <c r="F741" s="76"/>
      <c r="G741" s="78"/>
      <c r="H741" s="76" t="s">
        <v>51</v>
      </c>
      <c r="I741" s="78"/>
      <c r="J741" s="78"/>
      <c r="K741" s="76"/>
      <c r="L741" s="76"/>
      <c r="M741" s="76"/>
      <c r="N741" s="76"/>
      <c r="O741" s="76"/>
      <c r="P741" s="76"/>
      <c r="Q741" s="76"/>
      <c r="R741" s="76"/>
      <c r="X741" s="84" t="s">
        <v>2641</v>
      </c>
      <c r="Y741" s="84" t="s">
        <v>2541</v>
      </c>
      <c r="AA741" s="84" t="s">
        <v>2642</v>
      </c>
      <c r="AG741" s="84" t="s">
        <v>2643</v>
      </c>
      <c r="AU741" s="84">
        <v>45</v>
      </c>
      <c r="AY741" s="86" t="s">
        <v>2651</v>
      </c>
      <c r="AZ741" s="88">
        <f t="shared" si="23"/>
        <v>0</v>
      </c>
      <c r="BX741" s="88"/>
      <c r="CQ741" s="88"/>
    </row>
    <row r="742" spans="1:95" outlineLevel="1" x14ac:dyDescent="0.15">
      <c r="A742" s="76">
        <v>735</v>
      </c>
      <c r="B742" s="65" t="s">
        <v>1543</v>
      </c>
      <c r="C742" s="65">
        <v>1132641969</v>
      </c>
      <c r="D742" s="81" t="str">
        <f t="shared" si="24"/>
        <v>https://portal.dnb.de/opac.htm?method=simpleSearch&amp;cqlMode=true&amp;query=idn%3D1132641969</v>
      </c>
      <c r="E742" s="65" t="s">
        <v>2936</v>
      </c>
      <c r="F742" s="76"/>
      <c r="G742" s="78"/>
      <c r="H742" s="76"/>
      <c r="I742" s="78"/>
      <c r="J742" s="78"/>
      <c r="K742" s="76"/>
      <c r="L742" s="76"/>
      <c r="M742" s="76"/>
      <c r="N742" s="76"/>
      <c r="O742" s="76"/>
      <c r="P742" s="76"/>
      <c r="Q742" s="76"/>
      <c r="R742" s="76"/>
      <c r="AZ742" s="88">
        <f t="shared" si="23"/>
        <v>0</v>
      </c>
      <c r="BX742" s="88"/>
      <c r="CQ742" s="88"/>
    </row>
    <row r="743" spans="1:95" outlineLevel="1" x14ac:dyDescent="0.15">
      <c r="A743" s="76">
        <v>736</v>
      </c>
      <c r="B743" s="65" t="s">
        <v>1544</v>
      </c>
      <c r="C743" s="65">
        <v>1066937516</v>
      </c>
      <c r="D743" s="81" t="str">
        <f t="shared" si="24"/>
        <v>https://portal.dnb.de/opac.htm?method=simpleSearch&amp;cqlMode=true&amp;query=idn%3D1066937516</v>
      </c>
      <c r="E743" s="65" t="s">
        <v>1545</v>
      </c>
      <c r="F743" s="76"/>
      <c r="G743" s="78"/>
      <c r="H743" s="76"/>
      <c r="I743" s="78"/>
      <c r="J743" s="78"/>
      <c r="K743" s="76"/>
      <c r="L743" s="76"/>
      <c r="M743" s="76"/>
      <c r="N743" s="76"/>
      <c r="O743" s="76"/>
      <c r="P743" s="76"/>
      <c r="Q743" s="76"/>
      <c r="R743" s="76"/>
      <c r="AZ743" s="88">
        <f t="shared" si="23"/>
        <v>0</v>
      </c>
      <c r="BX743" s="88"/>
      <c r="CQ743" s="88"/>
    </row>
    <row r="744" spans="1:95" outlineLevel="1" x14ac:dyDescent="0.15">
      <c r="A744" s="76">
        <v>737</v>
      </c>
      <c r="B744" s="65" t="s">
        <v>1546</v>
      </c>
      <c r="C744" s="65">
        <v>1066778833</v>
      </c>
      <c r="D744" s="81" t="str">
        <f t="shared" si="24"/>
        <v>https://portal.dnb.de/opac.htm?method=simpleSearch&amp;cqlMode=true&amp;query=idn%3D1066778833</v>
      </c>
      <c r="E744" s="65" t="s">
        <v>1547</v>
      </c>
      <c r="F744" s="76"/>
      <c r="G744" s="78"/>
      <c r="H744" s="76" t="s">
        <v>51</v>
      </c>
      <c r="I744" s="78"/>
      <c r="J744" s="78"/>
      <c r="K744" s="76"/>
      <c r="L744" s="76"/>
      <c r="M744" s="76"/>
      <c r="N744" s="76"/>
      <c r="O744" s="76"/>
      <c r="P744" s="76"/>
      <c r="Q744" s="76"/>
      <c r="R744" s="76"/>
      <c r="X744" s="84" t="s">
        <v>2641</v>
      </c>
      <c r="Z744" s="84" t="s">
        <v>2541</v>
      </c>
      <c r="AA744" s="84" t="s">
        <v>2642</v>
      </c>
      <c r="AG744" s="84" t="s">
        <v>2643</v>
      </c>
      <c r="AU744" s="84">
        <v>110</v>
      </c>
      <c r="AY744" s="86" t="s">
        <v>2651</v>
      </c>
      <c r="AZ744" s="88">
        <f t="shared" si="23"/>
        <v>0</v>
      </c>
      <c r="BB744" s="84" t="s">
        <v>2777</v>
      </c>
      <c r="BX744" s="88"/>
      <c r="CQ744" s="88"/>
    </row>
    <row r="745" spans="1:95" outlineLevel="1" x14ac:dyDescent="0.15">
      <c r="A745" s="76">
        <v>738</v>
      </c>
      <c r="B745" s="65" t="s">
        <v>1548</v>
      </c>
      <c r="C745" s="65">
        <v>993994350</v>
      </c>
      <c r="D745" s="81" t="str">
        <f t="shared" si="24"/>
        <v>https://portal.dnb.de/opac.htm?method=simpleSearch&amp;cqlMode=true&amp;query=idn%3D993994350</v>
      </c>
      <c r="E745" s="65" t="s">
        <v>1549</v>
      </c>
      <c r="F745" s="76"/>
      <c r="G745" s="78"/>
      <c r="H745" s="76"/>
      <c r="I745" s="78"/>
      <c r="J745" s="78"/>
      <c r="K745" s="76"/>
      <c r="L745" s="76"/>
      <c r="M745" s="76"/>
      <c r="N745" s="76"/>
      <c r="O745" s="76"/>
      <c r="P745" s="76"/>
      <c r="Q745" s="76"/>
      <c r="R745" s="76"/>
      <c r="AZ745" s="88">
        <f t="shared" si="23"/>
        <v>0</v>
      </c>
      <c r="BX745" s="88"/>
      <c r="CQ745" s="88"/>
    </row>
    <row r="746" spans="1:95" outlineLevel="1" x14ac:dyDescent="0.15">
      <c r="A746" s="76">
        <v>739</v>
      </c>
      <c r="B746" s="65" t="s">
        <v>1550</v>
      </c>
      <c r="C746" s="65">
        <v>993994253</v>
      </c>
      <c r="D746" s="81" t="str">
        <f t="shared" si="24"/>
        <v>https://portal.dnb.de/opac.htm?method=simpleSearch&amp;cqlMode=true&amp;query=idn%3D993994253</v>
      </c>
      <c r="E746" s="65" t="s">
        <v>1549</v>
      </c>
      <c r="F746" s="76"/>
      <c r="G746" s="78"/>
      <c r="H746" s="76"/>
      <c r="I746" s="78"/>
      <c r="J746" s="78"/>
      <c r="K746" s="76"/>
      <c r="L746" s="76"/>
      <c r="M746" s="76"/>
      <c r="N746" s="76"/>
      <c r="O746" s="76"/>
      <c r="P746" s="76"/>
      <c r="Q746" s="76"/>
      <c r="R746" s="76"/>
      <c r="AZ746" s="88">
        <f t="shared" si="23"/>
        <v>0</v>
      </c>
      <c r="BX746" s="88"/>
      <c r="CQ746" s="88"/>
    </row>
    <row r="747" spans="1:95" outlineLevel="1" x14ac:dyDescent="0.15">
      <c r="A747" s="76">
        <v>740</v>
      </c>
      <c r="B747" s="65" t="s">
        <v>1551</v>
      </c>
      <c r="C747" s="65">
        <v>1075286875</v>
      </c>
      <c r="D747" s="81" t="str">
        <f t="shared" si="24"/>
        <v>https://portal.dnb.de/opac.htm?method=simpleSearch&amp;cqlMode=true&amp;query=idn%3D1075286875</v>
      </c>
      <c r="E747" s="65" t="s">
        <v>1552</v>
      </c>
      <c r="F747" s="76"/>
      <c r="G747" s="78"/>
      <c r="H747" s="76"/>
      <c r="I747" s="78"/>
      <c r="J747" s="78"/>
      <c r="K747" s="76"/>
      <c r="L747" s="76"/>
      <c r="M747" s="76"/>
      <c r="N747" s="76"/>
      <c r="O747" s="76"/>
      <c r="P747" s="76"/>
      <c r="Q747" s="76"/>
      <c r="R747" s="76"/>
      <c r="AZ747" s="88">
        <f t="shared" si="23"/>
        <v>0</v>
      </c>
      <c r="BX747" s="88"/>
      <c r="CQ747" s="88"/>
    </row>
    <row r="748" spans="1:95" ht="33.75" outlineLevel="1" x14ac:dyDescent="0.15">
      <c r="A748" s="76">
        <v>741</v>
      </c>
      <c r="B748" s="65" t="s">
        <v>1553</v>
      </c>
      <c r="C748" s="65">
        <v>1066694087</v>
      </c>
      <c r="D748" s="81" t="str">
        <f t="shared" si="24"/>
        <v>https://portal.dnb.de/opac.htm?method=simpleSearch&amp;cqlMode=true&amp;query=idn%3D1066694087</v>
      </c>
      <c r="E748" s="65" t="s">
        <v>1554</v>
      </c>
      <c r="F748" s="76"/>
      <c r="G748" s="78" t="s">
        <v>2510</v>
      </c>
      <c r="H748" s="76" t="s">
        <v>51</v>
      </c>
      <c r="I748" s="78" t="s">
        <v>90</v>
      </c>
      <c r="J748" s="78" t="s">
        <v>2527</v>
      </c>
      <c r="K748" s="76"/>
      <c r="L748" s="76" t="s">
        <v>34</v>
      </c>
      <c r="M748" s="76" t="s">
        <v>2538</v>
      </c>
      <c r="N748" s="76">
        <v>3</v>
      </c>
      <c r="O748" s="76"/>
      <c r="P748" s="76"/>
      <c r="Q748" s="76"/>
      <c r="R748" s="76"/>
      <c r="AZ748" s="88">
        <f t="shared" si="23"/>
        <v>0</v>
      </c>
      <c r="BX748" s="88"/>
      <c r="CQ748" s="88"/>
    </row>
    <row r="749" spans="1:95" ht="22.5" outlineLevel="1" x14ac:dyDescent="0.15">
      <c r="A749" s="76"/>
      <c r="B749" s="65"/>
      <c r="C749" s="65"/>
      <c r="D749" s="81"/>
      <c r="E749" s="65" t="s">
        <v>2602</v>
      </c>
      <c r="F749" s="76"/>
      <c r="G749" s="78" t="s">
        <v>2510</v>
      </c>
      <c r="H749" s="76"/>
      <c r="I749" s="78"/>
      <c r="J749" s="78"/>
      <c r="K749" s="76"/>
      <c r="L749" s="76" t="s">
        <v>35</v>
      </c>
      <c r="M749" s="76" t="s">
        <v>37</v>
      </c>
      <c r="N749" s="76"/>
      <c r="O749" s="76"/>
      <c r="P749" s="76" t="s">
        <v>2603</v>
      </c>
      <c r="Q749" s="76"/>
      <c r="R749" s="76"/>
      <c r="S749" s="84" t="s">
        <v>2774</v>
      </c>
      <c r="AZ749" s="88">
        <f t="shared" si="23"/>
        <v>0</v>
      </c>
      <c r="BX749" s="88"/>
      <c r="CQ749" s="88"/>
    </row>
    <row r="750" spans="1:95" ht="22.5" outlineLevel="1" x14ac:dyDescent="0.15">
      <c r="A750" s="76">
        <v>742</v>
      </c>
      <c r="B750" s="65" t="s">
        <v>1555</v>
      </c>
      <c r="C750" s="65">
        <v>1066879400</v>
      </c>
      <c r="D750" s="81" t="str">
        <f t="shared" si="24"/>
        <v>https://portal.dnb.de/opac.htm?method=simpleSearch&amp;cqlMode=true&amp;query=idn%3D1066879400</v>
      </c>
      <c r="E750" s="65" t="s">
        <v>1556</v>
      </c>
      <c r="F750" s="76"/>
      <c r="G750" s="78" t="s">
        <v>3</v>
      </c>
      <c r="H750" s="76" t="s">
        <v>50</v>
      </c>
      <c r="I750" s="78" t="s">
        <v>90</v>
      </c>
      <c r="J750" s="78" t="s">
        <v>2515</v>
      </c>
      <c r="K750" s="76"/>
      <c r="L750" s="76"/>
      <c r="M750" s="76" t="s">
        <v>101</v>
      </c>
      <c r="N750" s="76">
        <v>0</v>
      </c>
      <c r="O750" s="76"/>
      <c r="P750" s="76"/>
      <c r="Q750" s="76"/>
      <c r="R750" s="76"/>
      <c r="AZ750" s="88">
        <f t="shared" si="23"/>
        <v>0</v>
      </c>
      <c r="BX750" s="88"/>
      <c r="CQ750" s="88"/>
    </row>
    <row r="751" spans="1:95" outlineLevel="1" x14ac:dyDescent="0.15">
      <c r="A751" s="76">
        <v>743</v>
      </c>
      <c r="B751" s="65" t="s">
        <v>1557</v>
      </c>
      <c r="C751" s="65">
        <v>993993958</v>
      </c>
      <c r="D751" s="81" t="str">
        <f t="shared" si="24"/>
        <v>https://portal.dnb.de/opac.htm?method=simpleSearch&amp;cqlMode=true&amp;query=idn%3D993993958</v>
      </c>
      <c r="E751" s="65" t="s">
        <v>1558</v>
      </c>
      <c r="F751" s="76"/>
      <c r="G751" s="78"/>
      <c r="H751" s="76"/>
      <c r="I751" s="78"/>
      <c r="J751" s="78"/>
      <c r="K751" s="76"/>
      <c r="L751" s="76"/>
      <c r="M751" s="76"/>
      <c r="N751" s="76"/>
      <c r="O751" s="76"/>
      <c r="P751" s="76"/>
      <c r="Q751" s="76"/>
      <c r="R751" s="76"/>
      <c r="AZ751" s="88">
        <f t="shared" si="23"/>
        <v>0</v>
      </c>
      <c r="BX751" s="88"/>
      <c r="CQ751" s="88"/>
    </row>
    <row r="752" spans="1:95" ht="22.5" outlineLevel="1" x14ac:dyDescent="0.15">
      <c r="A752" s="76">
        <v>744</v>
      </c>
      <c r="B752" s="65" t="s">
        <v>1559</v>
      </c>
      <c r="C752" s="65">
        <v>1066752419</v>
      </c>
      <c r="D752" s="81" t="str">
        <f t="shared" si="24"/>
        <v>https://portal.dnb.de/opac.htm?method=simpleSearch&amp;cqlMode=true&amp;query=idn%3D1066752419</v>
      </c>
      <c r="E752" s="65" t="s">
        <v>1560</v>
      </c>
      <c r="F752" s="76" t="s">
        <v>89</v>
      </c>
      <c r="G752" s="78" t="s">
        <v>2518</v>
      </c>
      <c r="H752" s="76" t="s">
        <v>50</v>
      </c>
      <c r="I752" s="78" t="s">
        <v>55</v>
      </c>
      <c r="J752" s="78" t="s">
        <v>81</v>
      </c>
      <c r="K752" s="76"/>
      <c r="L752" s="76" t="s">
        <v>34</v>
      </c>
      <c r="M752" s="76" t="s">
        <v>2538</v>
      </c>
      <c r="N752" s="76">
        <v>0</v>
      </c>
      <c r="O752" s="76"/>
      <c r="P752" s="76" t="s">
        <v>2595</v>
      </c>
      <c r="Q752" s="76"/>
      <c r="R752" s="76"/>
      <c r="AZ752" s="88">
        <f t="shared" si="23"/>
        <v>0</v>
      </c>
      <c r="BX752" s="88"/>
      <c r="CQ752" s="88"/>
    </row>
    <row r="753" spans="1:95" outlineLevel="1" x14ac:dyDescent="0.15">
      <c r="A753" s="76">
        <v>745</v>
      </c>
      <c r="B753" s="65" t="s">
        <v>1561</v>
      </c>
      <c r="C753" s="65">
        <v>1066787409</v>
      </c>
      <c r="D753" s="81" t="str">
        <f t="shared" si="24"/>
        <v>https://portal.dnb.de/opac.htm?method=simpleSearch&amp;cqlMode=true&amp;query=idn%3D1066787409</v>
      </c>
      <c r="E753" s="65" t="s">
        <v>1562</v>
      </c>
      <c r="F753" s="76" t="s">
        <v>89</v>
      </c>
      <c r="G753" s="78" t="s">
        <v>45</v>
      </c>
      <c r="H753" s="76" t="s">
        <v>50</v>
      </c>
      <c r="I753" s="78" t="s">
        <v>90</v>
      </c>
      <c r="J753" s="78" t="s">
        <v>81</v>
      </c>
      <c r="K753" s="76"/>
      <c r="L753" s="76" t="s">
        <v>35</v>
      </c>
      <c r="M753" s="76" t="s">
        <v>37</v>
      </c>
      <c r="N753" s="76">
        <v>0</v>
      </c>
      <c r="O753" s="76"/>
      <c r="P753" s="76"/>
      <c r="Q753" s="76"/>
      <c r="R753" s="76"/>
      <c r="AZ753" s="88">
        <f t="shared" si="23"/>
        <v>0</v>
      </c>
      <c r="BX753" s="88"/>
      <c r="CQ753" s="88"/>
    </row>
    <row r="754" spans="1:95" ht="22.5" outlineLevel="1" x14ac:dyDescent="0.15">
      <c r="A754" s="76">
        <v>746</v>
      </c>
      <c r="B754" s="65" t="s">
        <v>1563</v>
      </c>
      <c r="C754" s="65">
        <v>1066787018</v>
      </c>
      <c r="D754" s="81" t="str">
        <f t="shared" si="24"/>
        <v>https://portal.dnb.de/opac.htm?method=simpleSearch&amp;cqlMode=true&amp;query=idn%3D1066787018</v>
      </c>
      <c r="E754" s="65" t="s">
        <v>1564</v>
      </c>
      <c r="F754" s="76" t="s">
        <v>89</v>
      </c>
      <c r="G754" s="78" t="s">
        <v>2510</v>
      </c>
      <c r="H754" s="76" t="s">
        <v>50</v>
      </c>
      <c r="I754" s="78" t="s">
        <v>90</v>
      </c>
      <c r="J754" s="78" t="s">
        <v>81</v>
      </c>
      <c r="K754" s="76"/>
      <c r="L754" s="76" t="s">
        <v>34</v>
      </c>
      <c r="M754" s="76" t="s">
        <v>2538</v>
      </c>
      <c r="N754" s="76">
        <v>1</v>
      </c>
      <c r="O754" s="76"/>
      <c r="P754" s="76" t="s">
        <v>2595</v>
      </c>
      <c r="Q754" s="76"/>
      <c r="R754" s="76"/>
      <c r="X754" s="84" t="s">
        <v>2697</v>
      </c>
      <c r="Y754" s="84" t="s">
        <v>2541</v>
      </c>
      <c r="AA754" s="84" t="s">
        <v>2647</v>
      </c>
      <c r="AG754" s="84" t="s">
        <v>2643</v>
      </c>
      <c r="AU754" s="84">
        <v>80</v>
      </c>
      <c r="AY754" s="86" t="s">
        <v>2651</v>
      </c>
      <c r="AZ754" s="88">
        <f t="shared" si="23"/>
        <v>0</v>
      </c>
      <c r="BD754" s="84" t="s">
        <v>2541</v>
      </c>
      <c r="BX754" s="88"/>
      <c r="CQ754" s="88"/>
    </row>
    <row r="755" spans="1:95" ht="22.5" outlineLevel="1" x14ac:dyDescent="0.15">
      <c r="A755" s="76">
        <v>747</v>
      </c>
      <c r="B755" s="65" t="s">
        <v>1565</v>
      </c>
      <c r="C755" s="65">
        <v>1066849463</v>
      </c>
      <c r="D755" s="81" t="str">
        <f t="shared" si="24"/>
        <v>https://portal.dnb.de/opac.htm?method=simpleSearch&amp;cqlMode=true&amp;query=idn%3D1066849463</v>
      </c>
      <c r="E755" s="65" t="s">
        <v>1566</v>
      </c>
      <c r="F755" s="76" t="s">
        <v>89</v>
      </c>
      <c r="G755" s="78" t="s">
        <v>2518</v>
      </c>
      <c r="H755" s="76" t="s">
        <v>50</v>
      </c>
      <c r="I755" s="78" t="s">
        <v>90</v>
      </c>
      <c r="J755" s="78" t="s">
        <v>81</v>
      </c>
      <c r="K755" s="76"/>
      <c r="L755" s="76" t="s">
        <v>34</v>
      </c>
      <c r="M755" s="76" t="s">
        <v>2538</v>
      </c>
      <c r="N755" s="76">
        <v>1</v>
      </c>
      <c r="O755" s="76"/>
      <c r="P755" s="76"/>
      <c r="Q755" s="76"/>
      <c r="R755" s="76"/>
      <c r="AZ755" s="88">
        <f t="shared" si="23"/>
        <v>0</v>
      </c>
      <c r="BX755" s="88"/>
      <c r="CQ755" s="88"/>
    </row>
    <row r="756" spans="1:95" outlineLevel="1" x14ac:dyDescent="0.15">
      <c r="A756" s="76">
        <v>748</v>
      </c>
      <c r="B756" s="65" t="s">
        <v>1567</v>
      </c>
      <c r="C756" s="65">
        <v>1066834903</v>
      </c>
      <c r="D756" s="81" t="str">
        <f t="shared" si="24"/>
        <v>https://portal.dnb.de/opac.htm?method=simpleSearch&amp;cqlMode=true&amp;query=idn%3D1066834903</v>
      </c>
      <c r="E756" s="65" t="s">
        <v>1568</v>
      </c>
      <c r="F756" s="76"/>
      <c r="G756" s="78"/>
      <c r="H756" s="76" t="s">
        <v>51</v>
      </c>
      <c r="I756" s="78"/>
      <c r="J756" s="78"/>
      <c r="K756" s="76"/>
      <c r="L756" s="76"/>
      <c r="M756" s="76"/>
      <c r="N756" s="76"/>
      <c r="O756" s="76"/>
      <c r="P756" s="76"/>
      <c r="Q756" s="76"/>
      <c r="R756" s="76"/>
      <c r="X756" s="84" t="s">
        <v>2646</v>
      </c>
      <c r="Z756" s="84" t="s">
        <v>2541</v>
      </c>
      <c r="AA756" s="84" t="s">
        <v>2647</v>
      </c>
      <c r="AG756" s="84" t="s">
        <v>2643</v>
      </c>
      <c r="AU756" s="84" t="s">
        <v>2776</v>
      </c>
      <c r="AY756" s="86" t="s">
        <v>2651</v>
      </c>
      <c r="AZ756" s="88">
        <f t="shared" si="23"/>
        <v>0</v>
      </c>
      <c r="BB756" s="84" t="s">
        <v>2777</v>
      </c>
      <c r="BH756" s="79" t="s">
        <v>2938</v>
      </c>
      <c r="BI756" s="63" t="s">
        <v>2939</v>
      </c>
      <c r="BX756" s="88"/>
      <c r="CQ756" s="88"/>
    </row>
    <row r="757" spans="1:95" ht="33.75" outlineLevel="1" x14ac:dyDescent="0.15">
      <c r="A757" s="76">
        <v>749</v>
      </c>
      <c r="B757" s="65" t="s">
        <v>1569</v>
      </c>
      <c r="C757" s="65">
        <v>1066859361</v>
      </c>
      <c r="D757" s="81" t="str">
        <f t="shared" si="24"/>
        <v>https://portal.dnb.de/opac.htm?method=simpleSearch&amp;cqlMode=true&amp;query=idn%3D1066859361</v>
      </c>
      <c r="E757" s="65" t="s">
        <v>1570</v>
      </c>
      <c r="F757" s="76" t="s">
        <v>89</v>
      </c>
      <c r="G757" s="78" t="s">
        <v>4</v>
      </c>
      <c r="H757" s="76" t="s">
        <v>50</v>
      </c>
      <c r="I757" s="78" t="s">
        <v>90</v>
      </c>
      <c r="J757" s="78" t="s">
        <v>2513</v>
      </c>
      <c r="K757" s="76"/>
      <c r="L757" s="76" t="s">
        <v>35</v>
      </c>
      <c r="M757" s="76" t="s">
        <v>37</v>
      </c>
      <c r="N757" s="76">
        <v>0</v>
      </c>
      <c r="O757" s="76"/>
      <c r="P757" s="76"/>
      <c r="Q757" s="76"/>
      <c r="R757" s="76"/>
      <c r="AZ757" s="88">
        <f t="shared" si="23"/>
        <v>0</v>
      </c>
      <c r="BX757" s="88"/>
      <c r="CQ757" s="88"/>
    </row>
    <row r="758" spans="1:95" outlineLevel="1" x14ac:dyDescent="0.15">
      <c r="A758" s="76">
        <v>750</v>
      </c>
      <c r="B758" s="65" t="s">
        <v>1571</v>
      </c>
      <c r="C758" s="65">
        <v>1066850437</v>
      </c>
      <c r="D758" s="81" t="str">
        <f t="shared" si="24"/>
        <v>https://portal.dnb.de/opac.htm?method=simpleSearch&amp;cqlMode=true&amp;query=idn%3D1066850437</v>
      </c>
      <c r="E758" s="65" t="s">
        <v>1572</v>
      </c>
      <c r="F758" s="76"/>
      <c r="G758" s="78"/>
      <c r="H758" s="76" t="s">
        <v>52</v>
      </c>
      <c r="I758" s="78"/>
      <c r="J758" s="78"/>
      <c r="K758" s="76"/>
      <c r="L758" s="76"/>
      <c r="M758" s="76"/>
      <c r="N758" s="76"/>
      <c r="O758" s="76"/>
      <c r="P758" s="76"/>
      <c r="Q758" s="76"/>
      <c r="R758" s="76"/>
      <c r="X758" s="84" t="s">
        <v>2646</v>
      </c>
      <c r="Y758" s="84" t="s">
        <v>2541</v>
      </c>
      <c r="AA758" s="84" t="s">
        <v>2675</v>
      </c>
      <c r="AG758" s="84" t="s">
        <v>2643</v>
      </c>
      <c r="AU758" s="84">
        <v>110</v>
      </c>
      <c r="AY758" s="86" t="s">
        <v>2651</v>
      </c>
      <c r="AZ758" s="88">
        <f t="shared" si="23"/>
        <v>0</v>
      </c>
      <c r="BX758" s="88"/>
      <c r="CQ758" s="88"/>
    </row>
    <row r="759" spans="1:95" ht="22.5" outlineLevel="1" x14ac:dyDescent="0.15">
      <c r="A759" s="76">
        <v>751</v>
      </c>
      <c r="B759" s="65" t="s">
        <v>1573</v>
      </c>
      <c r="C759" s="65">
        <v>1066753873</v>
      </c>
      <c r="D759" s="81" t="str">
        <f t="shared" si="24"/>
        <v>https://portal.dnb.de/opac.htm?method=simpleSearch&amp;cqlMode=true&amp;query=idn%3D1066753873</v>
      </c>
      <c r="E759" s="65" t="s">
        <v>1574</v>
      </c>
      <c r="F759" s="76" t="s">
        <v>89</v>
      </c>
      <c r="G759" s="78" t="s">
        <v>2518</v>
      </c>
      <c r="H759" s="76" t="s">
        <v>50</v>
      </c>
      <c r="I759" s="78" t="s">
        <v>90</v>
      </c>
      <c r="J759" s="78" t="s">
        <v>81</v>
      </c>
      <c r="K759" s="76"/>
      <c r="L759" s="76" t="s">
        <v>34</v>
      </c>
      <c r="M759" s="76" t="s">
        <v>2538</v>
      </c>
      <c r="N759" s="76">
        <v>0</v>
      </c>
      <c r="O759" s="76"/>
      <c r="P759" s="76" t="s">
        <v>2595</v>
      </c>
      <c r="Q759" s="76"/>
      <c r="R759" s="76"/>
      <c r="AZ759" s="88">
        <f t="shared" si="23"/>
        <v>0</v>
      </c>
      <c r="BX759" s="88"/>
      <c r="CQ759" s="88"/>
    </row>
    <row r="760" spans="1:95" outlineLevel="1" x14ac:dyDescent="0.15">
      <c r="A760" s="76">
        <v>752</v>
      </c>
      <c r="B760" s="65" t="s">
        <v>1575</v>
      </c>
      <c r="C760" s="65">
        <v>1066777330</v>
      </c>
      <c r="D760" s="81" t="str">
        <f t="shared" si="24"/>
        <v>https://portal.dnb.de/opac.htm?method=simpleSearch&amp;cqlMode=true&amp;query=idn%3D1066777330</v>
      </c>
      <c r="E760" s="65" t="s">
        <v>1576</v>
      </c>
      <c r="F760" s="76" t="s">
        <v>89</v>
      </c>
      <c r="G760" s="78" t="s">
        <v>16</v>
      </c>
      <c r="H760" s="76" t="s">
        <v>50</v>
      </c>
      <c r="I760" s="78" t="s">
        <v>90</v>
      </c>
      <c r="J760" s="78" t="s">
        <v>81</v>
      </c>
      <c r="K760" s="76"/>
      <c r="L760" s="76"/>
      <c r="M760" s="76" t="s">
        <v>101</v>
      </c>
      <c r="N760" s="76">
        <v>0</v>
      </c>
      <c r="O760" s="76"/>
      <c r="P760" s="76" t="s">
        <v>2595</v>
      </c>
      <c r="Q760" s="76"/>
      <c r="R760" s="76"/>
      <c r="AZ760" s="88">
        <f t="shared" si="23"/>
        <v>0</v>
      </c>
      <c r="BX760" s="88"/>
      <c r="CQ760" s="88"/>
    </row>
    <row r="761" spans="1:95" ht="22.5" outlineLevel="1" x14ac:dyDescent="0.15">
      <c r="A761" s="76">
        <v>753</v>
      </c>
      <c r="B761" s="65" t="s">
        <v>1577</v>
      </c>
      <c r="C761" s="65">
        <v>1066940746</v>
      </c>
      <c r="D761" s="81" t="str">
        <f t="shared" si="24"/>
        <v>https://portal.dnb.de/opac.htm?method=simpleSearch&amp;cqlMode=true&amp;query=idn%3D1066940746</v>
      </c>
      <c r="E761" s="65" t="s">
        <v>1578</v>
      </c>
      <c r="F761" s="76" t="s">
        <v>89</v>
      </c>
      <c r="G761" s="78" t="s">
        <v>2518</v>
      </c>
      <c r="H761" s="76" t="s">
        <v>50</v>
      </c>
      <c r="I761" s="78" t="s">
        <v>90</v>
      </c>
      <c r="J761" s="78" t="s">
        <v>81</v>
      </c>
      <c r="K761" s="76"/>
      <c r="L761" s="76" t="s">
        <v>34</v>
      </c>
      <c r="M761" s="76" t="s">
        <v>2538</v>
      </c>
      <c r="N761" s="76">
        <v>0</v>
      </c>
      <c r="O761" s="76"/>
      <c r="P761" s="76"/>
      <c r="Q761" s="76"/>
      <c r="R761" s="76"/>
      <c r="AZ761" s="88">
        <f t="shared" si="23"/>
        <v>0</v>
      </c>
      <c r="BX761" s="88"/>
      <c r="CQ761" s="88"/>
    </row>
    <row r="762" spans="1:95" ht="22.5" outlineLevel="1" x14ac:dyDescent="0.15">
      <c r="A762" s="76">
        <v>754</v>
      </c>
      <c r="B762" s="65" t="s">
        <v>1579</v>
      </c>
      <c r="C762" s="65">
        <v>1066933766</v>
      </c>
      <c r="D762" s="81" t="str">
        <f t="shared" si="24"/>
        <v>https://portal.dnb.de/opac.htm?method=simpleSearch&amp;cqlMode=true&amp;query=idn%3D1066933766</v>
      </c>
      <c r="E762" s="65" t="s">
        <v>1580</v>
      </c>
      <c r="F762" s="76" t="s">
        <v>89</v>
      </c>
      <c r="G762" s="78" t="s">
        <v>2516</v>
      </c>
      <c r="H762" s="76" t="s">
        <v>51</v>
      </c>
      <c r="I762" s="78" t="s">
        <v>55</v>
      </c>
      <c r="J762" s="78" t="s">
        <v>81</v>
      </c>
      <c r="K762" s="76"/>
      <c r="L762" s="76" t="s">
        <v>34</v>
      </c>
      <c r="M762" s="76" t="s">
        <v>37</v>
      </c>
      <c r="N762" s="76"/>
      <c r="O762" s="76"/>
      <c r="P762" s="76"/>
      <c r="Q762" s="76"/>
      <c r="R762" s="76"/>
      <c r="X762" s="84" t="s">
        <v>2652</v>
      </c>
      <c r="Y762" s="84" t="s">
        <v>2541</v>
      </c>
      <c r="AA762" s="84" t="s">
        <v>2647</v>
      </c>
      <c r="AG762" s="84" t="s">
        <v>2643</v>
      </c>
      <c r="AU762" s="84">
        <v>60</v>
      </c>
      <c r="AY762" s="86" t="s">
        <v>2651</v>
      </c>
      <c r="AZ762" s="88">
        <f t="shared" si="23"/>
        <v>0</v>
      </c>
      <c r="BD762" s="84" t="s">
        <v>2541</v>
      </c>
      <c r="BH762" s="79" t="s">
        <v>2962</v>
      </c>
      <c r="BX762" s="88"/>
      <c r="CQ762" s="88"/>
    </row>
    <row r="763" spans="1:95" ht="22.5" outlineLevel="1" x14ac:dyDescent="0.15">
      <c r="A763" s="76">
        <v>755</v>
      </c>
      <c r="B763" s="65" t="s">
        <v>1581</v>
      </c>
      <c r="C763" s="65">
        <v>1066876231</v>
      </c>
      <c r="D763" s="81" t="str">
        <f t="shared" si="24"/>
        <v>https://portal.dnb.de/opac.htm?method=simpleSearch&amp;cqlMode=true&amp;query=idn%3D1066876231</v>
      </c>
      <c r="E763" s="65" t="s">
        <v>1582</v>
      </c>
      <c r="F763" s="76"/>
      <c r="G763" s="78" t="s">
        <v>2510</v>
      </c>
      <c r="H763" s="76" t="s">
        <v>51</v>
      </c>
      <c r="I763" s="78" t="s">
        <v>55</v>
      </c>
      <c r="J763" s="78" t="s">
        <v>94</v>
      </c>
      <c r="K763" s="76"/>
      <c r="L763" s="76"/>
      <c r="M763" s="76"/>
      <c r="N763" s="76">
        <v>2</v>
      </c>
      <c r="O763" s="76"/>
      <c r="P763" s="76"/>
      <c r="Q763" s="76"/>
      <c r="R763" s="76"/>
      <c r="X763" s="84" t="s">
        <v>2697</v>
      </c>
      <c r="Y763" s="84" t="s">
        <v>2541</v>
      </c>
      <c r="AA763" s="84" t="s">
        <v>2653</v>
      </c>
      <c r="AG763" s="84" t="s">
        <v>2643</v>
      </c>
      <c r="AU763" s="84">
        <v>0</v>
      </c>
      <c r="AY763" s="86" t="s">
        <v>2651</v>
      </c>
      <c r="AZ763" s="88">
        <f t="shared" si="23"/>
        <v>0</v>
      </c>
      <c r="BX763" s="88"/>
      <c r="CQ763" s="88"/>
    </row>
    <row r="764" spans="1:95" ht="33.75" outlineLevel="1" x14ac:dyDescent="0.15">
      <c r="A764" s="76">
        <v>756</v>
      </c>
      <c r="B764" s="65" t="s">
        <v>1583</v>
      </c>
      <c r="C764" s="65">
        <v>1066488770</v>
      </c>
      <c r="D764" s="81" t="str">
        <f t="shared" si="24"/>
        <v>https://portal.dnb.de/opac.htm?method=simpleSearch&amp;cqlMode=true&amp;query=idn%3D1066488770</v>
      </c>
      <c r="E764" s="65" t="s">
        <v>1584</v>
      </c>
      <c r="F764" s="76" t="s">
        <v>89</v>
      </c>
      <c r="G764" s="78" t="s">
        <v>4</v>
      </c>
      <c r="H764" s="76" t="s">
        <v>50</v>
      </c>
      <c r="I764" s="78" t="s">
        <v>90</v>
      </c>
      <c r="J764" s="78" t="s">
        <v>2513</v>
      </c>
      <c r="K764" s="76"/>
      <c r="L764" s="76"/>
      <c r="M764" s="76" t="s">
        <v>101</v>
      </c>
      <c r="N764" s="76">
        <v>0</v>
      </c>
      <c r="O764" s="76"/>
      <c r="P764" s="76"/>
      <c r="Q764" s="76"/>
      <c r="R764" s="76"/>
      <c r="AZ764" s="88">
        <f t="shared" si="23"/>
        <v>0</v>
      </c>
      <c r="BX764" s="88"/>
      <c r="CQ764" s="88"/>
    </row>
    <row r="765" spans="1:95" outlineLevel="1" x14ac:dyDescent="0.15">
      <c r="A765" s="76">
        <v>757</v>
      </c>
      <c r="B765" s="65" t="s">
        <v>1585</v>
      </c>
      <c r="C765" s="65">
        <v>1066937478</v>
      </c>
      <c r="D765" s="81" t="str">
        <f t="shared" si="24"/>
        <v>https://portal.dnb.de/opac.htm?method=simpleSearch&amp;cqlMode=true&amp;query=idn%3D1066937478</v>
      </c>
      <c r="E765" s="65" t="s">
        <v>1586</v>
      </c>
      <c r="F765" s="76" t="s">
        <v>89</v>
      </c>
      <c r="G765" s="78" t="s">
        <v>45</v>
      </c>
      <c r="H765" s="76" t="s">
        <v>50</v>
      </c>
      <c r="I765" s="78" t="s">
        <v>90</v>
      </c>
      <c r="J765" s="78" t="s">
        <v>81</v>
      </c>
      <c r="K765" s="76"/>
      <c r="L765" s="76"/>
      <c r="M765" s="76"/>
      <c r="N765" s="76">
        <v>0</v>
      </c>
      <c r="O765" s="76"/>
      <c r="P765" s="76"/>
      <c r="Q765" s="76"/>
      <c r="R765" s="76"/>
      <c r="AZ765" s="88">
        <f t="shared" si="23"/>
        <v>0</v>
      </c>
      <c r="BX765" s="88"/>
      <c r="CQ765" s="88"/>
    </row>
    <row r="766" spans="1:95" ht="33.75" outlineLevel="1" x14ac:dyDescent="0.15">
      <c r="A766" s="76">
        <v>758</v>
      </c>
      <c r="B766" s="65" t="s">
        <v>1587</v>
      </c>
      <c r="C766" s="65">
        <v>1066488940</v>
      </c>
      <c r="D766" s="81" t="str">
        <f t="shared" ref="D766:D773" si="25">HYPERLINK(CONCATENATE("https://portal.dnb.de/opac.htm?method=simpleSearch&amp;cqlMode=true&amp;query=idn%3D",C766))</f>
        <v>https://portal.dnb.de/opac.htm?method=simpleSearch&amp;cqlMode=true&amp;query=idn%3D1066488940</v>
      </c>
      <c r="E766" s="65" t="s">
        <v>1588</v>
      </c>
      <c r="F766" s="76" t="s">
        <v>89</v>
      </c>
      <c r="G766" s="78" t="s">
        <v>2510</v>
      </c>
      <c r="H766" s="76" t="s">
        <v>50</v>
      </c>
      <c r="I766" s="78" t="s">
        <v>86</v>
      </c>
      <c r="J766" s="78" t="s">
        <v>2513</v>
      </c>
      <c r="K766" s="76"/>
      <c r="L766" s="76" t="s">
        <v>35</v>
      </c>
      <c r="M766" s="76" t="s">
        <v>37</v>
      </c>
      <c r="N766" s="76">
        <v>0</v>
      </c>
      <c r="O766" s="76"/>
      <c r="P766" s="76"/>
      <c r="Q766" s="76"/>
      <c r="R766" s="76"/>
      <c r="AZ766" s="88">
        <f t="shared" si="23"/>
        <v>0</v>
      </c>
      <c r="BX766" s="88"/>
      <c r="CQ766" s="88"/>
    </row>
    <row r="767" spans="1:95" ht="22.5" outlineLevel="1" x14ac:dyDescent="0.15">
      <c r="A767" s="76">
        <v>759</v>
      </c>
      <c r="B767" s="65" t="s">
        <v>1589</v>
      </c>
      <c r="C767" s="65" t="s">
        <v>1590</v>
      </c>
      <c r="D767" s="81" t="str">
        <f t="shared" si="25"/>
        <v>https://portal.dnb.de/opac.htm?method=simpleSearch&amp;cqlMode=true&amp;query=idn%3D106693505X</v>
      </c>
      <c r="E767" s="65" t="s">
        <v>1591</v>
      </c>
      <c r="F767" s="76" t="s">
        <v>89</v>
      </c>
      <c r="G767" s="78" t="s">
        <v>4</v>
      </c>
      <c r="H767" s="76" t="s">
        <v>50</v>
      </c>
      <c r="I767" s="78" t="s">
        <v>86</v>
      </c>
      <c r="J767" s="78" t="s">
        <v>2515</v>
      </c>
      <c r="K767" s="76"/>
      <c r="L767" s="76"/>
      <c r="M767" s="76" t="s">
        <v>101</v>
      </c>
      <c r="N767" s="76">
        <v>0</v>
      </c>
      <c r="O767" s="76"/>
      <c r="P767" s="76"/>
      <c r="Q767" s="76"/>
      <c r="R767" s="76"/>
      <c r="AZ767" s="88">
        <f t="shared" si="23"/>
        <v>0</v>
      </c>
      <c r="BX767" s="88"/>
      <c r="CQ767" s="88"/>
    </row>
    <row r="768" spans="1:95" ht="22.5" outlineLevel="1" x14ac:dyDescent="0.15">
      <c r="A768" s="76">
        <v>760</v>
      </c>
      <c r="B768" s="65" t="s">
        <v>1592</v>
      </c>
      <c r="C768" s="65">
        <v>1066941742</v>
      </c>
      <c r="D768" s="81" t="str">
        <f t="shared" si="25"/>
        <v>https://portal.dnb.de/opac.htm?method=simpleSearch&amp;cqlMode=true&amp;query=idn%3D1066941742</v>
      </c>
      <c r="E768" s="65" t="s">
        <v>1593</v>
      </c>
      <c r="F768" s="76" t="s">
        <v>89</v>
      </c>
      <c r="G768" s="78" t="s">
        <v>2510</v>
      </c>
      <c r="H768" s="76" t="s">
        <v>51</v>
      </c>
      <c r="I768" s="78" t="s">
        <v>90</v>
      </c>
      <c r="J768" s="78" t="s">
        <v>94</v>
      </c>
      <c r="K768" s="76"/>
      <c r="L768" s="76" t="s">
        <v>34</v>
      </c>
      <c r="M768" s="76" t="s">
        <v>37</v>
      </c>
      <c r="N768" s="76">
        <v>2</v>
      </c>
      <c r="O768" s="76" t="s">
        <v>43</v>
      </c>
      <c r="P768" s="76"/>
      <c r="Q768" s="76"/>
      <c r="R768" s="76"/>
      <c r="AZ768" s="88">
        <f t="shared" ref="AZ768:AZ831" si="26">BX768+CQ768</f>
        <v>0</v>
      </c>
      <c r="BX768" s="88"/>
      <c r="CQ768" s="88"/>
    </row>
    <row r="769" spans="1:95" outlineLevel="1" x14ac:dyDescent="0.15">
      <c r="A769" s="76">
        <v>761</v>
      </c>
      <c r="B769" s="65" t="s">
        <v>1594</v>
      </c>
      <c r="C769" s="65">
        <v>1066870756</v>
      </c>
      <c r="D769" s="81" t="str">
        <f t="shared" si="25"/>
        <v>https://portal.dnb.de/opac.htm?method=simpleSearch&amp;cqlMode=true&amp;query=idn%3D1066870756</v>
      </c>
      <c r="E769" s="65" t="s">
        <v>1595</v>
      </c>
      <c r="F769" s="76" t="s">
        <v>89</v>
      </c>
      <c r="G769" s="78" t="s">
        <v>5</v>
      </c>
      <c r="H769" s="76" t="s">
        <v>50</v>
      </c>
      <c r="I769" s="78" t="s">
        <v>90</v>
      </c>
      <c r="J769" s="78" t="s">
        <v>81</v>
      </c>
      <c r="K769" s="76"/>
      <c r="L769" s="76"/>
      <c r="M769" s="76" t="s">
        <v>101</v>
      </c>
      <c r="N769" s="76">
        <v>0</v>
      </c>
      <c r="O769" s="76"/>
      <c r="P769" s="76"/>
      <c r="Q769" s="76"/>
      <c r="R769" s="76"/>
      <c r="AZ769" s="88">
        <f t="shared" si="26"/>
        <v>0</v>
      </c>
      <c r="BX769" s="88"/>
      <c r="CQ769" s="88"/>
    </row>
    <row r="770" spans="1:95" outlineLevel="1" x14ac:dyDescent="0.15">
      <c r="A770" s="76">
        <v>762</v>
      </c>
      <c r="B770" s="65" t="s">
        <v>1596</v>
      </c>
      <c r="C770" s="65">
        <v>1066674361</v>
      </c>
      <c r="D770" s="81" t="str">
        <f t="shared" si="25"/>
        <v>https://portal.dnb.de/opac.htm?method=simpleSearch&amp;cqlMode=true&amp;query=idn%3D1066674361</v>
      </c>
      <c r="E770" s="65" t="s">
        <v>1597</v>
      </c>
      <c r="F770" s="76"/>
      <c r="G770" s="78" t="s">
        <v>45</v>
      </c>
      <c r="H770" s="76" t="s">
        <v>51</v>
      </c>
      <c r="I770" s="78" t="s">
        <v>55</v>
      </c>
      <c r="J770" s="78" t="s">
        <v>81</v>
      </c>
      <c r="K770" s="76"/>
      <c r="L770" s="76" t="s">
        <v>35</v>
      </c>
      <c r="M770" s="76" t="s">
        <v>37</v>
      </c>
      <c r="N770" s="76">
        <v>0</v>
      </c>
      <c r="O770" s="76"/>
      <c r="P770" s="76"/>
      <c r="Q770" s="76"/>
      <c r="R770" s="76"/>
      <c r="AZ770" s="88">
        <f t="shared" si="26"/>
        <v>0</v>
      </c>
      <c r="BX770" s="88"/>
      <c r="CQ770" s="88"/>
    </row>
    <row r="771" spans="1:95" outlineLevel="1" x14ac:dyDescent="0.15">
      <c r="A771" s="76">
        <v>763</v>
      </c>
      <c r="B771" s="65" t="s">
        <v>1598</v>
      </c>
      <c r="C771" s="65">
        <v>1066873933</v>
      </c>
      <c r="D771" s="81" t="str">
        <f t="shared" si="25"/>
        <v>https://portal.dnb.de/opac.htm?method=simpleSearch&amp;cqlMode=true&amp;query=idn%3D1066873933</v>
      </c>
      <c r="E771" s="65" t="s">
        <v>1599</v>
      </c>
      <c r="F771" s="76" t="s">
        <v>89</v>
      </c>
      <c r="G771" s="78" t="s">
        <v>17</v>
      </c>
      <c r="H771" s="76" t="s">
        <v>50</v>
      </c>
      <c r="I771" s="78" t="s">
        <v>90</v>
      </c>
      <c r="J771" s="78" t="s">
        <v>2509</v>
      </c>
      <c r="K771" s="76"/>
      <c r="L771" s="76"/>
      <c r="M771" s="76" t="s">
        <v>101</v>
      </c>
      <c r="N771" s="76">
        <v>0</v>
      </c>
      <c r="O771" s="76"/>
      <c r="P771" s="76"/>
      <c r="Q771" s="76"/>
      <c r="R771" s="76"/>
      <c r="AZ771" s="88">
        <f t="shared" si="26"/>
        <v>0</v>
      </c>
      <c r="BX771" s="88"/>
      <c r="CQ771" s="88"/>
    </row>
    <row r="772" spans="1:95" ht="22.5" outlineLevel="1" x14ac:dyDescent="0.15">
      <c r="A772" s="76">
        <v>764</v>
      </c>
      <c r="B772" s="65" t="s">
        <v>1600</v>
      </c>
      <c r="C772" s="65">
        <v>1066851433</v>
      </c>
      <c r="D772" s="81" t="str">
        <f t="shared" si="25"/>
        <v>https://portal.dnb.de/opac.htm?method=simpleSearch&amp;cqlMode=true&amp;query=idn%3D1066851433</v>
      </c>
      <c r="E772" s="65" t="s">
        <v>1601</v>
      </c>
      <c r="F772" s="76" t="s">
        <v>89</v>
      </c>
      <c r="G772" s="78" t="s">
        <v>2516</v>
      </c>
      <c r="H772" s="76" t="s">
        <v>51</v>
      </c>
      <c r="I772" s="78" t="s">
        <v>55</v>
      </c>
      <c r="J772" s="78" t="s">
        <v>81</v>
      </c>
      <c r="K772" s="76"/>
      <c r="L772" s="76" t="s">
        <v>34</v>
      </c>
      <c r="M772" s="76" t="s">
        <v>37</v>
      </c>
      <c r="N772" s="76">
        <v>2</v>
      </c>
      <c r="O772" s="76"/>
      <c r="P772" s="76"/>
      <c r="Q772" s="76"/>
      <c r="R772" s="76"/>
      <c r="X772" s="84" t="s">
        <v>2652</v>
      </c>
      <c r="Y772" s="84" t="s">
        <v>2541</v>
      </c>
      <c r="AA772" s="84" t="s">
        <v>2647</v>
      </c>
      <c r="AG772" s="84" t="s">
        <v>2643</v>
      </c>
      <c r="AU772" s="84">
        <v>110</v>
      </c>
      <c r="AY772" s="86" t="s">
        <v>2651</v>
      </c>
      <c r="AZ772" s="88">
        <f t="shared" si="26"/>
        <v>0</v>
      </c>
      <c r="BD772" s="84" t="s">
        <v>2541</v>
      </c>
      <c r="BH772" s="79" t="s">
        <v>2962</v>
      </c>
      <c r="BX772" s="88"/>
      <c r="CQ772" s="88"/>
    </row>
    <row r="773" spans="1:95" outlineLevel="1" x14ac:dyDescent="0.15">
      <c r="A773" s="76">
        <v>765</v>
      </c>
      <c r="B773" s="65" t="s">
        <v>1602</v>
      </c>
      <c r="C773" s="65">
        <v>1066929327</v>
      </c>
      <c r="D773" s="81" t="str">
        <f t="shared" si="25"/>
        <v>https://portal.dnb.de/opac.htm?method=simpleSearch&amp;cqlMode=true&amp;query=idn%3D1066929327</v>
      </c>
      <c r="E773" s="65" t="s">
        <v>1603</v>
      </c>
      <c r="F773" s="76" t="s">
        <v>89</v>
      </c>
      <c r="G773" s="78" t="s">
        <v>5</v>
      </c>
      <c r="H773" s="76" t="s">
        <v>50</v>
      </c>
      <c r="I773" s="78"/>
      <c r="J773" s="78" t="s">
        <v>2509</v>
      </c>
      <c r="K773" s="76"/>
      <c r="L773" s="76"/>
      <c r="M773" s="76"/>
      <c r="N773" s="76">
        <v>0</v>
      </c>
      <c r="O773" s="76"/>
      <c r="P773" s="76"/>
      <c r="Q773" s="76"/>
      <c r="R773" s="76"/>
      <c r="AZ773" s="88">
        <f t="shared" si="26"/>
        <v>0</v>
      </c>
      <c r="BX773" s="88"/>
      <c r="CQ773" s="88"/>
    </row>
    <row r="774" spans="1:95" ht="22.5" outlineLevel="1" x14ac:dyDescent="0.15">
      <c r="A774" s="76"/>
      <c r="B774" s="65"/>
      <c r="C774" s="65"/>
      <c r="D774" s="81"/>
      <c r="E774" s="65" t="s">
        <v>2608</v>
      </c>
      <c r="F774" s="76" t="s">
        <v>89</v>
      </c>
      <c r="G774" s="78" t="s">
        <v>4</v>
      </c>
      <c r="H774" s="76" t="s">
        <v>50</v>
      </c>
      <c r="I774" s="78" t="s">
        <v>90</v>
      </c>
      <c r="J774" s="78" t="s">
        <v>2515</v>
      </c>
      <c r="K774" s="76"/>
      <c r="L774" s="76"/>
      <c r="M774" s="76" t="s">
        <v>101</v>
      </c>
      <c r="N774" s="76">
        <v>0</v>
      </c>
      <c r="O774" s="76"/>
      <c r="P774" s="76"/>
      <c r="Q774" s="76"/>
      <c r="R774" s="76"/>
      <c r="AZ774" s="88">
        <f t="shared" si="26"/>
        <v>0</v>
      </c>
      <c r="BX774" s="88"/>
      <c r="CQ774" s="88"/>
    </row>
    <row r="775" spans="1:95" ht="22.5" outlineLevel="1" x14ac:dyDescent="0.15">
      <c r="A775" s="76">
        <v>766</v>
      </c>
      <c r="B775" s="65" t="s">
        <v>1604</v>
      </c>
      <c r="C775" s="65">
        <v>1066878196</v>
      </c>
      <c r="D775" s="81" t="str">
        <f t="shared" ref="D775:D780" si="27">HYPERLINK(CONCATENATE("https://portal.dnb.de/opac.htm?method=simpleSearch&amp;cqlMode=true&amp;query=idn%3D",C775))</f>
        <v>https://portal.dnb.de/opac.htm?method=simpleSearch&amp;cqlMode=true&amp;query=idn%3D1066878196</v>
      </c>
      <c r="E775" s="65" t="s">
        <v>1605</v>
      </c>
      <c r="F775" s="76" t="s">
        <v>89</v>
      </c>
      <c r="G775" s="78" t="s">
        <v>2516</v>
      </c>
      <c r="H775" s="76" t="s">
        <v>50</v>
      </c>
      <c r="I775" s="78" t="s">
        <v>90</v>
      </c>
      <c r="J775" s="78" t="s">
        <v>81</v>
      </c>
      <c r="K775" s="76"/>
      <c r="L775" s="76" t="s">
        <v>34</v>
      </c>
      <c r="M775" s="76" t="s">
        <v>2538</v>
      </c>
      <c r="N775" s="76">
        <v>0</v>
      </c>
      <c r="O775" s="76"/>
      <c r="P775" s="76"/>
      <c r="Q775" s="76"/>
      <c r="R775" s="76"/>
      <c r="AZ775" s="88">
        <f t="shared" si="26"/>
        <v>0</v>
      </c>
      <c r="BX775" s="88"/>
      <c r="CQ775" s="88"/>
    </row>
    <row r="776" spans="1:95" ht="22.5" outlineLevel="1" x14ac:dyDescent="0.15">
      <c r="A776" s="76">
        <v>767</v>
      </c>
      <c r="B776" s="65" t="s">
        <v>1606</v>
      </c>
      <c r="C776" s="65">
        <v>1066936382</v>
      </c>
      <c r="D776" s="81" t="str">
        <f t="shared" si="27"/>
        <v>https://portal.dnb.de/opac.htm?method=simpleSearch&amp;cqlMode=true&amp;query=idn%3D1066936382</v>
      </c>
      <c r="E776" s="65" t="s">
        <v>1607</v>
      </c>
      <c r="F776" s="76" t="s">
        <v>89</v>
      </c>
      <c r="G776" s="78" t="s">
        <v>4</v>
      </c>
      <c r="H776" s="76" t="s">
        <v>50</v>
      </c>
      <c r="I776" s="78" t="s">
        <v>90</v>
      </c>
      <c r="J776" s="78" t="s">
        <v>2609</v>
      </c>
      <c r="K776" s="76" t="s">
        <v>67</v>
      </c>
      <c r="L776" s="76" t="s">
        <v>35</v>
      </c>
      <c r="M776" s="76" t="s">
        <v>37</v>
      </c>
      <c r="N776" s="76">
        <v>0</v>
      </c>
      <c r="O776" s="76"/>
      <c r="P776" s="76"/>
      <c r="Q776" s="76"/>
      <c r="R776" s="76"/>
      <c r="AZ776" s="88">
        <f t="shared" si="26"/>
        <v>0</v>
      </c>
      <c r="BX776" s="88"/>
      <c r="CQ776" s="88"/>
    </row>
    <row r="777" spans="1:95" ht="45" outlineLevel="1" x14ac:dyDescent="0.15">
      <c r="A777" s="76">
        <v>768</v>
      </c>
      <c r="B777" s="65" t="s">
        <v>1608</v>
      </c>
      <c r="C777" s="65" t="s">
        <v>1609</v>
      </c>
      <c r="D777" s="81" t="str">
        <f t="shared" si="27"/>
        <v>https://portal.dnb.de/opac.htm?method=simpleSearch&amp;cqlMode=true&amp;query=idn%3D106684092X</v>
      </c>
      <c r="E777" s="65" t="s">
        <v>1610</v>
      </c>
      <c r="F777" s="76" t="s">
        <v>89</v>
      </c>
      <c r="G777" s="78" t="s">
        <v>45</v>
      </c>
      <c r="H777" s="76" t="s">
        <v>51</v>
      </c>
      <c r="I777" s="78" t="s">
        <v>55</v>
      </c>
      <c r="J777" s="78" t="s">
        <v>2512</v>
      </c>
      <c r="K777" s="76"/>
      <c r="L777" s="76"/>
      <c r="M777" s="76"/>
      <c r="N777" s="76">
        <v>0</v>
      </c>
      <c r="O777" s="76"/>
      <c r="P777" s="76"/>
      <c r="Q777" s="76"/>
      <c r="R777" s="76"/>
      <c r="X777" s="84" t="s">
        <v>2646</v>
      </c>
      <c r="Z777" s="84" t="s">
        <v>2541</v>
      </c>
      <c r="AA777" s="84" t="s">
        <v>2647</v>
      </c>
      <c r="AB777" s="84" t="s">
        <v>2541</v>
      </c>
      <c r="AG777" s="84" t="s">
        <v>2643</v>
      </c>
      <c r="AU777" s="84">
        <v>180</v>
      </c>
      <c r="AY777" s="86" t="s">
        <v>2651</v>
      </c>
      <c r="AZ777" s="88">
        <f t="shared" si="26"/>
        <v>0</v>
      </c>
      <c r="BH777" s="79" t="s">
        <v>2941</v>
      </c>
      <c r="BX777" s="88"/>
      <c r="CQ777" s="88"/>
    </row>
    <row r="778" spans="1:95" ht="22.5" outlineLevel="1" x14ac:dyDescent="0.15">
      <c r="A778" s="76">
        <v>769</v>
      </c>
      <c r="B778" s="65" t="s">
        <v>1611</v>
      </c>
      <c r="C778" s="65">
        <v>1066942129</v>
      </c>
      <c r="D778" s="81" t="str">
        <f t="shared" si="27"/>
        <v>https://portal.dnb.de/opac.htm?method=simpleSearch&amp;cqlMode=true&amp;query=idn%3D1066942129</v>
      </c>
      <c r="E778" s="65" t="s">
        <v>1612</v>
      </c>
      <c r="F778" s="76" t="s">
        <v>89</v>
      </c>
      <c r="G778" s="78" t="s">
        <v>2520</v>
      </c>
      <c r="H778" s="76" t="s">
        <v>50</v>
      </c>
      <c r="I778" s="78" t="s">
        <v>90</v>
      </c>
      <c r="J778" s="78" t="s">
        <v>2512</v>
      </c>
      <c r="K778" s="76"/>
      <c r="L778" s="76" t="s">
        <v>97</v>
      </c>
      <c r="M778" s="76" t="s">
        <v>37</v>
      </c>
      <c r="N778" s="76">
        <v>0</v>
      </c>
      <c r="O778" s="76"/>
      <c r="P778" s="76"/>
      <c r="Q778" s="76"/>
      <c r="R778" s="76"/>
      <c r="AZ778" s="88">
        <f t="shared" si="26"/>
        <v>0</v>
      </c>
      <c r="BX778" s="88"/>
      <c r="CQ778" s="88"/>
    </row>
    <row r="779" spans="1:95" outlineLevel="1" x14ac:dyDescent="0.15">
      <c r="A779" s="76">
        <v>770</v>
      </c>
      <c r="B779" s="65" t="s">
        <v>1613</v>
      </c>
      <c r="C779" s="65">
        <v>1066935661</v>
      </c>
      <c r="D779" s="81" t="str">
        <f t="shared" si="27"/>
        <v>https://portal.dnb.de/opac.htm?method=simpleSearch&amp;cqlMode=true&amp;query=idn%3D1066935661</v>
      </c>
      <c r="E779" s="65" t="s">
        <v>1614</v>
      </c>
      <c r="F779" s="76" t="s">
        <v>89</v>
      </c>
      <c r="G779" s="78" t="s">
        <v>4</v>
      </c>
      <c r="H779" s="76" t="s">
        <v>50</v>
      </c>
      <c r="I779" s="78" t="s">
        <v>55</v>
      </c>
      <c r="J779" s="78" t="s">
        <v>81</v>
      </c>
      <c r="K779" s="76"/>
      <c r="L779" s="76"/>
      <c r="M779" s="76" t="s">
        <v>101</v>
      </c>
      <c r="N779" s="76">
        <v>0</v>
      </c>
      <c r="O779" s="76"/>
      <c r="P779" s="76"/>
      <c r="Q779" s="76"/>
      <c r="R779" s="76"/>
      <c r="AZ779" s="88">
        <f t="shared" si="26"/>
        <v>0</v>
      </c>
      <c r="BX779" s="88"/>
      <c r="CQ779" s="88"/>
    </row>
    <row r="780" spans="1:95" outlineLevel="1" x14ac:dyDescent="0.15">
      <c r="A780" s="76">
        <v>771</v>
      </c>
      <c r="B780" s="65" t="s">
        <v>1615</v>
      </c>
      <c r="C780" s="65">
        <v>1066936692</v>
      </c>
      <c r="D780" s="81" t="str">
        <f t="shared" si="27"/>
        <v>https://portal.dnb.de/opac.htm?method=simpleSearch&amp;cqlMode=true&amp;query=idn%3D1066936692</v>
      </c>
      <c r="E780" s="65" t="s">
        <v>1616</v>
      </c>
      <c r="F780" s="76" t="s">
        <v>89</v>
      </c>
      <c r="G780" s="78" t="s">
        <v>4</v>
      </c>
      <c r="H780" s="76" t="s">
        <v>51</v>
      </c>
      <c r="I780" s="78" t="s">
        <v>55</v>
      </c>
      <c r="J780" s="78" t="s">
        <v>94</v>
      </c>
      <c r="K780" s="76"/>
      <c r="L780" s="76" t="s">
        <v>33</v>
      </c>
      <c r="M780" s="76" t="s">
        <v>36</v>
      </c>
      <c r="N780" s="76">
        <v>0</v>
      </c>
      <c r="O780" s="76"/>
      <c r="P780" s="76"/>
      <c r="Q780" s="76"/>
      <c r="R780" s="76"/>
      <c r="AZ780" s="88">
        <f t="shared" si="26"/>
        <v>0</v>
      </c>
      <c r="BX780" s="88"/>
      <c r="CQ780" s="88"/>
    </row>
    <row r="781" spans="1:95" outlineLevel="1" x14ac:dyDescent="0.15">
      <c r="A781" s="76">
        <v>772</v>
      </c>
      <c r="B781" s="65" t="s">
        <v>1617</v>
      </c>
      <c r="C781" s="65">
        <v>993914640</v>
      </c>
      <c r="D781" s="81" t="str">
        <f t="shared" si="24"/>
        <v>https://portal.dnb.de/opac.htm?method=simpleSearch&amp;cqlMode=true&amp;query=idn%3D993914640</v>
      </c>
      <c r="E781" s="65" t="s">
        <v>1618</v>
      </c>
      <c r="F781" s="76"/>
      <c r="G781" s="78"/>
      <c r="H781" s="76" t="s">
        <v>52</v>
      </c>
      <c r="I781" s="78"/>
      <c r="J781" s="78"/>
      <c r="K781" s="76"/>
      <c r="L781" s="76"/>
      <c r="M781" s="76"/>
      <c r="N781" s="76"/>
      <c r="O781" s="76"/>
      <c r="P781" s="76"/>
      <c r="Q781" s="76"/>
      <c r="R781" s="76"/>
      <c r="X781" s="84" t="s">
        <v>2641</v>
      </c>
      <c r="Y781" s="84" t="s">
        <v>2541</v>
      </c>
      <c r="AA781" s="84" t="s">
        <v>2653</v>
      </c>
      <c r="AF781" s="84" t="s">
        <v>2541</v>
      </c>
      <c r="AG781" s="84" t="s">
        <v>2643</v>
      </c>
      <c r="AU781" s="84">
        <v>80</v>
      </c>
      <c r="AY781" s="86" t="s">
        <v>2651</v>
      </c>
      <c r="AZ781" s="88">
        <f t="shared" si="26"/>
        <v>0</v>
      </c>
      <c r="BX781" s="88"/>
      <c r="CQ781" s="88"/>
    </row>
    <row r="782" spans="1:95" outlineLevel="1" x14ac:dyDescent="0.15">
      <c r="A782" s="76">
        <v>773</v>
      </c>
      <c r="B782" s="65" t="s">
        <v>1619</v>
      </c>
      <c r="C782" s="65">
        <v>1066927502</v>
      </c>
      <c r="D782" s="81" t="str">
        <f>HYPERLINK(CONCATENATE("https://portal.dnb.de/opac.htm?method=simpleSearch&amp;cqlMode=true&amp;query=idn%3D",C782))</f>
        <v>https://portal.dnb.de/opac.htm?method=simpleSearch&amp;cqlMode=true&amp;query=idn%3D1066927502</v>
      </c>
      <c r="E782" s="65" t="s">
        <v>1620</v>
      </c>
      <c r="F782" s="76" t="s">
        <v>89</v>
      </c>
      <c r="G782" s="78" t="s">
        <v>5</v>
      </c>
      <c r="H782" s="76" t="s">
        <v>50</v>
      </c>
      <c r="I782" s="78" t="s">
        <v>90</v>
      </c>
      <c r="J782" s="78" t="s">
        <v>2509</v>
      </c>
      <c r="K782" s="76"/>
      <c r="L782" s="76"/>
      <c r="M782" s="76" t="s">
        <v>101</v>
      </c>
      <c r="N782" s="76">
        <v>0</v>
      </c>
      <c r="O782" s="76"/>
      <c r="P782" s="76"/>
      <c r="Q782" s="76"/>
      <c r="R782" s="76"/>
      <c r="AZ782" s="88">
        <f t="shared" si="26"/>
        <v>0</v>
      </c>
      <c r="BX782" s="88"/>
      <c r="CQ782" s="88"/>
    </row>
    <row r="783" spans="1:95" ht="22.5" outlineLevel="1" x14ac:dyDescent="0.15">
      <c r="A783" s="76">
        <v>774</v>
      </c>
      <c r="B783" s="65" t="s">
        <v>1621</v>
      </c>
      <c r="C783" s="65">
        <v>1066787379</v>
      </c>
      <c r="D783" s="81" t="str">
        <f>HYPERLINK(CONCATENATE("https://portal.dnb.de/opac.htm?method=simpleSearch&amp;cqlMode=true&amp;query=idn%3D",C783))</f>
        <v>https://portal.dnb.de/opac.htm?method=simpleSearch&amp;cqlMode=true&amp;query=idn%3D1066787379</v>
      </c>
      <c r="E783" s="65" t="s">
        <v>1622</v>
      </c>
      <c r="F783" s="76" t="s">
        <v>89</v>
      </c>
      <c r="G783" s="78" t="s">
        <v>2510</v>
      </c>
      <c r="H783" s="76" t="s">
        <v>50</v>
      </c>
      <c r="I783" s="78" t="s">
        <v>90</v>
      </c>
      <c r="J783" s="78" t="s">
        <v>2515</v>
      </c>
      <c r="K783" s="76"/>
      <c r="L783" s="76"/>
      <c r="M783" s="76" t="s">
        <v>101</v>
      </c>
      <c r="N783" s="76">
        <v>1</v>
      </c>
      <c r="O783" s="76"/>
      <c r="P783" s="76"/>
      <c r="Q783" s="76"/>
      <c r="R783" s="76"/>
      <c r="W783" s="84" t="s">
        <v>2541</v>
      </c>
      <c r="X783" s="84" t="s">
        <v>2697</v>
      </c>
      <c r="AA783" s="84" t="s">
        <v>2647</v>
      </c>
      <c r="AG783" s="84" t="s">
        <v>2643</v>
      </c>
      <c r="AU783" s="84">
        <v>110</v>
      </c>
      <c r="AY783" s="86" t="s">
        <v>2644</v>
      </c>
      <c r="AZ783" s="88">
        <f t="shared" si="26"/>
        <v>0.5</v>
      </c>
      <c r="BK783" s="63" t="s">
        <v>2541</v>
      </c>
      <c r="BL783" s="84" t="s">
        <v>2541</v>
      </c>
      <c r="BM783" s="84" t="s">
        <v>2541</v>
      </c>
      <c r="BX783" s="88">
        <v>0.5</v>
      </c>
      <c r="CQ783" s="88"/>
    </row>
    <row r="784" spans="1:95" outlineLevel="1" x14ac:dyDescent="0.15">
      <c r="A784" s="76">
        <v>775</v>
      </c>
      <c r="B784" s="65" t="s">
        <v>1623</v>
      </c>
      <c r="C784" s="65">
        <v>1066787719</v>
      </c>
      <c r="D784" s="81" t="str">
        <f>HYPERLINK(CONCATENATE("https://portal.dnb.de/opac.htm?method=simpleSearch&amp;cqlMode=true&amp;query=idn%3D",C784))</f>
        <v>https://portal.dnb.de/opac.htm?method=simpleSearch&amp;cqlMode=true&amp;query=idn%3D1066787719</v>
      </c>
      <c r="E784" s="65" t="s">
        <v>1624</v>
      </c>
      <c r="F784" s="76" t="s">
        <v>89</v>
      </c>
      <c r="G784" s="78" t="s">
        <v>5</v>
      </c>
      <c r="H784" s="76" t="s">
        <v>50</v>
      </c>
      <c r="I784" s="78" t="s">
        <v>55</v>
      </c>
      <c r="J784" s="78" t="s">
        <v>81</v>
      </c>
      <c r="K784" s="76"/>
      <c r="L784" s="76"/>
      <c r="M784" s="76" t="s">
        <v>101</v>
      </c>
      <c r="N784" s="76"/>
      <c r="O784" s="76"/>
      <c r="P784" s="76"/>
      <c r="Q784" s="76"/>
      <c r="R784" s="76"/>
      <c r="AZ784" s="88">
        <f t="shared" si="26"/>
        <v>0</v>
      </c>
      <c r="BX784" s="88"/>
      <c r="CQ784" s="88"/>
    </row>
    <row r="785" spans="1:95" ht="22.5" outlineLevel="1" x14ac:dyDescent="0.15">
      <c r="A785" s="76">
        <v>776</v>
      </c>
      <c r="B785" s="65" t="s">
        <v>1625</v>
      </c>
      <c r="C785" s="65">
        <v>1066938083</v>
      </c>
      <c r="D785" s="81" t="str">
        <f>HYPERLINK(CONCATENATE("https://portal.dnb.de/opac.htm?method=simpleSearch&amp;cqlMode=true&amp;query=idn%3D",C785))</f>
        <v>https://portal.dnb.de/opac.htm?method=simpleSearch&amp;cqlMode=true&amp;query=idn%3D1066938083</v>
      </c>
      <c r="E785" s="65" t="s">
        <v>1626</v>
      </c>
      <c r="F785" s="76" t="s">
        <v>89</v>
      </c>
      <c r="G785" s="78" t="s">
        <v>2510</v>
      </c>
      <c r="H785" s="76" t="s">
        <v>50</v>
      </c>
      <c r="I785" s="78" t="s">
        <v>90</v>
      </c>
      <c r="J785" s="78" t="s">
        <v>94</v>
      </c>
      <c r="K785" s="76"/>
      <c r="L785" s="76" t="s">
        <v>34</v>
      </c>
      <c r="M785" s="76" t="s">
        <v>37</v>
      </c>
      <c r="N785" s="76">
        <v>1</v>
      </c>
      <c r="O785" s="76"/>
      <c r="P785" s="76"/>
      <c r="Q785" s="76"/>
      <c r="R785" s="76"/>
      <c r="AZ785" s="88">
        <f t="shared" si="26"/>
        <v>0</v>
      </c>
      <c r="BX785" s="88"/>
      <c r="CQ785" s="88"/>
    </row>
    <row r="786" spans="1:95" outlineLevel="1" x14ac:dyDescent="0.15">
      <c r="A786" s="76">
        <v>777</v>
      </c>
      <c r="B786" s="65" t="s">
        <v>1627</v>
      </c>
      <c r="C786" s="65">
        <v>1066935017</v>
      </c>
      <c r="D786" s="81" t="str">
        <f>HYPERLINK(CONCATENATE("https://portal.dnb.de/opac.htm?method=simpleSearch&amp;cqlMode=true&amp;query=idn%3D",C786))</f>
        <v>https://portal.dnb.de/opac.htm?method=simpleSearch&amp;cqlMode=true&amp;query=idn%3D1066935017</v>
      </c>
      <c r="E786" s="65" t="s">
        <v>1628</v>
      </c>
      <c r="F786" s="76" t="s">
        <v>89</v>
      </c>
      <c r="G786" s="78" t="s">
        <v>5</v>
      </c>
      <c r="H786" s="76" t="s">
        <v>51</v>
      </c>
      <c r="I786" s="78"/>
      <c r="J786" s="78" t="s">
        <v>81</v>
      </c>
      <c r="K786" s="76"/>
      <c r="L786" s="76"/>
      <c r="M786" s="76"/>
      <c r="N786" s="76">
        <v>2</v>
      </c>
      <c r="O786" s="76"/>
      <c r="P786" s="76"/>
      <c r="Q786" s="76"/>
      <c r="R786" s="76"/>
      <c r="X786" s="84" t="s">
        <v>2652</v>
      </c>
      <c r="Y786" s="84" t="s">
        <v>2541</v>
      </c>
      <c r="AA786" s="84" t="s">
        <v>2647</v>
      </c>
      <c r="AG786" s="84" t="s">
        <v>2643</v>
      </c>
      <c r="AU786" s="84">
        <v>110</v>
      </c>
      <c r="AY786" s="86" t="s">
        <v>2651</v>
      </c>
      <c r="AZ786" s="88">
        <f t="shared" si="26"/>
        <v>0</v>
      </c>
      <c r="BH786" s="79" t="s">
        <v>2962</v>
      </c>
      <c r="BX786" s="88"/>
      <c r="CQ786" s="88"/>
    </row>
    <row r="787" spans="1:95" outlineLevel="1" x14ac:dyDescent="0.15">
      <c r="A787" s="76">
        <v>778</v>
      </c>
      <c r="B787" s="65" t="s">
        <v>1629</v>
      </c>
      <c r="C787" s="65">
        <v>994340877</v>
      </c>
      <c r="D787" s="81" t="str">
        <f t="shared" si="24"/>
        <v>https://portal.dnb.de/opac.htm?method=simpleSearch&amp;cqlMode=true&amp;query=idn%3D994340877</v>
      </c>
      <c r="E787" s="65" t="s">
        <v>1630</v>
      </c>
      <c r="F787" s="76" t="s">
        <v>89</v>
      </c>
      <c r="G787" s="78" t="s">
        <v>3</v>
      </c>
      <c r="H787" s="76" t="s">
        <v>50</v>
      </c>
      <c r="I787" s="78" t="s">
        <v>55</v>
      </c>
      <c r="J787" s="78" t="s">
        <v>81</v>
      </c>
      <c r="K787" s="76"/>
      <c r="L787" s="76"/>
      <c r="M787" s="76"/>
      <c r="N787" s="76">
        <v>1</v>
      </c>
      <c r="O787" s="76"/>
      <c r="P787" s="76"/>
      <c r="Q787" s="76"/>
      <c r="R787" s="76"/>
      <c r="AZ787" s="88">
        <f t="shared" si="26"/>
        <v>0</v>
      </c>
      <c r="BX787" s="88"/>
      <c r="CQ787" s="88"/>
    </row>
    <row r="788" spans="1:95" outlineLevel="1" x14ac:dyDescent="0.15">
      <c r="A788" s="76">
        <v>779</v>
      </c>
      <c r="B788" s="65" t="s">
        <v>1631</v>
      </c>
      <c r="C788" s="65">
        <v>1066874573</v>
      </c>
      <c r="D788" s="81" t="str">
        <f>HYPERLINK(CONCATENATE("https://portal.dnb.de/opac.htm?method=simpleSearch&amp;cqlMode=true&amp;query=idn%3D",C788))</f>
        <v>https://portal.dnb.de/opac.htm?method=simpleSearch&amp;cqlMode=true&amp;query=idn%3D1066874573</v>
      </c>
      <c r="E788" s="65" t="s">
        <v>1632</v>
      </c>
      <c r="F788" s="76" t="s">
        <v>89</v>
      </c>
      <c r="G788" s="78" t="s">
        <v>4</v>
      </c>
      <c r="H788" s="76" t="s">
        <v>50</v>
      </c>
      <c r="I788" s="78" t="s">
        <v>90</v>
      </c>
      <c r="J788" s="78" t="s">
        <v>94</v>
      </c>
      <c r="K788" s="76"/>
      <c r="L788" s="76"/>
      <c r="M788" s="76"/>
      <c r="N788" s="76">
        <v>0</v>
      </c>
      <c r="O788" s="76"/>
      <c r="P788" s="76"/>
      <c r="Q788" s="76"/>
      <c r="R788" s="76"/>
      <c r="AZ788" s="88">
        <f t="shared" si="26"/>
        <v>0</v>
      </c>
      <c r="BX788" s="88"/>
      <c r="CQ788" s="88"/>
    </row>
    <row r="789" spans="1:95" ht="22.5" outlineLevel="1" x14ac:dyDescent="0.15">
      <c r="A789" s="76"/>
      <c r="B789" s="65"/>
      <c r="C789" s="65"/>
      <c r="D789" s="81"/>
      <c r="E789" s="65" t="s">
        <v>2612</v>
      </c>
      <c r="F789" s="76" t="s">
        <v>89</v>
      </c>
      <c r="G789" s="78" t="s">
        <v>45</v>
      </c>
      <c r="H789" s="76" t="s">
        <v>50</v>
      </c>
      <c r="I789" s="78" t="s">
        <v>90</v>
      </c>
      <c r="J789" s="78" t="s">
        <v>2512</v>
      </c>
      <c r="K789" s="76"/>
      <c r="L789" s="76" t="s">
        <v>97</v>
      </c>
      <c r="M789" s="76" t="s">
        <v>37</v>
      </c>
      <c r="N789" s="76">
        <v>0</v>
      </c>
      <c r="O789" s="76"/>
      <c r="P789" s="76"/>
      <c r="Q789" s="76"/>
      <c r="R789" s="76"/>
      <c r="AZ789" s="88">
        <f t="shared" si="26"/>
        <v>0</v>
      </c>
      <c r="BX789" s="88"/>
      <c r="CQ789" s="88"/>
    </row>
    <row r="790" spans="1:95" outlineLevel="1" x14ac:dyDescent="0.15">
      <c r="A790" s="76">
        <v>780</v>
      </c>
      <c r="B790" s="65" t="s">
        <v>1633</v>
      </c>
      <c r="C790" s="65">
        <v>1066753563</v>
      </c>
      <c r="D790" s="81" t="str">
        <f>HYPERLINK(CONCATENATE("https://portal.dnb.de/opac.htm?method=simpleSearch&amp;cqlMode=true&amp;query=idn%3D",C790))</f>
        <v>https://portal.dnb.de/opac.htm?method=simpleSearch&amp;cqlMode=true&amp;query=idn%3D1066753563</v>
      </c>
      <c r="E790" s="65" t="s">
        <v>1634</v>
      </c>
      <c r="F790" s="76" t="s">
        <v>89</v>
      </c>
      <c r="G790" s="78" t="s">
        <v>5</v>
      </c>
      <c r="H790" s="76" t="s">
        <v>50</v>
      </c>
      <c r="I790" s="78" t="s">
        <v>55</v>
      </c>
      <c r="J790" s="78" t="s">
        <v>81</v>
      </c>
      <c r="K790" s="76"/>
      <c r="L790" s="76"/>
      <c r="M790" s="76" t="s">
        <v>101</v>
      </c>
      <c r="N790" s="76">
        <v>0</v>
      </c>
      <c r="O790" s="76"/>
      <c r="P790" s="76"/>
      <c r="Q790" s="76"/>
      <c r="R790" s="76"/>
      <c r="AZ790" s="88">
        <f t="shared" si="26"/>
        <v>0</v>
      </c>
      <c r="BX790" s="88"/>
      <c r="CQ790" s="88"/>
    </row>
    <row r="791" spans="1:95" ht="22.5" outlineLevel="1" x14ac:dyDescent="0.15">
      <c r="A791" s="76">
        <v>781</v>
      </c>
      <c r="B791" s="65" t="s">
        <v>1635</v>
      </c>
      <c r="C791" s="65">
        <v>1066940789</v>
      </c>
      <c r="D791" s="81" t="str">
        <f t="shared" si="24"/>
        <v>https://portal.dnb.de/opac.htm?method=simpleSearch&amp;cqlMode=true&amp;query=idn%3D1066940789</v>
      </c>
      <c r="E791" s="65" t="s">
        <v>1636</v>
      </c>
      <c r="F791" s="76" t="s">
        <v>89</v>
      </c>
      <c r="G791" s="78" t="s">
        <v>41</v>
      </c>
      <c r="H791" s="76" t="s">
        <v>50</v>
      </c>
      <c r="I791" s="78" t="s">
        <v>55</v>
      </c>
      <c r="J791" s="78" t="s">
        <v>94</v>
      </c>
      <c r="K791" s="76"/>
      <c r="L791" s="76" t="s">
        <v>34</v>
      </c>
      <c r="M791" s="76" t="s">
        <v>37</v>
      </c>
      <c r="N791" s="76">
        <v>2</v>
      </c>
      <c r="O791" s="76"/>
      <c r="P791" s="76"/>
      <c r="Q791" s="76"/>
      <c r="R791" s="76"/>
      <c r="X791" s="84" t="s">
        <v>2697</v>
      </c>
      <c r="Y791" s="84" t="s">
        <v>2541</v>
      </c>
      <c r="AA791" s="84" t="s">
        <v>2653</v>
      </c>
      <c r="AG791" s="84" t="s">
        <v>2643</v>
      </c>
      <c r="AU791" s="84">
        <v>60</v>
      </c>
      <c r="AY791" s="86" t="s">
        <v>2644</v>
      </c>
      <c r="AZ791" s="88">
        <f t="shared" si="26"/>
        <v>2</v>
      </c>
      <c r="BD791" s="84" t="s">
        <v>2541</v>
      </c>
      <c r="BK791" s="63" t="s">
        <v>2541</v>
      </c>
      <c r="BL791" s="84" t="s">
        <v>2541</v>
      </c>
      <c r="BM791" s="84" t="s">
        <v>2541</v>
      </c>
      <c r="BO791" s="84" t="s">
        <v>2677</v>
      </c>
      <c r="BX791" s="88">
        <v>2</v>
      </c>
      <c r="BY791" s="79" t="s">
        <v>3028</v>
      </c>
      <c r="CQ791" s="88"/>
    </row>
    <row r="792" spans="1:95" ht="15" outlineLevel="1" x14ac:dyDescent="0.15">
      <c r="A792" s="76">
        <v>782</v>
      </c>
      <c r="B792" s="65" t="s">
        <v>1637</v>
      </c>
      <c r="C792" s="65" t="s">
        <v>1638</v>
      </c>
      <c r="D792" s="81" t="str">
        <f t="shared" si="24"/>
        <v>https://portal.dnb.de/opac.htm?method=simpleSearch&amp;cqlMode=true&amp;query=idn%3D106678132X</v>
      </c>
      <c r="E792" s="65" t="s">
        <v>1639</v>
      </c>
      <c r="F792" s="76" t="s">
        <v>89</v>
      </c>
      <c r="G792" s="78" t="s">
        <v>5</v>
      </c>
      <c r="H792" s="76" t="s">
        <v>50</v>
      </c>
      <c r="I792" s="78" t="s">
        <v>55</v>
      </c>
      <c r="J792" s="78" t="s">
        <v>81</v>
      </c>
      <c r="K792" s="76"/>
      <c r="L792" s="76"/>
      <c r="M792" s="76" t="s">
        <v>101</v>
      </c>
      <c r="N792" s="76">
        <v>0</v>
      </c>
      <c r="O792" s="76"/>
      <c r="P792" s="83" t="s">
        <v>2613</v>
      </c>
      <c r="Q792" s="76"/>
      <c r="R792" s="76"/>
      <c r="AZ792" s="88">
        <f t="shared" si="26"/>
        <v>0</v>
      </c>
      <c r="BX792" s="88"/>
      <c r="CQ792" s="88"/>
    </row>
    <row r="793" spans="1:95" ht="33.75" outlineLevel="1" x14ac:dyDescent="0.15">
      <c r="A793" s="76">
        <v>783</v>
      </c>
      <c r="B793" s="65" t="s">
        <v>1640</v>
      </c>
      <c r="C793" s="65">
        <v>1066837643</v>
      </c>
      <c r="D793" s="81" t="str">
        <f t="shared" si="24"/>
        <v>https://portal.dnb.de/opac.htm?method=simpleSearch&amp;cqlMode=true&amp;query=idn%3D1066837643</v>
      </c>
      <c r="E793" s="65" t="s">
        <v>1641</v>
      </c>
      <c r="F793" s="76"/>
      <c r="G793" s="78"/>
      <c r="H793" s="76" t="s">
        <v>51</v>
      </c>
      <c r="I793" s="78"/>
      <c r="J793" s="78"/>
      <c r="K793" s="76"/>
      <c r="L793" s="76"/>
      <c r="M793" s="76"/>
      <c r="N793" s="76"/>
      <c r="O793" s="76"/>
      <c r="P793" s="76"/>
      <c r="Q793" s="76"/>
      <c r="R793" s="76"/>
      <c r="X793" s="84" t="s">
        <v>2697</v>
      </c>
      <c r="Y793" s="84" t="s">
        <v>2541</v>
      </c>
      <c r="AA793" s="84" t="s">
        <v>2653</v>
      </c>
      <c r="AG793" s="84" t="s">
        <v>2643</v>
      </c>
      <c r="AU793" s="84">
        <v>60</v>
      </c>
      <c r="AY793" s="86" t="s">
        <v>2644</v>
      </c>
      <c r="AZ793" s="88">
        <f t="shared" si="26"/>
        <v>2</v>
      </c>
      <c r="BJ793" s="79" t="s">
        <v>2942</v>
      </c>
      <c r="BL793" s="84" t="s">
        <v>2541</v>
      </c>
      <c r="BM793" s="84" t="s">
        <v>2541</v>
      </c>
      <c r="BW793" s="84" t="s">
        <v>2800</v>
      </c>
      <c r="BX793" s="88">
        <v>2</v>
      </c>
      <c r="CQ793" s="88"/>
    </row>
    <row r="794" spans="1:95" outlineLevel="1" x14ac:dyDescent="0.15">
      <c r="A794" s="76">
        <v>784</v>
      </c>
      <c r="B794" s="65" t="s">
        <v>1642</v>
      </c>
      <c r="C794" s="65">
        <v>1066935440</v>
      </c>
      <c r="D794" s="81" t="str">
        <f t="shared" si="24"/>
        <v>https://portal.dnb.de/opac.htm?method=simpleSearch&amp;cqlMode=true&amp;query=idn%3D1066935440</v>
      </c>
      <c r="E794" s="65" t="s">
        <v>1643</v>
      </c>
      <c r="F794" s="76"/>
      <c r="G794" s="78"/>
      <c r="H794" s="76" t="s">
        <v>51</v>
      </c>
      <c r="I794" s="78"/>
      <c r="J794" s="78"/>
      <c r="K794" s="76"/>
      <c r="L794" s="76"/>
      <c r="M794" s="76"/>
      <c r="N794" s="76"/>
      <c r="O794" s="76"/>
      <c r="P794" s="76"/>
      <c r="Q794" s="76"/>
      <c r="R794" s="76"/>
      <c r="X794" s="84" t="s">
        <v>2697</v>
      </c>
      <c r="AA794" s="84" t="s">
        <v>2653</v>
      </c>
      <c r="AG794" s="84" t="s">
        <v>2643</v>
      </c>
      <c r="AU794" s="84" t="s">
        <v>2650</v>
      </c>
      <c r="AY794" s="86" t="s">
        <v>2651</v>
      </c>
      <c r="AZ794" s="88">
        <f t="shared" si="26"/>
        <v>0</v>
      </c>
      <c r="BX794" s="88"/>
      <c r="CQ794" s="88"/>
    </row>
    <row r="795" spans="1:95" outlineLevel="1" x14ac:dyDescent="0.15">
      <c r="A795" s="76">
        <v>785</v>
      </c>
      <c r="B795" s="65" t="s">
        <v>1644</v>
      </c>
      <c r="C795" s="65">
        <v>1066837066</v>
      </c>
      <c r="D795" s="81" t="str">
        <f t="shared" si="24"/>
        <v>https://portal.dnb.de/opac.htm?method=simpleSearch&amp;cqlMode=true&amp;query=idn%3D1066837066</v>
      </c>
      <c r="E795" s="65" t="s">
        <v>1645</v>
      </c>
      <c r="F795" s="76" t="s">
        <v>89</v>
      </c>
      <c r="G795" s="78" t="s">
        <v>5</v>
      </c>
      <c r="H795" s="76" t="s">
        <v>50</v>
      </c>
      <c r="I795" s="78" t="s">
        <v>55</v>
      </c>
      <c r="J795" s="78" t="s">
        <v>81</v>
      </c>
      <c r="K795" s="76"/>
      <c r="L795" s="76"/>
      <c r="M795" s="76" t="s">
        <v>101</v>
      </c>
      <c r="N795" s="76">
        <v>0</v>
      </c>
      <c r="O795" s="76"/>
      <c r="P795" s="76" t="s">
        <v>2595</v>
      </c>
      <c r="Q795" s="76"/>
      <c r="R795" s="76"/>
      <c r="AZ795" s="88">
        <f t="shared" si="26"/>
        <v>0</v>
      </c>
      <c r="BX795" s="88"/>
      <c r="CQ795" s="88"/>
    </row>
    <row r="796" spans="1:95" ht="22.5" outlineLevel="1" x14ac:dyDescent="0.15">
      <c r="A796" s="76">
        <v>786</v>
      </c>
      <c r="B796" s="65" t="s">
        <v>1646</v>
      </c>
      <c r="C796" s="65">
        <v>1066785902</v>
      </c>
      <c r="D796" s="81" t="str">
        <f t="shared" si="24"/>
        <v>https://portal.dnb.de/opac.htm?method=simpleSearch&amp;cqlMode=true&amp;query=idn%3D1066785902</v>
      </c>
      <c r="E796" s="65" t="s">
        <v>1647</v>
      </c>
      <c r="F796" s="76" t="s">
        <v>89</v>
      </c>
      <c r="G796" s="78" t="s">
        <v>2516</v>
      </c>
      <c r="H796" s="76" t="s">
        <v>50</v>
      </c>
      <c r="I796" s="78" t="s">
        <v>86</v>
      </c>
      <c r="J796" s="78" t="s">
        <v>94</v>
      </c>
      <c r="K796" s="76"/>
      <c r="L796" s="76"/>
      <c r="M796" s="76" t="s">
        <v>101</v>
      </c>
      <c r="N796" s="76">
        <v>2</v>
      </c>
      <c r="O796" s="76"/>
      <c r="P796" s="76"/>
      <c r="Q796" s="76"/>
      <c r="R796" s="76"/>
      <c r="X796" s="84" t="s">
        <v>2652</v>
      </c>
      <c r="Y796" s="84" t="s">
        <v>2541</v>
      </c>
      <c r="AA796" s="84" t="s">
        <v>2653</v>
      </c>
      <c r="AG796" s="84" t="s">
        <v>2643</v>
      </c>
      <c r="AU796" s="84">
        <v>45</v>
      </c>
      <c r="AY796" s="86" t="s">
        <v>2644</v>
      </c>
      <c r="AZ796" s="88">
        <f t="shared" si="26"/>
        <v>2</v>
      </c>
      <c r="BK796" s="63" t="s">
        <v>2541</v>
      </c>
      <c r="BL796" s="84" t="s">
        <v>2541</v>
      </c>
      <c r="BM796" s="84" t="s">
        <v>2541</v>
      </c>
      <c r="BO796" s="84" t="s">
        <v>2656</v>
      </c>
      <c r="BX796" s="88">
        <v>2</v>
      </c>
      <c r="BY796" s="79" t="s">
        <v>3029</v>
      </c>
      <c r="CQ796" s="88"/>
    </row>
    <row r="797" spans="1:95" outlineLevel="1" x14ac:dyDescent="0.15">
      <c r="A797" s="76">
        <v>787</v>
      </c>
      <c r="B797" s="65" t="s">
        <v>1648</v>
      </c>
      <c r="C797" s="65">
        <v>1001857976</v>
      </c>
      <c r="D797" s="81" t="str">
        <f t="shared" ref="D797:D861" si="28">HYPERLINK(CONCATENATE("https://portal.dnb.de/opac.htm?method=simpleSearch&amp;cqlMode=true&amp;query=idn%3D",C797))</f>
        <v>https://portal.dnb.de/opac.htm?method=simpleSearch&amp;cqlMode=true&amp;query=idn%3D1001857976</v>
      </c>
      <c r="E797" s="65" t="s">
        <v>1649</v>
      </c>
      <c r="F797" s="76"/>
      <c r="G797" s="78" t="s">
        <v>3</v>
      </c>
      <c r="H797" s="76" t="s">
        <v>50</v>
      </c>
      <c r="I797" s="78" t="s">
        <v>55</v>
      </c>
      <c r="J797" s="78"/>
      <c r="K797" s="76"/>
      <c r="L797" s="76"/>
      <c r="M797" s="76"/>
      <c r="N797" s="76">
        <v>0</v>
      </c>
      <c r="O797" s="76"/>
      <c r="P797" s="76"/>
      <c r="Q797" s="76"/>
      <c r="R797" s="76"/>
      <c r="AZ797" s="88">
        <f t="shared" si="26"/>
        <v>0</v>
      </c>
      <c r="BX797" s="88"/>
      <c r="CQ797" s="88"/>
    </row>
    <row r="798" spans="1:95" ht="22.5" outlineLevel="1" x14ac:dyDescent="0.15">
      <c r="A798" s="76">
        <v>788</v>
      </c>
      <c r="B798" s="65" t="s">
        <v>1650</v>
      </c>
      <c r="C798" s="65">
        <v>997386932</v>
      </c>
      <c r="D798" s="81" t="str">
        <f t="shared" si="28"/>
        <v>https://portal.dnb.de/opac.htm?method=simpleSearch&amp;cqlMode=true&amp;query=idn%3D997386932</v>
      </c>
      <c r="E798" s="65" t="s">
        <v>1651</v>
      </c>
      <c r="F798" s="76" t="s">
        <v>89</v>
      </c>
      <c r="G798" s="78" t="s">
        <v>2614</v>
      </c>
      <c r="H798" s="76" t="s">
        <v>50</v>
      </c>
      <c r="I798" s="78" t="s">
        <v>90</v>
      </c>
      <c r="J798" s="78" t="s">
        <v>94</v>
      </c>
      <c r="K798" s="76" t="s">
        <v>68</v>
      </c>
      <c r="L798" s="76" t="s">
        <v>35</v>
      </c>
      <c r="M798" s="76"/>
      <c r="N798" s="76">
        <v>0</v>
      </c>
      <c r="O798" s="76"/>
      <c r="P798" s="76"/>
      <c r="Q798" s="76"/>
      <c r="R798" s="76"/>
      <c r="AZ798" s="88">
        <f t="shared" si="26"/>
        <v>0</v>
      </c>
      <c r="BX798" s="88"/>
      <c r="CQ798" s="88"/>
    </row>
    <row r="799" spans="1:95" outlineLevel="1" x14ac:dyDescent="0.15">
      <c r="A799" s="76">
        <v>789</v>
      </c>
      <c r="B799" s="65" t="s">
        <v>1652</v>
      </c>
      <c r="C799" s="65">
        <v>1023794314</v>
      </c>
      <c r="D799" s="81" t="str">
        <f t="shared" si="28"/>
        <v>https://portal.dnb.de/opac.htm?method=simpleSearch&amp;cqlMode=true&amp;query=idn%3D1023794314</v>
      </c>
      <c r="E799" s="65" t="s">
        <v>1653</v>
      </c>
      <c r="F799" s="76"/>
      <c r="G799" s="78" t="s">
        <v>45</v>
      </c>
      <c r="H799" s="76" t="s">
        <v>50</v>
      </c>
      <c r="I799" s="78" t="s">
        <v>55</v>
      </c>
      <c r="J799" s="78" t="s">
        <v>94</v>
      </c>
      <c r="K799" s="76"/>
      <c r="L799" s="76" t="s">
        <v>33</v>
      </c>
      <c r="M799" s="76" t="s">
        <v>37</v>
      </c>
      <c r="N799" s="76">
        <v>1</v>
      </c>
      <c r="O799" s="76"/>
      <c r="P799" s="76"/>
      <c r="Q799" s="76"/>
      <c r="R799" s="76"/>
      <c r="X799" s="84" t="s">
        <v>2766</v>
      </c>
      <c r="AA799" s="84" t="s">
        <v>2675</v>
      </c>
      <c r="AG799" s="84" t="s">
        <v>2643</v>
      </c>
      <c r="AU799" s="84">
        <v>110</v>
      </c>
      <c r="AY799" s="86" t="s">
        <v>2644</v>
      </c>
      <c r="AZ799" s="88">
        <f t="shared" si="26"/>
        <v>2</v>
      </c>
      <c r="BF799" s="84" t="s">
        <v>2659</v>
      </c>
      <c r="BK799" s="63" t="s">
        <v>2541</v>
      </c>
      <c r="BM799" s="84" t="s">
        <v>2541</v>
      </c>
      <c r="BO799" s="84" t="s">
        <v>2677</v>
      </c>
      <c r="BX799" s="88">
        <v>2</v>
      </c>
      <c r="BY799" s="79" t="s">
        <v>3031</v>
      </c>
      <c r="CQ799" s="88"/>
    </row>
    <row r="800" spans="1:95" outlineLevel="1" x14ac:dyDescent="0.15">
      <c r="A800" s="76">
        <v>790</v>
      </c>
      <c r="B800" s="65" t="s">
        <v>1654</v>
      </c>
      <c r="C800" s="65">
        <v>1023794667</v>
      </c>
      <c r="D800" s="81" t="str">
        <f t="shared" si="28"/>
        <v>https://portal.dnb.de/opac.htm?method=simpleSearch&amp;cqlMode=true&amp;query=idn%3D1023794667</v>
      </c>
      <c r="E800" s="65" t="s">
        <v>3030</v>
      </c>
      <c r="F800" s="76"/>
      <c r="G800" s="78"/>
      <c r="H800" s="76"/>
      <c r="I800" s="78"/>
      <c r="J800" s="78"/>
      <c r="K800" s="76"/>
      <c r="L800" s="76"/>
      <c r="M800" s="76"/>
      <c r="N800" s="76"/>
      <c r="O800" s="76"/>
      <c r="P800" s="76"/>
      <c r="Q800" s="76"/>
      <c r="R800" s="76"/>
      <c r="AZ800" s="88">
        <f t="shared" si="26"/>
        <v>0</v>
      </c>
      <c r="BX800" s="88"/>
      <c r="CQ800" s="88"/>
    </row>
    <row r="801" spans="1:95" outlineLevel="1" x14ac:dyDescent="0.15">
      <c r="A801" s="76">
        <v>791</v>
      </c>
      <c r="B801" s="65" t="s">
        <v>1655</v>
      </c>
      <c r="C801" s="65">
        <v>1066758131</v>
      </c>
      <c r="D801" s="81" t="str">
        <f t="shared" si="28"/>
        <v>https://portal.dnb.de/opac.htm?method=simpleSearch&amp;cqlMode=true&amp;query=idn%3D1066758131</v>
      </c>
      <c r="E801" s="65" t="s">
        <v>1656</v>
      </c>
      <c r="F801" s="76"/>
      <c r="G801" s="78"/>
      <c r="H801" s="76"/>
      <c r="I801" s="78"/>
      <c r="J801" s="78"/>
      <c r="K801" s="76"/>
      <c r="L801" s="76"/>
      <c r="M801" s="76"/>
      <c r="N801" s="76"/>
      <c r="O801" s="76"/>
      <c r="P801" s="76"/>
      <c r="Q801" s="76"/>
      <c r="R801" s="76"/>
      <c r="AZ801" s="88">
        <f t="shared" si="26"/>
        <v>0</v>
      </c>
      <c r="BX801" s="88"/>
      <c r="CQ801" s="88"/>
    </row>
    <row r="802" spans="1:95" outlineLevel="1" x14ac:dyDescent="0.15">
      <c r="A802" s="76">
        <v>792</v>
      </c>
      <c r="B802" s="65" t="s">
        <v>1657</v>
      </c>
      <c r="C802" s="65">
        <v>1208353780</v>
      </c>
      <c r="D802" s="81" t="str">
        <f t="shared" si="28"/>
        <v>https://portal.dnb.de/opac.htm?method=simpleSearch&amp;cqlMode=true&amp;query=idn%3D1208353780</v>
      </c>
      <c r="E802" s="65" t="s">
        <v>1658</v>
      </c>
      <c r="F802" s="76"/>
      <c r="G802" s="78"/>
      <c r="H802" s="76"/>
      <c r="I802" s="78"/>
      <c r="J802" s="78"/>
      <c r="K802" s="76"/>
      <c r="L802" s="76"/>
      <c r="M802" s="76"/>
      <c r="N802" s="76"/>
      <c r="O802" s="76"/>
      <c r="P802" s="76"/>
      <c r="Q802" s="76"/>
      <c r="R802" s="76"/>
      <c r="AZ802" s="88">
        <f t="shared" si="26"/>
        <v>0</v>
      </c>
      <c r="BX802" s="88"/>
      <c r="CQ802" s="88"/>
    </row>
    <row r="803" spans="1:95" outlineLevel="1" x14ac:dyDescent="0.15">
      <c r="A803" s="76">
        <v>793</v>
      </c>
      <c r="B803" s="65" t="s">
        <v>1659</v>
      </c>
      <c r="C803" s="65">
        <v>1208354345</v>
      </c>
      <c r="D803" s="81" t="str">
        <f t="shared" si="28"/>
        <v>https://portal.dnb.de/opac.htm?method=simpleSearch&amp;cqlMode=true&amp;query=idn%3D1208354345</v>
      </c>
      <c r="E803" s="65" t="s">
        <v>1660</v>
      </c>
      <c r="F803" s="76"/>
      <c r="G803" s="78"/>
      <c r="H803" s="76"/>
      <c r="I803" s="78"/>
      <c r="J803" s="78"/>
      <c r="K803" s="76"/>
      <c r="L803" s="76"/>
      <c r="M803" s="76"/>
      <c r="N803" s="76"/>
      <c r="O803" s="76"/>
      <c r="P803" s="76"/>
      <c r="Q803" s="76"/>
      <c r="R803" s="76"/>
      <c r="AZ803" s="88">
        <f t="shared" si="26"/>
        <v>0</v>
      </c>
      <c r="BX803" s="88"/>
      <c r="CQ803" s="88"/>
    </row>
    <row r="804" spans="1:95" outlineLevel="1" x14ac:dyDescent="0.15">
      <c r="A804" s="76">
        <v>794</v>
      </c>
      <c r="B804" s="65" t="s">
        <v>1661</v>
      </c>
      <c r="C804" s="65">
        <v>1208354302</v>
      </c>
      <c r="D804" s="81" t="str">
        <f t="shared" si="28"/>
        <v>https://portal.dnb.de/opac.htm?method=simpleSearch&amp;cqlMode=true&amp;query=idn%3D1208354302</v>
      </c>
      <c r="E804" s="65" t="s">
        <v>1662</v>
      </c>
      <c r="F804" s="76"/>
      <c r="G804" s="78"/>
      <c r="H804" s="76"/>
      <c r="I804" s="78"/>
      <c r="J804" s="78"/>
      <c r="K804" s="76"/>
      <c r="L804" s="76"/>
      <c r="M804" s="76"/>
      <c r="N804" s="76"/>
      <c r="O804" s="76"/>
      <c r="P804" s="76"/>
      <c r="Q804" s="76"/>
      <c r="R804" s="76"/>
      <c r="AZ804" s="88">
        <f t="shared" si="26"/>
        <v>0</v>
      </c>
      <c r="BX804" s="88"/>
      <c r="CQ804" s="88"/>
    </row>
    <row r="805" spans="1:95" ht="22.5" outlineLevel="1" x14ac:dyDescent="0.15">
      <c r="A805" s="76">
        <v>795</v>
      </c>
      <c r="B805" s="65" t="s">
        <v>1663</v>
      </c>
      <c r="C805" s="65">
        <v>997386355</v>
      </c>
      <c r="D805" s="81" t="str">
        <f t="shared" si="28"/>
        <v>https://portal.dnb.de/opac.htm?method=simpleSearch&amp;cqlMode=true&amp;query=idn%3D997386355</v>
      </c>
      <c r="E805" s="65" t="s">
        <v>1664</v>
      </c>
      <c r="F805" s="76"/>
      <c r="G805" s="78" t="s">
        <v>4</v>
      </c>
      <c r="H805" s="76" t="s">
        <v>50</v>
      </c>
      <c r="I805" s="78" t="s">
        <v>90</v>
      </c>
      <c r="J805" s="78" t="s">
        <v>2571</v>
      </c>
      <c r="K805" s="76"/>
      <c r="L805" s="76" t="s">
        <v>29</v>
      </c>
      <c r="M805" s="76" t="s">
        <v>37</v>
      </c>
      <c r="N805" s="76">
        <v>0</v>
      </c>
      <c r="O805" s="76"/>
      <c r="P805" s="76"/>
      <c r="Q805" s="76"/>
      <c r="R805" s="76"/>
      <c r="AZ805" s="88">
        <f t="shared" si="26"/>
        <v>0</v>
      </c>
      <c r="BX805" s="88"/>
      <c r="CQ805" s="88"/>
    </row>
    <row r="806" spans="1:95" outlineLevel="1" x14ac:dyDescent="0.15">
      <c r="A806" s="76">
        <v>796</v>
      </c>
      <c r="B806" s="65" t="s">
        <v>1665</v>
      </c>
      <c r="C806" s="65">
        <v>995439907</v>
      </c>
      <c r="D806" s="81" t="str">
        <f t="shared" si="28"/>
        <v>https://portal.dnb.de/opac.htm?method=simpleSearch&amp;cqlMode=true&amp;query=idn%3D995439907</v>
      </c>
      <c r="E806" s="65" t="s">
        <v>2940</v>
      </c>
      <c r="F806" s="76"/>
      <c r="G806" s="78"/>
      <c r="H806" s="76"/>
      <c r="I806" s="78"/>
      <c r="J806" s="78"/>
      <c r="K806" s="76"/>
      <c r="L806" s="76"/>
      <c r="M806" s="76"/>
      <c r="N806" s="76"/>
      <c r="O806" s="76"/>
      <c r="P806" s="76"/>
      <c r="Q806" s="76"/>
      <c r="R806" s="76"/>
      <c r="AZ806" s="88">
        <f t="shared" si="26"/>
        <v>0</v>
      </c>
      <c r="BX806" s="88"/>
      <c r="CQ806" s="88"/>
    </row>
    <row r="807" spans="1:95" outlineLevel="1" x14ac:dyDescent="0.15">
      <c r="A807" s="76">
        <v>797</v>
      </c>
      <c r="B807" s="65" t="s">
        <v>1667</v>
      </c>
      <c r="C807" s="65">
        <v>995440786</v>
      </c>
      <c r="D807" s="81" t="str">
        <f t="shared" si="28"/>
        <v>https://portal.dnb.de/opac.htm?method=simpleSearch&amp;cqlMode=true&amp;query=idn%3D995440786</v>
      </c>
      <c r="E807" s="65" t="s">
        <v>1666</v>
      </c>
      <c r="F807" s="76"/>
      <c r="G807" s="78"/>
      <c r="H807" s="76" t="s">
        <v>51</v>
      </c>
      <c r="I807" s="78"/>
      <c r="J807" s="78"/>
      <c r="K807" s="76"/>
      <c r="L807" s="76"/>
      <c r="M807" s="76"/>
      <c r="N807" s="76"/>
      <c r="O807" s="76"/>
      <c r="P807" s="76"/>
      <c r="Q807" s="76"/>
      <c r="R807" s="76"/>
      <c r="X807" s="84" t="s">
        <v>2697</v>
      </c>
      <c r="Z807" s="84" t="s">
        <v>2541</v>
      </c>
      <c r="AA807" s="84" t="s">
        <v>2642</v>
      </c>
      <c r="AG807" s="84" t="s">
        <v>2643</v>
      </c>
      <c r="AU807" s="84">
        <v>60</v>
      </c>
      <c r="AY807" s="86" t="s">
        <v>2651</v>
      </c>
      <c r="AZ807" s="88">
        <f t="shared" si="26"/>
        <v>0</v>
      </c>
      <c r="BB807" s="84" t="s">
        <v>2777</v>
      </c>
      <c r="BX807" s="88"/>
      <c r="CQ807" s="88"/>
    </row>
    <row r="808" spans="1:95" ht="33.75" outlineLevel="1" x14ac:dyDescent="0.15">
      <c r="A808" s="76">
        <v>798</v>
      </c>
      <c r="B808" s="65" t="s">
        <v>1668</v>
      </c>
      <c r="C808" s="65">
        <v>1002285739</v>
      </c>
      <c r="D808" s="81" t="str">
        <f t="shared" si="28"/>
        <v>https://portal.dnb.de/opac.htm?method=simpleSearch&amp;cqlMode=true&amp;query=idn%3D1002285739</v>
      </c>
      <c r="E808" s="65" t="s">
        <v>1669</v>
      </c>
      <c r="F808" s="76" t="s">
        <v>89</v>
      </c>
      <c r="G808" s="78" t="s">
        <v>4</v>
      </c>
      <c r="H808" s="76" t="s">
        <v>50</v>
      </c>
      <c r="I808" s="78" t="s">
        <v>90</v>
      </c>
      <c r="J808" s="78" t="s">
        <v>94</v>
      </c>
      <c r="K808" s="76"/>
      <c r="L808" s="76" t="s">
        <v>33</v>
      </c>
      <c r="M808" s="76" t="s">
        <v>36</v>
      </c>
      <c r="N808" s="76">
        <v>0</v>
      </c>
      <c r="O808" s="76"/>
      <c r="P808" s="76"/>
      <c r="Q808" s="76"/>
      <c r="R808" s="76"/>
      <c r="W808" s="84" t="s">
        <v>2541</v>
      </c>
      <c r="X808" s="84" t="s">
        <v>2697</v>
      </c>
      <c r="AA808" s="84" t="s">
        <v>2653</v>
      </c>
      <c r="AG808" s="84" t="s">
        <v>2643</v>
      </c>
      <c r="AU808" s="84">
        <v>60</v>
      </c>
      <c r="AY808" s="86" t="s">
        <v>2644</v>
      </c>
      <c r="AZ808" s="88">
        <f t="shared" si="26"/>
        <v>0.5</v>
      </c>
      <c r="BF808" s="84" t="s">
        <v>2659</v>
      </c>
      <c r="BG808" s="84" t="s">
        <v>2541</v>
      </c>
      <c r="BJ808" s="79" t="s">
        <v>3026</v>
      </c>
      <c r="BK808" s="63" t="s">
        <v>2541</v>
      </c>
      <c r="BM808" s="84" t="s">
        <v>2541</v>
      </c>
      <c r="BW808" s="84" t="s">
        <v>2541</v>
      </c>
      <c r="BX808" s="88">
        <v>0.5</v>
      </c>
      <c r="CQ808" s="88"/>
    </row>
    <row r="809" spans="1:95" outlineLevel="1" x14ac:dyDescent="0.15">
      <c r="A809" s="76">
        <v>799</v>
      </c>
      <c r="B809" s="65" t="s">
        <v>1670</v>
      </c>
      <c r="C809" s="65">
        <v>1066694702</v>
      </c>
      <c r="D809" s="81" t="str">
        <f t="shared" si="28"/>
        <v>https://portal.dnb.de/opac.htm?method=simpleSearch&amp;cqlMode=true&amp;query=idn%3D1066694702</v>
      </c>
      <c r="E809" s="65" t="s">
        <v>1671</v>
      </c>
      <c r="F809" s="76"/>
      <c r="G809" s="78"/>
      <c r="H809" s="76"/>
      <c r="I809" s="78"/>
      <c r="J809" s="78"/>
      <c r="K809" s="76"/>
      <c r="L809" s="76"/>
      <c r="M809" s="76"/>
      <c r="N809" s="76"/>
      <c r="O809" s="76"/>
      <c r="P809" s="76"/>
      <c r="Q809" s="76"/>
      <c r="R809" s="76"/>
      <c r="AZ809" s="88">
        <f t="shared" si="26"/>
        <v>0</v>
      </c>
      <c r="BX809" s="88"/>
      <c r="CQ809" s="88"/>
    </row>
    <row r="810" spans="1:95" outlineLevel="1" x14ac:dyDescent="0.15">
      <c r="A810" s="76">
        <v>800</v>
      </c>
      <c r="B810" s="65" t="s">
        <v>1672</v>
      </c>
      <c r="C810" s="65" t="s">
        <v>1673</v>
      </c>
      <c r="D810" s="81" t="str">
        <f t="shared" si="28"/>
        <v>https://portal.dnb.de/opac.htm?method=simpleSearch&amp;cqlMode=true&amp;query=idn%3D99882707X</v>
      </c>
      <c r="E810" s="65" t="s">
        <v>1674</v>
      </c>
      <c r="F810" s="76"/>
      <c r="G810" s="78"/>
      <c r="H810" s="76"/>
      <c r="I810" s="78"/>
      <c r="J810" s="78"/>
      <c r="K810" s="76"/>
      <c r="L810" s="76"/>
      <c r="M810" s="76"/>
      <c r="N810" s="76"/>
      <c r="O810" s="76"/>
      <c r="P810" s="76"/>
      <c r="Q810" s="76"/>
      <c r="R810" s="76"/>
      <c r="AZ810" s="88">
        <f t="shared" si="26"/>
        <v>0</v>
      </c>
      <c r="BX810" s="88"/>
      <c r="CQ810" s="88"/>
    </row>
    <row r="811" spans="1:95" outlineLevel="1" x14ac:dyDescent="0.15">
      <c r="A811" s="76">
        <v>801</v>
      </c>
      <c r="B811" s="65" t="s">
        <v>1675</v>
      </c>
      <c r="C811" s="65">
        <v>1000047687</v>
      </c>
      <c r="D811" s="81" t="str">
        <f t="shared" si="28"/>
        <v>https://portal.dnb.de/opac.htm?method=simpleSearch&amp;cqlMode=true&amp;query=idn%3D1000047687</v>
      </c>
      <c r="E811" s="65" t="s">
        <v>1676</v>
      </c>
      <c r="F811" s="76"/>
      <c r="G811" s="78"/>
      <c r="H811" s="76" t="s">
        <v>52</v>
      </c>
      <c r="I811" s="78"/>
      <c r="J811" s="78"/>
      <c r="K811" s="76"/>
      <c r="L811" s="76"/>
      <c r="M811" s="76"/>
      <c r="N811" s="76"/>
      <c r="O811" s="76"/>
      <c r="P811" s="76"/>
      <c r="Q811" s="76"/>
      <c r="R811" s="76"/>
      <c r="X811" s="84" t="s">
        <v>2641</v>
      </c>
      <c r="AA811" s="84" t="s">
        <v>2642</v>
      </c>
      <c r="AF811" s="84" t="s">
        <v>2541</v>
      </c>
      <c r="AG811" s="84" t="s">
        <v>2643</v>
      </c>
      <c r="AU811" s="84">
        <v>80</v>
      </c>
      <c r="AY811" s="86" t="s">
        <v>2651</v>
      </c>
      <c r="AZ811" s="88">
        <f t="shared" si="26"/>
        <v>0</v>
      </c>
      <c r="BF811" s="84" t="s">
        <v>2659</v>
      </c>
      <c r="BG811" s="84" t="s">
        <v>2541</v>
      </c>
      <c r="BX811" s="88"/>
      <c r="CQ811" s="88"/>
    </row>
    <row r="812" spans="1:95" outlineLevel="1" x14ac:dyDescent="0.15">
      <c r="A812" s="76">
        <v>802</v>
      </c>
      <c r="B812" s="65" t="s">
        <v>1677</v>
      </c>
      <c r="C812" s="65">
        <v>994566468</v>
      </c>
      <c r="D812" s="81" t="str">
        <f t="shared" si="28"/>
        <v>https://portal.dnb.de/opac.htm?method=simpleSearch&amp;cqlMode=true&amp;query=idn%3D994566468</v>
      </c>
      <c r="E812" s="65" t="s">
        <v>1678</v>
      </c>
      <c r="F812" s="76" t="s">
        <v>89</v>
      </c>
      <c r="G812" s="78" t="s">
        <v>4</v>
      </c>
      <c r="H812" s="76" t="s">
        <v>50</v>
      </c>
      <c r="I812" s="78" t="s">
        <v>90</v>
      </c>
      <c r="J812" s="78" t="s">
        <v>69</v>
      </c>
      <c r="K812" s="76"/>
      <c r="L812" s="76" t="s">
        <v>35</v>
      </c>
      <c r="M812" s="76" t="s">
        <v>2538</v>
      </c>
      <c r="N812" s="76">
        <v>0</v>
      </c>
      <c r="O812" s="76"/>
      <c r="P812" s="76" t="s">
        <v>2604</v>
      </c>
      <c r="Q812" s="76"/>
      <c r="R812" s="76"/>
      <c r="AZ812" s="88">
        <f t="shared" si="26"/>
        <v>0</v>
      </c>
      <c r="BX812" s="88"/>
      <c r="CQ812" s="88"/>
    </row>
    <row r="813" spans="1:95" outlineLevel="1" x14ac:dyDescent="0.15">
      <c r="A813" s="76">
        <v>803</v>
      </c>
      <c r="B813" s="65" t="s">
        <v>1679</v>
      </c>
      <c r="C813" s="65">
        <v>1207351512</v>
      </c>
      <c r="D813" s="81" t="str">
        <f t="shared" si="28"/>
        <v>https://portal.dnb.de/opac.htm?method=simpleSearch&amp;cqlMode=true&amp;query=idn%3D1207351512</v>
      </c>
      <c r="E813" s="65" t="s">
        <v>1680</v>
      </c>
      <c r="F813" s="76"/>
      <c r="G813" s="78"/>
      <c r="H813" s="76"/>
      <c r="I813" s="78"/>
      <c r="J813" s="78"/>
      <c r="K813" s="76"/>
      <c r="L813" s="76"/>
      <c r="M813" s="76"/>
      <c r="N813" s="76"/>
      <c r="O813" s="76"/>
      <c r="P813" s="76"/>
      <c r="Q813" s="76"/>
      <c r="R813" s="76"/>
      <c r="AZ813" s="88">
        <f t="shared" si="26"/>
        <v>0</v>
      </c>
      <c r="BX813" s="88"/>
      <c r="CQ813" s="88"/>
    </row>
    <row r="814" spans="1:95" outlineLevel="1" x14ac:dyDescent="0.15">
      <c r="A814" s="76">
        <v>804</v>
      </c>
      <c r="B814" s="65" t="s">
        <v>1681</v>
      </c>
      <c r="C814" s="65" t="s">
        <v>1682</v>
      </c>
      <c r="D814" s="81" t="str">
        <f t="shared" si="28"/>
        <v>https://portal.dnb.de/opac.htm?method=simpleSearch&amp;cqlMode=true&amp;query=idn%3D99637356X</v>
      </c>
      <c r="E814" s="65" t="s">
        <v>1683</v>
      </c>
      <c r="F814" s="76"/>
      <c r="G814" s="78"/>
      <c r="H814" s="76" t="s">
        <v>52</v>
      </c>
      <c r="I814" s="78"/>
      <c r="J814" s="78"/>
      <c r="K814" s="76"/>
      <c r="L814" s="76"/>
      <c r="M814" s="76"/>
      <c r="N814" s="76"/>
      <c r="O814" s="76"/>
      <c r="P814" s="76"/>
      <c r="Q814" s="76"/>
      <c r="R814" s="76"/>
      <c r="X814" s="84" t="s">
        <v>2641</v>
      </c>
      <c r="Z814" s="84" t="s">
        <v>2541</v>
      </c>
      <c r="AA814" s="84" t="s">
        <v>2642</v>
      </c>
      <c r="AG814" s="84" t="s">
        <v>2643</v>
      </c>
      <c r="AL814" s="84" t="s">
        <v>2541</v>
      </c>
      <c r="AS814" s="84">
        <v>0</v>
      </c>
      <c r="AT814" s="84" t="s">
        <v>2541</v>
      </c>
      <c r="AU814" s="84" t="s">
        <v>2776</v>
      </c>
      <c r="AY814" s="86" t="s">
        <v>2651</v>
      </c>
      <c r="AZ814" s="88">
        <f t="shared" si="26"/>
        <v>0</v>
      </c>
      <c r="BB814" s="84" t="s">
        <v>2777</v>
      </c>
      <c r="BX814" s="88"/>
      <c r="CQ814" s="88"/>
    </row>
    <row r="815" spans="1:95" outlineLevel="1" x14ac:dyDescent="0.15">
      <c r="A815" s="76">
        <v>805</v>
      </c>
      <c r="B815" s="65" t="s">
        <v>1684</v>
      </c>
      <c r="C815" s="65">
        <v>994151691</v>
      </c>
      <c r="D815" s="81" t="str">
        <f t="shared" si="28"/>
        <v>https://portal.dnb.de/opac.htm?method=simpleSearch&amp;cqlMode=true&amp;query=idn%3D994151691</v>
      </c>
      <c r="E815" s="65" t="s">
        <v>1683</v>
      </c>
      <c r="F815" s="76"/>
      <c r="G815" s="78"/>
      <c r="H815" s="76"/>
      <c r="I815" s="78"/>
      <c r="J815" s="78"/>
      <c r="K815" s="76"/>
      <c r="L815" s="76"/>
      <c r="M815" s="76"/>
      <c r="N815" s="76"/>
      <c r="O815" s="76"/>
      <c r="P815" s="76"/>
      <c r="Q815" s="76"/>
      <c r="R815" s="76"/>
      <c r="AZ815" s="88">
        <f t="shared" si="26"/>
        <v>0</v>
      </c>
      <c r="BX815" s="88"/>
      <c r="CQ815" s="88"/>
    </row>
    <row r="816" spans="1:95" outlineLevel="1" x14ac:dyDescent="0.15">
      <c r="A816" s="76">
        <v>806</v>
      </c>
      <c r="B816" s="65" t="s">
        <v>1685</v>
      </c>
      <c r="C816" s="65">
        <v>1066943184</v>
      </c>
      <c r="D816" s="81" t="str">
        <f t="shared" si="28"/>
        <v>https://portal.dnb.de/opac.htm?method=simpleSearch&amp;cqlMode=true&amp;query=idn%3D1066943184</v>
      </c>
      <c r="E816" s="65" t="s">
        <v>1686</v>
      </c>
      <c r="F816" s="76" t="s">
        <v>89</v>
      </c>
      <c r="G816" s="78" t="s">
        <v>17</v>
      </c>
      <c r="H816" s="76" t="s">
        <v>50</v>
      </c>
      <c r="I816" s="78" t="s">
        <v>55</v>
      </c>
      <c r="J816" s="78" t="s">
        <v>81</v>
      </c>
      <c r="K816" s="76"/>
      <c r="L816" s="76"/>
      <c r="M816" s="76" t="s">
        <v>101</v>
      </c>
      <c r="N816" s="76">
        <v>0</v>
      </c>
      <c r="O816" s="76"/>
      <c r="P816" s="76"/>
      <c r="Q816" s="76"/>
      <c r="R816" s="76"/>
      <c r="X816" s="84" t="s">
        <v>2643</v>
      </c>
      <c r="AA816" s="84" t="s">
        <v>2647</v>
      </c>
      <c r="AG816" s="84" t="s">
        <v>2643</v>
      </c>
      <c r="AU816" s="84">
        <v>110</v>
      </c>
      <c r="AY816" s="86" t="s">
        <v>2651</v>
      </c>
      <c r="AZ816" s="88">
        <f t="shared" si="26"/>
        <v>0</v>
      </c>
      <c r="BH816" s="79" t="s">
        <v>2962</v>
      </c>
      <c r="BX816" s="88"/>
      <c r="CQ816" s="88"/>
    </row>
    <row r="817" spans="1:95" outlineLevel="1" x14ac:dyDescent="0.15">
      <c r="A817" s="76">
        <v>807</v>
      </c>
      <c r="B817" s="65" t="s">
        <v>1687</v>
      </c>
      <c r="C817" s="65">
        <v>1003230415</v>
      </c>
      <c r="D817" s="81" t="str">
        <f>HYPERLINK(CONCATENATE("https://portal.dnb.de/opac.htm?method=simpleSearch&amp;cqlMode=true&amp;query=idn%3D",C817))</f>
        <v>https://portal.dnb.de/opac.htm?method=simpleSearch&amp;cqlMode=true&amp;query=idn%3D1003230415</v>
      </c>
      <c r="E817" s="65" t="s">
        <v>2606</v>
      </c>
      <c r="F817" s="76"/>
      <c r="G817" s="78"/>
      <c r="H817" s="76"/>
      <c r="I817" s="78"/>
      <c r="J817" s="78"/>
      <c r="K817" s="76"/>
      <c r="L817" s="76"/>
      <c r="M817" s="76"/>
      <c r="N817" s="76"/>
      <c r="O817" s="76"/>
      <c r="P817" s="76"/>
      <c r="Q817" s="76"/>
      <c r="R817" s="76"/>
      <c r="AZ817" s="88">
        <f t="shared" si="26"/>
        <v>0</v>
      </c>
      <c r="BX817" s="88"/>
      <c r="CQ817" s="88"/>
    </row>
    <row r="818" spans="1:95" outlineLevel="1" x14ac:dyDescent="0.15">
      <c r="A818" s="76">
        <v>808</v>
      </c>
      <c r="B818" s="65" t="s">
        <v>1689</v>
      </c>
      <c r="C818" s="65">
        <v>1003230245</v>
      </c>
      <c r="D818" s="81" t="str">
        <f>HYPERLINK(CONCATENATE("https://portal.dnb.de/opac.htm?method=simpleSearch&amp;cqlMode=true&amp;query=idn%3D",C818))</f>
        <v>https://portal.dnb.de/opac.htm?method=simpleSearch&amp;cqlMode=true&amp;query=idn%3D1003230245</v>
      </c>
      <c r="E818" s="65" t="s">
        <v>2605</v>
      </c>
      <c r="F818" s="76"/>
      <c r="G818" s="78"/>
      <c r="H818" s="76"/>
      <c r="I818" s="78"/>
      <c r="J818" s="78"/>
      <c r="K818" s="76"/>
      <c r="L818" s="76"/>
      <c r="M818" s="76"/>
      <c r="N818" s="76"/>
      <c r="O818" s="76"/>
      <c r="P818" s="76"/>
      <c r="Q818" s="76"/>
      <c r="R818" s="76"/>
      <c r="AZ818" s="88">
        <f t="shared" si="26"/>
        <v>0</v>
      </c>
      <c r="BX818" s="88"/>
      <c r="CQ818" s="88"/>
    </row>
    <row r="819" spans="1:95" ht="33.75" outlineLevel="1" x14ac:dyDescent="0.15">
      <c r="A819" s="76">
        <v>809</v>
      </c>
      <c r="B819" s="65" t="s">
        <v>1690</v>
      </c>
      <c r="C819" s="65" t="s">
        <v>1691</v>
      </c>
      <c r="D819" s="81" t="str">
        <f>HYPERLINK(CONCATENATE("https://portal.dnb.de/opac.htm?method=simpleSearch&amp;cqlMode=true&amp;query=idn%3D",C819))</f>
        <v>https://portal.dnb.de/opac.htm?method=simpleSearch&amp;cqlMode=true&amp;query=idn%3D99451011X</v>
      </c>
      <c r="E819" s="65" t="s">
        <v>1688</v>
      </c>
      <c r="F819" s="76" t="s">
        <v>89</v>
      </c>
      <c r="G819" s="78" t="s">
        <v>2516</v>
      </c>
      <c r="H819" s="76" t="s">
        <v>51</v>
      </c>
      <c r="I819" s="78" t="s">
        <v>90</v>
      </c>
      <c r="J819" s="78" t="s">
        <v>2513</v>
      </c>
      <c r="K819" s="76"/>
      <c r="L819" s="76" t="s">
        <v>34</v>
      </c>
      <c r="M819" s="76" t="s">
        <v>37</v>
      </c>
      <c r="N819" s="76">
        <v>1</v>
      </c>
      <c r="O819" s="76"/>
      <c r="P819" s="76"/>
      <c r="Q819" s="76"/>
      <c r="R819" s="76"/>
      <c r="AZ819" s="88">
        <f t="shared" si="26"/>
        <v>0</v>
      </c>
      <c r="BX819" s="88"/>
      <c r="CQ819" s="88"/>
    </row>
    <row r="820" spans="1:95" ht="33.75" outlineLevel="1" x14ac:dyDescent="0.15">
      <c r="A820" s="76">
        <v>810</v>
      </c>
      <c r="B820" s="65" t="s">
        <v>1692</v>
      </c>
      <c r="C820" s="65">
        <v>1000777227</v>
      </c>
      <c r="D820" s="81" t="str">
        <f>HYPERLINK(CONCATENATE("https://portal.dnb.de/opac.htm?method=simpleSearch&amp;cqlMode=true&amp;query=idn%3D",C820))</f>
        <v>https://portal.dnb.de/opac.htm?method=simpleSearch&amp;cqlMode=true&amp;query=idn%3D1000777227</v>
      </c>
      <c r="E820" s="65" t="s">
        <v>1693</v>
      </c>
      <c r="F820" s="76" t="s">
        <v>89</v>
      </c>
      <c r="G820" s="78" t="s">
        <v>4</v>
      </c>
      <c r="H820" s="76" t="s">
        <v>50</v>
      </c>
      <c r="I820" s="78" t="s">
        <v>90</v>
      </c>
      <c r="J820" s="78" t="s">
        <v>2513</v>
      </c>
      <c r="K820" s="76"/>
      <c r="L820" s="76" t="s">
        <v>35</v>
      </c>
      <c r="M820" s="76" t="s">
        <v>37</v>
      </c>
      <c r="N820" s="76">
        <v>0</v>
      </c>
      <c r="O820" s="76"/>
      <c r="P820" s="76"/>
      <c r="Q820" s="76"/>
      <c r="R820" s="76"/>
      <c r="AZ820" s="88">
        <f t="shared" si="26"/>
        <v>0</v>
      </c>
      <c r="BX820" s="88"/>
      <c r="CQ820" s="88"/>
    </row>
    <row r="821" spans="1:95" outlineLevel="1" x14ac:dyDescent="0.15">
      <c r="A821" s="76">
        <v>811</v>
      </c>
      <c r="B821" s="65" t="s">
        <v>1694</v>
      </c>
      <c r="C821" s="65">
        <v>1000777332</v>
      </c>
      <c r="D821" s="81" t="str">
        <f>HYPERLINK(CONCATENATE("https://portal.dnb.de/opac.htm?method=simpleSearch&amp;cqlMode=true&amp;query=idn%3D",C821))</f>
        <v>https://portal.dnb.de/opac.htm?method=simpleSearch&amp;cqlMode=true&amp;query=idn%3D1000777332</v>
      </c>
      <c r="E821" s="65" t="s">
        <v>2607</v>
      </c>
      <c r="F821" s="76"/>
      <c r="G821" s="78"/>
      <c r="H821" s="76"/>
      <c r="I821" s="78"/>
      <c r="J821" s="78"/>
      <c r="K821" s="76"/>
      <c r="L821" s="76"/>
      <c r="M821" s="76"/>
      <c r="N821" s="76"/>
      <c r="O821" s="76"/>
      <c r="P821" s="76"/>
      <c r="Q821" s="76"/>
      <c r="R821" s="76"/>
      <c r="AZ821" s="88">
        <f t="shared" si="26"/>
        <v>0</v>
      </c>
      <c r="BX821" s="88"/>
      <c r="CQ821" s="88"/>
    </row>
    <row r="822" spans="1:95" ht="33.75" outlineLevel="1" x14ac:dyDescent="0.15">
      <c r="A822" s="76">
        <v>812</v>
      </c>
      <c r="B822" s="65" t="s">
        <v>1695</v>
      </c>
      <c r="C822" s="65">
        <v>994511248</v>
      </c>
      <c r="D822" s="81" t="str">
        <f t="shared" si="28"/>
        <v>https://portal.dnb.de/opac.htm?method=simpleSearch&amp;cqlMode=true&amp;query=idn%3D994511248</v>
      </c>
      <c r="E822" s="65" t="s">
        <v>1696</v>
      </c>
      <c r="F822" s="76" t="s">
        <v>89</v>
      </c>
      <c r="G822" s="78" t="s">
        <v>4</v>
      </c>
      <c r="H822" s="76" t="s">
        <v>50</v>
      </c>
      <c r="I822" s="78" t="s">
        <v>90</v>
      </c>
      <c r="J822" s="78" t="s">
        <v>2535</v>
      </c>
      <c r="K822" s="76"/>
      <c r="L822" s="76" t="s">
        <v>33</v>
      </c>
      <c r="M822" s="76" t="s">
        <v>36</v>
      </c>
      <c r="N822" s="76">
        <v>0</v>
      </c>
      <c r="O822" s="76"/>
      <c r="P822" s="76"/>
      <c r="Q822" s="76"/>
      <c r="R822" s="76"/>
      <c r="AZ822" s="88">
        <f t="shared" si="26"/>
        <v>0</v>
      </c>
      <c r="BX822" s="88"/>
      <c r="CQ822" s="88"/>
    </row>
    <row r="823" spans="1:95" outlineLevel="1" x14ac:dyDescent="0.15">
      <c r="A823" s="76">
        <v>813</v>
      </c>
      <c r="B823" s="65" t="s">
        <v>1697</v>
      </c>
      <c r="C823" s="65">
        <v>994215738</v>
      </c>
      <c r="D823" s="81" t="str">
        <f t="shared" si="28"/>
        <v>https://portal.dnb.de/opac.htm?method=simpleSearch&amp;cqlMode=true&amp;query=idn%3D994215738</v>
      </c>
      <c r="E823" s="65" t="s">
        <v>2610</v>
      </c>
      <c r="F823" s="76"/>
      <c r="G823" s="78"/>
      <c r="H823" s="76"/>
      <c r="I823" s="78"/>
      <c r="J823" s="78"/>
      <c r="K823" s="76"/>
      <c r="L823" s="76"/>
      <c r="M823" s="76"/>
      <c r="N823" s="76"/>
      <c r="O823" s="76"/>
      <c r="P823" s="76"/>
      <c r="Q823" s="76"/>
      <c r="R823" s="76"/>
      <c r="AZ823" s="88">
        <f t="shared" si="26"/>
        <v>0</v>
      </c>
      <c r="BX823" s="88"/>
      <c r="CQ823" s="88"/>
    </row>
    <row r="824" spans="1:95" ht="33.75" outlineLevel="1" x14ac:dyDescent="0.15">
      <c r="A824" s="76">
        <v>814</v>
      </c>
      <c r="B824" s="65" t="s">
        <v>1699</v>
      </c>
      <c r="C824" s="65">
        <v>1002339278</v>
      </c>
      <c r="D824" s="81" t="str">
        <f t="shared" si="28"/>
        <v>https://portal.dnb.de/opac.htm?method=simpleSearch&amp;cqlMode=true&amp;query=idn%3D1002339278</v>
      </c>
      <c r="E824" s="65" t="s">
        <v>1698</v>
      </c>
      <c r="F824" s="76"/>
      <c r="G824" s="78" t="s">
        <v>2510</v>
      </c>
      <c r="H824" s="76" t="s">
        <v>50</v>
      </c>
      <c r="I824" s="78" t="s">
        <v>86</v>
      </c>
      <c r="J824" s="78" t="s">
        <v>2535</v>
      </c>
      <c r="K824" s="76"/>
      <c r="L824" s="76" t="s">
        <v>35</v>
      </c>
      <c r="M824" s="76" t="s">
        <v>37</v>
      </c>
      <c r="N824" s="76">
        <v>0</v>
      </c>
      <c r="O824" s="76"/>
      <c r="P824" s="76"/>
      <c r="Q824" s="76"/>
      <c r="R824" s="76"/>
      <c r="AZ824" s="88">
        <f t="shared" si="26"/>
        <v>0</v>
      </c>
      <c r="BX824" s="88"/>
      <c r="CQ824" s="88"/>
    </row>
    <row r="825" spans="1:95" ht="33.75" outlineLevel="1" x14ac:dyDescent="0.15">
      <c r="A825" s="76">
        <v>815</v>
      </c>
      <c r="B825" s="65" t="s">
        <v>1700</v>
      </c>
      <c r="C825" s="65">
        <v>995009910</v>
      </c>
      <c r="D825" s="81" t="str">
        <f>HYPERLINK(CONCATENATE("https://portal.dnb.de/opac.htm?method=simpleSearch&amp;cqlMode=true&amp;query=idn%3D",C825))</f>
        <v>https://portal.dnb.de/opac.htm?method=simpleSearch&amp;cqlMode=true&amp;query=idn%3D995009910</v>
      </c>
      <c r="E825" s="65" t="s">
        <v>1701</v>
      </c>
      <c r="F825" s="76" t="s">
        <v>89</v>
      </c>
      <c r="G825" s="78" t="s">
        <v>4</v>
      </c>
      <c r="H825" s="76" t="s">
        <v>51</v>
      </c>
      <c r="I825" s="78" t="s">
        <v>55</v>
      </c>
      <c r="J825" s="78" t="s">
        <v>2611</v>
      </c>
      <c r="K825" s="76"/>
      <c r="L825" s="76" t="s">
        <v>33</v>
      </c>
      <c r="M825" s="76" t="s">
        <v>36</v>
      </c>
      <c r="N825" s="76">
        <v>1</v>
      </c>
      <c r="O825" s="76"/>
      <c r="P825" s="76"/>
      <c r="Q825" s="76"/>
      <c r="R825" s="76"/>
      <c r="X825" s="84" t="s">
        <v>2697</v>
      </c>
      <c r="AA825" s="84" t="s">
        <v>2653</v>
      </c>
      <c r="AG825" s="84" t="s">
        <v>2643</v>
      </c>
      <c r="AN825" s="84" t="s">
        <v>2541</v>
      </c>
      <c r="AO825" s="86" t="s">
        <v>3027</v>
      </c>
      <c r="AU825" s="84">
        <v>110</v>
      </c>
      <c r="AX825" s="84" t="s">
        <v>2541</v>
      </c>
      <c r="AY825" s="86" t="s">
        <v>2651</v>
      </c>
      <c r="AZ825" s="88">
        <f t="shared" si="26"/>
        <v>0</v>
      </c>
      <c r="BF825" s="84" t="s">
        <v>2659</v>
      </c>
      <c r="BG825" s="84" t="s">
        <v>2541</v>
      </c>
      <c r="BX825" s="88"/>
      <c r="CQ825" s="88"/>
    </row>
    <row r="826" spans="1:95" outlineLevel="1" x14ac:dyDescent="0.15">
      <c r="A826" s="76">
        <v>816</v>
      </c>
      <c r="B826" s="65" t="s">
        <v>1702</v>
      </c>
      <c r="C826" s="65">
        <v>993976174</v>
      </c>
      <c r="D826" s="81" t="str">
        <f t="shared" si="28"/>
        <v>https://portal.dnb.de/opac.htm?method=simpleSearch&amp;cqlMode=true&amp;query=idn%3D993976174</v>
      </c>
      <c r="E826" s="65" t="s">
        <v>1703</v>
      </c>
      <c r="F826" s="76" t="s">
        <v>89</v>
      </c>
      <c r="G826" s="78" t="s">
        <v>5</v>
      </c>
      <c r="H826" s="76" t="s">
        <v>50</v>
      </c>
      <c r="I826" s="78" t="s">
        <v>55</v>
      </c>
      <c r="J826" s="78" t="s">
        <v>2509</v>
      </c>
      <c r="K826" s="76"/>
      <c r="L826" s="76"/>
      <c r="M826" s="76"/>
      <c r="N826" s="76">
        <v>2</v>
      </c>
      <c r="O826" s="76"/>
      <c r="P826" s="76"/>
      <c r="Q826" s="76"/>
      <c r="R826" s="76"/>
      <c r="X826" s="84" t="s">
        <v>2645</v>
      </c>
      <c r="Y826" s="84" t="s">
        <v>2541</v>
      </c>
      <c r="AA826" s="84" t="s">
        <v>2647</v>
      </c>
      <c r="AG826" s="84" t="s">
        <v>2643</v>
      </c>
      <c r="AH826" s="84" t="s">
        <v>2541</v>
      </c>
      <c r="AU826" s="84">
        <v>110</v>
      </c>
      <c r="AY826" s="86" t="s">
        <v>2651</v>
      </c>
      <c r="AZ826" s="88">
        <f t="shared" si="26"/>
        <v>0</v>
      </c>
      <c r="BH826" s="79" t="s">
        <v>2962</v>
      </c>
      <c r="BX826" s="88"/>
      <c r="CQ826" s="88"/>
    </row>
    <row r="827" spans="1:95" outlineLevel="1" x14ac:dyDescent="0.15">
      <c r="A827" s="76">
        <v>817</v>
      </c>
      <c r="B827" s="65" t="s">
        <v>1704</v>
      </c>
      <c r="C827" s="65">
        <v>1208350919</v>
      </c>
      <c r="D827" s="81" t="str">
        <f t="shared" si="28"/>
        <v>https://portal.dnb.de/opac.htm?method=simpleSearch&amp;cqlMode=true&amp;query=idn%3D1208350919</v>
      </c>
      <c r="E827" s="65" t="s">
        <v>1705</v>
      </c>
      <c r="F827" s="76"/>
      <c r="G827" s="78"/>
      <c r="H827" s="76"/>
      <c r="I827" s="78"/>
      <c r="J827" s="78"/>
      <c r="K827" s="76"/>
      <c r="L827" s="76"/>
      <c r="M827" s="76"/>
      <c r="N827" s="76"/>
      <c r="O827" s="76"/>
      <c r="P827" s="76"/>
      <c r="Q827" s="76"/>
      <c r="R827" s="76"/>
      <c r="AZ827" s="88">
        <f t="shared" si="26"/>
        <v>0</v>
      </c>
      <c r="BX827" s="88"/>
      <c r="CQ827" s="88"/>
    </row>
    <row r="828" spans="1:95" outlineLevel="1" x14ac:dyDescent="0.15">
      <c r="A828" s="76">
        <v>818</v>
      </c>
      <c r="B828" s="65" t="s">
        <v>1706</v>
      </c>
      <c r="C828" s="65">
        <v>1209576090</v>
      </c>
      <c r="D828" s="81" t="str">
        <f t="shared" si="28"/>
        <v>https://portal.dnb.de/opac.htm?method=simpleSearch&amp;cqlMode=true&amp;query=idn%3D1209576090</v>
      </c>
      <c r="E828" s="65" t="s">
        <v>1707</v>
      </c>
      <c r="F828" s="76"/>
      <c r="G828" s="78"/>
      <c r="H828" s="76"/>
      <c r="I828" s="78"/>
      <c r="J828" s="78"/>
      <c r="K828" s="76"/>
      <c r="L828" s="76"/>
      <c r="M828" s="76"/>
      <c r="N828" s="76"/>
      <c r="O828" s="76"/>
      <c r="P828" s="76"/>
      <c r="Q828" s="76"/>
      <c r="R828" s="76"/>
      <c r="AZ828" s="88">
        <f t="shared" si="26"/>
        <v>0</v>
      </c>
      <c r="BX828" s="88"/>
      <c r="CQ828" s="88"/>
    </row>
    <row r="829" spans="1:95" outlineLevel="1" x14ac:dyDescent="0.15">
      <c r="A829" s="76">
        <v>819</v>
      </c>
      <c r="B829" s="65" t="s">
        <v>1708</v>
      </c>
      <c r="C829" s="65" t="s">
        <v>1709</v>
      </c>
      <c r="D829" s="81" t="str">
        <f t="shared" si="28"/>
        <v>https://portal.dnb.de/opac.htm?method=simpleSearch&amp;cqlMode=true&amp;query=idn%3D99409843X</v>
      </c>
      <c r="E829" s="65" t="s">
        <v>2937</v>
      </c>
      <c r="F829" s="76"/>
      <c r="G829" s="78"/>
      <c r="H829" s="76"/>
      <c r="I829" s="78"/>
      <c r="J829" s="78"/>
      <c r="K829" s="76"/>
      <c r="L829" s="76"/>
      <c r="M829" s="76"/>
      <c r="N829" s="76"/>
      <c r="O829" s="76"/>
      <c r="P829" s="76"/>
      <c r="Q829" s="76"/>
      <c r="R829" s="76"/>
      <c r="AZ829" s="88">
        <f t="shared" si="26"/>
        <v>0</v>
      </c>
      <c r="BX829" s="88"/>
      <c r="CQ829" s="88"/>
    </row>
    <row r="830" spans="1:95" outlineLevel="1" x14ac:dyDescent="0.15">
      <c r="A830" s="76">
        <v>820</v>
      </c>
      <c r="B830" s="65" t="s">
        <v>1711</v>
      </c>
      <c r="C830" s="65">
        <v>994098219</v>
      </c>
      <c r="D830" s="81" t="str">
        <f t="shared" si="28"/>
        <v>https://portal.dnb.de/opac.htm?method=simpleSearch&amp;cqlMode=true&amp;query=idn%3D994098219</v>
      </c>
      <c r="E830" s="65" t="s">
        <v>1710</v>
      </c>
      <c r="F830" s="76"/>
      <c r="G830" s="78"/>
      <c r="H830" s="76" t="s">
        <v>51</v>
      </c>
      <c r="I830" s="78"/>
      <c r="J830" s="78"/>
      <c r="K830" s="76"/>
      <c r="L830" s="76"/>
      <c r="M830" s="76"/>
      <c r="N830" s="76"/>
      <c r="O830" s="76"/>
      <c r="P830" s="76"/>
      <c r="Q830" s="76"/>
      <c r="R830" s="76"/>
      <c r="X830" s="84" t="s">
        <v>2641</v>
      </c>
      <c r="Z830" s="84" t="s">
        <v>2541</v>
      </c>
      <c r="AA830" s="84" t="s">
        <v>2642</v>
      </c>
      <c r="AG830" s="84" t="s">
        <v>2643</v>
      </c>
      <c r="AU830" s="84">
        <v>80</v>
      </c>
      <c r="AY830" s="86" t="s">
        <v>2651</v>
      </c>
      <c r="AZ830" s="88">
        <f t="shared" si="26"/>
        <v>0</v>
      </c>
      <c r="BB830" s="84" t="s">
        <v>2777</v>
      </c>
      <c r="BX830" s="88"/>
      <c r="CQ830" s="88"/>
    </row>
    <row r="831" spans="1:95" outlineLevel="1" x14ac:dyDescent="0.15">
      <c r="A831" s="76">
        <v>821</v>
      </c>
      <c r="B831" s="65" t="s">
        <v>1712</v>
      </c>
      <c r="C831" s="65">
        <v>1208806262</v>
      </c>
      <c r="D831" s="81" t="str">
        <f t="shared" si="28"/>
        <v>https://portal.dnb.de/opac.htm?method=simpleSearch&amp;cqlMode=true&amp;query=idn%3D1208806262</v>
      </c>
      <c r="E831" s="65" t="s">
        <v>1713</v>
      </c>
      <c r="F831" s="76"/>
      <c r="G831" s="78"/>
      <c r="H831" s="76"/>
      <c r="I831" s="78"/>
      <c r="J831" s="78"/>
      <c r="K831" s="76"/>
      <c r="L831" s="76"/>
      <c r="M831" s="76"/>
      <c r="N831" s="76"/>
      <c r="O831" s="76"/>
      <c r="P831" s="76"/>
      <c r="Q831" s="76"/>
      <c r="R831" s="76"/>
      <c r="AZ831" s="88">
        <f t="shared" si="26"/>
        <v>0</v>
      </c>
      <c r="BX831" s="88"/>
      <c r="CQ831" s="88"/>
    </row>
    <row r="832" spans="1:95" outlineLevel="1" x14ac:dyDescent="0.15">
      <c r="A832" s="76">
        <v>822</v>
      </c>
      <c r="B832" s="65" t="s">
        <v>1714</v>
      </c>
      <c r="C832" s="65">
        <v>1208806092</v>
      </c>
      <c r="D832" s="81" t="str">
        <f t="shared" si="28"/>
        <v>https://portal.dnb.de/opac.htm?method=simpleSearch&amp;cqlMode=true&amp;query=idn%3D1208806092</v>
      </c>
      <c r="E832" s="65" t="s">
        <v>1715</v>
      </c>
      <c r="F832" s="76"/>
      <c r="G832" s="78"/>
      <c r="H832" s="76"/>
      <c r="I832" s="78"/>
      <c r="J832" s="78"/>
      <c r="K832" s="76"/>
      <c r="L832" s="76"/>
      <c r="M832" s="76"/>
      <c r="N832" s="76"/>
      <c r="O832" s="76"/>
      <c r="P832" s="76"/>
      <c r="Q832" s="76"/>
      <c r="R832" s="76"/>
      <c r="AZ832" s="88">
        <f t="shared" ref="AZ832:AZ895" si="29">BX832+CQ832</f>
        <v>0</v>
      </c>
      <c r="BX832" s="88"/>
      <c r="CQ832" s="88"/>
    </row>
    <row r="833" spans="1:96" ht="22.5" outlineLevel="1" x14ac:dyDescent="0.15">
      <c r="A833" s="76">
        <v>823</v>
      </c>
      <c r="B833" s="65" t="s">
        <v>1716</v>
      </c>
      <c r="C833" s="65">
        <v>1066866074</v>
      </c>
      <c r="D833" s="81" t="str">
        <f t="shared" si="28"/>
        <v>https://portal.dnb.de/opac.htm?method=simpleSearch&amp;cqlMode=true&amp;query=idn%3D1066866074</v>
      </c>
      <c r="E833" s="65" t="s">
        <v>1717</v>
      </c>
      <c r="F833" s="76" t="s">
        <v>89</v>
      </c>
      <c r="G833" s="78" t="s">
        <v>2510</v>
      </c>
      <c r="H833" s="76" t="s">
        <v>51</v>
      </c>
      <c r="I833" s="78" t="s">
        <v>55</v>
      </c>
      <c r="J833" s="78" t="s">
        <v>81</v>
      </c>
      <c r="K833" s="76"/>
      <c r="L833" s="76" t="s">
        <v>34</v>
      </c>
      <c r="M833" s="76" t="s">
        <v>37</v>
      </c>
      <c r="N833" s="76">
        <v>2</v>
      </c>
      <c r="O833" s="76"/>
      <c r="P833" s="76"/>
      <c r="Q833" s="76"/>
      <c r="R833" s="76"/>
      <c r="X833" s="84" t="s">
        <v>2641</v>
      </c>
      <c r="Y833" s="84" t="s">
        <v>2541</v>
      </c>
      <c r="AA833" s="84" t="s">
        <v>2653</v>
      </c>
      <c r="AG833" s="84" t="s">
        <v>2643</v>
      </c>
      <c r="AU833" s="84">
        <v>60</v>
      </c>
      <c r="AY833" s="86" t="s">
        <v>2644</v>
      </c>
      <c r="AZ833" s="88">
        <f t="shared" si="29"/>
        <v>0.5</v>
      </c>
      <c r="BD833" s="84" t="s">
        <v>2541</v>
      </c>
      <c r="BI833" s="63" t="s">
        <v>2877</v>
      </c>
      <c r="BK833" s="63" t="s">
        <v>2541</v>
      </c>
      <c r="BL833" s="84" t="s">
        <v>2541</v>
      </c>
      <c r="BM833" s="84" t="s">
        <v>2541</v>
      </c>
      <c r="BX833" s="88">
        <v>0.5</v>
      </c>
      <c r="CQ833" s="88"/>
    </row>
    <row r="834" spans="1:96" outlineLevel="1" x14ac:dyDescent="0.15">
      <c r="A834" s="76">
        <v>824</v>
      </c>
      <c r="B834" s="65" t="s">
        <v>1718</v>
      </c>
      <c r="C834" s="65">
        <v>1003970656</v>
      </c>
      <c r="D834" s="81" t="str">
        <f t="shared" si="28"/>
        <v>https://portal.dnb.de/opac.htm?method=simpleSearch&amp;cqlMode=true&amp;query=idn%3D1003970656</v>
      </c>
      <c r="E834" s="65" t="s">
        <v>1719</v>
      </c>
      <c r="F834" s="76" t="s">
        <v>89</v>
      </c>
      <c r="G834" s="78" t="s">
        <v>3</v>
      </c>
      <c r="H834" s="76" t="s">
        <v>51</v>
      </c>
      <c r="I834" s="78" t="s">
        <v>90</v>
      </c>
      <c r="J834" s="78" t="s">
        <v>81</v>
      </c>
      <c r="K834" s="76"/>
      <c r="L834" s="76"/>
      <c r="M834" s="76"/>
      <c r="N834" s="76">
        <v>0</v>
      </c>
      <c r="O834" s="76"/>
      <c r="P834" s="76"/>
      <c r="Q834" s="76"/>
      <c r="R834" s="76"/>
      <c r="AZ834" s="88">
        <f t="shared" si="29"/>
        <v>0</v>
      </c>
      <c r="BX834" s="88"/>
      <c r="CQ834" s="88"/>
    </row>
    <row r="835" spans="1:96" ht="22.5" outlineLevel="1" x14ac:dyDescent="0.15">
      <c r="A835" s="76">
        <v>825</v>
      </c>
      <c r="B835" s="65" t="s">
        <v>1720</v>
      </c>
      <c r="C835" s="65">
        <v>1066961379</v>
      </c>
      <c r="D835" s="81" t="str">
        <f t="shared" si="28"/>
        <v>https://portal.dnb.de/opac.htm?method=simpleSearch&amp;cqlMode=true&amp;query=idn%3D1066961379</v>
      </c>
      <c r="E835" s="65" t="s">
        <v>1721</v>
      </c>
      <c r="F835" s="76" t="s">
        <v>89</v>
      </c>
      <c r="G835" s="78" t="s">
        <v>2518</v>
      </c>
      <c r="H835" s="76" t="s">
        <v>50</v>
      </c>
      <c r="I835" s="78" t="s">
        <v>90</v>
      </c>
      <c r="J835" s="78" t="s">
        <v>81</v>
      </c>
      <c r="K835" s="76"/>
      <c r="L835" s="76" t="s">
        <v>34</v>
      </c>
      <c r="M835" s="76" t="s">
        <v>37</v>
      </c>
      <c r="N835" s="76">
        <v>0</v>
      </c>
      <c r="O835" s="76"/>
      <c r="P835" s="76"/>
      <c r="Q835" s="76"/>
      <c r="R835" s="76"/>
      <c r="AZ835" s="88">
        <f t="shared" si="29"/>
        <v>0</v>
      </c>
      <c r="BX835" s="88"/>
      <c r="CQ835" s="88"/>
    </row>
    <row r="836" spans="1:96" outlineLevel="1" x14ac:dyDescent="0.15">
      <c r="A836" s="76">
        <v>826</v>
      </c>
      <c r="B836" s="65" t="s">
        <v>1722</v>
      </c>
      <c r="C836" s="65">
        <v>1066961468</v>
      </c>
      <c r="D836" s="81" t="str">
        <f t="shared" si="28"/>
        <v>https://portal.dnb.de/opac.htm?method=simpleSearch&amp;cqlMode=true&amp;query=idn%3D1066961468</v>
      </c>
      <c r="E836" s="65" t="s">
        <v>1723</v>
      </c>
      <c r="F836" s="76" t="s">
        <v>89</v>
      </c>
      <c r="G836" s="78" t="s">
        <v>45</v>
      </c>
      <c r="H836" s="76" t="s">
        <v>50</v>
      </c>
      <c r="I836" s="78" t="s">
        <v>55</v>
      </c>
      <c r="J836" s="78" t="s">
        <v>81</v>
      </c>
      <c r="K836" s="76"/>
      <c r="L836" s="76"/>
      <c r="M836" s="76"/>
      <c r="N836" s="76">
        <v>0</v>
      </c>
      <c r="O836" s="76"/>
      <c r="P836" s="76"/>
      <c r="Q836" s="76"/>
      <c r="R836" s="76"/>
      <c r="AZ836" s="88">
        <f t="shared" si="29"/>
        <v>0</v>
      </c>
      <c r="BX836" s="88"/>
      <c r="CQ836" s="88"/>
    </row>
    <row r="837" spans="1:96" ht="22.5" outlineLevel="1" x14ac:dyDescent="0.15">
      <c r="A837" s="76">
        <v>827</v>
      </c>
      <c r="B837" s="65" t="s">
        <v>1724</v>
      </c>
      <c r="C837" s="65">
        <v>993993621</v>
      </c>
      <c r="D837" s="81" t="str">
        <f t="shared" si="28"/>
        <v>https://portal.dnb.de/opac.htm?method=simpleSearch&amp;cqlMode=true&amp;query=idn%3D993993621</v>
      </c>
      <c r="E837" s="65" t="s">
        <v>1725</v>
      </c>
      <c r="F837" s="76" t="s">
        <v>89</v>
      </c>
      <c r="G837" s="78" t="s">
        <v>2510</v>
      </c>
      <c r="H837" s="76" t="s">
        <v>50</v>
      </c>
      <c r="I837" s="78" t="s">
        <v>55</v>
      </c>
      <c r="J837" s="78"/>
      <c r="K837" s="76"/>
      <c r="L837" s="76"/>
      <c r="M837" s="76"/>
      <c r="N837" s="76"/>
      <c r="O837" s="76"/>
      <c r="P837" s="76"/>
      <c r="Q837" s="76"/>
      <c r="R837" s="76"/>
      <c r="X837" s="84" t="s">
        <v>2697</v>
      </c>
      <c r="Y837" s="84" t="s">
        <v>2541</v>
      </c>
      <c r="Z837" s="84" t="s">
        <v>2541</v>
      </c>
      <c r="AA837" s="84" t="s">
        <v>2647</v>
      </c>
      <c r="AE837" s="84" t="s">
        <v>2541</v>
      </c>
      <c r="AG837" s="84" t="s">
        <v>2643</v>
      </c>
      <c r="AQ837" s="84" t="s">
        <v>2686</v>
      </c>
      <c r="AR837" s="84" t="s">
        <v>2541</v>
      </c>
      <c r="AU837" s="84">
        <v>110</v>
      </c>
      <c r="AY837" s="86" t="s">
        <v>2651</v>
      </c>
      <c r="AZ837" s="88">
        <f t="shared" si="29"/>
        <v>0</v>
      </c>
      <c r="BD837" s="84" t="s">
        <v>2541</v>
      </c>
      <c r="BH837" s="79" t="s">
        <v>2962</v>
      </c>
      <c r="BX837" s="88"/>
      <c r="CQ837" s="88"/>
    </row>
    <row r="838" spans="1:96" ht="22.5" outlineLevel="1" x14ac:dyDescent="0.15">
      <c r="A838" s="76">
        <v>828</v>
      </c>
      <c r="B838" s="65" t="s">
        <v>1726</v>
      </c>
      <c r="C838" s="65">
        <v>1000466167</v>
      </c>
      <c r="D838" s="81" t="str">
        <f t="shared" si="28"/>
        <v>https://portal.dnb.de/opac.htm?method=simpleSearch&amp;cqlMode=true&amp;query=idn%3D1000466167</v>
      </c>
      <c r="E838" s="65" t="s">
        <v>1727</v>
      </c>
      <c r="F838" s="76"/>
      <c r="G838" s="78" t="s">
        <v>2510</v>
      </c>
      <c r="H838" s="76" t="s">
        <v>51</v>
      </c>
      <c r="I838" s="78" t="s">
        <v>90</v>
      </c>
      <c r="J838" s="78"/>
      <c r="K838" s="76"/>
      <c r="L838" s="76" t="s">
        <v>35</v>
      </c>
      <c r="M838" s="76" t="s">
        <v>37</v>
      </c>
      <c r="N838" s="76">
        <v>0</v>
      </c>
      <c r="O838" s="76"/>
      <c r="P838" s="76"/>
      <c r="Q838" s="76"/>
      <c r="R838" s="76"/>
      <c r="AZ838" s="88">
        <f t="shared" si="29"/>
        <v>0</v>
      </c>
      <c r="BX838" s="88"/>
      <c r="CQ838" s="88"/>
    </row>
    <row r="839" spans="1:96" ht="22.5" outlineLevel="1" x14ac:dyDescent="0.15">
      <c r="A839" s="76">
        <v>829</v>
      </c>
      <c r="B839" s="65" t="s">
        <v>1728</v>
      </c>
      <c r="C839" s="65">
        <v>1066779627</v>
      </c>
      <c r="D839" s="81" t="str">
        <f t="shared" si="28"/>
        <v>https://portal.dnb.de/opac.htm?method=simpleSearch&amp;cqlMode=true&amp;query=idn%3D1066779627</v>
      </c>
      <c r="E839" s="65" t="s">
        <v>1729</v>
      </c>
      <c r="F839" s="76" t="s">
        <v>89</v>
      </c>
      <c r="G839" s="78" t="s">
        <v>2510</v>
      </c>
      <c r="H839" s="76" t="s">
        <v>51</v>
      </c>
      <c r="I839" s="78" t="s">
        <v>90</v>
      </c>
      <c r="J839" s="78" t="s">
        <v>94</v>
      </c>
      <c r="K839" s="76"/>
      <c r="L839" s="76" t="s">
        <v>34</v>
      </c>
      <c r="M839" s="76" t="s">
        <v>37</v>
      </c>
      <c r="N839" s="76">
        <v>0</v>
      </c>
      <c r="O839" s="76"/>
      <c r="P839" s="76"/>
      <c r="Q839" s="76"/>
      <c r="R839" s="76"/>
      <c r="AZ839" s="88">
        <f t="shared" si="29"/>
        <v>0</v>
      </c>
      <c r="BX839" s="88"/>
      <c r="CQ839" s="88"/>
    </row>
    <row r="840" spans="1:96" ht="22.5" outlineLevel="1" x14ac:dyDescent="0.15">
      <c r="A840" s="76">
        <v>830</v>
      </c>
      <c r="B840" s="65" t="s">
        <v>1730</v>
      </c>
      <c r="C840" s="65">
        <v>1066767114</v>
      </c>
      <c r="D840" s="81" t="str">
        <f t="shared" si="28"/>
        <v>https://portal.dnb.de/opac.htm?method=simpleSearch&amp;cqlMode=true&amp;query=idn%3D1066767114</v>
      </c>
      <c r="E840" s="65" t="s">
        <v>1731</v>
      </c>
      <c r="F840" s="76" t="s">
        <v>89</v>
      </c>
      <c r="G840" s="78" t="s">
        <v>17</v>
      </c>
      <c r="H840" s="76" t="s">
        <v>50</v>
      </c>
      <c r="I840" s="78" t="s">
        <v>55</v>
      </c>
      <c r="J840" s="78" t="s">
        <v>94</v>
      </c>
      <c r="K840" s="76"/>
      <c r="L840" s="76"/>
      <c r="M840" s="76"/>
      <c r="N840" s="76">
        <v>3</v>
      </c>
      <c r="O840" s="76"/>
      <c r="P840" s="76"/>
      <c r="Q840" s="76"/>
      <c r="R840" s="76"/>
      <c r="X840" s="84" t="s">
        <v>2643</v>
      </c>
      <c r="AA840" s="84" t="s">
        <v>2642</v>
      </c>
      <c r="AG840" s="84" t="s">
        <v>2643</v>
      </c>
      <c r="AU840" s="84">
        <v>80</v>
      </c>
      <c r="AY840" s="86" t="s">
        <v>2644</v>
      </c>
      <c r="AZ840" s="88">
        <f t="shared" si="29"/>
        <v>1.5</v>
      </c>
      <c r="BK840" s="63" t="s">
        <v>2541</v>
      </c>
      <c r="BM840" s="84" t="s">
        <v>2541</v>
      </c>
      <c r="BQ840" s="84" t="s">
        <v>2541</v>
      </c>
      <c r="BX840" s="88">
        <v>1.5</v>
      </c>
      <c r="BY840" s="79" t="s">
        <v>3032</v>
      </c>
      <c r="CQ840" s="88"/>
    </row>
    <row r="841" spans="1:96" ht="22.5" outlineLevel="1" x14ac:dyDescent="0.15">
      <c r="A841" s="76"/>
      <c r="B841" s="65"/>
      <c r="C841" s="65"/>
      <c r="D841" s="81"/>
      <c r="E841" s="65" t="s">
        <v>2616</v>
      </c>
      <c r="F841" s="76" t="s">
        <v>89</v>
      </c>
      <c r="G841" s="78" t="s">
        <v>45</v>
      </c>
      <c r="H841" s="76" t="s">
        <v>51</v>
      </c>
      <c r="I841" s="78" t="s">
        <v>86</v>
      </c>
      <c r="J841" s="78" t="s">
        <v>81</v>
      </c>
      <c r="K841" s="76"/>
      <c r="L841" s="76" t="s">
        <v>35</v>
      </c>
      <c r="M841" s="76" t="s">
        <v>37</v>
      </c>
      <c r="N841" s="76">
        <v>2</v>
      </c>
      <c r="O841" s="76"/>
      <c r="P841" s="76"/>
      <c r="Q841" s="76"/>
      <c r="R841" s="76"/>
      <c r="X841" s="84" t="s">
        <v>2646</v>
      </c>
      <c r="AA841" s="84" t="s">
        <v>2675</v>
      </c>
      <c r="AG841" s="84" t="s">
        <v>2643</v>
      </c>
      <c r="AU841" s="84">
        <v>45</v>
      </c>
      <c r="AV841" s="84" t="s">
        <v>2541</v>
      </c>
      <c r="AY841" s="86" t="s">
        <v>2644</v>
      </c>
      <c r="AZ841" s="88">
        <f t="shared" si="29"/>
        <v>2</v>
      </c>
      <c r="BB841" s="84" t="s">
        <v>2777</v>
      </c>
      <c r="BI841" s="63" t="s">
        <v>2877</v>
      </c>
      <c r="BK841" s="63" t="s">
        <v>2541</v>
      </c>
      <c r="BX841" s="88"/>
      <c r="CI841" s="84" t="s">
        <v>2541</v>
      </c>
      <c r="CQ841" s="88">
        <v>2</v>
      </c>
      <c r="CR841" s="79" t="s">
        <v>3033</v>
      </c>
    </row>
    <row r="842" spans="1:96" ht="22.5" outlineLevel="1" x14ac:dyDescent="0.15">
      <c r="A842" s="76">
        <v>831</v>
      </c>
      <c r="B842" s="65" t="s">
        <v>1732</v>
      </c>
      <c r="C842" s="65">
        <v>1066936455</v>
      </c>
      <c r="D842" s="81" t="str">
        <f t="shared" si="28"/>
        <v>https://portal.dnb.de/opac.htm?method=simpleSearch&amp;cqlMode=true&amp;query=idn%3D1066936455</v>
      </c>
      <c r="E842" s="65" t="s">
        <v>1733</v>
      </c>
      <c r="F842" s="76" t="s">
        <v>89</v>
      </c>
      <c r="G842" s="78" t="s">
        <v>2510</v>
      </c>
      <c r="H842" s="76" t="s">
        <v>50</v>
      </c>
      <c r="I842" s="78" t="s">
        <v>90</v>
      </c>
      <c r="J842" s="78" t="s">
        <v>94</v>
      </c>
      <c r="K842" s="76"/>
      <c r="L842" s="76" t="s">
        <v>34</v>
      </c>
      <c r="M842" s="76" t="s">
        <v>37</v>
      </c>
      <c r="N842" s="76">
        <v>1</v>
      </c>
      <c r="O842" s="76"/>
      <c r="P842" s="76"/>
      <c r="Q842" s="76"/>
      <c r="R842" s="76"/>
      <c r="X842" s="84" t="s">
        <v>2641</v>
      </c>
      <c r="AA842" s="84" t="s">
        <v>2642</v>
      </c>
      <c r="AG842" s="84" t="s">
        <v>2643</v>
      </c>
      <c r="AU842" s="84">
        <v>60</v>
      </c>
      <c r="AY842" s="86" t="s">
        <v>2651</v>
      </c>
      <c r="AZ842" s="88">
        <f t="shared" si="29"/>
        <v>0</v>
      </c>
      <c r="BD842" s="84" t="s">
        <v>2541</v>
      </c>
      <c r="BH842" s="79" t="s">
        <v>2962</v>
      </c>
      <c r="BX842" s="88"/>
      <c r="CQ842" s="88"/>
    </row>
    <row r="843" spans="1:96" outlineLevel="1" x14ac:dyDescent="0.15">
      <c r="A843" s="116">
        <v>832</v>
      </c>
      <c r="B843" s="65" t="s">
        <v>1734</v>
      </c>
      <c r="C843" s="65">
        <v>995843651</v>
      </c>
      <c r="D843" s="81" t="str">
        <f t="shared" si="28"/>
        <v>https://portal.dnb.de/opac.htm?method=simpleSearch&amp;cqlMode=true&amp;query=idn%3D995843651</v>
      </c>
      <c r="E843" s="65" t="s">
        <v>1735</v>
      </c>
      <c r="F843" s="76"/>
      <c r="G843" s="78"/>
      <c r="H843" s="76" t="s">
        <v>50</v>
      </c>
      <c r="I843" s="78"/>
      <c r="J843" s="78"/>
      <c r="K843" s="76"/>
      <c r="L843" s="76"/>
      <c r="M843" s="76"/>
      <c r="N843" s="76"/>
      <c r="O843" s="76"/>
      <c r="P843" s="76"/>
      <c r="Q843" s="76"/>
      <c r="R843" s="76"/>
      <c r="X843" s="84" t="s">
        <v>2646</v>
      </c>
      <c r="AA843" s="84" t="s">
        <v>2675</v>
      </c>
      <c r="AG843" s="84" t="s">
        <v>2643</v>
      </c>
      <c r="AU843" s="84">
        <v>180</v>
      </c>
      <c r="AY843" s="86" t="s">
        <v>2651</v>
      </c>
      <c r="AZ843" s="88">
        <f t="shared" si="29"/>
        <v>0</v>
      </c>
      <c r="BX843" s="88"/>
      <c r="CQ843" s="88"/>
    </row>
    <row r="844" spans="1:96" outlineLevel="1" x14ac:dyDescent="0.15">
      <c r="A844" s="76">
        <v>833</v>
      </c>
      <c r="B844" s="65" t="s">
        <v>1736</v>
      </c>
      <c r="C844" s="65" t="s">
        <v>1737</v>
      </c>
      <c r="D844" s="81" t="str">
        <f t="shared" si="28"/>
        <v>https://portal.dnb.de/opac.htm?method=simpleSearch&amp;cqlMode=true&amp;query=idn%3D106686814X</v>
      </c>
      <c r="E844" s="65" t="s">
        <v>1738</v>
      </c>
      <c r="F844" s="76"/>
      <c r="G844" s="78"/>
      <c r="H844" s="76" t="s">
        <v>50</v>
      </c>
      <c r="I844" s="78"/>
      <c r="J844" s="78"/>
      <c r="K844" s="76"/>
      <c r="L844" s="76"/>
      <c r="M844" s="76"/>
      <c r="N844" s="76"/>
      <c r="O844" s="76"/>
      <c r="P844" s="76"/>
      <c r="Q844" s="76"/>
      <c r="R844" s="76"/>
      <c r="X844" s="84" t="s">
        <v>2696</v>
      </c>
      <c r="AA844" s="84" t="s">
        <v>2675</v>
      </c>
      <c r="AG844" s="84" t="s">
        <v>2643</v>
      </c>
      <c r="AU844" s="84">
        <v>110</v>
      </c>
      <c r="AY844" s="86" t="s">
        <v>2651</v>
      </c>
      <c r="AZ844" s="88">
        <f t="shared" si="29"/>
        <v>0</v>
      </c>
      <c r="BX844" s="88"/>
      <c r="CQ844" s="88"/>
    </row>
    <row r="845" spans="1:96" outlineLevel="1" x14ac:dyDescent="0.15">
      <c r="A845" s="76">
        <v>834</v>
      </c>
      <c r="B845" s="65" t="s">
        <v>1739</v>
      </c>
      <c r="C845" s="65">
        <v>1066956375</v>
      </c>
      <c r="D845" s="81" t="str">
        <f t="shared" si="28"/>
        <v>https://portal.dnb.de/opac.htm?method=simpleSearch&amp;cqlMode=true&amp;query=idn%3D1066956375</v>
      </c>
      <c r="E845" s="65" t="s">
        <v>1740</v>
      </c>
      <c r="F845" s="76"/>
      <c r="G845" s="78"/>
      <c r="H845" s="76" t="s">
        <v>50</v>
      </c>
      <c r="I845" s="78"/>
      <c r="J845" s="78"/>
      <c r="K845" s="76"/>
      <c r="L845" s="76"/>
      <c r="M845" s="76"/>
      <c r="N845" s="76"/>
      <c r="O845" s="76"/>
      <c r="P845" s="76"/>
      <c r="Q845" s="76"/>
      <c r="R845" s="76"/>
      <c r="X845" s="84" t="s">
        <v>2652</v>
      </c>
      <c r="Y845" s="84" t="s">
        <v>2541</v>
      </c>
      <c r="AA845" s="84" t="s">
        <v>2647</v>
      </c>
      <c r="AG845" s="84" t="s">
        <v>2643</v>
      </c>
      <c r="AH845" s="84" t="s">
        <v>2541</v>
      </c>
      <c r="AU845" s="84">
        <v>110</v>
      </c>
      <c r="AY845" s="86" t="s">
        <v>2651</v>
      </c>
      <c r="AZ845" s="88">
        <f t="shared" si="29"/>
        <v>0</v>
      </c>
      <c r="BD845" s="84" t="s">
        <v>2541</v>
      </c>
      <c r="BX845" s="88"/>
      <c r="CQ845" s="88"/>
    </row>
    <row r="846" spans="1:96" outlineLevel="1" x14ac:dyDescent="0.15">
      <c r="A846" s="76">
        <v>835</v>
      </c>
      <c r="B846" s="65" t="s">
        <v>1741</v>
      </c>
      <c r="C846" s="65">
        <v>1066800278</v>
      </c>
      <c r="D846" s="81" t="str">
        <f t="shared" si="28"/>
        <v>https://portal.dnb.de/opac.htm?method=simpleSearch&amp;cqlMode=true&amp;query=idn%3D1066800278</v>
      </c>
      <c r="E846" s="65" t="s">
        <v>1742</v>
      </c>
      <c r="F846" s="76"/>
      <c r="G846" s="78"/>
      <c r="H846" s="76" t="s">
        <v>50</v>
      </c>
      <c r="I846" s="78"/>
      <c r="J846" s="78"/>
      <c r="K846" s="76"/>
      <c r="L846" s="76"/>
      <c r="M846" s="76"/>
      <c r="N846" s="76"/>
      <c r="O846" s="76"/>
      <c r="P846" s="76"/>
      <c r="Q846" s="76"/>
      <c r="R846" s="76"/>
      <c r="X846" s="84" t="s">
        <v>2641</v>
      </c>
      <c r="Y846" s="84" t="s">
        <v>2541</v>
      </c>
      <c r="AA846" s="84" t="s">
        <v>2642</v>
      </c>
      <c r="AG846" s="84" t="s">
        <v>2643</v>
      </c>
      <c r="AQ846" s="84" t="s">
        <v>2658</v>
      </c>
      <c r="AR846" s="84" t="s">
        <v>2541</v>
      </c>
      <c r="AU846" s="84">
        <v>80</v>
      </c>
      <c r="AY846" s="86" t="s">
        <v>2651</v>
      </c>
      <c r="AZ846" s="88">
        <f t="shared" si="29"/>
        <v>0</v>
      </c>
      <c r="BD846" s="84" t="s">
        <v>2541</v>
      </c>
      <c r="BX846" s="88"/>
      <c r="CQ846" s="88"/>
    </row>
    <row r="847" spans="1:96" outlineLevel="1" x14ac:dyDescent="0.15">
      <c r="A847" s="76">
        <v>836</v>
      </c>
      <c r="B847" s="65" t="s">
        <v>1743</v>
      </c>
      <c r="C847" s="65">
        <v>1066800278</v>
      </c>
      <c r="D847" s="81" t="str">
        <f t="shared" si="28"/>
        <v>https://portal.dnb.de/opac.htm?method=simpleSearch&amp;cqlMode=true&amp;query=idn%3D1066800278</v>
      </c>
      <c r="E847" s="65" t="s">
        <v>1742</v>
      </c>
      <c r="F847" s="76"/>
      <c r="G847" s="78"/>
      <c r="H847" s="76"/>
      <c r="I847" s="78"/>
      <c r="J847" s="78"/>
      <c r="K847" s="76"/>
      <c r="L847" s="76"/>
      <c r="M847" s="76"/>
      <c r="N847" s="76"/>
      <c r="O847" s="76"/>
      <c r="P847" s="76"/>
      <c r="Q847" s="76"/>
      <c r="R847" s="76"/>
      <c r="AZ847" s="88">
        <f t="shared" si="29"/>
        <v>0</v>
      </c>
      <c r="BX847" s="88"/>
      <c r="CQ847" s="88"/>
    </row>
    <row r="848" spans="1:96" outlineLevel="1" x14ac:dyDescent="0.15">
      <c r="A848" s="76">
        <v>837</v>
      </c>
      <c r="B848" s="65" t="s">
        <v>1744</v>
      </c>
      <c r="C848" s="65">
        <v>1066798540</v>
      </c>
      <c r="D848" s="81" t="str">
        <f t="shared" si="28"/>
        <v>https://portal.dnb.de/opac.htm?method=simpleSearch&amp;cqlMode=true&amp;query=idn%3D1066798540</v>
      </c>
      <c r="E848" s="65" t="s">
        <v>1745</v>
      </c>
      <c r="F848" s="76"/>
      <c r="G848" s="78"/>
      <c r="H848" s="76" t="s">
        <v>51</v>
      </c>
      <c r="I848" s="78"/>
      <c r="J848" s="78"/>
      <c r="K848" s="76"/>
      <c r="L848" s="76"/>
      <c r="M848" s="76"/>
      <c r="N848" s="76"/>
      <c r="O848" s="76"/>
      <c r="P848" s="76"/>
      <c r="Q848" s="76"/>
      <c r="R848" s="76"/>
      <c r="X848" s="84" t="s">
        <v>2652</v>
      </c>
      <c r="Y848" s="84" t="s">
        <v>2541</v>
      </c>
      <c r="AA848" s="84" t="s">
        <v>2647</v>
      </c>
      <c r="AG848" s="84" t="s">
        <v>2643</v>
      </c>
      <c r="AU848" s="84">
        <v>110</v>
      </c>
      <c r="AY848" s="86" t="s">
        <v>2651</v>
      </c>
      <c r="AZ848" s="88">
        <f t="shared" si="29"/>
        <v>0</v>
      </c>
      <c r="BD848" s="84" t="s">
        <v>2541</v>
      </c>
      <c r="BX848" s="88"/>
      <c r="CQ848" s="88"/>
    </row>
    <row r="849" spans="1:95" ht="22.5" outlineLevel="1" x14ac:dyDescent="0.15">
      <c r="A849" s="76">
        <v>838</v>
      </c>
      <c r="B849" s="65" t="s">
        <v>1746</v>
      </c>
      <c r="C849" s="65">
        <v>1066834555</v>
      </c>
      <c r="D849" s="81" t="str">
        <f t="shared" si="28"/>
        <v>https://portal.dnb.de/opac.htm?method=simpleSearch&amp;cqlMode=true&amp;query=idn%3D1066834555</v>
      </c>
      <c r="E849" s="65" t="s">
        <v>1747</v>
      </c>
      <c r="F849" s="76"/>
      <c r="G849" s="78"/>
      <c r="H849" s="76" t="s">
        <v>50</v>
      </c>
      <c r="I849" s="78"/>
      <c r="J849" s="78"/>
      <c r="K849" s="76"/>
      <c r="L849" s="76"/>
      <c r="M849" s="76"/>
      <c r="N849" s="76"/>
      <c r="O849" s="76"/>
      <c r="P849" s="76"/>
      <c r="Q849" s="76"/>
      <c r="R849" s="76"/>
      <c r="S849" s="84" t="s">
        <v>2774</v>
      </c>
      <c r="AZ849" s="88">
        <f t="shared" si="29"/>
        <v>0</v>
      </c>
      <c r="BE849" s="84" t="s">
        <v>2541</v>
      </c>
      <c r="BH849" s="79" t="s">
        <v>2775</v>
      </c>
      <c r="BX849" s="88"/>
      <c r="CQ849" s="88"/>
    </row>
    <row r="850" spans="1:95" outlineLevel="1" x14ac:dyDescent="0.15">
      <c r="A850" s="76">
        <v>839</v>
      </c>
      <c r="B850" s="65" t="s">
        <v>1748</v>
      </c>
      <c r="C850" s="65">
        <v>1000270947</v>
      </c>
      <c r="D850" s="81" t="str">
        <f t="shared" si="28"/>
        <v>https://portal.dnb.de/opac.htm?method=simpleSearch&amp;cqlMode=true&amp;query=idn%3D1000270947</v>
      </c>
      <c r="E850" s="65" t="s">
        <v>1749</v>
      </c>
      <c r="F850" s="76"/>
      <c r="G850" s="78"/>
      <c r="H850" s="76" t="s">
        <v>50</v>
      </c>
      <c r="I850" s="78"/>
      <c r="J850" s="78"/>
      <c r="K850" s="76"/>
      <c r="L850" s="76"/>
      <c r="M850" s="76"/>
      <c r="N850" s="76"/>
      <c r="O850" s="76"/>
      <c r="P850" s="76"/>
      <c r="Q850" s="76"/>
      <c r="R850" s="76"/>
      <c r="X850" s="84" t="s">
        <v>2696</v>
      </c>
      <c r="AA850" s="84" t="s">
        <v>2647</v>
      </c>
      <c r="AG850" s="84" t="s">
        <v>2643</v>
      </c>
      <c r="AU850" s="84">
        <v>110</v>
      </c>
      <c r="AY850" s="86" t="s">
        <v>2651</v>
      </c>
      <c r="AZ850" s="88">
        <f t="shared" si="29"/>
        <v>0</v>
      </c>
      <c r="BX850" s="88"/>
      <c r="CQ850" s="88"/>
    </row>
    <row r="851" spans="1:95" outlineLevel="1" x14ac:dyDescent="0.15">
      <c r="A851" s="76">
        <v>840</v>
      </c>
      <c r="B851" s="65" t="s">
        <v>1750</v>
      </c>
      <c r="C851" s="65">
        <v>994251505</v>
      </c>
      <c r="D851" s="81" t="str">
        <f t="shared" si="28"/>
        <v>https://portal.dnb.de/opac.htm?method=simpleSearch&amp;cqlMode=true&amp;query=idn%3D994251505</v>
      </c>
      <c r="E851" s="65" t="s">
        <v>1751</v>
      </c>
      <c r="F851" s="76"/>
      <c r="G851" s="78"/>
      <c r="H851" s="76" t="s">
        <v>50</v>
      </c>
      <c r="I851" s="78"/>
      <c r="J851" s="78"/>
      <c r="K851" s="76"/>
      <c r="L851" s="76"/>
      <c r="M851" s="76"/>
      <c r="N851" s="76"/>
      <c r="O851" s="76"/>
      <c r="P851" s="76"/>
      <c r="Q851" s="76"/>
      <c r="R851" s="76"/>
      <c r="X851" s="84" t="s">
        <v>2697</v>
      </c>
      <c r="AA851" s="84" t="s">
        <v>2642</v>
      </c>
      <c r="AG851" s="84" t="s">
        <v>2643</v>
      </c>
      <c r="AU851" s="84" t="s">
        <v>2776</v>
      </c>
      <c r="AY851" s="86" t="s">
        <v>2651</v>
      </c>
      <c r="AZ851" s="88">
        <f t="shared" si="29"/>
        <v>0</v>
      </c>
      <c r="BB851" s="84" t="s">
        <v>2777</v>
      </c>
      <c r="BX851" s="88"/>
      <c r="CQ851" s="88"/>
    </row>
    <row r="852" spans="1:95" outlineLevel="1" x14ac:dyDescent="0.15">
      <c r="A852" s="76">
        <v>841</v>
      </c>
      <c r="B852" s="65" t="s">
        <v>1752</v>
      </c>
      <c r="C852" s="65">
        <v>994801394</v>
      </c>
      <c r="D852" s="81" t="str">
        <f t="shared" si="28"/>
        <v>https://portal.dnb.de/opac.htm?method=simpleSearch&amp;cqlMode=true&amp;query=idn%3D994801394</v>
      </c>
      <c r="E852" s="65" t="s">
        <v>1751</v>
      </c>
      <c r="F852" s="76"/>
      <c r="G852" s="78"/>
      <c r="H852" s="76"/>
      <c r="I852" s="78"/>
      <c r="J852" s="78"/>
      <c r="K852" s="76"/>
      <c r="L852" s="76"/>
      <c r="M852" s="76"/>
      <c r="N852" s="76"/>
      <c r="O852" s="76"/>
      <c r="P852" s="76"/>
      <c r="Q852" s="76"/>
      <c r="R852" s="76"/>
      <c r="AZ852" s="88">
        <f t="shared" si="29"/>
        <v>0</v>
      </c>
      <c r="BX852" s="88"/>
      <c r="CQ852" s="88"/>
    </row>
    <row r="853" spans="1:95" outlineLevel="1" x14ac:dyDescent="0.15">
      <c r="A853" s="76">
        <v>842</v>
      </c>
      <c r="B853" s="65" t="s">
        <v>1753</v>
      </c>
      <c r="C853" s="65">
        <v>1066960453</v>
      </c>
      <c r="D853" s="81" t="str">
        <f t="shared" si="28"/>
        <v>https://portal.dnb.de/opac.htm?method=simpleSearch&amp;cqlMode=true&amp;query=idn%3D1066960453</v>
      </c>
      <c r="E853" s="65" t="s">
        <v>1754</v>
      </c>
      <c r="F853" s="76"/>
      <c r="G853" s="78"/>
      <c r="H853" s="76" t="s">
        <v>50</v>
      </c>
      <c r="I853" s="78"/>
      <c r="J853" s="78"/>
      <c r="K853" s="76"/>
      <c r="L853" s="76"/>
      <c r="M853" s="76"/>
      <c r="N853" s="76"/>
      <c r="O853" s="76"/>
      <c r="P853" s="76"/>
      <c r="Q853" s="76"/>
      <c r="R853" s="76"/>
      <c r="W853" s="84" t="s">
        <v>2541</v>
      </c>
      <c r="X853" s="84" t="s">
        <v>2652</v>
      </c>
      <c r="Y853" s="84" t="s">
        <v>2541</v>
      </c>
      <c r="AA853" s="84" t="s">
        <v>2647</v>
      </c>
      <c r="AG853" s="84" t="s">
        <v>2643</v>
      </c>
      <c r="AH853" s="84" t="s">
        <v>2541</v>
      </c>
      <c r="AU853" s="84">
        <v>110</v>
      </c>
      <c r="AY853" s="86" t="s">
        <v>2651</v>
      </c>
      <c r="AZ853" s="88">
        <f t="shared" si="29"/>
        <v>0</v>
      </c>
      <c r="BD853" s="84" t="s">
        <v>2541</v>
      </c>
      <c r="BX853" s="88"/>
      <c r="CQ853" s="88"/>
    </row>
    <row r="854" spans="1:95" outlineLevel="1" x14ac:dyDescent="0.15">
      <c r="A854" s="76">
        <v>843</v>
      </c>
      <c r="B854" s="65" t="s">
        <v>1755</v>
      </c>
      <c r="C854" s="65">
        <v>1066959978</v>
      </c>
      <c r="D854" s="81" t="str">
        <f t="shared" si="28"/>
        <v>https://portal.dnb.de/opac.htm?method=simpleSearch&amp;cqlMode=true&amp;query=idn%3D1066959978</v>
      </c>
      <c r="E854" s="65" t="s">
        <v>1756</v>
      </c>
      <c r="F854" s="76"/>
      <c r="G854" s="78"/>
      <c r="H854" s="76" t="s">
        <v>50</v>
      </c>
      <c r="I854" s="78"/>
      <c r="J854" s="78"/>
      <c r="K854" s="76"/>
      <c r="L854" s="76"/>
      <c r="M854" s="76"/>
      <c r="N854" s="76"/>
      <c r="O854" s="76"/>
      <c r="P854" s="76"/>
      <c r="Q854" s="76"/>
      <c r="R854" s="76"/>
      <c r="X854" s="84" t="s">
        <v>2696</v>
      </c>
      <c r="AA854" s="84" t="s">
        <v>2647</v>
      </c>
      <c r="AG854" s="84" t="s">
        <v>2643</v>
      </c>
      <c r="AU854" s="84">
        <v>110</v>
      </c>
      <c r="AY854" s="86" t="s">
        <v>2651</v>
      </c>
      <c r="AZ854" s="88">
        <f t="shared" si="29"/>
        <v>0</v>
      </c>
      <c r="BX854" s="88"/>
      <c r="CQ854" s="88"/>
    </row>
    <row r="855" spans="1:95" ht="22.5" outlineLevel="1" x14ac:dyDescent="0.15">
      <c r="A855" s="76">
        <v>844</v>
      </c>
      <c r="B855" s="65" t="s">
        <v>1757</v>
      </c>
      <c r="C855" s="65" t="s">
        <v>1758</v>
      </c>
      <c r="D855" s="81" t="str">
        <f t="shared" si="28"/>
        <v>https://portal.dnb.de/opac.htm?method=simpleSearch&amp;cqlMode=true&amp;query=idn%3D106677935X</v>
      </c>
      <c r="E855" s="65" t="s">
        <v>1759</v>
      </c>
      <c r="F855" s="76"/>
      <c r="G855" s="78"/>
      <c r="H855" s="76" t="s">
        <v>51</v>
      </c>
      <c r="I855" s="78"/>
      <c r="J855" s="78"/>
      <c r="K855" s="76"/>
      <c r="L855" s="76"/>
      <c r="M855" s="76"/>
      <c r="N855" s="76"/>
      <c r="O855" s="76"/>
      <c r="P855" s="76"/>
      <c r="Q855" s="76"/>
      <c r="R855" s="76"/>
      <c r="X855" s="84" t="s">
        <v>2646</v>
      </c>
      <c r="AA855" s="84" t="s">
        <v>2675</v>
      </c>
      <c r="AD855" s="84" t="s">
        <v>2541</v>
      </c>
      <c r="AG855" s="84" t="s">
        <v>2643</v>
      </c>
      <c r="AU855" s="84">
        <v>110</v>
      </c>
      <c r="AY855" s="86" t="s">
        <v>2651</v>
      </c>
      <c r="AZ855" s="88">
        <f t="shared" si="29"/>
        <v>0</v>
      </c>
      <c r="BJ855" s="79" t="s">
        <v>2778</v>
      </c>
      <c r="BX855" s="88"/>
      <c r="CQ855" s="88"/>
    </row>
    <row r="856" spans="1:95" outlineLevel="1" x14ac:dyDescent="0.15">
      <c r="A856" s="76">
        <v>845</v>
      </c>
      <c r="B856" s="65" t="s">
        <v>1760</v>
      </c>
      <c r="C856" s="65">
        <v>1066764115</v>
      </c>
      <c r="D856" s="81" t="str">
        <f t="shared" si="28"/>
        <v>https://portal.dnb.de/opac.htm?method=simpleSearch&amp;cqlMode=true&amp;query=idn%3D1066764115</v>
      </c>
      <c r="E856" s="65" t="s">
        <v>1761</v>
      </c>
      <c r="F856" s="76"/>
      <c r="G856" s="78"/>
      <c r="H856" s="76" t="s">
        <v>50</v>
      </c>
      <c r="I856" s="78"/>
      <c r="J856" s="78"/>
      <c r="K856" s="76"/>
      <c r="L856" s="76"/>
      <c r="M856" s="76"/>
      <c r="N856" s="76"/>
      <c r="O856" s="76"/>
      <c r="P856" s="76"/>
      <c r="Q856" s="76"/>
      <c r="R856" s="76"/>
      <c r="X856" s="84" t="s">
        <v>2652</v>
      </c>
      <c r="Y856" s="84" t="s">
        <v>2541</v>
      </c>
      <c r="AA856" s="84" t="s">
        <v>2647</v>
      </c>
      <c r="AG856" s="84" t="s">
        <v>2643</v>
      </c>
      <c r="AU856" s="84">
        <v>110</v>
      </c>
      <c r="AY856" s="86" t="s">
        <v>2651</v>
      </c>
      <c r="AZ856" s="88">
        <f t="shared" si="29"/>
        <v>0</v>
      </c>
      <c r="BD856" s="84" t="s">
        <v>2541</v>
      </c>
      <c r="BX856" s="88"/>
      <c r="CQ856" s="88"/>
    </row>
    <row r="857" spans="1:95" outlineLevel="1" x14ac:dyDescent="0.15">
      <c r="A857" s="76">
        <v>846</v>
      </c>
      <c r="B857" s="65" t="s">
        <v>1762</v>
      </c>
      <c r="C857" s="65">
        <v>1208798723</v>
      </c>
      <c r="D857" s="81" t="str">
        <f t="shared" si="28"/>
        <v>https://portal.dnb.de/opac.htm?method=simpleSearch&amp;cqlMode=true&amp;query=idn%3D1208798723</v>
      </c>
      <c r="E857" s="65" t="s">
        <v>1763</v>
      </c>
      <c r="F857" s="76"/>
      <c r="G857" s="78"/>
      <c r="H857" s="76"/>
      <c r="I857" s="78"/>
      <c r="J857" s="78"/>
      <c r="K857" s="76"/>
      <c r="L857" s="76"/>
      <c r="M857" s="76"/>
      <c r="N857" s="76"/>
      <c r="O857" s="76"/>
      <c r="P857" s="76"/>
      <c r="Q857" s="76"/>
      <c r="R857" s="76"/>
      <c r="AZ857" s="88">
        <f t="shared" si="29"/>
        <v>0</v>
      </c>
      <c r="BX857" s="88"/>
      <c r="CQ857" s="88"/>
    </row>
    <row r="858" spans="1:95" outlineLevel="1" x14ac:dyDescent="0.15">
      <c r="A858" s="76">
        <v>847</v>
      </c>
      <c r="B858" s="65" t="s">
        <v>1764</v>
      </c>
      <c r="C858" s="65">
        <v>1211494845</v>
      </c>
      <c r="D858" s="81" t="str">
        <f t="shared" si="28"/>
        <v>https://portal.dnb.de/opac.htm?method=simpleSearch&amp;cqlMode=true&amp;query=idn%3D1211494845</v>
      </c>
      <c r="E858" s="65" t="s">
        <v>1765</v>
      </c>
      <c r="F858" s="76"/>
      <c r="G858" s="78"/>
      <c r="H858" s="76"/>
      <c r="I858" s="78"/>
      <c r="J858" s="78"/>
      <c r="K858" s="76"/>
      <c r="L858" s="76"/>
      <c r="M858" s="76"/>
      <c r="N858" s="76"/>
      <c r="O858" s="76"/>
      <c r="P858" s="76"/>
      <c r="Q858" s="76"/>
      <c r="R858" s="76"/>
      <c r="AZ858" s="88">
        <f t="shared" si="29"/>
        <v>0</v>
      </c>
      <c r="BX858" s="88"/>
      <c r="CQ858" s="88"/>
    </row>
    <row r="859" spans="1:95" outlineLevel="1" x14ac:dyDescent="0.15">
      <c r="A859" s="76">
        <v>848</v>
      </c>
      <c r="B859" s="65" t="s">
        <v>1766</v>
      </c>
      <c r="C859" s="65">
        <v>1208935402</v>
      </c>
      <c r="D859" s="81" t="str">
        <f t="shared" si="28"/>
        <v>https://portal.dnb.de/opac.htm?method=simpleSearch&amp;cqlMode=true&amp;query=idn%3D1208935402</v>
      </c>
      <c r="E859" s="65" t="s">
        <v>1767</v>
      </c>
      <c r="F859" s="76"/>
      <c r="G859" s="78"/>
      <c r="H859" s="76"/>
      <c r="I859" s="78"/>
      <c r="J859" s="78"/>
      <c r="K859" s="76"/>
      <c r="L859" s="76"/>
      <c r="M859" s="76"/>
      <c r="N859" s="76"/>
      <c r="O859" s="76"/>
      <c r="P859" s="76"/>
      <c r="Q859" s="76"/>
      <c r="R859" s="76"/>
      <c r="AZ859" s="88">
        <f t="shared" si="29"/>
        <v>0</v>
      </c>
      <c r="BX859" s="88"/>
      <c r="CQ859" s="88"/>
    </row>
    <row r="860" spans="1:95" outlineLevel="1" x14ac:dyDescent="0.15">
      <c r="A860" s="76">
        <v>849</v>
      </c>
      <c r="B860" s="65" t="s">
        <v>1768</v>
      </c>
      <c r="C860" s="65">
        <v>1066937672</v>
      </c>
      <c r="D860" s="81" t="str">
        <f t="shared" si="28"/>
        <v>https://portal.dnb.de/opac.htm?method=simpleSearch&amp;cqlMode=true&amp;query=idn%3D1066937672</v>
      </c>
      <c r="E860" s="65" t="s">
        <v>1769</v>
      </c>
      <c r="F860" s="76"/>
      <c r="G860" s="78"/>
      <c r="H860" s="76" t="s">
        <v>50</v>
      </c>
      <c r="I860" s="78"/>
      <c r="J860" s="78"/>
      <c r="K860" s="76"/>
      <c r="L860" s="76"/>
      <c r="M860" s="76"/>
      <c r="N860" s="76"/>
      <c r="O860" s="76"/>
      <c r="P860" s="76"/>
      <c r="Q860" s="76"/>
      <c r="R860" s="76"/>
      <c r="X860" s="84" t="s">
        <v>2645</v>
      </c>
      <c r="Y860" s="84" t="s">
        <v>2541</v>
      </c>
      <c r="AA860" s="84" t="s">
        <v>2647</v>
      </c>
      <c r="AG860" s="84" t="s">
        <v>2643</v>
      </c>
      <c r="AH860" s="84" t="s">
        <v>2541</v>
      </c>
      <c r="AU860" s="84">
        <v>110</v>
      </c>
      <c r="AY860" s="86" t="s">
        <v>2644</v>
      </c>
      <c r="AZ860" s="88">
        <f t="shared" si="29"/>
        <v>1.5</v>
      </c>
      <c r="BD860" s="84" t="s">
        <v>2541</v>
      </c>
      <c r="BM860" s="84" t="s">
        <v>2541</v>
      </c>
      <c r="BO860" s="84" t="s">
        <v>2677</v>
      </c>
      <c r="BX860" s="88">
        <v>1.5</v>
      </c>
      <c r="BY860" s="79" t="s">
        <v>2779</v>
      </c>
      <c r="CQ860" s="88"/>
    </row>
    <row r="861" spans="1:95" outlineLevel="1" x14ac:dyDescent="0.15">
      <c r="A861" s="76">
        <v>850</v>
      </c>
      <c r="B861" s="65" t="s">
        <v>1770</v>
      </c>
      <c r="C861" s="65">
        <v>1066964491</v>
      </c>
      <c r="D861" s="81" t="str">
        <f t="shared" si="28"/>
        <v>https://portal.dnb.de/opac.htm?method=simpleSearch&amp;cqlMode=true&amp;query=idn%3D1066964491</v>
      </c>
      <c r="E861" s="65" t="s">
        <v>1771</v>
      </c>
      <c r="F861" s="76"/>
      <c r="G861" s="78"/>
      <c r="H861" s="76" t="s">
        <v>50</v>
      </c>
      <c r="I861" s="78"/>
      <c r="J861" s="78"/>
      <c r="K861" s="76"/>
      <c r="L861" s="76"/>
      <c r="M861" s="76"/>
      <c r="N861" s="76"/>
      <c r="O861" s="76"/>
      <c r="P861" s="76"/>
      <c r="Q861" s="76"/>
      <c r="R861" s="76"/>
      <c r="X861" s="84" t="s">
        <v>2700</v>
      </c>
      <c r="AA861" s="84" t="s">
        <v>2642</v>
      </c>
      <c r="AG861" s="84" t="s">
        <v>2643</v>
      </c>
      <c r="AU861" s="84">
        <v>180</v>
      </c>
      <c r="AY861" s="86" t="s">
        <v>2651</v>
      </c>
      <c r="AZ861" s="88">
        <f t="shared" si="29"/>
        <v>0</v>
      </c>
      <c r="BX861" s="88"/>
      <c r="CQ861" s="88"/>
    </row>
    <row r="862" spans="1:95" outlineLevel="1" x14ac:dyDescent="0.15">
      <c r="A862" s="76">
        <v>851</v>
      </c>
      <c r="B862" s="65" t="s">
        <v>1772</v>
      </c>
      <c r="C862" s="65">
        <v>1066962200</v>
      </c>
      <c r="D862" s="81" t="str">
        <f t="shared" ref="D862:D925" si="30">HYPERLINK(CONCATENATE("https://portal.dnb.de/opac.htm?method=simpleSearch&amp;cqlMode=true&amp;query=idn%3D",C862))</f>
        <v>https://portal.dnb.de/opac.htm?method=simpleSearch&amp;cqlMode=true&amp;query=idn%3D1066962200</v>
      </c>
      <c r="E862" s="65" t="s">
        <v>1773</v>
      </c>
      <c r="F862" s="76"/>
      <c r="G862" s="78"/>
      <c r="H862" s="76" t="s">
        <v>50</v>
      </c>
      <c r="I862" s="78"/>
      <c r="J862" s="78"/>
      <c r="K862" s="76"/>
      <c r="L862" s="76"/>
      <c r="M862" s="76"/>
      <c r="N862" s="76"/>
      <c r="O862" s="76"/>
      <c r="P862" s="76"/>
      <c r="Q862" s="76"/>
      <c r="R862" s="76"/>
      <c r="X862" s="84" t="s">
        <v>2700</v>
      </c>
      <c r="AA862" s="84" t="s">
        <v>2642</v>
      </c>
      <c r="AG862" s="84" t="s">
        <v>2643</v>
      </c>
      <c r="AU862" s="84">
        <v>180</v>
      </c>
      <c r="AY862" s="86" t="s">
        <v>2651</v>
      </c>
      <c r="AZ862" s="88">
        <f t="shared" si="29"/>
        <v>0</v>
      </c>
      <c r="BX862" s="88"/>
      <c r="CQ862" s="88"/>
    </row>
    <row r="863" spans="1:95" outlineLevel="1" x14ac:dyDescent="0.15">
      <c r="A863" s="76">
        <v>852</v>
      </c>
      <c r="B863" s="65" t="s">
        <v>1774</v>
      </c>
      <c r="C863" s="65" t="s">
        <v>1775</v>
      </c>
      <c r="D863" s="81" t="str">
        <f t="shared" si="30"/>
        <v>https://portal.dnb.de/opac.htm?method=simpleSearch&amp;cqlMode=true&amp;query=idn%3D106696274X</v>
      </c>
      <c r="E863" s="65" t="s">
        <v>1776</v>
      </c>
      <c r="F863" s="76"/>
      <c r="G863" s="78"/>
      <c r="H863" s="76" t="s">
        <v>50</v>
      </c>
      <c r="I863" s="78"/>
      <c r="J863" s="78"/>
      <c r="K863" s="76"/>
      <c r="L863" s="76"/>
      <c r="M863" s="76"/>
      <c r="N863" s="76"/>
      <c r="O863" s="76"/>
      <c r="P863" s="76"/>
      <c r="Q863" s="76"/>
      <c r="R863" s="76"/>
      <c r="X863" s="84" t="s">
        <v>2645</v>
      </c>
      <c r="Y863" s="84" t="s">
        <v>2541</v>
      </c>
      <c r="AA863" s="84" t="s">
        <v>2647</v>
      </c>
      <c r="AG863" s="84" t="s">
        <v>2643</v>
      </c>
      <c r="AH863" s="84" t="s">
        <v>2541</v>
      </c>
      <c r="AU863" s="84">
        <v>110</v>
      </c>
      <c r="AY863" s="86" t="s">
        <v>2651</v>
      </c>
      <c r="AZ863" s="88">
        <f t="shared" si="29"/>
        <v>0</v>
      </c>
      <c r="BX863" s="88"/>
      <c r="CQ863" s="88"/>
    </row>
    <row r="864" spans="1:95" outlineLevel="1" x14ac:dyDescent="0.15">
      <c r="A864" s="76">
        <v>853</v>
      </c>
      <c r="B864" s="65" t="s">
        <v>1777</v>
      </c>
      <c r="C864" s="65" t="s">
        <v>1778</v>
      </c>
      <c r="D864" s="81" t="str">
        <f t="shared" si="30"/>
        <v>https://portal.dnb.de/opac.htm?method=simpleSearch&amp;cqlMode=true&amp;query=idn%3D106696310X</v>
      </c>
      <c r="E864" s="65" t="s">
        <v>1779</v>
      </c>
      <c r="F864" s="76"/>
      <c r="G864" s="78"/>
      <c r="H864" s="76" t="s">
        <v>50</v>
      </c>
      <c r="I864" s="78"/>
      <c r="J864" s="78"/>
      <c r="K864" s="76"/>
      <c r="L864" s="76"/>
      <c r="M864" s="76"/>
      <c r="N864" s="76"/>
      <c r="O864" s="76"/>
      <c r="P864" s="76"/>
      <c r="Q864" s="76"/>
      <c r="R864" s="76"/>
      <c r="X864" s="84" t="s">
        <v>2646</v>
      </c>
      <c r="AA864" s="84" t="s">
        <v>2647</v>
      </c>
      <c r="AG864" s="84" t="s">
        <v>2643</v>
      </c>
      <c r="AU864" s="84">
        <v>110</v>
      </c>
      <c r="AY864" s="86" t="s">
        <v>2651</v>
      </c>
      <c r="AZ864" s="88">
        <f t="shared" si="29"/>
        <v>0</v>
      </c>
      <c r="BX864" s="88"/>
      <c r="CQ864" s="88"/>
    </row>
    <row r="865" spans="1:95" outlineLevel="1" x14ac:dyDescent="0.15">
      <c r="A865" s="76">
        <v>854</v>
      </c>
      <c r="B865" s="65" t="s">
        <v>1780</v>
      </c>
      <c r="C865" s="65">
        <v>1066935823</v>
      </c>
      <c r="D865" s="81" t="str">
        <f t="shared" si="30"/>
        <v>https://portal.dnb.de/opac.htm?method=simpleSearch&amp;cqlMode=true&amp;query=idn%3D1066935823</v>
      </c>
      <c r="E865" s="65" t="s">
        <v>1781</v>
      </c>
      <c r="F865" s="76"/>
      <c r="G865" s="78"/>
      <c r="H865" s="76" t="s">
        <v>50</v>
      </c>
      <c r="I865" s="78"/>
      <c r="J865" s="78"/>
      <c r="K865" s="76"/>
      <c r="L865" s="76"/>
      <c r="M865" s="76"/>
      <c r="N865" s="76"/>
      <c r="O865" s="76"/>
      <c r="P865" s="76"/>
      <c r="Q865" s="76"/>
      <c r="R865" s="76"/>
      <c r="X865" s="84" t="s">
        <v>2652</v>
      </c>
      <c r="Y865" s="84" t="s">
        <v>2541</v>
      </c>
      <c r="AA865" s="84" t="s">
        <v>2647</v>
      </c>
      <c r="AG865" s="84" t="s">
        <v>2643</v>
      </c>
      <c r="AH865" s="84" t="s">
        <v>2541</v>
      </c>
      <c r="AU865" s="84">
        <v>110</v>
      </c>
      <c r="AY865" s="86" t="s">
        <v>2651</v>
      </c>
      <c r="AZ865" s="88">
        <f t="shared" si="29"/>
        <v>0</v>
      </c>
      <c r="BX865" s="88"/>
      <c r="CQ865" s="88"/>
    </row>
    <row r="866" spans="1:95" outlineLevel="1" x14ac:dyDescent="0.15">
      <c r="A866" s="76">
        <v>855</v>
      </c>
      <c r="B866" s="65" t="s">
        <v>1782</v>
      </c>
      <c r="C866" s="65">
        <v>1066963479</v>
      </c>
      <c r="D866" s="81" t="str">
        <f t="shared" si="30"/>
        <v>https://portal.dnb.de/opac.htm?method=simpleSearch&amp;cqlMode=true&amp;query=idn%3D1066963479</v>
      </c>
      <c r="E866" s="65" t="s">
        <v>1783</v>
      </c>
      <c r="F866" s="76"/>
      <c r="G866" s="78"/>
      <c r="H866" s="76" t="s">
        <v>50</v>
      </c>
      <c r="I866" s="78"/>
      <c r="J866" s="78"/>
      <c r="K866" s="76"/>
      <c r="L866" s="76"/>
      <c r="M866" s="76"/>
      <c r="N866" s="76"/>
      <c r="O866" s="76"/>
      <c r="P866" s="76"/>
      <c r="Q866" s="76"/>
      <c r="R866" s="76"/>
      <c r="W866" s="84" t="s">
        <v>2541</v>
      </c>
      <c r="X866" s="84" t="s">
        <v>2645</v>
      </c>
      <c r="Y866" s="84" t="s">
        <v>2541</v>
      </c>
      <c r="AA866" s="84" t="s">
        <v>2647</v>
      </c>
      <c r="AG866" s="84" t="s">
        <v>2643</v>
      </c>
      <c r="AU866" s="84">
        <v>110</v>
      </c>
      <c r="AY866" s="86" t="s">
        <v>2651</v>
      </c>
      <c r="AZ866" s="88">
        <f t="shared" si="29"/>
        <v>0</v>
      </c>
      <c r="BX866" s="88"/>
      <c r="CQ866" s="88"/>
    </row>
    <row r="867" spans="1:95" outlineLevel="1" x14ac:dyDescent="0.15">
      <c r="A867" s="76">
        <v>856</v>
      </c>
      <c r="B867" s="65" t="s">
        <v>1784</v>
      </c>
      <c r="C867" s="65">
        <v>1066786534</v>
      </c>
      <c r="D867" s="81" t="str">
        <f t="shared" si="30"/>
        <v>https://portal.dnb.de/opac.htm?method=simpleSearch&amp;cqlMode=true&amp;query=idn%3D1066786534</v>
      </c>
      <c r="E867" s="65" t="s">
        <v>1785</v>
      </c>
      <c r="F867" s="76"/>
      <c r="G867" s="78"/>
      <c r="H867" s="76" t="s">
        <v>50</v>
      </c>
      <c r="I867" s="78"/>
      <c r="J867" s="78"/>
      <c r="K867" s="76"/>
      <c r="L867" s="76"/>
      <c r="M867" s="76"/>
      <c r="N867" s="76"/>
      <c r="O867" s="76"/>
      <c r="P867" s="76"/>
      <c r="Q867" s="76"/>
      <c r="R867" s="76"/>
      <c r="X867" s="84" t="s">
        <v>2641</v>
      </c>
      <c r="AA867" s="84" t="s">
        <v>2642</v>
      </c>
      <c r="AG867" s="84" t="s">
        <v>2643</v>
      </c>
      <c r="AU867" s="84">
        <v>45</v>
      </c>
      <c r="AY867" s="86" t="s">
        <v>2651</v>
      </c>
      <c r="AZ867" s="88">
        <f t="shared" si="29"/>
        <v>0</v>
      </c>
      <c r="BD867" s="84" t="s">
        <v>2541</v>
      </c>
      <c r="BX867" s="88"/>
      <c r="CQ867" s="88"/>
    </row>
    <row r="868" spans="1:95" outlineLevel="1" x14ac:dyDescent="0.15">
      <c r="A868" s="76">
        <v>857</v>
      </c>
      <c r="B868" s="65" t="s">
        <v>1786</v>
      </c>
      <c r="C868" s="65" t="s">
        <v>1787</v>
      </c>
      <c r="D868" s="81" t="str">
        <f t="shared" si="30"/>
        <v>https://portal.dnb.de/opac.htm?method=simpleSearch&amp;cqlMode=true&amp;query=idn%3D99391909X</v>
      </c>
      <c r="E868" s="65" t="s">
        <v>1788</v>
      </c>
      <c r="F868" s="76"/>
      <c r="G868" s="78"/>
      <c r="H868" s="76" t="s">
        <v>50</v>
      </c>
      <c r="I868" s="78"/>
      <c r="J868" s="78"/>
      <c r="K868" s="76"/>
      <c r="L868" s="76"/>
      <c r="M868" s="76"/>
      <c r="N868" s="76"/>
      <c r="O868" s="76"/>
      <c r="P868" s="76"/>
      <c r="Q868" s="76"/>
      <c r="R868" s="76"/>
      <c r="X868" s="84" t="s">
        <v>2697</v>
      </c>
      <c r="Z868" s="84" t="s">
        <v>2541</v>
      </c>
      <c r="AA868" s="84" t="s">
        <v>2642</v>
      </c>
      <c r="AG868" s="84" t="s">
        <v>2643</v>
      </c>
      <c r="AS868" s="84">
        <v>2</v>
      </c>
      <c r="AU868" s="84">
        <v>110</v>
      </c>
      <c r="AY868" s="86" t="s">
        <v>2651</v>
      </c>
      <c r="AZ868" s="88">
        <f t="shared" si="29"/>
        <v>0</v>
      </c>
      <c r="BB868" s="84" t="s">
        <v>2777</v>
      </c>
      <c r="BX868" s="88"/>
      <c r="CQ868" s="88"/>
    </row>
    <row r="869" spans="1:95" outlineLevel="1" x14ac:dyDescent="0.15">
      <c r="A869" s="76">
        <v>858</v>
      </c>
      <c r="B869" s="65" t="s">
        <v>1789</v>
      </c>
      <c r="C869" s="65">
        <v>993918549</v>
      </c>
      <c r="D869" s="81" t="str">
        <f t="shared" si="30"/>
        <v>https://portal.dnb.de/opac.htm?method=simpleSearch&amp;cqlMode=true&amp;query=idn%3D993918549</v>
      </c>
      <c r="E869" s="65" t="s">
        <v>1788</v>
      </c>
      <c r="F869" s="76"/>
      <c r="G869" s="78"/>
      <c r="H869" s="76"/>
      <c r="I869" s="78"/>
      <c r="J869" s="78"/>
      <c r="K869" s="76"/>
      <c r="L869" s="76"/>
      <c r="M869" s="76"/>
      <c r="N869" s="76"/>
      <c r="O869" s="76"/>
      <c r="P869" s="76"/>
      <c r="Q869" s="76"/>
      <c r="R869" s="76"/>
      <c r="AZ869" s="88">
        <f t="shared" si="29"/>
        <v>0</v>
      </c>
      <c r="BX869" s="88"/>
      <c r="CQ869" s="88"/>
    </row>
    <row r="870" spans="1:95" outlineLevel="1" x14ac:dyDescent="0.15">
      <c r="A870" s="76">
        <v>859</v>
      </c>
      <c r="B870" s="65" t="s">
        <v>1790</v>
      </c>
      <c r="C870" s="65">
        <v>1066961980</v>
      </c>
      <c r="D870" s="81" t="str">
        <f t="shared" si="30"/>
        <v>https://portal.dnb.de/opac.htm?method=simpleSearch&amp;cqlMode=true&amp;query=idn%3D1066961980</v>
      </c>
      <c r="E870" s="65" t="s">
        <v>1791</v>
      </c>
      <c r="F870" s="76"/>
      <c r="G870" s="78"/>
      <c r="H870" s="76" t="s">
        <v>51</v>
      </c>
      <c r="I870" s="78"/>
      <c r="J870" s="78"/>
      <c r="K870" s="76"/>
      <c r="L870" s="76"/>
      <c r="M870" s="76"/>
      <c r="N870" s="76"/>
      <c r="O870" s="76"/>
      <c r="P870" s="76"/>
      <c r="Q870" s="76"/>
      <c r="R870" s="76"/>
      <c r="X870" s="84" t="s">
        <v>2641</v>
      </c>
      <c r="Y870" s="84" t="s">
        <v>2541</v>
      </c>
      <c r="AA870" s="84" t="s">
        <v>2647</v>
      </c>
      <c r="AG870" s="84" t="s">
        <v>2643</v>
      </c>
      <c r="AU870" s="84">
        <v>60</v>
      </c>
      <c r="AY870" s="86" t="s">
        <v>2651</v>
      </c>
      <c r="AZ870" s="88">
        <f t="shared" si="29"/>
        <v>0</v>
      </c>
      <c r="BD870" s="84" t="s">
        <v>2541</v>
      </c>
      <c r="BX870" s="88"/>
      <c r="CQ870" s="88"/>
    </row>
    <row r="871" spans="1:95" outlineLevel="1" x14ac:dyDescent="0.15">
      <c r="A871" s="76">
        <v>860</v>
      </c>
      <c r="B871" s="65" t="s">
        <v>1792</v>
      </c>
      <c r="C871" s="65">
        <v>1066957894</v>
      </c>
      <c r="D871" s="81" t="str">
        <f t="shared" si="30"/>
        <v>https://portal.dnb.de/opac.htm?method=simpleSearch&amp;cqlMode=true&amp;query=idn%3D1066957894</v>
      </c>
      <c r="E871" s="65" t="s">
        <v>1793</v>
      </c>
      <c r="F871" s="76"/>
      <c r="G871" s="78"/>
      <c r="H871" s="76" t="s">
        <v>51</v>
      </c>
      <c r="I871" s="78"/>
      <c r="J871" s="78"/>
      <c r="K871" s="76"/>
      <c r="L871" s="76"/>
      <c r="M871" s="76"/>
      <c r="N871" s="76"/>
      <c r="O871" s="76"/>
      <c r="P871" s="76"/>
      <c r="Q871" s="76"/>
      <c r="R871" s="76"/>
      <c r="X871" s="84" t="s">
        <v>2641</v>
      </c>
      <c r="Y871" s="84" t="s">
        <v>2541</v>
      </c>
      <c r="AA871" s="84" t="s">
        <v>2653</v>
      </c>
      <c r="AG871" s="84" t="s">
        <v>2643</v>
      </c>
      <c r="AQ871" s="84" t="s">
        <v>2686</v>
      </c>
      <c r="AR871" s="84" t="s">
        <v>2541</v>
      </c>
      <c r="AS871" s="84">
        <v>0</v>
      </c>
      <c r="AT871" s="84" t="s">
        <v>2541</v>
      </c>
      <c r="AU871" s="84">
        <v>110</v>
      </c>
      <c r="AY871" s="86" t="s">
        <v>2644</v>
      </c>
      <c r="AZ871" s="88">
        <f t="shared" si="29"/>
        <v>3.5</v>
      </c>
      <c r="BD871" s="84" t="s">
        <v>2541</v>
      </c>
      <c r="BL871" s="84" t="s">
        <v>2541</v>
      </c>
      <c r="BM871" s="84" t="s">
        <v>2541</v>
      </c>
      <c r="BO871" s="84" t="s">
        <v>2656</v>
      </c>
      <c r="BX871" s="88">
        <v>3.5</v>
      </c>
      <c r="BY871" s="79" t="s">
        <v>2779</v>
      </c>
      <c r="CQ871" s="88"/>
    </row>
    <row r="872" spans="1:95" outlineLevel="1" x14ac:dyDescent="0.15">
      <c r="A872" s="76">
        <v>861</v>
      </c>
      <c r="B872" s="65" t="s">
        <v>1794</v>
      </c>
      <c r="C872" s="65">
        <v>1066957894</v>
      </c>
      <c r="D872" s="81" t="str">
        <f t="shared" si="30"/>
        <v>https://portal.dnb.de/opac.htm?method=simpleSearch&amp;cqlMode=true&amp;query=idn%3D1066957894</v>
      </c>
      <c r="E872" s="65" t="s">
        <v>1795</v>
      </c>
      <c r="F872" s="76"/>
      <c r="G872" s="78"/>
      <c r="H872" s="76" t="s">
        <v>51</v>
      </c>
      <c r="I872" s="78"/>
      <c r="J872" s="78"/>
      <c r="K872" s="76"/>
      <c r="L872" s="76"/>
      <c r="M872" s="76"/>
      <c r="N872" s="76"/>
      <c r="O872" s="76"/>
      <c r="P872" s="76"/>
      <c r="Q872" s="76"/>
      <c r="R872" s="76"/>
      <c r="X872" s="84" t="s">
        <v>2699</v>
      </c>
      <c r="AA872" s="84" t="s">
        <v>2647</v>
      </c>
      <c r="AG872" s="84" t="s">
        <v>2643</v>
      </c>
      <c r="AU872" s="84">
        <v>110</v>
      </c>
      <c r="AY872" s="86" t="s">
        <v>2651</v>
      </c>
      <c r="AZ872" s="88">
        <f t="shared" si="29"/>
        <v>0</v>
      </c>
      <c r="BX872" s="88"/>
      <c r="CQ872" s="88"/>
    </row>
    <row r="873" spans="1:95" outlineLevel="1" x14ac:dyDescent="0.15">
      <c r="A873" s="76">
        <v>862</v>
      </c>
      <c r="B873" s="65" t="s">
        <v>1796</v>
      </c>
      <c r="C873" s="65">
        <v>1066960496</v>
      </c>
      <c r="D873" s="81" t="str">
        <f t="shared" si="30"/>
        <v>https://portal.dnb.de/opac.htm?method=simpleSearch&amp;cqlMode=true&amp;query=idn%3D1066960496</v>
      </c>
      <c r="E873" s="65" t="s">
        <v>1797</v>
      </c>
      <c r="F873" s="76"/>
      <c r="G873" s="78"/>
      <c r="H873" s="76" t="s">
        <v>50</v>
      </c>
      <c r="I873" s="78"/>
      <c r="J873" s="78"/>
      <c r="K873" s="76"/>
      <c r="L873" s="76"/>
      <c r="M873" s="76"/>
      <c r="N873" s="76"/>
      <c r="O873" s="76"/>
      <c r="P873" s="76"/>
      <c r="Q873" s="76"/>
      <c r="R873" s="76"/>
      <c r="X873" s="84" t="s">
        <v>2643</v>
      </c>
      <c r="AA873" s="84" t="s">
        <v>2647</v>
      </c>
      <c r="AG873" s="84" t="s">
        <v>2643</v>
      </c>
      <c r="AU873" s="84">
        <v>110</v>
      </c>
      <c r="AY873" s="86" t="s">
        <v>2651</v>
      </c>
      <c r="AZ873" s="88">
        <f t="shared" si="29"/>
        <v>0</v>
      </c>
      <c r="BD873" s="84" t="s">
        <v>2541</v>
      </c>
      <c r="BX873" s="88"/>
      <c r="CQ873" s="88"/>
    </row>
    <row r="874" spans="1:95" outlineLevel="1" x14ac:dyDescent="0.15">
      <c r="A874" s="76">
        <v>863</v>
      </c>
      <c r="B874" s="65" t="s">
        <v>1798</v>
      </c>
      <c r="C874" s="65" t="s">
        <v>1799</v>
      </c>
      <c r="D874" s="81" t="str">
        <f t="shared" si="30"/>
        <v>https://portal.dnb.de/opac.htm?method=simpleSearch&amp;cqlMode=true&amp;query=idn%3D106693858X</v>
      </c>
      <c r="E874" s="65" t="s">
        <v>1800</v>
      </c>
      <c r="F874" s="76"/>
      <c r="G874" s="78"/>
      <c r="H874" s="76" t="s">
        <v>51</v>
      </c>
      <c r="I874" s="78"/>
      <c r="J874" s="78"/>
      <c r="K874" s="76"/>
      <c r="L874" s="76"/>
      <c r="M874" s="76"/>
      <c r="N874" s="76"/>
      <c r="O874" s="76"/>
      <c r="P874" s="76"/>
      <c r="Q874" s="76"/>
      <c r="R874" s="76"/>
      <c r="X874" s="84" t="s">
        <v>2652</v>
      </c>
      <c r="Y874" s="84" t="s">
        <v>2541</v>
      </c>
      <c r="AA874" s="84" t="s">
        <v>2647</v>
      </c>
      <c r="AG874" s="84" t="s">
        <v>2643</v>
      </c>
      <c r="AU874" s="84">
        <v>60</v>
      </c>
      <c r="AY874" s="86" t="s">
        <v>2651</v>
      </c>
      <c r="AZ874" s="88">
        <f t="shared" si="29"/>
        <v>0</v>
      </c>
      <c r="BX874" s="88"/>
      <c r="CQ874" s="88"/>
    </row>
    <row r="875" spans="1:95" outlineLevel="1" x14ac:dyDescent="0.15">
      <c r="A875" s="76">
        <v>864</v>
      </c>
      <c r="B875" s="65" t="s">
        <v>1801</v>
      </c>
      <c r="C875" s="65">
        <v>1066942420</v>
      </c>
      <c r="D875" s="81" t="str">
        <f t="shared" si="30"/>
        <v>https://portal.dnb.de/opac.htm?method=simpleSearch&amp;cqlMode=true&amp;query=idn%3D1066942420</v>
      </c>
      <c r="E875" s="65" t="s">
        <v>1802</v>
      </c>
      <c r="F875" s="76"/>
      <c r="G875" s="78"/>
      <c r="H875" s="76" t="s">
        <v>50</v>
      </c>
      <c r="I875" s="78"/>
      <c r="J875" s="78"/>
      <c r="K875" s="76"/>
      <c r="L875" s="76"/>
      <c r="M875" s="76"/>
      <c r="N875" s="76"/>
      <c r="O875" s="76"/>
      <c r="P875" s="76"/>
      <c r="Q875" s="76"/>
      <c r="R875" s="76"/>
      <c r="W875" s="84" t="s">
        <v>2541</v>
      </c>
      <c r="X875" s="84" t="s">
        <v>2645</v>
      </c>
      <c r="Y875" s="84" t="s">
        <v>2541</v>
      </c>
      <c r="AA875" s="84" t="s">
        <v>2647</v>
      </c>
      <c r="AG875" s="84" t="s">
        <v>2643</v>
      </c>
      <c r="AU875" s="84">
        <v>110</v>
      </c>
      <c r="AY875" s="86" t="s">
        <v>2651</v>
      </c>
      <c r="AZ875" s="88">
        <f t="shared" si="29"/>
        <v>0</v>
      </c>
      <c r="BX875" s="88"/>
      <c r="CQ875" s="88"/>
    </row>
    <row r="876" spans="1:95" outlineLevel="1" x14ac:dyDescent="0.15">
      <c r="A876" s="76">
        <v>865</v>
      </c>
      <c r="B876" s="65" t="s">
        <v>1803</v>
      </c>
      <c r="C876" s="65">
        <v>1066959633</v>
      </c>
      <c r="D876" s="81" t="str">
        <f t="shared" si="30"/>
        <v>https://portal.dnb.de/opac.htm?method=simpleSearch&amp;cqlMode=true&amp;query=idn%3D1066959633</v>
      </c>
      <c r="E876" s="65" t="s">
        <v>1804</v>
      </c>
      <c r="F876" s="76"/>
      <c r="G876" s="78"/>
      <c r="H876" s="76" t="s">
        <v>51</v>
      </c>
      <c r="I876" s="78"/>
      <c r="J876" s="78"/>
      <c r="K876" s="76"/>
      <c r="L876" s="76"/>
      <c r="M876" s="76"/>
      <c r="N876" s="76"/>
      <c r="O876" s="76"/>
      <c r="P876" s="76"/>
      <c r="Q876" s="76"/>
      <c r="R876" s="76"/>
      <c r="X876" s="84" t="s">
        <v>2646</v>
      </c>
      <c r="Z876" s="84" t="s">
        <v>2541</v>
      </c>
      <c r="AA876" s="84" t="s">
        <v>2647</v>
      </c>
      <c r="AB876" s="84" t="s">
        <v>2541</v>
      </c>
      <c r="AG876" s="84" t="s">
        <v>2643</v>
      </c>
      <c r="AU876" s="84">
        <v>110</v>
      </c>
      <c r="AY876" s="86" t="s">
        <v>2651</v>
      </c>
      <c r="AZ876" s="88">
        <f t="shared" si="29"/>
        <v>0</v>
      </c>
      <c r="BB876" s="84" t="s">
        <v>2777</v>
      </c>
      <c r="BI876" s="63" t="s">
        <v>2780</v>
      </c>
      <c r="BX876" s="88"/>
      <c r="CQ876" s="88"/>
    </row>
    <row r="877" spans="1:95" outlineLevel="1" x14ac:dyDescent="0.15">
      <c r="A877" s="76">
        <v>866</v>
      </c>
      <c r="B877" s="65" t="s">
        <v>1805</v>
      </c>
      <c r="C877" s="65">
        <v>1209235811</v>
      </c>
      <c r="D877" s="81" t="str">
        <f t="shared" si="30"/>
        <v>https://portal.dnb.de/opac.htm?method=simpleSearch&amp;cqlMode=true&amp;query=idn%3D1209235811</v>
      </c>
      <c r="E877" s="65" t="s">
        <v>1806</v>
      </c>
      <c r="F877" s="76"/>
      <c r="G877" s="78"/>
      <c r="H877" s="76"/>
      <c r="I877" s="78"/>
      <c r="J877" s="78"/>
      <c r="K877" s="76"/>
      <c r="L877" s="76"/>
      <c r="M877" s="76"/>
      <c r="N877" s="76"/>
      <c r="O877" s="76"/>
      <c r="P877" s="76"/>
      <c r="Q877" s="76"/>
      <c r="R877" s="76"/>
      <c r="AZ877" s="88">
        <f t="shared" si="29"/>
        <v>0</v>
      </c>
      <c r="BX877" s="88"/>
      <c r="CQ877" s="88"/>
    </row>
    <row r="878" spans="1:95" outlineLevel="1" x14ac:dyDescent="0.15">
      <c r="A878" s="76">
        <v>867</v>
      </c>
      <c r="B878" s="65" t="s">
        <v>1807</v>
      </c>
      <c r="C878" s="65">
        <v>1066961832</v>
      </c>
      <c r="D878" s="81" t="str">
        <f t="shared" si="30"/>
        <v>https://portal.dnb.de/opac.htm?method=simpleSearch&amp;cqlMode=true&amp;query=idn%3D1066961832</v>
      </c>
      <c r="E878" s="65" t="s">
        <v>1808</v>
      </c>
      <c r="F878" s="76"/>
      <c r="G878" s="78"/>
      <c r="H878" s="76" t="s">
        <v>51</v>
      </c>
      <c r="I878" s="78"/>
      <c r="J878" s="78"/>
      <c r="K878" s="76"/>
      <c r="L878" s="76"/>
      <c r="M878" s="76"/>
      <c r="N878" s="76"/>
      <c r="O878" s="76"/>
      <c r="P878" s="76"/>
      <c r="Q878" s="76"/>
      <c r="R878" s="76"/>
      <c r="X878" s="84" t="s">
        <v>2641</v>
      </c>
      <c r="Y878" s="84" t="s">
        <v>2541</v>
      </c>
      <c r="AA878" s="84" t="s">
        <v>2653</v>
      </c>
      <c r="AG878" s="84" t="s">
        <v>2643</v>
      </c>
      <c r="AU878" s="84">
        <v>60</v>
      </c>
      <c r="AY878" s="86" t="s">
        <v>2644</v>
      </c>
      <c r="AZ878" s="88">
        <f t="shared" si="29"/>
        <v>0.5</v>
      </c>
      <c r="BD878" s="84" t="s">
        <v>2541</v>
      </c>
      <c r="BL878" s="84" t="s">
        <v>2541</v>
      </c>
      <c r="BM878" s="84" t="s">
        <v>2541</v>
      </c>
      <c r="BX878" s="88">
        <v>0.5</v>
      </c>
      <c r="CQ878" s="88"/>
    </row>
    <row r="879" spans="1:95" outlineLevel="1" x14ac:dyDescent="0.15">
      <c r="A879" s="76">
        <v>868</v>
      </c>
      <c r="B879" s="65" t="s">
        <v>1809</v>
      </c>
      <c r="C879" s="65">
        <v>1066941297</v>
      </c>
      <c r="D879" s="81" t="str">
        <f t="shared" si="30"/>
        <v>https://portal.dnb.de/opac.htm?method=simpleSearch&amp;cqlMode=true&amp;query=idn%3D1066941297</v>
      </c>
      <c r="E879" s="65" t="s">
        <v>1810</v>
      </c>
      <c r="F879" s="76"/>
      <c r="G879" s="78"/>
      <c r="H879" s="76" t="s">
        <v>51</v>
      </c>
      <c r="I879" s="78"/>
      <c r="J879" s="78"/>
      <c r="K879" s="76"/>
      <c r="L879" s="76"/>
      <c r="M879" s="76"/>
      <c r="N879" s="76"/>
      <c r="O879" s="76"/>
      <c r="P879" s="76"/>
      <c r="Q879" s="76"/>
      <c r="R879" s="76"/>
      <c r="X879" s="84" t="s">
        <v>2645</v>
      </c>
      <c r="Y879" s="84" t="s">
        <v>2541</v>
      </c>
      <c r="AA879" s="84" t="s">
        <v>2647</v>
      </c>
      <c r="AG879" s="84" t="s">
        <v>2643</v>
      </c>
      <c r="AU879" s="84">
        <v>110</v>
      </c>
      <c r="AY879" s="86" t="s">
        <v>2651</v>
      </c>
      <c r="AZ879" s="88">
        <f t="shared" si="29"/>
        <v>0</v>
      </c>
      <c r="BD879" s="84" t="s">
        <v>2541</v>
      </c>
      <c r="BH879" s="79" t="s">
        <v>2781</v>
      </c>
      <c r="BX879" s="88"/>
      <c r="CQ879" s="88"/>
    </row>
    <row r="880" spans="1:95" outlineLevel="1" x14ac:dyDescent="0.15">
      <c r="A880" s="76">
        <v>869</v>
      </c>
      <c r="B880" s="65" t="s">
        <v>1811</v>
      </c>
      <c r="C880" s="65">
        <v>1066873445</v>
      </c>
      <c r="D880" s="81" t="str">
        <f t="shared" si="30"/>
        <v>https://portal.dnb.de/opac.htm?method=simpleSearch&amp;cqlMode=true&amp;query=idn%3D1066873445</v>
      </c>
      <c r="E880" s="65" t="s">
        <v>1812</v>
      </c>
      <c r="F880" s="76"/>
      <c r="G880" s="78"/>
      <c r="H880" s="76" t="s">
        <v>50</v>
      </c>
      <c r="I880" s="78"/>
      <c r="J880" s="78"/>
      <c r="K880" s="76"/>
      <c r="L880" s="76"/>
      <c r="M880" s="76"/>
      <c r="N880" s="76"/>
      <c r="O880" s="76"/>
      <c r="P880" s="76"/>
      <c r="Q880" s="76"/>
      <c r="R880" s="76"/>
      <c r="X880" s="84" t="s">
        <v>2641</v>
      </c>
      <c r="Z880" s="84" t="s">
        <v>2541</v>
      </c>
      <c r="AA880" s="84" t="s">
        <v>2642</v>
      </c>
      <c r="AG880" s="84" t="s">
        <v>2643</v>
      </c>
      <c r="AL880" s="84" t="s">
        <v>2541</v>
      </c>
      <c r="AU880" s="84">
        <v>110</v>
      </c>
      <c r="AY880" s="86" t="s">
        <v>2651</v>
      </c>
      <c r="AZ880" s="88">
        <f t="shared" si="29"/>
        <v>0</v>
      </c>
      <c r="BB880" s="84" t="s">
        <v>2777</v>
      </c>
      <c r="BX880" s="88"/>
      <c r="CQ880" s="88"/>
    </row>
    <row r="881" spans="1:95" outlineLevel="1" x14ac:dyDescent="0.15">
      <c r="A881" s="76">
        <v>870</v>
      </c>
      <c r="B881" s="65" t="s">
        <v>1813</v>
      </c>
      <c r="C881" s="65">
        <v>1066962324</v>
      </c>
      <c r="D881" s="81" t="str">
        <f t="shared" si="30"/>
        <v>https://portal.dnb.de/opac.htm?method=simpleSearch&amp;cqlMode=true&amp;query=idn%3D1066962324</v>
      </c>
      <c r="E881" s="65" t="s">
        <v>1814</v>
      </c>
      <c r="F881" s="76"/>
      <c r="G881" s="78"/>
      <c r="H881" s="76" t="s">
        <v>50</v>
      </c>
      <c r="I881" s="78"/>
      <c r="J881" s="78"/>
      <c r="K881" s="76"/>
      <c r="L881" s="76"/>
      <c r="M881" s="76"/>
      <c r="N881" s="76"/>
      <c r="O881" s="76"/>
      <c r="P881" s="76"/>
      <c r="Q881" s="76"/>
      <c r="R881" s="76"/>
      <c r="X881" s="84" t="s">
        <v>2697</v>
      </c>
      <c r="Z881" s="84" t="s">
        <v>2541</v>
      </c>
      <c r="AA881" s="84" t="s">
        <v>2642</v>
      </c>
      <c r="AG881" s="84" t="s">
        <v>2643</v>
      </c>
      <c r="AU881" s="84">
        <v>110</v>
      </c>
      <c r="AY881" s="86" t="s">
        <v>2651</v>
      </c>
      <c r="AZ881" s="88">
        <f t="shared" si="29"/>
        <v>0</v>
      </c>
      <c r="BB881" s="84" t="s">
        <v>2777</v>
      </c>
      <c r="BX881" s="88"/>
      <c r="CQ881" s="88"/>
    </row>
    <row r="882" spans="1:95" outlineLevel="1" x14ac:dyDescent="0.15">
      <c r="A882" s="76">
        <v>871</v>
      </c>
      <c r="B882" s="65" t="s">
        <v>1815</v>
      </c>
      <c r="C882" s="65">
        <v>1066963231</v>
      </c>
      <c r="D882" s="81" t="str">
        <f t="shared" si="30"/>
        <v>https://portal.dnb.de/opac.htm?method=simpleSearch&amp;cqlMode=true&amp;query=idn%3D1066963231</v>
      </c>
      <c r="E882" s="65" t="s">
        <v>1816</v>
      </c>
      <c r="F882" s="76"/>
      <c r="G882" s="78"/>
      <c r="H882" s="76" t="s">
        <v>51</v>
      </c>
      <c r="I882" s="78"/>
      <c r="J882" s="78"/>
      <c r="K882" s="76"/>
      <c r="L882" s="76"/>
      <c r="M882" s="76"/>
      <c r="N882" s="76"/>
      <c r="O882" s="76"/>
      <c r="P882" s="76"/>
      <c r="Q882" s="76"/>
      <c r="R882" s="76"/>
      <c r="X882" s="84" t="s">
        <v>2652</v>
      </c>
      <c r="Y882" s="84" t="s">
        <v>2541</v>
      </c>
      <c r="Z882" s="84" t="s">
        <v>2541</v>
      </c>
      <c r="AA882" s="84" t="s">
        <v>2642</v>
      </c>
      <c r="AG882" s="84" t="s">
        <v>2643</v>
      </c>
      <c r="AU882" s="84">
        <v>80</v>
      </c>
      <c r="AY882" s="86" t="s">
        <v>2651</v>
      </c>
      <c r="AZ882" s="88">
        <f t="shared" si="29"/>
        <v>0</v>
      </c>
      <c r="BD882" s="84" t="s">
        <v>2541</v>
      </c>
      <c r="BX882" s="88"/>
      <c r="CQ882" s="88"/>
    </row>
    <row r="883" spans="1:95" outlineLevel="1" x14ac:dyDescent="0.15">
      <c r="A883" s="76">
        <v>872</v>
      </c>
      <c r="B883" s="65" t="s">
        <v>1817</v>
      </c>
      <c r="C883" s="65">
        <v>1066964157</v>
      </c>
      <c r="D883" s="81" t="str">
        <f t="shared" si="30"/>
        <v>https://portal.dnb.de/opac.htm?method=simpleSearch&amp;cqlMode=true&amp;query=idn%3D1066964157</v>
      </c>
      <c r="E883" s="65" t="s">
        <v>1818</v>
      </c>
      <c r="F883" s="76"/>
      <c r="G883" s="78"/>
      <c r="H883" s="76" t="s">
        <v>50</v>
      </c>
      <c r="I883" s="78"/>
      <c r="J883" s="78"/>
      <c r="K883" s="76"/>
      <c r="L883" s="76"/>
      <c r="M883" s="76"/>
      <c r="N883" s="76"/>
      <c r="O883" s="76"/>
      <c r="P883" s="76"/>
      <c r="Q883" s="76"/>
      <c r="R883" s="76"/>
      <c r="X883" s="84" t="s">
        <v>2645</v>
      </c>
      <c r="Y883" s="84" t="s">
        <v>2541</v>
      </c>
      <c r="AA883" s="84" t="s">
        <v>2647</v>
      </c>
      <c r="AG883" s="84" t="s">
        <v>2643</v>
      </c>
      <c r="AU883" s="84">
        <v>110</v>
      </c>
      <c r="AY883" s="86" t="s">
        <v>2651</v>
      </c>
      <c r="AZ883" s="88">
        <f t="shared" si="29"/>
        <v>0</v>
      </c>
      <c r="BD883" s="84" t="s">
        <v>2541</v>
      </c>
      <c r="BX883" s="88"/>
      <c r="CQ883" s="88"/>
    </row>
    <row r="884" spans="1:95" outlineLevel="1" x14ac:dyDescent="0.15">
      <c r="A884" s="76">
        <v>873</v>
      </c>
      <c r="B884" s="65" t="s">
        <v>1819</v>
      </c>
      <c r="C884" s="65">
        <v>1066962804</v>
      </c>
      <c r="D884" s="81" t="str">
        <f t="shared" si="30"/>
        <v>https://portal.dnb.de/opac.htm?method=simpleSearch&amp;cqlMode=true&amp;query=idn%3D1066962804</v>
      </c>
      <c r="E884" s="65" t="s">
        <v>1820</v>
      </c>
      <c r="F884" s="76"/>
      <c r="G884" s="78"/>
      <c r="H884" s="76" t="s">
        <v>51</v>
      </c>
      <c r="I884" s="78"/>
      <c r="J884" s="78"/>
      <c r="K884" s="76"/>
      <c r="L884" s="76"/>
      <c r="M884" s="76"/>
      <c r="N884" s="76"/>
      <c r="O884" s="76"/>
      <c r="P884" s="76"/>
      <c r="Q884" s="76"/>
      <c r="R884" s="76"/>
      <c r="X884" s="84" t="s">
        <v>2641</v>
      </c>
      <c r="Z884" s="84" t="s">
        <v>2541</v>
      </c>
      <c r="AA884" s="84" t="s">
        <v>2642</v>
      </c>
      <c r="AG884" s="84" t="s">
        <v>2643</v>
      </c>
      <c r="AU884" s="84">
        <v>110</v>
      </c>
      <c r="AY884" s="86" t="s">
        <v>2651</v>
      </c>
      <c r="AZ884" s="88">
        <f t="shared" si="29"/>
        <v>0</v>
      </c>
      <c r="BB884" s="84" t="s">
        <v>2777</v>
      </c>
      <c r="BX884" s="88"/>
      <c r="CQ884" s="88"/>
    </row>
    <row r="885" spans="1:95" outlineLevel="1" x14ac:dyDescent="0.15">
      <c r="A885" s="76">
        <v>874</v>
      </c>
      <c r="B885" s="65" t="s">
        <v>1821</v>
      </c>
      <c r="C885" s="65">
        <v>1132647223</v>
      </c>
      <c r="D885" s="81" t="str">
        <f t="shared" si="30"/>
        <v>https://portal.dnb.de/opac.htm?method=simpleSearch&amp;cqlMode=true&amp;query=idn%3D1132647223</v>
      </c>
      <c r="E885" s="65" t="s">
        <v>2782</v>
      </c>
      <c r="F885" s="76"/>
      <c r="G885" s="78"/>
      <c r="H885" s="76"/>
      <c r="I885" s="78"/>
      <c r="J885" s="78"/>
      <c r="K885" s="76"/>
      <c r="L885" s="76"/>
      <c r="M885" s="76"/>
      <c r="N885" s="76"/>
      <c r="O885" s="76"/>
      <c r="P885" s="76"/>
      <c r="Q885" s="76"/>
      <c r="R885" s="76"/>
      <c r="AZ885" s="88">
        <f t="shared" si="29"/>
        <v>0</v>
      </c>
      <c r="BX885" s="88"/>
      <c r="CQ885" s="88"/>
    </row>
    <row r="886" spans="1:95" outlineLevel="1" x14ac:dyDescent="0.15">
      <c r="A886" s="76">
        <v>875</v>
      </c>
      <c r="B886" s="65" t="s">
        <v>1823</v>
      </c>
      <c r="C886" s="65">
        <v>1132647215</v>
      </c>
      <c r="D886" s="81" t="str">
        <f t="shared" si="30"/>
        <v>https://portal.dnb.de/opac.htm?method=simpleSearch&amp;cqlMode=true&amp;query=idn%3D1132647215</v>
      </c>
      <c r="E886" s="65" t="s">
        <v>2782</v>
      </c>
      <c r="F886" s="76"/>
      <c r="G886" s="78"/>
      <c r="H886" s="76"/>
      <c r="I886" s="78"/>
      <c r="J886" s="78"/>
      <c r="K886" s="76"/>
      <c r="L886" s="76"/>
      <c r="M886" s="76"/>
      <c r="N886" s="76"/>
      <c r="O886" s="76"/>
      <c r="P886" s="76"/>
      <c r="Q886" s="76"/>
      <c r="R886" s="76"/>
      <c r="AZ886" s="88">
        <f t="shared" si="29"/>
        <v>0</v>
      </c>
      <c r="BX886" s="88"/>
      <c r="CQ886" s="88"/>
    </row>
    <row r="887" spans="1:95" outlineLevel="1" x14ac:dyDescent="0.15">
      <c r="A887" s="76">
        <v>876</v>
      </c>
      <c r="B887" s="65" t="s">
        <v>1824</v>
      </c>
      <c r="C887" s="65">
        <v>1132647207</v>
      </c>
      <c r="D887" s="81" t="str">
        <f t="shared" si="30"/>
        <v>https://portal.dnb.de/opac.htm?method=simpleSearch&amp;cqlMode=true&amp;query=idn%3D1132647207</v>
      </c>
      <c r="E887" s="65" t="s">
        <v>1822</v>
      </c>
      <c r="F887" s="76"/>
      <c r="G887" s="78"/>
      <c r="H887" s="76" t="s">
        <v>51</v>
      </c>
      <c r="I887" s="78"/>
      <c r="J887" s="78"/>
      <c r="K887" s="76"/>
      <c r="L887" s="76"/>
      <c r="M887" s="76"/>
      <c r="N887" s="76"/>
      <c r="O887" s="76"/>
      <c r="P887" s="76"/>
      <c r="Q887" s="76"/>
      <c r="R887" s="76"/>
      <c r="X887" s="84" t="s">
        <v>2697</v>
      </c>
      <c r="Y887" s="84" t="s">
        <v>2541</v>
      </c>
      <c r="AA887" s="84" t="s">
        <v>2647</v>
      </c>
      <c r="AG887" s="84" t="s">
        <v>2643</v>
      </c>
      <c r="AQ887" s="84" t="s">
        <v>2658</v>
      </c>
      <c r="AR887" s="84" t="s">
        <v>2541</v>
      </c>
      <c r="AU887" s="84">
        <v>45</v>
      </c>
      <c r="AY887" s="86" t="s">
        <v>2651</v>
      </c>
      <c r="AZ887" s="88">
        <f t="shared" si="29"/>
        <v>0</v>
      </c>
      <c r="BD887" s="84" t="s">
        <v>2541</v>
      </c>
      <c r="BX887" s="88"/>
      <c r="CQ887" s="88"/>
    </row>
    <row r="888" spans="1:95" outlineLevel="1" x14ac:dyDescent="0.15">
      <c r="A888" s="76">
        <v>877</v>
      </c>
      <c r="B888" s="65" t="s">
        <v>1825</v>
      </c>
      <c r="C888" s="65">
        <v>1066957916</v>
      </c>
      <c r="D888" s="81" t="str">
        <f t="shared" si="30"/>
        <v>https://portal.dnb.de/opac.htm?method=simpleSearch&amp;cqlMode=true&amp;query=idn%3D1066957916</v>
      </c>
      <c r="E888" s="65" t="s">
        <v>1826</v>
      </c>
      <c r="F888" s="76"/>
      <c r="G888" s="78"/>
      <c r="H888" s="76" t="s">
        <v>51</v>
      </c>
      <c r="I888" s="78"/>
      <c r="J888" s="78"/>
      <c r="K888" s="76"/>
      <c r="L888" s="76"/>
      <c r="M888" s="76"/>
      <c r="N888" s="76"/>
      <c r="O888" s="76"/>
      <c r="P888" s="76"/>
      <c r="Q888" s="76"/>
      <c r="R888" s="76"/>
      <c r="X888" s="84" t="s">
        <v>2641</v>
      </c>
      <c r="Z888" s="84" t="s">
        <v>2541</v>
      </c>
      <c r="AA888" s="84" t="s">
        <v>2642</v>
      </c>
      <c r="AG888" s="84" t="s">
        <v>2643</v>
      </c>
      <c r="AU888" s="84">
        <v>110</v>
      </c>
      <c r="AY888" s="86" t="s">
        <v>2651</v>
      </c>
      <c r="AZ888" s="88">
        <f t="shared" si="29"/>
        <v>0</v>
      </c>
      <c r="BB888" s="84" t="s">
        <v>2777</v>
      </c>
      <c r="BX888" s="88"/>
      <c r="CQ888" s="88"/>
    </row>
    <row r="889" spans="1:95" outlineLevel="1" x14ac:dyDescent="0.15">
      <c r="A889" s="76">
        <v>878</v>
      </c>
      <c r="B889" s="65" t="s">
        <v>1827</v>
      </c>
      <c r="C889" s="65">
        <v>1066957908</v>
      </c>
      <c r="D889" s="81" t="str">
        <f t="shared" si="30"/>
        <v>https://portal.dnb.de/opac.htm?method=simpleSearch&amp;cqlMode=true&amp;query=idn%3D1066957908</v>
      </c>
      <c r="E889" s="65" t="s">
        <v>1828</v>
      </c>
      <c r="F889" s="76"/>
      <c r="G889" s="78"/>
      <c r="H889" s="76" t="s">
        <v>51</v>
      </c>
      <c r="I889" s="78"/>
      <c r="J889" s="78"/>
      <c r="K889" s="76"/>
      <c r="L889" s="76"/>
      <c r="M889" s="76"/>
      <c r="N889" s="76"/>
      <c r="O889" s="76"/>
      <c r="P889" s="76"/>
      <c r="Q889" s="76"/>
      <c r="R889" s="76"/>
      <c r="X889" s="84" t="s">
        <v>2652</v>
      </c>
      <c r="Y889" s="84" t="s">
        <v>2541</v>
      </c>
      <c r="AA889" s="84" t="s">
        <v>2647</v>
      </c>
      <c r="AG889" s="84" t="s">
        <v>2643</v>
      </c>
      <c r="AU889" s="84">
        <v>110</v>
      </c>
      <c r="AY889" s="86" t="s">
        <v>2651</v>
      </c>
      <c r="AZ889" s="88">
        <f t="shared" si="29"/>
        <v>0</v>
      </c>
      <c r="BD889" s="84" t="s">
        <v>2541</v>
      </c>
      <c r="BX889" s="88"/>
      <c r="CQ889" s="88"/>
    </row>
    <row r="890" spans="1:95" outlineLevel="1" x14ac:dyDescent="0.15">
      <c r="A890" s="76">
        <v>879</v>
      </c>
      <c r="B890" s="65" t="s">
        <v>1829</v>
      </c>
      <c r="C890" s="65">
        <v>1066963126</v>
      </c>
      <c r="D890" s="81" t="str">
        <f t="shared" si="30"/>
        <v>https://portal.dnb.de/opac.htm?method=simpleSearch&amp;cqlMode=true&amp;query=idn%3D1066963126</v>
      </c>
      <c r="E890" s="65" t="s">
        <v>1830</v>
      </c>
      <c r="F890" s="76"/>
      <c r="G890" s="78"/>
      <c r="H890" s="76" t="s">
        <v>50</v>
      </c>
      <c r="I890" s="78"/>
      <c r="J890" s="78"/>
      <c r="K890" s="76"/>
      <c r="L890" s="76"/>
      <c r="M890" s="76"/>
      <c r="N890" s="76"/>
      <c r="O890" s="76"/>
      <c r="P890" s="76"/>
      <c r="Q890" s="76"/>
      <c r="R890" s="76"/>
      <c r="X890" s="84" t="s">
        <v>2645</v>
      </c>
      <c r="Y890" s="84" t="s">
        <v>2541</v>
      </c>
      <c r="AA890" s="84" t="s">
        <v>2647</v>
      </c>
      <c r="AG890" s="84" t="s">
        <v>2643</v>
      </c>
      <c r="AU890" s="84">
        <v>110</v>
      </c>
      <c r="AY890" s="86" t="s">
        <v>2651</v>
      </c>
      <c r="AZ890" s="88">
        <f t="shared" si="29"/>
        <v>0</v>
      </c>
      <c r="BX890" s="88"/>
      <c r="CQ890" s="88"/>
    </row>
    <row r="891" spans="1:95" outlineLevel="1" x14ac:dyDescent="0.15">
      <c r="A891" s="76">
        <v>880</v>
      </c>
      <c r="B891" s="65" t="s">
        <v>1831</v>
      </c>
      <c r="C891" s="65">
        <v>1066940134</v>
      </c>
      <c r="D891" s="81" t="str">
        <f t="shared" si="30"/>
        <v>https://portal.dnb.de/opac.htm?method=simpleSearch&amp;cqlMode=true&amp;query=idn%3D1066940134</v>
      </c>
      <c r="E891" s="65" t="s">
        <v>1832</v>
      </c>
      <c r="F891" s="76"/>
      <c r="G891" s="78"/>
      <c r="H891" s="76" t="s">
        <v>51</v>
      </c>
      <c r="I891" s="78"/>
      <c r="J891" s="78"/>
      <c r="K891" s="76"/>
      <c r="L891" s="76"/>
      <c r="M891" s="76"/>
      <c r="N891" s="76"/>
      <c r="O891" s="76"/>
      <c r="P891" s="76"/>
      <c r="Q891" s="76"/>
      <c r="R891" s="76"/>
      <c r="X891" s="84" t="s">
        <v>2646</v>
      </c>
      <c r="Z891" s="84" t="s">
        <v>2541</v>
      </c>
      <c r="AA891" s="84" t="s">
        <v>2647</v>
      </c>
      <c r="AG891" s="84" t="s">
        <v>2643</v>
      </c>
      <c r="AU891" s="84">
        <v>110</v>
      </c>
      <c r="AY891" s="86" t="s">
        <v>2651</v>
      </c>
      <c r="AZ891" s="88">
        <f t="shared" si="29"/>
        <v>0</v>
      </c>
      <c r="BB891" s="84" t="s">
        <v>2777</v>
      </c>
      <c r="BX891" s="88"/>
      <c r="CQ891" s="88"/>
    </row>
    <row r="892" spans="1:95" outlineLevel="1" x14ac:dyDescent="0.15">
      <c r="A892" s="76">
        <v>881</v>
      </c>
      <c r="B892" s="65" t="s">
        <v>1833</v>
      </c>
      <c r="C892" s="65">
        <v>995967695</v>
      </c>
      <c r="D892" s="81" t="str">
        <f t="shared" si="30"/>
        <v>https://portal.dnb.de/opac.htm?method=simpleSearch&amp;cqlMode=true&amp;query=idn%3D995967695</v>
      </c>
      <c r="E892" s="65" t="s">
        <v>1834</v>
      </c>
      <c r="F892" s="76"/>
      <c r="G892" s="78"/>
      <c r="H892" s="76" t="s">
        <v>50</v>
      </c>
      <c r="I892" s="78"/>
      <c r="J892" s="78"/>
      <c r="K892" s="76"/>
      <c r="L892" s="76"/>
      <c r="M892" s="76"/>
      <c r="N892" s="76"/>
      <c r="O892" s="76"/>
      <c r="P892" s="76"/>
      <c r="Q892" s="76"/>
      <c r="R892" s="76"/>
      <c r="X892" s="84" t="s">
        <v>2645</v>
      </c>
      <c r="AA892" s="84" t="s">
        <v>2647</v>
      </c>
      <c r="AG892" s="84" t="s">
        <v>2643</v>
      </c>
      <c r="AU892" s="84">
        <v>110</v>
      </c>
      <c r="AY892" s="86" t="s">
        <v>2651</v>
      </c>
      <c r="AZ892" s="88">
        <f t="shared" si="29"/>
        <v>0</v>
      </c>
      <c r="BX892" s="88"/>
      <c r="CQ892" s="88"/>
    </row>
    <row r="893" spans="1:95" outlineLevel="1" x14ac:dyDescent="0.15">
      <c r="A893" s="76">
        <v>882</v>
      </c>
      <c r="B893" s="65" t="s">
        <v>1835</v>
      </c>
      <c r="C893" s="65">
        <v>1000489035</v>
      </c>
      <c r="D893" s="81" t="str">
        <f t="shared" si="30"/>
        <v>https://portal.dnb.de/opac.htm?method=simpleSearch&amp;cqlMode=true&amp;query=idn%3D1000489035</v>
      </c>
      <c r="E893" s="65" t="s">
        <v>2784</v>
      </c>
      <c r="F893" s="76"/>
      <c r="G893" s="78"/>
      <c r="H893" s="76"/>
      <c r="I893" s="78"/>
      <c r="J893" s="78"/>
      <c r="K893" s="76"/>
      <c r="L893" s="76"/>
      <c r="M893" s="76"/>
      <c r="N893" s="76"/>
      <c r="O893" s="76"/>
      <c r="P893" s="76"/>
      <c r="Q893" s="76"/>
      <c r="R893" s="76"/>
      <c r="AZ893" s="88">
        <f t="shared" si="29"/>
        <v>0</v>
      </c>
      <c r="BX893" s="88"/>
      <c r="CQ893" s="88"/>
    </row>
    <row r="894" spans="1:95" outlineLevel="1" x14ac:dyDescent="0.15">
      <c r="A894" s="76">
        <v>883</v>
      </c>
      <c r="B894" s="65" t="s">
        <v>1836</v>
      </c>
      <c r="C894" s="65">
        <v>1066937214</v>
      </c>
      <c r="D894" s="81" t="str">
        <f t="shared" si="30"/>
        <v>https://portal.dnb.de/opac.htm?method=simpleSearch&amp;cqlMode=true&amp;query=idn%3D1066937214</v>
      </c>
      <c r="E894" s="65" t="s">
        <v>1837</v>
      </c>
      <c r="F894" s="76"/>
      <c r="G894" s="78"/>
      <c r="H894" s="76" t="s">
        <v>51</v>
      </c>
      <c r="I894" s="78"/>
      <c r="J894" s="78"/>
      <c r="K894" s="76"/>
      <c r="L894" s="76"/>
      <c r="M894" s="76"/>
      <c r="N894" s="76"/>
      <c r="O894" s="76"/>
      <c r="P894" s="76"/>
      <c r="Q894" s="76"/>
      <c r="R894" s="76"/>
      <c r="X894" s="84" t="s">
        <v>2641</v>
      </c>
      <c r="Y894" s="84" t="s">
        <v>2541</v>
      </c>
      <c r="AA894" s="84" t="s">
        <v>2642</v>
      </c>
      <c r="AG894" s="84" t="s">
        <v>2643</v>
      </c>
      <c r="AU894" s="84">
        <v>110</v>
      </c>
      <c r="AY894" s="86" t="s">
        <v>2651</v>
      </c>
      <c r="AZ894" s="88">
        <f t="shared" si="29"/>
        <v>0</v>
      </c>
      <c r="BD894" s="84" t="s">
        <v>2541</v>
      </c>
      <c r="BX894" s="88"/>
      <c r="CQ894" s="88"/>
    </row>
    <row r="895" spans="1:95" outlineLevel="1" x14ac:dyDescent="0.15">
      <c r="A895" s="76">
        <v>884</v>
      </c>
      <c r="B895" s="65" t="s">
        <v>1838</v>
      </c>
      <c r="C895" s="65">
        <v>1066799520</v>
      </c>
      <c r="D895" s="81" t="str">
        <f t="shared" si="30"/>
        <v>https://portal.dnb.de/opac.htm?method=simpleSearch&amp;cqlMode=true&amp;query=idn%3D1066799520</v>
      </c>
      <c r="E895" s="65" t="s">
        <v>1839</v>
      </c>
      <c r="F895" s="76"/>
      <c r="G895" s="78"/>
      <c r="H895" s="76" t="s">
        <v>50</v>
      </c>
      <c r="I895" s="78"/>
      <c r="J895" s="78"/>
      <c r="K895" s="76"/>
      <c r="L895" s="76"/>
      <c r="M895" s="76"/>
      <c r="N895" s="76"/>
      <c r="O895" s="76"/>
      <c r="P895" s="76"/>
      <c r="Q895" s="76"/>
      <c r="R895" s="76"/>
      <c r="X895" s="84" t="s">
        <v>2645</v>
      </c>
      <c r="AA895" s="84" t="s">
        <v>2647</v>
      </c>
      <c r="AG895" s="84" t="s">
        <v>2643</v>
      </c>
      <c r="AH895" s="84" t="s">
        <v>2541</v>
      </c>
      <c r="AU895" s="84">
        <v>110</v>
      </c>
      <c r="AY895" s="86" t="s">
        <v>2651</v>
      </c>
      <c r="AZ895" s="88">
        <f t="shared" si="29"/>
        <v>0</v>
      </c>
      <c r="BD895" s="84" t="s">
        <v>2541</v>
      </c>
      <c r="BX895" s="88"/>
      <c r="CQ895" s="88"/>
    </row>
    <row r="896" spans="1:95" outlineLevel="1" x14ac:dyDescent="0.15">
      <c r="A896" s="76">
        <v>885</v>
      </c>
      <c r="B896" s="65" t="s">
        <v>1840</v>
      </c>
      <c r="C896" s="65">
        <v>1066962650</v>
      </c>
      <c r="D896" s="81" t="str">
        <f t="shared" si="30"/>
        <v>https://portal.dnb.de/opac.htm?method=simpleSearch&amp;cqlMode=true&amp;query=idn%3D1066962650</v>
      </c>
      <c r="E896" s="65" t="s">
        <v>1841</v>
      </c>
      <c r="F896" s="76"/>
      <c r="G896" s="78"/>
      <c r="H896" s="76" t="s">
        <v>50</v>
      </c>
      <c r="I896" s="78"/>
      <c r="J896" s="78"/>
      <c r="K896" s="76"/>
      <c r="L896" s="76"/>
      <c r="M896" s="76"/>
      <c r="N896" s="76"/>
      <c r="O896" s="76"/>
      <c r="P896" s="76"/>
      <c r="Q896" s="76"/>
      <c r="R896" s="76"/>
      <c r="X896" s="84" t="s">
        <v>2645</v>
      </c>
      <c r="AA896" s="84" t="s">
        <v>2647</v>
      </c>
      <c r="AG896" s="84" t="s">
        <v>2643</v>
      </c>
      <c r="AU896" s="84">
        <v>110</v>
      </c>
      <c r="AY896" s="86" t="s">
        <v>2644</v>
      </c>
      <c r="AZ896" s="88">
        <f t="shared" ref="AZ896:AZ959" si="31">BX896+CQ896</f>
        <v>1</v>
      </c>
      <c r="BM896" s="84" t="s">
        <v>2541</v>
      </c>
      <c r="BX896" s="88">
        <v>1</v>
      </c>
      <c r="CQ896" s="88"/>
    </row>
    <row r="897" spans="1:95" outlineLevel="1" x14ac:dyDescent="0.15">
      <c r="A897" s="76">
        <v>886</v>
      </c>
      <c r="B897" s="65" t="s">
        <v>1842</v>
      </c>
      <c r="C897" s="65">
        <v>1066941718</v>
      </c>
      <c r="D897" s="81" t="str">
        <f t="shared" si="30"/>
        <v>https://portal.dnb.de/opac.htm?method=simpleSearch&amp;cqlMode=true&amp;query=idn%3D1066941718</v>
      </c>
      <c r="E897" s="65" t="s">
        <v>1843</v>
      </c>
      <c r="F897" s="76"/>
      <c r="G897" s="78"/>
      <c r="H897" s="76" t="s">
        <v>50</v>
      </c>
      <c r="I897" s="78"/>
      <c r="J897" s="78"/>
      <c r="K897" s="76"/>
      <c r="L897" s="76"/>
      <c r="M897" s="76"/>
      <c r="N897" s="76"/>
      <c r="O897" s="76"/>
      <c r="P897" s="76"/>
      <c r="Q897" s="76"/>
      <c r="R897" s="76"/>
      <c r="X897" s="84" t="s">
        <v>2641</v>
      </c>
      <c r="Z897" s="84" t="s">
        <v>2541</v>
      </c>
      <c r="AA897" s="84" t="s">
        <v>2642</v>
      </c>
      <c r="AG897" s="84" t="s">
        <v>2643</v>
      </c>
      <c r="AL897" s="84" t="s">
        <v>2541</v>
      </c>
      <c r="AU897" s="84">
        <v>80</v>
      </c>
      <c r="AY897" s="86" t="s">
        <v>2651</v>
      </c>
      <c r="AZ897" s="88">
        <f t="shared" si="31"/>
        <v>0</v>
      </c>
      <c r="BC897" s="84" t="s">
        <v>2541</v>
      </c>
      <c r="BX897" s="88"/>
      <c r="CQ897" s="88"/>
    </row>
    <row r="898" spans="1:95" outlineLevel="1" x14ac:dyDescent="0.15">
      <c r="A898" s="76">
        <v>887</v>
      </c>
      <c r="B898" s="65" t="s">
        <v>1844</v>
      </c>
      <c r="C898" s="65" t="s">
        <v>1845</v>
      </c>
      <c r="D898" s="81" t="str">
        <f t="shared" si="30"/>
        <v>https://portal.dnb.de/opac.htm?method=simpleSearch&amp;cqlMode=true&amp;query=idn%3D106696212X</v>
      </c>
      <c r="E898" s="65" t="s">
        <v>1846</v>
      </c>
      <c r="F898" s="76"/>
      <c r="G898" s="78"/>
      <c r="H898" s="76" t="s">
        <v>50</v>
      </c>
      <c r="I898" s="78"/>
      <c r="J898" s="78"/>
      <c r="K898" s="76"/>
      <c r="L898" s="76"/>
      <c r="M898" s="76"/>
      <c r="N898" s="76"/>
      <c r="O898" s="76"/>
      <c r="P898" s="76"/>
      <c r="Q898" s="76"/>
      <c r="R898" s="76"/>
      <c r="X898" s="84" t="s">
        <v>2646</v>
      </c>
      <c r="AA898" s="84" t="s">
        <v>2675</v>
      </c>
      <c r="AG898" s="84" t="s">
        <v>2643</v>
      </c>
      <c r="AU898" s="84">
        <v>180</v>
      </c>
      <c r="AY898" s="86" t="s">
        <v>2651</v>
      </c>
      <c r="AZ898" s="88">
        <f t="shared" si="31"/>
        <v>0</v>
      </c>
      <c r="BX898" s="88"/>
      <c r="CQ898" s="88"/>
    </row>
    <row r="899" spans="1:95" ht="33.75" outlineLevel="1" x14ac:dyDescent="0.15">
      <c r="A899" s="76">
        <v>888</v>
      </c>
      <c r="B899" s="65" t="s">
        <v>1847</v>
      </c>
      <c r="C899" s="65">
        <v>1066874301</v>
      </c>
      <c r="D899" s="81" t="str">
        <f t="shared" si="30"/>
        <v>https://portal.dnb.de/opac.htm?method=simpleSearch&amp;cqlMode=true&amp;query=idn%3D1066874301</v>
      </c>
      <c r="E899" s="65" t="s">
        <v>1848</v>
      </c>
      <c r="F899" s="76"/>
      <c r="G899" s="78"/>
      <c r="H899" s="76" t="s">
        <v>51</v>
      </c>
      <c r="I899" s="78"/>
      <c r="J899" s="78"/>
      <c r="K899" s="76"/>
      <c r="L899" s="76"/>
      <c r="M899" s="76"/>
      <c r="N899" s="76"/>
      <c r="O899" s="76"/>
      <c r="P899" s="76"/>
      <c r="Q899" s="76"/>
      <c r="R899" s="76"/>
      <c r="X899" s="84" t="s">
        <v>2652</v>
      </c>
      <c r="Y899" s="84" t="s">
        <v>2541</v>
      </c>
      <c r="AA899" s="84" t="s">
        <v>2647</v>
      </c>
      <c r="AC899" s="84" t="s">
        <v>2541</v>
      </c>
      <c r="AG899" s="84" t="s">
        <v>2643</v>
      </c>
      <c r="AU899" s="84">
        <v>110</v>
      </c>
      <c r="AY899" s="86" t="s">
        <v>2651</v>
      </c>
      <c r="AZ899" s="88">
        <f t="shared" si="31"/>
        <v>0</v>
      </c>
      <c r="BJ899" s="79" t="s">
        <v>2836</v>
      </c>
      <c r="BX899" s="88"/>
      <c r="CQ899" s="88"/>
    </row>
    <row r="900" spans="1:95" outlineLevel="1" x14ac:dyDescent="0.15">
      <c r="A900" s="76">
        <v>889</v>
      </c>
      <c r="B900" s="65" t="s">
        <v>1849</v>
      </c>
      <c r="C900" s="65">
        <v>1066859175</v>
      </c>
      <c r="D900" s="81" t="str">
        <f t="shared" si="30"/>
        <v>https://portal.dnb.de/opac.htm?method=simpleSearch&amp;cqlMode=true&amp;query=idn%3D1066859175</v>
      </c>
      <c r="E900" s="65" t="s">
        <v>1850</v>
      </c>
      <c r="F900" s="76"/>
      <c r="G900" s="78"/>
      <c r="H900" s="76" t="s">
        <v>51</v>
      </c>
      <c r="I900" s="78"/>
      <c r="J900" s="78"/>
      <c r="K900" s="76"/>
      <c r="L900" s="76"/>
      <c r="M900" s="76"/>
      <c r="N900" s="76"/>
      <c r="O900" s="76"/>
      <c r="P900" s="76"/>
      <c r="Q900" s="76"/>
      <c r="R900" s="76"/>
      <c r="X900" s="84" t="s">
        <v>2646</v>
      </c>
      <c r="Z900" s="84" t="s">
        <v>2541</v>
      </c>
      <c r="AA900" s="84" t="s">
        <v>2647</v>
      </c>
      <c r="AG900" s="84" t="s">
        <v>2643</v>
      </c>
      <c r="AU900" s="84">
        <v>110</v>
      </c>
      <c r="AY900" s="86" t="s">
        <v>2651</v>
      </c>
      <c r="AZ900" s="88">
        <f t="shared" si="31"/>
        <v>0</v>
      </c>
      <c r="BB900" s="84" t="s">
        <v>2777</v>
      </c>
      <c r="BX900" s="88"/>
      <c r="CQ900" s="88"/>
    </row>
    <row r="901" spans="1:95" outlineLevel="1" x14ac:dyDescent="0.15">
      <c r="A901" s="76">
        <v>890</v>
      </c>
      <c r="B901" s="65" t="s">
        <v>1851</v>
      </c>
      <c r="C901" s="65">
        <v>993860303</v>
      </c>
      <c r="D901" s="81" t="str">
        <f t="shared" si="30"/>
        <v>https://portal.dnb.de/opac.htm?method=simpleSearch&amp;cqlMode=true&amp;query=idn%3D993860303</v>
      </c>
      <c r="E901" s="65" t="s">
        <v>1852</v>
      </c>
      <c r="F901" s="76"/>
      <c r="G901" s="78"/>
      <c r="H901" s="76" t="s">
        <v>51</v>
      </c>
      <c r="I901" s="78"/>
      <c r="J901" s="78"/>
      <c r="K901" s="76"/>
      <c r="L901" s="76"/>
      <c r="M901" s="76"/>
      <c r="N901" s="76"/>
      <c r="O901" s="76"/>
      <c r="P901" s="76"/>
      <c r="Q901" s="76"/>
      <c r="R901" s="76"/>
      <c r="X901" s="84" t="s">
        <v>2641</v>
      </c>
      <c r="AA901" s="84" t="s">
        <v>2642</v>
      </c>
      <c r="AG901" s="84" t="s">
        <v>2643</v>
      </c>
      <c r="AU901" s="84">
        <v>110</v>
      </c>
      <c r="AY901" s="86" t="s">
        <v>2651</v>
      </c>
      <c r="AZ901" s="88">
        <f t="shared" si="31"/>
        <v>0</v>
      </c>
      <c r="BD901" s="84" t="s">
        <v>2541</v>
      </c>
      <c r="BX901" s="88"/>
      <c r="CQ901" s="88"/>
    </row>
    <row r="902" spans="1:95" outlineLevel="1" x14ac:dyDescent="0.15">
      <c r="A902" s="76">
        <v>891</v>
      </c>
      <c r="B902" s="65" t="s">
        <v>1853</v>
      </c>
      <c r="C902" s="65">
        <v>1066941114</v>
      </c>
      <c r="D902" s="81" t="str">
        <f t="shared" si="30"/>
        <v>https://portal.dnb.de/opac.htm?method=simpleSearch&amp;cqlMode=true&amp;query=idn%3D1066941114</v>
      </c>
      <c r="E902" s="65" t="s">
        <v>1854</v>
      </c>
      <c r="F902" s="76"/>
      <c r="G902" s="78"/>
      <c r="H902" s="76" t="s">
        <v>50</v>
      </c>
      <c r="I902" s="78"/>
      <c r="J902" s="78"/>
      <c r="K902" s="76"/>
      <c r="L902" s="76"/>
      <c r="M902" s="76"/>
      <c r="N902" s="76"/>
      <c r="O902" s="76"/>
      <c r="P902" s="76"/>
      <c r="Q902" s="76"/>
      <c r="R902" s="76"/>
      <c r="X902" s="84" t="s">
        <v>2645</v>
      </c>
      <c r="AA902" s="84" t="s">
        <v>2647</v>
      </c>
      <c r="AG902" s="84" t="s">
        <v>2643</v>
      </c>
      <c r="AU902" s="84">
        <v>110</v>
      </c>
      <c r="AY902" s="86" t="s">
        <v>2651</v>
      </c>
      <c r="AZ902" s="88">
        <f t="shared" si="31"/>
        <v>0</v>
      </c>
      <c r="BD902" s="84" t="s">
        <v>2541</v>
      </c>
      <c r="BX902" s="88"/>
      <c r="CQ902" s="88"/>
    </row>
    <row r="903" spans="1:95" outlineLevel="1" x14ac:dyDescent="0.15">
      <c r="A903" s="76">
        <v>892</v>
      </c>
      <c r="B903" s="65" t="s">
        <v>1855</v>
      </c>
      <c r="C903" s="65">
        <v>1066961867</v>
      </c>
      <c r="D903" s="81" t="str">
        <f t="shared" si="30"/>
        <v>https://portal.dnb.de/opac.htm?method=simpleSearch&amp;cqlMode=true&amp;query=idn%3D1066961867</v>
      </c>
      <c r="E903" s="65" t="s">
        <v>1856</v>
      </c>
      <c r="F903" s="76"/>
      <c r="G903" s="78"/>
      <c r="H903" s="76" t="s">
        <v>50</v>
      </c>
      <c r="I903" s="78"/>
      <c r="J903" s="78"/>
      <c r="K903" s="76"/>
      <c r="L903" s="76"/>
      <c r="M903" s="76"/>
      <c r="N903" s="76"/>
      <c r="O903" s="76"/>
      <c r="P903" s="76"/>
      <c r="Q903" s="76"/>
      <c r="R903" s="76"/>
      <c r="X903" s="84" t="s">
        <v>2645</v>
      </c>
      <c r="AA903" s="84" t="s">
        <v>2647</v>
      </c>
      <c r="AG903" s="84" t="s">
        <v>2643</v>
      </c>
      <c r="AU903" s="84">
        <v>110</v>
      </c>
      <c r="AY903" s="86" t="s">
        <v>2644</v>
      </c>
      <c r="AZ903" s="88">
        <f t="shared" si="31"/>
        <v>1</v>
      </c>
      <c r="BM903" s="84" t="s">
        <v>2541</v>
      </c>
      <c r="BO903" s="84" t="s">
        <v>2675</v>
      </c>
      <c r="BX903" s="88">
        <v>1</v>
      </c>
      <c r="CQ903" s="88"/>
    </row>
    <row r="904" spans="1:95" outlineLevel="1" x14ac:dyDescent="0.15">
      <c r="A904" s="76">
        <v>893</v>
      </c>
      <c r="B904" s="65" t="s">
        <v>1857</v>
      </c>
      <c r="C904" s="65">
        <v>1079300384</v>
      </c>
      <c r="D904" s="81" t="str">
        <f t="shared" si="30"/>
        <v>https://portal.dnb.de/opac.htm?method=simpleSearch&amp;cqlMode=true&amp;query=idn%3D1079300384</v>
      </c>
      <c r="E904" s="65" t="s">
        <v>1858</v>
      </c>
      <c r="F904" s="76"/>
      <c r="G904" s="78"/>
      <c r="H904" s="76" t="s">
        <v>50</v>
      </c>
      <c r="I904" s="78"/>
      <c r="J904" s="78"/>
      <c r="K904" s="76"/>
      <c r="L904" s="76"/>
      <c r="M904" s="76"/>
      <c r="N904" s="76"/>
      <c r="O904" s="76"/>
      <c r="P904" s="76"/>
      <c r="Q904" s="76"/>
      <c r="R904" s="76"/>
      <c r="X904" s="84" t="s">
        <v>2645</v>
      </c>
      <c r="AA904" s="84" t="s">
        <v>2647</v>
      </c>
      <c r="AG904" s="84" t="s">
        <v>2643</v>
      </c>
      <c r="AU904" s="84">
        <v>110</v>
      </c>
      <c r="AY904" s="86" t="s">
        <v>2651</v>
      </c>
      <c r="AZ904" s="88">
        <f t="shared" si="31"/>
        <v>0</v>
      </c>
      <c r="BX904" s="88"/>
      <c r="CQ904" s="88"/>
    </row>
    <row r="905" spans="1:95" outlineLevel="1" x14ac:dyDescent="0.15">
      <c r="A905" s="76">
        <v>894</v>
      </c>
      <c r="B905" s="65" t="s">
        <v>1859</v>
      </c>
      <c r="C905" s="65">
        <v>1066941262</v>
      </c>
      <c r="D905" s="81" t="str">
        <f t="shared" si="30"/>
        <v>https://portal.dnb.de/opac.htm?method=simpleSearch&amp;cqlMode=true&amp;query=idn%3D1066941262</v>
      </c>
      <c r="E905" s="65" t="s">
        <v>1860</v>
      </c>
      <c r="F905" s="76"/>
      <c r="G905" s="78"/>
      <c r="H905" s="76" t="s">
        <v>51</v>
      </c>
      <c r="I905" s="78"/>
      <c r="J905" s="78"/>
      <c r="K905" s="76"/>
      <c r="L905" s="76"/>
      <c r="M905" s="76"/>
      <c r="N905" s="76"/>
      <c r="O905" s="76"/>
      <c r="P905" s="76"/>
      <c r="Q905" s="76"/>
      <c r="R905" s="76"/>
      <c r="X905" s="84" t="s">
        <v>2641</v>
      </c>
      <c r="AA905" s="84" t="s">
        <v>2642</v>
      </c>
      <c r="AG905" s="84" t="s">
        <v>2643</v>
      </c>
      <c r="AU905" s="84">
        <v>110</v>
      </c>
      <c r="AY905" s="86" t="s">
        <v>2644</v>
      </c>
      <c r="AZ905" s="88">
        <f t="shared" si="31"/>
        <v>1</v>
      </c>
      <c r="BD905" s="84" t="s">
        <v>2541</v>
      </c>
      <c r="BM905" s="84" t="s">
        <v>2541</v>
      </c>
      <c r="BX905" s="88">
        <v>0.5</v>
      </c>
      <c r="CE905" s="84" t="s">
        <v>2541</v>
      </c>
      <c r="CQ905" s="88">
        <v>0.5</v>
      </c>
    </row>
    <row r="906" spans="1:95" outlineLevel="1" x14ac:dyDescent="0.15">
      <c r="A906" s="76">
        <v>895</v>
      </c>
      <c r="B906" s="65" t="s">
        <v>1861</v>
      </c>
      <c r="C906" s="65">
        <v>1066958092</v>
      </c>
      <c r="D906" s="81" t="str">
        <f t="shared" si="30"/>
        <v>https://portal.dnb.de/opac.htm?method=simpleSearch&amp;cqlMode=true&amp;query=idn%3D1066958092</v>
      </c>
      <c r="E906" s="65" t="s">
        <v>1862</v>
      </c>
      <c r="F906" s="76"/>
      <c r="G906" s="78"/>
      <c r="H906" s="76" t="s">
        <v>50</v>
      </c>
      <c r="I906" s="78"/>
      <c r="J906" s="78"/>
      <c r="K906" s="76"/>
      <c r="L906" s="76"/>
      <c r="M906" s="76"/>
      <c r="N906" s="76"/>
      <c r="O906" s="76"/>
      <c r="P906" s="76"/>
      <c r="Q906" s="76"/>
      <c r="R906" s="76"/>
      <c r="X906" s="84" t="s">
        <v>2696</v>
      </c>
      <c r="AA906" s="84" t="s">
        <v>2675</v>
      </c>
      <c r="AG906" s="84" t="s">
        <v>2643</v>
      </c>
      <c r="AU906" s="84">
        <v>110</v>
      </c>
      <c r="AY906" s="86" t="s">
        <v>2651</v>
      </c>
      <c r="AZ906" s="88">
        <f t="shared" si="31"/>
        <v>0</v>
      </c>
      <c r="BX906" s="88"/>
      <c r="CQ906" s="88"/>
    </row>
    <row r="907" spans="1:95" outlineLevel="1" x14ac:dyDescent="0.15">
      <c r="A907" s="76">
        <v>896</v>
      </c>
      <c r="B907" s="65" t="s">
        <v>1863</v>
      </c>
      <c r="C907" s="65">
        <v>1066958025</v>
      </c>
      <c r="D907" s="81" t="str">
        <f t="shared" si="30"/>
        <v>https://portal.dnb.de/opac.htm?method=simpleSearch&amp;cqlMode=true&amp;query=idn%3D1066958025</v>
      </c>
      <c r="E907" s="65" t="s">
        <v>1864</v>
      </c>
      <c r="F907" s="76"/>
      <c r="G907" s="78"/>
      <c r="H907" s="76" t="s">
        <v>50</v>
      </c>
      <c r="I907" s="78"/>
      <c r="J907" s="78"/>
      <c r="K907" s="76"/>
      <c r="L907" s="76"/>
      <c r="M907" s="76"/>
      <c r="N907" s="76"/>
      <c r="O907" s="76"/>
      <c r="P907" s="76"/>
      <c r="Q907" s="76"/>
      <c r="R907" s="76"/>
      <c r="X907" s="84" t="s">
        <v>2646</v>
      </c>
      <c r="Y907" s="84" t="s">
        <v>2541</v>
      </c>
      <c r="AA907" s="84" t="s">
        <v>2675</v>
      </c>
      <c r="AG907" s="84" t="s">
        <v>2643</v>
      </c>
      <c r="AU907" s="84">
        <v>110</v>
      </c>
      <c r="AY907" s="86" t="s">
        <v>2651</v>
      </c>
      <c r="AZ907" s="88">
        <f t="shared" si="31"/>
        <v>0</v>
      </c>
      <c r="BX907" s="88"/>
      <c r="CQ907" s="88"/>
    </row>
    <row r="908" spans="1:95" outlineLevel="1" x14ac:dyDescent="0.15">
      <c r="A908" s="76">
        <v>897</v>
      </c>
      <c r="B908" s="65" t="s">
        <v>1865</v>
      </c>
      <c r="C908" s="65">
        <v>1066956472</v>
      </c>
      <c r="D908" s="81" t="str">
        <f t="shared" si="30"/>
        <v>https://portal.dnb.de/opac.htm?method=simpleSearch&amp;cqlMode=true&amp;query=idn%3D1066956472</v>
      </c>
      <c r="E908" s="65" t="s">
        <v>1866</v>
      </c>
      <c r="F908" s="76"/>
      <c r="G908" s="78"/>
      <c r="H908" s="76" t="s">
        <v>50</v>
      </c>
      <c r="I908" s="78"/>
      <c r="J908" s="78"/>
      <c r="K908" s="76"/>
      <c r="L908" s="76"/>
      <c r="M908" s="76"/>
      <c r="N908" s="76"/>
      <c r="O908" s="76"/>
      <c r="P908" s="76"/>
      <c r="Q908" s="76"/>
      <c r="R908" s="76"/>
      <c r="X908" s="84" t="s">
        <v>2645</v>
      </c>
      <c r="Y908" s="84" t="s">
        <v>2541</v>
      </c>
      <c r="AA908" s="84" t="s">
        <v>2647</v>
      </c>
      <c r="AG908" s="84" t="s">
        <v>2643</v>
      </c>
      <c r="AU908" s="84">
        <v>110</v>
      </c>
      <c r="AY908" s="86" t="s">
        <v>2651</v>
      </c>
      <c r="AZ908" s="88">
        <f t="shared" si="31"/>
        <v>0</v>
      </c>
      <c r="BX908" s="88"/>
      <c r="CQ908" s="88"/>
    </row>
    <row r="909" spans="1:95" outlineLevel="1" x14ac:dyDescent="0.15">
      <c r="A909" s="76">
        <v>898</v>
      </c>
      <c r="B909" s="65" t="s">
        <v>1867</v>
      </c>
      <c r="C909" s="65">
        <v>1066960003</v>
      </c>
      <c r="D909" s="81" t="str">
        <f t="shared" si="30"/>
        <v>https://portal.dnb.de/opac.htm?method=simpleSearch&amp;cqlMode=true&amp;query=idn%3D1066960003</v>
      </c>
      <c r="E909" s="65" t="s">
        <v>1868</v>
      </c>
      <c r="F909" s="76"/>
      <c r="G909" s="78"/>
      <c r="H909" s="76" t="s">
        <v>50</v>
      </c>
      <c r="I909" s="78"/>
      <c r="J909" s="78"/>
      <c r="K909" s="76"/>
      <c r="L909" s="76"/>
      <c r="M909" s="76"/>
      <c r="N909" s="76"/>
      <c r="O909" s="76"/>
      <c r="P909" s="76"/>
      <c r="Q909" s="76"/>
      <c r="R909" s="76"/>
      <c r="X909" s="84" t="s">
        <v>2645</v>
      </c>
      <c r="Y909" s="84" t="s">
        <v>2541</v>
      </c>
      <c r="AA909" s="84" t="s">
        <v>2647</v>
      </c>
      <c r="AG909" s="84" t="s">
        <v>2643</v>
      </c>
      <c r="AU909" s="84">
        <v>110</v>
      </c>
      <c r="AY909" s="86" t="s">
        <v>2651</v>
      </c>
      <c r="AZ909" s="88">
        <f t="shared" si="31"/>
        <v>0</v>
      </c>
      <c r="BD909" s="84" t="s">
        <v>2541</v>
      </c>
      <c r="BX909" s="88"/>
      <c r="CQ909" s="88"/>
    </row>
    <row r="910" spans="1:95" outlineLevel="1" x14ac:dyDescent="0.15">
      <c r="A910" s="76">
        <v>899</v>
      </c>
      <c r="B910" s="65" t="s">
        <v>1869</v>
      </c>
      <c r="C910" s="65" t="s">
        <v>1870</v>
      </c>
      <c r="D910" s="81" t="str">
        <f t="shared" si="30"/>
        <v>https://portal.dnb.de/opac.htm?method=simpleSearch&amp;cqlMode=true&amp;query=idn%3D106696324X</v>
      </c>
      <c r="E910" s="65" t="s">
        <v>1871</v>
      </c>
      <c r="F910" s="76"/>
      <c r="G910" s="78"/>
      <c r="H910" s="76" t="s">
        <v>50</v>
      </c>
      <c r="I910" s="78"/>
      <c r="J910" s="78"/>
      <c r="K910" s="76"/>
      <c r="L910" s="76"/>
      <c r="M910" s="76"/>
      <c r="N910" s="76"/>
      <c r="O910" s="76"/>
      <c r="P910" s="76"/>
      <c r="Q910" s="76"/>
      <c r="R910" s="76"/>
      <c r="X910" s="84" t="s">
        <v>2645</v>
      </c>
      <c r="Y910" s="84" t="s">
        <v>2541</v>
      </c>
      <c r="AA910" s="84" t="s">
        <v>2647</v>
      </c>
      <c r="AG910" s="84" t="s">
        <v>2643</v>
      </c>
      <c r="AH910" s="84" t="s">
        <v>2541</v>
      </c>
      <c r="AU910" s="84">
        <v>110</v>
      </c>
      <c r="AY910" s="86" t="s">
        <v>2644</v>
      </c>
      <c r="AZ910" s="88">
        <f t="shared" si="31"/>
        <v>1</v>
      </c>
      <c r="BO910" s="84" t="s">
        <v>2677</v>
      </c>
      <c r="BX910" s="88">
        <v>1</v>
      </c>
      <c r="CQ910" s="88"/>
    </row>
    <row r="911" spans="1:95" outlineLevel="1" x14ac:dyDescent="0.15">
      <c r="A911" s="76">
        <v>900</v>
      </c>
      <c r="B911" s="65" t="s">
        <v>1872</v>
      </c>
      <c r="C911" s="65">
        <v>1066848556</v>
      </c>
      <c r="D911" s="81" t="str">
        <f t="shared" si="30"/>
        <v>https://portal.dnb.de/opac.htm?method=simpleSearch&amp;cqlMode=true&amp;query=idn%3D1066848556</v>
      </c>
      <c r="E911" s="65" t="s">
        <v>1873</v>
      </c>
      <c r="F911" s="76"/>
      <c r="G911" s="78"/>
      <c r="H911" s="76" t="s">
        <v>50</v>
      </c>
      <c r="I911" s="78"/>
      <c r="J911" s="78"/>
      <c r="K911" s="76"/>
      <c r="L911" s="76"/>
      <c r="M911" s="76"/>
      <c r="N911" s="76"/>
      <c r="O911" s="76"/>
      <c r="P911" s="76"/>
      <c r="Q911" s="76"/>
      <c r="R911" s="76"/>
      <c r="X911" s="84" t="s">
        <v>2652</v>
      </c>
      <c r="Y911" s="84" t="s">
        <v>2541</v>
      </c>
      <c r="AA911" s="84" t="s">
        <v>2647</v>
      </c>
      <c r="AG911" s="84" t="s">
        <v>2643</v>
      </c>
      <c r="AH911" s="84" t="s">
        <v>2541</v>
      </c>
      <c r="AU911" s="84">
        <v>110</v>
      </c>
      <c r="AY911" s="86" t="s">
        <v>2644</v>
      </c>
      <c r="AZ911" s="88">
        <f t="shared" si="31"/>
        <v>0.5</v>
      </c>
      <c r="BD911" s="84" t="s">
        <v>2541</v>
      </c>
      <c r="BL911" s="84" t="s">
        <v>2541</v>
      </c>
      <c r="BM911" s="84" t="s">
        <v>2541</v>
      </c>
      <c r="BX911" s="88">
        <v>0.5</v>
      </c>
      <c r="CQ911" s="88"/>
    </row>
    <row r="912" spans="1:95" outlineLevel="1" x14ac:dyDescent="0.15">
      <c r="A912" s="76">
        <v>901</v>
      </c>
      <c r="B912" s="65" t="s">
        <v>1874</v>
      </c>
      <c r="C912" s="65">
        <v>1066874107</v>
      </c>
      <c r="D912" s="81" t="str">
        <f t="shared" si="30"/>
        <v>https://portal.dnb.de/opac.htm?method=simpleSearch&amp;cqlMode=true&amp;query=idn%3D1066874107</v>
      </c>
      <c r="E912" s="65" t="s">
        <v>1875</v>
      </c>
      <c r="F912" s="76"/>
      <c r="G912" s="78"/>
      <c r="H912" s="76" t="s">
        <v>51</v>
      </c>
      <c r="I912" s="78"/>
      <c r="J912" s="78"/>
      <c r="K912" s="76"/>
      <c r="L912" s="76"/>
      <c r="M912" s="76"/>
      <c r="N912" s="76"/>
      <c r="O912" s="76"/>
      <c r="P912" s="76"/>
      <c r="Q912" s="76"/>
      <c r="R912" s="76"/>
      <c r="X912" s="84" t="s">
        <v>2652</v>
      </c>
      <c r="AA912" s="84" t="s">
        <v>2647</v>
      </c>
      <c r="AG912" s="84" t="s">
        <v>2643</v>
      </c>
      <c r="AU912" s="84">
        <v>45</v>
      </c>
      <c r="AY912" s="86" t="s">
        <v>2644</v>
      </c>
      <c r="AZ912" s="88">
        <f t="shared" si="31"/>
        <v>2</v>
      </c>
      <c r="BL912" s="84" t="s">
        <v>2541</v>
      </c>
      <c r="BM912" s="84" t="s">
        <v>2541</v>
      </c>
      <c r="BO912" s="84" t="s">
        <v>2656</v>
      </c>
      <c r="BX912" s="88">
        <v>2</v>
      </c>
      <c r="CQ912" s="88"/>
    </row>
    <row r="913" spans="1:95" outlineLevel="1" x14ac:dyDescent="0.15">
      <c r="A913" s="76">
        <v>902</v>
      </c>
      <c r="B913" s="65" t="s">
        <v>1876</v>
      </c>
      <c r="C913" s="65">
        <v>1066956308</v>
      </c>
      <c r="D913" s="81" t="str">
        <f t="shared" si="30"/>
        <v>https://portal.dnb.de/opac.htm?method=simpleSearch&amp;cqlMode=true&amp;query=idn%3D1066956308</v>
      </c>
      <c r="E913" s="65" t="s">
        <v>1877</v>
      </c>
      <c r="F913" s="76"/>
      <c r="G913" s="78"/>
      <c r="H913" s="76" t="s">
        <v>51</v>
      </c>
      <c r="I913" s="78"/>
      <c r="J913" s="78"/>
      <c r="K913" s="76"/>
      <c r="L913" s="76"/>
      <c r="M913" s="76"/>
      <c r="N913" s="76"/>
      <c r="O913" s="76"/>
      <c r="P913" s="76"/>
      <c r="Q913" s="76"/>
      <c r="R913" s="76"/>
      <c r="X913" s="84" t="s">
        <v>2645</v>
      </c>
      <c r="AA913" s="84" t="s">
        <v>2647</v>
      </c>
      <c r="AG913" s="84" t="s">
        <v>2643</v>
      </c>
      <c r="AU913" s="84">
        <v>110</v>
      </c>
      <c r="AY913" s="86" t="s">
        <v>2651</v>
      </c>
      <c r="AZ913" s="88">
        <f t="shared" si="31"/>
        <v>0</v>
      </c>
      <c r="BX913" s="88"/>
      <c r="CQ913" s="88"/>
    </row>
    <row r="914" spans="1:95" outlineLevel="1" x14ac:dyDescent="0.15">
      <c r="A914" s="76">
        <v>903</v>
      </c>
      <c r="B914" s="65" t="s">
        <v>1878</v>
      </c>
      <c r="C914" s="65">
        <v>1066956413</v>
      </c>
      <c r="D914" s="81" t="str">
        <f t="shared" si="30"/>
        <v>https://portal.dnb.de/opac.htm?method=simpleSearch&amp;cqlMode=true&amp;query=idn%3D1066956413</v>
      </c>
      <c r="E914" s="65" t="s">
        <v>1879</v>
      </c>
      <c r="F914" s="76"/>
      <c r="G914" s="78"/>
      <c r="H914" s="76" t="s">
        <v>51</v>
      </c>
      <c r="I914" s="78"/>
      <c r="J914" s="78"/>
      <c r="K914" s="76"/>
      <c r="L914" s="76"/>
      <c r="M914" s="76"/>
      <c r="N914" s="76"/>
      <c r="O914" s="76"/>
      <c r="P914" s="76"/>
      <c r="Q914" s="76"/>
      <c r="R914" s="76"/>
      <c r="X914" s="84" t="s">
        <v>2696</v>
      </c>
      <c r="Y914" s="84" t="s">
        <v>2541</v>
      </c>
      <c r="AA914" s="84" t="s">
        <v>2647</v>
      </c>
      <c r="AG914" s="84" t="s">
        <v>2643</v>
      </c>
      <c r="AU914" s="84">
        <v>110</v>
      </c>
      <c r="AY914" s="86" t="s">
        <v>2644</v>
      </c>
      <c r="AZ914" s="88">
        <f t="shared" si="31"/>
        <v>0.5</v>
      </c>
      <c r="BM914" s="84" t="s">
        <v>2541</v>
      </c>
      <c r="BX914" s="88">
        <v>0.5</v>
      </c>
      <c r="CQ914" s="88"/>
    </row>
    <row r="915" spans="1:95" outlineLevel="1" x14ac:dyDescent="0.15">
      <c r="A915" s="76">
        <v>904</v>
      </c>
      <c r="B915" s="65" t="s">
        <v>1880</v>
      </c>
      <c r="C915" s="65">
        <v>1066847002</v>
      </c>
      <c r="D915" s="81" t="str">
        <f t="shared" si="30"/>
        <v>https://portal.dnb.de/opac.htm?method=simpleSearch&amp;cqlMode=true&amp;query=idn%3D1066847002</v>
      </c>
      <c r="E915" s="65" t="s">
        <v>1881</v>
      </c>
      <c r="F915" s="76"/>
      <c r="G915" s="78"/>
      <c r="H915" s="76" t="s">
        <v>51</v>
      </c>
      <c r="I915" s="78"/>
      <c r="J915" s="78"/>
      <c r="K915" s="76"/>
      <c r="L915" s="76"/>
      <c r="M915" s="76"/>
      <c r="N915" s="76"/>
      <c r="O915" s="76"/>
      <c r="P915" s="76"/>
      <c r="Q915" s="76"/>
      <c r="R915" s="76"/>
      <c r="X915" s="84" t="s">
        <v>2641</v>
      </c>
      <c r="Y915" s="84" t="s">
        <v>2541</v>
      </c>
      <c r="AA915" s="84" t="s">
        <v>2653</v>
      </c>
      <c r="AG915" s="84" t="s">
        <v>2643</v>
      </c>
      <c r="AU915" s="84">
        <v>60</v>
      </c>
      <c r="AY915" s="86" t="s">
        <v>2644</v>
      </c>
      <c r="AZ915" s="88">
        <f t="shared" si="31"/>
        <v>0.5</v>
      </c>
      <c r="BD915" s="84" t="s">
        <v>2541</v>
      </c>
      <c r="BL915" s="84" t="s">
        <v>2541</v>
      </c>
      <c r="BM915" s="84" t="s">
        <v>2541</v>
      </c>
      <c r="BX915" s="88">
        <v>0.5</v>
      </c>
      <c r="CQ915" s="88"/>
    </row>
    <row r="916" spans="1:95" outlineLevel="1" x14ac:dyDescent="0.15">
      <c r="A916" s="76">
        <v>905</v>
      </c>
      <c r="B916" s="65" t="s">
        <v>1882</v>
      </c>
      <c r="C916" s="65">
        <v>1066957061</v>
      </c>
      <c r="D916" s="81" t="str">
        <f t="shared" si="30"/>
        <v>https://portal.dnb.de/opac.htm?method=simpleSearch&amp;cqlMode=true&amp;query=idn%3D1066957061</v>
      </c>
      <c r="E916" s="65" t="s">
        <v>1883</v>
      </c>
      <c r="F916" s="76"/>
      <c r="G916" s="78"/>
      <c r="H916" s="76" t="s">
        <v>50</v>
      </c>
      <c r="I916" s="78"/>
      <c r="J916" s="78"/>
      <c r="K916" s="76"/>
      <c r="L916" s="76"/>
      <c r="M916" s="76"/>
      <c r="N916" s="76"/>
      <c r="O916" s="76"/>
      <c r="P916" s="76"/>
      <c r="Q916" s="76"/>
      <c r="R916" s="76"/>
      <c r="X916" s="84" t="s">
        <v>2699</v>
      </c>
      <c r="Y916" s="84" t="s">
        <v>2541</v>
      </c>
      <c r="AA916" s="84" t="s">
        <v>2647</v>
      </c>
      <c r="AG916" s="84" t="s">
        <v>2643</v>
      </c>
      <c r="AH916" s="84" t="s">
        <v>2541</v>
      </c>
      <c r="AU916" s="84">
        <v>110</v>
      </c>
      <c r="AY916" s="86" t="s">
        <v>2651</v>
      </c>
      <c r="AZ916" s="88">
        <f t="shared" si="31"/>
        <v>0</v>
      </c>
      <c r="BD916" s="84" t="s">
        <v>2541</v>
      </c>
      <c r="BI916" s="63" t="s">
        <v>2780</v>
      </c>
      <c r="BX916" s="88"/>
      <c r="CQ916" s="88"/>
    </row>
    <row r="917" spans="1:95" outlineLevel="1" x14ac:dyDescent="0.15">
      <c r="A917" s="76">
        <v>906</v>
      </c>
      <c r="B917" s="65" t="s">
        <v>1884</v>
      </c>
      <c r="C917" s="65">
        <v>1066842213</v>
      </c>
      <c r="D917" s="81" t="str">
        <f t="shared" si="30"/>
        <v>https://portal.dnb.de/opac.htm?method=simpleSearch&amp;cqlMode=true&amp;query=idn%3D1066842213</v>
      </c>
      <c r="E917" s="65" t="s">
        <v>1885</v>
      </c>
      <c r="F917" s="76"/>
      <c r="G917" s="78"/>
      <c r="H917" s="76" t="s">
        <v>51</v>
      </c>
      <c r="I917" s="78"/>
      <c r="J917" s="78"/>
      <c r="K917" s="76"/>
      <c r="L917" s="76"/>
      <c r="M917" s="76"/>
      <c r="N917" s="76"/>
      <c r="O917" s="76"/>
      <c r="P917" s="76"/>
      <c r="Q917" s="76"/>
      <c r="R917" s="76"/>
      <c r="X917" s="84" t="s">
        <v>2646</v>
      </c>
      <c r="Y917" s="84" t="s">
        <v>2541</v>
      </c>
      <c r="AA917" s="84" t="s">
        <v>2647</v>
      </c>
      <c r="AG917" s="84" t="s">
        <v>2643</v>
      </c>
      <c r="AU917" s="84">
        <v>110</v>
      </c>
      <c r="AY917" s="86" t="s">
        <v>2644</v>
      </c>
      <c r="AZ917" s="88">
        <f t="shared" si="31"/>
        <v>1</v>
      </c>
      <c r="BD917" s="84" t="s">
        <v>2541</v>
      </c>
      <c r="BO917" s="84" t="s">
        <v>2677</v>
      </c>
      <c r="BX917" s="88">
        <v>1</v>
      </c>
      <c r="BY917" s="79" t="s">
        <v>2788</v>
      </c>
      <c r="CQ917" s="88"/>
    </row>
    <row r="918" spans="1:95" outlineLevel="1" x14ac:dyDescent="0.15">
      <c r="A918" s="76">
        <v>907</v>
      </c>
      <c r="B918" s="65" t="s">
        <v>1886</v>
      </c>
      <c r="C918" s="65">
        <v>1066960038</v>
      </c>
      <c r="D918" s="81" t="str">
        <f t="shared" si="30"/>
        <v>https://portal.dnb.de/opac.htm?method=simpleSearch&amp;cqlMode=true&amp;query=idn%3D1066960038</v>
      </c>
      <c r="E918" s="65" t="s">
        <v>1887</v>
      </c>
      <c r="F918" s="76"/>
      <c r="G918" s="78"/>
      <c r="H918" s="76" t="s">
        <v>50</v>
      </c>
      <c r="I918" s="78"/>
      <c r="J918" s="78"/>
      <c r="K918" s="76"/>
      <c r="L918" s="76"/>
      <c r="M918" s="76"/>
      <c r="N918" s="76"/>
      <c r="O918" s="76"/>
      <c r="P918" s="76"/>
      <c r="Q918" s="76"/>
      <c r="R918" s="76"/>
      <c r="X918" s="84" t="s">
        <v>2641</v>
      </c>
      <c r="Y918" s="84" t="s">
        <v>2541</v>
      </c>
      <c r="AA918" s="84" t="s">
        <v>2675</v>
      </c>
      <c r="AG918" s="84" t="s">
        <v>2643</v>
      </c>
      <c r="AU918" s="84">
        <v>80</v>
      </c>
      <c r="AY918" s="86" t="s">
        <v>2651</v>
      </c>
      <c r="AZ918" s="88">
        <f t="shared" si="31"/>
        <v>0</v>
      </c>
      <c r="BD918" s="84" t="s">
        <v>2541</v>
      </c>
      <c r="BX918" s="88"/>
      <c r="CQ918" s="88"/>
    </row>
    <row r="919" spans="1:95" outlineLevel="1" x14ac:dyDescent="0.15">
      <c r="A919" s="76">
        <v>908</v>
      </c>
      <c r="B919" s="65" t="s">
        <v>1888</v>
      </c>
      <c r="C919" s="65">
        <v>1066962901</v>
      </c>
      <c r="D919" s="81" t="str">
        <f t="shared" si="30"/>
        <v>https://portal.dnb.de/opac.htm?method=simpleSearch&amp;cqlMode=true&amp;query=idn%3D1066962901</v>
      </c>
      <c r="E919" s="65" t="s">
        <v>1889</v>
      </c>
      <c r="F919" s="76"/>
      <c r="G919" s="78"/>
      <c r="H919" s="76" t="s">
        <v>51</v>
      </c>
      <c r="I919" s="78"/>
      <c r="J919" s="78"/>
      <c r="K919" s="76"/>
      <c r="L919" s="76"/>
      <c r="M919" s="76"/>
      <c r="N919" s="76"/>
      <c r="O919" s="76"/>
      <c r="P919" s="76"/>
      <c r="Q919" s="76"/>
      <c r="R919" s="76"/>
      <c r="X919" s="84" t="s">
        <v>2645</v>
      </c>
      <c r="Y919" s="84" t="s">
        <v>2541</v>
      </c>
      <c r="AA919" s="84" t="s">
        <v>2647</v>
      </c>
      <c r="AG919" s="84" t="s">
        <v>2643</v>
      </c>
      <c r="AU919" s="84">
        <v>110</v>
      </c>
      <c r="AY919" s="86" t="s">
        <v>2651</v>
      </c>
      <c r="AZ919" s="88">
        <f t="shared" si="31"/>
        <v>0</v>
      </c>
      <c r="BD919" s="84" t="s">
        <v>2541</v>
      </c>
      <c r="BX919" s="88"/>
      <c r="CQ919" s="88"/>
    </row>
    <row r="920" spans="1:95" outlineLevel="1" x14ac:dyDescent="0.15">
      <c r="A920" s="76">
        <v>909</v>
      </c>
      <c r="B920" s="65" t="s">
        <v>1890</v>
      </c>
      <c r="C920" s="65">
        <v>1066964106</v>
      </c>
      <c r="D920" s="81" t="str">
        <f t="shared" si="30"/>
        <v>https://portal.dnb.de/opac.htm?method=simpleSearch&amp;cqlMode=true&amp;query=idn%3D1066964106</v>
      </c>
      <c r="E920" s="65" t="s">
        <v>1891</v>
      </c>
      <c r="F920" s="76"/>
      <c r="G920" s="78"/>
      <c r="H920" s="76" t="s">
        <v>50</v>
      </c>
      <c r="I920" s="78"/>
      <c r="J920" s="78"/>
      <c r="K920" s="76"/>
      <c r="L920" s="76"/>
      <c r="M920" s="76"/>
      <c r="N920" s="76"/>
      <c r="O920" s="76"/>
      <c r="P920" s="76"/>
      <c r="Q920" s="76"/>
      <c r="R920" s="76"/>
      <c r="X920" s="84" t="s">
        <v>2645</v>
      </c>
      <c r="Y920" s="84" t="s">
        <v>2541</v>
      </c>
      <c r="AA920" s="84" t="s">
        <v>2647</v>
      </c>
      <c r="AG920" s="84" t="s">
        <v>2643</v>
      </c>
      <c r="AH920" s="84" t="s">
        <v>2541</v>
      </c>
      <c r="AU920" s="84">
        <v>110</v>
      </c>
      <c r="AY920" s="86" t="s">
        <v>2651</v>
      </c>
      <c r="AZ920" s="88">
        <f t="shared" si="31"/>
        <v>0</v>
      </c>
      <c r="BX920" s="88"/>
      <c r="CQ920" s="88"/>
    </row>
    <row r="921" spans="1:95" outlineLevel="1" x14ac:dyDescent="0.15">
      <c r="A921" s="76">
        <v>910</v>
      </c>
      <c r="B921" s="65" t="s">
        <v>1892</v>
      </c>
      <c r="C921" s="65">
        <v>1066960224</v>
      </c>
      <c r="D921" s="81" t="str">
        <f t="shared" si="30"/>
        <v>https://portal.dnb.de/opac.htm?method=simpleSearch&amp;cqlMode=true&amp;query=idn%3D1066960224</v>
      </c>
      <c r="E921" s="65" t="s">
        <v>1893</v>
      </c>
      <c r="F921" s="76"/>
      <c r="G921" s="78"/>
      <c r="H921" s="76" t="s">
        <v>50</v>
      </c>
      <c r="I921" s="78"/>
      <c r="J921" s="78"/>
      <c r="K921" s="76"/>
      <c r="L921" s="76"/>
      <c r="M921" s="76"/>
      <c r="N921" s="76"/>
      <c r="O921" s="76"/>
      <c r="P921" s="76"/>
      <c r="Q921" s="76"/>
      <c r="R921" s="76"/>
      <c r="X921" s="84" t="s">
        <v>2697</v>
      </c>
      <c r="Y921" s="84" t="s">
        <v>2541</v>
      </c>
      <c r="AA921" s="84" t="s">
        <v>2647</v>
      </c>
      <c r="AG921" s="84" t="s">
        <v>2643</v>
      </c>
      <c r="AH921" s="84" t="s">
        <v>2541</v>
      </c>
      <c r="AU921" s="84">
        <v>110</v>
      </c>
      <c r="AY921" s="86" t="s">
        <v>2651</v>
      </c>
      <c r="AZ921" s="88">
        <f t="shared" si="31"/>
        <v>0</v>
      </c>
      <c r="BD921" s="84" t="s">
        <v>2541</v>
      </c>
      <c r="BX921" s="88"/>
      <c r="CQ921" s="88"/>
    </row>
    <row r="922" spans="1:95" outlineLevel="1" x14ac:dyDescent="0.15">
      <c r="A922" s="76">
        <v>911</v>
      </c>
      <c r="B922" s="65" t="s">
        <v>1894</v>
      </c>
      <c r="C922" s="65">
        <v>1066957703</v>
      </c>
      <c r="D922" s="81" t="str">
        <f t="shared" si="30"/>
        <v>https://portal.dnb.de/opac.htm?method=simpleSearch&amp;cqlMode=true&amp;query=idn%3D1066957703</v>
      </c>
      <c r="E922" s="65" t="s">
        <v>1895</v>
      </c>
      <c r="F922" s="76"/>
      <c r="G922" s="78"/>
      <c r="H922" s="76" t="s">
        <v>50</v>
      </c>
      <c r="I922" s="78"/>
      <c r="J922" s="78"/>
      <c r="K922" s="76"/>
      <c r="L922" s="76"/>
      <c r="M922" s="76"/>
      <c r="N922" s="76"/>
      <c r="O922" s="76"/>
      <c r="P922" s="76"/>
      <c r="Q922" s="76"/>
      <c r="R922" s="76"/>
      <c r="X922" s="84" t="s">
        <v>2646</v>
      </c>
      <c r="Y922" s="84" t="s">
        <v>2541</v>
      </c>
      <c r="AA922" s="84" t="s">
        <v>2647</v>
      </c>
      <c r="AG922" s="84" t="s">
        <v>2643</v>
      </c>
      <c r="AU922" s="84">
        <v>110</v>
      </c>
      <c r="AY922" s="86" t="s">
        <v>2651</v>
      </c>
      <c r="AZ922" s="88">
        <f t="shared" si="31"/>
        <v>0</v>
      </c>
      <c r="BD922" s="84" t="s">
        <v>2541</v>
      </c>
      <c r="BX922" s="88"/>
      <c r="CQ922" s="88"/>
    </row>
    <row r="923" spans="1:95" outlineLevel="1" x14ac:dyDescent="0.15">
      <c r="A923" s="76">
        <v>912</v>
      </c>
      <c r="B923" s="65" t="s">
        <v>1896</v>
      </c>
      <c r="C923" s="65">
        <v>1066960437</v>
      </c>
      <c r="D923" s="81" t="str">
        <f t="shared" si="30"/>
        <v>https://portal.dnb.de/opac.htm?method=simpleSearch&amp;cqlMode=true&amp;query=idn%3D1066960437</v>
      </c>
      <c r="E923" s="65" t="s">
        <v>1897</v>
      </c>
      <c r="F923" s="76"/>
      <c r="G923" s="78"/>
      <c r="H923" s="76" t="s">
        <v>50</v>
      </c>
      <c r="I923" s="78"/>
      <c r="J923" s="78"/>
      <c r="K923" s="76"/>
      <c r="L923" s="76"/>
      <c r="M923" s="76"/>
      <c r="N923" s="76"/>
      <c r="O923" s="76"/>
      <c r="P923" s="76"/>
      <c r="Q923" s="76"/>
      <c r="R923" s="76"/>
      <c r="W923" s="84" t="s">
        <v>2541</v>
      </c>
      <c r="X923" s="84" t="s">
        <v>2643</v>
      </c>
      <c r="AA923" s="84" t="s">
        <v>2675</v>
      </c>
      <c r="AG923" s="84" t="s">
        <v>2643</v>
      </c>
      <c r="AU923" s="84">
        <v>110</v>
      </c>
      <c r="AY923" s="86" t="s">
        <v>2644</v>
      </c>
      <c r="AZ923" s="88">
        <f t="shared" si="31"/>
        <v>1</v>
      </c>
      <c r="BI923" s="63" t="s">
        <v>2780</v>
      </c>
      <c r="BM923" s="84" t="s">
        <v>2541</v>
      </c>
      <c r="BO923" s="84" t="s">
        <v>2677</v>
      </c>
      <c r="BX923" s="88">
        <v>1</v>
      </c>
      <c r="CQ923" s="88"/>
    </row>
    <row r="924" spans="1:95" outlineLevel="1" x14ac:dyDescent="0.15">
      <c r="A924" s="76">
        <v>913</v>
      </c>
      <c r="B924" s="65" t="s">
        <v>1898</v>
      </c>
      <c r="C924" s="65" t="s">
        <v>1899</v>
      </c>
      <c r="D924" s="81" t="str">
        <f t="shared" si="30"/>
        <v>https://portal.dnb.de/opac.htm?method=simpleSearch&amp;cqlMode=true&amp;query=idn%3D99701475X</v>
      </c>
      <c r="E924" s="65" t="s">
        <v>1900</v>
      </c>
      <c r="F924" s="76"/>
      <c r="G924" s="78"/>
      <c r="H924" s="76" t="s">
        <v>51</v>
      </c>
      <c r="I924" s="78"/>
      <c r="J924" s="78"/>
      <c r="K924" s="76"/>
      <c r="L924" s="76"/>
      <c r="M924" s="76"/>
      <c r="N924" s="76"/>
      <c r="O924" s="76"/>
      <c r="P924" s="76"/>
      <c r="Q924" s="76"/>
      <c r="R924" s="76"/>
      <c r="X924" s="84" t="s">
        <v>2641</v>
      </c>
      <c r="Z924" s="84" t="s">
        <v>2541</v>
      </c>
      <c r="AA924" s="84" t="s">
        <v>2642</v>
      </c>
      <c r="AG924" s="84" t="s">
        <v>2643</v>
      </c>
      <c r="AL924" s="84" t="s">
        <v>2541</v>
      </c>
      <c r="AS924" s="84">
        <v>0</v>
      </c>
      <c r="AT924" s="84" t="s">
        <v>2541</v>
      </c>
      <c r="AU924" s="84">
        <v>110</v>
      </c>
      <c r="AY924" s="86" t="s">
        <v>2651</v>
      </c>
      <c r="AZ924" s="88">
        <f t="shared" si="31"/>
        <v>0</v>
      </c>
      <c r="BB924" s="84" t="s">
        <v>2777</v>
      </c>
      <c r="BI924" s="63" t="s">
        <v>2780</v>
      </c>
      <c r="BX924" s="88"/>
      <c r="CQ924" s="88"/>
    </row>
    <row r="925" spans="1:95" outlineLevel="1" x14ac:dyDescent="0.15">
      <c r="A925" s="76">
        <v>914</v>
      </c>
      <c r="B925" s="65" t="s">
        <v>1901</v>
      </c>
      <c r="C925" s="65">
        <v>995969922</v>
      </c>
      <c r="D925" s="81" t="str">
        <f t="shared" si="30"/>
        <v>https://portal.dnb.de/opac.htm?method=simpleSearch&amp;cqlMode=true&amp;query=idn%3D995969922</v>
      </c>
      <c r="E925" s="65" t="s">
        <v>1902</v>
      </c>
      <c r="F925" s="76"/>
      <c r="G925" s="78"/>
      <c r="H925" s="76" t="s">
        <v>51</v>
      </c>
      <c r="I925" s="78"/>
      <c r="J925" s="78"/>
      <c r="K925" s="76"/>
      <c r="L925" s="76"/>
      <c r="M925" s="76"/>
      <c r="N925" s="76"/>
      <c r="O925" s="76"/>
      <c r="P925" s="76"/>
      <c r="Q925" s="76"/>
      <c r="R925" s="76"/>
      <c r="X925" s="84" t="s">
        <v>2697</v>
      </c>
      <c r="Z925" s="84" t="s">
        <v>2541</v>
      </c>
      <c r="AA925" s="84" t="s">
        <v>2642</v>
      </c>
      <c r="AG925" s="84" t="s">
        <v>2643</v>
      </c>
      <c r="AU925" s="84">
        <v>110</v>
      </c>
      <c r="AW925" s="84" t="s">
        <v>2541</v>
      </c>
      <c r="AY925" s="86" t="s">
        <v>2651</v>
      </c>
      <c r="AZ925" s="88">
        <f t="shared" si="31"/>
        <v>0</v>
      </c>
      <c r="BB925" s="84" t="s">
        <v>2777</v>
      </c>
      <c r="BX925" s="88"/>
      <c r="CQ925" s="88"/>
    </row>
    <row r="926" spans="1:95" outlineLevel="1" x14ac:dyDescent="0.15">
      <c r="A926" s="76">
        <v>915</v>
      </c>
      <c r="B926" s="65" t="s">
        <v>1903</v>
      </c>
      <c r="C926" s="65">
        <v>986509019</v>
      </c>
      <c r="D926" s="81" t="str">
        <f t="shared" ref="D926:D991" si="32">HYPERLINK(CONCATENATE("https://portal.dnb.de/opac.htm?method=simpleSearch&amp;cqlMode=true&amp;query=idn%3D",C926))</f>
        <v>https://portal.dnb.de/opac.htm?method=simpleSearch&amp;cqlMode=true&amp;query=idn%3D986509019</v>
      </c>
      <c r="E926" s="65" t="s">
        <v>1904</v>
      </c>
      <c r="F926" s="76"/>
      <c r="G926" s="78"/>
      <c r="H926" s="76" t="s">
        <v>51</v>
      </c>
      <c r="I926" s="78"/>
      <c r="J926" s="78"/>
      <c r="K926" s="76"/>
      <c r="L926" s="76"/>
      <c r="M926" s="76"/>
      <c r="N926" s="76"/>
      <c r="O926" s="76"/>
      <c r="P926" s="76"/>
      <c r="Q926" s="76"/>
      <c r="R926" s="76"/>
      <c r="X926" s="84" t="s">
        <v>2646</v>
      </c>
      <c r="Z926" s="84" t="s">
        <v>2541</v>
      </c>
      <c r="AA926" s="84" t="s">
        <v>2675</v>
      </c>
      <c r="AG926" s="84" t="s">
        <v>2643</v>
      </c>
      <c r="AU926" s="84">
        <v>110</v>
      </c>
      <c r="AY926" s="86" t="s">
        <v>2651</v>
      </c>
      <c r="AZ926" s="88">
        <f t="shared" si="31"/>
        <v>0</v>
      </c>
      <c r="BE926" s="84" t="s">
        <v>2541</v>
      </c>
      <c r="BX926" s="88"/>
      <c r="CQ926" s="88"/>
    </row>
    <row r="927" spans="1:95" outlineLevel="1" x14ac:dyDescent="0.15">
      <c r="A927" s="76">
        <v>916</v>
      </c>
      <c r="B927" s="65" t="s">
        <v>1905</v>
      </c>
      <c r="C927" s="65">
        <v>999891499</v>
      </c>
      <c r="D927" s="81" t="str">
        <f t="shared" si="32"/>
        <v>https://portal.dnb.de/opac.htm?method=simpleSearch&amp;cqlMode=true&amp;query=idn%3D999891499</v>
      </c>
      <c r="E927" s="65" t="s">
        <v>1906</v>
      </c>
      <c r="F927" s="76"/>
      <c r="G927" s="78"/>
      <c r="H927" s="76" t="s">
        <v>51</v>
      </c>
      <c r="I927" s="78"/>
      <c r="J927" s="78"/>
      <c r="K927" s="76"/>
      <c r="L927" s="76"/>
      <c r="M927" s="76"/>
      <c r="N927" s="76"/>
      <c r="O927" s="76"/>
      <c r="P927" s="76"/>
      <c r="Q927" s="76"/>
      <c r="R927" s="76"/>
      <c r="X927" s="84" t="s">
        <v>2646</v>
      </c>
      <c r="Z927" s="84" t="s">
        <v>2541</v>
      </c>
      <c r="AA927" s="84" t="s">
        <v>2675</v>
      </c>
      <c r="AG927" s="84" t="s">
        <v>2643</v>
      </c>
      <c r="AU927" s="84">
        <v>110</v>
      </c>
      <c r="AW927" s="84" t="s">
        <v>2541</v>
      </c>
      <c r="AY927" s="86" t="s">
        <v>2651</v>
      </c>
      <c r="AZ927" s="88">
        <f t="shared" si="31"/>
        <v>0</v>
      </c>
      <c r="BC927" s="84" t="s">
        <v>2659</v>
      </c>
      <c r="BG927" s="84" t="s">
        <v>2541</v>
      </c>
      <c r="BJ927" s="79" t="s">
        <v>2783</v>
      </c>
      <c r="BX927" s="88"/>
      <c r="CQ927" s="88"/>
    </row>
    <row r="928" spans="1:95" outlineLevel="1" x14ac:dyDescent="0.15">
      <c r="A928" s="76">
        <v>917</v>
      </c>
      <c r="B928" s="65" t="s">
        <v>1907</v>
      </c>
      <c r="C928" s="65">
        <v>999884867</v>
      </c>
      <c r="D928" s="81" t="str">
        <f t="shared" si="32"/>
        <v>https://portal.dnb.de/opac.htm?method=simpleSearch&amp;cqlMode=true&amp;query=idn%3D999884867</v>
      </c>
      <c r="E928" s="65" t="s">
        <v>1908</v>
      </c>
      <c r="F928" s="76"/>
      <c r="G928" s="78"/>
      <c r="H928" s="76" t="s">
        <v>50</v>
      </c>
      <c r="I928" s="78"/>
      <c r="J928" s="78"/>
      <c r="K928" s="76"/>
      <c r="L928" s="76"/>
      <c r="M928" s="76"/>
      <c r="N928" s="76"/>
      <c r="O928" s="76"/>
      <c r="P928" s="76"/>
      <c r="Q928" s="76"/>
      <c r="R928" s="76"/>
      <c r="X928" s="84" t="s">
        <v>2641</v>
      </c>
      <c r="Z928" s="84" t="s">
        <v>2541</v>
      </c>
      <c r="AA928" s="84" t="s">
        <v>2642</v>
      </c>
      <c r="AG928" s="84" t="s">
        <v>2643</v>
      </c>
      <c r="AU928" s="84">
        <v>110</v>
      </c>
      <c r="AY928" s="86" t="s">
        <v>2651</v>
      </c>
      <c r="AZ928" s="88">
        <f t="shared" si="31"/>
        <v>0</v>
      </c>
      <c r="BB928" s="84" t="s">
        <v>2777</v>
      </c>
      <c r="BX928" s="88"/>
      <c r="CQ928" s="88"/>
    </row>
    <row r="929" spans="1:95" outlineLevel="1" x14ac:dyDescent="0.15">
      <c r="A929" s="76">
        <v>918</v>
      </c>
      <c r="B929" s="65" t="s">
        <v>1909</v>
      </c>
      <c r="C929" s="65">
        <v>995967695</v>
      </c>
      <c r="D929" s="81" t="str">
        <f t="shared" si="32"/>
        <v>https://portal.dnb.de/opac.htm?method=simpleSearch&amp;cqlMode=true&amp;query=idn%3D995967695</v>
      </c>
      <c r="E929" s="65" t="s">
        <v>1910</v>
      </c>
      <c r="F929" s="76"/>
      <c r="G929" s="78"/>
      <c r="H929" s="76" t="s">
        <v>50</v>
      </c>
      <c r="I929" s="78"/>
      <c r="J929" s="78"/>
      <c r="K929" s="76"/>
      <c r="L929" s="76"/>
      <c r="M929" s="76"/>
      <c r="N929" s="76"/>
      <c r="O929" s="76"/>
      <c r="P929" s="76"/>
      <c r="Q929" s="76"/>
      <c r="R929" s="76"/>
      <c r="X929" s="84" t="s">
        <v>2641</v>
      </c>
      <c r="Z929" s="84" t="s">
        <v>2541</v>
      </c>
      <c r="AA929" s="84" t="s">
        <v>2642</v>
      </c>
      <c r="AG929" s="84" t="s">
        <v>2643</v>
      </c>
      <c r="AU929" s="84">
        <v>110</v>
      </c>
      <c r="AY929" s="86" t="s">
        <v>2651</v>
      </c>
      <c r="AZ929" s="88">
        <f t="shared" si="31"/>
        <v>0</v>
      </c>
      <c r="BB929" s="84" t="s">
        <v>2777</v>
      </c>
      <c r="BX929" s="88"/>
      <c r="CQ929" s="88"/>
    </row>
    <row r="930" spans="1:95" outlineLevel="1" x14ac:dyDescent="0.15">
      <c r="A930" s="76">
        <v>919</v>
      </c>
      <c r="B930" s="65" t="s">
        <v>1911</v>
      </c>
      <c r="C930" s="65" t="s">
        <v>1912</v>
      </c>
      <c r="D930" s="81" t="str">
        <f t="shared" si="32"/>
        <v>https://portal.dnb.de/opac.htm?method=simpleSearch&amp;cqlMode=true&amp;query=idn%3D99810082X</v>
      </c>
      <c r="E930" s="65" t="s">
        <v>1913</v>
      </c>
      <c r="F930" s="76"/>
      <c r="G930" s="78"/>
      <c r="H930" s="76" t="s">
        <v>50</v>
      </c>
      <c r="I930" s="78"/>
      <c r="J930" s="78"/>
      <c r="K930" s="76"/>
      <c r="L930" s="76"/>
      <c r="M930" s="76"/>
      <c r="N930" s="76"/>
      <c r="O930" s="76"/>
      <c r="P930" s="76"/>
      <c r="Q930" s="76"/>
      <c r="R930" s="76"/>
      <c r="X930" s="84" t="s">
        <v>2696</v>
      </c>
      <c r="AA930" s="84" t="s">
        <v>2647</v>
      </c>
      <c r="AG930" s="84" t="s">
        <v>2643</v>
      </c>
      <c r="AU930" s="84">
        <v>110</v>
      </c>
      <c r="AY930" s="86" t="s">
        <v>2651</v>
      </c>
      <c r="AZ930" s="88">
        <f t="shared" si="31"/>
        <v>0</v>
      </c>
      <c r="BX930" s="88"/>
      <c r="CQ930" s="88"/>
    </row>
    <row r="931" spans="1:95" outlineLevel="1" x14ac:dyDescent="0.15">
      <c r="A931" s="76">
        <v>920</v>
      </c>
      <c r="B931" s="65" t="s">
        <v>1914</v>
      </c>
      <c r="C931" s="65">
        <v>994401965</v>
      </c>
      <c r="D931" s="81" t="str">
        <f t="shared" si="32"/>
        <v>https://portal.dnb.de/opac.htm?method=simpleSearch&amp;cqlMode=true&amp;query=idn%3D994401965</v>
      </c>
      <c r="E931" s="65" t="s">
        <v>1915</v>
      </c>
      <c r="F931" s="76"/>
      <c r="G931" s="78"/>
      <c r="H931" s="76" t="s">
        <v>50</v>
      </c>
      <c r="I931" s="78"/>
      <c r="J931" s="78"/>
      <c r="K931" s="76"/>
      <c r="L931" s="76"/>
      <c r="M931" s="76"/>
      <c r="N931" s="76"/>
      <c r="O931" s="76"/>
      <c r="P931" s="76"/>
      <c r="Q931" s="76"/>
      <c r="R931" s="76"/>
      <c r="X931" s="84" t="s">
        <v>2641</v>
      </c>
      <c r="Z931" s="84" t="s">
        <v>2541</v>
      </c>
      <c r="AA931" s="84" t="s">
        <v>2642</v>
      </c>
      <c r="AG931" s="84" t="s">
        <v>2643</v>
      </c>
      <c r="AL931" s="84" t="s">
        <v>2541</v>
      </c>
      <c r="AU931" s="84">
        <v>110</v>
      </c>
      <c r="AY931" s="86" t="s">
        <v>2651</v>
      </c>
      <c r="AZ931" s="88">
        <f t="shared" si="31"/>
        <v>0</v>
      </c>
      <c r="BB931" s="84" t="s">
        <v>2777</v>
      </c>
      <c r="BX931" s="88"/>
      <c r="CQ931" s="88"/>
    </row>
    <row r="932" spans="1:95" outlineLevel="1" x14ac:dyDescent="0.15">
      <c r="A932" s="76">
        <v>921</v>
      </c>
      <c r="B932" s="65" t="s">
        <v>1916</v>
      </c>
      <c r="C932" s="65">
        <v>1002318963</v>
      </c>
      <c r="D932" s="81" t="str">
        <f t="shared" si="32"/>
        <v>https://portal.dnb.de/opac.htm?method=simpleSearch&amp;cqlMode=true&amp;query=idn%3D1002318963</v>
      </c>
      <c r="E932" s="65" t="s">
        <v>1917</v>
      </c>
      <c r="F932" s="76"/>
      <c r="G932" s="78"/>
      <c r="H932" s="76" t="s">
        <v>50</v>
      </c>
      <c r="I932" s="78"/>
      <c r="J932" s="78"/>
      <c r="K932" s="76"/>
      <c r="L932" s="76"/>
      <c r="M932" s="76"/>
      <c r="N932" s="76"/>
      <c r="O932" s="76"/>
      <c r="P932" s="76"/>
      <c r="Q932" s="76"/>
      <c r="R932" s="76"/>
      <c r="X932" s="84" t="s">
        <v>2643</v>
      </c>
      <c r="AA932" s="84" t="s">
        <v>2647</v>
      </c>
      <c r="AG932" s="84" t="s">
        <v>2643</v>
      </c>
      <c r="AU932" s="84">
        <v>110</v>
      </c>
      <c r="AY932" s="86" t="s">
        <v>2651</v>
      </c>
      <c r="AZ932" s="88">
        <f t="shared" si="31"/>
        <v>0</v>
      </c>
      <c r="BX932" s="88"/>
      <c r="CQ932" s="88"/>
    </row>
    <row r="933" spans="1:95" outlineLevel="1" x14ac:dyDescent="0.15">
      <c r="A933" s="76">
        <v>922</v>
      </c>
      <c r="B933" s="65" t="s">
        <v>1918</v>
      </c>
      <c r="C933" s="65">
        <v>1002318963</v>
      </c>
      <c r="D933" s="81" t="str">
        <f t="shared" si="32"/>
        <v>https://portal.dnb.de/opac.htm?method=simpleSearch&amp;cqlMode=true&amp;query=idn%3D1002318963</v>
      </c>
      <c r="E933" s="65" t="s">
        <v>1917</v>
      </c>
      <c r="F933" s="76"/>
      <c r="G933" s="78"/>
      <c r="H933" s="76"/>
      <c r="I933" s="78"/>
      <c r="J933" s="78"/>
      <c r="K933" s="76"/>
      <c r="L933" s="76"/>
      <c r="M933" s="76"/>
      <c r="N933" s="76"/>
      <c r="O933" s="76"/>
      <c r="P933" s="76"/>
      <c r="Q933" s="76"/>
      <c r="R933" s="76"/>
      <c r="AZ933" s="88">
        <f t="shared" si="31"/>
        <v>0</v>
      </c>
      <c r="BX933" s="88"/>
      <c r="CQ933" s="88"/>
    </row>
    <row r="934" spans="1:95" outlineLevel="1" x14ac:dyDescent="0.15">
      <c r="A934" s="76"/>
      <c r="B934" s="65"/>
      <c r="C934" s="65"/>
      <c r="D934" s="81"/>
      <c r="E934" s="65" t="s">
        <v>2785</v>
      </c>
      <c r="F934" s="76"/>
      <c r="G934" s="78"/>
      <c r="H934" s="76" t="s">
        <v>50</v>
      </c>
      <c r="I934" s="78"/>
      <c r="J934" s="78"/>
      <c r="K934" s="76"/>
      <c r="L934" s="76"/>
      <c r="M934" s="76"/>
      <c r="N934" s="76"/>
      <c r="O934" s="76"/>
      <c r="P934" s="76"/>
      <c r="Q934" s="76"/>
      <c r="R934" s="76"/>
      <c r="X934" s="84" t="s">
        <v>2696</v>
      </c>
      <c r="AA934" s="84" t="s">
        <v>2647</v>
      </c>
      <c r="AG934" s="84" t="s">
        <v>2643</v>
      </c>
      <c r="AU934" s="84">
        <v>110</v>
      </c>
      <c r="AY934" s="86" t="s">
        <v>2651</v>
      </c>
      <c r="AZ934" s="88">
        <f t="shared" si="31"/>
        <v>0</v>
      </c>
      <c r="BX934" s="88"/>
      <c r="CQ934" s="88"/>
    </row>
    <row r="935" spans="1:95" outlineLevel="1" x14ac:dyDescent="0.15">
      <c r="A935" s="76">
        <v>923</v>
      </c>
      <c r="B935" s="65" t="s">
        <v>1919</v>
      </c>
      <c r="C935" s="65">
        <v>998425532</v>
      </c>
      <c r="D935" s="81" t="str">
        <f t="shared" si="32"/>
        <v>https://portal.dnb.de/opac.htm?method=simpleSearch&amp;cqlMode=true&amp;query=idn%3D998425532</v>
      </c>
      <c r="E935" s="65" t="s">
        <v>1920</v>
      </c>
      <c r="F935" s="76"/>
      <c r="G935" s="78"/>
      <c r="H935" s="76" t="s">
        <v>51</v>
      </c>
      <c r="I935" s="78"/>
      <c r="J935" s="78"/>
      <c r="K935" s="76"/>
      <c r="L935" s="76"/>
      <c r="M935" s="76"/>
      <c r="N935" s="76"/>
      <c r="O935" s="76"/>
      <c r="P935" s="76"/>
      <c r="Q935" s="76"/>
      <c r="R935" s="76"/>
      <c r="X935" s="84" t="s">
        <v>2697</v>
      </c>
      <c r="Z935" s="84" t="s">
        <v>2541</v>
      </c>
      <c r="AA935" s="84" t="s">
        <v>2642</v>
      </c>
      <c r="AG935" s="84" t="s">
        <v>2643</v>
      </c>
      <c r="AU935" s="84">
        <v>110</v>
      </c>
      <c r="AY935" s="86" t="s">
        <v>2651</v>
      </c>
      <c r="AZ935" s="88">
        <f t="shared" si="31"/>
        <v>0</v>
      </c>
      <c r="BB935" s="84" t="s">
        <v>2777</v>
      </c>
      <c r="BX935" s="88"/>
      <c r="CQ935" s="88"/>
    </row>
    <row r="936" spans="1:95" outlineLevel="1" x14ac:dyDescent="0.15">
      <c r="A936" s="76">
        <v>924</v>
      </c>
      <c r="B936" s="65" t="s">
        <v>1921</v>
      </c>
      <c r="C936" s="65">
        <v>1066872740</v>
      </c>
      <c r="D936" s="81" t="str">
        <f t="shared" si="32"/>
        <v>https://portal.dnb.de/opac.htm?method=simpleSearch&amp;cqlMode=true&amp;query=idn%3D1066872740</v>
      </c>
      <c r="E936" s="65" t="s">
        <v>1922</v>
      </c>
      <c r="F936" s="76"/>
      <c r="G936" s="78"/>
      <c r="H936" s="76" t="s">
        <v>50</v>
      </c>
      <c r="I936" s="78"/>
      <c r="J936" s="78"/>
      <c r="K936" s="76"/>
      <c r="L936" s="76"/>
      <c r="M936" s="76"/>
      <c r="N936" s="76"/>
      <c r="O936" s="76"/>
      <c r="P936" s="76"/>
      <c r="Q936" s="76"/>
      <c r="R936" s="76"/>
      <c r="X936" s="84" t="s">
        <v>2643</v>
      </c>
      <c r="AA936" s="84" t="s">
        <v>2647</v>
      </c>
      <c r="AG936" s="84" t="s">
        <v>2643</v>
      </c>
      <c r="AU936" s="84">
        <v>110</v>
      </c>
      <c r="AY936" s="86" t="s">
        <v>2651</v>
      </c>
      <c r="AZ936" s="88">
        <f t="shared" si="31"/>
        <v>0</v>
      </c>
      <c r="BX936" s="88"/>
      <c r="CQ936" s="88"/>
    </row>
    <row r="937" spans="1:95" outlineLevel="1" x14ac:dyDescent="0.15">
      <c r="A937" s="76">
        <v>925</v>
      </c>
      <c r="B937" s="65" t="s">
        <v>1923</v>
      </c>
      <c r="C937" s="65">
        <v>1000635376</v>
      </c>
      <c r="D937" s="81" t="str">
        <f t="shared" si="32"/>
        <v>https://portal.dnb.de/opac.htm?method=simpleSearch&amp;cqlMode=true&amp;query=idn%3D1000635376</v>
      </c>
      <c r="E937" s="65" t="s">
        <v>1924</v>
      </c>
      <c r="F937" s="76"/>
      <c r="G937" s="78"/>
      <c r="H937" s="76" t="s">
        <v>50</v>
      </c>
      <c r="I937" s="78"/>
      <c r="J937" s="78"/>
      <c r="K937" s="76"/>
      <c r="L937" s="76"/>
      <c r="M937" s="76"/>
      <c r="N937" s="76"/>
      <c r="O937" s="76"/>
      <c r="P937" s="76"/>
      <c r="Q937" s="76"/>
      <c r="R937" s="76"/>
      <c r="X937" s="84" t="s">
        <v>2696</v>
      </c>
      <c r="AA937" s="84" t="s">
        <v>2647</v>
      </c>
      <c r="AG937" s="84" t="s">
        <v>2643</v>
      </c>
      <c r="AU937" s="84">
        <v>110</v>
      </c>
      <c r="AY937" s="86" t="s">
        <v>2651</v>
      </c>
      <c r="AZ937" s="88">
        <f t="shared" si="31"/>
        <v>0</v>
      </c>
      <c r="BX937" s="88"/>
      <c r="CQ937" s="88"/>
    </row>
    <row r="938" spans="1:95" outlineLevel="1" x14ac:dyDescent="0.15">
      <c r="A938" s="76">
        <v>926</v>
      </c>
      <c r="B938" s="65" t="s">
        <v>1925</v>
      </c>
      <c r="C938" s="65">
        <v>994506554</v>
      </c>
      <c r="D938" s="81" t="str">
        <f t="shared" si="32"/>
        <v>https://portal.dnb.de/opac.htm?method=simpleSearch&amp;cqlMode=true&amp;query=idn%3D994506554</v>
      </c>
      <c r="E938" s="65" t="s">
        <v>2786</v>
      </c>
      <c r="F938" s="76"/>
      <c r="G938" s="78"/>
      <c r="H938" s="76"/>
      <c r="I938" s="78"/>
      <c r="J938" s="78"/>
      <c r="K938" s="76"/>
      <c r="L938" s="76"/>
      <c r="M938" s="76"/>
      <c r="N938" s="76"/>
      <c r="O938" s="76"/>
      <c r="P938" s="76"/>
      <c r="Q938" s="76"/>
      <c r="R938" s="76"/>
      <c r="AZ938" s="88">
        <f t="shared" si="31"/>
        <v>0</v>
      </c>
      <c r="BX938" s="88"/>
      <c r="CQ938" s="88"/>
    </row>
    <row r="939" spans="1:95" outlineLevel="1" x14ac:dyDescent="0.15">
      <c r="A939" s="76">
        <v>927</v>
      </c>
      <c r="B939" s="65" t="s">
        <v>1927</v>
      </c>
      <c r="C939" s="65">
        <v>994509499</v>
      </c>
      <c r="D939" s="81" t="str">
        <f t="shared" si="32"/>
        <v>https://portal.dnb.de/opac.htm?method=simpleSearch&amp;cqlMode=true&amp;query=idn%3D994509499</v>
      </c>
      <c r="E939" s="65" t="s">
        <v>1926</v>
      </c>
      <c r="F939" s="76"/>
      <c r="G939" s="78"/>
      <c r="H939" s="76" t="s">
        <v>50</v>
      </c>
      <c r="I939" s="78"/>
      <c r="J939" s="78"/>
      <c r="K939" s="76"/>
      <c r="L939" s="76"/>
      <c r="M939" s="76"/>
      <c r="N939" s="76"/>
      <c r="O939" s="76"/>
      <c r="P939" s="76"/>
      <c r="Q939" s="76"/>
      <c r="R939" s="76"/>
      <c r="X939" s="84" t="s">
        <v>2697</v>
      </c>
      <c r="AA939" s="84" t="s">
        <v>2642</v>
      </c>
      <c r="AG939" s="84" t="s">
        <v>2643</v>
      </c>
      <c r="AU939" s="84" t="s">
        <v>2776</v>
      </c>
      <c r="AY939" s="86" t="s">
        <v>2651</v>
      </c>
      <c r="AZ939" s="88">
        <f t="shared" si="31"/>
        <v>0</v>
      </c>
      <c r="BF939" s="84" t="s">
        <v>2659</v>
      </c>
      <c r="BG939" s="84" t="s">
        <v>2541</v>
      </c>
      <c r="BJ939" s="79" t="s">
        <v>2783</v>
      </c>
      <c r="BX939" s="88"/>
      <c r="CQ939" s="88"/>
    </row>
    <row r="940" spans="1:95" outlineLevel="1" x14ac:dyDescent="0.15">
      <c r="A940" s="76">
        <v>928</v>
      </c>
      <c r="B940" s="65" t="s">
        <v>1928</v>
      </c>
      <c r="C940" s="65">
        <v>1066956359</v>
      </c>
      <c r="D940" s="81" t="str">
        <f t="shared" si="32"/>
        <v>https://portal.dnb.de/opac.htm?method=simpleSearch&amp;cqlMode=true&amp;query=idn%3D1066956359</v>
      </c>
      <c r="E940" s="65" t="s">
        <v>1929</v>
      </c>
      <c r="F940" s="76"/>
      <c r="G940" s="78"/>
      <c r="H940" s="76" t="s">
        <v>50</v>
      </c>
      <c r="I940" s="78"/>
      <c r="J940" s="78"/>
      <c r="K940" s="76"/>
      <c r="L940" s="76"/>
      <c r="M940" s="76"/>
      <c r="N940" s="76"/>
      <c r="O940" s="76"/>
      <c r="P940" s="76"/>
      <c r="Q940" s="76"/>
      <c r="R940" s="76"/>
      <c r="X940" s="84" t="s">
        <v>2646</v>
      </c>
      <c r="Y940" s="84" t="s">
        <v>2541</v>
      </c>
      <c r="AA940" s="84" t="s">
        <v>2647</v>
      </c>
      <c r="AG940" s="84" t="s">
        <v>2643</v>
      </c>
      <c r="AU940" s="84">
        <v>110</v>
      </c>
      <c r="AY940" s="86" t="s">
        <v>2651</v>
      </c>
      <c r="AZ940" s="88">
        <f t="shared" si="31"/>
        <v>0</v>
      </c>
      <c r="BX940" s="88"/>
      <c r="CQ940" s="88"/>
    </row>
    <row r="941" spans="1:95" outlineLevel="1" x14ac:dyDescent="0.15">
      <c r="A941" s="76">
        <v>929</v>
      </c>
      <c r="B941" s="65" t="s">
        <v>1930</v>
      </c>
      <c r="C941" s="65">
        <v>1066839409</v>
      </c>
      <c r="D941" s="81" t="str">
        <f t="shared" si="32"/>
        <v>https://portal.dnb.de/opac.htm?method=simpleSearch&amp;cqlMode=true&amp;query=idn%3D1066839409</v>
      </c>
      <c r="E941" s="65" t="s">
        <v>1931</v>
      </c>
      <c r="F941" s="76"/>
      <c r="G941" s="78"/>
      <c r="H941" s="76" t="s">
        <v>50</v>
      </c>
      <c r="I941" s="78"/>
      <c r="J941" s="78"/>
      <c r="K941" s="76"/>
      <c r="L941" s="76"/>
      <c r="M941" s="76"/>
      <c r="N941" s="76"/>
      <c r="O941" s="76"/>
      <c r="P941" s="76"/>
      <c r="Q941" s="76"/>
      <c r="R941" s="76"/>
      <c r="X941" s="84" t="s">
        <v>2652</v>
      </c>
      <c r="Y941" s="84" t="s">
        <v>2541</v>
      </c>
      <c r="Z941" s="84" t="s">
        <v>2541</v>
      </c>
      <c r="AA941" s="84" t="s">
        <v>2647</v>
      </c>
      <c r="AG941" s="84" t="s">
        <v>2643</v>
      </c>
      <c r="AH941" s="84" t="s">
        <v>2541</v>
      </c>
      <c r="AU941" s="84">
        <v>110</v>
      </c>
      <c r="AY941" s="86" t="s">
        <v>2651</v>
      </c>
      <c r="AZ941" s="88">
        <f t="shared" si="31"/>
        <v>0</v>
      </c>
      <c r="BD941" s="84" t="s">
        <v>2541</v>
      </c>
      <c r="BI941" s="63" t="s">
        <v>2780</v>
      </c>
      <c r="BX941" s="88"/>
      <c r="CQ941" s="88"/>
    </row>
    <row r="942" spans="1:95" outlineLevel="1" x14ac:dyDescent="0.15">
      <c r="A942" s="76">
        <v>930</v>
      </c>
      <c r="B942" s="65" t="s">
        <v>1932</v>
      </c>
      <c r="C942" s="65">
        <v>1066956561</v>
      </c>
      <c r="D942" s="81" t="str">
        <f t="shared" si="32"/>
        <v>https://portal.dnb.de/opac.htm?method=simpleSearch&amp;cqlMode=true&amp;query=idn%3D1066956561</v>
      </c>
      <c r="E942" s="65" t="s">
        <v>1933</v>
      </c>
      <c r="F942" s="76"/>
      <c r="G942" s="78"/>
      <c r="H942" s="76" t="s">
        <v>50</v>
      </c>
      <c r="I942" s="78"/>
      <c r="J942" s="78"/>
      <c r="K942" s="76"/>
      <c r="L942" s="76"/>
      <c r="M942" s="76"/>
      <c r="N942" s="76"/>
      <c r="O942" s="76"/>
      <c r="P942" s="76"/>
      <c r="Q942" s="76"/>
      <c r="R942" s="76"/>
      <c r="X942" s="84" t="s">
        <v>2645</v>
      </c>
      <c r="Y942" s="84" t="s">
        <v>2541</v>
      </c>
      <c r="AA942" s="84" t="s">
        <v>2647</v>
      </c>
      <c r="AG942" s="84" t="s">
        <v>2643</v>
      </c>
      <c r="AH942" s="84" t="s">
        <v>2541</v>
      </c>
      <c r="AU942" s="84">
        <v>110</v>
      </c>
      <c r="AY942" s="86" t="s">
        <v>2651</v>
      </c>
      <c r="AZ942" s="88">
        <f t="shared" si="31"/>
        <v>0</v>
      </c>
      <c r="BX942" s="88"/>
      <c r="CQ942" s="88"/>
    </row>
    <row r="943" spans="1:95" outlineLevel="1" x14ac:dyDescent="0.15">
      <c r="A943" s="76">
        <v>931</v>
      </c>
      <c r="B943" s="65" t="s">
        <v>1934</v>
      </c>
      <c r="C943" s="65">
        <v>1066958076</v>
      </c>
      <c r="D943" s="81" t="str">
        <f t="shared" si="32"/>
        <v>https://portal.dnb.de/opac.htm?method=simpleSearch&amp;cqlMode=true&amp;query=idn%3D1066958076</v>
      </c>
      <c r="E943" s="65" t="s">
        <v>1935</v>
      </c>
      <c r="F943" s="76"/>
      <c r="G943" s="78"/>
      <c r="H943" s="76" t="s">
        <v>50</v>
      </c>
      <c r="I943" s="78"/>
      <c r="J943" s="78"/>
      <c r="K943" s="76"/>
      <c r="L943" s="76"/>
      <c r="M943" s="76"/>
      <c r="N943" s="76"/>
      <c r="O943" s="76"/>
      <c r="P943" s="76"/>
      <c r="Q943" s="76"/>
      <c r="R943" s="76"/>
      <c r="X943" s="84" t="s">
        <v>2643</v>
      </c>
      <c r="AA943" s="84" t="s">
        <v>2647</v>
      </c>
      <c r="AG943" s="84" t="s">
        <v>2643</v>
      </c>
      <c r="AU943" s="84">
        <v>110</v>
      </c>
      <c r="AY943" s="86" t="s">
        <v>2651</v>
      </c>
      <c r="AZ943" s="88">
        <f t="shared" si="31"/>
        <v>0</v>
      </c>
      <c r="BX943" s="88"/>
      <c r="CQ943" s="88"/>
    </row>
    <row r="944" spans="1:95" outlineLevel="1" x14ac:dyDescent="0.15">
      <c r="A944" s="76">
        <v>932</v>
      </c>
      <c r="B944" s="65" t="s">
        <v>1936</v>
      </c>
      <c r="C944" s="65">
        <v>998855499</v>
      </c>
      <c r="D944" s="81" t="str">
        <f t="shared" si="32"/>
        <v>https://portal.dnb.de/opac.htm?method=simpleSearch&amp;cqlMode=true&amp;query=idn%3D998855499</v>
      </c>
      <c r="E944" s="65" t="s">
        <v>1937</v>
      </c>
      <c r="F944" s="76"/>
      <c r="G944" s="78"/>
      <c r="H944" s="76" t="s">
        <v>50</v>
      </c>
      <c r="I944" s="78"/>
      <c r="J944" s="78"/>
      <c r="K944" s="76"/>
      <c r="L944" s="76"/>
      <c r="M944" s="76"/>
      <c r="N944" s="76"/>
      <c r="O944" s="76"/>
      <c r="P944" s="76"/>
      <c r="Q944" s="76"/>
      <c r="R944" s="76"/>
      <c r="X944" s="84" t="s">
        <v>2652</v>
      </c>
      <c r="Z944" s="84" t="s">
        <v>2541</v>
      </c>
      <c r="AA944" s="84" t="s">
        <v>2642</v>
      </c>
      <c r="AG944" s="84" t="s">
        <v>2643</v>
      </c>
      <c r="AU944" s="84">
        <v>110</v>
      </c>
      <c r="AY944" s="86" t="s">
        <v>2651</v>
      </c>
      <c r="AZ944" s="88">
        <f t="shared" si="31"/>
        <v>0</v>
      </c>
      <c r="BX944" s="88"/>
      <c r="CQ944" s="88"/>
    </row>
    <row r="945" spans="1:96" outlineLevel="1" x14ac:dyDescent="0.15">
      <c r="A945" s="76">
        <v>933</v>
      </c>
      <c r="B945" s="65" t="s">
        <v>1938</v>
      </c>
      <c r="C945" s="65">
        <v>997310707</v>
      </c>
      <c r="D945" s="81" t="str">
        <f t="shared" si="32"/>
        <v>https://portal.dnb.de/opac.htm?method=simpleSearch&amp;cqlMode=true&amp;query=idn%3D997310707</v>
      </c>
      <c r="E945" s="65" t="s">
        <v>1939</v>
      </c>
      <c r="F945" s="76"/>
      <c r="G945" s="78"/>
      <c r="H945" s="76" t="s">
        <v>50</v>
      </c>
      <c r="I945" s="78"/>
      <c r="J945" s="78"/>
      <c r="K945" s="76"/>
      <c r="L945" s="76"/>
      <c r="M945" s="76"/>
      <c r="N945" s="76"/>
      <c r="O945" s="76"/>
      <c r="P945" s="76"/>
      <c r="Q945" s="76"/>
      <c r="R945" s="76"/>
      <c r="X945" s="84" t="s">
        <v>2696</v>
      </c>
      <c r="AA945" s="84" t="s">
        <v>2647</v>
      </c>
      <c r="AG945" s="84" t="s">
        <v>2643</v>
      </c>
      <c r="AU945" s="84">
        <v>110</v>
      </c>
      <c r="AY945" s="86" t="s">
        <v>2651</v>
      </c>
      <c r="AZ945" s="88">
        <f t="shared" si="31"/>
        <v>0</v>
      </c>
      <c r="BX945" s="88"/>
      <c r="CQ945" s="88"/>
    </row>
    <row r="946" spans="1:96" outlineLevel="1" x14ac:dyDescent="0.15">
      <c r="A946" s="76">
        <v>934</v>
      </c>
      <c r="B946" s="65" t="s">
        <v>1940</v>
      </c>
      <c r="C946" s="65">
        <v>1002498287</v>
      </c>
      <c r="D946" s="81" t="str">
        <f t="shared" si="32"/>
        <v>https://portal.dnb.de/opac.htm?method=simpleSearch&amp;cqlMode=true&amp;query=idn%3D1002498287</v>
      </c>
      <c r="E946" s="65" t="s">
        <v>1941</v>
      </c>
      <c r="F946" s="76"/>
      <c r="G946" s="78"/>
      <c r="H946" s="76" t="s">
        <v>50</v>
      </c>
      <c r="I946" s="78"/>
      <c r="J946" s="78"/>
      <c r="K946" s="76"/>
      <c r="L946" s="76"/>
      <c r="M946" s="76"/>
      <c r="N946" s="76"/>
      <c r="O946" s="76"/>
      <c r="P946" s="76"/>
      <c r="Q946" s="76"/>
      <c r="R946" s="76"/>
      <c r="X946" s="84" t="s">
        <v>2696</v>
      </c>
      <c r="AA946" s="84" t="s">
        <v>2647</v>
      </c>
      <c r="AG946" s="84" t="s">
        <v>2643</v>
      </c>
      <c r="AU946" s="84">
        <v>110</v>
      </c>
      <c r="AY946" s="86" t="s">
        <v>2651</v>
      </c>
      <c r="AZ946" s="88">
        <f t="shared" si="31"/>
        <v>0</v>
      </c>
      <c r="BX946" s="88"/>
      <c r="CQ946" s="88"/>
    </row>
    <row r="947" spans="1:96" outlineLevel="1" x14ac:dyDescent="0.15">
      <c r="A947" s="76">
        <v>935</v>
      </c>
      <c r="B947" s="65" t="s">
        <v>1942</v>
      </c>
      <c r="C947" s="65">
        <v>1208242806</v>
      </c>
      <c r="D947" s="81" t="str">
        <f t="shared" si="32"/>
        <v>https://portal.dnb.de/opac.htm?method=simpleSearch&amp;cqlMode=true&amp;query=idn%3D1208242806</v>
      </c>
      <c r="E947" s="65" t="s">
        <v>1943</v>
      </c>
      <c r="F947" s="76"/>
      <c r="G947" s="78"/>
      <c r="H947" s="76"/>
      <c r="I947" s="78"/>
      <c r="J947" s="78"/>
      <c r="K947" s="76"/>
      <c r="L947" s="76"/>
      <c r="M947" s="76"/>
      <c r="N947" s="76"/>
      <c r="O947" s="76"/>
      <c r="P947" s="76"/>
      <c r="Q947" s="76"/>
      <c r="R947" s="76"/>
      <c r="AZ947" s="88">
        <f t="shared" si="31"/>
        <v>0</v>
      </c>
      <c r="BX947" s="88"/>
      <c r="CQ947" s="88"/>
    </row>
    <row r="948" spans="1:96" ht="22.5" outlineLevel="1" x14ac:dyDescent="0.15">
      <c r="A948" s="76">
        <v>936</v>
      </c>
      <c r="B948" s="65" t="s">
        <v>1944</v>
      </c>
      <c r="C948" s="65">
        <v>994508492</v>
      </c>
      <c r="D948" s="81" t="str">
        <f t="shared" si="32"/>
        <v>https://portal.dnb.de/opac.htm?method=simpleSearch&amp;cqlMode=true&amp;query=idn%3D994508492</v>
      </c>
      <c r="E948" s="65" t="s">
        <v>1945</v>
      </c>
      <c r="F948" s="76"/>
      <c r="G948" s="78"/>
      <c r="H948" s="76" t="s">
        <v>50</v>
      </c>
      <c r="I948" s="78"/>
      <c r="J948" s="78"/>
      <c r="K948" s="76"/>
      <c r="L948" s="76"/>
      <c r="M948" s="76"/>
      <c r="N948" s="76"/>
      <c r="O948" s="76"/>
      <c r="P948" s="76"/>
      <c r="Q948" s="76"/>
      <c r="R948" s="76"/>
      <c r="X948" s="84" t="s">
        <v>2641</v>
      </c>
      <c r="AA948" s="84" t="s">
        <v>2642</v>
      </c>
      <c r="AG948" s="84" t="s">
        <v>2643</v>
      </c>
      <c r="AU948" s="84">
        <v>60</v>
      </c>
      <c r="AY948" s="86" t="s">
        <v>2651</v>
      </c>
      <c r="AZ948" s="88">
        <f t="shared" si="31"/>
        <v>0</v>
      </c>
      <c r="BB948" s="86" t="s">
        <v>2787</v>
      </c>
      <c r="BX948" s="88"/>
      <c r="CQ948" s="88"/>
    </row>
    <row r="949" spans="1:96" outlineLevel="1" x14ac:dyDescent="0.15">
      <c r="A949" s="76">
        <v>937</v>
      </c>
      <c r="B949" s="65" t="s">
        <v>1946</v>
      </c>
      <c r="C949" s="65">
        <v>1001684656</v>
      </c>
      <c r="D949" s="81" t="str">
        <f t="shared" si="32"/>
        <v>https://portal.dnb.de/opac.htm?method=simpleSearch&amp;cqlMode=true&amp;query=idn%3D1001684656</v>
      </c>
      <c r="E949" s="65" t="s">
        <v>1947</v>
      </c>
      <c r="F949" s="76"/>
      <c r="G949" s="78"/>
      <c r="H949" s="76" t="s">
        <v>50</v>
      </c>
      <c r="I949" s="78"/>
      <c r="J949" s="78"/>
      <c r="K949" s="76"/>
      <c r="L949" s="76"/>
      <c r="M949" s="76"/>
      <c r="N949" s="76"/>
      <c r="O949" s="76"/>
      <c r="P949" s="76"/>
      <c r="Q949" s="76"/>
      <c r="R949" s="76"/>
      <c r="X949" s="84" t="s">
        <v>2697</v>
      </c>
      <c r="AA949" s="84" t="s">
        <v>2642</v>
      </c>
      <c r="AG949" s="84" t="s">
        <v>2643</v>
      </c>
      <c r="AU949" s="84">
        <v>60</v>
      </c>
      <c r="AY949" s="86" t="s">
        <v>2651</v>
      </c>
      <c r="AZ949" s="88">
        <f t="shared" si="31"/>
        <v>0</v>
      </c>
      <c r="BB949" s="84" t="s">
        <v>2777</v>
      </c>
      <c r="BX949" s="88"/>
      <c r="CQ949" s="88"/>
    </row>
    <row r="950" spans="1:96" outlineLevel="1" x14ac:dyDescent="0.15">
      <c r="A950" s="76">
        <v>938</v>
      </c>
      <c r="B950" s="65" t="s">
        <v>1948</v>
      </c>
      <c r="C950" s="65">
        <v>1209577798</v>
      </c>
      <c r="D950" s="81" t="str">
        <f t="shared" si="32"/>
        <v>https://portal.dnb.de/opac.htm?method=simpleSearch&amp;cqlMode=true&amp;query=idn%3D1209577798</v>
      </c>
      <c r="E950" s="65" t="s">
        <v>1949</v>
      </c>
      <c r="F950" s="76"/>
      <c r="G950" s="78"/>
      <c r="H950" s="76"/>
      <c r="I950" s="78"/>
      <c r="J950" s="78"/>
      <c r="K950" s="76"/>
      <c r="L950" s="76"/>
      <c r="M950" s="76"/>
      <c r="N950" s="76"/>
      <c r="O950" s="76"/>
      <c r="P950" s="76"/>
      <c r="Q950" s="76"/>
      <c r="R950" s="76"/>
      <c r="AZ950" s="88">
        <f t="shared" si="31"/>
        <v>0</v>
      </c>
      <c r="BX950" s="88"/>
      <c r="CQ950" s="88"/>
    </row>
    <row r="951" spans="1:96" outlineLevel="1" x14ac:dyDescent="0.15">
      <c r="A951" s="76">
        <v>939</v>
      </c>
      <c r="B951" s="65" t="s">
        <v>1950</v>
      </c>
      <c r="C951" s="65">
        <v>1066942102</v>
      </c>
      <c r="D951" s="81" t="str">
        <f t="shared" si="32"/>
        <v>https://portal.dnb.de/opac.htm?method=simpleSearch&amp;cqlMode=true&amp;query=idn%3D1066942102</v>
      </c>
      <c r="E951" s="65" t="s">
        <v>1951</v>
      </c>
      <c r="F951" s="76"/>
      <c r="G951" s="78"/>
      <c r="H951" s="76" t="s">
        <v>50</v>
      </c>
      <c r="I951" s="78"/>
      <c r="J951" s="78"/>
      <c r="K951" s="76"/>
      <c r="L951" s="76"/>
      <c r="M951" s="76"/>
      <c r="N951" s="76"/>
      <c r="O951" s="76"/>
      <c r="P951" s="76"/>
      <c r="Q951" s="76"/>
      <c r="R951" s="76"/>
      <c r="W951" s="84" t="s">
        <v>2541</v>
      </c>
      <c r="X951" s="84" t="s">
        <v>2697</v>
      </c>
      <c r="AA951" s="84" t="s">
        <v>2653</v>
      </c>
      <c r="AG951" s="84" t="s">
        <v>2643</v>
      </c>
      <c r="AS951" s="84">
        <v>2</v>
      </c>
      <c r="AT951" s="84" t="s">
        <v>2541</v>
      </c>
      <c r="AU951" s="84">
        <v>60</v>
      </c>
      <c r="AY951" s="86" t="s">
        <v>2651</v>
      </c>
      <c r="AZ951" s="88">
        <f t="shared" si="31"/>
        <v>0</v>
      </c>
      <c r="BD951" s="84" t="s">
        <v>2541</v>
      </c>
      <c r="BX951" s="88"/>
      <c r="CQ951" s="88"/>
    </row>
    <row r="952" spans="1:96" ht="22.5" outlineLevel="1" x14ac:dyDescent="0.15">
      <c r="A952" s="76">
        <v>940</v>
      </c>
      <c r="B952" s="65" t="s">
        <v>1952</v>
      </c>
      <c r="C952" s="65">
        <v>1002571936</v>
      </c>
      <c r="D952" s="81" t="str">
        <f t="shared" si="32"/>
        <v>https://portal.dnb.de/opac.htm?method=simpleSearch&amp;cqlMode=true&amp;query=idn%3D1002571936</v>
      </c>
      <c r="E952" s="65" t="s">
        <v>1953</v>
      </c>
      <c r="F952" s="76"/>
      <c r="G952" s="78"/>
      <c r="H952" s="76" t="s">
        <v>51</v>
      </c>
      <c r="I952" s="78"/>
      <c r="J952" s="78"/>
      <c r="K952" s="76"/>
      <c r="L952" s="76"/>
      <c r="M952" s="76"/>
      <c r="N952" s="76"/>
      <c r="O952" s="76"/>
      <c r="P952" s="76"/>
      <c r="Q952" s="76"/>
      <c r="R952" s="76"/>
      <c r="X952" s="84" t="s">
        <v>2700</v>
      </c>
      <c r="AA952" s="84" t="s">
        <v>2675</v>
      </c>
      <c r="AG952" s="84" t="s">
        <v>2643</v>
      </c>
      <c r="AU952" s="84" t="s">
        <v>2650</v>
      </c>
      <c r="AY952" s="86" t="s">
        <v>2651</v>
      </c>
      <c r="AZ952" s="88">
        <f t="shared" si="31"/>
        <v>0</v>
      </c>
      <c r="BB952" s="84" t="s">
        <v>2777</v>
      </c>
      <c r="BH952" s="79" t="s">
        <v>2945</v>
      </c>
      <c r="BI952" s="63" t="s">
        <v>2820</v>
      </c>
      <c r="BX952" s="88"/>
      <c r="CQ952" s="88"/>
    </row>
    <row r="953" spans="1:96" outlineLevel="1" x14ac:dyDescent="0.15">
      <c r="A953" s="76">
        <v>941</v>
      </c>
      <c r="B953" s="65" t="s">
        <v>1954</v>
      </c>
      <c r="C953" s="65">
        <v>1066876614</v>
      </c>
      <c r="D953" s="81" t="str">
        <f t="shared" si="32"/>
        <v>https://portal.dnb.de/opac.htm?method=simpleSearch&amp;cqlMode=true&amp;query=idn%3D1066876614</v>
      </c>
      <c r="E953" s="65" t="s">
        <v>1955</v>
      </c>
      <c r="F953" s="76"/>
      <c r="G953" s="78"/>
      <c r="H953" s="76" t="s">
        <v>50</v>
      </c>
      <c r="I953" s="78"/>
      <c r="J953" s="78"/>
      <c r="K953" s="76"/>
      <c r="L953" s="76"/>
      <c r="M953" s="76"/>
      <c r="N953" s="76"/>
      <c r="O953" s="76"/>
      <c r="P953" s="76"/>
      <c r="Q953" s="76"/>
      <c r="R953" s="76"/>
      <c r="X953" s="84" t="s">
        <v>2646</v>
      </c>
      <c r="Z953" s="84" t="s">
        <v>2541</v>
      </c>
      <c r="AA953" s="84" t="s">
        <v>2647</v>
      </c>
      <c r="AG953" s="84" t="s">
        <v>2643</v>
      </c>
      <c r="AU953" s="84">
        <v>80</v>
      </c>
      <c r="AY953" s="86" t="s">
        <v>2651</v>
      </c>
      <c r="AZ953" s="88">
        <f t="shared" si="31"/>
        <v>0</v>
      </c>
      <c r="BB953" s="84" t="s">
        <v>2777</v>
      </c>
      <c r="BX953" s="88"/>
      <c r="CQ953" s="88"/>
    </row>
    <row r="954" spans="1:96" ht="22.5" outlineLevel="1" x14ac:dyDescent="0.15">
      <c r="A954" s="76">
        <v>942</v>
      </c>
      <c r="B954" s="65" t="s">
        <v>1956</v>
      </c>
      <c r="C954" s="65">
        <v>1066934762</v>
      </c>
      <c r="D954" s="81" t="str">
        <f t="shared" si="32"/>
        <v>https://portal.dnb.de/opac.htm?method=simpleSearch&amp;cqlMode=true&amp;query=idn%3D1066934762</v>
      </c>
      <c r="E954" s="65" t="s">
        <v>1957</v>
      </c>
      <c r="F954" s="76"/>
      <c r="G954" s="78"/>
      <c r="H954" s="76" t="s">
        <v>51</v>
      </c>
      <c r="I954" s="78"/>
      <c r="J954" s="78"/>
      <c r="K954" s="76"/>
      <c r="L954" s="76"/>
      <c r="M954" s="76"/>
      <c r="N954" s="76"/>
      <c r="O954" s="76"/>
      <c r="P954" s="76"/>
      <c r="Q954" s="76"/>
      <c r="R954" s="76"/>
      <c r="X954" s="84" t="s">
        <v>2645</v>
      </c>
      <c r="Y954" s="84" t="s">
        <v>2541</v>
      </c>
      <c r="AA954" s="84" t="s">
        <v>2647</v>
      </c>
      <c r="AG954" s="84" t="s">
        <v>2643</v>
      </c>
      <c r="AU954" s="84" t="s">
        <v>2776</v>
      </c>
      <c r="AY954" s="86" t="s">
        <v>2644</v>
      </c>
      <c r="AZ954" s="88">
        <f t="shared" si="31"/>
        <v>2</v>
      </c>
      <c r="BD954" s="84" t="s">
        <v>2541</v>
      </c>
      <c r="BM954" s="84" t="s">
        <v>2541</v>
      </c>
      <c r="BO954" s="84" t="s">
        <v>2677</v>
      </c>
      <c r="BX954" s="88">
        <v>2</v>
      </c>
      <c r="BY954" s="79" t="s">
        <v>2789</v>
      </c>
      <c r="CQ954" s="88"/>
    </row>
    <row r="955" spans="1:96" outlineLevel="1" x14ac:dyDescent="0.15">
      <c r="A955" s="76">
        <v>943</v>
      </c>
      <c r="B955" s="65" t="s">
        <v>1958</v>
      </c>
      <c r="C955" s="65">
        <v>1066867941</v>
      </c>
      <c r="D955" s="81" t="str">
        <f t="shared" si="32"/>
        <v>https://portal.dnb.de/opac.htm?method=simpleSearch&amp;cqlMode=true&amp;query=idn%3D1066867941</v>
      </c>
      <c r="E955" s="65" t="s">
        <v>1959</v>
      </c>
      <c r="F955" s="76"/>
      <c r="G955" s="78"/>
      <c r="H955" s="76" t="s">
        <v>50</v>
      </c>
      <c r="I955" s="78"/>
      <c r="J955" s="78"/>
      <c r="K955" s="76"/>
      <c r="L955" s="76"/>
      <c r="M955" s="76"/>
      <c r="N955" s="76"/>
      <c r="O955" s="76"/>
      <c r="P955" s="76"/>
      <c r="Q955" s="76"/>
      <c r="R955" s="76"/>
      <c r="X955" s="84" t="s">
        <v>2645</v>
      </c>
      <c r="Y955" s="84" t="s">
        <v>2541</v>
      </c>
      <c r="AA955" s="84" t="s">
        <v>2647</v>
      </c>
      <c r="AG955" s="84" t="s">
        <v>2643</v>
      </c>
      <c r="AH955" s="84" t="s">
        <v>2541</v>
      </c>
      <c r="AU955" s="84">
        <v>110</v>
      </c>
      <c r="AY955" s="86" t="s">
        <v>2651</v>
      </c>
      <c r="AZ955" s="88">
        <f t="shared" si="31"/>
        <v>0</v>
      </c>
      <c r="BD955" s="84" t="s">
        <v>2541</v>
      </c>
      <c r="BX955" s="88"/>
      <c r="CQ955" s="88"/>
    </row>
    <row r="956" spans="1:96" outlineLevel="1" x14ac:dyDescent="0.15">
      <c r="A956" s="76">
        <v>944</v>
      </c>
      <c r="B956" s="65" t="s">
        <v>1960</v>
      </c>
      <c r="C956" s="65">
        <v>1066962189</v>
      </c>
      <c r="D956" s="81" t="str">
        <f t="shared" si="32"/>
        <v>https://portal.dnb.de/opac.htm?method=simpleSearch&amp;cqlMode=true&amp;query=idn%3D1066962189</v>
      </c>
      <c r="E956" s="65" t="s">
        <v>1961</v>
      </c>
      <c r="F956" s="76"/>
      <c r="G956" s="78"/>
      <c r="H956" s="76" t="s">
        <v>50</v>
      </c>
      <c r="I956" s="78"/>
      <c r="J956" s="78"/>
      <c r="K956" s="76"/>
      <c r="L956" s="76"/>
      <c r="M956" s="76"/>
      <c r="N956" s="76"/>
      <c r="O956" s="76"/>
      <c r="P956" s="76"/>
      <c r="Q956" s="76"/>
      <c r="R956" s="76"/>
      <c r="X956" s="84" t="s">
        <v>2645</v>
      </c>
      <c r="Y956" s="84" t="s">
        <v>2541</v>
      </c>
      <c r="AA956" s="84" t="s">
        <v>2647</v>
      </c>
      <c r="AG956" s="84" t="s">
        <v>2643</v>
      </c>
      <c r="AH956" s="84" t="s">
        <v>2541</v>
      </c>
      <c r="AU956" s="84">
        <v>110</v>
      </c>
      <c r="AY956" s="86" t="s">
        <v>2651</v>
      </c>
      <c r="AZ956" s="88">
        <f t="shared" si="31"/>
        <v>0</v>
      </c>
      <c r="BX956" s="88"/>
      <c r="CQ956" s="88"/>
    </row>
    <row r="957" spans="1:96" ht="33.75" outlineLevel="1" x14ac:dyDescent="0.15">
      <c r="A957" s="76">
        <v>945</v>
      </c>
      <c r="B957" s="65" t="s">
        <v>1962</v>
      </c>
      <c r="C957" s="65">
        <v>1132648823</v>
      </c>
      <c r="D957" s="81" t="str">
        <f t="shared" si="32"/>
        <v>https://portal.dnb.de/opac.htm?method=simpleSearch&amp;cqlMode=true&amp;query=idn%3D1132648823</v>
      </c>
      <c r="E957" s="65" t="s">
        <v>1963</v>
      </c>
      <c r="F957" s="76"/>
      <c r="G957" s="78"/>
      <c r="H957" s="76" t="s">
        <v>51</v>
      </c>
      <c r="I957" s="78"/>
      <c r="J957" s="78"/>
      <c r="K957" s="76"/>
      <c r="L957" s="76"/>
      <c r="M957" s="76"/>
      <c r="N957" s="76"/>
      <c r="O957" s="76"/>
      <c r="P957" s="76"/>
      <c r="Q957" s="76"/>
      <c r="R957" s="76"/>
      <c r="X957" s="84" t="s">
        <v>2641</v>
      </c>
      <c r="Y957" s="84" t="s">
        <v>2541</v>
      </c>
      <c r="AA957" s="84" t="s">
        <v>2642</v>
      </c>
      <c r="AG957" s="84" t="s">
        <v>2643</v>
      </c>
      <c r="AS957" s="84">
        <v>4</v>
      </c>
      <c r="AT957" s="84" t="s">
        <v>2541</v>
      </c>
      <c r="AU957" s="84">
        <v>60</v>
      </c>
      <c r="AY957" s="86" t="s">
        <v>2644</v>
      </c>
      <c r="AZ957" s="88">
        <f t="shared" si="31"/>
        <v>3</v>
      </c>
      <c r="BD957" s="84" t="s">
        <v>2541</v>
      </c>
      <c r="BH957" s="79" t="s">
        <v>2791</v>
      </c>
      <c r="BX957" s="88"/>
      <c r="CI957" s="84" t="s">
        <v>2541</v>
      </c>
      <c r="CQ957" s="88">
        <v>3</v>
      </c>
      <c r="CR957" s="79" t="s">
        <v>2792</v>
      </c>
    </row>
    <row r="958" spans="1:96" outlineLevel="1" x14ac:dyDescent="0.15">
      <c r="A958" s="76">
        <v>946</v>
      </c>
      <c r="B958" s="65" t="s">
        <v>1964</v>
      </c>
      <c r="C958" s="65">
        <v>1132648831</v>
      </c>
      <c r="D958" s="81" t="str">
        <f t="shared" si="32"/>
        <v>https://portal.dnb.de/opac.htm?method=simpleSearch&amp;cqlMode=true&amp;query=idn%3D1132648831</v>
      </c>
      <c r="E958" s="65" t="s">
        <v>2790</v>
      </c>
      <c r="F958" s="76"/>
      <c r="G958" s="78"/>
      <c r="H958" s="76"/>
      <c r="I958" s="78"/>
      <c r="J958" s="78"/>
      <c r="K958" s="76"/>
      <c r="L958" s="76"/>
      <c r="M958" s="76"/>
      <c r="N958" s="76"/>
      <c r="O958" s="76"/>
      <c r="P958" s="76"/>
      <c r="Q958" s="76"/>
      <c r="R958" s="76"/>
      <c r="AZ958" s="88">
        <f t="shared" si="31"/>
        <v>0</v>
      </c>
      <c r="BX958" s="88"/>
      <c r="CQ958" s="88"/>
    </row>
    <row r="959" spans="1:96" outlineLevel="1" x14ac:dyDescent="0.15">
      <c r="A959" s="76">
        <v>947</v>
      </c>
      <c r="B959" s="65" t="s">
        <v>1965</v>
      </c>
      <c r="C959" s="65" t="s">
        <v>1966</v>
      </c>
      <c r="D959" s="81" t="str">
        <f t="shared" si="32"/>
        <v>https://portal.dnb.de/opac.htm?method=simpleSearch&amp;cqlMode=true&amp;query=idn%3D113264884X</v>
      </c>
      <c r="E959" s="65" t="s">
        <v>2790</v>
      </c>
      <c r="F959" s="76"/>
      <c r="G959" s="78"/>
      <c r="H959" s="76"/>
      <c r="I959" s="78"/>
      <c r="J959" s="78"/>
      <c r="K959" s="76"/>
      <c r="L959" s="76"/>
      <c r="M959" s="76"/>
      <c r="N959" s="76"/>
      <c r="O959" s="76"/>
      <c r="P959" s="76"/>
      <c r="Q959" s="76"/>
      <c r="R959" s="76"/>
      <c r="AZ959" s="88">
        <f t="shared" si="31"/>
        <v>0</v>
      </c>
      <c r="BX959" s="88"/>
      <c r="CQ959" s="88"/>
    </row>
    <row r="960" spans="1:96" outlineLevel="1" x14ac:dyDescent="0.15">
      <c r="A960" s="76">
        <v>948</v>
      </c>
      <c r="B960" s="65" t="s">
        <v>1967</v>
      </c>
      <c r="C960" s="65">
        <v>1066934541</v>
      </c>
      <c r="D960" s="81" t="str">
        <f t="shared" si="32"/>
        <v>https://portal.dnb.de/opac.htm?method=simpleSearch&amp;cqlMode=true&amp;query=idn%3D1066934541</v>
      </c>
      <c r="E960" s="65" t="s">
        <v>1968</v>
      </c>
      <c r="F960" s="76"/>
      <c r="G960" s="78"/>
      <c r="H960" s="76" t="s">
        <v>50</v>
      </c>
      <c r="I960" s="78"/>
      <c r="J960" s="78"/>
      <c r="K960" s="76"/>
      <c r="L960" s="76"/>
      <c r="M960" s="76"/>
      <c r="N960" s="76"/>
      <c r="O960" s="76"/>
      <c r="P960" s="76"/>
      <c r="Q960" s="76"/>
      <c r="R960" s="76"/>
      <c r="X960" s="84" t="s">
        <v>2645</v>
      </c>
      <c r="Y960" s="84" t="s">
        <v>2541</v>
      </c>
      <c r="AA960" s="84" t="s">
        <v>2647</v>
      </c>
      <c r="AG960" s="84" t="s">
        <v>2643</v>
      </c>
      <c r="AU960" s="84">
        <v>110</v>
      </c>
      <c r="AY960" s="86" t="s">
        <v>2651</v>
      </c>
      <c r="AZ960" s="88">
        <f t="shared" ref="AZ960:AZ1023" si="33">BX960+CQ960</f>
        <v>0</v>
      </c>
      <c r="BX960" s="88"/>
      <c r="CQ960" s="88"/>
    </row>
    <row r="961" spans="1:95" ht="22.5" outlineLevel="1" x14ac:dyDescent="0.15">
      <c r="A961" s="76">
        <v>949</v>
      </c>
      <c r="B961" s="65" t="s">
        <v>1969</v>
      </c>
      <c r="C961" s="65">
        <v>1066834091</v>
      </c>
      <c r="D961" s="81" t="str">
        <f t="shared" si="32"/>
        <v>https://portal.dnb.de/opac.htm?method=simpleSearch&amp;cqlMode=true&amp;query=idn%3D1066834091</v>
      </c>
      <c r="E961" s="65" t="s">
        <v>1970</v>
      </c>
      <c r="F961" s="76"/>
      <c r="G961" s="78"/>
      <c r="H961" s="76" t="s">
        <v>50</v>
      </c>
      <c r="I961" s="78"/>
      <c r="J961" s="78"/>
      <c r="K961" s="76"/>
      <c r="L961" s="76"/>
      <c r="M961" s="76"/>
      <c r="N961" s="76"/>
      <c r="O961" s="76"/>
      <c r="P961" s="76"/>
      <c r="Q961" s="76"/>
      <c r="R961" s="76"/>
      <c r="X961" s="84" t="s">
        <v>2697</v>
      </c>
      <c r="AA961" s="84" t="s">
        <v>2653</v>
      </c>
      <c r="AG961" s="84" t="s">
        <v>2643</v>
      </c>
      <c r="AU961" s="84">
        <v>110</v>
      </c>
      <c r="AY961" s="86" t="s">
        <v>2651</v>
      </c>
      <c r="AZ961" s="88">
        <f t="shared" si="33"/>
        <v>0</v>
      </c>
      <c r="BB961" s="86" t="s">
        <v>2787</v>
      </c>
      <c r="BH961" s="79" t="s">
        <v>2794</v>
      </c>
      <c r="BX961" s="88"/>
      <c r="CQ961" s="88"/>
    </row>
    <row r="962" spans="1:95" outlineLevel="1" x14ac:dyDescent="0.15">
      <c r="A962" s="76">
        <v>950</v>
      </c>
      <c r="B962" s="65" t="s">
        <v>1971</v>
      </c>
      <c r="C962" s="65">
        <v>1066935297</v>
      </c>
      <c r="D962" s="81" t="str">
        <f t="shared" si="32"/>
        <v>https://portal.dnb.de/opac.htm?method=simpleSearch&amp;cqlMode=true&amp;query=idn%3D1066935297</v>
      </c>
      <c r="E962" s="65" t="s">
        <v>1972</v>
      </c>
      <c r="F962" s="76"/>
      <c r="G962" s="78"/>
      <c r="H962" s="76" t="s">
        <v>50</v>
      </c>
      <c r="I962" s="78"/>
      <c r="J962" s="78"/>
      <c r="K962" s="76"/>
      <c r="L962" s="76"/>
      <c r="M962" s="76"/>
      <c r="N962" s="76"/>
      <c r="O962" s="76"/>
      <c r="P962" s="76"/>
      <c r="Q962" s="76"/>
      <c r="R962" s="76"/>
      <c r="X962" s="84" t="s">
        <v>2641</v>
      </c>
      <c r="Z962" s="84" t="s">
        <v>2541</v>
      </c>
      <c r="AA962" s="84" t="s">
        <v>2642</v>
      </c>
      <c r="AG962" s="84" t="s">
        <v>2643</v>
      </c>
      <c r="AU962" s="84">
        <v>80</v>
      </c>
      <c r="AY962" s="86" t="s">
        <v>2651</v>
      </c>
      <c r="AZ962" s="88">
        <f t="shared" si="33"/>
        <v>0</v>
      </c>
      <c r="BB962" s="84" t="s">
        <v>2777</v>
      </c>
      <c r="BX962" s="88"/>
      <c r="CQ962" s="88"/>
    </row>
    <row r="963" spans="1:95" outlineLevel="1" x14ac:dyDescent="0.15">
      <c r="A963" s="76">
        <v>951</v>
      </c>
      <c r="B963" s="65" t="s">
        <v>1973</v>
      </c>
      <c r="C963" s="65">
        <v>994539827</v>
      </c>
      <c r="D963" s="81" t="str">
        <f t="shared" si="32"/>
        <v>https://portal.dnb.de/opac.htm?method=simpleSearch&amp;cqlMode=true&amp;query=idn%3D994539827</v>
      </c>
      <c r="E963" s="65" t="s">
        <v>2796</v>
      </c>
      <c r="F963" s="76"/>
      <c r="G963" s="78"/>
      <c r="H963" s="76" t="s">
        <v>50</v>
      </c>
      <c r="I963" s="78"/>
      <c r="J963" s="78"/>
      <c r="K963" s="76"/>
      <c r="L963" s="76"/>
      <c r="M963" s="76"/>
      <c r="N963" s="76"/>
      <c r="O963" s="76"/>
      <c r="P963" s="76"/>
      <c r="Q963" s="76"/>
      <c r="R963" s="76"/>
      <c r="X963" s="84" t="s">
        <v>2697</v>
      </c>
      <c r="Z963" s="84" t="s">
        <v>2541</v>
      </c>
      <c r="AA963" s="84" t="s">
        <v>2647</v>
      </c>
      <c r="AG963" s="84" t="s">
        <v>2643</v>
      </c>
      <c r="AU963" s="84">
        <v>110</v>
      </c>
      <c r="AY963" s="86" t="s">
        <v>2651</v>
      </c>
      <c r="AZ963" s="88">
        <f t="shared" si="33"/>
        <v>0</v>
      </c>
      <c r="BC963" s="84" t="s">
        <v>2541</v>
      </c>
      <c r="BX963" s="88"/>
      <c r="CQ963" s="88"/>
    </row>
    <row r="964" spans="1:95" outlineLevel="1" x14ac:dyDescent="0.15">
      <c r="A964" s="76">
        <v>952</v>
      </c>
      <c r="B964" s="65" t="s">
        <v>1974</v>
      </c>
      <c r="C964" s="65">
        <v>994539835</v>
      </c>
      <c r="D964" s="81" t="str">
        <f t="shared" si="32"/>
        <v>https://portal.dnb.de/opac.htm?method=simpleSearch&amp;cqlMode=true&amp;query=idn%3D994539835</v>
      </c>
      <c r="E964" s="65" t="s">
        <v>2798</v>
      </c>
      <c r="F964" s="76"/>
      <c r="G964" s="78"/>
      <c r="H964" s="76" t="s">
        <v>50</v>
      </c>
      <c r="I964" s="78"/>
      <c r="J964" s="78"/>
      <c r="K964" s="76"/>
      <c r="L964" s="76"/>
      <c r="M964" s="76"/>
      <c r="N964" s="76"/>
      <c r="O964" s="76"/>
      <c r="P964" s="76"/>
      <c r="Q964" s="76"/>
      <c r="R964" s="76"/>
      <c r="X964" s="84" t="s">
        <v>2697</v>
      </c>
      <c r="Z964" s="84" t="s">
        <v>2541</v>
      </c>
      <c r="AA964" s="84" t="s">
        <v>2642</v>
      </c>
      <c r="AG964" s="84" t="s">
        <v>2643</v>
      </c>
      <c r="AS964" s="84">
        <v>4</v>
      </c>
      <c r="AT964" s="84" t="s">
        <v>2541</v>
      </c>
      <c r="AU964" s="84">
        <v>60</v>
      </c>
      <c r="AY964" s="86" t="s">
        <v>2651</v>
      </c>
      <c r="AZ964" s="88">
        <f t="shared" si="33"/>
        <v>0</v>
      </c>
      <c r="BB964" s="84" t="s">
        <v>2777</v>
      </c>
      <c r="BX964" s="88"/>
      <c r="CQ964" s="88"/>
    </row>
    <row r="965" spans="1:95" ht="22.5" outlineLevel="1" x14ac:dyDescent="0.15">
      <c r="A965" s="76">
        <v>953</v>
      </c>
      <c r="B965" s="65" t="s">
        <v>1975</v>
      </c>
      <c r="C965" s="65">
        <v>994539819</v>
      </c>
      <c r="D965" s="81" t="str">
        <f t="shared" si="32"/>
        <v>https://portal.dnb.de/opac.htm?method=simpleSearch&amp;cqlMode=true&amp;query=idn%3D994539819</v>
      </c>
      <c r="E965" s="65" t="s">
        <v>2797</v>
      </c>
      <c r="F965" s="76"/>
      <c r="G965" s="78"/>
      <c r="H965" s="76" t="s">
        <v>50</v>
      </c>
      <c r="I965" s="78"/>
      <c r="J965" s="78"/>
      <c r="K965" s="76"/>
      <c r="L965" s="76"/>
      <c r="M965" s="76"/>
      <c r="N965" s="76"/>
      <c r="O965" s="76"/>
      <c r="P965" s="76"/>
      <c r="Q965" s="76"/>
      <c r="R965" s="76"/>
      <c r="X965" s="84" t="s">
        <v>2641</v>
      </c>
      <c r="Z965" s="84" t="s">
        <v>2541</v>
      </c>
      <c r="AA965" s="84" t="s">
        <v>2653</v>
      </c>
      <c r="AG965" s="84" t="s">
        <v>2643</v>
      </c>
      <c r="AU965" s="84">
        <v>45</v>
      </c>
      <c r="AY965" s="86" t="s">
        <v>2644</v>
      </c>
      <c r="AZ965" s="88">
        <f t="shared" si="33"/>
        <v>2.5</v>
      </c>
      <c r="BB965" s="84" t="s">
        <v>2777</v>
      </c>
      <c r="BL965" s="84" t="s">
        <v>2541</v>
      </c>
      <c r="BM965" s="84" t="s">
        <v>2541</v>
      </c>
      <c r="BO965" s="84" t="s">
        <v>2677</v>
      </c>
      <c r="BW965" s="84" t="s">
        <v>2541</v>
      </c>
      <c r="BX965" s="88">
        <v>2.5</v>
      </c>
      <c r="BY965" s="79" t="s">
        <v>2799</v>
      </c>
      <c r="CQ965" s="88"/>
    </row>
    <row r="966" spans="1:95" ht="22.5" outlineLevel="1" x14ac:dyDescent="0.15">
      <c r="A966" s="76">
        <v>954</v>
      </c>
      <c r="B966" s="65" t="s">
        <v>1976</v>
      </c>
      <c r="C966" s="65" t="s">
        <v>1977</v>
      </c>
      <c r="D966" s="81" t="str">
        <f t="shared" si="32"/>
        <v>https://portal.dnb.de/opac.htm?method=simpleSearch&amp;cqlMode=true&amp;query=idn%3D106685968X</v>
      </c>
      <c r="E966" s="65" t="s">
        <v>1978</v>
      </c>
      <c r="F966" s="76"/>
      <c r="G966" s="78"/>
      <c r="H966" s="76" t="s">
        <v>51</v>
      </c>
      <c r="I966" s="78"/>
      <c r="J966" s="78"/>
      <c r="K966" s="76"/>
      <c r="L966" s="76"/>
      <c r="M966" s="76"/>
      <c r="N966" s="76"/>
      <c r="O966" s="76"/>
      <c r="P966" s="76"/>
      <c r="Q966" s="76"/>
      <c r="R966" s="76"/>
      <c r="X966" s="84" t="s">
        <v>2697</v>
      </c>
      <c r="Y966" s="84" t="s">
        <v>2541</v>
      </c>
      <c r="AA966" s="84" t="s">
        <v>2675</v>
      </c>
      <c r="AD966" s="84" t="s">
        <v>2541</v>
      </c>
      <c r="AG966" s="84" t="s">
        <v>2643</v>
      </c>
      <c r="AU966" s="84">
        <v>110</v>
      </c>
      <c r="AY966" s="86" t="s">
        <v>2651</v>
      </c>
      <c r="AZ966" s="88">
        <f t="shared" si="33"/>
        <v>0</v>
      </c>
      <c r="BJ966" s="79" t="s">
        <v>2801</v>
      </c>
      <c r="BX966" s="88"/>
      <c r="CQ966" s="88"/>
    </row>
    <row r="967" spans="1:95" ht="22.5" outlineLevel="1" x14ac:dyDescent="0.15">
      <c r="A967" s="76">
        <v>955</v>
      </c>
      <c r="B967" s="65" t="s">
        <v>1979</v>
      </c>
      <c r="C967" s="65">
        <v>1066858470</v>
      </c>
      <c r="D967" s="81" t="str">
        <f t="shared" si="32"/>
        <v>https://portal.dnb.de/opac.htm?method=simpleSearch&amp;cqlMode=true&amp;query=idn%3D1066858470</v>
      </c>
      <c r="E967" s="65" t="s">
        <v>1980</v>
      </c>
      <c r="F967" s="76"/>
      <c r="G967" s="78"/>
      <c r="H967" s="76" t="s">
        <v>51</v>
      </c>
      <c r="I967" s="78"/>
      <c r="J967" s="78"/>
      <c r="K967" s="76"/>
      <c r="L967" s="76"/>
      <c r="M967" s="76"/>
      <c r="N967" s="76"/>
      <c r="O967" s="76"/>
      <c r="P967" s="76"/>
      <c r="Q967" s="76"/>
      <c r="R967" s="76"/>
      <c r="X967" s="84" t="s">
        <v>2652</v>
      </c>
      <c r="Y967" s="84" t="s">
        <v>2541</v>
      </c>
      <c r="AA967" s="84" t="s">
        <v>2647</v>
      </c>
      <c r="AG967" s="84" t="s">
        <v>2643</v>
      </c>
      <c r="AS967" s="84">
        <v>4</v>
      </c>
      <c r="AT967" s="84" t="s">
        <v>2541</v>
      </c>
      <c r="AU967" s="84">
        <v>45</v>
      </c>
      <c r="AV967" s="84" t="s">
        <v>2541</v>
      </c>
      <c r="AY967" s="86" t="s">
        <v>2644</v>
      </c>
      <c r="AZ967" s="88">
        <f t="shared" si="33"/>
        <v>1.5</v>
      </c>
      <c r="BD967" s="84" t="s">
        <v>2541</v>
      </c>
      <c r="BH967" s="79" t="s">
        <v>2802</v>
      </c>
      <c r="BX967" s="88"/>
      <c r="CK967" s="84" t="s">
        <v>2541</v>
      </c>
      <c r="CQ967" s="88">
        <v>1.5</v>
      </c>
    </row>
    <row r="968" spans="1:95" ht="22.5" outlineLevel="1" x14ac:dyDescent="0.15">
      <c r="A968" s="76">
        <v>956</v>
      </c>
      <c r="B968" s="65" t="s">
        <v>1981</v>
      </c>
      <c r="C968" s="65">
        <v>1066936404</v>
      </c>
      <c r="D968" s="81" t="str">
        <f t="shared" si="32"/>
        <v>https://portal.dnb.de/opac.htm?method=simpleSearch&amp;cqlMode=true&amp;query=idn%3D1066936404</v>
      </c>
      <c r="E968" s="65" t="s">
        <v>1982</v>
      </c>
      <c r="F968" s="76"/>
      <c r="G968" s="78"/>
      <c r="H968" s="76" t="s">
        <v>51</v>
      </c>
      <c r="I968" s="78"/>
      <c r="J968" s="78"/>
      <c r="K968" s="76"/>
      <c r="L968" s="76"/>
      <c r="M968" s="76"/>
      <c r="N968" s="76"/>
      <c r="O968" s="76"/>
      <c r="P968" s="76"/>
      <c r="Q968" s="76"/>
      <c r="R968" s="76"/>
      <c r="X968" s="84" t="s">
        <v>2641</v>
      </c>
      <c r="Y968" s="84" t="s">
        <v>2541</v>
      </c>
      <c r="AA968" s="84" t="s">
        <v>2653</v>
      </c>
      <c r="AG968" s="84" t="s">
        <v>2643</v>
      </c>
      <c r="AU968" s="84" t="s">
        <v>2650</v>
      </c>
      <c r="AY968" s="86" t="s">
        <v>2644</v>
      </c>
      <c r="AZ968" s="88">
        <f t="shared" si="33"/>
        <v>1</v>
      </c>
      <c r="BD968" s="84" t="s">
        <v>2541</v>
      </c>
      <c r="BI968" s="63" t="s">
        <v>2820</v>
      </c>
      <c r="BL968" s="84" t="s">
        <v>2541</v>
      </c>
      <c r="BM968" s="84" t="s">
        <v>2541</v>
      </c>
      <c r="BN968" s="84" t="s">
        <v>2541</v>
      </c>
      <c r="BO968" s="84" t="s">
        <v>2656</v>
      </c>
      <c r="BX968" s="88">
        <v>1</v>
      </c>
      <c r="BY968" s="79" t="s">
        <v>2946</v>
      </c>
      <c r="CQ968" s="88"/>
    </row>
    <row r="969" spans="1:95" outlineLevel="1" x14ac:dyDescent="0.15">
      <c r="A969" s="76">
        <v>957</v>
      </c>
      <c r="B969" s="65" t="s">
        <v>1983</v>
      </c>
      <c r="C969" s="65">
        <v>1066925402</v>
      </c>
      <c r="D969" s="81" t="str">
        <f t="shared" si="32"/>
        <v>https://portal.dnb.de/opac.htm?method=simpleSearch&amp;cqlMode=true&amp;query=idn%3D1066925402</v>
      </c>
      <c r="E969" s="65" t="s">
        <v>1984</v>
      </c>
      <c r="F969" s="76"/>
      <c r="G969" s="78"/>
      <c r="H969" s="76" t="s">
        <v>51</v>
      </c>
      <c r="I969" s="78"/>
      <c r="J969" s="78"/>
      <c r="K969" s="76"/>
      <c r="L969" s="76"/>
      <c r="M969" s="76"/>
      <c r="N969" s="76"/>
      <c r="O969" s="76"/>
      <c r="P969" s="76"/>
      <c r="Q969" s="76"/>
      <c r="R969" s="76"/>
      <c r="X969" s="84" t="s">
        <v>2697</v>
      </c>
      <c r="Y969" s="84" t="s">
        <v>2541</v>
      </c>
      <c r="AA969" s="84" t="s">
        <v>2642</v>
      </c>
      <c r="AG969" s="84" t="s">
        <v>2643</v>
      </c>
      <c r="AU969" s="84">
        <v>110</v>
      </c>
      <c r="AY969" s="86" t="s">
        <v>2651</v>
      </c>
      <c r="AZ969" s="88">
        <f t="shared" si="33"/>
        <v>0</v>
      </c>
      <c r="BD969" s="84" t="s">
        <v>2541</v>
      </c>
      <c r="BX969" s="88"/>
      <c r="CQ969" s="88"/>
    </row>
    <row r="970" spans="1:95" outlineLevel="1" x14ac:dyDescent="0.15">
      <c r="A970" s="76">
        <v>958</v>
      </c>
      <c r="B970" s="65" t="s">
        <v>1985</v>
      </c>
      <c r="C970" s="65">
        <v>1066840776</v>
      </c>
      <c r="D970" s="81" t="str">
        <f t="shared" si="32"/>
        <v>https://portal.dnb.de/opac.htm?method=simpleSearch&amp;cqlMode=true&amp;query=idn%3D1066840776</v>
      </c>
      <c r="E970" s="65" t="s">
        <v>1986</v>
      </c>
      <c r="F970" s="76"/>
      <c r="G970" s="78"/>
      <c r="H970" s="76"/>
      <c r="I970" s="78"/>
      <c r="J970" s="78"/>
      <c r="K970" s="76"/>
      <c r="L970" s="76"/>
      <c r="M970" s="76"/>
      <c r="N970" s="76"/>
      <c r="O970" s="76"/>
      <c r="P970" s="76"/>
      <c r="Q970" s="76"/>
      <c r="R970" s="76"/>
      <c r="S970" s="84" t="s">
        <v>2774</v>
      </c>
      <c r="AZ970" s="88">
        <f t="shared" si="33"/>
        <v>0</v>
      </c>
      <c r="BX970" s="88"/>
      <c r="CQ970" s="88"/>
    </row>
    <row r="971" spans="1:95" ht="33.75" outlineLevel="1" x14ac:dyDescent="0.15">
      <c r="A971" s="76">
        <v>959</v>
      </c>
      <c r="B971" s="65" t="s">
        <v>1987</v>
      </c>
      <c r="C971" s="65">
        <v>1132652952</v>
      </c>
      <c r="D971" s="81" t="str">
        <f t="shared" si="32"/>
        <v>https://portal.dnb.de/opac.htm?method=simpleSearch&amp;cqlMode=true&amp;query=idn%3D1132652952</v>
      </c>
      <c r="E971" s="65" t="s">
        <v>1988</v>
      </c>
      <c r="F971" s="76"/>
      <c r="G971" s="78"/>
      <c r="H971" s="76" t="s">
        <v>51</v>
      </c>
      <c r="I971" s="78"/>
      <c r="J971" s="78"/>
      <c r="K971" s="76"/>
      <c r="L971" s="76"/>
      <c r="M971" s="76"/>
      <c r="N971" s="76"/>
      <c r="O971" s="76"/>
      <c r="P971" s="76"/>
      <c r="Q971" s="76"/>
      <c r="R971" s="76"/>
      <c r="X971" s="84" t="s">
        <v>2697</v>
      </c>
      <c r="AA971" s="84" t="s">
        <v>2642</v>
      </c>
      <c r="AG971" s="84" t="s">
        <v>2643</v>
      </c>
      <c r="AS971" s="84">
        <v>0</v>
      </c>
      <c r="AT971" s="84" t="s">
        <v>2541</v>
      </c>
      <c r="AU971" s="84">
        <v>110</v>
      </c>
      <c r="AY971" s="86" t="s">
        <v>2644</v>
      </c>
      <c r="AZ971" s="88">
        <f t="shared" si="33"/>
        <v>7</v>
      </c>
      <c r="BJ971" s="79" t="s">
        <v>2803</v>
      </c>
      <c r="BL971" s="84" t="s">
        <v>2541</v>
      </c>
      <c r="BM971" s="84" t="s">
        <v>2541</v>
      </c>
      <c r="BO971" s="84" t="s">
        <v>2677</v>
      </c>
      <c r="BX971" s="88">
        <v>3</v>
      </c>
      <c r="CD971" s="84" t="s">
        <v>2541</v>
      </c>
      <c r="CE971" s="84" t="s">
        <v>2541</v>
      </c>
      <c r="CG971" s="84" t="s">
        <v>2541</v>
      </c>
      <c r="CQ971" s="88">
        <v>4</v>
      </c>
    </row>
    <row r="972" spans="1:95" outlineLevel="1" x14ac:dyDescent="0.15">
      <c r="A972" s="76">
        <v>960</v>
      </c>
      <c r="B972" s="65" t="s">
        <v>1989</v>
      </c>
      <c r="C972" s="65" t="s">
        <v>1990</v>
      </c>
      <c r="D972" s="81" t="str">
        <f t="shared" si="32"/>
        <v>https://portal.dnb.de/opac.htm?method=simpleSearch&amp;cqlMode=true&amp;query=idn%3D99400091X</v>
      </c>
      <c r="E972" s="65" t="s">
        <v>1991</v>
      </c>
      <c r="F972" s="76"/>
      <c r="G972" s="78"/>
      <c r="H972" s="76" t="s">
        <v>50</v>
      </c>
      <c r="I972" s="78"/>
      <c r="J972" s="78"/>
      <c r="K972" s="76"/>
      <c r="L972" s="76"/>
      <c r="M972" s="76"/>
      <c r="N972" s="76"/>
      <c r="O972" s="76"/>
      <c r="P972" s="76"/>
      <c r="Q972" s="76"/>
      <c r="R972" s="76"/>
      <c r="X972" s="84" t="s">
        <v>2696</v>
      </c>
      <c r="AA972" s="84" t="s">
        <v>2675</v>
      </c>
      <c r="AG972" s="84" t="s">
        <v>2643</v>
      </c>
      <c r="AS972" s="84">
        <v>2</v>
      </c>
      <c r="AU972" s="84">
        <v>110</v>
      </c>
      <c r="AY972" s="86" t="s">
        <v>2651</v>
      </c>
      <c r="AZ972" s="88">
        <f t="shared" si="33"/>
        <v>0</v>
      </c>
      <c r="BX972" s="88"/>
      <c r="CQ972" s="88"/>
    </row>
    <row r="973" spans="1:95" outlineLevel="1" x14ac:dyDescent="0.15">
      <c r="A973" s="76">
        <v>961</v>
      </c>
      <c r="B973" s="65" t="s">
        <v>1992</v>
      </c>
      <c r="C973" s="65">
        <v>1066935548</v>
      </c>
      <c r="D973" s="81" t="str">
        <f t="shared" si="32"/>
        <v>https://portal.dnb.de/opac.htm?method=simpleSearch&amp;cqlMode=true&amp;query=idn%3D1066935548</v>
      </c>
      <c r="E973" s="65" t="s">
        <v>1993</v>
      </c>
      <c r="F973" s="76"/>
      <c r="G973" s="78"/>
      <c r="H973" s="76" t="s">
        <v>50</v>
      </c>
      <c r="I973" s="78"/>
      <c r="J973" s="78"/>
      <c r="K973" s="76"/>
      <c r="L973" s="76"/>
      <c r="M973" s="76"/>
      <c r="N973" s="76"/>
      <c r="O973" s="76"/>
      <c r="P973" s="76"/>
      <c r="Q973" s="76"/>
      <c r="R973" s="76"/>
      <c r="X973" s="84" t="s">
        <v>2643</v>
      </c>
      <c r="AA973" s="84" t="s">
        <v>2675</v>
      </c>
      <c r="AG973" s="84" t="s">
        <v>2643</v>
      </c>
      <c r="AU973" s="84">
        <v>110</v>
      </c>
      <c r="AY973" s="86" t="s">
        <v>2651</v>
      </c>
      <c r="AZ973" s="88">
        <f t="shared" si="33"/>
        <v>0</v>
      </c>
      <c r="BX973" s="88"/>
      <c r="CQ973" s="88"/>
    </row>
    <row r="974" spans="1:95" outlineLevel="1" x14ac:dyDescent="0.15">
      <c r="A974" s="76">
        <v>962</v>
      </c>
      <c r="B974" s="65" t="s">
        <v>1994</v>
      </c>
      <c r="C974" s="65">
        <v>1066868808</v>
      </c>
      <c r="D974" s="81" t="str">
        <f t="shared" si="32"/>
        <v>https://portal.dnb.de/opac.htm?method=simpleSearch&amp;cqlMode=true&amp;query=idn%3D1066868808</v>
      </c>
      <c r="E974" s="65" t="s">
        <v>1995</v>
      </c>
      <c r="F974" s="76"/>
      <c r="G974" s="78"/>
      <c r="H974" s="76" t="s">
        <v>50</v>
      </c>
      <c r="I974" s="78"/>
      <c r="J974" s="78"/>
      <c r="K974" s="76"/>
      <c r="L974" s="76"/>
      <c r="M974" s="76"/>
      <c r="N974" s="76"/>
      <c r="O974" s="76"/>
      <c r="P974" s="76"/>
      <c r="Q974" s="76"/>
      <c r="R974" s="76"/>
      <c r="X974" s="84" t="s">
        <v>2645</v>
      </c>
      <c r="AA974" s="84" t="s">
        <v>2647</v>
      </c>
      <c r="AG974" s="84" t="s">
        <v>2643</v>
      </c>
      <c r="AU974" s="84">
        <v>110</v>
      </c>
      <c r="AY974" s="86" t="s">
        <v>2651</v>
      </c>
      <c r="AZ974" s="88">
        <f t="shared" si="33"/>
        <v>0</v>
      </c>
      <c r="BX974" s="88"/>
      <c r="CQ974" s="88"/>
    </row>
    <row r="975" spans="1:95" ht="22.5" outlineLevel="1" x14ac:dyDescent="0.15">
      <c r="A975" s="76">
        <v>963</v>
      </c>
      <c r="B975" s="65" t="s">
        <v>1996</v>
      </c>
      <c r="C975" s="65">
        <v>1066840946</v>
      </c>
      <c r="D975" s="81" t="str">
        <f t="shared" si="32"/>
        <v>https://portal.dnb.de/opac.htm?method=simpleSearch&amp;cqlMode=true&amp;query=idn%3D1066840946</v>
      </c>
      <c r="E975" s="65" t="s">
        <v>1997</v>
      </c>
      <c r="F975" s="76"/>
      <c r="G975" s="78"/>
      <c r="H975" s="76" t="s">
        <v>52</v>
      </c>
      <c r="I975" s="78"/>
      <c r="J975" s="78"/>
      <c r="K975" s="76"/>
      <c r="L975" s="76"/>
      <c r="M975" s="76"/>
      <c r="N975" s="76"/>
      <c r="O975" s="76"/>
      <c r="P975" s="76"/>
      <c r="Q975" s="76"/>
      <c r="R975" s="76"/>
      <c r="X975" s="84" t="s">
        <v>2641</v>
      </c>
      <c r="Z975" s="84" t="s">
        <v>2541</v>
      </c>
      <c r="AA975" s="84" t="s">
        <v>2642</v>
      </c>
      <c r="AG975" s="84" t="s">
        <v>2643</v>
      </c>
      <c r="AQ975" s="84" t="s">
        <v>2658</v>
      </c>
      <c r="AR975" s="84" t="s">
        <v>2541</v>
      </c>
      <c r="AU975" s="84">
        <v>110</v>
      </c>
      <c r="AY975" s="86" t="s">
        <v>2651</v>
      </c>
      <c r="AZ975" s="88">
        <f t="shared" si="33"/>
        <v>0</v>
      </c>
      <c r="BB975" s="84" t="s">
        <v>2777</v>
      </c>
      <c r="BH975" s="79" t="s">
        <v>2947</v>
      </c>
      <c r="BI975" s="63" t="s">
        <v>2780</v>
      </c>
      <c r="BX975" s="88"/>
      <c r="CQ975" s="88"/>
    </row>
    <row r="976" spans="1:95" outlineLevel="1" x14ac:dyDescent="0.15">
      <c r="A976" s="76">
        <v>964</v>
      </c>
      <c r="B976" s="65" t="s">
        <v>1998</v>
      </c>
      <c r="C976" s="65">
        <v>1066937532</v>
      </c>
      <c r="D976" s="81" t="str">
        <f t="shared" si="32"/>
        <v>https://portal.dnb.de/opac.htm?method=simpleSearch&amp;cqlMode=true&amp;query=idn%3D1066937532</v>
      </c>
      <c r="E976" s="65" t="s">
        <v>1999</v>
      </c>
      <c r="F976" s="76"/>
      <c r="G976" s="78"/>
      <c r="H976" s="76" t="s">
        <v>50</v>
      </c>
      <c r="I976" s="78"/>
      <c r="J976" s="78"/>
      <c r="K976" s="76"/>
      <c r="L976" s="76"/>
      <c r="M976" s="76"/>
      <c r="N976" s="76"/>
      <c r="O976" s="76"/>
      <c r="P976" s="76"/>
      <c r="Q976" s="76"/>
      <c r="R976" s="76"/>
      <c r="X976" s="84" t="s">
        <v>2645</v>
      </c>
      <c r="Y976" s="84" t="s">
        <v>2541</v>
      </c>
      <c r="AA976" s="84" t="s">
        <v>2647</v>
      </c>
      <c r="AG976" s="84" t="s">
        <v>2643</v>
      </c>
      <c r="AH976" s="84" t="s">
        <v>2541</v>
      </c>
      <c r="AU976" s="84">
        <v>110</v>
      </c>
      <c r="AY976" s="86" t="s">
        <v>2651</v>
      </c>
      <c r="AZ976" s="88">
        <f t="shared" si="33"/>
        <v>0</v>
      </c>
      <c r="BX976" s="88"/>
      <c r="CQ976" s="88"/>
    </row>
    <row r="977" spans="1:95" ht="101.25" outlineLevel="1" x14ac:dyDescent="0.15">
      <c r="A977" s="76">
        <v>965</v>
      </c>
      <c r="B977" s="65" t="s">
        <v>2000</v>
      </c>
      <c r="C977" s="65">
        <v>1066933618</v>
      </c>
      <c r="D977" s="81" t="str">
        <f t="shared" si="32"/>
        <v>https://portal.dnb.de/opac.htm?method=simpleSearch&amp;cqlMode=true&amp;query=idn%3D1066933618</v>
      </c>
      <c r="E977" s="65" t="s">
        <v>2001</v>
      </c>
      <c r="F977" s="76"/>
      <c r="G977" s="78"/>
      <c r="H977" s="76" t="s">
        <v>52</v>
      </c>
      <c r="I977" s="78"/>
      <c r="J977" s="78"/>
      <c r="K977" s="76"/>
      <c r="L977" s="76"/>
      <c r="M977" s="76"/>
      <c r="N977" s="76"/>
      <c r="O977" s="76"/>
      <c r="P977" s="76"/>
      <c r="Q977" s="76"/>
      <c r="R977" s="76"/>
      <c r="X977" s="84" t="s">
        <v>2652</v>
      </c>
      <c r="Y977" s="84" t="s">
        <v>2541</v>
      </c>
      <c r="AA977" s="84" t="s">
        <v>2647</v>
      </c>
      <c r="AG977" s="84" t="s">
        <v>2643</v>
      </c>
      <c r="AU977" s="84" t="s">
        <v>2650</v>
      </c>
      <c r="AV977" s="84" t="s">
        <v>2541</v>
      </c>
      <c r="AY977" s="86" t="s">
        <v>2644</v>
      </c>
      <c r="AZ977" s="88">
        <f t="shared" si="33"/>
        <v>0.5</v>
      </c>
      <c r="BD977" s="84" t="s">
        <v>2541</v>
      </c>
      <c r="BH977" s="79" t="s">
        <v>2949</v>
      </c>
      <c r="BI977" s="63" t="s">
        <v>2820</v>
      </c>
      <c r="BL977" s="84" t="s">
        <v>2541</v>
      </c>
      <c r="BM977" s="84" t="s">
        <v>2541</v>
      </c>
      <c r="BO977" s="84" t="s">
        <v>2677</v>
      </c>
      <c r="BQ977" s="84" t="s">
        <v>2541</v>
      </c>
      <c r="BX977" s="88">
        <v>0.5</v>
      </c>
      <c r="BY977" s="79" t="s">
        <v>2948</v>
      </c>
      <c r="CQ977" s="88"/>
    </row>
    <row r="978" spans="1:95" ht="22.5" outlineLevel="1" x14ac:dyDescent="0.15">
      <c r="A978" s="76">
        <v>966</v>
      </c>
      <c r="B978" s="65" t="s">
        <v>2002</v>
      </c>
      <c r="C978" s="65">
        <v>994129572</v>
      </c>
      <c r="D978" s="81" t="str">
        <f t="shared" si="32"/>
        <v>https://portal.dnb.de/opac.htm?method=simpleSearch&amp;cqlMode=true&amp;query=idn%3D994129572</v>
      </c>
      <c r="E978" s="65" t="s">
        <v>2003</v>
      </c>
      <c r="F978" s="76"/>
      <c r="G978" s="78"/>
      <c r="H978" s="76" t="s">
        <v>50</v>
      </c>
      <c r="I978" s="78"/>
      <c r="J978" s="78"/>
      <c r="K978" s="76"/>
      <c r="L978" s="76"/>
      <c r="M978" s="76"/>
      <c r="N978" s="76"/>
      <c r="O978" s="76"/>
      <c r="P978" s="76"/>
      <c r="Q978" s="76"/>
      <c r="R978" s="76"/>
      <c r="X978" s="84" t="s">
        <v>2697</v>
      </c>
      <c r="AA978" s="84" t="s">
        <v>2653</v>
      </c>
      <c r="AG978" s="84" t="s">
        <v>2643</v>
      </c>
      <c r="AU978" s="84" t="s">
        <v>2776</v>
      </c>
      <c r="AY978" s="86" t="s">
        <v>2651</v>
      </c>
      <c r="AZ978" s="88">
        <f t="shared" si="33"/>
        <v>0</v>
      </c>
      <c r="BB978" s="86" t="s">
        <v>2787</v>
      </c>
      <c r="BH978" s="79" t="s">
        <v>2962</v>
      </c>
      <c r="BX978" s="88"/>
      <c r="CQ978" s="88"/>
    </row>
    <row r="979" spans="1:95" outlineLevel="1" x14ac:dyDescent="0.15">
      <c r="A979" s="76">
        <v>967</v>
      </c>
      <c r="B979" s="65" t="s">
        <v>2004</v>
      </c>
      <c r="C979" s="65">
        <v>1002389798</v>
      </c>
      <c r="D979" s="81" t="str">
        <f t="shared" si="32"/>
        <v>https://portal.dnb.de/opac.htm?method=simpleSearch&amp;cqlMode=true&amp;query=idn%3D1002389798</v>
      </c>
      <c r="E979" s="65" t="s">
        <v>2005</v>
      </c>
      <c r="F979" s="76"/>
      <c r="G979" s="78"/>
      <c r="H979" s="76" t="s">
        <v>50</v>
      </c>
      <c r="I979" s="78"/>
      <c r="J979" s="78"/>
      <c r="K979" s="76"/>
      <c r="L979" s="76"/>
      <c r="M979" s="76"/>
      <c r="N979" s="76"/>
      <c r="O979" s="76"/>
      <c r="P979" s="76"/>
      <c r="Q979" s="76"/>
      <c r="R979" s="76"/>
      <c r="X979" s="84" t="s">
        <v>2646</v>
      </c>
      <c r="Y979" s="84" t="s">
        <v>2541</v>
      </c>
      <c r="AA979" s="84" t="s">
        <v>2675</v>
      </c>
      <c r="AG979" s="84" t="s">
        <v>2643</v>
      </c>
      <c r="AU979" s="84">
        <v>110</v>
      </c>
      <c r="AY979" s="86" t="s">
        <v>2651</v>
      </c>
      <c r="AZ979" s="88">
        <f t="shared" si="33"/>
        <v>0</v>
      </c>
      <c r="BX979" s="88"/>
      <c r="CQ979" s="88"/>
    </row>
    <row r="980" spans="1:95" outlineLevel="1" x14ac:dyDescent="0.15">
      <c r="A980" s="76">
        <v>968</v>
      </c>
      <c r="B980" s="65" t="s">
        <v>2006</v>
      </c>
      <c r="C980" s="65">
        <v>1066941130</v>
      </c>
      <c r="D980" s="81" t="str">
        <f t="shared" si="32"/>
        <v>https://portal.dnb.de/opac.htm?method=simpleSearch&amp;cqlMode=true&amp;query=idn%3D1066941130</v>
      </c>
      <c r="E980" s="65" t="s">
        <v>2007</v>
      </c>
      <c r="F980" s="76"/>
      <c r="G980" s="78"/>
      <c r="H980" s="76" t="s">
        <v>50</v>
      </c>
      <c r="I980" s="78"/>
      <c r="J980" s="78"/>
      <c r="K980" s="76"/>
      <c r="L980" s="76"/>
      <c r="M980" s="76"/>
      <c r="N980" s="76"/>
      <c r="O980" s="76"/>
      <c r="P980" s="76"/>
      <c r="Q980" s="76"/>
      <c r="R980" s="76"/>
      <c r="X980" s="84" t="s">
        <v>2645</v>
      </c>
      <c r="Y980" s="84" t="s">
        <v>2541</v>
      </c>
      <c r="AA980" s="84" t="s">
        <v>2647</v>
      </c>
      <c r="AG980" s="84" t="s">
        <v>2643</v>
      </c>
      <c r="AH980" s="84" t="s">
        <v>2541</v>
      </c>
      <c r="AU980" s="84">
        <v>110</v>
      </c>
      <c r="AY980" s="86" t="s">
        <v>2651</v>
      </c>
      <c r="AZ980" s="88">
        <f t="shared" si="33"/>
        <v>0</v>
      </c>
      <c r="BX980" s="88"/>
      <c r="CQ980" s="88"/>
    </row>
    <row r="981" spans="1:95" outlineLevel="1" x14ac:dyDescent="0.15">
      <c r="A981" s="76">
        <v>969</v>
      </c>
      <c r="B981" s="65" t="s">
        <v>2008</v>
      </c>
      <c r="C981" s="65">
        <v>1066779120</v>
      </c>
      <c r="D981" s="81" t="str">
        <f t="shared" si="32"/>
        <v>https://portal.dnb.de/opac.htm?method=simpleSearch&amp;cqlMode=true&amp;query=idn%3D1066779120</v>
      </c>
      <c r="E981" s="65" t="s">
        <v>2009</v>
      </c>
      <c r="F981" s="76"/>
      <c r="G981" s="78"/>
      <c r="H981" s="76" t="s">
        <v>50</v>
      </c>
      <c r="I981" s="78"/>
      <c r="J981" s="78"/>
      <c r="K981" s="76"/>
      <c r="L981" s="76"/>
      <c r="M981" s="76"/>
      <c r="N981" s="76"/>
      <c r="O981" s="76"/>
      <c r="P981" s="76"/>
      <c r="Q981" s="76"/>
      <c r="R981" s="76"/>
      <c r="X981" s="84" t="s">
        <v>2645</v>
      </c>
      <c r="Y981" s="84" t="s">
        <v>2541</v>
      </c>
      <c r="AA981" s="84" t="s">
        <v>2647</v>
      </c>
      <c r="AG981" s="84" t="s">
        <v>2643</v>
      </c>
      <c r="AH981" s="84" t="s">
        <v>2541</v>
      </c>
      <c r="AU981" s="84">
        <v>110</v>
      </c>
      <c r="AY981" s="86" t="s">
        <v>2651</v>
      </c>
      <c r="AZ981" s="88">
        <f t="shared" si="33"/>
        <v>0</v>
      </c>
      <c r="BD981" s="84" t="s">
        <v>2541</v>
      </c>
      <c r="BX981" s="88"/>
      <c r="CQ981" s="88"/>
    </row>
    <row r="982" spans="1:95" outlineLevel="1" x14ac:dyDescent="0.15">
      <c r="A982" s="76">
        <v>970</v>
      </c>
      <c r="B982" s="65" t="s">
        <v>2010</v>
      </c>
      <c r="C982" s="65">
        <v>1066790272</v>
      </c>
      <c r="D982" s="81" t="str">
        <f t="shared" si="32"/>
        <v>https://portal.dnb.de/opac.htm?method=simpleSearch&amp;cqlMode=true&amp;query=idn%3D1066790272</v>
      </c>
      <c r="E982" s="65" t="s">
        <v>2011</v>
      </c>
      <c r="F982" s="76"/>
      <c r="G982" s="78"/>
      <c r="H982" s="76" t="s">
        <v>51</v>
      </c>
      <c r="I982" s="78"/>
      <c r="J982" s="78"/>
      <c r="K982" s="76"/>
      <c r="L982" s="76"/>
      <c r="M982" s="76"/>
      <c r="N982" s="76"/>
      <c r="O982" s="76"/>
      <c r="P982" s="76"/>
      <c r="Q982" s="76"/>
      <c r="R982" s="76"/>
      <c r="X982" s="84" t="s">
        <v>2641</v>
      </c>
      <c r="Z982" s="84" t="s">
        <v>2541</v>
      </c>
      <c r="AA982" s="84" t="s">
        <v>2642</v>
      </c>
      <c r="AG982" s="84" t="s">
        <v>2643</v>
      </c>
      <c r="AL982" s="84" t="s">
        <v>2541</v>
      </c>
      <c r="AU982" s="84">
        <v>110</v>
      </c>
      <c r="AY982" s="86" t="s">
        <v>2651</v>
      </c>
      <c r="AZ982" s="88">
        <f t="shared" si="33"/>
        <v>0</v>
      </c>
      <c r="BB982" s="84" t="s">
        <v>2777</v>
      </c>
      <c r="BI982" s="63" t="s">
        <v>2780</v>
      </c>
      <c r="BX982" s="88"/>
      <c r="CQ982" s="88"/>
    </row>
    <row r="983" spans="1:95" outlineLevel="1" x14ac:dyDescent="0.15">
      <c r="A983" s="76">
        <v>971</v>
      </c>
      <c r="B983" s="65" t="s">
        <v>2012</v>
      </c>
      <c r="C983" s="65" t="s">
        <v>2013</v>
      </c>
      <c r="D983" s="81" t="str">
        <f t="shared" si="32"/>
        <v>https://portal.dnb.de/opac.htm?method=simpleSearch&amp;cqlMode=true&amp;query=idn%3D106693360X</v>
      </c>
      <c r="E983" s="65" t="s">
        <v>2014</v>
      </c>
      <c r="F983" s="76"/>
      <c r="G983" s="78"/>
      <c r="H983" s="76" t="s">
        <v>50</v>
      </c>
      <c r="I983" s="78"/>
      <c r="J983" s="78"/>
      <c r="K983" s="76"/>
      <c r="L983" s="76"/>
      <c r="M983" s="76"/>
      <c r="N983" s="76"/>
      <c r="O983" s="76"/>
      <c r="P983" s="76"/>
      <c r="Q983" s="76"/>
      <c r="R983" s="76"/>
      <c r="X983" s="84" t="s">
        <v>2652</v>
      </c>
      <c r="Y983" s="84" t="s">
        <v>2541</v>
      </c>
      <c r="AA983" s="84" t="s">
        <v>2647</v>
      </c>
      <c r="AG983" s="84" t="s">
        <v>2643</v>
      </c>
      <c r="AU983" s="84">
        <v>110</v>
      </c>
      <c r="AY983" s="86" t="s">
        <v>2644</v>
      </c>
      <c r="AZ983" s="88">
        <f t="shared" si="33"/>
        <v>1</v>
      </c>
      <c r="BD983" s="84" t="s">
        <v>2541</v>
      </c>
      <c r="BL983" s="84" t="s">
        <v>2541</v>
      </c>
      <c r="BM983" s="84" t="s">
        <v>2541</v>
      </c>
      <c r="BN983" s="84" t="s">
        <v>2541</v>
      </c>
      <c r="BO983" s="84" t="s">
        <v>2677</v>
      </c>
      <c r="BX983" s="88">
        <v>1</v>
      </c>
      <c r="CQ983" s="88"/>
    </row>
    <row r="984" spans="1:95" ht="22.5" outlineLevel="1" x14ac:dyDescent="0.15">
      <c r="A984" s="76">
        <v>972</v>
      </c>
      <c r="B984" s="65" t="s">
        <v>2015</v>
      </c>
      <c r="C984" s="65">
        <v>1066937400</v>
      </c>
      <c r="D984" s="81" t="str">
        <f t="shared" si="32"/>
        <v>https://portal.dnb.de/opac.htm?method=simpleSearch&amp;cqlMode=true&amp;query=idn%3D1066937400</v>
      </c>
      <c r="E984" s="65" t="s">
        <v>2016</v>
      </c>
      <c r="F984" s="76"/>
      <c r="G984" s="78"/>
      <c r="H984" s="76" t="s">
        <v>50</v>
      </c>
      <c r="I984" s="78"/>
      <c r="J984" s="78"/>
      <c r="K984" s="76"/>
      <c r="L984" s="76"/>
      <c r="M984" s="76"/>
      <c r="N984" s="76"/>
      <c r="O984" s="76"/>
      <c r="P984" s="76"/>
      <c r="Q984" s="76"/>
      <c r="R984" s="76"/>
      <c r="X984" s="84" t="s">
        <v>2646</v>
      </c>
      <c r="AA984" s="84" t="s">
        <v>2675</v>
      </c>
      <c r="AG984" s="84" t="s">
        <v>2643</v>
      </c>
      <c r="AU984" s="84">
        <v>110</v>
      </c>
      <c r="AY984" s="86" t="s">
        <v>2651</v>
      </c>
      <c r="AZ984" s="88">
        <f t="shared" si="33"/>
        <v>0</v>
      </c>
      <c r="BB984" s="84" t="s">
        <v>2777</v>
      </c>
      <c r="BH984" s="79" t="s">
        <v>2804</v>
      </c>
      <c r="BX984" s="88"/>
      <c r="CQ984" s="88"/>
    </row>
    <row r="985" spans="1:95" outlineLevel="1" x14ac:dyDescent="0.15">
      <c r="A985" s="76">
        <v>973</v>
      </c>
      <c r="B985" s="65" t="s">
        <v>2017</v>
      </c>
      <c r="C985" s="65" t="s">
        <v>2018</v>
      </c>
      <c r="D985" s="81" t="str">
        <f t="shared" si="32"/>
        <v>https://portal.dnb.de/opac.htm?method=simpleSearch&amp;cqlMode=true&amp;query=idn%3D99390601X</v>
      </c>
      <c r="E985" s="65" t="s">
        <v>2019</v>
      </c>
      <c r="F985" s="76"/>
      <c r="G985" s="78"/>
      <c r="H985" s="76" t="s">
        <v>50</v>
      </c>
      <c r="I985" s="78"/>
      <c r="J985" s="78"/>
      <c r="K985" s="76"/>
      <c r="L985" s="76"/>
      <c r="M985" s="76"/>
      <c r="N985" s="76"/>
      <c r="O985" s="76"/>
      <c r="P985" s="76"/>
      <c r="Q985" s="76"/>
      <c r="R985" s="76"/>
      <c r="X985" s="84" t="s">
        <v>2652</v>
      </c>
      <c r="AA985" s="84" t="s">
        <v>2642</v>
      </c>
      <c r="AG985" s="84" t="s">
        <v>2643</v>
      </c>
      <c r="AU985" s="84">
        <v>60</v>
      </c>
      <c r="AY985" s="86" t="s">
        <v>2651</v>
      </c>
      <c r="AZ985" s="88">
        <f t="shared" si="33"/>
        <v>0</v>
      </c>
      <c r="BX985" s="88"/>
      <c r="CQ985" s="88"/>
    </row>
    <row r="986" spans="1:95" outlineLevel="1" x14ac:dyDescent="0.15">
      <c r="A986" s="76">
        <v>974</v>
      </c>
      <c r="B986" s="65" t="s">
        <v>2020</v>
      </c>
      <c r="C986" s="65">
        <v>1132656729</v>
      </c>
      <c r="D986" s="81" t="str">
        <f t="shared" si="32"/>
        <v>https://portal.dnb.de/opac.htm?method=simpleSearch&amp;cqlMode=true&amp;query=idn%3D1132656729</v>
      </c>
      <c r="E986" s="65" t="s">
        <v>2021</v>
      </c>
      <c r="F986" s="76"/>
      <c r="G986" s="78"/>
      <c r="H986" s="76" t="s">
        <v>50</v>
      </c>
      <c r="I986" s="78"/>
      <c r="J986" s="78"/>
      <c r="K986" s="76"/>
      <c r="L986" s="76"/>
      <c r="M986" s="76"/>
      <c r="N986" s="76"/>
      <c r="O986" s="76"/>
      <c r="P986" s="76"/>
      <c r="Q986" s="76"/>
      <c r="R986" s="76"/>
      <c r="X986" s="84" t="s">
        <v>2697</v>
      </c>
      <c r="AA986" s="84" t="s">
        <v>2653</v>
      </c>
      <c r="AG986" s="84" t="s">
        <v>2643</v>
      </c>
      <c r="AS986" s="84">
        <v>2</v>
      </c>
      <c r="AT986" s="84" t="s">
        <v>2541</v>
      </c>
      <c r="AU986" s="84">
        <v>45</v>
      </c>
      <c r="AY986" s="86" t="s">
        <v>2651</v>
      </c>
      <c r="AZ986" s="88">
        <f t="shared" si="33"/>
        <v>0</v>
      </c>
      <c r="BB986" s="84" t="s">
        <v>2777</v>
      </c>
      <c r="BX986" s="88"/>
      <c r="CQ986" s="88"/>
    </row>
    <row r="987" spans="1:95" outlineLevel="1" x14ac:dyDescent="0.15">
      <c r="A987" s="76">
        <v>975</v>
      </c>
      <c r="B987" s="65" t="s">
        <v>2022</v>
      </c>
      <c r="C987" s="65">
        <v>993938299</v>
      </c>
      <c r="D987" s="81" t="str">
        <f t="shared" si="32"/>
        <v>https://portal.dnb.de/opac.htm?method=simpleSearch&amp;cqlMode=true&amp;query=idn%3D993938299</v>
      </c>
      <c r="E987" s="65" t="s">
        <v>2023</v>
      </c>
      <c r="F987" s="76"/>
      <c r="G987" s="78"/>
      <c r="H987" s="76" t="s">
        <v>50</v>
      </c>
      <c r="I987" s="78"/>
      <c r="J987" s="78"/>
      <c r="K987" s="76"/>
      <c r="L987" s="76"/>
      <c r="M987" s="76"/>
      <c r="N987" s="76"/>
      <c r="O987" s="76"/>
      <c r="P987" s="76"/>
      <c r="Q987" s="76"/>
      <c r="R987" s="76"/>
      <c r="X987" s="84" t="s">
        <v>2699</v>
      </c>
      <c r="Z987" s="84" t="s">
        <v>2541</v>
      </c>
      <c r="AA987" s="84" t="s">
        <v>2647</v>
      </c>
      <c r="AG987" s="84" t="s">
        <v>2643</v>
      </c>
      <c r="AH987" s="84" t="s">
        <v>2541</v>
      </c>
      <c r="AU987" s="84">
        <v>110</v>
      </c>
      <c r="AY987" s="86" t="s">
        <v>2644</v>
      </c>
      <c r="AZ987" s="88">
        <f t="shared" si="33"/>
        <v>0.5</v>
      </c>
      <c r="BL987" s="84" t="s">
        <v>2541</v>
      </c>
      <c r="BM987" s="84" t="s">
        <v>2541</v>
      </c>
      <c r="BX987" s="88">
        <v>0.5</v>
      </c>
      <c r="CQ987" s="88"/>
    </row>
    <row r="988" spans="1:95" outlineLevel="1" x14ac:dyDescent="0.15">
      <c r="A988" s="76">
        <v>976</v>
      </c>
      <c r="B988" s="65" t="s">
        <v>2024</v>
      </c>
      <c r="C988" s="65">
        <v>1066864705</v>
      </c>
      <c r="D988" s="81" t="str">
        <f t="shared" si="32"/>
        <v>https://portal.dnb.de/opac.htm?method=simpleSearch&amp;cqlMode=true&amp;query=idn%3D1066864705</v>
      </c>
      <c r="E988" s="65" t="s">
        <v>2805</v>
      </c>
      <c r="F988" s="76"/>
      <c r="G988" s="78"/>
      <c r="H988" s="76" t="s">
        <v>50</v>
      </c>
      <c r="I988" s="78"/>
      <c r="J988" s="78"/>
      <c r="K988" s="76"/>
      <c r="L988" s="76"/>
      <c r="M988" s="76"/>
      <c r="N988" s="76"/>
      <c r="O988" s="76"/>
      <c r="P988" s="76"/>
      <c r="Q988" s="76"/>
      <c r="R988" s="76"/>
      <c r="X988" s="84" t="s">
        <v>2643</v>
      </c>
      <c r="AA988" s="84" t="s">
        <v>2642</v>
      </c>
      <c r="AG988" s="84" t="s">
        <v>2643</v>
      </c>
      <c r="AU988" s="84">
        <v>60</v>
      </c>
      <c r="AY988" s="86" t="s">
        <v>2651</v>
      </c>
      <c r="AZ988" s="88">
        <f t="shared" si="33"/>
        <v>0</v>
      </c>
      <c r="BX988" s="88"/>
      <c r="CQ988" s="88"/>
    </row>
    <row r="989" spans="1:95" outlineLevel="1" x14ac:dyDescent="0.15">
      <c r="A989" s="76"/>
      <c r="B989" s="65"/>
      <c r="C989" s="65"/>
      <c r="D989" s="81"/>
      <c r="E989" s="65" t="s">
        <v>2806</v>
      </c>
      <c r="F989" s="76"/>
      <c r="G989" s="78"/>
      <c r="H989" s="76" t="s">
        <v>50</v>
      </c>
      <c r="I989" s="78"/>
      <c r="J989" s="78"/>
      <c r="K989" s="76"/>
      <c r="L989" s="76"/>
      <c r="M989" s="76"/>
      <c r="N989" s="76"/>
      <c r="O989" s="76"/>
      <c r="P989" s="76"/>
      <c r="Q989" s="76"/>
      <c r="R989" s="76"/>
      <c r="X989" s="84" t="s">
        <v>2643</v>
      </c>
      <c r="AA989" s="84" t="s">
        <v>2642</v>
      </c>
      <c r="AG989" s="84" t="s">
        <v>2643</v>
      </c>
      <c r="AU989" s="84">
        <v>60</v>
      </c>
      <c r="AY989" s="86" t="s">
        <v>2651</v>
      </c>
      <c r="AZ989" s="88">
        <f t="shared" si="33"/>
        <v>0</v>
      </c>
      <c r="BX989" s="88"/>
      <c r="CQ989" s="88"/>
    </row>
    <row r="990" spans="1:95" ht="33.75" outlineLevel="1" x14ac:dyDescent="0.15">
      <c r="A990" s="76">
        <v>977</v>
      </c>
      <c r="B990" s="65" t="s">
        <v>2025</v>
      </c>
      <c r="C990" s="65">
        <v>1066850593</v>
      </c>
      <c r="D990" s="81" t="str">
        <f t="shared" si="32"/>
        <v>https://portal.dnb.de/opac.htm?method=simpleSearch&amp;cqlMode=true&amp;query=idn%3D1066850593</v>
      </c>
      <c r="E990" s="65" t="s">
        <v>2026</v>
      </c>
      <c r="F990" s="76"/>
      <c r="G990" s="78"/>
      <c r="H990" s="76" t="s">
        <v>50</v>
      </c>
      <c r="I990" s="78"/>
      <c r="J990" s="78"/>
      <c r="K990" s="76"/>
      <c r="L990" s="76"/>
      <c r="M990" s="76"/>
      <c r="N990" s="76"/>
      <c r="O990" s="76"/>
      <c r="P990" s="76"/>
      <c r="Q990" s="76"/>
      <c r="R990" s="76"/>
      <c r="X990" s="84" t="s">
        <v>2697</v>
      </c>
      <c r="AA990" s="84" t="s">
        <v>2642</v>
      </c>
      <c r="AC990" s="84" t="s">
        <v>2541</v>
      </c>
      <c r="AG990" s="84" t="s">
        <v>2643</v>
      </c>
      <c r="AU990" s="84">
        <v>45</v>
      </c>
      <c r="AY990" s="86" t="s">
        <v>2644</v>
      </c>
      <c r="AZ990" s="88">
        <f t="shared" si="33"/>
        <v>1</v>
      </c>
      <c r="BB990" s="84" t="s">
        <v>2807</v>
      </c>
      <c r="BJ990" s="79" t="s">
        <v>2836</v>
      </c>
      <c r="BL990" s="84" t="s">
        <v>2541</v>
      </c>
      <c r="BM990" s="84" t="s">
        <v>2541</v>
      </c>
      <c r="BX990" s="88">
        <v>1</v>
      </c>
      <c r="BY990" s="79" t="s">
        <v>2808</v>
      </c>
      <c r="CQ990" s="88"/>
    </row>
    <row r="991" spans="1:95" ht="22.5" outlineLevel="1" x14ac:dyDescent="0.15">
      <c r="A991" s="76">
        <v>978</v>
      </c>
      <c r="B991" s="65" t="s">
        <v>2027</v>
      </c>
      <c r="C991" s="65">
        <v>1066865108</v>
      </c>
      <c r="D991" s="81" t="str">
        <f t="shared" si="32"/>
        <v>https://portal.dnb.de/opac.htm?method=simpleSearch&amp;cqlMode=true&amp;query=idn%3D1066865108</v>
      </c>
      <c r="E991" s="65" t="s">
        <v>2028</v>
      </c>
      <c r="F991" s="76"/>
      <c r="G991" s="78"/>
      <c r="H991" s="76" t="s">
        <v>50</v>
      </c>
      <c r="I991" s="78"/>
      <c r="J991" s="78"/>
      <c r="K991" s="76"/>
      <c r="L991" s="76"/>
      <c r="M991" s="76"/>
      <c r="N991" s="76"/>
      <c r="O991" s="76"/>
      <c r="P991" s="76"/>
      <c r="Q991" s="76"/>
      <c r="R991" s="76"/>
      <c r="X991" s="84" t="s">
        <v>2697</v>
      </c>
      <c r="Z991" s="84" t="s">
        <v>2541</v>
      </c>
      <c r="AA991" s="84" t="s">
        <v>2653</v>
      </c>
      <c r="AG991" s="84" t="s">
        <v>2643</v>
      </c>
      <c r="AU991" s="84">
        <v>45</v>
      </c>
      <c r="AY991" s="86" t="s">
        <v>2651</v>
      </c>
      <c r="AZ991" s="88">
        <f t="shared" si="33"/>
        <v>0</v>
      </c>
      <c r="BB991" s="84" t="s">
        <v>2777</v>
      </c>
      <c r="BH991" s="79" t="s">
        <v>2809</v>
      </c>
      <c r="BX991" s="88"/>
      <c r="CQ991" s="88"/>
    </row>
    <row r="992" spans="1:95" outlineLevel="1" x14ac:dyDescent="0.15">
      <c r="A992" s="76">
        <v>979</v>
      </c>
      <c r="B992" s="65" t="s">
        <v>2029</v>
      </c>
      <c r="C992" s="65">
        <v>1002609763</v>
      </c>
      <c r="D992" s="81" t="str">
        <f t="shared" ref="D992:D1056" si="34">HYPERLINK(CONCATENATE("https://portal.dnb.de/opac.htm?method=simpleSearch&amp;cqlMode=true&amp;query=idn%3D",C992))</f>
        <v>https://portal.dnb.de/opac.htm?method=simpleSearch&amp;cqlMode=true&amp;query=idn%3D1002609763</v>
      </c>
      <c r="E992" s="65" t="s">
        <v>2810</v>
      </c>
      <c r="F992" s="76"/>
      <c r="G992" s="78"/>
      <c r="H992" s="76"/>
      <c r="I992" s="78"/>
      <c r="J992" s="78"/>
      <c r="K992" s="76"/>
      <c r="L992" s="76"/>
      <c r="M992" s="76"/>
      <c r="N992" s="76"/>
      <c r="O992" s="76"/>
      <c r="P992" s="76"/>
      <c r="Q992" s="76"/>
      <c r="R992" s="76"/>
      <c r="AZ992" s="88">
        <f t="shared" si="33"/>
        <v>0</v>
      </c>
      <c r="BX992" s="88"/>
      <c r="CQ992" s="88"/>
    </row>
    <row r="993" spans="1:96" outlineLevel="1" x14ac:dyDescent="0.15">
      <c r="A993" s="76">
        <v>980</v>
      </c>
      <c r="B993" s="65" t="s">
        <v>2031</v>
      </c>
      <c r="C993" s="65" t="s">
        <v>2032</v>
      </c>
      <c r="D993" s="81" t="str">
        <f t="shared" si="34"/>
        <v>https://portal.dnb.de/opac.htm?method=simpleSearch&amp;cqlMode=true&amp;query=idn%3D100005554X</v>
      </c>
      <c r="E993" s="65" t="s">
        <v>2030</v>
      </c>
      <c r="F993" s="76"/>
      <c r="G993" s="78"/>
      <c r="H993" s="76" t="s">
        <v>50</v>
      </c>
      <c r="I993" s="78"/>
      <c r="J993" s="78"/>
      <c r="K993" s="76"/>
      <c r="L993" s="76"/>
      <c r="M993" s="76"/>
      <c r="N993" s="76"/>
      <c r="O993" s="76"/>
      <c r="P993" s="76"/>
      <c r="Q993" s="76"/>
      <c r="R993" s="76"/>
      <c r="X993" s="84" t="s">
        <v>2697</v>
      </c>
      <c r="Z993" s="84" t="s">
        <v>2541</v>
      </c>
      <c r="AA993" s="84" t="s">
        <v>2642</v>
      </c>
      <c r="AG993" s="84" t="s">
        <v>2643</v>
      </c>
      <c r="AU993" s="84">
        <v>110</v>
      </c>
      <c r="AY993" s="86" t="s">
        <v>2651</v>
      </c>
      <c r="AZ993" s="88">
        <f t="shared" si="33"/>
        <v>0</v>
      </c>
      <c r="BB993" s="84" t="s">
        <v>2777</v>
      </c>
      <c r="BX993" s="88"/>
      <c r="CQ993" s="88"/>
    </row>
    <row r="994" spans="1:96" outlineLevel="1" x14ac:dyDescent="0.15">
      <c r="A994" s="76">
        <v>981</v>
      </c>
      <c r="B994" s="65" t="s">
        <v>2033</v>
      </c>
      <c r="C994" s="65">
        <v>1000055663</v>
      </c>
      <c r="D994" s="81" t="str">
        <f t="shared" si="34"/>
        <v>https://portal.dnb.de/opac.htm?method=simpleSearch&amp;cqlMode=true&amp;query=idn%3D1000055663</v>
      </c>
      <c r="E994" s="65" t="s">
        <v>2810</v>
      </c>
      <c r="F994" s="76"/>
      <c r="G994" s="78"/>
      <c r="H994" s="76"/>
      <c r="I994" s="78"/>
      <c r="J994" s="78"/>
      <c r="K994" s="76"/>
      <c r="L994" s="76"/>
      <c r="M994" s="76"/>
      <c r="N994" s="76"/>
      <c r="O994" s="76"/>
      <c r="P994" s="76"/>
      <c r="Q994" s="76"/>
      <c r="R994" s="76"/>
      <c r="AZ994" s="88">
        <f t="shared" si="33"/>
        <v>0</v>
      </c>
      <c r="BX994" s="88"/>
      <c r="CQ994" s="88"/>
    </row>
    <row r="995" spans="1:96" outlineLevel="1" x14ac:dyDescent="0.15">
      <c r="A995" s="76">
        <v>982</v>
      </c>
      <c r="B995" s="65" t="s">
        <v>2034</v>
      </c>
      <c r="C995" s="65">
        <v>1066933421</v>
      </c>
      <c r="D995" s="81" t="str">
        <f t="shared" si="34"/>
        <v>https://portal.dnb.de/opac.htm?method=simpleSearch&amp;cqlMode=true&amp;query=idn%3D1066933421</v>
      </c>
      <c r="E995" s="65" t="s">
        <v>2035</v>
      </c>
      <c r="F995" s="76"/>
      <c r="G995" s="78"/>
      <c r="H995" s="76" t="s">
        <v>50</v>
      </c>
      <c r="I995" s="78"/>
      <c r="J995" s="78"/>
      <c r="K995" s="76"/>
      <c r="L995" s="76"/>
      <c r="M995" s="76"/>
      <c r="N995" s="76"/>
      <c r="O995" s="76"/>
      <c r="P995" s="76"/>
      <c r="Q995" s="76"/>
      <c r="R995" s="76"/>
      <c r="X995" s="84" t="s">
        <v>2652</v>
      </c>
      <c r="AA995" s="84" t="s">
        <v>2642</v>
      </c>
      <c r="AG995" s="84" t="s">
        <v>2643</v>
      </c>
      <c r="AU995" s="84">
        <v>110</v>
      </c>
      <c r="AW995" s="84" t="s">
        <v>2541</v>
      </c>
      <c r="AX995" s="84" t="s">
        <v>2541</v>
      </c>
      <c r="AY995" s="86" t="s">
        <v>2651</v>
      </c>
      <c r="AZ995" s="88">
        <f t="shared" si="33"/>
        <v>0</v>
      </c>
      <c r="BX995" s="88"/>
      <c r="CQ995" s="88"/>
    </row>
    <row r="996" spans="1:96" outlineLevel="1" x14ac:dyDescent="0.15">
      <c r="A996" s="76">
        <v>983</v>
      </c>
      <c r="B996" s="65" t="s">
        <v>2036</v>
      </c>
      <c r="C996" s="65">
        <v>1002341744</v>
      </c>
      <c r="D996" s="81" t="str">
        <f t="shared" si="34"/>
        <v>https://portal.dnb.de/opac.htm?method=simpleSearch&amp;cqlMode=true&amp;query=idn%3D1002341744</v>
      </c>
      <c r="E996" s="65" t="s">
        <v>2037</v>
      </c>
      <c r="F996" s="76"/>
      <c r="G996" s="78"/>
      <c r="H996" s="76" t="s">
        <v>50</v>
      </c>
      <c r="I996" s="78"/>
      <c r="J996" s="78"/>
      <c r="K996" s="76"/>
      <c r="L996" s="76"/>
      <c r="M996" s="76"/>
      <c r="N996" s="76"/>
      <c r="O996" s="76"/>
      <c r="P996" s="76"/>
      <c r="Q996" s="76"/>
      <c r="R996" s="76"/>
      <c r="X996" s="84" t="s">
        <v>2697</v>
      </c>
      <c r="Z996" s="84" t="s">
        <v>2541</v>
      </c>
      <c r="AA996" s="84" t="s">
        <v>2642</v>
      </c>
      <c r="AG996" s="84" t="s">
        <v>2643</v>
      </c>
      <c r="AU996" s="84">
        <v>110</v>
      </c>
      <c r="AW996" s="84" t="s">
        <v>2541</v>
      </c>
      <c r="AX996" s="84" t="s">
        <v>2541</v>
      </c>
      <c r="AY996" s="86" t="s">
        <v>2651</v>
      </c>
      <c r="AZ996" s="88">
        <f t="shared" si="33"/>
        <v>0</v>
      </c>
      <c r="BB996" s="84" t="s">
        <v>2777</v>
      </c>
      <c r="BX996" s="88"/>
      <c r="CQ996" s="88"/>
    </row>
    <row r="997" spans="1:96" outlineLevel="1" x14ac:dyDescent="0.15">
      <c r="A997" s="76">
        <v>984</v>
      </c>
      <c r="B997" s="65" t="s">
        <v>2038</v>
      </c>
      <c r="C997" s="65">
        <v>998707805</v>
      </c>
      <c r="D997" s="81" t="str">
        <f t="shared" si="34"/>
        <v>https://portal.dnb.de/opac.htm?method=simpleSearch&amp;cqlMode=true&amp;query=idn%3D998707805</v>
      </c>
      <c r="E997" s="65" t="s">
        <v>2039</v>
      </c>
      <c r="F997" s="76"/>
      <c r="G997" s="78"/>
      <c r="H997" s="76" t="s">
        <v>50</v>
      </c>
      <c r="I997" s="78"/>
      <c r="J997" s="78"/>
      <c r="K997" s="76"/>
      <c r="L997" s="76"/>
      <c r="M997" s="76"/>
      <c r="N997" s="76"/>
      <c r="O997" s="76"/>
      <c r="P997" s="76"/>
      <c r="Q997" s="76"/>
      <c r="R997" s="76"/>
      <c r="X997" s="84" t="s">
        <v>2646</v>
      </c>
      <c r="AA997" s="84" t="s">
        <v>2675</v>
      </c>
      <c r="AG997" s="84" t="s">
        <v>2643</v>
      </c>
      <c r="AU997" s="84">
        <v>60</v>
      </c>
      <c r="AY997" s="86" t="s">
        <v>2651</v>
      </c>
      <c r="AZ997" s="88">
        <f t="shared" si="33"/>
        <v>0</v>
      </c>
      <c r="BX997" s="88"/>
      <c r="CQ997" s="88"/>
    </row>
    <row r="998" spans="1:96" outlineLevel="1" x14ac:dyDescent="0.15">
      <c r="A998" s="76">
        <v>985</v>
      </c>
      <c r="B998" s="65" t="s">
        <v>2040</v>
      </c>
      <c r="C998" s="65">
        <v>995989699</v>
      </c>
      <c r="D998" s="81" t="str">
        <f t="shared" si="34"/>
        <v>https://portal.dnb.de/opac.htm?method=simpleSearch&amp;cqlMode=true&amp;query=idn%3D995989699</v>
      </c>
      <c r="E998" s="65" t="s">
        <v>2811</v>
      </c>
      <c r="F998" s="76"/>
      <c r="G998" s="78"/>
      <c r="H998" s="76"/>
      <c r="I998" s="78"/>
      <c r="J998" s="78"/>
      <c r="K998" s="76"/>
      <c r="L998" s="76"/>
      <c r="M998" s="76"/>
      <c r="N998" s="76"/>
      <c r="O998" s="76"/>
      <c r="P998" s="76"/>
      <c r="Q998" s="76"/>
      <c r="R998" s="76"/>
      <c r="AZ998" s="88">
        <f t="shared" si="33"/>
        <v>0</v>
      </c>
      <c r="BX998" s="88"/>
      <c r="CQ998" s="88"/>
    </row>
    <row r="999" spans="1:96" outlineLevel="1" x14ac:dyDescent="0.15">
      <c r="A999" s="76">
        <v>986</v>
      </c>
      <c r="B999" s="65" t="s">
        <v>2042</v>
      </c>
      <c r="C999" s="65">
        <v>994827342</v>
      </c>
      <c r="D999" s="81" t="str">
        <f t="shared" si="34"/>
        <v>https://portal.dnb.de/opac.htm?method=simpleSearch&amp;cqlMode=true&amp;query=idn%3D994827342</v>
      </c>
      <c r="E999" s="65" t="s">
        <v>2041</v>
      </c>
      <c r="F999" s="76"/>
      <c r="G999" s="78"/>
      <c r="H999" s="76" t="s">
        <v>50</v>
      </c>
      <c r="I999" s="78"/>
      <c r="J999" s="78"/>
      <c r="K999" s="76"/>
      <c r="L999" s="76"/>
      <c r="M999" s="76"/>
      <c r="N999" s="76"/>
      <c r="O999" s="76"/>
      <c r="P999" s="76"/>
      <c r="Q999" s="76"/>
      <c r="R999" s="76"/>
      <c r="X999" s="84" t="s">
        <v>2643</v>
      </c>
      <c r="AA999" s="84" t="s">
        <v>2647</v>
      </c>
      <c r="AG999" s="84" t="s">
        <v>2643</v>
      </c>
      <c r="AU999" s="84">
        <v>110</v>
      </c>
      <c r="AY999" s="86" t="s">
        <v>2651</v>
      </c>
      <c r="AZ999" s="88">
        <f t="shared" si="33"/>
        <v>0</v>
      </c>
      <c r="BX999" s="88"/>
      <c r="CQ999" s="88"/>
    </row>
    <row r="1000" spans="1:96" outlineLevel="1" x14ac:dyDescent="0.15">
      <c r="A1000" s="76">
        <v>987</v>
      </c>
      <c r="B1000" s="65" t="s">
        <v>2043</v>
      </c>
      <c r="C1000" s="65">
        <v>1002741084</v>
      </c>
      <c r="D1000" s="81" t="str">
        <f t="shared" si="34"/>
        <v>https://portal.dnb.de/opac.htm?method=simpleSearch&amp;cqlMode=true&amp;query=idn%3D1002741084</v>
      </c>
      <c r="E1000" s="65" t="s">
        <v>2044</v>
      </c>
      <c r="F1000" s="76"/>
      <c r="G1000" s="78"/>
      <c r="H1000" s="76" t="s">
        <v>51</v>
      </c>
      <c r="I1000" s="78"/>
      <c r="J1000" s="78"/>
      <c r="K1000" s="76"/>
      <c r="L1000" s="76"/>
      <c r="M1000" s="76"/>
      <c r="N1000" s="76"/>
      <c r="O1000" s="76"/>
      <c r="P1000" s="76"/>
      <c r="Q1000" s="76"/>
      <c r="R1000" s="76"/>
      <c r="X1000" s="84" t="s">
        <v>2646</v>
      </c>
      <c r="AA1000" s="84" t="s">
        <v>2647</v>
      </c>
      <c r="AG1000" s="84" t="s">
        <v>2643</v>
      </c>
      <c r="AU1000" s="84">
        <v>110</v>
      </c>
      <c r="AY1000" s="86" t="s">
        <v>2651</v>
      </c>
      <c r="AZ1000" s="88">
        <f t="shared" si="33"/>
        <v>0</v>
      </c>
      <c r="BB1000" s="84" t="s">
        <v>2777</v>
      </c>
      <c r="BX1000" s="88"/>
      <c r="CQ1000" s="88"/>
    </row>
    <row r="1001" spans="1:96" outlineLevel="1" x14ac:dyDescent="0.15">
      <c r="A1001" s="76">
        <v>988</v>
      </c>
      <c r="B1001" s="65" t="s">
        <v>2045</v>
      </c>
      <c r="C1001" s="65">
        <v>994245459</v>
      </c>
      <c r="D1001" s="81" t="str">
        <f t="shared" si="34"/>
        <v>https://portal.dnb.de/opac.htm?method=simpleSearch&amp;cqlMode=true&amp;query=idn%3D994245459</v>
      </c>
      <c r="E1001" s="65" t="s">
        <v>2046</v>
      </c>
      <c r="F1001" s="76"/>
      <c r="G1001" s="78"/>
      <c r="H1001" s="76" t="s">
        <v>50</v>
      </c>
      <c r="I1001" s="78"/>
      <c r="J1001" s="78"/>
      <c r="K1001" s="76"/>
      <c r="L1001" s="76"/>
      <c r="M1001" s="76"/>
      <c r="N1001" s="76"/>
      <c r="O1001" s="76"/>
      <c r="P1001" s="76"/>
      <c r="Q1001" s="76"/>
      <c r="R1001" s="76"/>
      <c r="X1001" s="84" t="s">
        <v>2641</v>
      </c>
      <c r="AA1001" s="84" t="s">
        <v>2642</v>
      </c>
      <c r="AG1001" s="84" t="s">
        <v>2643</v>
      </c>
      <c r="AU1001" s="84">
        <v>110</v>
      </c>
      <c r="AY1001" s="86" t="s">
        <v>2651</v>
      </c>
      <c r="AZ1001" s="88">
        <f t="shared" si="33"/>
        <v>0</v>
      </c>
      <c r="BB1001" s="84" t="s">
        <v>2777</v>
      </c>
      <c r="BX1001" s="88"/>
      <c r="CQ1001" s="88"/>
    </row>
    <row r="1002" spans="1:96" outlineLevel="1" x14ac:dyDescent="0.15">
      <c r="A1002" s="76">
        <v>989</v>
      </c>
      <c r="B1002" s="65" t="s">
        <v>2047</v>
      </c>
      <c r="C1002" s="65">
        <v>997391812</v>
      </c>
      <c r="D1002" s="81" t="str">
        <f t="shared" si="34"/>
        <v>https://portal.dnb.de/opac.htm?method=simpleSearch&amp;cqlMode=true&amp;query=idn%3D997391812</v>
      </c>
      <c r="E1002" s="65" t="s">
        <v>2048</v>
      </c>
      <c r="F1002" s="76"/>
      <c r="G1002" s="78"/>
      <c r="H1002" s="76" t="s">
        <v>51</v>
      </c>
      <c r="I1002" s="78"/>
      <c r="J1002" s="78"/>
      <c r="K1002" s="76"/>
      <c r="L1002" s="76"/>
      <c r="M1002" s="76"/>
      <c r="N1002" s="76"/>
      <c r="O1002" s="76"/>
      <c r="P1002" s="76"/>
      <c r="Q1002" s="76"/>
      <c r="R1002" s="76"/>
      <c r="X1002" s="84" t="s">
        <v>2646</v>
      </c>
      <c r="Z1002" s="84" t="s">
        <v>2541</v>
      </c>
      <c r="AA1002" s="84" t="s">
        <v>2675</v>
      </c>
      <c r="AG1002" s="84" t="s">
        <v>2643</v>
      </c>
      <c r="AS1002" s="84">
        <v>2</v>
      </c>
      <c r="AU1002" s="84">
        <v>110</v>
      </c>
      <c r="AY1002" s="86" t="s">
        <v>2651</v>
      </c>
      <c r="AZ1002" s="88">
        <f t="shared" si="33"/>
        <v>0</v>
      </c>
      <c r="BB1002" s="84" t="s">
        <v>2777</v>
      </c>
      <c r="BX1002" s="88"/>
      <c r="CQ1002" s="88"/>
    </row>
    <row r="1003" spans="1:96" outlineLevel="1" x14ac:dyDescent="0.15">
      <c r="A1003" s="76">
        <v>990</v>
      </c>
      <c r="B1003" s="65" t="s">
        <v>2049</v>
      </c>
      <c r="C1003" s="65">
        <v>999958127</v>
      </c>
      <c r="D1003" s="81" t="str">
        <f t="shared" si="34"/>
        <v>https://portal.dnb.de/opac.htm?method=simpleSearch&amp;cqlMode=true&amp;query=idn%3D999958127</v>
      </c>
      <c r="E1003" s="65" t="s">
        <v>2048</v>
      </c>
      <c r="F1003" s="76"/>
      <c r="G1003" s="78"/>
      <c r="H1003" s="76"/>
      <c r="I1003" s="78"/>
      <c r="J1003" s="78"/>
      <c r="K1003" s="76"/>
      <c r="L1003" s="76"/>
      <c r="M1003" s="76"/>
      <c r="N1003" s="76"/>
      <c r="O1003" s="76"/>
      <c r="P1003" s="76"/>
      <c r="Q1003" s="76"/>
      <c r="R1003" s="76"/>
      <c r="AZ1003" s="88">
        <f t="shared" si="33"/>
        <v>0</v>
      </c>
      <c r="BX1003" s="88"/>
      <c r="CQ1003" s="88"/>
    </row>
    <row r="1004" spans="1:96" outlineLevel="1" x14ac:dyDescent="0.15">
      <c r="A1004" s="76">
        <v>991</v>
      </c>
      <c r="B1004" s="65" t="s">
        <v>2050</v>
      </c>
      <c r="C1004" s="65" t="s">
        <v>2051</v>
      </c>
      <c r="D1004" s="81" t="str">
        <f t="shared" si="34"/>
        <v>https://portal.dnb.de/opac.htm?method=simpleSearch&amp;cqlMode=true&amp;query=idn%3D99981530X</v>
      </c>
      <c r="E1004" s="65" t="s">
        <v>2052</v>
      </c>
      <c r="F1004" s="76"/>
      <c r="G1004" s="78"/>
      <c r="H1004" s="76" t="s">
        <v>50</v>
      </c>
      <c r="I1004" s="78"/>
      <c r="J1004" s="78"/>
      <c r="K1004" s="76"/>
      <c r="L1004" s="76"/>
      <c r="M1004" s="76"/>
      <c r="N1004" s="76"/>
      <c r="O1004" s="76"/>
      <c r="P1004" s="76"/>
      <c r="Q1004" s="76"/>
      <c r="R1004" s="76"/>
      <c r="X1004" s="84" t="s">
        <v>2646</v>
      </c>
      <c r="Z1004" s="84" t="s">
        <v>2541</v>
      </c>
      <c r="AA1004" s="84" t="s">
        <v>2647</v>
      </c>
      <c r="AG1004" s="84" t="s">
        <v>2643</v>
      </c>
      <c r="AS1004" s="84">
        <v>4</v>
      </c>
      <c r="AU1004" s="84">
        <v>110</v>
      </c>
      <c r="AW1004" s="84" t="s">
        <v>2541</v>
      </c>
      <c r="AY1004" s="86" t="s">
        <v>2651</v>
      </c>
      <c r="AZ1004" s="88">
        <f t="shared" si="33"/>
        <v>0</v>
      </c>
      <c r="BB1004" s="84" t="s">
        <v>2777</v>
      </c>
      <c r="BX1004" s="88"/>
      <c r="CQ1004" s="88"/>
    </row>
    <row r="1005" spans="1:96" outlineLevel="1" x14ac:dyDescent="0.15">
      <c r="A1005" s="76">
        <v>992</v>
      </c>
      <c r="B1005" s="65" t="s">
        <v>2053</v>
      </c>
      <c r="C1005" s="65">
        <v>995639922</v>
      </c>
      <c r="D1005" s="81" t="str">
        <f t="shared" si="34"/>
        <v>https://portal.dnb.de/opac.htm?method=simpleSearch&amp;cqlMode=true&amp;query=idn%3D995639922</v>
      </c>
      <c r="E1005" s="65" t="s">
        <v>2054</v>
      </c>
      <c r="F1005" s="76"/>
      <c r="G1005" s="78"/>
      <c r="H1005" s="76" t="s">
        <v>50</v>
      </c>
      <c r="I1005" s="78"/>
      <c r="J1005" s="78"/>
      <c r="K1005" s="76"/>
      <c r="L1005" s="76"/>
      <c r="M1005" s="76"/>
      <c r="N1005" s="76"/>
      <c r="O1005" s="76"/>
      <c r="P1005" s="76"/>
      <c r="Q1005" s="76"/>
      <c r="R1005" s="76"/>
      <c r="X1005" s="84" t="s">
        <v>2646</v>
      </c>
      <c r="AA1005" s="84" t="s">
        <v>2675</v>
      </c>
      <c r="AG1005" s="84" t="s">
        <v>2643</v>
      </c>
      <c r="AU1005" s="84">
        <v>110</v>
      </c>
      <c r="AY1005" s="86" t="s">
        <v>2651</v>
      </c>
      <c r="AZ1005" s="88">
        <f t="shared" si="33"/>
        <v>0</v>
      </c>
      <c r="BX1005" s="88"/>
      <c r="CQ1005" s="88"/>
    </row>
    <row r="1006" spans="1:96" outlineLevel="1" x14ac:dyDescent="0.15">
      <c r="A1006" s="76">
        <v>993</v>
      </c>
      <c r="B1006" s="65" t="s">
        <v>2055</v>
      </c>
      <c r="C1006" s="65">
        <v>999831461</v>
      </c>
      <c r="D1006" s="81" t="str">
        <f t="shared" si="34"/>
        <v>https://portal.dnb.de/opac.htm?method=simpleSearch&amp;cqlMode=true&amp;query=idn%3D999831461</v>
      </c>
      <c r="E1006" s="65" t="s">
        <v>2056</v>
      </c>
      <c r="F1006" s="76"/>
      <c r="G1006" s="78"/>
      <c r="H1006" s="76" t="s">
        <v>50</v>
      </c>
      <c r="I1006" s="78"/>
      <c r="J1006" s="78"/>
      <c r="K1006" s="76"/>
      <c r="L1006" s="76"/>
      <c r="M1006" s="76"/>
      <c r="N1006" s="76"/>
      <c r="O1006" s="76"/>
      <c r="P1006" s="76"/>
      <c r="Q1006" s="76"/>
      <c r="R1006" s="76"/>
      <c r="X1006" s="84" t="s">
        <v>2696</v>
      </c>
      <c r="AA1006" s="84" t="s">
        <v>2675</v>
      </c>
      <c r="AG1006" s="84" t="s">
        <v>2643</v>
      </c>
      <c r="AU1006" s="84">
        <v>110</v>
      </c>
      <c r="AY1006" s="86" t="s">
        <v>2651</v>
      </c>
      <c r="AZ1006" s="88">
        <f t="shared" si="33"/>
        <v>0</v>
      </c>
      <c r="BX1006" s="88"/>
      <c r="CQ1006" s="88"/>
    </row>
    <row r="1007" spans="1:96" outlineLevel="1" x14ac:dyDescent="0.15">
      <c r="A1007" s="76">
        <v>994</v>
      </c>
      <c r="B1007" s="65" t="s">
        <v>2057</v>
      </c>
      <c r="C1007" s="65">
        <v>994566255</v>
      </c>
      <c r="D1007" s="81" t="str">
        <f t="shared" si="34"/>
        <v>https://portal.dnb.de/opac.htm?method=simpleSearch&amp;cqlMode=true&amp;query=idn%3D994566255</v>
      </c>
      <c r="E1007" s="65" t="s">
        <v>2058</v>
      </c>
      <c r="F1007" s="76"/>
      <c r="G1007" s="78"/>
      <c r="H1007" s="76" t="s">
        <v>53</v>
      </c>
      <c r="I1007" s="78"/>
      <c r="J1007" s="78"/>
      <c r="K1007" s="76"/>
      <c r="L1007" s="76"/>
      <c r="M1007" s="76"/>
      <c r="N1007" s="76"/>
      <c r="O1007" s="76"/>
      <c r="P1007" s="76"/>
      <c r="Q1007" s="76"/>
      <c r="R1007" s="76"/>
      <c r="X1007" s="84" t="s">
        <v>2641</v>
      </c>
      <c r="AA1007" s="84" t="s">
        <v>2642</v>
      </c>
      <c r="AF1007" s="84" t="s">
        <v>2541</v>
      </c>
      <c r="AG1007" s="84" t="s">
        <v>2643</v>
      </c>
      <c r="AQ1007" s="84" t="s">
        <v>2658</v>
      </c>
      <c r="AR1007" s="84" t="s">
        <v>2541</v>
      </c>
      <c r="AU1007" s="84">
        <v>60</v>
      </c>
      <c r="AY1007" s="86" t="s">
        <v>2644</v>
      </c>
      <c r="AZ1007" s="88">
        <f t="shared" si="33"/>
        <v>0.5</v>
      </c>
      <c r="BF1007" s="84" t="s">
        <v>2659</v>
      </c>
      <c r="BG1007" s="84" t="s">
        <v>2541</v>
      </c>
      <c r="BJ1007" s="79" t="s">
        <v>2783</v>
      </c>
      <c r="BX1007" s="88"/>
      <c r="BZ1007" s="84" t="s">
        <v>2541</v>
      </c>
      <c r="CQ1007" s="88">
        <v>0.5</v>
      </c>
      <c r="CR1007" s="79" t="s">
        <v>2950</v>
      </c>
    </row>
    <row r="1008" spans="1:96" outlineLevel="1" x14ac:dyDescent="0.15">
      <c r="A1008" s="76">
        <v>995</v>
      </c>
      <c r="B1008" s="65" t="s">
        <v>2059</v>
      </c>
      <c r="C1008" s="65">
        <v>1002268591</v>
      </c>
      <c r="D1008" s="81" t="str">
        <f t="shared" si="34"/>
        <v>https://portal.dnb.de/opac.htm?method=simpleSearch&amp;cqlMode=true&amp;query=idn%3D1002268591</v>
      </c>
      <c r="E1008" s="65" t="s">
        <v>2060</v>
      </c>
      <c r="F1008" s="76"/>
      <c r="G1008" s="78"/>
      <c r="H1008" s="76" t="s">
        <v>51</v>
      </c>
      <c r="I1008" s="78"/>
      <c r="J1008" s="78"/>
      <c r="K1008" s="76"/>
      <c r="L1008" s="76"/>
      <c r="M1008" s="76"/>
      <c r="N1008" s="76"/>
      <c r="O1008" s="76"/>
      <c r="P1008" s="76"/>
      <c r="Q1008" s="76"/>
      <c r="R1008" s="76"/>
      <c r="X1008" s="84" t="s">
        <v>2646</v>
      </c>
      <c r="AA1008" s="84" t="s">
        <v>2675</v>
      </c>
      <c r="AG1008" s="84" t="s">
        <v>2643</v>
      </c>
      <c r="AU1008" s="84">
        <v>110</v>
      </c>
      <c r="AY1008" s="86" t="s">
        <v>2644</v>
      </c>
      <c r="AZ1008" s="88">
        <f t="shared" si="33"/>
        <v>1.5</v>
      </c>
      <c r="BF1008" s="84" t="s">
        <v>2659</v>
      </c>
      <c r="BG1008" s="84" t="s">
        <v>2541</v>
      </c>
      <c r="BX1008" s="88"/>
      <c r="CD1008" s="84" t="s">
        <v>2541</v>
      </c>
      <c r="CH1008" s="84" t="s">
        <v>2541</v>
      </c>
      <c r="CN1008" s="84" t="s">
        <v>2541</v>
      </c>
      <c r="CQ1008" s="88">
        <v>1.5</v>
      </c>
    </row>
    <row r="1009" spans="1:95" outlineLevel="1" x14ac:dyDescent="0.15">
      <c r="A1009" s="76">
        <v>996</v>
      </c>
      <c r="B1009" s="65" t="s">
        <v>2061</v>
      </c>
      <c r="C1009" s="65">
        <v>1026393566</v>
      </c>
      <c r="D1009" s="81" t="str">
        <f t="shared" si="34"/>
        <v>https://portal.dnb.de/opac.htm?method=simpleSearch&amp;cqlMode=true&amp;query=idn%3D1026393566</v>
      </c>
      <c r="E1009" s="65" t="s">
        <v>2062</v>
      </c>
      <c r="F1009" s="76"/>
      <c r="G1009" s="78"/>
      <c r="H1009" s="76" t="s">
        <v>51</v>
      </c>
      <c r="I1009" s="78"/>
      <c r="J1009" s="78"/>
      <c r="K1009" s="76"/>
      <c r="L1009" s="76"/>
      <c r="M1009" s="76"/>
      <c r="N1009" s="76"/>
      <c r="O1009" s="76"/>
      <c r="P1009" s="76"/>
      <c r="Q1009" s="76"/>
      <c r="R1009" s="76"/>
      <c r="X1009" s="84" t="s">
        <v>2643</v>
      </c>
      <c r="AA1009" s="84" t="s">
        <v>2675</v>
      </c>
      <c r="AG1009" s="84" t="s">
        <v>2643</v>
      </c>
      <c r="AQ1009" s="84" t="s">
        <v>2686</v>
      </c>
      <c r="AR1009" s="84" t="s">
        <v>2541</v>
      </c>
      <c r="AS1009" s="84">
        <v>0</v>
      </c>
      <c r="AT1009" s="84" t="s">
        <v>2541</v>
      </c>
      <c r="AU1009" s="84">
        <v>110</v>
      </c>
      <c r="AY1009" s="86" t="s">
        <v>2644</v>
      </c>
      <c r="AZ1009" s="88">
        <f t="shared" si="33"/>
        <v>0.5</v>
      </c>
      <c r="BE1009" s="84" t="s">
        <v>2541</v>
      </c>
      <c r="BM1009" s="84" t="s">
        <v>2541</v>
      </c>
      <c r="BX1009" s="88">
        <v>0.5</v>
      </c>
      <c r="CQ1009" s="88"/>
    </row>
    <row r="1010" spans="1:95" outlineLevel="1" x14ac:dyDescent="0.15">
      <c r="A1010" s="76">
        <v>997</v>
      </c>
      <c r="B1010" s="65" t="s">
        <v>2063</v>
      </c>
      <c r="C1010" s="65" t="s">
        <v>2064</v>
      </c>
      <c r="D1010" s="81" t="str">
        <f t="shared" si="34"/>
        <v>https://portal.dnb.de/opac.htm?method=simpleSearch&amp;cqlMode=true&amp;query=idn%3D118582569X</v>
      </c>
      <c r="E1010" s="65" t="s">
        <v>2065</v>
      </c>
      <c r="F1010" s="76"/>
      <c r="G1010" s="78"/>
      <c r="H1010" s="76" t="s">
        <v>50</v>
      </c>
      <c r="I1010" s="78"/>
      <c r="J1010" s="78"/>
      <c r="K1010" s="76"/>
      <c r="L1010" s="76"/>
      <c r="M1010" s="76"/>
      <c r="N1010" s="76"/>
      <c r="O1010" s="76"/>
      <c r="P1010" s="76"/>
      <c r="Q1010" s="76"/>
      <c r="R1010" s="76"/>
      <c r="X1010" s="84" t="s">
        <v>2646</v>
      </c>
      <c r="AA1010" s="84" t="s">
        <v>2675</v>
      </c>
      <c r="AG1010" s="84" t="s">
        <v>2643</v>
      </c>
      <c r="AU1010" s="84">
        <v>110</v>
      </c>
      <c r="AY1010" s="86" t="s">
        <v>2651</v>
      </c>
      <c r="AZ1010" s="88">
        <f t="shared" si="33"/>
        <v>0</v>
      </c>
      <c r="BE1010" s="84" t="s">
        <v>2541</v>
      </c>
      <c r="BX1010" s="88"/>
      <c r="CQ1010" s="88"/>
    </row>
    <row r="1011" spans="1:95" outlineLevel="1" x14ac:dyDescent="0.15">
      <c r="A1011" s="76">
        <v>998</v>
      </c>
      <c r="B1011" s="65" t="s">
        <v>2066</v>
      </c>
      <c r="C1011" s="65">
        <v>1208529617</v>
      </c>
      <c r="D1011" s="81" t="str">
        <f t="shared" si="34"/>
        <v>https://portal.dnb.de/opac.htm?method=simpleSearch&amp;cqlMode=true&amp;query=idn%3D1208529617</v>
      </c>
      <c r="E1011" s="65" t="s">
        <v>2067</v>
      </c>
      <c r="F1011" s="76"/>
      <c r="G1011" s="78"/>
      <c r="H1011" s="76"/>
      <c r="I1011" s="78"/>
      <c r="J1011" s="78"/>
      <c r="K1011" s="76"/>
      <c r="L1011" s="76"/>
      <c r="M1011" s="76"/>
      <c r="N1011" s="76"/>
      <c r="O1011" s="76"/>
      <c r="P1011" s="76"/>
      <c r="Q1011" s="76"/>
      <c r="R1011" s="76"/>
      <c r="AZ1011" s="88">
        <f t="shared" si="33"/>
        <v>0</v>
      </c>
      <c r="BX1011" s="88"/>
      <c r="CQ1011" s="88"/>
    </row>
    <row r="1012" spans="1:95" outlineLevel="1" x14ac:dyDescent="0.15">
      <c r="A1012" s="76">
        <v>999</v>
      </c>
      <c r="B1012" s="65" t="s">
        <v>2068</v>
      </c>
      <c r="C1012" s="65">
        <v>994259441</v>
      </c>
      <c r="D1012" s="81" t="str">
        <f t="shared" si="34"/>
        <v>https://portal.dnb.de/opac.htm?method=simpleSearch&amp;cqlMode=true&amp;query=idn%3D994259441</v>
      </c>
      <c r="E1012" s="65" t="s">
        <v>2069</v>
      </c>
      <c r="F1012" s="76"/>
      <c r="G1012" s="78"/>
      <c r="H1012" s="76" t="s">
        <v>50</v>
      </c>
      <c r="I1012" s="78"/>
      <c r="J1012" s="78"/>
      <c r="K1012" s="76"/>
      <c r="L1012" s="76"/>
      <c r="M1012" s="76"/>
      <c r="N1012" s="76"/>
      <c r="O1012" s="76"/>
      <c r="P1012" s="76"/>
      <c r="Q1012" s="76"/>
      <c r="R1012" s="76"/>
      <c r="X1012" s="84" t="s">
        <v>2699</v>
      </c>
      <c r="AA1012" s="84" t="s">
        <v>2647</v>
      </c>
      <c r="AG1012" s="84" t="s">
        <v>2643</v>
      </c>
      <c r="AU1012" s="84">
        <v>110</v>
      </c>
      <c r="AY1012" s="86" t="s">
        <v>2651</v>
      </c>
      <c r="AZ1012" s="88">
        <f t="shared" si="33"/>
        <v>0</v>
      </c>
      <c r="BB1012" s="84" t="s">
        <v>2777</v>
      </c>
      <c r="BI1012" s="63" t="s">
        <v>2780</v>
      </c>
      <c r="BX1012" s="88"/>
      <c r="CQ1012" s="88"/>
    </row>
    <row r="1013" spans="1:95" outlineLevel="1" x14ac:dyDescent="0.15">
      <c r="A1013" s="76">
        <v>1000</v>
      </c>
      <c r="B1013" s="65" t="s">
        <v>2070</v>
      </c>
      <c r="C1013" s="65" t="s">
        <v>2071</v>
      </c>
      <c r="D1013" s="81" t="str">
        <f t="shared" si="34"/>
        <v>https://portal.dnb.de/opac.htm?method=simpleSearch&amp;cqlMode=true&amp;query=idn%3D100154014X</v>
      </c>
      <c r="E1013" s="65" t="s">
        <v>2072</v>
      </c>
      <c r="F1013" s="76"/>
      <c r="G1013" s="78"/>
      <c r="H1013" s="76" t="s">
        <v>52</v>
      </c>
      <c r="I1013" s="78"/>
      <c r="J1013" s="78"/>
      <c r="K1013" s="76"/>
      <c r="L1013" s="76"/>
      <c r="M1013" s="76"/>
      <c r="N1013" s="76"/>
      <c r="O1013" s="76"/>
      <c r="P1013" s="76"/>
      <c r="Q1013" s="76"/>
      <c r="R1013" s="76"/>
      <c r="X1013" s="84" t="s">
        <v>2652</v>
      </c>
      <c r="Z1013" s="84" t="s">
        <v>2541</v>
      </c>
      <c r="AA1013" s="84" t="s">
        <v>2642</v>
      </c>
      <c r="AG1013" s="84" t="s">
        <v>2643</v>
      </c>
      <c r="AP1013" s="84" t="s">
        <v>2541</v>
      </c>
      <c r="AR1013" s="84" t="s">
        <v>2541</v>
      </c>
      <c r="AU1013" s="84">
        <v>110</v>
      </c>
      <c r="AY1013" s="86" t="s">
        <v>2651</v>
      </c>
      <c r="AZ1013" s="88">
        <f t="shared" si="33"/>
        <v>0</v>
      </c>
      <c r="BC1013" s="84" t="s">
        <v>2541</v>
      </c>
      <c r="BI1013" s="63" t="s">
        <v>2780</v>
      </c>
      <c r="BX1013" s="88"/>
      <c r="CQ1013" s="88"/>
    </row>
    <row r="1014" spans="1:95" outlineLevel="1" x14ac:dyDescent="0.15">
      <c r="A1014" s="76">
        <v>1001</v>
      </c>
      <c r="B1014" s="65" t="s">
        <v>2073</v>
      </c>
      <c r="C1014" s="65">
        <v>995213216</v>
      </c>
      <c r="D1014" s="81" t="str">
        <f t="shared" si="34"/>
        <v>https://portal.dnb.de/opac.htm?method=simpleSearch&amp;cqlMode=true&amp;query=idn%3D995213216</v>
      </c>
      <c r="E1014" s="65" t="s">
        <v>2074</v>
      </c>
      <c r="F1014" s="76"/>
      <c r="G1014" s="78"/>
      <c r="H1014" s="76" t="s">
        <v>50</v>
      </c>
      <c r="I1014" s="78"/>
      <c r="J1014" s="78"/>
      <c r="K1014" s="76"/>
      <c r="L1014" s="76"/>
      <c r="M1014" s="76"/>
      <c r="N1014" s="76"/>
      <c r="O1014" s="76"/>
      <c r="P1014" s="76"/>
      <c r="Q1014" s="76"/>
      <c r="R1014" s="76"/>
      <c r="X1014" s="84" t="s">
        <v>2646</v>
      </c>
      <c r="AA1014" s="84" t="s">
        <v>2675</v>
      </c>
      <c r="AG1014" s="84" t="s">
        <v>2643</v>
      </c>
      <c r="AU1014" s="84">
        <v>110</v>
      </c>
      <c r="AY1014" s="86" t="s">
        <v>2651</v>
      </c>
      <c r="AZ1014" s="88">
        <f t="shared" si="33"/>
        <v>0</v>
      </c>
      <c r="BX1014" s="88"/>
      <c r="CQ1014" s="88"/>
    </row>
    <row r="1015" spans="1:95" outlineLevel="1" x14ac:dyDescent="0.15">
      <c r="A1015" s="76">
        <v>1002</v>
      </c>
      <c r="B1015" s="65" t="s">
        <v>2075</v>
      </c>
      <c r="C1015" s="65">
        <v>1066935300</v>
      </c>
      <c r="D1015" s="81" t="str">
        <f t="shared" si="34"/>
        <v>https://portal.dnb.de/opac.htm?method=simpleSearch&amp;cqlMode=true&amp;query=idn%3D1066935300</v>
      </c>
      <c r="E1015" s="65" t="s">
        <v>2076</v>
      </c>
      <c r="F1015" s="76"/>
      <c r="G1015" s="78"/>
      <c r="H1015" s="76" t="s">
        <v>50</v>
      </c>
      <c r="I1015" s="78"/>
      <c r="J1015" s="78"/>
      <c r="K1015" s="76"/>
      <c r="L1015" s="76"/>
      <c r="M1015" s="76"/>
      <c r="N1015" s="76"/>
      <c r="O1015" s="76"/>
      <c r="P1015" s="76"/>
      <c r="Q1015" s="76"/>
      <c r="R1015" s="76"/>
      <c r="X1015" s="84" t="s">
        <v>2652</v>
      </c>
      <c r="Z1015" s="84" t="s">
        <v>2541</v>
      </c>
      <c r="AA1015" s="84" t="s">
        <v>2653</v>
      </c>
      <c r="AG1015" s="84" t="s">
        <v>2643</v>
      </c>
      <c r="AU1015" s="84" t="s">
        <v>2776</v>
      </c>
      <c r="AY1015" s="86" t="s">
        <v>2651</v>
      </c>
      <c r="AZ1015" s="88">
        <f t="shared" si="33"/>
        <v>0</v>
      </c>
      <c r="BB1015" s="84" t="s">
        <v>2777</v>
      </c>
      <c r="BX1015" s="88"/>
      <c r="CQ1015" s="88"/>
    </row>
    <row r="1016" spans="1:95" outlineLevel="1" x14ac:dyDescent="0.15">
      <c r="A1016" s="76">
        <v>1003</v>
      </c>
      <c r="B1016" s="65" t="s">
        <v>2077</v>
      </c>
      <c r="C1016" s="65">
        <v>998469998</v>
      </c>
      <c r="D1016" s="81" t="str">
        <f t="shared" si="34"/>
        <v>https://portal.dnb.de/opac.htm?method=simpleSearch&amp;cqlMode=true&amp;query=idn%3D998469998</v>
      </c>
      <c r="E1016" s="65" t="s">
        <v>2076</v>
      </c>
      <c r="F1016" s="76"/>
      <c r="G1016" s="78"/>
      <c r="H1016" s="76"/>
      <c r="I1016" s="78"/>
      <c r="J1016" s="78"/>
      <c r="K1016" s="76"/>
      <c r="L1016" s="76"/>
      <c r="M1016" s="76"/>
      <c r="N1016" s="76"/>
      <c r="O1016" s="76"/>
      <c r="P1016" s="76"/>
      <c r="Q1016" s="76"/>
      <c r="R1016" s="76"/>
      <c r="AZ1016" s="88">
        <f t="shared" si="33"/>
        <v>0</v>
      </c>
      <c r="BX1016" s="88"/>
      <c r="CQ1016" s="88"/>
    </row>
    <row r="1017" spans="1:95" outlineLevel="1" x14ac:dyDescent="0.15">
      <c r="A1017" s="76">
        <v>1004</v>
      </c>
      <c r="B1017" s="65" t="s">
        <v>2078</v>
      </c>
      <c r="C1017" s="65">
        <v>999810626</v>
      </c>
      <c r="D1017" s="81" t="str">
        <f t="shared" si="34"/>
        <v>https://portal.dnb.de/opac.htm?method=simpleSearch&amp;cqlMode=true&amp;query=idn%3D999810626</v>
      </c>
      <c r="E1017" s="65" t="s">
        <v>2079</v>
      </c>
      <c r="F1017" s="76"/>
      <c r="G1017" s="78"/>
      <c r="H1017" s="76" t="s">
        <v>50</v>
      </c>
      <c r="I1017" s="78"/>
      <c r="J1017" s="78"/>
      <c r="K1017" s="76"/>
      <c r="L1017" s="76"/>
      <c r="M1017" s="76"/>
      <c r="N1017" s="76"/>
      <c r="O1017" s="76"/>
      <c r="P1017" s="76"/>
      <c r="Q1017" s="76"/>
      <c r="R1017" s="76"/>
      <c r="X1017" s="84" t="s">
        <v>2697</v>
      </c>
      <c r="Z1017" s="84" t="s">
        <v>2541</v>
      </c>
      <c r="AA1017" s="84" t="s">
        <v>2642</v>
      </c>
      <c r="AG1017" s="84" t="s">
        <v>2643</v>
      </c>
      <c r="AU1017" s="84">
        <v>45</v>
      </c>
      <c r="AY1017" s="86" t="s">
        <v>2651</v>
      </c>
      <c r="AZ1017" s="88">
        <f t="shared" si="33"/>
        <v>0</v>
      </c>
      <c r="BB1017" s="84" t="s">
        <v>2777</v>
      </c>
      <c r="BX1017" s="88"/>
      <c r="CQ1017" s="88"/>
    </row>
    <row r="1018" spans="1:95" ht="22.5" outlineLevel="1" x14ac:dyDescent="0.15">
      <c r="A1018" s="76">
        <v>1005</v>
      </c>
      <c r="B1018" s="65" t="s">
        <v>2080</v>
      </c>
      <c r="C1018" s="65">
        <v>1066773343</v>
      </c>
      <c r="D1018" s="81" t="str">
        <f t="shared" si="34"/>
        <v>https://portal.dnb.de/opac.htm?method=simpleSearch&amp;cqlMode=true&amp;query=idn%3D1066773343</v>
      </c>
      <c r="E1018" s="65" t="s">
        <v>2081</v>
      </c>
      <c r="F1018" s="76"/>
      <c r="G1018" s="78"/>
      <c r="H1018" s="76" t="s">
        <v>50</v>
      </c>
      <c r="I1018" s="78"/>
      <c r="J1018" s="78"/>
      <c r="K1018" s="76"/>
      <c r="L1018" s="76"/>
      <c r="M1018" s="76"/>
      <c r="N1018" s="76"/>
      <c r="O1018" s="76"/>
      <c r="P1018" s="76"/>
      <c r="Q1018" s="76"/>
      <c r="R1018" s="76"/>
      <c r="X1018" s="84" t="s">
        <v>2697</v>
      </c>
      <c r="AA1018" s="84" t="s">
        <v>2642</v>
      </c>
      <c r="AG1018" s="84" t="s">
        <v>2643</v>
      </c>
      <c r="AU1018" s="84">
        <v>45</v>
      </c>
      <c r="AY1018" s="86" t="s">
        <v>2644</v>
      </c>
      <c r="AZ1018" s="88">
        <f t="shared" si="33"/>
        <v>2.5</v>
      </c>
      <c r="BB1018" s="86" t="s">
        <v>2787</v>
      </c>
      <c r="BL1018" s="84" t="s">
        <v>2541</v>
      </c>
      <c r="BM1018" s="84" t="s">
        <v>2541</v>
      </c>
      <c r="BO1018" s="84" t="s">
        <v>2675</v>
      </c>
      <c r="BT1018" s="84" t="s">
        <v>2541</v>
      </c>
      <c r="BX1018" s="88">
        <v>1.5</v>
      </c>
      <c r="BY1018" s="79" t="s">
        <v>2795</v>
      </c>
      <c r="CD1018" s="84" t="s">
        <v>2541</v>
      </c>
      <c r="CQ1018" s="88">
        <v>1</v>
      </c>
    </row>
    <row r="1019" spans="1:95" outlineLevel="1" x14ac:dyDescent="0.15">
      <c r="A1019" s="76">
        <v>1006</v>
      </c>
      <c r="B1019" s="65" t="s">
        <v>2082</v>
      </c>
      <c r="C1019" s="65">
        <v>998827878</v>
      </c>
      <c r="D1019" s="81" t="str">
        <f t="shared" si="34"/>
        <v>https://portal.dnb.de/opac.htm?method=simpleSearch&amp;cqlMode=true&amp;query=idn%3D998827878</v>
      </c>
      <c r="E1019" s="65" t="s">
        <v>2083</v>
      </c>
      <c r="F1019" s="76"/>
      <c r="G1019" s="78"/>
      <c r="H1019" s="76" t="s">
        <v>50</v>
      </c>
      <c r="I1019" s="78"/>
      <c r="J1019" s="78"/>
      <c r="K1019" s="76"/>
      <c r="L1019" s="76"/>
      <c r="M1019" s="76"/>
      <c r="N1019" s="76"/>
      <c r="O1019" s="76"/>
      <c r="P1019" s="76"/>
      <c r="Q1019" s="76"/>
      <c r="R1019" s="76"/>
      <c r="X1019" s="84" t="s">
        <v>2646</v>
      </c>
      <c r="AA1019" s="84" t="s">
        <v>2675</v>
      </c>
      <c r="AG1019" s="84" t="s">
        <v>2643</v>
      </c>
      <c r="AU1019" s="84" t="s">
        <v>2650</v>
      </c>
      <c r="AY1019" s="86" t="s">
        <v>2651</v>
      </c>
      <c r="AZ1019" s="88">
        <f t="shared" si="33"/>
        <v>0</v>
      </c>
      <c r="BB1019" s="84" t="s">
        <v>2777</v>
      </c>
      <c r="BX1019" s="88"/>
      <c r="CQ1019" s="88"/>
    </row>
    <row r="1020" spans="1:95" outlineLevel="1" x14ac:dyDescent="0.15">
      <c r="A1020" s="76">
        <v>1007</v>
      </c>
      <c r="B1020" s="65" t="s">
        <v>2084</v>
      </c>
      <c r="C1020" s="65">
        <v>1066675163</v>
      </c>
      <c r="D1020" s="81" t="str">
        <f t="shared" si="34"/>
        <v>https://portal.dnb.de/opac.htm?method=simpleSearch&amp;cqlMode=true&amp;query=idn%3D1066675163</v>
      </c>
      <c r="E1020" s="65" t="s">
        <v>2085</v>
      </c>
      <c r="F1020" s="76"/>
      <c r="G1020" s="78"/>
      <c r="H1020" s="76" t="s">
        <v>50</v>
      </c>
      <c r="I1020" s="78"/>
      <c r="J1020" s="78"/>
      <c r="K1020" s="76"/>
      <c r="L1020" s="76"/>
      <c r="M1020" s="76"/>
      <c r="N1020" s="76"/>
      <c r="O1020" s="76"/>
      <c r="P1020" s="76"/>
      <c r="Q1020" s="76"/>
      <c r="R1020" s="76"/>
      <c r="W1020" s="84" t="s">
        <v>2541</v>
      </c>
      <c r="X1020" s="84" t="s">
        <v>2697</v>
      </c>
      <c r="AA1020" s="84" t="s">
        <v>2653</v>
      </c>
      <c r="AG1020" s="84" t="s">
        <v>2643</v>
      </c>
      <c r="AU1020" s="84">
        <v>60</v>
      </c>
      <c r="AY1020" s="86" t="s">
        <v>2651</v>
      </c>
      <c r="AZ1020" s="88">
        <f t="shared" si="33"/>
        <v>0</v>
      </c>
      <c r="BF1020" s="84" t="s">
        <v>2659</v>
      </c>
      <c r="BG1020" s="84" t="s">
        <v>2541</v>
      </c>
      <c r="BX1020" s="88"/>
      <c r="CQ1020" s="88"/>
    </row>
    <row r="1021" spans="1:95" outlineLevel="1" x14ac:dyDescent="0.15">
      <c r="A1021" s="76">
        <v>1008</v>
      </c>
      <c r="B1021" s="65" t="s">
        <v>2086</v>
      </c>
      <c r="C1021" s="65">
        <v>999822306</v>
      </c>
      <c r="D1021" s="81" t="str">
        <f t="shared" si="34"/>
        <v>https://portal.dnb.de/opac.htm?method=simpleSearch&amp;cqlMode=true&amp;query=idn%3D999822306</v>
      </c>
      <c r="E1021" s="65" t="s">
        <v>2087</v>
      </c>
      <c r="F1021" s="76"/>
      <c r="G1021" s="78"/>
      <c r="H1021" s="76" t="s">
        <v>50</v>
      </c>
      <c r="I1021" s="78"/>
      <c r="J1021" s="78"/>
      <c r="K1021" s="76"/>
      <c r="L1021" s="76"/>
      <c r="M1021" s="76"/>
      <c r="N1021" s="76"/>
      <c r="O1021" s="76"/>
      <c r="P1021" s="76"/>
      <c r="Q1021" s="76"/>
      <c r="R1021" s="76"/>
      <c r="X1021" s="84" t="s">
        <v>2652</v>
      </c>
      <c r="AA1021" s="84" t="s">
        <v>2653</v>
      </c>
      <c r="AG1021" s="84" t="s">
        <v>2643</v>
      </c>
      <c r="AU1021" s="84">
        <v>110</v>
      </c>
      <c r="AY1021" s="86" t="s">
        <v>2651</v>
      </c>
      <c r="AZ1021" s="88">
        <f t="shared" si="33"/>
        <v>0</v>
      </c>
      <c r="BX1021" s="88"/>
      <c r="CQ1021" s="88"/>
    </row>
    <row r="1022" spans="1:95" outlineLevel="1" x14ac:dyDescent="0.15">
      <c r="A1022" s="76">
        <v>1009</v>
      </c>
      <c r="B1022" s="65" t="s">
        <v>2088</v>
      </c>
      <c r="C1022" s="65">
        <v>994539851</v>
      </c>
      <c r="D1022" s="81" t="str">
        <f t="shared" si="34"/>
        <v>https://portal.dnb.de/opac.htm?method=simpleSearch&amp;cqlMode=true&amp;query=idn%3D994539851</v>
      </c>
      <c r="E1022" s="65" t="s">
        <v>2089</v>
      </c>
      <c r="F1022" s="76"/>
      <c r="G1022" s="78"/>
      <c r="H1022" s="76" t="s">
        <v>50</v>
      </c>
      <c r="I1022" s="78"/>
      <c r="J1022" s="78"/>
      <c r="K1022" s="76"/>
      <c r="L1022" s="76"/>
      <c r="M1022" s="76"/>
      <c r="N1022" s="76"/>
      <c r="O1022" s="76"/>
      <c r="P1022" s="76"/>
      <c r="Q1022" s="76"/>
      <c r="R1022" s="76"/>
      <c r="X1022" s="84" t="s">
        <v>2697</v>
      </c>
      <c r="AA1022" s="84" t="s">
        <v>2653</v>
      </c>
      <c r="AG1022" s="84" t="s">
        <v>2643</v>
      </c>
      <c r="AU1022" s="84">
        <v>45</v>
      </c>
      <c r="AY1022" s="86" t="s">
        <v>2644</v>
      </c>
      <c r="AZ1022" s="88">
        <f t="shared" si="33"/>
        <v>2.5</v>
      </c>
      <c r="BB1022" s="84" t="s">
        <v>2777</v>
      </c>
      <c r="BL1022" s="84" t="s">
        <v>2541</v>
      </c>
      <c r="BM1022" s="84" t="s">
        <v>2541</v>
      </c>
      <c r="BW1022" s="84" t="s">
        <v>2800</v>
      </c>
      <c r="BX1022" s="88">
        <v>2.5</v>
      </c>
      <c r="CQ1022" s="88"/>
    </row>
    <row r="1023" spans="1:95" outlineLevel="1" x14ac:dyDescent="0.15">
      <c r="A1023" s="76">
        <v>1010</v>
      </c>
      <c r="B1023" s="65" t="s">
        <v>2090</v>
      </c>
      <c r="C1023" s="65">
        <v>1066858225</v>
      </c>
      <c r="D1023" s="81" t="str">
        <f t="shared" si="34"/>
        <v>https://portal.dnb.de/opac.htm?method=simpleSearch&amp;cqlMode=true&amp;query=idn%3D1066858225</v>
      </c>
      <c r="E1023" s="65" t="s">
        <v>2091</v>
      </c>
      <c r="F1023" s="76"/>
      <c r="G1023" s="78"/>
      <c r="H1023" s="76" t="s">
        <v>50</v>
      </c>
      <c r="I1023" s="78"/>
      <c r="J1023" s="78"/>
      <c r="K1023" s="76"/>
      <c r="L1023" s="76"/>
      <c r="M1023" s="76"/>
      <c r="N1023" s="76"/>
      <c r="O1023" s="76"/>
      <c r="P1023" s="76"/>
      <c r="Q1023" s="76"/>
      <c r="R1023" s="76"/>
      <c r="X1023" s="84" t="s">
        <v>2697</v>
      </c>
      <c r="AA1023" s="84" t="s">
        <v>2653</v>
      </c>
      <c r="AG1023" s="84" t="s">
        <v>2643</v>
      </c>
      <c r="AU1023" s="84">
        <v>45</v>
      </c>
      <c r="AY1023" s="86" t="s">
        <v>2651</v>
      </c>
      <c r="AZ1023" s="88">
        <f t="shared" si="33"/>
        <v>0</v>
      </c>
      <c r="BB1023" s="84" t="s">
        <v>2777</v>
      </c>
      <c r="BX1023" s="88"/>
      <c r="CQ1023" s="88"/>
    </row>
    <row r="1024" spans="1:95" outlineLevel="1" x14ac:dyDescent="0.15">
      <c r="A1024" s="76">
        <v>1011</v>
      </c>
      <c r="B1024" s="65" t="s">
        <v>2092</v>
      </c>
      <c r="C1024" s="65">
        <v>1000730603</v>
      </c>
      <c r="D1024" s="81" t="str">
        <f t="shared" si="34"/>
        <v>https://portal.dnb.de/opac.htm?method=simpleSearch&amp;cqlMode=true&amp;query=idn%3D1000730603</v>
      </c>
      <c r="E1024" s="65" t="s">
        <v>2093</v>
      </c>
      <c r="F1024" s="76"/>
      <c r="G1024" s="78"/>
      <c r="H1024" s="76"/>
      <c r="I1024" s="78"/>
      <c r="J1024" s="78"/>
      <c r="K1024" s="76"/>
      <c r="L1024" s="76"/>
      <c r="M1024" s="76"/>
      <c r="N1024" s="76"/>
      <c r="O1024" s="76"/>
      <c r="P1024" s="76"/>
      <c r="Q1024" s="76"/>
      <c r="R1024" s="76"/>
      <c r="AZ1024" s="88">
        <f t="shared" ref="AZ1024:AZ1087" si="35">BX1024+CQ1024</f>
        <v>0</v>
      </c>
      <c r="BX1024" s="88"/>
      <c r="CQ1024" s="88"/>
    </row>
    <row r="1025" spans="1:95" outlineLevel="1" x14ac:dyDescent="0.15">
      <c r="A1025" s="76">
        <v>1012</v>
      </c>
      <c r="B1025" s="65" t="s">
        <v>2094</v>
      </c>
      <c r="C1025" s="65">
        <v>999751190</v>
      </c>
      <c r="D1025" s="81" t="str">
        <f t="shared" si="34"/>
        <v>https://portal.dnb.de/opac.htm?method=simpleSearch&amp;cqlMode=true&amp;query=idn%3D999751190</v>
      </c>
      <c r="E1025" s="65" t="s">
        <v>2093</v>
      </c>
      <c r="F1025" s="76"/>
      <c r="G1025" s="78"/>
      <c r="H1025" s="76" t="s">
        <v>51</v>
      </c>
      <c r="I1025" s="78"/>
      <c r="J1025" s="78"/>
      <c r="K1025" s="76"/>
      <c r="L1025" s="76"/>
      <c r="M1025" s="76"/>
      <c r="N1025" s="76"/>
      <c r="O1025" s="76"/>
      <c r="P1025" s="76"/>
      <c r="Q1025" s="76"/>
      <c r="R1025" s="76"/>
      <c r="X1025" s="84" t="s">
        <v>2697</v>
      </c>
      <c r="Z1025" s="84" t="s">
        <v>2541</v>
      </c>
      <c r="AA1025" s="84" t="s">
        <v>2642</v>
      </c>
      <c r="AG1025" s="84" t="s">
        <v>2643</v>
      </c>
      <c r="AU1025" s="84">
        <v>110</v>
      </c>
      <c r="AY1025" s="86" t="s">
        <v>2651</v>
      </c>
      <c r="AZ1025" s="88">
        <f t="shared" si="35"/>
        <v>0</v>
      </c>
      <c r="BB1025" s="84" t="s">
        <v>2777</v>
      </c>
      <c r="BX1025" s="88"/>
      <c r="CQ1025" s="88"/>
    </row>
    <row r="1026" spans="1:95" outlineLevel="1" x14ac:dyDescent="0.15">
      <c r="A1026" s="76">
        <v>1013</v>
      </c>
      <c r="B1026" s="65" t="s">
        <v>2095</v>
      </c>
      <c r="C1026" s="65">
        <v>994727151</v>
      </c>
      <c r="D1026" s="81" t="str">
        <f t="shared" si="34"/>
        <v>https://portal.dnb.de/opac.htm?method=simpleSearch&amp;cqlMode=true&amp;query=idn%3D994727151</v>
      </c>
      <c r="E1026" s="65" t="s">
        <v>2096</v>
      </c>
      <c r="F1026" s="76"/>
      <c r="G1026" s="78"/>
      <c r="H1026" s="76" t="s">
        <v>50</v>
      </c>
      <c r="I1026" s="78"/>
      <c r="J1026" s="78"/>
      <c r="K1026" s="76"/>
      <c r="L1026" s="76"/>
      <c r="M1026" s="76"/>
      <c r="N1026" s="76"/>
      <c r="O1026" s="76"/>
      <c r="P1026" s="76"/>
      <c r="Q1026" s="76"/>
      <c r="R1026" s="76"/>
      <c r="X1026" s="84" t="s">
        <v>2646</v>
      </c>
      <c r="AA1026" s="84" t="s">
        <v>2675</v>
      </c>
      <c r="AG1026" s="84" t="s">
        <v>2643</v>
      </c>
      <c r="AU1026" s="84" t="s">
        <v>2650</v>
      </c>
      <c r="AY1026" s="86" t="s">
        <v>2651</v>
      </c>
      <c r="AZ1026" s="88">
        <f t="shared" si="35"/>
        <v>0</v>
      </c>
      <c r="BB1026" s="84" t="s">
        <v>2777</v>
      </c>
      <c r="BX1026" s="88"/>
      <c r="CQ1026" s="88"/>
    </row>
    <row r="1027" spans="1:95" outlineLevel="1" x14ac:dyDescent="0.15">
      <c r="A1027" s="76">
        <v>1014</v>
      </c>
      <c r="B1027" s="65" t="s">
        <v>2097</v>
      </c>
      <c r="C1027" s="65">
        <v>1066959722</v>
      </c>
      <c r="D1027" s="81" t="str">
        <f t="shared" si="34"/>
        <v>https://portal.dnb.de/opac.htm?method=simpleSearch&amp;cqlMode=true&amp;query=idn%3D1066959722</v>
      </c>
      <c r="E1027" s="65" t="s">
        <v>2098</v>
      </c>
      <c r="F1027" s="76"/>
      <c r="G1027" s="78"/>
      <c r="H1027" s="76" t="s">
        <v>51</v>
      </c>
      <c r="I1027" s="78"/>
      <c r="J1027" s="78"/>
      <c r="K1027" s="76"/>
      <c r="L1027" s="76"/>
      <c r="M1027" s="76"/>
      <c r="N1027" s="76"/>
      <c r="O1027" s="76"/>
      <c r="P1027" s="76"/>
      <c r="Q1027" s="76"/>
      <c r="R1027" s="76"/>
      <c r="X1027" s="84" t="s">
        <v>2652</v>
      </c>
      <c r="Y1027" s="84" t="s">
        <v>2541</v>
      </c>
      <c r="AA1027" s="84" t="s">
        <v>2647</v>
      </c>
      <c r="AG1027" s="84" t="s">
        <v>2643</v>
      </c>
      <c r="AU1027" s="84">
        <v>110</v>
      </c>
      <c r="AY1027" s="86" t="s">
        <v>2651</v>
      </c>
      <c r="AZ1027" s="88">
        <f t="shared" si="35"/>
        <v>0</v>
      </c>
      <c r="BD1027" s="84" t="s">
        <v>2541</v>
      </c>
      <c r="BX1027" s="88"/>
      <c r="CQ1027" s="88"/>
    </row>
    <row r="1028" spans="1:95" outlineLevel="1" x14ac:dyDescent="0.15">
      <c r="A1028" s="76">
        <v>1015</v>
      </c>
      <c r="B1028" s="65" t="s">
        <v>2099</v>
      </c>
      <c r="C1028" s="65">
        <v>1066961492</v>
      </c>
      <c r="D1028" s="81" t="str">
        <f t="shared" si="34"/>
        <v>https://portal.dnb.de/opac.htm?method=simpleSearch&amp;cqlMode=true&amp;query=idn%3D1066961492</v>
      </c>
      <c r="E1028" s="65" t="s">
        <v>2100</v>
      </c>
      <c r="F1028" s="76"/>
      <c r="G1028" s="78"/>
      <c r="H1028" s="76" t="s">
        <v>50</v>
      </c>
      <c r="I1028" s="78"/>
      <c r="J1028" s="78"/>
      <c r="K1028" s="76"/>
      <c r="L1028" s="76"/>
      <c r="M1028" s="76"/>
      <c r="N1028" s="76"/>
      <c r="O1028" s="76"/>
      <c r="P1028" s="76"/>
      <c r="Q1028" s="76"/>
      <c r="R1028" s="76"/>
      <c r="X1028" s="84" t="s">
        <v>2696</v>
      </c>
      <c r="AA1028" s="84" t="s">
        <v>2647</v>
      </c>
      <c r="AG1028" s="84" t="s">
        <v>2643</v>
      </c>
      <c r="AU1028" s="84">
        <v>110</v>
      </c>
      <c r="AY1028" s="86" t="s">
        <v>2651</v>
      </c>
      <c r="AZ1028" s="88">
        <f t="shared" si="35"/>
        <v>0</v>
      </c>
      <c r="BX1028" s="88"/>
      <c r="CQ1028" s="88"/>
    </row>
    <row r="1029" spans="1:95" outlineLevel="1" x14ac:dyDescent="0.15">
      <c r="A1029" s="76">
        <v>1016</v>
      </c>
      <c r="B1029" s="65" t="s">
        <v>2101</v>
      </c>
      <c r="C1029" s="65">
        <v>999905414</v>
      </c>
      <c r="D1029" s="81" t="str">
        <f t="shared" si="34"/>
        <v>https://portal.dnb.de/opac.htm?method=simpleSearch&amp;cqlMode=true&amp;query=idn%3D999905414</v>
      </c>
      <c r="E1029" s="65" t="s">
        <v>2102</v>
      </c>
      <c r="F1029" s="76"/>
      <c r="G1029" s="78"/>
      <c r="H1029" s="76" t="s">
        <v>50</v>
      </c>
      <c r="I1029" s="78"/>
      <c r="J1029" s="78"/>
      <c r="K1029" s="76"/>
      <c r="L1029" s="76"/>
      <c r="M1029" s="76"/>
      <c r="N1029" s="76"/>
      <c r="O1029" s="76"/>
      <c r="P1029" s="76"/>
      <c r="Q1029" s="76"/>
      <c r="R1029" s="76"/>
      <c r="X1029" s="84" t="s">
        <v>2652</v>
      </c>
      <c r="Y1029" s="84" t="s">
        <v>2541</v>
      </c>
      <c r="AA1029" s="84" t="s">
        <v>2647</v>
      </c>
      <c r="AG1029" s="84" t="s">
        <v>2643</v>
      </c>
      <c r="AU1029" s="84">
        <v>110</v>
      </c>
      <c r="AY1029" s="86" t="s">
        <v>2651</v>
      </c>
      <c r="AZ1029" s="88">
        <f t="shared" si="35"/>
        <v>0</v>
      </c>
      <c r="BD1029" s="84" t="s">
        <v>2541</v>
      </c>
      <c r="BX1029" s="88"/>
      <c r="CQ1029" s="88"/>
    </row>
    <row r="1030" spans="1:95" outlineLevel="1" x14ac:dyDescent="0.15">
      <c r="A1030" s="76">
        <v>1017</v>
      </c>
      <c r="B1030" s="65" t="s">
        <v>2103</v>
      </c>
      <c r="C1030" s="65">
        <v>1066960240</v>
      </c>
      <c r="D1030" s="81" t="str">
        <f t="shared" si="34"/>
        <v>https://portal.dnb.de/opac.htm?method=simpleSearch&amp;cqlMode=true&amp;query=idn%3D1066960240</v>
      </c>
      <c r="E1030" s="65" t="s">
        <v>2104</v>
      </c>
      <c r="F1030" s="76"/>
      <c r="G1030" s="78"/>
      <c r="H1030" s="76" t="s">
        <v>50</v>
      </c>
      <c r="I1030" s="78"/>
      <c r="J1030" s="78"/>
      <c r="K1030" s="76"/>
      <c r="L1030" s="76"/>
      <c r="M1030" s="76"/>
      <c r="N1030" s="76"/>
      <c r="O1030" s="76"/>
      <c r="P1030" s="76"/>
      <c r="Q1030" s="76"/>
      <c r="R1030" s="76"/>
      <c r="X1030" s="84" t="s">
        <v>2645</v>
      </c>
      <c r="Y1030" s="84" t="s">
        <v>2541</v>
      </c>
      <c r="AA1030" s="84" t="s">
        <v>2647</v>
      </c>
      <c r="AG1030" s="84" t="s">
        <v>2643</v>
      </c>
      <c r="AH1030" s="84" t="s">
        <v>2541</v>
      </c>
      <c r="AU1030" s="84">
        <v>110</v>
      </c>
      <c r="AY1030" s="86" t="s">
        <v>2651</v>
      </c>
      <c r="AZ1030" s="88">
        <f t="shared" si="35"/>
        <v>0</v>
      </c>
      <c r="BX1030" s="88"/>
      <c r="CQ1030" s="88"/>
    </row>
    <row r="1031" spans="1:95" outlineLevel="1" x14ac:dyDescent="0.15">
      <c r="A1031" s="76">
        <v>1018</v>
      </c>
      <c r="B1031" s="65" t="s">
        <v>2105</v>
      </c>
      <c r="C1031" s="65">
        <v>994422938</v>
      </c>
      <c r="D1031" s="81" t="str">
        <f t="shared" si="34"/>
        <v>https://portal.dnb.de/opac.htm?method=simpleSearch&amp;cqlMode=true&amp;query=idn%3D994422938</v>
      </c>
      <c r="E1031" s="65" t="s">
        <v>2106</v>
      </c>
      <c r="F1031" s="76"/>
      <c r="G1031" s="78"/>
      <c r="H1031" s="76" t="s">
        <v>50</v>
      </c>
      <c r="I1031" s="78"/>
      <c r="J1031" s="78"/>
      <c r="K1031" s="76"/>
      <c r="L1031" s="76"/>
      <c r="M1031" s="76"/>
      <c r="N1031" s="76"/>
      <c r="O1031" s="76"/>
      <c r="P1031" s="76"/>
      <c r="Q1031" s="76"/>
      <c r="R1031" s="76"/>
      <c r="X1031" s="84" t="s">
        <v>2645</v>
      </c>
      <c r="AA1031" s="84" t="s">
        <v>2647</v>
      </c>
      <c r="AG1031" s="84" t="s">
        <v>2643</v>
      </c>
      <c r="AU1031" s="84">
        <v>110</v>
      </c>
      <c r="AY1031" s="86" t="s">
        <v>2651</v>
      </c>
      <c r="AZ1031" s="88">
        <f t="shared" si="35"/>
        <v>0</v>
      </c>
      <c r="BX1031" s="88"/>
      <c r="CQ1031" s="88"/>
    </row>
    <row r="1032" spans="1:95" outlineLevel="1" x14ac:dyDescent="0.15">
      <c r="A1032" s="76">
        <v>1019</v>
      </c>
      <c r="B1032" s="65" t="s">
        <v>2107</v>
      </c>
      <c r="C1032" s="65">
        <v>1002324033</v>
      </c>
      <c r="D1032" s="81" t="str">
        <f t="shared" si="34"/>
        <v>https://portal.dnb.de/opac.htm?method=simpleSearch&amp;cqlMode=true&amp;query=idn%3D1002324033</v>
      </c>
      <c r="E1032" s="65" t="s">
        <v>2108</v>
      </c>
      <c r="F1032" s="76"/>
      <c r="G1032" s="78"/>
      <c r="H1032" s="76" t="s">
        <v>50</v>
      </c>
      <c r="I1032" s="78"/>
      <c r="J1032" s="78"/>
      <c r="K1032" s="76"/>
      <c r="L1032" s="76"/>
      <c r="M1032" s="76"/>
      <c r="N1032" s="76"/>
      <c r="O1032" s="76"/>
      <c r="P1032" s="76"/>
      <c r="Q1032" s="76"/>
      <c r="R1032" s="76"/>
      <c r="X1032" s="84" t="s">
        <v>2697</v>
      </c>
      <c r="AA1032" s="84" t="s">
        <v>2642</v>
      </c>
      <c r="AD1032" s="84" t="s">
        <v>2541</v>
      </c>
      <c r="AG1032" s="84" t="s">
        <v>2643</v>
      </c>
      <c r="AU1032" s="84" t="s">
        <v>2776</v>
      </c>
      <c r="AY1032" s="86" t="s">
        <v>2651</v>
      </c>
      <c r="AZ1032" s="88">
        <f t="shared" si="35"/>
        <v>0</v>
      </c>
      <c r="BE1032" s="84" t="s">
        <v>2541</v>
      </c>
      <c r="BH1032" s="79" t="s">
        <v>2817</v>
      </c>
      <c r="BX1032" s="88"/>
      <c r="CQ1032" s="88"/>
    </row>
    <row r="1033" spans="1:95" outlineLevel="1" x14ac:dyDescent="0.15">
      <c r="A1033" s="76">
        <v>1020</v>
      </c>
      <c r="B1033" s="65" t="s">
        <v>2109</v>
      </c>
      <c r="C1033" s="65">
        <v>999798227</v>
      </c>
      <c r="D1033" s="81" t="str">
        <f t="shared" si="34"/>
        <v>https://portal.dnb.de/opac.htm?method=simpleSearch&amp;cqlMode=true&amp;query=idn%3D999798227</v>
      </c>
      <c r="E1033" s="65" t="s">
        <v>2812</v>
      </c>
      <c r="F1033" s="76"/>
      <c r="G1033" s="78"/>
      <c r="H1033" s="76"/>
      <c r="I1033" s="78"/>
      <c r="J1033" s="78"/>
      <c r="K1033" s="76"/>
      <c r="L1033" s="76"/>
      <c r="M1033" s="76"/>
      <c r="N1033" s="76"/>
      <c r="O1033" s="76"/>
      <c r="P1033" s="76"/>
      <c r="Q1033" s="76"/>
      <c r="R1033" s="76"/>
      <c r="AZ1033" s="88">
        <f t="shared" si="35"/>
        <v>0</v>
      </c>
      <c r="BX1033" s="88"/>
      <c r="CQ1033" s="88"/>
    </row>
    <row r="1034" spans="1:95" ht="33.75" outlineLevel="1" x14ac:dyDescent="0.15">
      <c r="A1034" s="76">
        <v>1021</v>
      </c>
      <c r="B1034" s="65" t="s">
        <v>2111</v>
      </c>
      <c r="C1034" s="65">
        <v>999799924</v>
      </c>
      <c r="D1034" s="81" t="str">
        <f t="shared" si="34"/>
        <v>https://portal.dnb.de/opac.htm?method=simpleSearch&amp;cqlMode=true&amp;query=idn%3D999799924</v>
      </c>
      <c r="E1034" s="65" t="s">
        <v>2110</v>
      </c>
      <c r="F1034" s="76"/>
      <c r="G1034" s="78"/>
      <c r="H1034" s="76" t="s">
        <v>51</v>
      </c>
      <c r="I1034" s="78"/>
      <c r="J1034" s="78"/>
      <c r="K1034" s="76"/>
      <c r="L1034" s="76"/>
      <c r="M1034" s="76"/>
      <c r="N1034" s="76"/>
      <c r="O1034" s="76"/>
      <c r="P1034" s="76"/>
      <c r="Q1034" s="76"/>
      <c r="R1034" s="76"/>
      <c r="X1034" s="84" t="s">
        <v>2641</v>
      </c>
      <c r="Z1034" s="84" t="s">
        <v>2541</v>
      </c>
      <c r="AA1034" s="84" t="s">
        <v>2642</v>
      </c>
      <c r="AG1034" s="84" t="s">
        <v>2643</v>
      </c>
      <c r="AU1034" s="84">
        <v>60</v>
      </c>
      <c r="AY1034" s="86" t="s">
        <v>2644</v>
      </c>
      <c r="AZ1034" s="88">
        <f t="shared" si="35"/>
        <v>1</v>
      </c>
      <c r="BD1034" s="84" t="s">
        <v>2541</v>
      </c>
      <c r="BR1034" s="84" t="s">
        <v>2541</v>
      </c>
      <c r="BX1034" s="88">
        <v>1</v>
      </c>
      <c r="BY1034" s="79" t="s">
        <v>2813</v>
      </c>
      <c r="CQ1034" s="88"/>
    </row>
    <row r="1035" spans="1:95" outlineLevel="1" x14ac:dyDescent="0.15">
      <c r="A1035" s="76">
        <v>1022</v>
      </c>
      <c r="B1035" s="65" t="s">
        <v>2112</v>
      </c>
      <c r="C1035" s="65">
        <v>1000054292</v>
      </c>
      <c r="D1035" s="81" t="str">
        <f t="shared" si="34"/>
        <v>https://portal.dnb.de/opac.htm?method=simpleSearch&amp;cqlMode=true&amp;query=idn%3D1000054292</v>
      </c>
      <c r="E1035" s="65" t="s">
        <v>2812</v>
      </c>
      <c r="F1035" s="76"/>
      <c r="G1035" s="78"/>
      <c r="H1035" s="76"/>
      <c r="I1035" s="78"/>
      <c r="J1035" s="78"/>
      <c r="K1035" s="76"/>
      <c r="L1035" s="76"/>
      <c r="M1035" s="76"/>
      <c r="N1035" s="76"/>
      <c r="O1035" s="76"/>
      <c r="P1035" s="76"/>
      <c r="Q1035" s="76"/>
      <c r="R1035" s="76"/>
      <c r="AZ1035" s="88">
        <f t="shared" si="35"/>
        <v>0</v>
      </c>
      <c r="BX1035" s="88"/>
      <c r="CQ1035" s="88"/>
    </row>
    <row r="1036" spans="1:95" outlineLevel="1" x14ac:dyDescent="0.15">
      <c r="A1036" s="76">
        <v>1023</v>
      </c>
      <c r="B1036" s="65" t="s">
        <v>2113</v>
      </c>
      <c r="C1036" s="65">
        <v>1001711211</v>
      </c>
      <c r="D1036" s="81" t="str">
        <f t="shared" si="34"/>
        <v>https://portal.dnb.de/opac.htm?method=simpleSearch&amp;cqlMode=true&amp;query=idn%3D1001711211</v>
      </c>
      <c r="E1036" s="65" t="s">
        <v>2814</v>
      </c>
      <c r="F1036" s="76"/>
      <c r="G1036" s="78"/>
      <c r="H1036" s="76"/>
      <c r="I1036" s="78"/>
      <c r="J1036" s="78"/>
      <c r="K1036" s="76"/>
      <c r="L1036" s="76"/>
      <c r="M1036" s="76"/>
      <c r="N1036" s="76"/>
      <c r="O1036" s="76"/>
      <c r="P1036" s="76"/>
      <c r="Q1036" s="76"/>
      <c r="R1036" s="76"/>
      <c r="AZ1036" s="88">
        <f t="shared" si="35"/>
        <v>0</v>
      </c>
      <c r="BX1036" s="88"/>
      <c r="CQ1036" s="88"/>
    </row>
    <row r="1037" spans="1:95" outlineLevel="1" x14ac:dyDescent="0.15">
      <c r="A1037" s="76">
        <v>1024</v>
      </c>
      <c r="B1037" s="65" t="s">
        <v>2115</v>
      </c>
      <c r="C1037" s="65">
        <v>999153358</v>
      </c>
      <c r="D1037" s="81" t="str">
        <f t="shared" si="34"/>
        <v>https://portal.dnb.de/opac.htm?method=simpleSearch&amp;cqlMode=true&amp;query=idn%3D999153358</v>
      </c>
      <c r="E1037" s="65" t="s">
        <v>2814</v>
      </c>
      <c r="F1037" s="76"/>
      <c r="G1037" s="78"/>
      <c r="H1037" s="76"/>
      <c r="I1037" s="78"/>
      <c r="J1037" s="78"/>
      <c r="K1037" s="76"/>
      <c r="L1037" s="76"/>
      <c r="M1037" s="76"/>
      <c r="N1037" s="76"/>
      <c r="O1037" s="76"/>
      <c r="P1037" s="76"/>
      <c r="Q1037" s="76"/>
      <c r="R1037" s="76"/>
      <c r="AZ1037" s="88">
        <f t="shared" si="35"/>
        <v>0</v>
      </c>
      <c r="BX1037" s="88"/>
      <c r="CQ1037" s="88"/>
    </row>
    <row r="1038" spans="1:95" outlineLevel="1" x14ac:dyDescent="0.15">
      <c r="A1038" s="76">
        <v>1025</v>
      </c>
      <c r="B1038" s="65" t="s">
        <v>2116</v>
      </c>
      <c r="C1038" s="65">
        <v>994429207</v>
      </c>
      <c r="D1038" s="81" t="str">
        <f t="shared" si="34"/>
        <v>https://portal.dnb.de/opac.htm?method=simpleSearch&amp;cqlMode=true&amp;query=idn%3D994429207</v>
      </c>
      <c r="E1038" s="65" t="s">
        <v>2114</v>
      </c>
      <c r="F1038" s="76"/>
      <c r="G1038" s="78"/>
      <c r="H1038" s="76" t="s">
        <v>51</v>
      </c>
      <c r="I1038" s="78"/>
      <c r="J1038" s="78"/>
      <c r="K1038" s="76"/>
      <c r="L1038" s="76"/>
      <c r="M1038" s="76"/>
      <c r="N1038" s="76"/>
      <c r="O1038" s="76"/>
      <c r="P1038" s="76"/>
      <c r="Q1038" s="76"/>
      <c r="R1038" s="76"/>
      <c r="X1038" s="84" t="s">
        <v>2641</v>
      </c>
      <c r="Z1038" s="84" t="s">
        <v>2541</v>
      </c>
      <c r="AA1038" s="84" t="s">
        <v>2642</v>
      </c>
      <c r="AG1038" s="84" t="s">
        <v>2643</v>
      </c>
      <c r="AS1038" s="84">
        <v>4</v>
      </c>
      <c r="AT1038" s="84" t="s">
        <v>2541</v>
      </c>
      <c r="AU1038" s="84">
        <v>80</v>
      </c>
      <c r="AY1038" s="86" t="s">
        <v>2651</v>
      </c>
      <c r="AZ1038" s="88">
        <f t="shared" si="35"/>
        <v>0</v>
      </c>
      <c r="BB1038" s="84" t="s">
        <v>2777</v>
      </c>
      <c r="BX1038" s="88"/>
      <c r="CQ1038" s="88"/>
    </row>
    <row r="1039" spans="1:95" outlineLevel="1" x14ac:dyDescent="0.15">
      <c r="A1039" s="76">
        <v>1026</v>
      </c>
      <c r="B1039" s="65" t="s">
        <v>2117</v>
      </c>
      <c r="C1039" s="65">
        <v>996175946</v>
      </c>
      <c r="D1039" s="81" t="str">
        <f t="shared" si="34"/>
        <v>https://portal.dnb.de/opac.htm?method=simpleSearch&amp;cqlMode=true&amp;query=idn%3D996175946</v>
      </c>
      <c r="E1039" s="65" t="s">
        <v>2118</v>
      </c>
      <c r="F1039" s="76"/>
      <c r="G1039" s="78"/>
      <c r="H1039" s="76"/>
      <c r="I1039" s="78"/>
      <c r="J1039" s="78"/>
      <c r="K1039" s="76"/>
      <c r="L1039" s="76"/>
      <c r="M1039" s="76"/>
      <c r="N1039" s="76"/>
      <c r="O1039" s="76"/>
      <c r="P1039" s="76"/>
      <c r="Q1039" s="76"/>
      <c r="R1039" s="76"/>
      <c r="AZ1039" s="88">
        <f t="shared" si="35"/>
        <v>0</v>
      </c>
      <c r="BX1039" s="88"/>
      <c r="CQ1039" s="88"/>
    </row>
    <row r="1040" spans="1:95" outlineLevel="1" x14ac:dyDescent="0.15">
      <c r="A1040" s="76">
        <v>1027</v>
      </c>
      <c r="B1040" s="65" t="s">
        <v>2119</v>
      </c>
      <c r="C1040" s="65">
        <v>998925993</v>
      </c>
      <c r="D1040" s="81" t="str">
        <f t="shared" si="34"/>
        <v>https://portal.dnb.de/opac.htm?method=simpleSearch&amp;cqlMode=true&amp;query=idn%3D998925993</v>
      </c>
      <c r="E1040" s="65" t="s">
        <v>2120</v>
      </c>
      <c r="F1040" s="76"/>
      <c r="G1040" s="78"/>
      <c r="H1040" s="76" t="s">
        <v>50</v>
      </c>
      <c r="I1040" s="78"/>
      <c r="J1040" s="78"/>
      <c r="K1040" s="76"/>
      <c r="L1040" s="76"/>
      <c r="M1040" s="76"/>
      <c r="N1040" s="76"/>
      <c r="O1040" s="76"/>
      <c r="P1040" s="76"/>
      <c r="Q1040" s="76"/>
      <c r="R1040" s="76"/>
      <c r="X1040" s="84" t="s">
        <v>2700</v>
      </c>
      <c r="Z1040" s="84" t="s">
        <v>2541</v>
      </c>
      <c r="AA1040" s="84" t="s">
        <v>2642</v>
      </c>
      <c r="AG1040" s="84" t="s">
        <v>2643</v>
      </c>
      <c r="AU1040" s="84" t="s">
        <v>2650</v>
      </c>
      <c r="AY1040" s="86" t="s">
        <v>2651</v>
      </c>
      <c r="AZ1040" s="88">
        <f t="shared" si="35"/>
        <v>0</v>
      </c>
      <c r="BE1040" s="84" t="s">
        <v>2815</v>
      </c>
      <c r="BH1040" s="79" t="s">
        <v>2816</v>
      </c>
      <c r="BI1040" s="63" t="s">
        <v>2820</v>
      </c>
      <c r="BX1040" s="88"/>
      <c r="CQ1040" s="88"/>
    </row>
    <row r="1041" spans="1:95" outlineLevel="1" x14ac:dyDescent="0.15">
      <c r="A1041" s="76">
        <v>1028</v>
      </c>
      <c r="B1041" s="65" t="s">
        <v>2121</v>
      </c>
      <c r="C1041" s="65">
        <v>994060793</v>
      </c>
      <c r="D1041" s="81" t="str">
        <f t="shared" si="34"/>
        <v>https://portal.dnb.de/opac.htm?method=simpleSearch&amp;cqlMode=true&amp;query=idn%3D994060793</v>
      </c>
      <c r="E1041" s="65" t="s">
        <v>2122</v>
      </c>
      <c r="F1041" s="76"/>
      <c r="G1041" s="78"/>
      <c r="H1041" s="76" t="s">
        <v>50</v>
      </c>
      <c r="I1041" s="78"/>
      <c r="J1041" s="78"/>
      <c r="K1041" s="76"/>
      <c r="L1041" s="76"/>
      <c r="M1041" s="76"/>
      <c r="N1041" s="76"/>
      <c r="O1041" s="76"/>
      <c r="P1041" s="76"/>
      <c r="Q1041" s="76"/>
      <c r="R1041" s="76"/>
      <c r="X1041" s="84" t="s">
        <v>2696</v>
      </c>
      <c r="AA1041" s="84" t="s">
        <v>2647</v>
      </c>
      <c r="AG1041" s="84" t="s">
        <v>2643</v>
      </c>
      <c r="AU1041" s="84">
        <v>110</v>
      </c>
      <c r="AY1041" s="86" t="s">
        <v>2651</v>
      </c>
      <c r="AZ1041" s="88">
        <f t="shared" si="35"/>
        <v>0</v>
      </c>
      <c r="BX1041" s="88"/>
      <c r="CQ1041" s="88"/>
    </row>
    <row r="1042" spans="1:95" outlineLevel="1" x14ac:dyDescent="0.15">
      <c r="A1042" s="76">
        <v>1029</v>
      </c>
      <c r="B1042" s="65" t="s">
        <v>2123</v>
      </c>
      <c r="C1042" s="65">
        <v>1066962723</v>
      </c>
      <c r="D1042" s="81" t="str">
        <f t="shared" si="34"/>
        <v>https://portal.dnb.de/opac.htm?method=simpleSearch&amp;cqlMode=true&amp;query=idn%3D1066962723</v>
      </c>
      <c r="E1042" s="65" t="s">
        <v>2124</v>
      </c>
      <c r="F1042" s="76"/>
      <c r="G1042" s="78"/>
      <c r="H1042" s="76" t="s">
        <v>51</v>
      </c>
      <c r="I1042" s="78"/>
      <c r="J1042" s="78"/>
      <c r="K1042" s="76"/>
      <c r="L1042" s="76"/>
      <c r="M1042" s="76"/>
      <c r="N1042" s="76"/>
      <c r="O1042" s="76"/>
      <c r="P1042" s="76"/>
      <c r="Q1042" s="76"/>
      <c r="R1042" s="76"/>
      <c r="X1042" s="84" t="s">
        <v>2652</v>
      </c>
      <c r="Y1042" s="84" t="s">
        <v>2541</v>
      </c>
      <c r="AA1042" s="84" t="s">
        <v>2647</v>
      </c>
      <c r="AG1042" s="84" t="s">
        <v>2643</v>
      </c>
      <c r="AU1042" s="84">
        <v>60</v>
      </c>
      <c r="AY1042" s="86" t="s">
        <v>2651</v>
      </c>
      <c r="AZ1042" s="88">
        <f t="shared" si="35"/>
        <v>0</v>
      </c>
      <c r="BX1042" s="88"/>
      <c r="CQ1042" s="88"/>
    </row>
    <row r="1043" spans="1:95" outlineLevel="1" x14ac:dyDescent="0.15">
      <c r="A1043" s="76">
        <v>1030</v>
      </c>
      <c r="B1043" s="65" t="s">
        <v>2125</v>
      </c>
      <c r="C1043" s="65">
        <v>1066956685</v>
      </c>
      <c r="D1043" s="81" t="str">
        <f t="shared" si="34"/>
        <v>https://portal.dnb.de/opac.htm?method=simpleSearch&amp;cqlMode=true&amp;query=idn%3D1066956685</v>
      </c>
      <c r="E1043" s="65" t="s">
        <v>2126</v>
      </c>
      <c r="F1043" s="76"/>
      <c r="G1043" s="78"/>
      <c r="H1043" s="76" t="s">
        <v>50</v>
      </c>
      <c r="I1043" s="78"/>
      <c r="J1043" s="78"/>
      <c r="K1043" s="76"/>
      <c r="L1043" s="76"/>
      <c r="M1043" s="76"/>
      <c r="N1043" s="76"/>
      <c r="O1043" s="76"/>
      <c r="P1043" s="76"/>
      <c r="Q1043" s="76"/>
      <c r="R1043" s="76"/>
      <c r="X1043" s="84" t="s">
        <v>2643</v>
      </c>
      <c r="AA1043" s="84" t="s">
        <v>2647</v>
      </c>
      <c r="AG1043" s="84" t="s">
        <v>2643</v>
      </c>
      <c r="AU1043" s="84">
        <v>110</v>
      </c>
      <c r="AY1043" s="86" t="s">
        <v>2651</v>
      </c>
      <c r="AZ1043" s="88">
        <f t="shared" si="35"/>
        <v>0</v>
      </c>
      <c r="BX1043" s="88"/>
      <c r="CQ1043" s="88"/>
    </row>
    <row r="1044" spans="1:95" outlineLevel="1" x14ac:dyDescent="0.15">
      <c r="A1044" s="76"/>
      <c r="B1044" s="65"/>
      <c r="C1044" s="65"/>
      <c r="D1044" s="81"/>
      <c r="E1044" s="65" t="s">
        <v>2818</v>
      </c>
      <c r="F1044" s="76"/>
      <c r="G1044" s="78"/>
      <c r="H1044" s="76" t="s">
        <v>50</v>
      </c>
      <c r="I1044" s="78"/>
      <c r="J1044" s="78"/>
      <c r="K1044" s="76"/>
      <c r="L1044" s="76"/>
      <c r="M1044" s="76"/>
      <c r="N1044" s="76"/>
      <c r="O1044" s="76"/>
      <c r="P1044" s="76"/>
      <c r="Q1044" s="76"/>
      <c r="R1044" s="76"/>
      <c r="X1044" s="84" t="s">
        <v>2695</v>
      </c>
      <c r="AG1044" s="84" t="s">
        <v>2643</v>
      </c>
      <c r="AU1044" s="84" t="s">
        <v>2650</v>
      </c>
      <c r="AY1044" s="86" t="s">
        <v>2651</v>
      </c>
      <c r="AZ1044" s="88">
        <f t="shared" si="35"/>
        <v>0</v>
      </c>
      <c r="BE1044" s="84" t="s">
        <v>2541</v>
      </c>
      <c r="BH1044" s="79" t="s">
        <v>2819</v>
      </c>
      <c r="BI1044" s="63" t="s">
        <v>2820</v>
      </c>
      <c r="BX1044" s="88"/>
      <c r="CQ1044" s="88"/>
    </row>
    <row r="1045" spans="1:95" outlineLevel="1" x14ac:dyDescent="0.15">
      <c r="A1045" s="76">
        <v>1031</v>
      </c>
      <c r="B1045" s="65" t="s">
        <v>2127</v>
      </c>
      <c r="C1045" s="65">
        <v>1066958610</v>
      </c>
      <c r="D1045" s="81" t="str">
        <f t="shared" si="34"/>
        <v>https://portal.dnb.de/opac.htm?method=simpleSearch&amp;cqlMode=true&amp;query=idn%3D1066958610</v>
      </c>
      <c r="E1045" s="65" t="s">
        <v>2128</v>
      </c>
      <c r="F1045" s="76"/>
      <c r="G1045" s="78"/>
      <c r="H1045" s="76" t="s">
        <v>50</v>
      </c>
      <c r="I1045" s="78"/>
      <c r="J1045" s="78"/>
      <c r="K1045" s="76"/>
      <c r="L1045" s="76"/>
      <c r="M1045" s="76"/>
      <c r="N1045" s="76"/>
      <c r="O1045" s="76"/>
      <c r="P1045" s="76"/>
      <c r="Q1045" s="76"/>
      <c r="R1045" s="76"/>
      <c r="X1045" s="84" t="s">
        <v>2696</v>
      </c>
      <c r="AA1045" s="84" t="s">
        <v>2647</v>
      </c>
      <c r="AG1045" s="84" t="s">
        <v>2643</v>
      </c>
      <c r="AH1045" s="84" t="s">
        <v>2541</v>
      </c>
      <c r="AU1045" s="84">
        <v>110</v>
      </c>
      <c r="AY1045" s="86" t="s">
        <v>2651</v>
      </c>
      <c r="AZ1045" s="88">
        <f t="shared" si="35"/>
        <v>0</v>
      </c>
      <c r="BX1045" s="88"/>
      <c r="CQ1045" s="88"/>
    </row>
    <row r="1046" spans="1:95" outlineLevel="1" x14ac:dyDescent="0.15">
      <c r="A1046" s="76">
        <v>1032</v>
      </c>
      <c r="B1046" s="65" t="s">
        <v>2129</v>
      </c>
      <c r="C1046" s="65">
        <v>1066961514</v>
      </c>
      <c r="D1046" s="81" t="str">
        <f t="shared" si="34"/>
        <v>https://portal.dnb.de/opac.htm?method=simpleSearch&amp;cqlMode=true&amp;query=idn%3D1066961514</v>
      </c>
      <c r="E1046" s="65" t="s">
        <v>2130</v>
      </c>
      <c r="F1046" s="76"/>
      <c r="G1046" s="78"/>
      <c r="H1046" s="76"/>
      <c r="I1046" s="78"/>
      <c r="J1046" s="78"/>
      <c r="K1046" s="76"/>
      <c r="L1046" s="76"/>
      <c r="M1046" s="76"/>
      <c r="N1046" s="76"/>
      <c r="O1046" s="76"/>
      <c r="P1046" s="76"/>
      <c r="Q1046" s="76"/>
      <c r="R1046" s="76"/>
      <c r="S1046" s="84" t="s">
        <v>2774</v>
      </c>
      <c r="AZ1046" s="88">
        <f t="shared" si="35"/>
        <v>0</v>
      </c>
      <c r="BX1046" s="88"/>
      <c r="CQ1046" s="88"/>
    </row>
    <row r="1047" spans="1:95" outlineLevel="1" x14ac:dyDescent="0.15">
      <c r="A1047" s="76">
        <v>1033</v>
      </c>
      <c r="B1047" s="65" t="s">
        <v>2131</v>
      </c>
      <c r="C1047" s="65">
        <v>1066958041</v>
      </c>
      <c r="D1047" s="81" t="str">
        <f t="shared" si="34"/>
        <v>https://portal.dnb.de/opac.htm?method=simpleSearch&amp;cqlMode=true&amp;query=idn%3D1066958041</v>
      </c>
      <c r="E1047" s="65" t="s">
        <v>2132</v>
      </c>
      <c r="F1047" s="76"/>
      <c r="G1047" s="78"/>
      <c r="H1047" s="76" t="s">
        <v>50</v>
      </c>
      <c r="I1047" s="78"/>
      <c r="J1047" s="78"/>
      <c r="K1047" s="76"/>
      <c r="L1047" s="76"/>
      <c r="M1047" s="76"/>
      <c r="N1047" s="76"/>
      <c r="O1047" s="76"/>
      <c r="P1047" s="76"/>
      <c r="Q1047" s="76"/>
      <c r="R1047" s="76"/>
      <c r="X1047" s="84" t="s">
        <v>2696</v>
      </c>
      <c r="AA1047" s="84" t="s">
        <v>2647</v>
      </c>
      <c r="AG1047" s="84" t="s">
        <v>2643</v>
      </c>
      <c r="AU1047" s="84">
        <v>110</v>
      </c>
      <c r="AY1047" s="86" t="s">
        <v>2651</v>
      </c>
      <c r="AZ1047" s="88">
        <f t="shared" si="35"/>
        <v>0</v>
      </c>
      <c r="BX1047" s="88"/>
      <c r="CQ1047" s="88"/>
    </row>
    <row r="1048" spans="1:95" outlineLevel="1" x14ac:dyDescent="0.15">
      <c r="A1048" s="76">
        <v>1034</v>
      </c>
      <c r="B1048" s="65" t="s">
        <v>2133</v>
      </c>
      <c r="C1048" s="65">
        <v>1066958505</v>
      </c>
      <c r="D1048" s="81" t="str">
        <f t="shared" si="34"/>
        <v>https://portal.dnb.de/opac.htm?method=simpleSearch&amp;cqlMode=true&amp;query=idn%3D1066958505</v>
      </c>
      <c r="E1048" s="65" t="s">
        <v>2134</v>
      </c>
      <c r="F1048" s="76"/>
      <c r="G1048" s="78"/>
      <c r="H1048" s="76" t="s">
        <v>50</v>
      </c>
      <c r="I1048" s="78"/>
      <c r="J1048" s="78"/>
      <c r="K1048" s="76"/>
      <c r="L1048" s="76"/>
      <c r="M1048" s="76"/>
      <c r="N1048" s="76"/>
      <c r="O1048" s="76"/>
      <c r="P1048" s="76"/>
      <c r="Q1048" s="76"/>
      <c r="R1048" s="76"/>
      <c r="X1048" s="84" t="s">
        <v>2645</v>
      </c>
      <c r="Y1048" s="84" t="s">
        <v>2541</v>
      </c>
      <c r="AA1048" s="84" t="s">
        <v>2647</v>
      </c>
      <c r="AG1048" s="84" t="s">
        <v>2643</v>
      </c>
      <c r="AH1048" s="84" t="s">
        <v>2541</v>
      </c>
      <c r="AU1048" s="84">
        <v>110</v>
      </c>
      <c r="AY1048" s="86" t="s">
        <v>2651</v>
      </c>
      <c r="AZ1048" s="88">
        <f t="shared" si="35"/>
        <v>0</v>
      </c>
      <c r="BE1048" s="84" t="s">
        <v>2541</v>
      </c>
      <c r="BX1048" s="88"/>
      <c r="CQ1048" s="88"/>
    </row>
    <row r="1049" spans="1:95" outlineLevel="1" x14ac:dyDescent="0.15">
      <c r="A1049" s="76">
        <v>1035</v>
      </c>
      <c r="B1049" s="65" t="s">
        <v>2135</v>
      </c>
      <c r="C1049" s="65">
        <v>1066942498</v>
      </c>
      <c r="D1049" s="81" t="str">
        <f t="shared" si="34"/>
        <v>https://portal.dnb.de/opac.htm?method=simpleSearch&amp;cqlMode=true&amp;query=idn%3D1066942498</v>
      </c>
      <c r="E1049" s="65" t="s">
        <v>2136</v>
      </c>
      <c r="F1049" s="76"/>
      <c r="G1049" s="78"/>
      <c r="H1049" s="76" t="s">
        <v>50</v>
      </c>
      <c r="I1049" s="78"/>
      <c r="J1049" s="78"/>
      <c r="K1049" s="76"/>
      <c r="L1049" s="76"/>
      <c r="M1049" s="76"/>
      <c r="N1049" s="76"/>
      <c r="O1049" s="76"/>
      <c r="P1049" s="76"/>
      <c r="Q1049" s="76"/>
      <c r="R1049" s="76"/>
      <c r="X1049" s="84" t="s">
        <v>2652</v>
      </c>
      <c r="Y1049" s="84" t="s">
        <v>2541</v>
      </c>
      <c r="AA1049" s="84" t="s">
        <v>2647</v>
      </c>
      <c r="AG1049" s="84" t="s">
        <v>2643</v>
      </c>
      <c r="AU1049" s="84">
        <v>110</v>
      </c>
      <c r="AY1049" s="86" t="s">
        <v>2651</v>
      </c>
      <c r="AZ1049" s="88">
        <f t="shared" si="35"/>
        <v>0</v>
      </c>
      <c r="BX1049" s="88"/>
      <c r="CQ1049" s="88"/>
    </row>
    <row r="1050" spans="1:95" outlineLevel="1" x14ac:dyDescent="0.15">
      <c r="A1050" s="76">
        <v>1036</v>
      </c>
      <c r="B1050" s="65" t="s">
        <v>2137</v>
      </c>
      <c r="C1050" s="65" t="s">
        <v>2138</v>
      </c>
      <c r="D1050" s="81" t="str">
        <f t="shared" si="34"/>
        <v>https://portal.dnb.de/opac.htm?method=simpleSearch&amp;cqlMode=true&amp;query=idn%3D106695738X</v>
      </c>
      <c r="E1050" s="65" t="s">
        <v>2139</v>
      </c>
      <c r="F1050" s="76"/>
      <c r="G1050" s="78"/>
      <c r="H1050" s="76" t="s">
        <v>50</v>
      </c>
      <c r="I1050" s="78"/>
      <c r="J1050" s="78"/>
      <c r="K1050" s="76"/>
      <c r="L1050" s="76"/>
      <c r="M1050" s="76"/>
      <c r="N1050" s="76"/>
      <c r="O1050" s="76"/>
      <c r="P1050" s="76"/>
      <c r="Q1050" s="76"/>
      <c r="R1050" s="76"/>
      <c r="X1050" s="84" t="s">
        <v>2643</v>
      </c>
      <c r="AA1050" s="84" t="s">
        <v>2647</v>
      </c>
      <c r="AG1050" s="84" t="s">
        <v>2643</v>
      </c>
      <c r="AU1050" s="84">
        <v>110</v>
      </c>
      <c r="AY1050" s="86" t="s">
        <v>2651</v>
      </c>
      <c r="AZ1050" s="88">
        <f t="shared" si="35"/>
        <v>0</v>
      </c>
      <c r="BX1050" s="88"/>
      <c r="CQ1050" s="88"/>
    </row>
    <row r="1051" spans="1:95" outlineLevel="1" x14ac:dyDescent="0.15">
      <c r="A1051" s="76">
        <v>1037</v>
      </c>
      <c r="B1051" s="65" t="s">
        <v>2140</v>
      </c>
      <c r="C1051" s="65">
        <v>1066957584</v>
      </c>
      <c r="D1051" s="81" t="str">
        <f t="shared" si="34"/>
        <v>https://portal.dnb.de/opac.htm?method=simpleSearch&amp;cqlMode=true&amp;query=idn%3D1066957584</v>
      </c>
      <c r="E1051" s="65" t="s">
        <v>2141</v>
      </c>
      <c r="F1051" s="76"/>
      <c r="G1051" s="78"/>
      <c r="H1051" s="76" t="s">
        <v>50</v>
      </c>
      <c r="I1051" s="78"/>
      <c r="J1051" s="78"/>
      <c r="K1051" s="76"/>
      <c r="L1051" s="76"/>
      <c r="M1051" s="76"/>
      <c r="N1051" s="76"/>
      <c r="O1051" s="76"/>
      <c r="P1051" s="76"/>
      <c r="Q1051" s="76"/>
      <c r="R1051" s="76"/>
      <c r="X1051" s="84" t="s">
        <v>2643</v>
      </c>
      <c r="AA1051" s="84" t="s">
        <v>2647</v>
      </c>
      <c r="AG1051" s="84" t="s">
        <v>2643</v>
      </c>
      <c r="AU1051" s="84">
        <v>110</v>
      </c>
      <c r="AY1051" s="86" t="s">
        <v>2651</v>
      </c>
      <c r="AZ1051" s="88">
        <f t="shared" si="35"/>
        <v>0</v>
      </c>
      <c r="BX1051" s="88"/>
      <c r="CQ1051" s="88"/>
    </row>
    <row r="1052" spans="1:95" outlineLevel="1" x14ac:dyDescent="0.15">
      <c r="A1052" s="76">
        <v>1038</v>
      </c>
      <c r="B1052" s="65" t="s">
        <v>2142</v>
      </c>
      <c r="C1052" s="65">
        <v>1066961557</v>
      </c>
      <c r="D1052" s="81" t="str">
        <f t="shared" si="34"/>
        <v>https://portal.dnb.de/opac.htm?method=simpleSearch&amp;cqlMode=true&amp;query=idn%3D1066961557</v>
      </c>
      <c r="E1052" s="65" t="s">
        <v>2143</v>
      </c>
      <c r="F1052" s="76"/>
      <c r="G1052" s="78"/>
      <c r="H1052" s="76"/>
      <c r="I1052" s="78"/>
      <c r="J1052" s="78"/>
      <c r="K1052" s="76"/>
      <c r="L1052" s="76"/>
      <c r="M1052" s="76"/>
      <c r="N1052" s="76"/>
      <c r="O1052" s="76"/>
      <c r="P1052" s="76"/>
      <c r="Q1052" s="76"/>
      <c r="R1052" s="76"/>
      <c r="S1052" s="84" t="s">
        <v>2774</v>
      </c>
      <c r="AZ1052" s="88">
        <f t="shared" si="35"/>
        <v>0</v>
      </c>
      <c r="BX1052" s="88"/>
      <c r="CQ1052" s="88"/>
    </row>
    <row r="1053" spans="1:95" outlineLevel="1" x14ac:dyDescent="0.15">
      <c r="A1053" s="76">
        <v>1039</v>
      </c>
      <c r="B1053" s="65" t="s">
        <v>2144</v>
      </c>
      <c r="C1053" s="65">
        <v>1066957444</v>
      </c>
      <c r="D1053" s="81" t="str">
        <f t="shared" si="34"/>
        <v>https://portal.dnb.de/opac.htm?method=simpleSearch&amp;cqlMode=true&amp;query=idn%3D1066957444</v>
      </c>
      <c r="E1053" s="65" t="s">
        <v>2145</v>
      </c>
      <c r="F1053" s="76"/>
      <c r="G1053" s="78"/>
      <c r="H1053" s="76" t="s">
        <v>50</v>
      </c>
      <c r="I1053" s="78"/>
      <c r="J1053" s="78"/>
      <c r="K1053" s="76"/>
      <c r="L1053" s="76"/>
      <c r="M1053" s="76"/>
      <c r="N1053" s="76"/>
      <c r="O1053" s="76"/>
      <c r="P1053" s="76"/>
      <c r="Q1053" s="76"/>
      <c r="R1053" s="76"/>
      <c r="X1053" s="84" t="s">
        <v>2700</v>
      </c>
      <c r="AA1053" s="84" t="s">
        <v>2642</v>
      </c>
      <c r="AG1053" s="84" t="s">
        <v>2643</v>
      </c>
      <c r="AU1053" s="84">
        <v>110</v>
      </c>
      <c r="AY1053" s="86" t="s">
        <v>2651</v>
      </c>
      <c r="AZ1053" s="88">
        <f t="shared" si="35"/>
        <v>0</v>
      </c>
      <c r="BX1053" s="88"/>
      <c r="CQ1053" s="88"/>
    </row>
    <row r="1054" spans="1:95" outlineLevel="1" x14ac:dyDescent="0.15">
      <c r="A1054" s="76">
        <v>1040</v>
      </c>
      <c r="B1054" s="65" t="s">
        <v>2146</v>
      </c>
      <c r="C1054" s="65">
        <v>1066961689</v>
      </c>
      <c r="D1054" s="81" t="str">
        <f t="shared" si="34"/>
        <v>https://portal.dnb.de/opac.htm?method=simpleSearch&amp;cqlMode=true&amp;query=idn%3D1066961689</v>
      </c>
      <c r="E1054" s="65" t="s">
        <v>2147</v>
      </c>
      <c r="F1054" s="76"/>
      <c r="G1054" s="78"/>
      <c r="H1054" s="76" t="s">
        <v>50</v>
      </c>
      <c r="I1054" s="78"/>
      <c r="J1054" s="78"/>
      <c r="K1054" s="76"/>
      <c r="L1054" s="76"/>
      <c r="M1054" s="76"/>
      <c r="N1054" s="76"/>
      <c r="O1054" s="76"/>
      <c r="P1054" s="76"/>
      <c r="Q1054" s="76"/>
      <c r="R1054" s="76"/>
      <c r="W1054" s="84" t="s">
        <v>2541</v>
      </c>
      <c r="X1054" s="84" t="s">
        <v>2652</v>
      </c>
      <c r="Z1054" s="84" t="s">
        <v>2541</v>
      </c>
      <c r="AA1054" s="84" t="s">
        <v>2653</v>
      </c>
      <c r="AG1054" s="84" t="s">
        <v>2643</v>
      </c>
      <c r="AU1054" s="84">
        <v>60</v>
      </c>
      <c r="AY1054" s="86" t="s">
        <v>2651</v>
      </c>
      <c r="AZ1054" s="88">
        <f t="shared" si="35"/>
        <v>0</v>
      </c>
      <c r="BX1054" s="88"/>
      <c r="CQ1054" s="88"/>
    </row>
    <row r="1055" spans="1:95" outlineLevel="1" x14ac:dyDescent="0.15">
      <c r="A1055" s="76">
        <v>1041</v>
      </c>
      <c r="B1055" s="65" t="s">
        <v>2148</v>
      </c>
      <c r="C1055" s="65">
        <v>1066962936</v>
      </c>
      <c r="D1055" s="81" t="str">
        <f t="shared" si="34"/>
        <v>https://portal.dnb.de/opac.htm?method=simpleSearch&amp;cqlMode=true&amp;query=idn%3D1066962936</v>
      </c>
      <c r="E1055" s="65" t="s">
        <v>2149</v>
      </c>
      <c r="F1055" s="76"/>
      <c r="G1055" s="78"/>
      <c r="H1055" s="76" t="s">
        <v>50</v>
      </c>
      <c r="I1055" s="78"/>
      <c r="J1055" s="78"/>
      <c r="K1055" s="76"/>
      <c r="L1055" s="76"/>
      <c r="M1055" s="76"/>
      <c r="N1055" s="76"/>
      <c r="O1055" s="76"/>
      <c r="P1055" s="76"/>
      <c r="Q1055" s="76"/>
      <c r="R1055" s="76"/>
      <c r="X1055" s="84" t="s">
        <v>2645</v>
      </c>
      <c r="Y1055" s="84" t="s">
        <v>2541</v>
      </c>
      <c r="AA1055" s="84" t="s">
        <v>2647</v>
      </c>
      <c r="AG1055" s="84" t="s">
        <v>2643</v>
      </c>
      <c r="AH1055" s="84" t="s">
        <v>2541</v>
      </c>
      <c r="AU1055" s="84">
        <v>110</v>
      </c>
      <c r="AY1055" s="86" t="s">
        <v>2651</v>
      </c>
      <c r="AZ1055" s="88">
        <f t="shared" si="35"/>
        <v>0</v>
      </c>
      <c r="BX1055" s="88"/>
      <c r="CQ1055" s="88"/>
    </row>
    <row r="1056" spans="1:95" outlineLevel="1" x14ac:dyDescent="0.15">
      <c r="A1056" s="76">
        <v>1042</v>
      </c>
      <c r="B1056" s="65" t="s">
        <v>2150</v>
      </c>
      <c r="C1056" s="65">
        <v>1066964343</v>
      </c>
      <c r="D1056" s="81" t="str">
        <f t="shared" si="34"/>
        <v>https://portal.dnb.de/opac.htm?method=simpleSearch&amp;cqlMode=true&amp;query=idn%3D1066964343</v>
      </c>
      <c r="E1056" s="65" t="s">
        <v>2151</v>
      </c>
      <c r="F1056" s="76"/>
      <c r="G1056" s="78"/>
      <c r="H1056" s="76" t="s">
        <v>50</v>
      </c>
      <c r="I1056" s="78"/>
      <c r="J1056" s="78"/>
      <c r="K1056" s="76"/>
      <c r="L1056" s="76"/>
      <c r="M1056" s="76"/>
      <c r="N1056" s="76"/>
      <c r="O1056" s="76"/>
      <c r="P1056" s="76"/>
      <c r="Q1056" s="76"/>
      <c r="R1056" s="76"/>
      <c r="X1056" s="84" t="s">
        <v>2700</v>
      </c>
      <c r="AA1056" s="84" t="s">
        <v>2642</v>
      </c>
      <c r="AG1056" s="84" t="s">
        <v>2643</v>
      </c>
      <c r="AU1056" s="84">
        <v>180</v>
      </c>
      <c r="AY1056" s="86" t="s">
        <v>2651</v>
      </c>
      <c r="AZ1056" s="88">
        <f t="shared" si="35"/>
        <v>0</v>
      </c>
      <c r="BX1056" s="88"/>
      <c r="CQ1056" s="88"/>
    </row>
    <row r="1057" spans="1:95" outlineLevel="1" x14ac:dyDescent="0.15">
      <c r="A1057" s="76">
        <v>1043</v>
      </c>
      <c r="B1057" s="65" t="s">
        <v>2152</v>
      </c>
      <c r="C1057" s="65">
        <v>1066958637</v>
      </c>
      <c r="D1057" s="81" t="str">
        <f t="shared" ref="D1057:D1120" si="36">HYPERLINK(CONCATENATE("https://portal.dnb.de/opac.htm?method=simpleSearch&amp;cqlMode=true&amp;query=idn%3D",C1057))</f>
        <v>https://portal.dnb.de/opac.htm?method=simpleSearch&amp;cqlMode=true&amp;query=idn%3D1066958637</v>
      </c>
      <c r="E1057" s="65" t="s">
        <v>2153</v>
      </c>
      <c r="F1057" s="76"/>
      <c r="G1057" s="78"/>
      <c r="H1057" s="76" t="s">
        <v>50</v>
      </c>
      <c r="I1057" s="78"/>
      <c r="J1057" s="78"/>
      <c r="K1057" s="76"/>
      <c r="L1057" s="76"/>
      <c r="M1057" s="76"/>
      <c r="N1057" s="76"/>
      <c r="O1057" s="76"/>
      <c r="P1057" s="76"/>
      <c r="Q1057" s="76"/>
      <c r="R1057" s="76"/>
      <c r="X1057" s="84" t="s">
        <v>2695</v>
      </c>
      <c r="AG1057" s="84" t="s">
        <v>2643</v>
      </c>
      <c r="AU1057" s="84" t="s">
        <v>2650</v>
      </c>
      <c r="AY1057" s="86" t="s">
        <v>2651</v>
      </c>
      <c r="AZ1057" s="88">
        <f t="shared" si="35"/>
        <v>0</v>
      </c>
      <c r="BB1057" s="84" t="s">
        <v>2777</v>
      </c>
      <c r="BH1057" s="79" t="s">
        <v>2829</v>
      </c>
      <c r="BX1057" s="88"/>
      <c r="CQ1057" s="88"/>
    </row>
    <row r="1058" spans="1:95" outlineLevel="1" x14ac:dyDescent="0.15">
      <c r="A1058" s="76">
        <v>1044</v>
      </c>
      <c r="B1058" s="65" t="s">
        <v>2154</v>
      </c>
      <c r="C1058" s="65">
        <v>1066848564</v>
      </c>
      <c r="D1058" s="81" t="str">
        <f t="shared" si="36"/>
        <v>https://portal.dnb.de/opac.htm?method=simpleSearch&amp;cqlMode=true&amp;query=idn%3D1066848564</v>
      </c>
      <c r="E1058" s="65" t="s">
        <v>2155</v>
      </c>
      <c r="F1058" s="76"/>
      <c r="G1058" s="78"/>
      <c r="H1058" s="76" t="s">
        <v>51</v>
      </c>
      <c r="I1058" s="78"/>
      <c r="J1058" s="78"/>
      <c r="K1058" s="76"/>
      <c r="L1058" s="76"/>
      <c r="M1058" s="76"/>
      <c r="N1058" s="76"/>
      <c r="O1058" s="76"/>
      <c r="P1058" s="76"/>
      <c r="Q1058" s="76"/>
      <c r="R1058" s="76"/>
      <c r="X1058" s="84" t="s">
        <v>2697</v>
      </c>
      <c r="Y1058" s="84" t="s">
        <v>2541</v>
      </c>
      <c r="AA1058" s="84" t="s">
        <v>2647</v>
      </c>
      <c r="AG1058" s="84" t="s">
        <v>2643</v>
      </c>
      <c r="AU1058" s="84">
        <v>110</v>
      </c>
      <c r="AY1058" s="86" t="s">
        <v>2651</v>
      </c>
      <c r="AZ1058" s="88">
        <f t="shared" si="35"/>
        <v>0</v>
      </c>
      <c r="BD1058" s="84" t="s">
        <v>2541</v>
      </c>
      <c r="BX1058" s="88"/>
      <c r="CQ1058" s="88"/>
    </row>
    <row r="1059" spans="1:95" outlineLevel="1" x14ac:dyDescent="0.15">
      <c r="A1059" s="76">
        <v>1045</v>
      </c>
      <c r="B1059" s="65" t="s">
        <v>2156</v>
      </c>
      <c r="C1059" s="65">
        <v>1066961654</v>
      </c>
      <c r="D1059" s="81" t="str">
        <f t="shared" si="36"/>
        <v>https://portal.dnb.de/opac.htm?method=simpleSearch&amp;cqlMode=true&amp;query=idn%3D1066961654</v>
      </c>
      <c r="E1059" s="65" t="s">
        <v>2157</v>
      </c>
      <c r="F1059" s="76"/>
      <c r="G1059" s="78"/>
      <c r="H1059" s="76" t="s">
        <v>50</v>
      </c>
      <c r="I1059" s="78"/>
      <c r="J1059" s="78"/>
      <c r="K1059" s="76"/>
      <c r="L1059" s="76"/>
      <c r="M1059" s="76"/>
      <c r="N1059" s="76"/>
      <c r="O1059" s="76"/>
      <c r="P1059" s="76"/>
      <c r="Q1059" s="76"/>
      <c r="R1059" s="76"/>
      <c r="X1059" s="84" t="s">
        <v>2645</v>
      </c>
      <c r="Y1059" s="84" t="s">
        <v>2541</v>
      </c>
      <c r="AA1059" s="84" t="s">
        <v>2647</v>
      </c>
      <c r="AG1059" s="84" t="s">
        <v>2643</v>
      </c>
      <c r="AU1059" s="84">
        <v>110</v>
      </c>
      <c r="AY1059" s="86" t="s">
        <v>2651</v>
      </c>
      <c r="AZ1059" s="88">
        <f t="shared" si="35"/>
        <v>0</v>
      </c>
      <c r="BX1059" s="88"/>
      <c r="CQ1059" s="88"/>
    </row>
    <row r="1060" spans="1:95" outlineLevel="1" x14ac:dyDescent="0.15">
      <c r="A1060" s="76">
        <v>1046</v>
      </c>
      <c r="B1060" s="65" t="s">
        <v>2158</v>
      </c>
      <c r="C1060" s="65">
        <v>1066696314</v>
      </c>
      <c r="D1060" s="81" t="str">
        <f t="shared" si="36"/>
        <v>https://portal.dnb.de/opac.htm?method=simpleSearch&amp;cqlMode=true&amp;query=idn%3D1066696314</v>
      </c>
      <c r="E1060" s="65" t="s">
        <v>2159</v>
      </c>
      <c r="F1060" s="76"/>
      <c r="G1060" s="78"/>
      <c r="H1060" s="76" t="s">
        <v>51</v>
      </c>
      <c r="I1060" s="78"/>
      <c r="J1060" s="78"/>
      <c r="K1060" s="76"/>
      <c r="L1060" s="76"/>
      <c r="M1060" s="76"/>
      <c r="N1060" s="76"/>
      <c r="O1060" s="76"/>
      <c r="P1060" s="76"/>
      <c r="Q1060" s="76"/>
      <c r="R1060" s="76"/>
      <c r="X1060" s="84" t="s">
        <v>2646</v>
      </c>
      <c r="Z1060" s="84" t="s">
        <v>2541</v>
      </c>
      <c r="AA1060" s="84" t="s">
        <v>2647</v>
      </c>
      <c r="AB1060" s="84" t="s">
        <v>2541</v>
      </c>
      <c r="AG1060" s="84" t="s">
        <v>2643</v>
      </c>
      <c r="AU1060" s="84">
        <v>110</v>
      </c>
      <c r="AY1060" s="86" t="s">
        <v>2651</v>
      </c>
      <c r="AZ1060" s="88">
        <f t="shared" si="35"/>
        <v>0</v>
      </c>
      <c r="BB1060" s="84" t="s">
        <v>2777</v>
      </c>
      <c r="BX1060" s="88"/>
      <c r="CQ1060" s="88"/>
    </row>
    <row r="1061" spans="1:95" outlineLevel="1" x14ac:dyDescent="0.15">
      <c r="A1061" s="76">
        <v>1047</v>
      </c>
      <c r="B1061" s="65" t="s">
        <v>2160</v>
      </c>
      <c r="C1061" s="65">
        <v>1066964319</v>
      </c>
      <c r="D1061" s="81" t="str">
        <f t="shared" si="36"/>
        <v>https://portal.dnb.de/opac.htm?method=simpleSearch&amp;cqlMode=true&amp;query=idn%3D1066964319</v>
      </c>
      <c r="E1061" s="65" t="s">
        <v>2161</v>
      </c>
      <c r="F1061" s="76"/>
      <c r="G1061" s="78"/>
      <c r="H1061" s="76" t="s">
        <v>51</v>
      </c>
      <c r="I1061" s="78"/>
      <c r="J1061" s="78"/>
      <c r="K1061" s="76"/>
      <c r="L1061" s="76"/>
      <c r="M1061" s="76"/>
      <c r="N1061" s="76"/>
      <c r="O1061" s="76"/>
      <c r="P1061" s="76"/>
      <c r="Q1061" s="76"/>
      <c r="R1061" s="76"/>
      <c r="X1061" s="84" t="s">
        <v>2652</v>
      </c>
      <c r="AA1061" s="84" t="s">
        <v>2647</v>
      </c>
      <c r="AG1061" s="84" t="s">
        <v>2643</v>
      </c>
      <c r="AU1061" s="84">
        <v>45</v>
      </c>
      <c r="AW1061" s="84" t="s">
        <v>2541</v>
      </c>
      <c r="AX1061" s="84" t="s">
        <v>2541</v>
      </c>
      <c r="AY1061" s="86" t="s">
        <v>2651</v>
      </c>
      <c r="AZ1061" s="88">
        <f t="shared" si="35"/>
        <v>0</v>
      </c>
      <c r="BX1061" s="88"/>
      <c r="CQ1061" s="88"/>
    </row>
    <row r="1062" spans="1:95" outlineLevel="1" x14ac:dyDescent="0.15">
      <c r="A1062" s="76">
        <v>1048</v>
      </c>
      <c r="B1062" s="65" t="s">
        <v>2162</v>
      </c>
      <c r="C1062" s="65">
        <v>1066957568</v>
      </c>
      <c r="D1062" s="81" t="str">
        <f t="shared" si="36"/>
        <v>https://portal.dnb.de/opac.htm?method=simpleSearch&amp;cqlMode=true&amp;query=idn%3D1066957568</v>
      </c>
      <c r="E1062" s="65" t="s">
        <v>2163</v>
      </c>
      <c r="F1062" s="76"/>
      <c r="G1062" s="78"/>
      <c r="H1062" s="76" t="s">
        <v>50</v>
      </c>
      <c r="I1062" s="78"/>
      <c r="J1062" s="78"/>
      <c r="K1062" s="76"/>
      <c r="L1062" s="76"/>
      <c r="M1062" s="76"/>
      <c r="N1062" s="76"/>
      <c r="O1062" s="76"/>
      <c r="P1062" s="76"/>
      <c r="Q1062" s="76"/>
      <c r="R1062" s="76"/>
      <c r="W1062" s="84" t="s">
        <v>2541</v>
      </c>
      <c r="X1062" s="84" t="s">
        <v>2652</v>
      </c>
      <c r="Y1062" s="84" t="s">
        <v>2541</v>
      </c>
      <c r="AA1062" s="84" t="s">
        <v>2642</v>
      </c>
      <c r="AG1062" s="84" t="s">
        <v>2643</v>
      </c>
      <c r="AU1062" s="84">
        <v>60</v>
      </c>
      <c r="AY1062" s="86" t="s">
        <v>2651</v>
      </c>
      <c r="AZ1062" s="88">
        <f t="shared" si="35"/>
        <v>0</v>
      </c>
      <c r="BF1062" s="84" t="s">
        <v>2659</v>
      </c>
      <c r="BG1062" s="84" t="s">
        <v>2541</v>
      </c>
      <c r="BX1062" s="88"/>
      <c r="CQ1062" s="88"/>
    </row>
    <row r="1063" spans="1:95" ht="22.5" outlineLevel="1" x14ac:dyDescent="0.15">
      <c r="A1063" s="76">
        <v>1049</v>
      </c>
      <c r="B1063" s="65" t="s">
        <v>2164</v>
      </c>
      <c r="C1063" s="65">
        <v>1066847819</v>
      </c>
      <c r="D1063" s="81" t="str">
        <f t="shared" si="36"/>
        <v>https://portal.dnb.de/opac.htm?method=simpleSearch&amp;cqlMode=true&amp;query=idn%3D1066847819</v>
      </c>
      <c r="E1063" s="65" t="s">
        <v>2165</v>
      </c>
      <c r="F1063" s="76"/>
      <c r="G1063" s="78"/>
      <c r="H1063" s="76" t="s">
        <v>52</v>
      </c>
      <c r="I1063" s="78"/>
      <c r="J1063" s="78"/>
      <c r="K1063" s="76"/>
      <c r="L1063" s="76"/>
      <c r="M1063" s="76"/>
      <c r="N1063" s="76"/>
      <c r="O1063" s="76"/>
      <c r="P1063" s="76"/>
      <c r="Q1063" s="76"/>
      <c r="R1063" s="76"/>
      <c r="V1063" s="84" t="s">
        <v>2541</v>
      </c>
      <c r="X1063" s="84" t="s">
        <v>2641</v>
      </c>
      <c r="Y1063" s="84" t="s">
        <v>2541</v>
      </c>
      <c r="AA1063" s="84" t="s">
        <v>2653</v>
      </c>
      <c r="AF1063" s="84" t="s">
        <v>2541</v>
      </c>
      <c r="AG1063" s="84" t="s">
        <v>2643</v>
      </c>
      <c r="AS1063" s="84">
        <v>0</v>
      </c>
      <c r="AT1063" s="84" t="s">
        <v>2541</v>
      </c>
      <c r="AU1063" s="84">
        <v>110</v>
      </c>
      <c r="AY1063" s="86" t="s">
        <v>2644</v>
      </c>
      <c r="AZ1063" s="88">
        <f t="shared" si="35"/>
        <v>0.5</v>
      </c>
      <c r="BI1063" s="63" t="s">
        <v>2780</v>
      </c>
      <c r="BJ1063" s="79" t="s">
        <v>2955</v>
      </c>
      <c r="BM1063" s="84" t="s">
        <v>2541</v>
      </c>
      <c r="BR1063" s="84" t="s">
        <v>2541</v>
      </c>
      <c r="BX1063" s="88">
        <v>0.5</v>
      </c>
      <c r="CQ1063" s="88"/>
    </row>
    <row r="1064" spans="1:95" outlineLevel="1" x14ac:dyDescent="0.15">
      <c r="A1064" s="76">
        <v>1050</v>
      </c>
      <c r="B1064" s="65" t="s">
        <v>2166</v>
      </c>
      <c r="C1064" s="65">
        <v>993887112</v>
      </c>
      <c r="D1064" s="81" t="str">
        <f t="shared" si="36"/>
        <v>https://portal.dnb.de/opac.htm?method=simpleSearch&amp;cqlMode=true&amp;query=idn%3D993887112</v>
      </c>
      <c r="E1064" s="65" t="s">
        <v>2167</v>
      </c>
      <c r="F1064" s="76"/>
      <c r="G1064" s="78"/>
      <c r="H1064" s="76" t="s">
        <v>50</v>
      </c>
      <c r="I1064" s="78"/>
      <c r="J1064" s="78"/>
      <c r="K1064" s="76"/>
      <c r="L1064" s="76"/>
      <c r="M1064" s="76"/>
      <c r="N1064" s="76"/>
      <c r="O1064" s="76"/>
      <c r="P1064" s="76"/>
      <c r="Q1064" s="76"/>
      <c r="R1064" s="76"/>
      <c r="X1064" s="84" t="s">
        <v>2643</v>
      </c>
      <c r="AA1064" s="84" t="s">
        <v>2647</v>
      </c>
      <c r="AG1064" s="84" t="s">
        <v>2643</v>
      </c>
      <c r="AU1064" s="84">
        <v>110</v>
      </c>
      <c r="AY1064" s="86" t="s">
        <v>2651</v>
      </c>
      <c r="AZ1064" s="88">
        <f t="shared" si="35"/>
        <v>0</v>
      </c>
      <c r="BX1064" s="88"/>
      <c r="CQ1064" s="88"/>
    </row>
    <row r="1065" spans="1:95" outlineLevel="1" x14ac:dyDescent="0.15">
      <c r="A1065" s="76">
        <v>1051</v>
      </c>
      <c r="B1065" s="65" t="s">
        <v>2168</v>
      </c>
      <c r="C1065" s="65">
        <v>1066957975</v>
      </c>
      <c r="D1065" s="81" t="str">
        <f t="shared" si="36"/>
        <v>https://portal.dnb.de/opac.htm?method=simpleSearch&amp;cqlMode=true&amp;query=idn%3D1066957975</v>
      </c>
      <c r="E1065" s="65" t="s">
        <v>2169</v>
      </c>
      <c r="F1065" s="76"/>
      <c r="G1065" s="78"/>
      <c r="H1065" s="76" t="s">
        <v>50</v>
      </c>
      <c r="I1065" s="78"/>
      <c r="J1065" s="78"/>
      <c r="K1065" s="76"/>
      <c r="L1065" s="76"/>
      <c r="M1065" s="76"/>
      <c r="N1065" s="76"/>
      <c r="O1065" s="76"/>
      <c r="P1065" s="76"/>
      <c r="Q1065" s="76"/>
      <c r="R1065" s="76"/>
      <c r="X1065" s="84" t="s">
        <v>2697</v>
      </c>
      <c r="Y1065" s="84" t="s">
        <v>2541</v>
      </c>
      <c r="AA1065" s="84" t="s">
        <v>2647</v>
      </c>
      <c r="AG1065" s="84" t="s">
        <v>2643</v>
      </c>
      <c r="AU1065" s="84">
        <v>110</v>
      </c>
      <c r="AY1065" s="86" t="s">
        <v>2651</v>
      </c>
      <c r="AZ1065" s="88">
        <f t="shared" si="35"/>
        <v>0</v>
      </c>
      <c r="BD1065" s="84" t="s">
        <v>2541</v>
      </c>
      <c r="BX1065" s="88"/>
      <c r="CQ1065" s="88"/>
    </row>
    <row r="1066" spans="1:95" ht="22.5" outlineLevel="1" x14ac:dyDescent="0.15">
      <c r="A1066" s="76">
        <v>1052</v>
      </c>
      <c r="B1066" s="65" t="s">
        <v>2170</v>
      </c>
      <c r="C1066" s="65">
        <v>1066961611</v>
      </c>
      <c r="D1066" s="81" t="str">
        <f t="shared" si="36"/>
        <v>https://portal.dnb.de/opac.htm?method=simpleSearch&amp;cqlMode=true&amp;query=idn%3D1066961611</v>
      </c>
      <c r="E1066" s="65" t="s">
        <v>2171</v>
      </c>
      <c r="F1066" s="76"/>
      <c r="G1066" s="78"/>
      <c r="H1066" s="76" t="s">
        <v>50</v>
      </c>
      <c r="I1066" s="78"/>
      <c r="J1066" s="78"/>
      <c r="K1066" s="76"/>
      <c r="L1066" s="76"/>
      <c r="M1066" s="76"/>
      <c r="N1066" s="76"/>
      <c r="O1066" s="76"/>
      <c r="P1066" s="76"/>
      <c r="Q1066" s="76"/>
      <c r="R1066" s="76"/>
      <c r="U1066" s="86" t="s">
        <v>2833</v>
      </c>
      <c r="X1066" s="84" t="s">
        <v>2697</v>
      </c>
      <c r="Y1066" s="84" t="s">
        <v>2541</v>
      </c>
      <c r="AA1066" s="84" t="s">
        <v>2647</v>
      </c>
      <c r="AG1066" s="84" t="s">
        <v>2643</v>
      </c>
      <c r="AH1066" s="84" t="s">
        <v>2541</v>
      </c>
      <c r="AU1066" s="84">
        <v>110</v>
      </c>
      <c r="AY1066" s="86" t="s">
        <v>2651</v>
      </c>
      <c r="AZ1066" s="88">
        <f t="shared" si="35"/>
        <v>0</v>
      </c>
      <c r="BD1066" s="84" t="s">
        <v>2541</v>
      </c>
      <c r="BX1066" s="88"/>
      <c r="CQ1066" s="88"/>
    </row>
    <row r="1067" spans="1:95" outlineLevel="1" x14ac:dyDescent="0.15">
      <c r="A1067" s="76">
        <v>1053</v>
      </c>
      <c r="B1067" s="65" t="s">
        <v>2172</v>
      </c>
      <c r="C1067" s="65">
        <v>1066957088</v>
      </c>
      <c r="D1067" s="81" t="str">
        <f t="shared" si="36"/>
        <v>https://portal.dnb.de/opac.htm?method=simpleSearch&amp;cqlMode=true&amp;query=idn%3D1066957088</v>
      </c>
      <c r="E1067" s="65" t="s">
        <v>2173</v>
      </c>
      <c r="F1067" s="76"/>
      <c r="G1067" s="78"/>
      <c r="H1067" s="76" t="s">
        <v>50</v>
      </c>
      <c r="I1067" s="78"/>
      <c r="J1067" s="78"/>
      <c r="K1067" s="76"/>
      <c r="L1067" s="76"/>
      <c r="M1067" s="76"/>
      <c r="N1067" s="76"/>
      <c r="O1067" s="76"/>
      <c r="P1067" s="76"/>
      <c r="Q1067" s="76"/>
      <c r="R1067" s="76"/>
      <c r="X1067" s="84" t="s">
        <v>2696</v>
      </c>
      <c r="AA1067" s="84" t="s">
        <v>2647</v>
      </c>
      <c r="AG1067" s="84" t="s">
        <v>2643</v>
      </c>
      <c r="AH1067" s="84" t="s">
        <v>2541</v>
      </c>
      <c r="AU1067" s="84">
        <v>110</v>
      </c>
      <c r="AY1067" s="86" t="s">
        <v>2651</v>
      </c>
      <c r="AZ1067" s="88">
        <f t="shared" si="35"/>
        <v>0</v>
      </c>
      <c r="BX1067" s="88"/>
      <c r="CQ1067" s="88"/>
    </row>
    <row r="1068" spans="1:95" ht="22.5" outlineLevel="1" x14ac:dyDescent="0.15">
      <c r="A1068" s="76">
        <v>1054</v>
      </c>
      <c r="B1068" s="65" t="s">
        <v>2174</v>
      </c>
      <c r="C1068" s="65">
        <v>1079624163</v>
      </c>
      <c r="D1068" s="81" t="str">
        <f t="shared" si="36"/>
        <v>https://portal.dnb.de/opac.htm?method=simpleSearch&amp;cqlMode=true&amp;query=idn%3D1079624163</v>
      </c>
      <c r="E1068" s="65" t="s">
        <v>2175</v>
      </c>
      <c r="F1068" s="76"/>
      <c r="G1068" s="78"/>
      <c r="H1068" s="76" t="s">
        <v>50</v>
      </c>
      <c r="I1068" s="78"/>
      <c r="J1068" s="78"/>
      <c r="K1068" s="76"/>
      <c r="L1068" s="76"/>
      <c r="M1068" s="76"/>
      <c r="N1068" s="76"/>
      <c r="O1068" s="76"/>
      <c r="P1068" s="76"/>
      <c r="Q1068" s="76"/>
      <c r="R1068" s="76"/>
      <c r="U1068" s="86" t="s">
        <v>2833</v>
      </c>
      <c r="X1068" s="84" t="s">
        <v>2697</v>
      </c>
      <c r="Y1068" s="84" t="s">
        <v>2541</v>
      </c>
      <c r="AA1068" s="84" t="s">
        <v>2647</v>
      </c>
      <c r="AG1068" s="84" t="s">
        <v>2643</v>
      </c>
      <c r="AH1068" s="84" t="s">
        <v>2541</v>
      </c>
      <c r="AU1068" s="84">
        <v>110</v>
      </c>
      <c r="AY1068" s="86" t="s">
        <v>2651</v>
      </c>
      <c r="AZ1068" s="88">
        <f t="shared" si="35"/>
        <v>0</v>
      </c>
      <c r="BD1068" s="84" t="s">
        <v>2541</v>
      </c>
      <c r="BX1068" s="88"/>
      <c r="CQ1068" s="88"/>
    </row>
    <row r="1069" spans="1:95" outlineLevel="1" x14ac:dyDescent="0.15">
      <c r="A1069" s="76">
        <v>1055</v>
      </c>
      <c r="B1069" s="65" t="s">
        <v>2176</v>
      </c>
      <c r="C1069" s="65" t="s">
        <v>2177</v>
      </c>
      <c r="D1069" s="81" t="str">
        <f t="shared" si="36"/>
        <v>https://portal.dnb.de/opac.htm?method=simpleSearch&amp;cqlMode=true&amp;query=idn%3D99892413X</v>
      </c>
      <c r="E1069" s="65" t="s">
        <v>2178</v>
      </c>
      <c r="F1069" s="76"/>
      <c r="G1069" s="78"/>
      <c r="H1069" s="76" t="s">
        <v>50</v>
      </c>
      <c r="I1069" s="78"/>
      <c r="J1069" s="78"/>
      <c r="K1069" s="76"/>
      <c r="L1069" s="76"/>
      <c r="M1069" s="76"/>
      <c r="N1069" s="76"/>
      <c r="O1069" s="76"/>
      <c r="P1069" s="76"/>
      <c r="Q1069" s="76"/>
      <c r="R1069" s="76"/>
      <c r="W1069" s="84" t="s">
        <v>2541</v>
      </c>
      <c r="X1069" s="84" t="s">
        <v>2697</v>
      </c>
      <c r="Z1069" s="84" t="s">
        <v>2541</v>
      </c>
      <c r="AA1069" s="84" t="s">
        <v>2642</v>
      </c>
      <c r="AG1069" s="84" t="s">
        <v>2643</v>
      </c>
      <c r="AL1069" s="84" t="s">
        <v>2541</v>
      </c>
      <c r="AS1069" s="84">
        <v>2</v>
      </c>
      <c r="AT1069" s="84" t="s">
        <v>2541</v>
      </c>
      <c r="AU1069" s="84">
        <v>110</v>
      </c>
      <c r="AY1069" s="86" t="s">
        <v>2651</v>
      </c>
      <c r="AZ1069" s="88">
        <f t="shared" si="35"/>
        <v>0</v>
      </c>
      <c r="BF1069" s="84" t="s">
        <v>2659</v>
      </c>
      <c r="BG1069" s="84" t="s">
        <v>2541</v>
      </c>
      <c r="BX1069" s="88"/>
      <c r="CQ1069" s="88"/>
    </row>
    <row r="1070" spans="1:95" outlineLevel="1" x14ac:dyDescent="0.15">
      <c r="A1070" s="76">
        <v>1056</v>
      </c>
      <c r="B1070" s="65" t="s">
        <v>2179</v>
      </c>
      <c r="C1070" s="65">
        <v>1066960011</v>
      </c>
      <c r="D1070" s="81" t="str">
        <f t="shared" si="36"/>
        <v>https://portal.dnb.de/opac.htm?method=simpleSearch&amp;cqlMode=true&amp;query=idn%3D1066960011</v>
      </c>
      <c r="E1070" s="65" t="s">
        <v>2180</v>
      </c>
      <c r="F1070" s="76"/>
      <c r="G1070" s="78"/>
      <c r="H1070" s="76" t="s">
        <v>50</v>
      </c>
      <c r="I1070" s="78"/>
      <c r="J1070" s="78"/>
      <c r="K1070" s="76"/>
      <c r="L1070" s="76"/>
      <c r="M1070" s="76"/>
      <c r="N1070" s="76"/>
      <c r="O1070" s="76"/>
      <c r="P1070" s="76"/>
      <c r="Q1070" s="76"/>
      <c r="R1070" s="76"/>
      <c r="X1070" s="84" t="s">
        <v>2646</v>
      </c>
      <c r="AA1070" s="84" t="s">
        <v>2647</v>
      </c>
      <c r="AG1070" s="84" t="s">
        <v>2643</v>
      </c>
      <c r="AU1070" s="84">
        <v>110</v>
      </c>
      <c r="AY1070" s="86" t="s">
        <v>2651</v>
      </c>
      <c r="AZ1070" s="88">
        <f t="shared" si="35"/>
        <v>0</v>
      </c>
      <c r="BJ1070" s="79" t="s">
        <v>2783</v>
      </c>
      <c r="BX1070" s="88"/>
      <c r="CQ1070" s="88"/>
    </row>
    <row r="1071" spans="1:95" outlineLevel="1" x14ac:dyDescent="0.15">
      <c r="A1071" s="76">
        <v>1057</v>
      </c>
      <c r="B1071" s="65" t="s">
        <v>2181</v>
      </c>
      <c r="C1071" s="65" t="s">
        <v>2182</v>
      </c>
      <c r="D1071" s="81" t="str">
        <f t="shared" si="36"/>
        <v>https://portal.dnb.de/opac.htm?method=simpleSearch&amp;cqlMode=true&amp;query=idn%3D106695755X</v>
      </c>
      <c r="E1071" s="65" t="s">
        <v>2183</v>
      </c>
      <c r="F1071" s="76"/>
      <c r="G1071" s="78"/>
      <c r="H1071" s="76" t="s">
        <v>50</v>
      </c>
      <c r="I1071" s="78"/>
      <c r="J1071" s="78"/>
      <c r="K1071" s="76"/>
      <c r="L1071" s="76"/>
      <c r="M1071" s="76"/>
      <c r="N1071" s="76"/>
      <c r="O1071" s="76"/>
      <c r="P1071" s="76"/>
      <c r="Q1071" s="76"/>
      <c r="R1071" s="76"/>
      <c r="X1071" s="84" t="s">
        <v>2696</v>
      </c>
      <c r="AA1071" s="84" t="s">
        <v>2647</v>
      </c>
      <c r="AG1071" s="84" t="s">
        <v>2643</v>
      </c>
      <c r="AU1071" s="84">
        <v>110</v>
      </c>
      <c r="AY1071" s="86" t="s">
        <v>2651</v>
      </c>
      <c r="AZ1071" s="88">
        <f t="shared" si="35"/>
        <v>0</v>
      </c>
      <c r="BX1071" s="88"/>
      <c r="CQ1071" s="88"/>
    </row>
    <row r="1072" spans="1:95" ht="33.75" outlineLevel="1" x14ac:dyDescent="0.15">
      <c r="A1072" s="76">
        <v>1058</v>
      </c>
      <c r="B1072" s="65" t="s">
        <v>2184</v>
      </c>
      <c r="C1072" s="65">
        <v>1066957576</v>
      </c>
      <c r="D1072" s="81" t="str">
        <f t="shared" si="36"/>
        <v>https://portal.dnb.de/opac.htm?method=simpleSearch&amp;cqlMode=true&amp;query=idn%3D1066957576</v>
      </c>
      <c r="E1072" s="65" t="s">
        <v>2185</v>
      </c>
      <c r="F1072" s="76"/>
      <c r="G1072" s="78"/>
      <c r="H1072" s="76" t="s">
        <v>50</v>
      </c>
      <c r="I1072" s="78"/>
      <c r="J1072" s="78"/>
      <c r="K1072" s="76"/>
      <c r="L1072" s="76"/>
      <c r="M1072" s="76"/>
      <c r="N1072" s="76"/>
      <c r="O1072" s="76"/>
      <c r="P1072" s="76"/>
      <c r="Q1072" s="76"/>
      <c r="R1072" s="76"/>
      <c r="W1072" s="84" t="s">
        <v>2541</v>
      </c>
      <c r="X1072" s="84" t="s">
        <v>2697</v>
      </c>
      <c r="Y1072" s="84" t="s">
        <v>2541</v>
      </c>
      <c r="AA1072" s="84" t="s">
        <v>2647</v>
      </c>
      <c r="AG1072" s="84" t="s">
        <v>2643</v>
      </c>
      <c r="AH1072" s="84" t="s">
        <v>2541</v>
      </c>
      <c r="AU1072" s="84">
        <v>80</v>
      </c>
      <c r="AY1072" s="86" t="s">
        <v>2651</v>
      </c>
      <c r="AZ1072" s="88">
        <f t="shared" si="35"/>
        <v>0</v>
      </c>
      <c r="BJ1072" s="79" t="s">
        <v>2840</v>
      </c>
      <c r="BX1072" s="88"/>
      <c r="CQ1072" s="88"/>
    </row>
    <row r="1073" spans="1:95" outlineLevel="1" x14ac:dyDescent="0.15">
      <c r="A1073" s="76">
        <v>1059</v>
      </c>
      <c r="B1073" s="65" t="s">
        <v>2186</v>
      </c>
      <c r="C1073" s="65">
        <v>1066874271</v>
      </c>
      <c r="D1073" s="81" t="str">
        <f t="shared" si="36"/>
        <v>https://portal.dnb.de/opac.htm?method=simpleSearch&amp;cqlMode=true&amp;query=idn%3D1066874271</v>
      </c>
      <c r="E1073" s="65" t="s">
        <v>2187</v>
      </c>
      <c r="F1073" s="76"/>
      <c r="G1073" s="78"/>
      <c r="H1073" s="76" t="s">
        <v>50</v>
      </c>
      <c r="I1073" s="78"/>
      <c r="J1073" s="78"/>
      <c r="K1073" s="76"/>
      <c r="L1073" s="76"/>
      <c r="M1073" s="76"/>
      <c r="N1073" s="76"/>
      <c r="O1073" s="76"/>
      <c r="P1073" s="76"/>
      <c r="Q1073" s="76"/>
      <c r="R1073" s="76"/>
      <c r="X1073" s="84" t="s">
        <v>2646</v>
      </c>
      <c r="AA1073" s="84" t="s">
        <v>2675</v>
      </c>
      <c r="AG1073" s="84" t="s">
        <v>2643</v>
      </c>
      <c r="AU1073" s="84">
        <v>110</v>
      </c>
      <c r="AY1073" s="86" t="s">
        <v>2651</v>
      </c>
      <c r="AZ1073" s="88">
        <f t="shared" si="35"/>
        <v>0</v>
      </c>
      <c r="BJ1073" s="79" t="s">
        <v>2783</v>
      </c>
      <c r="BX1073" s="88"/>
      <c r="CQ1073" s="88"/>
    </row>
    <row r="1074" spans="1:95" outlineLevel="1" x14ac:dyDescent="0.15">
      <c r="A1074" s="76">
        <v>1060</v>
      </c>
      <c r="B1074" s="65" t="s">
        <v>2188</v>
      </c>
      <c r="C1074" s="65">
        <v>1066961751</v>
      </c>
      <c r="D1074" s="81" t="str">
        <f t="shared" si="36"/>
        <v>https://portal.dnb.de/opac.htm?method=simpleSearch&amp;cqlMode=true&amp;query=idn%3D1066961751</v>
      </c>
      <c r="E1074" s="65" t="s">
        <v>2189</v>
      </c>
      <c r="F1074" s="76"/>
      <c r="G1074" s="78"/>
      <c r="H1074" s="76" t="s">
        <v>50</v>
      </c>
      <c r="I1074" s="78"/>
      <c r="J1074" s="78"/>
      <c r="K1074" s="76"/>
      <c r="L1074" s="76"/>
      <c r="M1074" s="76"/>
      <c r="N1074" s="76"/>
      <c r="O1074" s="76"/>
      <c r="P1074" s="76"/>
      <c r="Q1074" s="76"/>
      <c r="R1074" s="76"/>
      <c r="W1074" s="84" t="s">
        <v>2541</v>
      </c>
      <c r="X1074" s="84" t="s">
        <v>2696</v>
      </c>
      <c r="AA1074" s="84" t="s">
        <v>2647</v>
      </c>
      <c r="AG1074" s="84" t="s">
        <v>2643</v>
      </c>
      <c r="AU1074" s="84">
        <v>110</v>
      </c>
      <c r="AY1074" s="86" t="s">
        <v>2651</v>
      </c>
      <c r="AZ1074" s="88">
        <f t="shared" si="35"/>
        <v>0</v>
      </c>
      <c r="BX1074" s="88"/>
      <c r="CQ1074" s="88"/>
    </row>
    <row r="1075" spans="1:95" outlineLevel="1" x14ac:dyDescent="0.15">
      <c r="A1075" s="76">
        <v>1061</v>
      </c>
      <c r="B1075" s="65" t="s">
        <v>2190</v>
      </c>
      <c r="C1075" s="65">
        <v>1066957223</v>
      </c>
      <c r="D1075" s="81" t="str">
        <f t="shared" si="36"/>
        <v>https://portal.dnb.de/opac.htm?method=simpleSearch&amp;cqlMode=true&amp;query=idn%3D1066957223</v>
      </c>
      <c r="E1075" s="65" t="s">
        <v>2191</v>
      </c>
      <c r="F1075" s="76"/>
      <c r="G1075" s="78"/>
      <c r="H1075" s="76" t="s">
        <v>50</v>
      </c>
      <c r="I1075" s="78"/>
      <c r="J1075" s="78"/>
      <c r="K1075" s="76"/>
      <c r="L1075" s="76"/>
      <c r="M1075" s="76"/>
      <c r="N1075" s="76"/>
      <c r="O1075" s="76"/>
      <c r="P1075" s="76"/>
      <c r="Q1075" s="76"/>
      <c r="R1075" s="76"/>
      <c r="W1075" s="84" t="s">
        <v>2541</v>
      </c>
      <c r="X1075" s="84" t="s">
        <v>2645</v>
      </c>
      <c r="Y1075" s="84" t="s">
        <v>2541</v>
      </c>
      <c r="AA1075" s="84" t="s">
        <v>2647</v>
      </c>
      <c r="AG1075" s="84" t="s">
        <v>2643</v>
      </c>
      <c r="AS1075" s="84">
        <v>2</v>
      </c>
      <c r="AU1075" s="84">
        <v>110</v>
      </c>
      <c r="AY1075" s="86" t="s">
        <v>2651</v>
      </c>
      <c r="AZ1075" s="88">
        <f t="shared" si="35"/>
        <v>0</v>
      </c>
      <c r="BI1075" s="63" t="s">
        <v>2780</v>
      </c>
      <c r="BX1075" s="88"/>
      <c r="CQ1075" s="88"/>
    </row>
    <row r="1076" spans="1:95" outlineLevel="1" x14ac:dyDescent="0.15">
      <c r="A1076" s="76">
        <v>1062</v>
      </c>
      <c r="B1076" s="65" t="s">
        <v>2192</v>
      </c>
      <c r="C1076" s="65">
        <v>1066958459</v>
      </c>
      <c r="D1076" s="81" t="str">
        <f t="shared" si="36"/>
        <v>https://portal.dnb.de/opac.htm?method=simpleSearch&amp;cqlMode=true&amp;query=idn%3D1066958459</v>
      </c>
      <c r="E1076" s="65" t="s">
        <v>2193</v>
      </c>
      <c r="F1076" s="76"/>
      <c r="G1076" s="78"/>
      <c r="H1076" s="76" t="s">
        <v>50</v>
      </c>
      <c r="I1076" s="78"/>
      <c r="J1076" s="78"/>
      <c r="K1076" s="76"/>
      <c r="L1076" s="76"/>
      <c r="M1076" s="76"/>
      <c r="N1076" s="76"/>
      <c r="O1076" s="76"/>
      <c r="P1076" s="76"/>
      <c r="Q1076" s="76"/>
      <c r="R1076" s="76"/>
      <c r="X1076" s="84" t="s">
        <v>2643</v>
      </c>
      <c r="AA1076" s="84" t="s">
        <v>2647</v>
      </c>
      <c r="AG1076" s="84" t="s">
        <v>2643</v>
      </c>
      <c r="AU1076" s="84">
        <v>110</v>
      </c>
      <c r="AY1076" s="86" t="s">
        <v>2651</v>
      </c>
      <c r="AZ1076" s="88">
        <f t="shared" si="35"/>
        <v>0</v>
      </c>
      <c r="BX1076" s="88"/>
      <c r="CQ1076" s="88"/>
    </row>
    <row r="1077" spans="1:95" outlineLevel="1" x14ac:dyDescent="0.15">
      <c r="A1077" s="76">
        <v>1063</v>
      </c>
      <c r="B1077" s="65" t="s">
        <v>2194</v>
      </c>
      <c r="C1077" s="65">
        <v>1066963304</v>
      </c>
      <c r="D1077" s="81" t="str">
        <f t="shared" si="36"/>
        <v>https://portal.dnb.de/opac.htm?method=simpleSearch&amp;cqlMode=true&amp;query=idn%3D1066963304</v>
      </c>
      <c r="E1077" s="65" t="s">
        <v>2195</v>
      </c>
      <c r="F1077" s="76"/>
      <c r="G1077" s="78"/>
      <c r="H1077" s="76" t="s">
        <v>50</v>
      </c>
      <c r="I1077" s="78"/>
      <c r="J1077" s="78"/>
      <c r="K1077" s="76"/>
      <c r="L1077" s="76"/>
      <c r="M1077" s="76"/>
      <c r="N1077" s="76"/>
      <c r="O1077" s="76"/>
      <c r="P1077" s="76"/>
      <c r="Q1077" s="76"/>
      <c r="R1077" s="76"/>
      <c r="X1077" s="84" t="s">
        <v>2646</v>
      </c>
      <c r="Y1077" s="84" t="s">
        <v>2541</v>
      </c>
      <c r="AA1077" s="84" t="s">
        <v>2647</v>
      </c>
      <c r="AG1077" s="84" t="s">
        <v>2643</v>
      </c>
      <c r="AU1077" s="84">
        <v>110</v>
      </c>
      <c r="AY1077" s="86" t="s">
        <v>2651</v>
      </c>
      <c r="AZ1077" s="88">
        <f t="shared" si="35"/>
        <v>0</v>
      </c>
      <c r="BX1077" s="88"/>
      <c r="CQ1077" s="88"/>
    </row>
    <row r="1078" spans="1:95" outlineLevel="1" x14ac:dyDescent="0.15">
      <c r="A1078" s="76">
        <v>1064</v>
      </c>
      <c r="B1078" s="65" t="s">
        <v>2196</v>
      </c>
      <c r="C1078" s="65" t="s">
        <v>2197</v>
      </c>
      <c r="D1078" s="81" t="str">
        <f t="shared" si="36"/>
        <v>https://portal.dnb.de/opac.htm?method=simpleSearch&amp;cqlMode=true&amp;query=idn%3D106684903X</v>
      </c>
      <c r="E1078" s="65" t="s">
        <v>2198</v>
      </c>
      <c r="F1078" s="76"/>
      <c r="G1078" s="78"/>
      <c r="H1078" s="76" t="s">
        <v>50</v>
      </c>
      <c r="I1078" s="78"/>
      <c r="J1078" s="78"/>
      <c r="K1078" s="76"/>
      <c r="L1078" s="76"/>
      <c r="M1078" s="76"/>
      <c r="N1078" s="76"/>
      <c r="O1078" s="76"/>
      <c r="P1078" s="76"/>
      <c r="Q1078" s="76"/>
      <c r="R1078" s="76"/>
      <c r="X1078" s="84" t="s">
        <v>2697</v>
      </c>
      <c r="Y1078" s="84" t="s">
        <v>2541</v>
      </c>
      <c r="AA1078" s="84" t="s">
        <v>2647</v>
      </c>
      <c r="AG1078" s="84" t="s">
        <v>2643</v>
      </c>
      <c r="AU1078" s="84">
        <v>110</v>
      </c>
      <c r="AY1078" s="86" t="s">
        <v>2651</v>
      </c>
      <c r="AZ1078" s="88">
        <f t="shared" si="35"/>
        <v>0</v>
      </c>
      <c r="BX1078" s="88"/>
      <c r="CQ1078" s="88"/>
    </row>
    <row r="1079" spans="1:95" outlineLevel="1" x14ac:dyDescent="0.15">
      <c r="A1079" s="76">
        <v>1065</v>
      </c>
      <c r="B1079" s="65" t="s">
        <v>2199</v>
      </c>
      <c r="C1079" s="65">
        <v>1066958394</v>
      </c>
      <c r="D1079" s="81" t="str">
        <f t="shared" si="36"/>
        <v>https://portal.dnb.de/opac.htm?method=simpleSearch&amp;cqlMode=true&amp;query=idn%3D1066958394</v>
      </c>
      <c r="E1079" s="65" t="s">
        <v>2200</v>
      </c>
      <c r="F1079" s="76"/>
      <c r="G1079" s="78"/>
      <c r="H1079" s="76" t="s">
        <v>50</v>
      </c>
      <c r="I1079" s="78"/>
      <c r="J1079" s="78"/>
      <c r="K1079" s="76"/>
      <c r="L1079" s="76"/>
      <c r="M1079" s="76"/>
      <c r="N1079" s="76"/>
      <c r="O1079" s="76"/>
      <c r="P1079" s="76"/>
      <c r="Q1079" s="76"/>
      <c r="R1079" s="76"/>
      <c r="X1079" s="84" t="s">
        <v>2700</v>
      </c>
      <c r="AA1079" s="84" t="s">
        <v>2642</v>
      </c>
      <c r="AG1079" s="84" t="s">
        <v>2643</v>
      </c>
      <c r="AU1079" s="84">
        <v>110</v>
      </c>
      <c r="AY1079" s="86" t="s">
        <v>2651</v>
      </c>
      <c r="AZ1079" s="88">
        <f t="shared" si="35"/>
        <v>0</v>
      </c>
      <c r="BX1079" s="88"/>
      <c r="CQ1079" s="88"/>
    </row>
    <row r="1080" spans="1:95" outlineLevel="1" x14ac:dyDescent="0.15">
      <c r="A1080" s="76">
        <v>1066</v>
      </c>
      <c r="B1080" s="65" t="s">
        <v>2201</v>
      </c>
      <c r="C1080" s="65">
        <v>999166921</v>
      </c>
      <c r="D1080" s="81" t="str">
        <f t="shared" si="36"/>
        <v>https://portal.dnb.de/opac.htm?method=simpleSearch&amp;cqlMode=true&amp;query=idn%3D999166921</v>
      </c>
      <c r="E1080" s="65" t="s">
        <v>2202</v>
      </c>
      <c r="F1080" s="76"/>
      <c r="G1080" s="78"/>
      <c r="H1080" s="76" t="s">
        <v>50</v>
      </c>
      <c r="I1080" s="78"/>
      <c r="J1080" s="78"/>
      <c r="K1080" s="76"/>
      <c r="L1080" s="76"/>
      <c r="M1080" s="76"/>
      <c r="N1080" s="76"/>
      <c r="O1080" s="76"/>
      <c r="P1080" s="76"/>
      <c r="Q1080" s="76"/>
      <c r="R1080" s="76"/>
      <c r="X1080" s="84" t="s">
        <v>2696</v>
      </c>
      <c r="AA1080" s="84" t="s">
        <v>2647</v>
      </c>
      <c r="AG1080" s="84" t="s">
        <v>2643</v>
      </c>
      <c r="AU1080" s="84">
        <v>110</v>
      </c>
      <c r="AY1080" s="86" t="s">
        <v>2651</v>
      </c>
      <c r="AZ1080" s="88">
        <f t="shared" si="35"/>
        <v>0</v>
      </c>
      <c r="BX1080" s="88"/>
      <c r="CQ1080" s="88"/>
    </row>
    <row r="1081" spans="1:95" outlineLevel="1" x14ac:dyDescent="0.15">
      <c r="A1081" s="76">
        <v>1067</v>
      </c>
      <c r="B1081" s="65" t="s">
        <v>2203</v>
      </c>
      <c r="C1081" s="65" t="s">
        <v>2204</v>
      </c>
      <c r="D1081" s="81" t="str">
        <f t="shared" si="36"/>
        <v>https://portal.dnb.de/opac.htm?method=simpleSearch&amp;cqlMode=true&amp;query=idn%3D99917097X</v>
      </c>
      <c r="E1081" s="65" t="s">
        <v>2205</v>
      </c>
      <c r="F1081" s="76"/>
      <c r="G1081" s="78"/>
      <c r="H1081" s="76" t="s">
        <v>50</v>
      </c>
      <c r="I1081" s="78"/>
      <c r="J1081" s="78"/>
      <c r="K1081" s="76"/>
      <c r="L1081" s="76"/>
      <c r="M1081" s="76"/>
      <c r="N1081" s="76"/>
      <c r="O1081" s="76"/>
      <c r="P1081" s="76"/>
      <c r="Q1081" s="76"/>
      <c r="R1081" s="76"/>
      <c r="X1081" s="84" t="s">
        <v>2641</v>
      </c>
      <c r="Z1081" s="84" t="s">
        <v>2541</v>
      </c>
      <c r="AA1081" s="84" t="s">
        <v>2642</v>
      </c>
      <c r="AG1081" s="84" t="s">
        <v>2643</v>
      </c>
      <c r="AL1081" s="84" t="s">
        <v>2541</v>
      </c>
      <c r="AS1081" s="84">
        <v>0</v>
      </c>
      <c r="AT1081" s="84" t="s">
        <v>2541</v>
      </c>
      <c r="AU1081" s="84">
        <v>110</v>
      </c>
      <c r="AW1081" s="84" t="s">
        <v>2541</v>
      </c>
      <c r="AY1081" s="86" t="s">
        <v>2651</v>
      </c>
      <c r="AZ1081" s="88">
        <f t="shared" si="35"/>
        <v>0</v>
      </c>
      <c r="BB1081" s="84" t="s">
        <v>2777</v>
      </c>
      <c r="BH1081" s="79" t="s">
        <v>2839</v>
      </c>
      <c r="BI1081" s="63" t="s">
        <v>2780</v>
      </c>
      <c r="BX1081" s="88"/>
      <c r="CQ1081" s="88"/>
    </row>
    <row r="1082" spans="1:95" outlineLevel="1" x14ac:dyDescent="0.15">
      <c r="A1082" s="76">
        <v>1068</v>
      </c>
      <c r="B1082" s="65" t="s">
        <v>2206</v>
      </c>
      <c r="C1082" s="65">
        <v>999171232</v>
      </c>
      <c r="D1082" s="81" t="str">
        <f t="shared" si="36"/>
        <v>https://portal.dnb.de/opac.htm?method=simpleSearch&amp;cqlMode=true&amp;query=idn%3D999171232</v>
      </c>
      <c r="E1082" s="65" t="s">
        <v>2838</v>
      </c>
      <c r="F1082" s="76"/>
      <c r="G1082" s="78"/>
      <c r="H1082" s="76"/>
      <c r="I1082" s="78"/>
      <c r="J1082" s="78"/>
      <c r="K1082" s="76"/>
      <c r="L1082" s="76"/>
      <c r="M1082" s="76"/>
      <c r="N1082" s="76"/>
      <c r="O1082" s="76"/>
      <c r="P1082" s="76"/>
      <c r="Q1082" s="76"/>
      <c r="R1082" s="76"/>
      <c r="AZ1082" s="88">
        <f t="shared" si="35"/>
        <v>0</v>
      </c>
      <c r="BX1082" s="88"/>
      <c r="CQ1082" s="88"/>
    </row>
    <row r="1083" spans="1:95" outlineLevel="1" x14ac:dyDescent="0.15">
      <c r="A1083" s="76">
        <v>1069</v>
      </c>
      <c r="B1083" s="65" t="s">
        <v>2207</v>
      </c>
      <c r="C1083" s="65">
        <v>1002924871</v>
      </c>
      <c r="D1083" s="81" t="str">
        <f t="shared" si="36"/>
        <v>https://portal.dnb.de/opac.htm?method=simpleSearch&amp;cqlMode=true&amp;query=idn%3D1002924871</v>
      </c>
      <c r="E1083" s="65" t="s">
        <v>2208</v>
      </c>
      <c r="F1083" s="76"/>
      <c r="G1083" s="78"/>
      <c r="H1083" s="76" t="s">
        <v>50</v>
      </c>
      <c r="I1083" s="78"/>
      <c r="J1083" s="78"/>
      <c r="K1083" s="76"/>
      <c r="L1083" s="76"/>
      <c r="M1083" s="76"/>
      <c r="N1083" s="76"/>
      <c r="O1083" s="76"/>
      <c r="P1083" s="76"/>
      <c r="Q1083" s="76"/>
      <c r="R1083" s="76"/>
      <c r="X1083" s="84" t="s">
        <v>2643</v>
      </c>
      <c r="AA1083" s="84" t="s">
        <v>2642</v>
      </c>
      <c r="AG1083" s="84" t="s">
        <v>2643</v>
      </c>
      <c r="AU1083" s="84">
        <v>110</v>
      </c>
      <c r="AW1083" s="84" t="s">
        <v>2541</v>
      </c>
      <c r="AX1083" s="84" t="s">
        <v>2541</v>
      </c>
      <c r="AY1083" s="86" t="s">
        <v>2651</v>
      </c>
      <c r="AZ1083" s="88">
        <f t="shared" si="35"/>
        <v>0</v>
      </c>
      <c r="BX1083" s="88"/>
      <c r="CQ1083" s="88"/>
    </row>
    <row r="1084" spans="1:95" outlineLevel="1" x14ac:dyDescent="0.15">
      <c r="A1084" s="76">
        <v>1070</v>
      </c>
      <c r="B1084" s="65" t="s">
        <v>2209</v>
      </c>
      <c r="C1084" s="65">
        <v>998858927</v>
      </c>
      <c r="D1084" s="81" t="str">
        <f t="shared" si="36"/>
        <v>https://portal.dnb.de/opac.htm?method=simpleSearch&amp;cqlMode=true&amp;query=idn%3D998858927</v>
      </c>
      <c r="E1084" s="65" t="s">
        <v>2210</v>
      </c>
      <c r="F1084" s="76"/>
      <c r="G1084" s="78"/>
      <c r="H1084" s="76" t="s">
        <v>51</v>
      </c>
      <c r="I1084" s="78"/>
      <c r="J1084" s="78"/>
      <c r="K1084" s="76"/>
      <c r="L1084" s="76"/>
      <c r="M1084" s="76"/>
      <c r="N1084" s="76"/>
      <c r="O1084" s="76"/>
      <c r="P1084" s="76"/>
      <c r="Q1084" s="76"/>
      <c r="R1084" s="76"/>
      <c r="X1084" s="84" t="s">
        <v>2641</v>
      </c>
      <c r="Z1084" s="84" t="s">
        <v>2541</v>
      </c>
      <c r="AA1084" s="84" t="s">
        <v>2642</v>
      </c>
      <c r="AG1084" s="84" t="s">
        <v>2643</v>
      </c>
      <c r="AU1084" s="84">
        <v>110</v>
      </c>
      <c r="AY1084" s="86" t="s">
        <v>2651</v>
      </c>
      <c r="AZ1084" s="88">
        <f t="shared" si="35"/>
        <v>0</v>
      </c>
      <c r="BD1084" s="84" t="s">
        <v>2541</v>
      </c>
      <c r="BX1084" s="88"/>
      <c r="CQ1084" s="88"/>
    </row>
    <row r="1085" spans="1:95" outlineLevel="1" x14ac:dyDescent="0.15">
      <c r="A1085" s="76">
        <v>1071</v>
      </c>
      <c r="B1085" s="65" t="s">
        <v>2211</v>
      </c>
      <c r="C1085" s="65">
        <v>1144311292</v>
      </c>
      <c r="D1085" s="81" t="str">
        <f t="shared" si="36"/>
        <v>https://portal.dnb.de/opac.htm?method=simpleSearch&amp;cqlMode=true&amp;query=idn%3D1144311292</v>
      </c>
      <c r="E1085" s="65" t="s">
        <v>2212</v>
      </c>
      <c r="F1085" s="76"/>
      <c r="G1085" s="78"/>
      <c r="H1085" s="76" t="s">
        <v>50</v>
      </c>
      <c r="I1085" s="78"/>
      <c r="J1085" s="78"/>
      <c r="K1085" s="76"/>
      <c r="L1085" s="76"/>
      <c r="M1085" s="76"/>
      <c r="N1085" s="76"/>
      <c r="O1085" s="76"/>
      <c r="P1085" s="76"/>
      <c r="Q1085" s="76"/>
      <c r="R1085" s="76"/>
      <c r="X1085" s="84" t="s">
        <v>2643</v>
      </c>
      <c r="AA1085" s="84" t="s">
        <v>2675</v>
      </c>
      <c r="AG1085" s="84" t="s">
        <v>2643</v>
      </c>
      <c r="AU1085" s="84">
        <v>110</v>
      </c>
      <c r="AY1085" s="86" t="s">
        <v>2651</v>
      </c>
      <c r="AZ1085" s="88">
        <f t="shared" si="35"/>
        <v>0</v>
      </c>
      <c r="BE1085" s="84" t="s">
        <v>2541</v>
      </c>
      <c r="BX1085" s="88"/>
      <c r="CQ1085" s="88"/>
    </row>
    <row r="1086" spans="1:95" outlineLevel="1" x14ac:dyDescent="0.15">
      <c r="A1086" s="76">
        <v>1072</v>
      </c>
      <c r="B1086" s="65" t="s">
        <v>2213</v>
      </c>
      <c r="C1086" s="65">
        <v>997769807</v>
      </c>
      <c r="D1086" s="81" t="str">
        <f t="shared" si="36"/>
        <v>https://portal.dnb.de/opac.htm?method=simpleSearch&amp;cqlMode=true&amp;query=idn%3D997769807</v>
      </c>
      <c r="E1086" s="65" t="s">
        <v>2214</v>
      </c>
      <c r="F1086" s="76"/>
      <c r="G1086" s="78"/>
      <c r="H1086" s="76" t="s">
        <v>50</v>
      </c>
      <c r="I1086" s="78"/>
      <c r="J1086" s="78"/>
      <c r="K1086" s="76"/>
      <c r="L1086" s="76"/>
      <c r="M1086" s="76"/>
      <c r="N1086" s="76"/>
      <c r="O1086" s="76"/>
      <c r="P1086" s="76"/>
      <c r="Q1086" s="76"/>
      <c r="R1086" s="76"/>
      <c r="X1086" s="84" t="s">
        <v>2696</v>
      </c>
      <c r="AA1086" s="84" t="s">
        <v>2647</v>
      </c>
      <c r="AG1086" s="84" t="s">
        <v>2643</v>
      </c>
      <c r="AU1086" s="84">
        <v>110</v>
      </c>
      <c r="AW1086" s="84" t="s">
        <v>2541</v>
      </c>
      <c r="AX1086" s="84" t="s">
        <v>2541</v>
      </c>
      <c r="AY1086" s="86" t="s">
        <v>2651</v>
      </c>
      <c r="AZ1086" s="88">
        <f t="shared" si="35"/>
        <v>0</v>
      </c>
      <c r="BX1086" s="88"/>
      <c r="CQ1086" s="88"/>
    </row>
    <row r="1087" spans="1:95" outlineLevel="1" x14ac:dyDescent="0.15">
      <c r="A1087" s="76">
        <v>1073</v>
      </c>
      <c r="B1087" s="65" t="s">
        <v>2215</v>
      </c>
      <c r="C1087" s="65">
        <v>1000470466</v>
      </c>
      <c r="D1087" s="81" t="str">
        <f t="shared" si="36"/>
        <v>https://portal.dnb.de/opac.htm?method=simpleSearch&amp;cqlMode=true&amp;query=idn%3D1000470466</v>
      </c>
      <c r="E1087" s="65" t="s">
        <v>2216</v>
      </c>
      <c r="F1087" s="76"/>
      <c r="G1087" s="78"/>
      <c r="H1087" s="76" t="s">
        <v>50</v>
      </c>
      <c r="I1087" s="78"/>
      <c r="J1087" s="78"/>
      <c r="K1087" s="76"/>
      <c r="L1087" s="76"/>
      <c r="M1087" s="76"/>
      <c r="N1087" s="76"/>
      <c r="O1087" s="76"/>
      <c r="P1087" s="76"/>
      <c r="Q1087" s="76"/>
      <c r="R1087" s="76"/>
      <c r="X1087" s="84" t="s">
        <v>2643</v>
      </c>
      <c r="AA1087" s="84" t="s">
        <v>2647</v>
      </c>
      <c r="AG1087" s="84" t="s">
        <v>2643</v>
      </c>
      <c r="AU1087" s="84">
        <v>110</v>
      </c>
      <c r="AW1087" s="84" t="s">
        <v>2541</v>
      </c>
      <c r="AX1087" s="84" t="s">
        <v>2541</v>
      </c>
      <c r="AY1087" s="86" t="s">
        <v>2651</v>
      </c>
      <c r="AZ1087" s="88">
        <f t="shared" si="35"/>
        <v>0</v>
      </c>
      <c r="BX1087" s="88"/>
      <c r="CQ1087" s="88"/>
    </row>
    <row r="1088" spans="1:95" outlineLevel="1" x14ac:dyDescent="0.15">
      <c r="A1088" s="76">
        <v>1074</v>
      </c>
      <c r="B1088" s="65" t="s">
        <v>2217</v>
      </c>
      <c r="C1088" s="65">
        <v>998862851</v>
      </c>
      <c r="D1088" s="81" t="str">
        <f t="shared" si="36"/>
        <v>https://portal.dnb.de/opac.htm?method=simpleSearch&amp;cqlMode=true&amp;query=idn%3D998862851</v>
      </c>
      <c r="E1088" s="65" t="s">
        <v>2218</v>
      </c>
      <c r="F1088" s="76"/>
      <c r="G1088" s="78"/>
      <c r="H1088" s="76" t="s">
        <v>50</v>
      </c>
      <c r="I1088" s="78"/>
      <c r="J1088" s="78"/>
      <c r="K1088" s="76"/>
      <c r="L1088" s="76"/>
      <c r="M1088" s="76"/>
      <c r="N1088" s="76"/>
      <c r="O1088" s="76"/>
      <c r="P1088" s="76"/>
      <c r="Q1088" s="76"/>
      <c r="R1088" s="76"/>
      <c r="X1088" s="84" t="s">
        <v>2696</v>
      </c>
      <c r="AA1088" s="84" t="s">
        <v>2647</v>
      </c>
      <c r="AG1088" s="84" t="s">
        <v>2643</v>
      </c>
      <c r="AU1088" s="84">
        <v>110</v>
      </c>
      <c r="AW1088" s="84" t="s">
        <v>2541</v>
      </c>
      <c r="AX1088" s="84" t="s">
        <v>2541</v>
      </c>
      <c r="AZ1088" s="88">
        <f t="shared" ref="AZ1088:AZ1151" si="37">BX1088+CQ1088</f>
        <v>0</v>
      </c>
      <c r="BX1088" s="88"/>
      <c r="CQ1088" s="88"/>
    </row>
    <row r="1089" spans="1:95" outlineLevel="1" x14ac:dyDescent="0.15">
      <c r="A1089" s="76">
        <v>1075</v>
      </c>
      <c r="B1089" s="65" t="s">
        <v>2219</v>
      </c>
      <c r="C1089" s="65">
        <v>998898333</v>
      </c>
      <c r="D1089" s="81" t="str">
        <f t="shared" si="36"/>
        <v>https://portal.dnb.de/opac.htm?method=simpleSearch&amp;cqlMode=true&amp;query=idn%3D998898333</v>
      </c>
      <c r="E1089" s="65" t="s">
        <v>2220</v>
      </c>
      <c r="F1089" s="76"/>
      <c r="G1089" s="78"/>
      <c r="H1089" s="76" t="s">
        <v>50</v>
      </c>
      <c r="I1089" s="78"/>
      <c r="J1089" s="78"/>
      <c r="K1089" s="76"/>
      <c r="L1089" s="76"/>
      <c r="M1089" s="76"/>
      <c r="N1089" s="76"/>
      <c r="O1089" s="76"/>
      <c r="P1089" s="76"/>
      <c r="Q1089" s="76"/>
      <c r="R1089" s="76"/>
      <c r="X1089" s="84" t="s">
        <v>2696</v>
      </c>
      <c r="AA1089" s="84" t="s">
        <v>2647</v>
      </c>
      <c r="AG1089" s="84" t="s">
        <v>2643</v>
      </c>
      <c r="AU1089" s="84">
        <v>110</v>
      </c>
      <c r="AW1089" s="84" t="s">
        <v>2541</v>
      </c>
      <c r="AX1089" s="84" t="s">
        <v>2541</v>
      </c>
      <c r="AY1089" s="86" t="s">
        <v>2651</v>
      </c>
      <c r="AZ1089" s="88">
        <f t="shared" si="37"/>
        <v>0</v>
      </c>
      <c r="BX1089" s="88"/>
      <c r="CQ1089" s="88"/>
    </row>
    <row r="1090" spans="1:95" outlineLevel="1" x14ac:dyDescent="0.15">
      <c r="A1090" s="76">
        <v>1076</v>
      </c>
      <c r="B1090" s="65" t="s">
        <v>2221</v>
      </c>
      <c r="C1090" s="65">
        <v>999418432</v>
      </c>
      <c r="D1090" s="81" t="str">
        <f t="shared" si="36"/>
        <v>https://portal.dnb.de/opac.htm?method=simpleSearch&amp;cqlMode=true&amp;query=idn%3D999418432</v>
      </c>
      <c r="E1090" s="65" t="s">
        <v>2222</v>
      </c>
      <c r="F1090" s="76"/>
      <c r="G1090" s="78"/>
      <c r="H1090" s="76" t="s">
        <v>50</v>
      </c>
      <c r="I1090" s="78"/>
      <c r="J1090" s="78"/>
      <c r="K1090" s="76"/>
      <c r="L1090" s="76"/>
      <c r="M1090" s="76"/>
      <c r="N1090" s="76"/>
      <c r="O1090" s="76"/>
      <c r="P1090" s="76"/>
      <c r="Q1090" s="76"/>
      <c r="R1090" s="76"/>
      <c r="X1090" s="84" t="s">
        <v>2641</v>
      </c>
      <c r="Z1090" s="84" t="s">
        <v>2541</v>
      </c>
      <c r="AA1090" s="84" t="s">
        <v>2642</v>
      </c>
      <c r="AG1090" s="84" t="s">
        <v>2643</v>
      </c>
      <c r="AS1090" s="84">
        <v>0</v>
      </c>
      <c r="AT1090" s="84" t="s">
        <v>2541</v>
      </c>
      <c r="AU1090" s="84">
        <v>110</v>
      </c>
      <c r="AY1090" s="86" t="s">
        <v>2651</v>
      </c>
      <c r="AZ1090" s="88">
        <f t="shared" si="37"/>
        <v>0</v>
      </c>
      <c r="BB1090" s="84" t="s">
        <v>2777</v>
      </c>
      <c r="BX1090" s="88"/>
      <c r="CQ1090" s="88"/>
    </row>
    <row r="1091" spans="1:95" outlineLevel="1" x14ac:dyDescent="0.15">
      <c r="A1091" s="76">
        <v>1077</v>
      </c>
      <c r="B1091" s="65" t="s">
        <v>2223</v>
      </c>
      <c r="C1091" s="65">
        <v>994509901</v>
      </c>
      <c r="D1091" s="81" t="str">
        <f t="shared" si="36"/>
        <v>https://portal.dnb.de/opac.htm?method=simpleSearch&amp;cqlMode=true&amp;query=idn%3D994509901</v>
      </c>
      <c r="E1091" s="65" t="s">
        <v>2825</v>
      </c>
      <c r="F1091" s="76"/>
      <c r="G1091" s="78"/>
      <c r="H1091" s="76"/>
      <c r="I1091" s="78"/>
      <c r="J1091" s="78"/>
      <c r="K1091" s="76"/>
      <c r="L1091" s="76"/>
      <c r="M1091" s="76"/>
      <c r="N1091" s="76"/>
      <c r="O1091" s="76"/>
      <c r="P1091" s="76"/>
      <c r="Q1091" s="76"/>
      <c r="R1091" s="76"/>
      <c r="AZ1091" s="88">
        <f t="shared" si="37"/>
        <v>0</v>
      </c>
      <c r="BX1091" s="88"/>
      <c r="CQ1091" s="88"/>
    </row>
    <row r="1092" spans="1:95" outlineLevel="1" x14ac:dyDescent="0.15">
      <c r="A1092" s="76">
        <v>1078</v>
      </c>
      <c r="B1092" s="65" t="s">
        <v>2224</v>
      </c>
      <c r="C1092" s="65">
        <v>999178016</v>
      </c>
      <c r="D1092" s="81" t="str">
        <f t="shared" si="36"/>
        <v>https://portal.dnb.de/opac.htm?method=simpleSearch&amp;cqlMode=true&amp;query=idn%3D999178016</v>
      </c>
      <c r="E1092" s="65" t="s">
        <v>2225</v>
      </c>
      <c r="F1092" s="76"/>
      <c r="G1092" s="78"/>
      <c r="H1092" s="76" t="s">
        <v>50</v>
      </c>
      <c r="I1092" s="78"/>
      <c r="J1092" s="78"/>
      <c r="K1092" s="76"/>
      <c r="L1092" s="76"/>
      <c r="M1092" s="76"/>
      <c r="N1092" s="76"/>
      <c r="O1092" s="76"/>
      <c r="P1092" s="76"/>
      <c r="Q1092" s="76"/>
      <c r="R1092" s="76"/>
      <c r="X1092" s="84" t="s">
        <v>2696</v>
      </c>
      <c r="AA1092" s="84" t="s">
        <v>2647</v>
      </c>
      <c r="AG1092" s="84" t="s">
        <v>2643</v>
      </c>
      <c r="AU1092" s="84">
        <v>110</v>
      </c>
      <c r="AY1092" s="86" t="s">
        <v>2651</v>
      </c>
      <c r="AZ1092" s="88">
        <f t="shared" si="37"/>
        <v>0</v>
      </c>
      <c r="BX1092" s="88"/>
      <c r="CQ1092" s="88"/>
    </row>
    <row r="1093" spans="1:95" outlineLevel="1" x14ac:dyDescent="0.15">
      <c r="A1093" s="76">
        <v>1079</v>
      </c>
      <c r="B1093" s="65" t="s">
        <v>2226</v>
      </c>
      <c r="C1093" s="65">
        <v>999178199</v>
      </c>
      <c r="D1093" s="81" t="str">
        <f t="shared" si="36"/>
        <v>https://portal.dnb.de/opac.htm?method=simpleSearch&amp;cqlMode=true&amp;query=idn%3D999178199</v>
      </c>
      <c r="E1093" s="65" t="s">
        <v>2227</v>
      </c>
      <c r="F1093" s="76"/>
      <c r="G1093" s="78"/>
      <c r="H1093" s="76" t="s">
        <v>50</v>
      </c>
      <c r="I1093" s="78"/>
      <c r="J1093" s="78"/>
      <c r="K1093" s="76"/>
      <c r="L1093" s="76"/>
      <c r="M1093" s="76"/>
      <c r="N1093" s="76"/>
      <c r="O1093" s="76"/>
      <c r="P1093" s="76"/>
      <c r="Q1093" s="76"/>
      <c r="R1093" s="76"/>
      <c r="X1093" s="84" t="s">
        <v>2643</v>
      </c>
      <c r="AA1093" s="84" t="s">
        <v>2647</v>
      </c>
      <c r="AG1093" s="84" t="s">
        <v>2643</v>
      </c>
      <c r="AU1093" s="84">
        <v>110</v>
      </c>
      <c r="AW1093" s="84" t="s">
        <v>2541</v>
      </c>
      <c r="AX1093" s="84" t="s">
        <v>2541</v>
      </c>
      <c r="AY1093" s="86" t="s">
        <v>2651</v>
      </c>
      <c r="AZ1093" s="88">
        <f t="shared" si="37"/>
        <v>0</v>
      </c>
      <c r="BX1093" s="88"/>
      <c r="CQ1093" s="88"/>
    </row>
    <row r="1094" spans="1:95" ht="56.25" outlineLevel="1" x14ac:dyDescent="0.15">
      <c r="A1094" s="76">
        <v>1080</v>
      </c>
      <c r="B1094" s="65" t="s">
        <v>2228</v>
      </c>
      <c r="C1094" s="65" t="s">
        <v>2229</v>
      </c>
      <c r="D1094" s="81" t="str">
        <f t="shared" si="36"/>
        <v>https://portal.dnb.de/opac.htm?method=simpleSearch&amp;cqlMode=true&amp;query=idn%3D106667423X</v>
      </c>
      <c r="E1094" s="65" t="s">
        <v>2230</v>
      </c>
      <c r="F1094" s="76"/>
      <c r="G1094" s="78"/>
      <c r="H1094" s="76" t="s">
        <v>50</v>
      </c>
      <c r="I1094" s="78"/>
      <c r="J1094" s="78"/>
      <c r="K1094" s="76"/>
      <c r="L1094" s="76"/>
      <c r="M1094" s="76"/>
      <c r="N1094" s="76"/>
      <c r="O1094" s="76"/>
      <c r="P1094" s="76"/>
      <c r="Q1094" s="76"/>
      <c r="R1094" s="76"/>
      <c r="X1094" s="84" t="s">
        <v>2641</v>
      </c>
      <c r="AA1094" s="84" t="s">
        <v>2675</v>
      </c>
      <c r="AG1094" s="84" t="s">
        <v>2643</v>
      </c>
      <c r="AU1094" s="84" t="s">
        <v>2650</v>
      </c>
      <c r="AV1094" s="84" t="s">
        <v>2541</v>
      </c>
      <c r="AY1094" s="86" t="s">
        <v>2651</v>
      </c>
      <c r="AZ1094" s="88">
        <f t="shared" si="37"/>
        <v>0</v>
      </c>
      <c r="BB1094" s="84" t="s">
        <v>2777</v>
      </c>
      <c r="BH1094" s="79" t="s">
        <v>2826</v>
      </c>
      <c r="BI1094" s="79" t="s">
        <v>2827</v>
      </c>
      <c r="BJ1094" s="79" t="s">
        <v>2828</v>
      </c>
      <c r="BX1094" s="88"/>
      <c r="CQ1094" s="88"/>
    </row>
    <row r="1095" spans="1:95" outlineLevel="1" x14ac:dyDescent="0.15">
      <c r="A1095" s="76">
        <v>1081</v>
      </c>
      <c r="B1095" s="65" t="s">
        <v>2231</v>
      </c>
      <c r="C1095" s="65">
        <v>998890197</v>
      </c>
      <c r="D1095" s="81" t="str">
        <f t="shared" si="36"/>
        <v>https://portal.dnb.de/opac.htm?method=simpleSearch&amp;cqlMode=true&amp;query=idn%3D998890197</v>
      </c>
      <c r="E1095" s="65" t="s">
        <v>2232</v>
      </c>
      <c r="F1095" s="76"/>
      <c r="G1095" s="78"/>
      <c r="H1095" s="76" t="s">
        <v>50</v>
      </c>
      <c r="I1095" s="78"/>
      <c r="J1095" s="78"/>
      <c r="K1095" s="76"/>
      <c r="L1095" s="76"/>
      <c r="M1095" s="76"/>
      <c r="N1095" s="76"/>
      <c r="O1095" s="76"/>
      <c r="P1095" s="76"/>
      <c r="Q1095" s="76"/>
      <c r="R1095" s="76"/>
      <c r="X1095" s="84" t="s">
        <v>2696</v>
      </c>
      <c r="AA1095" s="84" t="s">
        <v>2647</v>
      </c>
      <c r="AG1095" s="84" t="s">
        <v>2643</v>
      </c>
      <c r="AU1095" s="84">
        <v>110</v>
      </c>
      <c r="AW1095" s="84" t="s">
        <v>2541</v>
      </c>
      <c r="AX1095" s="84" t="s">
        <v>2541</v>
      </c>
      <c r="AY1095" s="86" t="s">
        <v>2651</v>
      </c>
      <c r="AZ1095" s="88">
        <f t="shared" si="37"/>
        <v>0</v>
      </c>
      <c r="BX1095" s="88"/>
      <c r="CQ1095" s="88"/>
    </row>
    <row r="1096" spans="1:95" outlineLevel="1" x14ac:dyDescent="0.15">
      <c r="A1096" s="76">
        <v>1082</v>
      </c>
      <c r="B1096" s="65" t="s">
        <v>2233</v>
      </c>
      <c r="C1096" s="65">
        <v>999336967</v>
      </c>
      <c r="D1096" s="81" t="str">
        <f t="shared" si="36"/>
        <v>https://portal.dnb.de/opac.htm?method=simpleSearch&amp;cqlMode=true&amp;query=idn%3D999336967</v>
      </c>
      <c r="E1096" s="65" t="s">
        <v>2234</v>
      </c>
      <c r="F1096" s="76"/>
      <c r="G1096" s="78"/>
      <c r="H1096" s="76" t="s">
        <v>50</v>
      </c>
      <c r="I1096" s="78"/>
      <c r="J1096" s="78"/>
      <c r="K1096" s="76"/>
      <c r="L1096" s="76"/>
      <c r="M1096" s="76"/>
      <c r="N1096" s="76"/>
      <c r="O1096" s="76"/>
      <c r="P1096" s="76"/>
      <c r="Q1096" s="76"/>
      <c r="R1096" s="76"/>
      <c r="X1096" s="84" t="s">
        <v>2641</v>
      </c>
      <c r="Z1096" s="84" t="s">
        <v>2541</v>
      </c>
      <c r="AA1096" s="84" t="s">
        <v>2642</v>
      </c>
      <c r="AG1096" s="84" t="s">
        <v>2643</v>
      </c>
      <c r="AU1096" s="84">
        <v>110</v>
      </c>
      <c r="AW1096" s="84" t="s">
        <v>2541</v>
      </c>
      <c r="AX1096" s="84" t="s">
        <v>2541</v>
      </c>
      <c r="AY1096" s="86" t="s">
        <v>2651</v>
      </c>
      <c r="AZ1096" s="88">
        <f t="shared" si="37"/>
        <v>0</v>
      </c>
      <c r="BE1096" s="84" t="s">
        <v>2541</v>
      </c>
      <c r="BX1096" s="88"/>
      <c r="CQ1096" s="88"/>
    </row>
    <row r="1097" spans="1:95" outlineLevel="1" x14ac:dyDescent="0.15">
      <c r="A1097" s="76">
        <v>1083</v>
      </c>
      <c r="B1097" s="65" t="s">
        <v>2235</v>
      </c>
      <c r="C1097" s="65">
        <v>1002510953</v>
      </c>
      <c r="D1097" s="81" t="str">
        <f t="shared" si="36"/>
        <v>https://portal.dnb.de/opac.htm?method=simpleSearch&amp;cqlMode=true&amp;query=idn%3D1002510953</v>
      </c>
      <c r="E1097" s="65" t="s">
        <v>2236</v>
      </c>
      <c r="F1097" s="76"/>
      <c r="G1097" s="78"/>
      <c r="H1097" s="76"/>
      <c r="I1097" s="78"/>
      <c r="J1097" s="78"/>
      <c r="K1097" s="76"/>
      <c r="L1097" s="76"/>
      <c r="M1097" s="76"/>
      <c r="N1097" s="76"/>
      <c r="O1097" s="76"/>
      <c r="P1097" s="76"/>
      <c r="Q1097" s="76"/>
      <c r="R1097" s="76"/>
      <c r="AZ1097" s="88">
        <f t="shared" si="37"/>
        <v>0</v>
      </c>
      <c r="BX1097" s="88"/>
      <c r="CQ1097" s="88"/>
    </row>
    <row r="1098" spans="1:95" outlineLevel="1" x14ac:dyDescent="0.15">
      <c r="A1098" s="76">
        <v>1084</v>
      </c>
      <c r="B1098" s="65" t="s">
        <v>2237</v>
      </c>
      <c r="C1098" s="65">
        <v>1208238930</v>
      </c>
      <c r="D1098" s="81" t="str">
        <f t="shared" si="36"/>
        <v>https://portal.dnb.de/opac.htm?method=simpleSearch&amp;cqlMode=true&amp;query=idn%3D1208238930</v>
      </c>
      <c r="E1098" s="65" t="s">
        <v>2238</v>
      </c>
      <c r="F1098" s="76"/>
      <c r="G1098" s="78"/>
      <c r="H1098" s="76"/>
      <c r="I1098" s="78"/>
      <c r="J1098" s="78"/>
      <c r="K1098" s="76"/>
      <c r="L1098" s="76"/>
      <c r="M1098" s="76"/>
      <c r="N1098" s="76"/>
      <c r="O1098" s="76"/>
      <c r="P1098" s="76"/>
      <c r="Q1098" s="76"/>
      <c r="R1098" s="76"/>
      <c r="AZ1098" s="88">
        <f t="shared" si="37"/>
        <v>0</v>
      </c>
      <c r="BX1098" s="88"/>
      <c r="CQ1098" s="88"/>
    </row>
    <row r="1099" spans="1:95" outlineLevel="1" x14ac:dyDescent="0.15">
      <c r="A1099" s="76">
        <v>1085</v>
      </c>
      <c r="B1099" s="65" t="s">
        <v>2239</v>
      </c>
      <c r="C1099" s="65">
        <v>995384096</v>
      </c>
      <c r="D1099" s="81" t="str">
        <f t="shared" si="36"/>
        <v>https://portal.dnb.de/opac.htm?method=simpleSearch&amp;cqlMode=true&amp;query=idn%3D995384096</v>
      </c>
      <c r="E1099" s="65" t="s">
        <v>2240</v>
      </c>
      <c r="F1099" s="76"/>
      <c r="G1099" s="78"/>
      <c r="H1099" s="76" t="s">
        <v>50</v>
      </c>
      <c r="I1099" s="78"/>
      <c r="J1099" s="78"/>
      <c r="K1099" s="76"/>
      <c r="L1099" s="76"/>
      <c r="M1099" s="76"/>
      <c r="N1099" s="76"/>
      <c r="O1099" s="76"/>
      <c r="P1099" s="76"/>
      <c r="Q1099" s="76"/>
      <c r="R1099" s="76"/>
      <c r="X1099" s="84" t="s">
        <v>2696</v>
      </c>
      <c r="AA1099" s="84" t="s">
        <v>2647</v>
      </c>
      <c r="AG1099" s="84" t="s">
        <v>2643</v>
      </c>
      <c r="AU1099" s="84">
        <v>110</v>
      </c>
      <c r="AW1099" s="84" t="s">
        <v>2541</v>
      </c>
      <c r="AX1099" s="84" t="s">
        <v>2541</v>
      </c>
      <c r="AY1099" s="86" t="s">
        <v>2651</v>
      </c>
      <c r="AZ1099" s="88">
        <f t="shared" si="37"/>
        <v>0</v>
      </c>
      <c r="BX1099" s="88"/>
      <c r="CQ1099" s="88"/>
    </row>
    <row r="1100" spans="1:95" outlineLevel="1" x14ac:dyDescent="0.15">
      <c r="A1100" s="76">
        <v>1086</v>
      </c>
      <c r="B1100" s="65" t="s">
        <v>2241</v>
      </c>
      <c r="C1100" s="65">
        <v>1211522628</v>
      </c>
      <c r="D1100" s="81" t="str">
        <f t="shared" si="36"/>
        <v>https://portal.dnb.de/opac.htm?method=simpleSearch&amp;cqlMode=true&amp;query=idn%3D1211522628</v>
      </c>
      <c r="E1100" s="65" t="s">
        <v>2242</v>
      </c>
      <c r="F1100" s="76"/>
      <c r="G1100" s="78"/>
      <c r="H1100" s="76"/>
      <c r="I1100" s="78"/>
      <c r="J1100" s="78"/>
      <c r="K1100" s="76"/>
      <c r="L1100" s="76"/>
      <c r="M1100" s="76"/>
      <c r="N1100" s="76"/>
      <c r="O1100" s="76"/>
      <c r="P1100" s="76"/>
      <c r="Q1100" s="76"/>
      <c r="R1100" s="76"/>
      <c r="AZ1100" s="88">
        <f t="shared" si="37"/>
        <v>0</v>
      </c>
      <c r="BX1100" s="88"/>
      <c r="CQ1100" s="88"/>
    </row>
    <row r="1101" spans="1:95" outlineLevel="1" x14ac:dyDescent="0.15">
      <c r="A1101" s="76">
        <v>1087</v>
      </c>
      <c r="B1101" s="65" t="s">
        <v>2243</v>
      </c>
      <c r="C1101" s="65">
        <v>1208535919</v>
      </c>
      <c r="D1101" s="81" t="str">
        <f t="shared" si="36"/>
        <v>https://portal.dnb.de/opac.htm?method=simpleSearch&amp;cqlMode=true&amp;query=idn%3D1208535919</v>
      </c>
      <c r="E1101" s="65" t="s">
        <v>2244</v>
      </c>
      <c r="F1101" s="76"/>
      <c r="G1101" s="78"/>
      <c r="H1101" s="76"/>
      <c r="I1101" s="78"/>
      <c r="J1101" s="78"/>
      <c r="K1101" s="76"/>
      <c r="L1101" s="76"/>
      <c r="M1101" s="76"/>
      <c r="N1101" s="76"/>
      <c r="O1101" s="76"/>
      <c r="P1101" s="76"/>
      <c r="Q1101" s="76"/>
      <c r="R1101" s="76"/>
      <c r="AZ1101" s="88">
        <f t="shared" si="37"/>
        <v>0</v>
      </c>
      <c r="BX1101" s="88"/>
      <c r="CQ1101" s="88"/>
    </row>
    <row r="1102" spans="1:95" outlineLevel="1" x14ac:dyDescent="0.15">
      <c r="A1102" s="76">
        <v>1088</v>
      </c>
      <c r="B1102" s="65" t="s">
        <v>2245</v>
      </c>
      <c r="C1102" s="65">
        <v>1208536184</v>
      </c>
      <c r="D1102" s="81" t="str">
        <f t="shared" si="36"/>
        <v>https://portal.dnb.de/opac.htm?method=simpleSearch&amp;cqlMode=true&amp;query=idn%3D1208536184</v>
      </c>
      <c r="E1102" s="65" t="s">
        <v>2246</v>
      </c>
      <c r="F1102" s="76"/>
      <c r="G1102" s="78"/>
      <c r="H1102" s="76"/>
      <c r="I1102" s="78"/>
      <c r="J1102" s="78"/>
      <c r="K1102" s="76"/>
      <c r="L1102" s="76"/>
      <c r="M1102" s="76"/>
      <c r="N1102" s="76"/>
      <c r="O1102" s="76"/>
      <c r="P1102" s="76"/>
      <c r="Q1102" s="76"/>
      <c r="R1102" s="76"/>
      <c r="AZ1102" s="88">
        <f t="shared" si="37"/>
        <v>0</v>
      </c>
      <c r="BX1102" s="88"/>
      <c r="CQ1102" s="88"/>
    </row>
    <row r="1103" spans="1:95" outlineLevel="1" x14ac:dyDescent="0.15">
      <c r="A1103" s="76">
        <v>1089</v>
      </c>
      <c r="B1103" s="65" t="s">
        <v>2247</v>
      </c>
      <c r="C1103" s="65">
        <v>998857874</v>
      </c>
      <c r="D1103" s="81" t="str">
        <f t="shared" si="36"/>
        <v>https://portal.dnb.de/opac.htm?method=simpleSearch&amp;cqlMode=true&amp;query=idn%3D998857874</v>
      </c>
      <c r="E1103" s="65" t="s">
        <v>2952</v>
      </c>
      <c r="F1103" s="76"/>
      <c r="G1103" s="78"/>
      <c r="H1103" s="76" t="s">
        <v>51</v>
      </c>
      <c r="I1103" s="78"/>
      <c r="J1103" s="78"/>
      <c r="K1103" s="76"/>
      <c r="L1103" s="76"/>
      <c r="M1103" s="76"/>
      <c r="N1103" s="76"/>
      <c r="O1103" s="76"/>
      <c r="P1103" s="76"/>
      <c r="Q1103" s="76"/>
      <c r="R1103" s="76"/>
      <c r="X1103" s="84" t="s">
        <v>2641</v>
      </c>
      <c r="Z1103" s="84" t="s">
        <v>2541</v>
      </c>
      <c r="AA1103" s="84" t="s">
        <v>2642</v>
      </c>
      <c r="AG1103" s="84" t="s">
        <v>2643</v>
      </c>
      <c r="AK1103" s="84" t="s">
        <v>2541</v>
      </c>
      <c r="AU1103" s="84" t="s">
        <v>2776</v>
      </c>
      <c r="AY1103" s="86" t="s">
        <v>2644</v>
      </c>
      <c r="AZ1103" s="88">
        <f t="shared" si="37"/>
        <v>0.5</v>
      </c>
      <c r="BF1103" s="84" t="s">
        <v>2659</v>
      </c>
      <c r="BG1103" s="84" t="s">
        <v>2541</v>
      </c>
      <c r="BR1103" s="84" t="s">
        <v>2541</v>
      </c>
      <c r="BX1103" s="88">
        <v>0.5</v>
      </c>
      <c r="BY1103" s="79" t="s">
        <v>2953</v>
      </c>
      <c r="CQ1103" s="88"/>
    </row>
    <row r="1104" spans="1:95" outlineLevel="1" x14ac:dyDescent="0.15">
      <c r="A1104" s="76">
        <v>1090</v>
      </c>
      <c r="B1104" s="65" t="s">
        <v>2248</v>
      </c>
      <c r="C1104" s="65">
        <v>998857955</v>
      </c>
      <c r="D1104" s="81" t="str">
        <f t="shared" si="36"/>
        <v>https://portal.dnb.de/opac.htm?method=simpleSearch&amp;cqlMode=true&amp;query=idn%3D998857955</v>
      </c>
      <c r="E1104" s="65" t="s">
        <v>2954</v>
      </c>
      <c r="F1104" s="76"/>
      <c r="G1104" s="78"/>
      <c r="H1104" s="76" t="s">
        <v>51</v>
      </c>
      <c r="I1104" s="78"/>
      <c r="J1104" s="78"/>
      <c r="K1104" s="76"/>
      <c r="L1104" s="76"/>
      <c r="M1104" s="76"/>
      <c r="N1104" s="76"/>
      <c r="O1104" s="76"/>
      <c r="P1104" s="76"/>
      <c r="Q1104" s="76"/>
      <c r="R1104" s="76"/>
      <c r="X1104" s="84" t="s">
        <v>2641</v>
      </c>
      <c r="AA1104" s="84" t="s">
        <v>2642</v>
      </c>
      <c r="AF1104" s="84" t="s">
        <v>2541</v>
      </c>
      <c r="AG1104" s="84" t="s">
        <v>2643</v>
      </c>
      <c r="AK1104" s="84" t="s">
        <v>2541</v>
      </c>
      <c r="AU1104" s="84">
        <v>45</v>
      </c>
      <c r="AY1104" s="86" t="s">
        <v>2651</v>
      </c>
      <c r="AZ1104" s="88">
        <f t="shared" si="37"/>
        <v>0</v>
      </c>
      <c r="BF1104" s="84" t="s">
        <v>2659</v>
      </c>
      <c r="BG1104" s="84" t="s">
        <v>2541</v>
      </c>
      <c r="BX1104" s="88"/>
      <c r="CQ1104" s="88"/>
    </row>
    <row r="1105" spans="1:95" outlineLevel="1" x14ac:dyDescent="0.15">
      <c r="A1105" s="76">
        <v>1091</v>
      </c>
      <c r="B1105" s="65" t="s">
        <v>2249</v>
      </c>
      <c r="C1105" s="65">
        <v>998857661</v>
      </c>
      <c r="D1105" s="81" t="str">
        <f t="shared" si="36"/>
        <v>https://portal.dnb.de/opac.htm?method=simpleSearch&amp;cqlMode=true&amp;query=idn%3D998857661</v>
      </c>
      <c r="E1105" s="65" t="s">
        <v>2951</v>
      </c>
      <c r="F1105" s="76"/>
      <c r="G1105" s="78"/>
      <c r="H1105" s="76" t="s">
        <v>51</v>
      </c>
      <c r="I1105" s="78"/>
      <c r="J1105" s="78"/>
      <c r="K1105" s="76"/>
      <c r="L1105" s="76"/>
      <c r="M1105" s="76"/>
      <c r="N1105" s="76"/>
      <c r="O1105" s="76"/>
      <c r="P1105" s="76"/>
      <c r="Q1105" s="76"/>
      <c r="R1105" s="76"/>
      <c r="X1105" s="84" t="s">
        <v>2641</v>
      </c>
      <c r="Z1105" s="84" t="s">
        <v>2541</v>
      </c>
      <c r="AA1105" s="84" t="s">
        <v>2642</v>
      </c>
      <c r="AG1105" s="84" t="s">
        <v>2643</v>
      </c>
      <c r="AL1105" s="84" t="s">
        <v>2541</v>
      </c>
      <c r="AU1105" s="84">
        <v>110</v>
      </c>
      <c r="AY1105" s="86" t="s">
        <v>2651</v>
      </c>
      <c r="AZ1105" s="88">
        <f t="shared" si="37"/>
        <v>0</v>
      </c>
      <c r="BB1105" s="84" t="s">
        <v>2777</v>
      </c>
      <c r="BX1105" s="88"/>
      <c r="CQ1105" s="88"/>
    </row>
    <row r="1106" spans="1:95" ht="22.5" outlineLevel="1" x14ac:dyDescent="0.15">
      <c r="A1106" s="76">
        <v>1092</v>
      </c>
      <c r="B1106" s="65" t="s">
        <v>2250</v>
      </c>
      <c r="C1106" s="65">
        <v>998898775</v>
      </c>
      <c r="D1106" s="81" t="str">
        <f t="shared" si="36"/>
        <v>https://portal.dnb.de/opac.htm?method=simpleSearch&amp;cqlMode=true&amp;query=idn%3D998898775</v>
      </c>
      <c r="E1106" s="65" t="s">
        <v>2251</v>
      </c>
      <c r="F1106" s="76"/>
      <c r="G1106" s="78"/>
      <c r="H1106" s="76" t="s">
        <v>50</v>
      </c>
      <c r="I1106" s="78"/>
      <c r="J1106" s="78"/>
      <c r="K1106" s="76"/>
      <c r="L1106" s="76"/>
      <c r="M1106" s="76"/>
      <c r="N1106" s="76"/>
      <c r="O1106" s="76"/>
      <c r="P1106" s="76"/>
      <c r="Q1106" s="76"/>
      <c r="R1106" s="76"/>
      <c r="X1106" s="84" t="s">
        <v>2696</v>
      </c>
      <c r="Z1106" s="84" t="s">
        <v>2541</v>
      </c>
      <c r="AA1106" s="84" t="s">
        <v>2647</v>
      </c>
      <c r="AG1106" s="84" t="s">
        <v>2643</v>
      </c>
      <c r="AU1106" s="84">
        <v>110</v>
      </c>
      <c r="AY1106" s="86" t="s">
        <v>2651</v>
      </c>
      <c r="AZ1106" s="88">
        <f t="shared" si="37"/>
        <v>0</v>
      </c>
      <c r="BB1106" s="84" t="s">
        <v>2777</v>
      </c>
      <c r="BH1106" s="79" t="s">
        <v>2830</v>
      </c>
      <c r="BX1106" s="88"/>
      <c r="CQ1106" s="88"/>
    </row>
    <row r="1107" spans="1:95" ht="22.5" outlineLevel="1" x14ac:dyDescent="0.15">
      <c r="A1107" s="76">
        <v>1093</v>
      </c>
      <c r="B1107" s="65" t="s">
        <v>2252</v>
      </c>
      <c r="C1107" s="65">
        <v>998886092</v>
      </c>
      <c r="D1107" s="81" t="str">
        <f t="shared" si="36"/>
        <v>https://portal.dnb.de/opac.htm?method=simpleSearch&amp;cqlMode=true&amp;query=idn%3D998886092</v>
      </c>
      <c r="E1107" s="65" t="s">
        <v>2253</v>
      </c>
      <c r="F1107" s="76"/>
      <c r="G1107" s="78"/>
      <c r="H1107" s="76" t="s">
        <v>50</v>
      </c>
      <c r="I1107" s="78"/>
      <c r="J1107" s="78"/>
      <c r="K1107" s="76"/>
      <c r="L1107" s="76"/>
      <c r="M1107" s="76"/>
      <c r="N1107" s="76"/>
      <c r="O1107" s="76"/>
      <c r="P1107" s="76"/>
      <c r="Q1107" s="76"/>
      <c r="R1107" s="76"/>
      <c r="X1107" s="84" t="s">
        <v>2696</v>
      </c>
      <c r="Z1107" s="84" t="s">
        <v>2541</v>
      </c>
      <c r="AA1107" s="84" t="s">
        <v>2647</v>
      </c>
      <c r="AG1107" s="84" t="s">
        <v>2643</v>
      </c>
      <c r="AU1107" s="84">
        <v>110</v>
      </c>
      <c r="AY1107" s="86" t="s">
        <v>2651</v>
      </c>
      <c r="AZ1107" s="88">
        <f t="shared" si="37"/>
        <v>0</v>
      </c>
      <c r="BB1107" s="84" t="s">
        <v>2777</v>
      </c>
      <c r="BH1107" s="79" t="s">
        <v>2830</v>
      </c>
      <c r="BX1107" s="88"/>
      <c r="CQ1107" s="88"/>
    </row>
    <row r="1108" spans="1:95" outlineLevel="1" x14ac:dyDescent="0.15">
      <c r="A1108" s="76">
        <v>1094</v>
      </c>
      <c r="B1108" s="65" t="s">
        <v>2254</v>
      </c>
      <c r="C1108" s="65">
        <v>993885098</v>
      </c>
      <c r="D1108" s="81" t="str">
        <f t="shared" si="36"/>
        <v>https://portal.dnb.de/opac.htm?method=simpleSearch&amp;cqlMode=true&amp;query=idn%3D993885098</v>
      </c>
      <c r="E1108" s="65" t="s">
        <v>2255</v>
      </c>
      <c r="F1108" s="76"/>
      <c r="G1108" s="78"/>
      <c r="H1108" s="76" t="s">
        <v>50</v>
      </c>
      <c r="I1108" s="78"/>
      <c r="J1108" s="78"/>
      <c r="K1108" s="76"/>
      <c r="L1108" s="76"/>
      <c r="M1108" s="76"/>
      <c r="N1108" s="76"/>
      <c r="O1108" s="76"/>
      <c r="P1108" s="76"/>
      <c r="Q1108" s="76"/>
      <c r="R1108" s="76"/>
      <c r="X1108" s="84" t="s">
        <v>2645</v>
      </c>
      <c r="AA1108" s="84" t="s">
        <v>2647</v>
      </c>
      <c r="AG1108" s="84" t="s">
        <v>2643</v>
      </c>
      <c r="AU1108" s="84">
        <v>110</v>
      </c>
      <c r="AW1108" s="84" t="s">
        <v>2541</v>
      </c>
      <c r="AX1108" s="84" t="s">
        <v>2541</v>
      </c>
      <c r="AY1108" s="86" t="s">
        <v>2651</v>
      </c>
      <c r="AZ1108" s="88">
        <f t="shared" si="37"/>
        <v>0</v>
      </c>
      <c r="BX1108" s="88"/>
      <c r="CQ1108" s="88"/>
    </row>
    <row r="1109" spans="1:95" ht="22.5" outlineLevel="1" x14ac:dyDescent="0.15">
      <c r="A1109" s="76">
        <v>1095</v>
      </c>
      <c r="B1109" s="65" t="s">
        <v>2256</v>
      </c>
      <c r="C1109" s="65">
        <v>999178393</v>
      </c>
      <c r="D1109" s="81" t="str">
        <f t="shared" si="36"/>
        <v>https://portal.dnb.de/opac.htm?method=simpleSearch&amp;cqlMode=true&amp;query=idn%3D999178393</v>
      </c>
      <c r="E1109" s="65" t="s">
        <v>2257</v>
      </c>
      <c r="F1109" s="76"/>
      <c r="G1109" s="78"/>
      <c r="H1109" s="76" t="s">
        <v>50</v>
      </c>
      <c r="I1109" s="78"/>
      <c r="J1109" s="78"/>
      <c r="K1109" s="76"/>
      <c r="L1109" s="76"/>
      <c r="M1109" s="76"/>
      <c r="N1109" s="76"/>
      <c r="O1109" s="76"/>
      <c r="P1109" s="76"/>
      <c r="Q1109" s="76"/>
      <c r="R1109" s="76"/>
      <c r="X1109" s="84" t="s">
        <v>2641</v>
      </c>
      <c r="Z1109" s="84" t="s">
        <v>2541</v>
      </c>
      <c r="AA1109" s="84" t="s">
        <v>2642</v>
      </c>
      <c r="AG1109" s="84" t="s">
        <v>2643</v>
      </c>
      <c r="AS1109" s="84">
        <v>4</v>
      </c>
      <c r="AU1109" s="84">
        <v>110</v>
      </c>
      <c r="AW1109" s="84" t="s">
        <v>2541</v>
      </c>
      <c r="AY1109" s="86" t="s">
        <v>2651</v>
      </c>
      <c r="AZ1109" s="88">
        <f t="shared" si="37"/>
        <v>0</v>
      </c>
      <c r="BB1109" s="86" t="s">
        <v>2831</v>
      </c>
      <c r="BX1109" s="88"/>
      <c r="CQ1109" s="88"/>
    </row>
    <row r="1110" spans="1:95" outlineLevel="1" x14ac:dyDescent="0.15">
      <c r="A1110" s="76">
        <v>1096</v>
      </c>
      <c r="B1110" s="65" t="s">
        <v>2258</v>
      </c>
      <c r="C1110" s="65">
        <v>1000479900</v>
      </c>
      <c r="D1110" s="81" t="str">
        <f t="shared" si="36"/>
        <v>https://portal.dnb.de/opac.htm?method=simpleSearch&amp;cqlMode=true&amp;query=idn%3D1000479900</v>
      </c>
      <c r="E1110" s="65" t="s">
        <v>2832</v>
      </c>
      <c r="F1110" s="76"/>
      <c r="G1110" s="78"/>
      <c r="H1110" s="76"/>
      <c r="I1110" s="78"/>
      <c r="J1110" s="78"/>
      <c r="K1110" s="76"/>
      <c r="L1110" s="76"/>
      <c r="M1110" s="76"/>
      <c r="N1110" s="76"/>
      <c r="O1110" s="76"/>
      <c r="P1110" s="76"/>
      <c r="Q1110" s="76"/>
      <c r="R1110" s="76"/>
      <c r="AZ1110" s="88">
        <f t="shared" si="37"/>
        <v>0</v>
      </c>
      <c r="BX1110" s="88"/>
      <c r="CQ1110" s="88"/>
    </row>
    <row r="1111" spans="1:95" outlineLevel="1" x14ac:dyDescent="0.15">
      <c r="A1111" s="76">
        <v>1097</v>
      </c>
      <c r="B1111" s="65" t="s">
        <v>2260</v>
      </c>
      <c r="C1111" s="65">
        <v>997502606</v>
      </c>
      <c r="D1111" s="81" t="str">
        <f t="shared" si="36"/>
        <v>https://portal.dnb.de/opac.htm?method=simpleSearch&amp;cqlMode=true&amp;query=idn%3D997502606</v>
      </c>
      <c r="E1111" s="65" t="s">
        <v>2832</v>
      </c>
      <c r="F1111" s="76"/>
      <c r="G1111" s="78"/>
      <c r="H1111" s="76"/>
      <c r="I1111" s="78"/>
      <c r="J1111" s="78"/>
      <c r="K1111" s="76"/>
      <c r="L1111" s="76"/>
      <c r="M1111" s="76"/>
      <c r="N1111" s="76"/>
      <c r="O1111" s="76"/>
      <c r="P1111" s="76"/>
      <c r="Q1111" s="76"/>
      <c r="R1111" s="76"/>
      <c r="AZ1111" s="88">
        <f t="shared" si="37"/>
        <v>0</v>
      </c>
      <c r="BX1111" s="88"/>
      <c r="CQ1111" s="88"/>
    </row>
    <row r="1112" spans="1:95" outlineLevel="1" x14ac:dyDescent="0.15">
      <c r="A1112" s="76">
        <v>1098</v>
      </c>
      <c r="B1112" s="65" t="s">
        <v>2261</v>
      </c>
      <c r="C1112" s="65">
        <v>999171992</v>
      </c>
      <c r="D1112" s="81" t="str">
        <f t="shared" si="36"/>
        <v>https://portal.dnb.de/opac.htm?method=simpleSearch&amp;cqlMode=true&amp;query=idn%3D999171992</v>
      </c>
      <c r="E1112" s="65" t="s">
        <v>2259</v>
      </c>
      <c r="F1112" s="76"/>
      <c r="G1112" s="78"/>
      <c r="H1112" s="76" t="s">
        <v>50</v>
      </c>
      <c r="I1112" s="78"/>
      <c r="J1112" s="78"/>
      <c r="K1112" s="76"/>
      <c r="L1112" s="76"/>
      <c r="M1112" s="76"/>
      <c r="N1112" s="76"/>
      <c r="O1112" s="76"/>
      <c r="P1112" s="76"/>
      <c r="Q1112" s="76"/>
      <c r="R1112" s="76"/>
      <c r="W1112" s="84" t="s">
        <v>2541</v>
      </c>
      <c r="X1112" s="84" t="s">
        <v>2646</v>
      </c>
      <c r="Z1112" s="84" t="s">
        <v>2541</v>
      </c>
      <c r="AA1112" s="84" t="s">
        <v>2647</v>
      </c>
      <c r="AG1112" s="84" t="s">
        <v>2643</v>
      </c>
      <c r="AS1112" s="84">
        <v>4</v>
      </c>
      <c r="AU1112" s="84">
        <v>110</v>
      </c>
      <c r="AW1112" s="84" t="s">
        <v>2541</v>
      </c>
      <c r="AY1112" s="86" t="s">
        <v>2651</v>
      </c>
      <c r="AZ1112" s="88">
        <f t="shared" si="37"/>
        <v>0</v>
      </c>
      <c r="BB1112" s="84" t="s">
        <v>2777</v>
      </c>
      <c r="BX1112" s="88"/>
      <c r="CQ1112" s="88"/>
    </row>
    <row r="1113" spans="1:95" outlineLevel="1" x14ac:dyDescent="0.15">
      <c r="A1113" s="76">
        <v>1099</v>
      </c>
      <c r="B1113" s="65" t="s">
        <v>2262</v>
      </c>
      <c r="C1113" s="65">
        <v>999155903</v>
      </c>
      <c r="D1113" s="81" t="str">
        <f t="shared" si="36"/>
        <v>https://portal.dnb.de/opac.htm?method=simpleSearch&amp;cqlMode=true&amp;query=idn%3D999155903</v>
      </c>
      <c r="E1113" s="65" t="s">
        <v>2832</v>
      </c>
      <c r="F1113" s="76"/>
      <c r="G1113" s="78"/>
      <c r="H1113" s="76"/>
      <c r="I1113" s="78"/>
      <c r="J1113" s="78"/>
      <c r="K1113" s="76"/>
      <c r="L1113" s="76"/>
      <c r="M1113" s="76"/>
      <c r="N1113" s="76"/>
      <c r="O1113" s="76"/>
      <c r="P1113" s="76"/>
      <c r="Q1113" s="76"/>
      <c r="R1113" s="76"/>
      <c r="AZ1113" s="88">
        <f t="shared" si="37"/>
        <v>0</v>
      </c>
      <c r="BX1113" s="88"/>
      <c r="CQ1113" s="88"/>
    </row>
    <row r="1114" spans="1:95" outlineLevel="1" x14ac:dyDescent="0.15">
      <c r="A1114" s="76">
        <v>1100</v>
      </c>
      <c r="B1114" s="65" t="s">
        <v>2263</v>
      </c>
      <c r="C1114" s="65">
        <v>997659521</v>
      </c>
      <c r="D1114" s="81" t="str">
        <f t="shared" si="36"/>
        <v>https://portal.dnb.de/opac.htm?method=simpleSearch&amp;cqlMode=true&amp;query=idn%3D997659521</v>
      </c>
      <c r="E1114" s="65" t="s">
        <v>2832</v>
      </c>
      <c r="F1114" s="76"/>
      <c r="G1114" s="78"/>
      <c r="H1114" s="76"/>
      <c r="I1114" s="78"/>
      <c r="J1114" s="78"/>
      <c r="K1114" s="76"/>
      <c r="L1114" s="76"/>
      <c r="M1114" s="76"/>
      <c r="N1114" s="76"/>
      <c r="O1114" s="76"/>
      <c r="P1114" s="76"/>
      <c r="Q1114" s="76"/>
      <c r="R1114" s="76"/>
      <c r="AZ1114" s="88">
        <f t="shared" si="37"/>
        <v>0</v>
      </c>
      <c r="BX1114" s="88"/>
      <c r="CQ1114" s="88"/>
    </row>
    <row r="1115" spans="1:95" outlineLevel="1" x14ac:dyDescent="0.15">
      <c r="A1115" s="76">
        <v>1101</v>
      </c>
      <c r="B1115" s="65" t="s">
        <v>2264</v>
      </c>
      <c r="C1115" s="65">
        <v>999172476</v>
      </c>
      <c r="D1115" s="81" t="str">
        <f t="shared" si="36"/>
        <v>https://portal.dnb.de/opac.htm?method=simpleSearch&amp;cqlMode=true&amp;query=idn%3D999172476</v>
      </c>
      <c r="E1115" s="65" t="s">
        <v>2265</v>
      </c>
      <c r="F1115" s="76"/>
      <c r="G1115" s="78"/>
      <c r="H1115" s="76" t="s">
        <v>50</v>
      </c>
      <c r="I1115" s="78"/>
      <c r="J1115" s="78"/>
      <c r="K1115" s="76"/>
      <c r="L1115" s="76"/>
      <c r="M1115" s="76"/>
      <c r="N1115" s="76"/>
      <c r="O1115" s="76"/>
      <c r="P1115" s="76"/>
      <c r="Q1115" s="76"/>
      <c r="R1115" s="76"/>
      <c r="X1115" s="84" t="s">
        <v>2697</v>
      </c>
      <c r="AA1115" s="84" t="s">
        <v>2642</v>
      </c>
      <c r="AG1115" s="84" t="s">
        <v>2643</v>
      </c>
      <c r="AU1115" s="84">
        <v>60</v>
      </c>
      <c r="AY1115" s="86" t="s">
        <v>2651</v>
      </c>
      <c r="AZ1115" s="88">
        <f t="shared" si="37"/>
        <v>0</v>
      </c>
      <c r="BB1115" s="84" t="s">
        <v>2777</v>
      </c>
      <c r="BX1115" s="88"/>
      <c r="CQ1115" s="88"/>
    </row>
    <row r="1116" spans="1:95" outlineLevel="1" x14ac:dyDescent="0.15">
      <c r="A1116" s="76">
        <v>1102</v>
      </c>
      <c r="B1116" s="65" t="s">
        <v>2266</v>
      </c>
      <c r="C1116" s="65">
        <v>1208342053</v>
      </c>
      <c r="D1116" s="81" t="str">
        <f t="shared" si="36"/>
        <v>https://portal.dnb.de/opac.htm?method=simpleSearch&amp;cqlMode=true&amp;query=idn%3D1208342053</v>
      </c>
      <c r="E1116" s="65" t="s">
        <v>2267</v>
      </c>
      <c r="F1116" s="76"/>
      <c r="G1116" s="78"/>
      <c r="H1116" s="76"/>
      <c r="I1116" s="78"/>
      <c r="J1116" s="78"/>
      <c r="K1116" s="76"/>
      <c r="L1116" s="76"/>
      <c r="M1116" s="76"/>
      <c r="N1116" s="76"/>
      <c r="O1116" s="76"/>
      <c r="P1116" s="76"/>
      <c r="Q1116" s="76"/>
      <c r="R1116" s="76"/>
      <c r="AZ1116" s="88">
        <f t="shared" si="37"/>
        <v>0</v>
      </c>
      <c r="BX1116" s="88"/>
      <c r="CQ1116" s="88"/>
    </row>
    <row r="1117" spans="1:95" outlineLevel="1" x14ac:dyDescent="0.15">
      <c r="A1117" s="76">
        <v>1103</v>
      </c>
      <c r="B1117" s="65" t="s">
        <v>2268</v>
      </c>
      <c r="C1117" s="65" t="s">
        <v>2269</v>
      </c>
      <c r="D1117" s="81" t="str">
        <f t="shared" si="36"/>
        <v>https://portal.dnb.de/opac.htm?method=simpleSearch&amp;cqlMode=true&amp;query=idn%3D99456354X</v>
      </c>
      <c r="E1117" s="65" t="s">
        <v>2270</v>
      </c>
      <c r="F1117" s="76"/>
      <c r="G1117" s="78"/>
      <c r="H1117" s="76" t="s">
        <v>50</v>
      </c>
      <c r="I1117" s="78"/>
      <c r="J1117" s="78"/>
      <c r="K1117" s="76"/>
      <c r="L1117" s="76"/>
      <c r="M1117" s="76"/>
      <c r="N1117" s="76"/>
      <c r="O1117" s="76"/>
      <c r="P1117" s="76"/>
      <c r="Q1117" s="76"/>
      <c r="R1117" s="76"/>
      <c r="X1117" s="84" t="s">
        <v>2696</v>
      </c>
      <c r="AA1117" s="84" t="s">
        <v>2647</v>
      </c>
      <c r="AG1117" s="84" t="s">
        <v>2643</v>
      </c>
      <c r="AU1117" s="84">
        <v>80</v>
      </c>
      <c r="AY1117" s="86" t="s">
        <v>2651</v>
      </c>
      <c r="AZ1117" s="88">
        <f t="shared" si="37"/>
        <v>0</v>
      </c>
      <c r="BX1117" s="88"/>
      <c r="CQ1117" s="88"/>
    </row>
    <row r="1118" spans="1:95" ht="22.5" outlineLevel="1" x14ac:dyDescent="0.15">
      <c r="A1118" s="76">
        <v>1104</v>
      </c>
      <c r="B1118" s="65" t="s">
        <v>2271</v>
      </c>
      <c r="C1118" s="65">
        <v>998921629</v>
      </c>
      <c r="D1118" s="81" t="str">
        <f t="shared" si="36"/>
        <v>https://portal.dnb.de/opac.htm?method=simpleSearch&amp;cqlMode=true&amp;query=idn%3D998921629</v>
      </c>
      <c r="E1118" s="65" t="s">
        <v>2272</v>
      </c>
      <c r="F1118" s="76"/>
      <c r="G1118" s="78"/>
      <c r="H1118" s="76" t="s">
        <v>50</v>
      </c>
      <c r="I1118" s="78"/>
      <c r="J1118" s="78"/>
      <c r="K1118" s="76"/>
      <c r="L1118" s="76"/>
      <c r="M1118" s="76"/>
      <c r="N1118" s="76"/>
      <c r="O1118" s="76"/>
      <c r="P1118" s="76"/>
      <c r="Q1118" s="76"/>
      <c r="R1118" s="76"/>
      <c r="X1118" s="84" t="s">
        <v>2696</v>
      </c>
      <c r="Z1118" s="84" t="s">
        <v>2541</v>
      </c>
      <c r="AA1118" s="84" t="s">
        <v>2647</v>
      </c>
      <c r="AG1118" s="84" t="s">
        <v>2643</v>
      </c>
      <c r="AU1118" s="84">
        <v>110</v>
      </c>
      <c r="AY1118" s="86" t="s">
        <v>2651</v>
      </c>
      <c r="AZ1118" s="88">
        <f t="shared" si="37"/>
        <v>0</v>
      </c>
      <c r="BB1118" s="84" t="s">
        <v>2777</v>
      </c>
      <c r="BH1118" s="79" t="s">
        <v>2830</v>
      </c>
      <c r="BX1118" s="88"/>
      <c r="CQ1118" s="88"/>
    </row>
    <row r="1119" spans="1:95" outlineLevel="1" x14ac:dyDescent="0.15">
      <c r="A1119" s="76">
        <v>1105</v>
      </c>
      <c r="B1119" s="65" t="s">
        <v>2273</v>
      </c>
      <c r="C1119" s="65">
        <v>997626577</v>
      </c>
      <c r="D1119" s="81" t="str">
        <f t="shared" si="36"/>
        <v>https://portal.dnb.de/opac.htm?method=simpleSearch&amp;cqlMode=true&amp;query=idn%3D997626577</v>
      </c>
      <c r="E1119" s="65" t="s">
        <v>2274</v>
      </c>
      <c r="F1119" s="76"/>
      <c r="G1119" s="78"/>
      <c r="H1119" s="76" t="s">
        <v>50</v>
      </c>
      <c r="I1119" s="78"/>
      <c r="J1119" s="78"/>
      <c r="K1119" s="76"/>
      <c r="L1119" s="76"/>
      <c r="M1119" s="76"/>
      <c r="N1119" s="76"/>
      <c r="O1119" s="76"/>
      <c r="P1119" s="76"/>
      <c r="Q1119" s="76"/>
      <c r="R1119" s="76"/>
      <c r="X1119" s="84" t="s">
        <v>2696</v>
      </c>
      <c r="AA1119" s="84" t="s">
        <v>2647</v>
      </c>
      <c r="AG1119" s="84" t="s">
        <v>2643</v>
      </c>
      <c r="AU1119" s="84">
        <v>110</v>
      </c>
      <c r="AW1119" s="84" t="s">
        <v>2541</v>
      </c>
      <c r="AX1119" s="84" t="s">
        <v>2541</v>
      </c>
      <c r="AY1119" s="86" t="s">
        <v>2651</v>
      </c>
      <c r="AZ1119" s="88">
        <f t="shared" si="37"/>
        <v>0</v>
      </c>
      <c r="BX1119" s="88"/>
      <c r="CQ1119" s="88"/>
    </row>
    <row r="1120" spans="1:95" outlineLevel="1" x14ac:dyDescent="0.15">
      <c r="A1120" s="76">
        <v>1106</v>
      </c>
      <c r="B1120" s="65" t="s">
        <v>2275</v>
      </c>
      <c r="C1120" s="65">
        <v>993930700</v>
      </c>
      <c r="D1120" s="81" t="str">
        <f t="shared" si="36"/>
        <v>https://portal.dnb.de/opac.htm?method=simpleSearch&amp;cqlMode=true&amp;query=idn%3D993930700</v>
      </c>
      <c r="E1120" s="65" t="s">
        <v>2276</v>
      </c>
      <c r="F1120" s="76"/>
      <c r="G1120" s="78"/>
      <c r="H1120" s="76" t="s">
        <v>50</v>
      </c>
      <c r="I1120" s="78"/>
      <c r="J1120" s="78"/>
      <c r="K1120" s="76"/>
      <c r="L1120" s="76"/>
      <c r="M1120" s="76"/>
      <c r="N1120" s="76"/>
      <c r="O1120" s="76"/>
      <c r="P1120" s="76"/>
      <c r="Q1120" s="76"/>
      <c r="R1120" s="76"/>
      <c r="X1120" s="84" t="s">
        <v>2696</v>
      </c>
      <c r="AA1120" s="84" t="s">
        <v>2647</v>
      </c>
      <c r="AG1120" s="84" t="s">
        <v>2643</v>
      </c>
      <c r="AU1120" s="84">
        <v>110</v>
      </c>
      <c r="AY1120" s="86" t="s">
        <v>2651</v>
      </c>
      <c r="AZ1120" s="88">
        <f t="shared" si="37"/>
        <v>0</v>
      </c>
      <c r="BX1120" s="88"/>
      <c r="CQ1120" s="88"/>
    </row>
    <row r="1121" spans="1:95" outlineLevel="1" x14ac:dyDescent="0.15">
      <c r="A1121" s="76">
        <v>1107</v>
      </c>
      <c r="B1121" s="65" t="s">
        <v>2277</v>
      </c>
      <c r="C1121" s="65">
        <v>1000805778</v>
      </c>
      <c r="D1121" s="81" t="str">
        <f t="shared" ref="D1121:D1184" si="38">HYPERLINK(CONCATENATE("https://portal.dnb.de/opac.htm?method=simpleSearch&amp;cqlMode=true&amp;query=idn%3D",C1121))</f>
        <v>https://portal.dnb.de/opac.htm?method=simpleSearch&amp;cqlMode=true&amp;query=idn%3D1000805778</v>
      </c>
      <c r="E1121" s="65" t="s">
        <v>2278</v>
      </c>
      <c r="F1121" s="76"/>
      <c r="G1121" s="78"/>
      <c r="H1121" s="76" t="s">
        <v>50</v>
      </c>
      <c r="I1121" s="78"/>
      <c r="J1121" s="78"/>
      <c r="K1121" s="76"/>
      <c r="L1121" s="76"/>
      <c r="M1121" s="76"/>
      <c r="N1121" s="76"/>
      <c r="O1121" s="76"/>
      <c r="P1121" s="76"/>
      <c r="Q1121" s="76"/>
      <c r="R1121" s="76"/>
      <c r="X1121" s="84" t="s">
        <v>2696</v>
      </c>
      <c r="AA1121" s="84" t="s">
        <v>2647</v>
      </c>
      <c r="AG1121" s="84" t="s">
        <v>2643</v>
      </c>
      <c r="AU1121" s="84">
        <v>110</v>
      </c>
      <c r="AW1121" s="84" t="s">
        <v>2541</v>
      </c>
      <c r="AX1121" s="84" t="s">
        <v>2541</v>
      </c>
      <c r="AY1121" s="86" t="s">
        <v>2651</v>
      </c>
      <c r="AZ1121" s="88">
        <f t="shared" si="37"/>
        <v>0</v>
      </c>
      <c r="BX1121" s="88"/>
      <c r="CQ1121" s="88"/>
    </row>
    <row r="1122" spans="1:95" outlineLevel="1" x14ac:dyDescent="0.15">
      <c r="A1122" s="76">
        <v>1108</v>
      </c>
      <c r="B1122" s="65" t="s">
        <v>2279</v>
      </c>
      <c r="C1122" s="65">
        <v>999175556</v>
      </c>
      <c r="D1122" s="81" t="str">
        <f t="shared" si="38"/>
        <v>https://portal.dnb.de/opac.htm?method=simpleSearch&amp;cqlMode=true&amp;query=idn%3D999175556</v>
      </c>
      <c r="E1122" s="65" t="s">
        <v>2280</v>
      </c>
      <c r="F1122" s="76"/>
      <c r="G1122" s="78"/>
      <c r="H1122" s="76" t="s">
        <v>50</v>
      </c>
      <c r="I1122" s="78"/>
      <c r="J1122" s="78"/>
      <c r="K1122" s="76"/>
      <c r="L1122" s="76"/>
      <c r="M1122" s="76"/>
      <c r="N1122" s="76"/>
      <c r="O1122" s="76"/>
      <c r="P1122" s="76"/>
      <c r="Q1122" s="76"/>
      <c r="R1122" s="76"/>
      <c r="X1122" s="84" t="s">
        <v>2696</v>
      </c>
      <c r="AA1122" s="84" t="s">
        <v>2647</v>
      </c>
      <c r="AG1122" s="84" t="s">
        <v>2643</v>
      </c>
      <c r="AU1122" s="84">
        <v>110</v>
      </c>
      <c r="AW1122" s="84" t="s">
        <v>2541</v>
      </c>
      <c r="AX1122" s="84" t="s">
        <v>2541</v>
      </c>
      <c r="AY1122" s="86" t="s">
        <v>2651</v>
      </c>
      <c r="AZ1122" s="88">
        <f t="shared" si="37"/>
        <v>0</v>
      </c>
      <c r="BX1122" s="88"/>
      <c r="CQ1122" s="88"/>
    </row>
    <row r="1123" spans="1:95" outlineLevel="1" x14ac:dyDescent="0.15">
      <c r="A1123" s="76">
        <v>1109</v>
      </c>
      <c r="B1123" s="65" t="s">
        <v>2281</v>
      </c>
      <c r="C1123" s="65">
        <v>999167855</v>
      </c>
      <c r="D1123" s="81" t="str">
        <f t="shared" si="38"/>
        <v>https://portal.dnb.de/opac.htm?method=simpleSearch&amp;cqlMode=true&amp;query=idn%3D999167855</v>
      </c>
      <c r="E1123" s="65" t="s">
        <v>2834</v>
      </c>
      <c r="F1123" s="76"/>
      <c r="G1123" s="78"/>
      <c r="H1123" s="76"/>
      <c r="I1123" s="78"/>
      <c r="J1123" s="78"/>
      <c r="K1123" s="76"/>
      <c r="L1123" s="76"/>
      <c r="M1123" s="76"/>
      <c r="N1123" s="76"/>
      <c r="O1123" s="76"/>
      <c r="P1123" s="76"/>
      <c r="Q1123" s="76"/>
      <c r="R1123" s="76"/>
      <c r="AZ1123" s="88">
        <f t="shared" si="37"/>
        <v>0</v>
      </c>
      <c r="BX1123" s="88"/>
      <c r="CQ1123" s="88"/>
    </row>
    <row r="1124" spans="1:95" ht="22.5" outlineLevel="1" x14ac:dyDescent="0.15">
      <c r="A1124" s="76">
        <v>1110</v>
      </c>
      <c r="B1124" s="65" t="s">
        <v>2283</v>
      </c>
      <c r="C1124" s="65">
        <v>999167294</v>
      </c>
      <c r="D1124" s="81" t="str">
        <f t="shared" si="38"/>
        <v>https://portal.dnb.de/opac.htm?method=simpleSearch&amp;cqlMode=true&amp;query=idn%3D999167294</v>
      </c>
      <c r="E1124" s="65" t="s">
        <v>2282</v>
      </c>
      <c r="F1124" s="76"/>
      <c r="G1124" s="78"/>
      <c r="H1124" s="76" t="s">
        <v>50</v>
      </c>
      <c r="I1124" s="78"/>
      <c r="J1124" s="78"/>
      <c r="K1124" s="76"/>
      <c r="L1124" s="76"/>
      <c r="M1124" s="76"/>
      <c r="N1124" s="76"/>
      <c r="O1124" s="76"/>
      <c r="P1124" s="76"/>
      <c r="Q1124" s="76"/>
      <c r="R1124" s="76"/>
      <c r="X1124" s="84" t="s">
        <v>2641</v>
      </c>
      <c r="Z1124" s="84" t="s">
        <v>2541</v>
      </c>
      <c r="AA1124" s="84" t="s">
        <v>2642</v>
      </c>
      <c r="AG1124" s="84" t="s">
        <v>2643</v>
      </c>
      <c r="AU1124" s="84">
        <v>110</v>
      </c>
      <c r="AW1124" s="84" t="s">
        <v>2541</v>
      </c>
      <c r="AY1124" s="86" t="s">
        <v>2651</v>
      </c>
      <c r="AZ1124" s="88">
        <f t="shared" si="37"/>
        <v>0</v>
      </c>
      <c r="BB1124" s="86" t="s">
        <v>2831</v>
      </c>
      <c r="BX1124" s="88"/>
      <c r="CQ1124" s="88"/>
    </row>
    <row r="1125" spans="1:95" outlineLevel="1" x14ac:dyDescent="0.15">
      <c r="A1125" s="76">
        <v>1111</v>
      </c>
      <c r="B1125" s="65" t="s">
        <v>2284</v>
      </c>
      <c r="C1125" s="65">
        <v>999156268</v>
      </c>
      <c r="D1125" s="81" t="str">
        <f t="shared" si="38"/>
        <v>https://portal.dnb.de/opac.htm?method=simpleSearch&amp;cqlMode=true&amp;query=idn%3D999156268</v>
      </c>
      <c r="E1125" s="65" t="s">
        <v>2285</v>
      </c>
      <c r="F1125" s="76"/>
      <c r="G1125" s="78"/>
      <c r="H1125" s="76" t="s">
        <v>50</v>
      </c>
      <c r="I1125" s="78"/>
      <c r="J1125" s="78"/>
      <c r="K1125" s="76"/>
      <c r="L1125" s="76"/>
      <c r="M1125" s="76"/>
      <c r="N1125" s="76"/>
      <c r="O1125" s="76"/>
      <c r="P1125" s="76"/>
      <c r="Q1125" s="76"/>
      <c r="R1125" s="76"/>
      <c r="X1125" s="84" t="s">
        <v>2696</v>
      </c>
      <c r="AA1125" s="84" t="s">
        <v>2647</v>
      </c>
      <c r="AG1125" s="84" t="s">
        <v>2643</v>
      </c>
      <c r="AU1125" s="84">
        <v>110</v>
      </c>
      <c r="AW1125" s="84" t="s">
        <v>2541</v>
      </c>
      <c r="AX1125" s="84" t="s">
        <v>2541</v>
      </c>
      <c r="AY1125" s="86" t="s">
        <v>2651</v>
      </c>
      <c r="AZ1125" s="88">
        <f t="shared" si="37"/>
        <v>0</v>
      </c>
      <c r="BX1125" s="88"/>
      <c r="CQ1125" s="88"/>
    </row>
    <row r="1126" spans="1:95" outlineLevel="1" x14ac:dyDescent="0.15">
      <c r="A1126" s="76">
        <v>1112</v>
      </c>
      <c r="B1126" s="65" t="s">
        <v>2286</v>
      </c>
      <c r="C1126" s="65">
        <v>999166727</v>
      </c>
      <c r="D1126" s="81" t="str">
        <f t="shared" si="38"/>
        <v>https://portal.dnb.de/opac.htm?method=simpleSearch&amp;cqlMode=true&amp;query=idn%3D999166727</v>
      </c>
      <c r="E1126" s="65" t="s">
        <v>2287</v>
      </c>
      <c r="F1126" s="76"/>
      <c r="G1126" s="78"/>
      <c r="H1126" s="76" t="s">
        <v>50</v>
      </c>
      <c r="I1126" s="78"/>
      <c r="J1126" s="78"/>
      <c r="K1126" s="76"/>
      <c r="L1126" s="76"/>
      <c r="M1126" s="76"/>
      <c r="N1126" s="76"/>
      <c r="O1126" s="76"/>
      <c r="P1126" s="76"/>
      <c r="Q1126" s="76"/>
      <c r="R1126" s="76"/>
      <c r="X1126" s="84" t="s">
        <v>2696</v>
      </c>
      <c r="AA1126" s="84" t="s">
        <v>2647</v>
      </c>
      <c r="AG1126" s="84" t="s">
        <v>2643</v>
      </c>
      <c r="AU1126" s="84">
        <v>110</v>
      </c>
      <c r="AW1126" s="84" t="s">
        <v>2541</v>
      </c>
      <c r="AX1126" s="84" t="s">
        <v>2541</v>
      </c>
      <c r="AY1126" s="86" t="s">
        <v>2651</v>
      </c>
      <c r="AZ1126" s="88">
        <f t="shared" si="37"/>
        <v>0</v>
      </c>
      <c r="BX1126" s="88"/>
      <c r="CQ1126" s="88"/>
    </row>
    <row r="1127" spans="1:95" outlineLevel="1" x14ac:dyDescent="0.15">
      <c r="A1127" s="76">
        <v>1113</v>
      </c>
      <c r="B1127" s="65" t="s">
        <v>2288</v>
      </c>
      <c r="C1127" s="65">
        <v>999175122</v>
      </c>
      <c r="D1127" s="81" t="str">
        <f t="shared" si="38"/>
        <v>https://portal.dnb.de/opac.htm?method=simpleSearch&amp;cqlMode=true&amp;query=idn%3D999175122</v>
      </c>
      <c r="E1127" s="65" t="s">
        <v>2835</v>
      </c>
      <c r="F1127" s="76"/>
      <c r="G1127" s="78"/>
      <c r="H1127" s="76"/>
      <c r="I1127" s="78"/>
      <c r="J1127" s="78"/>
      <c r="K1127" s="76"/>
      <c r="L1127" s="76"/>
      <c r="M1127" s="76"/>
      <c r="N1127" s="76"/>
      <c r="O1127" s="76"/>
      <c r="P1127" s="76"/>
      <c r="Q1127" s="76"/>
      <c r="R1127" s="76"/>
      <c r="AZ1127" s="88">
        <f t="shared" si="37"/>
        <v>0</v>
      </c>
      <c r="BX1127" s="88"/>
      <c r="CQ1127" s="88"/>
    </row>
    <row r="1128" spans="1:95" outlineLevel="1" x14ac:dyDescent="0.15">
      <c r="A1128" s="76">
        <v>1114</v>
      </c>
      <c r="B1128" s="65" t="s">
        <v>2290</v>
      </c>
      <c r="C1128" s="65">
        <v>998887110</v>
      </c>
      <c r="D1128" s="81" t="str">
        <f t="shared" si="38"/>
        <v>https://portal.dnb.de/opac.htm?method=simpleSearch&amp;cqlMode=true&amp;query=idn%3D998887110</v>
      </c>
      <c r="E1128" s="65" t="s">
        <v>2289</v>
      </c>
      <c r="F1128" s="76"/>
      <c r="G1128" s="78"/>
      <c r="H1128" s="76" t="s">
        <v>50</v>
      </c>
      <c r="I1128" s="78"/>
      <c r="J1128" s="78"/>
      <c r="K1128" s="76"/>
      <c r="L1128" s="76"/>
      <c r="M1128" s="76"/>
      <c r="N1128" s="76"/>
      <c r="O1128" s="76"/>
      <c r="P1128" s="76"/>
      <c r="Q1128" s="76"/>
      <c r="R1128" s="76"/>
      <c r="X1128" s="84" t="s">
        <v>2641</v>
      </c>
      <c r="AA1128" s="84" t="s">
        <v>2675</v>
      </c>
      <c r="AG1128" s="84" t="s">
        <v>2643</v>
      </c>
      <c r="AU1128" s="84" t="s">
        <v>2650</v>
      </c>
      <c r="AY1128" s="86" t="s">
        <v>2651</v>
      </c>
      <c r="AZ1128" s="88">
        <f t="shared" si="37"/>
        <v>0</v>
      </c>
      <c r="BF1128" s="84" t="s">
        <v>2659</v>
      </c>
      <c r="BG1128" s="84" t="s">
        <v>2541</v>
      </c>
      <c r="BH1128" s="79" t="s">
        <v>2962</v>
      </c>
      <c r="BX1128" s="88"/>
      <c r="CQ1128" s="88"/>
    </row>
    <row r="1129" spans="1:95" outlineLevel="1" x14ac:dyDescent="0.15">
      <c r="A1129" s="76">
        <v>1115</v>
      </c>
      <c r="B1129" s="65" t="s">
        <v>2291</v>
      </c>
      <c r="C1129" s="65">
        <v>998924954</v>
      </c>
      <c r="D1129" s="81" t="str">
        <f t="shared" si="38"/>
        <v>https://portal.dnb.de/opac.htm?method=simpleSearch&amp;cqlMode=true&amp;query=idn%3D998924954</v>
      </c>
      <c r="E1129" s="65" t="s">
        <v>2835</v>
      </c>
      <c r="F1129" s="76"/>
      <c r="G1129" s="78"/>
      <c r="H1129" s="76"/>
      <c r="I1129" s="78"/>
      <c r="J1129" s="78"/>
      <c r="K1129" s="76"/>
      <c r="L1129" s="76"/>
      <c r="M1129" s="76"/>
      <c r="N1129" s="76"/>
      <c r="O1129" s="76"/>
      <c r="P1129" s="76"/>
      <c r="Q1129" s="76"/>
      <c r="R1129" s="76"/>
      <c r="AZ1129" s="88">
        <f t="shared" si="37"/>
        <v>0</v>
      </c>
      <c r="BX1129" s="88"/>
      <c r="CQ1129" s="88"/>
    </row>
    <row r="1130" spans="1:95" outlineLevel="1" x14ac:dyDescent="0.15">
      <c r="A1130" s="76">
        <v>1116</v>
      </c>
      <c r="B1130" s="65" t="s">
        <v>2292</v>
      </c>
      <c r="C1130" s="65">
        <v>998925616</v>
      </c>
      <c r="D1130" s="81" t="str">
        <f t="shared" si="38"/>
        <v>https://portal.dnb.de/opac.htm?method=simpleSearch&amp;cqlMode=true&amp;query=idn%3D998925616</v>
      </c>
      <c r="E1130" s="65" t="s">
        <v>2293</v>
      </c>
      <c r="F1130" s="76"/>
      <c r="G1130" s="78"/>
      <c r="H1130" s="76" t="s">
        <v>50</v>
      </c>
      <c r="I1130" s="78"/>
      <c r="J1130" s="78"/>
      <c r="K1130" s="76"/>
      <c r="L1130" s="76"/>
      <c r="M1130" s="76"/>
      <c r="N1130" s="76"/>
      <c r="O1130" s="76"/>
      <c r="P1130" s="76"/>
      <c r="Q1130" s="76"/>
      <c r="R1130" s="76"/>
      <c r="X1130" s="84" t="s">
        <v>2696</v>
      </c>
      <c r="AA1130" s="84" t="s">
        <v>2647</v>
      </c>
      <c r="AG1130" s="84" t="s">
        <v>2643</v>
      </c>
      <c r="AU1130" s="84">
        <v>110</v>
      </c>
      <c r="AW1130" s="84" t="s">
        <v>2541</v>
      </c>
      <c r="AX1130" s="84" t="s">
        <v>2541</v>
      </c>
      <c r="AY1130" s="86" t="s">
        <v>2651</v>
      </c>
      <c r="AZ1130" s="88">
        <f t="shared" si="37"/>
        <v>0</v>
      </c>
      <c r="BI1130" s="63" t="s">
        <v>2780</v>
      </c>
      <c r="BX1130" s="88"/>
      <c r="CQ1130" s="88"/>
    </row>
    <row r="1131" spans="1:95" outlineLevel="1" x14ac:dyDescent="0.15">
      <c r="A1131" s="76">
        <v>1117</v>
      </c>
      <c r="B1131" s="65" t="s">
        <v>2294</v>
      </c>
      <c r="C1131" s="65">
        <v>998902365</v>
      </c>
      <c r="D1131" s="81" t="str">
        <f t="shared" si="38"/>
        <v>https://portal.dnb.de/opac.htm?method=simpleSearch&amp;cqlMode=true&amp;query=idn%3D998902365</v>
      </c>
      <c r="E1131" s="65" t="s">
        <v>2295</v>
      </c>
      <c r="F1131" s="76"/>
      <c r="G1131" s="78"/>
      <c r="H1131" s="76" t="s">
        <v>50</v>
      </c>
      <c r="I1131" s="78"/>
      <c r="J1131" s="78"/>
      <c r="K1131" s="76"/>
      <c r="L1131" s="76"/>
      <c r="M1131" s="76"/>
      <c r="N1131" s="76"/>
      <c r="O1131" s="76"/>
      <c r="P1131" s="76"/>
      <c r="Q1131" s="76"/>
      <c r="R1131" s="76"/>
      <c r="X1131" s="84" t="s">
        <v>2696</v>
      </c>
      <c r="AA1131" s="84" t="s">
        <v>2647</v>
      </c>
      <c r="AG1131" s="84" t="s">
        <v>2643</v>
      </c>
      <c r="AU1131" s="84">
        <v>110</v>
      </c>
      <c r="AW1131" s="84" t="s">
        <v>2541</v>
      </c>
      <c r="AX1131" s="84" t="s">
        <v>2541</v>
      </c>
      <c r="AY1131" s="86" t="s">
        <v>2651</v>
      </c>
      <c r="AZ1131" s="88">
        <f t="shared" si="37"/>
        <v>0</v>
      </c>
      <c r="BX1131" s="88"/>
      <c r="CQ1131" s="88"/>
    </row>
    <row r="1132" spans="1:95" outlineLevel="1" x14ac:dyDescent="0.15">
      <c r="A1132" s="76">
        <v>1118</v>
      </c>
      <c r="B1132" s="65" t="s">
        <v>2296</v>
      </c>
      <c r="C1132" s="65">
        <v>998903302</v>
      </c>
      <c r="D1132" s="81" t="str">
        <f t="shared" si="38"/>
        <v>https://portal.dnb.de/opac.htm?method=simpleSearch&amp;cqlMode=true&amp;query=idn%3D998903302</v>
      </c>
      <c r="E1132" s="65" t="s">
        <v>2297</v>
      </c>
      <c r="F1132" s="76"/>
      <c r="G1132" s="78"/>
      <c r="H1132" s="76" t="s">
        <v>50</v>
      </c>
      <c r="I1132" s="78"/>
      <c r="J1132" s="78"/>
      <c r="K1132" s="76"/>
      <c r="L1132" s="76"/>
      <c r="M1132" s="76"/>
      <c r="N1132" s="76"/>
      <c r="O1132" s="76"/>
      <c r="P1132" s="76"/>
      <c r="Q1132" s="76"/>
      <c r="R1132" s="76"/>
      <c r="X1132" s="84" t="s">
        <v>2696</v>
      </c>
      <c r="AA1132" s="84" t="s">
        <v>2647</v>
      </c>
      <c r="AG1132" s="84" t="s">
        <v>2643</v>
      </c>
      <c r="AU1132" s="84">
        <v>110</v>
      </c>
      <c r="AW1132" s="84" t="s">
        <v>2541</v>
      </c>
      <c r="AX1132" s="84" t="s">
        <v>2541</v>
      </c>
      <c r="AY1132" s="86" t="s">
        <v>2651</v>
      </c>
      <c r="AZ1132" s="88">
        <f t="shared" si="37"/>
        <v>0</v>
      </c>
      <c r="BX1132" s="88"/>
      <c r="CQ1132" s="88"/>
    </row>
    <row r="1133" spans="1:95" outlineLevel="1" x14ac:dyDescent="0.15">
      <c r="A1133" s="76">
        <v>1119</v>
      </c>
      <c r="B1133" s="65" t="s">
        <v>2298</v>
      </c>
      <c r="C1133" s="65">
        <v>994848145</v>
      </c>
      <c r="D1133" s="81" t="str">
        <f t="shared" si="38"/>
        <v>https://portal.dnb.de/opac.htm?method=simpleSearch&amp;cqlMode=true&amp;query=idn%3D994848145</v>
      </c>
      <c r="E1133" s="65" t="s">
        <v>2299</v>
      </c>
      <c r="F1133" s="76"/>
      <c r="G1133" s="78"/>
      <c r="H1133" s="76" t="s">
        <v>50</v>
      </c>
      <c r="I1133" s="78"/>
      <c r="J1133" s="78"/>
      <c r="K1133" s="76"/>
      <c r="L1133" s="76"/>
      <c r="M1133" s="76"/>
      <c r="N1133" s="76"/>
      <c r="O1133" s="76"/>
      <c r="P1133" s="76"/>
      <c r="Q1133" s="76"/>
      <c r="R1133" s="76"/>
      <c r="X1133" s="84" t="s">
        <v>2696</v>
      </c>
      <c r="AA1133" s="84" t="s">
        <v>2647</v>
      </c>
      <c r="AG1133" s="84" t="s">
        <v>2643</v>
      </c>
      <c r="AU1133" s="84">
        <v>110</v>
      </c>
      <c r="AW1133" s="84" t="s">
        <v>2541</v>
      </c>
      <c r="AX1133" s="84" t="s">
        <v>2541</v>
      </c>
      <c r="AY1133" s="86" t="s">
        <v>2651</v>
      </c>
      <c r="AZ1133" s="88">
        <f t="shared" si="37"/>
        <v>0</v>
      </c>
      <c r="BX1133" s="88"/>
      <c r="CQ1133" s="88"/>
    </row>
    <row r="1134" spans="1:95" outlineLevel="1" x14ac:dyDescent="0.15">
      <c r="A1134" s="76">
        <v>1120</v>
      </c>
      <c r="B1134" s="65" t="s">
        <v>2300</v>
      </c>
      <c r="C1134" s="65">
        <v>999174746</v>
      </c>
      <c r="D1134" s="81" t="str">
        <f t="shared" si="38"/>
        <v>https://portal.dnb.de/opac.htm?method=simpleSearch&amp;cqlMode=true&amp;query=idn%3D999174746</v>
      </c>
      <c r="E1134" s="65" t="s">
        <v>2301</v>
      </c>
      <c r="F1134" s="76"/>
      <c r="G1134" s="78"/>
      <c r="H1134" s="76" t="s">
        <v>50</v>
      </c>
      <c r="I1134" s="78"/>
      <c r="J1134" s="78"/>
      <c r="K1134" s="76"/>
      <c r="L1134" s="76"/>
      <c r="M1134" s="76"/>
      <c r="N1134" s="76"/>
      <c r="O1134" s="76"/>
      <c r="P1134" s="76"/>
      <c r="Q1134" s="76"/>
      <c r="R1134" s="76"/>
      <c r="X1134" s="84" t="s">
        <v>2696</v>
      </c>
      <c r="AA1134" s="84" t="s">
        <v>2647</v>
      </c>
      <c r="AG1134" s="84" t="s">
        <v>2643</v>
      </c>
      <c r="AU1134" s="84">
        <v>110</v>
      </c>
      <c r="AW1134" s="84" t="s">
        <v>2541</v>
      </c>
      <c r="AX1134" s="84" t="s">
        <v>2541</v>
      </c>
      <c r="AY1134" s="86" t="s">
        <v>2651</v>
      </c>
      <c r="AZ1134" s="88">
        <f t="shared" si="37"/>
        <v>0</v>
      </c>
      <c r="BX1134" s="88"/>
      <c r="CQ1134" s="88"/>
    </row>
    <row r="1135" spans="1:95" outlineLevel="1" x14ac:dyDescent="0.15">
      <c r="A1135" s="76">
        <v>1121</v>
      </c>
      <c r="B1135" s="65" t="s">
        <v>2302</v>
      </c>
      <c r="C1135" s="65">
        <v>997502614</v>
      </c>
      <c r="D1135" s="81" t="str">
        <f t="shared" si="38"/>
        <v>https://portal.dnb.de/opac.htm?method=simpleSearch&amp;cqlMode=true&amp;query=idn%3D997502614</v>
      </c>
      <c r="E1135" s="65" t="s">
        <v>2303</v>
      </c>
      <c r="F1135" s="76"/>
      <c r="G1135" s="78"/>
      <c r="H1135" s="76" t="s">
        <v>50</v>
      </c>
      <c r="I1135" s="78"/>
      <c r="J1135" s="78"/>
      <c r="K1135" s="76"/>
      <c r="L1135" s="76"/>
      <c r="M1135" s="76"/>
      <c r="N1135" s="76"/>
      <c r="O1135" s="76"/>
      <c r="P1135" s="76"/>
      <c r="Q1135" s="76"/>
      <c r="R1135" s="76"/>
      <c r="X1135" s="84" t="s">
        <v>2696</v>
      </c>
      <c r="AA1135" s="84" t="s">
        <v>2647</v>
      </c>
      <c r="AG1135" s="84" t="s">
        <v>2643</v>
      </c>
      <c r="AU1135" s="84">
        <v>110</v>
      </c>
      <c r="AW1135" s="84" t="s">
        <v>2541</v>
      </c>
      <c r="AX1135" s="84" t="s">
        <v>2541</v>
      </c>
      <c r="AY1135" s="86" t="s">
        <v>2651</v>
      </c>
      <c r="AZ1135" s="88">
        <f t="shared" si="37"/>
        <v>0</v>
      </c>
      <c r="BX1135" s="88"/>
      <c r="CQ1135" s="88"/>
    </row>
    <row r="1136" spans="1:95" ht="33.75" outlineLevel="1" x14ac:dyDescent="0.15">
      <c r="A1136" s="76">
        <v>1122</v>
      </c>
      <c r="B1136" s="65" t="s">
        <v>2304</v>
      </c>
      <c r="C1136" s="65">
        <v>998886769</v>
      </c>
      <c r="D1136" s="81" t="str">
        <f t="shared" si="38"/>
        <v>https://portal.dnb.de/opac.htm?method=simpleSearch&amp;cqlMode=true&amp;query=idn%3D998886769</v>
      </c>
      <c r="E1136" s="65" t="s">
        <v>2305</v>
      </c>
      <c r="F1136" s="76"/>
      <c r="G1136" s="78"/>
      <c r="H1136" s="76" t="s">
        <v>50</v>
      </c>
      <c r="I1136" s="78"/>
      <c r="J1136" s="78"/>
      <c r="K1136" s="76"/>
      <c r="L1136" s="76"/>
      <c r="M1136" s="76"/>
      <c r="N1136" s="76"/>
      <c r="O1136" s="76"/>
      <c r="P1136" s="76"/>
      <c r="Q1136" s="76"/>
      <c r="R1136" s="76"/>
      <c r="X1136" s="84" t="s">
        <v>2696</v>
      </c>
      <c r="Z1136" s="84" t="s">
        <v>2541</v>
      </c>
      <c r="AA1136" s="84" t="s">
        <v>2647</v>
      </c>
      <c r="AG1136" s="84" t="s">
        <v>2643</v>
      </c>
      <c r="AU1136" s="84">
        <v>110</v>
      </c>
      <c r="AY1136" s="86" t="s">
        <v>2651</v>
      </c>
      <c r="AZ1136" s="88">
        <f t="shared" si="37"/>
        <v>0</v>
      </c>
      <c r="BH1136" s="79" t="s">
        <v>2837</v>
      </c>
      <c r="BX1136" s="88"/>
      <c r="CQ1136" s="88"/>
    </row>
    <row r="1137" spans="1:95" outlineLevel="1" x14ac:dyDescent="0.15">
      <c r="A1137" s="76">
        <v>1123</v>
      </c>
      <c r="B1137" s="65" t="s">
        <v>2306</v>
      </c>
      <c r="C1137" s="65">
        <v>994516029</v>
      </c>
      <c r="D1137" s="81" t="str">
        <f t="shared" si="38"/>
        <v>https://portal.dnb.de/opac.htm?method=simpleSearch&amp;cqlMode=true&amp;query=idn%3D994516029</v>
      </c>
      <c r="E1137" s="65" t="s">
        <v>2307</v>
      </c>
      <c r="F1137" s="76"/>
      <c r="G1137" s="78"/>
      <c r="H1137" s="76"/>
      <c r="I1137" s="78"/>
      <c r="J1137" s="78"/>
      <c r="K1137" s="76"/>
      <c r="L1137" s="76"/>
      <c r="M1137" s="76"/>
      <c r="N1137" s="76"/>
      <c r="O1137" s="76"/>
      <c r="P1137" s="76"/>
      <c r="Q1137" s="76"/>
      <c r="R1137" s="76"/>
      <c r="AZ1137" s="88">
        <f t="shared" si="37"/>
        <v>0</v>
      </c>
      <c r="BX1137" s="88"/>
      <c r="CQ1137" s="88"/>
    </row>
    <row r="1138" spans="1:95" outlineLevel="1" x14ac:dyDescent="0.15">
      <c r="A1138" s="76">
        <v>1124</v>
      </c>
      <c r="B1138" s="65" t="s">
        <v>2308</v>
      </c>
      <c r="C1138" s="65">
        <v>999165380</v>
      </c>
      <c r="D1138" s="81" t="str">
        <f t="shared" si="38"/>
        <v>https://portal.dnb.de/opac.htm?method=simpleSearch&amp;cqlMode=true&amp;query=idn%3D999165380</v>
      </c>
      <c r="E1138" s="65" t="s">
        <v>2309</v>
      </c>
      <c r="F1138" s="76"/>
      <c r="G1138" s="78"/>
      <c r="H1138" s="76" t="s">
        <v>50</v>
      </c>
      <c r="I1138" s="78"/>
      <c r="J1138" s="78"/>
      <c r="K1138" s="76"/>
      <c r="L1138" s="76"/>
      <c r="M1138" s="76"/>
      <c r="N1138" s="76"/>
      <c r="O1138" s="76"/>
      <c r="P1138" s="76"/>
      <c r="Q1138" s="76"/>
      <c r="R1138" s="76"/>
      <c r="X1138" s="84" t="s">
        <v>2696</v>
      </c>
      <c r="AA1138" s="84" t="s">
        <v>2647</v>
      </c>
      <c r="AG1138" s="84" t="s">
        <v>2643</v>
      </c>
      <c r="AU1138" s="84">
        <v>110</v>
      </c>
      <c r="AY1138" s="86" t="s">
        <v>2651</v>
      </c>
      <c r="AZ1138" s="88">
        <f t="shared" si="37"/>
        <v>0</v>
      </c>
      <c r="BX1138" s="88"/>
      <c r="CQ1138" s="88"/>
    </row>
    <row r="1139" spans="1:95" outlineLevel="1" x14ac:dyDescent="0.15">
      <c r="A1139" s="76">
        <v>1125</v>
      </c>
      <c r="B1139" s="65" t="s">
        <v>2310</v>
      </c>
      <c r="C1139" s="65">
        <v>999156691</v>
      </c>
      <c r="D1139" s="81" t="str">
        <f t="shared" si="38"/>
        <v>https://portal.dnb.de/opac.htm?method=simpleSearch&amp;cqlMode=true&amp;query=idn%3D999156691</v>
      </c>
      <c r="E1139" s="65" t="s">
        <v>2311</v>
      </c>
      <c r="F1139" s="76"/>
      <c r="G1139" s="78"/>
      <c r="H1139" s="76" t="s">
        <v>50</v>
      </c>
      <c r="I1139" s="78"/>
      <c r="J1139" s="78"/>
      <c r="K1139" s="76"/>
      <c r="L1139" s="76"/>
      <c r="M1139" s="76"/>
      <c r="N1139" s="76"/>
      <c r="O1139" s="76"/>
      <c r="P1139" s="76"/>
      <c r="Q1139" s="76"/>
      <c r="R1139" s="76"/>
      <c r="X1139" s="84" t="s">
        <v>2696</v>
      </c>
      <c r="AA1139" s="84" t="s">
        <v>2647</v>
      </c>
      <c r="AG1139" s="84" t="s">
        <v>2643</v>
      </c>
      <c r="AU1139" s="84">
        <v>110</v>
      </c>
      <c r="AW1139" s="84" t="s">
        <v>2541</v>
      </c>
      <c r="AX1139" s="84" t="s">
        <v>2541</v>
      </c>
      <c r="AY1139" s="86" t="s">
        <v>2651</v>
      </c>
      <c r="AZ1139" s="88">
        <f t="shared" si="37"/>
        <v>0</v>
      </c>
      <c r="BX1139" s="88"/>
      <c r="CQ1139" s="88"/>
    </row>
    <row r="1140" spans="1:95" outlineLevel="1" x14ac:dyDescent="0.15">
      <c r="A1140" s="76">
        <v>1126</v>
      </c>
      <c r="B1140" s="65" t="s">
        <v>2312</v>
      </c>
      <c r="C1140" s="65">
        <v>998922110</v>
      </c>
      <c r="D1140" s="81" t="str">
        <f t="shared" si="38"/>
        <v>https://portal.dnb.de/opac.htm?method=simpleSearch&amp;cqlMode=true&amp;query=idn%3D998922110</v>
      </c>
      <c r="E1140" s="65" t="s">
        <v>2313</v>
      </c>
      <c r="F1140" s="76"/>
      <c r="G1140" s="78"/>
      <c r="H1140" s="76" t="s">
        <v>50</v>
      </c>
      <c r="I1140" s="78"/>
      <c r="J1140" s="78"/>
      <c r="K1140" s="76"/>
      <c r="L1140" s="76"/>
      <c r="M1140" s="76"/>
      <c r="N1140" s="76"/>
      <c r="O1140" s="76"/>
      <c r="P1140" s="76"/>
      <c r="Q1140" s="76"/>
      <c r="R1140" s="76"/>
      <c r="X1140" s="84" t="s">
        <v>2696</v>
      </c>
      <c r="Z1140" s="84" t="s">
        <v>2541</v>
      </c>
      <c r="AA1140" s="84" t="s">
        <v>2647</v>
      </c>
      <c r="AG1140" s="84" t="s">
        <v>2643</v>
      </c>
      <c r="AU1140" s="84">
        <v>110</v>
      </c>
      <c r="AY1140" s="86" t="s">
        <v>2651</v>
      </c>
      <c r="AZ1140" s="88">
        <f t="shared" si="37"/>
        <v>0</v>
      </c>
      <c r="BX1140" s="88"/>
      <c r="CQ1140" s="88"/>
    </row>
    <row r="1141" spans="1:95" outlineLevel="1" x14ac:dyDescent="0.15">
      <c r="A1141" s="76">
        <v>1127</v>
      </c>
      <c r="B1141" s="65" t="s">
        <v>2314</v>
      </c>
      <c r="C1141" s="65">
        <v>1001771508</v>
      </c>
      <c r="D1141" s="81" t="str">
        <f t="shared" si="38"/>
        <v>https://portal.dnb.de/opac.htm?method=simpleSearch&amp;cqlMode=true&amp;query=idn%3D1001771508</v>
      </c>
      <c r="E1141" s="65" t="s">
        <v>2315</v>
      </c>
      <c r="F1141" s="76"/>
      <c r="G1141" s="78"/>
      <c r="H1141" s="76" t="s">
        <v>50</v>
      </c>
      <c r="I1141" s="78"/>
      <c r="J1141" s="78"/>
      <c r="K1141" s="76"/>
      <c r="L1141" s="76"/>
      <c r="M1141" s="76"/>
      <c r="N1141" s="76"/>
      <c r="O1141" s="76"/>
      <c r="P1141" s="76"/>
      <c r="Q1141" s="76"/>
      <c r="R1141" s="76"/>
      <c r="X1141" s="84" t="s">
        <v>2696</v>
      </c>
      <c r="AA1141" s="84" t="s">
        <v>2647</v>
      </c>
      <c r="AG1141" s="84" t="s">
        <v>2643</v>
      </c>
      <c r="AU1141" s="84">
        <v>110</v>
      </c>
      <c r="AW1141" s="84" t="s">
        <v>2541</v>
      </c>
      <c r="AX1141" s="84" t="s">
        <v>2541</v>
      </c>
      <c r="AY1141" s="86" t="s">
        <v>2651</v>
      </c>
      <c r="AZ1141" s="88">
        <f t="shared" si="37"/>
        <v>0</v>
      </c>
      <c r="BX1141" s="88"/>
      <c r="CQ1141" s="88"/>
    </row>
    <row r="1142" spans="1:95" outlineLevel="1" x14ac:dyDescent="0.15">
      <c r="A1142" s="76">
        <v>1128</v>
      </c>
      <c r="B1142" s="65" t="s">
        <v>2316</v>
      </c>
      <c r="C1142" s="65">
        <v>993862357</v>
      </c>
      <c r="D1142" s="81" t="str">
        <f t="shared" si="38"/>
        <v>https://portal.dnb.de/opac.htm?method=simpleSearch&amp;cqlMode=true&amp;query=idn%3D993862357</v>
      </c>
      <c r="E1142" s="65" t="s">
        <v>2317</v>
      </c>
      <c r="F1142" s="76"/>
      <c r="G1142" s="78"/>
      <c r="H1142" s="76" t="s">
        <v>50</v>
      </c>
      <c r="I1142" s="78"/>
      <c r="J1142" s="78"/>
      <c r="K1142" s="76"/>
      <c r="L1142" s="76"/>
      <c r="M1142" s="76"/>
      <c r="N1142" s="76"/>
      <c r="O1142" s="76"/>
      <c r="P1142" s="76"/>
      <c r="Q1142" s="76"/>
      <c r="R1142" s="76"/>
      <c r="X1142" s="84" t="s">
        <v>2696</v>
      </c>
      <c r="AA1142" s="84" t="s">
        <v>2647</v>
      </c>
      <c r="AG1142" s="84" t="s">
        <v>2643</v>
      </c>
      <c r="AU1142" s="84">
        <v>110</v>
      </c>
      <c r="AW1142" s="84" t="s">
        <v>2541</v>
      </c>
      <c r="AX1142" s="84" t="s">
        <v>2541</v>
      </c>
      <c r="AY1142" s="86" t="s">
        <v>2651</v>
      </c>
      <c r="AZ1142" s="88">
        <f t="shared" si="37"/>
        <v>0</v>
      </c>
      <c r="BX1142" s="88"/>
      <c r="CQ1142" s="88"/>
    </row>
    <row r="1143" spans="1:95" outlineLevel="1" x14ac:dyDescent="0.15">
      <c r="A1143" s="76">
        <v>1129</v>
      </c>
      <c r="B1143" s="65" t="s">
        <v>2318</v>
      </c>
      <c r="C1143" s="65">
        <v>998886203</v>
      </c>
      <c r="D1143" s="81" t="str">
        <f t="shared" si="38"/>
        <v>https://portal.dnb.de/opac.htm?method=simpleSearch&amp;cqlMode=true&amp;query=idn%3D998886203</v>
      </c>
      <c r="E1143" s="65" t="s">
        <v>2319</v>
      </c>
      <c r="F1143" s="76"/>
      <c r="G1143" s="78"/>
      <c r="H1143" s="76" t="s">
        <v>50</v>
      </c>
      <c r="I1143" s="78"/>
      <c r="J1143" s="78"/>
      <c r="K1143" s="76"/>
      <c r="L1143" s="76"/>
      <c r="M1143" s="76"/>
      <c r="N1143" s="76"/>
      <c r="O1143" s="76"/>
      <c r="P1143" s="76"/>
      <c r="Q1143" s="76"/>
      <c r="R1143" s="76"/>
      <c r="X1143" s="84" t="s">
        <v>2696</v>
      </c>
      <c r="Z1143" s="84" t="s">
        <v>2541</v>
      </c>
      <c r="AA1143" s="84" t="s">
        <v>2647</v>
      </c>
      <c r="AG1143" s="84" t="s">
        <v>2643</v>
      </c>
      <c r="AU1143" s="84">
        <v>110</v>
      </c>
      <c r="AW1143" s="84" t="s">
        <v>2541</v>
      </c>
      <c r="AX1143" s="84" t="s">
        <v>2541</v>
      </c>
      <c r="AY1143" s="86" t="s">
        <v>2651</v>
      </c>
      <c r="AZ1143" s="88">
        <f t="shared" si="37"/>
        <v>0</v>
      </c>
      <c r="BX1143" s="88"/>
      <c r="CQ1143" s="88"/>
    </row>
    <row r="1144" spans="1:95" outlineLevel="1" x14ac:dyDescent="0.15">
      <c r="A1144" s="76">
        <v>1130</v>
      </c>
      <c r="B1144" s="65" t="s">
        <v>2320</v>
      </c>
      <c r="C1144" s="65">
        <v>999178695</v>
      </c>
      <c r="D1144" s="81" t="str">
        <f t="shared" si="38"/>
        <v>https://portal.dnb.de/opac.htm?method=simpleSearch&amp;cqlMode=true&amp;query=idn%3D999178695</v>
      </c>
      <c r="E1144" s="65" t="s">
        <v>2321</v>
      </c>
      <c r="F1144" s="76"/>
      <c r="G1144" s="78"/>
      <c r="H1144" s="76" t="s">
        <v>50</v>
      </c>
      <c r="I1144" s="78"/>
      <c r="J1144" s="78"/>
      <c r="K1144" s="76"/>
      <c r="L1144" s="76"/>
      <c r="M1144" s="76"/>
      <c r="N1144" s="76"/>
      <c r="O1144" s="76"/>
      <c r="P1144" s="76"/>
      <c r="Q1144" s="76"/>
      <c r="R1144" s="76"/>
      <c r="X1144" s="84" t="s">
        <v>2696</v>
      </c>
      <c r="Z1144" s="84" t="s">
        <v>2541</v>
      </c>
      <c r="AA1144" s="84" t="s">
        <v>2647</v>
      </c>
      <c r="AG1144" s="84" t="s">
        <v>2643</v>
      </c>
      <c r="AU1144" s="84">
        <v>110</v>
      </c>
      <c r="AW1144" s="84" t="s">
        <v>2541</v>
      </c>
      <c r="AX1144" s="84" t="s">
        <v>2541</v>
      </c>
      <c r="AY1144" s="86" t="s">
        <v>2651</v>
      </c>
      <c r="AZ1144" s="88">
        <f t="shared" si="37"/>
        <v>0</v>
      </c>
      <c r="BX1144" s="88"/>
      <c r="CQ1144" s="88"/>
    </row>
    <row r="1145" spans="1:95" outlineLevel="1" x14ac:dyDescent="0.15">
      <c r="A1145" s="76">
        <v>1131</v>
      </c>
      <c r="B1145" s="65" t="s">
        <v>2322</v>
      </c>
      <c r="C1145" s="65" t="s">
        <v>2323</v>
      </c>
      <c r="D1145" s="81" t="str">
        <f t="shared" si="38"/>
        <v>https://portal.dnb.de/opac.htm?method=simpleSearch&amp;cqlMode=true&amp;query=idn%3D99405288X</v>
      </c>
      <c r="E1145" s="65" t="s">
        <v>2324</v>
      </c>
      <c r="F1145" s="76"/>
      <c r="G1145" s="78"/>
      <c r="H1145" s="76" t="s">
        <v>50</v>
      </c>
      <c r="I1145" s="78"/>
      <c r="J1145" s="78"/>
      <c r="K1145" s="76"/>
      <c r="L1145" s="76"/>
      <c r="M1145" s="76"/>
      <c r="N1145" s="76"/>
      <c r="O1145" s="76"/>
      <c r="P1145" s="76"/>
      <c r="Q1145" s="76"/>
      <c r="R1145" s="76"/>
      <c r="X1145" s="84" t="s">
        <v>2696</v>
      </c>
      <c r="Z1145" s="84" t="s">
        <v>2541</v>
      </c>
      <c r="AA1145" s="84" t="s">
        <v>2647</v>
      </c>
      <c r="AG1145" s="84" t="s">
        <v>2643</v>
      </c>
      <c r="AU1145" s="84">
        <v>110</v>
      </c>
      <c r="AW1145" s="84" t="s">
        <v>2541</v>
      </c>
      <c r="AX1145" s="84" t="s">
        <v>2541</v>
      </c>
      <c r="AY1145" s="86" t="s">
        <v>2651</v>
      </c>
      <c r="AZ1145" s="88">
        <f t="shared" si="37"/>
        <v>0</v>
      </c>
      <c r="BX1145" s="88"/>
      <c r="CQ1145" s="88"/>
    </row>
    <row r="1146" spans="1:95" outlineLevel="1" x14ac:dyDescent="0.15">
      <c r="A1146" s="76">
        <v>1132</v>
      </c>
      <c r="B1146" s="65" t="s">
        <v>2325</v>
      </c>
      <c r="C1146" s="65">
        <v>997002131</v>
      </c>
      <c r="D1146" s="81" t="str">
        <f t="shared" si="38"/>
        <v>https://portal.dnb.de/opac.htm?method=simpleSearch&amp;cqlMode=true&amp;query=idn%3D997002131</v>
      </c>
      <c r="E1146" s="65" t="s">
        <v>2326</v>
      </c>
      <c r="F1146" s="76"/>
      <c r="G1146" s="78"/>
      <c r="H1146" s="76" t="s">
        <v>50</v>
      </c>
      <c r="I1146" s="78"/>
      <c r="J1146" s="78"/>
      <c r="K1146" s="76"/>
      <c r="L1146" s="76"/>
      <c r="M1146" s="76"/>
      <c r="N1146" s="76"/>
      <c r="O1146" s="76"/>
      <c r="P1146" s="76"/>
      <c r="Q1146" s="76"/>
      <c r="R1146" s="76"/>
      <c r="X1146" s="84" t="s">
        <v>2696</v>
      </c>
      <c r="Z1146" s="84" t="s">
        <v>2541</v>
      </c>
      <c r="AA1146" s="84" t="s">
        <v>2647</v>
      </c>
      <c r="AG1146" s="84" t="s">
        <v>2643</v>
      </c>
      <c r="AU1146" s="84">
        <v>110</v>
      </c>
      <c r="AW1146" s="84" t="s">
        <v>2541</v>
      </c>
      <c r="AX1146" s="84" t="s">
        <v>2541</v>
      </c>
      <c r="AY1146" s="86" t="s">
        <v>2651</v>
      </c>
      <c r="AZ1146" s="88">
        <f t="shared" si="37"/>
        <v>0</v>
      </c>
      <c r="BX1146" s="88"/>
      <c r="CQ1146" s="88"/>
    </row>
    <row r="1147" spans="1:95" outlineLevel="1" x14ac:dyDescent="0.15">
      <c r="A1147" s="76">
        <v>1133</v>
      </c>
      <c r="B1147" s="65" t="s">
        <v>2327</v>
      </c>
      <c r="C1147" s="65">
        <v>998887307</v>
      </c>
      <c r="D1147" s="81" t="str">
        <f t="shared" si="38"/>
        <v>https://portal.dnb.de/opac.htm?method=simpleSearch&amp;cqlMode=true&amp;query=idn%3D998887307</v>
      </c>
      <c r="E1147" s="65" t="s">
        <v>2328</v>
      </c>
      <c r="F1147" s="76"/>
      <c r="G1147" s="78"/>
      <c r="H1147" s="76" t="s">
        <v>50</v>
      </c>
      <c r="I1147" s="78"/>
      <c r="J1147" s="78"/>
      <c r="K1147" s="76"/>
      <c r="L1147" s="76"/>
      <c r="M1147" s="76"/>
      <c r="N1147" s="76"/>
      <c r="O1147" s="76"/>
      <c r="P1147" s="76"/>
      <c r="Q1147" s="76"/>
      <c r="R1147" s="76"/>
      <c r="X1147" s="84" t="s">
        <v>2696</v>
      </c>
      <c r="AA1147" s="84" t="s">
        <v>2647</v>
      </c>
      <c r="AG1147" s="84" t="s">
        <v>2643</v>
      </c>
      <c r="AU1147" s="84">
        <v>110</v>
      </c>
      <c r="AY1147" s="86" t="s">
        <v>2651</v>
      </c>
      <c r="AZ1147" s="88">
        <f t="shared" si="37"/>
        <v>0</v>
      </c>
      <c r="BX1147" s="88"/>
      <c r="CQ1147" s="88"/>
    </row>
    <row r="1148" spans="1:95" outlineLevel="1" x14ac:dyDescent="0.15">
      <c r="A1148" s="76">
        <v>1134</v>
      </c>
      <c r="B1148" s="65" t="s">
        <v>2329</v>
      </c>
      <c r="C1148" s="65">
        <v>981293468</v>
      </c>
      <c r="D1148" s="81" t="str">
        <f t="shared" si="38"/>
        <v>https://portal.dnb.de/opac.htm?method=simpleSearch&amp;cqlMode=true&amp;query=idn%3D981293468</v>
      </c>
      <c r="E1148" s="65" t="s">
        <v>2330</v>
      </c>
      <c r="F1148" s="76"/>
      <c r="G1148" s="78"/>
      <c r="H1148" s="76" t="s">
        <v>50</v>
      </c>
      <c r="I1148" s="78"/>
      <c r="J1148" s="78"/>
      <c r="K1148" s="76"/>
      <c r="L1148" s="76"/>
      <c r="M1148" s="76"/>
      <c r="N1148" s="76"/>
      <c r="O1148" s="76"/>
      <c r="P1148" s="76"/>
      <c r="Q1148" s="76"/>
      <c r="R1148" s="76"/>
      <c r="X1148" s="84" t="s">
        <v>2700</v>
      </c>
      <c r="AA1148" s="84" t="s">
        <v>2642</v>
      </c>
      <c r="AG1148" s="84" t="s">
        <v>2643</v>
      </c>
      <c r="AU1148" s="84" t="s">
        <v>2650</v>
      </c>
      <c r="AY1148" s="86" t="s">
        <v>2651</v>
      </c>
      <c r="AZ1148" s="88">
        <f t="shared" si="37"/>
        <v>0</v>
      </c>
      <c r="BE1148" s="84" t="s">
        <v>2541</v>
      </c>
      <c r="BX1148" s="88"/>
      <c r="CQ1148" s="88"/>
    </row>
    <row r="1149" spans="1:95" outlineLevel="1" x14ac:dyDescent="0.15">
      <c r="A1149" s="76">
        <v>1135</v>
      </c>
      <c r="B1149" s="65" t="s">
        <v>2331</v>
      </c>
      <c r="C1149" s="65">
        <v>1207575682</v>
      </c>
      <c r="D1149" s="81" t="str">
        <f t="shared" si="38"/>
        <v>https://portal.dnb.de/opac.htm?method=simpleSearch&amp;cqlMode=true&amp;query=idn%3D1207575682</v>
      </c>
      <c r="E1149" s="65" t="s">
        <v>2332</v>
      </c>
      <c r="F1149" s="76"/>
      <c r="G1149" s="78"/>
      <c r="H1149" s="76"/>
      <c r="I1149" s="78"/>
      <c r="J1149" s="78"/>
      <c r="K1149" s="76"/>
      <c r="L1149" s="76"/>
      <c r="M1149" s="76"/>
      <c r="N1149" s="76"/>
      <c r="O1149" s="76"/>
      <c r="P1149" s="76"/>
      <c r="Q1149" s="76"/>
      <c r="R1149" s="76"/>
      <c r="AZ1149" s="88">
        <f t="shared" si="37"/>
        <v>0</v>
      </c>
      <c r="BX1149" s="88"/>
      <c r="CQ1149" s="88"/>
    </row>
    <row r="1150" spans="1:95" outlineLevel="1" x14ac:dyDescent="0.15">
      <c r="A1150" s="76">
        <v>1136</v>
      </c>
      <c r="B1150" s="65" t="s">
        <v>2333</v>
      </c>
      <c r="C1150" s="65">
        <v>1207580538</v>
      </c>
      <c r="D1150" s="81" t="str">
        <f t="shared" si="38"/>
        <v>https://portal.dnb.de/opac.htm?method=simpleSearch&amp;cqlMode=true&amp;query=idn%3D1207580538</v>
      </c>
      <c r="E1150" s="65" t="s">
        <v>2334</v>
      </c>
      <c r="F1150" s="76"/>
      <c r="G1150" s="78"/>
      <c r="H1150" s="76"/>
      <c r="I1150" s="78"/>
      <c r="J1150" s="78"/>
      <c r="K1150" s="76"/>
      <c r="L1150" s="76"/>
      <c r="M1150" s="76"/>
      <c r="N1150" s="76"/>
      <c r="O1150" s="76"/>
      <c r="P1150" s="76"/>
      <c r="Q1150" s="76"/>
      <c r="R1150" s="76"/>
      <c r="AZ1150" s="88">
        <f t="shared" si="37"/>
        <v>0</v>
      </c>
      <c r="BX1150" s="88"/>
      <c r="CQ1150" s="88"/>
    </row>
    <row r="1151" spans="1:95" outlineLevel="1" x14ac:dyDescent="0.15">
      <c r="A1151" s="76">
        <v>1137</v>
      </c>
      <c r="B1151" s="65" t="s">
        <v>2335</v>
      </c>
      <c r="C1151" s="65">
        <v>1207576174</v>
      </c>
      <c r="D1151" s="81" t="str">
        <f t="shared" si="38"/>
        <v>https://portal.dnb.de/opac.htm?method=simpleSearch&amp;cqlMode=true&amp;query=idn%3D1207576174</v>
      </c>
      <c r="E1151" s="65" t="s">
        <v>2336</v>
      </c>
      <c r="F1151" s="76"/>
      <c r="G1151" s="78"/>
      <c r="H1151" s="76"/>
      <c r="I1151" s="78"/>
      <c r="J1151" s="78"/>
      <c r="K1151" s="76"/>
      <c r="L1151" s="76"/>
      <c r="M1151" s="76"/>
      <c r="N1151" s="76"/>
      <c r="O1151" s="76"/>
      <c r="P1151" s="76"/>
      <c r="Q1151" s="76"/>
      <c r="R1151" s="76"/>
      <c r="AZ1151" s="88">
        <f t="shared" si="37"/>
        <v>0</v>
      </c>
      <c r="BX1151" s="88"/>
      <c r="CQ1151" s="88"/>
    </row>
    <row r="1152" spans="1:95" outlineLevel="1" x14ac:dyDescent="0.15">
      <c r="A1152" s="76">
        <v>1138</v>
      </c>
      <c r="B1152" s="65" t="s">
        <v>2337</v>
      </c>
      <c r="C1152" s="65">
        <v>1207576018</v>
      </c>
      <c r="D1152" s="81" t="str">
        <f t="shared" si="38"/>
        <v>https://portal.dnb.de/opac.htm?method=simpleSearch&amp;cqlMode=true&amp;query=idn%3D1207576018</v>
      </c>
      <c r="E1152" s="65" t="s">
        <v>2338</v>
      </c>
      <c r="F1152" s="76"/>
      <c r="G1152" s="78"/>
      <c r="H1152" s="76"/>
      <c r="I1152" s="78"/>
      <c r="J1152" s="78"/>
      <c r="K1152" s="76"/>
      <c r="L1152" s="76"/>
      <c r="M1152" s="76"/>
      <c r="N1152" s="76"/>
      <c r="O1152" s="76"/>
      <c r="P1152" s="76"/>
      <c r="Q1152" s="76"/>
      <c r="R1152" s="76"/>
      <c r="AZ1152" s="88">
        <f t="shared" ref="AZ1152:AZ1215" si="39">BX1152+CQ1152</f>
        <v>0</v>
      </c>
      <c r="BX1152" s="88"/>
      <c r="CQ1152" s="88"/>
    </row>
    <row r="1153" spans="1:95" outlineLevel="1" x14ac:dyDescent="0.15">
      <c r="A1153" s="76">
        <v>1139</v>
      </c>
      <c r="B1153" s="65" t="s">
        <v>2339</v>
      </c>
      <c r="C1153" s="65">
        <v>1207577308</v>
      </c>
      <c r="D1153" s="81" t="str">
        <f t="shared" si="38"/>
        <v>https://portal.dnb.de/opac.htm?method=simpleSearch&amp;cqlMode=true&amp;query=idn%3D1207577308</v>
      </c>
      <c r="E1153" s="65" t="s">
        <v>2340</v>
      </c>
      <c r="F1153" s="76"/>
      <c r="G1153" s="78"/>
      <c r="H1153" s="76"/>
      <c r="I1153" s="78"/>
      <c r="J1153" s="78"/>
      <c r="K1153" s="76"/>
      <c r="L1153" s="76"/>
      <c r="M1153" s="76"/>
      <c r="N1153" s="76"/>
      <c r="O1153" s="76"/>
      <c r="P1153" s="76"/>
      <c r="Q1153" s="76"/>
      <c r="R1153" s="76"/>
      <c r="AZ1153" s="88">
        <f t="shared" si="39"/>
        <v>0</v>
      </c>
      <c r="BX1153" s="88"/>
      <c r="CQ1153" s="88"/>
    </row>
    <row r="1154" spans="1:95" outlineLevel="1" x14ac:dyDescent="0.15">
      <c r="A1154" s="76">
        <v>1140</v>
      </c>
      <c r="B1154" s="65" t="s">
        <v>2341</v>
      </c>
      <c r="C1154" s="65">
        <v>1207577081</v>
      </c>
      <c r="D1154" s="81" t="str">
        <f t="shared" si="38"/>
        <v>https://portal.dnb.de/opac.htm?method=simpleSearch&amp;cqlMode=true&amp;query=idn%3D1207577081</v>
      </c>
      <c r="E1154" s="65" t="s">
        <v>2342</v>
      </c>
      <c r="F1154" s="76"/>
      <c r="G1154" s="78"/>
      <c r="H1154" s="76"/>
      <c r="I1154" s="78"/>
      <c r="J1154" s="78"/>
      <c r="K1154" s="76"/>
      <c r="L1154" s="76"/>
      <c r="M1154" s="76"/>
      <c r="N1154" s="76"/>
      <c r="O1154" s="76"/>
      <c r="P1154" s="76"/>
      <c r="Q1154" s="76"/>
      <c r="R1154" s="76"/>
      <c r="AZ1154" s="88">
        <f t="shared" si="39"/>
        <v>0</v>
      </c>
      <c r="BX1154" s="88"/>
      <c r="CQ1154" s="88"/>
    </row>
    <row r="1155" spans="1:95" outlineLevel="1" x14ac:dyDescent="0.15">
      <c r="A1155" s="76">
        <v>1141</v>
      </c>
      <c r="B1155" s="65" t="s">
        <v>2343</v>
      </c>
      <c r="C1155" s="65" t="s">
        <v>2344</v>
      </c>
      <c r="D1155" s="81" t="str">
        <f t="shared" si="38"/>
        <v>https://portal.dnb.de/opac.htm?method=simpleSearch&amp;cqlMode=true&amp;query=idn%3D120757645X</v>
      </c>
      <c r="E1155" s="65" t="s">
        <v>2345</v>
      </c>
      <c r="F1155" s="76"/>
      <c r="G1155" s="78"/>
      <c r="H1155" s="76"/>
      <c r="I1155" s="78"/>
      <c r="J1155" s="78"/>
      <c r="K1155" s="76"/>
      <c r="L1155" s="76"/>
      <c r="M1155" s="76"/>
      <c r="N1155" s="76"/>
      <c r="O1155" s="76"/>
      <c r="P1155" s="76"/>
      <c r="Q1155" s="76"/>
      <c r="R1155" s="76"/>
      <c r="AZ1155" s="88">
        <f t="shared" si="39"/>
        <v>0</v>
      </c>
      <c r="BX1155" s="88"/>
      <c r="CQ1155" s="88"/>
    </row>
    <row r="1156" spans="1:95" outlineLevel="1" x14ac:dyDescent="0.15">
      <c r="A1156" s="76">
        <v>1142</v>
      </c>
      <c r="B1156" s="65" t="s">
        <v>2346</v>
      </c>
      <c r="C1156" s="65">
        <v>1207576824</v>
      </c>
      <c r="D1156" s="81" t="str">
        <f t="shared" si="38"/>
        <v>https://portal.dnb.de/opac.htm?method=simpleSearch&amp;cqlMode=true&amp;query=idn%3D1207576824</v>
      </c>
      <c r="E1156" s="65" t="s">
        <v>2347</v>
      </c>
      <c r="F1156" s="76"/>
      <c r="G1156" s="78"/>
      <c r="H1156" s="76"/>
      <c r="I1156" s="78"/>
      <c r="J1156" s="78"/>
      <c r="K1156" s="76"/>
      <c r="L1156" s="76"/>
      <c r="M1156" s="76"/>
      <c r="N1156" s="76"/>
      <c r="O1156" s="76"/>
      <c r="P1156" s="76"/>
      <c r="Q1156" s="76"/>
      <c r="R1156" s="76"/>
      <c r="AZ1156" s="88">
        <f t="shared" si="39"/>
        <v>0</v>
      </c>
      <c r="BX1156" s="88"/>
      <c r="CQ1156" s="88"/>
    </row>
    <row r="1157" spans="1:95" outlineLevel="1" x14ac:dyDescent="0.15">
      <c r="A1157" s="76">
        <v>1143</v>
      </c>
      <c r="B1157" s="65" t="s">
        <v>2348</v>
      </c>
      <c r="C1157" s="65">
        <v>1207425400</v>
      </c>
      <c r="D1157" s="81" t="str">
        <f t="shared" si="38"/>
        <v>https://portal.dnb.de/opac.htm?method=simpleSearch&amp;cqlMode=true&amp;query=idn%3D1207425400</v>
      </c>
      <c r="E1157" s="65" t="s">
        <v>2349</v>
      </c>
      <c r="F1157" s="76"/>
      <c r="G1157" s="78"/>
      <c r="H1157" s="76"/>
      <c r="I1157" s="78"/>
      <c r="J1157" s="78"/>
      <c r="K1157" s="76"/>
      <c r="L1157" s="76"/>
      <c r="M1157" s="76"/>
      <c r="N1157" s="76"/>
      <c r="O1157" s="76"/>
      <c r="P1157" s="76"/>
      <c r="Q1157" s="76"/>
      <c r="R1157" s="76"/>
      <c r="AZ1157" s="88">
        <f t="shared" si="39"/>
        <v>0</v>
      </c>
      <c r="BX1157" s="88"/>
      <c r="CQ1157" s="88"/>
    </row>
    <row r="1158" spans="1:95" outlineLevel="1" x14ac:dyDescent="0.15">
      <c r="A1158" s="76">
        <v>1144</v>
      </c>
      <c r="B1158" s="65" t="s">
        <v>2350</v>
      </c>
      <c r="C1158" s="65">
        <v>1207577553</v>
      </c>
      <c r="D1158" s="81" t="str">
        <f t="shared" si="38"/>
        <v>https://portal.dnb.de/opac.htm?method=simpleSearch&amp;cqlMode=true&amp;query=idn%3D1207577553</v>
      </c>
      <c r="E1158" s="65" t="s">
        <v>2351</v>
      </c>
      <c r="F1158" s="76"/>
      <c r="G1158" s="78"/>
      <c r="H1158" s="76"/>
      <c r="I1158" s="78"/>
      <c r="J1158" s="78"/>
      <c r="K1158" s="76"/>
      <c r="L1158" s="76"/>
      <c r="M1158" s="76"/>
      <c r="N1158" s="76"/>
      <c r="O1158" s="76"/>
      <c r="P1158" s="76"/>
      <c r="Q1158" s="76"/>
      <c r="R1158" s="76"/>
      <c r="AZ1158" s="88">
        <f t="shared" si="39"/>
        <v>0</v>
      </c>
      <c r="BX1158" s="88"/>
      <c r="CQ1158" s="88"/>
    </row>
    <row r="1159" spans="1:95" outlineLevel="1" x14ac:dyDescent="0.15">
      <c r="A1159" s="76">
        <v>1145</v>
      </c>
      <c r="B1159" s="65" t="s">
        <v>2352</v>
      </c>
      <c r="C1159" s="65">
        <v>1207580406</v>
      </c>
      <c r="D1159" s="81" t="str">
        <f t="shared" si="38"/>
        <v>https://portal.dnb.de/opac.htm?method=simpleSearch&amp;cqlMode=true&amp;query=idn%3D1207580406</v>
      </c>
      <c r="E1159" s="65" t="s">
        <v>2353</v>
      </c>
      <c r="F1159" s="76"/>
      <c r="G1159" s="78"/>
      <c r="H1159" s="76"/>
      <c r="I1159" s="78"/>
      <c r="J1159" s="78"/>
      <c r="K1159" s="76"/>
      <c r="L1159" s="76"/>
      <c r="M1159" s="76"/>
      <c r="N1159" s="76"/>
      <c r="O1159" s="76"/>
      <c r="P1159" s="76"/>
      <c r="Q1159" s="76"/>
      <c r="R1159" s="76"/>
      <c r="AZ1159" s="88">
        <f t="shared" si="39"/>
        <v>0</v>
      </c>
      <c r="BX1159" s="88"/>
      <c r="CQ1159" s="88"/>
    </row>
    <row r="1160" spans="1:95" outlineLevel="1" x14ac:dyDescent="0.15">
      <c r="A1160" s="76">
        <v>1146</v>
      </c>
      <c r="B1160" s="65" t="s">
        <v>2354</v>
      </c>
      <c r="C1160" s="65">
        <v>1207576247</v>
      </c>
      <c r="D1160" s="81" t="str">
        <f t="shared" si="38"/>
        <v>https://portal.dnb.de/opac.htm?method=simpleSearch&amp;cqlMode=true&amp;query=idn%3D1207576247</v>
      </c>
      <c r="E1160" s="65" t="s">
        <v>2355</v>
      </c>
      <c r="F1160" s="76"/>
      <c r="G1160" s="78"/>
      <c r="H1160" s="76"/>
      <c r="I1160" s="78"/>
      <c r="J1160" s="78"/>
      <c r="K1160" s="76"/>
      <c r="L1160" s="76"/>
      <c r="M1160" s="76"/>
      <c r="N1160" s="76"/>
      <c r="O1160" s="76"/>
      <c r="P1160" s="76"/>
      <c r="Q1160" s="76"/>
      <c r="R1160" s="76"/>
      <c r="AZ1160" s="88">
        <f t="shared" si="39"/>
        <v>0</v>
      </c>
      <c r="BX1160" s="88"/>
      <c r="CQ1160" s="88"/>
    </row>
    <row r="1161" spans="1:95" outlineLevel="1" x14ac:dyDescent="0.15">
      <c r="A1161" s="76">
        <v>1147</v>
      </c>
      <c r="B1161" s="65" t="s">
        <v>2356</v>
      </c>
      <c r="C1161" s="65">
        <v>998923095</v>
      </c>
      <c r="D1161" s="81" t="str">
        <f t="shared" si="38"/>
        <v>https://portal.dnb.de/opac.htm?method=simpleSearch&amp;cqlMode=true&amp;query=idn%3D998923095</v>
      </c>
      <c r="E1161" s="65" t="s">
        <v>2357</v>
      </c>
      <c r="F1161" s="76"/>
      <c r="G1161" s="78"/>
      <c r="H1161" s="76" t="s">
        <v>50</v>
      </c>
      <c r="I1161" s="78"/>
      <c r="J1161" s="78"/>
      <c r="K1161" s="76"/>
      <c r="L1161" s="76"/>
      <c r="M1161" s="76"/>
      <c r="N1161" s="76"/>
      <c r="O1161" s="76"/>
      <c r="P1161" s="76"/>
      <c r="Q1161" s="76"/>
      <c r="R1161" s="76"/>
      <c r="X1161" s="84" t="s">
        <v>2697</v>
      </c>
      <c r="AA1161" s="84" t="s">
        <v>2642</v>
      </c>
      <c r="AG1161" s="84" t="s">
        <v>2643</v>
      </c>
      <c r="AU1161" s="84">
        <v>110</v>
      </c>
      <c r="AX1161" s="84" t="s">
        <v>2541</v>
      </c>
      <c r="AY1161" s="86" t="s">
        <v>2651</v>
      </c>
      <c r="AZ1161" s="88">
        <f t="shared" si="39"/>
        <v>0</v>
      </c>
      <c r="BB1161" s="84" t="s">
        <v>2777</v>
      </c>
      <c r="BI1161" s="63" t="s">
        <v>2780</v>
      </c>
      <c r="BX1161" s="88"/>
      <c r="CQ1161" s="88"/>
    </row>
    <row r="1162" spans="1:95" outlineLevel="1" x14ac:dyDescent="0.15">
      <c r="A1162" s="76">
        <v>1148</v>
      </c>
      <c r="B1162" s="65" t="s">
        <v>2358</v>
      </c>
      <c r="C1162" s="65" t="s">
        <v>2359</v>
      </c>
      <c r="D1162" s="81" t="str">
        <f t="shared" si="38"/>
        <v>https://portal.dnb.de/opac.htm?method=simpleSearch&amp;cqlMode=true&amp;query=idn%3D99785636X</v>
      </c>
      <c r="E1162" s="65" t="s">
        <v>2360</v>
      </c>
      <c r="F1162" s="76"/>
      <c r="G1162" s="78"/>
      <c r="H1162" s="76" t="s">
        <v>50</v>
      </c>
      <c r="I1162" s="78"/>
      <c r="J1162" s="78"/>
      <c r="K1162" s="76"/>
      <c r="L1162" s="76"/>
      <c r="M1162" s="76"/>
      <c r="N1162" s="76"/>
      <c r="O1162" s="76"/>
      <c r="P1162" s="76"/>
      <c r="Q1162" s="76"/>
      <c r="R1162" s="76"/>
      <c r="X1162" s="84" t="s">
        <v>2696</v>
      </c>
      <c r="AA1162" s="84" t="s">
        <v>2647</v>
      </c>
      <c r="AG1162" s="84" t="s">
        <v>2643</v>
      </c>
      <c r="AU1162" s="84">
        <v>110</v>
      </c>
      <c r="AW1162" s="84" t="s">
        <v>2541</v>
      </c>
      <c r="AX1162" s="84" t="s">
        <v>2541</v>
      </c>
      <c r="AY1162" s="86" t="s">
        <v>2651</v>
      </c>
      <c r="AZ1162" s="88">
        <f t="shared" si="39"/>
        <v>0</v>
      </c>
      <c r="BX1162" s="88"/>
      <c r="CQ1162" s="88"/>
    </row>
    <row r="1163" spans="1:95" outlineLevel="1" x14ac:dyDescent="0.15">
      <c r="A1163" s="76">
        <v>1149</v>
      </c>
      <c r="B1163" s="65" t="s">
        <v>2361</v>
      </c>
      <c r="C1163" s="65" t="s">
        <v>2362</v>
      </c>
      <c r="D1163" s="81" t="str">
        <f t="shared" si="38"/>
        <v>https://portal.dnb.de/opac.htm?method=simpleSearch&amp;cqlMode=true&amp;query=idn%3D99888409X</v>
      </c>
      <c r="E1163" s="65" t="s">
        <v>2363</v>
      </c>
      <c r="F1163" s="76"/>
      <c r="G1163" s="78"/>
      <c r="H1163" s="76" t="s">
        <v>50</v>
      </c>
      <c r="I1163" s="78"/>
      <c r="J1163" s="78"/>
      <c r="K1163" s="76"/>
      <c r="L1163" s="76"/>
      <c r="M1163" s="76"/>
      <c r="N1163" s="76"/>
      <c r="O1163" s="76"/>
      <c r="P1163" s="76"/>
      <c r="Q1163" s="76"/>
      <c r="R1163" s="76"/>
      <c r="X1163" s="84" t="s">
        <v>2641</v>
      </c>
      <c r="AA1163" s="84" t="s">
        <v>2642</v>
      </c>
      <c r="AG1163" s="84" t="s">
        <v>2643</v>
      </c>
      <c r="AU1163" s="84">
        <v>110</v>
      </c>
      <c r="AY1163" s="86" t="s">
        <v>2651</v>
      </c>
      <c r="AZ1163" s="88">
        <f t="shared" si="39"/>
        <v>0</v>
      </c>
      <c r="BD1163" s="84" t="s">
        <v>2541</v>
      </c>
      <c r="BX1163" s="88"/>
      <c r="CQ1163" s="88"/>
    </row>
    <row r="1164" spans="1:95" outlineLevel="1" x14ac:dyDescent="0.15">
      <c r="A1164" s="76">
        <v>1150</v>
      </c>
      <c r="B1164" s="65" t="s">
        <v>2364</v>
      </c>
      <c r="C1164" s="65" t="s">
        <v>2365</v>
      </c>
      <c r="D1164" s="81" t="str">
        <f t="shared" si="38"/>
        <v>https://portal.dnb.de/opac.htm?method=simpleSearch&amp;cqlMode=true&amp;query=idn%3D99888488X</v>
      </c>
      <c r="E1164" s="65" t="s">
        <v>2821</v>
      </c>
      <c r="F1164" s="76"/>
      <c r="G1164" s="78"/>
      <c r="H1164" s="76"/>
      <c r="I1164" s="78"/>
      <c r="J1164" s="78"/>
      <c r="K1164" s="76"/>
      <c r="L1164" s="76"/>
      <c r="M1164" s="76"/>
      <c r="N1164" s="76"/>
      <c r="O1164" s="76"/>
      <c r="P1164" s="76"/>
      <c r="Q1164" s="76"/>
      <c r="R1164" s="76"/>
      <c r="AZ1164" s="88">
        <f t="shared" si="39"/>
        <v>0</v>
      </c>
      <c r="BX1164" s="88"/>
      <c r="CQ1164" s="88"/>
    </row>
    <row r="1165" spans="1:95" ht="56.25" outlineLevel="1" x14ac:dyDescent="0.15">
      <c r="A1165" s="76">
        <v>1151</v>
      </c>
      <c r="B1165" s="65" t="s">
        <v>2366</v>
      </c>
      <c r="C1165" s="65">
        <v>1066957398</v>
      </c>
      <c r="D1165" s="81" t="str">
        <f t="shared" si="38"/>
        <v>https://portal.dnb.de/opac.htm?method=simpleSearch&amp;cqlMode=true&amp;query=idn%3D1066957398</v>
      </c>
      <c r="E1165" s="65" t="s">
        <v>2367</v>
      </c>
      <c r="F1165" s="76"/>
      <c r="G1165" s="78"/>
      <c r="H1165" s="76" t="s">
        <v>50</v>
      </c>
      <c r="I1165" s="78"/>
      <c r="J1165" s="78"/>
      <c r="K1165" s="76"/>
      <c r="L1165" s="76"/>
      <c r="M1165" s="76"/>
      <c r="N1165" s="76"/>
      <c r="O1165" s="76"/>
      <c r="P1165" s="76"/>
      <c r="Q1165" s="76"/>
      <c r="R1165" s="76"/>
      <c r="X1165" s="84" t="s">
        <v>2695</v>
      </c>
      <c r="AG1165" s="84" t="s">
        <v>2643</v>
      </c>
      <c r="AU1165" s="84" t="s">
        <v>2650</v>
      </c>
      <c r="AY1165" s="86" t="s">
        <v>2651</v>
      </c>
      <c r="AZ1165" s="88">
        <f t="shared" si="39"/>
        <v>0</v>
      </c>
      <c r="BE1165" s="84" t="s">
        <v>2541</v>
      </c>
      <c r="BG1165" s="86" t="s">
        <v>2823</v>
      </c>
      <c r="BH1165" s="79" t="s">
        <v>2819</v>
      </c>
      <c r="BI1165" s="63" t="s">
        <v>2820</v>
      </c>
      <c r="BJ1165" s="79" t="s">
        <v>2824</v>
      </c>
      <c r="BX1165" s="88"/>
      <c r="CQ1165" s="88"/>
    </row>
    <row r="1166" spans="1:95" ht="22.5" outlineLevel="1" x14ac:dyDescent="0.15">
      <c r="A1166" s="76">
        <v>1152</v>
      </c>
      <c r="B1166" s="65" t="s">
        <v>2368</v>
      </c>
      <c r="C1166" s="65">
        <v>1208806831</v>
      </c>
      <c r="D1166" s="81" t="str">
        <f t="shared" si="38"/>
        <v>https://portal.dnb.de/opac.htm?method=simpleSearch&amp;cqlMode=true&amp;query=idn%3D1208806831</v>
      </c>
      <c r="E1166" s="65" t="s">
        <v>2369</v>
      </c>
      <c r="F1166" s="76"/>
      <c r="G1166" s="78"/>
      <c r="H1166" s="76" t="s">
        <v>50</v>
      </c>
      <c r="I1166" s="78"/>
      <c r="J1166" s="78"/>
      <c r="K1166" s="76"/>
      <c r="L1166" s="76"/>
      <c r="M1166" s="76"/>
      <c r="N1166" s="76"/>
      <c r="O1166" s="76"/>
      <c r="P1166" s="76"/>
      <c r="Q1166" s="76"/>
      <c r="R1166" s="76"/>
      <c r="X1166" s="84" t="s">
        <v>2695</v>
      </c>
      <c r="AG1166" s="84" t="s">
        <v>2643</v>
      </c>
      <c r="AU1166" s="84" t="s">
        <v>2650</v>
      </c>
      <c r="AY1166" s="86" t="s">
        <v>2651</v>
      </c>
      <c r="AZ1166" s="88">
        <f t="shared" si="39"/>
        <v>0</v>
      </c>
      <c r="BE1166" s="84" t="s">
        <v>2541</v>
      </c>
      <c r="BH1166" s="79" t="s">
        <v>2822</v>
      </c>
      <c r="BI1166" s="63" t="s">
        <v>2820</v>
      </c>
      <c r="BX1166" s="88"/>
      <c r="CQ1166" s="88"/>
    </row>
    <row r="1167" spans="1:95" outlineLevel="1" x14ac:dyDescent="0.15">
      <c r="A1167" s="76">
        <v>1153</v>
      </c>
      <c r="B1167" s="65" t="s">
        <v>2370</v>
      </c>
      <c r="C1167" s="65">
        <v>1207510610</v>
      </c>
      <c r="D1167" s="81" t="str">
        <f t="shared" si="38"/>
        <v>https://portal.dnb.de/opac.htm?method=simpleSearch&amp;cqlMode=true&amp;query=idn%3D1207510610</v>
      </c>
      <c r="E1167" s="65" t="s">
        <v>2371</v>
      </c>
      <c r="F1167" s="76"/>
      <c r="G1167" s="78"/>
      <c r="H1167" s="76"/>
      <c r="I1167" s="78"/>
      <c r="J1167" s="78"/>
      <c r="K1167" s="76"/>
      <c r="L1167" s="76"/>
      <c r="M1167" s="76"/>
      <c r="N1167" s="76"/>
      <c r="O1167" s="76"/>
      <c r="P1167" s="76"/>
      <c r="Q1167" s="76"/>
      <c r="R1167" s="76"/>
      <c r="AZ1167" s="88">
        <f t="shared" si="39"/>
        <v>0</v>
      </c>
      <c r="BX1167" s="88"/>
      <c r="CQ1167" s="88"/>
    </row>
    <row r="1168" spans="1:95" outlineLevel="1" x14ac:dyDescent="0.15">
      <c r="A1168" s="76">
        <v>1154</v>
      </c>
      <c r="B1168" s="65" t="s">
        <v>2372</v>
      </c>
      <c r="C1168" s="65">
        <v>1207510351</v>
      </c>
      <c r="D1168" s="81" t="str">
        <f t="shared" si="38"/>
        <v>https://portal.dnb.de/opac.htm?method=simpleSearch&amp;cqlMode=true&amp;query=idn%3D1207510351</v>
      </c>
      <c r="E1168" s="65" t="s">
        <v>2373</v>
      </c>
      <c r="F1168" s="76"/>
      <c r="G1168" s="78"/>
      <c r="H1168" s="76"/>
      <c r="I1168" s="78"/>
      <c r="J1168" s="78"/>
      <c r="K1168" s="76"/>
      <c r="L1168" s="76"/>
      <c r="M1168" s="76"/>
      <c r="N1168" s="76"/>
      <c r="O1168" s="76"/>
      <c r="P1168" s="76"/>
      <c r="Q1168" s="76"/>
      <c r="R1168" s="76"/>
      <c r="AZ1168" s="88">
        <f t="shared" si="39"/>
        <v>0</v>
      </c>
      <c r="BX1168" s="88"/>
      <c r="CQ1168" s="88"/>
    </row>
    <row r="1169" spans="1:95" outlineLevel="1" x14ac:dyDescent="0.15">
      <c r="A1169" s="76">
        <v>1155</v>
      </c>
      <c r="B1169" s="65" t="s">
        <v>2374</v>
      </c>
      <c r="C1169" s="65">
        <v>1207503991</v>
      </c>
      <c r="D1169" s="81" t="str">
        <f t="shared" si="38"/>
        <v>https://portal.dnb.de/opac.htm?method=simpleSearch&amp;cqlMode=true&amp;query=idn%3D1207503991</v>
      </c>
      <c r="E1169" s="65" t="s">
        <v>2375</v>
      </c>
      <c r="F1169" s="76"/>
      <c r="G1169" s="78"/>
      <c r="H1169" s="76"/>
      <c r="I1169" s="78"/>
      <c r="J1169" s="78"/>
      <c r="K1169" s="76"/>
      <c r="L1169" s="76"/>
      <c r="M1169" s="76"/>
      <c r="N1169" s="76"/>
      <c r="O1169" s="76"/>
      <c r="P1169" s="76"/>
      <c r="Q1169" s="76"/>
      <c r="R1169" s="76"/>
      <c r="AZ1169" s="88">
        <f t="shared" si="39"/>
        <v>0</v>
      </c>
      <c r="BX1169" s="88"/>
      <c r="CQ1169" s="88"/>
    </row>
    <row r="1170" spans="1:95" outlineLevel="1" x14ac:dyDescent="0.15">
      <c r="A1170" s="76">
        <v>1156</v>
      </c>
      <c r="B1170" s="65" t="s">
        <v>2376</v>
      </c>
      <c r="C1170" s="65">
        <v>1206957646</v>
      </c>
      <c r="D1170" s="81" t="str">
        <f t="shared" si="38"/>
        <v>https://portal.dnb.de/opac.htm?method=simpleSearch&amp;cqlMode=true&amp;query=idn%3D1206957646</v>
      </c>
      <c r="E1170" s="65" t="s">
        <v>2377</v>
      </c>
      <c r="F1170" s="76"/>
      <c r="G1170" s="78"/>
      <c r="H1170" s="76"/>
      <c r="I1170" s="78"/>
      <c r="J1170" s="78"/>
      <c r="K1170" s="76"/>
      <c r="L1170" s="76"/>
      <c r="M1170" s="76"/>
      <c r="N1170" s="76"/>
      <c r="O1170" s="76"/>
      <c r="P1170" s="76"/>
      <c r="Q1170" s="76"/>
      <c r="R1170" s="76"/>
      <c r="AZ1170" s="88">
        <f t="shared" si="39"/>
        <v>0</v>
      </c>
      <c r="BX1170" s="88"/>
      <c r="CQ1170" s="88"/>
    </row>
    <row r="1171" spans="1:95" outlineLevel="1" x14ac:dyDescent="0.15">
      <c r="A1171" s="76">
        <v>1157</v>
      </c>
      <c r="B1171" s="65" t="s">
        <v>2378</v>
      </c>
      <c r="C1171" s="65">
        <v>1207504165</v>
      </c>
      <c r="D1171" s="81" t="str">
        <f t="shared" si="38"/>
        <v>https://portal.dnb.de/opac.htm?method=simpleSearch&amp;cqlMode=true&amp;query=idn%3D1207504165</v>
      </c>
      <c r="E1171" s="65" t="s">
        <v>2379</v>
      </c>
      <c r="F1171" s="76"/>
      <c r="G1171" s="78"/>
      <c r="H1171" s="76"/>
      <c r="I1171" s="78"/>
      <c r="J1171" s="78"/>
      <c r="K1171" s="76"/>
      <c r="L1171" s="76"/>
      <c r="M1171" s="76"/>
      <c r="N1171" s="76"/>
      <c r="O1171" s="76"/>
      <c r="P1171" s="76"/>
      <c r="Q1171" s="76"/>
      <c r="R1171" s="76"/>
      <c r="AZ1171" s="88">
        <f t="shared" si="39"/>
        <v>0</v>
      </c>
      <c r="BX1171" s="88"/>
      <c r="CQ1171" s="88"/>
    </row>
    <row r="1172" spans="1:95" outlineLevel="1" x14ac:dyDescent="0.15">
      <c r="A1172" s="76">
        <v>1158</v>
      </c>
      <c r="B1172" s="65" t="s">
        <v>2380</v>
      </c>
      <c r="C1172" s="65">
        <v>997517603</v>
      </c>
      <c r="D1172" s="81" t="str">
        <f t="shared" si="38"/>
        <v>https://portal.dnb.de/opac.htm?method=simpleSearch&amp;cqlMode=true&amp;query=idn%3D997517603</v>
      </c>
      <c r="E1172" s="65" t="s">
        <v>2381</v>
      </c>
      <c r="F1172" s="76"/>
      <c r="G1172" s="78"/>
      <c r="H1172" s="76"/>
      <c r="I1172" s="78"/>
      <c r="J1172" s="78"/>
      <c r="K1172" s="76"/>
      <c r="L1172" s="76"/>
      <c r="M1172" s="76"/>
      <c r="N1172" s="76"/>
      <c r="O1172" s="76"/>
      <c r="P1172" s="76"/>
      <c r="Q1172" s="76"/>
      <c r="R1172" s="76"/>
      <c r="S1172" s="84" t="s">
        <v>2774</v>
      </c>
      <c r="AZ1172" s="88">
        <f t="shared" si="39"/>
        <v>0</v>
      </c>
      <c r="BX1172" s="88"/>
      <c r="CQ1172" s="88"/>
    </row>
    <row r="1173" spans="1:95" outlineLevel="1" x14ac:dyDescent="0.15">
      <c r="A1173" s="76">
        <v>1159</v>
      </c>
      <c r="B1173" s="65" t="s">
        <v>2382</v>
      </c>
      <c r="C1173" s="65">
        <v>1066874646</v>
      </c>
      <c r="D1173" s="81" t="str">
        <f t="shared" si="38"/>
        <v>https://portal.dnb.de/opac.htm?method=simpleSearch&amp;cqlMode=true&amp;query=idn%3D1066874646</v>
      </c>
      <c r="E1173" s="65" t="s">
        <v>2383</v>
      </c>
      <c r="F1173" s="76"/>
      <c r="G1173" s="78"/>
      <c r="H1173" s="76" t="s">
        <v>50</v>
      </c>
      <c r="I1173" s="78"/>
      <c r="J1173" s="78"/>
      <c r="K1173" s="76"/>
      <c r="L1173" s="76"/>
      <c r="M1173" s="76"/>
      <c r="N1173" s="76"/>
      <c r="O1173" s="76"/>
      <c r="P1173" s="76"/>
      <c r="Q1173" s="76"/>
      <c r="R1173" s="76"/>
      <c r="X1173" s="84" t="s">
        <v>2696</v>
      </c>
      <c r="AA1173" s="84" t="s">
        <v>2647</v>
      </c>
      <c r="AG1173" s="84" t="s">
        <v>2643</v>
      </c>
      <c r="AU1173" s="84">
        <v>110</v>
      </c>
      <c r="AY1173" s="86" t="s">
        <v>2651</v>
      </c>
      <c r="AZ1173" s="88">
        <f t="shared" si="39"/>
        <v>0</v>
      </c>
      <c r="BX1173" s="88"/>
      <c r="CQ1173" s="88"/>
    </row>
    <row r="1174" spans="1:95" ht="22.5" outlineLevel="1" x14ac:dyDescent="0.15">
      <c r="A1174" s="76">
        <v>1160</v>
      </c>
      <c r="B1174" s="65" t="s">
        <v>2384</v>
      </c>
      <c r="C1174" s="65">
        <v>1066874336</v>
      </c>
      <c r="D1174" s="81" t="str">
        <f t="shared" si="38"/>
        <v>https://portal.dnb.de/opac.htm?method=simpleSearch&amp;cqlMode=true&amp;query=idn%3D1066874336</v>
      </c>
      <c r="E1174" s="65" t="s">
        <v>2385</v>
      </c>
      <c r="F1174" s="76"/>
      <c r="G1174" s="78"/>
      <c r="H1174" s="76" t="s">
        <v>50</v>
      </c>
      <c r="I1174" s="78"/>
      <c r="J1174" s="78"/>
      <c r="K1174" s="76"/>
      <c r="L1174" s="76"/>
      <c r="M1174" s="76"/>
      <c r="N1174" s="76"/>
      <c r="O1174" s="76"/>
      <c r="P1174" s="76"/>
      <c r="Q1174" s="76"/>
      <c r="R1174" s="76"/>
      <c r="X1174" s="84" t="s">
        <v>2646</v>
      </c>
      <c r="Y1174" s="84" t="s">
        <v>2541</v>
      </c>
      <c r="AA1174" s="84" t="s">
        <v>2675</v>
      </c>
      <c r="AG1174" s="84" t="s">
        <v>2643</v>
      </c>
      <c r="AU1174" s="84">
        <v>110</v>
      </c>
      <c r="AY1174" s="86" t="s">
        <v>2644</v>
      </c>
      <c r="AZ1174" s="88">
        <f t="shared" si="39"/>
        <v>0.5</v>
      </c>
      <c r="BJ1174" s="79" t="s">
        <v>2841</v>
      </c>
      <c r="BX1174" s="88"/>
      <c r="CE1174" s="84" t="s">
        <v>2541</v>
      </c>
      <c r="CQ1174" s="88">
        <v>0.5</v>
      </c>
    </row>
    <row r="1175" spans="1:95" ht="33.75" outlineLevel="1" x14ac:dyDescent="0.15">
      <c r="A1175" s="76">
        <v>1161</v>
      </c>
      <c r="B1175" s="65" t="s">
        <v>2386</v>
      </c>
      <c r="C1175" s="65">
        <v>1066869731</v>
      </c>
      <c r="D1175" s="81" t="str">
        <f t="shared" si="38"/>
        <v>https://portal.dnb.de/opac.htm?method=simpleSearch&amp;cqlMode=true&amp;query=idn%3D1066869731</v>
      </c>
      <c r="E1175" s="65" t="s">
        <v>2387</v>
      </c>
      <c r="F1175" s="76"/>
      <c r="G1175" s="78"/>
      <c r="H1175" s="76" t="s">
        <v>50</v>
      </c>
      <c r="I1175" s="78"/>
      <c r="J1175" s="78"/>
      <c r="K1175" s="76"/>
      <c r="L1175" s="76"/>
      <c r="M1175" s="76"/>
      <c r="N1175" s="76"/>
      <c r="O1175" s="76"/>
      <c r="P1175" s="76"/>
      <c r="Q1175" s="76"/>
      <c r="R1175" s="76"/>
      <c r="X1175" s="84" t="s">
        <v>2652</v>
      </c>
      <c r="Y1175" s="84" t="s">
        <v>2541</v>
      </c>
      <c r="AA1175" s="84" t="s">
        <v>2647</v>
      </c>
      <c r="AC1175" s="84" t="s">
        <v>2541</v>
      </c>
      <c r="AG1175" s="84" t="s">
        <v>2643</v>
      </c>
      <c r="AH1175" s="84" t="s">
        <v>2541</v>
      </c>
      <c r="AU1175" s="84">
        <v>110</v>
      </c>
      <c r="AY1175" s="86" t="s">
        <v>2651</v>
      </c>
      <c r="AZ1175" s="88">
        <f t="shared" si="39"/>
        <v>0</v>
      </c>
      <c r="BJ1175" s="79" t="s">
        <v>2836</v>
      </c>
      <c r="BX1175" s="88"/>
      <c r="CQ1175" s="88"/>
    </row>
    <row r="1176" spans="1:95" outlineLevel="1" x14ac:dyDescent="0.15">
      <c r="A1176" s="76">
        <v>1162</v>
      </c>
      <c r="B1176" s="65" t="s">
        <v>2388</v>
      </c>
      <c r="C1176" s="65">
        <v>1074848381</v>
      </c>
      <c r="D1176" s="81" t="str">
        <f t="shared" si="38"/>
        <v>https://portal.dnb.de/opac.htm?method=simpleSearch&amp;cqlMode=true&amp;query=idn%3D1074848381</v>
      </c>
      <c r="E1176" s="65" t="s">
        <v>2389</v>
      </c>
      <c r="F1176" s="76"/>
      <c r="G1176" s="78"/>
      <c r="H1176" s="76" t="s">
        <v>50</v>
      </c>
      <c r="I1176" s="78"/>
      <c r="J1176" s="78"/>
      <c r="K1176" s="76"/>
      <c r="L1176" s="76"/>
      <c r="M1176" s="76"/>
      <c r="N1176" s="76"/>
      <c r="O1176" s="76"/>
      <c r="P1176" s="76"/>
      <c r="Q1176" s="76"/>
      <c r="R1176" s="76"/>
      <c r="X1176" s="84" t="s">
        <v>2646</v>
      </c>
      <c r="Y1176" s="84" t="s">
        <v>2541</v>
      </c>
      <c r="AA1176" s="84" t="s">
        <v>2647</v>
      </c>
      <c r="AG1176" s="84" t="s">
        <v>2643</v>
      </c>
      <c r="AU1176" s="84">
        <v>110</v>
      </c>
      <c r="AY1176" s="86" t="s">
        <v>2644</v>
      </c>
      <c r="AZ1176" s="88">
        <f t="shared" si="39"/>
        <v>3.5</v>
      </c>
      <c r="BD1176" s="84" t="s">
        <v>2541</v>
      </c>
      <c r="BL1176" s="84" t="s">
        <v>2541</v>
      </c>
      <c r="BM1176" s="84" t="s">
        <v>2541</v>
      </c>
      <c r="BO1176" s="84" t="s">
        <v>2677</v>
      </c>
      <c r="BP1176" s="84">
        <v>1</v>
      </c>
      <c r="BX1176" s="88">
        <v>2.5</v>
      </c>
      <c r="BY1176" s="79" t="s">
        <v>2842</v>
      </c>
      <c r="CE1176" s="84" t="s">
        <v>2541</v>
      </c>
      <c r="CQ1176" s="88">
        <v>1</v>
      </c>
    </row>
    <row r="1177" spans="1:95" outlineLevel="1" x14ac:dyDescent="0.15">
      <c r="A1177" s="76">
        <v>1163</v>
      </c>
      <c r="B1177" s="65" t="s">
        <v>2390</v>
      </c>
      <c r="C1177" s="65">
        <v>1066957142</v>
      </c>
      <c r="D1177" s="81" t="str">
        <f t="shared" si="38"/>
        <v>https://portal.dnb.de/opac.htm?method=simpleSearch&amp;cqlMode=true&amp;query=idn%3D1066957142</v>
      </c>
      <c r="E1177" s="65" t="s">
        <v>2391</v>
      </c>
      <c r="F1177" s="76"/>
      <c r="G1177" s="78"/>
      <c r="H1177" s="76" t="s">
        <v>50</v>
      </c>
      <c r="I1177" s="78"/>
      <c r="J1177" s="78"/>
      <c r="K1177" s="76"/>
      <c r="L1177" s="76"/>
      <c r="M1177" s="76"/>
      <c r="N1177" s="76"/>
      <c r="O1177" s="76"/>
      <c r="P1177" s="76"/>
      <c r="Q1177" s="76"/>
      <c r="R1177" s="76"/>
      <c r="X1177" s="84" t="s">
        <v>2646</v>
      </c>
      <c r="AA1177" s="84" t="s">
        <v>2675</v>
      </c>
      <c r="AG1177" s="84" t="s">
        <v>2643</v>
      </c>
      <c r="AU1177" s="84">
        <v>110</v>
      </c>
      <c r="AY1177" s="86" t="s">
        <v>2651</v>
      </c>
      <c r="AZ1177" s="88">
        <f t="shared" si="39"/>
        <v>0</v>
      </c>
      <c r="BF1177" s="84" t="s">
        <v>2659</v>
      </c>
      <c r="BG1177" s="84" t="s">
        <v>2541</v>
      </c>
      <c r="BX1177" s="88"/>
      <c r="CQ1177" s="88"/>
    </row>
    <row r="1178" spans="1:95" ht="45" outlineLevel="1" x14ac:dyDescent="0.15">
      <c r="A1178" s="76">
        <v>1164</v>
      </c>
      <c r="B1178" s="65" t="s">
        <v>2392</v>
      </c>
      <c r="C1178" s="65">
        <v>1066868735</v>
      </c>
      <c r="D1178" s="81" t="str">
        <f t="shared" si="38"/>
        <v>https://portal.dnb.de/opac.htm?method=simpleSearch&amp;cqlMode=true&amp;query=idn%3D1066868735</v>
      </c>
      <c r="E1178" s="65" t="s">
        <v>2393</v>
      </c>
      <c r="F1178" s="76"/>
      <c r="G1178" s="78"/>
      <c r="H1178" s="76" t="s">
        <v>51</v>
      </c>
      <c r="I1178" s="78"/>
      <c r="J1178" s="78"/>
      <c r="K1178" s="76"/>
      <c r="L1178" s="76"/>
      <c r="M1178" s="76"/>
      <c r="N1178" s="76"/>
      <c r="O1178" s="76"/>
      <c r="P1178" s="76"/>
      <c r="Q1178" s="76"/>
      <c r="R1178" s="76"/>
      <c r="X1178" s="84" t="s">
        <v>2697</v>
      </c>
      <c r="Y1178" s="84" t="s">
        <v>2541</v>
      </c>
      <c r="Z1178" s="84" t="s">
        <v>2541</v>
      </c>
      <c r="AA1178" s="84" t="s">
        <v>2642</v>
      </c>
      <c r="AG1178" s="84" t="s">
        <v>2643</v>
      </c>
      <c r="AU1178" s="84">
        <v>45</v>
      </c>
      <c r="AY1178" s="86" t="s">
        <v>2644</v>
      </c>
      <c r="AZ1178" s="88">
        <f t="shared" si="39"/>
        <v>10</v>
      </c>
      <c r="BD1178" s="84" t="s">
        <v>2541</v>
      </c>
      <c r="BH1178" s="79" t="s">
        <v>2843</v>
      </c>
      <c r="BJ1178" s="79" t="s">
        <v>2844</v>
      </c>
      <c r="BL1178" s="84" t="s">
        <v>2541</v>
      </c>
      <c r="BN1178" s="84" t="s">
        <v>2541</v>
      </c>
      <c r="BX1178" s="88">
        <v>10</v>
      </c>
      <c r="BY1178" s="79" t="s">
        <v>2845</v>
      </c>
      <c r="CQ1178" s="88"/>
    </row>
    <row r="1179" spans="1:95" outlineLevel="1" x14ac:dyDescent="0.15">
      <c r="A1179" s="76">
        <v>1165</v>
      </c>
      <c r="B1179" s="65" t="s">
        <v>2394</v>
      </c>
      <c r="C1179" s="65">
        <v>1066873208</v>
      </c>
      <c r="D1179" s="81" t="str">
        <f t="shared" si="38"/>
        <v>https://portal.dnb.de/opac.htm?method=simpleSearch&amp;cqlMode=true&amp;query=idn%3D1066873208</v>
      </c>
      <c r="E1179" s="65" t="s">
        <v>2395</v>
      </c>
      <c r="F1179" s="76"/>
      <c r="G1179" s="78"/>
      <c r="H1179" s="76" t="s">
        <v>51</v>
      </c>
      <c r="I1179" s="78"/>
      <c r="J1179" s="78"/>
      <c r="K1179" s="76"/>
      <c r="L1179" s="76"/>
      <c r="M1179" s="76"/>
      <c r="N1179" s="76"/>
      <c r="O1179" s="76"/>
      <c r="P1179" s="76"/>
      <c r="Q1179" s="76"/>
      <c r="R1179" s="76"/>
      <c r="X1179" s="84" t="s">
        <v>2646</v>
      </c>
      <c r="Y1179" s="84" t="s">
        <v>2541</v>
      </c>
      <c r="AA1179" s="84" t="s">
        <v>2675</v>
      </c>
      <c r="AE1179" s="84" t="s">
        <v>2541</v>
      </c>
      <c r="AG1179" s="84" t="s">
        <v>2643</v>
      </c>
      <c r="AU1179" s="84">
        <v>110</v>
      </c>
      <c r="AY1179" s="86" t="s">
        <v>2651</v>
      </c>
      <c r="AZ1179" s="88">
        <f t="shared" si="39"/>
        <v>0</v>
      </c>
      <c r="BD1179" s="84" t="s">
        <v>2541</v>
      </c>
      <c r="BX1179" s="88"/>
      <c r="CQ1179" s="88"/>
    </row>
    <row r="1180" spans="1:95" outlineLevel="1" x14ac:dyDescent="0.15">
      <c r="A1180" s="76">
        <v>1166</v>
      </c>
      <c r="B1180" s="65" t="s">
        <v>2396</v>
      </c>
      <c r="C1180" s="65">
        <v>1208710583</v>
      </c>
      <c r="D1180" s="81" t="str">
        <f t="shared" si="38"/>
        <v>https://portal.dnb.de/opac.htm?method=simpleSearch&amp;cqlMode=true&amp;query=idn%3D1208710583</v>
      </c>
      <c r="E1180" s="65" t="s">
        <v>2397</v>
      </c>
      <c r="F1180" s="76"/>
      <c r="G1180" s="78"/>
      <c r="H1180" s="76"/>
      <c r="I1180" s="78"/>
      <c r="J1180" s="78"/>
      <c r="K1180" s="76"/>
      <c r="L1180" s="76"/>
      <c r="M1180" s="76"/>
      <c r="N1180" s="76"/>
      <c r="O1180" s="76"/>
      <c r="P1180" s="76"/>
      <c r="Q1180" s="76"/>
      <c r="R1180" s="76"/>
      <c r="AZ1180" s="88">
        <f t="shared" si="39"/>
        <v>0</v>
      </c>
      <c r="BX1180" s="88"/>
      <c r="CQ1180" s="88"/>
    </row>
    <row r="1181" spans="1:95" ht="22.5" outlineLevel="1" x14ac:dyDescent="0.15">
      <c r="A1181" s="76">
        <v>1167</v>
      </c>
      <c r="B1181" s="65" t="s">
        <v>2398</v>
      </c>
      <c r="C1181" s="65">
        <v>1066960178</v>
      </c>
      <c r="D1181" s="81" t="str">
        <f t="shared" si="38"/>
        <v>https://portal.dnb.de/opac.htm?method=simpleSearch&amp;cqlMode=true&amp;query=idn%3D1066960178</v>
      </c>
      <c r="E1181" s="65" t="s">
        <v>2399</v>
      </c>
      <c r="F1181" s="76" t="s">
        <v>89</v>
      </c>
      <c r="G1181" s="78" t="s">
        <v>2516</v>
      </c>
      <c r="H1181" s="76" t="s">
        <v>52</v>
      </c>
      <c r="I1181" s="78" t="s">
        <v>90</v>
      </c>
      <c r="J1181" s="78" t="s">
        <v>94</v>
      </c>
      <c r="K1181" s="76"/>
      <c r="L1181" s="76"/>
      <c r="M1181" s="76" t="s">
        <v>101</v>
      </c>
      <c r="N1181" s="76">
        <v>0</v>
      </c>
      <c r="O1181" s="76"/>
      <c r="P1181" s="76" t="s">
        <v>2543</v>
      </c>
      <c r="Q1181" s="76"/>
      <c r="R1181" s="76"/>
      <c r="X1181" s="84" t="s">
        <v>2641</v>
      </c>
      <c r="Z1181" s="84" t="s">
        <v>2541</v>
      </c>
      <c r="AA1181" s="84" t="s">
        <v>2642</v>
      </c>
      <c r="AG1181" s="84" t="s">
        <v>2643</v>
      </c>
      <c r="AQ1181" s="84" t="s">
        <v>2658</v>
      </c>
      <c r="AR1181" s="84" t="s">
        <v>2541</v>
      </c>
      <c r="AU1181" s="84">
        <v>110</v>
      </c>
      <c r="AY1181" s="86" t="s">
        <v>2651</v>
      </c>
      <c r="AZ1181" s="88">
        <f t="shared" si="39"/>
        <v>0</v>
      </c>
      <c r="BX1181" s="88"/>
      <c r="CQ1181" s="88"/>
    </row>
    <row r="1182" spans="1:95" outlineLevel="1" x14ac:dyDescent="0.15">
      <c r="A1182" s="76">
        <v>1168</v>
      </c>
      <c r="B1182" s="65" t="s">
        <v>2400</v>
      </c>
      <c r="C1182" s="65">
        <v>1066963290</v>
      </c>
      <c r="D1182" s="81" t="str">
        <f t="shared" si="38"/>
        <v>https://portal.dnb.de/opac.htm?method=simpleSearch&amp;cqlMode=true&amp;query=idn%3D1066963290</v>
      </c>
      <c r="E1182" s="65" t="s">
        <v>2401</v>
      </c>
      <c r="F1182" s="76"/>
      <c r="G1182" s="78"/>
      <c r="H1182" s="76" t="s">
        <v>50</v>
      </c>
      <c r="I1182" s="78"/>
      <c r="J1182" s="78"/>
      <c r="K1182" s="76"/>
      <c r="L1182" s="76"/>
      <c r="M1182" s="76"/>
      <c r="N1182" s="76"/>
      <c r="O1182" s="76"/>
      <c r="P1182" s="76"/>
      <c r="Q1182" s="76"/>
      <c r="R1182" s="76"/>
      <c r="X1182" s="84" t="s">
        <v>2646</v>
      </c>
      <c r="Z1182" s="84" t="s">
        <v>2541</v>
      </c>
      <c r="AA1182" s="84" t="s">
        <v>2647</v>
      </c>
      <c r="AG1182" s="84" t="s">
        <v>2643</v>
      </c>
      <c r="AU1182" s="84">
        <v>110</v>
      </c>
      <c r="AY1182" s="86" t="s">
        <v>2651</v>
      </c>
      <c r="AZ1182" s="88">
        <f t="shared" si="39"/>
        <v>0</v>
      </c>
      <c r="BB1182" s="84" t="s">
        <v>2777</v>
      </c>
      <c r="BX1182" s="88"/>
      <c r="CQ1182" s="88"/>
    </row>
    <row r="1183" spans="1:95" outlineLevel="1" x14ac:dyDescent="0.15">
      <c r="A1183" s="76">
        <v>1169</v>
      </c>
      <c r="B1183" s="65" t="s">
        <v>2402</v>
      </c>
      <c r="C1183" s="65">
        <v>1066963274</v>
      </c>
      <c r="D1183" s="81" t="str">
        <f t="shared" si="38"/>
        <v>https://portal.dnb.de/opac.htm?method=simpleSearch&amp;cqlMode=true&amp;query=idn%3D1066963274</v>
      </c>
      <c r="E1183" s="65" t="s">
        <v>2403</v>
      </c>
      <c r="F1183" s="76"/>
      <c r="G1183" s="78"/>
      <c r="H1183" s="76" t="s">
        <v>50</v>
      </c>
      <c r="I1183" s="78"/>
      <c r="J1183" s="78"/>
      <c r="K1183" s="76"/>
      <c r="L1183" s="76"/>
      <c r="M1183" s="76"/>
      <c r="N1183" s="76"/>
      <c r="O1183" s="76"/>
      <c r="P1183" s="76"/>
      <c r="Q1183" s="76"/>
      <c r="R1183" s="76"/>
      <c r="X1183" s="84" t="s">
        <v>2645</v>
      </c>
      <c r="Y1183" s="84" t="s">
        <v>2541</v>
      </c>
      <c r="AA1183" s="84" t="s">
        <v>2647</v>
      </c>
      <c r="AG1183" s="84" t="s">
        <v>2643</v>
      </c>
      <c r="AH1183" s="84" t="s">
        <v>2541</v>
      </c>
      <c r="AU1183" s="84">
        <v>110</v>
      </c>
      <c r="AY1183" s="86" t="s">
        <v>2651</v>
      </c>
      <c r="AZ1183" s="88">
        <f t="shared" si="39"/>
        <v>0</v>
      </c>
      <c r="BX1183" s="88"/>
      <c r="CQ1183" s="88"/>
    </row>
    <row r="1184" spans="1:95" outlineLevel="1" x14ac:dyDescent="0.15">
      <c r="A1184" s="76">
        <v>1170</v>
      </c>
      <c r="B1184" s="65" t="s">
        <v>2404</v>
      </c>
      <c r="C1184" s="65">
        <v>1066858403</v>
      </c>
      <c r="D1184" s="81" t="str">
        <f t="shared" si="38"/>
        <v>https://portal.dnb.de/opac.htm?method=simpleSearch&amp;cqlMode=true&amp;query=idn%3D1066858403</v>
      </c>
      <c r="E1184" s="65" t="s">
        <v>2405</v>
      </c>
      <c r="F1184" s="76"/>
      <c r="G1184" s="78"/>
      <c r="H1184" s="76" t="s">
        <v>50</v>
      </c>
      <c r="I1184" s="78"/>
      <c r="J1184" s="78"/>
      <c r="K1184" s="76"/>
      <c r="L1184" s="76"/>
      <c r="M1184" s="76"/>
      <c r="N1184" s="76"/>
      <c r="O1184" s="76"/>
      <c r="P1184" s="76"/>
      <c r="Q1184" s="76"/>
      <c r="R1184" s="76"/>
      <c r="X1184" s="84" t="s">
        <v>2645</v>
      </c>
      <c r="Y1184" s="84" t="s">
        <v>2541</v>
      </c>
      <c r="AA1184" s="84" t="s">
        <v>2647</v>
      </c>
      <c r="AG1184" s="84" t="s">
        <v>2643</v>
      </c>
      <c r="AH1184" s="84" t="s">
        <v>2541</v>
      </c>
      <c r="AU1184" s="84">
        <v>110</v>
      </c>
      <c r="AY1184" s="86" t="s">
        <v>2651</v>
      </c>
      <c r="AZ1184" s="88">
        <f t="shared" si="39"/>
        <v>0</v>
      </c>
      <c r="BX1184" s="88"/>
      <c r="CQ1184" s="88"/>
    </row>
    <row r="1185" spans="1:95" outlineLevel="1" x14ac:dyDescent="0.15">
      <c r="A1185" s="76">
        <v>1171</v>
      </c>
      <c r="B1185" s="65" t="s">
        <v>2406</v>
      </c>
      <c r="C1185" s="65">
        <v>1066961549</v>
      </c>
      <c r="D1185" s="81" t="str">
        <f t="shared" ref="D1185:D1236" si="40">HYPERLINK(CONCATENATE("https://portal.dnb.de/opac.htm?method=simpleSearch&amp;cqlMode=true&amp;query=idn%3D",C1185))</f>
        <v>https://portal.dnb.de/opac.htm?method=simpleSearch&amp;cqlMode=true&amp;query=idn%3D1066961549</v>
      </c>
      <c r="E1185" s="65" t="s">
        <v>2407</v>
      </c>
      <c r="F1185" s="76"/>
      <c r="G1185" s="78"/>
      <c r="H1185" s="76"/>
      <c r="I1185" s="78"/>
      <c r="J1185" s="78"/>
      <c r="K1185" s="76"/>
      <c r="L1185" s="76"/>
      <c r="M1185" s="76"/>
      <c r="N1185" s="76"/>
      <c r="O1185" s="76"/>
      <c r="P1185" s="76"/>
      <c r="Q1185" s="76"/>
      <c r="R1185" s="76"/>
      <c r="S1185" s="84" t="s">
        <v>2774</v>
      </c>
      <c r="AZ1185" s="88">
        <f t="shared" si="39"/>
        <v>0</v>
      </c>
      <c r="BX1185" s="88"/>
      <c r="CQ1185" s="88"/>
    </row>
    <row r="1186" spans="1:95" ht="22.5" outlineLevel="1" x14ac:dyDescent="0.15">
      <c r="A1186" s="76">
        <v>1172</v>
      </c>
      <c r="B1186" s="65" t="s">
        <v>2408</v>
      </c>
      <c r="C1186" s="65" t="s">
        <v>2409</v>
      </c>
      <c r="D1186" s="81" t="str">
        <f t="shared" si="40"/>
        <v>https://portal.dnb.de/opac.htm?method=simpleSearch&amp;cqlMode=true&amp;query=idn%3D106679863X</v>
      </c>
      <c r="E1186" s="65" t="s">
        <v>2410</v>
      </c>
      <c r="F1186" s="76"/>
      <c r="G1186" s="78"/>
      <c r="H1186" s="76" t="s">
        <v>50</v>
      </c>
      <c r="I1186" s="78"/>
      <c r="J1186" s="78"/>
      <c r="K1186" s="76"/>
      <c r="L1186" s="76"/>
      <c r="M1186" s="76"/>
      <c r="N1186" s="76"/>
      <c r="O1186" s="76"/>
      <c r="P1186" s="76"/>
      <c r="Q1186" s="76"/>
      <c r="R1186" s="76"/>
      <c r="X1186" s="84" t="s">
        <v>2697</v>
      </c>
      <c r="Z1186" s="84" t="s">
        <v>2541</v>
      </c>
      <c r="AA1186" s="84" t="s">
        <v>2647</v>
      </c>
      <c r="AG1186" s="84" t="s">
        <v>2643</v>
      </c>
      <c r="AL1186" s="84" t="s">
        <v>2541</v>
      </c>
      <c r="AS1186" s="84">
        <v>0</v>
      </c>
      <c r="AT1186" s="84" t="s">
        <v>2541</v>
      </c>
      <c r="AU1186" s="84">
        <v>110</v>
      </c>
      <c r="AY1186" s="86" t="s">
        <v>2651</v>
      </c>
      <c r="AZ1186" s="88">
        <f t="shared" si="39"/>
        <v>0</v>
      </c>
      <c r="BB1186" s="86" t="s">
        <v>2831</v>
      </c>
      <c r="BX1186" s="88"/>
      <c r="CQ1186" s="88"/>
    </row>
    <row r="1187" spans="1:95" outlineLevel="1" x14ac:dyDescent="0.15">
      <c r="A1187" s="76">
        <v>1173</v>
      </c>
      <c r="B1187" s="65" t="s">
        <v>2411</v>
      </c>
      <c r="C1187" s="65">
        <v>1003783562</v>
      </c>
      <c r="D1187" s="81" t="str">
        <f t="shared" si="40"/>
        <v>https://portal.dnb.de/opac.htm?method=simpleSearch&amp;cqlMode=true&amp;query=idn%3D1003783562</v>
      </c>
      <c r="E1187" s="65" t="s">
        <v>2412</v>
      </c>
      <c r="F1187" s="76"/>
      <c r="G1187" s="78"/>
      <c r="H1187" s="76" t="s">
        <v>50</v>
      </c>
      <c r="I1187" s="78"/>
      <c r="J1187" s="78"/>
      <c r="K1187" s="76"/>
      <c r="L1187" s="76"/>
      <c r="M1187" s="76"/>
      <c r="N1187" s="76"/>
      <c r="O1187" s="76"/>
      <c r="P1187" s="76"/>
      <c r="Q1187" s="76"/>
      <c r="R1187" s="76"/>
      <c r="X1187" s="84" t="s">
        <v>2643</v>
      </c>
      <c r="AA1187" s="84" t="s">
        <v>2647</v>
      </c>
      <c r="AG1187" s="84" t="s">
        <v>2643</v>
      </c>
      <c r="AU1187" s="84">
        <v>110</v>
      </c>
      <c r="AW1187" s="84" t="s">
        <v>2541</v>
      </c>
      <c r="AX1187" s="84" t="s">
        <v>2541</v>
      </c>
      <c r="AY1187" s="86" t="s">
        <v>2651</v>
      </c>
      <c r="AZ1187" s="88">
        <f t="shared" si="39"/>
        <v>0</v>
      </c>
      <c r="BX1187" s="88"/>
      <c r="CQ1187" s="88"/>
    </row>
    <row r="1188" spans="1:95" outlineLevel="1" x14ac:dyDescent="0.15">
      <c r="A1188" s="76">
        <v>1174</v>
      </c>
      <c r="B1188" s="65" t="s">
        <v>2413</v>
      </c>
      <c r="C1188" s="65">
        <v>996935924</v>
      </c>
      <c r="D1188" s="81" t="str">
        <f t="shared" si="40"/>
        <v>https://portal.dnb.de/opac.htm?method=simpleSearch&amp;cqlMode=true&amp;query=idn%3D996935924</v>
      </c>
      <c r="E1188" s="65" t="s">
        <v>2414</v>
      </c>
      <c r="F1188" s="76"/>
      <c r="G1188" s="78"/>
      <c r="H1188" s="76" t="s">
        <v>50</v>
      </c>
      <c r="I1188" s="78"/>
      <c r="J1188" s="78"/>
      <c r="K1188" s="76"/>
      <c r="L1188" s="76"/>
      <c r="M1188" s="76"/>
      <c r="N1188" s="76"/>
      <c r="O1188" s="76"/>
      <c r="P1188" s="76"/>
      <c r="Q1188" s="76"/>
      <c r="R1188" s="76"/>
      <c r="X1188" s="84" t="s">
        <v>2697</v>
      </c>
      <c r="Z1188" s="84" t="s">
        <v>2541</v>
      </c>
      <c r="AA1188" s="84" t="s">
        <v>2642</v>
      </c>
      <c r="AG1188" s="84" t="s">
        <v>2643</v>
      </c>
      <c r="AU1188" s="84">
        <v>110</v>
      </c>
      <c r="AW1188" s="84" t="s">
        <v>2541</v>
      </c>
      <c r="AY1188" s="86" t="s">
        <v>2651</v>
      </c>
      <c r="AZ1188" s="88">
        <f t="shared" si="39"/>
        <v>0</v>
      </c>
      <c r="BB1188" s="84" t="s">
        <v>2777</v>
      </c>
      <c r="BX1188" s="88"/>
      <c r="CQ1188" s="88"/>
    </row>
    <row r="1189" spans="1:95" outlineLevel="1" x14ac:dyDescent="0.15">
      <c r="A1189" s="76">
        <v>1175</v>
      </c>
      <c r="B1189" s="65" t="s">
        <v>2415</v>
      </c>
      <c r="C1189" s="65">
        <v>1003782000</v>
      </c>
      <c r="D1189" s="81" t="str">
        <f t="shared" si="40"/>
        <v>https://portal.dnb.de/opac.htm?method=simpleSearch&amp;cqlMode=true&amp;query=idn%3D1003782000</v>
      </c>
      <c r="E1189" s="65" t="s">
        <v>2846</v>
      </c>
      <c r="F1189" s="76"/>
      <c r="G1189" s="78"/>
      <c r="H1189" s="76"/>
      <c r="I1189" s="78"/>
      <c r="J1189" s="78"/>
      <c r="K1189" s="76"/>
      <c r="L1189" s="76"/>
      <c r="M1189" s="76"/>
      <c r="N1189" s="76"/>
      <c r="O1189" s="76"/>
      <c r="P1189" s="76"/>
      <c r="Q1189" s="76"/>
      <c r="R1189" s="76"/>
      <c r="AZ1189" s="88">
        <f t="shared" si="39"/>
        <v>0</v>
      </c>
      <c r="BX1189" s="88"/>
      <c r="CQ1189" s="88"/>
    </row>
    <row r="1190" spans="1:95" outlineLevel="1" x14ac:dyDescent="0.15">
      <c r="A1190" s="76">
        <v>1176</v>
      </c>
      <c r="B1190" s="65" t="s">
        <v>2417</v>
      </c>
      <c r="C1190" s="65">
        <v>1003781772</v>
      </c>
      <c r="D1190" s="81" t="str">
        <f t="shared" si="40"/>
        <v>https://portal.dnb.de/opac.htm?method=simpleSearch&amp;cqlMode=true&amp;query=idn%3D1003781772</v>
      </c>
      <c r="E1190" s="65" t="s">
        <v>2846</v>
      </c>
      <c r="F1190" s="76"/>
      <c r="G1190" s="78"/>
      <c r="H1190" s="76"/>
      <c r="I1190" s="78"/>
      <c r="J1190" s="78"/>
      <c r="K1190" s="76"/>
      <c r="L1190" s="76"/>
      <c r="M1190" s="76"/>
      <c r="N1190" s="76"/>
      <c r="O1190" s="76"/>
      <c r="P1190" s="76"/>
      <c r="Q1190" s="76"/>
      <c r="R1190" s="76"/>
      <c r="AZ1190" s="88">
        <f t="shared" si="39"/>
        <v>0</v>
      </c>
      <c r="BX1190" s="88"/>
      <c r="CQ1190" s="88"/>
    </row>
    <row r="1191" spans="1:95" outlineLevel="1" x14ac:dyDescent="0.15">
      <c r="A1191" s="76">
        <v>1177</v>
      </c>
      <c r="B1191" s="65" t="s">
        <v>2418</v>
      </c>
      <c r="C1191" s="65">
        <v>1003784208</v>
      </c>
      <c r="D1191" s="81" t="str">
        <f t="shared" si="40"/>
        <v>https://portal.dnb.de/opac.htm?method=simpleSearch&amp;cqlMode=true&amp;query=idn%3D1003784208</v>
      </c>
      <c r="E1191" s="65" t="s">
        <v>2416</v>
      </c>
      <c r="F1191" s="76"/>
      <c r="G1191" s="78"/>
      <c r="H1191" s="76" t="s">
        <v>50</v>
      </c>
      <c r="I1191" s="78"/>
      <c r="J1191" s="78"/>
      <c r="K1191" s="76"/>
      <c r="L1191" s="76"/>
      <c r="M1191" s="76"/>
      <c r="N1191" s="76"/>
      <c r="O1191" s="76"/>
      <c r="P1191" s="76"/>
      <c r="Q1191" s="76"/>
      <c r="R1191" s="76"/>
      <c r="X1191" s="84" t="s">
        <v>2641</v>
      </c>
      <c r="Z1191" s="84" t="s">
        <v>2541</v>
      </c>
      <c r="AA1191" s="84" t="s">
        <v>2642</v>
      </c>
      <c r="AG1191" s="84" t="s">
        <v>2643</v>
      </c>
      <c r="AS1191" s="84">
        <v>0</v>
      </c>
      <c r="AT1191" s="84" t="s">
        <v>2541</v>
      </c>
      <c r="AU1191" s="84">
        <v>110</v>
      </c>
      <c r="AW1191" s="84" t="s">
        <v>2541</v>
      </c>
      <c r="AY1191" s="86" t="s">
        <v>2651</v>
      </c>
      <c r="AZ1191" s="88">
        <f t="shared" si="39"/>
        <v>0</v>
      </c>
      <c r="BB1191" s="84" t="s">
        <v>2777</v>
      </c>
      <c r="BX1191" s="88"/>
      <c r="CQ1191" s="88"/>
    </row>
    <row r="1192" spans="1:95" outlineLevel="1" x14ac:dyDescent="0.15">
      <c r="A1192" s="76">
        <v>1178</v>
      </c>
      <c r="B1192" s="65" t="s">
        <v>2419</v>
      </c>
      <c r="C1192" s="65" t="s">
        <v>2420</v>
      </c>
      <c r="D1192" s="81" t="str">
        <f t="shared" si="40"/>
        <v>https://portal.dnb.de/opac.htm?method=simpleSearch&amp;cqlMode=true&amp;query=idn%3D120970370X</v>
      </c>
      <c r="E1192" s="65" t="s">
        <v>2421</v>
      </c>
      <c r="F1192" s="76"/>
      <c r="G1192" s="78"/>
      <c r="H1192" s="76"/>
      <c r="I1192" s="78"/>
      <c r="J1192" s="78"/>
      <c r="K1192" s="76"/>
      <c r="L1192" s="76"/>
      <c r="M1192" s="76"/>
      <c r="N1192" s="76"/>
      <c r="O1192" s="76"/>
      <c r="P1192" s="76"/>
      <c r="Q1192" s="76"/>
      <c r="R1192" s="76"/>
      <c r="AZ1192" s="88">
        <f t="shared" si="39"/>
        <v>0</v>
      </c>
      <c r="BX1192" s="88"/>
      <c r="CQ1192" s="88"/>
    </row>
    <row r="1193" spans="1:95" outlineLevel="1" x14ac:dyDescent="0.15">
      <c r="A1193" s="76">
        <v>1179</v>
      </c>
      <c r="B1193" s="65" t="s">
        <v>2422</v>
      </c>
      <c r="C1193" s="65">
        <v>1209695812</v>
      </c>
      <c r="D1193" s="81" t="str">
        <f t="shared" si="40"/>
        <v>https://portal.dnb.de/opac.htm?method=simpleSearch&amp;cqlMode=true&amp;query=idn%3D1209695812</v>
      </c>
      <c r="E1193" s="65" t="s">
        <v>2423</v>
      </c>
      <c r="F1193" s="76"/>
      <c r="G1193" s="78"/>
      <c r="H1193" s="76"/>
      <c r="I1193" s="78"/>
      <c r="J1193" s="78"/>
      <c r="K1193" s="76"/>
      <c r="L1193" s="76"/>
      <c r="M1193" s="76"/>
      <c r="N1193" s="76"/>
      <c r="O1193" s="76"/>
      <c r="P1193" s="76"/>
      <c r="Q1193" s="76"/>
      <c r="R1193" s="76"/>
      <c r="AZ1193" s="88">
        <f t="shared" si="39"/>
        <v>0</v>
      </c>
      <c r="BX1193" s="88"/>
      <c r="CQ1193" s="88"/>
    </row>
    <row r="1194" spans="1:95" outlineLevel="1" x14ac:dyDescent="0.15">
      <c r="A1194" s="76">
        <v>1180</v>
      </c>
      <c r="B1194" s="65" t="s">
        <v>2424</v>
      </c>
      <c r="C1194" s="65">
        <v>999030736</v>
      </c>
      <c r="D1194" s="81" t="str">
        <f t="shared" si="40"/>
        <v>https://portal.dnb.de/opac.htm?method=simpleSearch&amp;cqlMode=true&amp;query=idn%3D999030736</v>
      </c>
      <c r="E1194" s="65" t="s">
        <v>2425</v>
      </c>
      <c r="F1194" s="76"/>
      <c r="G1194" s="78"/>
      <c r="H1194" s="76" t="s">
        <v>50</v>
      </c>
      <c r="I1194" s="78"/>
      <c r="J1194" s="78"/>
      <c r="K1194" s="76"/>
      <c r="L1194" s="76"/>
      <c r="M1194" s="76"/>
      <c r="N1194" s="76"/>
      <c r="O1194" s="76"/>
      <c r="P1194" s="76"/>
      <c r="Q1194" s="76"/>
      <c r="R1194" s="76"/>
      <c r="X1194" s="84" t="s">
        <v>2696</v>
      </c>
      <c r="AA1194" s="84" t="s">
        <v>2647</v>
      </c>
      <c r="AG1194" s="84" t="s">
        <v>2643</v>
      </c>
      <c r="AU1194" s="84">
        <v>110</v>
      </c>
      <c r="AW1194" s="84" t="s">
        <v>2541</v>
      </c>
      <c r="AX1194" s="84" t="s">
        <v>2541</v>
      </c>
      <c r="AY1194" s="86" t="s">
        <v>2651</v>
      </c>
      <c r="AZ1194" s="88">
        <f t="shared" si="39"/>
        <v>0</v>
      </c>
      <c r="BX1194" s="88"/>
      <c r="CQ1194" s="88"/>
    </row>
    <row r="1195" spans="1:95" outlineLevel="1" x14ac:dyDescent="0.15">
      <c r="A1195" s="76">
        <v>1181</v>
      </c>
      <c r="B1195" s="65" t="s">
        <v>2426</v>
      </c>
      <c r="C1195" s="65">
        <v>1066942218</v>
      </c>
      <c r="D1195" s="81" t="str">
        <f t="shared" si="40"/>
        <v>https://portal.dnb.de/opac.htm?method=simpleSearch&amp;cqlMode=true&amp;query=idn%3D1066942218</v>
      </c>
      <c r="E1195" s="65" t="s">
        <v>2427</v>
      </c>
      <c r="F1195" s="76"/>
      <c r="G1195" s="78"/>
      <c r="H1195" s="76" t="s">
        <v>50</v>
      </c>
      <c r="I1195" s="78"/>
      <c r="J1195" s="78"/>
      <c r="K1195" s="76"/>
      <c r="L1195" s="76"/>
      <c r="M1195" s="76"/>
      <c r="N1195" s="76"/>
      <c r="O1195" s="76"/>
      <c r="P1195" s="76"/>
      <c r="Q1195" s="76"/>
      <c r="R1195" s="76"/>
      <c r="X1195" s="84" t="s">
        <v>2645</v>
      </c>
      <c r="Y1195" s="84" t="s">
        <v>2541</v>
      </c>
      <c r="AA1195" s="84" t="s">
        <v>2647</v>
      </c>
      <c r="AG1195" s="84" t="s">
        <v>2643</v>
      </c>
      <c r="AH1195" s="84" t="s">
        <v>2541</v>
      </c>
      <c r="AU1195" s="84">
        <v>110</v>
      </c>
      <c r="AY1195" s="86" t="s">
        <v>2644</v>
      </c>
      <c r="AZ1195" s="88">
        <f t="shared" si="39"/>
        <v>1</v>
      </c>
      <c r="BO1195" s="84" t="s">
        <v>2656</v>
      </c>
      <c r="BX1195" s="88">
        <v>1</v>
      </c>
      <c r="CQ1195" s="88"/>
    </row>
    <row r="1196" spans="1:95" outlineLevel="1" x14ac:dyDescent="0.15">
      <c r="A1196" s="76">
        <v>1182</v>
      </c>
      <c r="B1196" s="65" t="s">
        <v>2428</v>
      </c>
      <c r="C1196" s="65">
        <v>1066964297</v>
      </c>
      <c r="D1196" s="81" t="str">
        <f t="shared" si="40"/>
        <v>https://portal.dnb.de/opac.htm?method=simpleSearch&amp;cqlMode=true&amp;query=idn%3D1066964297</v>
      </c>
      <c r="E1196" s="65" t="s">
        <v>2429</v>
      </c>
      <c r="F1196" s="76"/>
      <c r="G1196" s="78"/>
      <c r="H1196" s="76" t="s">
        <v>50</v>
      </c>
      <c r="I1196" s="78"/>
      <c r="J1196" s="78"/>
      <c r="K1196" s="76"/>
      <c r="L1196" s="76"/>
      <c r="M1196" s="76"/>
      <c r="N1196" s="76"/>
      <c r="O1196" s="76"/>
      <c r="P1196" s="76"/>
      <c r="Q1196" s="76"/>
      <c r="R1196" s="76"/>
      <c r="X1196" s="84" t="s">
        <v>2645</v>
      </c>
      <c r="Y1196" s="84" t="s">
        <v>2541</v>
      </c>
      <c r="AA1196" s="84" t="s">
        <v>2647</v>
      </c>
      <c r="AG1196" s="84" t="s">
        <v>2643</v>
      </c>
      <c r="AH1196" s="84" t="s">
        <v>2541</v>
      </c>
      <c r="AU1196" s="84">
        <v>110</v>
      </c>
      <c r="AY1196" s="86" t="s">
        <v>2644</v>
      </c>
      <c r="AZ1196" s="88">
        <f t="shared" si="39"/>
        <v>1</v>
      </c>
      <c r="BO1196" s="84" t="s">
        <v>2677</v>
      </c>
      <c r="BX1196" s="88">
        <v>1</v>
      </c>
      <c r="CQ1196" s="88"/>
    </row>
    <row r="1197" spans="1:95" outlineLevel="1" x14ac:dyDescent="0.15">
      <c r="A1197" s="76">
        <v>1183</v>
      </c>
      <c r="B1197" s="65" t="s">
        <v>2430</v>
      </c>
      <c r="C1197" s="65">
        <v>1066961948</v>
      </c>
      <c r="D1197" s="81" t="str">
        <f t="shared" si="40"/>
        <v>https://portal.dnb.de/opac.htm?method=simpleSearch&amp;cqlMode=true&amp;query=idn%3D1066961948</v>
      </c>
      <c r="E1197" s="65" t="s">
        <v>2431</v>
      </c>
      <c r="F1197" s="76"/>
      <c r="G1197" s="78"/>
      <c r="H1197" s="76" t="s">
        <v>50</v>
      </c>
      <c r="I1197" s="78"/>
      <c r="J1197" s="78"/>
      <c r="K1197" s="76"/>
      <c r="L1197" s="76"/>
      <c r="M1197" s="76"/>
      <c r="N1197" s="76"/>
      <c r="O1197" s="76"/>
      <c r="P1197" s="76"/>
      <c r="Q1197" s="76"/>
      <c r="R1197" s="76"/>
      <c r="X1197" s="84" t="s">
        <v>2652</v>
      </c>
      <c r="Y1197" s="84" t="s">
        <v>2541</v>
      </c>
      <c r="AA1197" s="84" t="s">
        <v>2647</v>
      </c>
      <c r="AG1197" s="84" t="s">
        <v>2643</v>
      </c>
      <c r="AU1197" s="84">
        <v>110</v>
      </c>
      <c r="AY1197" s="86" t="s">
        <v>2651</v>
      </c>
      <c r="AZ1197" s="88">
        <f t="shared" si="39"/>
        <v>0</v>
      </c>
      <c r="BX1197" s="88"/>
      <c r="CQ1197" s="88"/>
    </row>
    <row r="1198" spans="1:95" outlineLevel="1" x14ac:dyDescent="0.15">
      <c r="A1198" s="76">
        <v>1184</v>
      </c>
      <c r="B1198" s="65" t="s">
        <v>2432</v>
      </c>
      <c r="C1198" s="65" t="s">
        <v>2433</v>
      </c>
      <c r="D1198" s="81" t="str">
        <f t="shared" si="40"/>
        <v>https://portal.dnb.de/opac.htm?method=simpleSearch&amp;cqlMode=true&amp;query=idn%3D106695710X</v>
      </c>
      <c r="E1198" s="65" t="s">
        <v>2434</v>
      </c>
      <c r="F1198" s="76"/>
      <c r="G1198" s="78"/>
      <c r="H1198" s="76" t="s">
        <v>50</v>
      </c>
      <c r="I1198" s="78"/>
      <c r="J1198" s="78"/>
      <c r="K1198" s="76"/>
      <c r="L1198" s="76"/>
      <c r="M1198" s="76"/>
      <c r="N1198" s="76"/>
      <c r="O1198" s="76"/>
      <c r="P1198" s="76"/>
      <c r="Q1198" s="76"/>
      <c r="R1198" s="76"/>
      <c r="X1198" s="84" t="s">
        <v>2646</v>
      </c>
      <c r="Y1198" s="84" t="s">
        <v>2541</v>
      </c>
      <c r="AA1198" s="84" t="s">
        <v>2647</v>
      </c>
      <c r="AG1198" s="84" t="s">
        <v>2643</v>
      </c>
      <c r="AU1198" s="84">
        <v>110</v>
      </c>
      <c r="AY1198" s="86" t="s">
        <v>2651</v>
      </c>
      <c r="AZ1198" s="88">
        <f t="shared" si="39"/>
        <v>0</v>
      </c>
      <c r="BD1198" s="84" t="s">
        <v>2541</v>
      </c>
      <c r="BX1198" s="88"/>
      <c r="CQ1198" s="88"/>
    </row>
    <row r="1199" spans="1:95" outlineLevel="1" x14ac:dyDescent="0.15">
      <c r="A1199" s="76">
        <v>1185</v>
      </c>
      <c r="B1199" s="65" t="s">
        <v>2435</v>
      </c>
      <c r="C1199" s="65">
        <v>1210935163</v>
      </c>
      <c r="D1199" s="81" t="str">
        <f t="shared" si="40"/>
        <v>https://portal.dnb.de/opac.htm?method=simpleSearch&amp;cqlMode=true&amp;query=idn%3D1210935163</v>
      </c>
      <c r="E1199" s="65" t="s">
        <v>2436</v>
      </c>
      <c r="F1199" s="76"/>
      <c r="G1199" s="78"/>
      <c r="H1199" s="76"/>
      <c r="I1199" s="78"/>
      <c r="J1199" s="78"/>
      <c r="K1199" s="76"/>
      <c r="L1199" s="76"/>
      <c r="M1199" s="76"/>
      <c r="N1199" s="76"/>
      <c r="O1199" s="76"/>
      <c r="P1199" s="76"/>
      <c r="Q1199" s="76"/>
      <c r="R1199" s="76"/>
      <c r="AZ1199" s="88">
        <f t="shared" si="39"/>
        <v>0</v>
      </c>
      <c r="BX1199" s="88"/>
      <c r="CQ1199" s="88"/>
    </row>
    <row r="1200" spans="1:95" outlineLevel="1" x14ac:dyDescent="0.15">
      <c r="A1200" s="76">
        <v>1186</v>
      </c>
      <c r="B1200" s="65" t="s">
        <v>2437</v>
      </c>
      <c r="C1200" s="65">
        <v>1211353079</v>
      </c>
      <c r="D1200" s="81" t="str">
        <f t="shared" si="40"/>
        <v>https://portal.dnb.de/opac.htm?method=simpleSearch&amp;cqlMode=true&amp;query=idn%3D1211353079</v>
      </c>
      <c r="E1200" s="65" t="s">
        <v>2438</v>
      </c>
      <c r="F1200" s="76"/>
      <c r="G1200" s="78"/>
      <c r="H1200" s="76"/>
      <c r="I1200" s="78"/>
      <c r="J1200" s="78"/>
      <c r="K1200" s="76"/>
      <c r="L1200" s="76"/>
      <c r="M1200" s="76"/>
      <c r="N1200" s="76"/>
      <c r="O1200" s="76"/>
      <c r="P1200" s="76"/>
      <c r="Q1200" s="76"/>
      <c r="R1200" s="76"/>
      <c r="AZ1200" s="88">
        <f t="shared" si="39"/>
        <v>0</v>
      </c>
      <c r="BX1200" s="88"/>
      <c r="CQ1200" s="88"/>
    </row>
    <row r="1201" spans="1:95" outlineLevel="1" x14ac:dyDescent="0.15">
      <c r="A1201" s="76">
        <v>1187</v>
      </c>
      <c r="B1201" s="65" t="s">
        <v>2439</v>
      </c>
      <c r="C1201" s="65">
        <v>1208644882</v>
      </c>
      <c r="D1201" s="81" t="str">
        <f t="shared" si="40"/>
        <v>https://portal.dnb.de/opac.htm?method=simpleSearch&amp;cqlMode=true&amp;query=idn%3D1208644882</v>
      </c>
      <c r="E1201" s="65" t="s">
        <v>2440</v>
      </c>
      <c r="F1201" s="76"/>
      <c r="G1201" s="78"/>
      <c r="H1201" s="76"/>
      <c r="I1201" s="78"/>
      <c r="J1201" s="78"/>
      <c r="K1201" s="76"/>
      <c r="L1201" s="76"/>
      <c r="M1201" s="76"/>
      <c r="N1201" s="76"/>
      <c r="O1201" s="76"/>
      <c r="P1201" s="76"/>
      <c r="Q1201" s="76"/>
      <c r="R1201" s="76"/>
      <c r="AZ1201" s="88">
        <f t="shared" si="39"/>
        <v>0</v>
      </c>
      <c r="BX1201" s="88"/>
      <c r="CQ1201" s="88"/>
    </row>
    <row r="1202" spans="1:95" outlineLevel="1" x14ac:dyDescent="0.15">
      <c r="A1202" s="76">
        <v>1188</v>
      </c>
      <c r="B1202" s="65" t="s">
        <v>2441</v>
      </c>
      <c r="C1202" s="65">
        <v>1208643959</v>
      </c>
      <c r="D1202" s="81" t="str">
        <f t="shared" si="40"/>
        <v>https://portal.dnb.de/opac.htm?method=simpleSearch&amp;cqlMode=true&amp;query=idn%3D1208643959</v>
      </c>
      <c r="E1202" s="65" t="s">
        <v>2442</v>
      </c>
      <c r="F1202" s="76"/>
      <c r="G1202" s="78"/>
      <c r="H1202" s="76"/>
      <c r="I1202" s="78"/>
      <c r="J1202" s="78"/>
      <c r="K1202" s="76"/>
      <c r="L1202" s="76"/>
      <c r="M1202" s="76"/>
      <c r="N1202" s="76"/>
      <c r="O1202" s="76"/>
      <c r="P1202" s="76"/>
      <c r="Q1202" s="76"/>
      <c r="R1202" s="76"/>
      <c r="AZ1202" s="88">
        <f t="shared" si="39"/>
        <v>0</v>
      </c>
      <c r="BX1202" s="88"/>
      <c r="CQ1202" s="88"/>
    </row>
    <row r="1203" spans="1:95" outlineLevel="1" x14ac:dyDescent="0.15">
      <c r="A1203" s="76">
        <v>1189</v>
      </c>
      <c r="B1203" s="65" t="s">
        <v>2443</v>
      </c>
      <c r="C1203" s="65">
        <v>994405022</v>
      </c>
      <c r="D1203" s="81" t="str">
        <f t="shared" si="40"/>
        <v>https://portal.dnb.de/opac.htm?method=simpleSearch&amp;cqlMode=true&amp;query=idn%3D994405022</v>
      </c>
      <c r="E1203" s="65" t="s">
        <v>2444</v>
      </c>
      <c r="F1203" s="76"/>
      <c r="G1203" s="78"/>
      <c r="H1203" s="76"/>
      <c r="I1203" s="78"/>
      <c r="J1203" s="78"/>
      <c r="K1203" s="76"/>
      <c r="L1203" s="76"/>
      <c r="M1203" s="76"/>
      <c r="N1203" s="76"/>
      <c r="O1203" s="76"/>
      <c r="P1203" s="76"/>
      <c r="Q1203" s="76"/>
      <c r="R1203" s="76"/>
      <c r="AZ1203" s="88">
        <f t="shared" si="39"/>
        <v>0</v>
      </c>
      <c r="BX1203" s="88"/>
      <c r="CQ1203" s="88"/>
    </row>
    <row r="1204" spans="1:95" outlineLevel="1" x14ac:dyDescent="0.15">
      <c r="A1204" s="76">
        <v>1190</v>
      </c>
      <c r="B1204" s="65" t="s">
        <v>2445</v>
      </c>
      <c r="C1204" s="65">
        <v>10730419</v>
      </c>
      <c r="D1204" s="81" t="str">
        <f t="shared" si="40"/>
        <v>https://portal.dnb.de/opac.htm?method=simpleSearch&amp;cqlMode=true&amp;query=idn%3D10730419</v>
      </c>
      <c r="E1204" s="65" t="s">
        <v>2446</v>
      </c>
      <c r="F1204" s="76"/>
      <c r="G1204" s="78"/>
      <c r="H1204" s="76"/>
      <c r="I1204" s="78"/>
      <c r="J1204" s="78"/>
      <c r="K1204" s="76"/>
      <c r="L1204" s="76"/>
      <c r="M1204" s="76"/>
      <c r="N1204" s="76"/>
      <c r="O1204" s="76"/>
      <c r="P1204" s="76"/>
      <c r="Q1204" s="76"/>
      <c r="R1204" s="76"/>
      <c r="AZ1204" s="88">
        <f t="shared" si="39"/>
        <v>0</v>
      </c>
      <c r="BX1204" s="88"/>
      <c r="CQ1204" s="88"/>
    </row>
    <row r="1205" spans="1:95" ht="33.75" outlineLevel="1" x14ac:dyDescent="0.15">
      <c r="A1205" s="76">
        <v>1191</v>
      </c>
      <c r="B1205" s="65" t="s">
        <v>2447</v>
      </c>
      <c r="C1205" s="65">
        <v>1066964122</v>
      </c>
      <c r="D1205" s="81" t="str">
        <f t="shared" si="40"/>
        <v>https://portal.dnb.de/opac.htm?method=simpleSearch&amp;cqlMode=true&amp;query=idn%3D1066964122</v>
      </c>
      <c r="E1205" s="65" t="s">
        <v>2448</v>
      </c>
      <c r="F1205" s="76"/>
      <c r="G1205" s="78"/>
      <c r="H1205" s="76" t="s">
        <v>50</v>
      </c>
      <c r="I1205" s="78"/>
      <c r="J1205" s="78"/>
      <c r="K1205" s="76"/>
      <c r="L1205" s="76"/>
      <c r="M1205" s="76"/>
      <c r="N1205" s="76"/>
      <c r="O1205" s="76"/>
      <c r="P1205" s="76"/>
      <c r="Q1205" s="76"/>
      <c r="R1205" s="76"/>
      <c r="X1205" s="84" t="s">
        <v>2641</v>
      </c>
      <c r="Z1205" s="84" t="s">
        <v>2541</v>
      </c>
      <c r="AA1205" s="84" t="s">
        <v>2642</v>
      </c>
      <c r="AG1205" s="84" t="s">
        <v>2643</v>
      </c>
      <c r="AU1205" s="84">
        <v>110</v>
      </c>
      <c r="AY1205" s="86" t="s">
        <v>2651</v>
      </c>
      <c r="AZ1205" s="88">
        <f t="shared" si="39"/>
        <v>0</v>
      </c>
      <c r="BE1205" s="84" t="s">
        <v>2659</v>
      </c>
      <c r="BG1205" s="84" t="s">
        <v>2541</v>
      </c>
      <c r="BJ1205" s="79" t="s">
        <v>2803</v>
      </c>
      <c r="BX1205" s="88"/>
      <c r="CQ1205" s="88"/>
    </row>
    <row r="1206" spans="1:95" outlineLevel="1" x14ac:dyDescent="0.15">
      <c r="A1206" s="76">
        <v>1192</v>
      </c>
      <c r="B1206" s="65" t="s">
        <v>2449</v>
      </c>
      <c r="C1206" s="65">
        <v>1003676618</v>
      </c>
      <c r="D1206" s="81" t="str">
        <f t="shared" si="40"/>
        <v>https://portal.dnb.de/opac.htm?method=simpleSearch&amp;cqlMode=true&amp;query=idn%3D1003676618</v>
      </c>
      <c r="E1206" s="65" t="s">
        <v>2450</v>
      </c>
      <c r="F1206" s="76"/>
      <c r="G1206" s="78"/>
      <c r="H1206" s="76" t="s">
        <v>50</v>
      </c>
      <c r="I1206" s="78"/>
      <c r="J1206" s="78"/>
      <c r="K1206" s="76"/>
      <c r="L1206" s="76"/>
      <c r="M1206" s="76"/>
      <c r="N1206" s="76"/>
      <c r="O1206" s="76"/>
      <c r="P1206" s="76"/>
      <c r="Q1206" s="76"/>
      <c r="R1206" s="76"/>
      <c r="X1206" s="84" t="s">
        <v>2643</v>
      </c>
      <c r="Z1206" s="84" t="s">
        <v>2541</v>
      </c>
      <c r="AA1206" s="84" t="s">
        <v>2647</v>
      </c>
      <c r="AG1206" s="84" t="s">
        <v>2643</v>
      </c>
      <c r="AU1206" s="84">
        <v>110</v>
      </c>
      <c r="AY1206" s="86" t="s">
        <v>2651</v>
      </c>
      <c r="AZ1206" s="88">
        <f t="shared" si="39"/>
        <v>0</v>
      </c>
      <c r="BX1206" s="88"/>
      <c r="CQ1206" s="88"/>
    </row>
    <row r="1207" spans="1:95" outlineLevel="1" x14ac:dyDescent="0.15">
      <c r="A1207" s="76">
        <v>1193</v>
      </c>
      <c r="B1207" s="65" t="s">
        <v>2451</v>
      </c>
      <c r="C1207" s="65">
        <v>1066957037</v>
      </c>
      <c r="D1207" s="81" t="str">
        <f t="shared" si="40"/>
        <v>https://portal.dnb.de/opac.htm?method=simpleSearch&amp;cqlMode=true&amp;query=idn%3D1066957037</v>
      </c>
      <c r="E1207" s="65" t="s">
        <v>2452</v>
      </c>
      <c r="F1207" s="76"/>
      <c r="G1207" s="78"/>
      <c r="H1207" s="76" t="s">
        <v>50</v>
      </c>
      <c r="I1207" s="78"/>
      <c r="J1207" s="78"/>
      <c r="K1207" s="76"/>
      <c r="L1207" s="76"/>
      <c r="M1207" s="76"/>
      <c r="N1207" s="76"/>
      <c r="O1207" s="76"/>
      <c r="P1207" s="76"/>
      <c r="Q1207" s="76"/>
      <c r="R1207" s="76"/>
      <c r="X1207" s="84" t="s">
        <v>2643</v>
      </c>
      <c r="Y1207" s="84" t="s">
        <v>2541</v>
      </c>
      <c r="AA1207" s="84" t="s">
        <v>2647</v>
      </c>
      <c r="AG1207" s="84" t="s">
        <v>2643</v>
      </c>
      <c r="AU1207" s="84">
        <v>110</v>
      </c>
      <c r="AY1207" s="86" t="s">
        <v>2651</v>
      </c>
      <c r="AZ1207" s="88">
        <f t="shared" si="39"/>
        <v>0</v>
      </c>
      <c r="BX1207" s="88"/>
      <c r="CQ1207" s="88"/>
    </row>
    <row r="1208" spans="1:95" outlineLevel="1" x14ac:dyDescent="0.15">
      <c r="A1208" s="76"/>
      <c r="B1208" s="65"/>
      <c r="C1208" s="65"/>
      <c r="D1208" s="81"/>
      <c r="E1208" s="65" t="s">
        <v>2847</v>
      </c>
      <c r="F1208" s="76"/>
      <c r="G1208" s="78"/>
      <c r="H1208" s="76" t="s">
        <v>50</v>
      </c>
      <c r="I1208" s="78"/>
      <c r="J1208" s="78"/>
      <c r="K1208" s="76"/>
      <c r="L1208" s="76"/>
      <c r="M1208" s="76"/>
      <c r="N1208" s="76"/>
      <c r="O1208" s="76"/>
      <c r="P1208" s="76"/>
      <c r="Q1208" s="76"/>
      <c r="R1208" s="76"/>
      <c r="X1208" s="84" t="s">
        <v>2643</v>
      </c>
      <c r="AA1208" s="84" t="s">
        <v>2647</v>
      </c>
      <c r="AG1208" s="84" t="s">
        <v>2643</v>
      </c>
      <c r="AU1208" s="84">
        <v>110</v>
      </c>
      <c r="AY1208" s="86" t="s">
        <v>2651</v>
      </c>
      <c r="AZ1208" s="88">
        <f t="shared" si="39"/>
        <v>0</v>
      </c>
      <c r="BX1208" s="88"/>
      <c r="CQ1208" s="88"/>
    </row>
    <row r="1209" spans="1:95" outlineLevel="1" x14ac:dyDescent="0.15">
      <c r="A1209" s="76">
        <v>1194</v>
      </c>
      <c r="B1209" s="65" t="s">
        <v>2453</v>
      </c>
      <c r="C1209" s="65">
        <v>1001795830</v>
      </c>
      <c r="D1209" s="81" t="str">
        <f t="shared" si="40"/>
        <v>https://portal.dnb.de/opac.htm?method=simpleSearch&amp;cqlMode=true&amp;query=idn%3D1001795830</v>
      </c>
      <c r="E1209" s="65" t="s">
        <v>2454</v>
      </c>
      <c r="F1209" s="76"/>
      <c r="G1209" s="78"/>
      <c r="H1209" s="76" t="s">
        <v>50</v>
      </c>
      <c r="I1209" s="78"/>
      <c r="J1209" s="78"/>
      <c r="K1209" s="76"/>
      <c r="L1209" s="76"/>
      <c r="M1209" s="76"/>
      <c r="N1209" s="76"/>
      <c r="O1209" s="76"/>
      <c r="P1209" s="76"/>
      <c r="Q1209" s="76"/>
      <c r="R1209" s="76"/>
      <c r="X1209" s="84" t="s">
        <v>2700</v>
      </c>
      <c r="AG1209" s="84" t="s">
        <v>2643</v>
      </c>
      <c r="AU1209" s="84" t="s">
        <v>2650</v>
      </c>
      <c r="AW1209" s="84" t="s">
        <v>2541</v>
      </c>
      <c r="AX1209" s="84" t="s">
        <v>2541</v>
      </c>
      <c r="AY1209" s="86" t="s">
        <v>2651</v>
      </c>
      <c r="AZ1209" s="88">
        <f t="shared" si="39"/>
        <v>0</v>
      </c>
      <c r="BJ1209" s="79" t="s">
        <v>2848</v>
      </c>
      <c r="BX1209" s="88"/>
      <c r="CQ1209" s="88"/>
    </row>
    <row r="1210" spans="1:95" ht="22.5" outlineLevel="1" x14ac:dyDescent="0.15">
      <c r="A1210" s="76">
        <v>1195</v>
      </c>
      <c r="B1210" s="65" t="s">
        <v>2455</v>
      </c>
      <c r="C1210" s="65">
        <v>1066937397</v>
      </c>
      <c r="D1210" s="81" t="str">
        <f t="shared" si="40"/>
        <v>https://portal.dnb.de/opac.htm?method=simpleSearch&amp;cqlMode=true&amp;query=idn%3D1066937397</v>
      </c>
      <c r="E1210" s="65" t="s">
        <v>2456</v>
      </c>
      <c r="F1210" s="76"/>
      <c r="G1210" s="78"/>
      <c r="H1210" s="76" t="s">
        <v>51</v>
      </c>
      <c r="I1210" s="78"/>
      <c r="J1210" s="78"/>
      <c r="K1210" s="76"/>
      <c r="L1210" s="76"/>
      <c r="M1210" s="76"/>
      <c r="N1210" s="76"/>
      <c r="O1210" s="76"/>
      <c r="P1210" s="76"/>
      <c r="Q1210" s="76"/>
      <c r="R1210" s="76"/>
      <c r="X1210" s="84" t="s">
        <v>2641</v>
      </c>
      <c r="AA1210" s="84" t="s">
        <v>2675</v>
      </c>
      <c r="AG1210" s="84" t="s">
        <v>2643</v>
      </c>
      <c r="AU1210" s="84">
        <v>60</v>
      </c>
      <c r="AY1210" s="86" t="s">
        <v>2651</v>
      </c>
      <c r="AZ1210" s="88">
        <f t="shared" si="39"/>
        <v>0</v>
      </c>
      <c r="BB1210" s="86" t="s">
        <v>2831</v>
      </c>
      <c r="BX1210" s="88"/>
      <c r="CQ1210" s="88"/>
    </row>
    <row r="1211" spans="1:95" outlineLevel="1" x14ac:dyDescent="0.15">
      <c r="A1211" s="76">
        <v>1196</v>
      </c>
      <c r="B1211" s="65" t="s">
        <v>2457</v>
      </c>
      <c r="C1211" s="65" t="s">
        <v>2458</v>
      </c>
      <c r="D1211" s="81" t="str">
        <f t="shared" si="40"/>
        <v>https://portal.dnb.de/opac.htm?method=simpleSearch&amp;cqlMode=true&amp;query=idn%3D106695982X</v>
      </c>
      <c r="E1211" s="65" t="s">
        <v>2459</v>
      </c>
      <c r="F1211" s="76"/>
      <c r="G1211" s="78"/>
      <c r="H1211" s="76"/>
      <c r="I1211" s="78"/>
      <c r="J1211" s="78"/>
      <c r="K1211" s="76"/>
      <c r="L1211" s="76"/>
      <c r="M1211" s="76"/>
      <c r="N1211" s="76"/>
      <c r="O1211" s="76"/>
      <c r="P1211" s="76"/>
      <c r="Q1211" s="76"/>
      <c r="R1211" s="76"/>
      <c r="S1211" s="84" t="s">
        <v>2774</v>
      </c>
      <c r="AZ1211" s="88">
        <f t="shared" si="39"/>
        <v>0</v>
      </c>
      <c r="BX1211" s="88"/>
      <c r="CQ1211" s="88"/>
    </row>
    <row r="1212" spans="1:95" outlineLevel="1" x14ac:dyDescent="0.15">
      <c r="A1212" s="76">
        <v>1197</v>
      </c>
      <c r="B1212" s="65" t="s">
        <v>2460</v>
      </c>
      <c r="C1212" s="65">
        <v>994870507</v>
      </c>
      <c r="D1212" s="81" t="str">
        <f t="shared" si="40"/>
        <v>https://portal.dnb.de/opac.htm?method=simpleSearch&amp;cqlMode=true&amp;query=idn%3D994870507</v>
      </c>
      <c r="E1212" s="65" t="s">
        <v>2461</v>
      </c>
      <c r="F1212" s="76"/>
      <c r="G1212" s="78"/>
      <c r="H1212" s="76" t="s">
        <v>50</v>
      </c>
      <c r="I1212" s="78"/>
      <c r="J1212" s="78"/>
      <c r="K1212" s="76"/>
      <c r="L1212" s="76"/>
      <c r="M1212" s="76"/>
      <c r="N1212" s="76"/>
      <c r="O1212" s="76"/>
      <c r="P1212" s="76"/>
      <c r="Q1212" s="76"/>
      <c r="R1212" s="76"/>
      <c r="X1212" s="84" t="s">
        <v>2696</v>
      </c>
      <c r="AA1212" s="84" t="s">
        <v>2647</v>
      </c>
      <c r="AG1212" s="84" t="s">
        <v>2643</v>
      </c>
      <c r="AU1212" s="84">
        <v>110</v>
      </c>
      <c r="AY1212" s="86" t="s">
        <v>2651</v>
      </c>
      <c r="AZ1212" s="88">
        <f t="shared" si="39"/>
        <v>0</v>
      </c>
      <c r="BX1212" s="88"/>
      <c r="CQ1212" s="88"/>
    </row>
    <row r="1213" spans="1:95" outlineLevel="1" x14ac:dyDescent="0.15">
      <c r="A1213" s="76">
        <v>1198</v>
      </c>
      <c r="B1213" s="65" t="s">
        <v>2462</v>
      </c>
      <c r="C1213" s="65" t="s">
        <v>2463</v>
      </c>
      <c r="D1213" s="81" t="str">
        <f t="shared" si="40"/>
        <v>https://portal.dnb.de/opac.htm?method=simpleSearch&amp;cqlMode=true&amp;query=idn%3D100048369X</v>
      </c>
      <c r="E1213" s="65" t="s">
        <v>2464</v>
      </c>
      <c r="F1213" s="76"/>
      <c r="G1213" s="78"/>
      <c r="H1213" s="76"/>
      <c r="I1213" s="78"/>
      <c r="J1213" s="78"/>
      <c r="K1213" s="76"/>
      <c r="L1213" s="76"/>
      <c r="M1213" s="76"/>
      <c r="N1213" s="76"/>
      <c r="O1213" s="76"/>
      <c r="P1213" s="76"/>
      <c r="Q1213" s="76"/>
      <c r="R1213" s="76"/>
      <c r="AZ1213" s="88">
        <f t="shared" si="39"/>
        <v>0</v>
      </c>
      <c r="BX1213" s="88"/>
      <c r="CQ1213" s="88"/>
    </row>
    <row r="1214" spans="1:95" outlineLevel="1" x14ac:dyDescent="0.15">
      <c r="A1214" s="76">
        <v>1199</v>
      </c>
      <c r="B1214" s="65" t="s">
        <v>2465</v>
      </c>
      <c r="C1214" s="65" t="s">
        <v>2463</v>
      </c>
      <c r="D1214" s="81" t="str">
        <f t="shared" si="40"/>
        <v>https://portal.dnb.de/opac.htm?method=simpleSearch&amp;cqlMode=true&amp;query=idn%3D100048369X</v>
      </c>
      <c r="E1214" s="65" t="s">
        <v>2466</v>
      </c>
      <c r="F1214" s="76"/>
      <c r="G1214" s="78"/>
      <c r="H1214" s="76" t="s">
        <v>50</v>
      </c>
      <c r="I1214" s="78"/>
      <c r="J1214" s="78"/>
      <c r="K1214" s="76"/>
      <c r="L1214" s="76"/>
      <c r="M1214" s="76"/>
      <c r="N1214" s="76"/>
      <c r="O1214" s="76"/>
      <c r="P1214" s="76"/>
      <c r="Q1214" s="76"/>
      <c r="R1214" s="76"/>
      <c r="X1214" s="84" t="s">
        <v>2696</v>
      </c>
      <c r="Z1214" s="84" t="s">
        <v>2541</v>
      </c>
      <c r="AA1214" s="84" t="s">
        <v>2647</v>
      </c>
      <c r="AG1214" s="84" t="s">
        <v>2643</v>
      </c>
      <c r="AU1214" s="84">
        <v>110</v>
      </c>
      <c r="AY1214" s="86" t="s">
        <v>2651</v>
      </c>
      <c r="AZ1214" s="88">
        <f t="shared" si="39"/>
        <v>0</v>
      </c>
      <c r="BX1214" s="88"/>
      <c r="CQ1214" s="88"/>
    </row>
    <row r="1215" spans="1:95" outlineLevel="1" x14ac:dyDescent="0.15">
      <c r="A1215" s="76">
        <v>1200</v>
      </c>
      <c r="B1215" s="65" t="s">
        <v>2467</v>
      </c>
      <c r="C1215" s="65">
        <v>1000933296</v>
      </c>
      <c r="D1215" s="81" t="str">
        <f t="shared" si="40"/>
        <v>https://portal.dnb.de/opac.htm?method=simpleSearch&amp;cqlMode=true&amp;query=idn%3D1000933296</v>
      </c>
      <c r="E1215" s="65" t="s">
        <v>2468</v>
      </c>
      <c r="F1215" s="76" t="s">
        <v>89</v>
      </c>
      <c r="G1215" s="78" t="s">
        <v>4</v>
      </c>
      <c r="H1215" s="76" t="s">
        <v>50</v>
      </c>
      <c r="I1215" s="78" t="s">
        <v>55</v>
      </c>
      <c r="J1215" s="78" t="s">
        <v>94</v>
      </c>
      <c r="K1215" s="76"/>
      <c r="L1215" s="76" t="s">
        <v>29</v>
      </c>
      <c r="M1215" s="76" t="s">
        <v>37</v>
      </c>
      <c r="N1215" s="76">
        <v>0</v>
      </c>
      <c r="O1215" s="76"/>
      <c r="P1215" s="76"/>
      <c r="Q1215" s="76"/>
      <c r="R1215" s="76"/>
      <c r="AZ1215" s="88">
        <f t="shared" si="39"/>
        <v>0</v>
      </c>
      <c r="BX1215" s="88"/>
      <c r="CQ1215" s="88"/>
    </row>
    <row r="1216" spans="1:95" ht="22.5" outlineLevel="1" x14ac:dyDescent="0.15">
      <c r="A1216" s="76"/>
      <c r="B1216" s="65"/>
      <c r="C1216" s="65"/>
      <c r="D1216" s="81"/>
      <c r="E1216" s="65" t="s">
        <v>2562</v>
      </c>
      <c r="F1216" s="76" t="s">
        <v>89</v>
      </c>
      <c r="G1216" s="78" t="s">
        <v>46</v>
      </c>
      <c r="H1216" s="76" t="s">
        <v>51</v>
      </c>
      <c r="I1216" s="78" t="s">
        <v>90</v>
      </c>
      <c r="J1216" s="78" t="s">
        <v>2563</v>
      </c>
      <c r="K1216" s="76"/>
      <c r="L1216" s="76"/>
      <c r="M1216" s="76"/>
      <c r="N1216" s="76">
        <v>1</v>
      </c>
      <c r="O1216" s="76"/>
      <c r="P1216" s="76"/>
      <c r="Q1216" s="76"/>
      <c r="R1216" s="76"/>
      <c r="X1216" s="84" t="s">
        <v>2696</v>
      </c>
      <c r="AA1216" s="84" t="s">
        <v>2647</v>
      </c>
      <c r="AG1216" s="84" t="s">
        <v>2643</v>
      </c>
      <c r="AU1216" s="84">
        <v>110</v>
      </c>
      <c r="AY1216" s="86" t="s">
        <v>2651</v>
      </c>
      <c r="AZ1216" s="88">
        <f t="shared" ref="AZ1216:AZ1236" si="41">BX1216+CQ1216</f>
        <v>0</v>
      </c>
      <c r="BH1216" s="79" t="s">
        <v>2962</v>
      </c>
      <c r="BX1216" s="88"/>
      <c r="CQ1216" s="88"/>
    </row>
    <row r="1217" spans="1:95" outlineLevel="1" x14ac:dyDescent="0.15">
      <c r="A1217" s="76">
        <v>1201</v>
      </c>
      <c r="B1217" s="65" t="s">
        <v>2469</v>
      </c>
      <c r="C1217" s="65">
        <v>994340486</v>
      </c>
      <c r="D1217" s="81" t="str">
        <f>HYPERLINK(CONCATENATE("https://portal.dnb.de/opac.htm?method=simpleSearch&amp;cqlMode=true&amp;query=idn%3D",C1217))</f>
        <v>https://portal.dnb.de/opac.htm?method=simpleSearch&amp;cqlMode=true&amp;query=idn%3D994340486</v>
      </c>
      <c r="E1217" s="65" t="s">
        <v>2470</v>
      </c>
      <c r="F1217" s="76" t="s">
        <v>89</v>
      </c>
      <c r="G1217" s="78" t="s">
        <v>4</v>
      </c>
      <c r="H1217" s="76" t="s">
        <v>50</v>
      </c>
      <c r="I1217" s="78" t="s">
        <v>55</v>
      </c>
      <c r="J1217" s="78" t="s">
        <v>94</v>
      </c>
      <c r="K1217" s="76"/>
      <c r="L1217" s="76" t="s">
        <v>35</v>
      </c>
      <c r="M1217" s="76" t="s">
        <v>37</v>
      </c>
      <c r="N1217" s="76">
        <v>0</v>
      </c>
      <c r="O1217" s="76"/>
      <c r="P1217" s="76"/>
      <c r="Q1217" s="76"/>
      <c r="R1217" s="76"/>
      <c r="AZ1217" s="88">
        <f t="shared" si="41"/>
        <v>0</v>
      </c>
      <c r="BX1217" s="88"/>
      <c r="CQ1217" s="88"/>
    </row>
    <row r="1218" spans="1:95" outlineLevel="1" x14ac:dyDescent="0.15">
      <c r="A1218" s="76">
        <v>1202</v>
      </c>
      <c r="B1218" s="65" t="s">
        <v>2471</v>
      </c>
      <c r="C1218" s="65">
        <v>993918360</v>
      </c>
      <c r="D1218" s="81" t="str">
        <f t="shared" si="40"/>
        <v>https://portal.dnb.de/opac.htm?method=simpleSearch&amp;cqlMode=true&amp;query=idn%3D993918360</v>
      </c>
      <c r="E1218" s="65" t="s">
        <v>2472</v>
      </c>
      <c r="F1218" s="76"/>
      <c r="G1218" s="78" t="s">
        <v>4</v>
      </c>
      <c r="H1218" s="76" t="s">
        <v>50</v>
      </c>
      <c r="I1218" s="78" t="s">
        <v>90</v>
      </c>
      <c r="J1218" s="78"/>
      <c r="K1218" s="76"/>
      <c r="L1218" s="76" t="s">
        <v>35</v>
      </c>
      <c r="M1218" s="76" t="s">
        <v>37</v>
      </c>
      <c r="N1218" s="76">
        <v>0</v>
      </c>
      <c r="O1218" s="76"/>
      <c r="P1218" s="76"/>
      <c r="Q1218" s="76"/>
      <c r="R1218" s="76"/>
      <c r="AZ1218" s="88">
        <f t="shared" si="41"/>
        <v>0</v>
      </c>
      <c r="BX1218" s="88"/>
      <c r="CQ1218" s="88"/>
    </row>
    <row r="1219" spans="1:95" outlineLevel="1" x14ac:dyDescent="0.15">
      <c r="A1219" s="76">
        <v>1203</v>
      </c>
      <c r="B1219" s="65" t="s">
        <v>2473</v>
      </c>
      <c r="C1219" s="65">
        <v>997855436</v>
      </c>
      <c r="D1219" s="81" t="str">
        <f t="shared" si="40"/>
        <v>https://portal.dnb.de/opac.htm?method=simpleSearch&amp;cqlMode=true&amp;query=idn%3D997855436</v>
      </c>
      <c r="E1219" s="65" t="s">
        <v>2474</v>
      </c>
      <c r="F1219" s="76"/>
      <c r="G1219" s="78" t="s">
        <v>3</v>
      </c>
      <c r="H1219" s="76" t="s">
        <v>50</v>
      </c>
      <c r="I1219" s="78" t="s">
        <v>55</v>
      </c>
      <c r="J1219" s="78"/>
      <c r="K1219" s="76"/>
      <c r="L1219" s="76"/>
      <c r="M1219" s="76"/>
      <c r="N1219" s="76">
        <v>0</v>
      </c>
      <c r="O1219" s="76"/>
      <c r="P1219" s="76"/>
      <c r="Q1219" s="76"/>
      <c r="R1219" s="76"/>
      <c r="AZ1219" s="88">
        <f t="shared" si="41"/>
        <v>0</v>
      </c>
      <c r="BX1219" s="88"/>
      <c r="CQ1219" s="88"/>
    </row>
    <row r="1220" spans="1:95" outlineLevel="1" x14ac:dyDescent="0.15">
      <c r="A1220" s="76">
        <v>1204</v>
      </c>
      <c r="B1220" s="65" t="s">
        <v>2475</v>
      </c>
      <c r="C1220" s="65">
        <v>1066964394</v>
      </c>
      <c r="D1220" s="81" t="str">
        <f t="shared" si="40"/>
        <v>https://portal.dnb.de/opac.htm?method=simpleSearch&amp;cqlMode=true&amp;query=idn%3D1066964394</v>
      </c>
      <c r="E1220" s="65" t="s">
        <v>2476</v>
      </c>
      <c r="F1220" s="76"/>
      <c r="G1220" s="78"/>
      <c r="H1220" s="76" t="s">
        <v>50</v>
      </c>
      <c r="I1220" s="78"/>
      <c r="J1220" s="78"/>
      <c r="K1220" s="76"/>
      <c r="L1220" s="76"/>
      <c r="M1220" s="76"/>
      <c r="N1220" s="76"/>
      <c r="O1220" s="76"/>
      <c r="P1220" s="76"/>
      <c r="Q1220" s="76"/>
      <c r="R1220" s="76"/>
      <c r="X1220" s="84" t="s">
        <v>2697</v>
      </c>
      <c r="Z1220" s="84" t="s">
        <v>2541</v>
      </c>
      <c r="AA1220" s="84" t="s">
        <v>2642</v>
      </c>
      <c r="AG1220" s="84" t="s">
        <v>2643</v>
      </c>
      <c r="AU1220" s="84">
        <v>110</v>
      </c>
      <c r="AY1220" s="86" t="s">
        <v>2651</v>
      </c>
      <c r="AZ1220" s="88">
        <f t="shared" si="41"/>
        <v>0</v>
      </c>
      <c r="BB1220" s="84" t="s">
        <v>2777</v>
      </c>
      <c r="BI1220" s="63" t="s">
        <v>2780</v>
      </c>
      <c r="BX1220" s="88"/>
      <c r="CQ1220" s="88"/>
    </row>
    <row r="1221" spans="1:95" outlineLevel="1" x14ac:dyDescent="0.15">
      <c r="A1221" s="76">
        <v>1205</v>
      </c>
      <c r="B1221" s="65" t="s">
        <v>2477</v>
      </c>
      <c r="C1221" s="65">
        <v>996697721</v>
      </c>
      <c r="D1221" s="81" t="str">
        <f t="shared" si="40"/>
        <v>https://portal.dnb.de/opac.htm?method=simpleSearch&amp;cqlMode=true&amp;query=idn%3D996697721</v>
      </c>
      <c r="E1221" s="65" t="s">
        <v>2478</v>
      </c>
      <c r="F1221" s="76" t="s">
        <v>89</v>
      </c>
      <c r="G1221" s="78" t="s">
        <v>46</v>
      </c>
      <c r="H1221" s="76" t="s">
        <v>50</v>
      </c>
      <c r="I1221" s="78" t="s">
        <v>55</v>
      </c>
      <c r="J1221" s="78" t="s">
        <v>2615</v>
      </c>
      <c r="K1221" s="76"/>
      <c r="L1221" s="76"/>
      <c r="M1221" s="76"/>
      <c r="N1221" s="76">
        <v>0</v>
      </c>
      <c r="O1221" s="76"/>
      <c r="P1221" s="76"/>
      <c r="Q1221" s="76"/>
      <c r="R1221" s="76"/>
      <c r="AZ1221" s="88">
        <f t="shared" si="41"/>
        <v>0</v>
      </c>
      <c r="BX1221" s="88"/>
      <c r="CQ1221" s="88"/>
    </row>
    <row r="1222" spans="1:95" ht="22.5" outlineLevel="1" x14ac:dyDescent="0.15">
      <c r="A1222" s="76">
        <v>1206</v>
      </c>
      <c r="B1222" s="65" t="s">
        <v>2479</v>
      </c>
      <c r="C1222" s="65" t="s">
        <v>2480</v>
      </c>
      <c r="D1222" s="81" t="str">
        <f t="shared" si="40"/>
        <v>https://portal.dnb.de/opac.htm?method=simpleSearch&amp;cqlMode=true&amp;query=idn%3D99431339X</v>
      </c>
      <c r="E1222" s="65" t="s">
        <v>2481</v>
      </c>
      <c r="F1222" s="76"/>
      <c r="G1222" s="78" t="s">
        <v>4</v>
      </c>
      <c r="H1222" s="76" t="s">
        <v>50</v>
      </c>
      <c r="I1222" s="78" t="s">
        <v>55</v>
      </c>
      <c r="J1222" s="78" t="s">
        <v>2578</v>
      </c>
      <c r="K1222" s="76"/>
      <c r="L1222" s="76"/>
      <c r="M1222" s="76" t="s">
        <v>101</v>
      </c>
      <c r="N1222" s="76">
        <v>0</v>
      </c>
      <c r="O1222" s="76"/>
      <c r="P1222" s="76"/>
      <c r="Q1222" s="76"/>
      <c r="R1222" s="76"/>
      <c r="AZ1222" s="88">
        <f t="shared" si="41"/>
        <v>0</v>
      </c>
      <c r="BX1222" s="88"/>
      <c r="CQ1222" s="88"/>
    </row>
    <row r="1223" spans="1:95" outlineLevel="1" x14ac:dyDescent="0.15">
      <c r="A1223" s="76">
        <v>1207</v>
      </c>
      <c r="B1223" s="65" t="s">
        <v>2482</v>
      </c>
      <c r="C1223" s="65">
        <v>994053215</v>
      </c>
      <c r="D1223" s="81" t="str">
        <f t="shared" si="40"/>
        <v>https://portal.dnb.de/opac.htm?method=simpleSearch&amp;cqlMode=true&amp;query=idn%3D994053215</v>
      </c>
      <c r="E1223" s="65" t="s">
        <v>2483</v>
      </c>
      <c r="F1223" s="76"/>
      <c r="G1223" s="78"/>
      <c r="H1223" s="76" t="s">
        <v>50</v>
      </c>
      <c r="I1223" s="78"/>
      <c r="J1223" s="78"/>
      <c r="K1223" s="76"/>
      <c r="L1223" s="76"/>
      <c r="M1223" s="76"/>
      <c r="N1223" s="76"/>
      <c r="O1223" s="76"/>
      <c r="P1223" s="76"/>
      <c r="Q1223" s="76"/>
      <c r="R1223" s="76"/>
      <c r="W1223" s="84" t="s">
        <v>2541</v>
      </c>
      <c r="X1223" s="84" t="s">
        <v>2646</v>
      </c>
      <c r="Z1223" s="84" t="s">
        <v>2541</v>
      </c>
      <c r="AA1223" s="84" t="s">
        <v>2675</v>
      </c>
      <c r="AG1223" s="84" t="s">
        <v>2643</v>
      </c>
      <c r="AS1223" s="84">
        <v>4</v>
      </c>
      <c r="AU1223" s="84" t="s">
        <v>2776</v>
      </c>
      <c r="AY1223" s="86" t="s">
        <v>2651</v>
      </c>
      <c r="AZ1223" s="88">
        <f t="shared" si="41"/>
        <v>0</v>
      </c>
      <c r="BB1223" s="84" t="s">
        <v>2777</v>
      </c>
      <c r="BH1223" s="79" t="s">
        <v>2793</v>
      </c>
      <c r="BX1223" s="88"/>
      <c r="CQ1223" s="88"/>
    </row>
    <row r="1224" spans="1:95" outlineLevel="1" x14ac:dyDescent="0.15">
      <c r="A1224" s="76">
        <v>1208</v>
      </c>
      <c r="B1224" s="65" t="s">
        <v>2484</v>
      </c>
      <c r="C1224" s="65">
        <v>997036885</v>
      </c>
      <c r="D1224" s="81" t="str">
        <f t="shared" si="40"/>
        <v>https://portal.dnb.de/opac.htm?method=simpleSearch&amp;cqlMode=true&amp;query=idn%3D997036885</v>
      </c>
      <c r="E1224" s="65" t="s">
        <v>2485</v>
      </c>
      <c r="F1224" s="76"/>
      <c r="G1224" s="78"/>
      <c r="H1224" s="76"/>
      <c r="I1224" s="78"/>
      <c r="J1224" s="78"/>
      <c r="K1224" s="76"/>
      <c r="L1224" s="76"/>
      <c r="M1224" s="76"/>
      <c r="N1224" s="76"/>
      <c r="O1224" s="76"/>
      <c r="P1224" s="76"/>
      <c r="Q1224" s="76"/>
      <c r="R1224" s="76"/>
      <c r="S1224" s="84" t="s">
        <v>2774</v>
      </c>
      <c r="AZ1224" s="88">
        <f t="shared" si="41"/>
        <v>0</v>
      </c>
      <c r="BX1224" s="88"/>
      <c r="CQ1224" s="88"/>
    </row>
    <row r="1225" spans="1:95" outlineLevel="1" x14ac:dyDescent="0.15">
      <c r="A1225" s="76">
        <v>1209</v>
      </c>
      <c r="B1225" s="65" t="s">
        <v>2486</v>
      </c>
      <c r="C1225" s="65">
        <v>997905093</v>
      </c>
      <c r="D1225" s="81" t="str">
        <f t="shared" si="40"/>
        <v>https://portal.dnb.de/opac.htm?method=simpleSearch&amp;cqlMode=true&amp;query=idn%3D997905093</v>
      </c>
      <c r="E1225" s="65" t="s">
        <v>2485</v>
      </c>
      <c r="F1225" s="76"/>
      <c r="G1225" s="78"/>
      <c r="H1225" s="76"/>
      <c r="I1225" s="78"/>
      <c r="J1225" s="78"/>
      <c r="K1225" s="76"/>
      <c r="L1225" s="76"/>
      <c r="M1225" s="76"/>
      <c r="N1225" s="76"/>
      <c r="O1225" s="76"/>
      <c r="P1225" s="76"/>
      <c r="Q1225" s="76"/>
      <c r="R1225" s="76"/>
      <c r="S1225" s="84" t="s">
        <v>2774</v>
      </c>
      <c r="AZ1225" s="88">
        <f t="shared" si="41"/>
        <v>0</v>
      </c>
      <c r="BX1225" s="88"/>
      <c r="CQ1225" s="88"/>
    </row>
    <row r="1226" spans="1:95" outlineLevel="1" x14ac:dyDescent="0.15">
      <c r="A1226" s="76">
        <v>1210</v>
      </c>
      <c r="B1226" s="65" t="s">
        <v>2487</v>
      </c>
      <c r="C1226" s="65">
        <v>1066796394</v>
      </c>
      <c r="D1226" s="81" t="str">
        <f t="shared" si="40"/>
        <v>https://portal.dnb.de/opac.htm?method=simpleSearch&amp;cqlMode=true&amp;query=idn%3D1066796394</v>
      </c>
      <c r="E1226" s="65" t="s">
        <v>2488</v>
      </c>
      <c r="F1226" s="76"/>
      <c r="G1226" s="78"/>
      <c r="H1226" s="76"/>
      <c r="I1226" s="78"/>
      <c r="J1226" s="78"/>
      <c r="K1226" s="76"/>
      <c r="L1226" s="76"/>
      <c r="M1226" s="76"/>
      <c r="N1226" s="76"/>
      <c r="O1226" s="76"/>
      <c r="P1226" s="76"/>
      <c r="Q1226" s="76"/>
      <c r="R1226" s="76"/>
      <c r="S1226" s="84" t="s">
        <v>2774</v>
      </c>
      <c r="AZ1226" s="88">
        <f t="shared" si="41"/>
        <v>0</v>
      </c>
      <c r="BX1226" s="88"/>
      <c r="CQ1226" s="88"/>
    </row>
    <row r="1227" spans="1:95" outlineLevel="1" x14ac:dyDescent="0.15">
      <c r="A1227" s="76">
        <v>1211</v>
      </c>
      <c r="B1227" s="65" t="s">
        <v>2489</v>
      </c>
      <c r="C1227" s="65">
        <v>1066957789</v>
      </c>
      <c r="D1227" s="81" t="str">
        <f t="shared" si="40"/>
        <v>https://portal.dnb.de/opac.htm?method=simpleSearch&amp;cqlMode=true&amp;query=idn%3D1066957789</v>
      </c>
      <c r="E1227" s="65" t="s">
        <v>2490</v>
      </c>
      <c r="F1227" s="76"/>
      <c r="G1227" s="78"/>
      <c r="H1227" s="76"/>
      <c r="I1227" s="78"/>
      <c r="J1227" s="78"/>
      <c r="K1227" s="76"/>
      <c r="L1227" s="76"/>
      <c r="M1227" s="76"/>
      <c r="N1227" s="76"/>
      <c r="O1227" s="76"/>
      <c r="P1227" s="76"/>
      <c r="Q1227" s="76"/>
      <c r="R1227" s="76"/>
      <c r="AZ1227" s="88">
        <f t="shared" si="41"/>
        <v>0</v>
      </c>
      <c r="BX1227" s="88"/>
      <c r="CQ1227" s="88"/>
    </row>
    <row r="1228" spans="1:95" outlineLevel="1" x14ac:dyDescent="0.15">
      <c r="A1228" s="76">
        <v>1212</v>
      </c>
      <c r="B1228" s="65" t="s">
        <v>2491</v>
      </c>
      <c r="C1228" s="65">
        <v>995355584</v>
      </c>
      <c r="D1228" s="81" t="str">
        <f t="shared" si="40"/>
        <v>https://portal.dnb.de/opac.htm?method=simpleSearch&amp;cqlMode=true&amp;query=idn%3D995355584</v>
      </c>
      <c r="E1228" s="65" t="s">
        <v>2492</v>
      </c>
      <c r="F1228" s="76"/>
      <c r="G1228" s="78" t="s">
        <v>3</v>
      </c>
      <c r="H1228" s="76"/>
      <c r="I1228" s="78"/>
      <c r="J1228" s="78" t="s">
        <v>64</v>
      </c>
      <c r="K1228" s="76"/>
      <c r="L1228" s="76" t="s">
        <v>33</v>
      </c>
      <c r="M1228" s="76" t="s">
        <v>36</v>
      </c>
      <c r="N1228" s="76">
        <v>3</v>
      </c>
      <c r="O1228" s="76"/>
      <c r="P1228" s="76"/>
      <c r="Q1228" s="76"/>
      <c r="R1228" s="76"/>
      <c r="S1228" s="84" t="s">
        <v>2774</v>
      </c>
      <c r="AZ1228" s="88">
        <f t="shared" si="41"/>
        <v>0</v>
      </c>
      <c r="BX1228" s="88"/>
      <c r="CQ1228" s="88"/>
    </row>
    <row r="1229" spans="1:95" outlineLevel="1" x14ac:dyDescent="0.15">
      <c r="A1229" s="76">
        <v>1213</v>
      </c>
      <c r="B1229" s="65" t="s">
        <v>2493</v>
      </c>
      <c r="C1229" s="65">
        <v>997452862</v>
      </c>
      <c r="D1229" s="81" t="str">
        <f t="shared" si="40"/>
        <v>https://portal.dnb.de/opac.htm?method=simpleSearch&amp;cqlMode=true&amp;query=idn%3D997452862</v>
      </c>
      <c r="E1229" s="65" t="s">
        <v>2494</v>
      </c>
      <c r="F1229" s="76"/>
      <c r="G1229" s="78" t="s">
        <v>17</v>
      </c>
      <c r="H1229" s="76"/>
      <c r="I1229" s="78"/>
      <c r="J1229" s="78"/>
      <c r="K1229" s="76"/>
      <c r="L1229" s="76" t="s">
        <v>31</v>
      </c>
      <c r="M1229" s="76" t="s">
        <v>36</v>
      </c>
      <c r="N1229" s="76">
        <v>3</v>
      </c>
      <c r="O1229" s="76"/>
      <c r="P1229" s="76" t="s">
        <v>2569</v>
      </c>
      <c r="Q1229" s="76"/>
      <c r="R1229" s="76"/>
      <c r="S1229" s="84" t="s">
        <v>2774</v>
      </c>
      <c r="AZ1229" s="88">
        <f t="shared" si="41"/>
        <v>0</v>
      </c>
      <c r="BX1229" s="88"/>
      <c r="CQ1229" s="88"/>
    </row>
    <row r="1230" spans="1:95" outlineLevel="1" x14ac:dyDescent="0.15">
      <c r="A1230" s="76">
        <v>1214</v>
      </c>
      <c r="B1230" s="65" t="s">
        <v>2495</v>
      </c>
      <c r="C1230" s="65">
        <v>1066960054</v>
      </c>
      <c r="D1230" s="81" t="str">
        <f t="shared" si="40"/>
        <v>https://portal.dnb.de/opac.htm?method=simpleSearch&amp;cqlMode=true&amp;query=idn%3D1066960054</v>
      </c>
      <c r="E1230" s="65" t="s">
        <v>2496</v>
      </c>
      <c r="F1230" s="76"/>
      <c r="G1230" s="78"/>
      <c r="H1230" s="76"/>
      <c r="I1230" s="78"/>
      <c r="J1230" s="78"/>
      <c r="K1230" s="76"/>
      <c r="L1230" s="76"/>
      <c r="M1230" s="76"/>
      <c r="N1230" s="76"/>
      <c r="O1230" s="76"/>
      <c r="P1230" s="76"/>
      <c r="Q1230" s="76"/>
      <c r="R1230" s="76"/>
      <c r="S1230" s="84" t="s">
        <v>2774</v>
      </c>
      <c r="AZ1230" s="88">
        <f t="shared" si="41"/>
        <v>0</v>
      </c>
      <c r="BX1230" s="88"/>
      <c r="CQ1230" s="88"/>
    </row>
    <row r="1231" spans="1:95" outlineLevel="1" x14ac:dyDescent="0.15">
      <c r="A1231" s="76">
        <v>1215</v>
      </c>
      <c r="B1231" s="65" t="s">
        <v>2497</v>
      </c>
      <c r="C1231" s="65">
        <v>998890790</v>
      </c>
      <c r="D1231" s="81" t="str">
        <f t="shared" si="40"/>
        <v>https://portal.dnb.de/opac.htm?method=simpleSearch&amp;cqlMode=true&amp;query=idn%3D998890790</v>
      </c>
      <c r="E1231" s="65" t="s">
        <v>2498</v>
      </c>
      <c r="F1231" s="76"/>
      <c r="G1231" s="78"/>
      <c r="H1231" s="76"/>
      <c r="I1231" s="78"/>
      <c r="J1231" s="78"/>
      <c r="K1231" s="76"/>
      <c r="L1231" s="76"/>
      <c r="M1231" s="76"/>
      <c r="N1231" s="76"/>
      <c r="O1231" s="76"/>
      <c r="P1231" s="76"/>
      <c r="Q1231" s="76"/>
      <c r="R1231" s="76"/>
      <c r="S1231" s="84" t="s">
        <v>2774</v>
      </c>
      <c r="AZ1231" s="88">
        <f t="shared" si="41"/>
        <v>0</v>
      </c>
      <c r="BX1231" s="88"/>
      <c r="CQ1231" s="88"/>
    </row>
    <row r="1232" spans="1:95" outlineLevel="1" x14ac:dyDescent="0.15">
      <c r="A1232" s="76">
        <v>1216</v>
      </c>
      <c r="B1232" s="65" t="s">
        <v>2499</v>
      </c>
      <c r="C1232" s="65">
        <v>1066942145</v>
      </c>
      <c r="D1232" s="81" t="str">
        <f t="shared" si="40"/>
        <v>https://portal.dnb.de/opac.htm?method=simpleSearch&amp;cqlMode=true&amp;query=idn%3D1066942145</v>
      </c>
      <c r="E1232" s="65" t="s">
        <v>2500</v>
      </c>
      <c r="F1232" s="76"/>
      <c r="G1232" s="78"/>
      <c r="H1232" s="76" t="s">
        <v>50</v>
      </c>
      <c r="I1232" s="78"/>
      <c r="J1232" s="78"/>
      <c r="K1232" s="76"/>
      <c r="L1232" s="76"/>
      <c r="M1232" s="76"/>
      <c r="N1232" s="76"/>
      <c r="O1232" s="76"/>
      <c r="P1232" s="76"/>
      <c r="Q1232" s="76"/>
      <c r="R1232" s="76"/>
      <c r="X1232" s="84" t="s">
        <v>2695</v>
      </c>
      <c r="AG1232" s="84" t="s">
        <v>2643</v>
      </c>
      <c r="AU1232" s="84" t="s">
        <v>2650</v>
      </c>
      <c r="AY1232" s="86" t="s">
        <v>2651</v>
      </c>
      <c r="AZ1232" s="88">
        <f t="shared" si="41"/>
        <v>0</v>
      </c>
      <c r="BD1232" s="84" t="s">
        <v>2541</v>
      </c>
      <c r="BX1232" s="88"/>
      <c r="CQ1232" s="88"/>
    </row>
    <row r="1233" spans="1:95" outlineLevel="1" x14ac:dyDescent="0.15">
      <c r="A1233" s="76">
        <v>1217</v>
      </c>
      <c r="B1233" s="65" t="s">
        <v>2501</v>
      </c>
      <c r="C1233" s="65">
        <v>1211124975</v>
      </c>
      <c r="D1233" s="81" t="str">
        <f t="shared" si="40"/>
        <v>https://portal.dnb.de/opac.htm?method=simpleSearch&amp;cqlMode=true&amp;query=idn%3D1211124975</v>
      </c>
      <c r="E1233" s="65" t="s">
        <v>2502</v>
      </c>
      <c r="F1233" s="76"/>
      <c r="G1233" s="78"/>
      <c r="H1233" s="76"/>
      <c r="I1233" s="78"/>
      <c r="J1233" s="78"/>
      <c r="K1233" s="76"/>
      <c r="L1233" s="76"/>
      <c r="M1233" s="76"/>
      <c r="N1233" s="76"/>
      <c r="O1233" s="76"/>
      <c r="P1233" s="76"/>
      <c r="Q1233" s="76"/>
      <c r="R1233" s="76"/>
      <c r="AZ1233" s="88">
        <f t="shared" si="41"/>
        <v>0</v>
      </c>
      <c r="BX1233" s="88"/>
      <c r="CQ1233" s="88"/>
    </row>
    <row r="1234" spans="1:95" outlineLevel="1" x14ac:dyDescent="0.15">
      <c r="A1234" s="76"/>
      <c r="B1234" s="65"/>
      <c r="C1234" s="65"/>
      <c r="D1234" s="81"/>
      <c r="E1234" s="65" t="s">
        <v>3040</v>
      </c>
      <c r="F1234" s="76"/>
      <c r="G1234" s="78"/>
      <c r="H1234" s="76"/>
      <c r="I1234" s="78"/>
      <c r="J1234" s="78"/>
      <c r="K1234" s="76"/>
      <c r="L1234" s="76"/>
      <c r="M1234" s="76"/>
      <c r="N1234" s="76"/>
      <c r="O1234" s="76"/>
      <c r="P1234" s="76"/>
      <c r="Q1234" s="76"/>
      <c r="R1234" s="76"/>
      <c r="X1234" s="84" t="s">
        <v>2697</v>
      </c>
      <c r="AA1234" s="84" t="s">
        <v>2642</v>
      </c>
      <c r="AZ1234" s="88">
        <f t="shared" si="41"/>
        <v>0</v>
      </c>
      <c r="BX1234" s="88"/>
      <c r="CQ1234" s="88"/>
    </row>
    <row r="1235" spans="1:95" outlineLevel="1" x14ac:dyDescent="0.15">
      <c r="A1235" s="76">
        <v>1218</v>
      </c>
      <c r="B1235" s="65" t="s">
        <v>2503</v>
      </c>
      <c r="C1235" s="65">
        <v>995010374</v>
      </c>
      <c r="D1235" s="81" t="str">
        <f t="shared" si="40"/>
        <v>https://portal.dnb.de/opac.htm?method=simpleSearch&amp;cqlMode=true&amp;query=idn%3D995010374</v>
      </c>
      <c r="E1235" s="65" t="s">
        <v>2504</v>
      </c>
      <c r="F1235" s="76"/>
      <c r="G1235" s="78"/>
      <c r="H1235" s="76"/>
      <c r="I1235" s="78"/>
      <c r="J1235" s="78"/>
      <c r="K1235" s="76"/>
      <c r="L1235" s="76"/>
      <c r="M1235" s="76"/>
      <c r="N1235" s="76"/>
      <c r="O1235" s="76"/>
      <c r="P1235" s="76"/>
      <c r="Q1235" s="76"/>
      <c r="R1235" s="76"/>
      <c r="AZ1235" s="88">
        <f t="shared" si="41"/>
        <v>0</v>
      </c>
      <c r="BX1235" s="88"/>
      <c r="CQ1235" s="88"/>
    </row>
    <row r="1236" spans="1:95" outlineLevel="1" x14ac:dyDescent="0.15">
      <c r="A1236" s="76">
        <v>1219</v>
      </c>
      <c r="B1236" s="65" t="s">
        <v>2505</v>
      </c>
      <c r="C1236" s="65">
        <v>995008345</v>
      </c>
      <c r="D1236" s="81" t="str">
        <f t="shared" si="40"/>
        <v>https://portal.dnb.de/opac.htm?method=simpleSearch&amp;cqlMode=true&amp;query=idn%3D995008345</v>
      </c>
      <c r="E1236" s="65" t="s">
        <v>2506</v>
      </c>
      <c r="F1236" s="76"/>
      <c r="G1236" s="78"/>
      <c r="H1236" s="76"/>
      <c r="I1236" s="78"/>
      <c r="J1236" s="78"/>
      <c r="K1236" s="76"/>
      <c r="L1236" s="76"/>
      <c r="M1236" s="76"/>
      <c r="N1236" s="76"/>
      <c r="O1236" s="76"/>
      <c r="P1236" s="76"/>
      <c r="Q1236" s="76"/>
      <c r="R1236" s="76"/>
      <c r="AZ1236" s="88">
        <f t="shared" si="41"/>
        <v>0</v>
      </c>
      <c r="BX1236" s="88"/>
      <c r="CQ1236" s="88"/>
    </row>
  </sheetData>
  <autoFilter ref="A1:BK1236"/>
  <sortState ref="A10:F85">
    <sortCondition ref="A10:A85"/>
  </sortState>
  <customSheetViews>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1"/>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2"/>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3"/>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4"/>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5"/>
    </customSheetView>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6"/>
    </customSheetView>
  </customSheetViews>
  <conditionalFormatting sqref="E2:E1236 BZ2:CA1236 S2:BH1236">
    <cfRule type="expression" dxfId="1" priority="4">
      <formula>MOD(SUBTOTAL(103,$E$2:$E2),2)=0</formula>
    </cfRule>
  </conditionalFormatting>
  <conditionalFormatting sqref="BL2:BY1236 CB2:CR1236">
    <cfRule type="expression" dxfId="0" priority="2">
      <formula>MOD(SUBTOTAL(103,#REF!),2)=0</formula>
    </cfRule>
  </conditionalFormatting>
  <pageMargins left="0.7" right="0.7" top="0.78740157499999996" bottom="0.78740157499999996" header="0.3" footer="0.3"/>
  <pageSetup paperSize="9" scale="10" orientation="portrait" r:id="rId7"/>
  <legacyDrawing r:id="rId8"/>
  <extLst>
    <ext xmlns:x14="http://schemas.microsoft.com/office/spreadsheetml/2009/9/main" uri="{CCE6A557-97BC-4b89-ADB6-D9C93CAAB3DF}">
      <x14:dataValidations xmlns:xm="http://schemas.microsoft.com/office/excel/2006/main" count="10">
        <x14:dataValidation type="list" allowBlank="1" showInputMessage="1" showErrorMessage="1">
          <x14:formula1>
            <xm:f>Legende!$F$20:$F$22</xm:f>
          </x14:formula1>
          <xm:sqref>I2:I1048576</xm:sqref>
        </x14:dataValidation>
        <x14:dataValidation type="list" allowBlank="1" showInputMessage="1" showErrorMessage="1">
          <x14:formula1>
            <xm:f>Legende!$D$50</xm:f>
          </x14:formula1>
          <xm:sqref>F1:F1048576</xm:sqref>
        </x14:dataValidation>
        <x14:dataValidation type="list" allowBlank="1" showInputMessage="1" showErrorMessage="1">
          <x14:formula1>
            <xm:f>Legende!$B$20:$B$32</xm:f>
          </x14:formula1>
          <xm:sqref>G1:G1048576</xm:sqref>
        </x14:dataValidation>
        <x14:dataValidation type="list" allowBlank="1" showInputMessage="1" showErrorMessage="1">
          <x14:formula1>
            <xm:f>Legende!$E$20:$E$23</xm:f>
          </x14:formula1>
          <xm:sqref>H1:H1048576</xm:sqref>
        </x14:dataValidation>
        <x14:dataValidation type="list" allowBlank="1" showInputMessage="1" showErrorMessage="1">
          <x14:formula1>
            <xm:f>Legende!$C$39:$C$40</xm:f>
          </x14:formula1>
          <xm:sqref>K1:K1048576</xm:sqref>
        </x14:dataValidation>
        <x14:dataValidation type="list" allowBlank="1" showInputMessage="1" showErrorMessage="1">
          <x14:formula1>
            <xm:f>Legende!$A$54:$A$57</xm:f>
          </x14:formula1>
          <xm:sqref>N1:N1048576</xm:sqref>
        </x14:dataValidation>
        <x14:dataValidation type="list" allowBlank="1" showInputMessage="1" showErrorMessage="1">
          <x14:formula1>
            <xm:f>Legende!$C$20:$C$37</xm:f>
          </x14:formula1>
          <xm:sqref>J1:J1048576</xm:sqref>
        </x14:dataValidation>
        <x14:dataValidation type="list" allowBlank="1" showInputMessage="1" showErrorMessage="1">
          <x14:formula1>
            <xm:f>Legende!$D$46:$D$49</xm:f>
          </x14:formula1>
          <xm:sqref>M1:M1048576</xm:sqref>
        </x14:dataValidation>
        <x14:dataValidation type="list" allowBlank="1" showInputMessage="1" showErrorMessage="1">
          <x14:formula1>
            <xm:f>Legende!$B$38:$B$50</xm:f>
          </x14:formula1>
          <xm:sqref>O1:O1048576</xm:sqref>
        </x14:dataValidation>
        <x14:dataValidation type="list" allowBlank="1" showInputMessage="1" showErrorMessage="1">
          <x14:formula1>
            <xm:f>Legende!$D$20:$D$28</xm:f>
          </x14:formula1>
          <xm:sqref>L1:L1048576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R16"/>
  <sheetViews>
    <sheetView workbookViewId="0">
      <selection activeCell="E2" sqref="E2"/>
    </sheetView>
  </sheetViews>
  <sheetFormatPr baseColWidth="10" defaultColWidth="11" defaultRowHeight="11.25" x14ac:dyDescent="0.15"/>
  <cols>
    <col min="1" max="1" width="7.5" customWidth="1"/>
    <col min="2" max="2" width="17.375" customWidth="1"/>
    <col min="3" max="3" width="11.125" bestFit="1" customWidth="1"/>
    <col min="4" max="4" width="22.5" customWidth="1"/>
    <col min="5" max="5" width="20.625" customWidth="1"/>
    <col min="6" max="7" width="0" hidden="1" customWidth="1"/>
    <col min="8" max="8" width="10.875" customWidth="1"/>
    <col min="9" max="18" width="0" hidden="1" customWidth="1"/>
    <col min="19" max="20" width="9.25" customWidth="1"/>
    <col min="21" max="21" width="9.125" customWidth="1"/>
    <col min="22" max="23" width="8" customWidth="1"/>
    <col min="24" max="24" width="10.875" customWidth="1"/>
    <col min="36" max="36" width="10.5" bestFit="1" customWidth="1"/>
    <col min="40" max="42" width="10.875" customWidth="1"/>
    <col min="44" max="44" width="10.875" bestFit="1" customWidth="1"/>
    <col min="45" max="45" width="9.125" bestFit="1" customWidth="1"/>
    <col min="46" max="46" width="9.125" customWidth="1"/>
    <col min="47" max="47" width="10.625" bestFit="1" customWidth="1"/>
    <col min="48" max="48" width="9.125" customWidth="1"/>
    <col min="60" max="60" width="33.625" customWidth="1"/>
    <col min="65" max="65" width="11.125" customWidth="1"/>
    <col min="67" max="67" width="11.125" customWidth="1"/>
    <col min="77" max="77" width="33.625" customWidth="1"/>
    <col min="96" max="96" width="33.625" customWidth="1"/>
  </cols>
  <sheetData>
    <row r="1" spans="1:96" s="63" customFormat="1" ht="178.5" x14ac:dyDescent="0.15">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s="63" customFormat="1" x14ac:dyDescent="0.15">
      <c r="A2" s="89"/>
      <c r="B2" s="90"/>
      <c r="C2" s="90"/>
      <c r="D2" s="81"/>
      <c r="E2" s="91" t="e">
        <f>COUNTIF('III Drucke 1501-1560'!E2:'III Drucke 1501-1560'!#REF!,"&lt;&gt;")</f>
        <v>#REF!</v>
      </c>
      <c r="F2" s="89"/>
      <c r="G2" s="92"/>
      <c r="H2" s="91" t="e">
        <f>COUNTIF('III Drucke 1501-1560'!H2:'III Drucke 1501-1560'!#REF!,"bis 25 cm")</f>
        <v>#REF!</v>
      </c>
      <c r="I2" s="93"/>
      <c r="J2" s="78"/>
      <c r="K2" s="76"/>
      <c r="L2" s="76"/>
      <c r="M2" s="76"/>
      <c r="N2" s="76"/>
      <c r="O2" s="76"/>
      <c r="P2" s="76"/>
      <c r="Q2" s="76"/>
      <c r="R2" s="76"/>
      <c r="S2" s="91" t="e">
        <f>COUNTIF('III Drucke 1501-1560'!S2:'III Drucke 1501-1560'!#REF!,"*")</f>
        <v>#REF!</v>
      </c>
      <c r="T2" s="91" t="e">
        <f>COUNTIF('III Drucke 1501-1560'!T2:'III Drucke 1501-1560'!#REF!,"&lt;&gt;")</f>
        <v>#REF!</v>
      </c>
      <c r="U2" s="91" t="e">
        <f>COUNTIF('III Drucke 1501-1560'!U2:'III Drucke 1501-1560'!#REF!,"&lt;&gt;")</f>
        <v>#REF!</v>
      </c>
      <c r="V2" s="91" t="e">
        <f>COUNTIF('III Drucke 1501-1560'!V2:'III Drucke 1501-1560'!#REF!,"&lt;&gt;")</f>
        <v>#REF!</v>
      </c>
      <c r="W2" s="91" t="e">
        <f>COUNTIF('III Drucke 1501-1560'!W2:'III Drucke 1501-1560'!#REF!,"x")</f>
        <v>#REF!</v>
      </c>
      <c r="X2" s="91" t="e">
        <f>COUNTIF('III Drucke 1501-1560'!X2:'III Drucke 1501-1560'!#REF!,"Pa")</f>
        <v>#REF!</v>
      </c>
      <c r="Y2" s="91" t="e">
        <f>COUNTIF('III Drucke 1501-1560'!Y2:'III Drucke 1501-1560'!#REF!,"x")</f>
        <v>#REF!</v>
      </c>
      <c r="Z2" s="91" t="e">
        <f>COUNTIF('III Drucke 1501-1560'!Z2:'III Drucke 1501-1560'!#REF!,"x")</f>
        <v>#REF!</v>
      </c>
      <c r="AA2" s="91" t="e">
        <f>COUNTIF('III Drucke 1501-1560'!AA2:'III Drucke 1501-1560'!#REF!,"f")</f>
        <v>#REF!</v>
      </c>
      <c r="AB2" s="91" t="e">
        <f>COUNTIF('III Drucke 1501-1560'!AB2:'III Drucke 1501-1560'!#REF!,"x")</f>
        <v>#REF!</v>
      </c>
      <c r="AC2" s="91" t="e">
        <f>COUNTIF('III Drucke 1501-1560'!AC2:'III Drucke 1501-1560'!#REF!,"x")</f>
        <v>#REF!</v>
      </c>
      <c r="AD2" s="91" t="e">
        <f>COUNTIF('III Drucke 1501-1560'!AD2:'III Drucke 1501-1560'!#REF!,"x")</f>
        <v>#REF!</v>
      </c>
      <c r="AE2" s="91" t="e">
        <f>COUNTIF('III Drucke 1501-1560'!AE2:'III Drucke 1501-1560'!#REF!,"x")</f>
        <v>#REF!</v>
      </c>
      <c r="AF2" s="91" t="e">
        <f>COUNTIF('III Drucke 1501-1560'!AF2:'III Drucke 1501-1560'!#REF!,"x")</f>
        <v>#REF!</v>
      </c>
      <c r="AG2" s="91" t="e">
        <f>COUNTIF('III Drucke 1501-1560'!AG2:'III Drucke 1501-1560'!#REF!,"Pa")</f>
        <v>#REF!</v>
      </c>
      <c r="AH2" s="91" t="e">
        <f>COUNTIF('III Drucke 1501-1560'!AH2:'III Drucke 1501-1560'!#REF!,"x")</f>
        <v>#REF!</v>
      </c>
      <c r="AI2" s="91" t="e">
        <f>COUNTIF('III Drucke 1501-1560'!AI2:'III Drucke 1501-1560'!#REF!,"x")</f>
        <v>#REF!</v>
      </c>
      <c r="AJ2" s="91" t="e">
        <f>COUNTIF('III Drucke 1501-1560'!AJ2:'III Drucke 1501-1560'!#REF!,"x")</f>
        <v>#REF!</v>
      </c>
      <c r="AK2" s="91" t="e">
        <f>COUNTIF('III Drucke 1501-1560'!AK2:'III Drucke 1501-1560'!#REF!,"x")</f>
        <v>#REF!</v>
      </c>
      <c r="AL2" s="91" t="e">
        <f>COUNTIF('III Drucke 1501-1560'!AL2:'III Drucke 1501-1560'!#REF!,"x")</f>
        <v>#REF!</v>
      </c>
      <c r="AM2" s="91" t="e">
        <f>COUNTIF('III Drucke 1501-1560'!AM2:'III Drucke 1501-1560'!#REF!,"x")</f>
        <v>#REF!</v>
      </c>
      <c r="AN2" s="91" t="e">
        <f>COUNTIF('III Drucke 1501-1560'!AN2:'III Drucke 1501-1560'!#REF!,"x")</f>
        <v>#REF!</v>
      </c>
      <c r="AO2" s="91" t="e">
        <f>COUNTIF('III Drucke 1501-1560'!AO2:'III Drucke 1501-1560'!#REF!,"&lt;&gt;")</f>
        <v>#REF!</v>
      </c>
      <c r="AP2" s="91" t="e">
        <f>COUNTIF('III Drucke 1501-1560'!AP2:'III Drucke 1501-1560'!#REF!,"x")</f>
        <v>#REF!</v>
      </c>
      <c r="AQ2" s="91" t="e">
        <f>COUNTIF('III Drucke 1501-1560'!AQ2:'III Drucke 1501-1560'!#REF!,"K")</f>
        <v>#REF!</v>
      </c>
      <c r="AR2" s="91" t="e">
        <f>COUNTIF('III Drucke 1501-1560'!AR2:'III Drucke 1501-1560'!#REF!,"x")</f>
        <v>#REF!</v>
      </c>
      <c r="AS2" s="91" t="e">
        <f>COUNTIF('III Drucke 1501-1560'!AS2:'III Drucke 1501-1560'!#REF!,"0")</f>
        <v>#REF!</v>
      </c>
      <c r="AT2" s="91" t="e">
        <f>COUNTIF('III Drucke 1501-1560'!AT2:'III Drucke 1501-1560'!#REF!,"x")</f>
        <v>#REF!</v>
      </c>
      <c r="AU2" s="91" t="e">
        <f>COUNTIF('III Drucke 1501-1560'!AU2:'III Drucke 1501-1560'!#REF!,"0")</f>
        <v>#REF!</v>
      </c>
      <c r="AV2" s="91" t="e">
        <f>COUNTIF('III Drucke 1501-1560'!AV2:'III Drucke 1501-1560'!#REF!,"&lt;&gt;")</f>
        <v>#REF!</v>
      </c>
      <c r="AW2" s="91" t="e">
        <f>COUNTIF('III Drucke 1501-1560'!AW2:'III Drucke 1501-1560'!#REF!,"x")</f>
        <v>#REF!</v>
      </c>
      <c r="AX2" s="91" t="e">
        <f>COUNTIF('III Drucke 1501-1560'!AX2:'III Drucke 1501-1560'!#REF!,"x")</f>
        <v>#REF!</v>
      </c>
      <c r="AY2" s="91" t="e">
        <f>COUNTIF('III Drucke 1501-1560'!AY2:'III Drucke 1501-1560'!#REF!,"n")</f>
        <v>#REF!</v>
      </c>
      <c r="AZ2" s="87"/>
      <c r="BA2" s="91" t="e">
        <f>COUNTIF('III Drucke 1501-1560'!BA2:'III Drucke 1501-1560'!#REF!,"x")</f>
        <v>#REF!</v>
      </c>
      <c r="BB2" s="91" t="e">
        <f>COUNTIF('III Drucke 1501-1560'!BB2:'III Drucke 1501-1560'!#REF!,"Gewebe")</f>
        <v>#REF!</v>
      </c>
      <c r="BC2" s="91" t="e">
        <f>COUNTIF('III Drucke 1501-1560'!BC2:'III Drucke 1501-1560'!#REF!,"x")</f>
        <v>#REF!</v>
      </c>
      <c r="BD2" s="91" t="e">
        <f>COUNTIF('III Drucke 1501-1560'!BD2:'III Drucke 1501-1560'!#REF!,"x")</f>
        <v>#REF!</v>
      </c>
      <c r="BE2" s="91" t="e">
        <f>COUNTIF('III Drucke 1501-1560'!BE2:'III Drucke 1501-1560'!#REF!,"x")</f>
        <v>#REF!</v>
      </c>
      <c r="BF2" s="91" t="e">
        <f>COUNTIF('III Drucke 1501-1560'!BF2:'III Drucke 1501-1560'!#REF!,"x")</f>
        <v>#REF!</v>
      </c>
      <c r="BG2" s="91" t="e">
        <f>COUNTIF('III Drucke 1501-1560'!BG2:'III Drucke 1501-1560'!#REF!,"x")</f>
        <v>#REF!</v>
      </c>
      <c r="BH2" s="91" t="e">
        <f>COUNTIF('III Drucke 1501-1560'!BH2:'III Drucke 1501-1560'!#REF!,"&lt;&gt;")</f>
        <v>#REF!</v>
      </c>
      <c r="BI2" s="91" t="e">
        <f>COUNTIF('III Drucke 1501-1560'!BI2:'III Drucke 1501-1560'!#REF!,"x 45")</f>
        <v>#REF!</v>
      </c>
      <c r="BJ2" s="79"/>
      <c r="BL2" s="84"/>
      <c r="BM2" s="84"/>
      <c r="BN2" s="84"/>
      <c r="BO2" s="84"/>
      <c r="BP2" s="84"/>
      <c r="BQ2" s="84"/>
      <c r="BR2" s="84"/>
      <c r="BS2" s="84"/>
      <c r="BT2" s="84"/>
      <c r="BU2" s="84"/>
      <c r="BV2" s="84"/>
      <c r="BW2" s="84"/>
      <c r="BX2" s="87"/>
      <c r="BY2" s="79"/>
      <c r="BZ2" s="91" t="e">
        <f>COUNTIF('III Drucke 1501-1560'!BZ2:'III Drucke 1501-1560'!#REF!,"x")</f>
        <v>#REF!</v>
      </c>
      <c r="CA2" s="91" t="e">
        <f>COUNTIF('III Drucke 1501-1560'!CA2:'III Drucke 1501-1560'!#REF!,"x")</f>
        <v>#REF!</v>
      </c>
      <c r="CB2" s="84"/>
      <c r="CC2" s="84"/>
      <c r="CD2" s="84"/>
      <c r="CE2" s="84"/>
      <c r="CF2" s="84"/>
      <c r="CG2" s="84"/>
      <c r="CH2" s="84"/>
      <c r="CI2" s="84"/>
      <c r="CJ2" s="84"/>
      <c r="CK2" s="84"/>
      <c r="CL2" s="84"/>
      <c r="CM2" s="84"/>
      <c r="CN2" s="84"/>
      <c r="CO2" s="84"/>
      <c r="CP2" s="84"/>
      <c r="CQ2" s="87"/>
      <c r="CR2" s="79"/>
    </row>
    <row r="3" spans="1:96" s="63" customFormat="1" x14ac:dyDescent="0.15">
      <c r="A3" s="89"/>
      <c r="B3" s="90"/>
      <c r="C3" s="90"/>
      <c r="D3" s="81"/>
      <c r="E3" s="90"/>
      <c r="F3" s="89"/>
      <c r="G3" s="92"/>
      <c r="H3" s="91" t="e">
        <f>COUNTIF('III Drucke 1501-1560'!H2:'III Drucke 1501-1560'!#REF!,"bis 35 cm")</f>
        <v>#REF!</v>
      </c>
      <c r="I3" s="93"/>
      <c r="J3" s="78"/>
      <c r="K3" s="76"/>
      <c r="L3" s="76"/>
      <c r="M3" s="76"/>
      <c r="N3" s="76"/>
      <c r="O3" s="76"/>
      <c r="P3" s="76"/>
      <c r="Q3" s="76"/>
      <c r="R3" s="76"/>
      <c r="S3" s="91"/>
      <c r="T3" s="91"/>
      <c r="U3" s="94"/>
      <c r="V3" s="94"/>
      <c r="W3" s="94"/>
      <c r="X3" s="91" t="e">
        <f>COUNTIF('III Drucke 1501-1560'!X2:'III Drucke 1501-1560'!#REF!,"Br")</f>
        <v>#REF!</v>
      </c>
      <c r="Y3" s="95"/>
      <c r="Z3" s="95"/>
      <c r="AA3" s="91" t="e">
        <f>COUNTIF('III Drucke 1501-1560'!AA2:'III Drucke 1501-1560'!#REF!,"f/E")</f>
        <v>#REF!</v>
      </c>
      <c r="AB3" s="96"/>
      <c r="AC3" s="91" t="e">
        <f>COUNTIF('III Drucke 1501-1560'!AC2:'III Drucke 1501-1560'!#REF!,"xx")</f>
        <v>#REF!</v>
      </c>
      <c r="AD3" s="96"/>
      <c r="AE3" s="96"/>
      <c r="AF3" s="96"/>
      <c r="AG3" s="97" t="e">
        <f>COUNTIF('III Drucke 1501-1560'!AG2:'III Drucke 1501-1560'!#REF!,"Pg")</f>
        <v>#REF!</v>
      </c>
      <c r="AH3" s="94"/>
      <c r="AI3" s="94"/>
      <c r="AJ3" s="94"/>
      <c r="AK3" s="91" t="e">
        <f>COUNTIF('III Drucke 1501-1560'!AK2:'III Drucke 1501-1560'!#REF!,"xx")</f>
        <v>#REF!</v>
      </c>
      <c r="AL3" s="91" t="e">
        <f>COUNTIF('III Drucke 1501-1560'!AL2:'III Drucke 1501-1560'!#REF!,"xx")</f>
        <v>#REF!</v>
      </c>
      <c r="AM3" s="94"/>
      <c r="AN3" s="91" t="e">
        <f>COUNTIF('III Drucke 1501-1560'!AN2:'III Drucke 1501-1560'!#REF!,"x durchgehend")</f>
        <v>#REF!</v>
      </c>
      <c r="AO3" s="94"/>
      <c r="AP3" s="94"/>
      <c r="AQ3" s="91" t="e">
        <f>COUNTIF('III Drucke 1501-1560'!AQ2:'III Drucke 1501-1560'!#REF!,"B")</f>
        <v>#REF!</v>
      </c>
      <c r="AR3" s="91" t="e">
        <f>COUNTIF('III Drucke 1501-1560'!AR2:'III Drucke 1501-1560'!#REF!,"xx")</f>
        <v>#REF!</v>
      </c>
      <c r="AS3" s="91" t="e">
        <f>COUNTIF('III Drucke 1501-1560'!AS3:'III Drucke 1501-1560'!#REF!,"2")</f>
        <v>#REF!</v>
      </c>
      <c r="AT3" s="91"/>
      <c r="AU3" s="91" t="e">
        <f>COUNTIF('III Drucke 1501-1560'!AU2:'III Drucke 1501-1560'!#REF!,"45")</f>
        <v>#REF!</v>
      </c>
      <c r="AV3" s="96"/>
      <c r="AW3" s="94"/>
      <c r="AX3" s="94"/>
      <c r="AY3" s="91" t="e">
        <f>COUNTIF('III Drucke 1501-1560'!AY2:'III Drucke 1501-1560'!#REF!,"ja vor")</f>
        <v>#REF!</v>
      </c>
      <c r="AZ3" s="98"/>
      <c r="BA3" s="95"/>
      <c r="BB3" s="91" t="e">
        <f>COUNTIF('III Drucke 1501-1560'!BB2:'III Drucke 1501-1560'!#REF!,"Wellpappe")</f>
        <v>#REF!</v>
      </c>
      <c r="BC3" s="91" t="e">
        <f>COUNTIF('III Drucke 1501-1560'!BC2:'III Drucke 1501-1560'!#REF!,"x sauer")</f>
        <v>#REF!</v>
      </c>
      <c r="BD3" s="94"/>
      <c r="BE3" s="91" t="e">
        <f>COUNTIF('III Drucke 1501-1560'!BE2:'III Drucke 1501-1560'!#REF!,"x sauer")</f>
        <v>#REF!</v>
      </c>
      <c r="BF3" s="91" t="e">
        <f>COUNTIF('III Drucke 1501-1560'!BF2:'III Drucke 1501-1560'!#REF!,"x sauer")</f>
        <v>#REF!</v>
      </c>
      <c r="BG3" s="94"/>
      <c r="BH3" s="99"/>
      <c r="BI3" s="91" t="e">
        <f>COUNTIF('III Drucke 1501-1560'!BI2:'III Drucke 1501-1560'!#REF!,"x 110")</f>
        <v>#REF!</v>
      </c>
      <c r="BJ3" s="79"/>
      <c r="BL3" s="84"/>
      <c r="BM3" s="84"/>
      <c r="BN3" s="84"/>
      <c r="BO3" s="84"/>
      <c r="BP3" s="84"/>
      <c r="BQ3" s="84"/>
      <c r="BR3" s="84"/>
      <c r="BS3" s="84"/>
      <c r="BT3" s="84"/>
      <c r="BU3" s="84"/>
      <c r="BV3" s="84"/>
      <c r="BW3" s="84"/>
      <c r="BX3" s="87"/>
      <c r="BY3" s="79"/>
      <c r="BZ3" s="94"/>
      <c r="CA3" s="94"/>
      <c r="CB3" s="84"/>
      <c r="CC3" s="84"/>
      <c r="CD3" s="84"/>
      <c r="CE3" s="84"/>
      <c r="CF3" s="84"/>
      <c r="CG3" s="84"/>
      <c r="CH3" s="84"/>
      <c r="CI3" s="84"/>
      <c r="CJ3" s="84"/>
      <c r="CK3" s="84"/>
      <c r="CL3" s="84"/>
      <c r="CM3" s="84"/>
      <c r="CN3" s="84"/>
      <c r="CO3" s="84"/>
      <c r="CP3" s="84"/>
      <c r="CQ3" s="87"/>
      <c r="CR3" s="79"/>
    </row>
    <row r="4" spans="1:96" s="63" customFormat="1" x14ac:dyDescent="0.15">
      <c r="A4" s="89"/>
      <c r="B4" s="90"/>
      <c r="C4" s="90"/>
      <c r="D4" s="81"/>
      <c r="E4" s="90"/>
      <c r="F4" s="89"/>
      <c r="G4" s="92"/>
      <c r="H4" s="91" t="e">
        <f>COUNTIF('III Drucke 1501-1560'!H2:'III Drucke 1501-1560'!#REF!,"bis 42 cm")</f>
        <v>#REF!</v>
      </c>
      <c r="I4" s="93"/>
      <c r="J4" s="78"/>
      <c r="K4" s="76"/>
      <c r="L4" s="76"/>
      <c r="M4" s="76"/>
      <c r="N4" s="76"/>
      <c r="O4" s="76"/>
      <c r="P4" s="76"/>
      <c r="Q4" s="76"/>
      <c r="R4" s="76"/>
      <c r="S4" s="91"/>
      <c r="T4" s="91"/>
      <c r="U4" s="94"/>
      <c r="V4" s="94"/>
      <c r="W4" s="94"/>
      <c r="X4" s="91" t="e">
        <f>COUNTIF('III Drucke 1501-1560'!X2:'III Drucke 1501-1560'!#REF!,"G")</f>
        <v>#REF!</v>
      </c>
      <c r="Y4" s="95"/>
      <c r="Z4" s="95"/>
      <c r="AA4" s="91" t="e">
        <f>COUNTIF('III Drucke 1501-1560'!AA2:'III Drucke 1501-1560'!#REF!,"f/V")</f>
        <v>#REF!</v>
      </c>
      <c r="AB4" s="96"/>
      <c r="AC4" s="96"/>
      <c r="AD4" s="96"/>
      <c r="AE4" s="96"/>
      <c r="AF4" s="96"/>
      <c r="AG4" s="97" t="e">
        <f>COUNTIF('III Drucke 1501-1560'!AG2:'III Drucke 1501-1560'!#REF!,"Pa/Pg")</f>
        <v>#REF!</v>
      </c>
      <c r="AH4" s="94"/>
      <c r="AI4" s="94"/>
      <c r="AJ4" s="94"/>
      <c r="AK4" s="94"/>
      <c r="AL4" s="94"/>
      <c r="AM4" s="94"/>
      <c r="AN4" s="94"/>
      <c r="AO4" s="94"/>
      <c r="AP4" s="94"/>
      <c r="AQ4" s="91" t="e">
        <f>COUNTIF('III Drucke 1501-1560'!AQ2:'III Drucke 1501-1560'!#REF!,"I")</f>
        <v>#REF!</v>
      </c>
      <c r="AR4" s="94"/>
      <c r="AS4" s="91" t="e">
        <f>COUNTIF('III Drucke 1501-1560'!AS2:'III Drucke 1501-1560'!#REF!,"3")</f>
        <v>#REF!</v>
      </c>
      <c r="AT4" s="91"/>
      <c r="AU4" s="91" t="e">
        <f>COUNTIF('III Drucke 1501-1560'!AU2:'III Drucke 1501-1560'!#REF!,"max 45")</f>
        <v>#REF!</v>
      </c>
      <c r="AV4" s="96"/>
      <c r="AW4" s="94"/>
      <c r="AX4" s="94"/>
      <c r="AY4" s="91" t="e">
        <f>COUNTIF('III Drucke 1501-1560'!AY2:'III Drucke 1501-1560'!#REF!,"ja nach")</f>
        <v>#REF!</v>
      </c>
      <c r="AZ4" s="98"/>
      <c r="BA4" s="95"/>
      <c r="BB4" s="91" t="e">
        <f>COUNTIF('III Drucke 1501-1560'!BB2:'III Drucke 1501-1560'!#REF!,"Halbgewebe mit Papier")</f>
        <v>#REF!</v>
      </c>
      <c r="BC4" s="91" t="e">
        <f>COUNTIF('III Drucke 1501-1560'!BC2:'III Drucke 1501-1560'!#REF!,"historisch")</f>
        <v>#REF!</v>
      </c>
      <c r="BD4" s="94"/>
      <c r="BE4" s="91" t="e">
        <f>COUNTIF('III Drucke 1501-1560'!BE2:'III Drucke 1501-1560'!#REF!,"x (Leder)")</f>
        <v>#REF!</v>
      </c>
      <c r="BF4" s="94"/>
      <c r="BG4" s="94"/>
      <c r="BH4" s="99"/>
      <c r="BI4" s="91" t="e">
        <f>COUNTIF('III Drucke 1501-1560'!BI2:'III Drucke 1501-1560'!#REF!,"x nur 110")</f>
        <v>#REF!</v>
      </c>
      <c r="BJ4" s="79"/>
      <c r="BL4" s="84"/>
      <c r="BM4" s="84"/>
      <c r="BN4" s="84"/>
      <c r="BO4" s="84"/>
      <c r="BP4" s="84"/>
      <c r="BQ4" s="84"/>
      <c r="BR4" s="84"/>
      <c r="BS4" s="84"/>
      <c r="BT4" s="84"/>
      <c r="BU4" s="84"/>
      <c r="BV4" s="84"/>
      <c r="BW4" s="84"/>
      <c r="BX4" s="87"/>
      <c r="BY4" s="79"/>
      <c r="BZ4" s="94"/>
      <c r="CA4" s="94"/>
      <c r="CB4" s="84"/>
      <c r="CC4" s="84"/>
      <c r="CD4" s="84"/>
      <c r="CE4" s="84"/>
      <c r="CF4" s="84"/>
      <c r="CG4" s="84"/>
      <c r="CH4" s="84"/>
      <c r="CI4" s="84"/>
      <c r="CJ4" s="84"/>
      <c r="CK4" s="84"/>
      <c r="CL4" s="84"/>
      <c r="CM4" s="84"/>
      <c r="CN4" s="84"/>
      <c r="CO4" s="84"/>
      <c r="CP4" s="84"/>
      <c r="CQ4" s="87"/>
      <c r="CR4" s="79"/>
    </row>
    <row r="5" spans="1:96" s="63" customFormat="1" x14ac:dyDescent="0.15">
      <c r="A5" s="89"/>
      <c r="B5" s="90"/>
      <c r="C5" s="90"/>
      <c r="D5" s="81"/>
      <c r="E5" s="90"/>
      <c r="F5" s="89"/>
      <c r="G5" s="92"/>
      <c r="H5" s="91" t="e">
        <f>COUNTIF('III Drucke 1501-1560'!H2:'III Drucke 1501-1560'!#REF!,"? 42 cm")</f>
        <v>#REF!</v>
      </c>
      <c r="I5" s="93"/>
      <c r="J5" s="78"/>
      <c r="K5" s="76"/>
      <c r="L5" s="76"/>
      <c r="M5" s="76"/>
      <c r="N5" s="76"/>
      <c r="O5" s="76"/>
      <c r="P5" s="76"/>
      <c r="Q5" s="76"/>
      <c r="R5" s="76"/>
      <c r="S5" s="91"/>
      <c r="T5" s="91"/>
      <c r="U5" s="94"/>
      <c r="V5" s="94"/>
      <c r="W5" s="94"/>
      <c r="X5" s="91" t="e">
        <f>COUNTIF('III Drucke 1501-1560'!X2:'III Drucke 1501-1560'!#REF!,"HG")</f>
        <v>#REF!</v>
      </c>
      <c r="Y5" s="95"/>
      <c r="Z5" s="95"/>
      <c r="AA5" s="91" t="e">
        <f>COUNTIF('III Drucke 1501-1560'!AA2:'III Drucke 1501-1560'!#REF!,"h")</f>
        <v>#REF!</v>
      </c>
      <c r="AB5" s="96"/>
      <c r="AC5" s="96"/>
      <c r="AD5" s="96"/>
      <c r="AE5" s="96"/>
      <c r="AF5" s="96"/>
      <c r="AG5" s="94"/>
      <c r="AH5" s="94"/>
      <c r="AI5" s="94"/>
      <c r="AJ5" s="94"/>
      <c r="AK5" s="94"/>
      <c r="AL5" s="94"/>
      <c r="AM5" s="94"/>
      <c r="AN5" s="94"/>
      <c r="AO5" s="94"/>
      <c r="AP5" s="94"/>
      <c r="AQ5" s="91" t="e">
        <f>COUNTIF('III Drucke 1501-1560'!AQ2:'III Drucke 1501-1560'!#REF!,"R")</f>
        <v>#REF!</v>
      </c>
      <c r="AR5" s="94"/>
      <c r="AS5" s="91" t="e">
        <f>COUNTIF('III Drucke 1501-1560'!AS2:'III Drucke 1501-1560'!#REF!,"4")</f>
        <v>#REF!</v>
      </c>
      <c r="AT5" s="91"/>
      <c r="AU5" s="91" t="e">
        <f>COUNTIF('III Drucke 1501-1560'!AU2:'III Drucke 1501-1560'!#REF!,"60")</f>
        <v>#REF!</v>
      </c>
      <c r="AV5" s="96"/>
      <c r="AW5" s="94"/>
      <c r="AX5" s="94"/>
      <c r="AY5" s="91" t="e">
        <f>COUNTIF('III Drucke 1501-1560'!AY2:'III Drucke 1501-1560'!#REF!,"ja vor und nach")</f>
        <v>#REF!</v>
      </c>
      <c r="AZ5" s="98"/>
      <c r="BA5" s="95"/>
      <c r="BB5" s="91" t="e">
        <f>COUNTIF('III Drucke 1501-1560'!BB2:'III Drucke 1501-1560'!#REF!,"Gewebe mit Papier")</f>
        <v>#REF!</v>
      </c>
      <c r="BC5" s="94"/>
      <c r="BD5" s="94"/>
      <c r="BE5" s="94"/>
      <c r="BF5" s="94"/>
      <c r="BG5" s="94"/>
      <c r="BH5" s="99"/>
      <c r="BI5" s="91" t="e">
        <f>COUNTIF('III Drucke 1501-1560'!BI2:'III Drucke 1501-1560'!#REF!,"x nur 110, mit Begleitung")</f>
        <v>#REF!</v>
      </c>
      <c r="BJ5" s="79"/>
      <c r="BL5" s="84"/>
      <c r="BM5" s="84"/>
      <c r="BN5" s="84"/>
      <c r="BO5" s="84"/>
      <c r="BP5" s="84"/>
      <c r="BQ5" s="84"/>
      <c r="BR5" s="84"/>
      <c r="BS5" s="84"/>
      <c r="BT5" s="84"/>
      <c r="BU5" s="84"/>
      <c r="BV5" s="84"/>
      <c r="BW5" s="84"/>
      <c r="BX5" s="87"/>
      <c r="BY5" s="79"/>
      <c r="BZ5" s="94"/>
      <c r="CA5" s="94"/>
      <c r="CB5" s="84"/>
      <c r="CC5" s="84"/>
      <c r="CD5" s="84"/>
      <c r="CE5" s="84"/>
      <c r="CF5" s="84"/>
      <c r="CG5" s="84"/>
      <c r="CH5" s="84"/>
      <c r="CI5" s="84"/>
      <c r="CJ5" s="84"/>
      <c r="CK5" s="84"/>
      <c r="CL5" s="84"/>
      <c r="CM5" s="84"/>
      <c r="CN5" s="84"/>
      <c r="CO5" s="84"/>
      <c r="CP5" s="84"/>
      <c r="CQ5" s="87"/>
      <c r="CR5" s="79"/>
    </row>
    <row r="6" spans="1:96" s="63" customFormat="1" x14ac:dyDescent="0.15">
      <c r="A6" s="89"/>
      <c r="B6" s="90"/>
      <c r="C6" s="90"/>
      <c r="D6" s="81"/>
      <c r="E6" s="90"/>
      <c r="F6" s="89"/>
      <c r="G6" s="92"/>
      <c r="I6" s="93"/>
      <c r="J6" s="78"/>
      <c r="K6" s="76"/>
      <c r="L6" s="76"/>
      <c r="M6" s="76"/>
      <c r="N6" s="76"/>
      <c r="O6" s="76"/>
      <c r="P6" s="76"/>
      <c r="Q6" s="76"/>
      <c r="R6" s="76"/>
      <c r="S6" s="91"/>
      <c r="T6" s="91"/>
      <c r="U6" s="94"/>
      <c r="V6" s="94"/>
      <c r="W6" s="94"/>
      <c r="X6" s="91" t="e">
        <f>COUNTIF('III Drucke 1501-1560'!X2:'III Drucke 1501-1560'!#REF!,"HD")</f>
        <v>#REF!</v>
      </c>
      <c r="Y6" s="95"/>
      <c r="Z6" s="95"/>
      <c r="AA6" s="91" t="e">
        <f>COUNTIF('III Drucke 1501-1560'!AA2:'III Drucke 1501-1560'!#REF!,"h/E")</f>
        <v>#REF!</v>
      </c>
      <c r="AB6" s="96"/>
      <c r="AC6" s="96"/>
      <c r="AD6" s="96"/>
      <c r="AE6" s="96"/>
      <c r="AF6" s="96"/>
      <c r="AG6" s="94"/>
      <c r="AH6" s="94"/>
      <c r="AI6" s="94"/>
      <c r="AJ6" s="94"/>
      <c r="AK6" s="94"/>
      <c r="AL6" s="94"/>
      <c r="AM6" s="94"/>
      <c r="AN6" s="94"/>
      <c r="AO6" s="94"/>
      <c r="AP6" s="94"/>
      <c r="AQ6" s="91" t="e">
        <f>COUNTIF('III Drucke 1501-1560'!AQ2:'III Drucke 1501-1560'!#REF!,"K/I")</f>
        <v>#REF!</v>
      </c>
      <c r="AR6" s="94"/>
      <c r="AS6" s="91" t="e">
        <f>COUNTIF('III Drucke 1501-1560'!AS2:'III Drucke 1501-1560'!#REF!,"0-2")</f>
        <v>#REF!</v>
      </c>
      <c r="AT6" s="91"/>
      <c r="AU6" s="91" t="e">
        <f>COUNTIF('III Drucke 1501-1560'!AU2:'III Drucke 1501-1560'!#REF!,"max 60")</f>
        <v>#REF!</v>
      </c>
      <c r="AV6" s="96"/>
      <c r="AW6" s="94"/>
      <c r="AX6" s="94"/>
      <c r="AY6" s="91" t="e">
        <f>COUNTIF('III Drucke 1501-1560'!AY2:'III Drucke 1501-1560'!#REF!,"ja ÖW=0")</f>
        <v>#REF!</v>
      </c>
      <c r="AZ6" s="98"/>
      <c r="BA6" s="95"/>
      <c r="BB6" s="94"/>
      <c r="BC6" s="94"/>
      <c r="BD6" s="94"/>
      <c r="BE6" s="94"/>
      <c r="BF6" s="94"/>
      <c r="BG6" s="94"/>
      <c r="BH6" s="99"/>
      <c r="BI6" s="91" t="e">
        <f>COUNTIF('III Drucke 1501-1560'!BI2:'III Drucke 1501-1560'!#REF!,"x? 45")</f>
        <v>#REF!</v>
      </c>
      <c r="BJ6" s="79"/>
      <c r="BL6" s="84"/>
      <c r="BM6" s="84"/>
      <c r="BN6" s="84"/>
      <c r="BO6" s="84"/>
      <c r="BP6" s="84"/>
      <c r="BQ6" s="84"/>
      <c r="BR6" s="84"/>
      <c r="BS6" s="84"/>
      <c r="BT6" s="84"/>
      <c r="BU6" s="84"/>
      <c r="BV6" s="84"/>
      <c r="BW6" s="84"/>
      <c r="BX6" s="87"/>
      <c r="BY6" s="79"/>
      <c r="BZ6" s="94"/>
      <c r="CA6" s="94"/>
      <c r="CB6" s="84"/>
      <c r="CC6" s="84"/>
      <c r="CD6" s="84"/>
      <c r="CE6" s="84"/>
      <c r="CF6" s="84"/>
      <c r="CG6" s="84"/>
      <c r="CH6" s="84"/>
      <c r="CI6" s="84"/>
      <c r="CJ6" s="84"/>
      <c r="CK6" s="84"/>
      <c r="CL6" s="84"/>
      <c r="CM6" s="84"/>
      <c r="CN6" s="84"/>
      <c r="CO6" s="84"/>
      <c r="CP6" s="84"/>
      <c r="CQ6" s="87"/>
      <c r="CR6" s="79"/>
    </row>
    <row r="7" spans="1:96" s="63" customFormat="1" x14ac:dyDescent="0.15">
      <c r="A7" s="89"/>
      <c r="B7" s="90"/>
      <c r="C7" s="90"/>
      <c r="D7" s="81"/>
      <c r="E7" s="90"/>
      <c r="F7" s="89"/>
      <c r="G7" s="92"/>
      <c r="I7" s="93"/>
      <c r="J7" s="78"/>
      <c r="K7" s="76"/>
      <c r="L7" s="76"/>
      <c r="M7" s="76"/>
      <c r="N7" s="76"/>
      <c r="O7" s="76"/>
      <c r="P7" s="76"/>
      <c r="Q7" s="76"/>
      <c r="R7" s="76"/>
      <c r="S7" s="91"/>
      <c r="T7" s="91"/>
      <c r="U7" s="94"/>
      <c r="V7" s="94"/>
      <c r="W7" s="94"/>
      <c r="X7" s="91" t="e">
        <f>COUNTIF('III Drucke 1501-1560'!X2:'III Drucke 1501-1560'!#REF!,"L")</f>
        <v>#REF!</v>
      </c>
      <c r="Y7" s="95"/>
      <c r="Z7" s="95"/>
      <c r="AA7" s="96"/>
      <c r="AB7" s="96"/>
      <c r="AC7" s="96"/>
      <c r="AD7" s="96"/>
      <c r="AE7" s="96"/>
      <c r="AF7" s="96"/>
      <c r="AG7" s="94"/>
      <c r="AH7" s="94"/>
      <c r="AI7" s="94"/>
      <c r="AJ7" s="94"/>
      <c r="AK7" s="94"/>
      <c r="AL7" s="94"/>
      <c r="AM7" s="94"/>
      <c r="AN7" s="94"/>
      <c r="AO7" s="94"/>
      <c r="AP7" s="94"/>
      <c r="AQ7" s="91" t="e">
        <f>COUNTIF('III Drucke 1501-1560'!AQ2:'III Drucke 1501-1560'!#REF!,"B/I/R")</f>
        <v>#REF!</v>
      </c>
      <c r="AR7" s="94"/>
      <c r="AS7" s="91" t="e">
        <f>COUNTIF('III Drucke 1501-1560'!AS2:'III Drucke 1501-1560'!#REF!,"0 (durchgängige Tafeln)")</f>
        <v>#REF!</v>
      </c>
      <c r="AT7" s="96"/>
      <c r="AU7" s="91" t="e">
        <f>COUNTIF('III Drucke 1501-1560'!AU2:'III Drucke 1501-1560'!#REF!,"80")</f>
        <v>#REF!</v>
      </c>
      <c r="AV7" s="96"/>
      <c r="AW7" s="94"/>
      <c r="AX7" s="94"/>
      <c r="AY7" s="96"/>
      <c r="AZ7" s="98"/>
      <c r="BA7" s="95"/>
      <c r="BB7" s="94"/>
      <c r="BC7" s="94"/>
      <c r="BD7" s="94"/>
      <c r="BE7" s="94"/>
      <c r="BF7" s="94"/>
      <c r="BG7" s="94"/>
      <c r="BH7" s="99"/>
      <c r="BJ7" s="79"/>
      <c r="BL7" s="84"/>
      <c r="BM7" s="84"/>
      <c r="BN7" s="84"/>
      <c r="BO7" s="84"/>
      <c r="BP7" s="84"/>
      <c r="BQ7" s="84"/>
      <c r="BR7" s="84"/>
      <c r="BS7" s="84"/>
      <c r="BT7" s="84"/>
      <c r="BU7" s="84"/>
      <c r="BV7" s="84"/>
      <c r="BW7" s="84"/>
      <c r="BX7" s="87"/>
      <c r="BY7" s="79"/>
      <c r="BZ7" s="94"/>
      <c r="CA7" s="94"/>
      <c r="CB7" s="84"/>
      <c r="CC7" s="84"/>
      <c r="CD7" s="84"/>
      <c r="CE7" s="84"/>
      <c r="CF7" s="84"/>
      <c r="CG7" s="84"/>
      <c r="CH7" s="84"/>
      <c r="CI7" s="84"/>
      <c r="CJ7" s="84"/>
      <c r="CK7" s="84"/>
      <c r="CL7" s="84"/>
      <c r="CM7" s="84"/>
      <c r="CN7" s="84"/>
      <c r="CO7" s="84"/>
      <c r="CP7" s="84"/>
      <c r="CQ7" s="87"/>
      <c r="CR7" s="79"/>
    </row>
    <row r="8" spans="1:96" s="63" customFormat="1" x14ac:dyDescent="0.15">
      <c r="A8" s="89"/>
      <c r="B8" s="90"/>
      <c r="C8" s="90"/>
      <c r="D8" s="81"/>
      <c r="E8" s="90"/>
      <c r="F8" s="89"/>
      <c r="G8" s="92"/>
      <c r="I8" s="93"/>
      <c r="J8" s="78"/>
      <c r="K8" s="76"/>
      <c r="L8" s="76"/>
      <c r="M8" s="76"/>
      <c r="N8" s="76"/>
      <c r="O8" s="76"/>
      <c r="P8" s="76"/>
      <c r="Q8" s="76"/>
      <c r="R8" s="76"/>
      <c r="S8" s="91"/>
      <c r="T8" s="91"/>
      <c r="U8" s="94"/>
      <c r="V8" s="94"/>
      <c r="W8" s="94"/>
      <c r="X8" s="91" t="e">
        <f>COUNTIF('III Drucke 1501-1560'!X2:'III Drucke 1501-1560'!#REF!,"HL")</f>
        <v>#REF!</v>
      </c>
      <c r="Y8" s="95"/>
      <c r="Z8" s="95"/>
      <c r="AA8" s="96"/>
      <c r="AB8" s="96"/>
      <c r="AC8" s="96"/>
      <c r="AD8" s="96"/>
      <c r="AE8" s="96"/>
      <c r="AF8" s="96"/>
      <c r="AG8" s="94"/>
      <c r="AH8" s="94"/>
      <c r="AI8" s="94"/>
      <c r="AJ8" s="94"/>
      <c r="AK8" s="94"/>
      <c r="AL8" s="94"/>
      <c r="AM8" s="94"/>
      <c r="AN8" s="94"/>
      <c r="AO8" s="94"/>
      <c r="AP8" s="94"/>
      <c r="AQ8" s="91" t="e">
        <f>COUNTIF('III Drucke 1501-1560'!AQ2:'III Drucke 1501-1560'!#REF!,"I/R")</f>
        <v>#REF!</v>
      </c>
      <c r="AR8" s="94"/>
      <c r="AS8" s="96"/>
      <c r="AT8" s="96"/>
      <c r="AU8" s="91" t="e">
        <f>COUNTIF('III Drucke 1501-1560'!AU2:'III Drucke 1501-1560'!#REF!,"max 80")</f>
        <v>#REF!</v>
      </c>
      <c r="AV8" s="96"/>
      <c r="AW8" s="94"/>
      <c r="AX8" s="94"/>
      <c r="AY8" s="96"/>
      <c r="AZ8" s="98"/>
      <c r="BA8" s="95"/>
      <c r="BB8" s="94"/>
      <c r="BC8" s="94"/>
      <c r="BD8" s="94"/>
      <c r="BE8" s="94"/>
      <c r="BF8" s="94"/>
      <c r="BG8" s="94"/>
      <c r="BH8" s="99"/>
      <c r="BJ8" s="79"/>
      <c r="BL8" s="84"/>
      <c r="BM8" s="84"/>
      <c r="BN8" s="84"/>
      <c r="BO8" s="84"/>
      <c r="BP8" s="84"/>
      <c r="BQ8" s="84"/>
      <c r="BR8" s="84"/>
      <c r="BS8" s="84"/>
      <c r="BT8" s="84"/>
      <c r="BU8" s="84"/>
      <c r="BV8" s="84"/>
      <c r="BW8" s="84"/>
      <c r="BX8" s="87"/>
      <c r="BY8" s="79"/>
      <c r="BZ8" s="94"/>
      <c r="CA8" s="94"/>
      <c r="CB8" s="84"/>
      <c r="CC8" s="84"/>
      <c r="CD8" s="84"/>
      <c r="CE8" s="84"/>
      <c r="CF8" s="84"/>
      <c r="CG8" s="84"/>
      <c r="CH8" s="84"/>
      <c r="CI8" s="84"/>
      <c r="CJ8" s="84"/>
      <c r="CK8" s="84"/>
      <c r="CL8" s="84"/>
      <c r="CM8" s="84"/>
      <c r="CN8" s="84"/>
      <c r="CO8" s="84"/>
      <c r="CP8" s="84"/>
      <c r="CQ8" s="87"/>
      <c r="CR8" s="79"/>
    </row>
    <row r="9" spans="1:96" s="63" customFormat="1" x14ac:dyDescent="0.15">
      <c r="A9" s="89"/>
      <c r="B9" s="90"/>
      <c r="C9" s="90"/>
      <c r="D9" s="81"/>
      <c r="E9" s="90"/>
      <c r="F9" s="89"/>
      <c r="G9" s="92"/>
      <c r="I9" s="93"/>
      <c r="J9" s="78"/>
      <c r="K9" s="76"/>
      <c r="L9" s="76"/>
      <c r="M9" s="76"/>
      <c r="N9" s="76"/>
      <c r="O9" s="76"/>
      <c r="P9" s="76"/>
      <c r="Q9" s="76"/>
      <c r="R9" s="76"/>
      <c r="S9" s="91"/>
      <c r="T9" s="91"/>
      <c r="U9" s="94"/>
      <c r="V9" s="94"/>
      <c r="W9" s="94"/>
      <c r="X9" s="100" t="e">
        <f>COUNTIF('III Drucke 1501-1560'!X2:'III Drucke 1501-1560'!#REF!,"Pg")</f>
        <v>#REF!</v>
      </c>
      <c r="Y9" s="95"/>
      <c r="Z9" s="95"/>
      <c r="AA9" s="96"/>
      <c r="AB9" s="96"/>
      <c r="AC9" s="96"/>
      <c r="AD9" s="96"/>
      <c r="AE9" s="96"/>
      <c r="AF9" s="96"/>
      <c r="AG9" s="94"/>
      <c r="AH9" s="94"/>
      <c r="AI9" s="94"/>
      <c r="AJ9" s="94"/>
      <c r="AK9" s="94"/>
      <c r="AL9" s="94"/>
      <c r="AM9" s="94"/>
      <c r="AN9" s="94"/>
      <c r="AO9" s="94"/>
      <c r="AP9" s="94"/>
      <c r="AQ9" s="94"/>
      <c r="AR9" s="94"/>
      <c r="AS9" s="96"/>
      <c r="AT9" s="96"/>
      <c r="AU9" s="91" t="e">
        <f>COUNTIF('III Drucke 1501-1560'!AU2:'III Drucke 1501-1560'!#REF!,"110")</f>
        <v>#REF!</v>
      </c>
      <c r="AV9" s="96"/>
      <c r="AW9" s="94"/>
      <c r="AX9" s="94"/>
      <c r="AY9" s="96"/>
      <c r="AZ9" s="98"/>
      <c r="BA9" s="95"/>
      <c r="BB9" s="94"/>
      <c r="BC9" s="94"/>
      <c r="BD9" s="94"/>
      <c r="BE9" s="94"/>
      <c r="BF9" s="94"/>
      <c r="BG9" s="94"/>
      <c r="BH9" s="99"/>
      <c r="BJ9" s="79"/>
      <c r="BL9" s="84"/>
      <c r="BM9" s="84"/>
      <c r="BN9" s="84"/>
      <c r="BO9" s="84"/>
      <c r="BP9" s="84"/>
      <c r="BQ9" s="84"/>
      <c r="BR9" s="84"/>
      <c r="BS9" s="84"/>
      <c r="BT9" s="84"/>
      <c r="BU9" s="84"/>
      <c r="BV9" s="84"/>
      <c r="BW9" s="84"/>
      <c r="BX9" s="87"/>
      <c r="BY9" s="79"/>
      <c r="BZ9" s="94"/>
      <c r="CA9" s="94"/>
      <c r="CB9" s="84"/>
      <c r="CC9" s="84"/>
      <c r="CD9" s="84"/>
      <c r="CE9" s="84"/>
      <c r="CF9" s="84"/>
      <c r="CG9" s="84"/>
      <c r="CH9" s="84"/>
      <c r="CI9" s="84"/>
      <c r="CJ9" s="84"/>
      <c r="CK9" s="84"/>
      <c r="CL9" s="84"/>
      <c r="CM9" s="84"/>
      <c r="CN9" s="84"/>
      <c r="CO9" s="84"/>
      <c r="CP9" s="84"/>
      <c r="CQ9" s="87"/>
      <c r="CR9" s="79"/>
    </row>
    <row r="10" spans="1:96" s="63" customFormat="1" x14ac:dyDescent="0.15">
      <c r="A10" s="89"/>
      <c r="B10" s="90"/>
      <c r="C10" s="90"/>
      <c r="D10" s="81"/>
      <c r="E10" s="90"/>
      <c r="F10" s="89"/>
      <c r="G10" s="92"/>
      <c r="I10" s="93"/>
      <c r="J10" s="78"/>
      <c r="K10" s="76"/>
      <c r="L10" s="76"/>
      <c r="M10" s="76"/>
      <c r="N10" s="76"/>
      <c r="O10" s="76"/>
      <c r="P10" s="76"/>
      <c r="Q10" s="76"/>
      <c r="R10" s="76"/>
      <c r="S10" s="91"/>
      <c r="T10" s="91"/>
      <c r="U10" s="94"/>
      <c r="V10" s="94"/>
      <c r="W10" s="94"/>
      <c r="X10" s="100" t="e">
        <f>COUNTIF('III Drucke 1501-1560'!X2:'III Drucke 1501-1560'!#REF!,"HPg")</f>
        <v>#REF!</v>
      </c>
      <c r="Y10" s="95"/>
      <c r="Z10" s="95"/>
      <c r="AA10" s="96"/>
      <c r="AB10" s="96"/>
      <c r="AC10" s="96"/>
      <c r="AD10" s="96"/>
      <c r="AE10" s="96"/>
      <c r="AF10" s="96"/>
      <c r="AG10" s="94"/>
      <c r="AH10" s="94"/>
      <c r="AI10" s="94"/>
      <c r="AJ10" s="94"/>
      <c r="AK10" s="94"/>
      <c r="AL10" s="94"/>
      <c r="AM10" s="94"/>
      <c r="AN10" s="94"/>
      <c r="AO10" s="94"/>
      <c r="AP10" s="94"/>
      <c r="AQ10" s="94"/>
      <c r="AR10" s="94"/>
      <c r="AS10" s="96"/>
      <c r="AT10" s="96"/>
      <c r="AU10" s="91" t="e">
        <f>COUNTIF('III Drucke 1501-1560'!AU2:'III Drucke 1501-1560'!#REF!,"max 110")</f>
        <v>#REF!</v>
      </c>
      <c r="AV10" s="96"/>
      <c r="AW10" s="94"/>
      <c r="AX10" s="94"/>
      <c r="AY10" s="96"/>
      <c r="AZ10" s="98"/>
      <c r="BA10" s="95"/>
      <c r="BB10" s="94"/>
      <c r="BC10" s="94"/>
      <c r="BD10" s="94"/>
      <c r="BE10" s="94"/>
      <c r="BF10" s="94"/>
      <c r="BG10" s="94"/>
      <c r="BH10" s="99"/>
      <c r="BJ10" s="79"/>
      <c r="BL10" s="84"/>
      <c r="BM10" s="84"/>
      <c r="BN10" s="84"/>
      <c r="BO10" s="84"/>
      <c r="BP10" s="84"/>
      <c r="BQ10" s="84"/>
      <c r="BR10" s="84"/>
      <c r="BS10" s="84"/>
      <c r="BT10" s="84"/>
      <c r="BU10" s="84"/>
      <c r="BV10" s="84"/>
      <c r="BW10" s="84"/>
      <c r="BX10" s="87"/>
      <c r="BY10" s="79"/>
      <c r="BZ10" s="94"/>
      <c r="CA10" s="94"/>
      <c r="CB10" s="84"/>
      <c r="CC10" s="84"/>
      <c r="CD10" s="84"/>
      <c r="CE10" s="84"/>
      <c r="CF10" s="84"/>
      <c r="CG10" s="84"/>
      <c r="CH10" s="84"/>
      <c r="CI10" s="84"/>
      <c r="CJ10" s="84"/>
      <c r="CK10" s="84"/>
      <c r="CL10" s="84"/>
      <c r="CM10" s="84"/>
      <c r="CN10" s="84"/>
      <c r="CO10" s="84"/>
      <c r="CP10" s="84"/>
      <c r="CQ10" s="87"/>
      <c r="CR10" s="79"/>
    </row>
    <row r="11" spans="1:96" s="63" customFormat="1" x14ac:dyDescent="0.15">
      <c r="A11" s="89"/>
      <c r="B11" s="90"/>
      <c r="C11" s="90"/>
      <c r="D11" s="81"/>
      <c r="E11" s="90"/>
      <c r="F11" s="89"/>
      <c r="G11" s="92"/>
      <c r="I11" s="93"/>
      <c r="J11" s="78"/>
      <c r="K11" s="76"/>
      <c r="L11" s="76"/>
      <c r="M11" s="76"/>
      <c r="N11" s="76"/>
      <c r="O11" s="76"/>
      <c r="P11" s="76"/>
      <c r="Q11" s="76"/>
      <c r="R11" s="76"/>
      <c r="S11" s="91"/>
      <c r="T11" s="91"/>
      <c r="U11" s="94"/>
      <c r="V11" s="94"/>
      <c r="W11" s="94"/>
      <c r="X11" s="100" t="e">
        <f>COUNTIF('III Drucke 1501-1560'!X2:'III Drucke 1501-1560'!#REF!,"Pg (Mak.)")</f>
        <v>#REF!</v>
      </c>
      <c r="Y11" s="95"/>
      <c r="Z11" s="95"/>
      <c r="AA11" s="96"/>
      <c r="AB11" s="96"/>
      <c r="AC11" s="96"/>
      <c r="AD11" s="96"/>
      <c r="AE11" s="96"/>
      <c r="AF11" s="96"/>
      <c r="AG11" s="94"/>
      <c r="AH11" s="94"/>
      <c r="AI11" s="94"/>
      <c r="AJ11" s="94"/>
      <c r="AK11" s="94"/>
      <c r="AL11" s="94"/>
      <c r="AM11" s="94"/>
      <c r="AN11" s="94"/>
      <c r="AO11" s="94"/>
      <c r="AP11" s="94"/>
      <c r="AQ11" s="94"/>
      <c r="AR11" s="94"/>
      <c r="AS11" s="96"/>
      <c r="AT11" s="96"/>
      <c r="AU11" s="91" t="e">
        <f>COUNTIF('III Drucke 1501-1560'!AU2:'III Drucke 1501-1560'!#REF!,"nur 110")</f>
        <v>#REF!</v>
      </c>
      <c r="AV11" s="96"/>
      <c r="AW11" s="94"/>
      <c r="AX11" s="94"/>
      <c r="AY11" s="96"/>
      <c r="AZ11" s="98"/>
      <c r="BA11" s="95"/>
      <c r="BB11" s="94"/>
      <c r="BC11" s="94"/>
      <c r="BD11" s="94"/>
      <c r="BE11" s="94"/>
      <c r="BF11" s="94"/>
      <c r="BG11" s="94"/>
      <c r="BH11" s="99"/>
      <c r="BJ11" s="79"/>
      <c r="BL11" s="84"/>
      <c r="BM11" s="84"/>
      <c r="BN11" s="84"/>
      <c r="BO11" s="84"/>
      <c r="BP11" s="84"/>
      <c r="BQ11" s="84"/>
      <c r="BR11" s="84"/>
      <c r="BS11" s="84"/>
      <c r="BT11" s="84"/>
      <c r="BU11" s="84"/>
      <c r="BV11" s="84"/>
      <c r="BW11" s="84"/>
      <c r="BX11" s="87"/>
      <c r="BY11" s="79"/>
      <c r="BZ11" s="94"/>
      <c r="CA11" s="94"/>
      <c r="CB11" s="84"/>
      <c r="CC11" s="84"/>
      <c r="CD11" s="84"/>
      <c r="CE11" s="84"/>
      <c r="CF11" s="84"/>
      <c r="CG11" s="84"/>
      <c r="CH11" s="84"/>
      <c r="CI11" s="84"/>
      <c r="CJ11" s="84"/>
      <c r="CK11" s="84"/>
      <c r="CL11" s="84"/>
      <c r="CM11" s="84"/>
      <c r="CN11" s="84"/>
      <c r="CO11" s="84"/>
      <c r="CP11" s="84"/>
      <c r="CQ11" s="87"/>
      <c r="CR11" s="79"/>
    </row>
    <row r="12" spans="1:96" s="63" customFormat="1" x14ac:dyDescent="0.15">
      <c r="A12" s="89"/>
      <c r="B12" s="90"/>
      <c r="C12" s="90"/>
      <c r="D12" s="81"/>
      <c r="E12" s="90"/>
      <c r="F12" s="89"/>
      <c r="G12" s="92"/>
      <c r="I12" s="93"/>
      <c r="J12" s="78"/>
      <c r="K12" s="76"/>
      <c r="L12" s="76"/>
      <c r="M12" s="76"/>
      <c r="N12" s="76"/>
      <c r="O12" s="76"/>
      <c r="P12" s="76"/>
      <c r="Q12" s="76"/>
      <c r="R12" s="76"/>
      <c r="S12" s="91"/>
      <c r="T12" s="91"/>
      <c r="U12" s="94"/>
      <c r="V12" s="94"/>
      <c r="W12" s="94"/>
      <c r="X12" s="91" t="e">
        <f>COUNTIF('III Drucke 1501-1560'!X2:'III Drucke 1501-1560'!#REF!,"oE")</f>
        <v>#REF!</v>
      </c>
      <c r="Y12" s="95"/>
      <c r="Z12" s="95"/>
      <c r="AA12" s="96"/>
      <c r="AB12" s="96"/>
      <c r="AC12" s="84"/>
      <c r="AD12" s="96"/>
      <c r="AE12" s="96"/>
      <c r="AF12" s="96"/>
      <c r="AG12" s="94"/>
      <c r="AH12" s="94"/>
      <c r="AI12" s="94"/>
      <c r="AJ12" s="94"/>
      <c r="AK12" s="84"/>
      <c r="AL12" s="84"/>
      <c r="AM12" s="94"/>
      <c r="AN12" s="94"/>
      <c r="AO12" s="94"/>
      <c r="AP12" s="94"/>
      <c r="AQ12" s="84"/>
      <c r="AR12" s="94"/>
      <c r="AS12" s="96"/>
      <c r="AT12" s="96"/>
      <c r="AU12" s="91" t="e">
        <f>COUNTIF('III Drucke 1501-1560'!AU2:'III Drucke 1501-1560'!#REF!,"180")</f>
        <v>#REF!</v>
      </c>
      <c r="AV12" s="96"/>
      <c r="AW12" s="94"/>
      <c r="AX12" s="94"/>
      <c r="AY12" s="96"/>
      <c r="AZ12" s="98"/>
      <c r="BA12" s="95"/>
      <c r="BB12" s="94"/>
      <c r="BC12" s="94"/>
      <c r="BD12" s="94"/>
      <c r="BE12" s="94"/>
      <c r="BF12" s="94"/>
      <c r="BG12" s="94"/>
      <c r="BH12" s="99"/>
      <c r="BJ12" s="79"/>
      <c r="BL12" s="84"/>
      <c r="BM12" s="84"/>
      <c r="BN12" s="84"/>
      <c r="BO12" s="84"/>
      <c r="BP12" s="84"/>
      <c r="BQ12" s="84"/>
      <c r="BR12" s="84"/>
      <c r="BS12" s="84"/>
      <c r="BT12" s="84"/>
      <c r="BU12" s="84"/>
      <c r="BV12" s="84"/>
      <c r="BW12" s="84"/>
      <c r="BX12" s="87"/>
      <c r="BY12" s="79"/>
      <c r="BZ12" s="94"/>
      <c r="CA12" s="94"/>
      <c r="CB12" s="84"/>
      <c r="CC12" s="84"/>
      <c r="CD12" s="84"/>
      <c r="CE12" s="84"/>
      <c r="CF12" s="84"/>
      <c r="CG12" s="84"/>
      <c r="CH12" s="84"/>
      <c r="CI12" s="84"/>
      <c r="CJ12" s="84"/>
      <c r="CK12" s="84"/>
      <c r="CL12" s="84"/>
      <c r="CM12" s="84"/>
      <c r="CN12" s="84"/>
      <c r="CO12" s="84"/>
      <c r="CP12" s="84"/>
      <c r="CQ12" s="87"/>
      <c r="CR12" s="79"/>
    </row>
    <row r="13" spans="1:96" s="63" customFormat="1" x14ac:dyDescent="0.15">
      <c r="A13" s="89"/>
      <c r="B13" s="90"/>
      <c r="C13" s="90"/>
      <c r="D13" s="81"/>
      <c r="E13" s="101"/>
      <c r="F13" s="89"/>
      <c r="G13" s="92"/>
      <c r="H13" s="102"/>
      <c r="I13" s="93"/>
      <c r="J13" s="78"/>
      <c r="K13" s="76"/>
      <c r="L13" s="76"/>
      <c r="M13" s="76"/>
      <c r="N13" s="76"/>
      <c r="O13" s="76"/>
      <c r="P13" s="76"/>
      <c r="Q13" s="76"/>
      <c r="R13" s="76"/>
      <c r="S13" s="103"/>
      <c r="T13" s="103"/>
      <c r="U13" s="104"/>
      <c r="V13" s="104"/>
      <c r="W13" s="104"/>
      <c r="X13" s="103" t="e">
        <f>COUNTIF('III Drucke 1501-1560'!X2:'III Drucke 1501-1560'!#REF!,"EB")</f>
        <v>#REF!</v>
      </c>
      <c r="Y13" s="105"/>
      <c r="Z13" s="105"/>
      <c r="AA13" s="106"/>
      <c r="AB13" s="106"/>
      <c r="AC13" s="106"/>
      <c r="AD13" s="106"/>
      <c r="AE13" s="106"/>
      <c r="AF13" s="106"/>
      <c r="AG13" s="104"/>
      <c r="AH13" s="104"/>
      <c r="AI13" s="104"/>
      <c r="AJ13" s="104"/>
      <c r="AK13" s="104"/>
      <c r="AL13" s="104"/>
      <c r="AM13" s="104"/>
      <c r="AN13" s="104"/>
      <c r="AO13" s="104"/>
      <c r="AP13" s="104"/>
      <c r="AQ13" s="104"/>
      <c r="AR13" s="104"/>
      <c r="AS13" s="106"/>
      <c r="AT13" s="106"/>
      <c r="AU13" s="103" t="e">
        <f>COUNTIF('III Drucke 1501-1560'!AU2:'III Drucke 1501-1560'!#REF!,"max 180")</f>
        <v>#REF!</v>
      </c>
      <c r="AV13" s="106"/>
      <c r="AW13" s="104"/>
      <c r="AX13" s="104"/>
      <c r="AY13" s="106"/>
      <c r="AZ13" s="107"/>
      <c r="BA13" s="105"/>
      <c r="BB13" s="104"/>
      <c r="BC13" s="104"/>
      <c r="BD13" s="104"/>
      <c r="BE13" s="104"/>
      <c r="BF13" s="104"/>
      <c r="BG13" s="104"/>
      <c r="BH13" s="108"/>
      <c r="BJ13" s="79"/>
      <c r="BL13" s="84"/>
      <c r="BM13" s="84"/>
      <c r="BN13" s="84"/>
      <c r="BO13" s="84"/>
      <c r="BP13" s="84"/>
      <c r="BQ13" s="84"/>
      <c r="BR13" s="84"/>
      <c r="BS13" s="84"/>
      <c r="BT13" s="84"/>
      <c r="BU13" s="84"/>
      <c r="BV13" s="84"/>
      <c r="BW13" s="84"/>
      <c r="BX13" s="87"/>
      <c r="BY13" s="79"/>
      <c r="BZ13" s="104"/>
      <c r="CA13" s="104"/>
      <c r="CB13" s="84"/>
      <c r="CC13" s="84"/>
      <c r="CD13" s="84"/>
      <c r="CE13" s="84"/>
      <c r="CF13" s="84"/>
      <c r="CG13" s="84"/>
      <c r="CH13" s="84"/>
      <c r="CI13" s="84"/>
      <c r="CJ13" s="84"/>
      <c r="CK13" s="84"/>
      <c r="CL13" s="84"/>
      <c r="CM13" s="84"/>
      <c r="CN13" s="84"/>
      <c r="CO13" s="84"/>
      <c r="CP13" s="84"/>
      <c r="CQ13" s="87"/>
      <c r="CR13" s="79"/>
    </row>
    <row r="14" spans="1:96" s="63" customFormat="1" x14ac:dyDescent="0.15">
      <c r="A14" s="89"/>
      <c r="B14" s="90"/>
      <c r="C14" s="90"/>
      <c r="D14" s="81"/>
      <c r="E14" s="109" t="e">
        <f>SUM(E2:E13)</f>
        <v>#REF!</v>
      </c>
      <c r="F14" s="89"/>
      <c r="G14" s="92"/>
      <c r="H14" s="110" t="e">
        <f>SUM(H2:H13)</f>
        <v>#REF!</v>
      </c>
      <c r="I14" s="111"/>
      <c r="J14" s="112"/>
      <c r="K14" s="113"/>
      <c r="L14" s="113"/>
      <c r="M14" s="113"/>
      <c r="N14" s="113"/>
      <c r="O14" s="113"/>
      <c r="P14" s="113"/>
      <c r="Q14" s="113"/>
      <c r="R14" s="113"/>
      <c r="S14" s="114" t="e">
        <f>SUM(S2:S13)</f>
        <v>#REF!</v>
      </c>
      <c r="T14" s="114" t="e">
        <f>SUM(T2:T13)</f>
        <v>#REF!</v>
      </c>
      <c r="U14" s="114" t="e">
        <f>SUM(U2:U13)</f>
        <v>#REF!</v>
      </c>
      <c r="V14" s="114" t="e">
        <f>SUM(V2:V13)</f>
        <v>#REF!</v>
      </c>
      <c r="W14" s="114" t="e">
        <f>SUM(W2:W13)</f>
        <v>#REF!</v>
      </c>
      <c r="X14" s="114"/>
      <c r="Y14" s="114" t="e">
        <f>SUM(Y2:Y13)</f>
        <v>#REF!</v>
      </c>
      <c r="Z14" s="114" t="e">
        <f>SUM(Z2:Z13)</f>
        <v>#REF!</v>
      </c>
      <c r="AA14" s="114" t="e">
        <f>SUM(AA2:AA4)</f>
        <v>#REF!</v>
      </c>
      <c r="AB14" s="114" t="e">
        <f>SUM(AB2:AB13)</f>
        <v>#REF!</v>
      </c>
      <c r="AC14" s="109" t="e">
        <f>SUM(AC2:AC13)</f>
        <v>#REF!</v>
      </c>
      <c r="AD14" s="114" t="e">
        <f>SUM(AD2:AD13)</f>
        <v>#REF!</v>
      </c>
      <c r="AE14" s="114" t="e">
        <f>SUM(AE2:AE13)</f>
        <v>#REF!</v>
      </c>
      <c r="AF14" s="114" t="e">
        <f>SUM(AF2:AF13)</f>
        <v>#REF!</v>
      </c>
      <c r="AG14" s="97" t="e">
        <f>SUM(AG3:AG4)</f>
        <v>#REF!</v>
      </c>
      <c r="AH14" s="114" t="e">
        <f t="shared" ref="AH14:AX14" si="0">SUM(AH2:AH13)</f>
        <v>#REF!</v>
      </c>
      <c r="AI14" s="114" t="e">
        <f t="shared" si="0"/>
        <v>#REF!</v>
      </c>
      <c r="AJ14" s="114" t="e">
        <f t="shared" si="0"/>
        <v>#REF!</v>
      </c>
      <c r="AK14" s="109" t="e">
        <f t="shared" si="0"/>
        <v>#REF!</v>
      </c>
      <c r="AL14" s="109" t="e">
        <f t="shared" si="0"/>
        <v>#REF!</v>
      </c>
      <c r="AM14" s="114" t="e">
        <f t="shared" si="0"/>
        <v>#REF!</v>
      </c>
      <c r="AN14" s="114" t="e">
        <f t="shared" si="0"/>
        <v>#REF!</v>
      </c>
      <c r="AO14" s="114" t="e">
        <f t="shared" si="0"/>
        <v>#REF!</v>
      </c>
      <c r="AP14" s="114" t="e">
        <f t="shared" si="0"/>
        <v>#REF!</v>
      </c>
      <c r="AQ14" s="109" t="e">
        <f t="shared" si="0"/>
        <v>#REF!</v>
      </c>
      <c r="AR14" s="109" t="e">
        <f t="shared" si="0"/>
        <v>#REF!</v>
      </c>
      <c r="AS14" s="109" t="e">
        <f t="shared" si="0"/>
        <v>#REF!</v>
      </c>
      <c r="AT14" s="114" t="e">
        <f t="shared" si="0"/>
        <v>#REF!</v>
      </c>
      <c r="AU14" s="114" t="e">
        <f t="shared" si="0"/>
        <v>#REF!</v>
      </c>
      <c r="AV14" s="114" t="e">
        <f t="shared" si="0"/>
        <v>#REF!</v>
      </c>
      <c r="AW14" s="114" t="e">
        <f t="shared" si="0"/>
        <v>#REF!</v>
      </c>
      <c r="AX14" s="114" t="e">
        <f t="shared" si="0"/>
        <v>#REF!</v>
      </c>
      <c r="AY14" s="114" t="e">
        <f>SUM(AY3:AY6)</f>
        <v>#REF!</v>
      </c>
      <c r="AZ14" s="115" t="e">
        <f>SUM('III Drucke 1501-1560'!AZ2:'III Drucke 1501-1560'!#REF!)</f>
        <v>#REF!</v>
      </c>
      <c r="BA14" s="114" t="e">
        <f t="shared" ref="BA14:BH14" si="1">SUM(BA2:BA13)</f>
        <v>#REF!</v>
      </c>
      <c r="BB14" s="114" t="e">
        <f t="shared" si="1"/>
        <v>#REF!</v>
      </c>
      <c r="BC14" s="114" t="e">
        <f t="shared" si="1"/>
        <v>#REF!</v>
      </c>
      <c r="BD14" s="114" t="e">
        <f t="shared" si="1"/>
        <v>#REF!</v>
      </c>
      <c r="BE14" s="114" t="e">
        <f t="shared" si="1"/>
        <v>#REF!</v>
      </c>
      <c r="BF14" s="114" t="e">
        <f t="shared" si="1"/>
        <v>#REF!</v>
      </c>
      <c r="BG14" s="114" t="e">
        <f t="shared" si="1"/>
        <v>#REF!</v>
      </c>
      <c r="BH14" s="114" t="e">
        <f t="shared" si="1"/>
        <v>#REF!</v>
      </c>
      <c r="BI14" s="125" t="e">
        <f>BI2+BI6</f>
        <v>#REF!</v>
      </c>
      <c r="BJ14" s="79"/>
      <c r="BL14" s="84"/>
      <c r="BM14" s="84"/>
      <c r="BN14" s="84"/>
      <c r="BO14" s="84"/>
      <c r="BP14" s="84"/>
      <c r="BQ14" s="84"/>
      <c r="BR14" s="84"/>
      <c r="BS14" s="84"/>
      <c r="BT14" s="84"/>
      <c r="BU14" s="84"/>
      <c r="BV14" s="84"/>
      <c r="BW14" s="84"/>
      <c r="BX14" s="87"/>
      <c r="BY14" s="79"/>
      <c r="BZ14" s="114" t="e">
        <f>SUM(BZ2:BZ13)</f>
        <v>#REF!</v>
      </c>
      <c r="CA14" s="114" t="e">
        <f>SUM(CA2:CA13)</f>
        <v>#REF!</v>
      </c>
      <c r="CB14" s="84"/>
      <c r="CC14" s="84"/>
      <c r="CD14" s="84"/>
      <c r="CE14" s="84"/>
      <c r="CF14" s="84"/>
      <c r="CG14" s="84"/>
      <c r="CH14" s="84"/>
      <c r="CI14" s="84"/>
      <c r="CJ14" s="84"/>
      <c r="CK14" s="84"/>
      <c r="CL14" s="84"/>
      <c r="CM14" s="84"/>
      <c r="CN14" s="84"/>
      <c r="CO14" s="84"/>
      <c r="CP14" s="84"/>
      <c r="CQ14" s="87"/>
      <c r="CR14" s="79"/>
    </row>
    <row r="15" spans="1:96" s="63" customFormat="1" x14ac:dyDescent="0.15">
      <c r="G15" s="79"/>
      <c r="H15"/>
      <c r="I15" s="79"/>
      <c r="J15" s="79"/>
      <c r="S15" s="84"/>
      <c r="T15" s="84"/>
      <c r="U15" s="84"/>
      <c r="V15" s="84"/>
      <c r="W15" s="84"/>
      <c r="X15" s="84"/>
      <c r="Y15" s="84"/>
      <c r="Z15" s="84"/>
      <c r="AA15" s="114" t="e">
        <f>SUM(AA5:AA6)</f>
        <v>#REF!</v>
      </c>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6"/>
      <c r="AZ15" s="87"/>
      <c r="BA15" s="84"/>
      <c r="BB15" s="84"/>
      <c r="BC15" s="84"/>
      <c r="BD15" s="84"/>
      <c r="BE15" s="84"/>
      <c r="BF15" s="84"/>
      <c r="BG15" s="84"/>
      <c r="BH15" s="79"/>
      <c r="BI15" s="84" t="e">
        <f>BI3+BI4+BI5</f>
        <v>#REF!</v>
      </c>
      <c r="BJ15" s="79"/>
      <c r="BL15" s="84"/>
      <c r="BM15" s="84"/>
      <c r="BN15" s="84"/>
      <c r="BO15" s="84"/>
      <c r="BP15" s="84"/>
      <c r="BQ15" s="84"/>
      <c r="BR15" s="84"/>
      <c r="BS15" s="84"/>
      <c r="BT15" s="84"/>
      <c r="BU15" s="84"/>
      <c r="BV15" s="84"/>
      <c r="BW15" s="84"/>
      <c r="BX15" s="87"/>
      <c r="BY15" s="79"/>
      <c r="BZ15" s="84"/>
      <c r="CA15" s="84"/>
      <c r="CB15" s="84"/>
      <c r="CC15" s="84"/>
      <c r="CD15" s="84"/>
      <c r="CE15" s="84"/>
      <c r="CF15" s="84"/>
      <c r="CG15" s="84"/>
      <c r="CH15" s="84"/>
      <c r="CI15" s="84"/>
      <c r="CJ15" s="84"/>
      <c r="CK15" s="84"/>
      <c r="CL15" s="84"/>
      <c r="CM15" s="84"/>
      <c r="CN15" s="84"/>
      <c r="CO15" s="84"/>
      <c r="CP15" s="84"/>
      <c r="CQ15" s="87"/>
      <c r="CR15" s="79"/>
    </row>
    <row r="16" spans="1:96" s="63" customFormat="1" x14ac:dyDescent="0.15">
      <c r="G16" s="79"/>
      <c r="H16"/>
      <c r="I16" s="79"/>
      <c r="J16" s="79"/>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6"/>
      <c r="AZ16" s="91"/>
      <c r="BA16" s="84"/>
      <c r="BB16" s="84"/>
      <c r="BC16" s="84"/>
      <c r="BD16" s="84"/>
      <c r="BE16" s="84"/>
      <c r="BF16" s="84"/>
      <c r="BG16" s="84"/>
      <c r="BH16" s="79"/>
      <c r="BI16" s="124" t="e">
        <f>SUM(BI2:BI13)</f>
        <v>#REF!</v>
      </c>
      <c r="BJ16" s="79"/>
      <c r="BL16" s="84"/>
      <c r="BM16" s="84"/>
      <c r="BN16" s="84"/>
      <c r="BO16" s="84"/>
      <c r="BP16" s="84"/>
      <c r="BQ16" s="84"/>
      <c r="BR16" s="84"/>
      <c r="BS16" s="84"/>
      <c r="BT16" s="84"/>
      <c r="BU16" s="84"/>
      <c r="BV16" s="84"/>
      <c r="BW16" s="84"/>
      <c r="BX16" s="87"/>
      <c r="BY16" s="79"/>
      <c r="BZ16" s="84"/>
      <c r="CA16" s="84"/>
      <c r="CB16" s="84"/>
      <c r="CC16" s="84"/>
      <c r="CD16" s="84"/>
      <c r="CE16" s="84"/>
      <c r="CF16" s="84"/>
      <c r="CG16" s="84"/>
      <c r="CH16" s="84"/>
      <c r="CI16" s="84"/>
      <c r="CJ16" s="84"/>
      <c r="CK16" s="84"/>
      <c r="CL16" s="84"/>
      <c r="CM16" s="84"/>
      <c r="CN16" s="84"/>
      <c r="CO16" s="84"/>
      <c r="CP16" s="84"/>
      <c r="CQ16" s="87"/>
      <c r="CR16" s="79"/>
    </row>
  </sheetData>
  <pageMargins left="0.7" right="0.7" top="0.78740157499999996" bottom="0.78740157499999996" header="0.3" footer="0.3"/>
  <legacyDrawing r:id="rId1"/>
  <extLst>
    <ext xmlns:x14="http://schemas.microsoft.com/office/spreadsheetml/2009/9/main" uri="{CCE6A557-97BC-4b89-ADB6-D9C93CAAB3DF}">
      <x14:dataValidations xmlns:xm="http://schemas.microsoft.com/office/excel/2006/main" count="11">
        <x14:dataValidation type="list" allowBlank="1" showInputMessage="1" showErrorMessage="1">
          <x14:formula1>
            <xm:f>Legende!$D$20:$D$28</xm:f>
          </x14:formula1>
          <xm:sqref>L1 L15:L16</xm:sqref>
        </x14:dataValidation>
        <x14:dataValidation type="list" allowBlank="1" showInputMessage="1" showErrorMessage="1">
          <x14:formula1>
            <xm:f>Legende!$B$38:$B$50</xm:f>
          </x14:formula1>
          <xm:sqref>O1 O15:O16</xm:sqref>
        </x14:dataValidation>
        <x14:dataValidation type="list" allowBlank="1" showInputMessage="1" showErrorMessage="1">
          <x14:formula1>
            <xm:f>Legende!$D$46:$D$49</xm:f>
          </x14:formula1>
          <xm:sqref>M1 M15:M16</xm:sqref>
        </x14:dataValidation>
        <x14:dataValidation type="list" allowBlank="1" showInputMessage="1" showErrorMessage="1">
          <x14:formula1>
            <xm:f>Legende!$C$20:$C$37</xm:f>
          </x14:formula1>
          <xm:sqref>J1 J15:J16</xm:sqref>
        </x14:dataValidation>
        <x14:dataValidation type="list" allowBlank="1" showInputMessage="1" showErrorMessage="1">
          <x14:formula1>
            <xm:f>Legende!$A$54:$A$57</xm:f>
          </x14:formula1>
          <xm:sqref>N1 N15:N16</xm:sqref>
        </x14:dataValidation>
        <x14:dataValidation type="list" allowBlank="1" showInputMessage="1" showErrorMessage="1">
          <x14:formula1>
            <xm:f>Legende!$C$39:$C$40</xm:f>
          </x14:formula1>
          <xm:sqref>K1 K15:K16</xm:sqref>
        </x14:dataValidation>
        <x14:dataValidation type="list" allowBlank="1" showInputMessage="1" showErrorMessage="1">
          <x14:formula1>
            <xm:f>Legende!$E$20:$E$23</xm:f>
          </x14:formula1>
          <xm:sqref>H1</xm:sqref>
        </x14:dataValidation>
        <x14:dataValidation type="list" allowBlank="1" showInputMessage="1" showErrorMessage="1">
          <x14:formula1>
            <xm:f>Legende!$B$20:$B$32</xm:f>
          </x14:formula1>
          <xm:sqref>G1 G15:G16</xm:sqref>
        </x14:dataValidation>
        <x14:dataValidation type="list" allowBlank="1" showInputMessage="1" showErrorMessage="1">
          <x14:formula1>
            <xm:f>Legende!$D$50</xm:f>
          </x14:formula1>
          <xm:sqref>F1 F15:F16</xm:sqref>
        </x14:dataValidation>
        <x14:dataValidation type="list" allowBlank="1" showInputMessage="1" showErrorMessage="1">
          <x14:formula1>
            <xm:f>'D:\UserData\thomschkef\Home\myData\Desktop\02_Zustandserfassungslisten_ab2022\[II_Inkunabeln+.xlsm]Legende'!#REF!</xm:f>
          </x14:formula1>
          <xm:sqref>F2:G14 I2:O14 H13</xm:sqref>
        </x14:dataValidation>
        <x14:dataValidation type="list" allowBlank="1" showInputMessage="1" showErrorMessage="1">
          <x14:formula1>
            <xm:f>Legende!$F$20:$F$22</xm:f>
          </x14:formula1>
          <xm:sqref>I15:I16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workbookViewId="0">
      <selection activeCell="D12" sqref="D12"/>
    </sheetView>
  </sheetViews>
  <sheetFormatPr baseColWidth="10" defaultColWidth="11" defaultRowHeight="11.25" x14ac:dyDescent="0.15"/>
  <cols>
    <col min="1" max="1" width="16.75" style="79" customWidth="1"/>
    <col min="2" max="2" width="23.75" style="79" bestFit="1" customWidth="1"/>
    <col min="3" max="16384" width="11" style="79"/>
  </cols>
  <sheetData>
    <row r="1" spans="1:3" ht="33.75" customHeight="1" x14ac:dyDescent="0.15">
      <c r="A1" s="143" t="s">
        <v>2930</v>
      </c>
      <c r="B1" s="144"/>
    </row>
    <row r="2" spans="1:3" ht="22.5" x14ac:dyDescent="0.15">
      <c r="A2" s="79" t="s">
        <v>2879</v>
      </c>
      <c r="B2" s="118"/>
      <c r="C2" s="142" t="e">
        <f>Zählenwenn!E14</f>
        <v>#REF!</v>
      </c>
    </row>
    <row r="3" spans="1:3" ht="22.5" x14ac:dyDescent="0.15">
      <c r="A3" s="79" t="s">
        <v>2880</v>
      </c>
      <c r="B3" s="118"/>
      <c r="C3" s="79" t="e">
        <f>'III Drucke 1501-1560'!#REF!</f>
        <v>#REF!</v>
      </c>
    </row>
    <row r="4" spans="1:3" ht="33.75" x14ac:dyDescent="0.15">
      <c r="A4" s="79" t="s">
        <v>2916</v>
      </c>
      <c r="B4" s="118"/>
      <c r="C4" s="79" t="e">
        <f>'III Drucke 1501-1560'!#REF!</f>
        <v>#REF!</v>
      </c>
    </row>
    <row r="5" spans="1:3" ht="22.5" x14ac:dyDescent="0.15">
      <c r="A5" s="79" t="s">
        <v>2887</v>
      </c>
      <c r="B5" s="118"/>
      <c r="C5" s="79" t="e">
        <f>'III Drucke 1501-1560'!#REF!</f>
        <v>#REF!</v>
      </c>
    </row>
    <row r="6" spans="1:3" x14ac:dyDescent="0.15">
      <c r="A6" s="79" t="s">
        <v>39</v>
      </c>
      <c r="B6" s="118" t="s">
        <v>50</v>
      </c>
      <c r="C6" s="79" t="e">
        <f>'III Drucke 1501-1560'!#REF!</f>
        <v>#REF!</v>
      </c>
    </row>
    <row r="7" spans="1:3" x14ac:dyDescent="0.15">
      <c r="B7" s="118" t="s">
        <v>51</v>
      </c>
      <c r="C7" s="79" t="e">
        <f>'III Drucke 1501-1560'!#REF!</f>
        <v>#REF!</v>
      </c>
    </row>
    <row r="8" spans="1:3" x14ac:dyDescent="0.15">
      <c r="B8" s="118" t="s">
        <v>52</v>
      </c>
      <c r="C8" s="79" t="e">
        <f>'III Drucke 1501-1560'!#REF!</f>
        <v>#REF!</v>
      </c>
    </row>
    <row r="9" spans="1:3" x14ac:dyDescent="0.15">
      <c r="B9" s="118" t="s">
        <v>53</v>
      </c>
      <c r="C9" s="79" t="e">
        <f>'III Drucke 1501-1560'!#REF!</f>
        <v>#REF!</v>
      </c>
    </row>
    <row r="10" spans="1:3" x14ac:dyDescent="0.15">
      <c r="A10" s="79" t="s">
        <v>2881</v>
      </c>
      <c r="B10" s="118"/>
      <c r="C10" s="79" t="e">
        <f>'III Drucke 1501-1560'!#REF!</f>
        <v>#REF!</v>
      </c>
    </row>
    <row r="11" spans="1:3" x14ac:dyDescent="0.15">
      <c r="A11" s="79" t="s">
        <v>2882</v>
      </c>
      <c r="B11" s="118"/>
      <c r="C11" s="79" t="e">
        <f>'III Drucke 1501-1560'!#REF!</f>
        <v>#REF!</v>
      </c>
    </row>
    <row r="12" spans="1:3" ht="22.5" x14ac:dyDescent="0.15">
      <c r="A12" s="79" t="s">
        <v>2883</v>
      </c>
      <c r="B12" s="118"/>
      <c r="C12" s="79" t="e">
        <f>'III Drucke 1501-1560'!#REF!</f>
        <v>#REF!</v>
      </c>
    </row>
    <row r="13" spans="1:3" ht="22.5" x14ac:dyDescent="0.15">
      <c r="A13" s="79" t="s">
        <v>2884</v>
      </c>
      <c r="B13" s="118"/>
      <c r="C13" s="79" t="e">
        <f>'III Drucke 1501-1560'!#REF!</f>
        <v>#REF!</v>
      </c>
    </row>
    <row r="14" spans="1:3" x14ac:dyDescent="0.15">
      <c r="A14" s="79" t="s">
        <v>2620</v>
      </c>
      <c r="B14" s="119" t="s">
        <v>17</v>
      </c>
      <c r="C14" s="79" t="e">
        <f>'III Drucke 1501-1560'!#REF!</f>
        <v>#REF!</v>
      </c>
    </row>
    <row r="15" spans="1:3" x14ac:dyDescent="0.15">
      <c r="B15" s="119" t="s">
        <v>44</v>
      </c>
      <c r="C15" s="79" t="e">
        <f>'III Drucke 1501-1560'!#REF!</f>
        <v>#REF!</v>
      </c>
    </row>
    <row r="16" spans="1:3" x14ac:dyDescent="0.15">
      <c r="B16" s="119" t="s">
        <v>5</v>
      </c>
      <c r="C16" s="79" t="e">
        <f>'III Drucke 1501-1560'!#REF!</f>
        <v>#REF!</v>
      </c>
    </row>
    <row r="17" spans="1:3" x14ac:dyDescent="0.15">
      <c r="B17" s="120" t="s">
        <v>16</v>
      </c>
      <c r="C17" s="79" t="e">
        <f>'III Drucke 1501-1560'!#REF!</f>
        <v>#REF!</v>
      </c>
    </row>
    <row r="18" spans="1:3" x14ac:dyDescent="0.15">
      <c r="B18" s="121" t="s">
        <v>2698</v>
      </c>
      <c r="C18" s="79" t="e">
        <f>'III Drucke 1501-1560'!#REF!</f>
        <v>#REF!</v>
      </c>
    </row>
    <row r="19" spans="1:3" x14ac:dyDescent="0.15">
      <c r="B19" s="119" t="s">
        <v>4</v>
      </c>
      <c r="C19" s="79" t="e">
        <f>'III Drucke 1501-1560'!#REF!</f>
        <v>#REF!</v>
      </c>
    </row>
    <row r="20" spans="1:3" x14ac:dyDescent="0.15">
      <c r="B20" s="119" t="s">
        <v>3</v>
      </c>
      <c r="C20" s="79" t="e">
        <f>'III Drucke 1501-1560'!#REF!</f>
        <v>#REF!</v>
      </c>
    </row>
    <row r="21" spans="1:3" x14ac:dyDescent="0.15">
      <c r="B21" s="120" t="s">
        <v>45</v>
      </c>
      <c r="C21" s="122" t="e">
        <f>'III Drucke 1501-1560'!#REF!</f>
        <v>#REF!</v>
      </c>
    </row>
    <row r="22" spans="1:3" x14ac:dyDescent="0.15">
      <c r="B22" s="120" t="s">
        <v>46</v>
      </c>
      <c r="C22" s="122" t="e">
        <f>'III Drucke 1501-1560'!#REF!</f>
        <v>#REF!</v>
      </c>
    </row>
    <row r="23" spans="1:3" x14ac:dyDescent="0.15">
      <c r="B23" s="120" t="s">
        <v>2767</v>
      </c>
      <c r="C23" s="122" t="e">
        <f>'III Drucke 1501-1560'!#REF!</f>
        <v>#REF!</v>
      </c>
    </row>
    <row r="24" spans="1:3" x14ac:dyDescent="0.15">
      <c r="B24" s="120" t="s">
        <v>2694</v>
      </c>
      <c r="C24" s="79" t="e">
        <f>'III Drucke 1501-1560'!#REF!</f>
        <v>#REF!</v>
      </c>
    </row>
    <row r="25" spans="1:3" x14ac:dyDescent="0.15">
      <c r="B25" s="121" t="s">
        <v>2692</v>
      </c>
      <c r="C25" s="79" t="e">
        <f>'III Drucke 1501-1560'!#REF!</f>
        <v>#REF!</v>
      </c>
    </row>
    <row r="26" spans="1:3" x14ac:dyDescent="0.15">
      <c r="B26" s="121" t="s">
        <v>2931</v>
      </c>
    </row>
    <row r="27" spans="1:3" ht="22.5" x14ac:dyDescent="0.15">
      <c r="A27" s="79" t="s">
        <v>2907</v>
      </c>
      <c r="B27" s="118"/>
      <c r="C27" s="79" t="e">
        <f>'III Drucke 1501-1560'!#REF!</f>
        <v>#REF!</v>
      </c>
    </row>
    <row r="28" spans="1:3" ht="22.5" x14ac:dyDescent="0.15">
      <c r="A28" s="79" t="s">
        <v>2908</v>
      </c>
      <c r="B28" s="118"/>
      <c r="C28" s="79" t="e">
        <f>'III Drucke 1501-1560'!#REF!</f>
        <v>#REF!</v>
      </c>
    </row>
    <row r="29" spans="1:3" ht="33.75" x14ac:dyDescent="0.15">
      <c r="A29" s="117" t="s">
        <v>2928</v>
      </c>
      <c r="B29" s="118"/>
      <c r="C29" s="79" t="e">
        <f>'III Drucke 1501-1560'!#REF!</f>
        <v>#REF!</v>
      </c>
    </row>
    <row r="30" spans="1:3" ht="22.5" x14ac:dyDescent="0.15">
      <c r="A30" s="117" t="s">
        <v>2927</v>
      </c>
      <c r="B30" s="118"/>
      <c r="C30" s="79" t="e">
        <f>'III Drucke 1501-1560'!#REF!</f>
        <v>#REF!</v>
      </c>
    </row>
    <row r="31" spans="1:3" ht="22.5" x14ac:dyDescent="0.15">
      <c r="A31" s="79" t="s">
        <v>2888</v>
      </c>
      <c r="B31" s="118"/>
      <c r="C31" s="79" t="e">
        <f>'III Drucke 1501-1560'!#REF!</f>
        <v>#REF!</v>
      </c>
    </row>
    <row r="32" spans="1:3" ht="33.75" x14ac:dyDescent="0.15">
      <c r="A32" s="79" t="s">
        <v>2906</v>
      </c>
      <c r="B32" s="118"/>
      <c r="C32" s="79" t="e">
        <f>'III Drucke 1501-1560'!#REF!</f>
        <v>#REF!</v>
      </c>
    </row>
    <row r="33" spans="1:3" ht="22.5" x14ac:dyDescent="0.15">
      <c r="A33" s="79" t="s">
        <v>2885</v>
      </c>
      <c r="B33" s="118"/>
      <c r="C33" s="79" t="e">
        <f>'III Drucke 1501-1560'!#REF!</f>
        <v>#REF!</v>
      </c>
    </row>
    <row r="34" spans="1:3" ht="22.5" x14ac:dyDescent="0.15">
      <c r="A34" s="79" t="s">
        <v>2889</v>
      </c>
      <c r="B34" s="118"/>
      <c r="C34" s="79" t="e">
        <f>'III Drucke 1501-1560'!#REF!</f>
        <v>#REF!</v>
      </c>
    </row>
    <row r="35" spans="1:3" x14ac:dyDescent="0.15">
      <c r="A35" s="79" t="s">
        <v>2890</v>
      </c>
      <c r="B35" s="118"/>
      <c r="C35" s="79" t="e">
        <f>'III Drucke 1501-1560'!#REF!</f>
        <v>#REF!</v>
      </c>
    </row>
    <row r="36" spans="1:3" x14ac:dyDescent="0.15">
      <c r="A36" s="79" t="s">
        <v>2911</v>
      </c>
      <c r="B36" s="118" t="s">
        <v>2909</v>
      </c>
      <c r="C36" s="79" t="e">
        <f>'III Drucke 1501-1560'!#REF!</f>
        <v>#REF!</v>
      </c>
    </row>
    <row r="37" spans="1:3" x14ac:dyDescent="0.15">
      <c r="B37" s="118" t="s">
        <v>2910</v>
      </c>
      <c r="C37" s="122" t="e">
        <f>'III Drucke 1501-1560'!#REF!</f>
        <v>#REF!</v>
      </c>
    </row>
    <row r="38" spans="1:3" ht="22.5" x14ac:dyDescent="0.15">
      <c r="A38" s="79" t="s">
        <v>2891</v>
      </c>
      <c r="B38" s="118"/>
      <c r="C38" s="79" t="e">
        <f>'III Drucke 1501-1560'!#REF!</f>
        <v>#REF!</v>
      </c>
    </row>
    <row r="39" spans="1:3" x14ac:dyDescent="0.15">
      <c r="A39" s="79" t="s">
        <v>2892</v>
      </c>
      <c r="B39" s="118"/>
      <c r="C39" s="79" t="e">
        <f>'III Drucke 1501-1560'!#REF!</f>
        <v>#REF!</v>
      </c>
    </row>
    <row r="40" spans="1:3" x14ac:dyDescent="0.15">
      <c r="A40" s="79" t="s">
        <v>2622</v>
      </c>
      <c r="B40" s="118"/>
      <c r="C40" s="79" t="e">
        <f>'III Drucke 1501-1560'!#REF!</f>
        <v>#REF!</v>
      </c>
    </row>
    <row r="41" spans="1:3" ht="22.5" x14ac:dyDescent="0.15">
      <c r="A41" s="79" t="s">
        <v>2893</v>
      </c>
      <c r="B41" s="118"/>
      <c r="C41" s="79" t="e">
        <f>'III Drucke 1501-1560'!#REF!</f>
        <v>#REF!</v>
      </c>
    </row>
    <row r="42" spans="1:3" ht="22.5" x14ac:dyDescent="0.15">
      <c r="A42" s="79" t="s">
        <v>2894</v>
      </c>
      <c r="B42" s="118"/>
      <c r="C42" s="79" t="e">
        <f>'III Drucke 1501-1560'!#REF!</f>
        <v>#REF!</v>
      </c>
    </row>
    <row r="43" spans="1:3" ht="22.5" x14ac:dyDescent="0.15">
      <c r="A43" s="79" t="s">
        <v>2895</v>
      </c>
      <c r="B43" s="118"/>
      <c r="C43" s="79" t="e">
        <f>'III Drucke 1501-1560'!#REF!</f>
        <v>#REF!</v>
      </c>
    </row>
    <row r="44" spans="1:3" ht="22.5" x14ac:dyDescent="0.15">
      <c r="A44" s="79" t="s">
        <v>2917</v>
      </c>
      <c r="B44" s="118"/>
      <c r="C44" s="79" t="e">
        <f>'III Drucke 1501-1560'!#REF!</f>
        <v>#REF!</v>
      </c>
    </row>
    <row r="45" spans="1:3" ht="22.5" x14ac:dyDescent="0.15">
      <c r="A45" s="79" t="s">
        <v>2886</v>
      </c>
      <c r="B45" s="118"/>
    </row>
    <row r="46" spans="1:3" x14ac:dyDescent="0.15">
      <c r="A46" s="79" t="s">
        <v>2896</v>
      </c>
      <c r="B46" s="118"/>
      <c r="C46" s="79" t="e">
        <f>'III Drucke 1501-1560'!#REF!</f>
        <v>#REF!</v>
      </c>
    </row>
    <row r="47" spans="1:3" ht="45" x14ac:dyDescent="0.15">
      <c r="A47" s="79" t="s">
        <v>2897</v>
      </c>
      <c r="B47" s="118"/>
      <c r="C47" s="79" t="e">
        <f>'III Drucke 1501-1560'!#REF!</f>
        <v>#REF!</v>
      </c>
    </row>
    <row r="48" spans="1:3" ht="22.5" x14ac:dyDescent="0.15">
      <c r="A48" s="79" t="s">
        <v>2898</v>
      </c>
      <c r="B48" s="118"/>
      <c r="C48" s="79" t="e">
        <f>'III Drucke 1501-1560'!#REF!</f>
        <v>#REF!</v>
      </c>
    </row>
    <row r="49" spans="1:3" ht="33.75" x14ac:dyDescent="0.15">
      <c r="A49" s="79" t="s">
        <v>2899</v>
      </c>
      <c r="B49" s="118"/>
      <c r="C49" s="79" t="e">
        <f>'III Drucke 1501-1560'!#REF!</f>
        <v>#REF!</v>
      </c>
    </row>
    <row r="50" spans="1:3" ht="33.75" x14ac:dyDescent="0.15">
      <c r="A50" s="79" t="s">
        <v>2924</v>
      </c>
      <c r="B50" s="118"/>
    </row>
    <row r="51" spans="1:3" ht="22.5" x14ac:dyDescent="0.15">
      <c r="A51" s="79" t="s">
        <v>2901</v>
      </c>
      <c r="B51" s="118">
        <v>0</v>
      </c>
      <c r="C51" s="79" t="e">
        <f>'III Drucke 1501-1560'!#REF!</f>
        <v>#REF!</v>
      </c>
    </row>
    <row r="52" spans="1:3" x14ac:dyDescent="0.15">
      <c r="B52" s="118">
        <v>45</v>
      </c>
      <c r="C52" s="79" t="e">
        <f>'III Drucke 1501-1560'!#REF!</f>
        <v>#REF!</v>
      </c>
    </row>
    <row r="53" spans="1:3" x14ac:dyDescent="0.15">
      <c r="B53" s="118" t="s">
        <v>2912</v>
      </c>
      <c r="C53" s="79" t="e">
        <f>'III Drucke 1501-1560'!#REF!</f>
        <v>#REF!</v>
      </c>
    </row>
    <row r="54" spans="1:3" x14ac:dyDescent="0.15">
      <c r="B54" s="118">
        <v>60</v>
      </c>
      <c r="C54" s="79" t="e">
        <f>'III Drucke 1501-1560'!#REF!</f>
        <v>#REF!</v>
      </c>
    </row>
    <row r="55" spans="1:3" x14ac:dyDescent="0.15">
      <c r="B55" s="118" t="s">
        <v>2913</v>
      </c>
      <c r="C55" s="79" t="e">
        <f>'III Drucke 1501-1560'!#REF!</f>
        <v>#REF!</v>
      </c>
    </row>
    <row r="56" spans="1:3" x14ac:dyDescent="0.15">
      <c r="B56" s="118">
        <v>80</v>
      </c>
      <c r="C56" s="79" t="e">
        <f>'III Drucke 1501-1560'!#REF!</f>
        <v>#REF!</v>
      </c>
    </row>
    <row r="57" spans="1:3" x14ac:dyDescent="0.15">
      <c r="B57" s="118" t="s">
        <v>2914</v>
      </c>
      <c r="C57" s="79" t="e">
        <f>'III Drucke 1501-1560'!#REF!</f>
        <v>#REF!</v>
      </c>
    </row>
    <row r="58" spans="1:3" x14ac:dyDescent="0.15">
      <c r="B58" s="118">
        <v>110</v>
      </c>
      <c r="C58" s="79" t="e">
        <f>'III Drucke 1501-1560'!#REF!</f>
        <v>#REF!</v>
      </c>
    </row>
    <row r="59" spans="1:3" x14ac:dyDescent="0.15">
      <c r="B59" s="118" t="s">
        <v>2776</v>
      </c>
      <c r="C59" s="79" t="e">
        <f>'III Drucke 1501-1560'!#REF!</f>
        <v>#REF!</v>
      </c>
    </row>
    <row r="60" spans="1:3" x14ac:dyDescent="0.15">
      <c r="B60" s="118" t="s">
        <v>2650</v>
      </c>
      <c r="C60" s="79" t="e">
        <f>'III Drucke 1501-1560'!#REF!</f>
        <v>#REF!</v>
      </c>
    </row>
    <row r="61" spans="1:3" x14ac:dyDescent="0.15">
      <c r="B61" s="118">
        <v>180</v>
      </c>
      <c r="C61" s="79" t="e">
        <f>'III Drucke 1501-1560'!#REF!</f>
        <v>#REF!</v>
      </c>
    </row>
    <row r="62" spans="1:3" x14ac:dyDescent="0.15">
      <c r="B62" s="118" t="s">
        <v>2915</v>
      </c>
      <c r="C62" s="79" t="e">
        <f>'III Drucke 1501-1560'!#REF!</f>
        <v>#REF!</v>
      </c>
    </row>
    <row r="63" spans="1:3" x14ac:dyDescent="0.15">
      <c r="A63" s="79" t="s">
        <v>2900</v>
      </c>
      <c r="B63" s="118"/>
      <c r="C63" s="79" t="e">
        <f>'III Drucke 1501-1560'!#REF!</f>
        <v>#REF!</v>
      </c>
    </row>
    <row r="64" spans="1:3" ht="33.75" x14ac:dyDescent="0.15">
      <c r="A64" s="79" t="s">
        <v>2902</v>
      </c>
      <c r="B64" s="118"/>
      <c r="C64" s="79" t="e">
        <f>'III Drucke 1501-1560'!#REF!</f>
        <v>#REF!</v>
      </c>
    </row>
    <row r="65" spans="1:4" x14ac:dyDescent="0.15">
      <c r="A65" s="79" t="s">
        <v>2903</v>
      </c>
      <c r="B65" s="118"/>
      <c r="C65" s="79" t="e">
        <f>'III Drucke 1501-1560'!#REF!</f>
        <v>#REF!</v>
      </c>
    </row>
    <row r="66" spans="1:4" ht="22.5" x14ac:dyDescent="0.15">
      <c r="A66" s="79" t="s">
        <v>2904</v>
      </c>
      <c r="B66" s="118"/>
      <c r="C66" s="79" t="e">
        <f>'III Drucke 1501-1560'!#REF!</f>
        <v>#REF!</v>
      </c>
    </row>
    <row r="67" spans="1:4" ht="33.75" x14ac:dyDescent="0.15">
      <c r="A67" s="79" t="s">
        <v>2849</v>
      </c>
      <c r="B67" s="118"/>
      <c r="C67" s="79" t="e">
        <f>'III Drucke 1501-1560'!#REF!</f>
        <v>#REF!</v>
      </c>
    </row>
    <row r="68" spans="1:4" ht="22.5" x14ac:dyDescent="0.15">
      <c r="A68" s="79" t="s">
        <v>2929</v>
      </c>
      <c r="B68" s="118" t="s">
        <v>2925</v>
      </c>
      <c r="C68" s="79" t="e">
        <f>'III Drucke 1501-1560'!#REF!</f>
        <v>#REF!</v>
      </c>
    </row>
    <row r="69" spans="1:4" x14ac:dyDescent="0.15">
      <c r="B69" s="118" t="s">
        <v>2918</v>
      </c>
      <c r="C69" s="79" t="e">
        <f>'III Drucke 1501-1560'!#REF!</f>
        <v>#REF!</v>
      </c>
    </row>
    <row r="70" spans="1:4" x14ac:dyDescent="0.15">
      <c r="B70" s="118" t="s">
        <v>2919</v>
      </c>
      <c r="C70" s="79" t="e">
        <f>'III Drucke 1501-1560'!#REF!</f>
        <v>#REF!</v>
      </c>
    </row>
    <row r="71" spans="1:4" x14ac:dyDescent="0.15">
      <c r="B71" s="118" t="s">
        <v>2920</v>
      </c>
      <c r="C71" s="79" t="e">
        <f>'III Drucke 1501-1560'!#REF!</f>
        <v>#REF!</v>
      </c>
    </row>
    <row r="72" spans="1:4" x14ac:dyDescent="0.15">
      <c r="B72" s="118" t="s">
        <v>3034</v>
      </c>
      <c r="C72" s="79" t="e">
        <f>'III Drucke 1501-1560'!#REF!</f>
        <v>#REF!</v>
      </c>
    </row>
    <row r="73" spans="1:4" ht="33.75" x14ac:dyDescent="0.15">
      <c r="A73" s="79" t="s">
        <v>2926</v>
      </c>
      <c r="B73" s="118"/>
      <c r="C73" s="123" t="e">
        <f>'III Drucke 1501-1560'!#REF!</f>
        <v>#REF!</v>
      </c>
    </row>
    <row r="74" spans="1:4" ht="22.5" x14ac:dyDescent="0.15">
      <c r="A74" s="79" t="s">
        <v>2921</v>
      </c>
      <c r="B74" s="118"/>
      <c r="C74" s="79" t="e">
        <f>'III Drucke 1501-1560'!#REF!</f>
        <v>#REF!</v>
      </c>
    </row>
    <row r="75" spans="1:4" x14ac:dyDescent="0.15">
      <c r="A75" s="79" t="s">
        <v>35</v>
      </c>
      <c r="B75" s="118"/>
      <c r="C75" s="79" t="e">
        <f>'III Drucke 1501-1560'!#REF!</f>
        <v>#REF!</v>
      </c>
    </row>
    <row r="76" spans="1:4" x14ac:dyDescent="0.15">
      <c r="A76" s="79" t="s">
        <v>29</v>
      </c>
      <c r="B76" s="118"/>
      <c r="C76" s="79" t="e">
        <f>'III Drucke 1501-1560'!#REF!</f>
        <v>#REF!</v>
      </c>
    </row>
    <row r="77" spans="1:4" x14ac:dyDescent="0.15">
      <c r="A77" s="79" t="s">
        <v>34</v>
      </c>
      <c r="B77" s="118"/>
      <c r="C77" s="79" t="e">
        <f>'III Drucke 1501-1560'!#REF!</f>
        <v>#REF!</v>
      </c>
    </row>
    <row r="78" spans="1:4" x14ac:dyDescent="0.15">
      <c r="A78" s="79" t="s">
        <v>2624</v>
      </c>
      <c r="B78" s="118"/>
      <c r="C78" s="79" t="e">
        <f>'III Drucke 1501-1560'!#REF!</f>
        <v>#REF!</v>
      </c>
    </row>
    <row r="79" spans="1:4" x14ac:dyDescent="0.15">
      <c r="A79" s="79" t="s">
        <v>2905</v>
      </c>
      <c r="B79" s="118"/>
      <c r="C79" s="79" t="e">
        <f>'III Drucke 1501-1560'!#REF!</f>
        <v>#REF!</v>
      </c>
      <c r="D79" s="79" t="e">
        <f>C79-'III Drucke 1501-1560'!#REF!</f>
        <v>#REF!</v>
      </c>
    </row>
    <row r="80" spans="1:4" x14ac:dyDescent="0.15">
      <c r="A80" s="79" t="s">
        <v>2625</v>
      </c>
      <c r="B80" s="118"/>
      <c r="C80" s="79" t="e">
        <f>'III Drucke 1501-1560'!#REF!</f>
        <v>#REF!</v>
      </c>
    </row>
    <row r="81" spans="1:3" ht="22.5" x14ac:dyDescent="0.15">
      <c r="A81" s="79" t="s">
        <v>2743</v>
      </c>
      <c r="B81" s="118"/>
      <c r="C81" s="79" t="e">
        <f>'III Drucke 1501-1560'!#REF!</f>
        <v>#REF!</v>
      </c>
    </row>
    <row r="82" spans="1:3" ht="22.5" x14ac:dyDescent="0.15">
      <c r="A82" s="79" t="s">
        <v>2772</v>
      </c>
      <c r="B82" s="118" t="s">
        <v>2925</v>
      </c>
      <c r="C82" s="79" t="e">
        <f>'III Drucke 1501-1560'!#REF!</f>
        <v>#REF!</v>
      </c>
    </row>
    <row r="83" spans="1:3" x14ac:dyDescent="0.15">
      <c r="B83" s="118" t="s">
        <v>2922</v>
      </c>
      <c r="C83" s="79" t="e">
        <f>'III Drucke 1501-1560'!#REF!</f>
        <v>#REF!</v>
      </c>
    </row>
    <row r="84" spans="1:3" x14ac:dyDescent="0.15">
      <c r="B84" s="118" t="s">
        <v>2923</v>
      </c>
      <c r="C84" s="79" t="e">
        <f>'III Drucke 1501-1560'!#REF!</f>
        <v>#REF!</v>
      </c>
    </row>
    <row r="85" spans="1:3" ht="22.5" x14ac:dyDescent="0.15">
      <c r="A85" s="79" t="s">
        <v>2773</v>
      </c>
      <c r="B85" s="118"/>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E20" sqref="E20:E23"/>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6"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7" t="s">
        <v>63</v>
      </c>
      <c r="D27" s="5" t="s">
        <v>106</v>
      </c>
    </row>
    <row r="28" spans="1:6" x14ac:dyDescent="0.15">
      <c r="A28" s="50"/>
      <c r="B28" s="50" t="s">
        <v>40</v>
      </c>
      <c r="C28" s="5" t="s">
        <v>64</v>
      </c>
      <c r="D28" s="61" t="s">
        <v>97</v>
      </c>
    </row>
    <row r="29" spans="1:6" x14ac:dyDescent="0.15">
      <c r="A29" s="59"/>
      <c r="B29" s="59" t="s">
        <v>41</v>
      </c>
      <c r="C29" s="67"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7"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2"/>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3"/>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4"/>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5"/>
    </customSheetView>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Infos zu dieser Mappe</vt:lpstr>
      <vt:lpstr>Legende_Thomschke</vt:lpstr>
      <vt:lpstr>III Drucke 1501-1560</vt:lpstr>
      <vt:lpstr>Zählenwenn</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2022-06-14T10:14:52Z</cp:lastPrinted>
  <dcterms:created xsi:type="dcterms:W3CDTF">2015-02-11T08:00:51Z</dcterms:created>
  <dcterms:modified xsi:type="dcterms:W3CDTF">2022-11-10T14:25:39Z</dcterms:modified>
  <cp:contentStatus/>
</cp:coreProperties>
</file>