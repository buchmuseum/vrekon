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firstSheet="1" activeTab="2"/>
  </bookViews>
  <sheets>
    <sheet name="Infos zu dieser Mappe" sheetId="4" r:id="rId1"/>
    <sheet name="Legende_Thomschke" sheetId="8" r:id="rId2"/>
    <sheet name="Basis" sheetId="2" r:id="rId3"/>
    <sheet name="Datentransfer" sheetId="9" r:id="rId4"/>
    <sheet name="Legende" sheetId="1" r:id="rId5"/>
    <sheet name="Zusammenfassung" sheetId="3" r:id="rId6"/>
  </sheets>
  <externalReferences>
    <externalReference r:id="rId7"/>
  </externalReferences>
  <definedNames>
    <definedName name="_xlnm._FilterDatabase" localSheetId="2" hidden="1">Basis!$A$1:$BO$5256</definedName>
  </definedNames>
  <calcPr calcId="162913"/>
  <customWorkbookViews>
    <customWorkbookView name="Morgenstern, Andreas - Persönliche Ansicht" guid="{38B2E3C7-1DFA-4658-A758-B49C3FF0D76D}" mergeInterval="0" personalView="1" xWindow="85" windowWidth="1920" windowHeight="933" activeSheetId="2"/>
    <customWorkbookView name="Pauckert, Martina - Persönliche Ansicht" guid="{1FBC8F12-DC43-44D9-90D9-A91B72085471}" mergeInterval="0" personalView="1" maximized="1" xWindow="-11" yWindow="-11" windowWidth="1942" windowHeight="1042" activeSheetId="2"/>
    <customWorkbookView name="Preuss, Stephanie - Persönliche Ansicht" guid="{20DC5495-FE75-4D22-AD3C-8B82E591B4A2}" mergeInterval="0" personalView="1" yWindow="67" windowWidth="1920" windowHeight="953" activeSheetId="2"/>
    <customWorkbookView name="Wendler, André - Persönliche Ansicht" guid="{47C58E4F-4B0A-4F6D-9AC2-D5A8CE817A2D}" mergeInterval="0" personalView="1" windowWidth="1909" windowHeight="1080" activeSheetId="2"/>
    <customWorkbookView name="Meyer, Michael - Persönliche Ansicht" guid="{68C13D92-B8D6-49ED-87BD-F1D56A18DAE6}" mergeInterval="0" personalView="1" maximized="1" xWindow="-8" yWindow="-8" windowWidth="1936" windowHeight="1056" activeSheetId="2"/>
    <customWorkbookView name="Schmahl, Elke - Persönliche Ansicht" guid="{A07C3692-EABB-4B74-AB1D-882B5273FA86}" mergeInterval="0" personalView="1" maximized="1" xWindow="-8" yWindow="-8" windowWidth="1936" windowHeight="1056" activeSheetId="2"/>
  </customWorkbookViews>
</workbook>
</file>

<file path=xl/calcChain.xml><?xml version="1.0" encoding="utf-8"?>
<calcChain xmlns="http://schemas.openxmlformats.org/spreadsheetml/2006/main">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642" i="2"/>
  <c r="BD643" i="2"/>
  <c r="BD644" i="2"/>
  <c r="BD645" i="2"/>
  <c r="BD646" i="2"/>
  <c r="BD647" i="2"/>
  <c r="BD648" i="2"/>
  <c r="BD649" i="2"/>
  <c r="BD650" i="2"/>
  <c r="BD651" i="2"/>
  <c r="BD652" i="2"/>
  <c r="BD653" i="2"/>
  <c r="BD654" i="2"/>
  <c r="BD655" i="2"/>
  <c r="BD656" i="2"/>
  <c r="BD657" i="2"/>
  <c r="BD658" i="2"/>
  <c r="BD659" i="2"/>
  <c r="BD660" i="2"/>
  <c r="BD661" i="2"/>
  <c r="BD662" i="2"/>
  <c r="BD663" i="2"/>
  <c r="BD664" i="2"/>
  <c r="BD665" i="2"/>
  <c r="BD666" i="2"/>
  <c r="BD667" i="2"/>
  <c r="BD668" i="2"/>
  <c r="BD669" i="2"/>
  <c r="BD670" i="2"/>
  <c r="BD671" i="2"/>
  <c r="BD672" i="2"/>
  <c r="BD673" i="2"/>
  <c r="BD674" i="2"/>
  <c r="BD675" i="2"/>
  <c r="BD676" i="2"/>
  <c r="BD677" i="2"/>
  <c r="BD678" i="2"/>
  <c r="BD679" i="2"/>
  <c r="BD680" i="2"/>
  <c r="BD681" i="2"/>
  <c r="BD682" i="2"/>
  <c r="BD683" i="2"/>
  <c r="BD684" i="2"/>
  <c r="BD685" i="2"/>
  <c r="BD686" i="2"/>
  <c r="BD687" i="2"/>
  <c r="BD688" i="2"/>
  <c r="BD689" i="2"/>
  <c r="BD690" i="2"/>
  <c r="BD691" i="2"/>
  <c r="BD692" i="2"/>
  <c r="BD693" i="2"/>
  <c r="BD694" i="2"/>
  <c r="BD695" i="2"/>
  <c r="BD696" i="2"/>
  <c r="BD697" i="2"/>
  <c r="BD698" i="2"/>
  <c r="BD699" i="2"/>
  <c r="BD700" i="2"/>
  <c r="BD701" i="2"/>
  <c r="BD702" i="2"/>
  <c r="BD703" i="2"/>
  <c r="BD704" i="2"/>
  <c r="BD705" i="2"/>
  <c r="BD706" i="2"/>
  <c r="BD707" i="2"/>
  <c r="BD708" i="2"/>
  <c r="BD709" i="2"/>
  <c r="BD710" i="2"/>
  <c r="BD711" i="2"/>
  <c r="BD712" i="2"/>
  <c r="BD713" i="2"/>
  <c r="BD714" i="2"/>
  <c r="BD715" i="2"/>
  <c r="BD716" i="2"/>
  <c r="BD717" i="2"/>
  <c r="BD718" i="2"/>
  <c r="BD719" i="2"/>
  <c r="BD720" i="2"/>
  <c r="BD721" i="2"/>
  <c r="BD722" i="2"/>
  <c r="BD723" i="2"/>
  <c r="BD724" i="2"/>
  <c r="BD725" i="2"/>
  <c r="BD726" i="2"/>
  <c r="BD727" i="2"/>
  <c r="BD728" i="2"/>
  <c r="BD729" i="2"/>
  <c r="BD730" i="2"/>
  <c r="BD731" i="2"/>
  <c r="BD732" i="2"/>
  <c r="BD733" i="2"/>
  <c r="BD734" i="2"/>
  <c r="BD735" i="2"/>
  <c r="BD736" i="2"/>
  <c r="BD737" i="2"/>
  <c r="BD738" i="2"/>
  <c r="BD739" i="2"/>
  <c r="BD740" i="2"/>
  <c r="BD741" i="2"/>
  <c r="BD742" i="2"/>
  <c r="BD743" i="2"/>
  <c r="BD744" i="2"/>
  <c r="BD745" i="2"/>
  <c r="BD746" i="2"/>
  <c r="BD747" i="2"/>
  <c r="BD748" i="2"/>
  <c r="BD749" i="2"/>
  <c r="BD750" i="2"/>
  <c r="BD751" i="2"/>
  <c r="BD752" i="2"/>
  <c r="BD753" i="2"/>
  <c r="BD754" i="2"/>
  <c r="BD755" i="2"/>
  <c r="BD756" i="2"/>
  <c r="BD757" i="2"/>
  <c r="BD758" i="2"/>
  <c r="BD759" i="2"/>
  <c r="BD760" i="2"/>
  <c r="BD761" i="2"/>
  <c r="BD762" i="2"/>
  <c r="BD763" i="2"/>
  <c r="BD764" i="2"/>
  <c r="BD765" i="2"/>
  <c r="BD766" i="2"/>
  <c r="BD767" i="2"/>
  <c r="BD768" i="2"/>
  <c r="BD769" i="2"/>
  <c r="BD770" i="2"/>
  <c r="BD771" i="2"/>
  <c r="BD772" i="2"/>
  <c r="BD773" i="2"/>
  <c r="BD774" i="2"/>
  <c r="BD775" i="2"/>
  <c r="BD776" i="2"/>
  <c r="BD777" i="2"/>
  <c r="BD778" i="2"/>
  <c r="BD779" i="2"/>
  <c r="BD780" i="2"/>
  <c r="BD781" i="2"/>
  <c r="BD782" i="2"/>
  <c r="BD783" i="2"/>
  <c r="BD784" i="2"/>
  <c r="BD785" i="2"/>
  <c r="BD786" i="2"/>
  <c r="BD787" i="2"/>
  <c r="BD788" i="2"/>
  <c r="BD789" i="2"/>
  <c r="BD790" i="2"/>
  <c r="BD791" i="2"/>
  <c r="BD792" i="2"/>
  <c r="BD793" i="2"/>
  <c r="BD794" i="2"/>
  <c r="BD795" i="2"/>
  <c r="BD796" i="2"/>
  <c r="BD797" i="2"/>
  <c r="BD798" i="2"/>
  <c r="BD799" i="2"/>
  <c r="BD800" i="2"/>
  <c r="BD801" i="2"/>
  <c r="BD802" i="2"/>
  <c r="BD803" i="2"/>
  <c r="BD804" i="2"/>
  <c r="BD805" i="2"/>
  <c r="BD806" i="2"/>
  <c r="BD807" i="2"/>
  <c r="BD808" i="2"/>
  <c r="BD809" i="2"/>
  <c r="BD810" i="2"/>
  <c r="BD811" i="2"/>
  <c r="BD812" i="2"/>
  <c r="BD813" i="2"/>
  <c r="BD814" i="2"/>
  <c r="BD815" i="2"/>
  <c r="BD816" i="2"/>
  <c r="BD817" i="2"/>
  <c r="BD818" i="2"/>
  <c r="BD819" i="2"/>
  <c r="BD820" i="2"/>
  <c r="BD821" i="2"/>
  <c r="BD822" i="2"/>
  <c r="BD823" i="2"/>
  <c r="BD824" i="2"/>
  <c r="BD825" i="2"/>
  <c r="BD826" i="2"/>
  <c r="BD827" i="2"/>
  <c r="BD828" i="2"/>
  <c r="BD829" i="2"/>
  <c r="BD830" i="2"/>
  <c r="BD831" i="2"/>
  <c r="BD832" i="2"/>
  <c r="BD833" i="2"/>
  <c r="BD834" i="2"/>
  <c r="BD835" i="2"/>
  <c r="BD836" i="2"/>
  <c r="BD837" i="2"/>
  <c r="BD838" i="2"/>
  <c r="BD839" i="2"/>
  <c r="BD840" i="2"/>
  <c r="BD841" i="2"/>
  <c r="BD842" i="2"/>
  <c r="BD843" i="2"/>
  <c r="BD844" i="2"/>
  <c r="BD845" i="2"/>
  <c r="BD846" i="2"/>
  <c r="BD847" i="2"/>
  <c r="BD848" i="2"/>
  <c r="BD849" i="2"/>
  <c r="BD850" i="2"/>
  <c r="BD851" i="2"/>
  <c r="BD852" i="2"/>
  <c r="BD853" i="2"/>
  <c r="BD854" i="2"/>
  <c r="BD855" i="2"/>
  <c r="BD856" i="2"/>
  <c r="BD857" i="2"/>
  <c r="BD858" i="2"/>
  <c r="BD859" i="2"/>
  <c r="BD860" i="2"/>
  <c r="BD861" i="2"/>
  <c r="BD862" i="2"/>
  <c r="BD863" i="2"/>
  <c r="BD864" i="2"/>
  <c r="BD865" i="2"/>
  <c r="BD866" i="2"/>
  <c r="BD867" i="2"/>
  <c r="BD868" i="2"/>
  <c r="BD869" i="2"/>
  <c r="BD870" i="2"/>
  <c r="BD871" i="2"/>
  <c r="BD872" i="2"/>
  <c r="BD873" i="2"/>
  <c r="BD874" i="2"/>
  <c r="BD875" i="2"/>
  <c r="BD876" i="2"/>
  <c r="BD877" i="2"/>
  <c r="BD878" i="2"/>
  <c r="BD879" i="2"/>
  <c r="BD880" i="2"/>
  <c r="BD881" i="2"/>
  <c r="BD882" i="2"/>
  <c r="BD883" i="2"/>
  <c r="BD884" i="2"/>
  <c r="BD885" i="2"/>
  <c r="BD886" i="2"/>
  <c r="BD887" i="2"/>
  <c r="BD888" i="2"/>
  <c r="BD889" i="2"/>
  <c r="BD890" i="2"/>
  <c r="BD891" i="2"/>
  <c r="BD892" i="2"/>
  <c r="BD893" i="2"/>
  <c r="BD894" i="2"/>
  <c r="BD895" i="2"/>
  <c r="BD896" i="2"/>
  <c r="BD897" i="2"/>
  <c r="BD898" i="2"/>
  <c r="BD899" i="2"/>
  <c r="BD900" i="2"/>
  <c r="BD901" i="2"/>
  <c r="BD902" i="2"/>
  <c r="BD903" i="2"/>
  <c r="BD904" i="2"/>
  <c r="BD905" i="2"/>
  <c r="BD906" i="2"/>
  <c r="BD907" i="2"/>
  <c r="BD908" i="2"/>
  <c r="BD909" i="2"/>
  <c r="BD910" i="2"/>
  <c r="BD911" i="2"/>
  <c r="BD912" i="2"/>
  <c r="BD913" i="2"/>
  <c r="BD914" i="2"/>
  <c r="BD915" i="2"/>
  <c r="BD916" i="2"/>
  <c r="BD917" i="2"/>
  <c r="BD918" i="2"/>
  <c r="BD919" i="2"/>
  <c r="BD920" i="2"/>
  <c r="BD921" i="2"/>
  <c r="BD922" i="2"/>
  <c r="BD923" i="2"/>
  <c r="BD924" i="2"/>
  <c r="BD925" i="2"/>
  <c r="BD926" i="2"/>
  <c r="BD927" i="2"/>
  <c r="BD928" i="2"/>
  <c r="BD929" i="2"/>
  <c r="BD930" i="2"/>
  <c r="BD931" i="2"/>
  <c r="BD932" i="2"/>
  <c r="BD933" i="2"/>
  <c r="BD934" i="2"/>
  <c r="BD935" i="2"/>
  <c r="BD936" i="2"/>
  <c r="BD937" i="2"/>
  <c r="BD938" i="2"/>
  <c r="BD939" i="2"/>
  <c r="BD940" i="2"/>
  <c r="BD941" i="2"/>
  <c r="BD942" i="2"/>
  <c r="BD943" i="2"/>
  <c r="BD944" i="2"/>
  <c r="BD945" i="2"/>
  <c r="BD946" i="2"/>
  <c r="BD947" i="2"/>
  <c r="BD948" i="2"/>
  <c r="BD949" i="2"/>
  <c r="BD950" i="2"/>
  <c r="BD951" i="2"/>
  <c r="BD952" i="2"/>
  <c r="BD953" i="2"/>
  <c r="BD954" i="2"/>
  <c r="BD955" i="2"/>
  <c r="BD956" i="2"/>
  <c r="BD957" i="2"/>
  <c r="BD958" i="2"/>
  <c r="BD959" i="2"/>
  <c r="BD960" i="2"/>
  <c r="BD961" i="2"/>
  <c r="BD962" i="2"/>
  <c r="BD963" i="2"/>
  <c r="BD964" i="2"/>
  <c r="BD965" i="2"/>
  <c r="BD966" i="2"/>
  <c r="BD967" i="2"/>
  <c r="BD968" i="2"/>
  <c r="BD969" i="2"/>
  <c r="BD970" i="2"/>
  <c r="BD971" i="2"/>
  <c r="BD972" i="2"/>
  <c r="BD973" i="2"/>
  <c r="BD974" i="2"/>
  <c r="BD975" i="2"/>
  <c r="BD976" i="2"/>
  <c r="BD977" i="2"/>
  <c r="BD978" i="2"/>
  <c r="BD979" i="2"/>
  <c r="BD980" i="2"/>
  <c r="BD981" i="2"/>
  <c r="BD982" i="2"/>
  <c r="BD983" i="2"/>
  <c r="BD984" i="2"/>
  <c r="BD985" i="2"/>
  <c r="BD986" i="2"/>
  <c r="BD987" i="2"/>
  <c r="BD988" i="2"/>
  <c r="BD989" i="2"/>
  <c r="BD990" i="2"/>
  <c r="BD991" i="2"/>
  <c r="BD992" i="2"/>
  <c r="BD993" i="2"/>
  <c r="BD994" i="2"/>
  <c r="BD995" i="2"/>
  <c r="BD996" i="2"/>
  <c r="BD997" i="2"/>
  <c r="BD998" i="2"/>
  <c r="BD999" i="2"/>
  <c r="BD1000" i="2"/>
  <c r="BD1001" i="2"/>
  <c r="BD1002" i="2"/>
  <c r="BD1003" i="2"/>
  <c r="BD1004" i="2"/>
  <c r="BD1005" i="2"/>
  <c r="BD1006" i="2"/>
  <c r="BD1007" i="2"/>
  <c r="BD1008" i="2"/>
  <c r="BD1009" i="2"/>
  <c r="BD1010" i="2"/>
  <c r="BD1011" i="2"/>
  <c r="BD1012" i="2"/>
  <c r="BD1013" i="2"/>
  <c r="BD1014" i="2"/>
  <c r="BD1015" i="2"/>
  <c r="BD1016" i="2"/>
  <c r="BD1017" i="2"/>
  <c r="BD1018" i="2"/>
  <c r="BD1019" i="2"/>
  <c r="BD1020" i="2"/>
  <c r="BD1021" i="2"/>
  <c r="BD1022" i="2"/>
  <c r="BD1023" i="2"/>
  <c r="BD1024" i="2"/>
  <c r="BD1025" i="2"/>
  <c r="BD1026" i="2"/>
  <c r="BD1027" i="2"/>
  <c r="BD1028" i="2"/>
  <c r="BD1029" i="2"/>
  <c r="BD1030" i="2"/>
  <c r="BD1031" i="2"/>
  <c r="BD1032" i="2"/>
  <c r="BD1033" i="2"/>
  <c r="BD1034" i="2"/>
  <c r="BD1035" i="2"/>
  <c r="BD1036" i="2"/>
  <c r="BD1037" i="2"/>
  <c r="BD1038" i="2"/>
  <c r="BD1039" i="2"/>
  <c r="BD1040" i="2"/>
  <c r="BD1041" i="2"/>
  <c r="BD1042" i="2"/>
  <c r="BD1043" i="2"/>
  <c r="BD1044" i="2"/>
  <c r="BD1045" i="2"/>
  <c r="BD1046" i="2"/>
  <c r="BD1047" i="2"/>
  <c r="BD1048" i="2"/>
  <c r="BD1049" i="2"/>
  <c r="BD1050" i="2"/>
  <c r="BD1051" i="2"/>
  <c r="BD1052" i="2"/>
  <c r="BD1053" i="2"/>
  <c r="BD1054" i="2"/>
  <c r="BD1055" i="2"/>
  <c r="BD1056" i="2"/>
  <c r="BD1057" i="2"/>
  <c r="BD1058" i="2"/>
  <c r="BD1059" i="2"/>
  <c r="BD1060" i="2"/>
  <c r="BD1061" i="2"/>
  <c r="BD1062" i="2"/>
  <c r="BD1063" i="2"/>
  <c r="BD1064" i="2"/>
  <c r="BD1065" i="2"/>
  <c r="BD1066" i="2"/>
  <c r="BD1067" i="2"/>
  <c r="BD1068" i="2"/>
  <c r="BD1069" i="2"/>
  <c r="BD1070" i="2"/>
  <c r="BD1071" i="2"/>
  <c r="BD1072" i="2"/>
  <c r="BD1073" i="2"/>
  <c r="BD1074" i="2"/>
  <c r="BD1075" i="2"/>
  <c r="BD1076" i="2"/>
  <c r="BD1077" i="2"/>
  <c r="BD1078" i="2"/>
  <c r="BD1079" i="2"/>
  <c r="BD1080" i="2"/>
  <c r="BD1081" i="2"/>
  <c r="BD1082" i="2"/>
  <c r="BD1083" i="2"/>
  <c r="BD1084" i="2"/>
  <c r="BD1085" i="2"/>
  <c r="BD1086" i="2"/>
  <c r="BD1087" i="2"/>
  <c r="BD1088" i="2"/>
  <c r="BD1089" i="2"/>
  <c r="BD1090" i="2"/>
  <c r="BD1091" i="2"/>
  <c r="BD1092" i="2"/>
  <c r="BD1093" i="2"/>
  <c r="BD1094" i="2"/>
  <c r="BD1095" i="2"/>
  <c r="BD1096" i="2"/>
  <c r="BD1097" i="2"/>
  <c r="BD1098" i="2"/>
  <c r="BD1099" i="2"/>
  <c r="BD1100" i="2"/>
  <c r="BD1101" i="2"/>
  <c r="BD1102" i="2"/>
  <c r="BD1103" i="2"/>
  <c r="BD1104" i="2"/>
  <c r="BD1105" i="2"/>
  <c r="BD1106" i="2"/>
  <c r="BD1107" i="2"/>
  <c r="BD1108" i="2"/>
  <c r="BD1109" i="2"/>
  <c r="BD1110" i="2"/>
  <c r="BD1111" i="2"/>
  <c r="BD1112" i="2"/>
  <c r="BD1113" i="2"/>
  <c r="BD1114" i="2"/>
  <c r="BD1115" i="2"/>
  <c r="BD1116" i="2"/>
  <c r="BD1117" i="2"/>
  <c r="BD1118" i="2"/>
  <c r="BD1119" i="2"/>
  <c r="BD1120" i="2"/>
  <c r="BD1121" i="2"/>
  <c r="BD1122" i="2"/>
  <c r="BD1123" i="2"/>
  <c r="BD1124" i="2"/>
  <c r="BD1125" i="2"/>
  <c r="BD1126" i="2"/>
  <c r="BD1127" i="2"/>
  <c r="BD1128" i="2"/>
  <c r="BD1129" i="2"/>
  <c r="BD1130" i="2"/>
  <c r="BD1131" i="2"/>
  <c r="BD1132" i="2"/>
  <c r="BD1133" i="2"/>
  <c r="BD1134" i="2"/>
  <c r="BD1135" i="2"/>
  <c r="BD1136" i="2"/>
  <c r="BD1137" i="2"/>
  <c r="BD1138" i="2"/>
  <c r="BD1139" i="2"/>
  <c r="BD1140" i="2"/>
  <c r="BD1141" i="2"/>
  <c r="BD1142" i="2"/>
  <c r="BD1143" i="2"/>
  <c r="BD1144" i="2"/>
  <c r="BD1145" i="2"/>
  <c r="BD1146" i="2"/>
  <c r="BD1147" i="2"/>
  <c r="BD1148" i="2"/>
  <c r="BD1149" i="2"/>
  <c r="BD1150" i="2"/>
  <c r="BD1151" i="2"/>
  <c r="BD1152" i="2"/>
  <c r="BD1153" i="2"/>
  <c r="BD1154" i="2"/>
  <c r="BD1155" i="2"/>
  <c r="BD1156" i="2"/>
  <c r="BD1157" i="2"/>
  <c r="BD1158" i="2"/>
  <c r="BD1159" i="2"/>
  <c r="BD1160" i="2"/>
  <c r="BD1161" i="2"/>
  <c r="BD1162" i="2"/>
  <c r="BD1163" i="2"/>
  <c r="BD1164" i="2"/>
  <c r="BD1165" i="2"/>
  <c r="BD1166" i="2"/>
  <c r="BD1167" i="2"/>
  <c r="BD1168" i="2"/>
  <c r="BD1169" i="2"/>
  <c r="BD1170" i="2"/>
  <c r="BD1171" i="2"/>
  <c r="BD1172" i="2"/>
  <c r="BD1173" i="2"/>
  <c r="BD1174" i="2"/>
  <c r="BD1175" i="2"/>
  <c r="BD1176" i="2"/>
  <c r="BD1177" i="2"/>
  <c r="BD1178" i="2"/>
  <c r="BD1179" i="2"/>
  <c r="BD1180" i="2"/>
  <c r="BD1181" i="2"/>
  <c r="BD1182" i="2"/>
  <c r="BD1183" i="2"/>
  <c r="BD1184" i="2"/>
  <c r="BD1185" i="2"/>
  <c r="BD1186" i="2"/>
  <c r="BD1187" i="2"/>
  <c r="BD1188" i="2"/>
  <c r="BD1189" i="2"/>
  <c r="BD1190" i="2"/>
  <c r="BD1191" i="2"/>
  <c r="BD1192" i="2"/>
  <c r="BD1193" i="2"/>
  <c r="BD1194" i="2"/>
  <c r="BD1195" i="2"/>
  <c r="BD1196" i="2"/>
  <c r="BD1197" i="2"/>
  <c r="BD1198" i="2"/>
  <c r="BD1199" i="2"/>
  <c r="BD1200" i="2"/>
  <c r="BD1201" i="2"/>
  <c r="BD1202" i="2"/>
  <c r="BD1203" i="2"/>
  <c r="BD1204" i="2"/>
  <c r="BD1205" i="2"/>
  <c r="BD1206" i="2"/>
  <c r="BD1207" i="2"/>
  <c r="BD1208" i="2"/>
  <c r="BD1209" i="2"/>
  <c r="BD1210" i="2"/>
  <c r="BD1211" i="2"/>
  <c r="BD1212" i="2"/>
  <c r="BD1213" i="2"/>
  <c r="BD1214" i="2"/>
  <c r="BD1215" i="2"/>
  <c r="BD1216" i="2"/>
  <c r="BD1217" i="2"/>
  <c r="BD1218" i="2"/>
  <c r="BD1219" i="2"/>
  <c r="BD1220" i="2"/>
  <c r="BD1221" i="2"/>
  <c r="BD1222" i="2"/>
  <c r="BD1223" i="2"/>
  <c r="BD1224" i="2"/>
  <c r="BD1225" i="2"/>
  <c r="BD1226" i="2"/>
  <c r="BD1227" i="2"/>
  <c r="BD1228" i="2"/>
  <c r="BD1229" i="2"/>
  <c r="BD1230" i="2"/>
  <c r="BD1231" i="2"/>
  <c r="BD1232" i="2"/>
  <c r="BD1233" i="2"/>
  <c r="BD1234" i="2"/>
  <c r="BD1235" i="2"/>
  <c r="BD1236" i="2"/>
  <c r="BD1237" i="2"/>
  <c r="BD1238" i="2"/>
  <c r="BD1239" i="2"/>
  <c r="BD1240" i="2"/>
  <c r="BD1241" i="2"/>
  <c r="BD1242" i="2"/>
  <c r="BD1243" i="2"/>
  <c r="BD1244" i="2"/>
  <c r="BD1245" i="2"/>
  <c r="BD1246" i="2"/>
  <c r="BD1247" i="2"/>
  <c r="BD1248" i="2"/>
  <c r="BD1249" i="2"/>
  <c r="BD1250" i="2"/>
  <c r="BD1251" i="2"/>
  <c r="BD1252" i="2"/>
  <c r="BD1253" i="2"/>
  <c r="BD1254" i="2"/>
  <c r="BD1255" i="2"/>
  <c r="BD1256" i="2"/>
  <c r="BD1257" i="2"/>
  <c r="BD1258" i="2"/>
  <c r="BD1259" i="2"/>
  <c r="BD1260" i="2"/>
  <c r="BD1261" i="2"/>
  <c r="BD1262" i="2"/>
  <c r="BD1263" i="2"/>
  <c r="BD1264" i="2"/>
  <c r="BD1265" i="2"/>
  <c r="BD1266" i="2"/>
  <c r="BD1267" i="2"/>
  <c r="BD1268" i="2"/>
  <c r="BD1269" i="2"/>
  <c r="BD1270" i="2"/>
  <c r="BD1271" i="2"/>
  <c r="BD1272" i="2"/>
  <c r="BD1273" i="2"/>
  <c r="BD1274" i="2"/>
  <c r="BD1275" i="2"/>
  <c r="BD1276" i="2"/>
  <c r="BD1277" i="2"/>
  <c r="BD1278" i="2"/>
  <c r="BD1279" i="2"/>
  <c r="BD1280" i="2"/>
  <c r="BD1281" i="2"/>
  <c r="BD1282" i="2"/>
  <c r="BD1283" i="2"/>
  <c r="BD1284" i="2"/>
  <c r="BD1285" i="2"/>
  <c r="BD1286" i="2"/>
  <c r="BD1287" i="2"/>
  <c r="BD1288" i="2"/>
  <c r="BD1289" i="2"/>
  <c r="BD1290" i="2"/>
  <c r="BD1291" i="2"/>
  <c r="BD1292" i="2"/>
  <c r="BD1293" i="2"/>
  <c r="BD1294" i="2"/>
  <c r="BD1295" i="2"/>
  <c r="BD1296" i="2"/>
  <c r="BD1297" i="2"/>
  <c r="BD1298" i="2"/>
  <c r="BD1299" i="2"/>
  <c r="BD1300" i="2"/>
  <c r="BD1301" i="2"/>
  <c r="BD1302" i="2"/>
  <c r="BD1303" i="2"/>
  <c r="BD1304" i="2"/>
  <c r="BD1305" i="2"/>
  <c r="BD1306" i="2"/>
  <c r="BD1307" i="2"/>
  <c r="BD1308" i="2"/>
  <c r="BD1309" i="2"/>
  <c r="BD1310" i="2"/>
  <c r="BD1311" i="2"/>
  <c r="BD1312" i="2"/>
  <c r="BD1313" i="2"/>
  <c r="BD1314" i="2"/>
  <c r="BD1315" i="2"/>
  <c r="BD1316" i="2"/>
  <c r="BD1317" i="2"/>
  <c r="BD1318" i="2"/>
  <c r="BD1319" i="2"/>
  <c r="BD1320" i="2"/>
  <c r="BD1321" i="2"/>
  <c r="BD1322" i="2"/>
  <c r="BD1323" i="2"/>
  <c r="BD1324" i="2"/>
  <c r="BD1325" i="2"/>
  <c r="BD1326" i="2"/>
  <c r="BD1327" i="2"/>
  <c r="BD1328" i="2"/>
  <c r="BD1329" i="2"/>
  <c r="BD1330" i="2"/>
  <c r="BD1331" i="2"/>
  <c r="BD1332" i="2"/>
  <c r="BD1333" i="2"/>
  <c r="BD1334" i="2"/>
  <c r="BD1335" i="2"/>
  <c r="BD1336" i="2"/>
  <c r="BD1337" i="2"/>
  <c r="BD1338" i="2"/>
  <c r="BD1339" i="2"/>
  <c r="BD1340" i="2"/>
  <c r="BD1341" i="2"/>
  <c r="BD1342" i="2"/>
  <c r="BD1343" i="2"/>
  <c r="BD1344" i="2"/>
  <c r="BD1345" i="2"/>
  <c r="BD1346" i="2"/>
  <c r="BD1347" i="2"/>
  <c r="BD1348" i="2"/>
  <c r="BD1349" i="2"/>
  <c r="BD1350" i="2"/>
  <c r="BD1351" i="2"/>
  <c r="BD1352" i="2"/>
  <c r="BD1353" i="2"/>
  <c r="BD1354" i="2"/>
  <c r="BD1355" i="2"/>
  <c r="BD1356" i="2"/>
  <c r="BD1357" i="2"/>
  <c r="BD1358" i="2"/>
  <c r="BD1359" i="2"/>
  <c r="BD1360" i="2"/>
  <c r="BD1361" i="2"/>
  <c r="BD1362" i="2"/>
  <c r="BD1363" i="2"/>
  <c r="BD1364" i="2"/>
  <c r="BD1365" i="2"/>
  <c r="BD1366" i="2"/>
  <c r="BD1367" i="2"/>
  <c r="BD1368" i="2"/>
  <c r="BD1369" i="2"/>
  <c r="BD1370" i="2"/>
  <c r="BD1371" i="2"/>
  <c r="BD1372" i="2"/>
  <c r="BD1373" i="2"/>
  <c r="BD1374" i="2"/>
  <c r="BD1375" i="2"/>
  <c r="BD1376" i="2"/>
  <c r="BD1377" i="2"/>
  <c r="BD1378" i="2"/>
  <c r="BD1379" i="2"/>
  <c r="BD1380" i="2"/>
  <c r="BD1381" i="2"/>
  <c r="BD1382" i="2"/>
  <c r="BD1383" i="2"/>
  <c r="BD1384" i="2"/>
  <c r="BD1385" i="2"/>
  <c r="BD1386" i="2"/>
  <c r="BD1387" i="2"/>
  <c r="BD1388" i="2"/>
  <c r="BD1389" i="2"/>
  <c r="BD1390" i="2"/>
  <c r="BD1391" i="2"/>
  <c r="BD1392" i="2"/>
  <c r="BD1393" i="2"/>
  <c r="BD1394" i="2"/>
  <c r="BD1395" i="2"/>
  <c r="BD1396" i="2"/>
  <c r="BD1397" i="2"/>
  <c r="BD1398" i="2"/>
  <c r="BD1399" i="2"/>
  <c r="BD1400" i="2"/>
  <c r="BD1401" i="2"/>
  <c r="BD1402" i="2"/>
  <c r="BD1403" i="2"/>
  <c r="BD1404" i="2"/>
  <c r="BD1405" i="2"/>
  <c r="BD1406" i="2"/>
  <c r="BD1407" i="2"/>
  <c r="BD1408" i="2"/>
  <c r="BD1409" i="2"/>
  <c r="BD1410" i="2"/>
  <c r="BD1411" i="2"/>
  <c r="BD1412" i="2"/>
  <c r="BD1413" i="2"/>
  <c r="BD1414" i="2"/>
  <c r="BD1415" i="2"/>
  <c r="BD1416" i="2"/>
  <c r="BD1417" i="2"/>
  <c r="BD1418" i="2"/>
  <c r="BD1419" i="2"/>
  <c r="BD1420" i="2"/>
  <c r="BD1421" i="2"/>
  <c r="BD1422" i="2"/>
  <c r="BD1423" i="2"/>
  <c r="BD1424" i="2"/>
  <c r="BD1425" i="2"/>
  <c r="BD1426" i="2"/>
  <c r="BD1427" i="2"/>
  <c r="BD1428" i="2"/>
  <c r="BD1429" i="2"/>
  <c r="BD1430" i="2"/>
  <c r="BD1431" i="2"/>
  <c r="BD1432" i="2"/>
  <c r="BD1433" i="2"/>
  <c r="BD1434" i="2"/>
  <c r="BD1435" i="2"/>
  <c r="BD1436" i="2"/>
  <c r="BD1437" i="2"/>
  <c r="BD1438" i="2"/>
  <c r="BD1439" i="2"/>
  <c r="BD1440" i="2"/>
  <c r="BD1441" i="2"/>
  <c r="BD1442" i="2"/>
  <c r="BD1443" i="2"/>
  <c r="BD1444" i="2"/>
  <c r="BD1445" i="2"/>
  <c r="BD1446" i="2"/>
  <c r="BD1447" i="2"/>
  <c r="BD1448" i="2"/>
  <c r="BD1449" i="2"/>
  <c r="BD1450" i="2"/>
  <c r="BD1451" i="2"/>
  <c r="BD1452" i="2"/>
  <c r="BD1453" i="2"/>
  <c r="BD1454" i="2"/>
  <c r="BD1455" i="2"/>
  <c r="BD1456" i="2"/>
  <c r="BD1457" i="2"/>
  <c r="BD1458" i="2"/>
  <c r="BD1459" i="2"/>
  <c r="BD1460" i="2"/>
  <c r="BD1461" i="2"/>
  <c r="BD1462" i="2"/>
  <c r="BD1463" i="2"/>
  <c r="BD1464" i="2"/>
  <c r="BD1465" i="2"/>
  <c r="BD1466" i="2"/>
  <c r="BD1467" i="2"/>
  <c r="BD1468" i="2"/>
  <c r="BD1469" i="2"/>
  <c r="BD1470" i="2"/>
  <c r="BD1471" i="2"/>
  <c r="BD1472" i="2"/>
  <c r="BD1473" i="2"/>
  <c r="BD1474" i="2"/>
  <c r="BD1475" i="2"/>
  <c r="BD1476" i="2"/>
  <c r="BD1477" i="2"/>
  <c r="BD1478" i="2"/>
  <c r="BD1479" i="2"/>
  <c r="BD1480" i="2"/>
  <c r="BD1481" i="2"/>
  <c r="BD1482" i="2"/>
  <c r="BD1483" i="2"/>
  <c r="BD1484" i="2"/>
  <c r="BD1485" i="2"/>
  <c r="BD1486" i="2"/>
  <c r="BD1487" i="2"/>
  <c r="BD1488" i="2"/>
  <c r="BD1489" i="2"/>
  <c r="BD1490" i="2"/>
  <c r="BD1491" i="2"/>
  <c r="BD1492" i="2"/>
  <c r="BD1493" i="2"/>
  <c r="BD1494" i="2"/>
  <c r="BD1495" i="2"/>
  <c r="BD1496" i="2"/>
  <c r="BD1497" i="2"/>
  <c r="BD1498" i="2"/>
  <c r="BD1499" i="2"/>
  <c r="BD1500" i="2"/>
  <c r="BD1501" i="2"/>
  <c r="BD1502" i="2"/>
  <c r="BD1503" i="2"/>
  <c r="BD1504" i="2"/>
  <c r="BD1505" i="2"/>
  <c r="BD1506" i="2"/>
  <c r="BD1507" i="2"/>
  <c r="BD1508" i="2"/>
  <c r="BD1509" i="2"/>
  <c r="BD1510" i="2"/>
  <c r="BD1511" i="2"/>
  <c r="BD1512" i="2"/>
  <c r="BD1513" i="2"/>
  <c r="BD1514" i="2"/>
  <c r="BD1515" i="2"/>
  <c r="BD1516" i="2"/>
  <c r="BD1517" i="2"/>
  <c r="BD1518" i="2"/>
  <c r="BD1519" i="2"/>
  <c r="BD1520" i="2"/>
  <c r="BD1521" i="2"/>
  <c r="BD1522" i="2"/>
  <c r="BD1523" i="2"/>
  <c r="BD1524" i="2"/>
  <c r="BD1525" i="2"/>
  <c r="BD1526" i="2"/>
  <c r="BD1527" i="2"/>
  <c r="BD1528" i="2"/>
  <c r="BD1529" i="2"/>
  <c r="BD1530" i="2"/>
  <c r="BD1531" i="2"/>
  <c r="BD1532" i="2"/>
  <c r="BD1533" i="2"/>
  <c r="BD1534" i="2"/>
  <c r="BD1535" i="2"/>
  <c r="BD1536" i="2"/>
  <c r="BD1537" i="2"/>
  <c r="BD1538" i="2"/>
  <c r="BD1539" i="2"/>
  <c r="BD1540" i="2"/>
  <c r="BD1541" i="2"/>
  <c r="BD1542" i="2"/>
  <c r="BD1543" i="2"/>
  <c r="BD1544" i="2"/>
  <c r="BD1545" i="2"/>
  <c r="BD1546" i="2"/>
  <c r="BD1547" i="2"/>
  <c r="BD1548" i="2"/>
  <c r="BD1549" i="2"/>
  <c r="BD1550" i="2"/>
  <c r="BD1551" i="2"/>
  <c r="BD1552" i="2"/>
  <c r="BD1553" i="2"/>
  <c r="BD1554" i="2"/>
  <c r="BD1555" i="2"/>
  <c r="BD1556" i="2"/>
  <c r="BD1557" i="2"/>
  <c r="BD1558" i="2"/>
  <c r="BD1559" i="2"/>
  <c r="BD1560" i="2"/>
  <c r="BD1561" i="2"/>
  <c r="BD1562" i="2"/>
  <c r="BD1563" i="2"/>
  <c r="BD1564" i="2"/>
  <c r="BD1565" i="2"/>
  <c r="BD1566" i="2"/>
  <c r="BD1567" i="2"/>
  <c r="BD1568" i="2"/>
  <c r="BD1569" i="2"/>
  <c r="BD1570" i="2"/>
  <c r="BD1571" i="2"/>
  <c r="BD1572" i="2"/>
  <c r="BD1573" i="2"/>
  <c r="BD1574" i="2"/>
  <c r="BD1575" i="2"/>
  <c r="BD1576" i="2"/>
  <c r="BD1577" i="2"/>
  <c r="BD1578" i="2"/>
  <c r="BD1579" i="2"/>
  <c r="BD1580" i="2"/>
  <c r="BD1581" i="2"/>
  <c r="BD1582" i="2"/>
  <c r="BD1583" i="2"/>
  <c r="BD1584" i="2"/>
  <c r="BD1585" i="2"/>
  <c r="BD1586" i="2"/>
  <c r="BD1587" i="2"/>
  <c r="BD1588" i="2"/>
  <c r="BD1589" i="2"/>
  <c r="BD1590" i="2"/>
  <c r="BD1591" i="2"/>
  <c r="BD1592" i="2"/>
  <c r="BD1593" i="2"/>
  <c r="BD1594" i="2"/>
  <c r="BD1595" i="2"/>
  <c r="BD1596" i="2"/>
  <c r="BD1597" i="2"/>
  <c r="BD1598" i="2"/>
  <c r="BD1599" i="2"/>
  <c r="BD1600" i="2"/>
  <c r="BD1601" i="2"/>
  <c r="BD1602" i="2"/>
  <c r="BD1603" i="2"/>
  <c r="BD1604" i="2"/>
  <c r="BD1605" i="2"/>
  <c r="BD1606" i="2"/>
  <c r="BD1607" i="2"/>
  <c r="BD1608" i="2"/>
  <c r="BD1609" i="2"/>
  <c r="BD1610" i="2"/>
  <c r="BD1611" i="2"/>
  <c r="BD1612" i="2"/>
  <c r="BD1613" i="2"/>
  <c r="BD1614" i="2"/>
  <c r="BD1615" i="2"/>
  <c r="BD1616" i="2"/>
  <c r="BD1617" i="2"/>
  <c r="BD1618" i="2"/>
  <c r="BD1619" i="2"/>
  <c r="BD1620" i="2"/>
  <c r="BD1621" i="2"/>
  <c r="BD1622" i="2"/>
  <c r="BD1623" i="2"/>
  <c r="BD1624" i="2"/>
  <c r="BD1625" i="2"/>
  <c r="BD1626" i="2"/>
  <c r="BD1627" i="2"/>
  <c r="BD1628" i="2"/>
  <c r="BD1629" i="2"/>
  <c r="BD1630" i="2"/>
  <c r="BD1631" i="2"/>
  <c r="BD1632" i="2"/>
  <c r="BD1633" i="2"/>
  <c r="BD1634" i="2"/>
  <c r="BD1635" i="2"/>
  <c r="BD1636" i="2"/>
  <c r="BD1637" i="2"/>
  <c r="BD1638" i="2"/>
  <c r="BD1639" i="2"/>
  <c r="BD1640" i="2"/>
  <c r="BD1641" i="2"/>
  <c r="BD1642" i="2"/>
  <c r="BD1643" i="2"/>
  <c r="BD1644" i="2"/>
  <c r="BD1645" i="2"/>
  <c r="BD1646" i="2"/>
  <c r="BD1647" i="2"/>
  <c r="BD1648" i="2"/>
  <c r="BD1649" i="2"/>
  <c r="BD1650" i="2"/>
  <c r="BD1651" i="2"/>
  <c r="BD1652" i="2"/>
  <c r="BD1653" i="2"/>
  <c r="BD1654" i="2"/>
  <c r="BD1655" i="2"/>
  <c r="BD1656" i="2"/>
  <c r="BD1657" i="2"/>
  <c r="BD1658" i="2"/>
  <c r="BD1659" i="2"/>
  <c r="BD1660" i="2"/>
  <c r="BD1661" i="2"/>
  <c r="BD1662" i="2"/>
  <c r="BD1663" i="2"/>
  <c r="BD1664" i="2"/>
  <c r="BD1665" i="2"/>
  <c r="BD1666" i="2"/>
  <c r="BD1667" i="2"/>
  <c r="BD1668" i="2"/>
  <c r="BD1669" i="2"/>
  <c r="BD1670" i="2"/>
  <c r="BD1671" i="2"/>
  <c r="BD1672" i="2"/>
  <c r="BD1673" i="2"/>
  <c r="BD1674" i="2"/>
  <c r="BD1675" i="2"/>
  <c r="BD1676" i="2"/>
  <c r="BD1677" i="2"/>
  <c r="BD1678" i="2"/>
  <c r="BD1679" i="2"/>
  <c r="BD1680" i="2"/>
  <c r="BD1681" i="2"/>
  <c r="BD1682" i="2"/>
  <c r="BD1683" i="2"/>
  <c r="BD1684" i="2"/>
  <c r="BD1685" i="2"/>
  <c r="BD1686" i="2"/>
  <c r="BD1687" i="2"/>
  <c r="BD1688" i="2"/>
  <c r="BD1689" i="2"/>
  <c r="BD1690" i="2"/>
  <c r="BD1691" i="2"/>
  <c r="BD1692" i="2"/>
  <c r="BD1693" i="2"/>
  <c r="BD1694" i="2"/>
  <c r="BD1695" i="2"/>
  <c r="BD1696" i="2"/>
  <c r="BD1697" i="2"/>
  <c r="BD1698" i="2"/>
  <c r="BD1699" i="2"/>
  <c r="BD1700" i="2"/>
  <c r="BD1701" i="2"/>
  <c r="BD1702" i="2"/>
  <c r="BD1703" i="2"/>
  <c r="BD1704" i="2"/>
  <c r="BD1705" i="2"/>
  <c r="BD1706" i="2"/>
  <c r="BD1707" i="2"/>
  <c r="BD1708" i="2"/>
  <c r="BD1709" i="2"/>
  <c r="BD1710" i="2"/>
  <c r="BD1711" i="2"/>
  <c r="BD1712" i="2"/>
  <c r="BD1713" i="2"/>
  <c r="BD1714" i="2"/>
  <c r="BD1715" i="2"/>
  <c r="BD1716" i="2"/>
  <c r="BD1717" i="2"/>
  <c r="BD1718" i="2"/>
  <c r="BD1719" i="2"/>
  <c r="BD1720" i="2"/>
  <c r="BD1721" i="2"/>
  <c r="BD1722" i="2"/>
  <c r="BD1723" i="2"/>
  <c r="BD1724" i="2"/>
  <c r="BD1725" i="2"/>
  <c r="BD1726" i="2"/>
  <c r="BD1727" i="2"/>
  <c r="BD1728" i="2"/>
  <c r="BD1729" i="2"/>
  <c r="BD1730" i="2"/>
  <c r="BD1731" i="2"/>
  <c r="BD1732" i="2"/>
  <c r="BD1733" i="2"/>
  <c r="BD1734" i="2"/>
  <c r="BD1735" i="2"/>
  <c r="BD1736" i="2"/>
  <c r="BD1737" i="2"/>
  <c r="BD1738" i="2"/>
  <c r="BD1739" i="2"/>
  <c r="BD1740" i="2"/>
  <c r="BD1741" i="2"/>
  <c r="BD1742" i="2"/>
  <c r="BD1743" i="2"/>
  <c r="BD1744" i="2"/>
  <c r="BD1745" i="2"/>
  <c r="BD1746" i="2"/>
  <c r="BD1747" i="2"/>
  <c r="BD1748" i="2"/>
  <c r="BD1749" i="2"/>
  <c r="BD1750" i="2"/>
  <c r="BD1751" i="2"/>
  <c r="BD1752" i="2"/>
  <c r="BD1753" i="2"/>
  <c r="BD1754" i="2"/>
  <c r="BD1755" i="2"/>
  <c r="BD1756" i="2"/>
  <c r="BD1757" i="2"/>
  <c r="BD1758" i="2"/>
  <c r="BD1759" i="2"/>
  <c r="BD1760" i="2"/>
  <c r="BD1761" i="2"/>
  <c r="BD1762" i="2"/>
  <c r="BD1763" i="2"/>
  <c r="BD1764" i="2"/>
  <c r="BD1765" i="2"/>
  <c r="BD1766" i="2"/>
  <c r="BD1767" i="2"/>
  <c r="BD1768" i="2"/>
  <c r="BD1769" i="2"/>
  <c r="BD1770" i="2"/>
  <c r="BD1771" i="2"/>
  <c r="BD1772" i="2"/>
  <c r="BD1773" i="2"/>
  <c r="BD1774" i="2"/>
  <c r="BD1775" i="2"/>
  <c r="BD1776" i="2"/>
  <c r="BD1777" i="2"/>
  <c r="BD1778" i="2"/>
  <c r="BD1779" i="2"/>
  <c r="BD1780" i="2"/>
  <c r="BD1781" i="2"/>
  <c r="BD1782" i="2"/>
  <c r="BD1783" i="2"/>
  <c r="BD1784" i="2"/>
  <c r="BD1785" i="2"/>
  <c r="BD1786" i="2"/>
  <c r="BD1787" i="2"/>
  <c r="BD1788" i="2"/>
  <c r="BD1789" i="2"/>
  <c r="BD1790" i="2"/>
  <c r="BD1791" i="2"/>
  <c r="BD1792" i="2"/>
  <c r="BD1793" i="2"/>
  <c r="BD1794" i="2"/>
  <c r="BD1795" i="2"/>
  <c r="BD1796" i="2"/>
  <c r="BD1797" i="2"/>
  <c r="BD1798" i="2"/>
  <c r="BD1799" i="2"/>
  <c r="BD1800" i="2"/>
  <c r="BD1801" i="2"/>
  <c r="BD1802" i="2"/>
  <c r="BD1803" i="2"/>
  <c r="BD1804" i="2"/>
  <c r="BD1805" i="2"/>
  <c r="BD1806" i="2"/>
  <c r="BD1807" i="2"/>
  <c r="BD1808" i="2"/>
  <c r="BD1809" i="2"/>
  <c r="BD1810" i="2"/>
  <c r="BD1811" i="2"/>
  <c r="BD1812" i="2"/>
  <c r="BD1813" i="2"/>
  <c r="BD1814" i="2"/>
  <c r="BD1815" i="2"/>
  <c r="BD1816" i="2"/>
  <c r="BD1817" i="2"/>
  <c r="BD1818" i="2"/>
  <c r="BD1819" i="2"/>
  <c r="BD1820" i="2"/>
  <c r="BD1821" i="2"/>
  <c r="BD1822" i="2"/>
  <c r="BD1823" i="2"/>
  <c r="BD1824" i="2"/>
  <c r="BD1825" i="2"/>
  <c r="BD1826" i="2"/>
  <c r="BD1827" i="2"/>
  <c r="BD1828" i="2"/>
  <c r="BD1829" i="2"/>
  <c r="BD1830" i="2"/>
  <c r="BD1831" i="2"/>
  <c r="BD1832" i="2"/>
  <c r="BD1833" i="2"/>
  <c r="BD1834" i="2"/>
  <c r="BD1835" i="2"/>
  <c r="BD1836" i="2"/>
  <c r="BD1837" i="2"/>
  <c r="BD1838" i="2"/>
  <c r="BD1839" i="2"/>
  <c r="BD1840" i="2"/>
  <c r="BD1841" i="2"/>
  <c r="BD1842" i="2"/>
  <c r="BD1843" i="2"/>
  <c r="BD1844" i="2"/>
  <c r="BD1845" i="2"/>
  <c r="BD1846" i="2"/>
  <c r="BD1847" i="2"/>
  <c r="BD1848" i="2"/>
  <c r="BD1849" i="2"/>
  <c r="BD1850" i="2"/>
  <c r="BD1851" i="2"/>
  <c r="BD1852" i="2"/>
  <c r="BD1853" i="2"/>
  <c r="BD1854" i="2"/>
  <c r="BD1855" i="2"/>
  <c r="BD1856" i="2"/>
  <c r="BD1857" i="2"/>
  <c r="BD1858" i="2"/>
  <c r="BD1859" i="2"/>
  <c r="BD1860" i="2"/>
  <c r="BD1861" i="2"/>
  <c r="BD1862" i="2"/>
  <c r="BD1863" i="2"/>
  <c r="BD1864" i="2"/>
  <c r="BD1865" i="2"/>
  <c r="BD1866" i="2"/>
  <c r="BD1867" i="2"/>
  <c r="BD1868" i="2"/>
  <c r="BD1869" i="2"/>
  <c r="BD1870" i="2"/>
  <c r="BD1871" i="2"/>
  <c r="BD1872" i="2"/>
  <c r="BD1873" i="2"/>
  <c r="BD1874" i="2"/>
  <c r="BD1875" i="2"/>
  <c r="BD1876" i="2"/>
  <c r="BD1877" i="2"/>
  <c r="BD1878" i="2"/>
  <c r="BD1879" i="2"/>
  <c r="BD1880" i="2"/>
  <c r="BD1881" i="2"/>
  <c r="BD1882" i="2"/>
  <c r="BD1883" i="2"/>
  <c r="BD1884" i="2"/>
  <c r="BD1885" i="2"/>
  <c r="BD1886" i="2"/>
  <c r="BD1887" i="2"/>
  <c r="BD1888" i="2"/>
  <c r="BD1889" i="2"/>
  <c r="BD1890" i="2"/>
  <c r="BD1891" i="2"/>
  <c r="BD1892" i="2"/>
  <c r="BD1893" i="2"/>
  <c r="BD1894" i="2"/>
  <c r="BD1895" i="2"/>
  <c r="BD1896" i="2"/>
  <c r="BD1897" i="2"/>
  <c r="BD1898" i="2"/>
  <c r="BD1899" i="2"/>
  <c r="BD1900" i="2"/>
  <c r="BD1901" i="2"/>
  <c r="BD1902" i="2"/>
  <c r="BD1903" i="2"/>
  <c r="BD1904" i="2"/>
  <c r="BD1905" i="2"/>
  <c r="BD1906" i="2"/>
  <c r="BD1907" i="2"/>
  <c r="BD1908" i="2"/>
  <c r="BD1909" i="2"/>
  <c r="BD1910" i="2"/>
  <c r="BD1911" i="2"/>
  <c r="BD1912" i="2"/>
  <c r="BD1913" i="2"/>
  <c r="BD1914" i="2"/>
  <c r="BD1915" i="2"/>
  <c r="BD1916" i="2"/>
  <c r="BD1917" i="2"/>
  <c r="BD1918" i="2"/>
  <c r="BD1919" i="2"/>
  <c r="BD1920" i="2"/>
  <c r="BD1921" i="2"/>
  <c r="BD1922" i="2"/>
  <c r="BD1923" i="2"/>
  <c r="BD1924" i="2"/>
  <c r="BD1925" i="2"/>
  <c r="BD1926" i="2"/>
  <c r="BD1927" i="2"/>
  <c r="BD1928" i="2"/>
  <c r="BD1929" i="2"/>
  <c r="BD1930" i="2"/>
  <c r="BD1931" i="2"/>
  <c r="BD1932" i="2"/>
  <c r="BD1933" i="2"/>
  <c r="BD1934" i="2"/>
  <c r="BD1935" i="2"/>
  <c r="BD1936" i="2"/>
  <c r="BD1937" i="2"/>
  <c r="BD1938" i="2"/>
  <c r="BD1939" i="2"/>
  <c r="BD1940" i="2"/>
  <c r="BD1941" i="2"/>
  <c r="BD1942" i="2"/>
  <c r="BD1943" i="2"/>
  <c r="BD1944" i="2"/>
  <c r="BD1945" i="2"/>
  <c r="BD1946" i="2"/>
  <c r="BD1947" i="2"/>
  <c r="BD1948" i="2"/>
  <c r="BD1949" i="2"/>
  <c r="BD1950" i="2"/>
  <c r="BD1951" i="2"/>
  <c r="BD1952" i="2"/>
  <c r="BD1953" i="2"/>
  <c r="BD1954" i="2"/>
  <c r="BD1955" i="2"/>
  <c r="BD1956" i="2"/>
  <c r="BD1957" i="2"/>
  <c r="BD1958" i="2"/>
  <c r="BD1959" i="2"/>
  <c r="BD1960" i="2"/>
  <c r="BD1961" i="2"/>
  <c r="BD1962" i="2"/>
  <c r="BD1963" i="2"/>
  <c r="BD1964" i="2"/>
  <c r="BD1965" i="2"/>
  <c r="BD1966" i="2"/>
  <c r="BD1967" i="2"/>
  <c r="BD1968" i="2"/>
  <c r="BD1969" i="2"/>
  <c r="BD1970" i="2"/>
  <c r="BD1971" i="2"/>
  <c r="BD1972" i="2"/>
  <c r="BD1973" i="2"/>
  <c r="BD1974" i="2"/>
  <c r="BD1975" i="2"/>
  <c r="BD1976" i="2"/>
  <c r="BD1977" i="2"/>
  <c r="BD1978" i="2"/>
  <c r="BD1979" i="2"/>
  <c r="BD1980" i="2"/>
  <c r="BD1981" i="2"/>
  <c r="BD1982" i="2"/>
  <c r="BD1983" i="2"/>
  <c r="BD1984" i="2"/>
  <c r="BD1985" i="2"/>
  <c r="BD1986" i="2"/>
  <c r="BD1987" i="2"/>
  <c r="BD1988" i="2"/>
  <c r="BD1989" i="2"/>
  <c r="BD1990" i="2"/>
  <c r="BD1991" i="2"/>
  <c r="BD1992" i="2"/>
  <c r="BD1993" i="2"/>
  <c r="BD1994" i="2"/>
  <c r="BD1995" i="2"/>
  <c r="BD1996" i="2"/>
  <c r="BD1997" i="2"/>
  <c r="BD1998" i="2"/>
  <c r="BD1999" i="2"/>
  <c r="BD2000" i="2"/>
  <c r="BD2001" i="2"/>
  <c r="BD2002" i="2"/>
  <c r="BD2003" i="2"/>
  <c r="BD2004" i="2"/>
  <c r="BD2005" i="2"/>
  <c r="BD2006" i="2"/>
  <c r="BD2007" i="2"/>
  <c r="BD2008" i="2"/>
  <c r="BD2009" i="2"/>
  <c r="BD2010" i="2"/>
  <c r="BD2011" i="2"/>
  <c r="BD2012" i="2"/>
  <c r="BD2013" i="2"/>
  <c r="BD2014" i="2"/>
  <c r="BD2015" i="2"/>
  <c r="BD2016" i="2"/>
  <c r="BD2017" i="2"/>
  <c r="BD2018" i="2"/>
  <c r="BD2019" i="2"/>
  <c r="BD2020" i="2"/>
  <c r="BD2021" i="2"/>
  <c r="BD2022" i="2"/>
  <c r="BD2023" i="2"/>
  <c r="BD2024" i="2"/>
  <c r="BD2025" i="2"/>
  <c r="BD2026" i="2"/>
  <c r="BD2027" i="2"/>
  <c r="BD2028" i="2"/>
  <c r="BD2029" i="2"/>
  <c r="BD2030" i="2"/>
  <c r="BD2031" i="2"/>
  <c r="BD2032" i="2"/>
  <c r="BD2033" i="2"/>
  <c r="BD2034" i="2"/>
  <c r="BD2035" i="2"/>
  <c r="BD2036" i="2"/>
  <c r="BD2037" i="2"/>
  <c r="BD2038" i="2"/>
  <c r="BD2039" i="2"/>
  <c r="BD2040" i="2"/>
  <c r="BD2041" i="2"/>
  <c r="BD2042" i="2"/>
  <c r="BD2043" i="2"/>
  <c r="BD2044" i="2"/>
  <c r="BD2045" i="2"/>
  <c r="BD2046" i="2"/>
  <c r="BD2047" i="2"/>
  <c r="BD2048" i="2"/>
  <c r="BD2049" i="2"/>
  <c r="BD2050" i="2"/>
  <c r="BD2051" i="2"/>
  <c r="BD2052" i="2"/>
  <c r="BD2053" i="2"/>
  <c r="BD2054" i="2"/>
  <c r="BD2055" i="2"/>
  <c r="BD2056" i="2"/>
  <c r="BD2057" i="2"/>
  <c r="BD2058" i="2"/>
  <c r="BD2059" i="2"/>
  <c r="BD2060" i="2"/>
  <c r="BD2061" i="2"/>
  <c r="BD2062" i="2"/>
  <c r="BD2063" i="2"/>
  <c r="BD2064" i="2"/>
  <c r="BD2065" i="2"/>
  <c r="BD2066" i="2"/>
  <c r="BD2067" i="2"/>
  <c r="BD2068" i="2"/>
  <c r="BD2069" i="2"/>
  <c r="BD2070" i="2"/>
  <c r="BD2071" i="2"/>
  <c r="BD2072" i="2"/>
  <c r="BD2073" i="2"/>
  <c r="BD2074" i="2"/>
  <c r="BD2075" i="2"/>
  <c r="BD2076" i="2"/>
  <c r="BD2077" i="2"/>
  <c r="BD2078" i="2"/>
  <c r="BD2079" i="2"/>
  <c r="BD2080" i="2"/>
  <c r="BD2081" i="2"/>
  <c r="BD2082" i="2"/>
  <c r="BD2083" i="2"/>
  <c r="BD2084" i="2"/>
  <c r="BD2085" i="2"/>
  <c r="BD2086" i="2"/>
  <c r="BD2087" i="2"/>
  <c r="BD2088" i="2"/>
  <c r="BD2089" i="2"/>
  <c r="BD2090" i="2"/>
  <c r="BD2091" i="2"/>
  <c r="BD2092" i="2"/>
  <c r="BD2093" i="2"/>
  <c r="BD2094" i="2"/>
  <c r="BD2095" i="2"/>
  <c r="BD2096" i="2"/>
  <c r="BD2097" i="2"/>
  <c r="BD2098" i="2"/>
  <c r="BD2099" i="2"/>
  <c r="BD2100" i="2"/>
  <c r="BD2101" i="2"/>
  <c r="BD2102" i="2"/>
  <c r="BD2103" i="2"/>
  <c r="BD2104" i="2"/>
  <c r="BD2105" i="2"/>
  <c r="BD2106" i="2"/>
  <c r="BD2107" i="2"/>
  <c r="BD2108" i="2"/>
  <c r="BD2109" i="2"/>
  <c r="BD2110" i="2"/>
  <c r="BD2111" i="2"/>
  <c r="BD2112" i="2"/>
  <c r="BD2113" i="2"/>
  <c r="BD2114" i="2"/>
  <c r="BD2115" i="2"/>
  <c r="BD2116" i="2"/>
  <c r="BD2117" i="2"/>
  <c r="BD2118" i="2"/>
  <c r="BD2119" i="2"/>
  <c r="BD2120" i="2"/>
  <c r="BD2121" i="2"/>
  <c r="BD2122" i="2"/>
  <c r="BD2123" i="2"/>
  <c r="BD2124" i="2"/>
  <c r="BD2125" i="2"/>
  <c r="BD2126" i="2"/>
  <c r="BD2127" i="2"/>
  <c r="BD2128" i="2"/>
  <c r="BD2129" i="2"/>
  <c r="BD2130" i="2"/>
  <c r="BD2131" i="2"/>
  <c r="BD2132" i="2"/>
  <c r="BD2133" i="2"/>
  <c r="BD2134" i="2"/>
  <c r="BD2135" i="2"/>
  <c r="BD2136" i="2"/>
  <c r="BD2137" i="2"/>
  <c r="BD2138" i="2"/>
  <c r="BD2139" i="2"/>
  <c r="BD2140" i="2"/>
  <c r="BD2141" i="2"/>
  <c r="BD2142" i="2"/>
  <c r="BD2143" i="2"/>
  <c r="BD2144" i="2"/>
  <c r="BD2145" i="2"/>
  <c r="BD2146" i="2"/>
  <c r="BD2147" i="2"/>
  <c r="BD2148" i="2"/>
  <c r="BD2149" i="2"/>
  <c r="BD2150" i="2"/>
  <c r="BD2151" i="2"/>
  <c r="BD2152" i="2"/>
  <c r="BD2153" i="2"/>
  <c r="BD2154" i="2"/>
  <c r="BD2155" i="2"/>
  <c r="BD2156" i="2"/>
  <c r="BD2157" i="2"/>
  <c r="BD2158" i="2"/>
  <c r="BD2159" i="2"/>
  <c r="BD2160" i="2"/>
  <c r="BD2161" i="2"/>
  <c r="BD2162" i="2"/>
  <c r="BD2163" i="2"/>
  <c r="BD2164" i="2"/>
  <c r="BD2165" i="2"/>
  <c r="BD2166" i="2"/>
  <c r="BD2167" i="2"/>
  <c r="BD2168" i="2"/>
  <c r="BD2169" i="2"/>
  <c r="BD2170" i="2"/>
  <c r="BD2171" i="2"/>
  <c r="BD2172" i="2"/>
  <c r="BD2173" i="2"/>
  <c r="BD2174" i="2"/>
  <c r="BD2175" i="2"/>
  <c r="BD2176" i="2"/>
  <c r="BD2177" i="2"/>
  <c r="BD2178" i="2"/>
  <c r="BD2179" i="2"/>
  <c r="BD2180" i="2"/>
  <c r="BD2181" i="2"/>
  <c r="BD2182" i="2"/>
  <c r="BD2183" i="2"/>
  <c r="BD2184" i="2"/>
  <c r="BD2185" i="2"/>
  <c r="BD2186" i="2"/>
  <c r="BD2187" i="2"/>
  <c r="BD2188" i="2"/>
  <c r="BD2189" i="2"/>
  <c r="BD2190" i="2"/>
  <c r="BD2191" i="2"/>
  <c r="BD2192" i="2"/>
  <c r="BD2193" i="2"/>
  <c r="BD2194" i="2"/>
  <c r="BD2195" i="2"/>
  <c r="BD2196" i="2"/>
  <c r="BD2197" i="2"/>
  <c r="BD2198" i="2"/>
  <c r="BD2199" i="2"/>
  <c r="BD2200" i="2"/>
  <c r="BD2201" i="2"/>
  <c r="BD2202" i="2"/>
  <c r="BD2203" i="2"/>
  <c r="BD2204" i="2"/>
  <c r="BD2205" i="2"/>
  <c r="BD2206" i="2"/>
  <c r="BD2207" i="2"/>
  <c r="BD2208" i="2"/>
  <c r="BD2209" i="2"/>
  <c r="BD2210" i="2"/>
  <c r="BD2211" i="2"/>
  <c r="BD2212" i="2"/>
  <c r="BD2213" i="2"/>
  <c r="BD2214" i="2"/>
  <c r="BD2215" i="2"/>
  <c r="BD2216" i="2"/>
  <c r="BD2217" i="2"/>
  <c r="BD2218" i="2"/>
  <c r="BD2219" i="2"/>
  <c r="BD2220" i="2"/>
  <c r="BD2221" i="2"/>
  <c r="BD2222" i="2"/>
  <c r="BD2223" i="2"/>
  <c r="BD2224" i="2"/>
  <c r="BD2225" i="2"/>
  <c r="BD2226" i="2"/>
  <c r="BD2227" i="2"/>
  <c r="BD2228" i="2"/>
  <c r="BD2229" i="2"/>
  <c r="BD2230" i="2"/>
  <c r="BD2231" i="2"/>
  <c r="BD2232" i="2"/>
  <c r="BD2233" i="2"/>
  <c r="BD2234" i="2"/>
  <c r="BD2235" i="2"/>
  <c r="BD2236" i="2"/>
  <c r="BD2237" i="2"/>
  <c r="BD2238" i="2"/>
  <c r="BD2239" i="2"/>
  <c r="BD2240" i="2"/>
  <c r="BD2241" i="2"/>
  <c r="BD2242" i="2"/>
  <c r="BD2243" i="2"/>
  <c r="BD2244" i="2"/>
  <c r="BD2245" i="2"/>
  <c r="BD2246" i="2"/>
  <c r="BD2247" i="2"/>
  <c r="BD2248" i="2"/>
  <c r="BD2249" i="2"/>
  <c r="BD2250" i="2"/>
  <c r="BD2251" i="2"/>
  <c r="BD2252" i="2"/>
  <c r="BD2253" i="2"/>
  <c r="BD2254" i="2"/>
  <c r="BD2255" i="2"/>
  <c r="BD2256" i="2"/>
  <c r="BD2257" i="2"/>
  <c r="BD2258" i="2"/>
  <c r="BD2259" i="2"/>
  <c r="BD2260" i="2"/>
  <c r="BD2261" i="2"/>
  <c r="BD2262" i="2"/>
  <c r="BD2263" i="2"/>
  <c r="BD2264" i="2"/>
  <c r="BD2265" i="2"/>
  <c r="BD2266" i="2"/>
  <c r="BD2267" i="2"/>
  <c r="BD2268" i="2"/>
  <c r="BD2269" i="2"/>
  <c r="BD2270" i="2"/>
  <c r="BD2271" i="2"/>
  <c r="BD2272" i="2"/>
  <c r="BD2273" i="2"/>
  <c r="BD2274" i="2"/>
  <c r="BD2275" i="2"/>
  <c r="BD2276" i="2"/>
  <c r="BD2277" i="2"/>
  <c r="BD2278" i="2"/>
  <c r="BD2279" i="2"/>
  <c r="BD2280" i="2"/>
  <c r="BD2281" i="2"/>
  <c r="BD2282" i="2"/>
  <c r="BD2283" i="2"/>
  <c r="BD2284" i="2"/>
  <c r="BD2285" i="2"/>
  <c r="BD2286" i="2"/>
  <c r="BD2287" i="2"/>
  <c r="BD2288" i="2"/>
  <c r="BD2289" i="2"/>
  <c r="BD2290" i="2"/>
  <c r="BD2291" i="2"/>
  <c r="BD2292" i="2"/>
  <c r="BD2293" i="2"/>
  <c r="BD2294" i="2"/>
  <c r="BD2295" i="2"/>
  <c r="BD2296" i="2"/>
  <c r="BD2297" i="2"/>
  <c r="BD2298" i="2"/>
  <c r="BD2299" i="2"/>
  <c r="BD2300" i="2"/>
  <c r="BD2301" i="2"/>
  <c r="BD2302" i="2"/>
  <c r="BD2303" i="2"/>
  <c r="BD2304" i="2"/>
  <c r="BD2305" i="2"/>
  <c r="BD2306" i="2"/>
  <c r="BD2307" i="2"/>
  <c r="BD2308" i="2"/>
  <c r="BD2309" i="2"/>
  <c r="BD2310" i="2"/>
  <c r="BD2311" i="2"/>
  <c r="BD2312" i="2"/>
  <c r="BD2313" i="2"/>
  <c r="BD2314" i="2"/>
  <c r="BD2315" i="2"/>
  <c r="BD2316" i="2"/>
  <c r="BD2317" i="2"/>
  <c r="BD2318" i="2"/>
  <c r="BD2319" i="2"/>
  <c r="BD2320" i="2"/>
  <c r="BD2321" i="2"/>
  <c r="BD2322" i="2"/>
  <c r="BD2323" i="2"/>
  <c r="BD2324" i="2"/>
  <c r="BD2325" i="2"/>
  <c r="BD2326" i="2"/>
  <c r="BD2327" i="2"/>
  <c r="BD2328" i="2"/>
  <c r="BD2329" i="2"/>
  <c r="BD2330" i="2"/>
  <c r="BD2331" i="2"/>
  <c r="BD2332" i="2"/>
  <c r="BD2333" i="2"/>
  <c r="BD2334" i="2"/>
  <c r="BD2335" i="2"/>
  <c r="BD2336" i="2"/>
  <c r="BD2337" i="2"/>
  <c r="BD2338" i="2"/>
  <c r="BD2339" i="2"/>
  <c r="BD2340" i="2"/>
  <c r="BD2341" i="2"/>
  <c r="BD2342" i="2"/>
  <c r="BD2343" i="2"/>
  <c r="BD2344" i="2"/>
  <c r="BD2345" i="2"/>
  <c r="BD2346" i="2"/>
  <c r="BD2347" i="2"/>
  <c r="BD2348" i="2"/>
  <c r="BD2349" i="2"/>
  <c r="BD2350" i="2"/>
  <c r="BD2351" i="2"/>
  <c r="BD2352" i="2"/>
  <c r="BD2353" i="2"/>
  <c r="BD2354" i="2"/>
  <c r="BD2355" i="2"/>
  <c r="BD2356" i="2"/>
  <c r="BD2357" i="2"/>
  <c r="BD2358" i="2"/>
  <c r="BD2359" i="2"/>
  <c r="BD2360" i="2"/>
  <c r="BD2361" i="2"/>
  <c r="BD2362" i="2"/>
  <c r="BD2363" i="2"/>
  <c r="BD2364" i="2"/>
  <c r="BD2365" i="2"/>
  <c r="BD2366" i="2"/>
  <c r="BD2367" i="2"/>
  <c r="BD2368" i="2"/>
  <c r="BD2369" i="2"/>
  <c r="BD2370" i="2"/>
  <c r="BD2371" i="2"/>
  <c r="BD2372" i="2"/>
  <c r="BD2373" i="2"/>
  <c r="BD2374" i="2"/>
  <c r="BD2375" i="2"/>
  <c r="BD2376" i="2"/>
  <c r="BD2377" i="2"/>
  <c r="BD2378" i="2"/>
  <c r="BD2379" i="2"/>
  <c r="BD2380" i="2"/>
  <c r="BD2381" i="2"/>
  <c r="BD2382" i="2"/>
  <c r="BD2383" i="2"/>
  <c r="BD2384" i="2"/>
  <c r="BD2385" i="2"/>
  <c r="BD2386" i="2"/>
  <c r="BD2387" i="2"/>
  <c r="BD2388" i="2"/>
  <c r="BD2389" i="2"/>
  <c r="BD2390" i="2"/>
  <c r="BD2391" i="2"/>
  <c r="BD2392" i="2"/>
  <c r="BD2393" i="2"/>
  <c r="BD2394" i="2"/>
  <c r="BD2395" i="2"/>
  <c r="BD2396" i="2"/>
  <c r="BD2397" i="2"/>
  <c r="BD2398" i="2"/>
  <c r="BD2399" i="2"/>
  <c r="BD2400" i="2"/>
  <c r="BD2401" i="2"/>
  <c r="BD2402" i="2"/>
  <c r="BD2403" i="2"/>
  <c r="BD2404" i="2"/>
  <c r="BD2405" i="2"/>
  <c r="BD2406" i="2"/>
  <c r="BD2407" i="2"/>
  <c r="BD2408" i="2"/>
  <c r="BD2409" i="2"/>
  <c r="BD2410" i="2"/>
  <c r="BD2411" i="2"/>
  <c r="BD2412" i="2"/>
  <c r="BD2413" i="2"/>
  <c r="BD2414" i="2"/>
  <c r="BD2415" i="2"/>
  <c r="BD2416" i="2"/>
  <c r="BD2417" i="2"/>
  <c r="BD2418" i="2"/>
  <c r="BD2419" i="2"/>
  <c r="BD2420" i="2"/>
  <c r="BD2421" i="2"/>
  <c r="BD2422" i="2"/>
  <c r="BD2423" i="2"/>
  <c r="BD2424" i="2"/>
  <c r="BD2425" i="2"/>
  <c r="BD2426" i="2"/>
  <c r="BD2427" i="2"/>
  <c r="BD2428" i="2"/>
  <c r="BD2429" i="2"/>
  <c r="BD2430" i="2"/>
  <c r="BD2431" i="2"/>
  <c r="BD2432" i="2"/>
  <c r="BD2433" i="2"/>
  <c r="BD2434" i="2"/>
  <c r="BD2435" i="2"/>
  <c r="BD2436" i="2"/>
  <c r="BD2437" i="2"/>
  <c r="BD2438" i="2"/>
  <c r="BD2439" i="2"/>
  <c r="BD2440" i="2"/>
  <c r="BD2441" i="2"/>
  <c r="BD2442" i="2"/>
  <c r="BD2443" i="2"/>
  <c r="BD2444" i="2"/>
  <c r="BD2445" i="2"/>
  <c r="BD2446" i="2"/>
  <c r="BD2447" i="2"/>
  <c r="BD2448" i="2"/>
  <c r="BD2449" i="2"/>
  <c r="BD2450" i="2"/>
  <c r="BD2451" i="2"/>
  <c r="BD2452" i="2"/>
  <c r="BD2453" i="2"/>
  <c r="BD2454" i="2"/>
  <c r="BD2455" i="2"/>
  <c r="BD2456" i="2"/>
  <c r="BD2457" i="2"/>
  <c r="BD2458" i="2"/>
  <c r="BD2459" i="2"/>
  <c r="BD2460" i="2"/>
  <c r="BD2461" i="2"/>
  <c r="BD2462" i="2"/>
  <c r="BD2463" i="2"/>
  <c r="BD2464" i="2"/>
  <c r="BD2465" i="2"/>
  <c r="BD2466" i="2"/>
  <c r="BD2467" i="2"/>
  <c r="BD2468" i="2"/>
  <c r="BD2469" i="2"/>
  <c r="BD2470" i="2"/>
  <c r="BD2471" i="2"/>
  <c r="BD2472" i="2"/>
  <c r="BD2473" i="2"/>
  <c r="BD2474" i="2"/>
  <c r="BD2475" i="2"/>
  <c r="BD2476" i="2"/>
  <c r="BD2477" i="2"/>
  <c r="BD2478" i="2"/>
  <c r="BD2479" i="2"/>
  <c r="BD2480" i="2"/>
  <c r="BD2481" i="2"/>
  <c r="BD2482" i="2"/>
  <c r="BD2483" i="2"/>
  <c r="BD2484" i="2"/>
  <c r="BD2485" i="2"/>
  <c r="BD2486" i="2"/>
  <c r="BD2487" i="2"/>
  <c r="BD2488" i="2"/>
  <c r="BD2489" i="2"/>
  <c r="BD2490" i="2"/>
  <c r="BD2491" i="2"/>
  <c r="BD2492" i="2"/>
  <c r="BD2493" i="2"/>
  <c r="BD2494" i="2"/>
  <c r="BD2495" i="2"/>
  <c r="BD2496" i="2"/>
  <c r="BD2497" i="2"/>
  <c r="BD2498" i="2"/>
  <c r="BD2499" i="2"/>
  <c r="BD2500" i="2"/>
  <c r="BD2501" i="2"/>
  <c r="BD2502" i="2"/>
  <c r="BD2503" i="2"/>
  <c r="BD2504" i="2"/>
  <c r="BD2505" i="2"/>
  <c r="BD2506" i="2"/>
  <c r="BD2507" i="2"/>
  <c r="BD2508" i="2"/>
  <c r="BD2509" i="2"/>
  <c r="BD2510" i="2"/>
  <c r="BD2511" i="2"/>
  <c r="BD2512" i="2"/>
  <c r="BD2513" i="2"/>
  <c r="BD2514" i="2"/>
  <c r="BD2515" i="2"/>
  <c r="BD2516" i="2"/>
  <c r="BD2517" i="2"/>
  <c r="BD2518" i="2"/>
  <c r="BD2519" i="2"/>
  <c r="BD2520" i="2"/>
  <c r="BD2521" i="2"/>
  <c r="BD2522" i="2"/>
  <c r="BD2523" i="2"/>
  <c r="BD2524" i="2"/>
  <c r="BD2525" i="2"/>
  <c r="BD2526" i="2"/>
  <c r="BD2527" i="2"/>
  <c r="BD2528" i="2"/>
  <c r="BD2529" i="2"/>
  <c r="BD2530" i="2"/>
  <c r="BD2531" i="2"/>
  <c r="BD2532" i="2"/>
  <c r="BD2533" i="2"/>
  <c r="BD2534" i="2"/>
  <c r="BD2535" i="2"/>
  <c r="BD2536" i="2"/>
  <c r="BD2537" i="2"/>
  <c r="BD2538" i="2"/>
  <c r="BD2539" i="2"/>
  <c r="BD2540" i="2"/>
  <c r="BD2541" i="2"/>
  <c r="BD2542" i="2"/>
  <c r="BD2543" i="2"/>
  <c r="BD2544" i="2"/>
  <c r="BD2545" i="2"/>
  <c r="BD2546" i="2"/>
  <c r="BD2547" i="2"/>
  <c r="BD2548" i="2"/>
  <c r="BD2549" i="2"/>
  <c r="BD2550" i="2"/>
  <c r="BD2551" i="2"/>
  <c r="BD2552" i="2"/>
  <c r="BD2553" i="2"/>
  <c r="BD2554" i="2"/>
  <c r="BD2555" i="2"/>
  <c r="BD2556" i="2"/>
  <c r="BD2557" i="2"/>
  <c r="BD2558" i="2"/>
  <c r="BD2559" i="2"/>
  <c r="BD2560" i="2"/>
  <c r="BD2561" i="2"/>
  <c r="BD2562" i="2"/>
  <c r="BD2563" i="2"/>
  <c r="BD2564" i="2"/>
  <c r="BD2565" i="2"/>
  <c r="BD2566" i="2"/>
  <c r="BD2567" i="2"/>
  <c r="BD2568" i="2"/>
  <c r="BD2569" i="2"/>
  <c r="BD2570" i="2"/>
  <c r="BD2571" i="2"/>
  <c r="BD2572" i="2"/>
  <c r="BD2573" i="2"/>
  <c r="BD2574" i="2"/>
  <c r="BD2575" i="2"/>
  <c r="BD2576" i="2"/>
  <c r="BD2577" i="2"/>
  <c r="BD2578" i="2"/>
  <c r="BD2579" i="2"/>
  <c r="BD2580" i="2"/>
  <c r="BD2581" i="2"/>
  <c r="BD2582" i="2"/>
  <c r="BD2583" i="2"/>
  <c r="BD2584" i="2"/>
  <c r="BD2585" i="2"/>
  <c r="BD2586" i="2"/>
  <c r="BD2587" i="2"/>
  <c r="BD2588" i="2"/>
  <c r="BD2589" i="2"/>
  <c r="BD2590" i="2"/>
  <c r="BD2591" i="2"/>
  <c r="BD2592" i="2"/>
  <c r="BD2593" i="2"/>
  <c r="BD2594" i="2"/>
  <c r="BD2595" i="2"/>
  <c r="BD2596" i="2"/>
  <c r="BD2597" i="2"/>
  <c r="BD2598" i="2"/>
  <c r="BD2599" i="2"/>
  <c r="BD2600" i="2"/>
  <c r="BD2601" i="2"/>
  <c r="BD2602" i="2"/>
  <c r="BD2603" i="2"/>
  <c r="BD2604" i="2"/>
  <c r="BD2605" i="2"/>
  <c r="BD2606" i="2"/>
  <c r="BD2607" i="2"/>
  <c r="BD2608" i="2"/>
  <c r="BD2609" i="2"/>
  <c r="BD2610" i="2"/>
  <c r="BD2611" i="2"/>
  <c r="BD2612" i="2"/>
  <c r="BD2613" i="2"/>
  <c r="BD2614" i="2"/>
  <c r="BD2615" i="2"/>
  <c r="BD2616" i="2"/>
  <c r="BD2617" i="2"/>
  <c r="BD2618" i="2"/>
  <c r="BD2619" i="2"/>
  <c r="BD2620" i="2"/>
  <c r="BD2621" i="2"/>
  <c r="BD2622" i="2"/>
  <c r="BD2623" i="2"/>
  <c r="BD2624" i="2"/>
  <c r="BD2625" i="2"/>
  <c r="BD2626" i="2"/>
  <c r="BD2627" i="2"/>
  <c r="BD2628" i="2"/>
  <c r="BD2629" i="2"/>
  <c r="BD2630" i="2"/>
  <c r="BD2631" i="2"/>
  <c r="BD2632" i="2"/>
  <c r="BD2633" i="2"/>
  <c r="BD2634" i="2"/>
  <c r="BD2635" i="2"/>
  <c r="BD2636" i="2"/>
  <c r="BD2637" i="2"/>
  <c r="BD2638" i="2"/>
  <c r="BD2639" i="2"/>
  <c r="BD2640" i="2"/>
  <c r="BD2641" i="2"/>
  <c r="BD2642" i="2"/>
  <c r="BD2643" i="2"/>
  <c r="BD2644" i="2"/>
  <c r="BD2645" i="2"/>
  <c r="BD2646" i="2"/>
  <c r="BD2647" i="2"/>
  <c r="BD2648" i="2"/>
  <c r="BD2649" i="2"/>
  <c r="BD2650" i="2"/>
  <c r="BD2651" i="2"/>
  <c r="BD2652" i="2"/>
  <c r="BD2653" i="2"/>
  <c r="BD2654" i="2"/>
  <c r="BD2655" i="2"/>
  <c r="BD2656" i="2"/>
  <c r="BD2657" i="2"/>
  <c r="BD2658" i="2"/>
  <c r="BD2659" i="2"/>
  <c r="BD2660" i="2"/>
  <c r="BD2661" i="2"/>
  <c r="BD2662" i="2"/>
  <c r="BD2663" i="2"/>
  <c r="BD2664" i="2"/>
  <c r="BD2665" i="2"/>
  <c r="BD2666" i="2"/>
  <c r="BD2667" i="2"/>
  <c r="BD2668" i="2"/>
  <c r="BD2669" i="2"/>
  <c r="BD2670" i="2"/>
  <c r="BD2671" i="2"/>
  <c r="BD2672" i="2"/>
  <c r="BD2673" i="2"/>
  <c r="BD2674" i="2"/>
  <c r="BD2675" i="2"/>
  <c r="BD2676" i="2"/>
  <c r="BD2677" i="2"/>
  <c r="BD2678" i="2"/>
  <c r="BD2679" i="2"/>
  <c r="BD2680" i="2"/>
  <c r="BD2681" i="2"/>
  <c r="BD2682" i="2"/>
  <c r="BD2683" i="2"/>
  <c r="BD2684" i="2"/>
  <c r="BD2685" i="2"/>
  <c r="BD2686" i="2"/>
  <c r="BD2687" i="2"/>
  <c r="BD2688" i="2"/>
  <c r="BD2689" i="2"/>
  <c r="BD2690" i="2"/>
  <c r="BD2691" i="2"/>
  <c r="BD2692" i="2"/>
  <c r="BD2693" i="2"/>
  <c r="BD2694" i="2"/>
  <c r="BD2695" i="2"/>
  <c r="BD2696" i="2"/>
  <c r="BD2697" i="2"/>
  <c r="BD2698" i="2"/>
  <c r="BD2699" i="2"/>
  <c r="BD2700" i="2"/>
  <c r="BD2701" i="2"/>
  <c r="BD2702" i="2"/>
  <c r="BD2703" i="2"/>
  <c r="BD2704" i="2"/>
  <c r="BD2705" i="2"/>
  <c r="BD2706" i="2"/>
  <c r="BD2707" i="2"/>
  <c r="BD2708" i="2"/>
  <c r="BD2709" i="2"/>
  <c r="BD2710" i="2"/>
  <c r="BD2711" i="2"/>
  <c r="BD2712" i="2"/>
  <c r="BD2713" i="2"/>
  <c r="BD2714" i="2"/>
  <c r="BD2715" i="2"/>
  <c r="BD2716" i="2"/>
  <c r="BD2717" i="2"/>
  <c r="BD2718" i="2"/>
  <c r="BD2719" i="2"/>
  <c r="BD2720" i="2"/>
  <c r="BD2721" i="2"/>
  <c r="BD2722" i="2"/>
  <c r="BD2723" i="2"/>
  <c r="BD2724" i="2"/>
  <c r="BD2725" i="2"/>
  <c r="BD2726" i="2"/>
  <c r="BD2727" i="2"/>
  <c r="BD2728" i="2"/>
  <c r="BD2729" i="2"/>
  <c r="BD2730" i="2"/>
  <c r="BD2731" i="2"/>
  <c r="BD2732" i="2"/>
  <c r="BD2733" i="2"/>
  <c r="BD2734" i="2"/>
  <c r="BD2735" i="2"/>
  <c r="BD2736" i="2"/>
  <c r="BD2737" i="2"/>
  <c r="BD2738" i="2"/>
  <c r="BD2739" i="2"/>
  <c r="BD2740" i="2"/>
  <c r="BD2741" i="2"/>
  <c r="BD2742" i="2"/>
  <c r="BD2743" i="2"/>
  <c r="BD2744" i="2"/>
  <c r="BD2745" i="2"/>
  <c r="BD2746" i="2"/>
  <c r="BD2747" i="2"/>
  <c r="BD2748" i="2"/>
  <c r="BD2749" i="2"/>
  <c r="BD2750" i="2"/>
  <c r="BD2751" i="2"/>
  <c r="BD2752" i="2"/>
  <c r="BD2753" i="2"/>
  <c r="BD2754" i="2"/>
  <c r="BD2755" i="2"/>
  <c r="BD2756" i="2"/>
  <c r="BD2757" i="2"/>
  <c r="BD2758" i="2"/>
  <c r="BD2759" i="2"/>
  <c r="BD2760" i="2"/>
  <c r="BD2761" i="2"/>
  <c r="BD2762" i="2"/>
  <c r="BD2763" i="2"/>
  <c r="BD2764" i="2"/>
  <c r="BD2765" i="2"/>
  <c r="BD2766" i="2"/>
  <c r="BD2767" i="2"/>
  <c r="BD2768" i="2"/>
  <c r="BD2769" i="2"/>
  <c r="BD2770" i="2"/>
  <c r="BD2771" i="2"/>
  <c r="BD2772" i="2"/>
  <c r="BD2773" i="2"/>
  <c r="BD2774" i="2"/>
  <c r="BD2775" i="2"/>
  <c r="BD2776" i="2"/>
  <c r="BD2777" i="2"/>
  <c r="BD2778" i="2"/>
  <c r="BD2779" i="2"/>
  <c r="BD2780" i="2"/>
  <c r="BD2781" i="2"/>
  <c r="BD2782" i="2"/>
  <c r="BD2783" i="2"/>
  <c r="BD2784" i="2"/>
  <c r="BD2785" i="2"/>
  <c r="BD2786" i="2"/>
  <c r="BD2787" i="2"/>
  <c r="BD2788" i="2"/>
  <c r="BD2789" i="2"/>
  <c r="BD2790" i="2"/>
  <c r="BD2791" i="2"/>
  <c r="BD2792" i="2"/>
  <c r="BD2793" i="2"/>
  <c r="BD2794" i="2"/>
  <c r="BD2795" i="2"/>
  <c r="BD2796" i="2"/>
  <c r="BD2797" i="2"/>
  <c r="BD2798" i="2"/>
  <c r="BD2799" i="2"/>
  <c r="BD2800" i="2"/>
  <c r="BD2801" i="2"/>
  <c r="BD2802" i="2"/>
  <c r="BD2803" i="2"/>
  <c r="BD2804" i="2"/>
  <c r="BD2805" i="2"/>
  <c r="BD2806" i="2"/>
  <c r="BD2807" i="2"/>
  <c r="BD2808" i="2"/>
  <c r="BD2809" i="2"/>
  <c r="BD2810" i="2"/>
  <c r="BD2811" i="2"/>
  <c r="BD2812" i="2"/>
  <c r="BD2813" i="2"/>
  <c r="BD2814" i="2"/>
  <c r="BD2815" i="2"/>
  <c r="BD2816" i="2"/>
  <c r="BD2817" i="2"/>
  <c r="BD2818" i="2"/>
  <c r="BD2819" i="2"/>
  <c r="BD2820" i="2"/>
  <c r="BD2821" i="2"/>
  <c r="BD2822" i="2"/>
  <c r="BD2823" i="2"/>
  <c r="BD2824" i="2"/>
  <c r="BD2825" i="2"/>
  <c r="BD2826" i="2"/>
  <c r="BD2827" i="2"/>
  <c r="BD2828" i="2"/>
  <c r="BD2829" i="2"/>
  <c r="BD2830" i="2"/>
  <c r="BD2831" i="2"/>
  <c r="BD2832" i="2"/>
  <c r="BD2833" i="2"/>
  <c r="BD2834" i="2"/>
  <c r="BD2835" i="2"/>
  <c r="BD2836" i="2"/>
  <c r="BD2837" i="2"/>
  <c r="BD2838" i="2"/>
  <c r="BD2839" i="2"/>
  <c r="BD2840" i="2"/>
  <c r="BD2841" i="2"/>
  <c r="BD2842" i="2"/>
  <c r="BD2843" i="2"/>
  <c r="BD2844" i="2"/>
  <c r="BD2845" i="2"/>
  <c r="BD2846" i="2"/>
  <c r="BD2847" i="2"/>
  <c r="BD2848" i="2"/>
  <c r="BD2849" i="2"/>
  <c r="BD2850" i="2"/>
  <c r="BD2851" i="2"/>
  <c r="BD2852" i="2"/>
  <c r="BD2853" i="2"/>
  <c r="BD2854" i="2"/>
  <c r="BD2855" i="2"/>
  <c r="BD2856" i="2"/>
  <c r="BD2857" i="2"/>
  <c r="BD2858" i="2"/>
  <c r="BD2859" i="2"/>
  <c r="BD2860" i="2"/>
  <c r="BD2861" i="2"/>
  <c r="BD2862" i="2"/>
  <c r="BD2863" i="2"/>
  <c r="BD2864" i="2"/>
  <c r="BD2865" i="2"/>
  <c r="BD2866" i="2"/>
  <c r="BD2867" i="2"/>
  <c r="BD2868" i="2"/>
  <c r="BD2869" i="2"/>
  <c r="BD2870" i="2"/>
  <c r="BD2871" i="2"/>
  <c r="BD2872" i="2"/>
  <c r="BD2873" i="2"/>
  <c r="BD2874" i="2"/>
  <c r="BD2875" i="2"/>
  <c r="BD2876" i="2"/>
  <c r="BD2877" i="2"/>
  <c r="BD2878" i="2"/>
  <c r="BD2879" i="2"/>
  <c r="BD2880" i="2"/>
  <c r="BD2881" i="2"/>
  <c r="BD2882" i="2"/>
  <c r="BD2883" i="2"/>
  <c r="BD2884" i="2"/>
  <c r="BD2885" i="2"/>
  <c r="BD2886" i="2"/>
  <c r="BD2887" i="2"/>
  <c r="BD2888" i="2"/>
  <c r="BD2889" i="2"/>
  <c r="BD2890" i="2"/>
  <c r="BD2891" i="2"/>
  <c r="BD2892" i="2"/>
  <c r="BD2893" i="2"/>
  <c r="BD2894" i="2"/>
  <c r="BD2895" i="2"/>
  <c r="BD2896" i="2"/>
  <c r="BD2897" i="2"/>
  <c r="BD2898" i="2"/>
  <c r="BD2899" i="2"/>
  <c r="BD2900" i="2"/>
  <c r="BD2901" i="2"/>
  <c r="BD2902" i="2"/>
  <c r="BD2903" i="2"/>
  <c r="BD2904" i="2"/>
  <c r="BD2905" i="2"/>
  <c r="BD2906" i="2"/>
  <c r="BD2907" i="2"/>
  <c r="BD2908" i="2"/>
  <c r="BD2909" i="2"/>
  <c r="BD2910" i="2"/>
  <c r="BD2911" i="2"/>
  <c r="BD2912" i="2"/>
  <c r="BD2913" i="2"/>
  <c r="BD2914" i="2"/>
  <c r="BD2915" i="2"/>
  <c r="BD2916" i="2"/>
  <c r="BD2917" i="2"/>
  <c r="BD2918" i="2"/>
  <c r="BD2919" i="2"/>
  <c r="BD2920" i="2"/>
  <c r="BD2921" i="2"/>
  <c r="BD2922" i="2"/>
  <c r="BD2923" i="2"/>
  <c r="BD2924" i="2"/>
  <c r="BD2925" i="2"/>
  <c r="BD2926" i="2"/>
  <c r="BD2927" i="2"/>
  <c r="BD2928" i="2"/>
  <c r="BD2929" i="2"/>
  <c r="BD2930" i="2"/>
  <c r="BD2931" i="2"/>
  <c r="BD2932" i="2"/>
  <c r="BD2933" i="2"/>
  <c r="BD2934" i="2"/>
  <c r="BD2935" i="2"/>
  <c r="BD2936" i="2"/>
  <c r="BD2937" i="2"/>
  <c r="BD2938" i="2"/>
  <c r="BD2939" i="2"/>
  <c r="BD2940" i="2"/>
  <c r="BD2941" i="2"/>
  <c r="BD2942" i="2"/>
  <c r="BD2943" i="2"/>
  <c r="BD2944" i="2"/>
  <c r="BD2945" i="2"/>
  <c r="BD2946" i="2"/>
  <c r="BD2947" i="2"/>
  <c r="BD2948" i="2"/>
  <c r="BD2949" i="2"/>
  <c r="BD2950" i="2"/>
  <c r="BD2951" i="2"/>
  <c r="BD2952" i="2"/>
  <c r="BD2953" i="2"/>
  <c r="BD2954" i="2"/>
  <c r="BD2955" i="2"/>
  <c r="BD2956" i="2"/>
  <c r="BD2957" i="2"/>
  <c r="BD2958" i="2"/>
  <c r="BD2959" i="2"/>
  <c r="BD2960" i="2"/>
  <c r="BD2961" i="2"/>
  <c r="BD2962" i="2"/>
  <c r="BD2963" i="2"/>
  <c r="BD2964" i="2"/>
  <c r="BD2965" i="2"/>
  <c r="BD2966" i="2"/>
  <c r="BD2967" i="2"/>
  <c r="BD2968" i="2"/>
  <c r="BD2969" i="2"/>
  <c r="BD2970" i="2"/>
  <c r="BD2971" i="2"/>
  <c r="BD2972" i="2"/>
  <c r="BD2973" i="2"/>
  <c r="BD2974" i="2"/>
  <c r="BD2975" i="2"/>
  <c r="BD2976" i="2"/>
  <c r="BD2977" i="2"/>
  <c r="BD2978" i="2"/>
  <c r="BD2979" i="2"/>
  <c r="BD2980" i="2"/>
  <c r="BD2981" i="2"/>
  <c r="BD2982" i="2"/>
  <c r="BD2983" i="2"/>
  <c r="BD2984" i="2"/>
  <c r="BD2985" i="2"/>
  <c r="BD2986" i="2"/>
  <c r="BD2987" i="2"/>
  <c r="BD2988" i="2"/>
  <c r="BD2989" i="2"/>
  <c r="BD2990" i="2"/>
  <c r="BD2991" i="2"/>
  <c r="BD2992" i="2"/>
  <c r="BD2993" i="2"/>
  <c r="BD2994" i="2"/>
  <c r="BD2995" i="2"/>
  <c r="BD2996" i="2"/>
  <c r="BD2997" i="2"/>
  <c r="BD2998" i="2"/>
  <c r="BD2999" i="2"/>
  <c r="BD3000" i="2"/>
  <c r="BD3001" i="2"/>
  <c r="BD3002" i="2"/>
  <c r="BD3003" i="2"/>
  <c r="BD3004" i="2"/>
  <c r="BD3005" i="2"/>
  <c r="BD3006" i="2"/>
  <c r="BD3007" i="2"/>
  <c r="BD3008" i="2"/>
  <c r="BD3009" i="2"/>
  <c r="BD3010" i="2"/>
  <c r="BD3011" i="2"/>
  <c r="BD3012" i="2"/>
  <c r="BD3013" i="2"/>
  <c r="BD3014" i="2"/>
  <c r="BD3015" i="2"/>
  <c r="BD3016" i="2"/>
  <c r="BD3017" i="2"/>
  <c r="BD3018" i="2"/>
  <c r="BD3019" i="2"/>
  <c r="BD3020" i="2"/>
  <c r="BD3021" i="2"/>
  <c r="BD3022" i="2"/>
  <c r="BD3023" i="2"/>
  <c r="BD3024" i="2"/>
  <c r="BD3025" i="2"/>
  <c r="BD3026" i="2"/>
  <c r="BD3027" i="2"/>
  <c r="BD3028" i="2"/>
  <c r="BD3029" i="2"/>
  <c r="BD3030" i="2"/>
  <c r="BD3031" i="2"/>
  <c r="BD3032" i="2"/>
  <c r="BD3033" i="2"/>
  <c r="BD3034" i="2"/>
  <c r="BD3035" i="2"/>
  <c r="BD3036" i="2"/>
  <c r="BD3037" i="2"/>
  <c r="BD3038" i="2"/>
  <c r="BD3039" i="2"/>
  <c r="BD3040" i="2"/>
  <c r="BD3041" i="2"/>
  <c r="BD3042" i="2"/>
  <c r="BD3043" i="2"/>
  <c r="BD3044" i="2"/>
  <c r="BD3045" i="2"/>
  <c r="BD3046" i="2"/>
  <c r="BD3047" i="2"/>
  <c r="BD3048" i="2"/>
  <c r="BD3049" i="2"/>
  <c r="BD3050" i="2"/>
  <c r="BD3051" i="2"/>
  <c r="BD3052" i="2"/>
  <c r="BD3053" i="2"/>
  <c r="BD3054" i="2"/>
  <c r="BD3055" i="2"/>
  <c r="BD3056" i="2"/>
  <c r="BD3057" i="2"/>
  <c r="BD3058" i="2"/>
  <c r="BD3059" i="2"/>
  <c r="BD3060" i="2"/>
  <c r="BD3061" i="2"/>
  <c r="BD3062" i="2"/>
  <c r="BD3063" i="2"/>
  <c r="BD3064" i="2"/>
  <c r="BD3065" i="2"/>
  <c r="BD3066" i="2"/>
  <c r="BD3067" i="2"/>
  <c r="BD3068" i="2"/>
  <c r="BD3069" i="2"/>
  <c r="BD3070" i="2"/>
  <c r="BD3071" i="2"/>
  <c r="BD3072" i="2"/>
  <c r="BD3073" i="2"/>
  <c r="BD3074" i="2"/>
  <c r="BD3075" i="2"/>
  <c r="BD3076" i="2"/>
  <c r="BD3077" i="2"/>
  <c r="BD3078" i="2"/>
  <c r="BD3079" i="2"/>
  <c r="BD3080" i="2"/>
  <c r="BD3081" i="2"/>
  <c r="BD3082" i="2"/>
  <c r="BD3083" i="2"/>
  <c r="BD3084" i="2"/>
  <c r="BD3085" i="2"/>
  <c r="BD3086" i="2"/>
  <c r="BD3087" i="2"/>
  <c r="BD3088" i="2"/>
  <c r="BD3089" i="2"/>
  <c r="BD3090" i="2"/>
  <c r="BD3091" i="2"/>
  <c r="BD3092" i="2"/>
  <c r="BD3093" i="2"/>
  <c r="BD3094" i="2"/>
  <c r="BD3095" i="2"/>
  <c r="BD3096" i="2"/>
  <c r="BD3097" i="2"/>
  <c r="BD3098" i="2"/>
  <c r="BD3099" i="2"/>
  <c r="BD3100" i="2"/>
  <c r="BD3101" i="2"/>
  <c r="BD3102" i="2"/>
  <c r="BD3103" i="2"/>
  <c r="BD3104" i="2"/>
  <c r="BD3105" i="2"/>
  <c r="BD3106" i="2"/>
  <c r="BD3107" i="2"/>
  <c r="BD3108" i="2"/>
  <c r="BD3109" i="2"/>
  <c r="BD3110" i="2"/>
  <c r="BD3111" i="2"/>
  <c r="BD3112" i="2"/>
  <c r="BD3113" i="2"/>
  <c r="BD3114" i="2"/>
  <c r="BD3115" i="2"/>
  <c r="BD3116" i="2"/>
  <c r="BD3117" i="2"/>
  <c r="BD3118" i="2"/>
  <c r="BD3119" i="2"/>
  <c r="BD3120" i="2"/>
  <c r="BD3121" i="2"/>
  <c r="BD3122" i="2"/>
  <c r="BD3123" i="2"/>
  <c r="BD3124" i="2"/>
  <c r="BD3125" i="2"/>
  <c r="BD3126" i="2"/>
  <c r="BD3127" i="2"/>
  <c r="BD3128" i="2"/>
  <c r="BD3129" i="2"/>
  <c r="BD3130" i="2"/>
  <c r="BD3131" i="2"/>
  <c r="BD3132" i="2"/>
  <c r="BD3133" i="2"/>
  <c r="BD3134" i="2"/>
  <c r="BD3135" i="2"/>
  <c r="BD3136" i="2"/>
  <c r="BD3137" i="2"/>
  <c r="BD3138" i="2"/>
  <c r="BD3139" i="2"/>
  <c r="BD3140" i="2"/>
  <c r="BD3141" i="2"/>
  <c r="BD3142" i="2"/>
  <c r="BD3143" i="2"/>
  <c r="BD3144" i="2"/>
  <c r="BD3145" i="2"/>
  <c r="BD3146" i="2"/>
  <c r="BD3147" i="2"/>
  <c r="BD3148" i="2"/>
  <c r="BD3149" i="2"/>
  <c r="BD3150" i="2"/>
  <c r="BD3151" i="2"/>
  <c r="BD3152" i="2"/>
  <c r="BD3153" i="2"/>
  <c r="BD3154" i="2"/>
  <c r="BD3155" i="2"/>
  <c r="BD3156" i="2"/>
  <c r="BD3157" i="2"/>
  <c r="BD3158" i="2"/>
  <c r="BD3159" i="2"/>
  <c r="BD3160" i="2"/>
  <c r="BD3161" i="2"/>
  <c r="BD3162" i="2"/>
  <c r="BD3163" i="2"/>
  <c r="BD3164" i="2"/>
  <c r="BD3165" i="2"/>
  <c r="BD3166" i="2"/>
  <c r="BD3167" i="2"/>
  <c r="BD3168" i="2"/>
  <c r="BD3169" i="2"/>
  <c r="BD3170" i="2"/>
  <c r="BD3171" i="2"/>
  <c r="BD3172" i="2"/>
  <c r="BD3173" i="2"/>
  <c r="BD3174" i="2"/>
  <c r="BD3175" i="2"/>
  <c r="BD3176" i="2"/>
  <c r="BD3177" i="2"/>
  <c r="BD3178" i="2"/>
  <c r="BD3179" i="2"/>
  <c r="BD3180" i="2"/>
  <c r="BD3181" i="2"/>
  <c r="BD3182" i="2"/>
  <c r="BD3183" i="2"/>
  <c r="BD3184" i="2"/>
  <c r="BD3185" i="2"/>
  <c r="BD3186" i="2"/>
  <c r="BD3187" i="2"/>
  <c r="BD3188" i="2"/>
  <c r="BD3189" i="2"/>
  <c r="BD3190" i="2"/>
  <c r="BD3191" i="2"/>
  <c r="BD3192" i="2"/>
  <c r="BD3193" i="2"/>
  <c r="BD3194" i="2"/>
  <c r="BD3195" i="2"/>
  <c r="BD3196" i="2"/>
  <c r="BD3197" i="2"/>
  <c r="BD3198" i="2"/>
  <c r="BD3199" i="2"/>
  <c r="BD3200" i="2"/>
  <c r="BD3201" i="2"/>
  <c r="BD3202" i="2"/>
  <c r="BD3203" i="2"/>
  <c r="BD3204" i="2"/>
  <c r="BD3205" i="2"/>
  <c r="BD3206" i="2"/>
  <c r="BD3207" i="2"/>
  <c r="BD3208" i="2"/>
  <c r="BD3209" i="2"/>
  <c r="BD3210" i="2"/>
  <c r="BD3211" i="2"/>
  <c r="BD3212" i="2"/>
  <c r="BD3213" i="2"/>
  <c r="BD3214" i="2"/>
  <c r="BD3215" i="2"/>
  <c r="BD3216" i="2"/>
  <c r="BD3217" i="2"/>
  <c r="BD3218" i="2"/>
  <c r="BD3219" i="2"/>
  <c r="BD3220" i="2"/>
  <c r="BD3221" i="2"/>
  <c r="BD3222" i="2"/>
  <c r="BD3223" i="2"/>
  <c r="BD3224" i="2"/>
  <c r="BD3225" i="2"/>
  <c r="BD3226" i="2"/>
  <c r="BD3227" i="2"/>
  <c r="BD3228" i="2"/>
  <c r="BD3229" i="2"/>
  <c r="BD3230" i="2"/>
  <c r="BD3231" i="2"/>
  <c r="BD3232" i="2"/>
  <c r="BD3233" i="2"/>
  <c r="BD3234" i="2"/>
  <c r="BD3235" i="2"/>
  <c r="BD3236" i="2"/>
  <c r="BD3237" i="2"/>
  <c r="BD3238" i="2"/>
  <c r="BD3239" i="2"/>
  <c r="BD3240" i="2"/>
  <c r="BD3241" i="2"/>
  <c r="BD3242" i="2"/>
  <c r="BD3243" i="2"/>
  <c r="BD3244" i="2"/>
  <c r="BD3245" i="2"/>
  <c r="BD3246" i="2"/>
  <c r="BD3247" i="2"/>
  <c r="BD3248" i="2"/>
  <c r="BD3249" i="2"/>
  <c r="BD3250" i="2"/>
  <c r="BD3251" i="2"/>
  <c r="BD3252" i="2"/>
  <c r="BD3253" i="2"/>
  <c r="BD3254" i="2"/>
  <c r="BD3255" i="2"/>
  <c r="BD3256" i="2"/>
  <c r="BD3257" i="2"/>
  <c r="BD3258" i="2"/>
  <c r="BD3259" i="2"/>
  <c r="BD3260" i="2"/>
  <c r="BD3261" i="2"/>
  <c r="BD3262" i="2"/>
  <c r="BD3263" i="2"/>
  <c r="BD3264" i="2"/>
  <c r="BD3265" i="2"/>
  <c r="BD3266" i="2"/>
  <c r="BD3267" i="2"/>
  <c r="BD3268" i="2"/>
  <c r="BD3269" i="2"/>
  <c r="BD3270" i="2"/>
  <c r="BD3271" i="2"/>
  <c r="BD3272" i="2"/>
  <c r="BD3273" i="2"/>
  <c r="BD3274" i="2"/>
  <c r="BD3275" i="2"/>
  <c r="BD3276" i="2"/>
  <c r="BD3277" i="2"/>
  <c r="BD3278" i="2"/>
  <c r="BD3279" i="2"/>
  <c r="BD3280" i="2"/>
  <c r="BD3281" i="2"/>
  <c r="BD3282" i="2"/>
  <c r="BD3283" i="2"/>
  <c r="BD3284" i="2"/>
  <c r="BD3285" i="2"/>
  <c r="BD3286" i="2"/>
  <c r="BD3287" i="2"/>
  <c r="BD3288" i="2"/>
  <c r="BD3289" i="2"/>
  <c r="BD3290" i="2"/>
  <c r="BD3291" i="2"/>
  <c r="BD3292" i="2"/>
  <c r="BD3293" i="2"/>
  <c r="BD3294" i="2"/>
  <c r="BD3295" i="2"/>
  <c r="BD3296" i="2"/>
  <c r="BD3297" i="2"/>
  <c r="BD3298" i="2"/>
  <c r="BD3299" i="2"/>
  <c r="BD3300" i="2"/>
  <c r="BD3301" i="2"/>
  <c r="BD3302" i="2"/>
  <c r="BD3303" i="2"/>
  <c r="BD3304" i="2"/>
  <c r="BD3305" i="2"/>
  <c r="BD3306" i="2"/>
  <c r="BD3307" i="2"/>
  <c r="BD3308" i="2"/>
  <c r="BD3309" i="2"/>
  <c r="BD3310" i="2"/>
  <c r="BD3311" i="2"/>
  <c r="BD3312" i="2"/>
  <c r="BD3313" i="2"/>
  <c r="BD3314" i="2"/>
  <c r="BD3315" i="2"/>
  <c r="BD3316" i="2"/>
  <c r="BD3317" i="2"/>
  <c r="BD3318" i="2"/>
  <c r="BD3319" i="2"/>
  <c r="BD3320" i="2"/>
  <c r="BD3321" i="2"/>
  <c r="BD3322" i="2"/>
  <c r="BD3323" i="2"/>
  <c r="BD3324" i="2"/>
  <c r="BD3325" i="2"/>
  <c r="BD3326" i="2"/>
  <c r="BD3327" i="2"/>
  <c r="BD3328" i="2"/>
  <c r="BD3329" i="2"/>
  <c r="BD3330" i="2"/>
  <c r="BD3331" i="2"/>
  <c r="BD3332" i="2"/>
  <c r="BD3333" i="2"/>
  <c r="BD3334" i="2"/>
  <c r="BD3335" i="2"/>
  <c r="BD3336" i="2"/>
  <c r="BD3337" i="2"/>
  <c r="BD3338" i="2"/>
  <c r="BD3339" i="2"/>
  <c r="BD3340" i="2"/>
  <c r="BD3341" i="2"/>
  <c r="BD3342" i="2"/>
  <c r="BD3343" i="2"/>
  <c r="BD3344" i="2"/>
  <c r="BD3345" i="2"/>
  <c r="BD3346" i="2"/>
  <c r="BD3347" i="2"/>
  <c r="BD3348" i="2"/>
  <c r="BD3349" i="2"/>
  <c r="BD3350" i="2"/>
  <c r="BD3351" i="2"/>
  <c r="BD3352" i="2"/>
  <c r="BD3353" i="2"/>
  <c r="BD3354" i="2"/>
  <c r="BD3355" i="2"/>
  <c r="BD3356" i="2"/>
  <c r="BD3357" i="2"/>
  <c r="BD3358" i="2"/>
  <c r="BD3359" i="2"/>
  <c r="BD3360" i="2"/>
  <c r="BD3361" i="2"/>
  <c r="BD3362" i="2"/>
  <c r="BD3363" i="2"/>
  <c r="BD3364" i="2"/>
  <c r="BD3365" i="2"/>
  <c r="BD3366" i="2"/>
  <c r="BD3367" i="2"/>
  <c r="BD3368" i="2"/>
  <c r="BD3369" i="2"/>
  <c r="BD3370" i="2"/>
  <c r="BD3371" i="2"/>
  <c r="BD3372" i="2"/>
  <c r="BD3373" i="2"/>
  <c r="BD3374" i="2"/>
  <c r="BD3375" i="2"/>
  <c r="BD3376" i="2"/>
  <c r="BD3377" i="2"/>
  <c r="BD3378" i="2"/>
  <c r="BD3379" i="2"/>
  <c r="BD3380" i="2"/>
  <c r="BD3381" i="2"/>
  <c r="BD3382" i="2"/>
  <c r="BD3383" i="2"/>
  <c r="BD3384" i="2"/>
  <c r="BD3385" i="2"/>
  <c r="BD3386" i="2"/>
  <c r="BD3387" i="2"/>
  <c r="BD3388" i="2"/>
  <c r="BD3389" i="2"/>
  <c r="BD3390" i="2"/>
  <c r="BD3391" i="2"/>
  <c r="BD3392" i="2"/>
  <c r="BD3393" i="2"/>
  <c r="BD3394" i="2"/>
  <c r="BD3395" i="2"/>
  <c r="BD3396" i="2"/>
  <c r="BD3397" i="2"/>
  <c r="BD3398" i="2"/>
  <c r="BD3399" i="2"/>
  <c r="BD3400" i="2"/>
  <c r="BD3401" i="2"/>
  <c r="BD3402" i="2"/>
  <c r="BD3403" i="2"/>
  <c r="BD3404" i="2"/>
  <c r="BD3405" i="2"/>
  <c r="BD3406" i="2"/>
  <c r="BD3407" i="2"/>
  <c r="BD3408" i="2"/>
  <c r="BD3409" i="2"/>
  <c r="BD3410" i="2"/>
  <c r="BD3411" i="2"/>
  <c r="BD3412" i="2"/>
  <c r="BD3413" i="2"/>
  <c r="BD3414" i="2"/>
  <c r="BD3415" i="2"/>
  <c r="BD3416" i="2"/>
  <c r="BD3417" i="2"/>
  <c r="BD3418" i="2"/>
  <c r="BD3419" i="2"/>
  <c r="BD3420" i="2"/>
  <c r="BD3421" i="2"/>
  <c r="BD3422" i="2"/>
  <c r="BD3423" i="2"/>
  <c r="BD3424" i="2"/>
  <c r="BD3425" i="2"/>
  <c r="BD3426" i="2"/>
  <c r="BD3427" i="2"/>
  <c r="BD3428" i="2"/>
  <c r="BD3429" i="2"/>
  <c r="BD3430" i="2"/>
  <c r="BD3431" i="2"/>
  <c r="BD3432" i="2"/>
  <c r="BD3433" i="2"/>
  <c r="BD3434" i="2"/>
  <c r="BD3435" i="2"/>
  <c r="BD3436" i="2"/>
  <c r="BD3437" i="2"/>
  <c r="BD3438" i="2"/>
  <c r="BD3439" i="2"/>
  <c r="BD3440" i="2"/>
  <c r="BD3441" i="2"/>
  <c r="BD3442" i="2"/>
  <c r="BD3443" i="2"/>
  <c r="BD3444" i="2"/>
  <c r="BD3445" i="2"/>
  <c r="BD3446" i="2"/>
  <c r="BD3447" i="2"/>
  <c r="BD3448" i="2"/>
  <c r="BD3449" i="2"/>
  <c r="BD3450" i="2"/>
  <c r="BD3451" i="2"/>
  <c r="BD3452" i="2"/>
  <c r="BD3453" i="2"/>
  <c r="BD3454" i="2"/>
  <c r="BD3455" i="2"/>
  <c r="BD3456" i="2"/>
  <c r="BD3457" i="2"/>
  <c r="BD3458" i="2"/>
  <c r="BD3459" i="2"/>
  <c r="BD3460" i="2"/>
  <c r="BD3461" i="2"/>
  <c r="BD3462" i="2"/>
  <c r="BD3463" i="2"/>
  <c r="BD3464" i="2"/>
  <c r="BD3465" i="2"/>
  <c r="BD3466" i="2"/>
  <c r="BD3467" i="2"/>
  <c r="BD3468" i="2"/>
  <c r="BD3469" i="2"/>
  <c r="BD3470" i="2"/>
  <c r="BD3471" i="2"/>
  <c r="BD3472" i="2"/>
  <c r="BD3473" i="2"/>
  <c r="BD3474" i="2"/>
  <c r="BD3475" i="2"/>
  <c r="BD3476" i="2"/>
  <c r="BD3477" i="2"/>
  <c r="BD3478" i="2"/>
  <c r="BD3479" i="2"/>
  <c r="BD3480" i="2"/>
  <c r="BD3481" i="2"/>
  <c r="BD3482" i="2"/>
  <c r="BD3483" i="2"/>
  <c r="BD3484" i="2"/>
  <c r="BD3485" i="2"/>
  <c r="BD3486" i="2"/>
  <c r="BD3487" i="2"/>
  <c r="BD3488" i="2"/>
  <c r="BD3489" i="2"/>
  <c r="BD3490" i="2"/>
  <c r="BD3491" i="2"/>
  <c r="BD3492" i="2"/>
  <c r="BD3493" i="2"/>
  <c r="BD3494" i="2"/>
  <c r="BD3495" i="2"/>
  <c r="BD3496" i="2"/>
  <c r="BD3497" i="2"/>
  <c r="BD3498" i="2"/>
  <c r="BD3499" i="2"/>
  <c r="BD3500" i="2"/>
  <c r="BD3501" i="2"/>
  <c r="BD3502" i="2"/>
  <c r="BD3503" i="2"/>
  <c r="BD3504" i="2"/>
  <c r="BD3505" i="2"/>
  <c r="BD3506" i="2"/>
  <c r="BD3507" i="2"/>
  <c r="BD3508" i="2"/>
  <c r="BD3509" i="2"/>
  <c r="BD3510" i="2"/>
  <c r="BD3511" i="2"/>
  <c r="BD3512" i="2"/>
  <c r="BD3513" i="2"/>
  <c r="BD3514" i="2"/>
  <c r="BD3515" i="2"/>
  <c r="BD3516" i="2"/>
  <c r="BD3517" i="2"/>
  <c r="BD3518" i="2"/>
  <c r="BD3519" i="2"/>
  <c r="BD3520" i="2"/>
  <c r="BD3521" i="2"/>
  <c r="BD3522" i="2"/>
  <c r="BD3523" i="2"/>
  <c r="BD3524" i="2"/>
  <c r="BD3525" i="2"/>
  <c r="BD3526" i="2"/>
  <c r="BD3527" i="2"/>
  <c r="BD3528" i="2"/>
  <c r="BD3529" i="2"/>
  <c r="BD3530" i="2"/>
  <c r="BD3531" i="2"/>
  <c r="BD3532" i="2"/>
  <c r="BD3533" i="2"/>
  <c r="BD3534" i="2"/>
  <c r="BD3535" i="2"/>
  <c r="BD3536" i="2"/>
  <c r="BD3537" i="2"/>
  <c r="BD3538" i="2"/>
  <c r="BD3539" i="2"/>
  <c r="BD3540" i="2"/>
  <c r="BD3541" i="2"/>
  <c r="BD3542" i="2"/>
  <c r="BD3543" i="2"/>
  <c r="BD3544" i="2"/>
  <c r="BD3545" i="2"/>
  <c r="BD3546" i="2"/>
  <c r="BD3547" i="2"/>
  <c r="BD3548" i="2"/>
  <c r="BD3549" i="2"/>
  <c r="BD3550" i="2"/>
  <c r="BD3551" i="2"/>
  <c r="BD3552" i="2"/>
  <c r="BD3553" i="2"/>
  <c r="BD3554" i="2"/>
  <c r="BD3555" i="2"/>
  <c r="BD3556" i="2"/>
  <c r="BD3557" i="2"/>
  <c r="BD3558" i="2"/>
  <c r="BD3559" i="2"/>
  <c r="BD3560" i="2"/>
  <c r="BD3561" i="2"/>
  <c r="BD3562" i="2"/>
  <c r="BD3563" i="2"/>
  <c r="BD3564" i="2"/>
  <c r="BD3565" i="2"/>
  <c r="BD3566" i="2"/>
  <c r="BD3567" i="2"/>
  <c r="BD3568" i="2"/>
  <c r="BD3569" i="2"/>
  <c r="BD3570" i="2"/>
  <c r="BD3571" i="2"/>
  <c r="BD3572" i="2"/>
  <c r="BD3573" i="2"/>
  <c r="BD3574" i="2"/>
  <c r="BD3575" i="2"/>
  <c r="BD3576" i="2"/>
  <c r="BD3577" i="2"/>
  <c r="BD3578" i="2"/>
  <c r="BD3579" i="2"/>
  <c r="BD3580" i="2"/>
  <c r="BD3581" i="2"/>
  <c r="BD3582" i="2"/>
  <c r="BD3583" i="2"/>
  <c r="BD3584" i="2"/>
  <c r="BD3585" i="2"/>
  <c r="BD3586" i="2"/>
  <c r="BD3587" i="2"/>
  <c r="BD3588" i="2"/>
  <c r="BD3589" i="2"/>
  <c r="BD3590" i="2"/>
  <c r="BD3591" i="2"/>
  <c r="BD3592" i="2"/>
  <c r="BD3593" i="2"/>
  <c r="BD3594" i="2"/>
  <c r="BD3595" i="2"/>
  <c r="BD3596" i="2"/>
  <c r="BD3597" i="2"/>
  <c r="BD3598" i="2"/>
  <c r="BD3599" i="2"/>
  <c r="BD3600" i="2"/>
  <c r="BD3601" i="2"/>
  <c r="BD3602" i="2"/>
  <c r="BD3603" i="2"/>
  <c r="BD3604" i="2"/>
  <c r="BD3605" i="2"/>
  <c r="BD3606" i="2"/>
  <c r="BD3607" i="2"/>
  <c r="BD3608" i="2"/>
  <c r="BD3609" i="2"/>
  <c r="BD3610" i="2"/>
  <c r="BD3611" i="2"/>
  <c r="BD3612" i="2"/>
  <c r="BD3613" i="2"/>
  <c r="BD3614" i="2"/>
  <c r="BD3615" i="2"/>
  <c r="BD3616" i="2"/>
  <c r="BD3617" i="2"/>
  <c r="BD3618" i="2"/>
  <c r="BD3619" i="2"/>
  <c r="BD3620" i="2"/>
  <c r="BD3621" i="2"/>
  <c r="BD3622" i="2"/>
  <c r="BD3623" i="2"/>
  <c r="BD3624" i="2"/>
  <c r="BD3625" i="2"/>
  <c r="BD3626" i="2"/>
  <c r="BD3627" i="2"/>
  <c r="BD3628" i="2"/>
  <c r="BD3629" i="2"/>
  <c r="BD3630" i="2"/>
  <c r="BD3631" i="2"/>
  <c r="BD3632" i="2"/>
  <c r="BD3633" i="2"/>
  <c r="BD3634" i="2"/>
  <c r="BD3635" i="2"/>
  <c r="BD3636" i="2"/>
  <c r="BD3637" i="2"/>
  <c r="BD3638" i="2"/>
  <c r="BD3639" i="2"/>
  <c r="BD3640" i="2"/>
  <c r="BD3641" i="2"/>
  <c r="BD3642" i="2"/>
  <c r="BD3643" i="2"/>
  <c r="BD3644" i="2"/>
  <c r="BD3645" i="2"/>
  <c r="BD3646" i="2"/>
  <c r="BD3647" i="2"/>
  <c r="BD3648" i="2"/>
  <c r="BD3649" i="2"/>
  <c r="BD3650" i="2"/>
  <c r="BD3651" i="2"/>
  <c r="BD3652" i="2"/>
  <c r="BD3653" i="2"/>
  <c r="BD3654" i="2"/>
  <c r="BD3655" i="2"/>
  <c r="BD3656" i="2"/>
  <c r="BD3657" i="2"/>
  <c r="BD3658" i="2"/>
  <c r="BD3659" i="2"/>
  <c r="BD3660" i="2"/>
  <c r="BD3661" i="2"/>
  <c r="BD3662" i="2"/>
  <c r="BD3663" i="2"/>
  <c r="BD3664" i="2"/>
  <c r="BD3665" i="2"/>
  <c r="BD3666" i="2"/>
  <c r="BD3667" i="2"/>
  <c r="BD3668" i="2"/>
  <c r="BD3669" i="2"/>
  <c r="BD3670" i="2"/>
  <c r="BD3671" i="2"/>
  <c r="BD3672" i="2"/>
  <c r="BD3673" i="2"/>
  <c r="BD3674" i="2"/>
  <c r="BD3675" i="2"/>
  <c r="BD3676" i="2"/>
  <c r="BD3677" i="2"/>
  <c r="BD3678" i="2"/>
  <c r="BD3679" i="2"/>
  <c r="BD3680" i="2"/>
  <c r="BD3681" i="2"/>
  <c r="BD3682" i="2"/>
  <c r="BD3683" i="2"/>
  <c r="BD3684" i="2"/>
  <c r="BD3685" i="2"/>
  <c r="BD3686" i="2"/>
  <c r="BD3687" i="2"/>
  <c r="BD3688" i="2"/>
  <c r="BD3689" i="2"/>
  <c r="BD3690" i="2"/>
  <c r="BD3691" i="2"/>
  <c r="BD3692" i="2"/>
  <c r="BD3693" i="2"/>
  <c r="BD3694" i="2"/>
  <c r="BD3695" i="2"/>
  <c r="BD3696" i="2"/>
  <c r="BD3697" i="2"/>
  <c r="BD3698" i="2"/>
  <c r="BD3699" i="2"/>
  <c r="BD3700" i="2"/>
  <c r="BD3701" i="2"/>
  <c r="BD3702" i="2"/>
  <c r="BD3703" i="2"/>
  <c r="BD3704" i="2"/>
  <c r="BD3705" i="2"/>
  <c r="BD3706" i="2"/>
  <c r="BD3707" i="2"/>
  <c r="BD3708" i="2"/>
  <c r="BD3709" i="2"/>
  <c r="BD3710" i="2"/>
  <c r="BD3711" i="2"/>
  <c r="BD3712" i="2"/>
  <c r="BD3713" i="2"/>
  <c r="BD3714" i="2"/>
  <c r="BD3715" i="2"/>
  <c r="BD3716" i="2"/>
  <c r="BD3717" i="2"/>
  <c r="BD3718" i="2"/>
  <c r="BD3719" i="2"/>
  <c r="BD3720" i="2"/>
  <c r="BD3721" i="2"/>
  <c r="BD3722" i="2"/>
  <c r="BD3723" i="2"/>
  <c r="BD3724" i="2"/>
  <c r="BD3725" i="2"/>
  <c r="BD3726" i="2"/>
  <c r="BD3727" i="2"/>
  <c r="BD3728" i="2"/>
  <c r="BD3729" i="2"/>
  <c r="BD3730" i="2"/>
  <c r="BD3731" i="2"/>
  <c r="BD3732" i="2"/>
  <c r="BD3733" i="2"/>
  <c r="BD3734" i="2"/>
  <c r="BD3735" i="2"/>
  <c r="BD3736" i="2"/>
  <c r="BD3737" i="2"/>
  <c r="BD3738" i="2"/>
  <c r="BD3739" i="2"/>
  <c r="BD3740" i="2"/>
  <c r="BD3741" i="2"/>
  <c r="BD3742" i="2"/>
  <c r="BD3743" i="2"/>
  <c r="BD3744" i="2"/>
  <c r="BD3745" i="2"/>
  <c r="BD3746" i="2"/>
  <c r="BD3747" i="2"/>
  <c r="BD3748" i="2"/>
  <c r="BD3749" i="2"/>
  <c r="BD3750" i="2"/>
  <c r="BD3751" i="2"/>
  <c r="BD3752" i="2"/>
  <c r="BD3753" i="2"/>
  <c r="BD3754" i="2"/>
  <c r="BD3755" i="2"/>
  <c r="BD3756" i="2"/>
  <c r="BD3757" i="2"/>
  <c r="BD3758" i="2"/>
  <c r="BD3759" i="2"/>
  <c r="BD3760" i="2"/>
  <c r="BD3761" i="2"/>
  <c r="BD3762" i="2"/>
  <c r="BD3763" i="2"/>
  <c r="BD3764" i="2"/>
  <c r="BD3765" i="2"/>
  <c r="BD3766" i="2"/>
  <c r="BD3767" i="2"/>
  <c r="BD3768" i="2"/>
  <c r="BD3769" i="2"/>
  <c r="BD3770" i="2"/>
  <c r="BD3771" i="2"/>
  <c r="BD3772" i="2"/>
  <c r="BD3773" i="2"/>
  <c r="BD3774" i="2"/>
  <c r="BD3775" i="2"/>
  <c r="BD3776" i="2"/>
  <c r="BD3777" i="2"/>
  <c r="BD3778" i="2"/>
  <c r="BD3779" i="2"/>
  <c r="BD3780" i="2"/>
  <c r="BD3781" i="2"/>
  <c r="BD3782" i="2"/>
  <c r="BD3783" i="2"/>
  <c r="BD3784" i="2"/>
  <c r="BD3785" i="2"/>
  <c r="BD3786" i="2"/>
  <c r="BD3787" i="2"/>
  <c r="BD3788" i="2"/>
  <c r="BD3789" i="2"/>
  <c r="BD3790" i="2"/>
  <c r="BD3791" i="2"/>
  <c r="BD3792" i="2"/>
  <c r="BD3793" i="2"/>
  <c r="BD3794" i="2"/>
  <c r="BD3795" i="2"/>
  <c r="BD3796" i="2"/>
  <c r="BD3797" i="2"/>
  <c r="BD3798" i="2"/>
  <c r="BD3799" i="2"/>
  <c r="BD3800" i="2"/>
  <c r="BD3801" i="2"/>
  <c r="BD3802" i="2"/>
  <c r="BD3803" i="2"/>
  <c r="BD3804" i="2"/>
  <c r="BD3805" i="2"/>
  <c r="BD3806" i="2"/>
  <c r="BD3807" i="2"/>
  <c r="BD3808" i="2"/>
  <c r="BD3809" i="2"/>
  <c r="BD3810" i="2"/>
  <c r="BD3811" i="2"/>
  <c r="BD3812" i="2"/>
  <c r="BD3813" i="2"/>
  <c r="BD3814" i="2"/>
  <c r="BD3815" i="2"/>
  <c r="BD3816" i="2"/>
  <c r="BD3817" i="2"/>
  <c r="BD3818" i="2"/>
  <c r="BD3819" i="2"/>
  <c r="BD3820" i="2"/>
  <c r="BD3821" i="2"/>
  <c r="BD3822" i="2"/>
  <c r="BD3823" i="2"/>
  <c r="BD3824" i="2"/>
  <c r="BD3825" i="2"/>
  <c r="BD3826" i="2"/>
  <c r="BD3827" i="2"/>
  <c r="BD3828" i="2"/>
  <c r="BD3829" i="2"/>
  <c r="BD3830" i="2"/>
  <c r="BD3831" i="2"/>
  <c r="BD3832" i="2"/>
  <c r="BD3833" i="2"/>
  <c r="BD3834" i="2"/>
  <c r="BD3835" i="2"/>
  <c r="BD3836" i="2"/>
  <c r="BD3837" i="2"/>
  <c r="BD3838" i="2"/>
  <c r="BD3839" i="2"/>
  <c r="BD3840" i="2"/>
  <c r="BD3841" i="2"/>
  <c r="BD3842" i="2"/>
  <c r="BD3843" i="2"/>
  <c r="BD3844" i="2"/>
  <c r="BD3845" i="2"/>
  <c r="BD3846" i="2"/>
  <c r="BD3847" i="2"/>
  <c r="BD3848" i="2"/>
  <c r="BD3849" i="2"/>
  <c r="BD3850" i="2"/>
  <c r="BD3851" i="2"/>
  <c r="BD3852" i="2"/>
  <c r="BD3853" i="2"/>
  <c r="BD3854" i="2"/>
  <c r="BD3855" i="2"/>
  <c r="BD3856" i="2"/>
  <c r="BD3857" i="2"/>
  <c r="BD3858" i="2"/>
  <c r="BD3859" i="2"/>
  <c r="BD3860" i="2"/>
  <c r="BD3861" i="2"/>
  <c r="BD3862" i="2"/>
  <c r="BD3863" i="2"/>
  <c r="BD3864" i="2"/>
  <c r="BD3865" i="2"/>
  <c r="BD3866" i="2"/>
  <c r="BD3867" i="2"/>
  <c r="BD3868" i="2"/>
  <c r="BD3869" i="2"/>
  <c r="BD3870" i="2"/>
  <c r="BD3871" i="2"/>
  <c r="BD3872" i="2"/>
  <c r="BD3873" i="2"/>
  <c r="BD3874" i="2"/>
  <c r="BD3875" i="2"/>
  <c r="BD3876" i="2"/>
  <c r="BD3877" i="2"/>
  <c r="BD3878" i="2"/>
  <c r="BD3879" i="2"/>
  <c r="BD3880" i="2"/>
  <c r="BD3881" i="2"/>
  <c r="BD3882" i="2"/>
  <c r="BD3883" i="2"/>
  <c r="BD3884" i="2"/>
  <c r="BD3885" i="2"/>
  <c r="BD3886" i="2"/>
  <c r="BD3887" i="2"/>
  <c r="BD3888" i="2"/>
  <c r="BD3889" i="2"/>
  <c r="BD3890" i="2"/>
  <c r="BD3891" i="2"/>
  <c r="BD3892" i="2"/>
  <c r="BD3893" i="2"/>
  <c r="BD3894" i="2"/>
  <c r="BD3895" i="2"/>
  <c r="BD3896" i="2"/>
  <c r="BD3897" i="2"/>
  <c r="BD3898" i="2"/>
  <c r="BD3899" i="2"/>
  <c r="BD3900" i="2"/>
  <c r="BD3901" i="2"/>
  <c r="BD3902" i="2"/>
  <c r="BD3903" i="2"/>
  <c r="BD3904" i="2"/>
  <c r="BD3905" i="2"/>
  <c r="BD3906" i="2"/>
  <c r="BD3907" i="2"/>
  <c r="BD3908" i="2"/>
  <c r="BD3909" i="2"/>
  <c r="BD3910" i="2"/>
  <c r="BD3911" i="2"/>
  <c r="BD3912" i="2"/>
  <c r="BD3913" i="2"/>
  <c r="BD3914" i="2"/>
  <c r="BD3915" i="2"/>
  <c r="BD3916" i="2"/>
  <c r="BD3917" i="2"/>
  <c r="BD3918" i="2"/>
  <c r="BD3919" i="2"/>
  <c r="BD3920" i="2"/>
  <c r="BD3921" i="2"/>
  <c r="BD3922" i="2"/>
  <c r="BD3923" i="2"/>
  <c r="BD3924" i="2"/>
  <c r="BD3925" i="2"/>
  <c r="BD3926" i="2"/>
  <c r="BD3927" i="2"/>
  <c r="BD3928" i="2"/>
  <c r="BD3929" i="2"/>
  <c r="BD3930" i="2"/>
  <c r="BD3931" i="2"/>
  <c r="BD3932" i="2"/>
  <c r="BD3933" i="2"/>
  <c r="BD3934" i="2"/>
  <c r="BD3935" i="2"/>
  <c r="BD3936" i="2"/>
  <c r="BD3937" i="2"/>
  <c r="BD3938" i="2"/>
  <c r="BD3939" i="2"/>
  <c r="BD3940" i="2"/>
  <c r="BD3941" i="2"/>
  <c r="BD3942" i="2"/>
  <c r="BD3943" i="2"/>
  <c r="BD3944" i="2"/>
  <c r="BD3945" i="2"/>
  <c r="BD3946" i="2"/>
  <c r="BD3947" i="2"/>
  <c r="BD3948" i="2"/>
  <c r="BD3949" i="2"/>
  <c r="BD3950" i="2"/>
  <c r="BD3951" i="2"/>
  <c r="BD3952" i="2"/>
  <c r="BD3953" i="2"/>
  <c r="BD3954" i="2"/>
  <c r="BD3955" i="2"/>
  <c r="BD3956" i="2"/>
  <c r="BD3957" i="2"/>
  <c r="BD3958" i="2"/>
  <c r="BD3959" i="2"/>
  <c r="BD3960" i="2"/>
  <c r="BD3961" i="2"/>
  <c r="BD3962" i="2"/>
  <c r="BD3963" i="2"/>
  <c r="BD3964" i="2"/>
  <c r="BD3965" i="2"/>
  <c r="BD3966" i="2"/>
  <c r="BD3967" i="2"/>
  <c r="BD3968" i="2"/>
  <c r="BD3969" i="2"/>
  <c r="BD3970" i="2"/>
  <c r="BD3971" i="2"/>
  <c r="BD3972" i="2"/>
  <c r="BD3973" i="2"/>
  <c r="BD3974" i="2"/>
  <c r="BD3975" i="2"/>
  <c r="BD3976" i="2"/>
  <c r="BD3977" i="2"/>
  <c r="BD3978" i="2"/>
  <c r="BD3979" i="2"/>
  <c r="BD3980" i="2"/>
  <c r="BD3981" i="2"/>
  <c r="BD3982" i="2"/>
  <c r="BD3983" i="2"/>
  <c r="BD3984" i="2"/>
  <c r="BD3985" i="2"/>
  <c r="BD3986" i="2"/>
  <c r="BD3987" i="2"/>
  <c r="BD3988" i="2"/>
  <c r="BD3989" i="2"/>
  <c r="BD3990" i="2"/>
  <c r="BD3991" i="2"/>
  <c r="BD3992" i="2"/>
  <c r="BD3993" i="2"/>
  <c r="BD3994" i="2"/>
  <c r="BD3995" i="2"/>
  <c r="BD3996" i="2"/>
  <c r="BD3997" i="2"/>
  <c r="BD3998" i="2"/>
  <c r="BD3999" i="2"/>
  <c r="BD4000" i="2"/>
  <c r="BD4001" i="2"/>
  <c r="BD4002" i="2"/>
  <c r="BD4003" i="2"/>
  <c r="BD4004" i="2"/>
  <c r="BD4005" i="2"/>
  <c r="BD4006" i="2"/>
  <c r="BD4007" i="2"/>
  <c r="BD4008" i="2"/>
  <c r="BD4009" i="2"/>
  <c r="BD4010" i="2"/>
  <c r="BD4011" i="2"/>
  <c r="BD4012" i="2"/>
  <c r="BD4013" i="2"/>
  <c r="BD4014" i="2"/>
  <c r="BD4015" i="2"/>
  <c r="BD4016" i="2"/>
  <c r="BD4017" i="2"/>
  <c r="BD4018" i="2"/>
  <c r="BD4019" i="2"/>
  <c r="BD4020" i="2"/>
  <c r="BD4021" i="2"/>
  <c r="BD4022" i="2"/>
  <c r="BD4023" i="2"/>
  <c r="BD4024" i="2"/>
  <c r="BD4025" i="2"/>
  <c r="BD4026" i="2"/>
  <c r="BD4027" i="2"/>
  <c r="BD4028" i="2"/>
  <c r="BD4029" i="2"/>
  <c r="BD4030" i="2"/>
  <c r="BD4031" i="2"/>
  <c r="BD4032" i="2"/>
  <c r="BD4033" i="2"/>
  <c r="BD4034" i="2"/>
  <c r="BD4035" i="2"/>
  <c r="BD4036" i="2"/>
  <c r="BD4037" i="2"/>
  <c r="BD4038" i="2"/>
  <c r="BD4039" i="2"/>
  <c r="BD4040" i="2"/>
  <c r="BD4041" i="2"/>
  <c r="BD4042" i="2"/>
  <c r="BD4043" i="2"/>
  <c r="BD4044" i="2"/>
  <c r="BD4045" i="2"/>
  <c r="BD4046" i="2"/>
  <c r="BD4047" i="2"/>
  <c r="BD4048" i="2"/>
  <c r="BD4049" i="2"/>
  <c r="BD4050" i="2"/>
  <c r="BD4051" i="2"/>
  <c r="BD4052" i="2"/>
  <c r="BD4053" i="2"/>
  <c r="BD4054" i="2"/>
  <c r="BD4055" i="2"/>
  <c r="BD4056" i="2"/>
  <c r="BD4057" i="2"/>
  <c r="BD4058" i="2"/>
  <c r="BD4059" i="2"/>
  <c r="BD4060" i="2"/>
  <c r="BD4061" i="2"/>
  <c r="BD4062" i="2"/>
  <c r="BD4063" i="2"/>
  <c r="BD4064" i="2"/>
  <c r="BD4065" i="2"/>
  <c r="BD4066" i="2"/>
  <c r="BD4067" i="2"/>
  <c r="BD4068" i="2"/>
  <c r="BD4069" i="2"/>
  <c r="BD4070" i="2"/>
  <c r="BD4071" i="2"/>
  <c r="BD4072" i="2"/>
  <c r="BD4073" i="2"/>
  <c r="BD4074" i="2"/>
  <c r="BD4075" i="2"/>
  <c r="BD4076" i="2"/>
  <c r="BD4077" i="2"/>
  <c r="BD4078" i="2"/>
  <c r="BD4079" i="2"/>
  <c r="BD4080" i="2"/>
  <c r="BD4081" i="2"/>
  <c r="BD4082" i="2"/>
  <c r="BD4083" i="2"/>
  <c r="BD4084" i="2"/>
  <c r="BD4085" i="2"/>
  <c r="BD4086" i="2"/>
  <c r="BD4087" i="2"/>
  <c r="BD4088" i="2"/>
  <c r="BD4089" i="2"/>
  <c r="BD4090" i="2"/>
  <c r="BD4091" i="2"/>
  <c r="BD4092" i="2"/>
  <c r="BD4093" i="2"/>
  <c r="BD4094" i="2"/>
  <c r="BD4095" i="2"/>
  <c r="BD4096" i="2"/>
  <c r="BD4097" i="2"/>
  <c r="BD4098" i="2"/>
  <c r="BD4099" i="2"/>
  <c r="BD4100" i="2"/>
  <c r="BD4101" i="2"/>
  <c r="BD4102" i="2"/>
  <c r="BD4103" i="2"/>
  <c r="BD4104" i="2"/>
  <c r="BD4105" i="2"/>
  <c r="BD4106" i="2"/>
  <c r="BD4107" i="2"/>
  <c r="BD4108" i="2"/>
  <c r="BD4109" i="2"/>
  <c r="BD4110" i="2"/>
  <c r="BD4111" i="2"/>
  <c r="BD4112" i="2"/>
  <c r="BD4113" i="2"/>
  <c r="BD4114" i="2"/>
  <c r="BD4115" i="2"/>
  <c r="BD4116" i="2"/>
  <c r="BD4117" i="2"/>
  <c r="BD4118" i="2"/>
  <c r="BD4119" i="2"/>
  <c r="BD4120" i="2"/>
  <c r="BD4121" i="2"/>
  <c r="BD4122" i="2"/>
  <c r="BD4123" i="2"/>
  <c r="BD4124" i="2"/>
  <c r="BD4125" i="2"/>
  <c r="BD4126" i="2"/>
  <c r="BD4127" i="2"/>
  <c r="BD4128" i="2"/>
  <c r="BD4129" i="2"/>
  <c r="BD4130" i="2"/>
  <c r="BD4131" i="2"/>
  <c r="BD4132" i="2"/>
  <c r="BD4133" i="2"/>
  <c r="BD4134" i="2"/>
  <c r="BD4135" i="2"/>
  <c r="BD4136" i="2"/>
  <c r="BD4137" i="2"/>
  <c r="BD4138" i="2"/>
  <c r="BD4139" i="2"/>
  <c r="BD4140" i="2"/>
  <c r="BD4141" i="2"/>
  <c r="BD4142" i="2"/>
  <c r="BD4143" i="2"/>
  <c r="BD4144" i="2"/>
  <c r="BD4145" i="2"/>
  <c r="BD4146" i="2"/>
  <c r="BD4147" i="2"/>
  <c r="BD4148" i="2"/>
  <c r="BD4149" i="2"/>
  <c r="BD4150" i="2"/>
  <c r="BD4151" i="2"/>
  <c r="BD4152" i="2"/>
  <c r="BD4153" i="2"/>
  <c r="BD4154" i="2"/>
  <c r="BD4155" i="2"/>
  <c r="BD4156" i="2"/>
  <c r="BD4157" i="2"/>
  <c r="BD4158" i="2"/>
  <c r="BD4159" i="2"/>
  <c r="BD4160" i="2"/>
  <c r="BD4161" i="2"/>
  <c r="BD4162" i="2"/>
  <c r="BD4163" i="2"/>
  <c r="BD4164" i="2"/>
  <c r="BD4165" i="2"/>
  <c r="BD4166" i="2"/>
  <c r="BD4167" i="2"/>
  <c r="BD4168" i="2"/>
  <c r="BD4169" i="2"/>
  <c r="BD4170" i="2"/>
  <c r="BD4171" i="2"/>
  <c r="BD4172" i="2"/>
  <c r="BD4173" i="2"/>
  <c r="BD4174" i="2"/>
  <c r="BD4175" i="2"/>
  <c r="BD4176" i="2"/>
  <c r="BD4177" i="2"/>
  <c r="BD4178" i="2"/>
  <c r="BD4179" i="2"/>
  <c r="BD4180" i="2"/>
  <c r="BD4181" i="2"/>
  <c r="BD4182" i="2"/>
  <c r="BD4183" i="2"/>
  <c r="BD4184" i="2"/>
  <c r="BD4185" i="2"/>
  <c r="BD4186" i="2"/>
  <c r="BD4187" i="2"/>
  <c r="BD4188" i="2"/>
  <c r="BD4189" i="2"/>
  <c r="BD4190" i="2"/>
  <c r="BD4191" i="2"/>
  <c r="BD4192" i="2"/>
  <c r="BD4193" i="2"/>
  <c r="BD4194" i="2"/>
  <c r="BD4195" i="2"/>
  <c r="BD4196" i="2"/>
  <c r="BD4197" i="2"/>
  <c r="BD4198" i="2"/>
  <c r="BD4199" i="2"/>
  <c r="BD4200" i="2"/>
  <c r="BD4201" i="2"/>
  <c r="BD4202" i="2"/>
  <c r="BD4203" i="2"/>
  <c r="BD4204" i="2"/>
  <c r="BD4205" i="2"/>
  <c r="BD4206" i="2"/>
  <c r="BD4207" i="2"/>
  <c r="BD4208" i="2"/>
  <c r="BD4209" i="2"/>
  <c r="BD4210" i="2"/>
  <c r="BD4211" i="2"/>
  <c r="BD4212" i="2"/>
  <c r="BD4213" i="2"/>
  <c r="BD4214" i="2"/>
  <c r="BD4215" i="2"/>
  <c r="BD4216" i="2"/>
  <c r="BD4217" i="2"/>
  <c r="BD4218" i="2"/>
  <c r="BD4219" i="2"/>
  <c r="BD4220" i="2"/>
  <c r="BD4221" i="2"/>
  <c r="BD4222" i="2"/>
  <c r="BD4223" i="2"/>
  <c r="BD4224" i="2"/>
  <c r="BD4225" i="2"/>
  <c r="BD4226" i="2"/>
  <c r="BD4227" i="2"/>
  <c r="BD4228" i="2"/>
  <c r="BD4229" i="2"/>
  <c r="BD4230" i="2"/>
  <c r="BD4231" i="2"/>
  <c r="BD4232" i="2"/>
  <c r="BD4233" i="2"/>
  <c r="BD4234" i="2"/>
  <c r="BD4235" i="2"/>
  <c r="BD4236" i="2"/>
  <c r="BD4237" i="2"/>
  <c r="BD4238" i="2"/>
  <c r="BD4239" i="2"/>
  <c r="BD4240" i="2"/>
  <c r="BD4241" i="2"/>
  <c r="BD4242" i="2"/>
  <c r="BD4243" i="2"/>
  <c r="BD4244" i="2"/>
  <c r="BD4245" i="2"/>
  <c r="BD4246" i="2"/>
  <c r="BD4247" i="2"/>
  <c r="BD4248" i="2"/>
  <c r="BD4249" i="2"/>
  <c r="BD4250" i="2"/>
  <c r="BD4251" i="2"/>
  <c r="BD4252" i="2"/>
  <c r="BD4253" i="2"/>
  <c r="BD4254" i="2"/>
  <c r="BD4255" i="2"/>
  <c r="BD4256" i="2"/>
  <c r="BD4257" i="2"/>
  <c r="BD4258" i="2"/>
  <c r="BD4259" i="2"/>
  <c r="BD4260" i="2"/>
  <c r="BD4261" i="2"/>
  <c r="BD4262" i="2"/>
  <c r="BD4263" i="2"/>
  <c r="BD4264" i="2"/>
  <c r="BD4265" i="2"/>
  <c r="BD4266" i="2"/>
  <c r="BD4267" i="2"/>
  <c r="BD4268" i="2"/>
  <c r="BD4269" i="2"/>
  <c r="BD4270" i="2"/>
  <c r="BD4271" i="2"/>
  <c r="BD4272" i="2"/>
  <c r="BD4273" i="2"/>
  <c r="BD4274" i="2"/>
  <c r="BD4275" i="2"/>
  <c r="BD4276" i="2"/>
  <c r="BD4277" i="2"/>
  <c r="BD4278" i="2"/>
  <c r="BD4279" i="2"/>
  <c r="BD4280" i="2"/>
  <c r="BD4281" i="2"/>
  <c r="BD4282" i="2"/>
  <c r="BD4283" i="2"/>
  <c r="BD4284" i="2"/>
  <c r="BD4285" i="2"/>
  <c r="BD4286" i="2"/>
  <c r="BD4287" i="2"/>
  <c r="BD4288" i="2"/>
  <c r="BD4289" i="2"/>
  <c r="BD4290" i="2"/>
  <c r="BD4291" i="2"/>
  <c r="BD4292" i="2"/>
  <c r="BD4293" i="2"/>
  <c r="BD4294" i="2"/>
  <c r="BD4295" i="2"/>
  <c r="BD4296" i="2"/>
  <c r="BD4297" i="2"/>
  <c r="BD4298" i="2"/>
  <c r="BD4299" i="2"/>
  <c r="BD4300" i="2"/>
  <c r="BD4301" i="2"/>
  <c r="BD4302" i="2"/>
  <c r="BD4303" i="2"/>
  <c r="BD4304" i="2"/>
  <c r="BD4305" i="2"/>
  <c r="BD4306" i="2"/>
  <c r="BD4307" i="2"/>
  <c r="BD4308" i="2"/>
  <c r="BD4309" i="2"/>
  <c r="BD4310" i="2"/>
  <c r="BD4311" i="2"/>
  <c r="BD4312" i="2"/>
  <c r="BD4313" i="2"/>
  <c r="BD4314" i="2"/>
  <c r="BD4315" i="2"/>
  <c r="BD4316" i="2"/>
  <c r="BD4317" i="2"/>
  <c r="BD4318" i="2"/>
  <c r="BD4319" i="2"/>
  <c r="BD4320" i="2"/>
  <c r="BD4321" i="2"/>
  <c r="BD4322" i="2"/>
  <c r="BD4323" i="2"/>
  <c r="BD4324" i="2"/>
  <c r="BD4325" i="2"/>
  <c r="BD4326" i="2"/>
  <c r="BD4327" i="2"/>
  <c r="BD4328" i="2"/>
  <c r="BD4329" i="2"/>
  <c r="BD4330" i="2"/>
  <c r="BD4331" i="2"/>
  <c r="BD4332" i="2"/>
  <c r="BD4333" i="2"/>
  <c r="BD4334" i="2"/>
  <c r="BD4335" i="2"/>
  <c r="BD4336" i="2"/>
  <c r="BD4337" i="2"/>
  <c r="BD4338" i="2"/>
  <c r="BD4339" i="2"/>
  <c r="BD4340" i="2"/>
  <c r="BD4341" i="2"/>
  <c r="BD4342" i="2"/>
  <c r="BD4343" i="2"/>
  <c r="BD4344" i="2"/>
  <c r="BD4345" i="2"/>
  <c r="BD4346" i="2"/>
  <c r="BD4347" i="2"/>
  <c r="BD4348" i="2"/>
  <c r="BD4349" i="2"/>
  <c r="BD4350" i="2"/>
  <c r="BD4351" i="2"/>
  <c r="BD4352" i="2"/>
  <c r="BD4353" i="2"/>
  <c r="BD4354" i="2"/>
  <c r="BD4355" i="2"/>
  <c r="BD4356" i="2"/>
  <c r="BD4357" i="2"/>
  <c r="BD4358" i="2"/>
  <c r="BD4359" i="2"/>
  <c r="BD4360" i="2"/>
  <c r="BD4361" i="2"/>
  <c r="BD4362" i="2"/>
  <c r="BD4363" i="2"/>
  <c r="BD4364" i="2"/>
  <c r="BD4365" i="2"/>
  <c r="BD4366" i="2"/>
  <c r="BD4367" i="2"/>
  <c r="BD4368" i="2"/>
  <c r="BD4369" i="2"/>
  <c r="BD4370" i="2"/>
  <c r="BD4371" i="2"/>
  <c r="BD4372" i="2"/>
  <c r="BD4373" i="2"/>
  <c r="BD4374" i="2"/>
  <c r="BD4375" i="2"/>
  <c r="BD4376" i="2"/>
  <c r="BD4377" i="2"/>
  <c r="BD4378" i="2"/>
  <c r="BD4379" i="2"/>
  <c r="BD4380" i="2"/>
  <c r="BD4381" i="2"/>
  <c r="BD4382" i="2"/>
  <c r="BD4383" i="2"/>
  <c r="BD4384" i="2"/>
  <c r="BD4385" i="2"/>
  <c r="BD4386" i="2"/>
  <c r="BD4387" i="2"/>
  <c r="BD4388" i="2"/>
  <c r="BD4389" i="2"/>
  <c r="BD4390" i="2"/>
  <c r="BD4391" i="2"/>
  <c r="BD4392" i="2"/>
  <c r="BD4393" i="2"/>
  <c r="BD4394" i="2"/>
  <c r="BD4395" i="2"/>
  <c r="BD4396" i="2"/>
  <c r="BD4397" i="2"/>
  <c r="BD4398" i="2"/>
  <c r="BD4399" i="2"/>
  <c r="BD4400" i="2"/>
  <c r="BD4401" i="2"/>
  <c r="BD4402" i="2"/>
  <c r="BD4403" i="2"/>
  <c r="BD4404" i="2"/>
  <c r="BD4405" i="2"/>
  <c r="BD4406" i="2"/>
  <c r="BD4407" i="2"/>
  <c r="BD4408" i="2"/>
  <c r="BD4409" i="2"/>
  <c r="BD4410" i="2"/>
  <c r="BD4411" i="2"/>
  <c r="BD4412" i="2"/>
  <c r="BD4413" i="2"/>
  <c r="BD4414" i="2"/>
  <c r="BD4415" i="2"/>
  <c r="BD4416" i="2"/>
  <c r="BD4417" i="2"/>
  <c r="BD4418" i="2"/>
  <c r="BD4419" i="2"/>
  <c r="BD4420" i="2"/>
  <c r="BD4421" i="2"/>
  <c r="BD4422" i="2"/>
  <c r="BD4423" i="2"/>
  <c r="BD4424" i="2"/>
  <c r="BD4425" i="2"/>
  <c r="BD4426" i="2"/>
  <c r="BD4427" i="2"/>
  <c r="BD4428" i="2"/>
  <c r="BD4429" i="2"/>
  <c r="BD4430" i="2"/>
  <c r="BD4431" i="2"/>
  <c r="BD4432" i="2"/>
  <c r="BD4433" i="2"/>
  <c r="BD4434" i="2"/>
  <c r="BD4435" i="2"/>
  <c r="BD4436" i="2"/>
  <c r="BD4437" i="2"/>
  <c r="BD4438" i="2"/>
  <c r="BD4439" i="2"/>
  <c r="BD4440" i="2"/>
  <c r="BD4441" i="2"/>
  <c r="BD4442" i="2"/>
  <c r="BD4443" i="2"/>
  <c r="BD4444" i="2"/>
  <c r="BD4445" i="2"/>
  <c r="BD4446" i="2"/>
  <c r="BD4447" i="2"/>
  <c r="BD4448" i="2"/>
  <c r="BD4449" i="2"/>
  <c r="BD4450" i="2"/>
  <c r="BD4451" i="2"/>
  <c r="BD4452" i="2"/>
  <c r="BD4453" i="2"/>
  <c r="BD4454" i="2"/>
  <c r="BD4455" i="2"/>
  <c r="BD4456" i="2"/>
  <c r="BD4457" i="2"/>
  <c r="BD4458" i="2"/>
  <c r="BD4459" i="2"/>
  <c r="BD4460" i="2"/>
  <c r="BD4461" i="2"/>
  <c r="BD4462" i="2"/>
  <c r="BD4463" i="2"/>
  <c r="BD4464" i="2"/>
  <c r="BD4465" i="2"/>
  <c r="BD4466" i="2"/>
  <c r="BD4467" i="2"/>
  <c r="BD4468" i="2"/>
  <c r="BD4469" i="2"/>
  <c r="BD4470" i="2"/>
  <c r="BD4471" i="2"/>
  <c r="BD4472" i="2"/>
  <c r="BD4473" i="2"/>
  <c r="BD4474" i="2"/>
  <c r="BD4475" i="2"/>
  <c r="BD4476" i="2"/>
  <c r="BD4477" i="2"/>
  <c r="BD4478" i="2"/>
  <c r="BD4479" i="2"/>
  <c r="BD4480" i="2"/>
  <c r="BD4481" i="2"/>
  <c r="BD4482" i="2"/>
  <c r="BD4483" i="2"/>
  <c r="BD4484" i="2"/>
  <c r="BD4485" i="2"/>
  <c r="BD4486" i="2"/>
  <c r="BD4487" i="2"/>
  <c r="BD4488" i="2"/>
  <c r="BD4489" i="2"/>
  <c r="BD4490" i="2"/>
  <c r="BD4491" i="2"/>
  <c r="BD4492" i="2"/>
  <c r="BD4493" i="2"/>
  <c r="BD4494" i="2"/>
  <c r="BD4495" i="2"/>
  <c r="BD4496" i="2"/>
  <c r="BD4497" i="2"/>
  <c r="BD4498" i="2"/>
  <c r="BD4499" i="2"/>
  <c r="BD4500" i="2"/>
  <c r="BD4501" i="2"/>
  <c r="BD4502" i="2"/>
  <c r="BD4503" i="2"/>
  <c r="BD4504" i="2"/>
  <c r="BD4505" i="2"/>
  <c r="BD4506" i="2"/>
  <c r="BD4507" i="2"/>
  <c r="BD4508" i="2"/>
  <c r="BD4509" i="2"/>
  <c r="BD4510" i="2"/>
  <c r="BD4511" i="2"/>
  <c r="BD4512" i="2"/>
  <c r="BD4513" i="2"/>
  <c r="BD4514" i="2"/>
  <c r="BD4515" i="2"/>
  <c r="BD4516" i="2"/>
  <c r="BD4517" i="2"/>
  <c r="BD4518" i="2"/>
  <c r="BD4519" i="2"/>
  <c r="BD4520" i="2"/>
  <c r="BD4521" i="2"/>
  <c r="BD4522" i="2"/>
  <c r="BD4523" i="2"/>
  <c r="BD4524" i="2"/>
  <c r="BD4525" i="2"/>
  <c r="BD4526" i="2"/>
  <c r="BD4527" i="2"/>
  <c r="BD4528" i="2"/>
  <c r="BD4529" i="2"/>
  <c r="BD4530" i="2"/>
  <c r="BD4531" i="2"/>
  <c r="BD4532" i="2"/>
  <c r="BD4533" i="2"/>
  <c r="BD4534" i="2"/>
  <c r="BD4535" i="2"/>
  <c r="BD4536" i="2"/>
  <c r="BD4537" i="2"/>
  <c r="BD4538" i="2"/>
  <c r="BD4539" i="2"/>
  <c r="BD4540" i="2"/>
  <c r="BD4541" i="2"/>
  <c r="BD4542" i="2"/>
  <c r="BD4543" i="2"/>
  <c r="BD4544" i="2"/>
  <c r="BD4545" i="2"/>
  <c r="BD4546" i="2"/>
  <c r="BD4547" i="2"/>
  <c r="BD4548" i="2"/>
  <c r="BD4549" i="2"/>
  <c r="BD4550" i="2"/>
  <c r="BD4551" i="2"/>
  <c r="BD4552" i="2"/>
  <c r="BD4553" i="2"/>
  <c r="BD4554" i="2"/>
  <c r="BD4555" i="2"/>
  <c r="BD4556" i="2"/>
  <c r="BD4557" i="2"/>
  <c r="BD4558" i="2"/>
  <c r="BD4559" i="2"/>
  <c r="BD4560" i="2"/>
  <c r="BD4561" i="2"/>
  <c r="BD4562" i="2"/>
  <c r="BD4563" i="2"/>
  <c r="BD4564" i="2"/>
  <c r="BD4565" i="2"/>
  <c r="BD4566" i="2"/>
  <c r="BD4567" i="2"/>
  <c r="BD4568" i="2"/>
  <c r="BD4569" i="2"/>
  <c r="BD4570" i="2"/>
  <c r="BD4571" i="2"/>
  <c r="BD4572" i="2"/>
  <c r="BD4573" i="2"/>
  <c r="BD4574" i="2"/>
  <c r="BD4575" i="2"/>
  <c r="BD4576" i="2"/>
  <c r="BD4577" i="2"/>
  <c r="BD4578" i="2"/>
  <c r="BD4579" i="2"/>
  <c r="BD4580" i="2"/>
  <c r="BD4581" i="2"/>
  <c r="BD4582" i="2"/>
  <c r="BD4583" i="2"/>
  <c r="BD4584" i="2"/>
  <c r="BD4585" i="2"/>
  <c r="BD4586" i="2"/>
  <c r="BD4587" i="2"/>
  <c r="BD4588" i="2"/>
  <c r="BD4589" i="2"/>
  <c r="BD4590" i="2"/>
  <c r="BD4591" i="2"/>
  <c r="BD4592" i="2"/>
  <c r="BD4593" i="2"/>
  <c r="BD4594" i="2"/>
  <c r="BD4595" i="2"/>
  <c r="BD4596" i="2"/>
  <c r="BD4597" i="2"/>
  <c r="BD4598" i="2"/>
  <c r="BD4599" i="2"/>
  <c r="BD4600" i="2"/>
  <c r="BD4601" i="2"/>
  <c r="BD4602" i="2"/>
  <c r="BD4603" i="2"/>
  <c r="BD4604" i="2"/>
  <c r="BD4605" i="2"/>
  <c r="BD4606" i="2"/>
  <c r="BD4607" i="2"/>
  <c r="BD4608" i="2"/>
  <c r="BD4609" i="2"/>
  <c r="BD4610" i="2"/>
  <c r="BD4611" i="2"/>
  <c r="BD4612" i="2"/>
  <c r="BD4613" i="2"/>
  <c r="BD4614" i="2"/>
  <c r="BD4615" i="2"/>
  <c r="BD4616" i="2"/>
  <c r="BD4617" i="2"/>
  <c r="BD4618" i="2"/>
  <c r="BD4619" i="2"/>
  <c r="BD4620" i="2"/>
  <c r="BD4621" i="2"/>
  <c r="BD4622" i="2"/>
  <c r="BD4623" i="2"/>
  <c r="BD4624" i="2"/>
  <c r="BD4625" i="2"/>
  <c r="BD4626" i="2"/>
  <c r="BD4627" i="2"/>
  <c r="BD4628" i="2"/>
  <c r="BD4629" i="2"/>
  <c r="BD4630" i="2"/>
  <c r="BD4631" i="2"/>
  <c r="BD4632" i="2"/>
  <c r="BD4633" i="2"/>
  <c r="BD4634" i="2"/>
  <c r="BD4635" i="2"/>
  <c r="BD4636" i="2"/>
  <c r="BD4637" i="2"/>
  <c r="BD4638" i="2"/>
  <c r="BD4639" i="2"/>
  <c r="BD4640" i="2"/>
  <c r="BD4641" i="2"/>
  <c r="BD4642" i="2"/>
  <c r="BD4643" i="2"/>
  <c r="BD4644" i="2"/>
  <c r="BD4645" i="2"/>
  <c r="BD4646" i="2"/>
  <c r="BD4647" i="2"/>
  <c r="BD4648" i="2"/>
  <c r="BD4649" i="2"/>
  <c r="BD4650" i="2"/>
  <c r="BD4651" i="2"/>
  <c r="BD4652" i="2"/>
  <c r="BD4653" i="2"/>
  <c r="BD4654" i="2"/>
  <c r="BD4655" i="2"/>
  <c r="BD4656" i="2"/>
  <c r="BD4657" i="2"/>
  <c r="BD4658" i="2"/>
  <c r="BD4659" i="2"/>
  <c r="BD4660" i="2"/>
  <c r="BD4661" i="2"/>
  <c r="BD4662" i="2"/>
  <c r="BD4663" i="2"/>
  <c r="BD4664" i="2"/>
  <c r="BD4665" i="2"/>
  <c r="BD4666" i="2"/>
  <c r="BD4667" i="2"/>
  <c r="BD4668" i="2"/>
  <c r="BD4669" i="2"/>
  <c r="BD4670" i="2"/>
  <c r="BD4671" i="2"/>
  <c r="BD4672" i="2"/>
  <c r="BD4673" i="2"/>
  <c r="BD4674" i="2"/>
  <c r="BD4675" i="2"/>
  <c r="BD4676" i="2"/>
  <c r="BD4677" i="2"/>
  <c r="BD4678" i="2"/>
  <c r="BD4679" i="2"/>
  <c r="BD4680" i="2"/>
  <c r="BD4681" i="2"/>
  <c r="BD4682" i="2"/>
  <c r="BD4683" i="2"/>
  <c r="BD4684" i="2"/>
  <c r="BD4685" i="2"/>
  <c r="BD4686" i="2"/>
  <c r="BD4687" i="2"/>
  <c r="BD4688" i="2"/>
  <c r="BD4689" i="2"/>
  <c r="BD4690" i="2"/>
  <c r="BD4691" i="2"/>
  <c r="BD4692" i="2"/>
  <c r="BD4693" i="2"/>
  <c r="BD4694" i="2"/>
  <c r="BD4695" i="2"/>
  <c r="BD4696" i="2"/>
  <c r="BD4697" i="2"/>
  <c r="BD4698" i="2"/>
  <c r="BD4699" i="2"/>
  <c r="BD4700" i="2"/>
  <c r="BD4701" i="2"/>
  <c r="BD4702" i="2"/>
  <c r="BD4703" i="2"/>
  <c r="BD4704" i="2"/>
  <c r="BD4705" i="2"/>
  <c r="BD4706" i="2"/>
  <c r="BD4707" i="2"/>
  <c r="BD4708" i="2"/>
  <c r="BD4709" i="2"/>
  <c r="BD4710" i="2"/>
  <c r="BD4711" i="2"/>
  <c r="BD4712" i="2"/>
  <c r="BD4713" i="2"/>
  <c r="BD4714" i="2"/>
  <c r="BD4715" i="2"/>
  <c r="BD4716" i="2"/>
  <c r="BD4717" i="2"/>
  <c r="BD4718" i="2"/>
  <c r="BD4719" i="2"/>
  <c r="BD4720" i="2"/>
  <c r="BD4721" i="2"/>
  <c r="BD4722" i="2"/>
  <c r="BD4723" i="2"/>
  <c r="BD4724" i="2"/>
  <c r="BD4725" i="2"/>
  <c r="BD4726" i="2"/>
  <c r="BD4727" i="2"/>
  <c r="BD4728" i="2"/>
  <c r="BD4729" i="2"/>
  <c r="BD4730" i="2"/>
  <c r="BD4731" i="2"/>
  <c r="BD4732" i="2"/>
  <c r="BD4733" i="2"/>
  <c r="BD4734" i="2"/>
  <c r="BD4735" i="2"/>
  <c r="BD4736" i="2"/>
  <c r="BD4737" i="2"/>
  <c r="BD4738" i="2"/>
  <c r="BD4739" i="2"/>
  <c r="BD4740" i="2"/>
  <c r="BD4741" i="2"/>
  <c r="BD4742" i="2"/>
  <c r="BD4743" i="2"/>
  <c r="BD4744" i="2"/>
  <c r="BD4745" i="2"/>
  <c r="BD4746" i="2"/>
  <c r="BD4747" i="2"/>
  <c r="BD4748" i="2"/>
  <c r="BD4749" i="2"/>
  <c r="BD4750" i="2"/>
  <c r="BD4751" i="2"/>
  <c r="BD4752" i="2"/>
  <c r="BD4753" i="2"/>
  <c r="BD4754" i="2"/>
  <c r="BD4755" i="2"/>
  <c r="BD4756" i="2"/>
  <c r="BD4757" i="2"/>
  <c r="BD4758" i="2"/>
  <c r="BD4759" i="2"/>
  <c r="BD4760" i="2"/>
  <c r="BD4761" i="2"/>
  <c r="BD4762" i="2"/>
  <c r="BD4763" i="2"/>
  <c r="BD4764" i="2"/>
  <c r="BD4765" i="2"/>
  <c r="BD4766" i="2"/>
  <c r="BD4767" i="2"/>
  <c r="BD4768" i="2"/>
  <c r="BD4769" i="2"/>
  <c r="BD4770" i="2"/>
  <c r="BD4771" i="2"/>
  <c r="BD4772" i="2"/>
  <c r="BD4773" i="2"/>
  <c r="BD4774" i="2"/>
  <c r="BD4775" i="2"/>
  <c r="BD4776" i="2"/>
  <c r="BD4777" i="2"/>
  <c r="BD4778" i="2"/>
  <c r="BD4779" i="2"/>
  <c r="BD4780" i="2"/>
  <c r="BD4781" i="2"/>
  <c r="BD4782" i="2"/>
  <c r="BD4783" i="2"/>
  <c r="BD4784" i="2"/>
  <c r="BD4785" i="2"/>
  <c r="BD4786" i="2"/>
  <c r="BD4787" i="2"/>
  <c r="BD4788" i="2"/>
  <c r="BD4789" i="2"/>
  <c r="BD4790" i="2"/>
  <c r="BD4791" i="2"/>
  <c r="BD4792" i="2"/>
  <c r="BD4793" i="2"/>
  <c r="BD4794" i="2"/>
  <c r="BD4795" i="2"/>
  <c r="BD4796" i="2"/>
  <c r="BD4797" i="2"/>
  <c r="BD4798" i="2"/>
  <c r="BD4799" i="2"/>
  <c r="BD4800" i="2"/>
  <c r="BD4801" i="2"/>
  <c r="BD4802" i="2"/>
  <c r="BD4803" i="2"/>
  <c r="BD4804" i="2"/>
  <c r="BD4805" i="2"/>
  <c r="BD4806" i="2"/>
  <c r="BD4807" i="2"/>
  <c r="BD4808" i="2"/>
  <c r="BD4809" i="2"/>
  <c r="BD4810" i="2"/>
  <c r="BD4811" i="2"/>
  <c r="BD4812" i="2"/>
  <c r="BD4813" i="2"/>
  <c r="BD4814" i="2"/>
  <c r="BD4815" i="2"/>
  <c r="BD4816" i="2"/>
  <c r="BD4817" i="2"/>
  <c r="BD4818" i="2"/>
  <c r="BD4819" i="2"/>
  <c r="BD4820" i="2"/>
  <c r="BD4821" i="2"/>
  <c r="BD4822" i="2"/>
  <c r="BD4823" i="2"/>
  <c r="BD4824" i="2"/>
  <c r="BD4825" i="2"/>
  <c r="BD4826" i="2"/>
  <c r="BD4827" i="2"/>
  <c r="BD4828" i="2"/>
  <c r="BD4829" i="2"/>
  <c r="BD4830" i="2"/>
  <c r="BD4831" i="2"/>
  <c r="BD4832" i="2"/>
  <c r="BD4833" i="2"/>
  <c r="BD4834" i="2"/>
  <c r="BD4835" i="2"/>
  <c r="BD4836" i="2"/>
  <c r="BD4837" i="2"/>
  <c r="BD4838" i="2"/>
  <c r="BD4839" i="2"/>
  <c r="BD4840" i="2"/>
  <c r="BD4841" i="2"/>
  <c r="BD4842" i="2"/>
  <c r="BD4843" i="2"/>
  <c r="BD4844" i="2"/>
  <c r="BD4845" i="2"/>
  <c r="BD4846" i="2"/>
  <c r="BD4847" i="2"/>
  <c r="BD4848" i="2"/>
  <c r="BD4849" i="2"/>
  <c r="BD4850" i="2"/>
  <c r="BD4851" i="2"/>
  <c r="BD4852" i="2"/>
  <c r="BD4853" i="2"/>
  <c r="BD4854" i="2"/>
  <c r="BD4855" i="2"/>
  <c r="BD4856" i="2"/>
  <c r="BD4857" i="2"/>
  <c r="BD4858" i="2"/>
  <c r="BD4859" i="2"/>
  <c r="BD4860" i="2"/>
  <c r="BD4861" i="2"/>
  <c r="BD4862" i="2"/>
  <c r="BD4863" i="2"/>
  <c r="BD4864" i="2"/>
  <c r="BD4865" i="2"/>
  <c r="BD4866" i="2"/>
  <c r="BD4867" i="2"/>
  <c r="BD4868" i="2"/>
  <c r="BD4869" i="2"/>
  <c r="BD4870" i="2"/>
  <c r="BD4871" i="2"/>
  <c r="BD4872" i="2"/>
  <c r="BD4873" i="2"/>
  <c r="BD4874" i="2"/>
  <c r="BD4875" i="2"/>
  <c r="BD4876" i="2"/>
  <c r="BD4877" i="2"/>
  <c r="BD4878" i="2"/>
  <c r="BD4879" i="2"/>
  <c r="BD4880" i="2"/>
  <c r="BD4881" i="2"/>
  <c r="BD4882" i="2"/>
  <c r="BD4883" i="2"/>
  <c r="BD4884" i="2"/>
  <c r="BD4885" i="2"/>
  <c r="BD4886" i="2"/>
  <c r="BD4887" i="2"/>
  <c r="BD4888" i="2"/>
  <c r="BD4889" i="2"/>
  <c r="BD4890" i="2"/>
  <c r="BD4891" i="2"/>
  <c r="BD4892" i="2"/>
  <c r="BD4893" i="2"/>
  <c r="BD4894" i="2"/>
  <c r="BD4895" i="2"/>
  <c r="BD4896" i="2"/>
  <c r="BD4897" i="2"/>
  <c r="BD4898" i="2"/>
  <c r="BD4899" i="2"/>
  <c r="BD4900" i="2"/>
  <c r="BD4901" i="2"/>
  <c r="BD4902" i="2"/>
  <c r="BD4903" i="2"/>
  <c r="BD4904" i="2"/>
  <c r="BD4905" i="2"/>
  <c r="BD4906" i="2"/>
  <c r="BD4907" i="2"/>
  <c r="BD4908" i="2"/>
  <c r="BD4909" i="2"/>
  <c r="BD4910" i="2"/>
  <c r="BD4911" i="2"/>
  <c r="BD4912" i="2"/>
  <c r="BD4913" i="2"/>
  <c r="BD4914" i="2"/>
  <c r="BD4915" i="2"/>
  <c r="BD4916" i="2"/>
  <c r="BD4917" i="2"/>
  <c r="BD4918" i="2"/>
  <c r="BD4919" i="2"/>
  <c r="BD4920" i="2"/>
  <c r="BD4921" i="2"/>
  <c r="BD4922" i="2"/>
  <c r="BD4923" i="2"/>
  <c r="BD4924" i="2"/>
  <c r="BD4925" i="2"/>
  <c r="BD4926" i="2"/>
  <c r="BD4927" i="2"/>
  <c r="BD4928" i="2"/>
  <c r="BD4929" i="2"/>
  <c r="BD4930" i="2"/>
  <c r="BD4931" i="2"/>
  <c r="BD4932" i="2"/>
  <c r="BD4933" i="2"/>
  <c r="BD4934" i="2"/>
  <c r="BD4935" i="2"/>
  <c r="BD4936" i="2"/>
  <c r="BD4937" i="2"/>
  <c r="BD4938" i="2"/>
  <c r="BD4939" i="2"/>
  <c r="BD4940" i="2"/>
  <c r="BD4941" i="2"/>
  <c r="BD4942" i="2"/>
  <c r="BD4943" i="2"/>
  <c r="BD4944" i="2"/>
  <c r="BD4945" i="2"/>
  <c r="BD4946" i="2"/>
  <c r="BD4947" i="2"/>
  <c r="BD4948" i="2"/>
  <c r="BD4949" i="2"/>
  <c r="BD4950" i="2"/>
  <c r="BD4951" i="2"/>
  <c r="BD4952" i="2"/>
  <c r="BD4953" i="2"/>
  <c r="BD4954" i="2"/>
  <c r="BD4955" i="2"/>
  <c r="BD4956" i="2"/>
  <c r="BD4957" i="2"/>
  <c r="BD4958" i="2"/>
  <c r="BD4959" i="2"/>
  <c r="BD4960" i="2"/>
  <c r="BD4961" i="2"/>
  <c r="BD4962" i="2"/>
  <c r="BD4963" i="2"/>
  <c r="BD4964" i="2"/>
  <c r="BD4965" i="2"/>
  <c r="BD4966" i="2"/>
  <c r="BD4967" i="2"/>
  <c r="BD4968" i="2"/>
  <c r="BD4969" i="2"/>
  <c r="BD4970" i="2"/>
  <c r="BD4971" i="2"/>
  <c r="BD4972" i="2"/>
  <c r="BD4973" i="2"/>
  <c r="BD4974" i="2"/>
  <c r="BD4975" i="2"/>
  <c r="BD4976" i="2"/>
  <c r="BD4977" i="2"/>
  <c r="BD4978" i="2"/>
  <c r="BD4979" i="2"/>
  <c r="BD4980" i="2"/>
  <c r="BD4981" i="2"/>
  <c r="BD4982" i="2"/>
  <c r="BD4983" i="2"/>
  <c r="BD4984" i="2"/>
  <c r="BD4985" i="2"/>
  <c r="BD4986" i="2"/>
  <c r="BD4987" i="2"/>
  <c r="BD4988" i="2"/>
  <c r="BD4989" i="2"/>
  <c r="BD4990" i="2"/>
  <c r="BD4991" i="2"/>
  <c r="BD4992" i="2"/>
  <c r="BD4993" i="2"/>
  <c r="BD4994" i="2"/>
  <c r="BD4995" i="2"/>
  <c r="BD4996" i="2"/>
  <c r="BD4997" i="2"/>
  <c r="BD4998" i="2"/>
  <c r="BD4999" i="2"/>
  <c r="BD5000" i="2"/>
  <c r="BD5001" i="2"/>
  <c r="BD5002" i="2"/>
  <c r="BD5003" i="2"/>
  <c r="BD5004" i="2"/>
  <c r="BD5005" i="2"/>
  <c r="BD5006" i="2"/>
  <c r="BD5007" i="2"/>
  <c r="BD5008" i="2"/>
  <c r="BD5009" i="2"/>
  <c r="BD5010" i="2"/>
  <c r="BD5011" i="2"/>
  <c r="BD5012" i="2"/>
  <c r="BD5013" i="2"/>
  <c r="BD5014" i="2"/>
  <c r="BD5015" i="2"/>
  <c r="BD5016" i="2"/>
  <c r="BD5017" i="2"/>
  <c r="BD5018" i="2"/>
  <c r="BD5019" i="2"/>
  <c r="BD5020" i="2"/>
  <c r="BD5021" i="2"/>
  <c r="BD5022" i="2"/>
  <c r="BD5023" i="2"/>
  <c r="BD5024" i="2"/>
  <c r="BD5025" i="2"/>
  <c r="BD5026" i="2"/>
  <c r="BD5027" i="2"/>
  <c r="BD5028" i="2"/>
  <c r="BD5029" i="2"/>
  <c r="BD5030" i="2"/>
  <c r="BD5031" i="2"/>
  <c r="BD5032" i="2"/>
  <c r="BD5033" i="2"/>
  <c r="BD5034" i="2"/>
  <c r="BD5035" i="2"/>
  <c r="BD5036" i="2"/>
  <c r="BD5037" i="2"/>
  <c r="BD5038" i="2"/>
  <c r="BD5039" i="2"/>
  <c r="BD5040" i="2"/>
  <c r="BD5041" i="2"/>
  <c r="BD5042" i="2"/>
  <c r="BD5043" i="2"/>
  <c r="BD5044" i="2"/>
  <c r="BD5045" i="2"/>
  <c r="BD5046" i="2"/>
  <c r="BD5047" i="2"/>
  <c r="BD5048" i="2"/>
  <c r="BD5049" i="2"/>
  <c r="BD5050" i="2"/>
  <c r="BD5051" i="2"/>
  <c r="BD5052" i="2"/>
  <c r="BD5053" i="2"/>
  <c r="BD5054" i="2"/>
  <c r="BD5055" i="2"/>
  <c r="BD5056" i="2"/>
  <c r="BD5057" i="2"/>
  <c r="BD5058" i="2"/>
  <c r="BD5059" i="2"/>
  <c r="BD5060" i="2"/>
  <c r="BD5061" i="2"/>
  <c r="BD5062" i="2"/>
  <c r="BD5063" i="2"/>
  <c r="BD5064" i="2"/>
  <c r="BD5065" i="2"/>
  <c r="BD5066" i="2"/>
  <c r="BD5067" i="2"/>
  <c r="BD5068" i="2"/>
  <c r="BD5069" i="2"/>
  <c r="BD5070" i="2"/>
  <c r="BD5071" i="2"/>
  <c r="BD5072" i="2"/>
  <c r="BD5073" i="2"/>
  <c r="BD5074" i="2"/>
  <c r="BD5075" i="2"/>
  <c r="BD5076" i="2"/>
  <c r="BD5077" i="2"/>
  <c r="BD5078" i="2"/>
  <c r="BD5079" i="2"/>
  <c r="BD5080" i="2"/>
  <c r="BD5081" i="2"/>
  <c r="BD5082" i="2"/>
  <c r="BD5083" i="2"/>
  <c r="BD5084" i="2"/>
  <c r="BD5085" i="2"/>
  <c r="BD5086" i="2"/>
  <c r="BD5087" i="2"/>
  <c r="BD5088" i="2"/>
  <c r="BD5089" i="2"/>
  <c r="BD5090" i="2"/>
  <c r="BD5091" i="2"/>
  <c r="BD5092" i="2"/>
  <c r="BD5093" i="2"/>
  <c r="BD5094" i="2"/>
  <c r="BD5095" i="2"/>
  <c r="BD5096" i="2"/>
  <c r="BD5097" i="2"/>
  <c r="BD5098" i="2"/>
  <c r="BD5099" i="2"/>
  <c r="BD5100" i="2"/>
  <c r="BD5101" i="2"/>
  <c r="BD5102" i="2"/>
  <c r="BD5103" i="2"/>
  <c r="BD5104" i="2"/>
  <c r="BD5105" i="2"/>
  <c r="BD5106" i="2"/>
  <c r="BD5107" i="2"/>
  <c r="BD5108" i="2"/>
  <c r="BD5109" i="2"/>
  <c r="BD5110" i="2"/>
  <c r="BD5111" i="2"/>
  <c r="BD5112" i="2"/>
  <c r="BD5113" i="2"/>
  <c r="BD5114" i="2"/>
  <c r="BD5115" i="2"/>
  <c r="BD5116" i="2"/>
  <c r="BD5117" i="2"/>
  <c r="BD5118" i="2"/>
  <c r="BD5119" i="2"/>
  <c r="BD5120" i="2"/>
  <c r="BD5121" i="2"/>
  <c r="BD5122" i="2"/>
  <c r="BD5123" i="2"/>
  <c r="BD5124" i="2"/>
  <c r="BD5125" i="2"/>
  <c r="BD5126" i="2"/>
  <c r="BD5127" i="2"/>
  <c r="BD5128" i="2"/>
  <c r="BD5129" i="2"/>
  <c r="BD5130" i="2"/>
  <c r="BD5131" i="2"/>
  <c r="BD5132" i="2"/>
  <c r="BD5133" i="2"/>
  <c r="BD5134" i="2"/>
  <c r="BD5135" i="2"/>
  <c r="BD5136" i="2"/>
  <c r="BD5137" i="2"/>
  <c r="BD5138" i="2"/>
  <c r="BD5139" i="2"/>
  <c r="BD5140" i="2"/>
  <c r="BD5141" i="2"/>
  <c r="BD5142" i="2"/>
  <c r="BD5143" i="2"/>
  <c r="BD5144" i="2"/>
  <c r="BD5145" i="2"/>
  <c r="BD5146" i="2"/>
  <c r="BD5147" i="2"/>
  <c r="BD5148" i="2"/>
  <c r="BD5149" i="2"/>
  <c r="BD5150" i="2"/>
  <c r="BD5151" i="2"/>
  <c r="BD5152" i="2"/>
  <c r="BD5153" i="2"/>
  <c r="BD5154" i="2"/>
  <c r="BD5155" i="2"/>
  <c r="BD5156" i="2"/>
  <c r="BD5157" i="2"/>
  <c r="BD5158" i="2"/>
  <c r="BD5159" i="2"/>
  <c r="BD5160" i="2"/>
  <c r="BD5161" i="2"/>
  <c r="BD5162" i="2"/>
  <c r="BD5163" i="2"/>
  <c r="BD5164" i="2"/>
  <c r="BD5165" i="2"/>
  <c r="BD5166" i="2"/>
  <c r="BD5167" i="2"/>
  <c r="BD5168" i="2"/>
  <c r="BD5169" i="2"/>
  <c r="BD5170" i="2"/>
  <c r="BD5171" i="2"/>
  <c r="BD5172" i="2"/>
  <c r="BD5173" i="2"/>
  <c r="BD5174" i="2"/>
  <c r="BD5175" i="2"/>
  <c r="BD5176" i="2"/>
  <c r="BD5177" i="2"/>
  <c r="BD5178" i="2"/>
  <c r="BD5179" i="2"/>
  <c r="BD5180" i="2"/>
  <c r="BD5181" i="2"/>
  <c r="BD5182" i="2"/>
  <c r="BD5183" i="2"/>
  <c r="BD5184" i="2"/>
  <c r="BD5185" i="2"/>
  <c r="BD5186" i="2"/>
  <c r="BD5187" i="2"/>
  <c r="BD5188" i="2"/>
  <c r="BD5189" i="2"/>
  <c r="BD5190" i="2"/>
  <c r="BD5191" i="2"/>
  <c r="BD5192" i="2"/>
  <c r="BD5193" i="2"/>
  <c r="BD5194" i="2"/>
  <c r="BD5195" i="2"/>
  <c r="BD5196" i="2"/>
  <c r="BD5197" i="2"/>
  <c r="BD5198" i="2"/>
  <c r="BD5199" i="2"/>
  <c r="BD5200" i="2"/>
  <c r="BD5201" i="2"/>
  <c r="BD5202" i="2"/>
  <c r="BD5203" i="2"/>
  <c r="BD5204" i="2"/>
  <c r="BD5205" i="2"/>
  <c r="BD5206" i="2"/>
  <c r="BD5207" i="2"/>
  <c r="BD5208" i="2"/>
  <c r="BD5209" i="2"/>
  <c r="BD5210" i="2"/>
  <c r="BD5211" i="2"/>
  <c r="BD5212" i="2"/>
  <c r="BD5213" i="2"/>
  <c r="BD5214" i="2"/>
  <c r="BD5215" i="2"/>
  <c r="BD5216" i="2"/>
  <c r="BD5217" i="2"/>
  <c r="BD5218" i="2"/>
  <c r="BD5219" i="2"/>
  <c r="BD5220" i="2"/>
  <c r="BD5221" i="2"/>
  <c r="BD5222" i="2"/>
  <c r="BD5223" i="2"/>
  <c r="BD5224" i="2"/>
  <c r="BD5225" i="2"/>
  <c r="BD5226" i="2"/>
  <c r="BD5227" i="2"/>
  <c r="BD5228" i="2"/>
  <c r="BD5229" i="2"/>
  <c r="BD5230" i="2"/>
  <c r="BD5231" i="2"/>
  <c r="BD5232" i="2"/>
  <c r="BD5233" i="2"/>
  <c r="BD5234" i="2"/>
  <c r="BD5235" i="2"/>
  <c r="BD5236" i="2"/>
  <c r="BD5237" i="2"/>
  <c r="BD5238" i="2"/>
  <c r="BD5239" i="2"/>
  <c r="BD5240" i="2"/>
  <c r="BD5241" i="2"/>
  <c r="BD5242" i="2"/>
  <c r="BD5243" i="2"/>
  <c r="BD5244" i="2"/>
  <c r="BD5245" i="2"/>
  <c r="BD5246" i="2"/>
  <c r="BD5247" i="2"/>
  <c r="BD5248" i="2"/>
  <c r="BD5249" i="2"/>
  <c r="BD5250" i="2"/>
  <c r="BD5251" i="2"/>
  <c r="BD5252" i="2"/>
  <c r="BD5253" i="2"/>
  <c r="BD5254" i="2"/>
  <c r="BD5255" i="2"/>
  <c r="BD5256" i="2"/>
  <c r="BD2" i="2"/>
  <c r="BC5262" i="2" l="1"/>
  <c r="C72" i="9" s="1"/>
  <c r="BG5260" i="2"/>
  <c r="AP5259" i="2"/>
  <c r="D3879" i="2" l="1"/>
  <c r="D3868" i="2"/>
  <c r="D2153" i="2" l="1"/>
  <c r="BM5260" i="2" l="1"/>
  <c r="BM5259" i="2"/>
  <c r="BM5258" i="2"/>
  <c r="BM5270" i="2" s="1"/>
  <c r="C83" i="9" s="1"/>
  <c r="BM5271" i="2" l="1"/>
  <c r="C84" i="9" s="1"/>
  <c r="BM5272" i="2"/>
  <c r="C82" i="9" s="1"/>
  <c r="BB5258" i="2"/>
  <c r="BB5270" i="2" s="1"/>
  <c r="C67" i="9" s="1"/>
  <c r="BI5259" i="2" l="1"/>
  <c r="BI5258" i="2"/>
  <c r="BL5258" i="2" l="1"/>
  <c r="BL5270" i="2" s="1"/>
  <c r="C81" i="9" s="1"/>
  <c r="BK5258" i="2"/>
  <c r="BK5270" i="2" s="1"/>
  <c r="C80" i="9" s="1"/>
  <c r="BJ5259" i="2"/>
  <c r="BJ5258" i="2"/>
  <c r="BI5270" i="2"/>
  <c r="C78" i="9" s="1"/>
  <c r="BH5258" i="2"/>
  <c r="BH5270" i="2" s="1"/>
  <c r="C77" i="9" s="1"/>
  <c r="BG5259" i="2"/>
  <c r="BG5258" i="2"/>
  <c r="BF5259" i="2"/>
  <c r="BF5258" i="2"/>
  <c r="BE5258" i="2"/>
  <c r="BE5270" i="2" s="1"/>
  <c r="C74" i="9" s="1"/>
  <c r="BC5261" i="2"/>
  <c r="C71" i="9" s="1"/>
  <c r="BC5260" i="2"/>
  <c r="C70" i="9" s="1"/>
  <c r="BC5259" i="2"/>
  <c r="BC5258" i="2"/>
  <c r="BA5258" i="2"/>
  <c r="BA5270" i="2" s="1"/>
  <c r="C66" i="9" s="1"/>
  <c r="CF5258" i="2"/>
  <c r="CF5270" i="2" s="1"/>
  <c r="C65" i="9" s="1"/>
  <c r="CE5258" i="2"/>
  <c r="CE5270" i="2" s="1"/>
  <c r="C64" i="9" s="1"/>
  <c r="AY5258" i="2"/>
  <c r="AY5270" i="2" s="1"/>
  <c r="C63" i="9" s="1"/>
  <c r="AW5269" i="2"/>
  <c r="C62" i="9" s="1"/>
  <c r="AW5268" i="2"/>
  <c r="C61" i="9" s="1"/>
  <c r="AW5267" i="2"/>
  <c r="C60" i="9" s="1"/>
  <c r="AW5266" i="2"/>
  <c r="C59" i="9" s="1"/>
  <c r="AW5265" i="2"/>
  <c r="C58" i="9" s="1"/>
  <c r="AW5264" i="2"/>
  <c r="C57" i="9" s="1"/>
  <c r="AW5263" i="2"/>
  <c r="C56" i="9" s="1"/>
  <c r="AW5262" i="2"/>
  <c r="C55" i="9" s="1"/>
  <c r="AW5261" i="2"/>
  <c r="C54" i="9" s="1"/>
  <c r="AW5260" i="2"/>
  <c r="C53" i="9" s="1"/>
  <c r="AW5259" i="2"/>
  <c r="C52" i="9" s="1"/>
  <c r="AW5258" i="2"/>
  <c r="C51" i="9" s="1"/>
  <c r="AV5258" i="2"/>
  <c r="AV5270" i="2" s="1"/>
  <c r="AU5263" i="2"/>
  <c r="AU5262" i="2"/>
  <c r="AU5261" i="2"/>
  <c r="AU5260" i="2"/>
  <c r="AU5259" i="2"/>
  <c r="AU5258" i="2"/>
  <c r="AT5259" i="2"/>
  <c r="AT5258" i="2"/>
  <c r="AS5264" i="2"/>
  <c r="AS5263" i="2"/>
  <c r="AS5262" i="2"/>
  <c r="AS5261" i="2"/>
  <c r="AS5260" i="2"/>
  <c r="AS5259" i="2"/>
  <c r="AS5258" i="2"/>
  <c r="AR5258" i="2"/>
  <c r="AR5270" i="2" s="1"/>
  <c r="C46" i="9" s="1"/>
  <c r="AQ5258" i="2"/>
  <c r="AQ5270" i="2" s="1"/>
  <c r="AP5258" i="2"/>
  <c r="AP5270" i="2" s="1"/>
  <c r="C44" i="9" s="1"/>
  <c r="AO5258" i="2"/>
  <c r="AO5270" i="2" s="1"/>
  <c r="C43" i="9" s="1"/>
  <c r="AN5259" i="2"/>
  <c r="AN5258" i="2"/>
  <c r="AM5259" i="2"/>
  <c r="AM5258" i="2"/>
  <c r="AL5258" i="2"/>
  <c r="AL5270" i="2" s="1"/>
  <c r="C40" i="9" s="1"/>
  <c r="AK5258" i="2"/>
  <c r="AK5270" i="2" s="1"/>
  <c r="C39" i="9" s="1"/>
  <c r="AJ5258" i="2"/>
  <c r="AJ5270" i="2" s="1"/>
  <c r="C38" i="9" s="1"/>
  <c r="AI5259" i="2"/>
  <c r="C37" i="9" s="1"/>
  <c r="AI5258" i="2"/>
  <c r="C36" i="9" s="1"/>
  <c r="AH5258" i="2"/>
  <c r="AH5270" i="2" s="1"/>
  <c r="C35" i="9" s="1"/>
  <c r="AG5258" i="2"/>
  <c r="AG5270" i="2" s="1"/>
  <c r="C34" i="9" s="1"/>
  <c r="AF5258" i="2"/>
  <c r="AF5270" i="2" s="1"/>
  <c r="C33" i="9" s="1"/>
  <c r="AE5259" i="2"/>
  <c r="AE5258" i="2"/>
  <c r="AD5258" i="2"/>
  <c r="AD5270" i="2" s="1"/>
  <c r="C31" i="9" s="1"/>
  <c r="AC5262" i="2"/>
  <c r="AC5261" i="2"/>
  <c r="AC5260" i="2"/>
  <c r="AC5259" i="2"/>
  <c r="AC5258" i="2"/>
  <c r="AB5258" i="2"/>
  <c r="AB5270" i="2" s="1"/>
  <c r="C28" i="9" s="1"/>
  <c r="AA5258" i="2"/>
  <c r="AA5270" i="2" s="1"/>
  <c r="C27" i="9" s="1"/>
  <c r="Y5269" i="2"/>
  <c r="C25" i="9" s="1"/>
  <c r="Y5268" i="2"/>
  <c r="C24" i="9" s="1"/>
  <c r="Y5267" i="2"/>
  <c r="C23" i="9" s="1"/>
  <c r="Y5266" i="2"/>
  <c r="C22" i="9" s="1"/>
  <c r="Y5265" i="2"/>
  <c r="C21" i="9" s="1"/>
  <c r="Y5264" i="2"/>
  <c r="C20" i="9" s="1"/>
  <c r="Y5263" i="2"/>
  <c r="C19" i="9" s="1"/>
  <c r="Y5262" i="2"/>
  <c r="C18" i="9" s="1"/>
  <c r="Y5261" i="2"/>
  <c r="C17" i="9" s="1"/>
  <c r="Y5260" i="2"/>
  <c r="C16" i="9" s="1"/>
  <c r="Y5259" i="2"/>
  <c r="C15" i="9" s="1"/>
  <c r="Y5258" i="2"/>
  <c r="C14" i="9" s="1"/>
  <c r="X5258" i="2"/>
  <c r="X5270" i="2" s="1"/>
  <c r="C13" i="9" s="1"/>
  <c r="W5258" i="2"/>
  <c r="W5270" i="2" s="1"/>
  <c r="C12" i="9" s="1"/>
  <c r="V5258" i="2"/>
  <c r="V5270" i="2" s="1"/>
  <c r="C11" i="9" s="1"/>
  <c r="U5258" i="2"/>
  <c r="U5270" i="2" s="1"/>
  <c r="C10" i="9" s="1"/>
  <c r="T5258" i="2"/>
  <c r="T5270" i="2" s="1"/>
  <c r="C5" i="9" s="1"/>
  <c r="I5261" i="2"/>
  <c r="C9" i="9" s="1"/>
  <c r="I5260" i="2"/>
  <c r="C8" i="9" s="1"/>
  <c r="I5259" i="2"/>
  <c r="C7" i="9" s="1"/>
  <c r="I5258" i="2"/>
  <c r="C6" i="9" s="1"/>
  <c r="E5258" i="2"/>
  <c r="E5270" i="2" s="1"/>
  <c r="C2" i="9" s="1"/>
  <c r="AI5270" i="2"/>
  <c r="C69" i="9" l="1"/>
  <c r="BC5270" i="2"/>
  <c r="C68" i="9" s="1"/>
  <c r="AC5271" i="2"/>
  <c r="C30" i="9" s="1"/>
  <c r="AC5270" i="2"/>
  <c r="C29" i="9" s="1"/>
  <c r="BJ5270" i="2"/>
  <c r="C79" i="9" s="1"/>
  <c r="D79" i="9" s="1"/>
  <c r="BG5270" i="2"/>
  <c r="C76" i="9" s="1"/>
  <c r="BF5270" i="2"/>
  <c r="C75" i="9" s="1"/>
  <c r="AW5270" i="2"/>
  <c r="C4" i="9" s="1"/>
  <c r="AU5270" i="2"/>
  <c r="C49" i="9" s="1"/>
  <c r="AT5270" i="2"/>
  <c r="C48" i="9" s="1"/>
  <c r="AS5270" i="2"/>
  <c r="C47" i="9" s="1"/>
  <c r="AN5270" i="2"/>
  <c r="C42" i="9" s="1"/>
  <c r="AM5270" i="2"/>
  <c r="C41" i="9" s="1"/>
  <c r="AE5270" i="2"/>
  <c r="C32" i="9" s="1"/>
  <c r="I5270" i="2"/>
  <c r="C3" i="9" s="1"/>
  <c r="BD5270" i="2" l="1"/>
  <c r="C73" i="9" s="1"/>
  <c r="D1303" i="2" l="1"/>
  <c r="D1301" i="2"/>
  <c r="D1299" i="2"/>
  <c r="D1298" i="2"/>
  <c r="D1297" i="2"/>
  <c r="D1300" i="2"/>
  <c r="D1296" i="2"/>
  <c r="D1295" i="2"/>
  <c r="D1356" i="2" l="1"/>
  <c r="D1337" i="2"/>
  <c r="D1338" i="2"/>
  <c r="D1327" i="2"/>
  <c r="D1325" i="2"/>
  <c r="D1302" i="2"/>
  <c r="D3343" i="2" l="1"/>
  <c r="D3242" i="2"/>
  <c r="D3241" i="2"/>
  <c r="D3240" i="2"/>
  <c r="D5132" i="2"/>
  <c r="D5130" i="2"/>
  <c r="D5129" i="2"/>
  <c r="D5126" i="2"/>
  <c r="D5131" i="2"/>
  <c r="D3239" i="2" l="1"/>
  <c r="D3238" i="2"/>
  <c r="D3237" i="2"/>
  <c r="D3236" i="2"/>
  <c r="D3235" i="2"/>
  <c r="D3234" i="2"/>
  <c r="D3230" i="2"/>
  <c r="D3228" i="2"/>
  <c r="D3224" i="2"/>
  <c r="D5122" i="2"/>
  <c r="D3225" i="2"/>
  <c r="D3146" i="2" l="1"/>
  <c r="D3145" i="2"/>
  <c r="D3154" i="2"/>
  <c r="D2484" i="2"/>
  <c r="D2483" i="2"/>
  <c r="D2482" i="2"/>
  <c r="D2481" i="2"/>
  <c r="D3140" i="2"/>
  <c r="D3143" i="2"/>
  <c r="D3142" i="2"/>
  <c r="D3139" i="2"/>
  <c r="D2479" i="2"/>
  <c r="D2431" i="2" l="1"/>
  <c r="D3035" i="2"/>
  <c r="D3033" i="2"/>
  <c r="D3029" i="2"/>
  <c r="D3017" i="2" l="1"/>
  <c r="D3016" i="2"/>
  <c r="D2999" i="2"/>
  <c r="D3001" i="2"/>
  <c r="D2997" i="2"/>
  <c r="D2413" i="2" l="1"/>
  <c r="D5256" i="2" l="1"/>
  <c r="D5255" i="2"/>
  <c r="D5254" i="2"/>
  <c r="D5253" i="2"/>
  <c r="D5252" i="2"/>
  <c r="D5251" i="2"/>
  <c r="D5250" i="2"/>
  <c r="D5249" i="2"/>
  <c r="D5248" i="2"/>
  <c r="D5247" i="2"/>
  <c r="D5246" i="2"/>
  <c r="D5245" i="2"/>
  <c r="D5244" i="2"/>
  <c r="D5243" i="2"/>
  <c r="D5242" i="2"/>
  <c r="D5241" i="2"/>
  <c r="D5240" i="2"/>
  <c r="D5239" i="2"/>
  <c r="D5238" i="2"/>
  <c r="D5237" i="2"/>
  <c r="D5236" i="2"/>
  <c r="D5235" i="2"/>
  <c r="D5234" i="2"/>
  <c r="D5233" i="2"/>
  <c r="D5232" i="2"/>
  <c r="D5231" i="2"/>
  <c r="D5230" i="2"/>
  <c r="D5229" i="2"/>
  <c r="D5228" i="2"/>
  <c r="D5227" i="2"/>
  <c r="D5226" i="2"/>
  <c r="D5225" i="2"/>
  <c r="D5224" i="2"/>
  <c r="D5223" i="2"/>
  <c r="D5222" i="2"/>
  <c r="D5221" i="2"/>
  <c r="D5220" i="2"/>
  <c r="D5219" i="2"/>
  <c r="D5218" i="2"/>
  <c r="D5217" i="2"/>
  <c r="D5216" i="2"/>
  <c r="D5215" i="2"/>
  <c r="D5214" i="2"/>
  <c r="D5213" i="2"/>
  <c r="D5212" i="2"/>
  <c r="D5211" i="2"/>
  <c r="D5210" i="2"/>
  <c r="D5209" i="2"/>
  <c r="D5208" i="2"/>
  <c r="D5207" i="2"/>
  <c r="D5206" i="2"/>
  <c r="D5205" i="2"/>
  <c r="D5204" i="2"/>
  <c r="D5203" i="2"/>
  <c r="D5202" i="2"/>
  <c r="D5201" i="2"/>
  <c r="D5200" i="2"/>
  <c r="D5199" i="2"/>
  <c r="D5198" i="2"/>
  <c r="D5197" i="2"/>
  <c r="D5196" i="2"/>
  <c r="D5195" i="2"/>
  <c r="D5194" i="2"/>
  <c r="D5193" i="2"/>
  <c r="D5192" i="2"/>
  <c r="D5191" i="2"/>
  <c r="D5190" i="2"/>
  <c r="D5189" i="2"/>
  <c r="D5188" i="2"/>
  <c r="D5187" i="2"/>
  <c r="D5186" i="2"/>
  <c r="D5185" i="2"/>
  <c r="D5184" i="2"/>
  <c r="D5183" i="2"/>
  <c r="D5182" i="2"/>
  <c r="D5181" i="2"/>
  <c r="D5180" i="2"/>
  <c r="D5179" i="2"/>
  <c r="D5178" i="2"/>
  <c r="D5177" i="2"/>
  <c r="D5176" i="2"/>
  <c r="D5175" i="2"/>
  <c r="D5174" i="2"/>
  <c r="D5173" i="2"/>
  <c r="D5172" i="2"/>
  <c r="D5171" i="2"/>
  <c r="D5170" i="2"/>
  <c r="D5169" i="2"/>
  <c r="D5168" i="2"/>
  <c r="D5167" i="2"/>
  <c r="D5166" i="2"/>
  <c r="D5165" i="2"/>
  <c r="D5164" i="2"/>
  <c r="D5163" i="2"/>
  <c r="D5162" i="2"/>
  <c r="D5161" i="2"/>
  <c r="D5160" i="2"/>
  <c r="D5159" i="2"/>
  <c r="D5158" i="2"/>
  <c r="D5157" i="2"/>
  <c r="D5156" i="2"/>
  <c r="D5155" i="2"/>
  <c r="D5154" i="2"/>
  <c r="D5153" i="2"/>
  <c r="D5152" i="2"/>
  <c r="D5151" i="2"/>
  <c r="D5150" i="2"/>
  <c r="D5149" i="2"/>
  <c r="D5148" i="2"/>
  <c r="D5147" i="2"/>
  <c r="D5146" i="2"/>
  <c r="D5145" i="2"/>
  <c r="D5144" i="2"/>
  <c r="D5143" i="2"/>
  <c r="D5142" i="2"/>
  <c r="D5141" i="2"/>
  <c r="D5140" i="2"/>
  <c r="D5139" i="2"/>
  <c r="D5138" i="2"/>
  <c r="D5137" i="2"/>
  <c r="D5136" i="2"/>
  <c r="D5135" i="2"/>
  <c r="D5134" i="2"/>
  <c r="D5133" i="2"/>
  <c r="D5128" i="2"/>
  <c r="D5127" i="2"/>
  <c r="D5125" i="2"/>
  <c r="D5124" i="2"/>
  <c r="D5123" i="2"/>
  <c r="D5121" i="2"/>
  <c r="D5120" i="2"/>
  <c r="D5119" i="2"/>
  <c r="D5118" i="2"/>
  <c r="D5117" i="2"/>
  <c r="D5116" i="2"/>
  <c r="D5115" i="2"/>
  <c r="D5114" i="2"/>
  <c r="D5113" i="2"/>
  <c r="D5112" i="2"/>
  <c r="D5111" i="2"/>
  <c r="D5110" i="2"/>
  <c r="D5016" i="2"/>
  <c r="D5015" i="2"/>
  <c r="D5014" i="2"/>
  <c r="D5013" i="2"/>
  <c r="D5012" i="2"/>
  <c r="D5011" i="2"/>
  <c r="D5010" i="2"/>
  <c r="D5009" i="2"/>
  <c r="D5008" i="2"/>
  <c r="D5007" i="2"/>
  <c r="D5006" i="2"/>
  <c r="D5005" i="2"/>
  <c r="D5004" i="2"/>
  <c r="D5003" i="2"/>
  <c r="D5002" i="2"/>
  <c r="D5001" i="2"/>
  <c r="D5000" i="2"/>
  <c r="D4999" i="2"/>
  <c r="D4998" i="2"/>
  <c r="D4997" i="2"/>
  <c r="D4996" i="2"/>
  <c r="D4995" i="2"/>
  <c r="D4994" i="2"/>
  <c r="D4993" i="2"/>
  <c r="D4992" i="2"/>
  <c r="D4991" i="2"/>
  <c r="D4990" i="2"/>
  <c r="D4989"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84" i="2"/>
  <c r="D3883" i="2"/>
  <c r="D3882" i="2"/>
  <c r="D3881" i="2"/>
  <c r="D3880" i="2"/>
  <c r="D3878" i="2"/>
  <c r="D3877" i="2"/>
  <c r="D3876" i="2"/>
  <c r="D3875" i="2"/>
  <c r="D3874" i="2"/>
  <c r="D3873" i="2"/>
  <c r="D3872" i="2"/>
  <c r="D3871" i="2"/>
  <c r="D3870" i="2"/>
  <c r="D3869" i="2"/>
  <c r="D3867" i="2"/>
  <c r="D3866" i="2"/>
  <c r="D3865" i="2"/>
  <c r="D3864" i="2"/>
  <c r="D3863" i="2"/>
  <c r="D3862" i="2"/>
  <c r="D3861" i="2"/>
  <c r="D3855" i="2"/>
  <c r="D3854" i="2"/>
  <c r="D3853" i="2"/>
  <c r="D3852" i="2"/>
  <c r="D3851" i="2"/>
  <c r="D3850" i="2"/>
  <c r="D3849" i="2"/>
  <c r="D3848" i="2"/>
  <c r="D3847" i="2"/>
  <c r="D3846" i="2"/>
  <c r="D3845" i="2"/>
  <c r="D3844"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5" i="2"/>
  <c r="D3734" i="2"/>
  <c r="D3733" i="2"/>
  <c r="D3732" i="2"/>
  <c r="D3731" i="2"/>
  <c r="D3730" i="2"/>
  <c r="D3729" i="2"/>
  <c r="D3728" i="2"/>
  <c r="D3727" i="2"/>
  <c r="D3726" i="2"/>
  <c r="D3725"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32" i="2"/>
  <c r="D3231" i="2"/>
  <c r="D3229" i="2"/>
  <c r="D3227" i="2"/>
  <c r="D3226" i="2"/>
  <c r="D3223" i="2"/>
  <c r="D3222" i="2"/>
  <c r="D3221" i="2"/>
  <c r="D3220" i="2"/>
  <c r="D3219" i="2"/>
  <c r="D3218" i="2"/>
  <c r="D3217" i="2"/>
  <c r="D3216" i="2"/>
  <c r="D3215" i="2"/>
  <c r="D3214" i="2"/>
  <c r="D3213" i="2"/>
  <c r="D3212" i="2"/>
  <c r="D3211" i="2"/>
  <c r="D3210" i="2"/>
  <c r="D3209" i="2"/>
  <c r="D3208" i="2"/>
  <c r="D3207" i="2"/>
  <c r="D3206" i="2"/>
  <c r="D3202" i="2"/>
  <c r="D3201" i="2"/>
  <c r="D3200" i="2"/>
  <c r="D3199" i="2"/>
  <c r="D3198" i="2"/>
  <c r="D3197" i="2"/>
  <c r="D3196" i="2"/>
  <c r="D3195" i="2"/>
  <c r="D3194" i="2"/>
  <c r="D3193" i="2"/>
  <c r="D3191" i="2"/>
  <c r="D3190" i="2"/>
  <c r="D3189" i="2"/>
  <c r="D3188" i="2"/>
  <c r="D3187" i="2"/>
  <c r="D3186" i="2"/>
  <c r="D3185" i="2"/>
  <c r="D3183" i="2"/>
  <c r="D3182" i="2"/>
  <c r="D3181" i="2"/>
  <c r="D3180" i="2"/>
  <c r="D3179" i="2"/>
  <c r="D3178" i="2"/>
  <c r="D3177" i="2"/>
  <c r="D3176" i="2"/>
  <c r="D3175" i="2"/>
  <c r="D3174" i="2"/>
  <c r="D3173" i="2"/>
  <c r="D3171" i="2"/>
  <c r="D3169" i="2"/>
  <c r="D3168" i="2"/>
  <c r="D3167" i="2"/>
  <c r="D3166" i="2"/>
  <c r="D3165" i="2"/>
  <c r="D3164" i="2"/>
  <c r="D3163" i="2"/>
  <c r="D3162" i="2"/>
  <c r="D3161" i="2"/>
  <c r="D3160" i="2"/>
  <c r="D3159" i="2"/>
  <c r="D3158" i="2"/>
  <c r="D3157" i="2"/>
  <c r="D3156" i="2"/>
  <c r="D3155" i="2"/>
  <c r="D3153" i="2"/>
  <c r="D3152" i="2"/>
  <c r="D3151" i="2"/>
  <c r="D3150" i="2"/>
  <c r="D3149" i="2"/>
  <c r="D3148" i="2"/>
  <c r="D3147" i="2"/>
  <c r="D3144" i="2"/>
  <c r="D3141" i="2"/>
  <c r="D3119" i="2"/>
  <c r="D3118" i="2"/>
  <c r="D3117" i="2"/>
  <c r="D3116" i="2"/>
  <c r="D3115" i="2"/>
  <c r="D3114" i="2"/>
  <c r="D3113"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56" i="2"/>
  <c r="D3055" i="2"/>
  <c r="D3054" i="2"/>
  <c r="D3053" i="2"/>
  <c r="D3052" i="2"/>
  <c r="D3051" i="2"/>
  <c r="D3050" i="2"/>
  <c r="D3049" i="2"/>
  <c r="D3048" i="2"/>
  <c r="D3047" i="2"/>
  <c r="D3046" i="2"/>
  <c r="D3045" i="2"/>
  <c r="D3044" i="2"/>
  <c r="D3043" i="2"/>
  <c r="D3042" i="2"/>
  <c r="D3041" i="2"/>
  <c r="D3040" i="2"/>
  <c r="D3039" i="2"/>
  <c r="D3038" i="2"/>
  <c r="D3037" i="2"/>
  <c r="D3036" i="2"/>
  <c r="D3032" i="2"/>
  <c r="D3031" i="2"/>
  <c r="D3030" i="2"/>
  <c r="D3028" i="2"/>
  <c r="D3027" i="2"/>
  <c r="D3026" i="2"/>
  <c r="D3025" i="2"/>
  <c r="D3024" i="2"/>
  <c r="D3023" i="2"/>
  <c r="D3022" i="2"/>
  <c r="D3021" i="2"/>
  <c r="D3020" i="2"/>
  <c r="D3019" i="2"/>
  <c r="D3018" i="2"/>
  <c r="D3015" i="2"/>
  <c r="D3014" i="2"/>
  <c r="D3013" i="2"/>
  <c r="D3000" i="2"/>
  <c r="D2998"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62" i="2"/>
  <c r="D2961" i="2"/>
  <c r="D2960" i="2"/>
  <c r="D2959" i="2"/>
  <c r="D2958" i="2"/>
  <c r="D2957" i="2"/>
  <c r="D2956" i="2"/>
  <c r="D2955" i="2"/>
  <c r="D2954" i="2"/>
  <c r="D2953" i="2"/>
  <c r="D2952" i="2"/>
  <c r="D2951" i="2"/>
  <c r="D2950" i="2"/>
  <c r="D2949" i="2"/>
  <c r="D2948" i="2"/>
  <c r="D2947" i="2"/>
  <c r="D2946" i="2"/>
  <c r="D2945" i="2"/>
  <c r="D2944" i="2"/>
  <c r="D2943" i="2"/>
  <c r="D2942" i="2"/>
  <c r="D2941"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576" i="2"/>
  <c r="D2575" i="2"/>
  <c r="D2574" i="2"/>
  <c r="D2573" i="2"/>
  <c r="D2572"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0"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0" i="2"/>
  <c r="D2429" i="2"/>
  <c r="D2428" i="2"/>
  <c r="D2427" i="2"/>
  <c r="D2426" i="2"/>
  <c r="D2425" i="2"/>
  <c r="D2424" i="2"/>
  <c r="D2423" i="2"/>
  <c r="D2422" i="2"/>
  <c r="D2421" i="2"/>
  <c r="D2420" i="2"/>
  <c r="D2419" i="2"/>
  <c r="D2418" i="2"/>
  <c r="D2417" i="2"/>
  <c r="D2416" i="2"/>
  <c r="D2415" i="2"/>
  <c r="D2414"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1"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7" i="2"/>
  <c r="D2266" i="2"/>
  <c r="D2265" i="2"/>
  <c r="D2264" i="2"/>
  <c r="D2263" i="2"/>
  <c r="D2262" i="2"/>
  <c r="D2261" i="2"/>
  <c r="D2260" i="2"/>
  <c r="D2259" i="2"/>
  <c r="D2258" i="2"/>
  <c r="D2257" i="2"/>
  <c r="D2256" i="2"/>
  <c r="D2255" i="2"/>
  <c r="D2254" i="2"/>
  <c r="D2253" i="2"/>
  <c r="D2252" i="2"/>
  <c r="D2251" i="2"/>
  <c r="D2250" i="2"/>
  <c r="D2249"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2" i="2"/>
  <c r="D2151" i="2"/>
  <c r="D2150" i="2"/>
  <c r="D2149" i="2"/>
  <c r="D2148" i="2"/>
  <c r="D2147" i="2"/>
  <c r="D2146" i="2"/>
  <c r="D2145" i="2"/>
  <c r="D2144" i="2"/>
  <c r="D2143" i="2"/>
  <c r="D2142" i="2"/>
  <c r="D2141" i="2"/>
  <c r="D2140" i="2"/>
  <c r="D2139" i="2"/>
  <c r="D2138" i="2"/>
  <c r="D2137" i="2"/>
  <c r="D2136" i="2"/>
  <c r="D2135" i="2"/>
  <c r="D2134" i="2"/>
  <c r="D2133" i="2"/>
  <c r="D2132" i="2"/>
  <c r="D2130" i="2"/>
  <c r="D2129"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19" i="2"/>
  <c r="D2018" i="2"/>
  <c r="D2017" i="2"/>
  <c r="D2016" i="2"/>
  <c r="D2014" i="2"/>
  <c r="D2013" i="2"/>
  <c r="D2012" i="2"/>
  <c r="D2011" i="2"/>
  <c r="D2010" i="2"/>
  <c r="D2008" i="2"/>
  <c r="D2007" i="2"/>
  <c r="D2006" i="2"/>
  <c r="D2005" i="2"/>
  <c r="D2004" i="2"/>
  <c r="D2003" i="2"/>
  <c r="D2002" i="2"/>
  <c r="D2001" i="2"/>
  <c r="D2000" i="2"/>
  <c r="D1999" i="2"/>
  <c r="D1998" i="2"/>
  <c r="D1997" i="2"/>
  <c r="D1996" i="2"/>
  <c r="D1995" i="2"/>
  <c r="D1993" i="2"/>
  <c r="D1992" i="2"/>
  <c r="D1991" i="2"/>
  <c r="D1990" i="2"/>
  <c r="D1989" i="2"/>
  <c r="D1988" i="2"/>
  <c r="D1987" i="2"/>
  <c r="D1986" i="2"/>
  <c r="D1984" i="2"/>
  <c r="D1983" i="2"/>
  <c r="D1982" i="2"/>
  <c r="D1981" i="2"/>
  <c r="D1980" i="2"/>
  <c r="D1979" i="2"/>
  <c r="D1978" i="2"/>
  <c r="D1977" i="2"/>
  <c r="D1976" i="2"/>
  <c r="D1975" i="2"/>
  <c r="D1974" i="2"/>
  <c r="D1973" i="2"/>
  <c r="D1972" i="2"/>
  <c r="D1971" i="2"/>
  <c r="D1970" i="2"/>
  <c r="D1969" i="2"/>
  <c r="D1968" i="2"/>
  <c r="D1967" i="2"/>
  <c r="D1965" i="2"/>
  <c r="D1964" i="2"/>
  <c r="D1963" i="2"/>
  <c r="D1962" i="2"/>
  <c r="D1961" i="2"/>
  <c r="D1960" i="2"/>
  <c r="D1959" i="2"/>
  <c r="D1958" i="2"/>
  <c r="D1957" i="2"/>
  <c r="D1956" i="2"/>
  <c r="D1955" i="2"/>
  <c r="D1954"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2"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7" i="2"/>
  <c r="D1592" i="2"/>
  <c r="D1591" i="2"/>
  <c r="D1590" i="2"/>
  <c r="D1589" i="2"/>
  <c r="D1588" i="2"/>
  <c r="D1593" i="2"/>
  <c r="D1586" i="2"/>
  <c r="D1585" i="2"/>
  <c r="D1584" i="2"/>
  <c r="D1583" i="2"/>
  <c r="D1582" i="2"/>
  <c r="D1581" i="2"/>
  <c r="D1580" i="2"/>
  <c r="D1579" i="2"/>
  <c r="D1578" i="2"/>
  <c r="D1577" i="2"/>
  <c r="D1576" i="2"/>
  <c r="D1575" i="2"/>
  <c r="D1574" i="2"/>
  <c r="D1573" i="2"/>
  <c r="D1572" i="2"/>
  <c r="D1571" i="2"/>
  <c r="D1570" i="2"/>
  <c r="D1569" i="2"/>
  <c r="D1568" i="2"/>
  <c r="D1567" i="2"/>
  <c r="D1566"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D1540" i="2"/>
  <c r="D1539" i="2"/>
  <c r="D1538" i="2"/>
  <c r="D1537" i="2"/>
  <c r="D1536" i="2"/>
  <c r="D1535" i="2"/>
  <c r="D1534" i="2"/>
  <c r="D1533" i="2"/>
  <c r="D1532" i="2"/>
  <c r="D1531" i="2"/>
  <c r="D1530" i="2"/>
  <c r="D1529" i="2"/>
  <c r="D1528" i="2"/>
  <c r="D1527" i="2"/>
  <c r="D1521" i="2"/>
  <c r="D1520" i="2"/>
  <c r="D1519" i="2"/>
  <c r="D1517"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D1420" i="2"/>
  <c r="D1419" i="2"/>
  <c r="D1418" i="2"/>
  <c r="D1417" i="2"/>
  <c r="D1416" i="2"/>
  <c r="D1415" i="2"/>
  <c r="D1414" i="2"/>
  <c r="D1413" i="2"/>
  <c r="D1412"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5" i="2"/>
  <c r="D1354" i="2"/>
  <c r="D1353" i="2"/>
  <c r="D1352" i="2"/>
  <c r="D1351" i="2"/>
  <c r="D1350" i="2"/>
  <c r="D1349" i="2"/>
  <c r="D1348" i="2"/>
  <c r="D1347" i="2"/>
  <c r="D1346" i="2"/>
  <c r="D1345" i="2"/>
  <c r="D1344" i="2"/>
  <c r="D1343" i="2"/>
  <c r="D1342" i="2"/>
  <c r="D1341" i="2"/>
  <c r="D1340" i="2"/>
  <c r="D1339" i="2"/>
  <c r="D1336" i="2"/>
  <c r="D1335" i="2"/>
  <c r="D1334" i="2"/>
  <c r="D1333" i="2"/>
  <c r="D1332" i="2"/>
  <c r="D1331" i="2"/>
  <c r="D1330" i="2"/>
  <c r="D1329" i="2"/>
  <c r="D1328" i="2"/>
  <c r="D1326" i="2"/>
  <c r="D1324" i="2"/>
  <c r="D1323" i="2"/>
  <c r="D1322" i="2"/>
  <c r="D1321" i="2"/>
  <c r="D1320" i="2"/>
  <c r="D1319" i="2"/>
  <c r="D1318" i="2"/>
  <c r="D1317" i="2"/>
  <c r="D1316" i="2"/>
  <c r="D1315" i="2"/>
  <c r="D1314" i="2"/>
  <c r="D1313" i="2"/>
  <c r="D1312" i="2"/>
  <c r="D1311" i="2"/>
  <c r="D1310" i="2"/>
  <c r="D1309" i="2"/>
  <c r="D1308" i="2"/>
  <c r="D1307" i="2"/>
  <c r="D1306" i="2"/>
  <c r="D1305" i="2"/>
  <c r="D1304"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106" i="2"/>
  <c r="D1105" i="2"/>
  <c r="D1104" i="2"/>
  <c r="D1103" i="2"/>
  <c r="D1102" i="2"/>
  <c r="D1101" i="2"/>
  <c r="D1100" i="2"/>
  <c r="D1099" i="2"/>
  <c r="D1098" i="2"/>
  <c r="D1097" i="2"/>
  <c r="D1096" i="2"/>
  <c r="D1095" i="2"/>
  <c r="D1094" i="2"/>
  <c r="D1093" i="2"/>
  <c r="D1092" i="2"/>
  <c r="D1091" i="2"/>
  <c r="D1090" i="2"/>
  <c r="D1089" i="2"/>
  <c r="D1088" i="2"/>
  <c r="D1087" i="2"/>
  <c r="D1086" i="2"/>
  <c r="D1085" i="2"/>
  <c r="D1084" i="2"/>
  <c r="D1083" i="2"/>
  <c r="D1082" i="2"/>
  <c r="D1081" i="2"/>
  <c r="D1080" i="2"/>
  <c r="D1079" i="2"/>
  <c r="D1078" i="2"/>
  <c r="D1077" i="2"/>
  <c r="D1076" i="2"/>
  <c r="D1075" i="2"/>
  <c r="D1074" i="2"/>
  <c r="D1073" i="2"/>
  <c r="D1072" i="2"/>
  <c r="D1071" i="2"/>
  <c r="D1070" i="2"/>
  <c r="D1069" i="2"/>
  <c r="D1068" i="2"/>
  <c r="D1067" i="2"/>
  <c r="D1066" i="2"/>
  <c r="D1065" i="2"/>
  <c r="D1064" i="2"/>
  <c r="D1063" i="2"/>
  <c r="D1062" i="2"/>
  <c r="D1061" i="2"/>
  <c r="D1060" i="2"/>
  <c r="D1059" i="2"/>
  <c r="D1058" i="2"/>
  <c r="D1057" i="2"/>
  <c r="D1056" i="2"/>
  <c r="D1055" i="2"/>
  <c r="D1054" i="2"/>
  <c r="D1053" i="2"/>
  <c r="D1052" i="2"/>
  <c r="D1051" i="2"/>
  <c r="D1050" i="2"/>
  <c r="D1049" i="2"/>
  <c r="D1048" i="2"/>
  <c r="D1047" i="2"/>
  <c r="D1046" i="2"/>
  <c r="D1045" i="2"/>
  <c r="D1044" i="2"/>
  <c r="D1043" i="2"/>
  <c r="D1042" i="2"/>
  <c r="D1041" i="2"/>
  <c r="D1040" i="2"/>
  <c r="D1039" i="2"/>
  <c r="D1038" i="2"/>
  <c r="D1037" i="2"/>
  <c r="D1036" i="2"/>
  <c r="D1035" i="2"/>
  <c r="D1034" i="2"/>
  <c r="D1033" i="2"/>
  <c r="D1032" i="2"/>
  <c r="D1031" i="2"/>
  <c r="D1030" i="2"/>
  <c r="D1029" i="2"/>
  <c r="D1028" i="2"/>
  <c r="D1027" i="2"/>
  <c r="D1026" i="2"/>
  <c r="D1025" i="2"/>
  <c r="D1024" i="2"/>
  <c r="D1023" i="2"/>
  <c r="D1022" i="2"/>
  <c r="D1021" i="2"/>
  <c r="D1020" i="2"/>
  <c r="D1019" i="2"/>
  <c r="D1018" i="2"/>
  <c r="D1017" i="2"/>
  <c r="D1016" i="2"/>
  <c r="D1015" i="2"/>
  <c r="D1014" i="2"/>
  <c r="D1013" i="2"/>
  <c r="D1012" i="2"/>
  <c r="D1011" i="2"/>
  <c r="D1010" i="2"/>
  <c r="D1009" i="2"/>
  <c r="D1008" i="2"/>
  <c r="D1007" i="2"/>
  <c r="D1006" i="2"/>
  <c r="D1005" i="2"/>
  <c r="D1004" i="2"/>
  <c r="D1003" i="2"/>
  <c r="D1002" i="2"/>
  <c r="D1001" i="2"/>
  <c r="D1000" i="2"/>
  <c r="D999" i="2"/>
  <c r="D998" i="2"/>
  <c r="D997" i="2"/>
  <c r="D996" i="2"/>
  <c r="D995" i="2"/>
  <c r="D994" i="2"/>
  <c r="D993" i="2"/>
  <c r="D992" i="2"/>
  <c r="D991" i="2"/>
  <c r="D990" i="2"/>
  <c r="D989" i="2"/>
  <c r="D988" i="2"/>
  <c r="D987" i="2"/>
  <c r="D986" i="2"/>
  <c r="D985" i="2"/>
  <c r="D984" i="2"/>
  <c r="D983" i="2"/>
  <c r="D982" i="2"/>
  <c r="D981" i="2"/>
  <c r="D980" i="2"/>
  <c r="D979" i="2"/>
  <c r="D978" i="2"/>
  <c r="D977" i="2"/>
  <c r="D976" i="2"/>
  <c r="D975" i="2"/>
  <c r="D974" i="2"/>
  <c r="D973" i="2"/>
  <c r="D972" i="2"/>
  <c r="D971" i="2"/>
  <c r="D970" i="2"/>
  <c r="D969" i="2"/>
  <c r="D968" i="2"/>
  <c r="D967" i="2"/>
  <c r="D966" i="2"/>
  <c r="D965" i="2"/>
  <c r="D964" i="2"/>
  <c r="D963" i="2"/>
  <c r="D962" i="2"/>
  <c r="D961" i="2"/>
  <c r="D960" i="2"/>
  <c r="D959" i="2"/>
  <c r="D958" i="2"/>
  <c r="D957" i="2"/>
  <c r="D956" i="2"/>
  <c r="D955" i="2"/>
  <c r="D954" i="2"/>
  <c r="D953" i="2"/>
  <c r="D952" i="2"/>
  <c r="D951" i="2"/>
  <c r="D950" i="2"/>
  <c r="D949" i="2"/>
  <c r="D948" i="2"/>
  <c r="D947" i="2"/>
  <c r="D946" i="2"/>
  <c r="D945" i="2"/>
  <c r="D944" i="2"/>
  <c r="D943" i="2"/>
  <c r="D942" i="2"/>
  <c r="D941" i="2"/>
  <c r="D940" i="2"/>
  <c r="D939" i="2"/>
  <c r="D938" i="2"/>
  <c r="D937" i="2"/>
  <c r="D936" i="2"/>
  <c r="D935" i="2"/>
  <c r="D934" i="2"/>
  <c r="D933" i="2"/>
  <c r="D932" i="2"/>
  <c r="D931" i="2"/>
  <c r="D930" i="2"/>
  <c r="D929" i="2"/>
  <c r="D928" i="2"/>
  <c r="D927" i="2"/>
  <c r="D926" i="2"/>
  <c r="D925" i="2"/>
  <c r="D924" i="2"/>
  <c r="D923" i="2"/>
  <c r="D922" i="2"/>
  <c r="D921" i="2"/>
  <c r="D920" i="2"/>
  <c r="D919" i="2"/>
  <c r="D918" i="2"/>
  <c r="D917" i="2"/>
  <c r="D916" i="2"/>
  <c r="D915" i="2"/>
  <c r="D914" i="2"/>
  <c r="D909" i="2"/>
  <c r="D908" i="2"/>
  <c r="D907" i="2"/>
  <c r="D906" i="2"/>
  <c r="D905" i="2"/>
  <c r="D904" i="2"/>
  <c r="D903" i="2"/>
  <c r="D902" i="2"/>
  <c r="D901" i="2"/>
  <c r="D900" i="2"/>
  <c r="D899" i="2"/>
  <c r="D898" i="2"/>
  <c r="D897" i="2"/>
  <c r="D896" i="2"/>
  <c r="D895" i="2"/>
  <c r="D894" i="2"/>
  <c r="D893" i="2"/>
  <c r="D892" i="2"/>
  <c r="D890" i="2"/>
  <c r="D889" i="2"/>
  <c r="D888" i="2"/>
  <c r="D887" i="2"/>
  <c r="D886" i="2"/>
  <c r="D885" i="2"/>
  <c r="D884" i="2"/>
  <c r="D883" i="2"/>
  <c r="D882" i="2"/>
  <c r="D881" i="2"/>
  <c r="D880" i="2"/>
  <c r="D879" i="2"/>
  <c r="D878" i="2"/>
  <c r="D877" i="2"/>
  <c r="D876" i="2"/>
  <c r="D875" i="2"/>
  <c r="D874" i="2"/>
  <c r="D873" i="2"/>
  <c r="D872" i="2"/>
  <c r="D871" i="2"/>
  <c r="D870" i="2"/>
  <c r="D869" i="2"/>
  <c r="D867" i="2"/>
  <c r="D866" i="2"/>
  <c r="D865" i="2"/>
  <c r="D864" i="2"/>
  <c r="D863" i="2"/>
  <c r="D862" i="2"/>
  <c r="D861" i="2"/>
  <c r="D860" i="2"/>
  <c r="D859" i="2"/>
  <c r="D858" i="2"/>
  <c r="D857" i="2"/>
  <c r="D856" i="2"/>
  <c r="D855" i="2"/>
  <c r="D854" i="2"/>
  <c r="D853" i="2"/>
  <c r="D852" i="2"/>
  <c r="D851" i="2"/>
  <c r="D850" i="2"/>
  <c r="D849" i="2"/>
  <c r="D848" i="2"/>
  <c r="D847" i="2"/>
  <c r="D846" i="2"/>
  <c r="D845" i="2"/>
  <c r="D844" i="2"/>
  <c r="D843" i="2"/>
  <c r="D842" i="2"/>
  <c r="D841" i="2"/>
  <c r="D840" i="2"/>
  <c r="D839" i="2"/>
  <c r="D838" i="2"/>
  <c r="D837" i="2"/>
  <c r="D836" i="2"/>
  <c r="D835" i="2"/>
  <c r="D834" i="2"/>
  <c r="D833" i="2"/>
  <c r="D831" i="2"/>
  <c r="D830" i="2"/>
  <c r="D829" i="2"/>
  <c r="D828" i="2"/>
  <c r="D827" i="2"/>
  <c r="D826" i="2"/>
  <c r="D825" i="2"/>
  <c r="D824" i="2"/>
  <c r="D823" i="2"/>
  <c r="D822" i="2"/>
  <c r="D821" i="2"/>
  <c r="D820" i="2"/>
  <c r="D819" i="2"/>
  <c r="D818" i="2"/>
  <c r="D817" i="2"/>
  <c r="D816" i="2"/>
  <c r="D815" i="2"/>
  <c r="D814" i="2"/>
  <c r="D813" i="2"/>
  <c r="D812" i="2"/>
  <c r="D811" i="2"/>
  <c r="D809" i="2"/>
  <c r="D808" i="2"/>
  <c r="D778" i="2"/>
  <c r="D777" i="2"/>
  <c r="D776" i="2"/>
  <c r="D775" i="2"/>
  <c r="D774" i="2"/>
  <c r="D773" i="2"/>
  <c r="D772" i="2"/>
  <c r="D771" i="2"/>
  <c r="D770" i="2"/>
  <c r="D769" i="2"/>
  <c r="D768" i="2"/>
  <c r="D767" i="2"/>
  <c r="D766" i="2"/>
  <c r="D765" i="2"/>
  <c r="D763" i="2"/>
  <c r="D762" i="2"/>
  <c r="D761" i="2"/>
  <c r="D759" i="2"/>
  <c r="D758" i="2"/>
  <c r="D757" i="2"/>
  <c r="D756" i="2"/>
  <c r="D754" i="2"/>
  <c r="D753" i="2"/>
  <c r="D752" i="2"/>
  <c r="D751" i="2"/>
  <c r="D750" i="2"/>
  <c r="D749" i="2"/>
  <c r="D748" i="2"/>
  <c r="D746" i="2"/>
  <c r="D745" i="2"/>
  <c r="D744" i="2"/>
  <c r="D743" i="2"/>
  <c r="D742" i="2"/>
  <c r="D741" i="2"/>
  <c r="D740" i="2"/>
  <c r="D739" i="2"/>
  <c r="D738" i="2"/>
  <c r="D737" i="2"/>
  <c r="D736" i="2"/>
  <c r="D735" i="2"/>
  <c r="D734" i="2"/>
  <c r="D733" i="2"/>
  <c r="D732" i="2"/>
  <c r="D731" i="2"/>
  <c r="D730" i="2"/>
  <c r="D729" i="2"/>
  <c r="D728" i="2"/>
  <c r="D727" i="2"/>
  <c r="D726" i="2"/>
  <c r="D725" i="2"/>
  <c r="D724" i="2"/>
  <c r="D723" i="2"/>
  <c r="D722" i="2"/>
  <c r="D721" i="2"/>
  <c r="D720" i="2"/>
  <c r="D719" i="2"/>
  <c r="D718" i="2"/>
  <c r="D717" i="2"/>
  <c r="D715" i="2"/>
  <c r="D714" i="2"/>
  <c r="D713" i="2"/>
  <c r="D712" i="2"/>
  <c r="D711" i="2"/>
  <c r="D710" i="2"/>
  <c r="D709" i="2"/>
  <c r="D708" i="2"/>
  <c r="D707" i="2"/>
  <c r="D706" i="2"/>
  <c r="D705" i="2"/>
  <c r="D704" i="2"/>
  <c r="D703" i="2"/>
  <c r="D702" i="2"/>
  <c r="D701" i="2"/>
  <c r="D700" i="2"/>
  <c r="D699" i="2"/>
  <c r="D698" i="2"/>
  <c r="D697" i="2"/>
  <c r="D696" i="2"/>
  <c r="D695" i="2"/>
  <c r="D694" i="2"/>
  <c r="D693" i="2"/>
  <c r="D692" i="2"/>
  <c r="D689" i="2"/>
  <c r="D688" i="2"/>
  <c r="D687" i="2"/>
  <c r="D686" i="2"/>
  <c r="D685" i="2"/>
  <c r="D684" i="2"/>
  <c r="D683" i="2"/>
  <c r="D682" i="2"/>
  <c r="D681" i="2"/>
  <c r="D680" i="2"/>
  <c r="D679" i="2"/>
  <c r="D678" i="2"/>
  <c r="D677" i="2"/>
  <c r="D676" i="2"/>
  <c r="D675" i="2"/>
  <c r="D674" i="2"/>
  <c r="D673" i="2"/>
  <c r="D672" i="2"/>
  <c r="D671" i="2"/>
  <c r="D670" i="2"/>
  <c r="D669" i="2"/>
  <c r="D668" i="2"/>
  <c r="D667" i="2"/>
  <c r="D666" i="2"/>
  <c r="D665" i="2"/>
  <c r="D664" i="2"/>
  <c r="D663" i="2"/>
  <c r="D662" i="2"/>
  <c r="D661" i="2"/>
  <c r="D660" i="2"/>
  <c r="D659" i="2"/>
  <c r="D658" i="2"/>
  <c r="D657" i="2"/>
  <c r="D656" i="2"/>
  <c r="D655" i="2"/>
  <c r="D654" i="2"/>
  <c r="D653" i="2"/>
  <c r="D652" i="2"/>
  <c r="D651" i="2"/>
  <c r="D650" i="2"/>
  <c r="D649" i="2"/>
  <c r="D648" i="2"/>
  <c r="D647" i="2"/>
  <c r="D646" i="2"/>
  <c r="D645" i="2"/>
  <c r="D644" i="2"/>
  <c r="D643" i="2"/>
  <c r="D642" i="2"/>
  <c r="D641" i="2"/>
  <c r="D640" i="2"/>
  <c r="D639" i="2"/>
  <c r="D638" i="2"/>
  <c r="D637" i="2"/>
  <c r="D636" i="2"/>
  <c r="D635" i="2"/>
  <c r="D634" i="2"/>
  <c r="D633" i="2"/>
  <c r="D632" i="2"/>
  <c r="D631" i="2"/>
  <c r="D630" i="2"/>
  <c r="D629" i="2"/>
  <c r="D628" i="2"/>
  <c r="D627" i="2"/>
  <c r="D626" i="2"/>
  <c r="D625" i="2"/>
  <c r="D624" i="2"/>
  <c r="D623" i="2"/>
  <c r="D622" i="2"/>
  <c r="D621" i="2"/>
  <c r="D620" i="2"/>
  <c r="D619" i="2"/>
  <c r="D618" i="2"/>
  <c r="D617" i="2"/>
  <c r="D616" i="2"/>
  <c r="D615" i="2"/>
  <c r="D614" i="2"/>
  <c r="D613" i="2"/>
  <c r="D612" i="2"/>
  <c r="D611" i="2"/>
  <c r="D610" i="2"/>
  <c r="D609" i="2"/>
  <c r="D608" i="2"/>
  <c r="D607" i="2"/>
  <c r="D606" i="2"/>
  <c r="D605" i="2"/>
  <c r="D604" i="2"/>
  <c r="D603" i="2"/>
  <c r="D602" i="2"/>
  <c r="D600" i="2"/>
  <c r="D599" i="2"/>
  <c r="D598" i="2"/>
  <c r="D597" i="2"/>
  <c r="D596" i="2"/>
  <c r="D595" i="2"/>
  <c r="D594" i="2"/>
  <c r="D593" i="2"/>
  <c r="D592" i="2"/>
  <c r="D591" i="2"/>
  <c r="D590" i="2"/>
  <c r="D589" i="2"/>
  <c r="D588" i="2"/>
  <c r="D587" i="2"/>
  <c r="D586" i="2"/>
  <c r="D585" i="2"/>
  <c r="D584" i="2"/>
  <c r="D583" i="2"/>
  <c r="D582" i="2"/>
  <c r="D581" i="2"/>
  <c r="D580" i="2"/>
  <c r="D579" i="2"/>
  <c r="D577" i="2"/>
  <c r="D576" i="2"/>
  <c r="D575" i="2"/>
  <c r="D574" i="2"/>
  <c r="D573" i="2"/>
  <c r="D572" i="2"/>
  <c r="D571" i="2"/>
  <c r="D570" i="2"/>
  <c r="D569" i="2"/>
  <c r="D568" i="2"/>
  <c r="D567" i="2"/>
  <c r="D566" i="2"/>
  <c r="D565" i="2"/>
  <c r="D564" i="2"/>
  <c r="D563" i="2"/>
  <c r="D562" i="2"/>
  <c r="D561" i="2"/>
  <c r="D560" i="2"/>
  <c r="D559" i="2"/>
  <c r="D558" i="2"/>
  <c r="D557" i="2"/>
  <c r="D556" i="2"/>
  <c r="D555" i="2"/>
  <c r="D554" i="2"/>
  <c r="D553" i="2"/>
  <c r="D552" i="2"/>
  <c r="D551" i="2"/>
  <c r="D550" i="2"/>
  <c r="D549" i="2"/>
  <c r="D548" i="2"/>
  <c r="D547" i="2"/>
  <c r="D546" i="2"/>
  <c r="D545" i="2"/>
  <c r="D544" i="2"/>
  <c r="D543" i="2"/>
  <c r="D542" i="2"/>
  <c r="D541" i="2"/>
  <c r="D540" i="2"/>
  <c r="D539" i="2"/>
  <c r="D538" i="2"/>
  <c r="D537" i="2"/>
  <c r="D536" i="2"/>
  <c r="D535" i="2"/>
  <c r="D534" i="2"/>
  <c r="D533" i="2"/>
  <c r="D532" i="2"/>
  <c r="D531" i="2"/>
  <c r="D530" i="2"/>
  <c r="D529" i="2"/>
  <c r="D528" i="2"/>
  <c r="D527" i="2"/>
  <c r="D526" i="2"/>
  <c r="D525" i="2"/>
  <c r="D524" i="2"/>
  <c r="D523" i="2"/>
  <c r="D522" i="2"/>
  <c r="D521" i="2"/>
  <c r="D520" i="2"/>
  <c r="D519" i="2"/>
  <c r="D518" i="2"/>
  <c r="D517" i="2"/>
  <c r="D516" i="2"/>
  <c r="D515" i="2"/>
  <c r="D514" i="2"/>
  <c r="D513" i="2"/>
  <c r="D512" i="2"/>
  <c r="D511" i="2"/>
  <c r="D510" i="2"/>
  <c r="D509" i="2"/>
  <c r="D508" i="2"/>
  <c r="D507" i="2"/>
  <c r="D506" i="2"/>
  <c r="D505" i="2"/>
  <c r="D504" i="2"/>
  <c r="D503" i="2"/>
  <c r="D502" i="2"/>
  <c r="D501" i="2"/>
  <c r="D500" i="2"/>
  <c r="D499" i="2"/>
  <c r="D498" i="2"/>
  <c r="D497" i="2"/>
  <c r="D496" i="2"/>
  <c r="D495" i="2"/>
  <c r="D494" i="2"/>
  <c r="D493" i="2"/>
  <c r="D492" i="2"/>
  <c r="D491" i="2"/>
  <c r="D490" i="2"/>
  <c r="D489" i="2"/>
  <c r="D488" i="2"/>
  <c r="D487" i="2"/>
  <c r="D486" i="2"/>
  <c r="D485" i="2"/>
  <c r="D484" i="2"/>
  <c r="D483" i="2"/>
  <c r="D482" i="2"/>
  <c r="D481" i="2"/>
  <c r="D480" i="2"/>
  <c r="D479" i="2"/>
  <c r="D478" i="2"/>
  <c r="D477" i="2"/>
  <c r="D476" i="2"/>
  <c r="D475" i="2"/>
  <c r="D474" i="2"/>
  <c r="D473" i="2"/>
  <c r="D472" i="2"/>
  <c r="D471" i="2"/>
  <c r="D470" i="2"/>
  <c r="D469" i="2"/>
  <c r="D468" i="2"/>
  <c r="D467" i="2"/>
  <c r="D466" i="2"/>
  <c r="D465" i="2"/>
  <c r="D464" i="2"/>
  <c r="D463" i="2"/>
  <c r="D462" i="2"/>
  <c r="D461" i="2"/>
  <c r="D460" i="2"/>
  <c r="D459" i="2"/>
  <c r="D458" i="2"/>
  <c r="D457" i="2"/>
  <c r="D456" i="2"/>
  <c r="D455" i="2"/>
  <c r="D454" i="2"/>
  <c r="D453" i="2"/>
  <c r="D452" i="2"/>
  <c r="D451" i="2"/>
  <c r="D450" i="2"/>
  <c r="D449" i="2"/>
  <c r="D448" i="2"/>
  <c r="D447" i="2"/>
  <c r="D446" i="2"/>
  <c r="D445" i="2"/>
  <c r="D444" i="2"/>
  <c r="D443" i="2"/>
  <c r="D442" i="2"/>
  <c r="D441" i="2"/>
  <c r="D439" i="2"/>
  <c r="D438" i="2"/>
  <c r="D437" i="2"/>
  <c r="D436" i="2"/>
  <c r="D435" i="2"/>
  <c r="D434" i="2"/>
  <c r="D433" i="2"/>
  <c r="D432" i="2"/>
  <c r="D431" i="2"/>
  <c r="D430" i="2"/>
  <c r="D429" i="2"/>
  <c r="D428" i="2"/>
  <c r="D427" i="2"/>
  <c r="D426" i="2"/>
  <c r="D425" i="2"/>
  <c r="D424" i="2"/>
  <c r="D423" i="2"/>
  <c r="D422" i="2"/>
  <c r="D421" i="2"/>
  <c r="D420" i="2"/>
  <c r="D419" i="2"/>
  <c r="D418" i="2"/>
  <c r="D417" i="2"/>
  <c r="D416" i="2"/>
  <c r="D415" i="2"/>
  <c r="D414" i="2"/>
  <c r="D413" i="2"/>
  <c r="D412" i="2"/>
  <c r="D411" i="2"/>
  <c r="D410" i="2"/>
  <c r="D409" i="2"/>
  <c r="D408" i="2"/>
  <c r="D407" i="2"/>
  <c r="D406" i="2"/>
  <c r="D405" i="2"/>
  <c r="D404" i="2"/>
  <c r="D403" i="2"/>
  <c r="D402" i="2"/>
  <c r="D401" i="2"/>
  <c r="D400"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372" i="2"/>
  <c r="D371" i="2"/>
  <c r="D370" i="2"/>
  <c r="D369" i="2"/>
  <c r="D368" i="2"/>
  <c r="D367" i="2"/>
  <c r="D366" i="2"/>
  <c r="D365" i="2"/>
  <c r="D364"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334" i="2"/>
  <c r="D333" i="2"/>
  <c r="D332" i="2"/>
  <c r="D331" i="2"/>
  <c r="D330" i="2"/>
  <c r="D329" i="2"/>
  <c r="D328" i="2"/>
  <c r="D327" i="2"/>
  <c r="D326" i="2"/>
  <c r="D325" i="2"/>
  <c r="D324" i="2"/>
  <c r="D323" i="2"/>
  <c r="D322" i="2"/>
  <c r="D321" i="2"/>
  <c r="D320" i="2"/>
  <c r="D319" i="2"/>
  <c r="D318" i="2"/>
  <c r="D317" i="2"/>
  <c r="D316" i="2"/>
  <c r="D315" i="2"/>
  <c r="D314" i="2"/>
  <c r="D313" i="2"/>
  <c r="D312" i="2"/>
  <c r="D311" i="2"/>
  <c r="D310" i="2"/>
  <c r="D309" i="2"/>
  <c r="D308" i="2"/>
  <c r="D307" i="2"/>
  <c r="D306" i="2"/>
  <c r="D305" i="2"/>
  <c r="D304" i="2"/>
  <c r="D303" i="2"/>
  <c r="D302" i="2"/>
  <c r="D301" i="2"/>
  <c r="D300" i="2"/>
  <c r="D298" i="2"/>
  <c r="D297" i="2"/>
  <c r="D296" i="2"/>
  <c r="D295" i="2"/>
  <c r="D294" i="2"/>
  <c r="D293" i="2"/>
  <c r="D292" i="2"/>
  <c r="D291" i="2"/>
  <c r="D290" i="2"/>
  <c r="D289" i="2"/>
  <c r="D288" i="2"/>
  <c r="D287" i="2"/>
  <c r="D286" i="2"/>
  <c r="D285" i="2"/>
  <c r="D284" i="2"/>
  <c r="D283" i="2"/>
  <c r="D282" i="2"/>
  <c r="D281" i="2"/>
  <c r="D280" i="2"/>
  <c r="D279" i="2"/>
  <c r="D278" i="2"/>
  <c r="D277" i="2"/>
  <c r="D276" i="2"/>
  <c r="D275" i="2"/>
  <c r="D274" i="2"/>
  <c r="D273" i="2"/>
  <c r="D272" i="2"/>
  <c r="D271" i="2"/>
  <c r="D270" i="2"/>
  <c r="D269" i="2"/>
  <c r="D268" i="2"/>
  <c r="D267" i="2"/>
  <c r="D266" i="2"/>
  <c r="D265" i="2"/>
  <c r="D264" i="2"/>
  <c r="D263" i="2"/>
  <c r="D262" i="2"/>
  <c r="D261" i="2"/>
  <c r="D260" i="2"/>
  <c r="D259" i="2"/>
  <c r="D258" i="2"/>
  <c r="D257" i="2"/>
  <c r="D256" i="2"/>
  <c r="D255" i="2"/>
  <c r="D254" i="2"/>
  <c r="D253" i="2"/>
  <c r="D252" i="2"/>
  <c r="D251" i="2"/>
  <c r="D250" i="2"/>
  <c r="D249" i="2"/>
  <c r="D248" i="2"/>
  <c r="D247" i="2"/>
  <c r="D246" i="2"/>
  <c r="D245" i="2"/>
  <c r="D244" i="2"/>
  <c r="D243" i="2"/>
  <c r="D242" i="2"/>
  <c r="D241" i="2"/>
  <c r="D240" i="2"/>
  <c r="D239" i="2"/>
  <c r="D238" i="2"/>
  <c r="D237" i="2"/>
  <c r="D236" i="2"/>
  <c r="D235" i="2"/>
  <c r="D23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D2020" i="2"/>
  <c r="D2009" i="2" l="1"/>
</calcChain>
</file>

<file path=xl/comments1.xml><?xml version="1.0" encoding="utf-8"?>
<comments xmlns="http://schemas.openxmlformats.org/spreadsheetml/2006/main">
  <authors>
    <author>Thomschke, Friedrun</author>
  </authors>
  <commentList>
    <comment ref="I1" authorId="0" shapeId="0">
      <text>
        <r>
          <rPr>
            <b/>
            <sz val="9"/>
            <color indexed="81"/>
            <rFont val="Segoe UI"/>
            <charset val="1"/>
          </rPr>
          <t>Thomschke, Friedrun:</t>
        </r>
        <r>
          <rPr>
            <sz val="9"/>
            <color indexed="81"/>
            <rFont val="Segoe UI"/>
            <charset val="1"/>
          </rPr>
          <t xml:space="preserve">
Grün unterlegte Zellen bedeuten, dass es sich bei der Signatur um ein Schreibmeisterbuch handelt. Die Markierung basiert auf der von B. Rüdiger erstellten Excelliste. Diese Bücher sollen digitalisiert werden.</t>
        </r>
      </text>
    </commen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Y7" authorId="0" shapeId="0">
      <text>
        <r>
          <rPr>
            <b/>
            <sz val="9"/>
            <color indexed="81"/>
            <rFont val="Segoe UI"/>
            <charset val="1"/>
          </rPr>
          <t>Thomschke, Friedrun:</t>
        </r>
        <r>
          <rPr>
            <sz val="9"/>
            <color indexed="81"/>
            <rFont val="Segoe UI"/>
            <charset val="1"/>
          </rPr>
          <t xml:space="preserve">
flexibler Pg</t>
        </r>
      </text>
    </comment>
    <comment ref="AW54" authorId="0" shapeId="0">
      <text>
        <r>
          <rPr>
            <b/>
            <sz val="9"/>
            <color indexed="81"/>
            <rFont val="Segoe UI"/>
            <charset val="1"/>
          </rPr>
          <t>Thomschke, Friedrun:</t>
        </r>
        <r>
          <rPr>
            <sz val="9"/>
            <color indexed="81"/>
            <rFont val="Segoe UI"/>
            <charset val="1"/>
          </rPr>
          <t xml:space="preserve">
nach vollständigem Lösen des festen Rückens</t>
        </r>
      </text>
    </comment>
    <comment ref="AW95" authorId="0" shapeId="0">
      <text>
        <r>
          <rPr>
            <b/>
            <sz val="9"/>
            <color indexed="81"/>
            <rFont val="Segoe UI"/>
            <charset val="1"/>
          </rPr>
          <t>Thomschke, Friedrun:</t>
        </r>
        <r>
          <rPr>
            <sz val="9"/>
            <color indexed="81"/>
            <rFont val="Segoe UI"/>
            <charset val="1"/>
          </rPr>
          <t xml:space="preserve">
wegen Rücken</t>
        </r>
      </text>
    </comment>
    <comment ref="AW172" authorId="0" shapeId="0">
      <text>
        <r>
          <rPr>
            <b/>
            <sz val="9"/>
            <color indexed="81"/>
            <rFont val="Segoe UI"/>
            <charset val="1"/>
          </rPr>
          <t>Thomschke, Friedrun:</t>
        </r>
        <r>
          <rPr>
            <sz val="9"/>
            <color indexed="81"/>
            <rFont val="Segoe UI"/>
            <charset val="1"/>
          </rPr>
          <t xml:space="preserve">
nach Rest. entgültig festlegen</t>
        </r>
      </text>
    </comment>
    <comment ref="Y184" authorId="0" shapeId="0">
      <text>
        <r>
          <rPr>
            <b/>
            <sz val="9"/>
            <color indexed="81"/>
            <rFont val="Segoe UI"/>
            <charset val="1"/>
          </rPr>
          <t>Thomschke, Friedrun:</t>
        </r>
        <r>
          <rPr>
            <sz val="9"/>
            <color indexed="81"/>
            <rFont val="Segoe UI"/>
            <charset val="1"/>
          </rPr>
          <t xml:space="preserve">
flexibler Lederband</t>
        </r>
      </text>
    </comment>
    <comment ref="AY204" authorId="0" shapeId="0">
      <text>
        <r>
          <rPr>
            <b/>
            <sz val="9"/>
            <color indexed="81"/>
            <rFont val="Segoe UI"/>
            <charset val="1"/>
          </rPr>
          <t>Thomschke, Friedrun:</t>
        </r>
        <r>
          <rPr>
            <sz val="9"/>
            <color indexed="81"/>
            <rFont val="Segoe UI"/>
            <charset val="1"/>
          </rPr>
          <t xml:space="preserve">
wird im kaputten Zustand digit.</t>
        </r>
      </text>
    </comment>
    <comment ref="AW319" authorId="0" shapeId="0">
      <text>
        <r>
          <rPr>
            <b/>
            <sz val="9"/>
            <color indexed="81"/>
            <rFont val="Segoe UI"/>
            <family val="2"/>
          </rPr>
          <t>Thomschke, Friedrun:</t>
        </r>
        <r>
          <rPr>
            <sz val="9"/>
            <color indexed="81"/>
            <rFont val="Segoe UI"/>
            <family val="2"/>
          </rPr>
          <t xml:space="preserve">
entgültig nach Rest. festlegen</t>
        </r>
      </text>
    </comment>
    <comment ref="BM329" authorId="0" shapeId="0">
      <text>
        <r>
          <rPr>
            <b/>
            <sz val="9"/>
            <color indexed="81"/>
            <rFont val="Segoe UI"/>
            <charset val="1"/>
          </rPr>
          <t>Thomschke, Friedrun:</t>
        </r>
        <r>
          <rPr>
            <sz val="9"/>
            <color indexed="81"/>
            <rFont val="Segoe UI"/>
            <charset val="1"/>
          </rPr>
          <t xml:space="preserve">
mit Falttafel</t>
        </r>
      </text>
    </comment>
    <comment ref="AW339" authorId="0" shapeId="0">
      <text>
        <r>
          <rPr>
            <b/>
            <sz val="9"/>
            <color indexed="81"/>
            <rFont val="Segoe UI"/>
            <charset val="1"/>
          </rPr>
          <t>Thomschke, Friedrun:</t>
        </r>
        <r>
          <rPr>
            <sz val="9"/>
            <color indexed="81"/>
            <rFont val="Segoe UI"/>
            <charset val="1"/>
          </rPr>
          <t xml:space="preserve">
entgültig nach der Rest. festlegen</t>
        </r>
      </text>
    </comment>
    <comment ref="BM444" authorId="0" shapeId="0">
      <text>
        <r>
          <rPr>
            <b/>
            <sz val="9"/>
            <color indexed="81"/>
            <rFont val="Segoe UI"/>
            <charset val="1"/>
          </rPr>
          <t>Thomschke, Friedrun:</t>
        </r>
        <r>
          <rPr>
            <sz val="9"/>
            <color indexed="81"/>
            <rFont val="Segoe UI"/>
            <charset val="1"/>
          </rPr>
          <t xml:space="preserve">
mit Falttafel</t>
        </r>
      </text>
    </comment>
    <comment ref="AW492" authorId="0" shapeId="0">
      <text>
        <r>
          <rPr>
            <b/>
            <sz val="9"/>
            <color indexed="81"/>
            <rFont val="Segoe UI"/>
            <charset val="1"/>
          </rPr>
          <t>Thomschke, Friedrun:</t>
        </r>
        <r>
          <rPr>
            <sz val="9"/>
            <color indexed="81"/>
            <rFont val="Segoe UI"/>
            <charset val="1"/>
          </rPr>
          <t xml:space="preserve">
entgültig nach Rest. festlegen</t>
        </r>
      </text>
    </comment>
    <comment ref="AW591" authorId="0" shapeId="0">
      <text>
        <r>
          <rPr>
            <b/>
            <sz val="9"/>
            <color indexed="81"/>
            <rFont val="Segoe UI"/>
            <charset val="1"/>
          </rPr>
          <t>Thomschke, Friedrun:</t>
        </r>
        <r>
          <rPr>
            <sz val="9"/>
            <color indexed="81"/>
            <rFont val="Segoe UI"/>
            <charset val="1"/>
          </rPr>
          <t xml:space="preserve">
wegen Rücken</t>
        </r>
      </text>
    </comment>
    <comment ref="AW593" authorId="0" shapeId="0">
      <text>
        <r>
          <rPr>
            <b/>
            <sz val="9"/>
            <color indexed="81"/>
            <rFont val="Segoe UI"/>
            <charset val="1"/>
          </rPr>
          <t>Thomschke, Friedrun:</t>
        </r>
        <r>
          <rPr>
            <sz val="9"/>
            <color indexed="81"/>
            <rFont val="Segoe UI"/>
            <charset val="1"/>
          </rPr>
          <t xml:space="preserve">
wegen Rücken</t>
        </r>
      </text>
    </comment>
    <comment ref="AW599" authorId="0" shapeId="0">
      <text>
        <r>
          <rPr>
            <b/>
            <sz val="9"/>
            <color indexed="81"/>
            <rFont val="Segoe UI"/>
            <charset val="1"/>
          </rPr>
          <t>Thomschke, Friedrun:</t>
        </r>
        <r>
          <rPr>
            <sz val="9"/>
            <color indexed="81"/>
            <rFont val="Segoe UI"/>
            <charset val="1"/>
          </rPr>
          <t xml:space="preserve">
nach Rest. Überprüfen/entgültig festlegen</t>
        </r>
      </text>
    </comment>
    <comment ref="AY614" authorId="0" shapeId="0">
      <text>
        <r>
          <rPr>
            <b/>
            <sz val="9"/>
            <color indexed="81"/>
            <rFont val="Segoe UI"/>
            <charset val="1"/>
          </rPr>
          <t>Thomschke, Friedrun:</t>
        </r>
        <r>
          <rPr>
            <sz val="9"/>
            <color indexed="81"/>
            <rFont val="Segoe UI"/>
            <charset val="1"/>
          </rPr>
          <t xml:space="preserve">
wegen Faltkarten</t>
        </r>
      </text>
    </comment>
    <comment ref="AW623" authorId="0" shapeId="0">
      <text>
        <r>
          <rPr>
            <b/>
            <sz val="9"/>
            <color indexed="81"/>
            <rFont val="Segoe UI"/>
            <charset val="1"/>
          </rPr>
          <t>Thomschke, Friedrun:</t>
        </r>
        <r>
          <rPr>
            <sz val="9"/>
            <color indexed="81"/>
            <rFont val="Segoe UI"/>
            <charset val="1"/>
          </rPr>
          <t xml:space="preserve">
bröseliger Rücken</t>
        </r>
      </text>
    </comment>
    <comment ref="AW648" authorId="0" shapeId="0">
      <text>
        <r>
          <rPr>
            <b/>
            <sz val="9"/>
            <color indexed="81"/>
            <rFont val="Segoe UI"/>
            <charset val="1"/>
          </rPr>
          <t>Thomschke, Friedrun:</t>
        </r>
        <r>
          <rPr>
            <sz val="9"/>
            <color indexed="81"/>
            <rFont val="Segoe UI"/>
            <charset val="1"/>
          </rPr>
          <t xml:space="preserve">
wegen Rücken</t>
        </r>
      </text>
    </comment>
    <comment ref="AW649" authorId="0" shapeId="0">
      <text>
        <r>
          <rPr>
            <b/>
            <sz val="9"/>
            <color indexed="81"/>
            <rFont val="Segoe UI"/>
            <charset val="1"/>
          </rPr>
          <t>Thomschke, Friedrun:</t>
        </r>
        <r>
          <rPr>
            <sz val="9"/>
            <color indexed="81"/>
            <rFont val="Segoe UI"/>
            <charset val="1"/>
          </rPr>
          <t xml:space="preserve">
wegen Rücken</t>
        </r>
      </text>
    </comment>
    <comment ref="AW652" authorId="0" shapeId="0">
      <text>
        <r>
          <rPr>
            <b/>
            <sz val="9"/>
            <color indexed="81"/>
            <rFont val="Segoe UI"/>
            <charset val="1"/>
          </rPr>
          <t>Thomschke, Friedrun:</t>
        </r>
        <r>
          <rPr>
            <sz val="9"/>
            <color indexed="81"/>
            <rFont val="Segoe UI"/>
            <charset val="1"/>
          </rPr>
          <t xml:space="preserve">
wegen Rücken</t>
        </r>
      </text>
    </comment>
    <comment ref="AW855" authorId="0" shapeId="0">
      <text>
        <r>
          <rPr>
            <b/>
            <sz val="9"/>
            <color indexed="81"/>
            <rFont val="Segoe UI"/>
            <charset val="1"/>
          </rPr>
          <t>Thomschke, Friedrun:</t>
        </r>
        <r>
          <rPr>
            <sz val="9"/>
            <color indexed="81"/>
            <rFont val="Segoe UI"/>
            <charset val="1"/>
          </rPr>
          <t xml:space="preserve">
nach Rest. Entscheiden ob ÖW 45 oder 0</t>
        </r>
      </text>
    </comment>
    <comment ref="AW919" authorId="0" shapeId="0">
      <text>
        <r>
          <rPr>
            <b/>
            <sz val="9"/>
            <color indexed="81"/>
            <rFont val="Segoe UI"/>
          </rPr>
          <t>Thomschke, Friedrun:</t>
        </r>
        <r>
          <rPr>
            <sz val="9"/>
            <color indexed="81"/>
            <rFont val="Segoe UI"/>
          </rPr>
          <t xml:space="preserve">
nach Rest. entgültig festlegen</t>
        </r>
      </text>
    </comment>
    <comment ref="AY973" authorId="0" shapeId="0">
      <text>
        <r>
          <rPr>
            <b/>
            <sz val="9"/>
            <color indexed="81"/>
            <rFont val="Segoe UI"/>
          </rPr>
          <t>Thomschke, Friedrun:</t>
        </r>
        <r>
          <rPr>
            <sz val="9"/>
            <color indexed="81"/>
            <rFont val="Segoe UI"/>
          </rPr>
          <t xml:space="preserve">
Buch mit extrem dicker Rückeneinlage, Gelenke kaputt --&gt; Rücken unbedingt freischwebend</t>
        </r>
      </text>
    </comment>
    <comment ref="AW981" authorId="0" shapeId="0">
      <text>
        <r>
          <rPr>
            <b/>
            <sz val="9"/>
            <color indexed="81"/>
            <rFont val="Segoe UI"/>
          </rPr>
          <t>Thomschke, Friedrun:</t>
        </r>
        <r>
          <rPr>
            <sz val="9"/>
            <color indexed="81"/>
            <rFont val="Segoe UI"/>
          </rPr>
          <t xml:space="preserve">
nach Rest. entgültig festlegen</t>
        </r>
      </text>
    </comment>
    <comment ref="AY1043" authorId="0" shapeId="0">
      <text>
        <r>
          <rPr>
            <b/>
            <sz val="9"/>
            <color indexed="81"/>
            <rFont val="Segoe UI"/>
            <charset val="1"/>
          </rPr>
          <t>Thomschke, Friedrun:</t>
        </r>
        <r>
          <rPr>
            <sz val="9"/>
            <color indexed="81"/>
            <rFont val="Segoe UI"/>
            <charset val="1"/>
          </rPr>
          <t xml:space="preserve">
wegen Schaden, Rücken wird erst nach der Digit. wieder angebracht</t>
        </r>
      </text>
    </comment>
    <comment ref="BM1151" authorId="0" shapeId="0">
      <text>
        <r>
          <rPr>
            <b/>
            <sz val="9"/>
            <color indexed="81"/>
            <rFont val="Segoe UI"/>
          </rPr>
          <t>Thomschke, Friedrun:</t>
        </r>
        <r>
          <rPr>
            <sz val="9"/>
            <color indexed="81"/>
            <rFont val="Segoe UI"/>
          </rPr>
          <t xml:space="preserve">
loser VD</t>
        </r>
      </text>
    </comment>
    <comment ref="AW1380" authorId="0" shapeId="0">
      <text>
        <r>
          <rPr>
            <b/>
            <sz val="9"/>
            <color indexed="81"/>
            <rFont val="Segoe UI"/>
          </rPr>
          <t>Thomschke, Friedrun:</t>
        </r>
        <r>
          <rPr>
            <sz val="9"/>
            <color indexed="81"/>
            <rFont val="Segoe UI"/>
          </rPr>
          <t xml:space="preserve">
wegen Rücken</t>
        </r>
      </text>
    </comment>
    <comment ref="Y1435" authorId="0" shapeId="0">
      <text>
        <r>
          <rPr>
            <b/>
            <sz val="9"/>
            <color indexed="81"/>
            <rFont val="Segoe UI"/>
            <charset val="1"/>
          </rPr>
          <t>Thomschke, Friedrun:</t>
        </r>
        <r>
          <rPr>
            <sz val="9"/>
            <color indexed="81"/>
            <rFont val="Segoe UI"/>
            <charset val="1"/>
          </rPr>
          <t xml:space="preserve">
flexibler Pg</t>
        </r>
      </text>
    </comment>
    <comment ref="AW1511" authorId="0" shapeId="0">
      <text>
        <r>
          <rPr>
            <b/>
            <sz val="9"/>
            <color indexed="81"/>
            <rFont val="Segoe UI"/>
            <charset val="1"/>
          </rPr>
          <t>Thomschke, Friedrun:</t>
        </r>
        <r>
          <rPr>
            <sz val="9"/>
            <color indexed="81"/>
            <rFont val="Segoe UI"/>
            <charset val="1"/>
          </rPr>
          <t xml:space="preserve">
entgültig nach Rest. festlegen</t>
        </r>
      </text>
    </comment>
    <comment ref="AW1557" authorId="0" shapeId="0">
      <text>
        <r>
          <rPr>
            <b/>
            <sz val="9"/>
            <color indexed="81"/>
            <rFont val="Segoe UI"/>
            <family val="2"/>
          </rPr>
          <t>Thomschke, Friedrun:</t>
        </r>
        <r>
          <rPr>
            <sz val="9"/>
            <color indexed="81"/>
            <rFont val="Segoe UI"/>
            <family val="2"/>
          </rPr>
          <t xml:space="preserve">
probieren mit welligen Seiten</t>
        </r>
      </text>
    </comment>
    <comment ref="AW1581" authorId="0" shapeId="0">
      <text>
        <r>
          <rPr>
            <b/>
            <sz val="9"/>
            <color indexed="81"/>
            <rFont val="Segoe UI"/>
            <charset val="1"/>
          </rPr>
          <t>Thomschke, Friedrun:</t>
        </r>
        <r>
          <rPr>
            <sz val="9"/>
            <color indexed="81"/>
            <rFont val="Segoe UI"/>
            <charset val="1"/>
          </rPr>
          <t xml:space="preserve">
wegen Rücken (steif und bröselig)</t>
        </r>
      </text>
    </comment>
    <comment ref="AW1680" authorId="0" shapeId="0">
      <text>
        <r>
          <rPr>
            <b/>
            <sz val="9"/>
            <color indexed="81"/>
            <rFont val="Segoe UI"/>
            <charset val="1"/>
          </rPr>
          <t>Thomschke, Friedrun:</t>
        </r>
        <r>
          <rPr>
            <sz val="9"/>
            <color indexed="81"/>
            <rFont val="Segoe UI"/>
            <charset val="1"/>
          </rPr>
          <t xml:space="preserve">
wegen Rücken (rissig)</t>
        </r>
      </text>
    </comment>
    <comment ref="AW1681" authorId="0" shapeId="0">
      <text>
        <r>
          <rPr>
            <b/>
            <sz val="9"/>
            <color indexed="81"/>
            <rFont val="Segoe UI"/>
            <charset val="1"/>
          </rPr>
          <t>Thomschke, Friedrun:</t>
        </r>
        <r>
          <rPr>
            <sz val="9"/>
            <color indexed="81"/>
            <rFont val="Segoe UI"/>
            <charset val="1"/>
          </rPr>
          <t xml:space="preserve">
wegen Rücken (steif, bröselt)</t>
        </r>
      </text>
    </comment>
    <comment ref="AW1682" authorId="0" shapeId="0">
      <text>
        <r>
          <rPr>
            <b/>
            <sz val="9"/>
            <color indexed="81"/>
            <rFont val="Segoe UI"/>
            <charset val="1"/>
          </rPr>
          <t>Thomschke, Friedrun:</t>
        </r>
        <r>
          <rPr>
            <sz val="9"/>
            <color indexed="81"/>
            <rFont val="Segoe UI"/>
            <charset val="1"/>
          </rPr>
          <t xml:space="preserve">
wegen Rücken (rissig)</t>
        </r>
      </text>
    </comment>
    <comment ref="AW1962" authorId="0" shapeId="0">
      <text>
        <r>
          <rPr>
            <b/>
            <sz val="9"/>
            <color indexed="81"/>
            <rFont val="Segoe UI"/>
            <family val="2"/>
          </rPr>
          <t>Thomschke, Friedrun:</t>
        </r>
        <r>
          <rPr>
            <sz val="9"/>
            <color indexed="81"/>
            <rFont val="Segoe UI"/>
            <family val="2"/>
          </rPr>
          <t xml:space="preserve">
Grenzfall!</t>
        </r>
      </text>
    </comment>
    <comment ref="AW1963" authorId="0" shapeId="0">
      <text>
        <r>
          <rPr>
            <b/>
            <sz val="9"/>
            <color indexed="81"/>
            <rFont val="Segoe UI"/>
            <family val="2"/>
          </rPr>
          <t>Thomschke, Friedrun:</t>
        </r>
        <r>
          <rPr>
            <sz val="9"/>
            <color indexed="81"/>
            <rFont val="Segoe UI"/>
            <family val="2"/>
          </rPr>
          <t xml:space="preserve">
Grenzfall!</t>
        </r>
      </text>
    </comment>
    <comment ref="Y1965" authorId="0" shapeId="0">
      <text>
        <r>
          <rPr>
            <b/>
            <sz val="9"/>
            <color indexed="81"/>
            <rFont val="Segoe UI"/>
            <charset val="1"/>
          </rPr>
          <t>Thomschke, Friedrun:</t>
        </r>
        <r>
          <rPr>
            <sz val="9"/>
            <color indexed="81"/>
            <rFont val="Segoe UI"/>
            <charset val="1"/>
          </rPr>
          <t xml:space="preserve">
Samteinband</t>
        </r>
      </text>
    </comment>
    <comment ref="AW1965" authorId="0" shapeId="0">
      <text>
        <r>
          <rPr>
            <b/>
            <sz val="9"/>
            <color indexed="81"/>
            <rFont val="Segoe UI"/>
            <charset val="1"/>
          </rPr>
          <t>Thomschke, Friedrun:</t>
        </r>
        <r>
          <rPr>
            <sz val="9"/>
            <color indexed="81"/>
            <rFont val="Segoe UI"/>
            <charset val="1"/>
          </rPr>
          <t xml:space="preserve">
Rücken stark abgebaut</t>
        </r>
      </text>
    </comment>
    <comment ref="BM1971" authorId="0" shapeId="0">
      <text>
        <r>
          <rPr>
            <b/>
            <sz val="9"/>
            <color indexed="81"/>
            <rFont val="Segoe UI"/>
            <charset val="1"/>
          </rPr>
          <t>Thomschke, Friedrun:</t>
        </r>
        <r>
          <rPr>
            <sz val="9"/>
            <color indexed="81"/>
            <rFont val="Segoe UI"/>
            <charset val="1"/>
          </rPr>
          <t xml:space="preserve">
mit Falttafel</t>
        </r>
      </text>
    </comment>
    <comment ref="AW1973" authorId="0" shapeId="0">
      <text>
        <r>
          <rPr>
            <b/>
            <sz val="9"/>
            <color indexed="81"/>
            <rFont val="Segoe UI"/>
            <charset val="1"/>
          </rPr>
          <t>Thomschke, Friedrun:</t>
        </r>
        <r>
          <rPr>
            <sz val="9"/>
            <color indexed="81"/>
            <rFont val="Segoe UI"/>
            <charset val="1"/>
          </rPr>
          <t xml:space="preserve">
nach Rest. entgültig festlegen</t>
        </r>
      </text>
    </comment>
    <comment ref="AW1979" authorId="0" shapeId="0">
      <text>
        <r>
          <rPr>
            <b/>
            <sz val="9"/>
            <color indexed="81"/>
            <rFont val="Segoe UI"/>
            <charset val="1"/>
          </rPr>
          <t>Thomschke, Friedrun:</t>
        </r>
        <r>
          <rPr>
            <sz val="9"/>
            <color indexed="81"/>
            <rFont val="Segoe UI"/>
            <charset val="1"/>
          </rPr>
          <t xml:space="preserve">
nach Rest. entgültig festlegen</t>
        </r>
      </text>
    </comment>
    <comment ref="AW2150" authorId="0" shapeId="0">
      <text>
        <r>
          <rPr>
            <b/>
            <sz val="9"/>
            <color indexed="81"/>
            <rFont val="Segoe UI"/>
            <charset val="1"/>
          </rPr>
          <t>Thomschke, Friedrun:</t>
        </r>
        <r>
          <rPr>
            <sz val="9"/>
            <color indexed="81"/>
            <rFont val="Segoe UI"/>
            <charset val="1"/>
          </rPr>
          <t xml:space="preserve">
wegen Rücken, Leder ist fast papierartig und sehr brüchig</t>
        </r>
      </text>
    </comment>
    <comment ref="AC2156" authorId="0" shapeId="0">
      <text>
        <r>
          <rPr>
            <b/>
            <sz val="9"/>
            <color indexed="81"/>
            <rFont val="Segoe UI"/>
            <charset val="1"/>
          </rPr>
          <t>Thomschke, Friedrun:</t>
        </r>
        <r>
          <rPr>
            <sz val="9"/>
            <color indexed="81"/>
            <rFont val="Segoe UI"/>
            <charset val="1"/>
          </rPr>
          <t xml:space="preserve">
inzwischen hohl</t>
        </r>
      </text>
    </comment>
    <comment ref="AY2196" authorId="0" shapeId="0">
      <text>
        <r>
          <rPr>
            <b/>
            <sz val="9"/>
            <color indexed="81"/>
            <rFont val="Segoe UI"/>
            <charset val="1"/>
          </rPr>
          <t>Thomschke, Friedrun:</t>
        </r>
        <r>
          <rPr>
            <sz val="9"/>
            <color indexed="81"/>
            <rFont val="Segoe UI"/>
            <charset val="1"/>
          </rPr>
          <t xml:space="preserve">
Rücken freischwebend oder ggf. ausfüttern</t>
        </r>
      </text>
    </comment>
    <comment ref="AC2214" authorId="0" shapeId="0">
      <text>
        <r>
          <rPr>
            <b/>
            <sz val="9"/>
            <color indexed="81"/>
            <rFont val="Segoe UI"/>
            <charset val="1"/>
          </rPr>
          <t>Thomschke, Friedrun:</t>
        </r>
        <r>
          <rPr>
            <sz val="9"/>
            <color indexed="81"/>
            <rFont val="Segoe UI"/>
            <charset val="1"/>
          </rPr>
          <t xml:space="preserve">
nach Reparatur</t>
        </r>
      </text>
    </comment>
    <comment ref="AW2214" authorId="0" shapeId="0">
      <text>
        <r>
          <rPr>
            <b/>
            <sz val="9"/>
            <color indexed="81"/>
            <rFont val="Segoe UI"/>
            <charset val="1"/>
          </rPr>
          <t>Thomschke, Friedrun:</t>
        </r>
        <r>
          <rPr>
            <sz val="9"/>
            <color indexed="81"/>
            <rFont val="Segoe UI"/>
            <charset val="1"/>
          </rPr>
          <t xml:space="preserve">
wegen Rücken, Narben ist gefährdet</t>
        </r>
      </text>
    </comment>
    <comment ref="AW2263" authorId="0" shapeId="0">
      <text>
        <r>
          <rPr>
            <b/>
            <sz val="9"/>
            <color indexed="81"/>
            <rFont val="Segoe UI"/>
            <charset val="1"/>
          </rPr>
          <t>Thomschke, Friedrun:</t>
        </r>
        <r>
          <rPr>
            <sz val="9"/>
            <color indexed="81"/>
            <rFont val="Segoe UI"/>
            <charset val="1"/>
          </rPr>
          <t xml:space="preserve">
entgültig nach Rest. festlegen</t>
        </r>
      </text>
    </comment>
    <comment ref="AW2295" authorId="0" shapeId="0">
      <text>
        <r>
          <rPr>
            <b/>
            <sz val="9"/>
            <color indexed="81"/>
            <rFont val="Segoe UI"/>
            <charset val="1"/>
          </rPr>
          <t>Thomschke, Friedrun:</t>
        </r>
        <r>
          <rPr>
            <sz val="9"/>
            <color indexed="81"/>
            <rFont val="Segoe UI"/>
            <charset val="1"/>
          </rPr>
          <t xml:space="preserve">
entgültig nach Rest. festlegen</t>
        </r>
      </text>
    </comment>
    <comment ref="Y2713" authorId="0" shapeId="0">
      <text>
        <r>
          <rPr>
            <b/>
            <sz val="9"/>
            <color indexed="81"/>
            <rFont val="Segoe UI"/>
            <charset val="1"/>
          </rPr>
          <t>Thomschke, Friedrun:</t>
        </r>
        <r>
          <rPr>
            <sz val="9"/>
            <color indexed="81"/>
            <rFont val="Segoe UI"/>
            <charset val="1"/>
          </rPr>
          <t xml:space="preserve">
insges. 18 Stück, Interimsbroschuren, geschlossene Lagen</t>
        </r>
      </text>
    </comment>
    <comment ref="AW2713" authorId="0" shapeId="0">
      <text>
        <r>
          <rPr>
            <b/>
            <sz val="9"/>
            <color indexed="81"/>
            <rFont val="Segoe UI"/>
            <charset val="1"/>
          </rPr>
          <t>Thomschke, Friedrun:</t>
        </r>
        <r>
          <rPr>
            <sz val="9"/>
            <color indexed="81"/>
            <rFont val="Segoe UI"/>
            <charset val="1"/>
          </rPr>
          <t xml:space="preserve">
geschlossene Lagen</t>
        </r>
      </text>
    </comment>
    <comment ref="AW3106" authorId="0" shapeId="0">
      <text>
        <r>
          <rPr>
            <b/>
            <sz val="9"/>
            <color indexed="81"/>
            <rFont val="Segoe UI"/>
            <family val="2"/>
          </rPr>
          <t>Thomschke, Friedrun:</t>
        </r>
        <r>
          <rPr>
            <sz val="9"/>
            <color indexed="81"/>
            <rFont val="Segoe UI"/>
            <family val="2"/>
          </rPr>
          <t xml:space="preserve">
dicker Perg.bd. (10cm), Rücken knackt auch bei 30°</t>
        </r>
      </text>
    </comment>
    <comment ref="AW3511" authorId="0" shapeId="0">
      <text>
        <r>
          <rPr>
            <b/>
            <sz val="9"/>
            <color indexed="81"/>
            <rFont val="Segoe UI"/>
            <charset val="1"/>
          </rPr>
          <t>Thomschke, Friedrun:</t>
        </r>
        <r>
          <rPr>
            <sz val="9"/>
            <color indexed="81"/>
            <rFont val="Segoe UI"/>
            <charset val="1"/>
          </rPr>
          <t xml:space="preserve">
nach Rest. entgültig festlegen</t>
        </r>
      </text>
    </comment>
    <comment ref="Y3575" authorId="0" shapeId="0">
      <text>
        <r>
          <rPr>
            <b/>
            <sz val="9"/>
            <color indexed="81"/>
            <rFont val="Segoe UI"/>
            <charset val="1"/>
          </rPr>
          <t>Thomschke, Friedrun:</t>
        </r>
        <r>
          <rPr>
            <sz val="9"/>
            <color indexed="81"/>
            <rFont val="Segoe UI"/>
            <charset val="1"/>
          </rPr>
          <t xml:space="preserve">
flexibler Pg</t>
        </r>
      </text>
    </comment>
    <comment ref="AW3575" authorId="0" shapeId="0">
      <text>
        <r>
          <rPr>
            <b/>
            <sz val="9"/>
            <color indexed="81"/>
            <rFont val="Segoe UI"/>
            <charset val="1"/>
          </rPr>
          <t>Thomschke, Friedrun:</t>
        </r>
        <r>
          <rPr>
            <sz val="9"/>
            <color indexed="81"/>
            <rFont val="Segoe UI"/>
            <charset val="1"/>
          </rPr>
          <t xml:space="preserve">
entgültig nach Rest. festlegen</t>
        </r>
      </text>
    </comment>
    <comment ref="AW3585" authorId="0" shapeId="0">
      <text>
        <r>
          <rPr>
            <b/>
            <sz val="9"/>
            <color indexed="81"/>
            <rFont val="Segoe UI"/>
            <charset val="1"/>
          </rPr>
          <t>Thomschke, Friedrun:</t>
        </r>
        <r>
          <rPr>
            <sz val="9"/>
            <color indexed="81"/>
            <rFont val="Segoe UI"/>
            <charset val="1"/>
          </rPr>
          <t xml:space="preserve">
entgültig nach Rest. festlegen</t>
        </r>
      </text>
    </comment>
    <comment ref="AY3668" authorId="0" shapeId="0">
      <text>
        <r>
          <rPr>
            <b/>
            <sz val="9"/>
            <color indexed="81"/>
            <rFont val="Segoe UI"/>
            <charset val="1"/>
          </rPr>
          <t>Thomschke, Friedrun:</t>
        </r>
        <r>
          <rPr>
            <sz val="9"/>
            <color indexed="81"/>
            <rFont val="Segoe UI"/>
            <charset val="1"/>
          </rPr>
          <t xml:space="preserve">
Faltschema der Karten ungewöhnlich</t>
        </r>
      </text>
    </comment>
    <comment ref="AY3675" authorId="0" shapeId="0">
      <text>
        <r>
          <rPr>
            <b/>
            <sz val="9"/>
            <color indexed="81"/>
            <rFont val="Segoe UI"/>
            <family val="2"/>
          </rPr>
          <t>Thomschke, Friedrun:</t>
        </r>
        <r>
          <rPr>
            <sz val="9"/>
            <color indexed="81"/>
            <rFont val="Segoe UI"/>
            <family val="2"/>
          </rPr>
          <t xml:space="preserve">
Falttafeln gehen über beide Seiten und weit in den Falz hinein</t>
        </r>
      </text>
    </comment>
    <comment ref="AY3676" authorId="0" shapeId="0">
      <text>
        <r>
          <rPr>
            <b/>
            <sz val="9"/>
            <color indexed="81"/>
            <rFont val="Segoe UI"/>
            <family val="2"/>
          </rPr>
          <t>Thomschke, Friedrun:</t>
        </r>
        <r>
          <rPr>
            <sz val="9"/>
            <color indexed="81"/>
            <rFont val="Segoe UI"/>
            <family val="2"/>
          </rPr>
          <t xml:space="preserve">
Falttafeln gehen über beide Seiten und weit in den Falz hinein</t>
        </r>
      </text>
    </comment>
    <comment ref="AY3680" authorId="0" shapeId="0">
      <text>
        <r>
          <rPr>
            <b/>
            <sz val="9"/>
            <color indexed="81"/>
            <rFont val="Segoe UI"/>
            <family val="2"/>
          </rPr>
          <t>Thomschke, Friedrun:</t>
        </r>
        <r>
          <rPr>
            <sz val="9"/>
            <color indexed="81"/>
            <rFont val="Segoe UI"/>
            <family val="2"/>
          </rPr>
          <t xml:space="preserve">
Falttafeln gehen über beide Seiten und weit in den Falz hinein</t>
        </r>
      </text>
    </comment>
    <comment ref="Y3735" authorId="0" shapeId="0">
      <text>
        <r>
          <rPr>
            <b/>
            <sz val="9"/>
            <color indexed="81"/>
            <rFont val="Segoe UI"/>
            <charset val="1"/>
          </rPr>
          <t>Thomschke, Friedrun:</t>
        </r>
        <r>
          <rPr>
            <sz val="9"/>
            <color indexed="81"/>
            <rFont val="Segoe UI"/>
            <charset val="1"/>
          </rPr>
          <t xml:space="preserve">
Einzelblätter in Folientaschen</t>
        </r>
      </text>
    </comment>
    <comment ref="U3736" authorId="0" shapeId="0">
      <text>
        <r>
          <rPr>
            <b/>
            <sz val="9"/>
            <color indexed="81"/>
            <rFont val="Segoe UI"/>
            <family val="2"/>
          </rPr>
          <t>Thomschke, Friedrun:</t>
        </r>
        <r>
          <rPr>
            <sz val="9"/>
            <color indexed="81"/>
            <rFont val="Segoe UI"/>
            <family val="2"/>
          </rPr>
          <t xml:space="preserve">
ist ein Einbandfragment</t>
        </r>
      </text>
    </comment>
    <comment ref="AW3739" authorId="0" shapeId="0">
      <text>
        <r>
          <rPr>
            <b/>
            <sz val="9"/>
            <color indexed="81"/>
            <rFont val="Segoe UI"/>
            <charset val="1"/>
          </rPr>
          <t>Thomschke, Friedrun:</t>
        </r>
        <r>
          <rPr>
            <sz val="9"/>
            <color indexed="81"/>
            <rFont val="Segoe UI"/>
            <charset val="1"/>
          </rPr>
          <t xml:space="preserve">
BB total steif und eng gebunden</t>
        </r>
      </text>
    </comment>
    <comment ref="AW3740" authorId="0" shapeId="0">
      <text>
        <r>
          <rPr>
            <b/>
            <sz val="9"/>
            <color indexed="81"/>
            <rFont val="Segoe UI"/>
            <charset val="1"/>
          </rPr>
          <t>Thomschke, Friedrun:</t>
        </r>
        <r>
          <rPr>
            <sz val="9"/>
            <color indexed="81"/>
            <rFont val="Segoe UI"/>
            <charset val="1"/>
          </rPr>
          <t xml:space="preserve">
BB total steif und eng gebunden</t>
        </r>
      </text>
    </comment>
    <comment ref="BM3804" authorId="0" shapeId="0">
      <text>
        <r>
          <rPr>
            <b/>
            <sz val="9"/>
            <color indexed="81"/>
            <rFont val="Segoe UI"/>
            <charset val="1"/>
          </rPr>
          <t>Thomschke, Friedrun:</t>
        </r>
        <r>
          <rPr>
            <sz val="9"/>
            <color indexed="81"/>
            <rFont val="Segoe UI"/>
            <charset val="1"/>
          </rPr>
          <t xml:space="preserve">
Schaden stabil</t>
        </r>
      </text>
    </comment>
    <comment ref="AW3918" authorId="0" shapeId="0">
      <text>
        <r>
          <rPr>
            <b/>
            <sz val="9"/>
            <color indexed="81"/>
            <rFont val="Segoe UI"/>
            <charset val="1"/>
          </rPr>
          <t>Thomschke, Friedrun:</t>
        </r>
        <r>
          <rPr>
            <sz val="9"/>
            <color indexed="81"/>
            <rFont val="Segoe UI"/>
            <charset val="1"/>
          </rPr>
          <t xml:space="preserve">
Karte ganz hinten bei 110</t>
        </r>
      </text>
    </comment>
    <comment ref="AY3918" authorId="0" shapeId="0">
      <text>
        <r>
          <rPr>
            <b/>
            <sz val="9"/>
            <color indexed="81"/>
            <rFont val="Segoe UI"/>
            <charset val="1"/>
          </rPr>
          <t>Thomschke, Friedrun:</t>
        </r>
        <r>
          <rPr>
            <sz val="9"/>
            <color indexed="81"/>
            <rFont val="Segoe UI"/>
            <charset val="1"/>
          </rPr>
          <t xml:space="preserve">
wegen Faltkarte</t>
        </r>
      </text>
    </comment>
    <comment ref="AW4016" authorId="0" shapeId="0">
      <text>
        <r>
          <rPr>
            <b/>
            <sz val="9"/>
            <color indexed="81"/>
            <rFont val="Segoe UI"/>
            <charset val="1"/>
          </rPr>
          <t>Thomschke, Friedrun:</t>
        </r>
        <r>
          <rPr>
            <sz val="9"/>
            <color indexed="81"/>
            <rFont val="Segoe UI"/>
            <charset val="1"/>
          </rPr>
          <t xml:space="preserve">
wegen Rücken</t>
        </r>
      </text>
    </comment>
    <comment ref="AW4044" authorId="0" shapeId="0">
      <text>
        <r>
          <rPr>
            <b/>
            <sz val="9"/>
            <color indexed="81"/>
            <rFont val="Segoe UI"/>
          </rPr>
          <t>Thomschke, Friedrun:</t>
        </r>
        <r>
          <rPr>
            <sz val="9"/>
            <color indexed="81"/>
            <rFont val="Segoe UI"/>
          </rPr>
          <t xml:space="preserve">
wegen Rücken</t>
        </r>
      </text>
    </comment>
    <comment ref="Y4307" authorId="0" shapeId="0">
      <text>
        <r>
          <rPr>
            <b/>
            <sz val="9"/>
            <color indexed="81"/>
            <rFont val="Segoe UI"/>
            <charset val="1"/>
          </rPr>
          <t>Thomschke, Friedrun:</t>
        </r>
        <r>
          <rPr>
            <sz val="9"/>
            <color indexed="81"/>
            <rFont val="Segoe UI"/>
            <charset val="1"/>
          </rPr>
          <t xml:space="preserve">
flexibler Pg</t>
        </r>
      </text>
    </comment>
    <comment ref="AW4314" authorId="0" shapeId="0">
      <text>
        <r>
          <rPr>
            <b/>
            <sz val="9"/>
            <color indexed="81"/>
            <rFont val="Segoe UI"/>
            <charset val="1"/>
          </rPr>
          <t>Thomschke, Friedrun:</t>
        </r>
        <r>
          <rPr>
            <sz val="9"/>
            <color indexed="81"/>
            <rFont val="Segoe UI"/>
            <charset val="1"/>
          </rPr>
          <t xml:space="preserve">
entgültig nach Rest. festlegen</t>
        </r>
      </text>
    </comment>
    <comment ref="AW4315" authorId="0" shapeId="0">
      <text>
        <r>
          <rPr>
            <b/>
            <sz val="9"/>
            <color indexed="81"/>
            <rFont val="Segoe UI"/>
            <charset val="1"/>
          </rPr>
          <t>Thomschke, Friedrun:</t>
        </r>
        <r>
          <rPr>
            <sz val="9"/>
            <color indexed="81"/>
            <rFont val="Segoe UI"/>
            <charset val="1"/>
          </rPr>
          <t xml:space="preserve">
entgültig nach Rest. festlegen</t>
        </r>
      </text>
    </comment>
    <comment ref="AW4393" authorId="0" shapeId="0">
      <text>
        <r>
          <rPr>
            <b/>
            <sz val="9"/>
            <color indexed="81"/>
            <rFont val="Segoe UI"/>
            <charset val="1"/>
          </rPr>
          <t>Thomschke, Friedrun:</t>
        </r>
        <r>
          <rPr>
            <sz val="9"/>
            <color indexed="81"/>
            <rFont val="Segoe UI"/>
            <charset val="1"/>
          </rPr>
          <t xml:space="preserve">
wegen Rücken</t>
        </r>
      </text>
    </comment>
    <comment ref="AW4397" authorId="0" shapeId="0">
      <text>
        <r>
          <rPr>
            <b/>
            <sz val="9"/>
            <color indexed="81"/>
            <rFont val="Segoe UI"/>
            <charset val="1"/>
          </rPr>
          <t>Thomschke, Friedrun:</t>
        </r>
        <r>
          <rPr>
            <sz val="9"/>
            <color indexed="81"/>
            <rFont val="Segoe UI"/>
            <charset val="1"/>
          </rPr>
          <t xml:space="preserve">
entgültig nach Rest. festlegen</t>
        </r>
      </text>
    </comment>
    <comment ref="AC4419" authorId="0" shapeId="0">
      <text>
        <r>
          <rPr>
            <b/>
            <sz val="9"/>
            <color indexed="81"/>
            <rFont val="Segoe UI"/>
            <charset val="1"/>
          </rPr>
          <t>Thomschke, Friedrun:</t>
        </r>
        <r>
          <rPr>
            <sz val="9"/>
            <color indexed="81"/>
            <rFont val="Segoe UI"/>
            <charset val="1"/>
          </rPr>
          <t xml:space="preserve">
ehemals fest, jetzt hohl</t>
        </r>
      </text>
    </comment>
    <comment ref="AW4419" authorId="0" shapeId="0">
      <text>
        <r>
          <rPr>
            <b/>
            <sz val="9"/>
            <color indexed="81"/>
            <rFont val="Segoe UI"/>
            <charset val="1"/>
          </rPr>
          <t>Thomschke, Friedrun:</t>
        </r>
        <r>
          <rPr>
            <sz val="9"/>
            <color indexed="81"/>
            <rFont val="Segoe UI"/>
            <charset val="1"/>
          </rPr>
          <t xml:space="preserve">
entgültig nach Rest. festlegen</t>
        </r>
      </text>
    </comment>
    <comment ref="AY4510" authorId="0" shapeId="0">
      <text>
        <r>
          <rPr>
            <b/>
            <sz val="9"/>
            <color indexed="81"/>
            <rFont val="Segoe UI"/>
            <charset val="1"/>
          </rPr>
          <t>Thomschke, Friedrun:</t>
        </r>
        <r>
          <rPr>
            <sz val="9"/>
            <color indexed="81"/>
            <rFont val="Segoe UI"/>
            <charset val="1"/>
          </rPr>
          <t xml:space="preserve">
sehr dicker Band, RD evtl. unterlegen (stark verworfen), Problematik ÖW 45 und Größe Faltkarte</t>
        </r>
      </text>
    </comment>
    <comment ref="AW4622" authorId="0" shapeId="0">
      <text>
        <r>
          <rPr>
            <b/>
            <sz val="9"/>
            <color indexed="81"/>
            <rFont val="Segoe UI"/>
            <charset val="1"/>
          </rPr>
          <t>Thomschke, Friedrun:</t>
        </r>
        <r>
          <rPr>
            <sz val="9"/>
            <color indexed="81"/>
            <rFont val="Segoe UI"/>
            <charset val="1"/>
          </rPr>
          <t xml:space="preserve">
entgültig nach Rest. eintragen</t>
        </r>
      </text>
    </comment>
    <comment ref="CH4622" authorId="0" shapeId="0">
      <text>
        <r>
          <rPr>
            <b/>
            <sz val="9"/>
            <color indexed="81"/>
            <rFont val="Segoe UI"/>
            <charset val="1"/>
          </rPr>
          <t>Thomschke, Friedrun:</t>
        </r>
        <r>
          <rPr>
            <sz val="9"/>
            <color indexed="81"/>
            <rFont val="Segoe UI"/>
            <charset val="1"/>
          </rPr>
          <t xml:space="preserve">
Ecke oben an Vorsatz vorn</t>
        </r>
      </text>
    </comment>
    <comment ref="AW4788" authorId="0" shapeId="0">
      <text>
        <r>
          <rPr>
            <b/>
            <sz val="9"/>
            <color indexed="81"/>
            <rFont val="Segoe UI"/>
            <charset val="1"/>
          </rPr>
          <t>Thomschke, Friedrun:</t>
        </r>
        <r>
          <rPr>
            <sz val="9"/>
            <color indexed="81"/>
            <rFont val="Segoe UI"/>
            <charset val="1"/>
          </rPr>
          <t xml:space="preserve">
entgültig nach Rest. Festlegen, Rücken sehr steif</t>
        </r>
      </text>
    </comment>
    <comment ref="AC4794" authorId="0" shapeId="0">
      <text>
        <r>
          <rPr>
            <b/>
            <sz val="9"/>
            <color indexed="81"/>
            <rFont val="Segoe UI"/>
            <charset val="1"/>
          </rPr>
          <t>Thomschke, Friedrun:</t>
        </r>
        <r>
          <rPr>
            <sz val="9"/>
            <color indexed="81"/>
            <rFont val="Segoe UI"/>
            <charset val="1"/>
          </rPr>
          <t xml:space="preserve">
inzwischen hohl</t>
        </r>
      </text>
    </comment>
    <comment ref="BM4828" authorId="0" shapeId="0">
      <text>
        <r>
          <rPr>
            <b/>
            <sz val="9"/>
            <color indexed="81"/>
            <rFont val="Segoe UI"/>
          </rPr>
          <t>Thomschke, Friedrun:</t>
        </r>
        <r>
          <rPr>
            <sz val="9"/>
            <color indexed="81"/>
            <rFont val="Segoe UI"/>
          </rPr>
          <t xml:space="preserve">
beschädigt</t>
        </r>
      </text>
    </comment>
    <comment ref="AW4882" authorId="0" shapeId="0">
      <text>
        <r>
          <rPr>
            <b/>
            <sz val="9"/>
            <color indexed="81"/>
            <rFont val="Segoe UI"/>
            <charset val="1"/>
          </rPr>
          <t>Thomschke, Friedrun:</t>
        </r>
        <r>
          <rPr>
            <sz val="9"/>
            <color indexed="81"/>
            <rFont val="Segoe UI"/>
            <charset val="1"/>
          </rPr>
          <t xml:space="preserve">
wegen Rücken</t>
        </r>
      </text>
    </comment>
    <comment ref="Y5159" authorId="0" shapeId="0">
      <text>
        <r>
          <rPr>
            <b/>
            <sz val="9"/>
            <color indexed="81"/>
            <rFont val="Segoe UI"/>
            <charset val="1"/>
          </rPr>
          <t>Thomschke, Friedrun:</t>
        </r>
        <r>
          <rPr>
            <sz val="9"/>
            <color indexed="81"/>
            <rFont val="Segoe UI"/>
            <charset val="1"/>
          </rPr>
          <t xml:space="preserve">
Seide?</t>
        </r>
      </text>
    </comment>
    <comment ref="AW5159" authorId="0" shapeId="0">
      <text>
        <r>
          <rPr>
            <b/>
            <sz val="9"/>
            <color indexed="81"/>
            <rFont val="Segoe UI"/>
            <charset val="1"/>
          </rPr>
          <t>Thomschke, Friedrun:</t>
        </r>
        <r>
          <rPr>
            <sz val="9"/>
            <color indexed="81"/>
            <rFont val="Segoe UI"/>
            <charset val="1"/>
          </rPr>
          <t xml:space="preserve">
wegen Einband</t>
        </r>
      </text>
    </comment>
    <comment ref="AY5217" authorId="0" shapeId="0">
      <text>
        <r>
          <rPr>
            <b/>
            <sz val="9"/>
            <color indexed="81"/>
            <rFont val="Segoe UI"/>
            <charset val="1"/>
          </rPr>
          <t>Thomschke, Friedrun:</t>
        </r>
        <r>
          <rPr>
            <sz val="9"/>
            <color indexed="81"/>
            <rFont val="Segoe UI"/>
            <charset val="1"/>
          </rPr>
          <t xml:space="preserve">
wg. auftragenden Beschlägen</t>
        </r>
      </text>
    </comment>
    <comment ref="BM5234" authorId="0" shapeId="0">
      <text>
        <r>
          <rPr>
            <b/>
            <sz val="9"/>
            <color indexed="81"/>
            <rFont val="Segoe UI"/>
          </rPr>
          <t>Thomschke, Friedrun:</t>
        </r>
        <r>
          <rPr>
            <sz val="9"/>
            <color indexed="81"/>
            <rFont val="Segoe UI"/>
          </rPr>
          <t xml:space="preserve">
kleines Buch mit Faltkarten in guter Größe</t>
        </r>
      </text>
    </comment>
    <comment ref="AW5242" authorId="0" shapeId="0">
      <text>
        <r>
          <rPr>
            <b/>
            <sz val="9"/>
            <color indexed="81"/>
            <rFont val="Segoe UI"/>
          </rPr>
          <t>Thomschke, Friedrun:</t>
        </r>
        <r>
          <rPr>
            <sz val="9"/>
            <color indexed="81"/>
            <rFont val="Segoe UI"/>
          </rPr>
          <t xml:space="preserve">
entgültig nach Rest. festlegen</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rPr>
          <t>Thomschke, Friedrun:</t>
        </r>
        <r>
          <rPr>
            <sz val="9"/>
            <color indexed="81"/>
            <rFont val="Segoe UI"/>
          </rPr>
          <t xml:space="preserve">
Gesamtsumme Umschläge minus säurehaltige Umschläge (die werden von uns entfernt)</t>
        </r>
      </text>
    </comment>
  </commentList>
</comments>
</file>

<file path=xl/sharedStrings.xml><?xml version="1.0" encoding="utf-8"?>
<sst xmlns="http://schemas.openxmlformats.org/spreadsheetml/2006/main" count="28700" uniqueCount="10555">
  <si>
    <t>Neubau 4.OG</t>
  </si>
  <si>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</si>
  <si>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</si>
  <si>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</si>
  <si>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</si>
  <si>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</si>
  <si>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</si>
  <si>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</si>
  <si>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</si>
  <si>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</si>
  <si>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</si>
  <si>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</si>
  <si>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</si>
  <si>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</si>
  <si>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</si>
  <si>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</si>
  <si>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</si>
  <si>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</si>
  <si>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</si>
  <si>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</si>
  <si>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</si>
  <si>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</si>
  <si>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</si>
  <si>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</si>
  <si>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</si>
  <si>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</si>
  <si>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</si>
  <si>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</si>
  <si>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X Meter Regalborde</t>
  </si>
  <si>
    <t>ca. X Bände</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</si>
  <si>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</si>
  <si>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</si>
  <si>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</si>
  <si>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</si>
  <si>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</si>
  <si>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</si>
  <si>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</si>
  <si>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</si>
  <si>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</si>
  <si>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</si>
  <si>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</si>
  <si>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</si>
  <si>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</si>
  <si>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</si>
  <si>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</si>
  <si>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</si>
  <si>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</si>
  <si>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</si>
  <si>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</si>
  <si>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</si>
  <si>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</si>
  <si>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</si>
  <si>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</si>
  <si>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</si>
  <si>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</si>
  <si>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</si>
  <si>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</si>
  <si>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</si>
  <si>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</si>
  <si>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</si>
  <si>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</si>
  <si>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</si>
  <si>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</si>
  <si>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</si>
  <si>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</si>
  <si>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</si>
  <si>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</si>
  <si>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</si>
  <si>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</si>
  <si>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</si>
  <si>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</si>
  <si>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</si>
  <si>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</si>
  <si>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</si>
  <si>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</si>
  <si>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</si>
  <si>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</si>
  <si>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</si>
  <si>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</si>
  <si>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</si>
  <si>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</si>
  <si>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</si>
  <si>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</si>
  <si>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</si>
  <si>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</si>
  <si>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</si>
  <si>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</si>
  <si>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</si>
  <si>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</si>
  <si>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</si>
  <si>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L-1763-164319794</t>
  </si>
  <si>
    <t>DA IV 205, 51</t>
  </si>
  <si>
    <t>L-2009-305504</t>
  </si>
  <si>
    <t>DA IV 205, 76</t>
  </si>
  <si>
    <t>L-1743-147887674</t>
  </si>
  <si>
    <t>L-1810-153917709</t>
  </si>
  <si>
    <t>L-1657-15396782X</t>
  </si>
  <si>
    <t>IV 10, 1</t>
  </si>
  <si>
    <t>L-1739-406954992</t>
  </si>
  <si>
    <t>L-1727-406954984</t>
  </si>
  <si>
    <t>L-1732-161646220</t>
  </si>
  <si>
    <t>IV 10, 3</t>
  </si>
  <si>
    <t>L-1773-175014604</t>
  </si>
  <si>
    <t>IV 100 B, 1</t>
  </si>
  <si>
    <t>L-1800-170991636</t>
  </si>
  <si>
    <t>IV 100 B, 2</t>
  </si>
  <si>
    <t>L-1791-163555591</t>
  </si>
  <si>
    <t>L-1804-170991717</t>
  </si>
  <si>
    <t>100065768X</t>
  </si>
  <si>
    <t>L-1795-170991881</t>
  </si>
  <si>
    <t>L-1590-315492759</t>
  </si>
  <si>
    <t>IV 100, 1</t>
  </si>
  <si>
    <t>L-1739-163625603</t>
  </si>
  <si>
    <t>IV 100, 10</t>
  </si>
  <si>
    <t>L-1797-169681521</t>
  </si>
  <si>
    <t>IV 100, 11</t>
  </si>
  <si>
    <t>L-1580-164550712</t>
  </si>
  <si>
    <t>IV 100, 12</t>
  </si>
  <si>
    <t>L-1580-164550739</t>
  </si>
  <si>
    <t>IV 100, 12 a</t>
  </si>
  <si>
    <t>L-1757-157883000</t>
  </si>
  <si>
    <t>IV 100, 2</t>
  </si>
  <si>
    <t>L-1757-17077404X</t>
  </si>
  <si>
    <t>L-1757-17189801X</t>
  </si>
  <si>
    <t>L-1757-155603639</t>
  </si>
  <si>
    <t>L-1757-155603787</t>
  </si>
  <si>
    <t>L-1757-15560368X</t>
  </si>
  <si>
    <t>L-1757-155603612</t>
  </si>
  <si>
    <t>L-1757-155603736</t>
  </si>
  <si>
    <t>L-1757-170774155</t>
  </si>
  <si>
    <t>IV 100, 2 a</t>
  </si>
  <si>
    <t>L-1752-175844755</t>
  </si>
  <si>
    <t>IV 100, 2/b</t>
  </si>
  <si>
    <t>L-1753-154089826</t>
  </si>
  <si>
    <t>L-1757-157882004</t>
  </si>
  <si>
    <t>IV 100, 2a</t>
  </si>
  <si>
    <t>L-1757-155603957</t>
  </si>
  <si>
    <t>L-1757-155603469</t>
  </si>
  <si>
    <t>L-1757-171898281</t>
  </si>
  <si>
    <t>L-1757-157880532</t>
  </si>
  <si>
    <t>L-1757-157880494</t>
  </si>
  <si>
    <t>L-1757-157880303</t>
  </si>
  <si>
    <t>L-1757-157883124</t>
  </si>
  <si>
    <t>L-1752-177100222</t>
  </si>
  <si>
    <t>IV 100, 2b</t>
  </si>
  <si>
    <t>L-1755-168457172</t>
  </si>
  <si>
    <t>IV 100, 3</t>
  </si>
  <si>
    <t>L-1755-168450747</t>
  </si>
  <si>
    <t>L-1565-17549083X</t>
  </si>
  <si>
    <t>IV 100, 4</t>
  </si>
  <si>
    <t>L-1569-175489408</t>
  </si>
  <si>
    <t>IV 100, 5</t>
  </si>
  <si>
    <t>L-1569-175489130</t>
  </si>
  <si>
    <t>L-1620-174291779</t>
  </si>
  <si>
    <t>IV 100, 6</t>
  </si>
  <si>
    <t>L-1701-174928017</t>
  </si>
  <si>
    <t>IV 100, 7</t>
  </si>
  <si>
    <t>L-1701-174928092</t>
  </si>
  <si>
    <t>L-1702-174928106</t>
  </si>
  <si>
    <t>100144809X</t>
  </si>
  <si>
    <t>L-1743-175009244</t>
  </si>
  <si>
    <t>IV 100, 8</t>
  </si>
  <si>
    <t>L-1738-432609792</t>
  </si>
  <si>
    <t>IV 100, 9</t>
  </si>
  <si>
    <t>L-1759-315201118</t>
  </si>
  <si>
    <t>IV 101, 1</t>
  </si>
  <si>
    <t>L-1782-315219076</t>
  </si>
  <si>
    <t>IV 102, 1</t>
  </si>
  <si>
    <t>L-1769-33279735X</t>
  </si>
  <si>
    <t>IV 103, 1</t>
  </si>
  <si>
    <t>L-1593-315328665</t>
  </si>
  <si>
    <t>IV 104, 1</t>
  </si>
  <si>
    <t>L-1601-315468564</t>
  </si>
  <si>
    <t>IV 105, 1</t>
  </si>
  <si>
    <t>L-1679-315470836</t>
  </si>
  <si>
    <t>IV 106, 1</t>
  </si>
  <si>
    <t>L-1679-315466103</t>
  </si>
  <si>
    <t>IV 107, 1</t>
  </si>
  <si>
    <t>L-1570-16984983X</t>
  </si>
  <si>
    <t>IV 108 B, 1</t>
  </si>
  <si>
    <t>L-1646-171708865</t>
  </si>
  <si>
    <t>IV 108 B, 2</t>
  </si>
  <si>
    <t>L-1597-315082127</t>
  </si>
  <si>
    <t>IV 108, 1</t>
  </si>
  <si>
    <t>L-1769-315295708</t>
  </si>
  <si>
    <t>IV 109, 1</t>
  </si>
  <si>
    <t>L-1618-315462655</t>
  </si>
  <si>
    <t>IV 11, 1</t>
  </si>
  <si>
    <t>L-1690-159665221</t>
  </si>
  <si>
    <t>IV 11, 56</t>
  </si>
  <si>
    <t>L-1690-159665329</t>
  </si>
  <si>
    <t>L-1589-315463171</t>
  </si>
  <si>
    <t>106693519X</t>
  </si>
  <si>
    <t>IV 110, 1</t>
  </si>
  <si>
    <t>L-1573-154990086</t>
  </si>
  <si>
    <t>IV 110, 1 a</t>
  </si>
  <si>
    <t>L-1573-15642018X</t>
  </si>
  <si>
    <t>IV 110, 1a</t>
  </si>
  <si>
    <t>L-1590-176889612</t>
  </si>
  <si>
    <t>IV 110, 1b</t>
  </si>
  <si>
    <t>L-1702-315325860</t>
  </si>
  <si>
    <t>IV 110, 2</t>
  </si>
  <si>
    <t>L-1741-177903147</t>
  </si>
  <si>
    <t>IV 110, 3</t>
  </si>
  <si>
    <t>L-1741-17790318X</t>
  </si>
  <si>
    <t>IV 110, 3a</t>
  </si>
  <si>
    <t>L-1578-171700171</t>
  </si>
  <si>
    <t>IV 110, 4</t>
  </si>
  <si>
    <t>L-1610-162119518</t>
  </si>
  <si>
    <t>IV 110, 5</t>
  </si>
  <si>
    <t>L-1744-169915255</t>
  </si>
  <si>
    <t>IV 110, 6</t>
  </si>
  <si>
    <t>L-1744-156396459</t>
  </si>
  <si>
    <t>99453843X</t>
  </si>
  <si>
    <t>L-1637-154723339</t>
  </si>
  <si>
    <t>IV 111, 1</t>
  </si>
  <si>
    <t>L-1739-315083697</t>
  </si>
  <si>
    <t>IV 112 A, 1</t>
  </si>
  <si>
    <t>L-1768-315083956</t>
  </si>
  <si>
    <t>IV 112 A, 2</t>
  </si>
  <si>
    <t>L-1656-31546934X</t>
  </si>
  <si>
    <t>IV 112, 1</t>
  </si>
  <si>
    <t>L-1596-315458186</t>
  </si>
  <si>
    <t>IV 112, 2</t>
  </si>
  <si>
    <t>L-1608-672621312</t>
  </si>
  <si>
    <t>IV 112, 2 (1. angebundenes Werk)</t>
  </si>
  <si>
    <t>L-1578-315490098</t>
  </si>
  <si>
    <t>IV 113, 1</t>
  </si>
  <si>
    <t>L-2009-312390</t>
  </si>
  <si>
    <t>IV 113, 2</t>
  </si>
  <si>
    <t>L-1566-315491124</t>
  </si>
  <si>
    <t>IV 114, 1</t>
  </si>
  <si>
    <t>L-1608-315468521</t>
  </si>
  <si>
    <t>IV 114, 10</t>
  </si>
  <si>
    <t>L-1645-306827034</t>
  </si>
  <si>
    <t>IV 114, 11</t>
  </si>
  <si>
    <t>L-1648-306823861</t>
  </si>
  <si>
    <t>IV 114, 12</t>
  </si>
  <si>
    <t>L-1648-315471530</t>
  </si>
  <si>
    <t>IV 114, 13</t>
  </si>
  <si>
    <t>L-1667-18288824X</t>
  </si>
  <si>
    <t>IV 114, 13a</t>
  </si>
  <si>
    <t>L-1663-18288807X</t>
  </si>
  <si>
    <t>L-1646-182887774</t>
  </si>
  <si>
    <t>L-1662-177698829</t>
  </si>
  <si>
    <t>L-1662-399509879</t>
  </si>
  <si>
    <t>L-1738-182887537</t>
  </si>
  <si>
    <t>L-1648-399510214</t>
  </si>
  <si>
    <t>IV 114, 13a - 4</t>
  </si>
  <si>
    <t>L-1665-154088560</t>
  </si>
  <si>
    <t>IV 114, 14</t>
  </si>
  <si>
    <t>L-1599-315216786</t>
  </si>
  <si>
    <t>IV 114, 15</t>
  </si>
  <si>
    <t>L-1596-315216778</t>
  </si>
  <si>
    <t>L-1591-315216727</t>
  </si>
  <si>
    <t>L-1594-315461462</t>
  </si>
  <si>
    <t>L-1595-315214368</t>
  </si>
  <si>
    <t>L-1599-315216735</t>
  </si>
  <si>
    <t>L-1590-315465654</t>
  </si>
  <si>
    <t>L-1602-315317310</t>
  </si>
  <si>
    <t>L-1605-315200995</t>
  </si>
  <si>
    <t>L-1625-412889234</t>
  </si>
  <si>
    <t>IV 114, 15 (Angebundenes Werk)</t>
  </si>
  <si>
    <t>L-1664-15472372X</t>
  </si>
  <si>
    <t>IV 114, 16</t>
  </si>
  <si>
    <t>L-1664-154723770</t>
  </si>
  <si>
    <t>L-1664-154723681</t>
  </si>
  <si>
    <t>99419904X</t>
  </si>
  <si>
    <t>L-1670-154725544</t>
  </si>
  <si>
    <t>IV 114, 16 b</t>
  </si>
  <si>
    <t>L-1664-154745154</t>
  </si>
  <si>
    <t>IV 114, 16a</t>
  </si>
  <si>
    <t>L-1758-160638852</t>
  </si>
  <si>
    <t>IV 114, 17</t>
  </si>
  <si>
    <t>L-1758-160639271</t>
  </si>
  <si>
    <t>L-1762-17692129X</t>
  </si>
  <si>
    <t>IV 114, 17a</t>
  </si>
  <si>
    <t>L-1766-169832686</t>
  </si>
  <si>
    <t>IV 114, 18</t>
  </si>
  <si>
    <t>L-1766-169832708</t>
  </si>
  <si>
    <t>L-1766-169832805</t>
  </si>
  <si>
    <t>L-1766-169832929</t>
  </si>
  <si>
    <t>L-1766-175375771</t>
  </si>
  <si>
    <t>100166941X</t>
  </si>
  <si>
    <t>IV 114, 18a</t>
  </si>
  <si>
    <t>L-1776-175718296</t>
  </si>
  <si>
    <t>IV 114, 19</t>
  </si>
  <si>
    <t>L-1563-315493127</t>
  </si>
  <si>
    <t>IV 114, 2</t>
  </si>
  <si>
    <t>L-1564-165470666</t>
  </si>
  <si>
    <t>IV 114, 2 a</t>
  </si>
  <si>
    <t>L-1747-170328317</t>
  </si>
  <si>
    <t>IV 114, 20</t>
  </si>
  <si>
    <t>L-1744-170328678</t>
  </si>
  <si>
    <t>L-1753-169626644</t>
  </si>
  <si>
    <t>IV 114, 20a</t>
  </si>
  <si>
    <t>L-1783-167244736</t>
  </si>
  <si>
    <t>99894453X</t>
  </si>
  <si>
    <t>L-1783-167244752</t>
  </si>
  <si>
    <t>L-1783-167244779</t>
  </si>
  <si>
    <t>L-1772-155483110</t>
  </si>
  <si>
    <t>IV 114, 21a</t>
  </si>
  <si>
    <t>L-1776-169510263</t>
  </si>
  <si>
    <t>IV 114, 21b</t>
  </si>
  <si>
    <t>L-1614-177749873</t>
  </si>
  <si>
    <t>IV 114, 22</t>
  </si>
  <si>
    <t>L-1614-177751452</t>
  </si>
  <si>
    <t>L-1569-16623026X</t>
  </si>
  <si>
    <t>IV 114, 23</t>
  </si>
  <si>
    <t>L-1740-154718076</t>
  </si>
  <si>
    <t>IV 114, 24</t>
  </si>
  <si>
    <t>L-1791-157762742</t>
  </si>
  <si>
    <t>IV 114, 25</t>
  </si>
  <si>
    <t>L-1621-414835549</t>
  </si>
  <si>
    <t>L-1620-406960283</t>
  </si>
  <si>
    <t>L-1639-16768471X</t>
  </si>
  <si>
    <t>IV 114, 27</t>
  </si>
  <si>
    <t>L-1602-162079303</t>
  </si>
  <si>
    <t>99638653X</t>
  </si>
  <si>
    <t>L-1606-156067919</t>
  </si>
  <si>
    <t>IV 114, 27a</t>
  </si>
  <si>
    <t>L-1606-156067692</t>
  </si>
  <si>
    <t>L-1602-169922006</t>
  </si>
  <si>
    <t>IV 114, 27b</t>
  </si>
  <si>
    <t>L-1614-171278313</t>
  </si>
  <si>
    <t>IV 114, 28</t>
  </si>
  <si>
    <t>L-1614-171278100</t>
  </si>
  <si>
    <t>L-1614-170118789</t>
  </si>
  <si>
    <t>L-1614-175758816</t>
  </si>
  <si>
    <t>L-1606-154721816</t>
  </si>
  <si>
    <t>IV 114, 28a</t>
  </si>
  <si>
    <t>L-1770-161951503</t>
  </si>
  <si>
    <t>IV 114, 29</t>
  </si>
  <si>
    <t>L-1565-315487860</t>
  </si>
  <si>
    <t>IV 114, 3</t>
  </si>
  <si>
    <t>L-1568-166925403</t>
  </si>
  <si>
    <t>IV 114, 3 a</t>
  </si>
  <si>
    <t>L-1565-169601846</t>
  </si>
  <si>
    <t>IV 114, 3 b</t>
  </si>
  <si>
    <t>L-1670-18024700X</t>
  </si>
  <si>
    <t>IV 114, 30</t>
  </si>
  <si>
    <t>L-1670-180247042</t>
  </si>
  <si>
    <t>L-1588-168946955</t>
  </si>
  <si>
    <t>IV 114, 31</t>
  </si>
  <si>
    <t>L-1578-155917137</t>
  </si>
  <si>
    <t>IV 114, 32</t>
  </si>
  <si>
    <t>L-1577-161287646</t>
  </si>
  <si>
    <t>IV 114, 32 a</t>
  </si>
  <si>
    <t>L-1583-169687244</t>
  </si>
  <si>
    <t>IV 114, 33</t>
  </si>
  <si>
    <t>L-1583-169686795</t>
  </si>
  <si>
    <t>L-1677-164707840</t>
  </si>
  <si>
    <t>IV 114, 34</t>
  </si>
  <si>
    <t>L-1730-170889831</t>
  </si>
  <si>
    <t>IV 114, 35</t>
  </si>
  <si>
    <t>L-1778-167646125</t>
  </si>
  <si>
    <t>IV 114, 36</t>
  </si>
  <si>
    <t>L-1775-162289421</t>
  </si>
  <si>
    <t>IV 114, 37</t>
  </si>
  <si>
    <t>L-1780-164531912</t>
  </si>
  <si>
    <t>IV 114, 38</t>
  </si>
  <si>
    <t>L-1780-164531769</t>
  </si>
  <si>
    <t>L-1780-164531963</t>
  </si>
  <si>
    <t>L-1784-166223093</t>
  </si>
  <si>
    <t>IV 114, 39</t>
  </si>
  <si>
    <t>L-1567-159498392</t>
  </si>
  <si>
    <t>IV 114, 3c</t>
  </si>
  <si>
    <t>L-1571-315308508</t>
  </si>
  <si>
    <t>IV 114, 4</t>
  </si>
  <si>
    <t>L-1573-670706442</t>
  </si>
  <si>
    <t>120873735X</t>
  </si>
  <si>
    <t>IV 114, 4 (angebunden)</t>
  </si>
  <si>
    <t>L-1573-670706272</t>
  </si>
  <si>
    <t>L-1794-15604644X</t>
  </si>
  <si>
    <t>IV 114, 40</t>
  </si>
  <si>
    <t>L-1801-153948957</t>
  </si>
  <si>
    <t>IV 114, 40a</t>
  </si>
  <si>
    <t>L-1782-15560340X</t>
  </si>
  <si>
    <t>IV 114, 41</t>
  </si>
  <si>
    <t>L-1743-177843942</t>
  </si>
  <si>
    <t>IV 114, 42</t>
  </si>
  <si>
    <t>L-1741-165448938</t>
  </si>
  <si>
    <t>IV 114, 43</t>
  </si>
  <si>
    <t>L-1757-159299357</t>
  </si>
  <si>
    <t>IV 114, 44</t>
  </si>
  <si>
    <t>L-1757-159299462</t>
  </si>
  <si>
    <t>99534163X</t>
  </si>
  <si>
    <t>L-1759-168342480</t>
  </si>
  <si>
    <t>IV 114, 44 a</t>
  </si>
  <si>
    <t>L-1759-168342499</t>
  </si>
  <si>
    <t>IV 114, 44 b</t>
  </si>
  <si>
    <t>L-1702-169969711</t>
  </si>
  <si>
    <t>IV 114, 45</t>
  </si>
  <si>
    <t>L-1702-171158156</t>
  </si>
  <si>
    <t>L-1702-170210308</t>
  </si>
  <si>
    <t>L-1702-179561359</t>
  </si>
  <si>
    <t>100337574X</t>
  </si>
  <si>
    <t>L-1702-169833402</t>
  </si>
  <si>
    <t>L-1737-163019916</t>
  </si>
  <si>
    <t>IV 114, 46</t>
  </si>
  <si>
    <t>L-1649-15540606X</t>
  </si>
  <si>
    <t>IV 114, 47</t>
  </si>
  <si>
    <t>L-1784-180548166</t>
  </si>
  <si>
    <t>IV 114, 48</t>
  </si>
  <si>
    <t>L-1669-156068427</t>
  </si>
  <si>
    <t>IV 114, 49</t>
  </si>
  <si>
    <t>L-1575-315492279</t>
  </si>
  <si>
    <t>IV 114, 5</t>
  </si>
  <si>
    <t>L-1669-162035640</t>
  </si>
  <si>
    <t>IV 114, 50</t>
  </si>
  <si>
    <t>L-1669-162035241</t>
  </si>
  <si>
    <t>L-1669-162035772</t>
  </si>
  <si>
    <t>L-1613-162038739</t>
  </si>
  <si>
    <t>99635431X</t>
  </si>
  <si>
    <t>L-1670-162035977</t>
  </si>
  <si>
    <t>L-1670-162036086</t>
  </si>
  <si>
    <t>L-1613-163744351</t>
  </si>
  <si>
    <t>IV 114, 51</t>
  </si>
  <si>
    <t>L-1565-17772305X</t>
  </si>
  <si>
    <t>L-1566-176548807</t>
  </si>
  <si>
    <t>L-1617-159718589</t>
  </si>
  <si>
    <t>L-1732-17130313X</t>
  </si>
  <si>
    <t>IV 114, 52</t>
  </si>
  <si>
    <t>L-1743-177492694</t>
  </si>
  <si>
    <t>100250886X</t>
  </si>
  <si>
    <t>IV 114, 52a</t>
  </si>
  <si>
    <t>L-1791-153969970</t>
  </si>
  <si>
    <t>IV 114, 53</t>
  </si>
  <si>
    <t>L-1779-172932386</t>
  </si>
  <si>
    <t>IV 114, 54</t>
  </si>
  <si>
    <t>L-1780-172932408</t>
  </si>
  <si>
    <t>L-1780-172932432</t>
  </si>
  <si>
    <t>L-1782-172932483</t>
  </si>
  <si>
    <t>L-1779-172932319</t>
  </si>
  <si>
    <t>L-1663-15663693X</t>
  </si>
  <si>
    <t>IV 114, 55</t>
  </si>
  <si>
    <t>L-1663-156636832</t>
  </si>
  <si>
    <t>L-1663-156636948</t>
  </si>
  <si>
    <t>L-1663-156636891</t>
  </si>
  <si>
    <t>L-1796-167293753</t>
  </si>
  <si>
    <t>IV 114, 57</t>
  </si>
  <si>
    <t>L-1690-315321016</t>
  </si>
  <si>
    <t>IV 114, 58</t>
  </si>
  <si>
    <t>L-1578-315330295</t>
  </si>
  <si>
    <t>IV 114, 6</t>
  </si>
  <si>
    <t>L-1578-16692587X</t>
  </si>
  <si>
    <t>IV 114, 6 a</t>
  </si>
  <si>
    <t>L-1578-166926191</t>
  </si>
  <si>
    <t>99878267X</t>
  </si>
  <si>
    <t>L-1578-162137893</t>
  </si>
  <si>
    <t>L-2007-307019</t>
  </si>
  <si>
    <t>98446719X</t>
  </si>
  <si>
    <t>IV 114, 60</t>
  </si>
  <si>
    <t>L-2010-311329</t>
  </si>
  <si>
    <t>100716932X</t>
  </si>
  <si>
    <t>IV 114, 61</t>
  </si>
  <si>
    <t>L-2010-207376379</t>
  </si>
  <si>
    <t>L-1784-288296257</t>
  </si>
  <si>
    <t>IV 114, 62</t>
  </si>
  <si>
    <t>L-2015-308330</t>
  </si>
  <si>
    <t>IV 114, 63</t>
  </si>
  <si>
    <t>L-1578-175311234</t>
  </si>
  <si>
    <t>IV 114, 6a</t>
  </si>
  <si>
    <t>L-1578-156051087</t>
  </si>
  <si>
    <t>L-1580-315492171</t>
  </si>
  <si>
    <t>IV 114, 7</t>
  </si>
  <si>
    <t>L-1580-177107391</t>
  </si>
  <si>
    <t>IV 114, 7a</t>
  </si>
  <si>
    <t>L-1586-153970588</t>
  </si>
  <si>
    <t>IV 114, 8</t>
  </si>
  <si>
    <t>L-1593-315303638</t>
  </si>
  <si>
    <t>IV 114, 9</t>
  </si>
  <si>
    <t>L-1584-170567389</t>
  </si>
  <si>
    <t>IV 114, 9a</t>
  </si>
  <si>
    <t>L-1592-154658227</t>
  </si>
  <si>
    <t>IV 115, 1</t>
  </si>
  <si>
    <t>L-1580-153917490</t>
  </si>
  <si>
    <t>IV 115, 2</t>
  </si>
  <si>
    <t>L-1581-17692034X</t>
  </si>
  <si>
    <t>IV 115, 3</t>
  </si>
  <si>
    <t>L-1784-16050354X</t>
  </si>
  <si>
    <t>IV 115, 4</t>
  </si>
  <si>
    <t>L-1606-170043231</t>
  </si>
  <si>
    <t>IV 115, 5</t>
  </si>
  <si>
    <t>L-1584-315493720</t>
  </si>
  <si>
    <t>IV 116, 1</t>
  </si>
  <si>
    <t>L-1588-315493038</t>
  </si>
  <si>
    <t>IV 116, 2</t>
  </si>
  <si>
    <t>L-1607-315469412</t>
  </si>
  <si>
    <t>IV 116, 3</t>
  </si>
  <si>
    <t>L-1611-315323922</t>
  </si>
  <si>
    <t>IV 116, 4</t>
  </si>
  <si>
    <t>L-1728-315178248</t>
  </si>
  <si>
    <t>IV 116, 5</t>
  </si>
  <si>
    <t>L-1587-31549400X</t>
  </si>
  <si>
    <t>IV 117, 1</t>
  </si>
  <si>
    <t>L-2011-301498</t>
  </si>
  <si>
    <t>100957129X</t>
  </si>
  <si>
    <t>IV 118 B, 1</t>
  </si>
  <si>
    <t>L-1765-177386746</t>
  </si>
  <si>
    <t>IV 118 C, 1</t>
  </si>
  <si>
    <t>L-1765-177386797</t>
  </si>
  <si>
    <t>L-1765-177386843</t>
  </si>
  <si>
    <t>100245591X</t>
  </si>
  <si>
    <t>L-1767-177386932</t>
  </si>
  <si>
    <t>L-1771-177386975</t>
  </si>
  <si>
    <t>L-1771-177387033</t>
  </si>
  <si>
    <t>L-1765-17738638X</t>
  </si>
  <si>
    <t>L-1771-177387092</t>
  </si>
  <si>
    <t>L-1765-177386460</t>
  </si>
  <si>
    <t>L-1771-177387165</t>
  </si>
  <si>
    <t>100245624X</t>
  </si>
  <si>
    <t>L-1765-177386584</t>
  </si>
  <si>
    <t>L-1765-177386541</t>
  </si>
  <si>
    <t>L-1765-17738669X</t>
  </si>
  <si>
    <t>L-1765-177386509</t>
  </si>
  <si>
    <t>L-1735-315469099</t>
  </si>
  <si>
    <t>IV 118, 1</t>
  </si>
  <si>
    <t>L-1670-406958416</t>
  </si>
  <si>
    <t>IV 119, 1</t>
  </si>
  <si>
    <t>L-1670-406958408</t>
  </si>
  <si>
    <t>L-1608-315317361</t>
  </si>
  <si>
    <t>IV 12, 1</t>
  </si>
  <si>
    <t>L-1621-315057866</t>
  </si>
  <si>
    <t>IV 12, 10</t>
  </si>
  <si>
    <t>L-1622-315462930</t>
  </si>
  <si>
    <t>IV 12, 11</t>
  </si>
  <si>
    <t>L-1628-315218673</t>
  </si>
  <si>
    <t>IV 12, 12</t>
  </si>
  <si>
    <t>L-1586-16130169X</t>
  </si>
  <si>
    <t>IV 12, 12a</t>
  </si>
  <si>
    <t>L-1579-156066106</t>
  </si>
  <si>
    <t>L-1641-315198125</t>
  </si>
  <si>
    <t>IV 12, 13</t>
  </si>
  <si>
    <t>L-1564-170177807</t>
  </si>
  <si>
    <t>IV 12, 14</t>
  </si>
  <si>
    <t>L-9999-162126506</t>
  </si>
  <si>
    <t>L-1564-177569638</t>
  </si>
  <si>
    <t>100255232X</t>
  </si>
  <si>
    <t>IV 12, 15</t>
  </si>
  <si>
    <t>L-1564-157182592</t>
  </si>
  <si>
    <t>IV 12, 16</t>
  </si>
  <si>
    <t>L-1564-157182541</t>
  </si>
  <si>
    <t>IV 12, 16 (angebunden)</t>
  </si>
  <si>
    <t>L-1565-164450238</t>
  </si>
  <si>
    <t>99762583X</t>
  </si>
  <si>
    <t>IV 12, 17</t>
  </si>
  <si>
    <t>L-1565-16450978X</t>
  </si>
  <si>
    <t>IV 12, 18 - 1565</t>
  </si>
  <si>
    <t>L-1565-618952314</t>
  </si>
  <si>
    <t>IV 12, 18 - 1565 (angebunden)</t>
  </si>
  <si>
    <t>L-1565-164509542</t>
  </si>
  <si>
    <t>IV 12, 18 - 1566</t>
  </si>
  <si>
    <t>L-1565-168581035</t>
  </si>
  <si>
    <t>IV 12, 19</t>
  </si>
  <si>
    <t>L-1657-177480483</t>
  </si>
  <si>
    <t>IV 12, 2</t>
  </si>
  <si>
    <t>L-1566-163425523</t>
  </si>
  <si>
    <t>IV 12, 20</t>
  </si>
  <si>
    <t>L-1556-174931921</t>
  </si>
  <si>
    <t>IV 12, 21</t>
  </si>
  <si>
    <t>L-1566-31546982X</t>
  </si>
  <si>
    <t>IV 12, 22</t>
  </si>
  <si>
    <t>L-1566-162127111</t>
  </si>
  <si>
    <t>IV 12, 23</t>
  </si>
  <si>
    <t>L-1567-156066017</t>
  </si>
  <si>
    <t>IV 12, 24</t>
  </si>
  <si>
    <t>L-1571-406969876</t>
  </si>
  <si>
    <t>L-9999-406969825</t>
  </si>
  <si>
    <t>L-1571-406969884</t>
  </si>
  <si>
    <t>L-1571-406969841</t>
  </si>
  <si>
    <t>L-1568-406969809</t>
  </si>
  <si>
    <t>L-9999-406969817</t>
  </si>
  <si>
    <t>L-1570-406969833</t>
  </si>
  <si>
    <t>L-1572-40696985X</t>
  </si>
  <si>
    <t>L-1568-155912992</t>
  </si>
  <si>
    <t>IV 12, 26</t>
  </si>
  <si>
    <t>L-1572-163427062</t>
  </si>
  <si>
    <t>IV 12, 27</t>
  </si>
  <si>
    <t>L-1572-163427224</t>
  </si>
  <si>
    <t>L-1568-159500109</t>
  </si>
  <si>
    <t>L-1568-177751770</t>
  </si>
  <si>
    <t>IV 12, 28</t>
  </si>
  <si>
    <t>L-1568-177751940</t>
  </si>
  <si>
    <t>IV 12, 29</t>
  </si>
  <si>
    <t>L-1697-17709365X</t>
  </si>
  <si>
    <t>IV 12, 3</t>
  </si>
  <si>
    <t>L-1737-166611182</t>
  </si>
  <si>
    <t>IV 12, 3 a</t>
  </si>
  <si>
    <t>L-1569-159654084</t>
  </si>
  <si>
    <t>IV 12, 30</t>
  </si>
  <si>
    <t>L-1569-178434949</t>
  </si>
  <si>
    <t>IV 12, 31</t>
  </si>
  <si>
    <t>L-1570-169108198</t>
  </si>
  <si>
    <t>99975260X</t>
  </si>
  <si>
    <t>IV 12, 32</t>
  </si>
  <si>
    <t>L-1570-156069474</t>
  </si>
  <si>
    <t>99451039X</t>
  </si>
  <si>
    <t>IV 12, 33</t>
  </si>
  <si>
    <t>L-1571-15591250X</t>
  </si>
  <si>
    <t>IV 12, 34</t>
  </si>
  <si>
    <t>L-1586-155912801</t>
  </si>
  <si>
    <t>IV 12, 34 - 1586</t>
  </si>
  <si>
    <t>L-1571-618187308</t>
  </si>
  <si>
    <t>IV 12, 34 (angebunden)</t>
  </si>
  <si>
    <t>L-1571-157519937</t>
  </si>
  <si>
    <t>IV 12, 35</t>
  </si>
  <si>
    <t>L-1571-154089893</t>
  </si>
  <si>
    <t>IV 12, 36</t>
  </si>
  <si>
    <t>L-1583-154090263</t>
  </si>
  <si>
    <t>IV 12, 36 - 1583</t>
  </si>
  <si>
    <t>L-1572-164197494</t>
  </si>
  <si>
    <t>IV 12, 37</t>
  </si>
  <si>
    <t>L-1572-167734474</t>
  </si>
  <si>
    <t>IV 12, 38</t>
  </si>
  <si>
    <t>L-1573-160887607</t>
  </si>
  <si>
    <t>IV 12, 39</t>
  </si>
  <si>
    <t>L-1574-160886791</t>
  </si>
  <si>
    <t>99583251X</t>
  </si>
  <si>
    <t>IV 12, 39/1574</t>
  </si>
  <si>
    <t>L-1700-156025841</t>
  </si>
  <si>
    <t>99448349X</t>
  </si>
  <si>
    <t>IV 12, 4</t>
  </si>
  <si>
    <t>L-1573-162666837</t>
  </si>
  <si>
    <t>IV 12, 40</t>
  </si>
  <si>
    <t>L-1573-170204944</t>
  </si>
  <si>
    <t>IV 12, 40a</t>
  </si>
  <si>
    <t>L-1527-170185168</t>
  </si>
  <si>
    <t>IV 12, 40a (angebunden)</t>
  </si>
  <si>
    <t>L-1574-176988424</t>
  </si>
  <si>
    <t>IV 12, 41</t>
  </si>
  <si>
    <t>L-1570-162666462</t>
  </si>
  <si>
    <t>IV 12, 42</t>
  </si>
  <si>
    <t>L-1574-176476229</t>
  </si>
  <si>
    <t>IV 12, 43</t>
  </si>
  <si>
    <t>L-1575-156024810</t>
  </si>
  <si>
    <t>IV 12, 44</t>
  </si>
  <si>
    <t>L-1575-154605638</t>
  </si>
  <si>
    <t>IV 12, 45</t>
  </si>
  <si>
    <t>L-1576-155915754</t>
  </si>
  <si>
    <t>IV 12, 46</t>
  </si>
  <si>
    <t>L-1576-171503635</t>
  </si>
  <si>
    <t>IV 12, 47</t>
  </si>
  <si>
    <t>L-1579-154280895</t>
  </si>
  <si>
    <t>IV 12, 48</t>
  </si>
  <si>
    <t>L-1579-154280976</t>
  </si>
  <si>
    <t>IV 12, 48 (angebunden)</t>
  </si>
  <si>
    <t>L-1579-159648343</t>
  </si>
  <si>
    <t>IV 12, 49</t>
  </si>
  <si>
    <t>L-1622-155918214</t>
  </si>
  <si>
    <t>IV 12, 49 (1 angebunden)</t>
  </si>
  <si>
    <t>L-1608-153919280</t>
  </si>
  <si>
    <t>IV 12, 5</t>
  </si>
  <si>
    <t>L-1580-162438133</t>
  </si>
  <si>
    <t>99665349X</t>
  </si>
  <si>
    <t>IV 12, 50</t>
  </si>
  <si>
    <t>L-1580-162438192</t>
  </si>
  <si>
    <t>L-1580-162438052</t>
  </si>
  <si>
    <t>L-1580-162438001</t>
  </si>
  <si>
    <t>L-1580-162437927</t>
  </si>
  <si>
    <t>L-1580-162438095</t>
  </si>
  <si>
    <t>L-1580-167189689</t>
  </si>
  <si>
    <t>IV 12, 51</t>
  </si>
  <si>
    <t>L-1582-154136085</t>
  </si>
  <si>
    <t>IV 12, 52</t>
  </si>
  <si>
    <t>L-1582-167627082</t>
  </si>
  <si>
    <t>IV 12, 53</t>
  </si>
  <si>
    <t>L-1582-169496422</t>
  </si>
  <si>
    <t>IV 12, 54</t>
  </si>
  <si>
    <t>L-1581-156356996</t>
  </si>
  <si>
    <t>99451655X</t>
  </si>
  <si>
    <t>IV 12, 55</t>
  </si>
  <si>
    <t>L-1583-315176466</t>
  </si>
  <si>
    <t>IV 12, 56</t>
  </si>
  <si>
    <t>L-1583-31517644X</t>
  </si>
  <si>
    <t>IV 12, 56 a</t>
  </si>
  <si>
    <t>L-1583-315176458</t>
  </si>
  <si>
    <t>IV 12, 56 b</t>
  </si>
  <si>
    <t>L-1584-171502876</t>
  </si>
  <si>
    <t>IV 12, 56 c</t>
  </si>
  <si>
    <t>L-1584-154718246</t>
  </si>
  <si>
    <t>IV 12, 57</t>
  </si>
  <si>
    <t>L-1584-160649951</t>
  </si>
  <si>
    <t>IV 12, 58</t>
  </si>
  <si>
    <t>L-1584-166478687</t>
  </si>
  <si>
    <t>IV 12, 59</t>
  </si>
  <si>
    <t>L-1611-315207876</t>
  </si>
  <si>
    <t>IV 12, 6</t>
  </si>
  <si>
    <t>L-1585-170015696</t>
  </si>
  <si>
    <t>IV 12, 60</t>
  </si>
  <si>
    <t>L-1585-177822198</t>
  </si>
  <si>
    <t>IV 12, 61</t>
  </si>
  <si>
    <t>L-1585-166783218</t>
  </si>
  <si>
    <t>IV 12, 62</t>
  </si>
  <si>
    <t>L-1585-176762469</t>
  </si>
  <si>
    <t>IV 12, 62a</t>
  </si>
  <si>
    <t>L-1586-16846134X</t>
  </si>
  <si>
    <t>IV 12, 63</t>
  </si>
  <si>
    <t>L-1587-154354694</t>
  </si>
  <si>
    <t>IV 12, 64</t>
  </si>
  <si>
    <t>L-1588-167074997</t>
  </si>
  <si>
    <t>99885283X</t>
  </si>
  <si>
    <t>IV 12, 65</t>
  </si>
  <si>
    <t>L-1588-167052462</t>
  </si>
  <si>
    <t>IV 12, 66</t>
  </si>
  <si>
    <t>L-1588-155480340</t>
  </si>
  <si>
    <t>IV 12, 67</t>
  </si>
  <si>
    <t>L-1589-167902458</t>
  </si>
  <si>
    <t>99930464X</t>
  </si>
  <si>
    <t>IV 12, 68</t>
  </si>
  <si>
    <t>L-1589-167075039</t>
  </si>
  <si>
    <t>IV 12, 69</t>
  </si>
  <si>
    <t>L-1593-315200812</t>
  </si>
  <si>
    <t>IV 12, 7</t>
  </si>
  <si>
    <t>L-1591-175505047</t>
  </si>
  <si>
    <t>L-1589-175505004</t>
  </si>
  <si>
    <t>L-1598-166778192</t>
  </si>
  <si>
    <t>IV 12, 71</t>
  </si>
  <si>
    <t>L-1598-166778788</t>
  </si>
  <si>
    <t>99871058X</t>
  </si>
  <si>
    <t>IV 12, 72</t>
  </si>
  <si>
    <t>L-1598-166782092</t>
  </si>
  <si>
    <t>IV 12, 73</t>
  </si>
  <si>
    <t>L-1598-175504903</t>
  </si>
  <si>
    <t>IV 12, 73 (angebunden)</t>
  </si>
  <si>
    <t>L-1598-166782920</t>
  </si>
  <si>
    <t>IV 12, 74</t>
  </si>
  <si>
    <t>L-1599-16678267X</t>
  </si>
  <si>
    <t>IV 12, 75</t>
  </si>
  <si>
    <t>L-1599-154726303</t>
  </si>
  <si>
    <t>99420146X</t>
  </si>
  <si>
    <t>IV 12, 76</t>
  </si>
  <si>
    <t>L-1602-157502589</t>
  </si>
  <si>
    <t>IV 12, 77</t>
  </si>
  <si>
    <t>L-1602-166781584</t>
  </si>
  <si>
    <t>L-1602-16678155X</t>
  </si>
  <si>
    <t>L-1602-166781606</t>
  </si>
  <si>
    <t>L-1648-153927054</t>
  </si>
  <si>
    <t>L-1622-15392036X</t>
  </si>
  <si>
    <t>L-1615-315333510</t>
  </si>
  <si>
    <t>IV 12, 8</t>
  </si>
  <si>
    <t>L-1627-168495066</t>
  </si>
  <si>
    <t>IV 12, 80</t>
  </si>
  <si>
    <t>L-1636-163415412</t>
  </si>
  <si>
    <t>99713321X</t>
  </si>
  <si>
    <t>IV 12, 81</t>
  </si>
  <si>
    <t>L-1647-156045451</t>
  </si>
  <si>
    <t>IV 12, 82</t>
  </si>
  <si>
    <t>L-1649-156045508</t>
  </si>
  <si>
    <t>99449095X</t>
  </si>
  <si>
    <t>IV 12, 82 (1 angebunden)</t>
  </si>
  <si>
    <t>L-1683-169623491</t>
  </si>
  <si>
    <t>IV 12, 82 (10 angebunden)</t>
  </si>
  <si>
    <t>L-1650-156045540</t>
  </si>
  <si>
    <t>IV 12, 82 (2 angebunden)</t>
  </si>
  <si>
    <t>L-1648-156045559</t>
  </si>
  <si>
    <t>99449100X</t>
  </si>
  <si>
    <t>IV 12, 82 (3 angebunden)</t>
  </si>
  <si>
    <t>L-1649-156045591</t>
  </si>
  <si>
    <t>IV 12, 82 (4 angebunden)</t>
  </si>
  <si>
    <t>L-1650-156045613</t>
  </si>
  <si>
    <t>IV 12, 82 (5 angebunden)</t>
  </si>
  <si>
    <t>L-1750-156045648</t>
  </si>
  <si>
    <t>IV 12, 82 (6 angebunden)</t>
  </si>
  <si>
    <t>L-1651-156045672</t>
  </si>
  <si>
    <t>IV 12, 82 (7 angebunden)</t>
  </si>
  <si>
    <t>L-1652-156045737</t>
  </si>
  <si>
    <t>IV 12, 82 (8 angebunden)</t>
  </si>
  <si>
    <t>L-1649-156045796</t>
  </si>
  <si>
    <t>IV 12, 82 (9 angebunden)</t>
  </si>
  <si>
    <t>L-1657-167425668</t>
  </si>
  <si>
    <t>IV 12, 83</t>
  </si>
  <si>
    <t>L-1652-175066906</t>
  </si>
  <si>
    <t>IV 12, 84</t>
  </si>
  <si>
    <t>L-1698-315063599</t>
  </si>
  <si>
    <t>IV 12, 85</t>
  </si>
  <si>
    <t>L-1619-315458542</t>
  </si>
  <si>
    <t>IV 12, 9</t>
  </si>
  <si>
    <t>L-1648-315200081</t>
  </si>
  <si>
    <t>IV 120, 1</t>
  </si>
  <si>
    <t>L-1719-164705341</t>
  </si>
  <si>
    <t>IV 121 C, 1</t>
  </si>
  <si>
    <t>L-1563-315466146</t>
  </si>
  <si>
    <t>IV 121, 1</t>
  </si>
  <si>
    <t>L-1586-161547842</t>
  </si>
  <si>
    <t>99600923X</t>
  </si>
  <si>
    <t>IV 121, 10</t>
  </si>
  <si>
    <t>L-1777-158123719</t>
  </si>
  <si>
    <t>IV 121, 11</t>
  </si>
  <si>
    <t>L-1775-178552038</t>
  </si>
  <si>
    <t>IV 121, 12</t>
  </si>
  <si>
    <t>L-1785-167295446</t>
  </si>
  <si>
    <t>IV 121, 13</t>
  </si>
  <si>
    <t>L-1785-167295489</t>
  </si>
  <si>
    <t>L-1762-178517747</t>
  </si>
  <si>
    <t>IV 121, 14</t>
  </si>
  <si>
    <t>L-1760-178570257</t>
  </si>
  <si>
    <t>IV 121, 14a</t>
  </si>
  <si>
    <t>L-1764-178556904</t>
  </si>
  <si>
    <t>100299747X</t>
  </si>
  <si>
    <t>L-1764-178556874</t>
  </si>
  <si>
    <t>L-1561-155915770</t>
  </si>
  <si>
    <t>IV 121, 15</t>
  </si>
  <si>
    <t>L-1786-169509354</t>
  </si>
  <si>
    <t>L-1786-162043260</t>
  </si>
  <si>
    <t>99635882X</t>
  </si>
  <si>
    <t>L-1786-162043414</t>
  </si>
  <si>
    <t>L-2010-309810</t>
  </si>
  <si>
    <t>IV 121, 17</t>
  </si>
  <si>
    <t>L-2012-321080</t>
  </si>
  <si>
    <t>IV 121, 18</t>
  </si>
  <si>
    <t>L-1574-154661627</t>
  </si>
  <si>
    <t>99416534X</t>
  </si>
  <si>
    <t>IV 121, 2</t>
  </si>
  <si>
    <t>L-1581-306823705</t>
  </si>
  <si>
    <t>IV 121, 3</t>
  </si>
  <si>
    <t>L-1592-163419752</t>
  </si>
  <si>
    <t>IV 121, 3a</t>
  </si>
  <si>
    <t>L-1591-155944177</t>
  </si>
  <si>
    <t>L-1592-156891824</t>
  </si>
  <si>
    <t>L-1590-154721646</t>
  </si>
  <si>
    <t>IV 121, 4</t>
  </si>
  <si>
    <t>L-1570-164466169</t>
  </si>
  <si>
    <t>IV 121, 4a</t>
  </si>
  <si>
    <t>L-1614-315216611</t>
  </si>
  <si>
    <t>IV 121, 5</t>
  </si>
  <si>
    <t>L-1614-315308559</t>
  </si>
  <si>
    <t>IV 121, 6</t>
  </si>
  <si>
    <t>L-1614-153919515</t>
  </si>
  <si>
    <t>99386581X</t>
  </si>
  <si>
    <t>IV 121, 7</t>
  </si>
  <si>
    <t>L-1684-154729442</t>
  </si>
  <si>
    <t>IV 121, 8</t>
  </si>
  <si>
    <t>L-1586-161546927</t>
  </si>
  <si>
    <t>IV 121, 9</t>
  </si>
  <si>
    <t>L-1582-315195622</t>
  </si>
  <si>
    <t>IV 122, 1</t>
  </si>
  <si>
    <t>L-1677-169848736</t>
  </si>
  <si>
    <t>IV 122, 2</t>
  </si>
  <si>
    <t>L-1607-315469358</t>
  </si>
  <si>
    <t>106694170X</t>
  </si>
  <si>
    <t>IV 123, 1</t>
  </si>
  <si>
    <t>L-1611-40696906X</t>
  </si>
  <si>
    <t>IV 123, 2</t>
  </si>
  <si>
    <t>L-1611-406969078</t>
  </si>
  <si>
    <t>L-1622-315336404</t>
  </si>
  <si>
    <t>IV 123, 3</t>
  </si>
  <si>
    <t>L-1777-168342553</t>
  </si>
  <si>
    <t>99941836X</t>
  </si>
  <si>
    <t>IV 123, 4</t>
  </si>
  <si>
    <t>L-1686-154505919</t>
  </si>
  <si>
    <t>IV 123, 5</t>
  </si>
  <si>
    <t>L-1669-159197465</t>
  </si>
  <si>
    <t>IV 123, 6</t>
  </si>
  <si>
    <t>L-2010-321239</t>
  </si>
  <si>
    <t>IV 123, 7</t>
  </si>
  <si>
    <t>L-1620-315468637</t>
  </si>
  <si>
    <t>IV 124, 1</t>
  </si>
  <si>
    <t>L-1652-315178671</t>
  </si>
  <si>
    <t>IV 124, 2</t>
  </si>
  <si>
    <t>L-1663-31546898X</t>
  </si>
  <si>
    <t>IV 124, 3</t>
  </si>
  <si>
    <t>L-1778-406970939</t>
  </si>
  <si>
    <t>IV 125, 1</t>
  </si>
  <si>
    <t>L-1778-406970912</t>
  </si>
  <si>
    <t>L-1778-406970920</t>
  </si>
  <si>
    <t>IV 125, 1 a</t>
  </si>
  <si>
    <t>L-1778-406970904</t>
  </si>
  <si>
    <t>L-1748-18025894X</t>
  </si>
  <si>
    <t>IV 125, 2</t>
  </si>
  <si>
    <t>L-1750-157753514</t>
  </si>
  <si>
    <t>IV 125, 3</t>
  </si>
  <si>
    <t>L-1682-315468327</t>
  </si>
  <si>
    <t>IV 126, 1</t>
  </si>
  <si>
    <t>L-1625-315468653</t>
  </si>
  <si>
    <t>IV 127, 1</t>
  </si>
  <si>
    <t>L-1626-315182946</t>
  </si>
  <si>
    <t>IV 127, 2</t>
  </si>
  <si>
    <t>L-1627-315468661</t>
  </si>
  <si>
    <t>IV 127, 3</t>
  </si>
  <si>
    <t>L-1626-31546867X</t>
  </si>
  <si>
    <t>IV 127, 4</t>
  </si>
  <si>
    <t>L-1574-315487046</t>
  </si>
  <si>
    <t>IV 128, 1</t>
  </si>
  <si>
    <t>L-1580-315490330</t>
  </si>
  <si>
    <t>IV 128, 2</t>
  </si>
  <si>
    <t>L-1599-315487194</t>
  </si>
  <si>
    <t>IV 128, 3</t>
  </si>
  <si>
    <t>L-1741-168505118</t>
  </si>
  <si>
    <t>L-1714-169792005</t>
  </si>
  <si>
    <t>IV 128, 5</t>
  </si>
  <si>
    <t>L-1683-315328118</t>
  </si>
  <si>
    <t>IV 129, 1</t>
  </si>
  <si>
    <t>L-1735-315217103</t>
  </si>
  <si>
    <t>IV 129, 2</t>
  </si>
  <si>
    <t>L-1762-163026807</t>
  </si>
  <si>
    <t>IV 129, 3</t>
  </si>
  <si>
    <t>L-1762-163026823</t>
  </si>
  <si>
    <t>IV 129, 3 - 2. Ex.</t>
  </si>
  <si>
    <t>L-1773-163024901</t>
  </si>
  <si>
    <t>IV 129, 3 b</t>
  </si>
  <si>
    <t>L-1770-164643443</t>
  </si>
  <si>
    <t>99771428X</t>
  </si>
  <si>
    <t>IV 129, 3 c</t>
  </si>
  <si>
    <t>L-1769-164643508</t>
  </si>
  <si>
    <t>L-1786-164643109</t>
  </si>
  <si>
    <t>L-1786-164643060</t>
  </si>
  <si>
    <t>L-1781-164643354</t>
  </si>
  <si>
    <t>L-1780-164643257</t>
  </si>
  <si>
    <t>L-1767-164643397</t>
  </si>
  <si>
    <t>L-1791-164643168</t>
  </si>
  <si>
    <t>L-1780-154501549</t>
  </si>
  <si>
    <t>IV 129, 3a</t>
  </si>
  <si>
    <t>L-1770-178514683</t>
  </si>
  <si>
    <t>L-1793-170692949</t>
  </si>
  <si>
    <t>L-1778-155603140</t>
  </si>
  <si>
    <t>IV 129, 6</t>
  </si>
  <si>
    <t>L-1789-155603272</t>
  </si>
  <si>
    <t>IV 129, 6 a</t>
  </si>
  <si>
    <t>L-1800-406951462</t>
  </si>
  <si>
    <t>113263489X</t>
  </si>
  <si>
    <t>L-1801-406951500</t>
  </si>
  <si>
    <t>L-1803-406951543</t>
  </si>
  <si>
    <t>L-1801-406951489</t>
  </si>
  <si>
    <t>L-1802-406951527</t>
  </si>
  <si>
    <t>113263492X</t>
  </si>
  <si>
    <t>L-1804-406951594</t>
  </si>
  <si>
    <t>L-1803-406951578</t>
  </si>
  <si>
    <t>L-1800-406951470</t>
  </si>
  <si>
    <t>IV 129, 6 ba</t>
  </si>
  <si>
    <t>L-1801-406951519</t>
  </si>
  <si>
    <t>L-1801-406951497</t>
  </si>
  <si>
    <t>L-1803-406951586</t>
  </si>
  <si>
    <t>L-1804-406951608</t>
  </si>
  <si>
    <t>L-1803-406951551</t>
  </si>
  <si>
    <t>L-1802-406951535</t>
  </si>
  <si>
    <t>L-1803-40695156X</t>
  </si>
  <si>
    <t>L-1778-170806065</t>
  </si>
  <si>
    <t>IV 129, 7</t>
  </si>
  <si>
    <t>L-1780-167293818</t>
  </si>
  <si>
    <t>L-1801-647111829</t>
  </si>
  <si>
    <t>IV 129, 9</t>
  </si>
  <si>
    <t>L-1776-647112027</t>
  </si>
  <si>
    <t>L-1742-16327097X</t>
  </si>
  <si>
    <t>IV 13 A, 1</t>
  </si>
  <si>
    <t>L-1770-154682675</t>
  </si>
  <si>
    <t>IV 13 A, 2</t>
  </si>
  <si>
    <t>L-1724-165444517</t>
  </si>
  <si>
    <t>IV 13 A, 3</t>
  </si>
  <si>
    <t>L-1724-156360578</t>
  </si>
  <si>
    <t>L-1603-315468874</t>
  </si>
  <si>
    <t>IV 13, 1 a</t>
  </si>
  <si>
    <t>L-1603-159433207</t>
  </si>
  <si>
    <t>L-1603-159433215</t>
  </si>
  <si>
    <t>L-1609-406959560</t>
  </si>
  <si>
    <t>IV 13, 2</t>
  </si>
  <si>
    <t>L-1612-315294558</t>
  </si>
  <si>
    <t>IV 130, 1</t>
  </si>
  <si>
    <t>L-2016-315830</t>
  </si>
  <si>
    <t>108151020X</t>
  </si>
  <si>
    <t>IV 131, [12]</t>
  </si>
  <si>
    <t>L-1668-163740798</t>
  </si>
  <si>
    <t>IV 131, 1</t>
  </si>
  <si>
    <t>L-1685-169813169</t>
  </si>
  <si>
    <t>IV 131, 10</t>
  </si>
  <si>
    <t>L-1799-163480656</t>
  </si>
  <si>
    <t>99716641X</t>
  </si>
  <si>
    <t>L-1799-163480621</t>
  </si>
  <si>
    <t>L-1798-163480605</t>
  </si>
  <si>
    <t>L-1798-163480591</t>
  </si>
  <si>
    <t>L-1792-400827298</t>
  </si>
  <si>
    <t>IV 131, 11a</t>
  </si>
  <si>
    <t>L-1668-16374081X</t>
  </si>
  <si>
    <t>IV 131, 1a</t>
  </si>
  <si>
    <t>L-1717-315464712</t>
  </si>
  <si>
    <t>IV 131, 2</t>
  </si>
  <si>
    <t>L-1681-315461993</t>
  </si>
  <si>
    <t>IV 131, 3</t>
  </si>
  <si>
    <t>L-1684-170686051</t>
  </si>
  <si>
    <t>IV 131, 3 a</t>
  </si>
  <si>
    <t>L-1701-163895384</t>
  </si>
  <si>
    <t>IV 131, 3 b</t>
  </si>
  <si>
    <t>L-1788-155582119</t>
  </si>
  <si>
    <t>IV 131, 3c</t>
  </si>
  <si>
    <t>L-1626-180374311</t>
  </si>
  <si>
    <t>IV 131, 3d</t>
  </si>
  <si>
    <t>L-1681-180373994</t>
  </si>
  <si>
    <t>L-1678-180373595</t>
  </si>
  <si>
    <t>L-1800-15449836X</t>
  </si>
  <si>
    <t>L-1801-154498300</t>
  </si>
  <si>
    <t>L-1784-178552283</t>
  </si>
  <si>
    <t>IV 131, 5</t>
  </si>
  <si>
    <t>L-1763-163045720</t>
  </si>
  <si>
    <t>01122164X</t>
  </si>
  <si>
    <t>L-1800-154499307</t>
  </si>
  <si>
    <t>IV 131, 7</t>
  </si>
  <si>
    <t>L-1797-154499374</t>
  </si>
  <si>
    <t>L-1788-168488914</t>
  </si>
  <si>
    <t>IV 131, 8</t>
  </si>
  <si>
    <t>L-1788-168488876</t>
  </si>
  <si>
    <t>L-1782-168488841</t>
  </si>
  <si>
    <t>L-1788-168488957</t>
  </si>
  <si>
    <t>L-1787-168488965</t>
  </si>
  <si>
    <t>L-1788-16846862X</t>
  </si>
  <si>
    <t>IV 131, 9</t>
  </si>
  <si>
    <t>L-1764-170483177</t>
  </si>
  <si>
    <t>L-1787-16337810X</t>
  </si>
  <si>
    <t>IV 131, 9a</t>
  </si>
  <si>
    <t>L-1786-16337709X</t>
  </si>
  <si>
    <t>IV 131, 9b</t>
  </si>
  <si>
    <t>L-1787-163377138</t>
  </si>
  <si>
    <t>L-1792-163377197</t>
  </si>
  <si>
    <t>L-1793-163377219</t>
  </si>
  <si>
    <t>L-1815-164508317</t>
  </si>
  <si>
    <t>L-1824-164508422</t>
  </si>
  <si>
    <t>L-1815-448374595</t>
  </si>
  <si>
    <t>IV 131, 9ca</t>
  </si>
  <si>
    <t>L-1763-315466502</t>
  </si>
  <si>
    <t>106693875X</t>
  </si>
  <si>
    <t>IV 132, 1</t>
  </si>
  <si>
    <t>L-1602-315463759</t>
  </si>
  <si>
    <t>106693584X</t>
  </si>
  <si>
    <t>IV 133, 1</t>
  </si>
  <si>
    <t>L-1568-315494352</t>
  </si>
  <si>
    <t>IV 134, 1</t>
  </si>
  <si>
    <t>L-1668-315213647</t>
  </si>
  <si>
    <t>IV 135, 1</t>
  </si>
  <si>
    <t>L-1782-164980016</t>
  </si>
  <si>
    <t>L-1786-164980121</t>
  </si>
  <si>
    <t>L-1786-164980202</t>
  </si>
  <si>
    <t>L-1769-164980377</t>
  </si>
  <si>
    <t>L-1770-164980482</t>
  </si>
  <si>
    <t>99776919X</t>
  </si>
  <si>
    <t>L-1769-164980415</t>
  </si>
  <si>
    <t>L-1718-315307544</t>
  </si>
  <si>
    <t>IV 136, 1</t>
  </si>
  <si>
    <t>L-1789-314729348</t>
  </si>
  <si>
    <t>IV 137, 1</t>
  </si>
  <si>
    <t>L-1789-670545287</t>
  </si>
  <si>
    <t>IV 137, 1 (Angebundenes Werk)</t>
  </si>
  <si>
    <t>L-1649-315301163</t>
  </si>
  <si>
    <t>IV 138, 1</t>
  </si>
  <si>
    <t>L-1650-674661621</t>
  </si>
  <si>
    <t>IV 138, 1 (1. angebundenes Werk)</t>
  </si>
  <si>
    <t>L-1779-315191368</t>
  </si>
  <si>
    <t>IV 139, 1</t>
  </si>
  <si>
    <t>L-1624-332796876</t>
  </si>
  <si>
    <t>IV 14, 1</t>
  </si>
  <si>
    <t>L-1754-31519149X</t>
  </si>
  <si>
    <t>IV 140, 1</t>
  </si>
  <si>
    <t>L-1760-315469927</t>
  </si>
  <si>
    <t>IV 140, 2</t>
  </si>
  <si>
    <t>L-1778-315459832</t>
  </si>
  <si>
    <t>IV 140, 3</t>
  </si>
  <si>
    <t>L-1778-679695532</t>
  </si>
  <si>
    <t>IV 140, 3 (Angebundenes Werk)</t>
  </si>
  <si>
    <t>L-1582-315490969</t>
  </si>
  <si>
    <t>106696047X</t>
  </si>
  <si>
    <t>IV 141, 1</t>
  </si>
  <si>
    <t>L-1669-315200421</t>
  </si>
  <si>
    <t>IV 141, 2</t>
  </si>
  <si>
    <t>L-1646-430952341</t>
  </si>
  <si>
    <t>IV 141, 2 (2. angebundenes Werk)</t>
  </si>
  <si>
    <t>L-1648-17055130X</t>
  </si>
  <si>
    <t>IV 141, 3 - 1</t>
  </si>
  <si>
    <t>L-1666-17645649X</t>
  </si>
  <si>
    <t>IV 141, 3 - 10 b</t>
  </si>
  <si>
    <t>L-1666-162611315</t>
  </si>
  <si>
    <t>IV 141, 3 - 10 c</t>
  </si>
  <si>
    <t>L-1666-182336786</t>
  </si>
  <si>
    <t>IV 141, 3 - 10 d</t>
  </si>
  <si>
    <t>L-1667-163065330</t>
  </si>
  <si>
    <t>IV 141, 3 - 10a</t>
  </si>
  <si>
    <t>L-1685-155386239</t>
  </si>
  <si>
    <t>IV 141, 3 - 11</t>
  </si>
  <si>
    <t>L-1690-171176820</t>
  </si>
  <si>
    <t>IV 141, 3 - 12 b</t>
  </si>
  <si>
    <t>L-1689-163253293</t>
  </si>
  <si>
    <t>IV 141, 3 - 12 c</t>
  </si>
  <si>
    <t>L-1689-163253420</t>
  </si>
  <si>
    <t>IV 141, 3 - 12 d</t>
  </si>
  <si>
    <t>L-1689-169996360</t>
  </si>
  <si>
    <t>IV 141, 3 - 12 e</t>
  </si>
  <si>
    <t>L-1689-163253021</t>
  </si>
  <si>
    <t>IV 141, 3 - 12 f</t>
  </si>
  <si>
    <t>L-1689-163253110</t>
  </si>
  <si>
    <t>IV 141, 3 - 12 g</t>
  </si>
  <si>
    <t>L-1689-172967414</t>
  </si>
  <si>
    <t>IV 141, 3 - 12 h</t>
  </si>
  <si>
    <t>L-1689-174269102</t>
  </si>
  <si>
    <t>IV 141, 3 - 12a</t>
  </si>
  <si>
    <t>L-1690-180497626</t>
  </si>
  <si>
    <t>IV 141, 3 - 13 a</t>
  </si>
  <si>
    <t>L-1690-153949279</t>
  </si>
  <si>
    <t>99388587X</t>
  </si>
  <si>
    <t>IV 141, 3 - 13 b</t>
  </si>
  <si>
    <t>L-1691-153949104</t>
  </si>
  <si>
    <t>IV 141, 3 - 13 c</t>
  </si>
  <si>
    <t>L-1600-176457674</t>
  </si>
  <si>
    <t>100209366X</t>
  </si>
  <si>
    <t>IV 141, 3 - 1-30</t>
  </si>
  <si>
    <t>L-1691-170980200</t>
  </si>
  <si>
    <t>IV 141, 3 - 14</t>
  </si>
  <si>
    <t>L-1691-174269560</t>
  </si>
  <si>
    <t>IV 141, 3 - 15 a</t>
  </si>
  <si>
    <t>L-1691-170362205</t>
  </si>
  <si>
    <t>IV 141, 3 - 15 b</t>
  </si>
  <si>
    <t>L-1694-17426884X</t>
  </si>
  <si>
    <t>IV 141, 3 - 16 a</t>
  </si>
  <si>
    <t>L-1694-170362264</t>
  </si>
  <si>
    <t>IV 141, 3 - 16 b</t>
  </si>
  <si>
    <t>L-1700-175005435</t>
  </si>
  <si>
    <t>IV 141, 3 - 17 a</t>
  </si>
  <si>
    <t>L-1700-153707852</t>
  </si>
  <si>
    <t>99385527X</t>
  </si>
  <si>
    <t>IV 141, 3 - 17b</t>
  </si>
  <si>
    <t>L-1682-155386166</t>
  </si>
  <si>
    <t>IV 141, 3 - 18</t>
  </si>
  <si>
    <t>L-1677-163266271</t>
  </si>
  <si>
    <t>IV 141, 3 - 19</t>
  </si>
  <si>
    <t>L-1690-16705662X</t>
  </si>
  <si>
    <t>IV 141, 3 - 2</t>
  </si>
  <si>
    <t>L-1676-154471070</t>
  </si>
  <si>
    <t>IV 141, 3 - 20</t>
  </si>
  <si>
    <t>L-1687-163266654</t>
  </si>
  <si>
    <t>IV 141, 3 - 21</t>
  </si>
  <si>
    <t>L-1689-174322151</t>
  </si>
  <si>
    <t>IV 141, 3 - 22</t>
  </si>
  <si>
    <t>L-1696-17033404X</t>
  </si>
  <si>
    <t>IV 141, 3 - 23 b</t>
  </si>
  <si>
    <t>L-1696-174270917</t>
  </si>
  <si>
    <t>IV 141, 3 - 23a</t>
  </si>
  <si>
    <t>L-1702-170544494</t>
  </si>
  <si>
    <t>IV 141, 3 - 24 a</t>
  </si>
  <si>
    <t>L-1702-170362396</t>
  </si>
  <si>
    <t>IV 141, 3 - 24 b</t>
  </si>
  <si>
    <t>L-1701-177478357</t>
  </si>
  <si>
    <t>IV 141, 3 - 24 c</t>
  </si>
  <si>
    <t>L-1672-155921339</t>
  </si>
  <si>
    <t>IV 141, 3 - 25 a</t>
  </si>
  <si>
    <t>L-1672-163207887</t>
  </si>
  <si>
    <t>99701363X</t>
  </si>
  <si>
    <t>IV 141, 3 - 25 b</t>
  </si>
  <si>
    <t>L-1701-175848831</t>
  </si>
  <si>
    <t>100192018X</t>
  </si>
  <si>
    <t>IV 141, 3 - 26</t>
  </si>
  <si>
    <t>L-1693-174270674</t>
  </si>
  <si>
    <t>IV 141, 3 - 27 a</t>
  </si>
  <si>
    <t>L-1693-170362353</t>
  </si>
  <si>
    <t>100029904X</t>
  </si>
  <si>
    <t>IV 141, 3 - 27 b</t>
  </si>
  <si>
    <t>L-1691-17178460X</t>
  </si>
  <si>
    <t>IV 141, 3 - 28</t>
  </si>
  <si>
    <t>L-1693-166753394</t>
  </si>
  <si>
    <t>IV 141, 3 - 29</t>
  </si>
  <si>
    <t>L-1697-167056255</t>
  </si>
  <si>
    <t>IV 141, 3 - 3 a</t>
  </si>
  <si>
    <t>L-1698-166753246</t>
  </si>
  <si>
    <t>IV 141, 3 - 30</t>
  </si>
  <si>
    <t>L-1700-16705631X</t>
  </si>
  <si>
    <t>IV 141, 3 - 3b</t>
  </si>
  <si>
    <t>L-1700-167056379</t>
  </si>
  <si>
    <t>99884957X</t>
  </si>
  <si>
    <t>IV 141, 3 - 3c</t>
  </si>
  <si>
    <t>L-1651-156878739</t>
  </si>
  <si>
    <t>99458119X</t>
  </si>
  <si>
    <t>IV 141, 3 - 4</t>
  </si>
  <si>
    <t>L-1663-174285930</t>
  </si>
  <si>
    <t>IV 141, 3 - 5</t>
  </si>
  <si>
    <t>L-1663-174285639</t>
  </si>
  <si>
    <t>IV 141, 3 - 6</t>
  </si>
  <si>
    <t>L-1674-16910494X</t>
  </si>
  <si>
    <t>IV 141, 3 - 7</t>
  </si>
  <si>
    <t>L-1676-167362356</t>
  </si>
  <si>
    <t>IV 141, 3 - 8 a</t>
  </si>
  <si>
    <t>L-1676-17117593X</t>
  </si>
  <si>
    <t>100079833X</t>
  </si>
  <si>
    <t>IV 141, 3 - 8 b</t>
  </si>
  <si>
    <t>L-1600-17539086X</t>
  </si>
  <si>
    <t>100168415X</t>
  </si>
  <si>
    <t>IV 141, 3 - 9</t>
  </si>
  <si>
    <t>L-1771-171311035</t>
  </si>
  <si>
    <t>L-1771-171311094</t>
  </si>
  <si>
    <t>L-1797-160494400</t>
  </si>
  <si>
    <t>IV 142 B, 2</t>
  </si>
  <si>
    <t>L-1798-160495202</t>
  </si>
  <si>
    <t>L-1794-160494257</t>
  </si>
  <si>
    <t>99571133X</t>
  </si>
  <si>
    <t>L-1757-175572496</t>
  </si>
  <si>
    <t>IV 142 B, 3</t>
  </si>
  <si>
    <t>L-1728-406969620</t>
  </si>
  <si>
    <t>L-1728-406969639</t>
  </si>
  <si>
    <t>L-1728-406969647</t>
  </si>
  <si>
    <t>L-1746-155958410</t>
  </si>
  <si>
    <t>IV 142, 1 b</t>
  </si>
  <si>
    <t>L-1746-155959514</t>
  </si>
  <si>
    <t>99445547X</t>
  </si>
  <si>
    <t>IV 142, 1/a</t>
  </si>
  <si>
    <t>L-1789-174338228</t>
  </si>
  <si>
    <t>IV 142, 10</t>
  </si>
  <si>
    <t>L-1741-169975339</t>
  </si>
  <si>
    <t>L-1740-169975266</t>
  </si>
  <si>
    <t>L-1740-169975142</t>
  </si>
  <si>
    <t>L-1744-169499103</t>
  </si>
  <si>
    <t>IV 142, 12</t>
  </si>
  <si>
    <t>L-1747-160198283</t>
  </si>
  <si>
    <t>IV 142, 12 a</t>
  </si>
  <si>
    <t>L-1603-177932139</t>
  </si>
  <si>
    <t>IV 142, 13</t>
  </si>
  <si>
    <t>L-1664-166250708</t>
  </si>
  <si>
    <t>IV 142, 14</t>
  </si>
  <si>
    <t>L-1761-164466924</t>
  </si>
  <si>
    <t>IV 142, 15</t>
  </si>
  <si>
    <t>L-1719-154002917</t>
  </si>
  <si>
    <t>L-1729-153970022</t>
  </si>
  <si>
    <t>L-1729-15396992X</t>
  </si>
  <si>
    <t>L-1728-154002968</t>
  </si>
  <si>
    <t>L-1737-166185787</t>
  </si>
  <si>
    <t>IV 142, 17</t>
  </si>
  <si>
    <t>L-1729-406973091</t>
  </si>
  <si>
    <t>IV 142, 2</t>
  </si>
  <si>
    <t>L-1729-406973083</t>
  </si>
  <si>
    <t>L-1760-406971021</t>
  </si>
  <si>
    <t>113265467X</t>
  </si>
  <si>
    <t>L-1765-40697103X</t>
  </si>
  <si>
    <t>L-1757-406971005</t>
  </si>
  <si>
    <t>L-1765-406971048</t>
  </si>
  <si>
    <t>L-1757-406971013</t>
  </si>
  <si>
    <t>L-1770-158123867</t>
  </si>
  <si>
    <t>IV 142, 4</t>
  </si>
  <si>
    <t>L-1771-158182529</t>
  </si>
  <si>
    <t>IV 142, 5</t>
  </si>
  <si>
    <t>L-1802-155382683</t>
  </si>
  <si>
    <t>L-9999-158123573</t>
  </si>
  <si>
    <t>IV 142, 5 a</t>
  </si>
  <si>
    <t>L-1777-158123514</t>
  </si>
  <si>
    <t>IV 142, 5a</t>
  </si>
  <si>
    <t>L-1777-158123603</t>
  </si>
  <si>
    <t>L-1774-158123638</t>
  </si>
  <si>
    <t>L-1776-158123476</t>
  </si>
  <si>
    <t>L-1772-158123425</t>
  </si>
  <si>
    <t>L-9999-158123441</t>
  </si>
  <si>
    <t>L-1774-158123654</t>
  </si>
  <si>
    <t>L-1729-175196516</t>
  </si>
  <si>
    <t>IV 142, 6</t>
  </si>
  <si>
    <t>L-1729-176525696</t>
  </si>
  <si>
    <t>L-1746-169491242</t>
  </si>
  <si>
    <t>L-1746-169491285</t>
  </si>
  <si>
    <t>L-1704-171514688</t>
  </si>
  <si>
    <t>L-1627-177483474</t>
  </si>
  <si>
    <t>L-1774-170467422</t>
  </si>
  <si>
    <t>IV 142, 9</t>
  </si>
  <si>
    <t>L-1774-170467376</t>
  </si>
  <si>
    <t>L-1774-170467392</t>
  </si>
  <si>
    <t>L-1774-170467295</t>
  </si>
  <si>
    <t>L-1774-170467228</t>
  </si>
  <si>
    <t>L-1774-170467414</t>
  </si>
  <si>
    <t>L-1774-170467341</t>
  </si>
  <si>
    <t>L-1595-31549431X</t>
  </si>
  <si>
    <t>IV 143, 1</t>
  </si>
  <si>
    <t>L-1603-315461535</t>
  </si>
  <si>
    <t>106693343X</t>
  </si>
  <si>
    <t>IV 143, 2</t>
  </si>
  <si>
    <t>L-1786-164318682</t>
  </si>
  <si>
    <t>IV 143, 3</t>
  </si>
  <si>
    <t>L-1685-315468688</t>
  </si>
  <si>
    <t>IV 144, 1</t>
  </si>
  <si>
    <t>L-1685-674668413</t>
  </si>
  <si>
    <t>IV 144, 1 (1. angebundenes Werk)</t>
  </si>
  <si>
    <t>L-1724-155583433</t>
  </si>
  <si>
    <t>IV 144, 10</t>
  </si>
  <si>
    <t>L-1722-155583328</t>
  </si>
  <si>
    <t>L-1725-163811229</t>
  </si>
  <si>
    <t>IV 144, 11</t>
  </si>
  <si>
    <t>L-1735-154683388</t>
  </si>
  <si>
    <t>IV 144, 12</t>
  </si>
  <si>
    <t>L-1735-154683426</t>
  </si>
  <si>
    <t>L-1736-15468371X</t>
  </si>
  <si>
    <t>IV 144, 13</t>
  </si>
  <si>
    <t>L-1736-154683779</t>
  </si>
  <si>
    <t>L-1735-155605240</t>
  </si>
  <si>
    <t>IV 144, 14</t>
  </si>
  <si>
    <t>L-1749-170500853</t>
  </si>
  <si>
    <t>IV 144, 15</t>
  </si>
  <si>
    <t>L-1755-158283058</t>
  </si>
  <si>
    <t>99489886X</t>
  </si>
  <si>
    <t>L-1755-158282949</t>
  </si>
  <si>
    <t>L-1758-160725372</t>
  </si>
  <si>
    <t>IV 144, 16</t>
  </si>
  <si>
    <t>L-1763-171137922</t>
  </si>
  <si>
    <t>100077340X</t>
  </si>
  <si>
    <t>IV 144, 17</t>
  </si>
  <si>
    <t>L-1763-171137841</t>
  </si>
  <si>
    <t>L-1769-156045176</t>
  </si>
  <si>
    <t>IV 144, 17a</t>
  </si>
  <si>
    <t>L-1782-175018936</t>
  </si>
  <si>
    <t>L-1781-17501891X</t>
  </si>
  <si>
    <t>L-1783-15606619X</t>
  </si>
  <si>
    <t>99450814X</t>
  </si>
  <si>
    <t>L-1783-15606622X</t>
  </si>
  <si>
    <t>L-1774-154498041</t>
  </si>
  <si>
    <t>IV 144, 18 c</t>
  </si>
  <si>
    <t>L-1752-160725046</t>
  </si>
  <si>
    <t>IV 144, 18/a</t>
  </si>
  <si>
    <t>L-1772-17867513X</t>
  </si>
  <si>
    <t>IV 144, 18c</t>
  </si>
  <si>
    <t>L-1777-154680532</t>
  </si>
  <si>
    <t>L-1768-176445811</t>
  </si>
  <si>
    <t>L-1751-15756911X</t>
  </si>
  <si>
    <t>IV 144, 19</t>
  </si>
  <si>
    <t>L-1752-154743070</t>
  </si>
  <si>
    <t>L-1697-315461934</t>
  </si>
  <si>
    <t>106693388X</t>
  </si>
  <si>
    <t>IV 144, 2</t>
  </si>
  <si>
    <t>L-1697-674514211</t>
  </si>
  <si>
    <t>IV 144, 2 (Angebundenes Werk)</t>
  </si>
  <si>
    <t>L-1763-15411250X</t>
  </si>
  <si>
    <t>99397256X</t>
  </si>
  <si>
    <t>IV 144, 20</t>
  </si>
  <si>
    <t>L-1747-154113166</t>
  </si>
  <si>
    <t>IV 144, 20a</t>
  </si>
  <si>
    <t>L-1751-165365714</t>
  </si>
  <si>
    <t>IV 144, 21</t>
  </si>
  <si>
    <t>L-1751-165366338</t>
  </si>
  <si>
    <t>L-1779-160235103</t>
  </si>
  <si>
    <t>L-1779-160235081</t>
  </si>
  <si>
    <t>L-1663-169103471</t>
  </si>
  <si>
    <t>IV 144, 23</t>
  </si>
  <si>
    <t>L-1747-168635089</t>
  </si>
  <si>
    <t>IV 144, 24</t>
  </si>
  <si>
    <t>L-1746-168632063</t>
  </si>
  <si>
    <t>L-1724-177105844</t>
  </si>
  <si>
    <t>IV 144, 25</t>
  </si>
  <si>
    <t>L-1746-154683477</t>
  </si>
  <si>
    <t>IV 144, 26</t>
  </si>
  <si>
    <t>L-1791-154382515</t>
  </si>
  <si>
    <t>IV 144, 27</t>
  </si>
  <si>
    <t>L-1798-164273638</t>
  </si>
  <si>
    <t>IV 144, 28</t>
  </si>
  <si>
    <t>L-1775-170054489</t>
  </si>
  <si>
    <t>L-1778-170054632</t>
  </si>
  <si>
    <t>L-1776-170054594</t>
  </si>
  <si>
    <t>L-1778-170342786</t>
  </si>
  <si>
    <t>IV 144, 28a</t>
  </si>
  <si>
    <t>L-1796-167359088</t>
  </si>
  <si>
    <t>IV 144, 29</t>
  </si>
  <si>
    <t>L-1699-315466243</t>
  </si>
  <si>
    <t>IV 144, 3</t>
  </si>
  <si>
    <t>L-1679-670542989</t>
  </si>
  <si>
    <t>IV 144, 3 (1. angebundenes Werk)</t>
  </si>
  <si>
    <t>L-1769-176910921</t>
  </si>
  <si>
    <t>IV 144, 30</t>
  </si>
  <si>
    <t>L-2014-305487</t>
  </si>
  <si>
    <t>IV 144, 31</t>
  </si>
  <si>
    <t>L-1774-288296354</t>
  </si>
  <si>
    <t>IV 144, 32</t>
  </si>
  <si>
    <t>L-2015-317287</t>
  </si>
  <si>
    <t>IV 144, 33</t>
  </si>
  <si>
    <t>L-2015-317294</t>
  </si>
  <si>
    <t>IV 144, 34</t>
  </si>
  <si>
    <t>L-1743-412998866</t>
  </si>
  <si>
    <t>IV 144, 35</t>
  </si>
  <si>
    <t>L-1943-44804160X</t>
  </si>
  <si>
    <t>L-2019-302407</t>
  </si>
  <si>
    <t>IV 144, 36</t>
  </si>
  <si>
    <t>L-1710-315466227</t>
  </si>
  <si>
    <t>106693844X</t>
  </si>
  <si>
    <t>IV 144, 4</t>
  </si>
  <si>
    <t>L-1710-16862219X</t>
  </si>
  <si>
    <t>IV 144, 4 a</t>
  </si>
  <si>
    <t>L-1709-160593867</t>
  </si>
  <si>
    <t>IV 144, 4a</t>
  </si>
  <si>
    <t>L-1709-160593883</t>
  </si>
  <si>
    <t>L-1709-160593891</t>
  </si>
  <si>
    <t>L-1708-160593905</t>
  </si>
  <si>
    <t>L-1709-160593913</t>
  </si>
  <si>
    <t>L-1711-178181005</t>
  </si>
  <si>
    <t>L-1709-16059393X</t>
  </si>
  <si>
    <t>L-1709-160593794</t>
  </si>
  <si>
    <t>L-1719-315337885</t>
  </si>
  <si>
    <t>106688031X</t>
  </si>
  <si>
    <t>IV 144, 5</t>
  </si>
  <si>
    <t>L-1717-672620936</t>
  </si>
  <si>
    <t>IV 144, 5 (Angebundenes Werk)</t>
  </si>
  <si>
    <t>L-1722-315177152</t>
  </si>
  <si>
    <t>IV 144, 6</t>
  </si>
  <si>
    <t>L-1709-170548651</t>
  </si>
  <si>
    <t>IV 144, 6 a</t>
  </si>
  <si>
    <t>L-1708-170548546</t>
  </si>
  <si>
    <t>L-1727-155951882</t>
  </si>
  <si>
    <t>IV 144, 6 c</t>
  </si>
  <si>
    <t>L-1728-17999896X</t>
  </si>
  <si>
    <t>IV 144, 6b</t>
  </si>
  <si>
    <t>L-1731-315219610</t>
  </si>
  <si>
    <t>IV 144, 7</t>
  </si>
  <si>
    <t>L-1760-315296879</t>
  </si>
  <si>
    <t>IV 144, 8</t>
  </si>
  <si>
    <t>L-1760-154090018</t>
  </si>
  <si>
    <t>IV 144, 9</t>
  </si>
  <si>
    <t>L-1593-315487615</t>
  </si>
  <si>
    <t>IV 145, 1</t>
  </si>
  <si>
    <t>L-1784-174350406</t>
  </si>
  <si>
    <t>IV 145, 10</t>
  </si>
  <si>
    <t>L-2007-307018</t>
  </si>
  <si>
    <t>IV 145, 10 b</t>
  </si>
  <si>
    <t>L-1777-165123958</t>
  </si>
  <si>
    <t>IV 145, 10a</t>
  </si>
  <si>
    <t>L-1777-16512427X</t>
  </si>
  <si>
    <t>L-1779-211953768</t>
  </si>
  <si>
    <t>L-1653-16949103X</t>
  </si>
  <si>
    <t>99980961X</t>
  </si>
  <si>
    <t>IV 145, 11</t>
  </si>
  <si>
    <t>L-1662-165134038</t>
  </si>
  <si>
    <t>L-1708-169896714</t>
  </si>
  <si>
    <t>IV 145, 12</t>
  </si>
  <si>
    <t>L-1692-169105539</t>
  </si>
  <si>
    <t>99974982X</t>
  </si>
  <si>
    <t>IV 145, 13</t>
  </si>
  <si>
    <t>L-1699-176920706</t>
  </si>
  <si>
    <t>IV 145, 14</t>
  </si>
  <si>
    <t>L-1675-166161802</t>
  </si>
  <si>
    <t>IV 145, 15</t>
  </si>
  <si>
    <t>L-1586-170178161</t>
  </si>
  <si>
    <t>IV 145, 16</t>
  </si>
  <si>
    <t>L-1694-168442728</t>
  </si>
  <si>
    <t>IV 145, 17</t>
  </si>
  <si>
    <t>L-1781-163729018</t>
  </si>
  <si>
    <t>IV 145, 18</t>
  </si>
  <si>
    <t>L-1765-155607286</t>
  </si>
  <si>
    <t>IV 145, 19</t>
  </si>
  <si>
    <t>L-9999-406957517</t>
  </si>
  <si>
    <t>L-9999-406957525</t>
  </si>
  <si>
    <t>L-9999-406957509</t>
  </si>
  <si>
    <t>113264013X</t>
  </si>
  <si>
    <t>L-1713-164663363</t>
  </si>
  <si>
    <t>IV 145, 20</t>
  </si>
  <si>
    <t>L-1592-315333995</t>
  </si>
  <si>
    <t>106687624X</t>
  </si>
  <si>
    <t>IV 145, 21</t>
  </si>
  <si>
    <t>L-1599-670709603</t>
  </si>
  <si>
    <t>IV 145, 21 (1. angebundenes Werk)</t>
  </si>
  <si>
    <t>L-1590-67466714X</t>
  </si>
  <si>
    <t>IV 145, 21 (2. angebundenes Werk)</t>
  </si>
  <si>
    <t>L-1613-674665155</t>
  </si>
  <si>
    <t>IV 145, 21 (3. angebundenes Werk)</t>
  </si>
  <si>
    <t>L-1613-674667549</t>
  </si>
  <si>
    <t>IV 145, 21 (4. angebundenes Werk)</t>
  </si>
  <si>
    <t>L-1617-674666135</t>
  </si>
  <si>
    <t>IV 145, 21 (5. angebundenes Werk)</t>
  </si>
  <si>
    <t>L-1800-165391294</t>
  </si>
  <si>
    <t>IV 145, 22</t>
  </si>
  <si>
    <t>L-1800-165391413</t>
  </si>
  <si>
    <t>L-1788-165391618</t>
  </si>
  <si>
    <t>IV 145, 23</t>
  </si>
  <si>
    <t>L-1769-165362502</t>
  </si>
  <si>
    <t>IV 145, 24</t>
  </si>
  <si>
    <t>L-1721-167551280</t>
  </si>
  <si>
    <t>IV 145, 25</t>
  </si>
  <si>
    <t>L-1767-155606743</t>
  </si>
  <si>
    <t>01272727X</t>
  </si>
  <si>
    <t>IV 145, 26</t>
  </si>
  <si>
    <t>L-1799-177168226</t>
  </si>
  <si>
    <t>IV 145, 27</t>
  </si>
  <si>
    <t>L-1724-19613532X</t>
  </si>
  <si>
    <t>L-1745-168960826</t>
  </si>
  <si>
    <t>L-1746-168961210</t>
  </si>
  <si>
    <t>L-1771-165343419</t>
  </si>
  <si>
    <t>IV 145, 4</t>
  </si>
  <si>
    <t>L-1774-165364939</t>
  </si>
  <si>
    <t>IV 145, 4a</t>
  </si>
  <si>
    <t>L-1760-163016992</t>
  </si>
  <si>
    <t>IV 145, 5</t>
  </si>
  <si>
    <t>L-1760-163016976</t>
  </si>
  <si>
    <t>L-1760-163016941</t>
  </si>
  <si>
    <t>L-1789-177914084</t>
  </si>
  <si>
    <t>IV 145, 5a</t>
  </si>
  <si>
    <t>L-1776-178441678</t>
  </si>
  <si>
    <t>IV 145, 6</t>
  </si>
  <si>
    <t>L-1778-15560631X</t>
  </si>
  <si>
    <t>IV 145, 6a</t>
  </si>
  <si>
    <t>L-1781-155606360</t>
  </si>
  <si>
    <t>IV 145, 6b</t>
  </si>
  <si>
    <t>L-1766-170725073</t>
  </si>
  <si>
    <t>L-1764-170725049</t>
  </si>
  <si>
    <t>L-1764-170725006</t>
  </si>
  <si>
    <t>L-1759-177913568</t>
  </si>
  <si>
    <t>IV 145, 8</t>
  </si>
  <si>
    <t>L-1750-156066297</t>
  </si>
  <si>
    <t>L-1772-156067056</t>
  </si>
  <si>
    <t>L-1756-156066386</t>
  </si>
  <si>
    <t>L-1760-156066432</t>
  </si>
  <si>
    <t>L-1766-156066475</t>
  </si>
  <si>
    <t>L-1767-156066513</t>
  </si>
  <si>
    <t>L-1770-156066629</t>
  </si>
  <si>
    <t>99450859X</t>
  </si>
  <si>
    <t>L-1775-156067234</t>
  </si>
  <si>
    <t>L-1779-156067455</t>
  </si>
  <si>
    <t>99450909X</t>
  </si>
  <si>
    <t>L-1752-156066327</t>
  </si>
  <si>
    <t>L-1781-156067536</t>
  </si>
  <si>
    <t>L-1763-155408895</t>
  </si>
  <si>
    <t>IV 145, 9</t>
  </si>
  <si>
    <t>L-1770-373171226</t>
  </si>
  <si>
    <t>L-1593-315492228</t>
  </si>
  <si>
    <t>IV 146, 1</t>
  </si>
  <si>
    <t>L-1620-169968723</t>
  </si>
  <si>
    <t>IV 146, 10</t>
  </si>
  <si>
    <t>L-1619-156401320</t>
  </si>
  <si>
    <t>IV 146, 10a</t>
  </si>
  <si>
    <t>L-1619-156401460</t>
  </si>
  <si>
    <t>99454247X</t>
  </si>
  <si>
    <t>L-1619-175471657</t>
  </si>
  <si>
    <t>L-1597-15472002X</t>
  </si>
  <si>
    <t>IV 146, 2</t>
  </si>
  <si>
    <t>L-1608-315220538</t>
  </si>
  <si>
    <t>IV 146, 3</t>
  </si>
  <si>
    <t>L-1615-674762991</t>
  </si>
  <si>
    <t>IV 146, 3 (1. angebundenes Werk)</t>
  </si>
  <si>
    <t>L-1620-17955896X</t>
  </si>
  <si>
    <t>IV 146, 3 (2. angebundenes Werk)</t>
  </si>
  <si>
    <t>L-1604-315303735</t>
  </si>
  <si>
    <t>IV 146, 4</t>
  </si>
  <si>
    <t>L-1605-315466162</t>
  </si>
  <si>
    <t>IV 146, 5</t>
  </si>
  <si>
    <t>L-1609-169918564</t>
  </si>
  <si>
    <t>IV 146, 6</t>
  </si>
  <si>
    <t>L-1610-169917576</t>
  </si>
  <si>
    <t>L-1610-177603267</t>
  </si>
  <si>
    <t>L-1607-169167909</t>
  </si>
  <si>
    <t>L-1660-315460830</t>
  </si>
  <si>
    <t>IV 146, 7</t>
  </si>
  <si>
    <t>L-1661-670547069</t>
  </si>
  <si>
    <t>IV 146, 7 (1. angebundenes Werk)</t>
  </si>
  <si>
    <t>L-1663-670548731</t>
  </si>
  <si>
    <t>IV 146, 7 (2. angebundenes Werk)</t>
  </si>
  <si>
    <t>L-1663-670548421</t>
  </si>
  <si>
    <t>IV 146, 7 (3. angebundenes Werk)</t>
  </si>
  <si>
    <t>L-1660-670548294</t>
  </si>
  <si>
    <t>IV 146, 7 (4. angebundenes Werk)</t>
  </si>
  <si>
    <t>L-1662-670548200</t>
  </si>
  <si>
    <t>IV 146, 7 (5. angebundenes Werk)</t>
  </si>
  <si>
    <t>L-1610-170015807</t>
  </si>
  <si>
    <t>IV 146, 8</t>
  </si>
  <si>
    <t>L-1610-153915919</t>
  </si>
  <si>
    <t>99386192X</t>
  </si>
  <si>
    <t>L-1615-169996220</t>
  </si>
  <si>
    <t>IV 146, 9</t>
  </si>
  <si>
    <t>L-1619-171156889</t>
  </si>
  <si>
    <t>IV 146, 9 a</t>
  </si>
  <si>
    <t>L-1619-170773701</t>
  </si>
  <si>
    <t>L-1619-154039780</t>
  </si>
  <si>
    <t>99393014X</t>
  </si>
  <si>
    <t>L-1619-169122433</t>
  </si>
  <si>
    <t>IV 146, 9a</t>
  </si>
  <si>
    <t>L-1615-167185101</t>
  </si>
  <si>
    <t>L-1619-175196680</t>
  </si>
  <si>
    <t>L-1619-154044601</t>
  </si>
  <si>
    <t>L-1619-175916489</t>
  </si>
  <si>
    <t>L-1718-315201126</t>
  </si>
  <si>
    <t>IV 147, 1</t>
  </si>
  <si>
    <t>L-2007-325497</t>
  </si>
  <si>
    <t>IV 147, 1 b</t>
  </si>
  <si>
    <t>L-1710-170569349</t>
  </si>
  <si>
    <t>IV 147, 1a</t>
  </si>
  <si>
    <t>L-1702-177204389</t>
  </si>
  <si>
    <t>L-1744-166397288</t>
  </si>
  <si>
    <t>IV 147, 2</t>
  </si>
  <si>
    <t>L-1744-166397334</t>
  </si>
  <si>
    <t>IV 147, 2 a</t>
  </si>
  <si>
    <t>L-1776-169618544</t>
  </si>
  <si>
    <t>IV 147, 3</t>
  </si>
  <si>
    <t>L-1798-177022914</t>
  </si>
  <si>
    <t>IV 147, 4</t>
  </si>
  <si>
    <t>L-1687-315199113</t>
  </si>
  <si>
    <t>IV 148, 1</t>
  </si>
  <si>
    <t>L-1681-670545597</t>
  </si>
  <si>
    <t>IV 148, 1 (1. angebundenes Werk)</t>
  </si>
  <si>
    <t>L-1617-31531981X</t>
  </si>
  <si>
    <t>IV 149, 1</t>
  </si>
  <si>
    <t>L-1596-177056908</t>
  </si>
  <si>
    <t>IV 149, 2</t>
  </si>
  <si>
    <t>L-1596-155915622</t>
  </si>
  <si>
    <t>L-1599-178520411</t>
  </si>
  <si>
    <t>IV 149, 3</t>
  </si>
  <si>
    <t>L-1598-17783563X</t>
  </si>
  <si>
    <t>100268188X</t>
  </si>
  <si>
    <t>L-1599-154067407</t>
  </si>
  <si>
    <t>L-1658-163680493</t>
  </si>
  <si>
    <t>IV 149, 4</t>
  </si>
  <si>
    <t>L-1759-315294795</t>
  </si>
  <si>
    <t>IV 15, 1</t>
  </si>
  <si>
    <t>L-1579-315468793</t>
  </si>
  <si>
    <t>IV 150, 1</t>
  </si>
  <si>
    <t>L-1578-671049119</t>
  </si>
  <si>
    <t>IV 150, 1 (1. angebundenes Werk)</t>
  </si>
  <si>
    <t>L-1586-169065170</t>
  </si>
  <si>
    <t>IV 150, 1 a</t>
  </si>
  <si>
    <t>L-1583-155345370</t>
  </si>
  <si>
    <t>IV 150, 1a</t>
  </si>
  <si>
    <t>L-1589-158116763</t>
  </si>
  <si>
    <t>99483392X</t>
  </si>
  <si>
    <t>L-1584-315490772</t>
  </si>
  <si>
    <t>IV 150, 2</t>
  </si>
  <si>
    <t>L-1585-163427747</t>
  </si>
  <si>
    <t>IV 150, 2 a</t>
  </si>
  <si>
    <t>L-1585-170013731</t>
  </si>
  <si>
    <t>IV 150, 2a</t>
  </si>
  <si>
    <t>L-1585-178422509</t>
  </si>
  <si>
    <t>L-1592-315492686</t>
  </si>
  <si>
    <t>IV 150, 3</t>
  </si>
  <si>
    <t>L-1654-315466472</t>
  </si>
  <si>
    <t>IV 150, 4</t>
  </si>
  <si>
    <t>L-1654-667830235</t>
  </si>
  <si>
    <t>IV 150, 4 (1. angebundenes Werk)</t>
  </si>
  <si>
    <t>L-1749-170886514</t>
  </si>
  <si>
    <t>L-1751-170886603</t>
  </si>
  <si>
    <t>L-1763-167827804</t>
  </si>
  <si>
    <t>IV 150, 5a</t>
  </si>
  <si>
    <t>L-1657-177203846</t>
  </si>
  <si>
    <t>IV 150, 6</t>
  </si>
  <si>
    <t>L-1586-31530748X</t>
  </si>
  <si>
    <t>IV 151, 1</t>
  </si>
  <si>
    <t>L-1588-153965312</t>
  </si>
  <si>
    <t>IV 151, 2</t>
  </si>
  <si>
    <t>L-1590-315493364</t>
  </si>
  <si>
    <t>IV 151, 3</t>
  </si>
  <si>
    <t>L-1589-315491027</t>
  </si>
  <si>
    <t>IV 151, 4</t>
  </si>
  <si>
    <t>L-1594-670826995</t>
  </si>
  <si>
    <t>IV 151, 4 (1. angebundenes Werk)</t>
  </si>
  <si>
    <t>L-1618-406953600</t>
  </si>
  <si>
    <t>113263699X</t>
  </si>
  <si>
    <t>IV 151, 5</t>
  </si>
  <si>
    <t>L-1618-406953627</t>
  </si>
  <si>
    <t>L-1623-406953619</t>
  </si>
  <si>
    <t>L-1618-406953597</t>
  </si>
  <si>
    <t>L-1617-406953589</t>
  </si>
  <si>
    <t>L-1610-315202114</t>
  </si>
  <si>
    <t>106678048X</t>
  </si>
  <si>
    <t>IV 151, 6</t>
  </si>
  <si>
    <t>L-1620-315468335</t>
  </si>
  <si>
    <t>106694055X</t>
  </si>
  <si>
    <t>IV 151, 7</t>
  </si>
  <si>
    <t>L-2013-312875</t>
  </si>
  <si>
    <t>IV 151, 8</t>
  </si>
  <si>
    <t>L-1742-31520785X</t>
  </si>
  <si>
    <t>IV 152, 1</t>
  </si>
  <si>
    <t>L-1767-406961514</t>
  </si>
  <si>
    <t>IV 152, 2</t>
  </si>
  <si>
    <t>L-1767-40697344X</t>
  </si>
  <si>
    <t>L-1733-315083018</t>
  </si>
  <si>
    <t>IV 153, 1</t>
  </si>
  <si>
    <t>L-1755-16136800X</t>
  </si>
  <si>
    <t>99594041X</t>
  </si>
  <si>
    <t>L-1729-163309841</t>
  </si>
  <si>
    <t>IV 154 C, 1</t>
  </si>
  <si>
    <t>L-1755-170180379</t>
  </si>
  <si>
    <t>IV 154 C, 2</t>
  </si>
  <si>
    <t>L-1685-406959870</t>
  </si>
  <si>
    <t>IV 154, 1</t>
  </si>
  <si>
    <t>L-1685-406959862</t>
  </si>
  <si>
    <t>L-1743-315191406</t>
  </si>
  <si>
    <t>IV 154, 2</t>
  </si>
  <si>
    <t>L-1745-168393972</t>
  </si>
  <si>
    <t>IV 154, 3</t>
  </si>
  <si>
    <t>L-1737-168449463</t>
  </si>
  <si>
    <t>IV 155, 2</t>
  </si>
  <si>
    <t>L-1737-168451352</t>
  </si>
  <si>
    <t>L-1768-179313363</t>
  </si>
  <si>
    <t>01824579X</t>
  </si>
  <si>
    <t>IV 155, 3</t>
  </si>
  <si>
    <t>L-1739-288587693</t>
  </si>
  <si>
    <t>IV 155, 4</t>
  </si>
  <si>
    <t>L-1795-163288372</t>
  </si>
  <si>
    <t>L-2013-306008</t>
  </si>
  <si>
    <t>IV 155, 5</t>
  </si>
  <si>
    <t>L-1649-315209054</t>
  </si>
  <si>
    <t>IV 156, 1</t>
  </si>
  <si>
    <t>L-1735-315460083</t>
  </si>
  <si>
    <t>IV 157, 1</t>
  </si>
  <si>
    <t>L-1628-315318392</t>
  </si>
  <si>
    <t>IV 158, 1</t>
  </si>
  <si>
    <t>L-1600-315297034</t>
  </si>
  <si>
    <t>IV 159, 1</t>
  </si>
  <si>
    <t>L-1576-315331208</t>
  </si>
  <si>
    <t>IV 16, 1</t>
  </si>
  <si>
    <t>L-1586-171219090</t>
  </si>
  <si>
    <t>IV 16, 1 a</t>
  </si>
  <si>
    <t>L-1710-169117367</t>
  </si>
  <si>
    <t>IV 16, 10</t>
  </si>
  <si>
    <t>L-1700-165563176</t>
  </si>
  <si>
    <t>IV 16, 11</t>
  </si>
  <si>
    <t>L-1705-165562846</t>
  </si>
  <si>
    <t>IV 16, 12</t>
  </si>
  <si>
    <t>L-1705-16556623X</t>
  </si>
  <si>
    <t>IV 16, 12 a</t>
  </si>
  <si>
    <t>L-1700-158414403</t>
  </si>
  <si>
    <t>99495199X</t>
  </si>
  <si>
    <t>IV 16, 13</t>
  </si>
  <si>
    <t>L-1758-175938075</t>
  </si>
  <si>
    <t>IV 16, 14</t>
  </si>
  <si>
    <t>L-1746-169750108</t>
  </si>
  <si>
    <t>IV 16, 15</t>
  </si>
  <si>
    <t>L-1750-167046586</t>
  </si>
  <si>
    <t>IV 16, 16</t>
  </si>
  <si>
    <t>L-9999-154030910</t>
  </si>
  <si>
    <t>IV 16, 17</t>
  </si>
  <si>
    <t>L-1731-406971285</t>
  </si>
  <si>
    <t>L-1735-406971307</t>
  </si>
  <si>
    <t>L-1731-406971277</t>
  </si>
  <si>
    <t>L-1733-406971293</t>
  </si>
  <si>
    <t>L-1768-155728881</t>
  </si>
  <si>
    <t>IV 16, 19</t>
  </si>
  <si>
    <t>L-1783-171835751</t>
  </si>
  <si>
    <t>IV 16, 19a</t>
  </si>
  <si>
    <t>L-1599-164174753</t>
  </si>
  <si>
    <t>IV 16, 2</t>
  </si>
  <si>
    <t>L-1599-163266557</t>
  </si>
  <si>
    <t>L-1787-165779314</t>
  </si>
  <si>
    <t>IV 16, 20</t>
  </si>
  <si>
    <t>L-1711-174969449</t>
  </si>
  <si>
    <t>IV 16, 21</t>
  </si>
  <si>
    <t>L-1710-174352077</t>
  </si>
  <si>
    <t>L-1669-175552681</t>
  </si>
  <si>
    <t>L-1713-170184439</t>
  </si>
  <si>
    <t>IV 16, 22</t>
  </si>
  <si>
    <t>L-1603-154495476</t>
  </si>
  <si>
    <t>IV 16, 23</t>
  </si>
  <si>
    <t>L-1741-154504238</t>
  </si>
  <si>
    <t>L-1741-154504106</t>
  </si>
  <si>
    <t>L-1748-154505129</t>
  </si>
  <si>
    <t>L-1740-154503797</t>
  </si>
  <si>
    <t>L-1741-154503967</t>
  </si>
  <si>
    <t>L-1740-154503363</t>
  </si>
  <si>
    <t>L-1746-154504971</t>
  </si>
  <si>
    <t>L-1750-154505250</t>
  </si>
  <si>
    <t>L-1745-154504858</t>
  </si>
  <si>
    <t>L-1744-154504661</t>
  </si>
  <si>
    <t>L-1742-154504394</t>
  </si>
  <si>
    <t>L-1743-154504548</t>
  </si>
  <si>
    <t>L-1788-237576112</t>
  </si>
  <si>
    <t>IV 16, 25</t>
  </si>
  <si>
    <t>L-1783-23643778X</t>
  </si>
  <si>
    <t>L-2012-327104</t>
  </si>
  <si>
    <t>IV 16, 26</t>
  </si>
  <si>
    <t>L-2013-304788</t>
  </si>
  <si>
    <t>IV 16, 27</t>
  </si>
  <si>
    <t>L-2015-317290</t>
  </si>
  <si>
    <t>IV 16, 28</t>
  </si>
  <si>
    <t>L-2015-311418</t>
  </si>
  <si>
    <t>IV 16, 29</t>
  </si>
  <si>
    <t>L-1679-315464321</t>
  </si>
  <si>
    <t>IV 16, 3</t>
  </si>
  <si>
    <t>L-1718-315461942</t>
  </si>
  <si>
    <t>IV 16, 4</t>
  </si>
  <si>
    <t>L-1711-170096092</t>
  </si>
  <si>
    <t>IV 16, 4 b</t>
  </si>
  <si>
    <t>L-1708-170095797</t>
  </si>
  <si>
    <t>L-2008-313943</t>
  </si>
  <si>
    <t>IV 16, 4 c</t>
  </si>
  <si>
    <t>L-1704-178747572</t>
  </si>
  <si>
    <t>IV 16, 4a</t>
  </si>
  <si>
    <t>L-1756-315468947</t>
  </si>
  <si>
    <t>IV 16, 5</t>
  </si>
  <si>
    <t>L-1755-160996384</t>
  </si>
  <si>
    <t>IV 16, 5 a</t>
  </si>
  <si>
    <t>L-1765-315338407</t>
  </si>
  <si>
    <t>IV 16, 6</t>
  </si>
  <si>
    <t>L-1709-315176024</t>
  </si>
  <si>
    <t>IV 16, 7</t>
  </si>
  <si>
    <t>L-9999-406972621</t>
  </si>
  <si>
    <t>IV 16, 8</t>
  </si>
  <si>
    <t>L-9999-40697263X</t>
  </si>
  <si>
    <t>L-1696-332870502</t>
  </si>
  <si>
    <t>IV 16, 8 - 1</t>
  </si>
  <si>
    <t>L-1696-332870561</t>
  </si>
  <si>
    <t>IV 16, 8 - 2</t>
  </si>
  <si>
    <t>L-1747-315469838</t>
  </si>
  <si>
    <t>IV 16, 9</t>
  </si>
  <si>
    <t>L-1746-405725914</t>
  </si>
  <si>
    <t>IV 16, 9 a - 1</t>
  </si>
  <si>
    <t>L-2007-307620</t>
  </si>
  <si>
    <t>L-2007-307621</t>
  </si>
  <si>
    <t>IV 16, 9 a - 2</t>
  </si>
  <si>
    <t>L-1790-315463724</t>
  </si>
  <si>
    <t>IV 160, 1</t>
  </si>
  <si>
    <t>L-1725-315202033</t>
  </si>
  <si>
    <t>106678034X</t>
  </si>
  <si>
    <t>IV 161 a, 1</t>
  </si>
  <si>
    <t>L-1695-315200073</t>
  </si>
  <si>
    <t>IV 161, 1</t>
  </si>
  <si>
    <t>L-1570-31530894X</t>
  </si>
  <si>
    <t>IV 162, 1</t>
  </si>
  <si>
    <t>L-1629-163266352</t>
  </si>
  <si>
    <t>IV 162, 10</t>
  </si>
  <si>
    <t>L-1562-15402936X</t>
  </si>
  <si>
    <t>IV 162, 11</t>
  </si>
  <si>
    <t>L-1766-170604284</t>
  </si>
  <si>
    <t>IV 162, 12</t>
  </si>
  <si>
    <t>L-1716-166374075</t>
  </si>
  <si>
    <t>IV 162, 13</t>
  </si>
  <si>
    <t>L-1753-170723763</t>
  </si>
  <si>
    <t>L-1753-17072378X</t>
  </si>
  <si>
    <t>L-1761-154045888</t>
  </si>
  <si>
    <t>99393627X</t>
  </si>
  <si>
    <t>IV 162, 15</t>
  </si>
  <si>
    <t>L-1744-155582747</t>
  </si>
  <si>
    <t>IV 162, 16</t>
  </si>
  <si>
    <t>L-1723-178921890</t>
  </si>
  <si>
    <t>IV 162, 17</t>
  </si>
  <si>
    <t>L-1598-163429529</t>
  </si>
  <si>
    <t>L-1722-156890003</t>
  </si>
  <si>
    <t>L-1717-154605077</t>
  </si>
  <si>
    <t>IV 162, 18</t>
  </si>
  <si>
    <t>L-1727-154604593</t>
  </si>
  <si>
    <t>99412838X</t>
  </si>
  <si>
    <t>L-1717-15460433X</t>
  </si>
  <si>
    <t>L-1722-154604674</t>
  </si>
  <si>
    <t>L-1721-15460481X</t>
  </si>
  <si>
    <t>L-1719-154604941</t>
  </si>
  <si>
    <t>L-1794-160340071</t>
  </si>
  <si>
    <t>99563873X</t>
  </si>
  <si>
    <t>IV 162, 19</t>
  </si>
  <si>
    <t>L-1962-154040096</t>
  </si>
  <si>
    <t>IV 162, 1a</t>
  </si>
  <si>
    <t>L-1962-15404010X</t>
  </si>
  <si>
    <t>IV 162, 1aa</t>
  </si>
  <si>
    <t>L-1571-179495178</t>
  </si>
  <si>
    <t>IV 162, 1b</t>
  </si>
  <si>
    <t>L-1570-315467649</t>
  </si>
  <si>
    <t>IV 162, 2</t>
  </si>
  <si>
    <t>L-1799-154654728</t>
  </si>
  <si>
    <t>IV 162, 20</t>
  </si>
  <si>
    <t>L-1790-172908833</t>
  </si>
  <si>
    <t>L-1748-171219570</t>
  </si>
  <si>
    <t>IV 162, 22</t>
  </si>
  <si>
    <t>L-1573-163426198</t>
  </si>
  <si>
    <t>IV 162, 23</t>
  </si>
  <si>
    <t>L-1967-17535801X</t>
  </si>
  <si>
    <t>IV 162, 24</t>
  </si>
  <si>
    <t>L-1698-175357455</t>
  </si>
  <si>
    <t>L-1692-175357153</t>
  </si>
  <si>
    <t>L-1679-171896513</t>
  </si>
  <si>
    <t>L-1699-174297955</t>
  </si>
  <si>
    <t>L-1679-171896874</t>
  </si>
  <si>
    <t>100106108X</t>
  </si>
  <si>
    <t>L-1686-17379453X</t>
  </si>
  <si>
    <t>L-1701-173992056</t>
  </si>
  <si>
    <t>L-1702-161836097</t>
  </si>
  <si>
    <t>99617589X</t>
  </si>
  <si>
    <t>L-1692-175357110</t>
  </si>
  <si>
    <t>100165109X</t>
  </si>
  <si>
    <t>L-1697-172074584</t>
  </si>
  <si>
    <t>L-1691-157864251</t>
  </si>
  <si>
    <t>L-1691-157869164</t>
  </si>
  <si>
    <t>L-1701-157870014</t>
  </si>
  <si>
    <t>99480802X</t>
  </si>
  <si>
    <t>L-1701-157869792</t>
  </si>
  <si>
    <t>L-1697-157869652</t>
  </si>
  <si>
    <t>L-1699-157869520</t>
  </si>
  <si>
    <t>L-1684-157869423</t>
  </si>
  <si>
    <t>L-1686-157869261</t>
  </si>
  <si>
    <t>L-1693-155916769</t>
  </si>
  <si>
    <t>99442731X</t>
  </si>
  <si>
    <t>L-1679-157869059</t>
  </si>
  <si>
    <t>L-1665-156045184</t>
  </si>
  <si>
    <t>L-1690-157868990</t>
  </si>
  <si>
    <t>L-1692-156892367</t>
  </si>
  <si>
    <t>L-1690-157868931</t>
  </si>
  <si>
    <t>L-1665-157868834</t>
  </si>
  <si>
    <t>L-1701-157870294</t>
  </si>
  <si>
    <t>L-1701-157868702</t>
  </si>
  <si>
    <t>L-1679-157868508</t>
  </si>
  <si>
    <t>L-1693-157864324</t>
  </si>
  <si>
    <t>L-1701-157864278</t>
  </si>
  <si>
    <t>L-1701-157864138</t>
  </si>
  <si>
    <t>L-1692-157864030</t>
  </si>
  <si>
    <t>L-1701-157863999</t>
  </si>
  <si>
    <t>L-1698-157863913</t>
  </si>
  <si>
    <t>L-1701-179409875</t>
  </si>
  <si>
    <t>L-1702-157863832</t>
  </si>
  <si>
    <t>99480265X</t>
  </si>
  <si>
    <t>L-1702-157863735</t>
  </si>
  <si>
    <t>L-1678-157863581</t>
  </si>
  <si>
    <t>99480248X</t>
  </si>
  <si>
    <t>L-1702-15636073X</t>
  </si>
  <si>
    <t>L-1691-157848264</t>
  </si>
  <si>
    <t>L-1692-157868591</t>
  </si>
  <si>
    <t>L-1697-157870383</t>
  </si>
  <si>
    <t>L-1678-168401606</t>
  </si>
  <si>
    <t>L-1701-155602691</t>
  </si>
  <si>
    <t>L-1696-157870456</t>
  </si>
  <si>
    <t>L-1694-157870510</t>
  </si>
  <si>
    <t>L-1701-155583034</t>
  </si>
  <si>
    <t>L-1701-179409239</t>
  </si>
  <si>
    <t>L-1691-163413533</t>
  </si>
  <si>
    <t>L-1694-155003704</t>
  </si>
  <si>
    <t>L-1701-155582569</t>
  </si>
  <si>
    <t>L-1701-155602594</t>
  </si>
  <si>
    <t>L-1734-31533794X</t>
  </si>
  <si>
    <t>IV 162, 25</t>
  </si>
  <si>
    <t>L-2016-319382</t>
  </si>
  <si>
    <t>IV 162, 26</t>
  </si>
  <si>
    <t>IV 162, 26 (angebunden)</t>
  </si>
  <si>
    <t>L-1663-315212063</t>
  </si>
  <si>
    <t>IV 162, 3</t>
  </si>
  <si>
    <t>L-1672-176424989</t>
  </si>
  <si>
    <t>IV 162, 3a</t>
  </si>
  <si>
    <t>L-1672-176424539</t>
  </si>
  <si>
    <t>L-1672-176424938</t>
  </si>
  <si>
    <t>L-1664-315332395</t>
  </si>
  <si>
    <t>106687462X</t>
  </si>
  <si>
    <t>IV 162, 4</t>
  </si>
  <si>
    <t>L-1664-670798843</t>
  </si>
  <si>
    <t>IV 162, 4 (angebundenes Werk)</t>
  </si>
  <si>
    <t>L-1702-670798584</t>
  </si>
  <si>
    <t>L-1634-169106292</t>
  </si>
  <si>
    <t>IV 162, 4a</t>
  </si>
  <si>
    <t>L-1660-160450020</t>
  </si>
  <si>
    <t>L-1665-315460148</t>
  </si>
  <si>
    <t>IV 162, 5</t>
  </si>
  <si>
    <t>L-1674-667832173</t>
  </si>
  <si>
    <t>IV 162, 5 (1. angebundenes Werk)</t>
  </si>
  <si>
    <t>L-1684-667945733</t>
  </si>
  <si>
    <t>IV 162, 5 (10. angebundenes Werk)</t>
  </si>
  <si>
    <t>L-1684-667841237</t>
  </si>
  <si>
    <t>IV 162, 5 (11. angebundenes Werk)</t>
  </si>
  <si>
    <t>L-1685-667942211</t>
  </si>
  <si>
    <t>IV 162, 5 (12. angebundenes Werk)</t>
  </si>
  <si>
    <t>L-1685-66783253X</t>
  </si>
  <si>
    <t>IV 162, 5 (13. angebundenes Werk)</t>
  </si>
  <si>
    <t>L-1682-667942688</t>
  </si>
  <si>
    <t>IV 162, 5 (14. angebundenes Werk)</t>
  </si>
  <si>
    <t>L-1679-667834036</t>
  </si>
  <si>
    <t>IV 162, 5 (2. angebundenes Werk)</t>
  </si>
  <si>
    <t>L-1681-667946578</t>
  </si>
  <si>
    <t>IV 162, 5 (3. angebundenes Werk)</t>
  </si>
  <si>
    <t>L-1682-66794351X</t>
  </si>
  <si>
    <t>IV 162, 5 (4. angebundenes Werk)</t>
  </si>
  <si>
    <t>L-1681-667841393</t>
  </si>
  <si>
    <t>IV 162, 5 (5. angebundenes Werk)</t>
  </si>
  <si>
    <t>L-1681-667841563</t>
  </si>
  <si>
    <t>IV 162, 5 (6. angebundenes Werk)</t>
  </si>
  <si>
    <t>L-1682-667943366</t>
  </si>
  <si>
    <t>IV 162, 5 (7. angebundenes Werk)</t>
  </si>
  <si>
    <t>L-1684-667946314</t>
  </si>
  <si>
    <t>IV 162, 5 (8. angebundenes Werk)</t>
  </si>
  <si>
    <t>L-1684-667943161</t>
  </si>
  <si>
    <t>IV 162, 5 (9. angebundenes Werk)</t>
  </si>
  <si>
    <t>L-1703-176416900</t>
  </si>
  <si>
    <t>L-1722-157203093</t>
  </si>
  <si>
    <t>99466270X</t>
  </si>
  <si>
    <t>IV 162, 6a</t>
  </si>
  <si>
    <t>L-1715-157202615</t>
  </si>
  <si>
    <t>L-1709-157499804</t>
  </si>
  <si>
    <t>L-1715-157202119</t>
  </si>
  <si>
    <t>L-1710-157201880</t>
  </si>
  <si>
    <t>L-1715-165446455</t>
  </si>
  <si>
    <t>L-1577-167728547</t>
  </si>
  <si>
    <t>IV 162, 7</t>
  </si>
  <si>
    <t>L-1688-167240625</t>
  </si>
  <si>
    <t>L-1685-160284007</t>
  </si>
  <si>
    <t>L-1701-176423222</t>
  </si>
  <si>
    <t>L-1714-17933378X</t>
  </si>
  <si>
    <t>L-1798-163903816</t>
  </si>
  <si>
    <t>IV 162, 8</t>
  </si>
  <si>
    <t>L-1798-163903867</t>
  </si>
  <si>
    <t>L-1750-155570315</t>
  </si>
  <si>
    <t>IV 162, 9</t>
  </si>
  <si>
    <t>L-1724-170601005</t>
  </si>
  <si>
    <t>IV 163, 1</t>
  </si>
  <si>
    <t>L-1577-315491019</t>
  </si>
  <si>
    <t>IV 164, 1</t>
  </si>
  <si>
    <t>L-1561-175716463</t>
  </si>
  <si>
    <t>100185893X</t>
  </si>
  <si>
    <t>IV 164, 2</t>
  </si>
  <si>
    <t>L-1572-163744521</t>
  </si>
  <si>
    <t>IV 164, 3</t>
  </si>
  <si>
    <t>L-1600-178253871</t>
  </si>
  <si>
    <t>IV 164, 4</t>
  </si>
  <si>
    <t>L-1601-167296345</t>
  </si>
  <si>
    <t>L-1615-162666756</t>
  </si>
  <si>
    <t>IV 164, 5</t>
  </si>
  <si>
    <t>L-1615-162666357</t>
  </si>
  <si>
    <t>L-1607-157182533</t>
  </si>
  <si>
    <t>IV 164, 6</t>
  </si>
  <si>
    <t>L-1611-170277976</t>
  </si>
  <si>
    <t>IV 164, 6a</t>
  </si>
  <si>
    <t>L-2008-306483</t>
  </si>
  <si>
    <t>IV 164, 7</t>
  </si>
  <si>
    <t>L-2012-309504</t>
  </si>
  <si>
    <t>IV 165 a, 1</t>
  </si>
  <si>
    <t>L-1591-315489782</t>
  </si>
  <si>
    <t>106695917X</t>
  </si>
  <si>
    <t>IV 165, 1</t>
  </si>
  <si>
    <t>L-1603-31522049X</t>
  </si>
  <si>
    <t>IV 165, 2</t>
  </si>
  <si>
    <t>L-1644-31546531X</t>
  </si>
  <si>
    <t>106693746X</t>
  </si>
  <si>
    <t>IV 165, 3</t>
  </si>
  <si>
    <t>L-1616-315465131</t>
  </si>
  <si>
    <t>IV 166, 1</t>
  </si>
  <si>
    <t>L-1608-670707120</t>
  </si>
  <si>
    <t>IV 166, 1 (1. angebundenes Werk)</t>
  </si>
  <si>
    <t>L-1610-670705462</t>
  </si>
  <si>
    <t>IV 166, 1 (2. angebundenes Werk)</t>
  </si>
  <si>
    <t>L-1768-406972451</t>
  </si>
  <si>
    <t>L-2017-304408</t>
  </si>
  <si>
    <t>IV 167, [5]</t>
  </si>
  <si>
    <t>L-1750-315219688</t>
  </si>
  <si>
    <t>IV 167, 1</t>
  </si>
  <si>
    <t>L-1788-167601660</t>
  </si>
  <si>
    <t>L-1785-167601636</t>
  </si>
  <si>
    <t>L-1783-167601547</t>
  </si>
  <si>
    <t>L-1782-167601504</t>
  </si>
  <si>
    <t>L-1780-170331040</t>
  </si>
  <si>
    <t>IV 167, 2 a</t>
  </si>
  <si>
    <t>L-1780-170330966</t>
  </si>
  <si>
    <t>L-1774-161953433</t>
  </si>
  <si>
    <t>IV 167, 2 c</t>
  </si>
  <si>
    <t>L-1789-163409587</t>
  </si>
  <si>
    <t>IV 167, 2 d</t>
  </si>
  <si>
    <t>L-1789-163409641</t>
  </si>
  <si>
    <t>99712718X</t>
  </si>
  <si>
    <t>L-1786-16760371X</t>
  </si>
  <si>
    <t>IV 167, 2b</t>
  </si>
  <si>
    <t>L-1787-162042221</t>
  </si>
  <si>
    <t>IV 167, 3</t>
  </si>
  <si>
    <t>L-1787-162042019</t>
  </si>
  <si>
    <t>L-1787-162042124</t>
  </si>
  <si>
    <t>L-1777-180272926</t>
  </si>
  <si>
    <t>100360403X</t>
  </si>
  <si>
    <t>L-1778-180272977</t>
  </si>
  <si>
    <t>L-1778-180273019</t>
  </si>
  <si>
    <t>L-1777-18027287X</t>
  </si>
  <si>
    <t>L-1778-18027306X</t>
  </si>
  <si>
    <t>L-1788-173764665</t>
  </si>
  <si>
    <t>IV 167, 3b</t>
  </si>
  <si>
    <t>L-1741-406951330</t>
  </si>
  <si>
    <t>113263475X</t>
  </si>
  <si>
    <t>IV 168, 1</t>
  </si>
  <si>
    <t>L-1759-315464410</t>
  </si>
  <si>
    <t>IV 168, 2</t>
  </si>
  <si>
    <t>L-1658-179560255</t>
  </si>
  <si>
    <t>IV 169, 1</t>
  </si>
  <si>
    <t>L-1657-179559974</t>
  </si>
  <si>
    <t>L-1656-17955882X</t>
  </si>
  <si>
    <t>L-1656-155007920</t>
  </si>
  <si>
    <t>L-1658-315468386</t>
  </si>
  <si>
    <t>IV 169, 2</t>
  </si>
  <si>
    <t>L-1684-154472263</t>
  </si>
  <si>
    <t>IV 169, 3</t>
  </si>
  <si>
    <t>L-1684-154472387</t>
  </si>
  <si>
    <t>L-1684-154472352</t>
  </si>
  <si>
    <t>L-1684-15447231X</t>
  </si>
  <si>
    <t>L-1675-315317337</t>
  </si>
  <si>
    <t>IV 17, 1</t>
  </si>
  <si>
    <t>L-1785-178554790</t>
  </si>
  <si>
    <t>IV 170 a, 1</t>
  </si>
  <si>
    <t>L-1808-17855295X</t>
  </si>
  <si>
    <t>L-1808-178552895</t>
  </si>
  <si>
    <t>L-1789-40697117X</t>
  </si>
  <si>
    <t>IV 170 a, 2</t>
  </si>
  <si>
    <t>L-1789-406971188</t>
  </si>
  <si>
    <t>L-1749-315469560</t>
  </si>
  <si>
    <t>IV 170, 1</t>
  </si>
  <si>
    <t>L-1673-315316683</t>
  </si>
  <si>
    <t>IV 171, 1</t>
  </si>
  <si>
    <t>L-1681-315320931</t>
  </si>
  <si>
    <t>IV 171, 2</t>
  </si>
  <si>
    <t>L-1639-679452389</t>
  </si>
  <si>
    <t>IV 171, 2 (1. angebundenes Werk)</t>
  </si>
  <si>
    <t>L-1691-154045586</t>
  </si>
  <si>
    <t>IV 171, 3</t>
  </si>
  <si>
    <t>L-1784-176809287</t>
  </si>
  <si>
    <t>IV 171, 4</t>
  </si>
  <si>
    <t>L-1784-167903837</t>
  </si>
  <si>
    <t>L-1777-153930543</t>
  </si>
  <si>
    <t>IV 172 B, 1</t>
  </si>
  <si>
    <t>L-1692-315463198</t>
  </si>
  <si>
    <t>106693522X</t>
  </si>
  <si>
    <t>IV 172, 1</t>
  </si>
  <si>
    <t>L-1688-315326905</t>
  </si>
  <si>
    <t>IV 172, 2</t>
  </si>
  <si>
    <t>L-1800-169064298</t>
  </si>
  <si>
    <t>IV 172, 3</t>
  </si>
  <si>
    <t>L-1675-31532869X</t>
  </si>
  <si>
    <t>IV 173, 1</t>
  </si>
  <si>
    <t>L-1695-153971975</t>
  </si>
  <si>
    <t>IV 173, 2</t>
  </si>
  <si>
    <t>L-1588-31520110X</t>
  </si>
  <si>
    <t>IV 174, 1</t>
  </si>
  <si>
    <t>L-1561-315494158</t>
  </si>
  <si>
    <t>IV 174, 1 a</t>
  </si>
  <si>
    <t>L-1779-406972486</t>
  </si>
  <si>
    <t>IV 174, 2</t>
  </si>
  <si>
    <t>L-1779-406972508</t>
  </si>
  <si>
    <t>113265680X</t>
  </si>
  <si>
    <t>L-1779-406972494</t>
  </si>
  <si>
    <t>L-1779-670799300</t>
  </si>
  <si>
    <t>IV 174, 2 (1. angebundenes Werk)</t>
  </si>
  <si>
    <t>L-1625-315316624</t>
  </si>
  <si>
    <t>IV 175, 1</t>
  </si>
  <si>
    <t>L-1659-154380660</t>
  </si>
  <si>
    <t>IV 175, 2</t>
  </si>
  <si>
    <t>L-1680-315298286</t>
  </si>
  <si>
    <t>IV 175, 3</t>
  </si>
  <si>
    <t>L-1591-31549221X</t>
  </si>
  <si>
    <t>IV 176, 1</t>
  </si>
  <si>
    <t>L-1711-315303557</t>
  </si>
  <si>
    <t>IV 177, 1</t>
  </si>
  <si>
    <t>L-1602-315463376</t>
  </si>
  <si>
    <t>IV 178, 1</t>
  </si>
  <si>
    <t>L-1740-154994367</t>
  </si>
  <si>
    <t>IV 178, 2</t>
  </si>
  <si>
    <t>L-1584-163266425</t>
  </si>
  <si>
    <t>IV 179, 1</t>
  </si>
  <si>
    <t>L-1740-195886194</t>
  </si>
  <si>
    <t>IV 179, 10</t>
  </si>
  <si>
    <t>L-2014-311553</t>
  </si>
  <si>
    <t>IV 179, 11</t>
  </si>
  <si>
    <t>L-1583-179495909</t>
  </si>
  <si>
    <t>IV 179, 1a</t>
  </si>
  <si>
    <t>L-1797-164649018</t>
  </si>
  <si>
    <t>IV 179, 2</t>
  </si>
  <si>
    <t>L-1795-164649476</t>
  </si>
  <si>
    <t>IV 179, 3</t>
  </si>
  <si>
    <t>L-1798-164647147</t>
  </si>
  <si>
    <t>IV 179, 3a</t>
  </si>
  <si>
    <t>L-1795-178655201</t>
  </si>
  <si>
    <t>IV 179, 4</t>
  </si>
  <si>
    <t>L-1796-175421307</t>
  </si>
  <si>
    <t>IV 179, 5</t>
  </si>
  <si>
    <t>L-1794-173772978</t>
  </si>
  <si>
    <t>IV 179, 5 a</t>
  </si>
  <si>
    <t>L-1715-174995849</t>
  </si>
  <si>
    <t>IV 179, 6</t>
  </si>
  <si>
    <t>L-1786-163023093</t>
  </si>
  <si>
    <t>IV 179, 7</t>
  </si>
  <si>
    <t>L-1763-164650237</t>
  </si>
  <si>
    <t>IV 179, 8</t>
  </si>
  <si>
    <t>L-1742-164645551</t>
  </si>
  <si>
    <t>IV 179, 9</t>
  </si>
  <si>
    <t>L-2013-316398</t>
  </si>
  <si>
    <t>IV 18 A, 1</t>
  </si>
  <si>
    <t>L-1759-315317841</t>
  </si>
  <si>
    <t>IV 18, 1</t>
  </si>
  <si>
    <t>L-1619-315189630</t>
  </si>
  <si>
    <t>IV 180, 1</t>
  </si>
  <si>
    <t>L-1620-667831290</t>
  </si>
  <si>
    <t>IV 180, 1 (1. angebundenes Werk)</t>
  </si>
  <si>
    <t>L-1621-315464178</t>
  </si>
  <si>
    <t>IV 180, 2</t>
  </si>
  <si>
    <t>L-1651-315332980</t>
  </si>
  <si>
    <t>IV 180, 3</t>
  </si>
  <si>
    <t>L-1758-16660870X</t>
  </si>
  <si>
    <t>IV 180, 4</t>
  </si>
  <si>
    <t>L-2016-325428</t>
  </si>
  <si>
    <t>IV 180, 5</t>
  </si>
  <si>
    <t>L-1684-315327774</t>
  </si>
  <si>
    <t>IV 181, 1</t>
  </si>
  <si>
    <t>L-1679-670030120</t>
  </si>
  <si>
    <t>IV 181, 1 (1. angebundenes Werk)</t>
  </si>
  <si>
    <t>L-1698-315455454</t>
  </si>
  <si>
    <t>IV 182, 1</t>
  </si>
  <si>
    <t>L-1740-315304391</t>
  </si>
  <si>
    <t>106684500X</t>
  </si>
  <si>
    <t>IV 183, 1</t>
  </si>
  <si>
    <t>L-1756-315332433</t>
  </si>
  <si>
    <t>IV 184, 2</t>
  </si>
  <si>
    <t>L-1597-315490470</t>
  </si>
  <si>
    <t>106695996X</t>
  </si>
  <si>
    <t>IV 185, 1</t>
  </si>
  <si>
    <t>L-1711-164647155</t>
  </si>
  <si>
    <t>IV 185, 2</t>
  </si>
  <si>
    <t>L-1761-164020160</t>
  </si>
  <si>
    <t>IV 185, 3</t>
  </si>
  <si>
    <t>L-1562-315201606</t>
  </si>
  <si>
    <t>IV 186, 1</t>
  </si>
  <si>
    <t>L-1783-163266638</t>
  </si>
  <si>
    <t>IV 186, 10</t>
  </si>
  <si>
    <t>L-1756-160848148</t>
  </si>
  <si>
    <t>IV 186, 11</t>
  </si>
  <si>
    <t>L-1773-168418835</t>
  </si>
  <si>
    <t>IV 186, 12</t>
  </si>
  <si>
    <t>L-1758-170503275</t>
  </si>
  <si>
    <t>100035041X</t>
  </si>
  <si>
    <t>IV 186, 13</t>
  </si>
  <si>
    <t>L-1750-170041956</t>
  </si>
  <si>
    <t>100012245X</t>
  </si>
  <si>
    <t>IV 186, 14</t>
  </si>
  <si>
    <t>L-1750-170041999</t>
  </si>
  <si>
    <t>L-1750-170042022</t>
  </si>
  <si>
    <t>L-2015-317284</t>
  </si>
  <si>
    <t>IV 186, 15</t>
  </si>
  <si>
    <t>L-1646-15438268X</t>
  </si>
  <si>
    <t>IV 186, 2</t>
  </si>
  <si>
    <t>L-1648-154382221</t>
  </si>
  <si>
    <t>IV 186, 3</t>
  </si>
  <si>
    <t>L-1654-154381780</t>
  </si>
  <si>
    <t>IV 186, 4</t>
  </si>
  <si>
    <t>L-1690-154382035</t>
  </si>
  <si>
    <t>IV 186, 5</t>
  </si>
  <si>
    <t>L-1700-160437539</t>
  </si>
  <si>
    <t>IV 186, 5 a</t>
  </si>
  <si>
    <t>L-1699-31522018X</t>
  </si>
  <si>
    <t>IV 186, 6</t>
  </si>
  <si>
    <t>L-1623-156396599</t>
  </si>
  <si>
    <t>IV 186, 7</t>
  </si>
  <si>
    <t>L-1757-165362626</t>
  </si>
  <si>
    <t>IV 186, 8</t>
  </si>
  <si>
    <t>L-1780-163620172</t>
  </si>
  <si>
    <t>IV 186, 9</t>
  </si>
  <si>
    <t>L-1712-315202610</t>
  </si>
  <si>
    <t>IV 187, 1</t>
  </si>
  <si>
    <t>L-1563-315329041</t>
  </si>
  <si>
    <t>IV 188, 1</t>
  </si>
  <si>
    <t>L-1649-176548238</t>
  </si>
  <si>
    <t>100216205X</t>
  </si>
  <si>
    <t>IV 188, 2</t>
  </si>
  <si>
    <t>L-1596-315192992</t>
  </si>
  <si>
    <t>IV 189, 1</t>
  </si>
  <si>
    <t>L-1673-154452092</t>
  </si>
  <si>
    <t>99406442X</t>
  </si>
  <si>
    <t>IV 19, 1</t>
  </si>
  <si>
    <t>L-1741-315201525</t>
  </si>
  <si>
    <t>IV 190, 1</t>
  </si>
  <si>
    <t>L-1741-670031941</t>
  </si>
  <si>
    <t>IV 190, 1 (1. angebundenes Werk)</t>
  </si>
  <si>
    <t>L-1583-315460806</t>
  </si>
  <si>
    <t>IV 191, 1</t>
  </si>
  <si>
    <t>L-1662-315213442</t>
  </si>
  <si>
    <t>IV 192, 1</t>
  </si>
  <si>
    <t>L-1668-315469889</t>
  </si>
  <si>
    <t>IV 192, 2</t>
  </si>
  <si>
    <t>L-1738-315192135</t>
  </si>
  <si>
    <t>IV 193, 1</t>
  </si>
  <si>
    <t>L-1682-315466081</t>
  </si>
  <si>
    <t>106693830X</t>
  </si>
  <si>
    <t>IV 194, 1</t>
  </si>
  <si>
    <t>L-1774-315469536</t>
  </si>
  <si>
    <t>IV 195, 1</t>
  </si>
  <si>
    <t>L-1700-315328134</t>
  </si>
  <si>
    <t>IV 196, 1</t>
  </si>
  <si>
    <t>L-1764-315187174</t>
  </si>
  <si>
    <t>IV 197, 1</t>
  </si>
  <si>
    <t>L-1701-315215623</t>
  </si>
  <si>
    <t>106679510X</t>
  </si>
  <si>
    <t>IV 198, 1</t>
  </si>
  <si>
    <t>L-1763-31506238X</t>
  </si>
  <si>
    <t>IV 198, 2</t>
  </si>
  <si>
    <t>L-1736-169495167</t>
  </si>
  <si>
    <t>IV 199, 1</t>
  </si>
  <si>
    <t>L-1649-159529735</t>
  </si>
  <si>
    <t>IV 199, 1 (angebunden)</t>
  </si>
  <si>
    <t>L-1736-169495213</t>
  </si>
  <si>
    <t>IV 199, 1a</t>
  </si>
  <si>
    <t>L-1655-315199261</t>
  </si>
  <si>
    <t>L-1647-677262752</t>
  </si>
  <si>
    <t>L-1655-677262531</t>
  </si>
  <si>
    <t>L-1655-677262426</t>
  </si>
  <si>
    <t>L-1646-315328061</t>
  </si>
  <si>
    <t>IV 2, 1</t>
  </si>
  <si>
    <t>L-1769-180544519</t>
  </si>
  <si>
    <t>100373880X</t>
  </si>
  <si>
    <t>L-1769-180544411</t>
  </si>
  <si>
    <t>L-1774-168646269</t>
  </si>
  <si>
    <t>IV 20 B, 2</t>
  </si>
  <si>
    <t>L-1635-315463309</t>
  </si>
  <si>
    <t>IV 20, 1</t>
  </si>
  <si>
    <t>L-1564-315492627</t>
  </si>
  <si>
    <t>IV 200, 1</t>
  </si>
  <si>
    <t>L-1576-315465794</t>
  </si>
  <si>
    <t>IV 201, 1</t>
  </si>
  <si>
    <t>L-1579-154086584</t>
  </si>
  <si>
    <t>99396396X</t>
  </si>
  <si>
    <t>IV 201, 2</t>
  </si>
  <si>
    <t>L-1774-406959137</t>
  </si>
  <si>
    <t>L-1766-406959110</t>
  </si>
  <si>
    <t>L-1767-406959129</t>
  </si>
  <si>
    <t>113264187X</t>
  </si>
  <si>
    <t>L-1631-31546514X</t>
  </si>
  <si>
    <t>IV 203, 1</t>
  </si>
  <si>
    <t>L-1680-315456329</t>
  </si>
  <si>
    <t>IV 203, 2</t>
  </si>
  <si>
    <t>L-1681-668133244</t>
  </si>
  <si>
    <t>IV 203, 2 (1. angebundenes Werk)</t>
  </si>
  <si>
    <t>L-1680-668133309</t>
  </si>
  <si>
    <t>IV 203, 2 (2. angebundenes Werk)</t>
  </si>
  <si>
    <t>L-1713-169919315</t>
  </si>
  <si>
    <t>L-1713-169919390</t>
  </si>
  <si>
    <t>L-1602-315219653</t>
  </si>
  <si>
    <t>IV 204, 1</t>
  </si>
  <si>
    <t>L-1608-678827095</t>
  </si>
  <si>
    <t>IV 204, 1 (1. angebundenes Werk)</t>
  </si>
  <si>
    <t>L-1606-678821186</t>
  </si>
  <si>
    <t>IV 204, 1 (2. angebundenes Werk)</t>
  </si>
  <si>
    <t>L-1608-678837023</t>
  </si>
  <si>
    <t>IV 204, 1 (3. angebundenes Werk)</t>
  </si>
  <si>
    <t>L-1602-678836817</t>
  </si>
  <si>
    <t>IV 204, 1 (4. angebundenes Werk)</t>
  </si>
  <si>
    <t>L-1736-315220546</t>
  </si>
  <si>
    <t>IV 204, 10</t>
  </si>
  <si>
    <t>L-1738-672936372</t>
  </si>
  <si>
    <t>IV 204, 10 (1. angebundenes Werk)</t>
  </si>
  <si>
    <t>L-1738-672936240</t>
  </si>
  <si>
    <t>IV 204, 10 (2. angebundenes Werk)</t>
  </si>
  <si>
    <t>L-1738-672935449</t>
  </si>
  <si>
    <t>IV 204, 10 (3. angebundenes Werk)</t>
  </si>
  <si>
    <t>L-1741-672935236</t>
  </si>
  <si>
    <t>IV 204, 10 (4. angebundenes Werk)</t>
  </si>
  <si>
    <t>L-1737-672934825</t>
  </si>
  <si>
    <t>IV 204, 10 (5. angebundenes Werk)</t>
  </si>
  <si>
    <t>L-1665-170217868</t>
  </si>
  <si>
    <t>IV 204, 10a</t>
  </si>
  <si>
    <t>L-1677-171324129</t>
  </si>
  <si>
    <t>100088807X</t>
  </si>
  <si>
    <t>IV 204, 10b</t>
  </si>
  <si>
    <t>L-1666-163683085</t>
  </si>
  <si>
    <t>IV 204, 10c</t>
  </si>
  <si>
    <t>L-1693-154002976</t>
  </si>
  <si>
    <t>IV 204, 11</t>
  </si>
  <si>
    <t>L-1696-157185184</t>
  </si>
  <si>
    <t>IV 204, 12</t>
  </si>
  <si>
    <t>L-1720-153686286</t>
  </si>
  <si>
    <t>IV 204, 13</t>
  </si>
  <si>
    <t>L-1720-15368612X</t>
  </si>
  <si>
    <t>L-1725-167076655</t>
  </si>
  <si>
    <t>99885445X</t>
  </si>
  <si>
    <t>IV 204, 14</t>
  </si>
  <si>
    <t>L-1725-167054449</t>
  </si>
  <si>
    <t>L-1719-177813830</t>
  </si>
  <si>
    <t>IV 204, 14a</t>
  </si>
  <si>
    <t>L-1719-154453242</t>
  </si>
  <si>
    <t>L-1728-169979261</t>
  </si>
  <si>
    <t>IV 204, 15</t>
  </si>
  <si>
    <t>L-1782-167627708</t>
  </si>
  <si>
    <t>IV 204, 16</t>
  </si>
  <si>
    <t>L-1737-156069342</t>
  </si>
  <si>
    <t>IV 204, 16a</t>
  </si>
  <si>
    <t>L-1631-179324365</t>
  </si>
  <si>
    <t>IV 204, 17</t>
  </si>
  <si>
    <t>L-1649-15934235X</t>
  </si>
  <si>
    <t>IV 204, 18</t>
  </si>
  <si>
    <t>L-1585-176456600</t>
  </si>
  <si>
    <t>IV 204, 19</t>
  </si>
  <si>
    <t>L-1585-176456384</t>
  </si>
  <si>
    <t>L-1586-176456074</t>
  </si>
  <si>
    <t>L-1585-176456449</t>
  </si>
  <si>
    <t>L-1586-176456902</t>
  </si>
  <si>
    <t>L-1585-176456775</t>
  </si>
  <si>
    <t>L-1585-176456287</t>
  </si>
  <si>
    <t>L-1677-169531716</t>
  </si>
  <si>
    <t>IV 204, 1b</t>
  </si>
  <si>
    <t>L-1615-315187638</t>
  </si>
  <si>
    <t>IV 204, 2</t>
  </si>
  <si>
    <t>L-1617-678532966</t>
  </si>
  <si>
    <t>IV 204, 2 (1. angebundenes Werk)</t>
  </si>
  <si>
    <t>L-1588-164509712</t>
  </si>
  <si>
    <t>IV 204, 20</t>
  </si>
  <si>
    <t>L-1590-169892387</t>
  </si>
  <si>
    <t>IV 204, 20a</t>
  </si>
  <si>
    <t>L-1597-167246720</t>
  </si>
  <si>
    <t>IV 204, 21</t>
  </si>
  <si>
    <t>L-1599-158342798</t>
  </si>
  <si>
    <t>99494814X</t>
  </si>
  <si>
    <t>IV 204, 22</t>
  </si>
  <si>
    <t>L-1600-158342658</t>
  </si>
  <si>
    <t>L-1610-154718564</t>
  </si>
  <si>
    <t>L-1611-154718548</t>
  </si>
  <si>
    <t>99419398X</t>
  </si>
  <si>
    <t>L-1615-15471853X</t>
  </si>
  <si>
    <t>L-1611-154718475</t>
  </si>
  <si>
    <t>L-1613-154718440</t>
  </si>
  <si>
    <t>L-1695-167078100</t>
  </si>
  <si>
    <t>IV 204, 24</t>
  </si>
  <si>
    <t>L-9999-162437358</t>
  </si>
  <si>
    <t>IV 204, 25</t>
  </si>
  <si>
    <t>L-1620-157183149</t>
  </si>
  <si>
    <t>99464258X</t>
  </si>
  <si>
    <t>IV 204, 26</t>
  </si>
  <si>
    <t>L-1620-157182797</t>
  </si>
  <si>
    <t>L-1644-169900215</t>
  </si>
  <si>
    <t>IV 204, 27</t>
  </si>
  <si>
    <t>L-1644-174968531</t>
  </si>
  <si>
    <t>L-1732-168622742</t>
  </si>
  <si>
    <t>99961827X</t>
  </si>
  <si>
    <t>IV 204, 28</t>
  </si>
  <si>
    <t>L-2009-322627</t>
  </si>
  <si>
    <t>IV 204, 29</t>
  </si>
  <si>
    <t>L-1609-267941641</t>
  </si>
  <si>
    <t>IV 204, 2a</t>
  </si>
  <si>
    <t>L-1616-406971234</t>
  </si>
  <si>
    <t>IV 204, 3</t>
  </si>
  <si>
    <t>L-1616-406971226</t>
  </si>
  <si>
    <t>L-1616-406971218</t>
  </si>
  <si>
    <t>L-2009-322628</t>
  </si>
  <si>
    <t>IV 204, 30</t>
  </si>
  <si>
    <t>L-1631-315207930</t>
  </si>
  <si>
    <t>IV 204, 4</t>
  </si>
  <si>
    <t>L-1607-168459531</t>
  </si>
  <si>
    <t>IV 204, 4 a</t>
  </si>
  <si>
    <t>L-1620-154048550</t>
  </si>
  <si>
    <t>IV 204, 4 b</t>
  </si>
  <si>
    <t>L-1626-159242134</t>
  </si>
  <si>
    <t>IV 204, 4 c</t>
  </si>
  <si>
    <t>L-1629-174995555</t>
  </si>
  <si>
    <t>IV 204, 4 f</t>
  </si>
  <si>
    <t>L-1632-159247268</t>
  </si>
  <si>
    <t>IV 204, 4 h</t>
  </si>
  <si>
    <t>L-9999-159247225</t>
  </si>
  <si>
    <t>L-1633-155606476</t>
  </si>
  <si>
    <t>IV 204, 4 i</t>
  </si>
  <si>
    <t>L-1628-163483310</t>
  </si>
  <si>
    <t>IV 204, 4/1</t>
  </si>
  <si>
    <t>L-1618-171233263</t>
  </si>
  <si>
    <t>IV 204, 4a</t>
  </si>
  <si>
    <t>L-1606-175960879</t>
  </si>
  <si>
    <t>L-1606-177836105</t>
  </si>
  <si>
    <t>L-1626-170683222</t>
  </si>
  <si>
    <t>IV 204, 4d</t>
  </si>
  <si>
    <t>L-1626-174969023</t>
  </si>
  <si>
    <t>IV 204, 4e</t>
  </si>
  <si>
    <t>L-1630-17068315X</t>
  </si>
  <si>
    <t>IV 204, 4g</t>
  </si>
  <si>
    <t>L-1633-175574952</t>
  </si>
  <si>
    <t>IV 204, 4j</t>
  </si>
  <si>
    <t>L-1634-17132367X</t>
  </si>
  <si>
    <t>IV 204, 4k</t>
  </si>
  <si>
    <t>L-1635-315303409</t>
  </si>
  <si>
    <t>IV 204, 5</t>
  </si>
  <si>
    <t>L-1644-156634686</t>
  </si>
  <si>
    <t>IV 204, 5a</t>
  </si>
  <si>
    <t>L-1641-156634708</t>
  </si>
  <si>
    <t>L-1644-156634740</t>
  </si>
  <si>
    <t>99456368X</t>
  </si>
  <si>
    <t>L-1644-156634783</t>
  </si>
  <si>
    <t>L-1644-156634724</t>
  </si>
  <si>
    <t>L-1642-406972265</t>
  </si>
  <si>
    <t>IV 204, 6</t>
  </si>
  <si>
    <t>L-1642-315468467</t>
  </si>
  <si>
    <t>IV 204, 7</t>
  </si>
  <si>
    <t>L-1643-315468475</t>
  </si>
  <si>
    <t>IV 204, 8</t>
  </si>
  <si>
    <t>L-1649-175066647</t>
  </si>
  <si>
    <t>IV 204, 8 b</t>
  </si>
  <si>
    <t>L-1643-171325494</t>
  </si>
  <si>
    <t>100088936X</t>
  </si>
  <si>
    <t>IV 204, 8a</t>
  </si>
  <si>
    <t>L-1650-174929145</t>
  </si>
  <si>
    <t>IV 204, 8c</t>
  </si>
  <si>
    <t>L-1659-170184323</t>
  </si>
  <si>
    <t>IV 204, 8d</t>
  </si>
  <si>
    <t>L-1658-177020946</t>
  </si>
  <si>
    <t>IV 204, 8e</t>
  </si>
  <si>
    <t>L-1561-315494646</t>
  </si>
  <si>
    <t>IV 205, 1</t>
  </si>
  <si>
    <t>L-1569-15965565X</t>
  </si>
  <si>
    <t>IV 205, 1 a</t>
  </si>
  <si>
    <t>L-1570-17055192X</t>
  </si>
  <si>
    <t>L-1576-170563472</t>
  </si>
  <si>
    <t>L-1576-165585323</t>
  </si>
  <si>
    <t>L-1561-15920562X</t>
  </si>
  <si>
    <t>IV 205, 1 c</t>
  </si>
  <si>
    <t>L-1566-155917331</t>
  </si>
  <si>
    <t>IV 205, 1 d</t>
  </si>
  <si>
    <t>L-1571-163774927</t>
  </si>
  <si>
    <t>99739515X</t>
  </si>
  <si>
    <t>IV 205, 1 e</t>
  </si>
  <si>
    <t>L-1584-177914157</t>
  </si>
  <si>
    <t>IV 205, 1 f</t>
  </si>
  <si>
    <t>L-1568-171265122</t>
  </si>
  <si>
    <t>IV 205, 1 g</t>
  </si>
  <si>
    <t>L-1587-159653789</t>
  </si>
  <si>
    <t>IV 205, 1 h</t>
  </si>
  <si>
    <t>L-1601-162037325</t>
  </si>
  <si>
    <t>L-1795-178654302</t>
  </si>
  <si>
    <t>99378299X</t>
  </si>
  <si>
    <t>L-1796-159492963</t>
  </si>
  <si>
    <t>L-1753-162014929</t>
  </si>
  <si>
    <t>99628673X</t>
  </si>
  <si>
    <t>IV 205, 100</t>
  </si>
  <si>
    <t>L-1599-171818598</t>
  </si>
  <si>
    <t>IV 205, 101</t>
  </si>
  <si>
    <t>L-1599-17181858X</t>
  </si>
  <si>
    <t>L-1600-171818652</t>
  </si>
  <si>
    <t>L-1769-161950868</t>
  </si>
  <si>
    <t>IV 205, 102</t>
  </si>
  <si>
    <t>L-1682-170046265</t>
  </si>
  <si>
    <t>IV 205, 103</t>
  </si>
  <si>
    <t>L-1734-18041500X</t>
  </si>
  <si>
    <t>IV 205, 104</t>
  </si>
  <si>
    <t>L-1754-155406280</t>
  </si>
  <si>
    <t>IV 205, 105</t>
  </si>
  <si>
    <t>L-1796-171505816</t>
  </si>
  <si>
    <t>IV 205, 106</t>
  </si>
  <si>
    <t>L-1796-171506499</t>
  </si>
  <si>
    <t>100090654X</t>
  </si>
  <si>
    <t>L-1691-154496529</t>
  </si>
  <si>
    <t>IV 205, 107</t>
  </si>
  <si>
    <t>L-1691-15449657X</t>
  </si>
  <si>
    <t>L-1691-15449660X</t>
  </si>
  <si>
    <t>L-1753-167419358</t>
  </si>
  <si>
    <t>IV 205, 108</t>
  </si>
  <si>
    <t>L-1736-177537418</t>
  </si>
  <si>
    <t>IV 205, 109</t>
  </si>
  <si>
    <t>L-1793-398994919</t>
  </si>
  <si>
    <t>L-1815-176805508</t>
  </si>
  <si>
    <t>L-1801-398994951</t>
  </si>
  <si>
    <t>L-1798-398994978</t>
  </si>
  <si>
    <t>L-1791-176805605</t>
  </si>
  <si>
    <t>L-1799-165800739</t>
  </si>
  <si>
    <t>L-1800-165800801</t>
  </si>
  <si>
    <t>L-1787-173764568</t>
  </si>
  <si>
    <t>IV 205, 11 a</t>
  </si>
  <si>
    <t>L-1790-164500804</t>
  </si>
  <si>
    <t>IV 205, 11 aa</t>
  </si>
  <si>
    <t>L-1787-16234046X</t>
  </si>
  <si>
    <t>IV 205, 11 b</t>
  </si>
  <si>
    <t>L-1798-16419729X</t>
  </si>
  <si>
    <t>IV 205, 11 bb</t>
  </si>
  <si>
    <t>L-1787-162361076</t>
  </si>
  <si>
    <t>IV 205, 11 c</t>
  </si>
  <si>
    <t>L-1795-18501500X</t>
  </si>
  <si>
    <t>IV 205, 11 cc</t>
  </si>
  <si>
    <t>L-1794-185014984</t>
  </si>
  <si>
    <t>L-1794-18501495X</t>
  </si>
  <si>
    <t>L-1794-185014933</t>
  </si>
  <si>
    <t>100199454X</t>
  </si>
  <si>
    <t>L-1794-185014968</t>
  </si>
  <si>
    <t>L-1796-185015441</t>
  </si>
  <si>
    <t>L-1796-185015425</t>
  </si>
  <si>
    <t>L-1795-185015018</t>
  </si>
  <si>
    <t>100199499X</t>
  </si>
  <si>
    <t>L-1796-185015468</t>
  </si>
  <si>
    <t>L-1796-185015271</t>
  </si>
  <si>
    <t>L-1795-185015042</t>
  </si>
  <si>
    <t>L-1796-18501528X</t>
  </si>
  <si>
    <t>L-1795-185015069</t>
  </si>
  <si>
    <t>L-1796-185015387</t>
  </si>
  <si>
    <t>L-1797-185015476</t>
  </si>
  <si>
    <t>L-1796-185015352</t>
  </si>
  <si>
    <t>L-1795-185015085</t>
  </si>
  <si>
    <t>L-1796-185015344</t>
  </si>
  <si>
    <t>L-1796-185015336</t>
  </si>
  <si>
    <t>100200991X</t>
  </si>
  <si>
    <t>L-1795-185015107</t>
  </si>
  <si>
    <t>L-1796-185015328</t>
  </si>
  <si>
    <t>L-1796-18501531X</t>
  </si>
  <si>
    <t>L-1796-185015263</t>
  </si>
  <si>
    <t>L-1795-185015034</t>
  </si>
  <si>
    <t>L-1795-185015239</t>
  </si>
  <si>
    <t>L-1797-185015530</t>
  </si>
  <si>
    <t>L-1797-185015492</t>
  </si>
  <si>
    <t>L-1794-185014879</t>
  </si>
  <si>
    <t>L-1798-185015727</t>
  </si>
  <si>
    <t>L-1801-185015670</t>
  </si>
  <si>
    <t>L-1801-185015662</t>
  </si>
  <si>
    <t>L-1798-185015824</t>
  </si>
  <si>
    <t>L-1798-185015808</t>
  </si>
  <si>
    <t>L-1801-185015697</t>
  </si>
  <si>
    <t>L-1798-185015735</t>
  </si>
  <si>
    <t>L-1798-185015751</t>
  </si>
  <si>
    <t>L-1799-185015654</t>
  </si>
  <si>
    <t>L-1802-185015700</t>
  </si>
  <si>
    <t>L-1798-185015786</t>
  </si>
  <si>
    <t>L-1797-185015506</t>
  </si>
  <si>
    <t>L-1797-185015514</t>
  </si>
  <si>
    <t>L-1799-185015573</t>
  </si>
  <si>
    <t>L-1787-162356544</t>
  </si>
  <si>
    <t>IV 205, 11 d</t>
  </si>
  <si>
    <t>L-2019-301999</t>
  </si>
  <si>
    <t>IV 205, 11 dd</t>
  </si>
  <si>
    <t>L-1788-162296770</t>
  </si>
  <si>
    <t>IV 205, 11 e</t>
  </si>
  <si>
    <t>L-1790-164550526</t>
  </si>
  <si>
    <t>IV 205, 11 f</t>
  </si>
  <si>
    <t>L-1790-154067350</t>
  </si>
  <si>
    <t>L-1790-164550607</t>
  </si>
  <si>
    <t>L-1790-164550380</t>
  </si>
  <si>
    <t>L-1791-172090075</t>
  </si>
  <si>
    <t>100109316X</t>
  </si>
  <si>
    <t>L-1795-179470078</t>
  </si>
  <si>
    <t>IV 205, 11 g</t>
  </si>
  <si>
    <t>L-1802-405929870</t>
  </si>
  <si>
    <t>L-1796-406964157</t>
  </si>
  <si>
    <t>L-1794-406963991</t>
  </si>
  <si>
    <t>L-1794-406964009</t>
  </si>
  <si>
    <t>L-1794-406964017</t>
  </si>
  <si>
    <t>L-1794-406964025</t>
  </si>
  <si>
    <t>L-1794-406964033</t>
  </si>
  <si>
    <t>L-1797-40696419X</t>
  </si>
  <si>
    <t>L-1795-406964068</t>
  </si>
  <si>
    <t>L-1795-406964114</t>
  </si>
  <si>
    <t>L-1795-406964076</t>
  </si>
  <si>
    <t>L-1795-406964084</t>
  </si>
  <si>
    <t>L-1795-406964092</t>
  </si>
  <si>
    <t>L-1796-406964149</t>
  </si>
  <si>
    <t>L-1796-406964130</t>
  </si>
  <si>
    <t>113264643X</t>
  </si>
  <si>
    <t>L-1797-406964181</t>
  </si>
  <si>
    <t>L-1795-406964122</t>
  </si>
  <si>
    <t>L-1795-406964106</t>
  </si>
  <si>
    <t>L-1795-406964041</t>
  </si>
  <si>
    <t>L-1796-406964165</t>
  </si>
  <si>
    <t>L-1797-405929846</t>
  </si>
  <si>
    <t>L-1798-406964262</t>
  </si>
  <si>
    <t>L-1801-40696422X</t>
  </si>
  <si>
    <t>L-1799-405929862</t>
  </si>
  <si>
    <t>L-1796-405929781</t>
  </si>
  <si>
    <t>L-1796-405929803</t>
  </si>
  <si>
    <t>L-1798-406964254</t>
  </si>
  <si>
    <t>L-1798-406964270</t>
  </si>
  <si>
    <t>L-1796-405929773</t>
  </si>
  <si>
    <t>L-1796-405929811</t>
  </si>
  <si>
    <t>L-1799-405929854</t>
  </si>
  <si>
    <t>L-1798-406964289</t>
  </si>
  <si>
    <t>113264657X</t>
  </si>
  <si>
    <t>L-1796-40592982X</t>
  </si>
  <si>
    <t>L-1796-405929765</t>
  </si>
  <si>
    <t>L-1798-406964300</t>
  </si>
  <si>
    <t>L-1798-406964297</t>
  </si>
  <si>
    <t>L-1796-405929838</t>
  </si>
  <si>
    <t>L-1801-406964246</t>
  </si>
  <si>
    <t>L-1796-40592979X</t>
  </si>
  <si>
    <t>L-1794-179487868</t>
  </si>
  <si>
    <t>IV 205, 11 ha</t>
  </si>
  <si>
    <t>L-1797-153970200</t>
  </si>
  <si>
    <t>IV 205, 11 i</t>
  </si>
  <si>
    <t>L-1799-172965160</t>
  </si>
  <si>
    <t>L-1799-172965225</t>
  </si>
  <si>
    <t>L-1799-172965209</t>
  </si>
  <si>
    <t>L-1799-172965179</t>
  </si>
  <si>
    <t>L-1804-16534878X</t>
  </si>
  <si>
    <t>IV 205, 11 ja</t>
  </si>
  <si>
    <t>L-1804-165348577</t>
  </si>
  <si>
    <t>L-1793-163784639</t>
  </si>
  <si>
    <t>L-1794-163784817</t>
  </si>
  <si>
    <t>L-1793-163784671</t>
  </si>
  <si>
    <t>L-1787-177024070</t>
  </si>
  <si>
    <t>IV 205, 11 l</t>
  </si>
  <si>
    <t>L-1789-172088925</t>
  </si>
  <si>
    <t>IV 205, 11 m</t>
  </si>
  <si>
    <t>L-1790-162371357</t>
  </si>
  <si>
    <t>IV 205, 11 o</t>
  </si>
  <si>
    <t>L-1791-153969849</t>
  </si>
  <si>
    <t>IV 205, 11 p</t>
  </si>
  <si>
    <t>L-1793-164197095</t>
  </si>
  <si>
    <t>IV 205, 11 q</t>
  </si>
  <si>
    <t>L-1799-179549529</t>
  </si>
  <si>
    <t>IV 205, 11 r</t>
  </si>
  <si>
    <t>L-1799-170366626</t>
  </si>
  <si>
    <t>IV 205, 11 s</t>
  </si>
  <si>
    <t>L-1798-168622475</t>
  </si>
  <si>
    <t>IV 205, 11 t</t>
  </si>
  <si>
    <t>L-1787-166897612</t>
  </si>
  <si>
    <t>01312966X</t>
  </si>
  <si>
    <t>IV 205, 11 u</t>
  </si>
  <si>
    <t>L-1789-166897744</t>
  </si>
  <si>
    <t>L-1787-162321163</t>
  </si>
  <si>
    <t>IV 205, 11 v</t>
  </si>
  <si>
    <t>L-1787-162375158</t>
  </si>
  <si>
    <t>IV 205, 11 w</t>
  </si>
  <si>
    <t>L-1790-162340273</t>
  </si>
  <si>
    <t>IV 205, 11 x</t>
  </si>
  <si>
    <t>L-1787-162224532</t>
  </si>
  <si>
    <t>L-1787-162224443</t>
  </si>
  <si>
    <t>L-1787-16222429X</t>
  </si>
  <si>
    <t>L-1790-162225075</t>
  </si>
  <si>
    <t>L-1787-162224702</t>
  </si>
  <si>
    <t>L-1788-162224869</t>
  </si>
  <si>
    <t>L-1789-162225202</t>
  </si>
  <si>
    <t>L-1790-162224966</t>
  </si>
  <si>
    <t>L-2017-309408</t>
  </si>
  <si>
    <t>IV 205, 11 ya</t>
  </si>
  <si>
    <t>L-1792-164501339</t>
  </si>
  <si>
    <t>IV 205, 11 z</t>
  </si>
  <si>
    <t>L-1809-155408364</t>
  </si>
  <si>
    <t>IV 205, 110</t>
  </si>
  <si>
    <t>L-1797-155408712</t>
  </si>
  <si>
    <t>L-1795-155408437</t>
  </si>
  <si>
    <t>L-1795-155408496</t>
  </si>
  <si>
    <t>L-1796-155408534</t>
  </si>
  <si>
    <t>L-1797-155408585</t>
  </si>
  <si>
    <t>99433785X</t>
  </si>
  <si>
    <t>L-1717-163136599</t>
  </si>
  <si>
    <t>IV 205, 111</t>
  </si>
  <si>
    <t>L-1799-175176175</t>
  </si>
  <si>
    <t>IV 205, 112</t>
  </si>
  <si>
    <t>L-1732-171518365</t>
  </si>
  <si>
    <t>IV 205, 113</t>
  </si>
  <si>
    <t>L-1708-166189235</t>
  </si>
  <si>
    <t>IV 205, 114</t>
  </si>
  <si>
    <t>L-1712-175360057</t>
  </si>
  <si>
    <t>IV 205, 115</t>
  </si>
  <si>
    <t>L-1721-314737030</t>
  </si>
  <si>
    <t>IV 205, 116</t>
  </si>
  <si>
    <t>L-1783-315198109</t>
  </si>
  <si>
    <t>IV 205, 117</t>
  </si>
  <si>
    <t>L-2006-306850</t>
  </si>
  <si>
    <t>IV 205, 118</t>
  </si>
  <si>
    <t>L-2009-302875</t>
  </si>
  <si>
    <t>99198191X</t>
  </si>
  <si>
    <t>IV 205, 119</t>
  </si>
  <si>
    <t>L-1801-406964238</t>
  </si>
  <si>
    <t>L-9999-406964211</t>
  </si>
  <si>
    <t>L-9999-406964203</t>
  </si>
  <si>
    <t>L-1799-164196544</t>
  </si>
  <si>
    <t>L-1799-164196447</t>
  </si>
  <si>
    <t>L-1802-164196757</t>
  </si>
  <si>
    <t>L-1798-164196269</t>
  </si>
  <si>
    <t>L-1800-164196684</t>
  </si>
  <si>
    <t>L-1798-164196293</t>
  </si>
  <si>
    <t>L-1798-164196331</t>
  </si>
  <si>
    <t>L-1799-164196617</t>
  </si>
  <si>
    <t>L-1800-164196692</t>
  </si>
  <si>
    <t>L-1801-164196749</t>
  </si>
  <si>
    <t>L-1799-164196609</t>
  </si>
  <si>
    <t>L-1802-164196781</t>
  </si>
  <si>
    <t>L-1800-164196722</t>
  </si>
  <si>
    <t>L-1799-164196358</t>
  </si>
  <si>
    <t>L-1798-164196323</t>
  </si>
  <si>
    <t>L-1800-16419665X</t>
  </si>
  <si>
    <t>L-1809-315086971</t>
  </si>
  <si>
    <t>IV 205, 12</t>
  </si>
  <si>
    <t>L-1798-406940452</t>
  </si>
  <si>
    <t>L-1799-406940479</t>
  </si>
  <si>
    <t>113262486X</t>
  </si>
  <si>
    <t>L-1798-406940460</t>
  </si>
  <si>
    <t>L-1797-406940444</t>
  </si>
  <si>
    <t>L-1801-406940495</t>
  </si>
  <si>
    <t>L-1800-406940487</t>
  </si>
  <si>
    <t>L-2011-305530</t>
  </si>
  <si>
    <t>IV 205, 120</t>
  </si>
  <si>
    <t>L-2011-305534</t>
  </si>
  <si>
    <t>101057843X</t>
  </si>
  <si>
    <t>L-2011-305531</t>
  </si>
  <si>
    <t>L-2011-305533</t>
  </si>
  <si>
    <t>L-2011-305532</t>
  </si>
  <si>
    <t>L-2012-309145</t>
  </si>
  <si>
    <t>L-2012-309146</t>
  </si>
  <si>
    <t>102122927X</t>
  </si>
  <si>
    <t>L-2012-309144</t>
  </si>
  <si>
    <t>L-1792-173760678</t>
  </si>
  <si>
    <t>L-1802-173760716</t>
  </si>
  <si>
    <t>L-1790-17150061X</t>
  </si>
  <si>
    <t>IV 205, 14 e</t>
  </si>
  <si>
    <t>L-1774-154448273</t>
  </si>
  <si>
    <t>IV 205, 14 i</t>
  </si>
  <si>
    <t>L-1775-15444832X</t>
  </si>
  <si>
    <t>L-1785-16154326X</t>
  </si>
  <si>
    <t>IV 205, 14 l</t>
  </si>
  <si>
    <t>L-1793-156065770</t>
  </si>
  <si>
    <t>IV 205, 14 m</t>
  </si>
  <si>
    <t>L-1767-315083700</t>
  </si>
  <si>
    <t>IV 205, 14 o</t>
  </si>
  <si>
    <t>L-1774-315321474</t>
  </si>
  <si>
    <t>IV 205, 14 p</t>
  </si>
  <si>
    <t>L-1790-155606905</t>
  </si>
  <si>
    <t>L-1784-178411280</t>
  </si>
  <si>
    <t>L-1787-17841140X</t>
  </si>
  <si>
    <t>L-1785-178411329</t>
  </si>
  <si>
    <t>L-1789-155606832</t>
  </si>
  <si>
    <t>IV 205, 14d</t>
  </si>
  <si>
    <t>L-1799-166135275</t>
  </si>
  <si>
    <t>IV 205, 14f</t>
  </si>
  <si>
    <t>L-1795-177058633</t>
  </si>
  <si>
    <t>IV 205, 14g</t>
  </si>
  <si>
    <t>L-1805-163327610</t>
  </si>
  <si>
    <t>IV 205, 14h</t>
  </si>
  <si>
    <t>L-1784-179298224</t>
  </si>
  <si>
    <t>L-1796-156067005</t>
  </si>
  <si>
    <t>IV 205, 14m</t>
  </si>
  <si>
    <t>L-1724-175417318</t>
  </si>
  <si>
    <t>L-1724-166688002</t>
  </si>
  <si>
    <t>99866829X</t>
  </si>
  <si>
    <t>L-1789-169681335</t>
  </si>
  <si>
    <t>L-1789-169681319</t>
  </si>
  <si>
    <t>L-1761-174445563</t>
  </si>
  <si>
    <t>IV 205, 16 a</t>
  </si>
  <si>
    <t>L-1797-436199505</t>
  </si>
  <si>
    <t>IV 205, 16 d</t>
  </si>
  <si>
    <t>L-1764-154382302</t>
  </si>
  <si>
    <t>99405355X</t>
  </si>
  <si>
    <t>IV 205, 16 e</t>
  </si>
  <si>
    <t>L-1729-31522052X</t>
  </si>
  <si>
    <t>IV 205, 16 i</t>
  </si>
  <si>
    <t>L-1781-166116289</t>
  </si>
  <si>
    <t>IV 205, 16b</t>
  </si>
  <si>
    <t>L-1728-156636395</t>
  </si>
  <si>
    <t>IV 205, 16c</t>
  </si>
  <si>
    <t>L-1728-156636360</t>
  </si>
  <si>
    <t>L-1746-157883949</t>
  </si>
  <si>
    <t>IV 205, 16f</t>
  </si>
  <si>
    <t>L-1746-157883922</t>
  </si>
  <si>
    <t>99481772X</t>
  </si>
  <si>
    <t>L-1746-157883906</t>
  </si>
  <si>
    <t>99481769X</t>
  </si>
  <si>
    <t>L-1793-170473376</t>
  </si>
  <si>
    <t>IV 205, 16g</t>
  </si>
  <si>
    <t>L-1796-315063726</t>
  </si>
  <si>
    <t>IV 205, 16h</t>
  </si>
  <si>
    <t>L-1761-171113292</t>
  </si>
  <si>
    <t>L-1761-171113543</t>
  </si>
  <si>
    <t>L-1761-171113594</t>
  </si>
  <si>
    <t>L-1761-171113403</t>
  </si>
  <si>
    <t>L-1761-171113357</t>
  </si>
  <si>
    <t>L-1761-171113454</t>
  </si>
  <si>
    <t>L-1724-169505383</t>
  </si>
  <si>
    <t>99982337X</t>
  </si>
  <si>
    <t>IV 205, 17 b</t>
  </si>
  <si>
    <t>L-1722-157727572</t>
  </si>
  <si>
    <t>IV 205, 17 d</t>
  </si>
  <si>
    <t>L-1757-161509452</t>
  </si>
  <si>
    <t>L-1754-161507123</t>
  </si>
  <si>
    <t>L-1755-161510590</t>
  </si>
  <si>
    <t>L-2010-321220</t>
  </si>
  <si>
    <t>IV 205, 17 ha</t>
  </si>
  <si>
    <t>L-1693-406955034</t>
  </si>
  <si>
    <t>L-1693-406955077</t>
  </si>
  <si>
    <t>L-1693-406955042</t>
  </si>
  <si>
    <t>L-1693-406955069</t>
  </si>
  <si>
    <t>L-1693-406955050</t>
  </si>
  <si>
    <t>113263766X</t>
  </si>
  <si>
    <t>L-2010-321221</t>
  </si>
  <si>
    <t>IV 205, 17 l</t>
  </si>
  <si>
    <t>L-2012-317309</t>
  </si>
  <si>
    <t>IV 205, 17 m</t>
  </si>
  <si>
    <t>L-1686-267635206</t>
  </si>
  <si>
    <t>IV 205, 17 n</t>
  </si>
  <si>
    <t>L-2015-309932</t>
  </si>
  <si>
    <t>106931434X</t>
  </si>
  <si>
    <t>IV 205, 17 o</t>
  </si>
  <si>
    <t>L-1722-165132558</t>
  </si>
  <si>
    <t>IV 205, 17a</t>
  </si>
  <si>
    <t>L-1722-165132035</t>
  </si>
  <si>
    <t>L-1722-165131837</t>
  </si>
  <si>
    <t>L-1722-175338345</t>
  </si>
  <si>
    <t>L-1752-176762833</t>
  </si>
  <si>
    <t>L-1752-176762779</t>
  </si>
  <si>
    <t>L-1749-179378805</t>
  </si>
  <si>
    <t>IV 205, 17e</t>
  </si>
  <si>
    <t>L-1761-166489964</t>
  </si>
  <si>
    <t>IV 205, 17f</t>
  </si>
  <si>
    <t>L-1726-17923157X</t>
  </si>
  <si>
    <t>L-1719-179231499</t>
  </si>
  <si>
    <t>L-1720-179231251</t>
  </si>
  <si>
    <t>L-1678-154681547</t>
  </si>
  <si>
    <t>IV 205, 17i</t>
  </si>
  <si>
    <t>L-1790-180542311</t>
  </si>
  <si>
    <t>IV 205, 17j</t>
  </si>
  <si>
    <t>L-1772-179298240</t>
  </si>
  <si>
    <t>L-1772-179298267</t>
  </si>
  <si>
    <t>L-1772-179298259</t>
  </si>
  <si>
    <t>L-1762-171110692</t>
  </si>
  <si>
    <t>L-1762-171110749</t>
  </si>
  <si>
    <t>L-1762-171111141</t>
  </si>
  <si>
    <t>L-1762-171111087</t>
  </si>
  <si>
    <t>L-1770-170720047</t>
  </si>
  <si>
    <t>L-1770-170720136</t>
  </si>
  <si>
    <t>L-1770-170720187</t>
  </si>
  <si>
    <t>L-1770-170720217</t>
  </si>
  <si>
    <t>L-1770-170720292</t>
  </si>
  <si>
    <t>L-1770-170720373</t>
  </si>
  <si>
    <t>L-1770-17072008X</t>
  </si>
  <si>
    <t>L-1778-170330281</t>
  </si>
  <si>
    <t>L-1774-170330257</t>
  </si>
  <si>
    <t>L-1786-174265182</t>
  </si>
  <si>
    <t>L-1787-174265395</t>
  </si>
  <si>
    <t>100137536X</t>
  </si>
  <si>
    <t>L-1789-174265433</t>
  </si>
  <si>
    <t>L-1784-174265573</t>
  </si>
  <si>
    <t>L-1787-174265271</t>
  </si>
  <si>
    <t>L-1783-174265484</t>
  </si>
  <si>
    <t>L-1774-161952682</t>
  </si>
  <si>
    <t>IV 205, 18 ii</t>
  </si>
  <si>
    <t>L-1762-166185221</t>
  </si>
  <si>
    <t>L-1767-16150986X</t>
  </si>
  <si>
    <t>IV 205, 18 l</t>
  </si>
  <si>
    <t>L-1787-155386611</t>
  </si>
  <si>
    <t>IV 205, 18 ll</t>
  </si>
  <si>
    <t>L-1770-169121720</t>
  </si>
  <si>
    <t>IV 205, 18 m</t>
  </si>
  <si>
    <t>L-1770-169121798</t>
  </si>
  <si>
    <t>L-1770-314709088</t>
  </si>
  <si>
    <t>IV 205, 18 mm</t>
  </si>
  <si>
    <t>L-1768-670707899</t>
  </si>
  <si>
    <t>IV 205, 18 mm (1. angebundenes Werk)</t>
  </si>
  <si>
    <t>L-1770-169121755</t>
  </si>
  <si>
    <t>IV 205, 18 n</t>
  </si>
  <si>
    <t>L-1770-169121801</t>
  </si>
  <si>
    <t>L-1769-406940959</t>
  </si>
  <si>
    <t>IV 205, 18 oo</t>
  </si>
  <si>
    <t>L-1769-406940967</t>
  </si>
  <si>
    <t>L-9999-406947481</t>
  </si>
  <si>
    <t>IV 205, 18 pp</t>
  </si>
  <si>
    <t>L-9999-406947473</t>
  </si>
  <si>
    <t>L-9999-406947457</t>
  </si>
  <si>
    <t>L-9999-406947465</t>
  </si>
  <si>
    <t>L-2011-325545</t>
  </si>
  <si>
    <t>L-2011-325546</t>
  </si>
  <si>
    <t>L-2011-325543</t>
  </si>
  <si>
    <t>L-2011-325544</t>
  </si>
  <si>
    <t>L-1771-167334808</t>
  </si>
  <si>
    <t>IV 205, 18 qu</t>
  </si>
  <si>
    <t>L-2015-311389</t>
  </si>
  <si>
    <t>106931367X</t>
  </si>
  <si>
    <t>IV 205, 18 rr</t>
  </si>
  <si>
    <t>L-2017-325837</t>
  </si>
  <si>
    <t>IV 205, 18 ss</t>
  </si>
  <si>
    <t>L-1792-162391862</t>
  </si>
  <si>
    <t>L-1765-163552533</t>
  </si>
  <si>
    <t>IV 205, 18 x</t>
  </si>
  <si>
    <t>L-1779-163502307</t>
  </si>
  <si>
    <t>IV 205, 18 z</t>
  </si>
  <si>
    <t>L-1772-161510140</t>
  </si>
  <si>
    <t>IV 205, 18/d</t>
  </si>
  <si>
    <t>L-1784-161937705</t>
  </si>
  <si>
    <t>L-1784-16193787X</t>
  </si>
  <si>
    <t>L-1784-161938000</t>
  </si>
  <si>
    <t>L-1784-16194292X</t>
  </si>
  <si>
    <t>L-1784-161943950</t>
  </si>
  <si>
    <t>L-1784-161938116</t>
  </si>
  <si>
    <t>L-1784-161943071</t>
  </si>
  <si>
    <t>L-1784-161943144</t>
  </si>
  <si>
    <t>L-1784-161943284</t>
  </si>
  <si>
    <t>L-1784-161943438</t>
  </si>
  <si>
    <t>L-1775-161946445</t>
  </si>
  <si>
    <t>L-1775-161946755</t>
  </si>
  <si>
    <t>L-1775-161947115</t>
  </si>
  <si>
    <t>L-1775-161947263</t>
  </si>
  <si>
    <t>L-1775-161947751</t>
  </si>
  <si>
    <t>L-1775-161947638</t>
  </si>
  <si>
    <t>L-1775-161947824</t>
  </si>
  <si>
    <t>L-1775-161947395</t>
  </si>
  <si>
    <t>L-1775-161947522</t>
  </si>
  <si>
    <t>L-1768-179470760</t>
  </si>
  <si>
    <t>IV 205, 18aa</t>
  </si>
  <si>
    <t>L-1769-179471031</t>
  </si>
  <si>
    <t>IV 205, 18b</t>
  </si>
  <si>
    <t>L-1771-166225797</t>
  </si>
  <si>
    <t>L-1773-166225959</t>
  </si>
  <si>
    <t>L-1770-17947040X</t>
  </si>
  <si>
    <t>IV 205, 18c</t>
  </si>
  <si>
    <t>L-1779-176764615</t>
  </si>
  <si>
    <t>IV 205, 18dd</t>
  </si>
  <si>
    <t>L-1772-179474812</t>
  </si>
  <si>
    <t>L-1772-179474774</t>
  </si>
  <si>
    <t>L-1772-179474820</t>
  </si>
  <si>
    <t>L-1772-179474847</t>
  </si>
  <si>
    <t>L-1789-179471287</t>
  </si>
  <si>
    <t>IV 205, 18ee</t>
  </si>
  <si>
    <t>L-1782-176457259</t>
  </si>
  <si>
    <t>IV 205, 18f</t>
  </si>
  <si>
    <t>L-1779-176457011</t>
  </si>
  <si>
    <t>L-1773-179549839</t>
  </si>
  <si>
    <t>L-1773-179549758</t>
  </si>
  <si>
    <t>L-1773-179549731</t>
  </si>
  <si>
    <t>L-1773-179549782</t>
  </si>
  <si>
    <t>L-1785-179469495</t>
  </si>
  <si>
    <t>L-1785-179469517</t>
  </si>
  <si>
    <t>100332410X</t>
  </si>
  <si>
    <t>L-1785-17946941X</t>
  </si>
  <si>
    <t>L-1784-179469401</t>
  </si>
  <si>
    <t>L-1787-17946955X</t>
  </si>
  <si>
    <t>L-1785-179469452</t>
  </si>
  <si>
    <t>L-1784-17602087X</t>
  </si>
  <si>
    <t>IV 205, 18hh</t>
  </si>
  <si>
    <t>L-1769-177104104</t>
  </si>
  <si>
    <t>IV 205, 18i</t>
  </si>
  <si>
    <t>L-9999-406940207</t>
  </si>
  <si>
    <t>IV 205, 18nn</t>
  </si>
  <si>
    <t>L-9999-406940258</t>
  </si>
  <si>
    <t>L-9999-40694024X</t>
  </si>
  <si>
    <t>L-9999-406940266</t>
  </si>
  <si>
    <t>L-9999-406940193</t>
  </si>
  <si>
    <t>L-9999-406940231</t>
  </si>
  <si>
    <t>L-9999-406940223</t>
  </si>
  <si>
    <t>L-9999-406940215</t>
  </si>
  <si>
    <t>L-1771-179550020</t>
  </si>
  <si>
    <t>IV 205, 18o</t>
  </si>
  <si>
    <t>L-1771-179550004</t>
  </si>
  <si>
    <t>L-1763-158626419</t>
  </si>
  <si>
    <t>IV 205, 18p</t>
  </si>
  <si>
    <t>L-1792-176481672</t>
  </si>
  <si>
    <t>L-1792-17648180X</t>
  </si>
  <si>
    <t>L-1793-176482083</t>
  </si>
  <si>
    <t>L-1790-154523798</t>
  </si>
  <si>
    <t>IV 205, 18t</t>
  </si>
  <si>
    <t>L-1792-162392168</t>
  </si>
  <si>
    <t>L-1802-162392346</t>
  </si>
  <si>
    <t>L-1795-16239232X</t>
  </si>
  <si>
    <t>L-1781-179469827</t>
  </si>
  <si>
    <t>L-1781-179469797</t>
  </si>
  <si>
    <t>100332441X</t>
  </si>
  <si>
    <t>L-1784-180541765</t>
  </si>
  <si>
    <t>L-1785-180541838</t>
  </si>
  <si>
    <t>100373605X</t>
  </si>
  <si>
    <t>L-1784-180541773</t>
  </si>
  <si>
    <t>L-1785-180541854</t>
  </si>
  <si>
    <t>L-1806-17051756X</t>
  </si>
  <si>
    <t>IV 205, 19</t>
  </si>
  <si>
    <t>L-1561-31548750X</t>
  </si>
  <si>
    <t>IV 205, 2</t>
  </si>
  <si>
    <t>L-1799-168367289</t>
  </si>
  <si>
    <t>IV 205, 20</t>
  </si>
  <si>
    <t>L-2018-334905</t>
  </si>
  <si>
    <t>IV 205, 20 - 4</t>
  </si>
  <si>
    <t>L-2019-302228</t>
  </si>
  <si>
    <t>IV 205, 20 a</t>
  </si>
  <si>
    <t>L-1756-177061383</t>
  </si>
  <si>
    <t>IV 205, 21</t>
  </si>
  <si>
    <t>L-1744-175751951</t>
  </si>
  <si>
    <t>L-1747-175751862</t>
  </si>
  <si>
    <t>L-1744-175751536</t>
  </si>
  <si>
    <t>L-1745-175751188</t>
  </si>
  <si>
    <t>L-1745-17575084X</t>
  </si>
  <si>
    <t>L-1745-17575022X</t>
  </si>
  <si>
    <t>L-1750-175751765</t>
  </si>
  <si>
    <t>L-1729-167046209</t>
  </si>
  <si>
    <t>IV 205, 22 a</t>
  </si>
  <si>
    <t>L-1735-169768821</t>
  </si>
  <si>
    <t>IV 205, 22 b</t>
  </si>
  <si>
    <t>L-9999-162444109</t>
  </si>
  <si>
    <t>IV 205, 22 c</t>
  </si>
  <si>
    <t>L-1762-162440537</t>
  </si>
  <si>
    <t>L-1762-16244088X</t>
  </si>
  <si>
    <t>L-1776-169966518</t>
  </si>
  <si>
    <t>IV 205, 22 f</t>
  </si>
  <si>
    <t>L-1766-162441320</t>
  </si>
  <si>
    <t>99665657X</t>
  </si>
  <si>
    <t>IV 205, 22 h</t>
  </si>
  <si>
    <t>L-1744-170053857</t>
  </si>
  <si>
    <t>100013413X</t>
  </si>
  <si>
    <t>IV 205, 22 k</t>
  </si>
  <si>
    <t>L-1758-166747750</t>
  </si>
  <si>
    <t>IV 205, 22 l</t>
  </si>
  <si>
    <t>L-1760-315296887</t>
  </si>
  <si>
    <t>IV 205, 22 n</t>
  </si>
  <si>
    <t>L-1751-168584956</t>
  </si>
  <si>
    <t>IV 205, 22 o</t>
  </si>
  <si>
    <t>L-1749-31506143X</t>
  </si>
  <si>
    <t>IV 205, 22 p</t>
  </si>
  <si>
    <t>L-1739-315083751</t>
  </si>
  <si>
    <t>106669639X</t>
  </si>
  <si>
    <t>IV 205, 22 q</t>
  </si>
  <si>
    <t>L-1751-160484464</t>
  </si>
  <si>
    <t>IV 205, 22/j</t>
  </si>
  <si>
    <t>L-1745-16704866X</t>
  </si>
  <si>
    <t>IV 205, 22d</t>
  </si>
  <si>
    <t>L-1754-171502736</t>
  </si>
  <si>
    <t>IV 205, 22g</t>
  </si>
  <si>
    <t>L-1759-155360515</t>
  </si>
  <si>
    <t>IV 205, 22m</t>
  </si>
  <si>
    <t>L-1801-169510034</t>
  </si>
  <si>
    <t>99982807X</t>
  </si>
  <si>
    <t>IV 205, 23</t>
  </si>
  <si>
    <t>L-1799-169509915</t>
  </si>
  <si>
    <t>L-1724-179480030</t>
  </si>
  <si>
    <t>100333427X</t>
  </si>
  <si>
    <t>IV 205, 23a</t>
  </si>
  <si>
    <t>L-1794-170978419</t>
  </si>
  <si>
    <t>IV 205, 24</t>
  </si>
  <si>
    <t>L-1800-165311568</t>
  </si>
  <si>
    <t>IV 205, 24 b</t>
  </si>
  <si>
    <t>L-1799-159305977</t>
  </si>
  <si>
    <t>IV 205, 24/d</t>
  </si>
  <si>
    <t>L-1798-158103785</t>
  </si>
  <si>
    <t>IV 205, 24a</t>
  </si>
  <si>
    <t>L-1797-158103599</t>
  </si>
  <si>
    <t>IV 205, 24c</t>
  </si>
  <si>
    <t>L-1803-165399910</t>
  </si>
  <si>
    <t>IV 205, 24e</t>
  </si>
  <si>
    <t>L-1792-170342220</t>
  </si>
  <si>
    <t>IV 205, 24f</t>
  </si>
  <si>
    <t>L-1794-15930640X</t>
  </si>
  <si>
    <t>L-1790-177921935</t>
  </si>
  <si>
    <t>IV 205, 24h</t>
  </si>
  <si>
    <t>L-1771-175912408</t>
  </si>
  <si>
    <t>IV 205, 25</t>
  </si>
  <si>
    <t>L-1771-175912386</t>
  </si>
  <si>
    <t>L-1773-169814734</t>
  </si>
  <si>
    <t>IV 205, 26</t>
  </si>
  <si>
    <t>L-1782-154529567</t>
  </si>
  <si>
    <t>IV 205, 26a</t>
  </si>
  <si>
    <t>L-1781-154529516</t>
  </si>
  <si>
    <t>L-1782-154529451</t>
  </si>
  <si>
    <t>L-1782-15452963X</t>
  </si>
  <si>
    <t>L-1784-176804196</t>
  </si>
  <si>
    <t>L-1796-659991667</t>
  </si>
  <si>
    <t>IV 205, 27 - 1797</t>
  </si>
  <si>
    <t>L-1786-173895719</t>
  </si>
  <si>
    <t>IV 205, 27 a</t>
  </si>
  <si>
    <t>L-1796-165400188</t>
  </si>
  <si>
    <t>IV 205, 27 b</t>
  </si>
  <si>
    <t>L-1773-154745626</t>
  </si>
  <si>
    <t>99421992X</t>
  </si>
  <si>
    <t>IV 205, 27 c</t>
  </si>
  <si>
    <t>L-2019-302086</t>
  </si>
  <si>
    <t>IV 205, 27 d</t>
  </si>
  <si>
    <t>L-1694-174445407</t>
  </si>
  <si>
    <t>IV 205, 28</t>
  </si>
  <si>
    <t>L-1817-160608899</t>
  </si>
  <si>
    <t>IV 205, 29</t>
  </si>
  <si>
    <t>L-1602-31517594X</t>
  </si>
  <si>
    <t>106675358X</t>
  </si>
  <si>
    <t>IV 205, 3</t>
  </si>
  <si>
    <t>L-1632-670542725</t>
  </si>
  <si>
    <t>IV 205, 3 (Angebundenes Werk)</t>
  </si>
  <si>
    <t>L-1712-158245989</t>
  </si>
  <si>
    <t>IV 205, 30</t>
  </si>
  <si>
    <t>L-1735-154688843</t>
  </si>
  <si>
    <t>IV 205, 31</t>
  </si>
  <si>
    <t>L-1735-154688835</t>
  </si>
  <si>
    <t>L-1726-162042949</t>
  </si>
  <si>
    <t>L-1725-162042779</t>
  </si>
  <si>
    <t>L-1722-162042620</t>
  </si>
  <si>
    <t>L-1768-177731176</t>
  </si>
  <si>
    <t>IV 205, 32</t>
  </si>
  <si>
    <t>L-1768-177731125</t>
  </si>
  <si>
    <t>L-1755-170249956</t>
  </si>
  <si>
    <t>IV 205, 32 a</t>
  </si>
  <si>
    <t>L-1755-170249972</t>
  </si>
  <si>
    <t>L-1757-154744751</t>
  </si>
  <si>
    <t>L-1777-315207647</t>
  </si>
  <si>
    <t>IV 205, 32 c</t>
  </si>
  <si>
    <t>L-1772-170228231</t>
  </si>
  <si>
    <t>100023410X</t>
  </si>
  <si>
    <t>IV 205, 33</t>
  </si>
  <si>
    <t>L-1776-159291828</t>
  </si>
  <si>
    <t>99533420X</t>
  </si>
  <si>
    <t>IV 205, 33 a</t>
  </si>
  <si>
    <t>L-1782-161325793</t>
  </si>
  <si>
    <t>IV 205, 33 b</t>
  </si>
  <si>
    <t>L-1785-154067210</t>
  </si>
  <si>
    <t>L-1785-154067261</t>
  </si>
  <si>
    <t>L-1785-154067318</t>
  </si>
  <si>
    <t>L-1785-16760337X</t>
  </si>
  <si>
    <t>IV 205, 34</t>
  </si>
  <si>
    <t>L-1771-315066199</t>
  </si>
  <si>
    <t>IV 205, 34 d</t>
  </si>
  <si>
    <t>L-1786-178796018</t>
  </si>
  <si>
    <t>IV 205, 34a</t>
  </si>
  <si>
    <t>L-1788-166198234</t>
  </si>
  <si>
    <t>IV 205, 34b</t>
  </si>
  <si>
    <t>L-1793-167302086</t>
  </si>
  <si>
    <t>IV 205, 34c</t>
  </si>
  <si>
    <t>L-1798-175879559</t>
  </si>
  <si>
    <t>IV 205, 35</t>
  </si>
  <si>
    <t>L-1800-175879583</t>
  </si>
  <si>
    <t>L-1793-159189470</t>
  </si>
  <si>
    <t>IV 205, 35 a</t>
  </si>
  <si>
    <t>L-1798-170545644</t>
  </si>
  <si>
    <t>IV 205, 36</t>
  </si>
  <si>
    <t>L-1798-171087682</t>
  </si>
  <si>
    <t>IV 205, 36 a</t>
  </si>
  <si>
    <t>L-1696-169691632</t>
  </si>
  <si>
    <t>IV 205, 37</t>
  </si>
  <si>
    <t>L-1726-159654505</t>
  </si>
  <si>
    <t>IV 205, 37 a</t>
  </si>
  <si>
    <t>L-1726-159654645</t>
  </si>
  <si>
    <t>L-1700-154089028</t>
  </si>
  <si>
    <t>IV 205, 37b</t>
  </si>
  <si>
    <t>L-1700-154088625</t>
  </si>
  <si>
    <t>L-1700-154088552</t>
  </si>
  <si>
    <t>L-1697-168600463</t>
  </si>
  <si>
    <t>IV 205, 38</t>
  </si>
  <si>
    <t>L-1697-168600404</t>
  </si>
  <si>
    <t>L-1730-166689432</t>
  </si>
  <si>
    <t>L-1740-16668970X</t>
  </si>
  <si>
    <t>L-1740-166689580</t>
  </si>
  <si>
    <t>L-1735-174968485</t>
  </si>
  <si>
    <t>IV 205, 39</t>
  </si>
  <si>
    <t>L-1735-174968493</t>
  </si>
  <si>
    <t>L-1627-315334754</t>
  </si>
  <si>
    <t>106687705X</t>
  </si>
  <si>
    <t>IV 205, 4</t>
  </si>
  <si>
    <t>L-1629-178181951</t>
  </si>
  <si>
    <t>IV 205, 4 a</t>
  </si>
  <si>
    <t>L-1752-163796653</t>
  </si>
  <si>
    <t>IV 205, 40</t>
  </si>
  <si>
    <t>L-1764-169151549</t>
  </si>
  <si>
    <t>IV 205, 40 b</t>
  </si>
  <si>
    <t>L-1773-163763577</t>
  </si>
  <si>
    <t>IV 205, 40 c</t>
  </si>
  <si>
    <t>L-1773-163763682</t>
  </si>
  <si>
    <t>L-2015-317286</t>
  </si>
  <si>
    <t>IV 205, 40 d</t>
  </si>
  <si>
    <t>L-1762-158266668</t>
  </si>
  <si>
    <t>IV 205, 40a</t>
  </si>
  <si>
    <t>L-1781-15595346X</t>
  </si>
  <si>
    <t>IV 205, 41</t>
  </si>
  <si>
    <t>L-1781-165026375</t>
  </si>
  <si>
    <t>L-1780-165026332</t>
  </si>
  <si>
    <t>L-1780-154355216</t>
  </si>
  <si>
    <t>L-1780-165026340</t>
  </si>
  <si>
    <t>L-1781-165026367</t>
  </si>
  <si>
    <t>L-1780-165026359</t>
  </si>
  <si>
    <t>L-1795-161955525</t>
  </si>
  <si>
    <t>IV 205, 41 a</t>
  </si>
  <si>
    <t>L-1685-155914693</t>
  </si>
  <si>
    <t>99442485X</t>
  </si>
  <si>
    <t>IV 205, 42</t>
  </si>
  <si>
    <t>L-1692-177156775</t>
  </si>
  <si>
    <t>IV 205, 42a</t>
  </si>
  <si>
    <t>L-1678-177106433</t>
  </si>
  <si>
    <t>L-1670-177156562</t>
  </si>
  <si>
    <t>L-1670-177106611</t>
  </si>
  <si>
    <t>L-1795-164064818</t>
  </si>
  <si>
    <t>IV 205, 43</t>
  </si>
  <si>
    <t>L-1800-178655708</t>
  </si>
  <si>
    <t>IV 205, 43a</t>
  </si>
  <si>
    <t>L-1801-178655848</t>
  </si>
  <si>
    <t>100303022X</t>
  </si>
  <si>
    <t>L-1800-178655694</t>
  </si>
  <si>
    <t>L-1792-179298305</t>
  </si>
  <si>
    <t>IV 205, 43b</t>
  </si>
  <si>
    <t>L-1589-167033794</t>
  </si>
  <si>
    <t>IV 205, 44</t>
  </si>
  <si>
    <t>L-1599-156062534</t>
  </si>
  <si>
    <t>IV 205, 44 b</t>
  </si>
  <si>
    <t>L-1597-170684024</t>
  </si>
  <si>
    <t>IV 205, 44 f</t>
  </si>
  <si>
    <t>L-1620-169492338</t>
  </si>
  <si>
    <t>IV 205, 44a</t>
  </si>
  <si>
    <t>L-1620-169492540</t>
  </si>
  <si>
    <t>99981141X</t>
  </si>
  <si>
    <t>L-1597-16725765X</t>
  </si>
  <si>
    <t>IV 205, 44d</t>
  </si>
  <si>
    <t>L-1590-179938029</t>
  </si>
  <si>
    <t>IV 205, 44e</t>
  </si>
  <si>
    <t>L-1590-179937340</t>
  </si>
  <si>
    <t>L-1653-171495675</t>
  </si>
  <si>
    <t>100089729X</t>
  </si>
  <si>
    <t>IV 205, 44g</t>
  </si>
  <si>
    <t>L-1611-170013030</t>
  </si>
  <si>
    <t>IV 205, 45</t>
  </si>
  <si>
    <t>L-1611-17036271X</t>
  </si>
  <si>
    <t>L-1720-166918237</t>
  </si>
  <si>
    <t>IV 205, 45a</t>
  </si>
  <si>
    <t>L-1723-166918342</t>
  </si>
  <si>
    <t>L-1740-170478858</t>
  </si>
  <si>
    <t>IV 205, 46</t>
  </si>
  <si>
    <t>L-1742-156415224</t>
  </si>
  <si>
    <t>L-1706-170219305</t>
  </si>
  <si>
    <t>IV 205, 47</t>
  </si>
  <si>
    <t>L-1706-170219518</t>
  </si>
  <si>
    <t>L-1773-161934552</t>
  </si>
  <si>
    <t>IV 205, 48</t>
  </si>
  <si>
    <t>L-1779-170053660</t>
  </si>
  <si>
    <t>IV 205, 48 a</t>
  </si>
  <si>
    <t>L-1780-18027502X</t>
  </si>
  <si>
    <t>100360627X</t>
  </si>
  <si>
    <t>IV 205, 49</t>
  </si>
  <si>
    <t>L-1764-16507728X</t>
  </si>
  <si>
    <t>IV 205, 49 a</t>
  </si>
  <si>
    <t>L-1796-315071400</t>
  </si>
  <si>
    <t>IV 205, 49 b</t>
  </si>
  <si>
    <t>L-1645-315309954</t>
  </si>
  <si>
    <t>106685100X</t>
  </si>
  <si>
    <t>IV 205, 5</t>
  </si>
  <si>
    <t>L-1649-160750997</t>
  </si>
  <si>
    <t>IV 205, 5 a</t>
  </si>
  <si>
    <t>L-1729-163016003</t>
  </si>
  <si>
    <t>99690686X</t>
  </si>
  <si>
    <t>IV 205, 5 b</t>
  </si>
  <si>
    <t>L-1781-162789416</t>
  </si>
  <si>
    <t>IV 205, 50</t>
  </si>
  <si>
    <t>L-1800-169512983</t>
  </si>
  <si>
    <t>IV 205, 50 b</t>
  </si>
  <si>
    <t>L-1794-169512797</t>
  </si>
  <si>
    <t>L-1792-165314788</t>
  </si>
  <si>
    <t>IV 205, 50 c</t>
  </si>
  <si>
    <t>L-1794-165314796</t>
  </si>
  <si>
    <t>L-1777-175356807</t>
  </si>
  <si>
    <t>IV 205, 50a</t>
  </si>
  <si>
    <t>L-1773-166372382</t>
  </si>
  <si>
    <t>IV 205, 51</t>
  </si>
  <si>
    <t>L-1790-164467319</t>
  </si>
  <si>
    <t>IV 205, 52</t>
  </si>
  <si>
    <t>L-1698-158248317</t>
  </si>
  <si>
    <t>IV 205, 54</t>
  </si>
  <si>
    <t>L-1717-156359618</t>
  </si>
  <si>
    <t>IV 205, 54a</t>
  </si>
  <si>
    <t>L-1781-163633924</t>
  </si>
  <si>
    <t>IV 205, 55</t>
  </si>
  <si>
    <t>L-1785-163634238</t>
  </si>
  <si>
    <t>L-1787-163634483</t>
  </si>
  <si>
    <t>L-1791-168467933</t>
  </si>
  <si>
    <t>IV 205, 55a</t>
  </si>
  <si>
    <t>L-1688-166183857</t>
  </si>
  <si>
    <t>99842157X</t>
  </si>
  <si>
    <t>IV 205, 56</t>
  </si>
  <si>
    <t>L-1714-178489123</t>
  </si>
  <si>
    <t>IV 205, 57</t>
  </si>
  <si>
    <t>L-1739-17587056X</t>
  </si>
  <si>
    <t>IV 205, 57a</t>
  </si>
  <si>
    <t>L-1716-140756876</t>
  </si>
  <si>
    <t>IV 205, 57b</t>
  </si>
  <si>
    <t>L-1797-168504944</t>
  </si>
  <si>
    <t>IV 205, 58</t>
  </si>
  <si>
    <t>L-1676-170219216</t>
  </si>
  <si>
    <t>IV 205, 59</t>
  </si>
  <si>
    <t>L-1730-315463872</t>
  </si>
  <si>
    <t>106693598X</t>
  </si>
  <si>
    <t>IV 205, 6</t>
  </si>
  <si>
    <t>L-1701-670533874</t>
  </si>
  <si>
    <t>IV 205, 6 (1. angebundenes Werk)</t>
  </si>
  <si>
    <t>L-1736-170809285</t>
  </si>
  <si>
    <t>IV 205, 6 a</t>
  </si>
  <si>
    <t>L-1617-173927300</t>
  </si>
  <si>
    <t>IV 205, 60</t>
  </si>
  <si>
    <t>L-1617-163540241</t>
  </si>
  <si>
    <t>L-1618-315073098</t>
  </si>
  <si>
    <t>IV 205, 60a</t>
  </si>
  <si>
    <t>L-1580-160593948</t>
  </si>
  <si>
    <t>IV 205, 61</t>
  </si>
  <si>
    <t>L-1703-178661678</t>
  </si>
  <si>
    <t>IV 205, 62</t>
  </si>
  <si>
    <t>L-1703-157201546</t>
  </si>
  <si>
    <t>L-1707-157201651</t>
  </si>
  <si>
    <t>L-1794-154359297</t>
  </si>
  <si>
    <t>IV 205, 63</t>
  </si>
  <si>
    <t>L-1764-163797072</t>
  </si>
  <si>
    <t>IV 205, 64</t>
  </si>
  <si>
    <t>L-1770-15465468X</t>
  </si>
  <si>
    <t>IV 205, 65</t>
  </si>
  <si>
    <t>L-1776-168492784</t>
  </si>
  <si>
    <t>IV 205, 66</t>
  </si>
  <si>
    <t>L-1777-17015226X</t>
  </si>
  <si>
    <t>100017171X</t>
  </si>
  <si>
    <t>IV 205, 67</t>
  </si>
  <si>
    <t>L-1792-160501512</t>
  </si>
  <si>
    <t>IV 205, 67 c</t>
  </si>
  <si>
    <t>L-1792-162390246</t>
  </si>
  <si>
    <t>99661754X</t>
  </si>
  <si>
    <t>IV 205, 67 d</t>
  </si>
  <si>
    <t>L-1780-154871397</t>
  </si>
  <si>
    <t>IV 205, 67a</t>
  </si>
  <si>
    <t>L-1780-154871443</t>
  </si>
  <si>
    <t>L-1784-166365459</t>
  </si>
  <si>
    <t>IV 205, 67b</t>
  </si>
  <si>
    <t>L-1793-162390343</t>
  </si>
  <si>
    <t>IV 205, 67d</t>
  </si>
  <si>
    <t>L-1788-164267670</t>
  </si>
  <si>
    <t>IV 205, 68</t>
  </si>
  <si>
    <t>L-1768-161902014</t>
  </si>
  <si>
    <t>IV 205, 68 a</t>
  </si>
  <si>
    <t>L-1777-180395300</t>
  </si>
  <si>
    <t>IV 205, 68a</t>
  </si>
  <si>
    <t>L-1747-315183276</t>
  </si>
  <si>
    <t>IV 205, 7</t>
  </si>
  <si>
    <t>L-1694-174970048</t>
  </si>
  <si>
    <t>100148343X</t>
  </si>
  <si>
    <t>IV 205, 7 a</t>
  </si>
  <si>
    <t>L-2015-308332</t>
  </si>
  <si>
    <t>IV 205, 7 aa - Fragm.</t>
  </si>
  <si>
    <t>L-1701-155960601</t>
  </si>
  <si>
    <t>L-1701-168394979</t>
  </si>
  <si>
    <t>IV 205, 7 c</t>
  </si>
  <si>
    <t>L-1701-168394960</t>
  </si>
  <si>
    <t>L-1755-165134585</t>
  </si>
  <si>
    <t>IV 205, 7 d</t>
  </si>
  <si>
    <t>L-1755-165134658</t>
  </si>
  <si>
    <t>L-1690-153972726</t>
  </si>
  <si>
    <t>IV 205, 7 e</t>
  </si>
  <si>
    <t>L-1696-180394355</t>
  </si>
  <si>
    <t>IV 205, 7 g</t>
  </si>
  <si>
    <t>L-1707-154740578</t>
  </si>
  <si>
    <t>IV 205, 7 h</t>
  </si>
  <si>
    <t>L-1711-158103017</t>
  </si>
  <si>
    <t>IV 205, 7 i</t>
  </si>
  <si>
    <t>L-2015-317280</t>
  </si>
  <si>
    <t>IV 205, 7 ia</t>
  </si>
  <si>
    <t>L-1733-163897859</t>
  </si>
  <si>
    <t>IV 205, 7 j</t>
  </si>
  <si>
    <t>L-1766-163897840</t>
  </si>
  <si>
    <t>L-1693-174969910</t>
  </si>
  <si>
    <t>IV 205, 7 k</t>
  </si>
  <si>
    <t>L-1731-315066342</t>
  </si>
  <si>
    <t>IV 205, 7 l</t>
  </si>
  <si>
    <t>L-2009-324238</t>
  </si>
  <si>
    <t>IV 205, 7 n</t>
  </si>
  <si>
    <t>L-1689-192227955</t>
  </si>
  <si>
    <t>IV 205, 7 o</t>
  </si>
  <si>
    <t>L-1689-192531557</t>
  </si>
  <si>
    <t>IV 205, 7 oa</t>
  </si>
  <si>
    <t>L-2014-308285</t>
  </si>
  <si>
    <t>L-2014-308286</t>
  </si>
  <si>
    <t>L-2015-308369</t>
  </si>
  <si>
    <t>IV 205, 7 q</t>
  </si>
  <si>
    <t>L-2015-308331</t>
  </si>
  <si>
    <t>IV 205, 7 r</t>
  </si>
  <si>
    <t>L-2015-308329</t>
  </si>
  <si>
    <t>IV 205, 7 s</t>
  </si>
  <si>
    <t>L-2015-308333</t>
  </si>
  <si>
    <t>IV 205, 7 t</t>
  </si>
  <si>
    <t>L-2015-317289</t>
  </si>
  <si>
    <t>36590015X</t>
  </si>
  <si>
    <t>IV 205, 7 u</t>
  </si>
  <si>
    <t>L-2015-317288</t>
  </si>
  <si>
    <t>IV 205, 7 v</t>
  </si>
  <si>
    <t>L-2015-317297</t>
  </si>
  <si>
    <t>IV 205, 7 w</t>
  </si>
  <si>
    <t>L-1712-471261742</t>
  </si>
  <si>
    <t>L-1706-155960792</t>
  </si>
  <si>
    <t>99445659X</t>
  </si>
  <si>
    <t>L-1580-156404788</t>
  </si>
  <si>
    <t>IV 205, 70</t>
  </si>
  <si>
    <t>L-1581-174294409</t>
  </si>
  <si>
    <t>L-1588-170185613</t>
  </si>
  <si>
    <t>IV 205, 70a</t>
  </si>
  <si>
    <t>L-1577-168556154</t>
  </si>
  <si>
    <t>IV 205, 70b</t>
  </si>
  <si>
    <t>L-9999-175017603</t>
  </si>
  <si>
    <t>IV 205, 70c</t>
  </si>
  <si>
    <t>L-1815-156064510</t>
  </si>
  <si>
    <t>IV 205, 71</t>
  </si>
  <si>
    <t>L-1815-15606460X</t>
  </si>
  <si>
    <t>L-1815-156064715</t>
  </si>
  <si>
    <t>L-1770-162421842</t>
  </si>
  <si>
    <t>IV 205, 72</t>
  </si>
  <si>
    <t>L-1807-167301977</t>
  </si>
  <si>
    <t>IV 205, 73a</t>
  </si>
  <si>
    <t>L-1755-168397684</t>
  </si>
  <si>
    <t>IV 205, 74</t>
  </si>
  <si>
    <t>L-1746-169970876</t>
  </si>
  <si>
    <t>IV 205, 74 a</t>
  </si>
  <si>
    <t>L-1749-354142879</t>
  </si>
  <si>
    <t>L-1763-161950434</t>
  </si>
  <si>
    <t>L-1763-161507409</t>
  </si>
  <si>
    <t>L-1763-16195474X</t>
  </si>
  <si>
    <t>L-1763-161954863</t>
  </si>
  <si>
    <t>L-1763-161508863</t>
  </si>
  <si>
    <t>99598221X</t>
  </si>
  <si>
    <t>L-1778-167827359</t>
  </si>
  <si>
    <t>L-1779-167827499</t>
  </si>
  <si>
    <t>L-1779-167827456</t>
  </si>
  <si>
    <t>L-1778-167827383</t>
  </si>
  <si>
    <t>L-1770-167827707</t>
  </si>
  <si>
    <t>IV 205, 75 a</t>
  </si>
  <si>
    <t>L-1774-162356250</t>
  </si>
  <si>
    <t>L-1774-162356307</t>
  </si>
  <si>
    <t>L-1777-160203597</t>
  </si>
  <si>
    <t>99556390X</t>
  </si>
  <si>
    <t>IV 205, 75 d</t>
  </si>
  <si>
    <t>L-1777-160203902</t>
  </si>
  <si>
    <t>L-1778-168643138</t>
  </si>
  <si>
    <t>IV 205, 75 e</t>
  </si>
  <si>
    <t>L-1779-176019677</t>
  </si>
  <si>
    <t>IV 205, 75 g</t>
  </si>
  <si>
    <t>L-1776-155717596</t>
  </si>
  <si>
    <t>99440607X</t>
  </si>
  <si>
    <t>IV 205, 75 h</t>
  </si>
  <si>
    <t>L-1779-163382166</t>
  </si>
  <si>
    <t>L-1778-163382123</t>
  </si>
  <si>
    <t>L-1776-17507352X</t>
  </si>
  <si>
    <t>100153882X</t>
  </si>
  <si>
    <t>L-1776-175073562</t>
  </si>
  <si>
    <t>L-1776-154991309</t>
  </si>
  <si>
    <t>IV 205, 75f</t>
  </si>
  <si>
    <t>L-1776-154991341</t>
  </si>
  <si>
    <t>L-2009-305505</t>
  </si>
  <si>
    <t>IV 205, 76</t>
  </si>
  <si>
    <t>L-2009-305506</t>
  </si>
  <si>
    <t>L-2009-305507</t>
  </si>
  <si>
    <t>L-1777-168599317</t>
  </si>
  <si>
    <t>IV 205, 77</t>
  </si>
  <si>
    <t>L-1732-175495033</t>
  </si>
  <si>
    <t>IV 205, 78</t>
  </si>
  <si>
    <t>L-1758-161907660</t>
  </si>
  <si>
    <t>IV 205, 79</t>
  </si>
  <si>
    <t>L-9999-157498999</t>
  </si>
  <si>
    <t>L-1752-161907970</t>
  </si>
  <si>
    <t>IV 205, 79 a</t>
  </si>
  <si>
    <t>L-1752-17048579X</t>
  </si>
  <si>
    <t>L-1743-406956103</t>
  </si>
  <si>
    <t>L-1743-40695609X</t>
  </si>
  <si>
    <t>L-1754-163377863</t>
  </si>
  <si>
    <t>IV 205, 8 a</t>
  </si>
  <si>
    <t>L-1759-163377952</t>
  </si>
  <si>
    <t>L-1715-156634678</t>
  </si>
  <si>
    <t>IV 205, 8 b</t>
  </si>
  <si>
    <t>L-1795-163897689</t>
  </si>
  <si>
    <t>IV 205, 8 c</t>
  </si>
  <si>
    <t>L-1753-163255059</t>
  </si>
  <si>
    <t>IV 205, 8 d</t>
  </si>
  <si>
    <t>L-1717-161667228</t>
  </si>
  <si>
    <t>IV 205, 8 e</t>
  </si>
  <si>
    <t>L-1717-161667953</t>
  </si>
  <si>
    <t>L-1816-165799838</t>
  </si>
  <si>
    <t>IV 205, 8 f</t>
  </si>
  <si>
    <t>L-1693-179301748</t>
  </si>
  <si>
    <t>IV 205, 8 g</t>
  </si>
  <si>
    <t>L-1680-17930321X</t>
  </si>
  <si>
    <t>L-1735-192240536</t>
  </si>
  <si>
    <t>L-1702-159712033</t>
  </si>
  <si>
    <t>01260903X</t>
  </si>
  <si>
    <t>L-1740-168506475</t>
  </si>
  <si>
    <t>L-1732-155961527</t>
  </si>
  <si>
    <t>IV 205, 8 j</t>
  </si>
  <si>
    <t>L-1709-163897727</t>
  </si>
  <si>
    <t>IV 205, 8 l</t>
  </si>
  <si>
    <t>L-1728-169014029</t>
  </si>
  <si>
    <t>IV 205, 8 n</t>
  </si>
  <si>
    <t>L-1665-155915509</t>
  </si>
  <si>
    <t>IV 205, 80</t>
  </si>
  <si>
    <t>L-1657-154718955</t>
  </si>
  <si>
    <t>IV 205, 81</t>
  </si>
  <si>
    <t>L-1657-154718971</t>
  </si>
  <si>
    <t>L-1775-158694449</t>
  </si>
  <si>
    <t>IV 205, 82</t>
  </si>
  <si>
    <t>L-1789-163691916</t>
  </si>
  <si>
    <t>IV 205, 83</t>
  </si>
  <si>
    <t>L-1790-163691878</t>
  </si>
  <si>
    <t>L-1774-163469881</t>
  </si>
  <si>
    <t>IV 205, 83 a</t>
  </si>
  <si>
    <t>L-1774-163470340</t>
  </si>
  <si>
    <t>L-1771-170501000</t>
  </si>
  <si>
    <t>IV 205, 83 b</t>
  </si>
  <si>
    <t>L-1776-31506627X</t>
  </si>
  <si>
    <t>IV 205, 83 c</t>
  </si>
  <si>
    <t>L-1771-16516249X</t>
  </si>
  <si>
    <t>IV 205, 83b</t>
  </si>
  <si>
    <t>L-1771-175198756</t>
  </si>
  <si>
    <t>L-1742-154844225</t>
  </si>
  <si>
    <t>IV 205, 84</t>
  </si>
  <si>
    <t>L-1742-178180262</t>
  </si>
  <si>
    <t>IV 205, 85</t>
  </si>
  <si>
    <t>L-1796-155406132</t>
  </si>
  <si>
    <t>IV 205, 86</t>
  </si>
  <si>
    <t>L-1693-160593921</t>
  </si>
  <si>
    <t>IV 205, 87</t>
  </si>
  <si>
    <t>L-1758-155345532</t>
  </si>
  <si>
    <t>IV 205, 88</t>
  </si>
  <si>
    <t>L-1733-154379247</t>
  </si>
  <si>
    <t>IV 205, 89</t>
  </si>
  <si>
    <t>L-1708-163896585</t>
  </si>
  <si>
    <t>L-1705-163896461</t>
  </si>
  <si>
    <t>99741779X</t>
  </si>
  <si>
    <t>L-1686-16977662X</t>
  </si>
  <si>
    <t>IV 205, 8m</t>
  </si>
  <si>
    <t>L-1686-166132861</t>
  </si>
  <si>
    <t>L-1728-173843530</t>
  </si>
  <si>
    <t>IV 205, 8n</t>
  </si>
  <si>
    <t>L-1752-31532712X</t>
  </si>
  <si>
    <t>IV 205, 9</t>
  </si>
  <si>
    <t>L-1789-172987326</t>
  </si>
  <si>
    <t>L-1795-172987210</t>
  </si>
  <si>
    <t>L-1788-172987113</t>
  </si>
  <si>
    <t>100115410X</t>
  </si>
  <si>
    <t>L-1790-172987172</t>
  </si>
  <si>
    <t>L-1791-172987385</t>
  </si>
  <si>
    <t>L-1779-155458817</t>
  </si>
  <si>
    <t>IV 205, 9 e</t>
  </si>
  <si>
    <t>L-1761-163470111</t>
  </si>
  <si>
    <t>IV 205, 9 h</t>
  </si>
  <si>
    <t>L-1787-169066878</t>
  </si>
  <si>
    <t>99972746X</t>
  </si>
  <si>
    <t>IV 205, 9 i</t>
  </si>
  <si>
    <t>L-1782-670392871</t>
  </si>
  <si>
    <t>IV 205, 9 ka</t>
  </si>
  <si>
    <t>L-1782-670392685</t>
  </si>
  <si>
    <t>120851881X</t>
  </si>
  <si>
    <t>IV 205, 9 ka (Angebundenes Werk)</t>
  </si>
  <si>
    <t>L-1785-180416898</t>
  </si>
  <si>
    <t>IV 205, 9 l</t>
  </si>
  <si>
    <t>L-1687-155383264</t>
  </si>
  <si>
    <t>IV 205, 90</t>
  </si>
  <si>
    <t>L-1687-15449612X</t>
  </si>
  <si>
    <t>L-1759-153919833</t>
  </si>
  <si>
    <t>99386614X</t>
  </si>
  <si>
    <t>IV 205, 91</t>
  </si>
  <si>
    <t>L-1759-154606049</t>
  </si>
  <si>
    <t>L-1796-172931940</t>
  </si>
  <si>
    <t>100112586X</t>
  </si>
  <si>
    <t>IV 205, 92</t>
  </si>
  <si>
    <t>L-1709-175759014</t>
  </si>
  <si>
    <t>IV 205, 93</t>
  </si>
  <si>
    <t>L-1601-159656710</t>
  </si>
  <si>
    <t>IV 205, 94</t>
  </si>
  <si>
    <t>L-1598-159662591</t>
  </si>
  <si>
    <t>99551142X</t>
  </si>
  <si>
    <t>L-1591-163209987</t>
  </si>
  <si>
    <t>IV 205, 94a</t>
  </si>
  <si>
    <t>L-1688-179302159</t>
  </si>
  <si>
    <t>IV 205, 95</t>
  </si>
  <si>
    <t>L-1691-179302590</t>
  </si>
  <si>
    <t>IV 205, 95a</t>
  </si>
  <si>
    <t>L-1683-167641786</t>
  </si>
  <si>
    <t>99916791X</t>
  </si>
  <si>
    <t>IV 205, 96</t>
  </si>
  <si>
    <t>L-1689-173822339</t>
  </si>
  <si>
    <t>100120994X</t>
  </si>
  <si>
    <t>L-1717-174000960</t>
  </si>
  <si>
    <t>IV 205, 97</t>
  </si>
  <si>
    <t>L-1715-180417770</t>
  </si>
  <si>
    <t>L-1718-166901865</t>
  </si>
  <si>
    <t>01191811X</t>
  </si>
  <si>
    <t>L-1698-178921696</t>
  </si>
  <si>
    <t>IV 205, 98</t>
  </si>
  <si>
    <t>L-1698-178920908</t>
  </si>
  <si>
    <t>100317034X</t>
  </si>
  <si>
    <t>L-1712-179406663</t>
  </si>
  <si>
    <t>IV 205, 98a</t>
  </si>
  <si>
    <t>L-1623-169618757</t>
  </si>
  <si>
    <t>99988722X</t>
  </si>
  <si>
    <t>IV 205, 99</t>
  </si>
  <si>
    <t>L-1647-169619346</t>
  </si>
  <si>
    <t>L-1783-167602691</t>
  </si>
  <si>
    <t>L-1781-167602608</t>
  </si>
  <si>
    <t>L-1788-167602888</t>
  </si>
  <si>
    <t>L-1785-167602799</t>
  </si>
  <si>
    <t>L-1781-167603515</t>
  </si>
  <si>
    <t>L-1783-167603558</t>
  </si>
  <si>
    <t>L-1789-167603582</t>
  </si>
  <si>
    <t>L-1793-155457136</t>
  </si>
  <si>
    <t>IV 205, 9d</t>
  </si>
  <si>
    <t>L-1782-153914416</t>
  </si>
  <si>
    <t>L-1782-153914394</t>
  </si>
  <si>
    <t>99386046X</t>
  </si>
  <si>
    <t>L-1785-154743283</t>
  </si>
  <si>
    <t>IV 205, 9g</t>
  </si>
  <si>
    <t>L-1782-167604104</t>
  </si>
  <si>
    <t>IV 205, 9k</t>
  </si>
  <si>
    <t>L-1736-315295937</t>
  </si>
  <si>
    <t>IV 206, 1</t>
  </si>
  <si>
    <t>L-1571-315487348</t>
  </si>
  <si>
    <t>IV 207, 1</t>
  </si>
  <si>
    <t>L-1621-315465646</t>
  </si>
  <si>
    <t>IV 208, 1</t>
  </si>
  <si>
    <t>L-1703-163895848</t>
  </si>
  <si>
    <t>IV 208, 8k</t>
  </si>
  <si>
    <t>L-1649-31533584X</t>
  </si>
  <si>
    <t>106687817X</t>
  </si>
  <si>
    <t>IV 209, 1</t>
  </si>
  <si>
    <t>L-1683-315461543</t>
  </si>
  <si>
    <t>IV 21, 1</t>
  </si>
  <si>
    <t>L-1755-315455497</t>
  </si>
  <si>
    <t>IV 21, 2</t>
  </si>
  <si>
    <t>L-1757-159674093</t>
  </si>
  <si>
    <t>IV 210 B, 1</t>
  </si>
  <si>
    <t>L-1599-315492945</t>
  </si>
  <si>
    <t>IV 210, 1</t>
  </si>
  <si>
    <t>L-1599-315492104</t>
  </si>
  <si>
    <t>L-1594-315492961</t>
  </si>
  <si>
    <t>IV 211, 1</t>
  </si>
  <si>
    <t>L-1595-315490233</t>
  </si>
  <si>
    <t>IV 211, 2</t>
  </si>
  <si>
    <t>L-1793-169966321</t>
  </si>
  <si>
    <t>IV 211, 3</t>
  </si>
  <si>
    <t>L-1595-315493879</t>
  </si>
  <si>
    <t>IV 212, 2</t>
  </si>
  <si>
    <t>L-1616-315218703</t>
  </si>
  <si>
    <t>IV 213, 1</t>
  </si>
  <si>
    <t>L-1795-153972041</t>
  </si>
  <si>
    <t>IV 213, 2</t>
  </si>
  <si>
    <t>L-1634-315324945</t>
  </si>
  <si>
    <t>IV 214, 1</t>
  </si>
  <si>
    <t>L-1639-315219696</t>
  </si>
  <si>
    <t>IV 214, 3</t>
  </si>
  <si>
    <t>L-1674-315196319</t>
  </si>
  <si>
    <t>106677403X</t>
  </si>
  <si>
    <t>IV 214, 4</t>
  </si>
  <si>
    <t>L-1797-175191875</t>
  </si>
  <si>
    <t>IV 215 A, 1</t>
  </si>
  <si>
    <t>L-1779-176907599</t>
  </si>
  <si>
    <t>IV 215 C, 1</t>
  </si>
  <si>
    <t>L-1780-17690669X</t>
  </si>
  <si>
    <t>IV 215 C, 2</t>
  </si>
  <si>
    <t>L-1761-163591458</t>
  </si>
  <si>
    <t>IV 215 C, 3</t>
  </si>
  <si>
    <t>L-1789-167382616</t>
  </si>
  <si>
    <t>L-1789-167382454</t>
  </si>
  <si>
    <t>L-1789-167382675</t>
  </si>
  <si>
    <t>L-1789-167382543</t>
  </si>
  <si>
    <t>L-1781-154112488</t>
  </si>
  <si>
    <t>L-1752-162846339</t>
  </si>
  <si>
    <t>IV 215 E, 1</t>
  </si>
  <si>
    <t>L-1571-315331283</t>
  </si>
  <si>
    <t>106687347X</t>
  </si>
  <si>
    <t>IV 215, 1</t>
  </si>
  <si>
    <t>L-1742-315461675</t>
  </si>
  <si>
    <t>IV 215, 2</t>
  </si>
  <si>
    <t>L-1780-154309273</t>
  </si>
  <si>
    <t>99402777X</t>
  </si>
  <si>
    <t>IV 215, 3</t>
  </si>
  <si>
    <t>L-1790-315460237</t>
  </si>
  <si>
    <t>IV 215, 4</t>
  </si>
  <si>
    <t>L-1612-315208139</t>
  </si>
  <si>
    <t>IV 216, 1</t>
  </si>
  <si>
    <t>L-1775-315218681</t>
  </si>
  <si>
    <t>IV 216, 10</t>
  </si>
  <si>
    <t>L-1752-15604532X</t>
  </si>
  <si>
    <t>01948139X</t>
  </si>
  <si>
    <t>IV 216, 11</t>
  </si>
  <si>
    <t>L-1814-175169489</t>
  </si>
  <si>
    <t>IV 216, 12</t>
  </si>
  <si>
    <t>L-1757-315466286</t>
  </si>
  <si>
    <t>IV 216, 13</t>
  </si>
  <si>
    <t>L-1775-167837362</t>
  </si>
  <si>
    <t>IV 216, 14</t>
  </si>
  <si>
    <t>L-1775-167837435</t>
  </si>
  <si>
    <t>L-1687-175504199</t>
  </si>
  <si>
    <t>IV 216, 15</t>
  </si>
  <si>
    <t>L-1789-167839101</t>
  </si>
  <si>
    <t>IV 216, 16</t>
  </si>
  <si>
    <t>L-1717-167078402</t>
  </si>
  <si>
    <t>IV 216, 17</t>
  </si>
  <si>
    <t>L-1700-167049933</t>
  </si>
  <si>
    <t>IV 216, 18</t>
  </si>
  <si>
    <t>L-1731-167836935</t>
  </si>
  <si>
    <t>IV 216, 19</t>
  </si>
  <si>
    <t>L-1731-167836994</t>
  </si>
  <si>
    <t>L-1731-153708840</t>
  </si>
  <si>
    <t>L-1730-153708794</t>
  </si>
  <si>
    <t>IV 216, 19 a</t>
  </si>
  <si>
    <t>L-1730-167836757</t>
  </si>
  <si>
    <t>L-1687-315465344</t>
  </si>
  <si>
    <t>IV 216, 2</t>
  </si>
  <si>
    <t>L-1771-169495043</t>
  </si>
  <si>
    <t>IV 216, 20</t>
  </si>
  <si>
    <t>L-1771-169494942</t>
  </si>
  <si>
    <t>L-1795-181770997</t>
  </si>
  <si>
    <t>IV 216, 21</t>
  </si>
  <si>
    <t>L-1795-181771063</t>
  </si>
  <si>
    <t>L-1796-178722138</t>
  </si>
  <si>
    <t>IV 216, 22</t>
  </si>
  <si>
    <t>L-1799-180357298</t>
  </si>
  <si>
    <t>IV 216, 23</t>
  </si>
  <si>
    <t>L-1758-156396971</t>
  </si>
  <si>
    <t>IV 216, 24</t>
  </si>
  <si>
    <t>L-1758-156397021</t>
  </si>
  <si>
    <t>L-1758-156397005</t>
  </si>
  <si>
    <t>L-1758-156396998</t>
  </si>
  <si>
    <t>L-1758-15639698X</t>
  </si>
  <si>
    <t>L-1758-15639703X</t>
  </si>
  <si>
    <t>L-1787-17005313X</t>
  </si>
  <si>
    <t>IV 216, 24 a</t>
  </si>
  <si>
    <t>L-1683-175760713</t>
  </si>
  <si>
    <t>IV 216, 25</t>
  </si>
  <si>
    <t>L-1798-156875616</t>
  </si>
  <si>
    <t>IV 216, 26</t>
  </si>
  <si>
    <t>L-1798-156875586</t>
  </si>
  <si>
    <t>L-1746-177162783</t>
  </si>
  <si>
    <t>IV 216, 27</t>
  </si>
  <si>
    <t>L-1638-167826182</t>
  </si>
  <si>
    <t>IV 216, 28</t>
  </si>
  <si>
    <t>L-1685-154385352</t>
  </si>
  <si>
    <t>L-1716-171821300</t>
  </si>
  <si>
    <t>IV 216, 29</t>
  </si>
  <si>
    <t>L-1737-406973148</t>
  </si>
  <si>
    <t>IV 216, 3</t>
  </si>
  <si>
    <t>L-1738-406973156</t>
  </si>
  <si>
    <t>L-1791-156067196</t>
  </si>
  <si>
    <t>IV 216, 30</t>
  </si>
  <si>
    <t>L-1718-162909349</t>
  </si>
  <si>
    <t>IV 216, 31</t>
  </si>
  <si>
    <t>L-1670-154472050</t>
  </si>
  <si>
    <t>IV 216, 32</t>
  </si>
  <si>
    <t>L-1744-153915145</t>
  </si>
  <si>
    <t>IV 216, 33</t>
  </si>
  <si>
    <t>L-1744-153915099</t>
  </si>
  <si>
    <t>L-1797-177163836</t>
  </si>
  <si>
    <t>IV 216, 34</t>
  </si>
  <si>
    <t>L-1800-155607251</t>
  </si>
  <si>
    <t>IV 216, 35</t>
  </si>
  <si>
    <t>L-1597-156023407</t>
  </si>
  <si>
    <t>IV 216, 36</t>
  </si>
  <si>
    <t>L-1777-157789802</t>
  </si>
  <si>
    <t>IV 216, 37</t>
  </si>
  <si>
    <t>L-1787-180357867</t>
  </si>
  <si>
    <t>IV 216, 38</t>
  </si>
  <si>
    <t>L-1787-180357727</t>
  </si>
  <si>
    <t>L-1787-18035809X</t>
  </si>
  <si>
    <t>L-1792-170178129</t>
  </si>
  <si>
    <t>IV 216, 39</t>
  </si>
  <si>
    <t>L-1733-315465808</t>
  </si>
  <si>
    <t>IV 216, 4</t>
  </si>
  <si>
    <t>L-1721-153708433</t>
  </si>
  <si>
    <t>L-1721-153708565</t>
  </si>
  <si>
    <t>L-1721-15370845X</t>
  </si>
  <si>
    <t>L-1721-153708344</t>
  </si>
  <si>
    <t>L-1752-167838237</t>
  </si>
  <si>
    <t>IV 216, 4 b</t>
  </si>
  <si>
    <t>L-1790-166132942</t>
  </si>
  <si>
    <t>IV 216, 40</t>
  </si>
  <si>
    <t>L-1790-166133019</t>
  </si>
  <si>
    <t>L-9999-159297605</t>
  </si>
  <si>
    <t>IV 216, 41</t>
  </si>
  <si>
    <t>L-1689-162614403</t>
  </si>
  <si>
    <t>L-1796-156396823</t>
  </si>
  <si>
    <t>L-1794-156396807</t>
  </si>
  <si>
    <t>L-1743-170183246</t>
  </si>
  <si>
    <t>IV 216, 43</t>
  </si>
  <si>
    <t>L-1747-155346318</t>
  </si>
  <si>
    <t>L-1774-167078674</t>
  </si>
  <si>
    <t>IV 216, 44</t>
  </si>
  <si>
    <t>L-1774-167078631</t>
  </si>
  <si>
    <t>L-1675-168289768</t>
  </si>
  <si>
    <t>IV 216, 45</t>
  </si>
  <si>
    <t>L-1729-157567907</t>
  </si>
  <si>
    <t>IV 216, 46</t>
  </si>
  <si>
    <t>L-1772-161346243</t>
  </si>
  <si>
    <t>99592600X</t>
  </si>
  <si>
    <t>IV 216, 47</t>
  </si>
  <si>
    <t>L-1719-158797485</t>
  </si>
  <si>
    <t>IV 216, 49</t>
  </si>
  <si>
    <t>L-1760-175846677</t>
  </si>
  <si>
    <t>100191810X</t>
  </si>
  <si>
    <t>IV 216, 4c</t>
  </si>
  <si>
    <t>L-1760-175846502</t>
  </si>
  <si>
    <t>L-1745-406960232</t>
  </si>
  <si>
    <t>IV 216, 5</t>
  </si>
  <si>
    <t>L-1745-406960240</t>
  </si>
  <si>
    <t>L-1743-406960208</t>
  </si>
  <si>
    <t>L-1751-170044793</t>
  </si>
  <si>
    <t>IV 216, 5 a</t>
  </si>
  <si>
    <t>L-1751-170045382</t>
  </si>
  <si>
    <t>L-1751-17004484X</t>
  </si>
  <si>
    <t>L-1751-170045137</t>
  </si>
  <si>
    <t>L-1751-170045366</t>
  </si>
  <si>
    <t>L-1751-170045412</t>
  </si>
  <si>
    <t>L-1751-170045269</t>
  </si>
  <si>
    <t>L-1751-170045323</t>
  </si>
  <si>
    <t>L-1751-170045242</t>
  </si>
  <si>
    <t>L-1737-175075727</t>
  </si>
  <si>
    <t>IV 216, 50</t>
  </si>
  <si>
    <t>L-1738-175075573</t>
  </si>
  <si>
    <t>100154109X</t>
  </si>
  <si>
    <t>L-1765-165444908</t>
  </si>
  <si>
    <t>IV 216, 51</t>
  </si>
  <si>
    <t>L-1783-166131482</t>
  </si>
  <si>
    <t>IV 216, 52</t>
  </si>
  <si>
    <t>L-1678-163410992</t>
  </si>
  <si>
    <t>IV 216, 53</t>
  </si>
  <si>
    <t>L-1694-167247123</t>
  </si>
  <si>
    <t>L-2008-315191</t>
  </si>
  <si>
    <t>IV 216, 54</t>
  </si>
  <si>
    <t>L-2018-302052</t>
  </si>
  <si>
    <t>IV 216, 55 - 1</t>
  </si>
  <si>
    <t>L-2018-302053</t>
  </si>
  <si>
    <t>IV 216, 55 - 2</t>
  </si>
  <si>
    <t>L-2018-334917</t>
  </si>
  <si>
    <t>IV 216, 56</t>
  </si>
  <si>
    <t>L-2019-302110</t>
  </si>
  <si>
    <t>IV 216, 57 - 1</t>
  </si>
  <si>
    <t>L-2019-302111</t>
  </si>
  <si>
    <t>IV 216, 57 - 2</t>
  </si>
  <si>
    <t>L-2019-302112</t>
  </si>
  <si>
    <t>117921790X</t>
  </si>
  <si>
    <t>IV 216, 58</t>
  </si>
  <si>
    <t>L-1750-177905662</t>
  </si>
  <si>
    <t>IV 216, 5b</t>
  </si>
  <si>
    <t>L-1750-177905824</t>
  </si>
  <si>
    <t>100273374X</t>
  </si>
  <si>
    <t>L-1789-406972400</t>
  </si>
  <si>
    <t>IV 216, 6</t>
  </si>
  <si>
    <t>L-1789-406972397</t>
  </si>
  <si>
    <t>L-1789-406972427</t>
  </si>
  <si>
    <t>L-1789-406972370</t>
  </si>
  <si>
    <t>L-1789-406972389</t>
  </si>
  <si>
    <t>L-1789-406972419</t>
  </si>
  <si>
    <t>L-1789-406972362</t>
  </si>
  <si>
    <t>L-1796-315219637</t>
  </si>
  <si>
    <t>IV 216, 7</t>
  </si>
  <si>
    <t>L-1800-40697120X</t>
  </si>
  <si>
    <t>IV 216, 8</t>
  </si>
  <si>
    <t>L-1800-406971196</t>
  </si>
  <si>
    <t>L-1790-315297166</t>
  </si>
  <si>
    <t>IV 216, 9</t>
  </si>
  <si>
    <t>L-1644-315316705</t>
  </si>
  <si>
    <t>IV 217, 1</t>
  </si>
  <si>
    <t>L-1619-315462132</t>
  </si>
  <si>
    <t>106693410X</t>
  </si>
  <si>
    <t>IV 218, 1</t>
  </si>
  <si>
    <t>L-1598-154528749</t>
  </si>
  <si>
    <t>IV 219, 1</t>
  </si>
  <si>
    <t>L-1622-406959676</t>
  </si>
  <si>
    <t>IV 22, 1</t>
  </si>
  <si>
    <t>L-1621-406959668</t>
  </si>
  <si>
    <t>L-1719-315465301</t>
  </si>
  <si>
    <t>IV 220, 1</t>
  </si>
  <si>
    <t>L-1584-315492562</t>
  </si>
  <si>
    <t>IV 221, 1</t>
  </si>
  <si>
    <t>L-1586-315494611</t>
  </si>
  <si>
    <t>IV 221, 2</t>
  </si>
  <si>
    <t>L-1646-315207779</t>
  </si>
  <si>
    <t>IV 221, 3</t>
  </si>
  <si>
    <t>L-1611-315299622</t>
  </si>
  <si>
    <t>IV 221, 4</t>
  </si>
  <si>
    <t>L-1762-161365124</t>
  </si>
  <si>
    <t>IV 221, 5</t>
  </si>
  <si>
    <t>L-1763-173926053</t>
  </si>
  <si>
    <t>L-1763-170180573</t>
  </si>
  <si>
    <t>L-1754-16190422X</t>
  </si>
  <si>
    <t>L-1754-159409918</t>
  </si>
  <si>
    <t>L-1795-16338150X</t>
  </si>
  <si>
    <t>IV 221, 6</t>
  </si>
  <si>
    <t>L-2011-308917</t>
  </si>
  <si>
    <t>IV 221, 7</t>
  </si>
  <si>
    <t>L-1652-315328827</t>
  </si>
  <si>
    <t>IV 222, 1</t>
  </si>
  <si>
    <t>L-1651-670405744</t>
  </si>
  <si>
    <t>IV 222, 1 (1. angebundenes Werk)</t>
  </si>
  <si>
    <t>L-1651-671051180</t>
  </si>
  <si>
    <t>IV 222, 1 (2. angebundenes Werk)</t>
  </si>
  <si>
    <t>L-1715-172071186</t>
  </si>
  <si>
    <t>IV 222, 10</t>
  </si>
  <si>
    <t>L-1715-172071356</t>
  </si>
  <si>
    <t>L-1715-172071496</t>
  </si>
  <si>
    <t>L-1754-167189867</t>
  </si>
  <si>
    <t>IV 222, 11</t>
  </si>
  <si>
    <t>L-1697-154994928</t>
  </si>
  <si>
    <t>IV 222, 12</t>
  </si>
  <si>
    <t>L-1650-165268239</t>
  </si>
  <si>
    <t>IV 222, 13</t>
  </si>
  <si>
    <t>L-1711-315465026</t>
  </si>
  <si>
    <t>IV 222, 2</t>
  </si>
  <si>
    <t>L-9999-406973466</t>
  </si>
  <si>
    <t>IV 222, 2 a</t>
  </si>
  <si>
    <t>L-9999-406973458</t>
  </si>
  <si>
    <t>113265808X</t>
  </si>
  <si>
    <t>L-1650-31517806X</t>
  </si>
  <si>
    <t>IV 222, 3</t>
  </si>
  <si>
    <t>L-1695-315212152</t>
  </si>
  <si>
    <t>IV 222, 4</t>
  </si>
  <si>
    <t>L-1617-15472209X</t>
  </si>
  <si>
    <t>IV 222, 5</t>
  </si>
  <si>
    <t>L-1617-154722154</t>
  </si>
  <si>
    <t>L-1617-154722235</t>
  </si>
  <si>
    <t>L-1672-154726273</t>
  </si>
  <si>
    <t>IV 222, 6</t>
  </si>
  <si>
    <t>L-1654-154725005</t>
  </si>
  <si>
    <t>IV 222, 6 a</t>
  </si>
  <si>
    <t>L-1720-177022787</t>
  </si>
  <si>
    <t>IV 222, 7</t>
  </si>
  <si>
    <t>L-1746-177478098</t>
  </si>
  <si>
    <t>IV 222, 8</t>
  </si>
  <si>
    <t>L-1746-16793659X</t>
  </si>
  <si>
    <t>L-1746-177478004</t>
  </si>
  <si>
    <t>L-1675-154738735</t>
  </si>
  <si>
    <t>IV 222, 9</t>
  </si>
  <si>
    <t>L-1675-154738832</t>
  </si>
  <si>
    <t>L-1675-154738972</t>
  </si>
  <si>
    <t>L-1643-306822784</t>
  </si>
  <si>
    <t>IV 223, 1</t>
  </si>
  <si>
    <t>L-1643-678835020</t>
  </si>
  <si>
    <t>IV 223, 1 (1. angebundenes Werk)</t>
  </si>
  <si>
    <t>L-1686-315324058</t>
  </si>
  <si>
    <t>IV 224, 1</t>
  </si>
  <si>
    <t>L-1752-166460524</t>
  </si>
  <si>
    <t>IV 225 B, 1</t>
  </si>
  <si>
    <t>L-1753-175310157</t>
  </si>
  <si>
    <t>IV 225 B, 1a</t>
  </si>
  <si>
    <t>L-1783-177910038</t>
  </si>
  <si>
    <t>L-1783-177910046</t>
  </si>
  <si>
    <t>L-1579-315177977</t>
  </si>
  <si>
    <t>IV 225, 1</t>
  </si>
  <si>
    <t>L-1627-315468556</t>
  </si>
  <si>
    <t>IV 225, 2</t>
  </si>
  <si>
    <t>L-1776-162357435</t>
  </si>
  <si>
    <t>IV 226 B, 1</t>
  </si>
  <si>
    <t>L-1776-162357516</t>
  </si>
  <si>
    <t>L-1790-160433983</t>
  </si>
  <si>
    <t>IV 226 B, 2</t>
  </si>
  <si>
    <t>L-1578-406968985</t>
  </si>
  <si>
    <t>IV 226, 1</t>
  </si>
  <si>
    <t>L-1578-406968993</t>
  </si>
  <si>
    <t>L-1573-175970653</t>
  </si>
  <si>
    <t>IV 226, 10</t>
  </si>
  <si>
    <t>L-1573-175970580</t>
  </si>
  <si>
    <t>L-1574-156067285</t>
  </si>
  <si>
    <t>IV 226, 11</t>
  </si>
  <si>
    <t>L-1574-170616576</t>
  </si>
  <si>
    <t>L-1574-170616665</t>
  </si>
  <si>
    <t>L-1615-153946210</t>
  </si>
  <si>
    <t>IV 226, 12</t>
  </si>
  <si>
    <t>L-1615-153946350</t>
  </si>
  <si>
    <t>L-1604-178821810</t>
  </si>
  <si>
    <t>IV 226, 13</t>
  </si>
  <si>
    <t>L-1604-156638053</t>
  </si>
  <si>
    <t>L-1604-156637456</t>
  </si>
  <si>
    <t>L-2015-317298</t>
  </si>
  <si>
    <t>IV 226, 14</t>
  </si>
  <si>
    <t>L-1588-315468645</t>
  </si>
  <si>
    <t>IV 226, 2</t>
  </si>
  <si>
    <t>L-1592-31546853X</t>
  </si>
  <si>
    <t>IV 226, 3</t>
  </si>
  <si>
    <t>L-1672-315306831</t>
  </si>
  <si>
    <t>IV 226, 4</t>
  </si>
  <si>
    <t>L-1706-176765417</t>
  </si>
  <si>
    <t>IV 226, 6</t>
  </si>
  <si>
    <t>L-1706-176765786</t>
  </si>
  <si>
    <t>L-1595-155924788</t>
  </si>
  <si>
    <t>IV 226, 7</t>
  </si>
  <si>
    <t>L-1626-168583771</t>
  </si>
  <si>
    <t>99959222X</t>
  </si>
  <si>
    <t>IV 226, 8</t>
  </si>
  <si>
    <t>L-1732-166225436</t>
  </si>
  <si>
    <t>IV 226, 9</t>
  </si>
  <si>
    <t>L-1567-154741019</t>
  </si>
  <si>
    <t>IV 226, 9 a</t>
  </si>
  <si>
    <t>L-1713-315179384</t>
  </si>
  <si>
    <t>L-1575-315323396</t>
  </si>
  <si>
    <t>IV 227, 1</t>
  </si>
  <si>
    <t>L-1595-31529776X</t>
  </si>
  <si>
    <t>106683766X</t>
  </si>
  <si>
    <t>IV 228, 1</t>
  </si>
  <si>
    <t>L-1779-164466479</t>
  </si>
  <si>
    <t>IV 228, 10</t>
  </si>
  <si>
    <t>L-1595-31530118X</t>
  </si>
  <si>
    <t>IV 228, 2</t>
  </si>
  <si>
    <t>L-1591-315201193</t>
  </si>
  <si>
    <t>IV 228, 3</t>
  </si>
  <si>
    <t>L-1772-315208503</t>
  </si>
  <si>
    <t>IV 228, 4</t>
  </si>
  <si>
    <t>L-1780-406971536</t>
  </si>
  <si>
    <t>IV 228, 5</t>
  </si>
  <si>
    <t>L-1780-40697151X</t>
  </si>
  <si>
    <t>L-1780-406971544</t>
  </si>
  <si>
    <t>L-1780-406971528</t>
  </si>
  <si>
    <t>L-1784-31507311X</t>
  </si>
  <si>
    <t>IV 228, 6</t>
  </si>
  <si>
    <t>L-1754-315468262</t>
  </si>
  <si>
    <t>IV 228, 7</t>
  </si>
  <si>
    <t>L-1630-177568968</t>
  </si>
  <si>
    <t>IV 228, 8</t>
  </si>
  <si>
    <t>L-1657-169893596</t>
  </si>
  <si>
    <t>IV 229 B, 1</t>
  </si>
  <si>
    <t>L-1573-315491094</t>
  </si>
  <si>
    <t>IV 229, 1</t>
  </si>
  <si>
    <t>L-1618-170889327</t>
  </si>
  <si>
    <t>IV 229, 1 b</t>
  </si>
  <si>
    <t>L-1585-155603396</t>
  </si>
  <si>
    <t>IV 229, 1a</t>
  </si>
  <si>
    <t>L-1585-155603353</t>
  </si>
  <si>
    <t>99440204X</t>
  </si>
  <si>
    <t>L-1585-155603329</t>
  </si>
  <si>
    <t>L-1585-155603310</t>
  </si>
  <si>
    <t>L-1585-175482160</t>
  </si>
  <si>
    <t>L-1586-315493933</t>
  </si>
  <si>
    <t>106696369X</t>
  </si>
  <si>
    <t>IV 229, 2</t>
  </si>
  <si>
    <t>L-1713-160995779</t>
  </si>
  <si>
    <t>IV 229, 3</t>
  </si>
  <si>
    <t>L-1734-174968655</t>
  </si>
  <si>
    <t>IV 229, 4</t>
  </si>
  <si>
    <t>L-1601-166758493</t>
  </si>
  <si>
    <t>IV 229, 5</t>
  </si>
  <si>
    <t>L-1589-170019683</t>
  </si>
  <si>
    <t>IV 229, 5a</t>
  </si>
  <si>
    <t>L-1609-175450161</t>
  </si>
  <si>
    <t>IV 229, 6</t>
  </si>
  <si>
    <t>L-1613-175450226</t>
  </si>
  <si>
    <t>L-1609-175449880</t>
  </si>
  <si>
    <t>L-1609-175450099</t>
  </si>
  <si>
    <t>L-1675-155915320</t>
  </si>
  <si>
    <t>IV 229, 7</t>
  </si>
  <si>
    <t>L-1677-160503094</t>
  </si>
  <si>
    <t>L-1677-163900949</t>
  </si>
  <si>
    <t>L-1672-162142005</t>
  </si>
  <si>
    <t>L-1689-406944164</t>
  </si>
  <si>
    <t>IV 229, 7 a</t>
  </si>
  <si>
    <t>L-1692-406944156</t>
  </si>
  <si>
    <t>L-1794-315328673</t>
  </si>
  <si>
    <t>IV 23, 1</t>
  </si>
  <si>
    <t>L-1776-166256544</t>
  </si>
  <si>
    <t>IV 23, 2</t>
  </si>
  <si>
    <t>L-2019-302427</t>
  </si>
  <si>
    <t>L-2019-302428</t>
  </si>
  <si>
    <t>IV 23, 4</t>
  </si>
  <si>
    <t>L-1599-315331887</t>
  </si>
  <si>
    <t>IV 230, 1</t>
  </si>
  <si>
    <t>L-1615-31519314X</t>
  </si>
  <si>
    <t>IV 230, 2</t>
  </si>
  <si>
    <t>L-1603-164450106</t>
  </si>
  <si>
    <t>IV 230, 2 a</t>
  </si>
  <si>
    <t>L-1666-406948704</t>
  </si>
  <si>
    <t>IV 230, 3</t>
  </si>
  <si>
    <t>L-1667-406948712</t>
  </si>
  <si>
    <t>L-1671-155918001</t>
  </si>
  <si>
    <t>IV 230, 4</t>
  </si>
  <si>
    <t>L-1697-155917676</t>
  </si>
  <si>
    <t>IV 230, 5</t>
  </si>
  <si>
    <t>L-1799-163042926</t>
  </si>
  <si>
    <t>IV 230, 6</t>
  </si>
  <si>
    <t>L-1589-177109211</t>
  </si>
  <si>
    <t>IV 230, 7</t>
  </si>
  <si>
    <t>L-1589-155606395</t>
  </si>
  <si>
    <t>L-1588-155606271</t>
  </si>
  <si>
    <t>L-1590-177116382</t>
  </si>
  <si>
    <t>100238530X</t>
  </si>
  <si>
    <t>L-1589-154067431</t>
  </si>
  <si>
    <t>99394471X</t>
  </si>
  <si>
    <t>L-1590-166612251</t>
  </si>
  <si>
    <t>L-1588-177114045</t>
  </si>
  <si>
    <t>L-1590-167030868</t>
  </si>
  <si>
    <t>L-1680-315320893</t>
  </si>
  <si>
    <t>IV 231, 1</t>
  </si>
  <si>
    <t>L-1609-315306343</t>
  </si>
  <si>
    <t>IV 232, 1</t>
  </si>
  <si>
    <t>L-1775-168445913</t>
  </si>
  <si>
    <t>IV 232, 2</t>
  </si>
  <si>
    <t>L-1775-155385305</t>
  </si>
  <si>
    <t>L-1784-168342464</t>
  </si>
  <si>
    <t>IV 232, 2 a</t>
  </si>
  <si>
    <t>L-1799-172908671</t>
  </si>
  <si>
    <t>100109994X</t>
  </si>
  <si>
    <t>IV 232, 3 a3</t>
  </si>
  <si>
    <t>L-1787-167555324</t>
  </si>
  <si>
    <t>IV 232, 4</t>
  </si>
  <si>
    <t>L-1779-171324749</t>
  </si>
  <si>
    <t>IV 232, 5</t>
  </si>
  <si>
    <t>L-1781-164536663</t>
  </si>
  <si>
    <t>IV 232, 6</t>
  </si>
  <si>
    <t>L-1780-169770079</t>
  </si>
  <si>
    <t>L-1582-315201134</t>
  </si>
  <si>
    <t>IV 233, 1</t>
  </si>
  <si>
    <t>L-1578-315492694</t>
  </si>
  <si>
    <t>IV 234, 1</t>
  </si>
  <si>
    <t>L-1595-414988272</t>
  </si>
  <si>
    <t>IV 234, 2</t>
  </si>
  <si>
    <t>L-1595-414988345</t>
  </si>
  <si>
    <t>L-1595-414988337</t>
  </si>
  <si>
    <t>L-1596-674512480</t>
  </si>
  <si>
    <t>IV 234, 2 (1. angebundenes Werk)</t>
  </si>
  <si>
    <t>L-1792-167748858</t>
  </si>
  <si>
    <t>IV 234, 3</t>
  </si>
  <si>
    <t>L-1787-163988897</t>
  </si>
  <si>
    <t>IV 234, 4</t>
  </si>
  <si>
    <t>L-1697-31546805X</t>
  </si>
  <si>
    <t>IV 235, 1</t>
  </si>
  <si>
    <t>L-1770-315188006</t>
  </si>
  <si>
    <t>IV 236, 1</t>
  </si>
  <si>
    <t>L-1689-315210583</t>
  </si>
  <si>
    <t>IV 237, 1</t>
  </si>
  <si>
    <t>L-1675-168579448</t>
  </si>
  <si>
    <t>IV 238 B, 1</t>
  </si>
  <si>
    <t>L-1763-166748471</t>
  </si>
  <si>
    <t>IV 238 C, 1</t>
  </si>
  <si>
    <t>L-1522-315469595</t>
  </si>
  <si>
    <t>IV 238, 1</t>
  </si>
  <si>
    <t>L-1743-315207280</t>
  </si>
  <si>
    <t>IV 239, 1</t>
  </si>
  <si>
    <t>L-1574-315328916</t>
  </si>
  <si>
    <t>106687106X</t>
  </si>
  <si>
    <t>IV 24, 1</t>
  </si>
  <si>
    <t>L-1614-315301406</t>
  </si>
  <si>
    <t>106684156X</t>
  </si>
  <si>
    <t>IV 24, 2</t>
  </si>
  <si>
    <t>L-1730-315080086</t>
  </si>
  <si>
    <t>IV 240, 1</t>
  </si>
  <si>
    <t>L-1685-315469684</t>
  </si>
  <si>
    <t>IV 241, 1</t>
  </si>
  <si>
    <t>L-2012-309158</t>
  </si>
  <si>
    <t>IV 241, 2</t>
  </si>
  <si>
    <t>L-1639-315065362</t>
  </si>
  <si>
    <t>L-1649-315197366</t>
  </si>
  <si>
    <t>IV 242, 1</t>
  </si>
  <si>
    <t>L-1597-315465395</t>
  </si>
  <si>
    <t>IV 243, 1</t>
  </si>
  <si>
    <t>L-1653-315461454</t>
  </si>
  <si>
    <t>IV 244, 1</t>
  </si>
  <si>
    <t>L-1653-67070914X</t>
  </si>
  <si>
    <t>IV 244, 1 (1. angebundenes Werk)</t>
  </si>
  <si>
    <t>L-1661-67070900X</t>
  </si>
  <si>
    <t>IV 244, 1 (2. angebundenes Werk)</t>
  </si>
  <si>
    <t>L-1654-670708747</t>
  </si>
  <si>
    <t>IV 244, 1 (3. angebundenes Werk)</t>
  </si>
  <si>
    <t>L-1660-670708542</t>
  </si>
  <si>
    <t>120874142X</t>
  </si>
  <si>
    <t>IV 244, 1 (4. angebundenes Werk)</t>
  </si>
  <si>
    <t>L-2012-309482</t>
  </si>
  <si>
    <t>IV 244, 2</t>
  </si>
  <si>
    <t>L-1761-154718254</t>
  </si>
  <si>
    <t>IV 245 A, 2</t>
  </si>
  <si>
    <t>L-1790-154718432</t>
  </si>
  <si>
    <t>IV 245 A, 3</t>
  </si>
  <si>
    <t>L-1716-154741515</t>
  </si>
  <si>
    <t>IV 245 C, 1</t>
  </si>
  <si>
    <t>L-1716-154741604</t>
  </si>
  <si>
    <t>L-1715-154741655</t>
  </si>
  <si>
    <t>L-1773-169830829</t>
  </si>
  <si>
    <t>L-1715-154741701</t>
  </si>
  <si>
    <t>L-1774-168557452</t>
  </si>
  <si>
    <t>L-1773-162909829</t>
  </si>
  <si>
    <t>IV 245 C, 2</t>
  </si>
  <si>
    <t>L-1767-170172392</t>
  </si>
  <si>
    <t>L-1717-315454911</t>
  </si>
  <si>
    <t>IV 245, 1</t>
  </si>
  <si>
    <t>L-1727-315219645</t>
  </si>
  <si>
    <t>IV 245, 2</t>
  </si>
  <si>
    <t>L-1746-406959250</t>
  </si>
  <si>
    <t>IV 245, 3</t>
  </si>
  <si>
    <t>L-1672-315201487</t>
  </si>
  <si>
    <t>IV 246, 1</t>
  </si>
  <si>
    <t>L-1620-315468084</t>
  </si>
  <si>
    <t>IV 247, 1</t>
  </si>
  <si>
    <t>L-1710-177019719</t>
  </si>
  <si>
    <t>IV 248 C, 1</t>
  </si>
  <si>
    <t>L-1710-177019654</t>
  </si>
  <si>
    <t>100231738X</t>
  </si>
  <si>
    <t>L-1570-31546318X</t>
  </si>
  <si>
    <t>IV 248, 1</t>
  </si>
  <si>
    <t>L-1570-315462604</t>
  </si>
  <si>
    <t>IV 248, 2</t>
  </si>
  <si>
    <t>L-1596-315220406</t>
  </si>
  <si>
    <t>IV 249, 3</t>
  </si>
  <si>
    <t>L-1584-315492449</t>
  </si>
  <si>
    <t>IV 25, 1</t>
  </si>
  <si>
    <t>L-1588-315302895</t>
  </si>
  <si>
    <t>IV 25, 2</t>
  </si>
  <si>
    <t>L-1590-315490721</t>
  </si>
  <si>
    <t>IV 25, 3</t>
  </si>
  <si>
    <t>L-1670-406971102</t>
  </si>
  <si>
    <t>IV 250, 1</t>
  </si>
  <si>
    <t>L-1670-406971110</t>
  </si>
  <si>
    <t>L-1756-154605972</t>
  </si>
  <si>
    <t>IV 250, 91</t>
  </si>
  <si>
    <t>L-1750-315311452</t>
  </si>
  <si>
    <t>IV 251, 1</t>
  </si>
  <si>
    <t>L-1814-158104692</t>
  </si>
  <si>
    <t>IV 252 B, 1</t>
  </si>
  <si>
    <t>L-1814-158104749</t>
  </si>
  <si>
    <t>L-1814-158104625</t>
  </si>
  <si>
    <t>L-1754-170053555</t>
  </si>
  <si>
    <t>IV 252 B, 2</t>
  </si>
  <si>
    <t>L-1702-177024577</t>
  </si>
  <si>
    <t>IV 252 B, 3</t>
  </si>
  <si>
    <t>L-1637-315200189</t>
  </si>
  <si>
    <t>IV 252 B, 4</t>
  </si>
  <si>
    <t>L-1587-154084727</t>
  </si>
  <si>
    <t>IV 252, 1</t>
  </si>
  <si>
    <t>L-1584-154086843</t>
  </si>
  <si>
    <t>L-1595-154087289</t>
  </si>
  <si>
    <t>IV 252, 2</t>
  </si>
  <si>
    <t>L-1596-154084913</t>
  </si>
  <si>
    <t>L-1561-315488425</t>
  </si>
  <si>
    <t>IV 253, 1</t>
  </si>
  <si>
    <t>L-1601-315208031</t>
  </si>
  <si>
    <t>IV 254, 1</t>
  </si>
  <si>
    <t>L-1680-177056630</t>
  </si>
  <si>
    <t>IV 255 A, 1</t>
  </si>
  <si>
    <t>L-1733-315323221</t>
  </si>
  <si>
    <t>IV 255 A, 2 - 3</t>
  </si>
  <si>
    <t>L-1628-158245784</t>
  </si>
  <si>
    <t>IV 255 A, 4</t>
  </si>
  <si>
    <t>L-1614-165088354</t>
  </si>
  <si>
    <t>IV 255 A, 5</t>
  </si>
  <si>
    <t>L-1614-165088427</t>
  </si>
  <si>
    <t>L-1705-15460707X</t>
  </si>
  <si>
    <t>IV 255, 1</t>
  </si>
  <si>
    <t>L-1569-31549302X</t>
  </si>
  <si>
    <t>IV 256, 1</t>
  </si>
  <si>
    <t>L-1570-670547336</t>
  </si>
  <si>
    <t>IV 256, 1 (1. angebundenes Werk)</t>
  </si>
  <si>
    <t>L-1786-157884244</t>
  </si>
  <si>
    <t>IV 256, 3</t>
  </si>
  <si>
    <t>L-1786-175364753</t>
  </si>
  <si>
    <t>IV 256, 4</t>
  </si>
  <si>
    <t>L-1712-153947993</t>
  </si>
  <si>
    <t>IV 256, 5</t>
  </si>
  <si>
    <t>L-1702-315468181</t>
  </si>
  <si>
    <t>IV 257, 1</t>
  </si>
  <si>
    <t>L-1770-17720513X</t>
  </si>
  <si>
    <t>IV 258 B, 1</t>
  </si>
  <si>
    <t>L-1767-17429087X</t>
  </si>
  <si>
    <t>L-1767-177379588</t>
  </si>
  <si>
    <t>L-1773-315296003</t>
  </si>
  <si>
    <t>IV 258, 1</t>
  </si>
  <si>
    <t>L-1773-315295996</t>
  </si>
  <si>
    <t>IV 258, 1 a</t>
  </si>
  <si>
    <t>L-2017-322060</t>
  </si>
  <si>
    <t>IV 259, [6]</t>
  </si>
  <si>
    <t>L-1563-315323779</t>
  </si>
  <si>
    <t>IV 259, 1</t>
  </si>
  <si>
    <t>L-1572-315200200</t>
  </si>
  <si>
    <t>IV 259, 2</t>
  </si>
  <si>
    <t>L-1692-315199253</t>
  </si>
  <si>
    <t>IV 259, 3</t>
  </si>
  <si>
    <t>L-1693-670537225</t>
  </si>
  <si>
    <t>IV 259, 3 (1. angebundenes Werk)</t>
  </si>
  <si>
    <t>L-1765-169923274</t>
  </si>
  <si>
    <t>IV 259, 4</t>
  </si>
  <si>
    <t>L-1755-154044199</t>
  </si>
  <si>
    <t>L-1760-169923088</t>
  </si>
  <si>
    <t>L-1776-154044083</t>
  </si>
  <si>
    <t>L-1757-169923037</t>
  </si>
  <si>
    <t>L-1762-169923185</t>
  </si>
  <si>
    <t>100004887X</t>
  </si>
  <si>
    <t>L-1660-175195625</t>
  </si>
  <si>
    <t>100160363X</t>
  </si>
  <si>
    <t>IV 259, 5</t>
  </si>
  <si>
    <t>L-1660-16622894X</t>
  </si>
  <si>
    <t>L-1660-17531408X</t>
  </si>
  <si>
    <t>L-1609-315469552</t>
  </si>
  <si>
    <t>IV 26, 1</t>
  </si>
  <si>
    <t>L-1612-315463244</t>
  </si>
  <si>
    <t>IV 260, 1</t>
  </si>
  <si>
    <t>L-1627-315469080</t>
  </si>
  <si>
    <t>IV 260, 2</t>
  </si>
  <si>
    <t>L-1661-167052268</t>
  </si>
  <si>
    <t>IV 260, 3</t>
  </si>
  <si>
    <t>L-2015-317285</t>
  </si>
  <si>
    <t>IV 260, 4</t>
  </si>
  <si>
    <t>107018053X</t>
  </si>
  <si>
    <t>L-1772-315454237</t>
  </si>
  <si>
    <t>IV 261, 1</t>
  </si>
  <si>
    <t>L-1795-31533858X</t>
  </si>
  <si>
    <t>106688109X</t>
  </si>
  <si>
    <t>IV 262, 1</t>
  </si>
  <si>
    <t>L-1699-315216662</t>
  </si>
  <si>
    <t>106679622X</t>
  </si>
  <si>
    <t>IV 263, 1</t>
  </si>
  <si>
    <t>L-1674-315322454</t>
  </si>
  <si>
    <t>IV 264, 1</t>
  </si>
  <si>
    <t>L-1695-315296844</t>
  </si>
  <si>
    <t>IV 265, 1</t>
  </si>
  <si>
    <t>L-1695-66783009X</t>
  </si>
  <si>
    <t>IV 265, 1 (1. angebundenes Werk)</t>
  </si>
  <si>
    <t>L-1578-315310928</t>
  </si>
  <si>
    <t>IV 266, 1</t>
  </si>
  <si>
    <t>L-1846-432630317</t>
  </si>
  <si>
    <t>IV 267 A, 1</t>
  </si>
  <si>
    <t>L-1581-315493151</t>
  </si>
  <si>
    <t>IV 267, 1</t>
  </si>
  <si>
    <t>L-1579-679447350</t>
  </si>
  <si>
    <t>IV 267, 1 (1.angebundenes Werk)</t>
  </si>
  <si>
    <t>L-1582-315493321</t>
  </si>
  <si>
    <t>IV 267, 2</t>
  </si>
  <si>
    <t>L-1591-177724587</t>
  </si>
  <si>
    <t>IV 267, 2a</t>
  </si>
  <si>
    <t>L-1585-156418169</t>
  </si>
  <si>
    <t>99455737X</t>
  </si>
  <si>
    <t>IV 267, 2b</t>
  </si>
  <si>
    <t>L-9999-156417812</t>
  </si>
  <si>
    <t>L-1608-406933626</t>
  </si>
  <si>
    <t>113261614X</t>
  </si>
  <si>
    <t>IV 267, 3</t>
  </si>
  <si>
    <t>L-1608-414165675</t>
  </si>
  <si>
    <t>IV 267, 3 (1. angebundenes Werk)</t>
  </si>
  <si>
    <t>L-1617-41416556X</t>
  </si>
  <si>
    <t>IV 267, 3 (2. angebundenes Werk)</t>
  </si>
  <si>
    <t>L-1613-668110058</t>
  </si>
  <si>
    <t>IV 267, 3 (3. angebundenes Werk)</t>
  </si>
  <si>
    <t>L-1594-315466154</t>
  </si>
  <si>
    <t>IV 268, 1</t>
  </si>
  <si>
    <t>L-1641-315465530</t>
  </si>
  <si>
    <t>IV 269, 1</t>
  </si>
  <si>
    <t>L-1731-157184994</t>
  </si>
  <si>
    <t>IV 27 B, 1</t>
  </si>
  <si>
    <t>L-1744-177093994</t>
  </si>
  <si>
    <t>IV 27 B, 2</t>
  </si>
  <si>
    <t>L-1562-315331038</t>
  </si>
  <si>
    <t>IV 27, 1</t>
  </si>
  <si>
    <t>L-9999-168556715</t>
  </si>
  <si>
    <t>99958314X</t>
  </si>
  <si>
    <t>IV 27, 1 b</t>
  </si>
  <si>
    <t>L-1564-163499365</t>
  </si>
  <si>
    <t>IV 27, 1 c</t>
  </si>
  <si>
    <t>L-1565-163499578</t>
  </si>
  <si>
    <t>L-1567-163485895</t>
  </si>
  <si>
    <t>L-1561-169922316</t>
  </si>
  <si>
    <t>100004792X</t>
  </si>
  <si>
    <t>IV 27, 10</t>
  </si>
  <si>
    <t>L-1568-170117367</t>
  </si>
  <si>
    <t>IV 27, 11</t>
  </si>
  <si>
    <t>L-1800-157575306</t>
  </si>
  <si>
    <t>99469928X</t>
  </si>
  <si>
    <t>IV 27, 12</t>
  </si>
  <si>
    <t>L-1665-154724106</t>
  </si>
  <si>
    <t>IV 27, 13</t>
  </si>
  <si>
    <t>L-1665-154724165</t>
  </si>
  <si>
    <t>L-1665-154724203</t>
  </si>
  <si>
    <t>L-1665-154724173</t>
  </si>
  <si>
    <t>L-1578-164463410</t>
  </si>
  <si>
    <t>IV 27, 14</t>
  </si>
  <si>
    <t>L-1577-164462813</t>
  </si>
  <si>
    <t>99763751X</t>
  </si>
  <si>
    <t>L-1596-16446297X</t>
  </si>
  <si>
    <t>L-1578-16446333X</t>
  </si>
  <si>
    <t>L-1578-174352875</t>
  </si>
  <si>
    <t>IV 27, 14 a</t>
  </si>
  <si>
    <t>L-1578-171070089</t>
  </si>
  <si>
    <t>L-1578-16735924X</t>
  </si>
  <si>
    <t>L-1578-175195285</t>
  </si>
  <si>
    <t>IV 27, 14a</t>
  </si>
  <si>
    <t>L-1744-17748182X</t>
  </si>
  <si>
    <t>IV 27, 15</t>
  </si>
  <si>
    <t>L-1744-176549048</t>
  </si>
  <si>
    <t>L-9999-156026872</t>
  </si>
  <si>
    <t>L-1664-177056940</t>
  </si>
  <si>
    <t>IV 27, 16</t>
  </si>
  <si>
    <t>L-1664-177056932</t>
  </si>
  <si>
    <t>L-1741-167942506</t>
  </si>
  <si>
    <t>L-1741-16794276X</t>
  </si>
  <si>
    <t>L-1683-15934249X</t>
  </si>
  <si>
    <t>IV 27, 18 a</t>
  </si>
  <si>
    <t>L-1609-175074070</t>
  </si>
  <si>
    <t>IV 27, 19</t>
  </si>
  <si>
    <t>L-1564-159670543</t>
  </si>
  <si>
    <t>IV 27, 1a</t>
  </si>
  <si>
    <t>L-1564-168394804</t>
  </si>
  <si>
    <t>L-1567-315469706</t>
  </si>
  <si>
    <t>IV 27, 2</t>
  </si>
  <si>
    <t>L-1675-176471766</t>
  </si>
  <si>
    <t>IV 27, 20</t>
  </si>
  <si>
    <t>L-1571-314712488</t>
  </si>
  <si>
    <t>IV 27, 3</t>
  </si>
  <si>
    <t>L-1572-315302712</t>
  </si>
  <si>
    <t>IV 27, 4</t>
  </si>
  <si>
    <t>L-1574-315469447</t>
  </si>
  <si>
    <t>IV 27, 5</t>
  </si>
  <si>
    <t>L-1576-174113013</t>
  </si>
  <si>
    <t>IV 27, 5 a</t>
  </si>
  <si>
    <t>L-1576-161297285</t>
  </si>
  <si>
    <t>L-1590-16204013X</t>
  </si>
  <si>
    <t>IV 27, 5 b</t>
  </si>
  <si>
    <t>L-1590-155913239</t>
  </si>
  <si>
    <t>IV 27, 5/b</t>
  </si>
  <si>
    <t>L-1598-315488441</t>
  </si>
  <si>
    <t>IV 27, 6</t>
  </si>
  <si>
    <t>L-9999-406957711</t>
  </si>
  <si>
    <t>L-9999-40695772X</t>
  </si>
  <si>
    <t>L-1581-16951093X</t>
  </si>
  <si>
    <t>IV 27, 7 a</t>
  </si>
  <si>
    <t>L-1581-315492880</t>
  </si>
  <si>
    <t>IV 27, 8</t>
  </si>
  <si>
    <t>L-1556-674664345</t>
  </si>
  <si>
    <t>IV 27, 8 (1. angebundenes Werk)</t>
  </si>
  <si>
    <t>L-1744-18062847X</t>
  </si>
  <si>
    <t>IV 27, 9</t>
  </si>
  <si>
    <t>L-1683-159342481</t>
  </si>
  <si>
    <t>L-1688-171152646</t>
  </si>
  <si>
    <t>IV 270 C, 1</t>
  </si>
  <si>
    <t>L-1739-31508376X</t>
  </si>
  <si>
    <t>IV 270 C, 2</t>
  </si>
  <si>
    <t>L-1697-315311657</t>
  </si>
  <si>
    <t>IV 270, 1</t>
  </si>
  <si>
    <t>L-1714-315200243</t>
  </si>
  <si>
    <t>IV 271, 1</t>
  </si>
  <si>
    <t>L-1564-315490713</t>
  </si>
  <si>
    <t>IV 273, 1</t>
  </si>
  <si>
    <t>L-1768-315328819</t>
  </si>
  <si>
    <t>IV 273, 10</t>
  </si>
  <si>
    <t>L-1664-174207492</t>
  </si>
  <si>
    <t>IV 273, 10 b</t>
  </si>
  <si>
    <t>L-1724-154361070</t>
  </si>
  <si>
    <t>IV 273, 10 c</t>
  </si>
  <si>
    <t>L-1771-171699300</t>
  </si>
  <si>
    <t>IV 273, 10 d</t>
  </si>
  <si>
    <t>L-1772-171699378</t>
  </si>
  <si>
    <t>100093263X</t>
  </si>
  <si>
    <t>L-1769-171699203</t>
  </si>
  <si>
    <t>L-1768-171699084</t>
  </si>
  <si>
    <t>L-1773-171699416</t>
  </si>
  <si>
    <t>L-1774-171699467</t>
  </si>
  <si>
    <t>L-1770-171699254</t>
  </si>
  <si>
    <t>L-1775-171699505</t>
  </si>
  <si>
    <t>L-1662-174200072</t>
  </si>
  <si>
    <t>100134894X</t>
  </si>
  <si>
    <t>IV 273, 10 e</t>
  </si>
  <si>
    <t>L-1645-175072396</t>
  </si>
  <si>
    <t>IV 273, 10a</t>
  </si>
  <si>
    <t>L-1670-15406758X</t>
  </si>
  <si>
    <t>IV 273, 11</t>
  </si>
  <si>
    <t>L-1667-154067903</t>
  </si>
  <si>
    <t>L-1680-155480499</t>
  </si>
  <si>
    <t>IV 273, 11a</t>
  </si>
  <si>
    <t>L-1680-306823551</t>
  </si>
  <si>
    <t>IV 273, 12</t>
  </si>
  <si>
    <t>L-1759-670546003</t>
  </si>
  <si>
    <t>IV 273, 12 (Angebundenes Werk)</t>
  </si>
  <si>
    <t>L-1680-182435245</t>
  </si>
  <si>
    <t>IV 273, 12 b</t>
  </si>
  <si>
    <t>L-1679-178926469</t>
  </si>
  <si>
    <t>IV 273, 12a</t>
  </si>
  <si>
    <t>L-1680-177567147</t>
  </si>
  <si>
    <t>IV 273, 13a</t>
  </si>
  <si>
    <t>L-1725-369318935</t>
  </si>
  <si>
    <t>IV 273, 14</t>
  </si>
  <si>
    <t>L-1697-179232789</t>
  </si>
  <si>
    <t>100319883X</t>
  </si>
  <si>
    <t>IV 273, 14a</t>
  </si>
  <si>
    <t>L-1818-315458437</t>
  </si>
  <si>
    <t>IV 273, 15</t>
  </si>
  <si>
    <t>L-1761-170806804</t>
  </si>
  <si>
    <t>IV 273, 17 d</t>
  </si>
  <si>
    <t>L-1767-177831812</t>
  </si>
  <si>
    <t>IV 273, 17a</t>
  </si>
  <si>
    <t>L-1767-177834714</t>
  </si>
  <si>
    <t>100268093X</t>
  </si>
  <si>
    <t>L-1767-177836342</t>
  </si>
  <si>
    <t>L-1771-176002227</t>
  </si>
  <si>
    <t>IV 273, 17b</t>
  </si>
  <si>
    <t>L-1771-176002340</t>
  </si>
  <si>
    <t>L-1772-176002642</t>
  </si>
  <si>
    <t>L-1771-176002588</t>
  </si>
  <si>
    <t>L-1771-176002189</t>
  </si>
  <si>
    <t>L-1773-176002693</t>
  </si>
  <si>
    <t>L-1773-176002847</t>
  </si>
  <si>
    <t>L-1773-176002987</t>
  </si>
  <si>
    <t>100201008X</t>
  </si>
  <si>
    <t>L-1775-176003827</t>
  </si>
  <si>
    <t>100201090X</t>
  </si>
  <si>
    <t>L-1771-176002154</t>
  </si>
  <si>
    <t>L-1771-176002561</t>
  </si>
  <si>
    <t>L-1771-176002103</t>
  </si>
  <si>
    <t>L-1773-176003029</t>
  </si>
  <si>
    <t>100201011X</t>
  </si>
  <si>
    <t>L-1774-176004343</t>
  </si>
  <si>
    <t>L-1771-176002049</t>
  </si>
  <si>
    <t>L-1771-176002006</t>
  </si>
  <si>
    <t>L-1771-176001964</t>
  </si>
  <si>
    <t>L-1771-176001948</t>
  </si>
  <si>
    <t>L-1771-176001905</t>
  </si>
  <si>
    <t>L-1771-176001859</t>
  </si>
  <si>
    <t>L-1771-176001778</t>
  </si>
  <si>
    <t>L-1771-176001743</t>
  </si>
  <si>
    <t>L-1771-176001689</t>
  </si>
  <si>
    <t>L-1771-176002146</t>
  </si>
  <si>
    <t>L-1772-176004157</t>
  </si>
  <si>
    <t>L-1773-176002782</t>
  </si>
  <si>
    <t>L-1775-176003460</t>
  </si>
  <si>
    <t>L-1774-176003347</t>
  </si>
  <si>
    <t>L-1773-176003304</t>
  </si>
  <si>
    <t>100201039X</t>
  </si>
  <si>
    <t>L-1774-176003401</t>
  </si>
  <si>
    <t>L-1774-176003258</t>
  </si>
  <si>
    <t>L-1773-176003193</t>
  </si>
  <si>
    <t>L-1775-176003428</t>
  </si>
  <si>
    <t>L-1775-176003770</t>
  </si>
  <si>
    <t>L-1787-18056448X</t>
  </si>
  <si>
    <t>IV 273, 17c</t>
  </si>
  <si>
    <t>L-1784-180564560</t>
  </si>
  <si>
    <t>L-1566-315490446</t>
  </si>
  <si>
    <t>IV 273, 18</t>
  </si>
  <si>
    <t>L-9999-406952418</t>
  </si>
  <si>
    <t>IV 273, 19</t>
  </si>
  <si>
    <t>L-9999-406952434</t>
  </si>
  <si>
    <t>L-9999-406952442</t>
  </si>
  <si>
    <t>113263573X</t>
  </si>
  <si>
    <t>L-9999-406952426</t>
  </si>
  <si>
    <t>L-1590-315492546</t>
  </si>
  <si>
    <t>IV 273, 2</t>
  </si>
  <si>
    <t>L-1780-165137010</t>
  </si>
  <si>
    <t>IV 273, 20</t>
  </si>
  <si>
    <t>L-1738-173993621</t>
  </si>
  <si>
    <t>IV 273, 20 a</t>
  </si>
  <si>
    <t>L-1784-165450428</t>
  </si>
  <si>
    <t>IV 273, 20 b</t>
  </si>
  <si>
    <t>L-1675-171698436</t>
  </si>
  <si>
    <t>IV 273, 21</t>
  </si>
  <si>
    <t>L-1675-171698657</t>
  </si>
  <si>
    <t>100093196X</t>
  </si>
  <si>
    <t>L-1679-171698711</t>
  </si>
  <si>
    <t>L-1679-171698797</t>
  </si>
  <si>
    <t>L-1675-166252379</t>
  </si>
  <si>
    <t>L-1679-167358456</t>
  </si>
  <si>
    <t>L-1685-171699602</t>
  </si>
  <si>
    <t>IV 273, 21 a</t>
  </si>
  <si>
    <t>L-1685-160193834</t>
  </si>
  <si>
    <t>IV 273, 21a</t>
  </si>
  <si>
    <t>L-1730-158123247</t>
  </si>
  <si>
    <t>IV 273, 22</t>
  </si>
  <si>
    <t>L-1679-165853891</t>
  </si>
  <si>
    <t>IV 273, 23</t>
  </si>
  <si>
    <t>L-1679-165854359</t>
  </si>
  <si>
    <t>L-1697-165854251</t>
  </si>
  <si>
    <t>L-1679-165853964</t>
  </si>
  <si>
    <t>L-1679-16585412X</t>
  </si>
  <si>
    <t>L-1703-164267379</t>
  </si>
  <si>
    <t>IV 273, 24</t>
  </si>
  <si>
    <t>L-1739-154718025</t>
  </si>
  <si>
    <t>IV 273, 25</t>
  </si>
  <si>
    <t>L-1747-164693734</t>
  </si>
  <si>
    <t>IV 273, 26</t>
  </si>
  <si>
    <t>L-1735-170019381</t>
  </si>
  <si>
    <t>IV 273, 27</t>
  </si>
  <si>
    <t>L-1715-163595763</t>
  </si>
  <si>
    <t>L-1727-163596441</t>
  </si>
  <si>
    <t>L-1732-163594570</t>
  </si>
  <si>
    <t>IV 273, 27 a</t>
  </si>
  <si>
    <t>L-1777-314713824</t>
  </si>
  <si>
    <t>IV 273, 27 b</t>
  </si>
  <si>
    <t>L-1567-315327596</t>
  </si>
  <si>
    <t>IV 273, 28</t>
  </si>
  <si>
    <t>L-1751-167828622</t>
  </si>
  <si>
    <t>IV 273, 29</t>
  </si>
  <si>
    <t>L-1750-167828584</t>
  </si>
  <si>
    <t>L-1594-315494042</t>
  </si>
  <si>
    <t>IV 273, 3</t>
  </si>
  <si>
    <t>L-1694-177753811</t>
  </si>
  <si>
    <t>IV 273, 30</t>
  </si>
  <si>
    <t>L-1694-179835904</t>
  </si>
  <si>
    <t>L-1756-169068064</t>
  </si>
  <si>
    <t>IV 273, 31</t>
  </si>
  <si>
    <t>L-1783-170103013</t>
  </si>
  <si>
    <t>IV 273, 32</t>
  </si>
  <si>
    <t>L-1781-170103129</t>
  </si>
  <si>
    <t>L-1778-170103145</t>
  </si>
  <si>
    <t>L-1783-170102947</t>
  </si>
  <si>
    <t>L-1774-170100146</t>
  </si>
  <si>
    <t>100015095X</t>
  </si>
  <si>
    <t>L-1780-156007231</t>
  </si>
  <si>
    <t>99446830X</t>
  </si>
  <si>
    <t>L-1718-16328752X</t>
  </si>
  <si>
    <t>IV 273, 33</t>
  </si>
  <si>
    <t>L-1694-156010682</t>
  </si>
  <si>
    <t>IV 273, 33 b</t>
  </si>
  <si>
    <t>L-1718-16328735X</t>
  </si>
  <si>
    <t>IV 273, 33a</t>
  </si>
  <si>
    <t>L-1718-163287287</t>
  </si>
  <si>
    <t>99706384X</t>
  </si>
  <si>
    <t>L-9999-160883776</t>
  </si>
  <si>
    <t>IV 273, 34</t>
  </si>
  <si>
    <t>L-1625-167332066</t>
  </si>
  <si>
    <t>IV 273, 35</t>
  </si>
  <si>
    <t>L-1765-169769836</t>
  </si>
  <si>
    <t>IV 273, 36</t>
  </si>
  <si>
    <t>L-1770-406966214</t>
  </si>
  <si>
    <t>113264898X</t>
  </si>
  <si>
    <t>IV 273, 37</t>
  </si>
  <si>
    <t>L-1776-406966230</t>
  </si>
  <si>
    <t>L-1749-406966176</t>
  </si>
  <si>
    <t>L-1773-406966222</t>
  </si>
  <si>
    <t>L-1759-406966192</t>
  </si>
  <si>
    <t>L-1764-406966206</t>
  </si>
  <si>
    <t>L-1759-406966184</t>
  </si>
  <si>
    <t>L-1710-179232088</t>
  </si>
  <si>
    <t>IV 273, 38</t>
  </si>
  <si>
    <t>L-1710-17923241X</t>
  </si>
  <si>
    <t>IV 273, 39</t>
  </si>
  <si>
    <t>L-1590-315308567</t>
  </si>
  <si>
    <t>106684951X</t>
  </si>
  <si>
    <t>IV 273, 4</t>
  </si>
  <si>
    <t>L-1595-678836442</t>
  </si>
  <si>
    <t>IV 273, 4 (1. angebundenes Werk)</t>
  </si>
  <si>
    <t>L-1596-678835985</t>
  </si>
  <si>
    <t>IV 273, 4 (2. angebundenes Werk)</t>
  </si>
  <si>
    <t>L-1737-174111738</t>
  </si>
  <si>
    <t>100130358X</t>
  </si>
  <si>
    <t>IV 273, 40</t>
  </si>
  <si>
    <t>L-1735-174272154</t>
  </si>
  <si>
    <t>IV 273, 40a</t>
  </si>
  <si>
    <t>L-1712-17849609X</t>
  </si>
  <si>
    <t>IV 273, 41</t>
  </si>
  <si>
    <t>L-1694-163576726</t>
  </si>
  <si>
    <t>IV 273, 41 a</t>
  </si>
  <si>
    <t>L-1749-170879119</t>
  </si>
  <si>
    <t>IV 273, 42</t>
  </si>
  <si>
    <t>L-1761-170978044</t>
  </si>
  <si>
    <t>L-1740-170874648</t>
  </si>
  <si>
    <t>L-1746-170874389</t>
  </si>
  <si>
    <t>L-1755-170977854</t>
  </si>
  <si>
    <t>100064328X</t>
  </si>
  <si>
    <t>L-1740-170978168</t>
  </si>
  <si>
    <t>100064359X</t>
  </si>
  <si>
    <t>IV 273, 42 a</t>
  </si>
  <si>
    <t>L-1722-177746386</t>
  </si>
  <si>
    <t>IV 273, 43</t>
  </si>
  <si>
    <t>L-1765-154676438</t>
  </si>
  <si>
    <t>IV 273, 44</t>
  </si>
  <si>
    <t>L-1781-166614122</t>
  </si>
  <si>
    <t>IV 273, 45</t>
  </si>
  <si>
    <t>L-1680-177723629</t>
  </si>
  <si>
    <t>IV 273, 46</t>
  </si>
  <si>
    <t>L-1680-177723076</t>
  </si>
  <si>
    <t>L-1680-177723432</t>
  </si>
  <si>
    <t>L-1780-176020454</t>
  </si>
  <si>
    <t>IV 273, 47</t>
  </si>
  <si>
    <t>L-1758-160345324</t>
  </si>
  <si>
    <t>IV 273, 48</t>
  </si>
  <si>
    <t>L-1712-154739170</t>
  </si>
  <si>
    <t>IV 273, 49</t>
  </si>
  <si>
    <t>L-1662-15472310X</t>
  </si>
  <si>
    <t>IV 273, 5</t>
  </si>
  <si>
    <t>L-1679-154739332</t>
  </si>
  <si>
    <t>IV 273, 5 b</t>
  </si>
  <si>
    <t>L-1662-154723118</t>
  </si>
  <si>
    <t>IV 273, 5/a</t>
  </si>
  <si>
    <t>L-1663-171256395</t>
  </si>
  <si>
    <t>IV 273, 50</t>
  </si>
  <si>
    <t>L-1779-154002836</t>
  </si>
  <si>
    <t>IV 273, 51</t>
  </si>
  <si>
    <t>L-1771-165368861</t>
  </si>
  <si>
    <t>IV 273, 52</t>
  </si>
  <si>
    <t>L-1765-154869260</t>
  </si>
  <si>
    <t>99424990X</t>
  </si>
  <si>
    <t>IV 273, 53</t>
  </si>
  <si>
    <t>L-1757-15486918X</t>
  </si>
  <si>
    <t>L-1724-315317892</t>
  </si>
  <si>
    <t>IV 273, 54</t>
  </si>
  <si>
    <t>L-2006-318862</t>
  </si>
  <si>
    <t>IV 273, 55</t>
  </si>
  <si>
    <t>L-2010-302726</t>
  </si>
  <si>
    <t>IV 273, 56</t>
  </si>
  <si>
    <t>L-2010-302724</t>
  </si>
  <si>
    <t>IV 273, 57</t>
  </si>
  <si>
    <t>L-2012-315050</t>
  </si>
  <si>
    <t>IV 273, 58</t>
  </si>
  <si>
    <t>L-2015-311420</t>
  </si>
  <si>
    <t>IV 273, 59</t>
  </si>
  <si>
    <t>L-1668-315191546</t>
  </si>
  <si>
    <t>IV 273, 6</t>
  </si>
  <si>
    <t>L-1794-629370966</t>
  </si>
  <si>
    <t>IV 273, 60</t>
  </si>
  <si>
    <t>L-2018-334033</t>
  </si>
  <si>
    <t>L-1691-315219963</t>
  </si>
  <si>
    <t>IV 273, 7</t>
  </si>
  <si>
    <t>L-1680-160593344</t>
  </si>
  <si>
    <t>IV 273, 7 a</t>
  </si>
  <si>
    <t>L-1700-153917539</t>
  </si>
  <si>
    <t>IV 273, 7 b</t>
  </si>
  <si>
    <t>L-1685-162658575</t>
  </si>
  <si>
    <t>99671121X</t>
  </si>
  <si>
    <t>IV 273, 7 c</t>
  </si>
  <si>
    <t>L-1677-164085289</t>
  </si>
  <si>
    <t>IV 273, 7 d</t>
  </si>
  <si>
    <t>L-1678-16408505X</t>
  </si>
  <si>
    <t>99751888X</t>
  </si>
  <si>
    <t>IV 273, 7 e</t>
  </si>
  <si>
    <t>L-1699-164530681</t>
  </si>
  <si>
    <t>IV 273, 7 f</t>
  </si>
  <si>
    <t>L-1717-160593360</t>
  </si>
  <si>
    <t>IV 273, 7 g</t>
  </si>
  <si>
    <t>L-1734-315299886</t>
  </si>
  <si>
    <t>IV 273, 7 h</t>
  </si>
  <si>
    <t>L-1700-153917652</t>
  </si>
  <si>
    <t>IV 273, 7b</t>
  </si>
  <si>
    <t>L-1690-315465743</t>
  </si>
  <si>
    <t>106693794X</t>
  </si>
  <si>
    <t>IV 273, 8</t>
  </si>
  <si>
    <t>L-1710-154741086</t>
  </si>
  <si>
    <t>IV 273, 8 a</t>
  </si>
  <si>
    <t>L-1710-154741094</t>
  </si>
  <si>
    <t>IV 273, 8 b</t>
  </si>
  <si>
    <t>L-1729-154472565</t>
  </si>
  <si>
    <t>IV 273, 8 f</t>
  </si>
  <si>
    <t>L-1733-315079029</t>
  </si>
  <si>
    <t>IV 273, 8 g</t>
  </si>
  <si>
    <t>L-1693-154726109</t>
  </si>
  <si>
    <t>IV 273, 8c</t>
  </si>
  <si>
    <t>L-1693-154726265</t>
  </si>
  <si>
    <t>L-1703-15473960X</t>
  </si>
  <si>
    <t>IV 273, 8d</t>
  </si>
  <si>
    <t>L-1725-154681342</t>
  </si>
  <si>
    <t>IV 273, 8e</t>
  </si>
  <si>
    <t>L-1755-315465751</t>
  </si>
  <si>
    <t>IV 273, 9</t>
  </si>
  <si>
    <t>L-1754-15639927X</t>
  </si>
  <si>
    <t>IV 273, 9a</t>
  </si>
  <si>
    <t>L-1666-315463228</t>
  </si>
  <si>
    <t>IV 274, 1</t>
  </si>
  <si>
    <t>L-1699-31520771X</t>
  </si>
  <si>
    <t>IV 275, 1</t>
  </si>
  <si>
    <t>L-1781-169061655</t>
  </si>
  <si>
    <t>IV 276 B, 1</t>
  </si>
  <si>
    <t>L-1781-168602415</t>
  </si>
  <si>
    <t>L-1606-315331771</t>
  </si>
  <si>
    <t>IV 276, 1</t>
  </si>
  <si>
    <t>L-1758-315469730</t>
  </si>
  <si>
    <t>IV 277, 1</t>
  </si>
  <si>
    <t>L-1791-406951225</t>
  </si>
  <si>
    <t>IV 277, 2</t>
  </si>
  <si>
    <t>L-1792-406951233</t>
  </si>
  <si>
    <t>L-1788-406951217</t>
  </si>
  <si>
    <t>L-1702-315465980</t>
  </si>
  <si>
    <t>IV 278, 1</t>
  </si>
  <si>
    <t>L-1703-176993576</t>
  </si>
  <si>
    <t>IV 278, 1a</t>
  </si>
  <si>
    <t>L-1718-315294272</t>
  </si>
  <si>
    <t>IV 278, 2</t>
  </si>
  <si>
    <t>L-1720-155361503</t>
  </si>
  <si>
    <t>IV 278, 3</t>
  </si>
  <si>
    <t>L-1800-168394405</t>
  </si>
  <si>
    <t>IV 278, 4</t>
  </si>
  <si>
    <t>L-1599-315468955</t>
  </si>
  <si>
    <t>IV 279, 1</t>
  </si>
  <si>
    <t>L-1671-315463503</t>
  </si>
  <si>
    <t>IV 279, 2</t>
  </si>
  <si>
    <t>L-1774-17493047X</t>
  </si>
  <si>
    <t>IV 28 C, 1</t>
  </si>
  <si>
    <t>L-1703-17018000X</t>
  </si>
  <si>
    <t>100018840X</t>
  </si>
  <si>
    <t>IV 28 C, 2</t>
  </si>
  <si>
    <t>L-1769-179298615</t>
  </si>
  <si>
    <t>IV 28 C, 3</t>
  </si>
  <si>
    <t>L-1743-169791904</t>
  </si>
  <si>
    <t>IV 28 C, 4</t>
  </si>
  <si>
    <t>L-1791-315468858</t>
  </si>
  <si>
    <t>IV 28, 1</t>
  </si>
  <si>
    <t>L-1674-315465697</t>
  </si>
  <si>
    <t>IV 280, 1</t>
  </si>
  <si>
    <t>L-1674-315307056</t>
  </si>
  <si>
    <t>IV 280, 2</t>
  </si>
  <si>
    <t>L-1597-315192712</t>
  </si>
  <si>
    <t>IV 281, 1</t>
  </si>
  <si>
    <t>L-1628-315217286</t>
  </si>
  <si>
    <t>IV 281, 2</t>
  </si>
  <si>
    <t>L-1732-165075287</t>
  </si>
  <si>
    <t>IV 281, 3</t>
  </si>
  <si>
    <t>L-1596-315465565</t>
  </si>
  <si>
    <t>IV 282, 1</t>
  </si>
  <si>
    <t>L-1689-315328010</t>
  </si>
  <si>
    <t>IV 283, 1</t>
  </si>
  <si>
    <t>L-1679-315191503</t>
  </si>
  <si>
    <t>IV 284, 1</t>
  </si>
  <si>
    <t>L-9999-163428727</t>
  </si>
  <si>
    <t>IV 284, 2</t>
  </si>
  <si>
    <t>L-1685-163428352</t>
  </si>
  <si>
    <t>L-1737-315458216</t>
  </si>
  <si>
    <t>IV 285, 1</t>
  </si>
  <si>
    <t>L-1741-154003441</t>
  </si>
  <si>
    <t>IV 285, 2</t>
  </si>
  <si>
    <t>L-1752-315080566</t>
  </si>
  <si>
    <t>IV 285, 3</t>
  </si>
  <si>
    <t>L-1651-315466138</t>
  </si>
  <si>
    <t>IV 286, 1</t>
  </si>
  <si>
    <t>L-1651-672938472</t>
  </si>
  <si>
    <t>120923677X</t>
  </si>
  <si>
    <t>IV 286, 1 (1. angebundenes Werk)</t>
  </si>
  <si>
    <t>L-1651-672938022</t>
  </si>
  <si>
    <t>IV 286, 1 (2. angebundenes Werk)</t>
  </si>
  <si>
    <t>L-1652-672938375</t>
  </si>
  <si>
    <t>IV 286, 1 (3. angebundenes Werk)</t>
  </si>
  <si>
    <t>L-1700-268441510</t>
  </si>
  <si>
    <t>IV 286, 2</t>
  </si>
  <si>
    <t>L-1769-154725692</t>
  </si>
  <si>
    <t>99420096X</t>
  </si>
  <si>
    <t>IV 286, 3</t>
  </si>
  <si>
    <t>L-1704-154531219</t>
  </si>
  <si>
    <t>99412290X</t>
  </si>
  <si>
    <t>IV 286, 4</t>
  </si>
  <si>
    <t>L-1763-176989854</t>
  </si>
  <si>
    <t>IV 286, 5</t>
  </si>
  <si>
    <t>L-1767-170183319</t>
  </si>
  <si>
    <t>IV 286, 6</t>
  </si>
  <si>
    <t>L-1767-155346431</t>
  </si>
  <si>
    <t>L-1697-167182900</t>
  </si>
  <si>
    <t>IV 286, 7</t>
  </si>
  <si>
    <t>L-1765-169922634</t>
  </si>
  <si>
    <t>IV 286, 8</t>
  </si>
  <si>
    <t>L-1780-154133396</t>
  </si>
  <si>
    <t>IV 286, 9</t>
  </si>
  <si>
    <t>L-1600-315492422</t>
  </si>
  <si>
    <t>IV 287, 1</t>
  </si>
  <si>
    <t>L-1615-315334339</t>
  </si>
  <si>
    <t>IV 287, 2</t>
  </si>
  <si>
    <t>L-1565-315465557</t>
  </si>
  <si>
    <t>IV 288, 1</t>
  </si>
  <si>
    <t>L-1628-315454261</t>
  </si>
  <si>
    <t>IV 288, 2</t>
  </si>
  <si>
    <t>L-1628-672621185</t>
  </si>
  <si>
    <t>IV 288, 2 (1. angebundenes Werk)</t>
  </si>
  <si>
    <t>L-1630-667831169</t>
  </si>
  <si>
    <t>IV 288, 2 (2. angebundenes Werk)</t>
  </si>
  <si>
    <t>L-1656-169850455</t>
  </si>
  <si>
    <t>IV 288, 2a</t>
  </si>
  <si>
    <t>L-1656-315463821</t>
  </si>
  <si>
    <t>IV 288, 3</t>
  </si>
  <si>
    <t>L-1723-156635682</t>
  </si>
  <si>
    <t>IV 288, 4</t>
  </si>
  <si>
    <t>L-1751-17688453X</t>
  </si>
  <si>
    <t>IV 288, 5</t>
  </si>
  <si>
    <t>L-1733-176884238</t>
  </si>
  <si>
    <t>L-1733-176884149</t>
  </si>
  <si>
    <t>L-1653-166695572</t>
  </si>
  <si>
    <t>IV 288, 6</t>
  </si>
  <si>
    <t>L-1753-163483639</t>
  </si>
  <si>
    <t>99716946X</t>
  </si>
  <si>
    <t>IV 288, 7</t>
  </si>
  <si>
    <t>L-2018-335216</t>
  </si>
  <si>
    <t>IV 288, 8</t>
  </si>
  <si>
    <t>L-1717-154307548</t>
  </si>
  <si>
    <t>IV 289, 1</t>
  </si>
  <si>
    <t>L-1717-175354340</t>
  </si>
  <si>
    <t>L-1665-406964378</t>
  </si>
  <si>
    <t>L-1666-406964386</t>
  </si>
  <si>
    <t>L-1668-315309334</t>
  </si>
  <si>
    <t>IV 29, 3</t>
  </si>
  <si>
    <t>L-1673-178496960</t>
  </si>
  <si>
    <t>IV 29, 4</t>
  </si>
  <si>
    <t>L-1782-167115669</t>
  </si>
  <si>
    <t>IV 29, 5</t>
  </si>
  <si>
    <t>L-1780-179378945</t>
  </si>
  <si>
    <t>IV 29, 6</t>
  </si>
  <si>
    <t>L-1748-154743615</t>
  </si>
  <si>
    <t>IV 29, 7</t>
  </si>
  <si>
    <t>L-1775-315460091</t>
  </si>
  <si>
    <t>IV 290, 1</t>
  </si>
  <si>
    <t>L-1563-315463066</t>
  </si>
  <si>
    <t>IV 291, 1</t>
  </si>
  <si>
    <t>L-1582-315461519</t>
  </si>
  <si>
    <t>IV 291, 10</t>
  </si>
  <si>
    <t>L-1792-171111893</t>
  </si>
  <si>
    <t>IV 291, 100</t>
  </si>
  <si>
    <t>L-1792-171111958</t>
  </si>
  <si>
    <t>100076186X</t>
  </si>
  <si>
    <t>L-1782-167051679</t>
  </si>
  <si>
    <t>IV 291, 101</t>
  </si>
  <si>
    <t>L-1798-155955993</t>
  </si>
  <si>
    <t>IV 291, 102</t>
  </si>
  <si>
    <t>L-1798-155955837</t>
  </si>
  <si>
    <t>L-1798-155955985</t>
  </si>
  <si>
    <t>L-1798-155955861</t>
  </si>
  <si>
    <t>L-1798-155955969</t>
  </si>
  <si>
    <t>L-1798-15595590X</t>
  </si>
  <si>
    <t>L-1772-168288400</t>
  </si>
  <si>
    <t>IV 291, 103</t>
  </si>
  <si>
    <t>L-1637-175049270</t>
  </si>
  <si>
    <t>IV 291, 104</t>
  </si>
  <si>
    <t>L-1637-175049297</t>
  </si>
  <si>
    <t>L-1637-175049300</t>
  </si>
  <si>
    <t>L-1637-17506542X</t>
  </si>
  <si>
    <t>L-1569-17698822X</t>
  </si>
  <si>
    <t>IV 291, 105</t>
  </si>
  <si>
    <t>L-2008-306390</t>
  </si>
  <si>
    <t>IV 291, 106</t>
  </si>
  <si>
    <t>L-2013-312233</t>
  </si>
  <si>
    <t>IV 291, 107</t>
  </si>
  <si>
    <t>L-2014-319377</t>
  </si>
  <si>
    <t>IV 291, 108 - 1</t>
  </si>
  <si>
    <t>L-2014-319381</t>
  </si>
  <si>
    <t>IV 291, 108 - 2</t>
  </si>
  <si>
    <t>L-2014-319389</t>
  </si>
  <si>
    <t>IV 291, 108 - 3</t>
  </si>
  <si>
    <t>L-2014-319385</t>
  </si>
  <si>
    <t>IV 291, 108 - 4</t>
  </si>
  <si>
    <t>L-2016-300521</t>
  </si>
  <si>
    <t>L-2016-300517</t>
  </si>
  <si>
    <t>L-1583-315465883</t>
  </si>
  <si>
    <t>IV 291, 11</t>
  </si>
  <si>
    <t>L-2018-334916</t>
  </si>
  <si>
    <t>116561040X</t>
  </si>
  <si>
    <t>IV 291, 110</t>
  </si>
  <si>
    <t>L-1631-154448249</t>
  </si>
  <si>
    <t>IV 291, 12</t>
  </si>
  <si>
    <t>L-1636-315220309</t>
  </si>
  <si>
    <t>IV 291, 13</t>
  </si>
  <si>
    <t>L-1657-16637055X</t>
  </si>
  <si>
    <t>IV 291, 13 a</t>
  </si>
  <si>
    <t>L-1651-168543788</t>
  </si>
  <si>
    <t>IV 291, 13 b</t>
  </si>
  <si>
    <t>L-1662-315186062</t>
  </si>
  <si>
    <t>106676333X</t>
  </si>
  <si>
    <t>IV 291, 14</t>
  </si>
  <si>
    <t>L-1767-170253112</t>
  </si>
  <si>
    <t>IV 291, 14 a</t>
  </si>
  <si>
    <t>L-1767-170253082</t>
  </si>
  <si>
    <t>L-1767-170253031</t>
  </si>
  <si>
    <t>L-1773-167947907</t>
  </si>
  <si>
    <t>IV 291, 14 b</t>
  </si>
  <si>
    <t>L-1773-167947338</t>
  </si>
  <si>
    <t>L-1773-167947400</t>
  </si>
  <si>
    <t>L-1773-167947532</t>
  </si>
  <si>
    <t>L-1773-167948016</t>
  </si>
  <si>
    <t>L-1773-167947923</t>
  </si>
  <si>
    <t>L-1781-161537421</t>
  </si>
  <si>
    <t>IV 291, 14cc</t>
  </si>
  <si>
    <t>L-1670-182573583</t>
  </si>
  <si>
    <t>IV 291, 15</t>
  </si>
  <si>
    <t>L-1679-315199636</t>
  </si>
  <si>
    <t>IV 291, 15/2</t>
  </si>
  <si>
    <t>L-1716-315467932</t>
  </si>
  <si>
    <t>IV 291, 16</t>
  </si>
  <si>
    <t>L-1779-156396432</t>
  </si>
  <si>
    <t>IV 291, 16a</t>
  </si>
  <si>
    <t>L-1779-156396440</t>
  </si>
  <si>
    <t>L-1730-161341136</t>
  </si>
  <si>
    <t>IV 291, 17</t>
  </si>
  <si>
    <t>L-1730-154286419</t>
  </si>
  <si>
    <t>L-1740-31546822X</t>
  </si>
  <si>
    <t>IV 291, 18</t>
  </si>
  <si>
    <t>L-1744-315295597</t>
  </si>
  <si>
    <t>IV 291, 19</t>
  </si>
  <si>
    <t>L-1746-164536493</t>
  </si>
  <si>
    <t>IV 291, 19 a</t>
  </si>
  <si>
    <t>L-1746-169769410</t>
  </si>
  <si>
    <t>IV 291, 19a</t>
  </si>
  <si>
    <t>L-1564-406969760</t>
  </si>
  <si>
    <t>IV 291, 2</t>
  </si>
  <si>
    <t>L-1752-381892417</t>
  </si>
  <si>
    <t>IV 291, 20</t>
  </si>
  <si>
    <t>L-1756-381892476</t>
  </si>
  <si>
    <t>01549389X</t>
  </si>
  <si>
    <t>L-1752-417795661</t>
  </si>
  <si>
    <t>IV 291, 20 - 1752,1</t>
  </si>
  <si>
    <t>L-1752-417876831</t>
  </si>
  <si>
    <t>IV 291, 20 - 1752,2</t>
  </si>
  <si>
    <t>L-1753-417877110</t>
  </si>
  <si>
    <t>113929895X</t>
  </si>
  <si>
    <t>IV 291, 20 - 1753</t>
  </si>
  <si>
    <t>L-1754-41787717X</t>
  </si>
  <si>
    <t>IV 291, 20 - 1754</t>
  </si>
  <si>
    <t>L-1755-417877242</t>
  </si>
  <si>
    <t>IV 291, 20 - 1755,1</t>
  </si>
  <si>
    <t>L-1755-417877285</t>
  </si>
  <si>
    <t>IV 291, 20 - 1755,2</t>
  </si>
  <si>
    <t>L-1756-417877404</t>
  </si>
  <si>
    <t>IV 291, 20 - 1756</t>
  </si>
  <si>
    <t>L-1756-417795483</t>
  </si>
  <si>
    <t>IV 291, 20 - 1757</t>
  </si>
  <si>
    <t>L-1756-418080283</t>
  </si>
  <si>
    <t>IV 291, 20 a</t>
  </si>
  <si>
    <t>IV 291, 20 a - 1756</t>
  </si>
  <si>
    <t>L-1760-412079151</t>
  </si>
  <si>
    <t>IV 291, 21</t>
  </si>
  <si>
    <t>L-1788-171111583</t>
  </si>
  <si>
    <t>IV 291, 21 a</t>
  </si>
  <si>
    <t>L-1788-171111532</t>
  </si>
  <si>
    <t>L-1788-171111451</t>
  </si>
  <si>
    <t>L-1788-171111419</t>
  </si>
  <si>
    <t>L-1765-17855944X</t>
  </si>
  <si>
    <t>100300010X</t>
  </si>
  <si>
    <t>IV 291, 21b</t>
  </si>
  <si>
    <t>L-1760-315464763</t>
  </si>
  <si>
    <t>IV 291, 22</t>
  </si>
  <si>
    <t>L-1766-315465727</t>
  </si>
  <si>
    <t>IV 291, 23</t>
  </si>
  <si>
    <t>L-1767-67082464X</t>
  </si>
  <si>
    <t>IV 291, 23 (angebundenes Werk)</t>
  </si>
  <si>
    <t>L-1766-166616958</t>
  </si>
  <si>
    <t>IV 291, 23 a</t>
  </si>
  <si>
    <t>L-1765-15663578X</t>
  </si>
  <si>
    <t>IV 291, 23a</t>
  </si>
  <si>
    <t>L-1764-167448498</t>
  </si>
  <si>
    <t>IV 291, 23b</t>
  </si>
  <si>
    <t>L-1773-315180072</t>
  </si>
  <si>
    <t>IV 291, 24</t>
  </si>
  <si>
    <t>L-1782-406971242</t>
  </si>
  <si>
    <t>IV 291, 25</t>
  </si>
  <si>
    <t>L-1788-31546545X</t>
  </si>
  <si>
    <t>IV 291, 26</t>
  </si>
  <si>
    <t>L-1782-157875024</t>
  </si>
  <si>
    <t>IV 291, 26a</t>
  </si>
  <si>
    <t>L-1788-315461853</t>
  </si>
  <si>
    <t>IV 291, 27</t>
  </si>
  <si>
    <t>L-1791-406973431</t>
  </si>
  <si>
    <t>IV 291, 27 a</t>
  </si>
  <si>
    <t>L-1788-160427665</t>
  </si>
  <si>
    <t>IV 291, 27 c</t>
  </si>
  <si>
    <t>L-1788-306815893</t>
  </si>
  <si>
    <t>IV 291, 27 d</t>
  </si>
  <si>
    <t>L-1785-160194903</t>
  </si>
  <si>
    <t>IV 291, 27/b</t>
  </si>
  <si>
    <t>L-1785-160194830</t>
  </si>
  <si>
    <t>L-1797-154628697</t>
  </si>
  <si>
    <t>IV 291, 28</t>
  </si>
  <si>
    <t>L-1799-170271528</t>
  </si>
  <si>
    <t>IV 291, 28 a</t>
  </si>
  <si>
    <t>L-1799-170256537</t>
  </si>
  <si>
    <t>100024623X</t>
  </si>
  <si>
    <t>L-1799-170257193</t>
  </si>
  <si>
    <t>L-1799-170256448</t>
  </si>
  <si>
    <t>L-1799-170256499</t>
  </si>
  <si>
    <t>L-1800-163783306</t>
  </si>
  <si>
    <t>IV 291, 28 b</t>
  </si>
  <si>
    <t>L-1800-163783527</t>
  </si>
  <si>
    <t>IV 291, 28 c</t>
  </si>
  <si>
    <t>L-1802-155923021</t>
  </si>
  <si>
    <t>IV 291, 28 d</t>
  </si>
  <si>
    <t>L-1796-168288990</t>
  </si>
  <si>
    <t>IV 291, 28 e</t>
  </si>
  <si>
    <t>L-1793-315470070</t>
  </si>
  <si>
    <t>IV 291, 29</t>
  </si>
  <si>
    <t>L-1564-315465948</t>
  </si>
  <si>
    <t>IV 291, 3</t>
  </si>
  <si>
    <t>L-9999-406958041</t>
  </si>
  <si>
    <t>IV 291, 30</t>
  </si>
  <si>
    <t>L-9999-406958033</t>
  </si>
  <si>
    <t>L-1795-406950148</t>
  </si>
  <si>
    <t>L-1795-406950156</t>
  </si>
  <si>
    <t>L-1795-406950164</t>
  </si>
  <si>
    <t>L-1795-40695013X</t>
  </si>
  <si>
    <t>L-1811-406971609</t>
  </si>
  <si>
    <t>IV 291, 33</t>
  </si>
  <si>
    <t>L-1808-406971579</t>
  </si>
  <si>
    <t>L-1811-406971595</t>
  </si>
  <si>
    <t>113265551X</t>
  </si>
  <si>
    <t>L-1810-406971587</t>
  </si>
  <si>
    <t>L-1823-406963770</t>
  </si>
  <si>
    <t>IV 291, 34</t>
  </si>
  <si>
    <t>L-1824-315464534</t>
  </si>
  <si>
    <t>IV 291, 35</t>
  </si>
  <si>
    <t>L-1790-170718522</t>
  </si>
  <si>
    <t>L-1790-170718573</t>
  </si>
  <si>
    <t>L-1790-170718603</t>
  </si>
  <si>
    <t>L-1790-170718689</t>
  </si>
  <si>
    <t>L-1790-170718735</t>
  </si>
  <si>
    <t>100049070X</t>
  </si>
  <si>
    <t>L-1790-170718778</t>
  </si>
  <si>
    <t>L-1790-170718638</t>
  </si>
  <si>
    <t>L-1780-167749390</t>
  </si>
  <si>
    <t>IV 291, 37</t>
  </si>
  <si>
    <t>L-1754-168584166</t>
  </si>
  <si>
    <t>IV 291, 38</t>
  </si>
  <si>
    <t>L-1754-163784949</t>
  </si>
  <si>
    <t>IV 291, 39</t>
  </si>
  <si>
    <t>L-9999-406942552</t>
  </si>
  <si>
    <t>IV 291, 39 a - 1</t>
  </si>
  <si>
    <t>L-9999-406942560</t>
  </si>
  <si>
    <t>IV 291, 39 a - 2</t>
  </si>
  <si>
    <t>L-9999-406942579</t>
  </si>
  <si>
    <t>IV 291, 39 a - 3</t>
  </si>
  <si>
    <t>L-1765-669852295</t>
  </si>
  <si>
    <t>IV 291, 39 a - 3 (Angebundenes Werk)</t>
  </si>
  <si>
    <t>L-1564-315463295</t>
  </si>
  <si>
    <t>IV 291, 4</t>
  </si>
  <si>
    <t>L-1736-170642321</t>
  </si>
  <si>
    <t>IV 291, 40</t>
  </si>
  <si>
    <t>L-1637-169496511</t>
  </si>
  <si>
    <t>L-1636-169503771</t>
  </si>
  <si>
    <t>L-1638-167074954</t>
  </si>
  <si>
    <t>IV 291, 40 a</t>
  </si>
  <si>
    <t>L-1671-166185272</t>
  </si>
  <si>
    <t>IV 291, 41</t>
  </si>
  <si>
    <t>L-1665-155358987</t>
  </si>
  <si>
    <t>IV 291, 42</t>
  </si>
  <si>
    <t>L-1665-169106179</t>
  </si>
  <si>
    <t>L-1788-170052095</t>
  </si>
  <si>
    <t>IV 291, 43</t>
  </si>
  <si>
    <t>L-1621-169603350</t>
  </si>
  <si>
    <t>IV 291, 44</t>
  </si>
  <si>
    <t>L-1684-178427160</t>
  </si>
  <si>
    <t>IV 291, 45</t>
  </si>
  <si>
    <t>L-1721-163292310</t>
  </si>
  <si>
    <t>IV 291, 46</t>
  </si>
  <si>
    <t>L-1721-16329240X</t>
  </si>
  <si>
    <t>L-1721-163292485</t>
  </si>
  <si>
    <t>L-1721-163292922</t>
  </si>
  <si>
    <t>L-1721-163292620</t>
  </si>
  <si>
    <t>L-1721-163292892</t>
  </si>
  <si>
    <t>L-1721-163292795</t>
  </si>
  <si>
    <t>99706899X</t>
  </si>
  <si>
    <t>L-1721-163292736</t>
  </si>
  <si>
    <t>L-1775-170275655</t>
  </si>
  <si>
    <t>IV 291, 47</t>
  </si>
  <si>
    <t>L-1732-155360361</t>
  </si>
  <si>
    <t>IV 291, 48</t>
  </si>
  <si>
    <t>L-1768-167946811</t>
  </si>
  <si>
    <t>IV 291, 49</t>
  </si>
  <si>
    <t>L-1566-315460822</t>
  </si>
  <si>
    <t>IV 291, 5</t>
  </si>
  <si>
    <t>L-1566-156892014</t>
  </si>
  <si>
    <t>99459352X</t>
  </si>
  <si>
    <t>IV 291, 5 a</t>
  </si>
  <si>
    <t>L-1570-163421455</t>
  </si>
  <si>
    <t>L-1566-16342067X</t>
  </si>
  <si>
    <t>L-1746-166123064</t>
  </si>
  <si>
    <t>IV 291, 50</t>
  </si>
  <si>
    <t>L-1755-166160962</t>
  </si>
  <si>
    <t>IV 291, 51</t>
  </si>
  <si>
    <t>L-1755-166161012</t>
  </si>
  <si>
    <t>L-1756-166161063</t>
  </si>
  <si>
    <t>L-1759-166161136</t>
  </si>
  <si>
    <t>L-1755-159727952</t>
  </si>
  <si>
    <t>L-1755-15972807X</t>
  </si>
  <si>
    <t>L-1749-167187864</t>
  </si>
  <si>
    <t>IV 291, 53</t>
  </si>
  <si>
    <t>L-1780-170046036</t>
  </si>
  <si>
    <t>L-1780-170048217</t>
  </si>
  <si>
    <t>L-1780-170051838</t>
  </si>
  <si>
    <t>L-1780-17004825X</t>
  </si>
  <si>
    <t>L-1780-170046168</t>
  </si>
  <si>
    <t>L-1780-170051641</t>
  </si>
  <si>
    <t>L-1780-17004646X</t>
  </si>
  <si>
    <t>100012651X</t>
  </si>
  <si>
    <t>L-1780-170051897</t>
  </si>
  <si>
    <t>L-1757-432606157</t>
  </si>
  <si>
    <t>IV 291, 53a</t>
  </si>
  <si>
    <t>L-1707-166364193</t>
  </si>
  <si>
    <t>IV 291, 54</t>
  </si>
  <si>
    <t>L-1644-176888489</t>
  </si>
  <si>
    <t>IV 291, 55</t>
  </si>
  <si>
    <t>L-1651-156070561</t>
  </si>
  <si>
    <t>IV 291, 56</t>
  </si>
  <si>
    <t>L-1729-170182827</t>
  </si>
  <si>
    <t>IV 291, 57</t>
  </si>
  <si>
    <t>L-1729-169830772</t>
  </si>
  <si>
    <t>L-1733-16378308X</t>
  </si>
  <si>
    <t>IV 291, 57 b</t>
  </si>
  <si>
    <t>L-1703-175796440</t>
  </si>
  <si>
    <t>IV 291, 57a</t>
  </si>
  <si>
    <t>L-1768-176764364</t>
  </si>
  <si>
    <t>IV 291, 58</t>
  </si>
  <si>
    <t>L-1768-176764291</t>
  </si>
  <si>
    <t>L-1768-176764267</t>
  </si>
  <si>
    <t>L-1754-157723429</t>
  </si>
  <si>
    <t>L-1760-157723437</t>
  </si>
  <si>
    <t>99471565X</t>
  </si>
  <si>
    <t>L-1752-157723380</t>
  </si>
  <si>
    <t>L-1764-157723461</t>
  </si>
  <si>
    <t>L-1572-169967964</t>
  </si>
  <si>
    <t>IV 291, 5b</t>
  </si>
  <si>
    <t>L-1572-169968057</t>
  </si>
  <si>
    <t>L-1572-175969574</t>
  </si>
  <si>
    <t>100199079X</t>
  </si>
  <si>
    <t>IV 291, 5c</t>
  </si>
  <si>
    <t>L-1572-175969655</t>
  </si>
  <si>
    <t>L-1572-175969760</t>
  </si>
  <si>
    <t>L-1572-175969841</t>
  </si>
  <si>
    <t>L-1572-175969922</t>
  </si>
  <si>
    <t>L-1575-154115924</t>
  </si>
  <si>
    <t>IV 291, 5d</t>
  </si>
  <si>
    <t>L-1578-406963010</t>
  </si>
  <si>
    <t>IV 291, 6</t>
  </si>
  <si>
    <t>L-1578-406962979</t>
  </si>
  <si>
    <t>L-1578-406962995</t>
  </si>
  <si>
    <t>L-1721-160485355</t>
  </si>
  <si>
    <t>IV 291, 60</t>
  </si>
  <si>
    <t>L-1580-176983937</t>
  </si>
  <si>
    <t>IV 291, 61</t>
  </si>
  <si>
    <t>L-1687-166393126</t>
  </si>
  <si>
    <t>IV 291, 62</t>
  </si>
  <si>
    <t>L-1675-177847964</t>
  </si>
  <si>
    <t>100269373X</t>
  </si>
  <si>
    <t>IV 291, 63</t>
  </si>
  <si>
    <t>L-1670-166459453</t>
  </si>
  <si>
    <t>IV 291, 64</t>
  </si>
  <si>
    <t>L-1642-154137596</t>
  </si>
  <si>
    <t>IV 291, 64 a</t>
  </si>
  <si>
    <t>L-1759-158695518</t>
  </si>
  <si>
    <t>IV 291, 65</t>
  </si>
  <si>
    <t>L-1742-170119793</t>
  </si>
  <si>
    <t>IV 291, 66</t>
  </si>
  <si>
    <t>L-1726-156888416</t>
  </si>
  <si>
    <t>IV 291, 67</t>
  </si>
  <si>
    <t>L-1773-177100540</t>
  </si>
  <si>
    <t>IV 291, 68</t>
  </si>
  <si>
    <t>L-1773-177100710</t>
  </si>
  <si>
    <t>L-1773-177100656</t>
  </si>
  <si>
    <t>L-1773-177100591</t>
  </si>
  <si>
    <t>L-1796-177907134</t>
  </si>
  <si>
    <t>IV 291, 69</t>
  </si>
  <si>
    <t>L-1796-17790710X</t>
  </si>
  <si>
    <t>L-1796-177907061</t>
  </si>
  <si>
    <t>L-1796-177907002</t>
  </si>
  <si>
    <t>L-1581-180257188</t>
  </si>
  <si>
    <t>IV 291, 6a</t>
  </si>
  <si>
    <t>L-1591-315331860</t>
  </si>
  <si>
    <t>IV 291, 7</t>
  </si>
  <si>
    <t>L-1734-167950517</t>
  </si>
  <si>
    <t>99935065X</t>
  </si>
  <si>
    <t>IV 291, 70</t>
  </si>
  <si>
    <t>L-1734-16795086X</t>
  </si>
  <si>
    <t>L-1734-167950770</t>
  </si>
  <si>
    <t>L-1734-167950711</t>
  </si>
  <si>
    <t>L-1734-16795069X</t>
  </si>
  <si>
    <t>L-1734-167950630</t>
  </si>
  <si>
    <t>L-1760-167946641</t>
  </si>
  <si>
    <t>IV 291, 70 a</t>
  </si>
  <si>
    <t>L-1746-15411233X</t>
  </si>
  <si>
    <t>L-1746-154112348</t>
  </si>
  <si>
    <t>99397239X</t>
  </si>
  <si>
    <t>L-1746-154112356</t>
  </si>
  <si>
    <t>L-1746-154112321</t>
  </si>
  <si>
    <t>L-1762-166135410</t>
  </si>
  <si>
    <t>IV 291, 72</t>
  </si>
  <si>
    <t>L-1765-167378333</t>
  </si>
  <si>
    <t>IV 291, 73</t>
  </si>
  <si>
    <t>L-1766-176907181</t>
  </si>
  <si>
    <t>IV 291, 74</t>
  </si>
  <si>
    <t>L-1766-176907343</t>
  </si>
  <si>
    <t>L-1713-155387901</t>
  </si>
  <si>
    <t>IV 291, 75</t>
  </si>
  <si>
    <t>L-1734-177453400</t>
  </si>
  <si>
    <t>IV 291, 76</t>
  </si>
  <si>
    <t>L-1743-177904305</t>
  </si>
  <si>
    <t>IV 291, 77</t>
  </si>
  <si>
    <t>L-1743-177904186</t>
  </si>
  <si>
    <t>L-1743-177904437</t>
  </si>
  <si>
    <t>100273228X</t>
  </si>
  <si>
    <t>L-1743-177904259</t>
  </si>
  <si>
    <t>L-1666-17038182X</t>
  </si>
  <si>
    <t>IV 291, 78</t>
  </si>
  <si>
    <t>L-1774-163157049</t>
  </si>
  <si>
    <t>99699338X</t>
  </si>
  <si>
    <t>L-1774-163156794</t>
  </si>
  <si>
    <t>L-1774-163157111</t>
  </si>
  <si>
    <t>L-1774-163157200</t>
  </si>
  <si>
    <t>L-1594-315323841</t>
  </si>
  <si>
    <t>IV 291, 8</t>
  </si>
  <si>
    <t>L-1730-159726220</t>
  </si>
  <si>
    <t>IV 291, 8/a</t>
  </si>
  <si>
    <t>L-1730-159726441</t>
  </si>
  <si>
    <t>99554834X</t>
  </si>
  <si>
    <t>L-1683-175049130</t>
  </si>
  <si>
    <t>IV 291, 80</t>
  </si>
  <si>
    <t>L-1748-174970226</t>
  </si>
  <si>
    <t>IV 291, 81</t>
  </si>
  <si>
    <t>L-1741-169968626</t>
  </si>
  <si>
    <t>IV 291, 81 a</t>
  </si>
  <si>
    <t>L-1741-169968758</t>
  </si>
  <si>
    <t>L-1741-169968731</t>
  </si>
  <si>
    <t>L-1672-160439833</t>
  </si>
  <si>
    <t>99569141X</t>
  </si>
  <si>
    <t>IV 291, 82</t>
  </si>
  <si>
    <t>L-1655-167902822</t>
  </si>
  <si>
    <t>99930495X</t>
  </si>
  <si>
    <t>L-1658-157182479</t>
  </si>
  <si>
    <t>IV 291, 82/a</t>
  </si>
  <si>
    <t>L-1682-167948067</t>
  </si>
  <si>
    <t>IV 291, 83</t>
  </si>
  <si>
    <t>L-1746-166160725</t>
  </si>
  <si>
    <t>IV 291, 84</t>
  </si>
  <si>
    <t>L-1746-166160741</t>
  </si>
  <si>
    <t>L-1779-178571180</t>
  </si>
  <si>
    <t>IV 291, 85</t>
  </si>
  <si>
    <t>L-1724-166459941</t>
  </si>
  <si>
    <t>IV 291, 86</t>
  </si>
  <si>
    <t>L-1773-164265473</t>
  </si>
  <si>
    <t>IV 291, 87</t>
  </si>
  <si>
    <t>L-1774-164265848</t>
  </si>
  <si>
    <t>99756248X</t>
  </si>
  <si>
    <t>IV 291, 88</t>
  </si>
  <si>
    <t>L-1730-159727235</t>
  </si>
  <si>
    <t>IV 291, 89</t>
  </si>
  <si>
    <t>L-1730-159727324</t>
  </si>
  <si>
    <t>IV 291, 89 a</t>
  </si>
  <si>
    <t>L-1579-315183004</t>
  </si>
  <si>
    <t>106676042X</t>
  </si>
  <si>
    <t>IV 291, 9</t>
  </si>
  <si>
    <t>L-1704-167684469</t>
  </si>
  <si>
    <t>99917763X</t>
  </si>
  <si>
    <t>IV 291, 90</t>
  </si>
  <si>
    <t>L-1745-157756572</t>
  </si>
  <si>
    <t>IV 291, 91</t>
  </si>
  <si>
    <t>L-1778-155361465</t>
  </si>
  <si>
    <t>IV 291, 92</t>
  </si>
  <si>
    <t>L-1705-160205522</t>
  </si>
  <si>
    <t>IV 291, 93</t>
  </si>
  <si>
    <t>L-1714-154384097</t>
  </si>
  <si>
    <t>IV 291, 94</t>
  </si>
  <si>
    <t>L-1600-160220513</t>
  </si>
  <si>
    <t>IV 291, 95</t>
  </si>
  <si>
    <t>L-1600-160220645</t>
  </si>
  <si>
    <t>L-1792-166968927</t>
  </si>
  <si>
    <t>IV 291, 96</t>
  </si>
  <si>
    <t>L-1792-166969052</t>
  </si>
  <si>
    <t>L-1639-171778723</t>
  </si>
  <si>
    <t>IV 291, 98</t>
  </si>
  <si>
    <t>L-1664-170502635</t>
  </si>
  <si>
    <t>L-1795-160429528</t>
  </si>
  <si>
    <t>IV 291, 99</t>
  </si>
  <si>
    <t>L-1775-315469137</t>
  </si>
  <si>
    <t>IV 292, 1</t>
  </si>
  <si>
    <t>L-1794-31521953X</t>
  </si>
  <si>
    <t>IV 292, 10</t>
  </si>
  <si>
    <t>L-1791-169998266</t>
  </si>
  <si>
    <t>L-1791-169998657</t>
  </si>
  <si>
    <t>L-1827-169998460</t>
  </si>
  <si>
    <t>L-1826-169998428</t>
  </si>
  <si>
    <t>L-1795-169998355</t>
  </si>
  <si>
    <t>L-1804-315308672</t>
  </si>
  <si>
    <t>IV 292, 11</t>
  </si>
  <si>
    <t>L-1806-315297735</t>
  </si>
  <si>
    <t>IV 292, 12</t>
  </si>
  <si>
    <t>L-1808-40696713X</t>
  </si>
  <si>
    <t>IV 292, 13</t>
  </si>
  <si>
    <t>L-1808-406967156</t>
  </si>
  <si>
    <t>L-1808-406967113</t>
  </si>
  <si>
    <t>L-1811-406972478</t>
  </si>
  <si>
    <t>113265677X</t>
  </si>
  <si>
    <t>IV 292, 14</t>
  </si>
  <si>
    <t>L-1811-40697246X</t>
  </si>
  <si>
    <t>L-1813-406972346</t>
  </si>
  <si>
    <t>113265663X</t>
  </si>
  <si>
    <t>IV 292, 15</t>
  </si>
  <si>
    <t>L-1813-406972354</t>
  </si>
  <si>
    <t>L-1813-40697232X</t>
  </si>
  <si>
    <t>L-1814-315465581</t>
  </si>
  <si>
    <t>106693777X</t>
  </si>
  <si>
    <t>IV 292, 16</t>
  </si>
  <si>
    <t>L-1824-166476366</t>
  </si>
  <si>
    <t>IV 292, 17</t>
  </si>
  <si>
    <t>L-1785-153970707</t>
  </si>
  <si>
    <t>IV 292, 18</t>
  </si>
  <si>
    <t>L-1785-163415129</t>
  </si>
  <si>
    <t>IV 292, 19</t>
  </si>
  <si>
    <t>L-1783-315466391</t>
  </si>
  <si>
    <t>IV 292, 2</t>
  </si>
  <si>
    <t>L-1794-176889485</t>
  </si>
  <si>
    <t>IV 292, 20</t>
  </si>
  <si>
    <t>L-1794-176889507</t>
  </si>
  <si>
    <t>L-1795-17790612X</t>
  </si>
  <si>
    <t>IV 292, 21</t>
  </si>
  <si>
    <t>L-1795-177906197</t>
  </si>
  <si>
    <t>L-1717-169837858</t>
  </si>
  <si>
    <t>100000130X</t>
  </si>
  <si>
    <t>IV 292, 22</t>
  </si>
  <si>
    <t>L-1783-315465115</t>
  </si>
  <si>
    <t>IV 292, 3</t>
  </si>
  <si>
    <t>L-1786-315218932</t>
  </si>
  <si>
    <t>IV 292, 4</t>
  </si>
  <si>
    <t>L-1787-31533052X</t>
  </si>
  <si>
    <t>IV 292, 5</t>
  </si>
  <si>
    <t>L-1788-315317825</t>
  </si>
  <si>
    <t>IV 292, 6</t>
  </si>
  <si>
    <t>L-1792-406965382</t>
  </si>
  <si>
    <t>113264786X</t>
  </si>
  <si>
    <t>IV 292, 7</t>
  </si>
  <si>
    <t>L-1793-315464372</t>
  </si>
  <si>
    <t>IV 292, 8</t>
  </si>
  <si>
    <t>L-1793-315219661</t>
  </si>
  <si>
    <t>IV 292, 9</t>
  </si>
  <si>
    <t>L-1585-315494077</t>
  </si>
  <si>
    <t>IV 293, 1</t>
  </si>
  <si>
    <t>L-1647-315217278</t>
  </si>
  <si>
    <t>IV 294, 1</t>
  </si>
  <si>
    <t>L-1574-315468106</t>
  </si>
  <si>
    <t>IV 295, 1</t>
  </si>
  <si>
    <t>L-1689-315465093</t>
  </si>
  <si>
    <t>IV 296, 1</t>
  </si>
  <si>
    <t>L-1570-315337877</t>
  </si>
  <si>
    <t>IV 297, 1</t>
  </si>
  <si>
    <t>L-1587-315297549</t>
  </si>
  <si>
    <t>IV 297, 2</t>
  </si>
  <si>
    <t>L-1647-315324325</t>
  </si>
  <si>
    <t>IV 297, 3</t>
  </si>
  <si>
    <t>L-1674-315327650</t>
  </si>
  <si>
    <t>IV 298, 1</t>
  </si>
  <si>
    <t>L-1614-315466111</t>
  </si>
  <si>
    <t>IV 299, 1</t>
  </si>
  <si>
    <t>L-1565-315300442</t>
  </si>
  <si>
    <t>IV 3, 1</t>
  </si>
  <si>
    <t>L-1583-315329637</t>
  </si>
  <si>
    <t>IV 3, 2</t>
  </si>
  <si>
    <t>L-1631-156878577</t>
  </si>
  <si>
    <t>IV 30, 1</t>
  </si>
  <si>
    <t>L-1627-315468254</t>
  </si>
  <si>
    <t>IV 300, 1</t>
  </si>
  <si>
    <t>L-1694-314707360</t>
  </si>
  <si>
    <t>IV 301, 1</t>
  </si>
  <si>
    <t>L-1685-315469323</t>
  </si>
  <si>
    <t>106694167X</t>
  </si>
  <si>
    <t>IV 302, 1</t>
  </si>
  <si>
    <t>L-1689-406959765</t>
  </si>
  <si>
    <t>113264254X</t>
  </si>
  <si>
    <t>IV 302, 2</t>
  </si>
  <si>
    <t>L-1689-406959773</t>
  </si>
  <si>
    <t>L-1618-315191511</t>
  </si>
  <si>
    <t>IV 303, 1</t>
  </si>
  <si>
    <t>L-1589-315219505</t>
  </si>
  <si>
    <t>106679944X</t>
  </si>
  <si>
    <t>IV 304, 1</t>
  </si>
  <si>
    <t>L-1654-315294760</t>
  </si>
  <si>
    <t>IV 305, 1</t>
  </si>
  <si>
    <t>L-1760-160875706</t>
  </si>
  <si>
    <t>IV 305, A, 1</t>
  </si>
  <si>
    <t>L-1668-31546786X</t>
  </si>
  <si>
    <t>IV 306, 1</t>
  </si>
  <si>
    <t>L-1708-315328657</t>
  </si>
  <si>
    <t>IV 307, 1</t>
  </si>
  <si>
    <t>L-1680-315460059</t>
  </si>
  <si>
    <t>106693181X</t>
  </si>
  <si>
    <t>IV 308, 1</t>
  </si>
  <si>
    <t>L-1707-175560161</t>
  </si>
  <si>
    <t>IV 308, 10</t>
  </si>
  <si>
    <t>L-1756-155343459</t>
  </si>
  <si>
    <t>IV 308, 11</t>
  </si>
  <si>
    <t>L-1756-155343491</t>
  </si>
  <si>
    <t>L-1753-162448104</t>
  </si>
  <si>
    <t>IV 308, 12</t>
  </si>
  <si>
    <t>L-1755-171303342</t>
  </si>
  <si>
    <t>IV 308, 13</t>
  </si>
  <si>
    <t>L-1756-171303466</t>
  </si>
  <si>
    <t>L-1714-154653624</t>
  </si>
  <si>
    <t>IV 308, 14</t>
  </si>
  <si>
    <t>L-1675-164084606</t>
  </si>
  <si>
    <t>IV 308, 15</t>
  </si>
  <si>
    <t>L-1791-171087291</t>
  </si>
  <si>
    <t>IV 308, 16</t>
  </si>
  <si>
    <t>L-1791-177418931</t>
  </si>
  <si>
    <t>IV 308, 17</t>
  </si>
  <si>
    <t>L-2007-320110</t>
  </si>
  <si>
    <t>IV 308, 18</t>
  </si>
  <si>
    <t>L-2012-309147</t>
  </si>
  <si>
    <t>IV 308, 19</t>
  </si>
  <si>
    <t>L-1765-315214422</t>
  </si>
  <si>
    <t>IV 308, 2</t>
  </si>
  <si>
    <t>L-1731-17083025X</t>
  </si>
  <si>
    <t>IV 308, 3</t>
  </si>
  <si>
    <t>L-1700-15450422X</t>
  </si>
  <si>
    <t>IV 308, 4</t>
  </si>
  <si>
    <t>L-1780-153973560</t>
  </si>
  <si>
    <t>IV 308, 5</t>
  </si>
  <si>
    <t>L-1730-179382322</t>
  </si>
  <si>
    <t>100328440X</t>
  </si>
  <si>
    <t>IV 308, 6</t>
  </si>
  <si>
    <t>L-1759-175414033</t>
  </si>
  <si>
    <t>IV 308, 7</t>
  </si>
  <si>
    <t>L-1767-171497023</t>
  </si>
  <si>
    <t>IV 308, 7 a</t>
  </si>
  <si>
    <t>L-1750-162449089</t>
  </si>
  <si>
    <t>IV 308, 8</t>
  </si>
  <si>
    <t>L-1751-162449690</t>
  </si>
  <si>
    <t>IV 308, 9</t>
  </si>
  <si>
    <t>L-1712-154744646</t>
  </si>
  <si>
    <t>IV 308, 9a</t>
  </si>
  <si>
    <t>L-1722-315297573</t>
  </si>
  <si>
    <t>IV 309, 1</t>
  </si>
  <si>
    <t>L-1778-179933655</t>
  </si>
  <si>
    <t>100344959X</t>
  </si>
  <si>
    <t>IV 309, 2</t>
  </si>
  <si>
    <t>L-1596-315301589</t>
  </si>
  <si>
    <t>IV 31, 1</t>
  </si>
  <si>
    <t>L-1597-315464283</t>
  </si>
  <si>
    <t>IV 31, 2</t>
  </si>
  <si>
    <t>L-1595-315183071</t>
  </si>
  <si>
    <t>IV 310, 1</t>
  </si>
  <si>
    <t>L-1768-315464992</t>
  </si>
  <si>
    <t>IV 311, 1</t>
  </si>
  <si>
    <t>L-1681-315330511</t>
  </si>
  <si>
    <t>IV 312, 2</t>
  </si>
  <si>
    <t>L-1680-670798991</t>
  </si>
  <si>
    <t>IV 312, 2 (1. angebundenes Werk)</t>
  </si>
  <si>
    <t>L-1700-315317302</t>
  </si>
  <si>
    <t>IV 312, 3</t>
  </si>
  <si>
    <t>L-1796-167602454</t>
  </si>
  <si>
    <t>IV 312, 4</t>
  </si>
  <si>
    <t>L-1618-315454687</t>
  </si>
  <si>
    <t>IV 313, 1</t>
  </si>
  <si>
    <t>L-1673-315468394</t>
  </si>
  <si>
    <t>IV 314, 1</t>
  </si>
  <si>
    <t>L-1750-315187107</t>
  </si>
  <si>
    <t>IV 315, 1</t>
  </si>
  <si>
    <t>L-1682-315301538</t>
  </si>
  <si>
    <t>106684173X</t>
  </si>
  <si>
    <t>IV 316, 1</t>
  </si>
  <si>
    <t>L-1611-315306483</t>
  </si>
  <si>
    <t>IV 317, 1</t>
  </si>
  <si>
    <t>L-1669-154288365</t>
  </si>
  <si>
    <t>99400656X</t>
  </si>
  <si>
    <t>IV 317, 2</t>
  </si>
  <si>
    <t>L-1607-154004731</t>
  </si>
  <si>
    <t>IV 318, 1</t>
  </si>
  <si>
    <t>L-1777-161908144</t>
  </si>
  <si>
    <t>IV 319 C, 1</t>
  </si>
  <si>
    <t>L-1562-315492074</t>
  </si>
  <si>
    <t>IV 319, 1</t>
  </si>
  <si>
    <t>L-1564-17648437X</t>
  </si>
  <si>
    <t>IV 319, 1 c</t>
  </si>
  <si>
    <t>L-1561-161003397</t>
  </si>
  <si>
    <t>IV 319, 1/a</t>
  </si>
  <si>
    <t>L-1561-161004318</t>
  </si>
  <si>
    <t>IV 319, 1/b</t>
  </si>
  <si>
    <t>L-1675-315301880</t>
  </si>
  <si>
    <t>IV 319, 2</t>
  </si>
  <si>
    <t>L-1767-167419226</t>
  </si>
  <si>
    <t>IV 319, 3</t>
  </si>
  <si>
    <t>L-1780-171822374</t>
  </si>
  <si>
    <t>IV 319, 4</t>
  </si>
  <si>
    <t>L-1780-171822277</t>
  </si>
  <si>
    <t>L-1761-171822927</t>
  </si>
  <si>
    <t>IV 319, 5</t>
  </si>
  <si>
    <t>L-2019-302087</t>
  </si>
  <si>
    <t>IV 319, 6</t>
  </si>
  <si>
    <t>L-1723-315195274</t>
  </si>
  <si>
    <t>IV 32, 1</t>
  </si>
  <si>
    <t>L-1794-161944809</t>
  </si>
  <si>
    <t>IV 320 A, 1</t>
  </si>
  <si>
    <t>L-1794-161944655</t>
  </si>
  <si>
    <t>L-1783-163025398</t>
  </si>
  <si>
    <t>99691417X</t>
  </si>
  <si>
    <t>IV 320 A, 2</t>
  </si>
  <si>
    <t>L-1788-170250075</t>
  </si>
  <si>
    <t>IV 320 A, 3</t>
  </si>
  <si>
    <t>L-1776-165365129</t>
  </si>
  <si>
    <t>99797334X</t>
  </si>
  <si>
    <t>IV 320 A, 3a</t>
  </si>
  <si>
    <t>L-1776-165365145</t>
  </si>
  <si>
    <t>L-1794-165368152</t>
  </si>
  <si>
    <t>IV 320 A, 3b</t>
  </si>
  <si>
    <t>L-1794-165368764</t>
  </si>
  <si>
    <t>99797673X</t>
  </si>
  <si>
    <t>L-1794-16536873X</t>
  </si>
  <si>
    <t>L-1794-165368683</t>
  </si>
  <si>
    <t>L-1726-315334762</t>
  </si>
  <si>
    <t>IV 320, 1</t>
  </si>
  <si>
    <t>L-1749-315328886</t>
  </si>
  <si>
    <t>IV 320, 2</t>
  </si>
  <si>
    <t>L-1634-315469056</t>
  </si>
  <si>
    <t>106694136X</t>
  </si>
  <si>
    <t>IV 321, 1</t>
  </si>
  <si>
    <t>L-1722-315469811</t>
  </si>
  <si>
    <t>106694217X</t>
  </si>
  <si>
    <t>IV 322, 1</t>
  </si>
  <si>
    <t>L-1598-315467835</t>
  </si>
  <si>
    <t>IV 323, 1</t>
  </si>
  <si>
    <t>L-1787-163378665</t>
  </si>
  <si>
    <t>IV 323, 10</t>
  </si>
  <si>
    <t>L-1784-163378584</t>
  </si>
  <si>
    <t>L-1800-163380546</t>
  </si>
  <si>
    <t>IV 323, 11</t>
  </si>
  <si>
    <t>L-1800-163380473</t>
  </si>
  <si>
    <t>L-1800-16338052X</t>
  </si>
  <si>
    <t>L-1798-163381151</t>
  </si>
  <si>
    <t>IV 323, 12</t>
  </si>
  <si>
    <t>L-1794-163376948</t>
  </si>
  <si>
    <t>IV 323, 13</t>
  </si>
  <si>
    <t>L-1793-163406979</t>
  </si>
  <si>
    <t>IV 323, 14</t>
  </si>
  <si>
    <t>L-1796-163407088</t>
  </si>
  <si>
    <t>L-1795-163406995</t>
  </si>
  <si>
    <t>L-1799-163380783</t>
  </si>
  <si>
    <t>IV 323, 15</t>
  </si>
  <si>
    <t>L-1799-163380686</t>
  </si>
  <si>
    <t>L-1776-163381860</t>
  </si>
  <si>
    <t>IV 323, 16</t>
  </si>
  <si>
    <t>L-1774-163381798</t>
  </si>
  <si>
    <t>L-1622-315469439</t>
  </si>
  <si>
    <t>IV 323, 2</t>
  </si>
  <si>
    <t>L-1690-315466405</t>
  </si>
  <si>
    <t>IV 323, 3</t>
  </si>
  <si>
    <t>L-1769-171310535</t>
  </si>
  <si>
    <t>IV 323, 4</t>
  </si>
  <si>
    <t>L-1772-171236726</t>
  </si>
  <si>
    <t>IV 323, 5</t>
  </si>
  <si>
    <t>L-1789-165311517</t>
  </si>
  <si>
    <t>IV 323, 6</t>
  </si>
  <si>
    <t>L-1769-163382433</t>
  </si>
  <si>
    <t>IV 323, 7</t>
  </si>
  <si>
    <t>L-1769-163382581</t>
  </si>
  <si>
    <t>L-1769-163382662</t>
  </si>
  <si>
    <t>L-1769-16338228X</t>
  </si>
  <si>
    <t>L-1768-178571407</t>
  </si>
  <si>
    <t>IV 323, 8</t>
  </si>
  <si>
    <t>L-1792-163378843</t>
  </si>
  <si>
    <t>IV 323, 9</t>
  </si>
  <si>
    <t>L-1790-163378762</t>
  </si>
  <si>
    <t>L-1786-163378746</t>
  </si>
  <si>
    <t>99710452X</t>
  </si>
  <si>
    <t>L-1785-16337869X</t>
  </si>
  <si>
    <t>L-1630-315469285</t>
  </si>
  <si>
    <t>IV 324, 1</t>
  </si>
  <si>
    <t>L-1648-169128024</t>
  </si>
  <si>
    <t>IV 324, 2</t>
  </si>
  <si>
    <t>L-1652-153947292</t>
  </si>
  <si>
    <t>L-1642-16545069X</t>
  </si>
  <si>
    <t>IV 324, 2 a</t>
  </si>
  <si>
    <t>L-1661-315202092</t>
  </si>
  <si>
    <t>IV 324, 3</t>
  </si>
  <si>
    <t>L-1560-315203919</t>
  </si>
  <si>
    <t>IV 325, 1</t>
  </si>
  <si>
    <t>L-1562-315469382</t>
  </si>
  <si>
    <t>IV 325, 2</t>
  </si>
  <si>
    <t>L-1772-17123667X</t>
  </si>
  <si>
    <t>IV 325, 5</t>
  </si>
  <si>
    <t>L-1698-315201924</t>
  </si>
  <si>
    <t>IV 326, 1</t>
  </si>
  <si>
    <t>L-1631-31529793X</t>
  </si>
  <si>
    <t>IV 327, 1</t>
  </si>
  <si>
    <t>L-1636-165270578</t>
  </si>
  <si>
    <t>IV 327, 1 c</t>
  </si>
  <si>
    <t>L-1659-170719219</t>
  </si>
  <si>
    <t>IV 327, 1 d</t>
  </si>
  <si>
    <t>L-1695-154527076</t>
  </si>
  <si>
    <t>IV 327, 10</t>
  </si>
  <si>
    <t>L-1673-154527300</t>
  </si>
  <si>
    <t>IV 327, 11</t>
  </si>
  <si>
    <t>L-1766-164088393</t>
  </si>
  <si>
    <t>IV 327, 12</t>
  </si>
  <si>
    <t>L-1735-156045710</t>
  </si>
  <si>
    <t>IV 327, 13</t>
  </si>
  <si>
    <t>L-1679-168536579</t>
  </si>
  <si>
    <t>IV 327, 14</t>
  </si>
  <si>
    <t>L-1762-169899985</t>
  </si>
  <si>
    <t>IV 327, 15</t>
  </si>
  <si>
    <t>L-1762-169899632</t>
  </si>
  <si>
    <t>100002508X</t>
  </si>
  <si>
    <t>L-1764-169899357</t>
  </si>
  <si>
    <t>L-1785-170331725</t>
  </si>
  <si>
    <t>IV 327, 16</t>
  </si>
  <si>
    <t>L-1751-178251437</t>
  </si>
  <si>
    <t>IV 327, 17</t>
  </si>
  <si>
    <t>L-1751-17825147X</t>
  </si>
  <si>
    <t>L-1751-178251488</t>
  </si>
  <si>
    <t>L-1705-178418358</t>
  </si>
  <si>
    <t>IV 327, 18</t>
  </si>
  <si>
    <t>L-1712-178418927</t>
  </si>
  <si>
    <t>L-1714-17841915X</t>
  </si>
  <si>
    <t>L-2009-322329</t>
  </si>
  <si>
    <t>IV 327, 19</t>
  </si>
  <si>
    <t>L-1773-153973749</t>
  </si>
  <si>
    <t>IV 327, 1b</t>
  </si>
  <si>
    <t>L-1686-406965013</t>
  </si>
  <si>
    <t>IV 327, 2</t>
  </si>
  <si>
    <t>L-1686-406965005</t>
  </si>
  <si>
    <t>L-1688-406965021</t>
  </si>
  <si>
    <t>L-1690-674906918</t>
  </si>
  <si>
    <t>IV 327, 2 (Angebundenes Werk)</t>
  </si>
  <si>
    <t>L-2012-327105</t>
  </si>
  <si>
    <t>IV 327, 20</t>
  </si>
  <si>
    <t>L-1694-315468963</t>
  </si>
  <si>
    <t>IV 327, 3</t>
  </si>
  <si>
    <t>L-1731-315294523</t>
  </si>
  <si>
    <t>106683458X</t>
  </si>
  <si>
    <t>IV 327, 4</t>
  </si>
  <si>
    <t>L-1751-161291023</t>
  </si>
  <si>
    <t>IV 327, 4/a</t>
  </si>
  <si>
    <t>L-1704-168549514</t>
  </si>
  <si>
    <t>IV 327, 5</t>
  </si>
  <si>
    <t>L-1637-170046729</t>
  </si>
  <si>
    <t>IV 327, 6</t>
  </si>
  <si>
    <t>L-1653-155607219</t>
  </si>
  <si>
    <t>99440476X</t>
  </si>
  <si>
    <t>IV 327, 7</t>
  </si>
  <si>
    <t>L-1666-153919175</t>
  </si>
  <si>
    <t>99386550X</t>
  </si>
  <si>
    <t>IV 327, 8</t>
  </si>
  <si>
    <t>L-1647-154384992</t>
  </si>
  <si>
    <t>99405601X</t>
  </si>
  <si>
    <t>IV 327, 9</t>
  </si>
  <si>
    <t>L-1615-315198575</t>
  </si>
  <si>
    <t>IV 328, 1</t>
  </si>
  <si>
    <t>L-1619-315465719</t>
  </si>
  <si>
    <t>IV 328, 2</t>
  </si>
  <si>
    <t>L-1662-170566110</t>
  </si>
  <si>
    <t>IV 329 A, 1</t>
  </si>
  <si>
    <t>L-1717-164706283</t>
  </si>
  <si>
    <t>IV 329 A, 2</t>
  </si>
  <si>
    <t>L-1718-171324994</t>
  </si>
  <si>
    <t>IV 329 A, 3</t>
  </si>
  <si>
    <t>L-1757-180277200</t>
  </si>
  <si>
    <t>IV 329 A, 4</t>
  </si>
  <si>
    <t>L-1757-180276565</t>
  </si>
  <si>
    <t>L-1760-180276034</t>
  </si>
  <si>
    <t>L-1757-180274473</t>
  </si>
  <si>
    <t>L-1758-177164646</t>
  </si>
  <si>
    <t>IV 329 A, 4a</t>
  </si>
  <si>
    <t>L-1742-173815006</t>
  </si>
  <si>
    <t>IV 329 A, 5</t>
  </si>
  <si>
    <t>L-1606-315326956</t>
  </si>
  <si>
    <t>IV 329, 1</t>
  </si>
  <si>
    <t>L-1694-315460849</t>
  </si>
  <si>
    <t>IV 33, 1</t>
  </si>
  <si>
    <t>L-1794-168350289</t>
  </si>
  <si>
    <t>IV 33, 10</t>
  </si>
  <si>
    <t>L-1791-168350645</t>
  </si>
  <si>
    <t>IV 33, 11</t>
  </si>
  <si>
    <t>L-1791-154654906</t>
  </si>
  <si>
    <t>IV 33, 12</t>
  </si>
  <si>
    <t>L-1792-157785629</t>
  </si>
  <si>
    <t>L-1792-157785564</t>
  </si>
  <si>
    <t>L-1796-16227808X</t>
  </si>
  <si>
    <t>IV 33, 14</t>
  </si>
  <si>
    <t>L-1800-162276745</t>
  </si>
  <si>
    <t>L-1800-162278241</t>
  </si>
  <si>
    <t>L-1794-162276842</t>
  </si>
  <si>
    <t>L-1795-162277679</t>
  </si>
  <si>
    <t>L-1795-162277598</t>
  </si>
  <si>
    <t>L-1795-162277377</t>
  </si>
  <si>
    <t>L-1796-162355122</t>
  </si>
  <si>
    <t>IV 33, 14a</t>
  </si>
  <si>
    <t>L-1795-16235505X</t>
  </si>
  <si>
    <t>L-1795-162354983</t>
  </si>
  <si>
    <t>L-1795-162354932</t>
  </si>
  <si>
    <t>L-1794-176913793</t>
  </si>
  <si>
    <t>IV 33, 15</t>
  </si>
  <si>
    <t>L-1798-175169918</t>
  </si>
  <si>
    <t>IV 33, 16</t>
  </si>
  <si>
    <t>L-1801-175169977</t>
  </si>
  <si>
    <t>L-1794-154361550</t>
  </si>
  <si>
    <t>L-1794-154362417</t>
  </si>
  <si>
    <t>L-1784-164550291</t>
  </si>
  <si>
    <t>L-1742-174156049</t>
  </si>
  <si>
    <t>IV 33, 17</t>
  </si>
  <si>
    <t>L-1772-167782290</t>
  </si>
  <si>
    <t>IV 33, 19</t>
  </si>
  <si>
    <t>L-1780-160883792</t>
  </si>
  <si>
    <t>IV 33, 19a</t>
  </si>
  <si>
    <t>L-1695-177722134</t>
  </si>
  <si>
    <t>IV 33, 2</t>
  </si>
  <si>
    <t>L-1777-164531386</t>
  </si>
  <si>
    <t>IV 33, 20</t>
  </si>
  <si>
    <t>L-1779-16136506X</t>
  </si>
  <si>
    <t>IV 33, 20 a</t>
  </si>
  <si>
    <t>L-1783-169795446</t>
  </si>
  <si>
    <t>IV 33, 21</t>
  </si>
  <si>
    <t>L-9999-159357365</t>
  </si>
  <si>
    <t>IV 33, 21 a</t>
  </si>
  <si>
    <t>L-1783-167925865</t>
  </si>
  <si>
    <t>IV 33, 21 b</t>
  </si>
  <si>
    <t>L-1727-17298386X</t>
  </si>
  <si>
    <t>IV 33, 22</t>
  </si>
  <si>
    <t>L-1727-155912402</t>
  </si>
  <si>
    <t>L-1738-170550966</t>
  </si>
  <si>
    <t>IV 33, 22 a</t>
  </si>
  <si>
    <t>L-1746-163481385</t>
  </si>
  <si>
    <t>01274042X</t>
  </si>
  <si>
    <t>IV 33, 23</t>
  </si>
  <si>
    <t>L-1740-168503700</t>
  </si>
  <si>
    <t>IV 33, 24</t>
  </si>
  <si>
    <t>L-1794-173846408</t>
  </si>
  <si>
    <t>IV 33, 25</t>
  </si>
  <si>
    <t>L-1795-164552804</t>
  </si>
  <si>
    <t>01299832X</t>
  </si>
  <si>
    <t>L-1755-169954560</t>
  </si>
  <si>
    <t>IV 33, 25a</t>
  </si>
  <si>
    <t>L-1754-169954617</t>
  </si>
  <si>
    <t>100005618X</t>
  </si>
  <si>
    <t>L-1755-169954668</t>
  </si>
  <si>
    <t>L-1798-175844690</t>
  </si>
  <si>
    <t>L-1798-175844658</t>
  </si>
  <si>
    <t>L-1787-156404184</t>
  </si>
  <si>
    <t>L-1805-18231023X</t>
  </si>
  <si>
    <t>IV 33, 27</t>
  </si>
  <si>
    <t>L-1789-315469196</t>
  </si>
  <si>
    <t>106694153X</t>
  </si>
  <si>
    <t>L-1798-182310108</t>
  </si>
  <si>
    <t>L-1790-163379459</t>
  </si>
  <si>
    <t>99710516X</t>
  </si>
  <si>
    <t>IV 33, 27 a</t>
  </si>
  <si>
    <t>L-1799-16337936X</t>
  </si>
  <si>
    <t>L-1796-163379262</t>
  </si>
  <si>
    <t>L-1790-163379173</t>
  </si>
  <si>
    <t>L-1804-171697545</t>
  </si>
  <si>
    <t>L-1803-V</t>
  </si>
  <si>
    <t>L-1801-171697669</t>
  </si>
  <si>
    <t>L-1784-155606174</t>
  </si>
  <si>
    <t>IV 33, 28</t>
  </si>
  <si>
    <t>L-1787-170255042</t>
  </si>
  <si>
    <t>L-1786-170254151</t>
  </si>
  <si>
    <t>L-1786-170254038</t>
  </si>
  <si>
    <t>L-1787-17025416X</t>
  </si>
  <si>
    <t>L-1696-154502243</t>
  </si>
  <si>
    <t>L-1698-154502480</t>
  </si>
  <si>
    <t>L-1701-15450274X</t>
  </si>
  <si>
    <t>L-1787-170770656</t>
  </si>
  <si>
    <t>IV 33, 30</t>
  </si>
  <si>
    <t>L-1791-168349965</t>
  </si>
  <si>
    <t>IV 33, 30a</t>
  </si>
  <si>
    <t>L-1792-15560645X</t>
  </si>
  <si>
    <t>99440428X</t>
  </si>
  <si>
    <t>IV 33, 31</t>
  </si>
  <si>
    <t>L-1797-165290943</t>
  </si>
  <si>
    <t>IV 33, 31 a</t>
  </si>
  <si>
    <t>L-1717-164333266</t>
  </si>
  <si>
    <t>IV 33, 32</t>
  </si>
  <si>
    <t>L-1733-163253862</t>
  </si>
  <si>
    <t>99703713X</t>
  </si>
  <si>
    <t>L-1762-169686736</t>
  </si>
  <si>
    <t>IV 33, 33</t>
  </si>
  <si>
    <t>L-1760-169686671</t>
  </si>
  <si>
    <t>L-1761-153705248</t>
  </si>
  <si>
    <t>IV 33, 34</t>
  </si>
  <si>
    <t>L-1768-153705345</t>
  </si>
  <si>
    <t>IV 33, 35</t>
  </si>
  <si>
    <t>L-1775-168643316</t>
  </si>
  <si>
    <t>L-1774-168643251</t>
  </si>
  <si>
    <t>L-1776-168643340</t>
  </si>
  <si>
    <t>L-1801-170599507</t>
  </si>
  <si>
    <t>L-1793-170599434</t>
  </si>
  <si>
    <t>L-1776-170815307</t>
  </si>
  <si>
    <t>IV 33, 36</t>
  </si>
  <si>
    <t>L-1780-176482598</t>
  </si>
  <si>
    <t>IV 33, 36a</t>
  </si>
  <si>
    <t>L-1802-159523230</t>
  </si>
  <si>
    <t>IV 33, 37</t>
  </si>
  <si>
    <t>L-1801-168642069</t>
  </si>
  <si>
    <t>IV 33, 37 d</t>
  </si>
  <si>
    <t>L-1799-168642689</t>
  </si>
  <si>
    <t>L-1801-160338484</t>
  </si>
  <si>
    <t>99563775X</t>
  </si>
  <si>
    <t>L-1782-157872408</t>
  </si>
  <si>
    <t>IV 33, 37a</t>
  </si>
  <si>
    <t>L-1781-168643073</t>
  </si>
  <si>
    <t>IV 33, 37b</t>
  </si>
  <si>
    <t>L-1781-179578715</t>
  </si>
  <si>
    <t>L-1781-179578669</t>
  </si>
  <si>
    <t>L-1801-168361965</t>
  </si>
  <si>
    <t>IV 33, 37d</t>
  </si>
  <si>
    <t>L-1769-159598575</t>
  </si>
  <si>
    <t>L-1766-15959698X</t>
  </si>
  <si>
    <t>L-1769-159598451</t>
  </si>
  <si>
    <t>L-1767-159597072</t>
  </si>
  <si>
    <t>L-1763-159596637</t>
  </si>
  <si>
    <t>L-1764-159593816</t>
  </si>
  <si>
    <t>L-1762-159592585</t>
  </si>
  <si>
    <t>L-1765-159596874</t>
  </si>
  <si>
    <t>L-1768-159597129</t>
  </si>
  <si>
    <t>L-1745-163897980</t>
  </si>
  <si>
    <t>IV 33, 38 c</t>
  </si>
  <si>
    <t>L-1721-161343775</t>
  </si>
  <si>
    <t>IV 33, 38/a</t>
  </si>
  <si>
    <t>L-1721-177420391</t>
  </si>
  <si>
    <t>IV 33, 38b</t>
  </si>
  <si>
    <t>L-1800-170330079</t>
  </si>
  <si>
    <t>L-1800-170330125</t>
  </si>
  <si>
    <t>L-1690-175306907</t>
  </si>
  <si>
    <t>IV 33, 3a</t>
  </si>
  <si>
    <t>L-1760-315468122</t>
  </si>
  <si>
    <t>IV 33, 4</t>
  </si>
  <si>
    <t>L-1772-163376735</t>
  </si>
  <si>
    <t>IV 33, 4 a</t>
  </si>
  <si>
    <t>L-1788-160881773</t>
  </si>
  <si>
    <t>L-1788-160882745</t>
  </si>
  <si>
    <t>L-1788-160881560</t>
  </si>
  <si>
    <t>L-1788-160882788</t>
  </si>
  <si>
    <t>L-1788-160880424</t>
  </si>
  <si>
    <t>L-1788-160882796</t>
  </si>
  <si>
    <t>L-1788-160880343</t>
  </si>
  <si>
    <t>L-1788-16088280X</t>
  </si>
  <si>
    <t>L-1788-160880165</t>
  </si>
  <si>
    <t>L-1788-160881854</t>
  </si>
  <si>
    <t>L-1788-160881978</t>
  </si>
  <si>
    <t>L-1788-16088201X</t>
  </si>
  <si>
    <t>L-1788-160882079</t>
  </si>
  <si>
    <t>L-1788-160882737</t>
  </si>
  <si>
    <t>L-1788-160882729</t>
  </si>
  <si>
    <t>L-1794-160501822</t>
  </si>
  <si>
    <t>L-1791-160501776</t>
  </si>
  <si>
    <t>L-1793-166614157</t>
  </si>
  <si>
    <t>L-1795-153914467</t>
  </si>
  <si>
    <t>IV 33, 4 n</t>
  </si>
  <si>
    <t>L-1793-165291249</t>
  </si>
  <si>
    <t>IV 33, 4 q</t>
  </si>
  <si>
    <t>L-1791-160502845</t>
  </si>
  <si>
    <t>IV 33, 4 u</t>
  </si>
  <si>
    <t>L-1795-16661422X</t>
  </si>
  <si>
    <t>IV 33, 4/1</t>
  </si>
  <si>
    <t>L-1790-153705884</t>
  </si>
  <si>
    <t>IV 33, 40</t>
  </si>
  <si>
    <t>L-2012-303401</t>
  </si>
  <si>
    <t>L-2012-303402</t>
  </si>
  <si>
    <t>L-2012-303400</t>
  </si>
  <si>
    <t>L-2012-303403</t>
  </si>
  <si>
    <t>L-1798-175755078</t>
  </si>
  <si>
    <t>L-1795-175754918</t>
  </si>
  <si>
    <t>L-1794-175754721</t>
  </si>
  <si>
    <t>100187160X</t>
  </si>
  <si>
    <t>L-1793-175754411</t>
  </si>
  <si>
    <t>L-1770-154680753</t>
  </si>
  <si>
    <t>IV 33, 42</t>
  </si>
  <si>
    <t>L-1775-157200914</t>
  </si>
  <si>
    <t>IV 33, 42/a4</t>
  </si>
  <si>
    <t>L-1765-157200825</t>
  </si>
  <si>
    <t>IV 33, 42a</t>
  </si>
  <si>
    <t>L-1773-176913394</t>
  </si>
  <si>
    <t>IV 33, 43</t>
  </si>
  <si>
    <t>L-1784-170544672</t>
  </si>
  <si>
    <t>100037842X</t>
  </si>
  <si>
    <t>IV 33, 43 a</t>
  </si>
  <si>
    <t>L-1778-16907966X</t>
  </si>
  <si>
    <t>IV 33, 43 b</t>
  </si>
  <si>
    <t>L-1766-166751294</t>
  </si>
  <si>
    <t>IV 33, 44</t>
  </si>
  <si>
    <t>L-1802-168287544</t>
  </si>
  <si>
    <t>IV 33, 45</t>
  </si>
  <si>
    <t>L-1805-171222830</t>
  </si>
  <si>
    <t>IV 33, 46</t>
  </si>
  <si>
    <t>L-1799-171873033</t>
  </si>
  <si>
    <t>L-1800-171873068</t>
  </si>
  <si>
    <t>100103662X</t>
  </si>
  <si>
    <t>L-1799-171223306</t>
  </si>
  <si>
    <t>L-1794-154848425</t>
  </si>
  <si>
    <t>IV 33, 46 b</t>
  </si>
  <si>
    <t>L-1801-180174592</t>
  </si>
  <si>
    <t>L-1801-180174398</t>
  </si>
  <si>
    <t>L-1805-180174827</t>
  </si>
  <si>
    <t>L-1774-154496561</t>
  </si>
  <si>
    <t>IV 33, 47</t>
  </si>
  <si>
    <t>L-1795-164191240</t>
  </si>
  <si>
    <t>L-1797-164191305</t>
  </si>
  <si>
    <t>L-1798-164191364</t>
  </si>
  <si>
    <t>L-1800-16419147X</t>
  </si>
  <si>
    <t>L-1805-164191542</t>
  </si>
  <si>
    <t>L-1789-156068346</t>
  </si>
  <si>
    <t>IV 33, 48</t>
  </si>
  <si>
    <t>L-1765-161926770</t>
  </si>
  <si>
    <t>L-1764-162993692</t>
  </si>
  <si>
    <t>IV 33, 49</t>
  </si>
  <si>
    <t>L-1773-180548972</t>
  </si>
  <si>
    <t>IV 33, 4a</t>
  </si>
  <si>
    <t>L-1788-166613282</t>
  </si>
  <si>
    <t>IV 33, 4b</t>
  </si>
  <si>
    <t>L-1788-166671320</t>
  </si>
  <si>
    <t>IV 33, 4c</t>
  </si>
  <si>
    <t>L-1791-166671940</t>
  </si>
  <si>
    <t>99865261X</t>
  </si>
  <si>
    <t>IV 33, 4e</t>
  </si>
  <si>
    <t>L-1771-166610437</t>
  </si>
  <si>
    <t>IV 33, 4g</t>
  </si>
  <si>
    <t>L-1771-166610402</t>
  </si>
  <si>
    <t>L-1784-166612871</t>
  </si>
  <si>
    <t>L-1786-166612944</t>
  </si>
  <si>
    <t>L-1789-166615374</t>
  </si>
  <si>
    <t>L-1789-166615404</t>
  </si>
  <si>
    <t>L-1789-155407228</t>
  </si>
  <si>
    <t>L-1789-155407007</t>
  </si>
  <si>
    <t>L-1789-155407104</t>
  </si>
  <si>
    <t>L-1790-166671592</t>
  </si>
  <si>
    <t>IV 33, 4k</t>
  </si>
  <si>
    <t>L-1769-166672785</t>
  </si>
  <si>
    <t>IV 33, 4m</t>
  </si>
  <si>
    <t>L-1786-166615749</t>
  </si>
  <si>
    <t>IV 33, 4o</t>
  </si>
  <si>
    <t>L-1767-166612448</t>
  </si>
  <si>
    <t>L-1767-166612359</t>
  </si>
  <si>
    <t>L-1779-166671800</t>
  </si>
  <si>
    <t>IV 33, 4r</t>
  </si>
  <si>
    <t>L-1777-167646729</t>
  </si>
  <si>
    <t>IV 33, 4s</t>
  </si>
  <si>
    <t>L-1777-167646753</t>
  </si>
  <si>
    <t>L-1772-166670855</t>
  </si>
  <si>
    <t>IV 33, 4t</t>
  </si>
  <si>
    <t>L-1751-168944235</t>
  </si>
  <si>
    <t>IV 33, 4v</t>
  </si>
  <si>
    <t>L-1784-315323205</t>
  </si>
  <si>
    <t>IV 33, 5</t>
  </si>
  <si>
    <t>L-1784-172910986</t>
  </si>
  <si>
    <t>IV 33, 50</t>
  </si>
  <si>
    <t>L-1799-166132659</t>
  </si>
  <si>
    <t>IV 33, 51</t>
  </si>
  <si>
    <t>L-1793-160303664</t>
  </si>
  <si>
    <t>IV 33, 52</t>
  </si>
  <si>
    <t>L-1778-162118511</t>
  </si>
  <si>
    <t>IV 33, 53</t>
  </si>
  <si>
    <t>L-1774-156634872</t>
  </si>
  <si>
    <t>IV 33, 54</t>
  </si>
  <si>
    <t>L-1798-162089902</t>
  </si>
  <si>
    <t>IV 33, 55</t>
  </si>
  <si>
    <t>L-1769-315083336</t>
  </si>
  <si>
    <t>IV 33, 56</t>
  </si>
  <si>
    <t>L-2010-302725</t>
  </si>
  <si>
    <t>IV 33, 57</t>
  </si>
  <si>
    <t>L-2017-304412</t>
  </si>
  <si>
    <t>IV 33, 58</t>
  </si>
  <si>
    <t>L-1785-406973113</t>
  </si>
  <si>
    <t>113265775X</t>
  </si>
  <si>
    <t>L-1786-406973121</t>
  </si>
  <si>
    <t>L-1782-168400685</t>
  </si>
  <si>
    <t>IV 33, 6 b</t>
  </si>
  <si>
    <t>L-1788-161366511</t>
  </si>
  <si>
    <t>IV 33, 6 c</t>
  </si>
  <si>
    <t>L-1797-161365418</t>
  </si>
  <si>
    <t>IV 33, 6 d</t>
  </si>
  <si>
    <t>L-1801-159291097</t>
  </si>
  <si>
    <t>L-1801-159291151</t>
  </si>
  <si>
    <t>L-1772-166669520</t>
  </si>
  <si>
    <t>IV 33, 6e</t>
  </si>
  <si>
    <t>L-1766-169498611</t>
  </si>
  <si>
    <t>IV 33, 6f</t>
  </si>
  <si>
    <t>L-1805-315464941</t>
  </si>
  <si>
    <t>IV 33, 7</t>
  </si>
  <si>
    <t>L-1751-406972443</t>
  </si>
  <si>
    <t>IV 33, 8</t>
  </si>
  <si>
    <t>L-1798-406970998</t>
  </si>
  <si>
    <t>L-1793-169681254</t>
  </si>
  <si>
    <t>L-1793-169681246</t>
  </si>
  <si>
    <t>L-1587-315465441</t>
  </si>
  <si>
    <t>IV 330, 1</t>
  </si>
  <si>
    <t>L-1625-31520124X</t>
  </si>
  <si>
    <t>IV 331, 1</t>
  </si>
  <si>
    <t>L-1675-315201614</t>
  </si>
  <si>
    <t>IV 331, 2</t>
  </si>
  <si>
    <t>L-1640-315297654</t>
  </si>
  <si>
    <t>IV 332, 1</t>
  </si>
  <si>
    <t>L-1746-315211881</t>
  </si>
  <si>
    <t>IV 332, 2</t>
  </si>
  <si>
    <t>L-1766-163625778</t>
  </si>
  <si>
    <t>IV 332, 3</t>
  </si>
  <si>
    <t>L-1680-176920498</t>
  </si>
  <si>
    <t>IV 332, 4</t>
  </si>
  <si>
    <t>L-1731-163625271</t>
  </si>
  <si>
    <t>IV 332, 5</t>
  </si>
  <si>
    <t>L-1698-169507823</t>
  </si>
  <si>
    <t>IV 332, 6</t>
  </si>
  <si>
    <t>L-1605-315469064</t>
  </si>
  <si>
    <t>IV 333, 1</t>
  </si>
  <si>
    <t>L-1607-669846457</t>
  </si>
  <si>
    <t>IV 333, 1 (1. angebundenes Werk)</t>
  </si>
  <si>
    <t>L-1587-315196939</t>
  </si>
  <si>
    <t>IV 334, 1</t>
  </si>
  <si>
    <t>L-1571-154305715</t>
  </si>
  <si>
    <t>IV 335, 1</t>
  </si>
  <si>
    <t>L-1583-315294515</t>
  </si>
  <si>
    <t>IV 335, 2</t>
  </si>
  <si>
    <t>L-1583-67969403X</t>
  </si>
  <si>
    <t>IV 335, 2 (1. angebundenes Werk)</t>
  </si>
  <si>
    <t>L-1589-153914890</t>
  </si>
  <si>
    <t>IV 335, 3</t>
  </si>
  <si>
    <t>L-1696-163408653</t>
  </si>
  <si>
    <t>IV 336 B, 1</t>
  </si>
  <si>
    <t>L-1714-315465042</t>
  </si>
  <si>
    <t>IV 336, 1</t>
  </si>
  <si>
    <t>L-1774-315465522</t>
  </si>
  <si>
    <t>IV 336, 2</t>
  </si>
  <si>
    <t>L-1757-315333243</t>
  </si>
  <si>
    <t>IV 337, 1</t>
  </si>
  <si>
    <t>L-1581-315493089</t>
  </si>
  <si>
    <t>IV 338, 1</t>
  </si>
  <si>
    <t>L-1584-315494247</t>
  </si>
  <si>
    <t>IV 338, 2</t>
  </si>
  <si>
    <t>L-1690-406971137</t>
  </si>
  <si>
    <t>L-1690-406971145</t>
  </si>
  <si>
    <t>L-1784-166225290</t>
  </si>
  <si>
    <t>IV 338, 4</t>
  </si>
  <si>
    <t>L-1633-315328053</t>
  </si>
  <si>
    <t>IV 339, 1</t>
  </si>
  <si>
    <t>L-1633-679695680</t>
  </si>
  <si>
    <t>IV 339, 1 (1. angebundenes Werk)</t>
  </si>
  <si>
    <t>L-1792-167376330</t>
  </si>
  <si>
    <t>IV 34, 1</t>
  </si>
  <si>
    <t>L-1792-40694556X</t>
  </si>
  <si>
    <t>L-1792-406945578</t>
  </si>
  <si>
    <t>L-1792-406945586</t>
  </si>
  <si>
    <t>L-1768-161926991</t>
  </si>
  <si>
    <t>L-1768-16192719X</t>
  </si>
  <si>
    <t>L-1768-161927300</t>
  </si>
  <si>
    <t>L-1768-161927513</t>
  </si>
  <si>
    <t>L-1768-161512194</t>
  </si>
  <si>
    <t>L-1768-161928102</t>
  </si>
  <si>
    <t>L-1768-161928870</t>
  </si>
  <si>
    <t>L-1768-16192932X</t>
  </si>
  <si>
    <t>L-1768-161512291</t>
  </si>
  <si>
    <t>L-1765-16531303X</t>
  </si>
  <si>
    <t>IV 34, 3</t>
  </si>
  <si>
    <t>L-1765-165313056</t>
  </si>
  <si>
    <t>L-1784-315470089</t>
  </si>
  <si>
    <t>IV 340, 1</t>
  </si>
  <si>
    <t>L-1613-315298421</t>
  </si>
  <si>
    <t>IV 341, 1 [vermißt seit 1993]</t>
  </si>
  <si>
    <t>L-1721-171256751</t>
  </si>
  <si>
    <t>IV 342 C, 1</t>
  </si>
  <si>
    <t>L-1629-315333472</t>
  </si>
  <si>
    <t>IV 342, 1</t>
  </si>
  <si>
    <t>L-1769-315294566</t>
  </si>
  <si>
    <t>106683461X</t>
  </si>
  <si>
    <t>IV 343, 1</t>
  </si>
  <si>
    <t>L-1748-156888319</t>
  </si>
  <si>
    <t>IV 343, 2</t>
  </si>
  <si>
    <t>L-1755-165557028</t>
  </si>
  <si>
    <t>IV 343, 3</t>
  </si>
  <si>
    <t>L-1776-169510646</t>
  </si>
  <si>
    <t>99982869X</t>
  </si>
  <si>
    <t>IV 343, 3a</t>
  </si>
  <si>
    <t>L-1789-163329966</t>
  </si>
  <si>
    <t>IV 343, 3b</t>
  </si>
  <si>
    <t>L-1732-168448106</t>
  </si>
  <si>
    <t>IV 343, 4</t>
  </si>
  <si>
    <t>L-1781-16446168X</t>
  </si>
  <si>
    <t>L-1784-164087745</t>
  </si>
  <si>
    <t>IV 343, 5</t>
  </si>
  <si>
    <t>L-1781-155465619</t>
  </si>
  <si>
    <t>IV 343, 6</t>
  </si>
  <si>
    <t>L-1653-406972745</t>
  </si>
  <si>
    <t>IV 344, 1</t>
  </si>
  <si>
    <t>L-1607-154004677</t>
  </si>
  <si>
    <t>IV 345, 1</t>
  </si>
  <si>
    <t>L-1612-315468173</t>
  </si>
  <si>
    <t>IV 346, 1</t>
  </si>
  <si>
    <t>L-1645-153968168</t>
  </si>
  <si>
    <t>IV 346, 2</t>
  </si>
  <si>
    <t>L-1592-315492821</t>
  </si>
  <si>
    <t>IV 347, 1</t>
  </si>
  <si>
    <t>L-1656-315465816</t>
  </si>
  <si>
    <t>IV 347, 2</t>
  </si>
  <si>
    <t>L-1667-315465107</t>
  </si>
  <si>
    <t>IV 347, 3</t>
  </si>
  <si>
    <t>L-1773-165367652</t>
  </si>
  <si>
    <t>IV 347, 4</t>
  </si>
  <si>
    <t>L-1773-165367571</t>
  </si>
  <si>
    <t>L-1742-344276848</t>
  </si>
  <si>
    <t>IV 347, 5</t>
  </si>
  <si>
    <t>L-1711-31546447X</t>
  </si>
  <si>
    <t>IV 348, 1</t>
  </si>
  <si>
    <t>L-1734-315468068</t>
  </si>
  <si>
    <t>IV 349, 1</t>
  </si>
  <si>
    <t>L-1768-17676609X</t>
  </si>
  <si>
    <t>IV 35, 1</t>
  </si>
  <si>
    <t>L-1787-16064626X</t>
  </si>
  <si>
    <t>IV 35, 2</t>
  </si>
  <si>
    <t>L-1641-315298294</t>
  </si>
  <si>
    <t>IV 350, 1</t>
  </si>
  <si>
    <t>L-1658-315294450</t>
  </si>
  <si>
    <t>IV 350, 2</t>
  </si>
  <si>
    <t>L-1695-315296852</t>
  </si>
  <si>
    <t>IV 350, 3</t>
  </si>
  <si>
    <t>L-1631-315321466</t>
  </si>
  <si>
    <t>IV 351, 1</t>
  </si>
  <si>
    <t>L-1635-315334630</t>
  </si>
  <si>
    <t>IV 351, 2</t>
  </si>
  <si>
    <t>L-1586-315325844</t>
  </si>
  <si>
    <t>IV 352, 1</t>
  </si>
  <si>
    <t>L-1590-315207795</t>
  </si>
  <si>
    <t>IV 352, 2</t>
  </si>
  <si>
    <t>L-1594-175480133</t>
  </si>
  <si>
    <t>IV 352, 3</t>
  </si>
  <si>
    <t>L-1591-175480060</t>
  </si>
  <si>
    <t>L-1793-162978804</t>
  </si>
  <si>
    <t>IV 353 C, 1</t>
  </si>
  <si>
    <t>L-1799-171500458</t>
  </si>
  <si>
    <t>IV 353 C, 2</t>
  </si>
  <si>
    <t>L-1684-306821273</t>
  </si>
  <si>
    <t>IV 353, 1</t>
  </si>
  <si>
    <t>L-1715-169067599</t>
  </si>
  <si>
    <t>IV 353, 2</t>
  </si>
  <si>
    <t>L-1777-173927564</t>
  </si>
  <si>
    <t>IV 354 B, 1</t>
  </si>
  <si>
    <t>L-1765-315468351</t>
  </si>
  <si>
    <t>IV 354, 1</t>
  </si>
  <si>
    <t>L-1743-315306076</t>
  </si>
  <si>
    <t>IV 354, 2</t>
  </si>
  <si>
    <t>L-1742-170016471</t>
  </si>
  <si>
    <t>100011287X</t>
  </si>
  <si>
    <t>IV 354, 3</t>
  </si>
  <si>
    <t>L-1762-170204782</t>
  </si>
  <si>
    <t>IV 354, 4</t>
  </si>
  <si>
    <t>L-1679-154742929</t>
  </si>
  <si>
    <t>IV 354, 5</t>
  </si>
  <si>
    <t>L-1682-315466413</t>
  </si>
  <si>
    <t>IV 355, 1</t>
  </si>
  <si>
    <t>L-1605-315470038</t>
  </si>
  <si>
    <t>IV 356, 1</t>
  </si>
  <si>
    <t>L-1789-40696016X</t>
  </si>
  <si>
    <t>IV 357, 1</t>
  </si>
  <si>
    <t>L-1789-406960178</t>
  </si>
  <si>
    <t>L-1613-315182741</t>
  </si>
  <si>
    <t>IV 358, 1</t>
  </si>
  <si>
    <t>L-1786-315328754</t>
  </si>
  <si>
    <t>106687087X</t>
  </si>
  <si>
    <t>IV 359, 1</t>
  </si>
  <si>
    <t>L-1772-315213302</t>
  </si>
  <si>
    <t>IV 36, 1</t>
  </si>
  <si>
    <t>L-1608-315464755</t>
  </si>
  <si>
    <t>IV 360, 1</t>
  </si>
  <si>
    <t>L-1806-315466219</t>
  </si>
  <si>
    <t>IV 361, 1</t>
  </si>
  <si>
    <t>L-1605-315197781</t>
  </si>
  <si>
    <t>IV 362, 1</t>
  </si>
  <si>
    <t>L-1599-169915387</t>
  </si>
  <si>
    <t>IV 363, 1</t>
  </si>
  <si>
    <t>L-1597-167422286</t>
  </si>
  <si>
    <t>99904303X</t>
  </si>
  <si>
    <t>L-1597-167421514</t>
  </si>
  <si>
    <t>L-1597-169800377</t>
  </si>
  <si>
    <t>99997548X</t>
  </si>
  <si>
    <t>L-1600-16799526X</t>
  </si>
  <si>
    <t>L-1597-167420933</t>
  </si>
  <si>
    <t>L-9999-154721050</t>
  </si>
  <si>
    <t>99419658X</t>
  </si>
  <si>
    <t>L-1799-156890356</t>
  </si>
  <si>
    <t>IV 364 D, 1</t>
  </si>
  <si>
    <t>L-1739-31508118X</t>
  </si>
  <si>
    <t>IV 364 H, 1</t>
  </si>
  <si>
    <t>L-1754-31547002X</t>
  </si>
  <si>
    <t>IV 364, 1</t>
  </si>
  <si>
    <t>L-1780-315464240</t>
  </si>
  <si>
    <t>IV 365, 1</t>
  </si>
  <si>
    <t>L-1593-315494697</t>
  </si>
  <si>
    <t>IV 366, 1</t>
  </si>
  <si>
    <t>L-1733-315294469</t>
  </si>
  <si>
    <t>IV 366, 2</t>
  </si>
  <si>
    <t>L-1644-171721888</t>
  </si>
  <si>
    <t>IV 366, 3</t>
  </si>
  <si>
    <t>L-1645-175965056</t>
  </si>
  <si>
    <t>L-1775-159533716</t>
  </si>
  <si>
    <t>99544773X</t>
  </si>
  <si>
    <t>IV 367 C, 1</t>
  </si>
  <si>
    <t>L-1665-315294353</t>
  </si>
  <si>
    <t>IV 367, 1</t>
  </si>
  <si>
    <t>L-1618-315187581</t>
  </si>
  <si>
    <t>IV 368, 1</t>
  </si>
  <si>
    <t>L-1648-315300108</t>
  </si>
  <si>
    <t>IV 369, 1</t>
  </si>
  <si>
    <t>L-1684-163500509</t>
  </si>
  <si>
    <t>IV 37, 1</t>
  </si>
  <si>
    <t>L-1684-315202912</t>
  </si>
  <si>
    <t>L-1676-315183985</t>
  </si>
  <si>
    <t>IV 370, 1</t>
  </si>
  <si>
    <t>L-1746-164462791</t>
  </si>
  <si>
    <t>IV 370, 3</t>
  </si>
  <si>
    <t>L-1599-315297891</t>
  </si>
  <si>
    <t>IV 371, 1</t>
  </si>
  <si>
    <t>L-1798-406972591</t>
  </si>
  <si>
    <t>IV 372, 1</t>
  </si>
  <si>
    <t>L-1798-406972583</t>
  </si>
  <si>
    <t>L-1668-31546321X</t>
  </si>
  <si>
    <t>IV 373, 1</t>
  </si>
  <si>
    <t>L-1690-161577318</t>
  </si>
  <si>
    <t>IV 374, 1</t>
  </si>
  <si>
    <t>L-1690-175793204</t>
  </si>
  <si>
    <t>L-1690-154382728</t>
  </si>
  <si>
    <t>L-1690-153947616</t>
  </si>
  <si>
    <t>L-1702-175306168</t>
  </si>
  <si>
    <t>IV 374, 2</t>
  </si>
  <si>
    <t>L-1702-157499006</t>
  </si>
  <si>
    <t>99466902X</t>
  </si>
  <si>
    <t>IV 374, 3</t>
  </si>
  <si>
    <t>L-1739-315083646</t>
  </si>
  <si>
    <t>IV 375 H, 1</t>
  </si>
  <si>
    <t>L-1739-315084006</t>
  </si>
  <si>
    <t>IV 375 H, 1 a</t>
  </si>
  <si>
    <t>L-1739-315082771</t>
  </si>
  <si>
    <t>IV 375 H, 1 b</t>
  </si>
  <si>
    <t>L-1739-315083727</t>
  </si>
  <si>
    <t>IV 375 H, 1 c</t>
  </si>
  <si>
    <t>L-1768-315084014</t>
  </si>
  <si>
    <t>IV 375 H, 2</t>
  </si>
  <si>
    <t>L-1571-315220651</t>
  </si>
  <si>
    <t>IV 375, 1</t>
  </si>
  <si>
    <t>L-1650-315072164</t>
  </si>
  <si>
    <t>IV 375, 2</t>
  </si>
  <si>
    <t>L-1699-156361477</t>
  </si>
  <si>
    <t>IV 375, 3</t>
  </si>
  <si>
    <t>L-1699-156361469</t>
  </si>
  <si>
    <t>IV 375, 3a</t>
  </si>
  <si>
    <t>L-1694-165346051</t>
  </si>
  <si>
    <t>IV 375, 4</t>
  </si>
  <si>
    <t>L-1696-167182293</t>
  </si>
  <si>
    <t>IV 375, 5</t>
  </si>
  <si>
    <t>L-1696-178435244</t>
  </si>
  <si>
    <t>L-1758-315073888</t>
  </si>
  <si>
    <t>106668572X</t>
  </si>
  <si>
    <t>IV 375, 6</t>
  </si>
  <si>
    <t>L-1733-17020457X</t>
  </si>
  <si>
    <t>IV 376 D, 1</t>
  </si>
  <si>
    <t>L-1754-315201967</t>
  </si>
  <si>
    <t>IV 376, 1</t>
  </si>
  <si>
    <t>L-1644-315469978</t>
  </si>
  <si>
    <t>106694234X</t>
  </si>
  <si>
    <t>IV 377, 1</t>
  </si>
  <si>
    <t>L-1722-165535954</t>
  </si>
  <si>
    <t>IV 377, 2</t>
  </si>
  <si>
    <t>L-1722-154657891</t>
  </si>
  <si>
    <t>IV 377, 3</t>
  </si>
  <si>
    <t>L-1722-160884381</t>
  </si>
  <si>
    <t>IV 377, 4</t>
  </si>
  <si>
    <t>L-1731-160884586</t>
  </si>
  <si>
    <t>IV 377, 5</t>
  </si>
  <si>
    <t>L-1732-172928753</t>
  </si>
  <si>
    <t>IV 377, 6</t>
  </si>
  <si>
    <t>L-1570-315220422</t>
  </si>
  <si>
    <t>IV 378, 1</t>
  </si>
  <si>
    <t>L-1574-670547808</t>
  </si>
  <si>
    <t>120866526X</t>
  </si>
  <si>
    <t>IV 378, 1 (Angebundenes Werk)</t>
  </si>
  <si>
    <t>L-1570-174197411</t>
  </si>
  <si>
    <t>IV 378, 1 b</t>
  </si>
  <si>
    <t>L-1571-170251357</t>
  </si>
  <si>
    <t>IV 378, 1 c</t>
  </si>
  <si>
    <t>L-1597-164463674</t>
  </si>
  <si>
    <t>IV 378, 1 d</t>
  </si>
  <si>
    <t>L-1597-163256470</t>
  </si>
  <si>
    <t>IV 378, 1 d (angebunden)</t>
  </si>
  <si>
    <t>L-1574-163254974</t>
  </si>
  <si>
    <t>IV 378, 1 f</t>
  </si>
  <si>
    <t>L-1584-158268547</t>
  </si>
  <si>
    <t>IV 378, 1/g</t>
  </si>
  <si>
    <t>L-1625-315219718</t>
  </si>
  <si>
    <t>IV 378, 10</t>
  </si>
  <si>
    <t>L-1619-165289694</t>
  </si>
  <si>
    <t>IV 378, 10 b</t>
  </si>
  <si>
    <t>L-1660-315465484</t>
  </si>
  <si>
    <t>IV 378, 10a</t>
  </si>
  <si>
    <t>L-1603-166198471</t>
  </si>
  <si>
    <t>IV 378, 10b</t>
  </si>
  <si>
    <t>L-1789-315195665</t>
  </si>
  <si>
    <t>IV 378, 11</t>
  </si>
  <si>
    <t>L-9999-406969728</t>
  </si>
  <si>
    <t>IV 378, 12</t>
  </si>
  <si>
    <t>L-1797-315177349</t>
  </si>
  <si>
    <t>106675487X</t>
  </si>
  <si>
    <t>IV 378, 13</t>
  </si>
  <si>
    <t>L-1776-155480278</t>
  </si>
  <si>
    <t>IV 378, 14</t>
  </si>
  <si>
    <t>L-1772-155480103</t>
  </si>
  <si>
    <t>L-1654-154990493</t>
  </si>
  <si>
    <t>IV 378, 15</t>
  </si>
  <si>
    <t>L-1650-168309130</t>
  </si>
  <si>
    <t>IV 378, 16</t>
  </si>
  <si>
    <t>L-1665-168309459</t>
  </si>
  <si>
    <t>L-1742-163524033</t>
  </si>
  <si>
    <t>IV 378, 17</t>
  </si>
  <si>
    <t>L-1755-161510000</t>
  </si>
  <si>
    <t>IV 378, 18</t>
  </si>
  <si>
    <t>L-1749-161508669</t>
  </si>
  <si>
    <t>99598199X</t>
  </si>
  <si>
    <t>L-1755-161509312</t>
  </si>
  <si>
    <t>99598266X</t>
  </si>
  <si>
    <t>L-1749-161509479</t>
  </si>
  <si>
    <t>L-1749-161508758</t>
  </si>
  <si>
    <t>L-1749-161508928</t>
  </si>
  <si>
    <t>L-1749-16150860X</t>
  </si>
  <si>
    <t>L-1749-161509770</t>
  </si>
  <si>
    <t>L-1622-167386018</t>
  </si>
  <si>
    <t>IV 378, 19</t>
  </si>
  <si>
    <t>L-9999-154869449</t>
  </si>
  <si>
    <t>99425010X</t>
  </si>
  <si>
    <t>IV 378, 1a</t>
  </si>
  <si>
    <t>L-1587-154868825</t>
  </si>
  <si>
    <t>L-1587-175394210</t>
  </si>
  <si>
    <t>IV 378, 1e</t>
  </si>
  <si>
    <t>L-1582-175973091</t>
  </si>
  <si>
    <t>100199390X</t>
  </si>
  <si>
    <t>IV 378, 1g</t>
  </si>
  <si>
    <t>L-1582-155480189</t>
  </si>
  <si>
    <t>L-9999-15591698X</t>
  </si>
  <si>
    <t>L-1579-31549042X</t>
  </si>
  <si>
    <t>IV 378, 2</t>
  </si>
  <si>
    <t>L-1743-160256399</t>
  </si>
  <si>
    <t>IV 378, 20</t>
  </si>
  <si>
    <t>L-1581-315490438</t>
  </si>
  <si>
    <t>IV 378, 3</t>
  </si>
  <si>
    <t>L-1584-315308435</t>
  </si>
  <si>
    <t>IV 378, 4</t>
  </si>
  <si>
    <t>L-1587-315492333</t>
  </si>
  <si>
    <t>106696193X</t>
  </si>
  <si>
    <t>IV 378, 5</t>
  </si>
  <si>
    <t>L-1597-315494263</t>
  </si>
  <si>
    <t>106696405X</t>
  </si>
  <si>
    <t>IV 378, 6</t>
  </si>
  <si>
    <t>L-1599-315492643</t>
  </si>
  <si>
    <t>IV 378, 7</t>
  </si>
  <si>
    <t>L-1607-315464925</t>
  </si>
  <si>
    <t>IV 378, 8</t>
  </si>
  <si>
    <t>L-1618-154722456</t>
  </si>
  <si>
    <t>IV 378, 8 a</t>
  </si>
  <si>
    <t>L-1618-154722472</t>
  </si>
  <si>
    <t>L-1618-154722499</t>
  </si>
  <si>
    <t>L-1630-16362707X</t>
  </si>
  <si>
    <t>IV 378, 8 b</t>
  </si>
  <si>
    <t>L-1617-315219815</t>
  </si>
  <si>
    <t>IV 378, 9</t>
  </si>
  <si>
    <t>L-1631-315468912</t>
  </si>
  <si>
    <t>106694119X</t>
  </si>
  <si>
    <t>IV 379, 1</t>
  </si>
  <si>
    <t>L-1676-315301104</t>
  </si>
  <si>
    <t>IV 379, 2</t>
  </si>
  <si>
    <t>L-1578-315464364</t>
  </si>
  <si>
    <t>IV 38, 1</t>
  </si>
  <si>
    <t>L-1657-315328002</t>
  </si>
  <si>
    <t>IV 380, 1</t>
  </si>
  <si>
    <t>L-1715-167826484</t>
  </si>
  <si>
    <t>IV 381, 1</t>
  </si>
  <si>
    <t>L-1713-163254281</t>
  </si>
  <si>
    <t>L-1598-15435662X</t>
  </si>
  <si>
    <t>IV 382, 1</t>
  </si>
  <si>
    <t>L-1598-154356522</t>
  </si>
  <si>
    <t>L-1610-315306998</t>
  </si>
  <si>
    <t>IV 382, 2</t>
  </si>
  <si>
    <t>L-1660-315464771</t>
  </si>
  <si>
    <t>IV 382, 3</t>
  </si>
  <si>
    <t>L-1660-31533231X</t>
  </si>
  <si>
    <t>IV 382, 4</t>
  </si>
  <si>
    <t>L-1701-158873270</t>
  </si>
  <si>
    <t>IV 382, 5</t>
  </si>
  <si>
    <t>L-1674-315308427</t>
  </si>
  <si>
    <t>IV 383, 2</t>
  </si>
  <si>
    <t>L-1678-171780604</t>
  </si>
  <si>
    <t>IV 383, 2a</t>
  </si>
  <si>
    <t>L-1682-17291440X</t>
  </si>
  <si>
    <t>100110658X</t>
  </si>
  <si>
    <t>IV 383, 3</t>
  </si>
  <si>
    <t>L-1741-167837168</t>
  </si>
  <si>
    <t>IV 383, 4</t>
  </si>
  <si>
    <t>L-1725-315465492</t>
  </si>
  <si>
    <t>IV 384, 1</t>
  </si>
  <si>
    <t>L-1574-315487240</t>
  </si>
  <si>
    <t>106695657X</t>
  </si>
  <si>
    <t>IV 385, 1</t>
  </si>
  <si>
    <t>L-1578-315490454</t>
  </si>
  <si>
    <t>IV 385, 2</t>
  </si>
  <si>
    <t>L-1732-157205665</t>
  </si>
  <si>
    <t>IV 385, 3</t>
  </si>
  <si>
    <t>L-1732-157205606</t>
  </si>
  <si>
    <t>L-1732-156901404</t>
  </si>
  <si>
    <t>L-1620-315464488</t>
  </si>
  <si>
    <t>106693665X</t>
  </si>
  <si>
    <t>IV 386, 1</t>
  </si>
  <si>
    <t>L-1594-315464836</t>
  </si>
  <si>
    <t>IV 387, 1</t>
  </si>
  <si>
    <t>L-1597-315490462</t>
  </si>
  <si>
    <t>IV 387, 2</t>
  </si>
  <si>
    <t>L-1654-315308389</t>
  </si>
  <si>
    <t>IV 388, 1</t>
  </si>
  <si>
    <t>L-1731-315297646</t>
  </si>
  <si>
    <t>IV 389, 1</t>
  </si>
  <si>
    <t>L-1773-154112399</t>
  </si>
  <si>
    <t>L-1773-154112410</t>
  </si>
  <si>
    <t>L-1773-154112429</t>
  </si>
  <si>
    <t>L-1773-154112437</t>
  </si>
  <si>
    <t>L-1757-177911425</t>
  </si>
  <si>
    <t>IV 39, 2</t>
  </si>
  <si>
    <t>L-1772-177158190</t>
  </si>
  <si>
    <t>IV 39, 3</t>
  </si>
  <si>
    <t>L-1772-156009595</t>
  </si>
  <si>
    <t>L-1772-170152308</t>
  </si>
  <si>
    <t>L-1596-315493852</t>
  </si>
  <si>
    <t>IV 390, 1</t>
  </si>
  <si>
    <t>L-1598-163390002</t>
  </si>
  <si>
    <t>IV 390, 2</t>
  </si>
  <si>
    <t>L-1598-169792668</t>
  </si>
  <si>
    <t>L-1598-170039773</t>
  </si>
  <si>
    <t>100012052X</t>
  </si>
  <si>
    <t>L-1598-176455418</t>
  </si>
  <si>
    <t>L-1622-154070343</t>
  </si>
  <si>
    <t>IV 391, 1</t>
  </si>
  <si>
    <t>L-1672-315466189</t>
  </si>
  <si>
    <t>IV 392, 1</t>
  </si>
  <si>
    <t>L-1649-315187115</t>
  </si>
  <si>
    <t>106676445X</t>
  </si>
  <si>
    <t>IV 393, 1</t>
  </si>
  <si>
    <t>L-1620-672937263</t>
  </si>
  <si>
    <t>IV 393, 1 (1. angebundenes Werk)</t>
  </si>
  <si>
    <t>L-1705-154379875</t>
  </si>
  <si>
    <t>IV 394, 1</t>
  </si>
  <si>
    <t>L-1668-31521824X</t>
  </si>
  <si>
    <t>IV 395, 1</t>
  </si>
  <si>
    <t>L-1585-175444676</t>
  </si>
  <si>
    <t>IV 395, 2</t>
  </si>
  <si>
    <t>L-1585-169154386</t>
  </si>
  <si>
    <t>L-1643-177750308</t>
  </si>
  <si>
    <t>IV 395, 2 (an)</t>
  </si>
  <si>
    <t>L-1733-332797422</t>
  </si>
  <si>
    <t>IV 396, 1</t>
  </si>
  <si>
    <t>L-1603-315295635</t>
  </si>
  <si>
    <t>IV 397, 1</t>
  </si>
  <si>
    <t>L-9999-169076334</t>
  </si>
  <si>
    <t>IV 397, 2</t>
  </si>
  <si>
    <t>L-1581-160996678</t>
  </si>
  <si>
    <t>IV 398 H, 1</t>
  </si>
  <si>
    <t>L-1583-315490802</t>
  </si>
  <si>
    <t>IV 398, 1</t>
  </si>
  <si>
    <t>L-1585-670684015</t>
  </si>
  <si>
    <t>IV 398, 1 (1.angebundenes Werk)</t>
  </si>
  <si>
    <t>L-1564-670685186</t>
  </si>
  <si>
    <t>IV 398, 1 (2.angebundenes Werk)</t>
  </si>
  <si>
    <t>L-1583-162798059</t>
  </si>
  <si>
    <t>IV 398, 1 a</t>
  </si>
  <si>
    <t>L-1592-154605956</t>
  </si>
  <si>
    <t>IV 398, 1/b</t>
  </si>
  <si>
    <t>L-1800-350909822</t>
  </si>
  <si>
    <t>IV 398, 10</t>
  </si>
  <si>
    <t>L-1592-175017433</t>
  </si>
  <si>
    <t>IV 398, 1c</t>
  </si>
  <si>
    <t>L-1604-169149552</t>
  </si>
  <si>
    <t>IV 398, 1d</t>
  </si>
  <si>
    <t>L-1604-163919240</t>
  </si>
  <si>
    <t>L-1602-169149307</t>
  </si>
  <si>
    <t>99977767X</t>
  </si>
  <si>
    <t>L-1617-315461659</t>
  </si>
  <si>
    <t>106693357X</t>
  </si>
  <si>
    <t>IV 398, 2</t>
  </si>
  <si>
    <t>L-1617-67293390X</t>
  </si>
  <si>
    <t>IV 398, 2 (1. angebundenes Werk)</t>
  </si>
  <si>
    <t>L-1730-315199679</t>
  </si>
  <si>
    <t>IV 398, 3</t>
  </si>
  <si>
    <t>L-1730-668115564</t>
  </si>
  <si>
    <t>IV 398, 3 (beigefügt)</t>
  </si>
  <si>
    <t>L-1730-315199660</t>
  </si>
  <si>
    <t>IV 398, 3 a</t>
  </si>
  <si>
    <t>L-1712-668114800</t>
  </si>
  <si>
    <t>IV 398, 3 a (1. angebundenes Werk)</t>
  </si>
  <si>
    <t>L-1730-668115572</t>
  </si>
  <si>
    <t>IV 398, 3 a (2. angebundenes Werk, an Band 2)</t>
  </si>
  <si>
    <t>L-1729-154681679</t>
  </si>
  <si>
    <t>IV 398, 4</t>
  </si>
  <si>
    <t>L-1729-154681881</t>
  </si>
  <si>
    <t>L-1795-163798036</t>
  </si>
  <si>
    <t>IV 398, 5</t>
  </si>
  <si>
    <t>L-1796-168492083</t>
  </si>
  <si>
    <t>01118857X</t>
  </si>
  <si>
    <t>IV 398, 6</t>
  </si>
  <si>
    <t>L-1800-172969360</t>
  </si>
  <si>
    <t>IV 398, 7</t>
  </si>
  <si>
    <t>L-1722-163469032</t>
  </si>
  <si>
    <t>IV 398, 8</t>
  </si>
  <si>
    <t>L-1794-155718169</t>
  </si>
  <si>
    <t>IV 398, 9</t>
  </si>
  <si>
    <t>L-1770-373171218</t>
  </si>
  <si>
    <t>L-1722-315297557</t>
  </si>
  <si>
    <t>IV 399, 1</t>
  </si>
  <si>
    <t>L-1756-315336994</t>
  </si>
  <si>
    <t>IV 399, 2</t>
  </si>
  <si>
    <t>L-1763-315468165</t>
  </si>
  <si>
    <t>106694038X</t>
  </si>
  <si>
    <t>IV 399, 3</t>
  </si>
  <si>
    <t>L-1763-315305223</t>
  </si>
  <si>
    <t>106684593X</t>
  </si>
  <si>
    <t>IV 399, 4</t>
  </si>
  <si>
    <t>L-1763-678546355</t>
  </si>
  <si>
    <t>121095284X</t>
  </si>
  <si>
    <t>IV 399, 4 (1. angebundenes Werk)</t>
  </si>
  <si>
    <t>L-1760-173897428</t>
  </si>
  <si>
    <t>IV 399, 5</t>
  </si>
  <si>
    <t>L-1581-315331704</t>
  </si>
  <si>
    <t>IV 4, 1</t>
  </si>
  <si>
    <t>L-1587-31546528X</t>
  </si>
  <si>
    <t>IV 4, 2</t>
  </si>
  <si>
    <t>L-1681-31530409X</t>
  </si>
  <si>
    <t>IV 4, 3</t>
  </si>
  <si>
    <t>L-1727-165398655</t>
  </si>
  <si>
    <t>IV 4, 3 b</t>
  </si>
  <si>
    <t>L-1681-175440980</t>
  </si>
  <si>
    <t>IV 4, 3a</t>
  </si>
  <si>
    <t>L-1693-176454799</t>
  </si>
  <si>
    <t>IV 4, 3c</t>
  </si>
  <si>
    <t>L-1698-176454187</t>
  </si>
  <si>
    <t>L-1697-315465077</t>
  </si>
  <si>
    <t>IV 4, 4</t>
  </si>
  <si>
    <t>L-1697-315465069</t>
  </si>
  <si>
    <t>IV 4, 4 a</t>
  </si>
  <si>
    <t>L-1711-157183483</t>
  </si>
  <si>
    <t>IV 4, 4/b</t>
  </si>
  <si>
    <t>L-1753-315203633</t>
  </si>
  <si>
    <t>IV 4, 5</t>
  </si>
  <si>
    <t>L-1678-165448229</t>
  </si>
  <si>
    <t>IV 4, 6</t>
  </si>
  <si>
    <t>L-1620-167257986</t>
  </si>
  <si>
    <t>IV 40, 1</t>
  </si>
  <si>
    <t>L-1630-31529762X</t>
  </si>
  <si>
    <t>106683752X</t>
  </si>
  <si>
    <t>L-1756-177491582</t>
  </si>
  <si>
    <t>IV 40, 2</t>
  </si>
  <si>
    <t>L-1587-168538806</t>
  </si>
  <si>
    <t>IV 40, 3</t>
  </si>
  <si>
    <t>L-2019-302236</t>
  </si>
  <si>
    <t>IV 40, 4</t>
  </si>
  <si>
    <t>L-1575-315331046</t>
  </si>
  <si>
    <t>IV 400, 1</t>
  </si>
  <si>
    <t>L-1628-315309342</t>
  </si>
  <si>
    <t>IV 401, 1</t>
  </si>
  <si>
    <t>L-1655-18039469X</t>
  </si>
  <si>
    <t>IV 401, 2</t>
  </si>
  <si>
    <t>L-1655-180394738</t>
  </si>
  <si>
    <t>L-1758-162080700</t>
  </si>
  <si>
    <t>IV 401, 3</t>
  </si>
  <si>
    <t>L-1760-176892621</t>
  </si>
  <si>
    <t>IV 401, 4</t>
  </si>
  <si>
    <t>L-1726-171870190</t>
  </si>
  <si>
    <t>IV 401, 5</t>
  </si>
  <si>
    <t>L-1726-17983701X</t>
  </si>
  <si>
    <t>L-1727-176397906</t>
  </si>
  <si>
    <t>L-1728-172922895</t>
  </si>
  <si>
    <t>L-1727-176908404</t>
  </si>
  <si>
    <t>L-1726-169170268</t>
  </si>
  <si>
    <t>L-1728-172926041</t>
  </si>
  <si>
    <t>L-1648-164098283</t>
  </si>
  <si>
    <t>IV 401, 6</t>
  </si>
  <si>
    <t>L-1682-315178639</t>
  </si>
  <si>
    <t>IV 402, 1</t>
  </si>
  <si>
    <t>L-1586-315192100</t>
  </si>
  <si>
    <t>IV 403, 1</t>
  </si>
  <si>
    <t>L-1736-315462752</t>
  </si>
  <si>
    <t>IV 404, 1</t>
  </si>
  <si>
    <t>L-1727-178426911</t>
  </si>
  <si>
    <t>IV 404, 2</t>
  </si>
  <si>
    <t>L-1707-15437458X</t>
  </si>
  <si>
    <t>IV 404, 3</t>
  </si>
  <si>
    <t>L-1561-315492635</t>
  </si>
  <si>
    <t>IV 405, 1</t>
  </si>
  <si>
    <t>L-1562-315470003</t>
  </si>
  <si>
    <t>IV 405, 2</t>
  </si>
  <si>
    <t>L-1563-315332247</t>
  </si>
  <si>
    <t>IV 405, 3</t>
  </si>
  <si>
    <t>L-1570-168948648</t>
  </si>
  <si>
    <t>IV 405, 3 a</t>
  </si>
  <si>
    <t>L-1571-168945878</t>
  </si>
  <si>
    <t>L-1571-168946556</t>
  </si>
  <si>
    <t>L-1586-175489998</t>
  </si>
  <si>
    <t>IV 405, 3b</t>
  </si>
  <si>
    <t>L-1586-315453966</t>
  </si>
  <si>
    <t>L-1592-175481695</t>
  </si>
  <si>
    <t>IV 405, 3c</t>
  </si>
  <si>
    <t>L-1599-315467940</t>
  </si>
  <si>
    <t>IV 405, 4</t>
  </si>
  <si>
    <t>L-1599-315469544</t>
  </si>
  <si>
    <t>IV 405, 5</t>
  </si>
  <si>
    <t>L-1600-31548814X</t>
  </si>
  <si>
    <t>IV 405, 6</t>
  </si>
  <si>
    <t>L-1601-315318198</t>
  </si>
  <si>
    <t>IV 405, 7</t>
  </si>
  <si>
    <t>L-1695-17126102X</t>
  </si>
  <si>
    <t>IV 406 D, 1</t>
  </si>
  <si>
    <t>L-1641-31546495X</t>
  </si>
  <si>
    <t>IV 406, 1</t>
  </si>
  <si>
    <t>L-1641-674663241</t>
  </si>
  <si>
    <t>IV 406, 1 (1. angebundenes Werk)</t>
  </si>
  <si>
    <t>L-1645-315199148</t>
  </si>
  <si>
    <t>IV 406, 2</t>
  </si>
  <si>
    <t>L-1670-315189665</t>
  </si>
  <si>
    <t>IV 406, 3</t>
  </si>
  <si>
    <t>L-1670-670405914</t>
  </si>
  <si>
    <t>IV 406, 3 (1. angebundenes Werk)</t>
  </si>
  <si>
    <t>L-1698-170206610</t>
  </si>
  <si>
    <t>IV 406, 4</t>
  </si>
  <si>
    <t>L-1696-154280801</t>
  </si>
  <si>
    <t>IV 406, 4a</t>
  </si>
  <si>
    <t>L-1715-176472932</t>
  </si>
  <si>
    <t>IV 406, 5</t>
  </si>
  <si>
    <t>L-1701-174198647</t>
  </si>
  <si>
    <t>IV 406, 6</t>
  </si>
  <si>
    <t>L-1701-171139100</t>
  </si>
  <si>
    <t>L-1701-177205407</t>
  </si>
  <si>
    <t>L-1561-31546335X</t>
  </si>
  <si>
    <t>IV 407, 1</t>
  </si>
  <si>
    <t>L-1775-315191430</t>
  </si>
  <si>
    <t>IV 407, 10</t>
  </si>
  <si>
    <t>L-1562-177913878</t>
  </si>
  <si>
    <t>IV 407, 11</t>
  </si>
  <si>
    <t>L-1670-169851044</t>
  </si>
  <si>
    <t>IV 407, 12</t>
  </si>
  <si>
    <t>L-1607-169777987</t>
  </si>
  <si>
    <t>IV 407, 13</t>
  </si>
  <si>
    <t>L-1673-176888985</t>
  </si>
  <si>
    <t>IV 407, 14</t>
  </si>
  <si>
    <t>L-1740-17702318X</t>
  </si>
  <si>
    <t>100232081X</t>
  </si>
  <si>
    <t>IV 407, 15</t>
  </si>
  <si>
    <t>L-1581-15604577X</t>
  </si>
  <si>
    <t>IV 407, 16</t>
  </si>
  <si>
    <t>L-1569-156066335</t>
  </si>
  <si>
    <t>IV 407, 16d</t>
  </si>
  <si>
    <t>L-1584-175194874</t>
  </si>
  <si>
    <t>IV 407, 17</t>
  </si>
  <si>
    <t>L-1584-154112313</t>
  </si>
  <si>
    <t>L-1596-157499456</t>
  </si>
  <si>
    <t>IV 407, 18</t>
  </si>
  <si>
    <t>L-1567-169079082</t>
  </si>
  <si>
    <t>IV 407, 19</t>
  </si>
  <si>
    <t>L-1567-169079341</t>
  </si>
  <si>
    <t>L-1568-406967423</t>
  </si>
  <si>
    <t>113265033X</t>
  </si>
  <si>
    <t>IV 407, 2</t>
  </si>
  <si>
    <t>L-1585-155382705</t>
  </si>
  <si>
    <t>IV 407, 20</t>
  </si>
  <si>
    <t>L-1565-15811700X</t>
  </si>
  <si>
    <t>L-1588-406958319</t>
  </si>
  <si>
    <t>IV 407, 21</t>
  </si>
  <si>
    <t>L-1780-156366177</t>
  </si>
  <si>
    <t>IV 407, 22</t>
  </si>
  <si>
    <t>L-1672-177902035</t>
  </si>
  <si>
    <t>IV 407, 23</t>
  </si>
  <si>
    <t>L-1702-169683141</t>
  </si>
  <si>
    <t>IV 407, 24</t>
  </si>
  <si>
    <t>L-1699-160298261</t>
  </si>
  <si>
    <t>IV 407, 24/a</t>
  </si>
  <si>
    <t>L-1702-160438373</t>
  </si>
  <si>
    <t>IV 407, 25</t>
  </si>
  <si>
    <t>L-1724-167359932</t>
  </si>
  <si>
    <t>IV 407, 26</t>
  </si>
  <si>
    <t>L-1591-169078248</t>
  </si>
  <si>
    <t>IV 407, 27</t>
  </si>
  <si>
    <t>L-1591-158476719</t>
  </si>
  <si>
    <t>L-1585-156402483</t>
  </si>
  <si>
    <t>99454328X</t>
  </si>
  <si>
    <t>IV 407, 27a</t>
  </si>
  <si>
    <t>L-1719-16991979X</t>
  </si>
  <si>
    <t>IV 407, 28</t>
  </si>
  <si>
    <t>L-1719-169919846</t>
  </si>
  <si>
    <t>L-1760-315063718</t>
  </si>
  <si>
    <t>IV 407, 29</t>
  </si>
  <si>
    <t>L-1568-154449695</t>
  </si>
  <si>
    <t>IV 407, 3</t>
  </si>
  <si>
    <t>L-1579-154046264</t>
  </si>
  <si>
    <t>IV 407, 4</t>
  </si>
  <si>
    <t>L-1584-315300434</t>
  </si>
  <si>
    <t>IV 407, 5</t>
  </si>
  <si>
    <t>L-1561-315066962</t>
  </si>
  <si>
    <t>IV 407, 5 a</t>
  </si>
  <si>
    <t>L-1590-170119858</t>
  </si>
  <si>
    <t>IV 407, 5 b</t>
  </si>
  <si>
    <t>L-1625-315466006</t>
  </si>
  <si>
    <t>IV 407, 6</t>
  </si>
  <si>
    <t>L-1566-315331194</t>
  </si>
  <si>
    <t>IV 407, 7</t>
  </si>
  <si>
    <t>L-1745-315220392</t>
  </si>
  <si>
    <t>IV 407, 8</t>
  </si>
  <si>
    <t>L-9999-406972796</t>
  </si>
  <si>
    <t>IV 407, 9</t>
  </si>
  <si>
    <t>L-1757-413886786</t>
  </si>
  <si>
    <t>L-9999-40697280X</t>
  </si>
  <si>
    <t>L-1758-406972818</t>
  </si>
  <si>
    <t>113265727X</t>
  </si>
  <si>
    <t>L-1757-413886808</t>
  </si>
  <si>
    <t>L-1757-413886824</t>
  </si>
  <si>
    <t>L-1758-406972826</t>
  </si>
  <si>
    <t>IV 407, 9 - 4.2</t>
  </si>
  <si>
    <t>L-1758-677262035</t>
  </si>
  <si>
    <t>IV 407, 9 - 4.2 (1. angebundenes Werk)</t>
  </si>
  <si>
    <t>L-1756-406960100</t>
  </si>
  <si>
    <t>113264285X</t>
  </si>
  <si>
    <t>IV 407, 9 a</t>
  </si>
  <si>
    <t>L-1756-406960119</t>
  </si>
  <si>
    <t>L-1796-166137332</t>
  </si>
  <si>
    <t>IV 407, 9 d</t>
  </si>
  <si>
    <t>L-1787-171152271</t>
  </si>
  <si>
    <t>IV 407, 9a</t>
  </si>
  <si>
    <t>L-1769-176888209</t>
  </si>
  <si>
    <t>IV 407, 9b</t>
  </si>
  <si>
    <t>L-1799-176887520</t>
  </si>
  <si>
    <t>IV 407, 9c</t>
  </si>
  <si>
    <t>L-1580-315466235</t>
  </si>
  <si>
    <t>IV 408, 1</t>
  </si>
  <si>
    <t>L-1778-156402467</t>
  </si>
  <si>
    <t>IV 409 B, 1</t>
  </si>
  <si>
    <t>L-1576-315337923</t>
  </si>
  <si>
    <t>IV 409, 1</t>
  </si>
  <si>
    <t>L-1594-406971420</t>
  </si>
  <si>
    <t>IV 409, 2</t>
  </si>
  <si>
    <t>L-1592-406971439</t>
  </si>
  <si>
    <t>L-9999-154066494</t>
  </si>
  <si>
    <t>IV 409, 3</t>
  </si>
  <si>
    <t>L-1730-15406646X</t>
  </si>
  <si>
    <t>L-1771-178162434</t>
  </si>
  <si>
    <t>IV 409, 4</t>
  </si>
  <si>
    <t>L-1771-178162477</t>
  </si>
  <si>
    <t>L-1733-166948349</t>
  </si>
  <si>
    <t>IV 409, 5</t>
  </si>
  <si>
    <t>L-1729-165047941</t>
  </si>
  <si>
    <t>IV 41 A, 1</t>
  </si>
  <si>
    <t>L-1728-163501602</t>
  </si>
  <si>
    <t>IV 41, 4</t>
  </si>
  <si>
    <t>L-1800-315212136</t>
  </si>
  <si>
    <t>IV 410, 1</t>
  </si>
  <si>
    <t>L-1593-315468734</t>
  </si>
  <si>
    <t>IV 411, 1</t>
  </si>
  <si>
    <t>L-1607-176892788</t>
  </si>
  <si>
    <t>IV 412 D, 1</t>
  </si>
  <si>
    <t>L-1585-315463155</t>
  </si>
  <si>
    <t>IV 412, 1</t>
  </si>
  <si>
    <t>L-1674-315187913</t>
  </si>
  <si>
    <t>IV 413, 1</t>
  </si>
  <si>
    <t>L-1710-315468246</t>
  </si>
  <si>
    <t>IV 414, 1</t>
  </si>
  <si>
    <t>L-1730-406963568</t>
  </si>
  <si>
    <t>IV 415, 1</t>
  </si>
  <si>
    <t>L-1710-176994858</t>
  </si>
  <si>
    <t>IV 416 C, 1</t>
  </si>
  <si>
    <t>L-1712-16347205X</t>
  </si>
  <si>
    <t>L-1774-156370867</t>
  </si>
  <si>
    <t>IV 416 C, 2</t>
  </si>
  <si>
    <t>L-1777-156370891</t>
  </si>
  <si>
    <t>L-1789-15637093X</t>
  </si>
  <si>
    <t>L-1782-156370905</t>
  </si>
  <si>
    <t>L-1797-156370999</t>
  </si>
  <si>
    <t>L-1802-156371022</t>
  </si>
  <si>
    <t>L-1812-156371057</t>
  </si>
  <si>
    <t>L-1729-315464666</t>
  </si>
  <si>
    <t>IV 416, 1</t>
  </si>
  <si>
    <t>L-1671-154006106</t>
  </si>
  <si>
    <t>99391764X</t>
  </si>
  <si>
    <t>IV 417, 1</t>
  </si>
  <si>
    <t>L-1671-315311088</t>
  </si>
  <si>
    <t>IV 417, 2</t>
  </si>
  <si>
    <t>L-1672-667716327</t>
  </si>
  <si>
    <t>120735239X</t>
  </si>
  <si>
    <t>IV 417, 2 (angebunden)</t>
  </si>
  <si>
    <t>L-1704-315465050</t>
  </si>
  <si>
    <t>IV 418, 1</t>
  </si>
  <si>
    <t>L-1690-315211857</t>
  </si>
  <si>
    <t>IV 419, 1</t>
  </si>
  <si>
    <t>L-1574-160447712</t>
  </si>
  <si>
    <t>IV 42, 1</t>
  </si>
  <si>
    <t>L-1664-315208759</t>
  </si>
  <si>
    <t>IV 420, 1</t>
  </si>
  <si>
    <t>L-1752-315327960</t>
  </si>
  <si>
    <t>IV 420, 2</t>
  </si>
  <si>
    <t>L-1777-179468928</t>
  </si>
  <si>
    <t>IV 420, 2b</t>
  </si>
  <si>
    <t>L-1777-179468995</t>
  </si>
  <si>
    <t>L-1779-179469037</t>
  </si>
  <si>
    <t>L-1790-167732749</t>
  </si>
  <si>
    <t>IV 420, 3</t>
  </si>
  <si>
    <t>L-1773-192233122</t>
  </si>
  <si>
    <t>L-1800-326046674</t>
  </si>
  <si>
    <t>L-1807-160884144</t>
  </si>
  <si>
    <t>IV 420, 4</t>
  </si>
  <si>
    <t>L-1795-406952922</t>
  </si>
  <si>
    <t>IV 420, 5</t>
  </si>
  <si>
    <t>L-1687-315208228</t>
  </si>
  <si>
    <t>IV 421, 1</t>
  </si>
  <si>
    <t>L-1733-315463880</t>
  </si>
  <si>
    <t>IV 421, 2</t>
  </si>
  <si>
    <t>L-1736-406967458</t>
  </si>
  <si>
    <t>IV 422, 1</t>
  </si>
  <si>
    <t>L-1565-315494832</t>
  </si>
  <si>
    <t>IV 423, 1</t>
  </si>
  <si>
    <t>L-1569-31549395X</t>
  </si>
  <si>
    <t>IV 423, 2</t>
  </si>
  <si>
    <t>L-1785-175364516</t>
  </si>
  <si>
    <t>IV 423, 3</t>
  </si>
  <si>
    <t>L-1735-315464429</t>
  </si>
  <si>
    <t>IV 424, 1</t>
  </si>
  <si>
    <t>L-1731-162044836</t>
  </si>
  <si>
    <t>99636028X</t>
  </si>
  <si>
    <t>IV 424, 1 a</t>
  </si>
  <si>
    <t>L-2010-321395</t>
  </si>
  <si>
    <t>IV 424, 3</t>
  </si>
  <si>
    <t>L-1735-315468114</t>
  </si>
  <si>
    <t>IV 425, 1</t>
  </si>
  <si>
    <t>L-1634-315465360</t>
  </si>
  <si>
    <t>IV 426, 1</t>
  </si>
  <si>
    <t>L-1630-679450947</t>
  </si>
  <si>
    <t>IV 426, 1 (1. angebundenes Werk)</t>
  </si>
  <si>
    <t>L-1643-315316888</t>
  </si>
  <si>
    <t>IV 426, 2</t>
  </si>
  <si>
    <t>L-1770-176547487</t>
  </si>
  <si>
    <t>IV 427 A, 1</t>
  </si>
  <si>
    <t>L-1771-176005560</t>
  </si>
  <si>
    <t>L-1771-179403184</t>
  </si>
  <si>
    <t>L-1673-315200677</t>
  </si>
  <si>
    <t>IV 427, 1 a</t>
  </si>
  <si>
    <t>L-1673-315200685</t>
  </si>
  <si>
    <t>IV 427, 1 b</t>
  </si>
  <si>
    <t>L-1773-315320060</t>
  </si>
  <si>
    <t>IV 428, 1</t>
  </si>
  <si>
    <t>L-1735-175695245</t>
  </si>
  <si>
    <t>IV 428, 10</t>
  </si>
  <si>
    <t>L-1743-178160644</t>
  </si>
  <si>
    <t>IV 428, 11</t>
  </si>
  <si>
    <t>L-1744-167183958</t>
  </si>
  <si>
    <t>IV 428, 12</t>
  </si>
  <si>
    <t>L-1787-154867586</t>
  </si>
  <si>
    <t>IV 428, 13</t>
  </si>
  <si>
    <t>L-1787-154867667</t>
  </si>
  <si>
    <t>L-1777-169956083</t>
  </si>
  <si>
    <t>IV 428, 13 a</t>
  </si>
  <si>
    <t>L-2010-321226</t>
  </si>
  <si>
    <t>IV 428, 13 b</t>
  </si>
  <si>
    <t>L-2010-321225</t>
  </si>
  <si>
    <t>L-2010-321224</t>
  </si>
  <si>
    <t>L-1771-154003174</t>
  </si>
  <si>
    <t>99391490X</t>
  </si>
  <si>
    <t>IV 428, 14</t>
  </si>
  <si>
    <t>L-1727-16979735X</t>
  </si>
  <si>
    <t>IV 428, 15</t>
  </si>
  <si>
    <t>L-1679-177205296</t>
  </si>
  <si>
    <t>L-1743-154373826</t>
  </si>
  <si>
    <t>IV 428, 16</t>
  </si>
  <si>
    <t>L-1743-158245601</t>
  </si>
  <si>
    <t>IV 428, 17</t>
  </si>
  <si>
    <t>L-1745-166697710</t>
  </si>
  <si>
    <t>IV 428, 18</t>
  </si>
  <si>
    <t>L-1717-15391405X</t>
  </si>
  <si>
    <t>IV 428, 19</t>
  </si>
  <si>
    <t>L-1784-168342901</t>
  </si>
  <si>
    <t>IV 428, 20</t>
  </si>
  <si>
    <t>L-1784-168342863</t>
  </si>
  <si>
    <t>L-1783-168342871</t>
  </si>
  <si>
    <t>L-1784-168342898</t>
  </si>
  <si>
    <t>99941870X</t>
  </si>
  <si>
    <t>L-1785-16834291X</t>
  </si>
  <si>
    <t>L-1785-168342928</t>
  </si>
  <si>
    <t>L-1800-177909226</t>
  </si>
  <si>
    <t>IV 428, 21</t>
  </si>
  <si>
    <t>L-1800-177909404</t>
  </si>
  <si>
    <t>L-1800-177909366</t>
  </si>
  <si>
    <t>L-1750-159359902</t>
  </si>
  <si>
    <t>IV 428, 22</t>
  </si>
  <si>
    <t>L-1790-163017379</t>
  </si>
  <si>
    <t>IV 428, 23</t>
  </si>
  <si>
    <t>L-1790-163017417</t>
  </si>
  <si>
    <t>L-1790-163017336</t>
  </si>
  <si>
    <t>L-1791-163017492</t>
  </si>
  <si>
    <t>L-1791-163017468</t>
  </si>
  <si>
    <t>99690803X</t>
  </si>
  <si>
    <t>L-2012-309155</t>
  </si>
  <si>
    <t>IV 428, 23 /1</t>
  </si>
  <si>
    <t>L-2012-309157</t>
  </si>
  <si>
    <t>L-2012-309153</t>
  </si>
  <si>
    <t>L-2012-309156</t>
  </si>
  <si>
    <t>L-2012-309154</t>
  </si>
  <si>
    <t>L-1796-165364262</t>
  </si>
  <si>
    <t>99797270X</t>
  </si>
  <si>
    <t>IV 428, 23 c</t>
  </si>
  <si>
    <t>L-1795-165364106</t>
  </si>
  <si>
    <t>L-1795-165364041</t>
  </si>
  <si>
    <t>L-1794-165363916</t>
  </si>
  <si>
    <t>L-1794-165362707</t>
  </si>
  <si>
    <t>L-1796-172922488</t>
  </si>
  <si>
    <t>L-1794-165362669</t>
  </si>
  <si>
    <t>L-1792-17710144X</t>
  </si>
  <si>
    <t>IV 428, 23a</t>
  </si>
  <si>
    <t>L-1793-179298291</t>
  </si>
  <si>
    <t>IV 428, 23b</t>
  </si>
  <si>
    <t>L-1793-179298283</t>
  </si>
  <si>
    <t>L-1793-179298275</t>
  </si>
  <si>
    <t>L-1791-169812227</t>
  </si>
  <si>
    <t>IV 428, 23d</t>
  </si>
  <si>
    <t>L-1792-169812316</t>
  </si>
  <si>
    <t>L-1803-169812391</t>
  </si>
  <si>
    <t>L-1795-171320816</t>
  </si>
  <si>
    <t>IV 428, 24</t>
  </si>
  <si>
    <t>L-1756-167379127</t>
  </si>
  <si>
    <t>IV 428, 25</t>
  </si>
  <si>
    <t>L-1765-163017093</t>
  </si>
  <si>
    <t>IV 428, 26</t>
  </si>
  <si>
    <t>L-1765-163017085</t>
  </si>
  <si>
    <t>L-1765-163017123</t>
  </si>
  <si>
    <t>L-1765-161511546</t>
  </si>
  <si>
    <t>IV 428, 26a</t>
  </si>
  <si>
    <t>L-1756-167379526</t>
  </si>
  <si>
    <t>IV 428, 27</t>
  </si>
  <si>
    <t>L-1769-167419897</t>
  </si>
  <si>
    <t>IV 428, 28</t>
  </si>
  <si>
    <t>L-1792-170806170</t>
  </si>
  <si>
    <t>100054804X</t>
  </si>
  <si>
    <t>IV 428, 28 a</t>
  </si>
  <si>
    <t>L-1774-166460869</t>
  </si>
  <si>
    <t>IV 428, 29</t>
  </si>
  <si>
    <t>L-1779-154853151</t>
  </si>
  <si>
    <t>IV 428, 29a</t>
  </si>
  <si>
    <t>L-1779-154860646</t>
  </si>
  <si>
    <t>L-1774-179230999</t>
  </si>
  <si>
    <t>IV 428, 2a</t>
  </si>
  <si>
    <t>L-1774-179230905</t>
  </si>
  <si>
    <t>100319687X</t>
  </si>
  <si>
    <t>L-1776-406971161</t>
  </si>
  <si>
    <t>113265484X</t>
  </si>
  <si>
    <t>IV 428, 3</t>
  </si>
  <si>
    <t>L-1776-406971153</t>
  </si>
  <si>
    <t>L-1781-164462422</t>
  </si>
  <si>
    <t>IV 428, 30</t>
  </si>
  <si>
    <t>L-1784-15471836X</t>
  </si>
  <si>
    <t>IV 428, 31</t>
  </si>
  <si>
    <t>L-1781-164317562</t>
  </si>
  <si>
    <t>IV 428, 31 b</t>
  </si>
  <si>
    <t>L-1784-175853665</t>
  </si>
  <si>
    <t>IV 428, 31a</t>
  </si>
  <si>
    <t>L-1784-175853517</t>
  </si>
  <si>
    <t>IV 428, 31c</t>
  </si>
  <si>
    <t>L-1784-167245589</t>
  </si>
  <si>
    <t>IV 428, 32</t>
  </si>
  <si>
    <t>L-1784-167245422</t>
  </si>
  <si>
    <t>L-1784-167245562</t>
  </si>
  <si>
    <t>L-1784-167245465</t>
  </si>
  <si>
    <t>L-1784-167245406</t>
  </si>
  <si>
    <t>99894534X</t>
  </si>
  <si>
    <t>L-1784-167245457</t>
  </si>
  <si>
    <t>L-1700-15936258X</t>
  </si>
  <si>
    <t>IV 428, 33</t>
  </si>
  <si>
    <t>L-1776-180247425</t>
  </si>
  <si>
    <t>IV 428, 34</t>
  </si>
  <si>
    <t>L-1786-167073788</t>
  </si>
  <si>
    <t>IV 428, 35</t>
  </si>
  <si>
    <t>L-1787-167073796</t>
  </si>
  <si>
    <t>L-1738-175937060</t>
  </si>
  <si>
    <t>IV 428, 36</t>
  </si>
  <si>
    <t>L-1738-154002801</t>
  </si>
  <si>
    <t>L-1805-177719001</t>
  </si>
  <si>
    <t>IV 428, 37</t>
  </si>
  <si>
    <t>L-1795-155478176</t>
  </si>
  <si>
    <t>IV 428, 38</t>
  </si>
  <si>
    <t>L-1762-165099321</t>
  </si>
  <si>
    <t>IV 428, 39</t>
  </si>
  <si>
    <t>L-1803-315175621</t>
  </si>
  <si>
    <t>IV 428, 4</t>
  </si>
  <si>
    <t>L-1794-160884543</t>
  </si>
  <si>
    <t>IV 428, 40</t>
  </si>
  <si>
    <t>L-1798-170331237</t>
  </si>
  <si>
    <t>IV 428, 41</t>
  </si>
  <si>
    <t>L-9999-406946833</t>
  </si>
  <si>
    <t>IV 428, 42</t>
  </si>
  <si>
    <t>L-2013-312258</t>
  </si>
  <si>
    <t>IV 428, 43</t>
  </si>
  <si>
    <t>L-2013-401514</t>
  </si>
  <si>
    <t>IV 428, 44</t>
  </si>
  <si>
    <t>L-2019-302358</t>
  </si>
  <si>
    <t>119240257X</t>
  </si>
  <si>
    <t>IV 428, 45</t>
  </si>
  <si>
    <t>L-1804-406971498</t>
  </si>
  <si>
    <t>L-1804-406971501</t>
  </si>
  <si>
    <t>L-1818-315175613</t>
  </si>
  <si>
    <t>IV 428, 6</t>
  </si>
  <si>
    <t>L-1753-315176377</t>
  </si>
  <si>
    <t>IV 428, 7</t>
  </si>
  <si>
    <t>L-1744-159445035</t>
  </si>
  <si>
    <t>IV 428, 8</t>
  </si>
  <si>
    <t>L-1796-175500657</t>
  </si>
  <si>
    <t>IV 428, 9</t>
  </si>
  <si>
    <t>L-1750-154447854</t>
  </si>
  <si>
    <t>99406053X</t>
  </si>
  <si>
    <t>IV 43, 1</t>
  </si>
  <si>
    <t>L-1688-315295910</t>
  </si>
  <si>
    <t>106683590X</t>
  </si>
  <si>
    <t>IV 430, 1</t>
  </si>
  <si>
    <t>L-1724-314709908</t>
  </si>
  <si>
    <t>106645793X</t>
  </si>
  <si>
    <t>IV 430, 2</t>
  </si>
  <si>
    <t>L-1744-315202793</t>
  </si>
  <si>
    <t>IV 431, 1</t>
  </si>
  <si>
    <t>L-1779-171878884</t>
  </si>
  <si>
    <t>IV 432 C, 1</t>
  </si>
  <si>
    <t>L-1774-171878728</t>
  </si>
  <si>
    <t>L-2008-314551</t>
  </si>
  <si>
    <t>IV 432 C, 1 a</t>
  </si>
  <si>
    <t>L-1573-31548716X</t>
  </si>
  <si>
    <t>IV 432, 1</t>
  </si>
  <si>
    <t>L-1768-171069218</t>
  </si>
  <si>
    <t>IV 432, 2</t>
  </si>
  <si>
    <t>L-1775-315073179</t>
  </si>
  <si>
    <t>IV 433, 1</t>
  </si>
  <si>
    <t>L-1776-67476286X</t>
  </si>
  <si>
    <t>IV 433, 1 (1. angebundenes Werk)</t>
  </si>
  <si>
    <t>L-1573-315487496</t>
  </si>
  <si>
    <t>IV 434, 1</t>
  </si>
  <si>
    <t>L-1589-15603025X</t>
  </si>
  <si>
    <t>IV 434, 10</t>
  </si>
  <si>
    <t>L-1767-16212094X</t>
  </si>
  <si>
    <t>IV 434, 11</t>
  </si>
  <si>
    <t>L-1561-177535318</t>
  </si>
  <si>
    <t>IV 434, 12</t>
  </si>
  <si>
    <t>L-1567-156414295</t>
  </si>
  <si>
    <t>IV 434, 13</t>
  </si>
  <si>
    <t>L-1570-154609226</t>
  </si>
  <si>
    <t>99413200X</t>
  </si>
  <si>
    <t>IV 434, 14</t>
  </si>
  <si>
    <t>L-1570-154608998</t>
  </si>
  <si>
    <t>IV 434, 14a</t>
  </si>
  <si>
    <t>L-1704-153702583</t>
  </si>
  <si>
    <t>IV 434, 15</t>
  </si>
  <si>
    <t>L-1596-167641476</t>
  </si>
  <si>
    <t>IV 434, 16</t>
  </si>
  <si>
    <t>L-1570-167644467</t>
  </si>
  <si>
    <t>IV 434, 17</t>
  </si>
  <si>
    <t>L-1561-167295284</t>
  </si>
  <si>
    <t>99897224X</t>
  </si>
  <si>
    <t>IV 434, 18</t>
  </si>
  <si>
    <t>L-1717-170570193</t>
  </si>
  <si>
    <t>IV 434, 19</t>
  </si>
  <si>
    <t>L-1606-154720593</t>
  </si>
  <si>
    <t>IV 434, 1a</t>
  </si>
  <si>
    <t>L-1606-154721530</t>
  </si>
  <si>
    <t>L-1606-163625662</t>
  </si>
  <si>
    <t>L-1562-315216743</t>
  </si>
  <si>
    <t>IV 434, 2</t>
  </si>
  <si>
    <t>L-1735-166615293</t>
  </si>
  <si>
    <t>IV 434, 20</t>
  </si>
  <si>
    <t>L-1728-163254028</t>
  </si>
  <si>
    <t>IV 434, 21</t>
  </si>
  <si>
    <t>L-1714-163254524</t>
  </si>
  <si>
    <t>IV 434, 21a</t>
  </si>
  <si>
    <t>L-1714-163407517</t>
  </si>
  <si>
    <t>L-1729-163254435</t>
  </si>
  <si>
    <t>IV 434, 22</t>
  </si>
  <si>
    <t>L-1721-169079783</t>
  </si>
  <si>
    <t>IV 434, 22 a</t>
  </si>
  <si>
    <t>L-1720-179998234</t>
  </si>
  <si>
    <t>IV 434, 22a</t>
  </si>
  <si>
    <t>L-1718-179998129</t>
  </si>
  <si>
    <t>L-1717-163254834</t>
  </si>
  <si>
    <t>L-1569-167080830</t>
  </si>
  <si>
    <t>IV 434, 23</t>
  </si>
  <si>
    <t>L-1568-16708075X</t>
  </si>
  <si>
    <t>L-1794-165853425</t>
  </si>
  <si>
    <t>IV 434, 24</t>
  </si>
  <si>
    <t>L-2013-312882</t>
  </si>
  <si>
    <t>IV 434, 25</t>
  </si>
  <si>
    <t>L-2013-312883</t>
  </si>
  <si>
    <t>L-1569-154628298</t>
  </si>
  <si>
    <t>IV 434, 3</t>
  </si>
  <si>
    <t>L-1573-406957673</t>
  </si>
  <si>
    <t>113264027X</t>
  </si>
  <si>
    <t>IV 434, 4</t>
  </si>
  <si>
    <t>L-1573-406957665</t>
  </si>
  <si>
    <t>L-1574-406957681</t>
  </si>
  <si>
    <t>L-1572-154680664</t>
  </si>
  <si>
    <t>IV 434, 5</t>
  </si>
  <si>
    <t>L-1570-155408380</t>
  </si>
  <si>
    <t>99433768X</t>
  </si>
  <si>
    <t>L-1561-155408046</t>
  </si>
  <si>
    <t>L-1565-180277669</t>
  </si>
  <si>
    <t>IV 434, 7</t>
  </si>
  <si>
    <t>L-1576-154720135</t>
  </si>
  <si>
    <t>IV 434, 8</t>
  </si>
  <si>
    <t>L-1576-154720208</t>
  </si>
  <si>
    <t>L-1586-168501821</t>
  </si>
  <si>
    <t>IV 434, 9</t>
  </si>
  <si>
    <t>L-1569-315332190</t>
  </si>
  <si>
    <t>IV 435, 1</t>
  </si>
  <si>
    <t>L-1726-163310149</t>
  </si>
  <si>
    <t>IV 435, 10</t>
  </si>
  <si>
    <t>L-1732-170638197</t>
  </si>
  <si>
    <t>IV 435, 11</t>
  </si>
  <si>
    <t>L-1711-170567923</t>
  </si>
  <si>
    <t>L-1571-31533245X</t>
  </si>
  <si>
    <t>IV 435, 2</t>
  </si>
  <si>
    <t>L-1577-315487690</t>
  </si>
  <si>
    <t>106695707X</t>
  </si>
  <si>
    <t>IV 435, 3</t>
  </si>
  <si>
    <t>L-1578-315469803</t>
  </si>
  <si>
    <t>IV 435, 4</t>
  </si>
  <si>
    <t>L-1622-315469994</t>
  </si>
  <si>
    <t>IV 435, 5</t>
  </si>
  <si>
    <t>L-1650-31505977X</t>
  </si>
  <si>
    <t>IV 435, 6</t>
  </si>
  <si>
    <t>L-1658-315296925</t>
  </si>
  <si>
    <t>IV 435, 7</t>
  </si>
  <si>
    <t>L-1655-154309761</t>
  </si>
  <si>
    <t>IV 435, 8</t>
  </si>
  <si>
    <t>L-1786-155729691</t>
  </si>
  <si>
    <t>IV 435, 9</t>
  </si>
  <si>
    <t>L-1561-315493488</t>
  </si>
  <si>
    <t>IV 436, 1</t>
  </si>
  <si>
    <t>L-1671-315328932</t>
  </si>
  <si>
    <t>IV 437, 1</t>
  </si>
  <si>
    <t>L-1743-315332093</t>
  </si>
  <si>
    <t>106687428X</t>
  </si>
  <si>
    <t>IV 437, 2</t>
  </si>
  <si>
    <t>L-1771-315311029</t>
  </si>
  <si>
    <t>IV 437, 3</t>
  </si>
  <si>
    <t>L-1581-235324485</t>
  </si>
  <si>
    <t>IV 437, 4</t>
  </si>
  <si>
    <t>L-1581-235317322</t>
  </si>
  <si>
    <t>L-1581-154136506</t>
  </si>
  <si>
    <t>L-1657-315064048</t>
  </si>
  <si>
    <t>IV 437, 5</t>
  </si>
  <si>
    <t>L-1770-154084980</t>
  </si>
  <si>
    <t>IV 438, 1</t>
  </si>
  <si>
    <t>L-1784-179580035</t>
  </si>
  <si>
    <t>IV 438, 2</t>
  </si>
  <si>
    <t>L-1784-179579924</t>
  </si>
  <si>
    <t>L-1700-315329394</t>
  </si>
  <si>
    <t>IV 439, 1</t>
  </si>
  <si>
    <t>L-1776-166951935</t>
  </si>
  <si>
    <t>IV 44 C, 1</t>
  </si>
  <si>
    <t>L-1776-16616139X</t>
  </si>
  <si>
    <t>IV 44 C, 2</t>
  </si>
  <si>
    <t>L-1718-175796246</t>
  </si>
  <si>
    <t>IV 44, 1</t>
  </si>
  <si>
    <t>L-1679-315317213</t>
  </si>
  <si>
    <t>IV 440, 1</t>
  </si>
  <si>
    <t>L-1687-315179090</t>
  </si>
  <si>
    <t>IV 440, 2</t>
  </si>
  <si>
    <t>L-1697-180565370</t>
  </si>
  <si>
    <t>IV 440, 3</t>
  </si>
  <si>
    <t>L-1678-159530210</t>
  </si>
  <si>
    <t>L-1799-164648402</t>
  </si>
  <si>
    <t>IV 441 C, 1</t>
  </si>
  <si>
    <t>L-1799-17033029X</t>
  </si>
  <si>
    <t>L-1762-169791734</t>
  </si>
  <si>
    <t>IV 441 C, 1a</t>
  </si>
  <si>
    <t>L-1788-168016818</t>
  </si>
  <si>
    <t>IV 441 C, 2</t>
  </si>
  <si>
    <t>L-1786-167114964</t>
  </si>
  <si>
    <t>IV 441 C, 3</t>
  </si>
  <si>
    <t>L-1591-315491132</t>
  </si>
  <si>
    <t>106696064X</t>
  </si>
  <si>
    <t>IV 441, 1</t>
  </si>
  <si>
    <t>L-1583-153969679</t>
  </si>
  <si>
    <t>IV 441, 1 a</t>
  </si>
  <si>
    <t>L-1594-315208090</t>
  </si>
  <si>
    <t>IV 441, 2</t>
  </si>
  <si>
    <t>L-1614-315468629</t>
  </si>
  <si>
    <t>IV 441, 3</t>
  </si>
  <si>
    <t>L-1728-174447574</t>
  </si>
  <si>
    <t>IV 441, 4</t>
  </si>
  <si>
    <t>L-1747-156048469</t>
  </si>
  <si>
    <t>99449338X</t>
  </si>
  <si>
    <t>IV 441, 5</t>
  </si>
  <si>
    <t>L-1781-49019575X</t>
  </si>
  <si>
    <t>IV 442, [6]</t>
  </si>
  <si>
    <t>L-1740-406971463</t>
  </si>
  <si>
    <t>113265520X</t>
  </si>
  <si>
    <t>L-1740-40697148X</t>
  </si>
  <si>
    <t>L-1740-406971471</t>
  </si>
  <si>
    <t>L-9999-406971455</t>
  </si>
  <si>
    <t>113265517X</t>
  </si>
  <si>
    <t>L-1739-154089079</t>
  </si>
  <si>
    <t>IV 442, 2</t>
  </si>
  <si>
    <t>L-1756-170769321</t>
  </si>
  <si>
    <t>IV 442, 3</t>
  </si>
  <si>
    <t>L-1740-163266808</t>
  </si>
  <si>
    <t>IV 442, 4</t>
  </si>
  <si>
    <t>L-1742-170342670</t>
  </si>
  <si>
    <t>100028994X</t>
  </si>
  <si>
    <t>IV 442, 5</t>
  </si>
  <si>
    <t>L-1574-315469072</t>
  </si>
  <si>
    <t>IV 443, 1</t>
  </si>
  <si>
    <t>L-1596-177847999</t>
  </si>
  <si>
    <t>IV 443, 10</t>
  </si>
  <si>
    <t>L-1596-177846127</t>
  </si>
  <si>
    <t>IV 443, 11</t>
  </si>
  <si>
    <t>L-1718-177612126</t>
  </si>
  <si>
    <t>IV 443, 12</t>
  </si>
  <si>
    <t>L-1586-315492872</t>
  </si>
  <si>
    <t>IV 443, 2</t>
  </si>
  <si>
    <t>L-1650-315300841</t>
  </si>
  <si>
    <t>IV 443, 2 o</t>
  </si>
  <si>
    <t>L-1649-676551815</t>
  </si>
  <si>
    <t>IV 443, 2 o (1. angebundenes Werk)</t>
  </si>
  <si>
    <t>L-1731-40695237X</t>
  </si>
  <si>
    <t>IV 443, 3</t>
  </si>
  <si>
    <t>L-1732-406952388</t>
  </si>
  <si>
    <t>L-1730-406952361</t>
  </si>
  <si>
    <t>L-1730-406952396</t>
  </si>
  <si>
    <t>L-1749-163025215</t>
  </si>
  <si>
    <t>IV 443, 3a</t>
  </si>
  <si>
    <t>L-1772-406970416</t>
  </si>
  <si>
    <t>IV 443, 4</t>
  </si>
  <si>
    <t>L-9999-406970408</t>
  </si>
  <si>
    <t>L-1770-406970386</t>
  </si>
  <si>
    <t>L-1770-406970378</t>
  </si>
  <si>
    <t>L-1770-406970394</t>
  </si>
  <si>
    <t>L-1777-406953635</t>
  </si>
  <si>
    <t>L-1777-406953643</t>
  </si>
  <si>
    <t>L-1777-162047231</t>
  </si>
  <si>
    <t>IV 443, 6</t>
  </si>
  <si>
    <t>L-1777-162046901</t>
  </si>
  <si>
    <t>L-1762-17954845X</t>
  </si>
  <si>
    <t>IV 443, 7</t>
  </si>
  <si>
    <t>L-1762-179548379</t>
  </si>
  <si>
    <t>L-1762-179548484</t>
  </si>
  <si>
    <t>L-1769-167837664</t>
  </si>
  <si>
    <t>IV 443, 8</t>
  </si>
  <si>
    <t>L-1774-177165421</t>
  </si>
  <si>
    <t>IV 443, 9</t>
  </si>
  <si>
    <t>L-1754-162043856</t>
  </si>
  <si>
    <t>IV 443, 9a</t>
  </si>
  <si>
    <t>L-1782-177203110</t>
  </si>
  <si>
    <t>IV 443, 9b</t>
  </si>
  <si>
    <t>L-9999-176393544</t>
  </si>
  <si>
    <t>IV 443, 9c</t>
  </si>
  <si>
    <t>L-1695-315332158</t>
  </si>
  <si>
    <t>IV 444, 1</t>
  </si>
  <si>
    <t>L-1598-315175915</t>
  </si>
  <si>
    <t>IV 445, 1</t>
  </si>
  <si>
    <t>L-1779-176922008</t>
  </si>
  <si>
    <t>IV 445, 10</t>
  </si>
  <si>
    <t>L-1786-406957355</t>
  </si>
  <si>
    <t>IV 445, 2</t>
  </si>
  <si>
    <t>L-1786-406957347</t>
  </si>
  <si>
    <t>113263993X</t>
  </si>
  <si>
    <t>L-1782-175067317</t>
  </si>
  <si>
    <t>IV 445, 3</t>
  </si>
  <si>
    <t>L-1782-175067341</t>
  </si>
  <si>
    <t>L-1782-17506721X</t>
  </si>
  <si>
    <t>100153011X</t>
  </si>
  <si>
    <t>L-1784-169969223</t>
  </si>
  <si>
    <t>IV 445, 4</t>
  </si>
  <si>
    <t>L-1784-169969118</t>
  </si>
  <si>
    <t>L-1783-16996907X</t>
  </si>
  <si>
    <t>L-1783-169969037</t>
  </si>
  <si>
    <t>L-1783-169969002</t>
  </si>
  <si>
    <t>100007059X</t>
  </si>
  <si>
    <t>L-1784-17018272X</t>
  </si>
  <si>
    <t>IV 445, 4a</t>
  </si>
  <si>
    <t>L-1784-169831116</t>
  </si>
  <si>
    <t>L-1784-170211541</t>
  </si>
  <si>
    <t>IV 445, 4b</t>
  </si>
  <si>
    <t>L-1784-170211509</t>
  </si>
  <si>
    <t>L-1784-170211398</t>
  </si>
  <si>
    <t>L-1784-170211444</t>
  </si>
  <si>
    <t>100020829X</t>
  </si>
  <si>
    <t>L-1785-175088926</t>
  </si>
  <si>
    <t>IV 445, 5</t>
  </si>
  <si>
    <t>L-1785-169770346</t>
  </si>
  <si>
    <t>L-1785-171515420</t>
  </si>
  <si>
    <t>L-1785-175067457</t>
  </si>
  <si>
    <t>IV 445, 6</t>
  </si>
  <si>
    <t>L-1738-169493083</t>
  </si>
  <si>
    <t>IV 445, 6a</t>
  </si>
  <si>
    <t>L-1783-16949313X</t>
  </si>
  <si>
    <t>L-1783-169493172</t>
  </si>
  <si>
    <t>L-1780-177847573</t>
  </si>
  <si>
    <t>IV 445, 7</t>
  </si>
  <si>
    <t>L-1779-176763481</t>
  </si>
  <si>
    <t>IV 445, 8</t>
  </si>
  <si>
    <t>L-1779-176763546</t>
  </si>
  <si>
    <t>L-1779-171324471</t>
  </si>
  <si>
    <t>100088841X</t>
  </si>
  <si>
    <t>IV 445, 9</t>
  </si>
  <si>
    <t>L-1737-154684244</t>
  </si>
  <si>
    <t>IV 446, 1</t>
  </si>
  <si>
    <t>L-1728-315079061</t>
  </si>
  <si>
    <t>IV 446, 2</t>
  </si>
  <si>
    <t>L-1676-406962618</t>
  </si>
  <si>
    <t>IV 449, 1</t>
  </si>
  <si>
    <t>L-1759-166489190</t>
  </si>
  <si>
    <t>IV 449, 2</t>
  </si>
  <si>
    <t>L-1702-162603363</t>
  </si>
  <si>
    <t>IV 449, 3</t>
  </si>
  <si>
    <t>L-1694-169795020</t>
  </si>
  <si>
    <t>IV 449, 4</t>
  </si>
  <si>
    <t>L-1694-169795063</t>
  </si>
  <si>
    <t>L-1756-169494551</t>
  </si>
  <si>
    <t>IV 449, 5</t>
  </si>
  <si>
    <t>L-1678-155388649</t>
  </si>
  <si>
    <t>99431891X</t>
  </si>
  <si>
    <t>IV 45, 1</t>
  </si>
  <si>
    <t>L-1678-155388800</t>
  </si>
  <si>
    <t>99431910X</t>
  </si>
  <si>
    <t>IV 45, 2</t>
  </si>
  <si>
    <t>L-1678-315219629</t>
  </si>
  <si>
    <t>106679961X</t>
  </si>
  <si>
    <t>L-1561-169955230</t>
  </si>
  <si>
    <t>IV 450, 1</t>
  </si>
  <si>
    <t>L-1652-162656939</t>
  </si>
  <si>
    <t>IV 450, 10</t>
  </si>
  <si>
    <t>L-1656-153947055</t>
  </si>
  <si>
    <t>IV 450, 11</t>
  </si>
  <si>
    <t>L-9999-155607154</t>
  </si>
  <si>
    <t>IV 450, 12</t>
  </si>
  <si>
    <t>L-1752-167583115</t>
  </si>
  <si>
    <t>IV 450, 13</t>
  </si>
  <si>
    <t>L-1770-154846694</t>
  </si>
  <si>
    <t>IV 450, 15</t>
  </si>
  <si>
    <t>L-9999-175754586</t>
  </si>
  <si>
    <t>IV 450, 16</t>
  </si>
  <si>
    <t>L-1753-165445300</t>
  </si>
  <si>
    <t>IV 450, 17</t>
  </si>
  <si>
    <t>L-1716-15960401X</t>
  </si>
  <si>
    <t>IV 450, 18</t>
  </si>
  <si>
    <t>L-1788-154382124</t>
  </si>
  <si>
    <t>IV 450, 19</t>
  </si>
  <si>
    <t>L-1578-315332220</t>
  </si>
  <si>
    <t>IV 450, 2</t>
  </si>
  <si>
    <t>L-1676-170183416</t>
  </si>
  <si>
    <t>IV 450, 20</t>
  </si>
  <si>
    <t>L-1686-176484051</t>
  </si>
  <si>
    <t>IV 450, 21</t>
  </si>
  <si>
    <t>L-1683-177548290</t>
  </si>
  <si>
    <t>IV 450, 22</t>
  </si>
  <si>
    <t>L-1685-180488104</t>
  </si>
  <si>
    <t>IV 450, 23</t>
  </si>
  <si>
    <t>L-1790-173780865</t>
  </si>
  <si>
    <t>IV 450, 24</t>
  </si>
  <si>
    <t>L-1739-170717577</t>
  </si>
  <si>
    <t>IV 450, 25</t>
  </si>
  <si>
    <t>L-1787-174446969</t>
  </si>
  <si>
    <t>IV 450, 26</t>
  </si>
  <si>
    <t>L-1705-163290725</t>
  </si>
  <si>
    <t>IV 450, 27</t>
  </si>
  <si>
    <t>L-9999-159498600</t>
  </si>
  <si>
    <t>IV 450, 28</t>
  </si>
  <si>
    <t>L-1563-156069776</t>
  </si>
  <si>
    <t>L-1563-156413132</t>
  </si>
  <si>
    <t>L-1567-167629093</t>
  </si>
  <si>
    <t>L-1563-167106368</t>
  </si>
  <si>
    <t>99888331X</t>
  </si>
  <si>
    <t>L-1706-160750849</t>
  </si>
  <si>
    <t>IV 450, 3</t>
  </si>
  <si>
    <t>L-1759-288582837</t>
  </si>
  <si>
    <t>IV 450, 30</t>
  </si>
  <si>
    <t>L-2009-324215</t>
  </si>
  <si>
    <t>L-2019-302443</t>
  </si>
  <si>
    <t>IV 450, 31</t>
  </si>
  <si>
    <t>L-1709-169532925</t>
  </si>
  <si>
    <t>IV 450, 4</t>
  </si>
  <si>
    <t>L-1711-157750833</t>
  </si>
  <si>
    <t>IV 450, 5</t>
  </si>
  <si>
    <t>L-1720-160751055</t>
  </si>
  <si>
    <t>IV 450, 6</t>
  </si>
  <si>
    <t>L-1721-160751128</t>
  </si>
  <si>
    <t>IV 450, 7</t>
  </si>
  <si>
    <t>L-1638-153916079</t>
  </si>
  <si>
    <t>IV 450, 8</t>
  </si>
  <si>
    <t>L-1649-154628905</t>
  </si>
  <si>
    <t>IV 450, 9</t>
  </si>
  <si>
    <t>L-1620-170335976</t>
  </si>
  <si>
    <t>IV 46, 1</t>
  </si>
  <si>
    <t>L-1620-315327766</t>
  </si>
  <si>
    <t>L-1616-170119033</t>
  </si>
  <si>
    <t>IV 47, 1</t>
  </si>
  <si>
    <t>L-1677-171159217</t>
  </si>
  <si>
    <t>IV 48, 1</t>
  </si>
  <si>
    <t>L-1677-315464445</t>
  </si>
  <si>
    <t>L-1796-169504972</t>
  </si>
  <si>
    <t>IV 48, 10</t>
  </si>
  <si>
    <t>L-1799-162324685</t>
  </si>
  <si>
    <t>IV 48, 11</t>
  </si>
  <si>
    <t>L-2012-309150</t>
  </si>
  <si>
    <t>102122748X</t>
  </si>
  <si>
    <t>IV 48, 12</t>
  </si>
  <si>
    <t>L-2012-309149</t>
  </si>
  <si>
    <t>L-2012-309148</t>
  </si>
  <si>
    <t>L-1686-171159098</t>
  </si>
  <si>
    <t>IV 48, 2</t>
  </si>
  <si>
    <t>L-1758-161887473</t>
  </si>
  <si>
    <t>IV 48, 3</t>
  </si>
  <si>
    <t>L-1757-163786623</t>
  </si>
  <si>
    <t>IV 48, 4</t>
  </si>
  <si>
    <t>L-1757-163787522</t>
  </si>
  <si>
    <t>L-1758-163788251</t>
  </si>
  <si>
    <t>L-1760-163788693</t>
  </si>
  <si>
    <t>L-1756-163786194</t>
  </si>
  <si>
    <t>L-1761-180273736</t>
  </si>
  <si>
    <t>IV 48, 5</t>
  </si>
  <si>
    <t>L-1782-156356546</t>
  </si>
  <si>
    <t>IV 48, 5a</t>
  </si>
  <si>
    <t>L-1786-156356554</t>
  </si>
  <si>
    <t>L-1782-169845451</t>
  </si>
  <si>
    <t>L-1762-177636246</t>
  </si>
  <si>
    <t>IV 48, 6</t>
  </si>
  <si>
    <t>L-1772-180272586</t>
  </si>
  <si>
    <t>L-1772-180272616</t>
  </si>
  <si>
    <t>L-1786-161767362</t>
  </si>
  <si>
    <t>IV 48, 8</t>
  </si>
  <si>
    <t>L-1790-161768016</t>
  </si>
  <si>
    <t>L-1790-155729780</t>
  </si>
  <si>
    <t>L-1793-169066509</t>
  </si>
  <si>
    <t>IV 48, 8 b</t>
  </si>
  <si>
    <t>L-1798-156876256</t>
  </si>
  <si>
    <t>IV 48, 8a</t>
  </si>
  <si>
    <t>L-1793-160450071</t>
  </si>
  <si>
    <t>IV 48, 8b</t>
  </si>
  <si>
    <t>L-1791-155729667</t>
  </si>
  <si>
    <t>IV 48, 9</t>
  </si>
  <si>
    <t>L-1791-163285683</t>
  </si>
  <si>
    <t>IV 48, 9 a</t>
  </si>
  <si>
    <t>L-1785-155729578</t>
  </si>
  <si>
    <t>L-1790-155718045</t>
  </si>
  <si>
    <t>IV 48, 9b</t>
  </si>
  <si>
    <t>L-1801-177478942</t>
  </si>
  <si>
    <t>IV 48, 9d</t>
  </si>
  <si>
    <t>L-1794-177478772</t>
  </si>
  <si>
    <t>100249558X</t>
  </si>
  <si>
    <t>L-1795-177478837</t>
  </si>
  <si>
    <t>L-1799-17747890X</t>
  </si>
  <si>
    <t>L-1706-163286094</t>
  </si>
  <si>
    <t>IV 49, 1</t>
  </si>
  <si>
    <t>L-1602-315295953</t>
  </si>
  <si>
    <t>IV 5 A, 1</t>
  </si>
  <si>
    <t>L-1646-315465921</t>
  </si>
  <si>
    <t>IV 5, 1</t>
  </si>
  <si>
    <t>L-1667-315294434</t>
  </si>
  <si>
    <t>IV 5, 2</t>
  </si>
  <si>
    <t>L-1702-159578647</t>
  </si>
  <si>
    <t>IV 5, 3</t>
  </si>
  <si>
    <t>L-1740-16190128X</t>
  </si>
  <si>
    <t>IV 5, 3a</t>
  </si>
  <si>
    <t>L-1758-169921166</t>
  </si>
  <si>
    <t>100004663X</t>
  </si>
  <si>
    <t>IV 5, 4</t>
  </si>
  <si>
    <t>L-1764-165365064</t>
  </si>
  <si>
    <t>IV 5, 4a</t>
  </si>
  <si>
    <t>L-1781-166466298</t>
  </si>
  <si>
    <t>99853899X</t>
  </si>
  <si>
    <t>IV 5, 4b</t>
  </si>
  <si>
    <t>L-1584-167790536</t>
  </si>
  <si>
    <t>99924700X</t>
  </si>
  <si>
    <t>IV 50, 1</t>
  </si>
  <si>
    <t>L-1593-168418649</t>
  </si>
  <si>
    <t>IV 50, 2</t>
  </si>
  <si>
    <t>L-1618-167421743</t>
  </si>
  <si>
    <t>IV 50, 3</t>
  </si>
  <si>
    <t>L-1618-315176288</t>
  </si>
  <si>
    <t>L-1620-315296089</t>
  </si>
  <si>
    <t>IV 50, 4</t>
  </si>
  <si>
    <t>L-1620-176984380</t>
  </si>
  <si>
    <t>L-1623-315464518</t>
  </si>
  <si>
    <t>IV 50, 5</t>
  </si>
  <si>
    <t>L-1623-679450408</t>
  </si>
  <si>
    <t>IV 50, 5 (1. angebundenes Werk)</t>
  </si>
  <si>
    <t>L-1744-192233335</t>
  </si>
  <si>
    <t>IV 50, 6</t>
  </si>
  <si>
    <t>L-2011-325563</t>
  </si>
  <si>
    <t>IV 50, 7</t>
  </si>
  <si>
    <t>L-1583-170182908</t>
  </si>
  <si>
    <t>IV 51, 1</t>
  </si>
  <si>
    <t>L-1770-164508309</t>
  </si>
  <si>
    <t>99767301X</t>
  </si>
  <si>
    <t>IV 51, 10</t>
  </si>
  <si>
    <t>L-1689-166951900</t>
  </si>
  <si>
    <t>IV 51, 11</t>
  </si>
  <si>
    <t>L-1689-166951641</t>
  </si>
  <si>
    <t>L-1689-166951285</t>
  </si>
  <si>
    <t>L-1689-166950912</t>
  </si>
  <si>
    <t>99879001X</t>
  </si>
  <si>
    <t>L-1689-166950688</t>
  </si>
  <si>
    <t>L-1679-166952478</t>
  </si>
  <si>
    <t>L-1793-176024557</t>
  </si>
  <si>
    <t>IV 51, 12</t>
  </si>
  <si>
    <t>L-1811-154378941</t>
  </si>
  <si>
    <t>IV 51, 2</t>
  </si>
  <si>
    <t>L-1818-154378763</t>
  </si>
  <si>
    <t>IV 51, 3</t>
  </si>
  <si>
    <t>L-1800-159611318</t>
  </si>
  <si>
    <t>01631526X</t>
  </si>
  <si>
    <t>IV 51, 4</t>
  </si>
  <si>
    <t>L-1704-163583250</t>
  </si>
  <si>
    <t>99727767X</t>
  </si>
  <si>
    <t>IV 51, 5</t>
  </si>
  <si>
    <t>L-1689-163582882</t>
  </si>
  <si>
    <t>IV 51, 5 a</t>
  </si>
  <si>
    <t>L-1679-163581614</t>
  </si>
  <si>
    <t>99727655X</t>
  </si>
  <si>
    <t>IV 51, 5 b</t>
  </si>
  <si>
    <t>L-1679-175007829</t>
  </si>
  <si>
    <t>IV 51, 5b</t>
  </si>
  <si>
    <t>L-1981-178258423</t>
  </si>
  <si>
    <t>100285511X</t>
  </si>
  <si>
    <t>L-1675-155383515</t>
  </si>
  <si>
    <t>L-1739-155607278</t>
  </si>
  <si>
    <t>IV 51, 6</t>
  </si>
  <si>
    <t>L-1748-163576750</t>
  </si>
  <si>
    <t>IV 51, 7</t>
  </si>
  <si>
    <t>L-1749-155716514</t>
  </si>
  <si>
    <t>99440526X</t>
  </si>
  <si>
    <t>L-1799-160232104</t>
  </si>
  <si>
    <t>IV 51, 7 b</t>
  </si>
  <si>
    <t>L-1752-157828840</t>
  </si>
  <si>
    <t>IV 51, 7/a</t>
  </si>
  <si>
    <t>L-1783-169110796</t>
  </si>
  <si>
    <t>IV 51, 7c</t>
  </si>
  <si>
    <t>L-1783-156419297</t>
  </si>
  <si>
    <t>L-1798-155407589</t>
  </si>
  <si>
    <t>IV 51, 7d</t>
  </si>
  <si>
    <t>L-1724-162933444</t>
  </si>
  <si>
    <t>IV 51, 8</t>
  </si>
  <si>
    <t>L-1742-162933983</t>
  </si>
  <si>
    <t>IV 51, 8/3</t>
  </si>
  <si>
    <t>L-1803-179246461</t>
  </si>
  <si>
    <t>IV 51, 9</t>
  </si>
  <si>
    <t>L-1790-16846148X</t>
  </si>
  <si>
    <t>L-1801-160749158</t>
  </si>
  <si>
    <t>L-1802-160749255</t>
  </si>
  <si>
    <t>L-1800-16074895X</t>
  </si>
  <si>
    <t>L-1800-160748844</t>
  </si>
  <si>
    <t>L-1800-160748690</t>
  </si>
  <si>
    <t>L-1801-160749050</t>
  </si>
  <si>
    <t>L-1584-315326891</t>
  </si>
  <si>
    <t>L-1624-169107604</t>
  </si>
  <si>
    <t>99975193X</t>
  </si>
  <si>
    <t>IV 52, 1</t>
  </si>
  <si>
    <t>L-1624-315463163</t>
  </si>
  <si>
    <t>L-1630-169107485</t>
  </si>
  <si>
    <t>IV 52, 2</t>
  </si>
  <si>
    <t>L-1631-16289659X</t>
  </si>
  <si>
    <t>IV 52, 2 a</t>
  </si>
  <si>
    <t>L-1639-169106721</t>
  </si>
  <si>
    <t>IV 52, 3</t>
  </si>
  <si>
    <t>L-1639-315218576</t>
  </si>
  <si>
    <t>L-1605-315303727</t>
  </si>
  <si>
    <t>IV 53, 1</t>
  </si>
  <si>
    <t>L-1605-172067561</t>
  </si>
  <si>
    <t>L-1617-169753468</t>
  </si>
  <si>
    <t>IV 54, 1</t>
  </si>
  <si>
    <t>L-1678-177808152</t>
  </si>
  <si>
    <t>IV 54, 2</t>
  </si>
  <si>
    <t>L-1678-175196354</t>
  </si>
  <si>
    <t>L-1713-156050331</t>
  </si>
  <si>
    <t>IV 54, 3</t>
  </si>
  <si>
    <t>L-1739-165576847</t>
  </si>
  <si>
    <t>L-1740-165577096</t>
  </si>
  <si>
    <t>L-1740-165577134</t>
  </si>
  <si>
    <t>L-1698-170276287</t>
  </si>
  <si>
    <t>L-1698-170276228</t>
  </si>
  <si>
    <t>L-1656-155386522</t>
  </si>
  <si>
    <t>IV 54, 6</t>
  </si>
  <si>
    <t>L-1652-160593484</t>
  </si>
  <si>
    <t>IV 54, 7</t>
  </si>
  <si>
    <t>L-2016-308017</t>
  </si>
  <si>
    <t>IV 54, 8</t>
  </si>
  <si>
    <t>L-1730-179408895</t>
  </si>
  <si>
    <t>IV 55, 1</t>
  </si>
  <si>
    <t>L-1730-315336919</t>
  </si>
  <si>
    <t>L-1745-315463023</t>
  </si>
  <si>
    <t>IV 55, 2</t>
  </si>
  <si>
    <t>L-1745-163973105</t>
  </si>
  <si>
    <t>L-1792-315208198</t>
  </si>
  <si>
    <t>IV 55, 3</t>
  </si>
  <si>
    <t>L-1792-672937069</t>
  </si>
  <si>
    <t>IV 55, 3 (1. angebundenes Werk)</t>
  </si>
  <si>
    <t>L-1762-315178264</t>
  </si>
  <si>
    <t>IV 55, 4</t>
  </si>
  <si>
    <t>L-1790-15391694X</t>
  </si>
  <si>
    <t>IV 55, 5</t>
  </si>
  <si>
    <t>L-1791-173996493</t>
  </si>
  <si>
    <t>IV 55, 6</t>
  </si>
  <si>
    <t>L-1723-154089397</t>
  </si>
  <si>
    <t>IV 56, 1</t>
  </si>
  <si>
    <t>L-1740-171505050</t>
  </si>
  <si>
    <t>IV 56, 2</t>
  </si>
  <si>
    <t>L-1737-175074062</t>
  </si>
  <si>
    <t>IV 57, 1</t>
  </si>
  <si>
    <t>L-1619-153945958</t>
  </si>
  <si>
    <t>IV 58, 1</t>
  </si>
  <si>
    <t>L-1619-15394594X</t>
  </si>
  <si>
    <t>L-1619-167554018</t>
  </si>
  <si>
    <t>L-1626-31532807X</t>
  </si>
  <si>
    <t>IV 59, 1</t>
  </si>
  <si>
    <t>L-1626-170473643</t>
  </si>
  <si>
    <t>L-1626-679692908</t>
  </si>
  <si>
    <t>IV 59, 1 (1. angebundenes Werk)</t>
  </si>
  <si>
    <t>L-1626-679692797</t>
  </si>
  <si>
    <t>IV 59, 1 (2. angebundenes Werk)</t>
  </si>
  <si>
    <t>L-1673-332871118</t>
  </si>
  <si>
    <t>IV 6, 1 - 1</t>
  </si>
  <si>
    <t>L-1685-332871150</t>
  </si>
  <si>
    <t>IV 6, 1 - 2</t>
  </si>
  <si>
    <t>L-1780-315196351</t>
  </si>
  <si>
    <t>IV 6, 2</t>
  </si>
  <si>
    <t>L-1766-670822248</t>
  </si>
  <si>
    <t>IV 6, 2 (1. angebundenes Werk)</t>
  </si>
  <si>
    <t>L-1780-165367989</t>
  </si>
  <si>
    <t>L-1780-165367946</t>
  </si>
  <si>
    <t>L-1752-171327837</t>
  </si>
  <si>
    <t>IV 6, 4</t>
  </si>
  <si>
    <t>L-1709-160853273</t>
  </si>
  <si>
    <t>IV 6, 5</t>
  </si>
  <si>
    <t>L-1770-154450405</t>
  </si>
  <si>
    <t>IV 6, 6</t>
  </si>
  <si>
    <t>L-1770-154450774</t>
  </si>
  <si>
    <t>IV 6, 6 a</t>
  </si>
  <si>
    <t>L-1770-15445074X</t>
  </si>
  <si>
    <t>L-1770-154450723</t>
  </si>
  <si>
    <t>L-1796-177165669</t>
  </si>
  <si>
    <t>IV 6, 7</t>
  </si>
  <si>
    <t>L-1793-163625387</t>
  </si>
  <si>
    <t>IV 6, 7 a</t>
  </si>
  <si>
    <t>L-1793-163625301</t>
  </si>
  <si>
    <t>L-1797-177913088</t>
  </si>
  <si>
    <t>IV 6, 7 b</t>
  </si>
  <si>
    <t>L-1797-177911689</t>
  </si>
  <si>
    <t>L-1924-175070792</t>
  </si>
  <si>
    <t>IV 60, 1</t>
  </si>
  <si>
    <t>L-1580-159722292</t>
  </si>
  <si>
    <t>IV 60, 2</t>
  </si>
  <si>
    <t>L-1728-178568066</t>
  </si>
  <si>
    <t>IV 60, 23</t>
  </si>
  <si>
    <t>L-1620-315466170</t>
  </si>
  <si>
    <t>IV 61, 1</t>
  </si>
  <si>
    <t>L-1600-315463848</t>
  </si>
  <si>
    <t>IV 62, 1</t>
  </si>
  <si>
    <t>L-1679-156062852</t>
  </si>
  <si>
    <t>IV 62, 2</t>
  </si>
  <si>
    <t>L-2012-303476</t>
  </si>
  <si>
    <t>IV 62, 3</t>
  </si>
  <si>
    <t>L-1678-406958394</t>
  </si>
  <si>
    <t>IV 63, 1</t>
  </si>
  <si>
    <t>L-1678-406958386</t>
  </si>
  <si>
    <t>L-1678-406958378</t>
  </si>
  <si>
    <t>L-1678-40695836X</t>
  </si>
  <si>
    <t>L-1613-31517823X</t>
  </si>
  <si>
    <t>IV 64, 1</t>
  </si>
  <si>
    <t>L-1693-315308613</t>
  </si>
  <si>
    <t>IV 65, 1</t>
  </si>
  <si>
    <t>L-1765-315177128</t>
  </si>
  <si>
    <t>IV 66, 1</t>
  </si>
  <si>
    <t>L-1618-315334177</t>
  </si>
  <si>
    <t>106687641X</t>
  </si>
  <si>
    <t>IV 67, 1</t>
  </si>
  <si>
    <t>L-1647-315465433</t>
  </si>
  <si>
    <t>IV 67, 2</t>
  </si>
  <si>
    <t>L-1665-315201460</t>
  </si>
  <si>
    <t>IV 67, 3</t>
  </si>
  <si>
    <t>L-1673-315470712</t>
  </si>
  <si>
    <t>IV 67, 4</t>
  </si>
  <si>
    <t>L-1698-159493285</t>
  </si>
  <si>
    <t>IV 67, 5</t>
  </si>
  <si>
    <t>L-1603-315460202</t>
  </si>
  <si>
    <t>IV 68, 1</t>
  </si>
  <si>
    <t>L-1657-315333278</t>
  </si>
  <si>
    <t>IV 68, 2</t>
  </si>
  <si>
    <t>L-1708-406969019</t>
  </si>
  <si>
    <t>IV 69, 1</t>
  </si>
  <si>
    <t>L-1708-406969000</t>
  </si>
  <si>
    <t>L-1599-154720240</t>
  </si>
  <si>
    <t>99419594X</t>
  </si>
  <si>
    <t>IV 7, 1</t>
  </si>
  <si>
    <t>L-1608-315463147</t>
  </si>
  <si>
    <t>L-1607-315299878</t>
  </si>
  <si>
    <t>L-1611-315464135</t>
  </si>
  <si>
    <t>IV 7, 3</t>
  </si>
  <si>
    <t>L-1716-155717545</t>
  </si>
  <si>
    <t>IV 7, 4</t>
  </si>
  <si>
    <t>L-1648-315465085</t>
  </si>
  <si>
    <t>IV 70, 1</t>
  </si>
  <si>
    <t>L-1652-406962790</t>
  </si>
  <si>
    <t>IV 70, 2</t>
  </si>
  <si>
    <t>L-1586-315465999</t>
  </si>
  <si>
    <t>IV 71, 1</t>
  </si>
  <si>
    <t>L-1734-315307552</t>
  </si>
  <si>
    <t>IV 72, 1</t>
  </si>
  <si>
    <t>L-1758-406959099</t>
  </si>
  <si>
    <t>L-1758-406959080</t>
  </si>
  <si>
    <t>L-1780-173926142</t>
  </si>
  <si>
    <t>IV 72, 3</t>
  </si>
  <si>
    <t>L-1794-16951272X</t>
  </si>
  <si>
    <t>IV 72, 4</t>
  </si>
  <si>
    <t>L-1712-165100435</t>
  </si>
  <si>
    <t>IV 72, 5</t>
  </si>
  <si>
    <t>L-1728-164082743</t>
  </si>
  <si>
    <t>L-1607-315466294</t>
  </si>
  <si>
    <t>IV 73, 1</t>
  </si>
  <si>
    <t>L-1568-154132837</t>
  </si>
  <si>
    <t>IV 74, 1</t>
  </si>
  <si>
    <t>L-1579-315491035</t>
  </si>
  <si>
    <t>IV 74, 10</t>
  </si>
  <si>
    <t>L-1580-315492570</t>
  </si>
  <si>
    <t>IV 74, 11</t>
  </si>
  <si>
    <t>L-1586-315490403</t>
  </si>
  <si>
    <t>IV 74, 12</t>
  </si>
  <si>
    <t>L-1578-169954366</t>
  </si>
  <si>
    <t>IV 74, 13</t>
  </si>
  <si>
    <t>L-1587-167584553</t>
  </si>
  <si>
    <t>IV 74, 14</t>
  </si>
  <si>
    <t>L-1595-16768681X</t>
  </si>
  <si>
    <t>IV 74, 15</t>
  </si>
  <si>
    <t>L-1595-167686798</t>
  </si>
  <si>
    <t>L-1606-154848999</t>
  </si>
  <si>
    <t>IV 74, 16</t>
  </si>
  <si>
    <t>L-1592-180419021</t>
  </si>
  <si>
    <t>100367867X</t>
  </si>
  <si>
    <t>IV 74, 17</t>
  </si>
  <si>
    <t>L-1684-167032003</t>
  </si>
  <si>
    <t>IV 74, 18</t>
  </si>
  <si>
    <t>L-1652-177093137</t>
  </si>
  <si>
    <t>IV 74, 19</t>
  </si>
  <si>
    <t>L-1588-315216204</t>
  </si>
  <si>
    <t>106679569X</t>
  </si>
  <si>
    <t>IV 74, 2</t>
  </si>
  <si>
    <t>L-1726-158416899</t>
  </si>
  <si>
    <t>IV 74, 20</t>
  </si>
  <si>
    <t>L-1601-169621588</t>
  </si>
  <si>
    <t>IV 74, 21</t>
  </si>
  <si>
    <t>L-1684-167530771</t>
  </si>
  <si>
    <t>IV 74, 22</t>
  </si>
  <si>
    <t>L-1688-156360462</t>
  </si>
  <si>
    <t>IV 74, 23</t>
  </si>
  <si>
    <t>L-1647-177919213</t>
  </si>
  <si>
    <t>IV 74, 24</t>
  </si>
  <si>
    <t>L-1642-177921900</t>
  </si>
  <si>
    <t>L-1573-162058748</t>
  </si>
  <si>
    <t>IV 74, 25</t>
  </si>
  <si>
    <t>L-1595-167728652</t>
  </si>
  <si>
    <t>99920890X</t>
  </si>
  <si>
    <t>L-1592-16772861X</t>
  </si>
  <si>
    <t>L-1697-168503867</t>
  </si>
  <si>
    <t>IV 74, 26</t>
  </si>
  <si>
    <t>L-1678-154741221</t>
  </si>
  <si>
    <t>IV 74, 27</t>
  </si>
  <si>
    <t>L-2010-321240</t>
  </si>
  <si>
    <t>IV 74, 28</t>
  </si>
  <si>
    <t>L-1599-315307021</t>
  </si>
  <si>
    <t>106684786X</t>
  </si>
  <si>
    <t>IV 74, 3</t>
  </si>
  <si>
    <t>L-1599-670707953</t>
  </si>
  <si>
    <t>IV 74, 3 (Angebundenes Werk)</t>
  </si>
  <si>
    <t>L-1564-315217073</t>
  </si>
  <si>
    <t>IV 74, 4</t>
  </si>
  <si>
    <t>L-1568-315306130</t>
  </si>
  <si>
    <t>IV 74, 5</t>
  </si>
  <si>
    <t>L-1561-175717559</t>
  </si>
  <si>
    <t>100185991X</t>
  </si>
  <si>
    <t>IV 74, 5a</t>
  </si>
  <si>
    <t>L-1564-178424064</t>
  </si>
  <si>
    <t>IV 74, 5b</t>
  </si>
  <si>
    <t>L-1588-156635666</t>
  </si>
  <si>
    <t>IV 74, 5c</t>
  </si>
  <si>
    <t>L-1566-153928131</t>
  </si>
  <si>
    <t>IV 74, 6</t>
  </si>
  <si>
    <t>L-1571-315491051</t>
  </si>
  <si>
    <t>IV 74, 7</t>
  </si>
  <si>
    <t>L-1570-315324171</t>
  </si>
  <si>
    <t>IV 74, 8</t>
  </si>
  <si>
    <t>L-1574-315490977</t>
  </si>
  <si>
    <t>IV 74, 9</t>
  </si>
  <si>
    <t>L-1707-154004758</t>
  </si>
  <si>
    <t>IV 75, 1</t>
  </si>
  <si>
    <t>L-1737-406965161</t>
  </si>
  <si>
    <t>IV 75, 2</t>
  </si>
  <si>
    <t>L-1738-406965188</t>
  </si>
  <si>
    <t>L-1737-40696517X</t>
  </si>
  <si>
    <t>L-1628-315200669</t>
  </si>
  <si>
    <t>106677871X</t>
  </si>
  <si>
    <t>IV 76, 1</t>
  </si>
  <si>
    <t>L-1683-315464739</t>
  </si>
  <si>
    <t>IV 77, 1</t>
  </si>
  <si>
    <t>L-1786-16192395X</t>
  </si>
  <si>
    <t>99623277X</t>
  </si>
  <si>
    <t>L-1796-177063432</t>
  </si>
  <si>
    <t>IV 78 B, 1</t>
  </si>
  <si>
    <t>L-1657-31546612X</t>
  </si>
  <si>
    <t>IV 78, 1</t>
  </si>
  <si>
    <t>L-1766-156876167</t>
  </si>
  <si>
    <t>IV 78, 6a</t>
  </si>
  <si>
    <t>L-1585-315454210</t>
  </si>
  <si>
    <t>IV 79, 1</t>
  </si>
  <si>
    <t>L-1588-153971622</t>
  </si>
  <si>
    <t>IV 79, 2</t>
  </si>
  <si>
    <t>L-1712-179561871</t>
  </si>
  <si>
    <t>IV 8 B, 1</t>
  </si>
  <si>
    <t>L-1708-179562169</t>
  </si>
  <si>
    <t>L-1693-166131172</t>
  </si>
  <si>
    <t>IV 8, 1</t>
  </si>
  <si>
    <t>L-1663-31546576X</t>
  </si>
  <si>
    <t>IV 8, 10</t>
  </si>
  <si>
    <t>L-1664-406972559</t>
  </si>
  <si>
    <t>L-1663-406972567</t>
  </si>
  <si>
    <t>L-1730-175494134</t>
  </si>
  <si>
    <t>IV 8, 12</t>
  </si>
  <si>
    <t>L-1730-166747920</t>
  </si>
  <si>
    <t>L-1707-168584883</t>
  </si>
  <si>
    <t>IV 8, 12 a</t>
  </si>
  <si>
    <t>L-1679-154382884</t>
  </si>
  <si>
    <t>IV 8, 12 b</t>
  </si>
  <si>
    <t>L-1691-16794858X</t>
  </si>
  <si>
    <t>IV 8, 12 c</t>
  </si>
  <si>
    <t>L-1691-167948814</t>
  </si>
  <si>
    <t>L-1696-171715276</t>
  </si>
  <si>
    <t>IV 8, 12 d</t>
  </si>
  <si>
    <t>L-1707-159338999</t>
  </si>
  <si>
    <t>IV 8, 12 f</t>
  </si>
  <si>
    <t>L-1712-17178216X</t>
  </si>
  <si>
    <t>IV 8, 12 h</t>
  </si>
  <si>
    <t>L-1728-163782598</t>
  </si>
  <si>
    <t>99740048X</t>
  </si>
  <si>
    <t>IV 8, 12 j</t>
  </si>
  <si>
    <t>L-1737-16622345X</t>
  </si>
  <si>
    <t>L-1737-166223417</t>
  </si>
  <si>
    <t>L-1686-17050476X</t>
  </si>
  <si>
    <t>IV 8, 12 n</t>
  </si>
  <si>
    <t>L-1734-163628637</t>
  </si>
  <si>
    <t>IV 8, 12 p</t>
  </si>
  <si>
    <t>L-1696-175354235</t>
  </si>
  <si>
    <t>IV 8, 12d</t>
  </si>
  <si>
    <t>L-1696-170179729</t>
  </si>
  <si>
    <t>L-1703-158104005</t>
  </si>
  <si>
    <t>IV 8, 12e</t>
  </si>
  <si>
    <t>L-1708-177157984</t>
  </si>
  <si>
    <t>IV 8, 12g</t>
  </si>
  <si>
    <t>L-1717-17549391X</t>
  </si>
  <si>
    <t>IV 8, 12i</t>
  </si>
  <si>
    <t>L-1732-169497720</t>
  </si>
  <si>
    <t>IV 8, 12k</t>
  </si>
  <si>
    <t>L-1732-169497569</t>
  </si>
  <si>
    <t>L-1746-177905395</t>
  </si>
  <si>
    <t>IV 8, 12m</t>
  </si>
  <si>
    <t>L-1686-174959176</t>
  </si>
  <si>
    <t>IV 8, 12n</t>
  </si>
  <si>
    <t>L-1746-157858308</t>
  </si>
  <si>
    <t>L-1746-157858251</t>
  </si>
  <si>
    <t>L-1734-315318147</t>
  </si>
  <si>
    <t>IV 8, 13</t>
  </si>
  <si>
    <t>L-1739-406963118</t>
  </si>
  <si>
    <t>L-1739-406963126</t>
  </si>
  <si>
    <t>L-1739-406963142</t>
  </si>
  <si>
    <t>L-1739-406963150</t>
  </si>
  <si>
    <t>L-1739-406963169</t>
  </si>
  <si>
    <t>L-1728-406966001</t>
  </si>
  <si>
    <t>L-1730-406966036</t>
  </si>
  <si>
    <t>L-1728-40696601X</t>
  </si>
  <si>
    <t>L-1729-406966028</t>
  </si>
  <si>
    <t>L-1751-315219920</t>
  </si>
  <si>
    <t>IV 8, 16</t>
  </si>
  <si>
    <t>L-1764-406957932</t>
  </si>
  <si>
    <t>L-1764-406957924</t>
  </si>
  <si>
    <t>L-1774-40697036X</t>
  </si>
  <si>
    <t>L-1774-406970351</t>
  </si>
  <si>
    <t>L-1772-406970343</t>
  </si>
  <si>
    <t>L-1824-315333480</t>
  </si>
  <si>
    <t>IV 8, 19</t>
  </si>
  <si>
    <t>L-1643-31473841X</t>
  </si>
  <si>
    <t>IV 8, 2</t>
  </si>
  <si>
    <t>L-1781-315207272</t>
  </si>
  <si>
    <t>IV 8, 20</t>
  </si>
  <si>
    <t>L-1784-670404675</t>
  </si>
  <si>
    <t>IV 8, 20 (1. angebundenes Werk)</t>
  </si>
  <si>
    <t>L-1788-670404616</t>
  </si>
  <si>
    <t>120853534X</t>
  </si>
  <si>
    <t>IV 8, 20 (2. angebundenes Werk)</t>
  </si>
  <si>
    <t>L-1785-662965086</t>
  </si>
  <si>
    <t>IV 8, 21</t>
  </si>
  <si>
    <t>L-1785-405942060</t>
  </si>
  <si>
    <t>L-1785-405940866</t>
  </si>
  <si>
    <t>L-1665-315306688</t>
  </si>
  <si>
    <t>IV 8, 23</t>
  </si>
  <si>
    <t>L-1762-171110374</t>
  </si>
  <si>
    <t>100076009X</t>
  </si>
  <si>
    <t>IV 8, 24</t>
  </si>
  <si>
    <t>L-1667-177060026</t>
  </si>
  <si>
    <t>IV 8, 25</t>
  </si>
  <si>
    <t>L-1646-15474168X</t>
  </si>
  <si>
    <t>IV 8, 26</t>
  </si>
  <si>
    <t>L-1744-163624771</t>
  </si>
  <si>
    <t>IV 8, 27</t>
  </si>
  <si>
    <t>L-1741-167583557</t>
  </si>
  <si>
    <t>IV 8, 27a</t>
  </si>
  <si>
    <t>L-1755-157750868</t>
  </si>
  <si>
    <t>99472683X</t>
  </si>
  <si>
    <t>L-1755-157750825</t>
  </si>
  <si>
    <t>L-1755-157750841</t>
  </si>
  <si>
    <t>L-1755-157750892</t>
  </si>
  <si>
    <t>L-1744-167943278</t>
  </si>
  <si>
    <t>IV 8, 28a</t>
  </si>
  <si>
    <t>L-1741-170226018</t>
  </si>
  <si>
    <t>L-1741-170225836</t>
  </si>
  <si>
    <t>L-1741-170225968</t>
  </si>
  <si>
    <t>L-1772-170252507</t>
  </si>
  <si>
    <t>IV 8, 29 a</t>
  </si>
  <si>
    <t>L-1648-315334746</t>
  </si>
  <si>
    <t>IV 8, 3</t>
  </si>
  <si>
    <t>L-1649-315464933</t>
  </si>
  <si>
    <t>IV 8, 3 a</t>
  </si>
  <si>
    <t>L-1656-315193336</t>
  </si>
  <si>
    <t>IV 8, 3 b</t>
  </si>
  <si>
    <t>L-1645-156634813</t>
  </si>
  <si>
    <t>IV 8, 3 c</t>
  </si>
  <si>
    <t>L-1644-156634716</t>
  </si>
  <si>
    <t>L-1645-156875128</t>
  </si>
  <si>
    <t>L-1652-177412135</t>
  </si>
  <si>
    <t>IV 8, 3 d</t>
  </si>
  <si>
    <t>L-1652-177412429</t>
  </si>
  <si>
    <t>L-1663-159309018</t>
  </si>
  <si>
    <t>IV 8, 3 e</t>
  </si>
  <si>
    <t>L-1655-166224774</t>
  </si>
  <si>
    <t>IV 8, 3 f</t>
  </si>
  <si>
    <t>L-1647-169490645</t>
  </si>
  <si>
    <t>IV 8, 3 g</t>
  </si>
  <si>
    <t>L-1659-169967522</t>
  </si>
  <si>
    <t>IV 8, 3 h</t>
  </si>
  <si>
    <t>L-1705-177060999</t>
  </si>
  <si>
    <t>IV 8, 30</t>
  </si>
  <si>
    <t>L-1705-177060905</t>
  </si>
  <si>
    <t>L-1740-166490237</t>
  </si>
  <si>
    <t>L-1740-166490180</t>
  </si>
  <si>
    <t>L-1740-166490210</t>
  </si>
  <si>
    <t>L-1740-166490202</t>
  </si>
  <si>
    <t>L-1750-160287189</t>
  </si>
  <si>
    <t>L-1750-160286867</t>
  </si>
  <si>
    <t>L-1750-160286921</t>
  </si>
  <si>
    <t>L-1750-160287081</t>
  </si>
  <si>
    <t>L-1732-170723488</t>
  </si>
  <si>
    <t>L-1732-17072333X</t>
  </si>
  <si>
    <t>L-1688-154852678</t>
  </si>
  <si>
    <t>IV 8, 33</t>
  </si>
  <si>
    <t>L-1688-177856300</t>
  </si>
  <si>
    <t>L-1664-167246747</t>
  </si>
  <si>
    <t>IV 8, 34</t>
  </si>
  <si>
    <t>L-1664-167247042</t>
  </si>
  <si>
    <t>L-1654-159348293</t>
  </si>
  <si>
    <t>99536365X</t>
  </si>
  <si>
    <t>IV 8, 36</t>
  </si>
  <si>
    <t>L-1645-169107353</t>
  </si>
  <si>
    <t>IV 8, 36 a</t>
  </si>
  <si>
    <t>L-1646-169106985</t>
  </si>
  <si>
    <t>IV 8, 36 b</t>
  </si>
  <si>
    <t>L-1645-169106926</t>
  </si>
  <si>
    <t>L-1645-16974972X</t>
  </si>
  <si>
    <t>L-2006-318865</t>
  </si>
  <si>
    <t>98144668X</t>
  </si>
  <si>
    <t>IV 8, 36 c</t>
  </si>
  <si>
    <t>l-2007-325498</t>
  </si>
  <si>
    <t>IV 8, 36 d</t>
  </si>
  <si>
    <t>L-1695-171260511</t>
  </si>
  <si>
    <t>IV 8, 37</t>
  </si>
  <si>
    <t>L-1667-165269324</t>
  </si>
  <si>
    <t>IV 8, 38</t>
  </si>
  <si>
    <t>L-1671-165269669</t>
  </si>
  <si>
    <t>IV 8, 38 (angebunden)</t>
  </si>
  <si>
    <t>L-1667-16983056X</t>
  </si>
  <si>
    <t>IV 8, 39</t>
  </si>
  <si>
    <t>L-1669-406970823</t>
  </si>
  <si>
    <t>L-1669-406970807</t>
  </si>
  <si>
    <t>L-1665-166926442</t>
  </si>
  <si>
    <t>IV 8, 4 a</t>
  </si>
  <si>
    <t>L-1671-168645106</t>
  </si>
  <si>
    <t>IV 8, 4 c</t>
  </si>
  <si>
    <t>L-2008-306260</t>
  </si>
  <si>
    <t>IV 8, 4 f - 2</t>
  </si>
  <si>
    <t>L-2020-302034</t>
  </si>
  <si>
    <t>IV 8, 4 g</t>
  </si>
  <si>
    <t>L-1665-161525156</t>
  </si>
  <si>
    <t>IV 8, 4/b</t>
  </si>
  <si>
    <t>L-1668-154116238</t>
  </si>
  <si>
    <t>IV 8, 40</t>
  </si>
  <si>
    <t>L-1671-169497062</t>
  </si>
  <si>
    <t>IV 8, 40a</t>
  </si>
  <si>
    <t>L-1672-165268700</t>
  </si>
  <si>
    <t>IV 8, 41</t>
  </si>
  <si>
    <t>L-1678-165270047</t>
  </si>
  <si>
    <t>IV 8, 42</t>
  </si>
  <si>
    <t>L-1684-171231759</t>
  </si>
  <si>
    <t>IV 8, 43</t>
  </si>
  <si>
    <t>L-1684-17702769X</t>
  </si>
  <si>
    <t>L-1709-156890410</t>
  </si>
  <si>
    <t>IV 8, 43a</t>
  </si>
  <si>
    <t>L-1709-166199044</t>
  </si>
  <si>
    <t>IV 8, 44</t>
  </si>
  <si>
    <t>L-1775-158182588</t>
  </si>
  <si>
    <t>IV 8, 45</t>
  </si>
  <si>
    <t>L-1667-16618957X</t>
  </si>
  <si>
    <t>IV 8, 46</t>
  </si>
  <si>
    <t>L-1685-169148890</t>
  </si>
  <si>
    <t>IV 8, 47</t>
  </si>
  <si>
    <t>L-1688-154866482</t>
  </si>
  <si>
    <t>99424679X</t>
  </si>
  <si>
    <t>IV 8, 47a</t>
  </si>
  <si>
    <t>L-1688-154864803</t>
  </si>
  <si>
    <t>IV 8, 47b</t>
  </si>
  <si>
    <t>L-1688-154866474</t>
  </si>
  <si>
    <t>L-1700-16949411X</t>
  </si>
  <si>
    <t>IV 8, 48</t>
  </si>
  <si>
    <t>L-1701-160484049</t>
  </si>
  <si>
    <t>99570273X</t>
  </si>
  <si>
    <t>IV 8, 48 a</t>
  </si>
  <si>
    <t>L-1729-16695585X</t>
  </si>
  <si>
    <t>99879452X</t>
  </si>
  <si>
    <t>IV 8, 48b</t>
  </si>
  <si>
    <t>L-1719-179573616</t>
  </si>
  <si>
    <t>IV 8, 49</t>
  </si>
  <si>
    <t>L-1679-170833860</t>
  </si>
  <si>
    <t>IV 8, 4d</t>
  </si>
  <si>
    <t>L-1983-153965622</t>
  </si>
  <si>
    <t>IV 8, 4e</t>
  </si>
  <si>
    <t>L-1683-17676397X</t>
  </si>
  <si>
    <t>L-1637-315180994</t>
  </si>
  <si>
    <t>IV 8, 5</t>
  </si>
  <si>
    <t>L-1629-159355508</t>
  </si>
  <si>
    <t>IV 8, 5 a</t>
  </si>
  <si>
    <t>L-1635-162912420</t>
  </si>
  <si>
    <t>IV 8, 5 b</t>
  </si>
  <si>
    <t>L-1639-154380865</t>
  </si>
  <si>
    <t>IV 8, 5 c</t>
  </si>
  <si>
    <t>L-1639-154380873</t>
  </si>
  <si>
    <t>IV 8, 5 d</t>
  </si>
  <si>
    <t>L-1644-170784517</t>
  </si>
  <si>
    <t>IV 8, 50</t>
  </si>
  <si>
    <t>L-1734-178441473</t>
  </si>
  <si>
    <t>100293107X</t>
  </si>
  <si>
    <t>IV 8, 51</t>
  </si>
  <si>
    <t>L-1757-18055140X</t>
  </si>
  <si>
    <t>IV 8, 52</t>
  </si>
  <si>
    <t>L-1761-180633821</t>
  </si>
  <si>
    <t>IV 8, 53</t>
  </si>
  <si>
    <t>L-1763-163413517</t>
  </si>
  <si>
    <t>IV 8, 54</t>
  </si>
  <si>
    <t>L-1730-167838008</t>
  </si>
  <si>
    <t>IV 8, 55</t>
  </si>
  <si>
    <t>L-1692-179552120</t>
  </si>
  <si>
    <t>IV 8, 56</t>
  </si>
  <si>
    <t>L-1674-177420146</t>
  </si>
  <si>
    <t>IV 8, 57</t>
  </si>
  <si>
    <t>L-1674-175573093</t>
  </si>
  <si>
    <t>L-1697-169685462</t>
  </si>
  <si>
    <t>99991023X</t>
  </si>
  <si>
    <t>IV 8, 58</t>
  </si>
  <si>
    <t>L-1635-154726516</t>
  </si>
  <si>
    <t>IV 8, 59</t>
  </si>
  <si>
    <t>L-1629-17785619X</t>
  </si>
  <si>
    <t>IV 8, 5a</t>
  </si>
  <si>
    <t>L-1657-315465549</t>
  </si>
  <si>
    <t>IV 8, 6</t>
  </si>
  <si>
    <t>L-1650-164535454</t>
  </si>
  <si>
    <t>IV 8, 6 a</t>
  </si>
  <si>
    <t>L-1656-164535497</t>
  </si>
  <si>
    <t>IV 8, 6 b</t>
  </si>
  <si>
    <t>L-1661-155913409</t>
  </si>
  <si>
    <t>IV 8, 60</t>
  </si>
  <si>
    <t>L-1669-15406789X</t>
  </si>
  <si>
    <t>IV 8, 61</t>
  </si>
  <si>
    <t>L-1695-178432547</t>
  </si>
  <si>
    <t>IV 8, 62</t>
  </si>
  <si>
    <t>L-1695-15541268X</t>
  </si>
  <si>
    <t>L-9999-176557660</t>
  </si>
  <si>
    <t>IV 8, 63</t>
  </si>
  <si>
    <t>L-1718-167115731</t>
  </si>
  <si>
    <t>IV 8, 64</t>
  </si>
  <si>
    <t>L-1744-166971855</t>
  </si>
  <si>
    <t>IV 8, 65</t>
  </si>
  <si>
    <t>L-1797-171500520</t>
  </si>
  <si>
    <t>IV 8, 66</t>
  </si>
  <si>
    <t>L-1721-157568563</t>
  </si>
  <si>
    <t>99469332X</t>
  </si>
  <si>
    <t>IV 8, 67</t>
  </si>
  <si>
    <t>L-1750-154742066</t>
  </si>
  <si>
    <t>IV 8, 68</t>
  </si>
  <si>
    <t>L-1666-170502295</t>
  </si>
  <si>
    <t>IV 8, 69</t>
  </si>
  <si>
    <t>L-1650-169769135</t>
  </si>
  <si>
    <t>IV 8, 6a</t>
  </si>
  <si>
    <t>L-1650-169769151</t>
  </si>
  <si>
    <t>IV 8, 6b</t>
  </si>
  <si>
    <t>L-1664-406968640</t>
  </si>
  <si>
    <t>IV 8, 7</t>
  </si>
  <si>
    <t>L-1654-406968675</t>
  </si>
  <si>
    <t>L-9999-406968683</t>
  </si>
  <si>
    <t>L-9999-406968691</t>
  </si>
  <si>
    <t>L-1665-406968705</t>
  </si>
  <si>
    <t>L-9999-406968721</t>
  </si>
  <si>
    <t>L-1664-40696873X</t>
  </si>
  <si>
    <t>L-9999-406968748</t>
  </si>
  <si>
    <t>L-1648-406968667</t>
  </si>
  <si>
    <t>L-1664-406968632</t>
  </si>
  <si>
    <t>L-9999-406968616</t>
  </si>
  <si>
    <t>L-1664-406968659</t>
  </si>
  <si>
    <t>L-9999-406968756</t>
  </si>
  <si>
    <t>113265176X</t>
  </si>
  <si>
    <t>L-1733-166131326</t>
  </si>
  <si>
    <t>IV 8, 70</t>
  </si>
  <si>
    <t>L-1707-176022457</t>
  </si>
  <si>
    <t>IV 8, 71</t>
  </si>
  <si>
    <t>L-1707-176022511</t>
  </si>
  <si>
    <t>L-1705-166489719</t>
  </si>
  <si>
    <t>IV 8, 72</t>
  </si>
  <si>
    <t>L-1705-175196222</t>
  </si>
  <si>
    <t>L-1770-169970035</t>
  </si>
  <si>
    <t>100007143X</t>
  </si>
  <si>
    <t>IV 8, 73</t>
  </si>
  <si>
    <t>L-1717-163759928</t>
  </si>
  <si>
    <t>IV 8, 74</t>
  </si>
  <si>
    <t>L-2008-306770</t>
  </si>
  <si>
    <t>IV 8, 75</t>
  </si>
  <si>
    <t>L-1682-668124989</t>
  </si>
  <si>
    <t>IV 8, 75 (1. angebundenes Werk)</t>
  </si>
  <si>
    <t>L-1682-66812444X</t>
  </si>
  <si>
    <t>IV 8, 75 (2. angebundenes Werk)</t>
  </si>
  <si>
    <t>L-2008-306767</t>
  </si>
  <si>
    <t>IV 8, 76</t>
  </si>
  <si>
    <t>L-2011-057105</t>
  </si>
  <si>
    <t>IV 8, 77</t>
  </si>
  <si>
    <t>L-1665-212363700</t>
  </si>
  <si>
    <t>L-2012-327107</t>
  </si>
  <si>
    <t>102639242X</t>
  </si>
  <si>
    <t>L-2012-327108</t>
  </si>
  <si>
    <t>L-2012-327109</t>
  </si>
  <si>
    <t>L-1752-263831086</t>
  </si>
  <si>
    <t>103529155X</t>
  </si>
  <si>
    <t>IV 8, 79</t>
  </si>
  <si>
    <t>L-2013-312851</t>
  </si>
  <si>
    <t>L-2013-312850</t>
  </si>
  <si>
    <t>L-1752-263831116</t>
  </si>
  <si>
    <t>L-1649-315293543</t>
  </si>
  <si>
    <t>L-1649-31518146X</t>
  </si>
  <si>
    <t>L-2014-311324</t>
  </si>
  <si>
    <t>IV 8, 80</t>
  </si>
  <si>
    <t>L-2015-317293</t>
  </si>
  <si>
    <t>IV 8, 81</t>
  </si>
  <si>
    <t>L-2015-324906</t>
  </si>
  <si>
    <t>IV 8, 82</t>
  </si>
  <si>
    <t>L-2016-308029</t>
  </si>
  <si>
    <t>IV 8, 83 - 1</t>
  </si>
  <si>
    <t>L-2016-308025</t>
  </si>
  <si>
    <t>IV 8, 83 - 2</t>
  </si>
  <si>
    <t>L-2016-308021</t>
  </si>
  <si>
    <t>IV 8, 83 - 3</t>
  </si>
  <si>
    <t>L-2018-335129</t>
  </si>
  <si>
    <t>IV 8, 84</t>
  </si>
  <si>
    <t>L-2019-302012</t>
  </si>
  <si>
    <t>IV 8, 85</t>
  </si>
  <si>
    <t>L-1795-670387754</t>
  </si>
  <si>
    <t>IV 8, 86</t>
  </si>
  <si>
    <t>L-1682-406957436</t>
  </si>
  <si>
    <t>L-1682-406957444</t>
  </si>
  <si>
    <t>L-1712-315462094</t>
  </si>
  <si>
    <t>IV 80, 1</t>
  </si>
  <si>
    <t>L-1577-315492937</t>
  </si>
  <si>
    <t>IV 81, 1</t>
  </si>
  <si>
    <t>L-1640-315181249</t>
  </si>
  <si>
    <t>IV 81, 2</t>
  </si>
  <si>
    <t>L-1640-674906675</t>
  </si>
  <si>
    <t>IV 81, 2 (Angebundenes Werk)</t>
  </si>
  <si>
    <t>L-1651-170179192</t>
  </si>
  <si>
    <t>IV 81, 2 a</t>
  </si>
  <si>
    <t>L-1651-167184083</t>
  </si>
  <si>
    <t>IV 81, 2 a (Angebundenes Werk)</t>
  </si>
  <si>
    <t>L-1664-315297859</t>
  </si>
  <si>
    <t>IV 81, 3</t>
  </si>
  <si>
    <t>L-1693-315197870</t>
  </si>
  <si>
    <t>IV 81, 4</t>
  </si>
  <si>
    <t>L-1652-153945826</t>
  </si>
  <si>
    <t>IV 81, 5</t>
  </si>
  <si>
    <t>L-1652-153945788</t>
  </si>
  <si>
    <t>L-1652-153945680</t>
  </si>
  <si>
    <t>L-1727-166392677</t>
  </si>
  <si>
    <t>IV 82 C, 1</t>
  </si>
  <si>
    <t>L-1727-166392669</t>
  </si>
  <si>
    <t>L-1785-154471933</t>
  </si>
  <si>
    <t>IV 82 D, 1</t>
  </si>
  <si>
    <t>L-1785-17748196X</t>
  </si>
  <si>
    <t>IV 82 D, 2</t>
  </si>
  <si>
    <t>L-1774-154451150</t>
  </si>
  <si>
    <t>IV 82 D, 3</t>
  </si>
  <si>
    <t>L-1774-154451126</t>
  </si>
  <si>
    <t>L-1606-315463392</t>
  </si>
  <si>
    <t>IV 82, 1</t>
  </si>
  <si>
    <t>L-1608-315328835</t>
  </si>
  <si>
    <t>IV 82, 2</t>
  </si>
  <si>
    <t>L-1610-315463767</t>
  </si>
  <si>
    <t>IV 82, 3</t>
  </si>
  <si>
    <t>L-1619-315327189</t>
  </si>
  <si>
    <t>IV 83, 1</t>
  </si>
  <si>
    <t>L-1568-315492112</t>
  </si>
  <si>
    <t>IV 84, 1</t>
  </si>
  <si>
    <t>L-1573-159005213</t>
  </si>
  <si>
    <t>99522580X</t>
  </si>
  <si>
    <t>IV 84, 2</t>
  </si>
  <si>
    <t>L-1630-154524360</t>
  </si>
  <si>
    <t>IV 84, 3</t>
  </si>
  <si>
    <t>L-1612-315218320</t>
  </si>
  <si>
    <t>IV 85, 1</t>
  </si>
  <si>
    <t>L-1647-315191422</t>
  </si>
  <si>
    <t>IV 86, 1</t>
  </si>
  <si>
    <t>L-1647-670705969</t>
  </si>
  <si>
    <t>IV 86, 1 (1. angebundenes Werk)</t>
  </si>
  <si>
    <t>L-1633-315294124</t>
  </si>
  <si>
    <t>IV 87, 1</t>
  </si>
  <si>
    <t>L-1565-315466480</t>
  </si>
  <si>
    <t>IV 88, 1</t>
  </si>
  <si>
    <t>L-1610-315465417</t>
  </si>
  <si>
    <t>IV 88, 2</t>
  </si>
  <si>
    <t>L-1590-67944677X</t>
  </si>
  <si>
    <t>IV 88, 2 (Angebundenes Werk)</t>
  </si>
  <si>
    <t>L-1646-315332441</t>
  </si>
  <si>
    <t>IV 88, 3</t>
  </si>
  <si>
    <t>L-1615-315468076</t>
  </si>
  <si>
    <t>IV 89, 1</t>
  </si>
  <si>
    <t>L-1723-170182967</t>
  </si>
  <si>
    <t>IV 90 C, 1</t>
  </si>
  <si>
    <t>L-1570-314718664</t>
  </si>
  <si>
    <t>IV 90, 1</t>
  </si>
  <si>
    <t>L-1587-670021644</t>
  </si>
  <si>
    <t>120834918X</t>
  </si>
  <si>
    <t>IV 90, 1 (1. angebundenes Werk)</t>
  </si>
  <si>
    <t>L-1595-670015946</t>
  </si>
  <si>
    <t>IV 90, 1 (2. angebundenes Werk)</t>
  </si>
  <si>
    <t>L-1622-670021903</t>
  </si>
  <si>
    <t>IV 90, 1 (3. angebundenes Werk)</t>
  </si>
  <si>
    <t>L-1623-670021539</t>
  </si>
  <si>
    <t>IV 90, 1 (4. angebundenes Werk)</t>
  </si>
  <si>
    <t>L-1635-667714685</t>
  </si>
  <si>
    <t>IV 90, 1 (5. angebundenes Werk)</t>
  </si>
  <si>
    <t>L-1616-315200804</t>
  </si>
  <si>
    <t>IV 90, 10</t>
  </si>
  <si>
    <t>L-1616-676553184</t>
  </si>
  <si>
    <t>IV 90, 10 (1. angebundenes Werk)</t>
  </si>
  <si>
    <t>L-1656-315461780</t>
  </si>
  <si>
    <t>IV 90, 11</t>
  </si>
  <si>
    <t>L-1584-670402362</t>
  </si>
  <si>
    <t>120853100X</t>
  </si>
  <si>
    <t>IV 90, 11 (1. angebundenes Werk)</t>
  </si>
  <si>
    <t>L-1590-153950943</t>
  </si>
  <si>
    <t>IV 90, 12</t>
  </si>
  <si>
    <t>L-1590-15395079X</t>
  </si>
  <si>
    <t>L-1590-153949910</t>
  </si>
  <si>
    <t>L-1592-160728495</t>
  </si>
  <si>
    <t>IV 90, 12 a</t>
  </si>
  <si>
    <t>L-1592-160729351</t>
  </si>
  <si>
    <t>IV 90, 12/a</t>
  </si>
  <si>
    <t>L-1670-166190330</t>
  </si>
  <si>
    <t>IV 90, 13</t>
  </si>
  <si>
    <t>L-1734-15468824X</t>
  </si>
  <si>
    <t>IV 90, 14</t>
  </si>
  <si>
    <t>L-1750-170773108</t>
  </si>
  <si>
    <t>IV 90, 14 a</t>
  </si>
  <si>
    <t>L-1750-171157508</t>
  </si>
  <si>
    <t>L-1750-169970124</t>
  </si>
  <si>
    <t>IV 90, 14a</t>
  </si>
  <si>
    <t>L-1750-177056991</t>
  </si>
  <si>
    <t>L-1730-163043094</t>
  </si>
  <si>
    <t>IV 90, 15</t>
  </si>
  <si>
    <t>L-1730-163043140</t>
  </si>
  <si>
    <t>IV 90, 15/a</t>
  </si>
  <si>
    <t>L-1745-155361457</t>
  </si>
  <si>
    <t>IV 90, 15/c</t>
  </si>
  <si>
    <t>L-1786-179930583</t>
  </si>
  <si>
    <t>IV 90, 15b</t>
  </si>
  <si>
    <t>L-1785-179930540</t>
  </si>
  <si>
    <t>L-1745-154629030</t>
  </si>
  <si>
    <t>IV 90, 15c</t>
  </si>
  <si>
    <t>L-1724-160884837</t>
  </si>
  <si>
    <t>IV 90, 16</t>
  </si>
  <si>
    <t>L-1724-164269649</t>
  </si>
  <si>
    <t>L-1736-163250545</t>
  </si>
  <si>
    <t>IV 90, 17</t>
  </si>
  <si>
    <t>L-1769-166190764</t>
  </si>
  <si>
    <t>IV 90, 18</t>
  </si>
  <si>
    <t>L-1694-16516140X</t>
  </si>
  <si>
    <t>IV 90, 19</t>
  </si>
  <si>
    <t>L-1585-315490039</t>
  </si>
  <si>
    <t>IV 90, 2</t>
  </si>
  <si>
    <t>L-1594-17083266X</t>
  </si>
  <si>
    <t>IV 90, 2 a</t>
  </si>
  <si>
    <t>L-1687-168403021</t>
  </si>
  <si>
    <t>IV 90, 20</t>
  </si>
  <si>
    <t>L-1687-168402750</t>
  </si>
  <si>
    <t>99945983X</t>
  </si>
  <si>
    <t>L-1691-179301276</t>
  </si>
  <si>
    <t>IV 90, 20a</t>
  </si>
  <si>
    <t>L-9999-15397205X</t>
  </si>
  <si>
    <t>IV 90, 21</t>
  </si>
  <si>
    <t>L-1767-180256475</t>
  </si>
  <si>
    <t>IV 90, 22</t>
  </si>
  <si>
    <t>L-1728-175793115</t>
  </si>
  <si>
    <t>IV 90, 23</t>
  </si>
  <si>
    <t>L-1708-156638118</t>
  </si>
  <si>
    <t>IV 90, 23 a</t>
  </si>
  <si>
    <t>L-1737-166947415</t>
  </si>
  <si>
    <t>IV 90, 24</t>
  </si>
  <si>
    <t>L-1748-178551716</t>
  </si>
  <si>
    <t>IV 90, 25</t>
  </si>
  <si>
    <t>L-1754-154011703</t>
  </si>
  <si>
    <t>IV 90, 26</t>
  </si>
  <si>
    <t>L-1758-167442899</t>
  </si>
  <si>
    <t>IV 90, 26a</t>
  </si>
  <si>
    <t>L-1764-179579142</t>
  </si>
  <si>
    <t>IV 90, 27</t>
  </si>
  <si>
    <t>L-1785-167422375</t>
  </si>
  <si>
    <t>IV 90, 28</t>
  </si>
  <si>
    <t>L-1783-177454997</t>
  </si>
  <si>
    <t>IV 90, 28a</t>
  </si>
  <si>
    <t>L-1767-154689084</t>
  </si>
  <si>
    <t>99419241X</t>
  </si>
  <si>
    <t>IV 90, 28b</t>
  </si>
  <si>
    <t>L-1767-154689149</t>
  </si>
  <si>
    <t>L-1731-166190586</t>
  </si>
  <si>
    <t>IV 90, 29</t>
  </si>
  <si>
    <t>L-1583-165467320</t>
  </si>
  <si>
    <t>IV 90, 3</t>
  </si>
  <si>
    <t>L-1584-154309257</t>
  </si>
  <si>
    <t>L-1583-15430834X</t>
  </si>
  <si>
    <t>L-1731-16088716X</t>
  </si>
  <si>
    <t>IV 90, 30</t>
  </si>
  <si>
    <t>L-9999-181909782</t>
  </si>
  <si>
    <t>IV 90, 31</t>
  </si>
  <si>
    <t>L-1798-161898394</t>
  </si>
  <si>
    <t>IV 90, 32</t>
  </si>
  <si>
    <t>L-1780-160888921</t>
  </si>
  <si>
    <t>IV 90, 32a</t>
  </si>
  <si>
    <t>L-1700-162844816</t>
  </si>
  <si>
    <t>IV 90, 33</t>
  </si>
  <si>
    <t>L-1716-166921033</t>
  </si>
  <si>
    <t>IV 90, 34</t>
  </si>
  <si>
    <t>L-1761-166920983</t>
  </si>
  <si>
    <t>99877782X</t>
  </si>
  <si>
    <t>L-1775-167421832</t>
  </si>
  <si>
    <t>99904267X</t>
  </si>
  <si>
    <t>IV 90, 34a</t>
  </si>
  <si>
    <t>L-1790-17086863X</t>
  </si>
  <si>
    <t>IV 90, 35</t>
  </si>
  <si>
    <t>L-1680-155563033</t>
  </si>
  <si>
    <t>IV 90, 36</t>
  </si>
  <si>
    <t>L-1733-154372587</t>
  </si>
  <si>
    <t>IV 90, 37</t>
  </si>
  <si>
    <t>L-1715-169814491</t>
  </si>
  <si>
    <t>IV 90, 37a</t>
  </si>
  <si>
    <t>L-1712-169814114</t>
  </si>
  <si>
    <t>L-1712-169814629</t>
  </si>
  <si>
    <t>99999025X</t>
  </si>
  <si>
    <t>L-1752-173927106</t>
  </si>
  <si>
    <t>IV 90, 38</t>
  </si>
  <si>
    <t>L-1773-174325142</t>
  </si>
  <si>
    <t>IV 90, 39</t>
  </si>
  <si>
    <t>L-1588-154308420</t>
  </si>
  <si>
    <t>IV 90, 4</t>
  </si>
  <si>
    <t>L-1584-154309559</t>
  </si>
  <si>
    <t>L-1594-159530288</t>
  </si>
  <si>
    <t>L-1749-183498437</t>
  </si>
  <si>
    <t>IV 90, 40</t>
  </si>
  <si>
    <t>L-2010-321245</t>
  </si>
  <si>
    <t>IV 90, 41</t>
  </si>
  <si>
    <t>L-1791-315094095</t>
  </si>
  <si>
    <t>IV 90, 42</t>
  </si>
  <si>
    <t>L-1586-153951443</t>
  </si>
  <si>
    <t>IV 90, 5</t>
  </si>
  <si>
    <t>L-1587-315493682</t>
  </si>
  <si>
    <t>IV 90, 6</t>
  </si>
  <si>
    <t>L-1587-315469722</t>
  </si>
  <si>
    <t>IV 90, 7</t>
  </si>
  <si>
    <t>L-1589-15395034X</t>
  </si>
  <si>
    <t>99388699X</t>
  </si>
  <si>
    <t>IV 90, 8</t>
  </si>
  <si>
    <t>L-1590-153950498</t>
  </si>
  <si>
    <t>L-1592-315465867</t>
  </si>
  <si>
    <t>IV 90, 9</t>
  </si>
  <si>
    <t>L-1670-31520818X</t>
  </si>
  <si>
    <t>IV 91, 1</t>
  </si>
  <si>
    <t>L-1592-315191279</t>
  </si>
  <si>
    <t>IV 92, 1</t>
  </si>
  <si>
    <t>L-1783-315200375</t>
  </si>
  <si>
    <t>IV 92, 2</t>
  </si>
  <si>
    <t>L-9999-315180102</t>
  </si>
  <si>
    <t>IV 93, 1</t>
  </si>
  <si>
    <t>L-1572-315494689</t>
  </si>
  <si>
    <t>IV 95, 1</t>
  </si>
  <si>
    <t>L-1687-315201088</t>
  </si>
  <si>
    <t>IV 95, 2</t>
  </si>
  <si>
    <t>L-1582-315492481</t>
  </si>
  <si>
    <t>IV 96, 1</t>
  </si>
  <si>
    <t>L-1710-172981344</t>
  </si>
  <si>
    <t>100114855X</t>
  </si>
  <si>
    <t>IV 97 C, 1</t>
  </si>
  <si>
    <t>L-1710-175590923</t>
  </si>
  <si>
    <t>L-1710-177413077</t>
  </si>
  <si>
    <t>L-2013-311733</t>
  </si>
  <si>
    <t>IV 97 C, 2</t>
  </si>
  <si>
    <t>L-1669-315338296</t>
  </si>
  <si>
    <t>IV 97, 1</t>
  </si>
  <si>
    <t>L-1686-315306947</t>
  </si>
  <si>
    <t>IV 97, 2</t>
  </si>
  <si>
    <t>L-1700-315328797</t>
  </si>
  <si>
    <t>IV 98, 1</t>
  </si>
  <si>
    <t>L-1562-315492767</t>
  </si>
  <si>
    <t>IV 99, 1</t>
  </si>
  <si>
    <t>L-1563-167208918</t>
  </si>
  <si>
    <t>IV 99, 1 a</t>
  </si>
  <si>
    <t>L-1560-163915636</t>
  </si>
  <si>
    <t>L-1566-153968583</t>
  </si>
  <si>
    <t>IV 99, 2</t>
  </si>
  <si>
    <t>L-1572-31549008X</t>
  </si>
  <si>
    <t>IV 99, 3</t>
  </si>
  <si>
    <t>L-1567-168490641</t>
  </si>
  <si>
    <t>IV 99, 3a</t>
  </si>
  <si>
    <t>L-1747-314710035</t>
  </si>
  <si>
    <t>IV 99, 4</t>
  </si>
  <si>
    <t>L-1710-164341420</t>
  </si>
  <si>
    <t>IV 99, 5</t>
  </si>
  <si>
    <t>L-1795-406945632</t>
  </si>
  <si>
    <t>L-1801-406945683</t>
  </si>
  <si>
    <t>L-1801-406945675</t>
  </si>
  <si>
    <t>L-1796-406945640</t>
  </si>
  <si>
    <t>L-1800-406945667</t>
  </si>
  <si>
    <t>L-2019-302328</t>
  </si>
  <si>
    <t>L-1591-15394658X</t>
  </si>
  <si>
    <t>L-1669-153690097</t>
  </si>
  <si>
    <t>L-1650-15391789X</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</si>
  <si>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</si>
  <si>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</si>
  <si>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</si>
  <si>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</si>
  <si>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</si>
  <si>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</si>
  <si>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</si>
  <si>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</si>
  <si>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</si>
  <si>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</si>
  <si>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Ja + Signaturfahne austauschen</t>
  </si>
  <si>
    <t>IV 27, 18</t>
  </si>
  <si>
    <t>IV 205, 73</t>
  </si>
  <si>
    <t>IV 226, 5</t>
  </si>
  <si>
    <t>IV 256, 2</t>
  </si>
  <si>
    <t>IV 383, 1</t>
  </si>
  <si>
    <t>IV 393, 2</t>
  </si>
  <si>
    <t>IV 1 E, 1</t>
  </si>
  <si>
    <t>IV 1 E, 1 (1. angebundenes Werk)</t>
  </si>
  <si>
    <t>IV 1 E, 1 (2. angebundenes Werk)</t>
  </si>
  <si>
    <t>IV 1 E, 1 (3. angebundenes Werk)</t>
  </si>
  <si>
    <t>IV 166 a, 1</t>
  </si>
  <si>
    <t>IV 215 C, 2/a</t>
  </si>
  <si>
    <t>IV 225 B, 2</t>
  </si>
  <si>
    <t>IV 78 B, 2</t>
  </si>
  <si>
    <t>IV 82 D, 4</t>
  </si>
  <si>
    <t>Einband mit Schutz- oder Stoßkanten, hohler Rücken</t>
  </si>
  <si>
    <t>Einband mit Schutz- oder Stoßkanten, hohler Rücken, Schrift bis in den Falz</t>
  </si>
  <si>
    <t>x</t>
  </si>
  <si>
    <t>Kassette im Schuber</t>
  </si>
  <si>
    <t>Einband Holz?</t>
  </si>
  <si>
    <t>IV 6, 3 -1</t>
  </si>
  <si>
    <t>IV 6, 3- 2</t>
  </si>
  <si>
    <t>Pergamentband, Schließen, erhabene Buchbeschläge</t>
  </si>
  <si>
    <t>Ledereinband, Schließen, erhabene Buchbeschläge</t>
  </si>
  <si>
    <t>Handschriftl. Eintragungen bis in den Falz</t>
  </si>
  <si>
    <t>Halbpergamentband, Schließen, erhabene Buchbeschläge</t>
  </si>
  <si>
    <t>Ledereinband, Gewebeeinband</t>
  </si>
  <si>
    <t>stark brüchiges Einbandmaterial, hohler Rücken</t>
  </si>
  <si>
    <t>Schrift bis in den Falz, hohler Rücken</t>
  </si>
  <si>
    <t>Ledereinband, Originale Schutzhülle</t>
  </si>
  <si>
    <t>gefaltete Blätter, hohler Rücken</t>
  </si>
  <si>
    <t>hohler Rücken, Stark deformiertes Objekt</t>
  </si>
  <si>
    <t>Kasette im Schuber</t>
  </si>
  <si>
    <t>welliger Buchblock, hohler Rücken</t>
  </si>
  <si>
    <t>IV 7, 2 -1</t>
  </si>
  <si>
    <t>IV 7, 2 -2</t>
  </si>
  <si>
    <t>Pergamentband, Originale Schutzhülle</t>
  </si>
  <si>
    <t>Schrift bis in den Falz, gefaltete Blätter, hohler Rücken</t>
  </si>
  <si>
    <t>IV 8, 3 d-1</t>
  </si>
  <si>
    <t>Papier- oder Pappeinband, Originale Schutzhülle</t>
  </si>
  <si>
    <t>hohler Rücken, Einband mit Schutz- oder Stoßkanten</t>
  </si>
  <si>
    <t>hohler Rücken, Schrift bis in den Falz</t>
  </si>
  <si>
    <t>hohler Rücken, Einband mit Schutz- oder Stoßkanten, Schrift bis in den Falz</t>
  </si>
  <si>
    <t>Papier- oder Pappeinband, Schließen, erhabene Buchbeschläge</t>
  </si>
  <si>
    <t>gleiche IDN wie IV 8,6 a</t>
  </si>
  <si>
    <t>steht in ÜF</t>
  </si>
  <si>
    <t>IV 8, 11-1</t>
  </si>
  <si>
    <t>IV 8, 11-2</t>
  </si>
  <si>
    <t>Pergamentband, Originale Schutzhülle, Schließen, erhabene Buchbeschläge</t>
  </si>
  <si>
    <t>nur Schutzhülle am Standort; Fahne:
nicht am Standort 18.2.93</t>
  </si>
  <si>
    <t>Schm.: Bitte Bandzählung prüfen. 
Bd. 1 wurde beschrieben, für Bd. 2 VP vorhanden.</t>
  </si>
  <si>
    <t>Broschur, Originale Schutzhülle</t>
  </si>
  <si>
    <t>Fragen/ Hinweise
an DBSM</t>
  </si>
  <si>
    <t>hohler Rücken, welliger Buchblock</t>
  </si>
  <si>
    <t>IV 8, 12 l -1</t>
  </si>
  <si>
    <t>IV 8, 12 l -2</t>
  </si>
  <si>
    <t>gefaltete Blätter, hohler Rücken, Schrift bis in den Falz</t>
  </si>
  <si>
    <t>IV 8, 14 - 1</t>
  </si>
  <si>
    <t>IV 8, 14 -2</t>
  </si>
  <si>
    <t>IV 8, 14 -3</t>
  </si>
  <si>
    <t>IV 8, 14 -4</t>
  </si>
  <si>
    <t>IV 8, 14 -5</t>
  </si>
  <si>
    <t>IV 8, 17-2</t>
  </si>
  <si>
    <t>IV 8, 17-1</t>
  </si>
  <si>
    <t>IV 8, 18-3</t>
  </si>
  <si>
    <t>IV 8, 18-2</t>
  </si>
  <si>
    <t>IV 8, 18-1</t>
  </si>
  <si>
    <t>IV 8, 21-11</t>
  </si>
  <si>
    <t>Abvz</t>
  </si>
  <si>
    <t>IV 8, 21-2</t>
  </si>
  <si>
    <t>IV 8, 21-1</t>
  </si>
  <si>
    <t>IV 8, 21-3</t>
  </si>
  <si>
    <t>IV 8, 21-4</t>
  </si>
  <si>
    <t>IV 8, 21-5</t>
  </si>
  <si>
    <t>IV 8, 21-6</t>
  </si>
  <si>
    <t>IV 8, 21-7</t>
  </si>
  <si>
    <t>IV 8, 21-8</t>
  </si>
  <si>
    <t>hohler Rücken, stark brüchiges Einbandmaterial</t>
  </si>
  <si>
    <t>IV 8, 21-9</t>
  </si>
  <si>
    <t>IV 8, 21-10</t>
  </si>
  <si>
    <t>IV 8, 21-12</t>
  </si>
  <si>
    <t>IV 8, 21-13</t>
  </si>
  <si>
    <t>IV 8, 21-14</t>
  </si>
  <si>
    <t>IV 8, 21-15</t>
  </si>
  <si>
    <t>IV 8, 21-16</t>
  </si>
  <si>
    <t>IV 8, 21-17</t>
  </si>
  <si>
    <t>IV 8, 21-18</t>
  </si>
  <si>
    <t>IV 8, 21-19</t>
  </si>
  <si>
    <t>IV 8, 21-20</t>
  </si>
  <si>
    <t>IV 8, 21-21</t>
  </si>
  <si>
    <t>gefaltete Blätter, hohler Rücken, fester Rücken mit Schmuckprägung</t>
  </si>
  <si>
    <t>Schrift bis in den Falz, fester Rücken mit Schmuckprägung</t>
  </si>
  <si>
    <t>welliger Buchblock, stark brüchiges Einbandmaterial</t>
  </si>
  <si>
    <t>stark brüchiges Einbandmaterial, fester Rücken mit Schmuckprägung</t>
  </si>
  <si>
    <t>stark brüchiges Einbandmaterial, hohler Rücken, welliger Buchblock</t>
  </si>
  <si>
    <t>IV 8, 21-22</t>
  </si>
  <si>
    <t>IV 8, 21-23</t>
  </si>
  <si>
    <t>IV 8, 21-24</t>
  </si>
  <si>
    <t>IV 8, 21-25</t>
  </si>
  <si>
    <t>IV 8, 21-28</t>
  </si>
  <si>
    <t>IV 8, 21-26</t>
  </si>
  <si>
    <t>IV 8, 21-27</t>
  </si>
  <si>
    <t>IV 8, 21-29</t>
  </si>
  <si>
    <t>IV 8, 21-30</t>
  </si>
  <si>
    <t>IV 8, 21-31</t>
  </si>
  <si>
    <t>IV 8, 21-32</t>
  </si>
  <si>
    <t>IV 8, 21-33</t>
  </si>
  <si>
    <t>IV 8, 21-34</t>
  </si>
  <si>
    <t>IV 8, 21-35</t>
  </si>
  <si>
    <t>IV 8, 21-36</t>
  </si>
  <si>
    <t>IV 8, 21-37</t>
  </si>
  <si>
    <t>IV 8, 22</t>
  </si>
  <si>
    <t>Schrift bis in den Falz, hohler Rücken, stark brüchiges Einbandmaterial</t>
  </si>
  <si>
    <t>IV 8, 28 -1</t>
  </si>
  <si>
    <t>IV 8, 28 -2</t>
  </si>
  <si>
    <t>IV 8, 28 -3</t>
  </si>
  <si>
    <t>IV 8, 28 -4</t>
  </si>
  <si>
    <t>IV 8, 29 -1</t>
  </si>
  <si>
    <t>IV 8, 30-1</t>
  </si>
  <si>
    <t>IV 8, 31 - 4</t>
  </si>
  <si>
    <t>IV 8, 31 - 1</t>
  </si>
  <si>
    <t>IV 8, 31 - 2</t>
  </si>
  <si>
    <t>IV 8, 31 - 3</t>
  </si>
  <si>
    <t>gefaltete Blätter, fester Rücken mit Schmuckprägung</t>
  </si>
  <si>
    <t>IV 8, 29 -2</t>
  </si>
  <si>
    <t>IV 8, 29 -3</t>
  </si>
  <si>
    <t>IV 8, 32 - 1</t>
  </si>
  <si>
    <t>IV 8, 32 - 2</t>
  </si>
  <si>
    <t>IV 8, 32 - 4</t>
  </si>
  <si>
    <t>IV 8, 32 - 3</t>
  </si>
  <si>
    <t>IV 8, 32 a A-H</t>
  </si>
  <si>
    <t>IV 8, 32 a  I-Z</t>
  </si>
  <si>
    <t>hohler Rücken, fester Rücken mit Schmuckprägung</t>
  </si>
  <si>
    <t>IV 8, 35 -1</t>
  </si>
  <si>
    <t>Öffnungswinkel</t>
  </si>
  <si>
    <t>Link zum Portal</t>
  </si>
  <si>
    <t>Signaturfahne austauschen</t>
  </si>
  <si>
    <t>hohler Rücken, Buchblock nicht aufgeschnitten</t>
  </si>
  <si>
    <t>Ja, Nein</t>
  </si>
  <si>
    <t>hohler Rücken, Schrift bis in den Falz, Einband mit Schutz- oder Stoßkanten</t>
  </si>
  <si>
    <t>hohler Rücken, gefaltete Blätter, Schrift bis in den Falz</t>
  </si>
  <si>
    <t>gefaltete Blätter, gefaltete Blätter</t>
  </si>
  <si>
    <t>IV 8, 71 - 1</t>
  </si>
  <si>
    <t>fester Rücken mit Schmuckprägung, Schrift bis in den Falz</t>
  </si>
  <si>
    <t>Ungebunden</t>
  </si>
  <si>
    <t>gefaltete Blätter, fester Rücken mit Schmuckprägung, Schrift bis in den Falz</t>
  </si>
  <si>
    <t>IV 8, 79 -1</t>
  </si>
  <si>
    <t>IV 8, 79 -2</t>
  </si>
  <si>
    <t>IV 9, 1</t>
  </si>
  <si>
    <t>Halbledereinband, Schließen, erhabene Buchbeschläge</t>
  </si>
  <si>
    <t>Gewebeeinband, Schließen, erhabene Buchbeschläge</t>
  </si>
  <si>
    <t>hohler Rücken, Schrift bis in den Falz, welliger Buchblock</t>
  </si>
  <si>
    <t>hohler Rücken, Einband mit Schutz- oder Stoßkanten, gefaltete Blätter</t>
  </si>
  <si>
    <t xml:space="preserve">Verpackung austauschen </t>
  </si>
  <si>
    <t>hohler Rücken, welliger Buchblock, Stark deformiertes Objekt</t>
  </si>
  <si>
    <t>fester Rücken mit Schmuckprägung, fester Rücken mit Schmuckprägung</t>
  </si>
  <si>
    <t>gefaltete Blätter, Schrift bis in den Falz, fester Rücken mit Schmuckprägung</t>
  </si>
  <si>
    <t>stark brüchiges Papier, fester Rücken mit Schmuckprägung, gefaltete Blätter</t>
  </si>
  <si>
    <t>IV 12, 70-1</t>
  </si>
  <si>
    <t>IV 12, 70-2</t>
  </si>
  <si>
    <t>IV 12, 79 - 1</t>
  </si>
  <si>
    <t>IV 12, 79 - 2</t>
  </si>
  <si>
    <t>Einband mit Schutz- oder Stoßkanten, gefaltete Blätter</t>
  </si>
  <si>
    <t>Einband mit Schutz- oder Stoßkanten, gefaltete Blätter, hohler Rücken</t>
  </si>
  <si>
    <t>fester Rücken mit Schmuckprägung, gefaltete Blätter</t>
  </si>
  <si>
    <t>IV 12, 78 - 3</t>
  </si>
  <si>
    <t>IV 12, 78 - 1</t>
  </si>
  <si>
    <t>IV 12, 78 - 2</t>
  </si>
  <si>
    <t>IV 13 A 3</t>
  </si>
  <si>
    <t xml:space="preserve">IV 13, 1 </t>
  </si>
  <si>
    <t>Halbgewebeband, Schließen, erhabene Buchbeschläge</t>
  </si>
  <si>
    <t>Nein, Signaturfahne austauschen</t>
  </si>
  <si>
    <t>IV 16, 24 -1</t>
  </si>
  <si>
    <t>welliger Buchblock, gefaltete Blätter, hohler Rücken</t>
  </si>
  <si>
    <t>IV 16, 24 -2</t>
  </si>
  <si>
    <t xml:space="preserve">IV 23, 3 </t>
  </si>
  <si>
    <t>IV 20 B, 1 - 2</t>
  </si>
  <si>
    <t>IV 20 B, 1 - 1</t>
  </si>
  <si>
    <t>fester Rücken mit Schmuckprägung, stark brüchiges Einbandmaterial</t>
  </si>
  <si>
    <t>IV 22, 2</t>
  </si>
  <si>
    <t>IV 27, 17 -2</t>
  </si>
  <si>
    <t>IV 27, 17 -3</t>
  </si>
  <si>
    <t>IV 27, 7 -1</t>
  </si>
  <si>
    <t>IV 27, 7 -2</t>
  </si>
  <si>
    <t>Schrift bis in den Falz, hohler Rücken, gefaltete Blätter</t>
  </si>
  <si>
    <t>hohler Rücken, Schrift bis in den Falz, gefaltete Blätter</t>
  </si>
  <si>
    <t>Halbpergamentband, Broschur</t>
  </si>
  <si>
    <t>IV 29, 1</t>
  </si>
  <si>
    <t>IV 33, 4 d - 5</t>
  </si>
  <si>
    <t>IV 33, 4 d - 12</t>
  </si>
  <si>
    <t>IV 33, 4 d - 4</t>
  </si>
  <si>
    <t>IV 33, 4 d - 13</t>
  </si>
  <si>
    <t>IV 33, 4 d -3</t>
  </si>
  <si>
    <t>IV 33, 4 d - 14</t>
  </si>
  <si>
    <t>IV 33, 4 d -2</t>
  </si>
  <si>
    <t>IV 33, 4 d - 15</t>
  </si>
  <si>
    <t>IV 33, 4 d -1</t>
  </si>
  <si>
    <t>IV 33, 4 d - 6</t>
  </si>
  <si>
    <t>IV 33, 4 d -7</t>
  </si>
  <si>
    <t>IV 33, 4 d -8</t>
  </si>
  <si>
    <t>IV 33, 4 d -9</t>
  </si>
  <si>
    <t>IV 33, 4 d - 11</t>
  </si>
  <si>
    <t>IV 33, 4 d - 10</t>
  </si>
  <si>
    <t>IV 33, 4 f -3</t>
  </si>
  <si>
    <t>IV 33, 4 f -2</t>
  </si>
  <si>
    <t>TA für mehrere Bände</t>
  </si>
  <si>
    <t>IV 33, 4g -1</t>
  </si>
  <si>
    <t>IV 33, 4g -2</t>
  </si>
  <si>
    <t>IV 33, 4g -3</t>
  </si>
  <si>
    <t>IV 33, 4g -4</t>
  </si>
  <si>
    <t>IV 33, 4g -5</t>
  </si>
  <si>
    <t>IV 33, 4g -6</t>
  </si>
  <si>
    <t>IV 33, 4g -7</t>
  </si>
  <si>
    <t>IV 33, 4g -8</t>
  </si>
  <si>
    <t>IV 33, 4g -9</t>
  </si>
  <si>
    <t>IV 33, 4g -10</t>
  </si>
  <si>
    <t>IV 33, 4g -11</t>
  </si>
  <si>
    <t>IV 33, 4g -12</t>
  </si>
  <si>
    <t>IV 33, 4g -13</t>
  </si>
  <si>
    <t>IV 33, 4g -14</t>
  </si>
  <si>
    <t>IV 33, 4g -15</t>
  </si>
  <si>
    <t>IV 33, 4g -16</t>
  </si>
  <si>
    <t>IV 33, 4g -17</t>
  </si>
  <si>
    <t>IV 33, 4g -18</t>
  </si>
  <si>
    <t>IV 33, 4g -19</t>
  </si>
  <si>
    <t>IV 33, 4g -20</t>
  </si>
  <si>
    <t>IV 33, 4g -22</t>
  </si>
  <si>
    <t>IV 33, 4g -23</t>
  </si>
  <si>
    <t>IV 33, 4g -24</t>
  </si>
  <si>
    <t>IV 33, 4g -25</t>
  </si>
  <si>
    <t>IV 33, 4g -26</t>
  </si>
  <si>
    <t>IV 33, 4g -27</t>
  </si>
  <si>
    <t>IV 33, 4g -28</t>
  </si>
  <si>
    <t>IV 33, 4g -29</t>
  </si>
  <si>
    <t>IV 33, 4g -30</t>
  </si>
  <si>
    <t>IV 33, 4i  -1</t>
  </si>
  <si>
    <t>IV 33, 4i  -2</t>
  </si>
  <si>
    <t>IV 33, 4j -1</t>
  </si>
  <si>
    <t>IV 33, 4j -2,1</t>
  </si>
  <si>
    <t>IV 33, 4j - 2,2</t>
  </si>
  <si>
    <t>IV 33, 4 l -1</t>
  </si>
  <si>
    <t>IV 33, 4 l -2</t>
  </si>
  <si>
    <t>IV 33, 6 - 1</t>
  </si>
  <si>
    <t>IV 33, 6 - 2</t>
  </si>
  <si>
    <t>IV 33, 4p -2</t>
  </si>
  <si>
    <t>IV 33, 4p -1</t>
  </si>
  <si>
    <t>welliger Buchblock, fester Rücken mit Schmuckprägung</t>
  </si>
  <si>
    <t>hohler Rücken, gefaltete Blätter, welliger Buchblock</t>
  </si>
  <si>
    <t>IV 33, 6a -1</t>
  </si>
  <si>
    <t>IV 33, 6a -2</t>
  </si>
  <si>
    <t>IV 33, 9 - 3</t>
  </si>
  <si>
    <t>IV 33, 9a - 1</t>
  </si>
  <si>
    <t>IV 33, 9 - 1</t>
  </si>
  <si>
    <t>IV 33, 13 - 2</t>
  </si>
  <si>
    <t>IV 33, 13 - 1</t>
  </si>
  <si>
    <t>IV 33, 9a - 2</t>
  </si>
  <si>
    <t>IV 33, 14 - 6</t>
  </si>
  <si>
    <t>IV 33, 14 - 5</t>
  </si>
  <si>
    <t>IV 33, 14 - 4</t>
  </si>
  <si>
    <t>IV 33, 14a - 4</t>
  </si>
  <si>
    <t>IV 33, 14a - 2</t>
  </si>
  <si>
    <t>hohler Rücken, gefaltete Blätter</t>
  </si>
  <si>
    <t>IV 33, 16 - 3</t>
  </si>
  <si>
    <t>IV 33, 16 b - 1</t>
  </si>
  <si>
    <t>IV 33, 16 b - 2</t>
  </si>
  <si>
    <t>IV 33, 18</t>
  </si>
  <si>
    <t>Ja, Signaturfahne austauschen</t>
  </si>
  <si>
    <t xml:space="preserve">IV 33, 26 a </t>
  </si>
  <si>
    <t>IV 33, 16a - 1789</t>
  </si>
  <si>
    <t>IV 33, 16a - 1802</t>
  </si>
  <si>
    <t>IV 33, 26 - 3</t>
  </si>
  <si>
    <t>IV 33, 26 -1</t>
  </si>
  <si>
    <t>IV 33, 27 -2</t>
  </si>
  <si>
    <t>IV 33, 27 -1</t>
  </si>
  <si>
    <t>IV 33, 27 a -3,1</t>
  </si>
  <si>
    <t>IV 33, 27 a -3,2</t>
  </si>
  <si>
    <t>IV 33, 27 a -3,3</t>
  </si>
  <si>
    <t>IV 33, 27 a -3,4</t>
  </si>
  <si>
    <t>IV 33, 27 a -2</t>
  </si>
  <si>
    <t>welliger Buchblock, Buchblock nicht aufgeschnitten</t>
  </si>
  <si>
    <t>IV 33, 27 a -1,8</t>
  </si>
  <si>
    <t>IV 33, 29 -6</t>
  </si>
  <si>
    <t>IV 33, 29 -2</t>
  </si>
  <si>
    <t>IV 33, 29 -1</t>
  </si>
  <si>
    <t>IV 33, 29 -3</t>
  </si>
  <si>
    <t>IV 33, 35a - 2</t>
  </si>
  <si>
    <t>IV 33, 35a - 1</t>
  </si>
  <si>
    <t>IV 33, 35a - 3</t>
  </si>
  <si>
    <t>IV 33, 35b - 2</t>
  </si>
  <si>
    <t>IV 33, 35b - 1</t>
  </si>
  <si>
    <t>IV 33, 36b</t>
  </si>
  <si>
    <t>ja</t>
  </si>
  <si>
    <t>IV 33, 37c - 2</t>
  </si>
  <si>
    <t>IV 33, 37c - 1</t>
  </si>
  <si>
    <t>IV 33, 38 - 9</t>
  </si>
  <si>
    <t>IV 33, 38 - 5</t>
  </si>
  <si>
    <t>IV 33, 38 - 8</t>
  </si>
  <si>
    <t>IV 33, 38 - 6</t>
  </si>
  <si>
    <t>IV 33, 38 - 2</t>
  </si>
  <si>
    <t>IV 33, 38 - 3</t>
  </si>
  <si>
    <t>IV 33, 38 - 1</t>
  </si>
  <si>
    <t>IV 33, 38 - 4</t>
  </si>
  <si>
    <t>IV 33, 38 - 7</t>
  </si>
  <si>
    <t>IV 33, 39 - 1</t>
  </si>
  <si>
    <t>IV 33, 39 - 2</t>
  </si>
  <si>
    <t>IV 33, 41 - 4</t>
  </si>
  <si>
    <t>IV 33, 41 - 3</t>
  </si>
  <si>
    <t>IV 33, 41 - 2</t>
  </si>
  <si>
    <t>IV 33, 41 - 1</t>
  </si>
  <si>
    <t>IV 33, 41 b</t>
  </si>
  <si>
    <t>IV 33, 46 a -2</t>
  </si>
  <si>
    <t>IV 33, 46a -3</t>
  </si>
  <si>
    <t>IV 33, 46a -5</t>
  </si>
  <si>
    <t>TA für Band 3 doppelt??</t>
  </si>
  <si>
    <t>IV 33, 46 a -1</t>
  </si>
  <si>
    <t>IV 33, 46a -4</t>
  </si>
  <si>
    <t>IV 33, 47 a -1</t>
  </si>
  <si>
    <t>welliger Buchblock, hohler Rücken, Schrift bis in den Falz</t>
  </si>
  <si>
    <t>IV 33, 47 a -2</t>
  </si>
  <si>
    <t>IV 33, 47 a -3</t>
  </si>
  <si>
    <t>IV 33, 47 a -4</t>
  </si>
  <si>
    <t>IV 33, 47 a -5</t>
  </si>
  <si>
    <t>IV 33, 48 a</t>
  </si>
  <si>
    <t>Schimmel,gereinigt</t>
  </si>
  <si>
    <t>Trockenreinigung, Trockenreinigung</t>
  </si>
  <si>
    <t>IV 34, 1 - 1</t>
  </si>
  <si>
    <t>IV 34, 1 - 2</t>
  </si>
  <si>
    <t>IV 34, 1 - 3</t>
  </si>
  <si>
    <t>notwendige Reparatur(en) vor der Digitalisierung, notwendige Reparatur(en) vor der Digitalisierung</t>
  </si>
  <si>
    <t>IV 41,1</t>
  </si>
  <si>
    <t>im Portal in 2 Varianten</t>
  </si>
  <si>
    <t>Teil 1-5 in einem Band</t>
  </si>
  <si>
    <t>Teil 1-2 in einem Band</t>
  </si>
  <si>
    <t>IV 48, 7 -1</t>
  </si>
  <si>
    <t>Teil 1 und 2 in einer Kasette</t>
  </si>
  <si>
    <t>IV 48, 7 -2</t>
  </si>
  <si>
    <t>IV 33, 40 a -2,1</t>
  </si>
  <si>
    <t>IV 33, 40 a -3,2</t>
  </si>
  <si>
    <t>IV 33, 40 a -1,1</t>
  </si>
  <si>
    <t>IV 33, 40 a -4,2</t>
  </si>
  <si>
    <t>IV 48, 9/c - 3</t>
  </si>
  <si>
    <t>IV 48, 9/c - 7</t>
  </si>
  <si>
    <t>IV 48, 9/c - 1</t>
  </si>
  <si>
    <t>IV 48, 9/c - 9</t>
  </si>
  <si>
    <t>IV 48, 9/c - 5</t>
  </si>
  <si>
    <t>IV 54, 4 - 2</t>
  </si>
  <si>
    <t>IV 54, 4 - 3</t>
  </si>
  <si>
    <t>IV 54, 4 - 1</t>
  </si>
  <si>
    <t>IV 54, 5 - 1</t>
  </si>
  <si>
    <t>IV 54, 5 - 2</t>
  </si>
  <si>
    <t>hohler Rücken, Schrift bis in den Falz, Kupferfraß, Tintenfraß</t>
  </si>
  <si>
    <t>Schimmel.gereinigt</t>
  </si>
  <si>
    <t>IV 72, 2 -2</t>
  </si>
  <si>
    <t>IV 72, 2 -1</t>
  </si>
  <si>
    <t>Halbpergamentband, Originale Schutzhülle</t>
  </si>
  <si>
    <t>Tintenfraß ?    Schö</t>
  </si>
  <si>
    <t>Leder o.Pergament? schö</t>
  </si>
  <si>
    <t>IV 34, 2 -5</t>
  </si>
  <si>
    <t>IV 34, 2 -6</t>
  </si>
  <si>
    <t>IV 34, 2 -7</t>
  </si>
  <si>
    <t>IV 34, 2 -2</t>
  </si>
  <si>
    <t>IV 34, 2 -8</t>
  </si>
  <si>
    <t>IV 34, 2 -9</t>
  </si>
  <si>
    <t>IV 34, 2 -10</t>
  </si>
  <si>
    <t>IV 34, 2 -3</t>
  </si>
  <si>
    <t>lt. Rücken Bd.3, lt. TA Bd.4 ???</t>
  </si>
  <si>
    <t>lt.Rücken Bd. 2,lt.TA Bd. 3???</t>
  </si>
  <si>
    <t>Einband mit Schutz- oder Stoßkanten, Schrift bis in den Falz</t>
  </si>
  <si>
    <t>IV 94, 1</t>
  </si>
  <si>
    <t>Halbgewebeband, Broschur</t>
  </si>
  <si>
    <t>Schließen, erhabene Buchbeschläge, Halbledereinband</t>
  </si>
  <si>
    <t>Schrift bis in den Falz, hohler Rücken, Einband mit Schutz- oder Stoßkanten</t>
  </si>
  <si>
    <t>IV 114, 13a-7</t>
  </si>
  <si>
    <t>IV 114, 13a-1</t>
  </si>
  <si>
    <t>IV 114, 13a-8</t>
  </si>
  <si>
    <t>IV 114, 13a-2</t>
  </si>
  <si>
    <t>fester Rücken mit Schmuckprägung, gefaltete Blätter, Schrift bis in den Falz</t>
  </si>
  <si>
    <t>IV 114, 13a-21</t>
  </si>
  <si>
    <t>IV 114, 13a-3</t>
  </si>
  <si>
    <t>IV 114, 13a-5</t>
  </si>
  <si>
    <t>IV 114, 13a-6</t>
  </si>
  <si>
    <t>IV 114, 13a-9</t>
  </si>
  <si>
    <t>fester Rücken mit Schmuckprägung, gefaltete Blätter, gefaltete Blätter</t>
  </si>
  <si>
    <t>IV 114, 13a-10</t>
  </si>
  <si>
    <t>IV 114, 13a-11</t>
  </si>
  <si>
    <t>IV 114, 13a-12</t>
  </si>
  <si>
    <t>IV 114, 13a- 13</t>
  </si>
  <si>
    <t>IV 114, 13a -14</t>
  </si>
  <si>
    <t>IV 114, 13a -15</t>
  </si>
  <si>
    <t>IV 114, 13a -16</t>
  </si>
  <si>
    <t>IV 114, 13a -17</t>
  </si>
  <si>
    <t>IV 114, 13a -18</t>
  </si>
  <si>
    <t>IV 114, 13a -19</t>
  </si>
  <si>
    <t>IV 114, 13a -20</t>
  </si>
  <si>
    <t>IV 114, 21 - 1</t>
  </si>
  <si>
    <t>IV 114, 21 - 2</t>
  </si>
  <si>
    <t>IV 114, 21 - 3</t>
  </si>
  <si>
    <t>hohler Rücken, Kupferfraß</t>
  </si>
  <si>
    <t>Schrift bis in den Falz, Tintenfraß</t>
  </si>
  <si>
    <t>stark deformiertes Objekt</t>
  </si>
  <si>
    <t>welliger Buchblock, Schrift bis in den Falz</t>
  </si>
  <si>
    <t>Folie</t>
  </si>
  <si>
    <t>IV 121, 14b -1</t>
  </si>
  <si>
    <t>IV 121, 14b -2</t>
  </si>
  <si>
    <t>fester Rücken mit Schmuckprägung, welliger Buchblock</t>
  </si>
  <si>
    <t>IV 121, 16 -2</t>
  </si>
  <si>
    <t>IV 121, 16 -1</t>
  </si>
  <si>
    <t>IV 121, 16 -3</t>
  </si>
  <si>
    <t xml:space="preserve">IV 123, 2 </t>
  </si>
  <si>
    <t xml:space="preserve">IV 128, 4 </t>
  </si>
  <si>
    <t>2 Bände, keine Treffer im OPAC</t>
  </si>
  <si>
    <t>2. Expl. Vorhanden,auch digit.?</t>
  </si>
  <si>
    <t>Einband geschrumpft und wellig</t>
  </si>
  <si>
    <t>IV 129, 4,1770</t>
  </si>
  <si>
    <t>IV 129, 4,1776</t>
  </si>
  <si>
    <t>IV 129, 4,1778</t>
  </si>
  <si>
    <t>IV 129, 4,1783</t>
  </si>
  <si>
    <t>IV 129, 5,1793</t>
  </si>
  <si>
    <t>lt.TA Zeitschrift</t>
  </si>
  <si>
    <t>IV 129, 5,1794-1795</t>
  </si>
  <si>
    <t>IV 129, 6 b - 1</t>
  </si>
  <si>
    <t>IV 129, 6 b - 2</t>
  </si>
  <si>
    <t>Buchrücken</t>
  </si>
  <si>
    <t>IV 129, 6 b - 3</t>
  </si>
  <si>
    <t>IV 129, 6 b - 4</t>
  </si>
  <si>
    <t>IV 129, 6 b - 5</t>
  </si>
  <si>
    <t>IV 129, 6 b - 6</t>
  </si>
  <si>
    <t>IV 129, 6 b - 7</t>
  </si>
  <si>
    <t>IV 129, 8 -1,1</t>
  </si>
  <si>
    <t>IV 129, 8 -1,2</t>
  </si>
  <si>
    <t>IV 129, 8 -2,1</t>
  </si>
  <si>
    <t>IV 129, 8 -2,2</t>
  </si>
  <si>
    <t>IV 129, 8 -3,1</t>
  </si>
  <si>
    <t>IV 129, 8 -3,2</t>
  </si>
  <si>
    <t>im 2.Schuber dazu alter Einband, Objekt aus- und neu gebunden</t>
  </si>
  <si>
    <t>IV 131, 4 -2</t>
  </si>
  <si>
    <t>IV 131, 4 -1</t>
  </si>
  <si>
    <t>Buch in Originalkassette, dann nochmals in angefertigter Kassette</t>
  </si>
  <si>
    <t>IV 131, 6 - 1834</t>
  </si>
  <si>
    <t>IV 131, 6 - 1798</t>
  </si>
  <si>
    <t>IV 131, 6 - 1803</t>
  </si>
  <si>
    <t>gefaltete Blätter, Schrift bis in den Falz</t>
  </si>
  <si>
    <t>IV 131, 8 - 4</t>
  </si>
  <si>
    <t>IV 131, 8 - 5</t>
  </si>
  <si>
    <t>IV 131, 8 - 3</t>
  </si>
  <si>
    <t>IV 131, 11 - 4</t>
  </si>
  <si>
    <t>IV 131, 11 - 3</t>
  </si>
  <si>
    <t>IV 131, 11 - 2</t>
  </si>
  <si>
    <t>IV 131, 11 - 1</t>
  </si>
  <si>
    <t>Schrift bis in den Falz, welliger Buchblock, Tintenfraß</t>
  </si>
  <si>
    <t>IV 131, 9c, 1831</t>
  </si>
  <si>
    <t>IV 131, 9c, 1832</t>
  </si>
  <si>
    <t>IV 131, 9c, 1840</t>
  </si>
  <si>
    <t>IV 135, 2 -1</t>
  </si>
  <si>
    <t>IV 135, 2 -2,1</t>
  </si>
  <si>
    <t>IV 135, 2 -2,2</t>
  </si>
  <si>
    <t>IV 135, 2 -3</t>
  </si>
  <si>
    <t>IV 135, 2 -5</t>
  </si>
  <si>
    <t>IV 135, 2 -4</t>
  </si>
  <si>
    <t>Wickelverpackung offen</t>
  </si>
  <si>
    <t>hohler Rücken, gefaltete Blätter, Schrift bis in den Falz, Einband mit Schutz- oder Stoßkanten, Tintenfraß</t>
  </si>
  <si>
    <t>IV 142, 3 -4-5</t>
  </si>
  <si>
    <t>Kassette in Schuber</t>
  </si>
  <si>
    <t>IV 142, 3 -1</t>
  </si>
  <si>
    <t>IV 142, 3 -2</t>
  </si>
  <si>
    <t>IV 142, 3 -3</t>
  </si>
  <si>
    <t>IV 142, 3 -5</t>
  </si>
  <si>
    <t>IV 129, 3 c - 3,1</t>
  </si>
  <si>
    <t>IV 142, 7 - 1</t>
  </si>
  <si>
    <t>IV 142, 7 - 2</t>
  </si>
  <si>
    <t>IV 142, 8 - 1</t>
  </si>
  <si>
    <t>IV 142, 8 - 2</t>
  </si>
  <si>
    <t>IV 142, 11 - 2</t>
  </si>
  <si>
    <t>IV 142, 11 - 1</t>
  </si>
  <si>
    <t>IV 142, 11 - Suppl.</t>
  </si>
  <si>
    <t>IV 142 B, 1,1</t>
  </si>
  <si>
    <t>IV 142 B, 1,2</t>
  </si>
  <si>
    <t>Tintenfraß im Vorsatz</t>
  </si>
  <si>
    <t>Halbgewebeband, Originale Schutzhülle</t>
  </si>
  <si>
    <t>IV 144, 18 - 2</t>
  </si>
  <si>
    <t>IV 144, 18 - 1</t>
  </si>
  <si>
    <t>IV 144, 18 b - 1</t>
  </si>
  <si>
    <t>IV 144, 18 b - 2</t>
  </si>
  <si>
    <t>IV 144, 19a - 1</t>
  </si>
  <si>
    <t>IV 144, 19a - 2</t>
  </si>
  <si>
    <t>IV 144, 19a - 3</t>
  </si>
  <si>
    <t>IV 144, 22 - 2</t>
  </si>
  <si>
    <t>IV 144, 22 - 1</t>
  </si>
  <si>
    <t>IV 144, 28 a - 1</t>
  </si>
  <si>
    <t>IV 144, 28 a - 3</t>
  </si>
  <si>
    <t>IV 144, 28 a - 2</t>
  </si>
  <si>
    <t>IV 145, 5 - 1</t>
  </si>
  <si>
    <t xml:space="preserve">IV 145, 5 </t>
  </si>
  <si>
    <t>IV 145, 7 - 3</t>
  </si>
  <si>
    <t>IV 145, 7 - 2</t>
  </si>
  <si>
    <t>IV 145, 7 - 1</t>
  </si>
  <si>
    <t>IV 145, 8a - 1</t>
  </si>
  <si>
    <t>IV 145, 8a - 8</t>
  </si>
  <si>
    <t>IV 145, 8a - 3</t>
  </si>
  <si>
    <t>IV 145, 8a - 4</t>
  </si>
  <si>
    <t>IV 145, 8a - 5</t>
  </si>
  <si>
    <t>IV 145, 8a - 6</t>
  </si>
  <si>
    <t>IV 145, 8a - 7</t>
  </si>
  <si>
    <t>IV 145, 8a - 9</t>
  </si>
  <si>
    <t>IV 145, 8a - 10</t>
  </si>
  <si>
    <t>IV 145, 8a - 2</t>
  </si>
  <si>
    <t>IV 145, 8a - 11</t>
  </si>
  <si>
    <t>IV 145, 10a - 1780</t>
  </si>
  <si>
    <t>Zeitschrift</t>
  </si>
  <si>
    <t>IV 145, 10a - 1781</t>
  </si>
  <si>
    <t>seitliche Klammerung oder Bindung, gefaltete Blätter</t>
  </si>
  <si>
    <t>hohler Rücken, stark brüchiges Papier</t>
  </si>
  <si>
    <t>IV 145, 28</t>
  </si>
  <si>
    <t>IV 145, 29, 1724</t>
  </si>
  <si>
    <t>IV 145, 29, 1725</t>
  </si>
  <si>
    <t>IV 145, 29, 1726</t>
  </si>
  <si>
    <t>gereinigt</t>
  </si>
  <si>
    <t>gereinigt,</t>
  </si>
  <si>
    <t>hohler Rücken, Einband mit Schutz- oder Stoßkanten, Schrift bis in den Falz, Tintenfraß</t>
  </si>
  <si>
    <t>Orig. Einbandteile liegen bei</t>
  </si>
  <si>
    <t>Orig. Teile liegen bei</t>
  </si>
  <si>
    <t>auf Sonderkonto entliehen</t>
  </si>
  <si>
    <t>IV 150, 5-1</t>
  </si>
  <si>
    <t>zus. mit Bd. 1 in einer Kasette</t>
  </si>
  <si>
    <t>IV 150, 5-2</t>
  </si>
  <si>
    <t>zus. mit Bd. 2 in einer Kasette</t>
  </si>
  <si>
    <t>Schrift bis in den Falz, Schrift bis in den Falz, hohler Rücken</t>
  </si>
  <si>
    <t>IV 151, 5-3</t>
  </si>
  <si>
    <t>IV 151, 5-1</t>
  </si>
  <si>
    <t>IV 151, 5-?</t>
  </si>
  <si>
    <t>IV 155, 1</t>
  </si>
  <si>
    <t>hohler Rücken, welliger Buchblock, Schrift bis in den Falz</t>
  </si>
  <si>
    <t>IV 162, 9a</t>
  </si>
  <si>
    <t>IV 162, 6 -1</t>
  </si>
  <si>
    <t>IV 162, 6 -2</t>
  </si>
  <si>
    <t>IV 162, 14-1</t>
  </si>
  <si>
    <t>IV 162, 14-2</t>
  </si>
  <si>
    <t>gefaltete Blätter, welliger Buchblock</t>
  </si>
  <si>
    <t>Signaturfahne austauschen, Nein, Nein</t>
  </si>
  <si>
    <t>IV 167, 2 - 4</t>
  </si>
  <si>
    <t>IV 167, 2 - 3</t>
  </si>
  <si>
    <t>IV 167, 2 - 2</t>
  </si>
  <si>
    <t>IV 167, 2 - 1</t>
  </si>
  <si>
    <t>IV 167, 3a - 2</t>
  </si>
  <si>
    <t>IV 167, 3a - 4</t>
  </si>
  <si>
    <t>IV 167, 3a - 1</t>
  </si>
  <si>
    <t>IV 167, 3a - 5</t>
  </si>
  <si>
    <t>IV 167, 3a - 3</t>
  </si>
  <si>
    <t>IV,167, 4</t>
  </si>
  <si>
    <t>Einband mit Schutz- oder Stoßkanten, hohler Rücken, welliger Buchblock</t>
  </si>
  <si>
    <t>IV 170 a, 1 -1</t>
  </si>
  <si>
    <t>IV 170 a, 1 -2</t>
  </si>
  <si>
    <t>IV 170 a, 1 -3</t>
  </si>
  <si>
    <t>IV 170 a, 1 -4</t>
  </si>
  <si>
    <t>IV 170 a, 1 -5</t>
  </si>
  <si>
    <t>IV 170 a, 1 -6</t>
  </si>
  <si>
    <t>IV 170 a, 1 -7</t>
  </si>
  <si>
    <t>IV 170 a, 1 -8</t>
  </si>
  <si>
    <t>IV 170 a, 1 -9</t>
  </si>
  <si>
    <t>IV 170 a, 1 -10</t>
  </si>
  <si>
    <t>IV 170 a, 1 -11</t>
  </si>
  <si>
    <t>IV 170 a, 1 -12</t>
  </si>
  <si>
    <t>IV 170 a, 1 -13</t>
  </si>
  <si>
    <t>IV 170 a, 1 -14</t>
  </si>
  <si>
    <t>IV 170 a, 1 -15</t>
  </si>
  <si>
    <t>IV 170 a, 1 -16</t>
  </si>
  <si>
    <t>IV 170 a, 1 -17</t>
  </si>
  <si>
    <t>IV 170 a, 1 -18</t>
  </si>
  <si>
    <t>IV 170 a, 1 -19</t>
  </si>
  <si>
    <t>IV 170 a, 1 -20</t>
  </si>
  <si>
    <t>IV 170 a, 1 -21</t>
  </si>
  <si>
    <t>IV 170 a, 1 -22</t>
  </si>
  <si>
    <t>IV 170 a, 1 -23</t>
  </si>
  <si>
    <t>IV 170 a, 1 -24</t>
  </si>
  <si>
    <t>IV 170 a, 1 -25</t>
  </si>
  <si>
    <t>IV 170 a, 1 -26</t>
  </si>
  <si>
    <t>IV 170 a, 1 -27</t>
  </si>
  <si>
    <t>IV 170 a, 1 -28</t>
  </si>
  <si>
    <t>IV 170 a, 1 -29</t>
  </si>
  <si>
    <t>IV 170 a, 1 -30</t>
  </si>
  <si>
    <t>IV 170 a, 1 -31</t>
  </si>
  <si>
    <t>IV 170 a, 1 -32</t>
  </si>
  <si>
    <t>IV 170 a, 1 -33</t>
  </si>
  <si>
    <t>IV 170 a, 1 -34</t>
  </si>
  <si>
    <t>IV 170 a, 1 -35</t>
  </si>
  <si>
    <t>IV 170 a, 1 -36</t>
  </si>
  <si>
    <t>IV 170 a, 1 -37</t>
  </si>
  <si>
    <t>IV 170 a, 1 -38</t>
  </si>
  <si>
    <t>IV 170 a, 1 -39</t>
  </si>
  <si>
    <t>IV 170 a, 1 -40</t>
  </si>
  <si>
    <t>IV 170 a, 1 -41</t>
  </si>
  <si>
    <t>IV 170 a, 1 -42</t>
  </si>
  <si>
    <t>IV 170 a, 1 -43</t>
  </si>
  <si>
    <t>IV 170 a, 1 -44</t>
  </si>
  <si>
    <t>IV 170 a, 1 -45</t>
  </si>
  <si>
    <t>IV 170 a, 1 -46</t>
  </si>
  <si>
    <t>IV 170 a, 1 -47</t>
  </si>
  <si>
    <t>IV 170 a, 1 -48</t>
  </si>
  <si>
    <t>IV 170 a, 1 -49</t>
  </si>
  <si>
    <t>IV 170 a, 1 -50</t>
  </si>
  <si>
    <t>IV 170 a, 1 -51</t>
  </si>
  <si>
    <t>IV 170 a, 1 -52</t>
  </si>
  <si>
    <t>IV 170 a, 1 -53</t>
  </si>
  <si>
    <t>IV 170 a, 1 -54</t>
  </si>
  <si>
    <t>IV 170 a, 1 -55</t>
  </si>
  <si>
    <t>IV 170 a, 1 -56</t>
  </si>
  <si>
    <t>IV 170 a, 1 -57</t>
  </si>
  <si>
    <t>IV 170 a, 1 -58</t>
  </si>
  <si>
    <t>IV 170 a, 1 -59</t>
  </si>
  <si>
    <t>IV 170 a, 1 -60</t>
  </si>
  <si>
    <t>IV 170 a, 1 -61</t>
  </si>
  <si>
    <t>IV 170 a, 1 -62</t>
  </si>
  <si>
    <t>IV 170 a, 1 -63</t>
  </si>
  <si>
    <t>IV 170 a, 1 -64</t>
  </si>
  <si>
    <t>IV 170 a, 1 -65</t>
  </si>
  <si>
    <t>IV 170 a, 1 -66</t>
  </si>
  <si>
    <t>IV 170 a, 1 -67</t>
  </si>
  <si>
    <t>IV 170 a, 1 -68</t>
  </si>
  <si>
    <t>IV 170 a, 1 -69</t>
  </si>
  <si>
    <t>IV 170 a, 1 -70</t>
  </si>
  <si>
    <t>IV 170 a, 1 -71</t>
  </si>
  <si>
    <t>IV 170 a, 1 -72</t>
  </si>
  <si>
    <t>IV 170 a, 1 -73</t>
  </si>
  <si>
    <t>IV 170 a, 1 -74</t>
  </si>
  <si>
    <t>IV 170 a, 1 -75</t>
  </si>
  <si>
    <t>IV 170 a, 1 -76</t>
  </si>
  <si>
    <t>IV 170 a, 1 -77</t>
  </si>
  <si>
    <t>IV 170 a, 1 -78</t>
  </si>
  <si>
    <t>IV 170 a, 1 -79</t>
  </si>
  <si>
    <t>IV 170 a, 1 -80</t>
  </si>
  <si>
    <t>IV 170 a, 1 -81</t>
  </si>
  <si>
    <t>IV 170 a, 1 -82</t>
  </si>
  <si>
    <t>IV 170 a, 1 -83</t>
  </si>
  <si>
    <t>IV 170 a, 1 -84</t>
  </si>
  <si>
    <t>IV 170 a, 1 -85</t>
  </si>
  <si>
    <t>IV 170 a, 1 -86</t>
  </si>
  <si>
    <t>IV 170 a, 1 -87</t>
  </si>
  <si>
    <t>IV 170 a, 1 -88</t>
  </si>
  <si>
    <t>IV 170 a, 1 -89</t>
  </si>
  <si>
    <t>IV 170 a, 1 -90</t>
  </si>
  <si>
    <t>IV 170 a, 1 -91</t>
  </si>
  <si>
    <t>Klebeband im Papierumschlag</t>
  </si>
  <si>
    <t>Bd. Zu groß, bitte geeigneten Standort finden</t>
  </si>
  <si>
    <t>IV 170 a, 1 -92</t>
  </si>
  <si>
    <t>IV 170 a, 1 -93</t>
  </si>
  <si>
    <t>IV 170 a, 1 -94</t>
  </si>
  <si>
    <t>Bd. 1 und 2 in einem Bd.</t>
  </si>
  <si>
    <t>Beilagen, nicht relevant für Digitalisierung/lt.Frau Rüdiger</t>
  </si>
  <si>
    <t>Einband mit Schutz- oder Stoßkanten, Schrift bis in den Falz, hohler Rücken</t>
  </si>
  <si>
    <t>fester Rücken mit Schmuckprägung, welliger Buchblock, stark brüchiges Einbandmaterial</t>
  </si>
  <si>
    <t>Seperate Bibliographische Nachweise.Für Digitalisierung relevant?</t>
  </si>
  <si>
    <t>Einband mit Schutz- oder Stoßkanten, hohler Rücken, gefaltete Blätter</t>
  </si>
  <si>
    <t>4. OG, Normalformate Reihe 45-48, Großformate Reihe 38, Überformate Reihe 42A und R 73A/ 10/ 2 - R 73A/ 11/ 3</t>
  </si>
  <si>
    <t>Kasette im Schuber, Schuber sehr eng,
 bitte Folie zum rausziehen benutzen und im Schuber belassen</t>
  </si>
  <si>
    <t>IV 184,1</t>
  </si>
  <si>
    <t>welliger Buchblock, hohler Rücken, stark brüchiges Einbandmaterial</t>
  </si>
  <si>
    <t>IV 202, 1 - 1</t>
  </si>
  <si>
    <t>IV 202, 1 - 2</t>
  </si>
  <si>
    <t>IV 202, 1 - 3</t>
  </si>
  <si>
    <t>Signaturfahne austauschen, Nein</t>
  </si>
  <si>
    <t>IV 204, 4l</t>
  </si>
  <si>
    <t>Schrift bis in den Falz, Einband mit Schutz- oder Stoßkanten, hohler Rücken</t>
  </si>
  <si>
    <t>gefaltete Blätter, Einband mit Schutz- oder Stoßkanten</t>
  </si>
  <si>
    <t>IV 204, 9</t>
  </si>
  <si>
    <t>IV 205, 7 b - 1</t>
  </si>
  <si>
    <t>IV 205, 7b - 2</t>
  </si>
  <si>
    <t>welliger Buchblock, gefaltete Blätter</t>
  </si>
  <si>
    <t>IV 205, 7 p - 2</t>
  </si>
  <si>
    <t>IV 205, 7 p - 1</t>
  </si>
  <si>
    <t>IV 205, 7 x - 1</t>
  </si>
  <si>
    <t>IV 205, 7 x -25</t>
  </si>
  <si>
    <t>zus. Mappe mit "Anzeige"</t>
  </si>
  <si>
    <t>IV 205, 8 h - 1715</t>
  </si>
  <si>
    <t>IV 205, 8 h - 1736,12</t>
  </si>
  <si>
    <t>IV 205, 8 h -1736,16</t>
  </si>
  <si>
    <t>IV 205, 8 i - 49/60</t>
  </si>
  <si>
    <t>IV 205, 8 i - 73/84</t>
  </si>
  <si>
    <t>IV 205, 8k - 8</t>
  </si>
  <si>
    <t>IV 205, 8k - 7</t>
  </si>
  <si>
    <t>IV 205, 8k - 6</t>
  </si>
  <si>
    <t>IV 205, 9a - 2</t>
  </si>
  <si>
    <t>IV 205, 9a - 1</t>
  </si>
  <si>
    <t>IV 205, 9a - 4</t>
  </si>
  <si>
    <t>IV 205, 9a - 3</t>
  </si>
  <si>
    <t>IV 205, 9b - 3</t>
  </si>
  <si>
    <t>Bd.1-3 in einer Kassette</t>
  </si>
  <si>
    <t>IV 205, 9b - 1-2</t>
  </si>
  <si>
    <t xml:space="preserve">IV 205, 9b </t>
  </si>
  <si>
    <t>Bd.1-2 in einerm Band, mit Bd.3 in einer Kassette</t>
  </si>
  <si>
    <t>IV 205, 9 c - 2</t>
  </si>
  <si>
    <t>IV 205, 9 c - 5</t>
  </si>
  <si>
    <t>IV 205, 9 c - 4</t>
  </si>
  <si>
    <t>Bd. 1-3 in einer Kassette</t>
  </si>
  <si>
    <t>IV 205, 9 c - 1</t>
  </si>
  <si>
    <t>IV 205, 9 c - 3</t>
  </si>
  <si>
    <t>Bd. 4 -5 in einer Kasette</t>
  </si>
  <si>
    <t>IV 205, 9f - 2</t>
  </si>
  <si>
    <t>IV 205, 9f - 1</t>
  </si>
  <si>
    <t>IV 205, 10 - 1-7</t>
  </si>
  <si>
    <t>IV 205, 10 - 5-10</t>
  </si>
  <si>
    <t>nach Digit. Lose Seiten befestigen</t>
  </si>
  <si>
    <t>IV 205, 10a - 1.1791</t>
  </si>
  <si>
    <t>IV 205, 10a - 2.1792</t>
  </si>
  <si>
    <t>IV 205, 10a - 3.1793</t>
  </si>
  <si>
    <t>IV 205, 10a - 1795</t>
  </si>
  <si>
    <t>IV 205, 10a - 1797</t>
  </si>
  <si>
    <t>IV 205, 10a - 1799</t>
  </si>
  <si>
    <t>IV 205, 10a - 1798</t>
  </si>
  <si>
    <t>1798 + 1799 in einer Kassette</t>
  </si>
  <si>
    <t>1799 + 1799 in einer Kassette</t>
  </si>
  <si>
    <t>IV 205, 10a - 1801</t>
  </si>
  <si>
    <t>IV 205, 10a - 1802</t>
  </si>
  <si>
    <t>Vertreter: bei ZE</t>
  </si>
  <si>
    <t>IV 205, 10a - 1804</t>
  </si>
  <si>
    <t>IV 205, 10a - 1805</t>
  </si>
  <si>
    <t>1804 + 1805 in einer Kassette</t>
  </si>
  <si>
    <t>1805 + 1805 in einer Kassette</t>
  </si>
  <si>
    <t>IV 205, 10a - 1803</t>
  </si>
  <si>
    <t>IV 205, 10a - 1806</t>
  </si>
  <si>
    <t>IV 205, 10a - 1807</t>
  </si>
  <si>
    <t>IV 205, 10a - 1808</t>
  </si>
  <si>
    <t>IV 205, 10a - 1809</t>
  </si>
  <si>
    <t>1806-1809 in einer Kassette</t>
  </si>
  <si>
    <t>IV 205, 10a - 1811</t>
  </si>
  <si>
    <t>IV 205, 10a - 1812</t>
  </si>
  <si>
    <t>IV 205, 10a - 1813</t>
  </si>
  <si>
    <t>IV 205, 10a - 1814</t>
  </si>
  <si>
    <t>IV 205, 10a - 1815</t>
  </si>
  <si>
    <t>1811-1815 in einer Kassette</t>
  </si>
  <si>
    <t>IV 205, 10a - 1817</t>
  </si>
  <si>
    <t>IV 205, 10a - 1818</t>
  </si>
  <si>
    <t>IV 205, 10a - 1819</t>
  </si>
  <si>
    <t>1818-1819 in einer Kassette</t>
  </si>
  <si>
    <t>IV 205, 10a - 1822</t>
  </si>
  <si>
    <t>IV 205, 10a - 1823</t>
  </si>
  <si>
    <t>IV 205, 10a - 1824</t>
  </si>
  <si>
    <t>IV 205, 10a - 1825</t>
  </si>
  <si>
    <t>IV 205, 10a - 1826</t>
  </si>
  <si>
    <t>IV 205, 10a - 1828</t>
  </si>
  <si>
    <t>IV 205, 10a - 1829</t>
  </si>
  <si>
    <t>IV 205, 10a - 1830</t>
  </si>
  <si>
    <t>IV 205, 10a - 1833</t>
  </si>
  <si>
    <t>IV 205, 10b - 1</t>
  </si>
  <si>
    <t>IV 205, 10b - 2</t>
  </si>
  <si>
    <t>IV 205, 10b - 3</t>
  </si>
  <si>
    <t>IV 205, 10b - 4</t>
  </si>
  <si>
    <t>IV 205, 10c - 2</t>
  </si>
  <si>
    <t>IV 205, 10c - 3</t>
  </si>
  <si>
    <t>IV 205, 11 f - 1790</t>
  </si>
  <si>
    <t>IV 205, 11 f - 1791</t>
  </si>
  <si>
    <t>IV 205, 11 f - 1792</t>
  </si>
  <si>
    <t>IV 205, 11 f - 1793</t>
  </si>
  <si>
    <t>IV 205, 11 h - 1</t>
  </si>
  <si>
    <t>IV 205, 11 h - 2</t>
  </si>
  <si>
    <t>IV 205, 11 h - 3</t>
  </si>
  <si>
    <t>IV 205, 11 h - 4</t>
  </si>
  <si>
    <t>IV 205, 11 h - 5</t>
  </si>
  <si>
    <t>IV 205, 11 h -6</t>
  </si>
  <si>
    <t>IV 205, 11 h -28</t>
  </si>
  <si>
    <t>IV 205, 11 h -7</t>
  </si>
  <si>
    <t>IV 205, 11 h -12</t>
  </si>
  <si>
    <t>IV 205, 11 h -8</t>
  </si>
  <si>
    <t>IV 205, 11 h -9</t>
  </si>
  <si>
    <t>IV 205, 11 h -10</t>
  </si>
  <si>
    <t>IV 205, 11 h -19</t>
  </si>
  <si>
    <t>IV 205, 11 h -27</t>
  </si>
  <si>
    <t>IV 205, 11 h -13</t>
  </si>
  <si>
    <t>IV 205, 11 h -11</t>
  </si>
  <si>
    <t>IV 205, 11 h -23</t>
  </si>
  <si>
    <t>IV 205, 11 h -26</t>
  </si>
  <si>
    <t>IV 205, 11 h -Suppl.2</t>
  </si>
  <si>
    <t>IV 205, 11 h -33</t>
  </si>
  <si>
    <t>IV 205, 11 h -32</t>
  </si>
  <si>
    <t>IV 205, 11 h -16</t>
  </si>
  <si>
    <t>IV 205, 11 h -18</t>
  </si>
  <si>
    <t>IV 205, 11 h -15</t>
  </si>
  <si>
    <t>IV 205, 11 h -21</t>
  </si>
  <si>
    <t>IV 205, 11 h -31</t>
  </si>
  <si>
    <t>IV 205, 11 h -Suppl.4</t>
  </si>
  <si>
    <t>IV 205, 11 h -24</t>
  </si>
  <si>
    <t>IV 205, 11 h -14</t>
  </si>
  <si>
    <t>IV 205, 11 h -Suppl.5</t>
  </si>
  <si>
    <t>IV 205, 11 h -25</t>
  </si>
  <si>
    <t>IV 205, 11 h -35</t>
  </si>
  <si>
    <t>IV 205, 11 h -17</t>
  </si>
  <si>
    <t>IV 205, 11 h -20</t>
  </si>
  <si>
    <t>IV 205, 11 h - 22</t>
  </si>
  <si>
    <t>IV 205, 11 h - 36</t>
  </si>
  <si>
    <t>IV 205, 11 h - 34</t>
  </si>
  <si>
    <t>IV 205, 11 h - 30</t>
  </si>
  <si>
    <t>IV 205, 11 h - 29</t>
  </si>
  <si>
    <t>IV 205, 11 h -Suppl.1</t>
  </si>
  <si>
    <t>IV 205, 11 h -Suppl.3</t>
  </si>
  <si>
    <t>IV 205, 11 h -Suppl.6</t>
  </si>
  <si>
    <t>IV 205, 11 j - 3,1</t>
  </si>
  <si>
    <t>IV 205, 11 j - 4,2</t>
  </si>
  <si>
    <t>IV 205, 11 j - 6,4</t>
  </si>
  <si>
    <t>IV 205, 11 j - 5,3</t>
  </si>
  <si>
    <t>IV 205, 11 k - 1</t>
  </si>
  <si>
    <t>IV 205, 11 k - 3</t>
  </si>
  <si>
    <t>IV 205, 11 k - 2</t>
  </si>
  <si>
    <t>IV 205, 11n - 7</t>
  </si>
  <si>
    <t>IV 205, 11n - 6</t>
  </si>
  <si>
    <t>IV 205, 11n - 15</t>
  </si>
  <si>
    <t>IV 205, 11n - 1</t>
  </si>
  <si>
    <t>IV 205, 11n - 11</t>
  </si>
  <si>
    <t>IV 205, 11n - 4</t>
  </si>
  <si>
    <t>IV 205, 11n - 9</t>
  </si>
  <si>
    <t>IV 205, 11n - 12</t>
  </si>
  <si>
    <t>IV 205, 11n - 14</t>
  </si>
  <si>
    <t>IV 205, 11n - 8</t>
  </si>
  <si>
    <t>IV 205, 11n - 16</t>
  </si>
  <si>
    <t>IV 205, 11n - 13</t>
  </si>
  <si>
    <t>IV 205, 11n - 5</t>
  </si>
  <si>
    <t>IV 205, 11n - 3</t>
  </si>
  <si>
    <t>IV 205, 11n - 10</t>
  </si>
  <si>
    <t>IV 205, 11n - 2</t>
  </si>
  <si>
    <t>Schimmel, gereinigt</t>
  </si>
  <si>
    <t>IV 205, 11 y - 3</t>
  </si>
  <si>
    <t>IV 205, 11 y - 2</t>
  </si>
  <si>
    <t>IV 205, 11 y - 1</t>
  </si>
  <si>
    <t>IV 205, 11 y - 7</t>
  </si>
  <si>
    <t>IV 205, 11 y - 4</t>
  </si>
  <si>
    <t>IV 205, 11 y - 5</t>
  </si>
  <si>
    <t>IV 205, 11 y - 8</t>
  </si>
  <si>
    <t>IV 205, 11 y - 6</t>
  </si>
  <si>
    <t>IV 8, 4 - 2</t>
  </si>
  <si>
    <t>IV 8, 4 - 1</t>
  </si>
  <si>
    <t>fester Rücken mit Schmuckprägung, gefaltete Blätter, welliger Buchblock</t>
  </si>
  <si>
    <t>IV 8, 12o - 2</t>
  </si>
  <si>
    <t>IV 8, 12o - 1</t>
  </si>
  <si>
    <t>IV 8, 15 - 4</t>
  </si>
  <si>
    <t>IV 8, 15 - 2</t>
  </si>
  <si>
    <t>IV 8, 15 - 3</t>
  </si>
  <si>
    <t>IV 8, 15 - 1</t>
  </si>
  <si>
    <t>IV 205, 11 la</t>
  </si>
  <si>
    <t>IV 205, 12 a - 2</t>
  </si>
  <si>
    <t>IV 205, 12 a - 4</t>
  </si>
  <si>
    <t>IV 205, 12 a - 3</t>
  </si>
  <si>
    <t>IV 205, 12 a - 1</t>
  </si>
  <si>
    <t>IV 205, 12 a - 6</t>
  </si>
  <si>
    <t>IV 205, 12 a - 5</t>
  </si>
  <si>
    <t>IV 205, 13</t>
  </si>
  <si>
    <t>IV 205, 14 - 9-10,1781</t>
  </si>
  <si>
    <t>IV 205, 14 a -3-4</t>
  </si>
  <si>
    <t>IV 205, 14 a -5-6</t>
  </si>
  <si>
    <t>IV 205, 14 a -7-8</t>
  </si>
  <si>
    <t>IV 205, 14 a -9-10</t>
  </si>
  <si>
    <t>IV 205, 14 a -11-12</t>
  </si>
  <si>
    <t>IV 205, 14b - 1</t>
  </si>
  <si>
    <t>IV 205, 14b - 3</t>
  </si>
  <si>
    <t>fester Rücken mit Schmuckprägung, Schrift bis in den Falz, welliger Buchblock</t>
  </si>
  <si>
    <t>IV 205, 14b - 2</t>
  </si>
  <si>
    <t>IV 205, 14 c - 1</t>
  </si>
  <si>
    <t>IV 205, 14 c - 4</t>
  </si>
  <si>
    <t>IV 205, 14 i (Angebundenes Werk)</t>
  </si>
  <si>
    <t>IV 205, 14/d (Angebundenes Werk)</t>
  </si>
  <si>
    <t>IV 205, 14k - 1.1784</t>
  </si>
  <si>
    <t>IV 205, 14k - 7.1787</t>
  </si>
  <si>
    <t>IV 205, 14k - 8.1788</t>
  </si>
  <si>
    <t>IV 205, 14 n - 1</t>
  </si>
  <si>
    <t>IV 205, 14 n - 2 (Angebundenes Werk)</t>
  </si>
  <si>
    <t>IV 205, 14 n - 3,1 (Angebundenes Werk)</t>
  </si>
  <si>
    <t>IV 205, 14 n - 3,3 (Angebundenes Werk)</t>
  </si>
  <si>
    <t>IV 205, 14 n - 3,2</t>
  </si>
  <si>
    <t>IV 205, 16 - 2</t>
  </si>
  <si>
    <t>IV 205, 16 - 1</t>
  </si>
  <si>
    <t>hohler Rücken, welliger Buchblock, hohler Rücken</t>
  </si>
  <si>
    <t>IV 205, 16c - 1</t>
  </si>
  <si>
    <t>hohler Rücken, hohler Rücken</t>
  </si>
  <si>
    <t>IV 205, 17 - 1</t>
  </si>
  <si>
    <t>IV 205, 17 - 5</t>
  </si>
  <si>
    <t>IV 205, 17 - 6</t>
  </si>
  <si>
    <t>IV 205, 17 - 3</t>
  </si>
  <si>
    <t>IV 205, 17 - 2</t>
  </si>
  <si>
    <t>IV 205, 17 - 4</t>
  </si>
  <si>
    <t>IV 205, 17c - 2</t>
  </si>
  <si>
    <t>IV 205, 17c - 1</t>
  </si>
  <si>
    <t>IV 205, 17g - 1</t>
  </si>
  <si>
    <t>IV 205, 17g - 3 (Angebundenes Werk)</t>
  </si>
  <si>
    <t>IV 205, 17g - 2 (Angebundenes Werk)</t>
  </si>
  <si>
    <t>IV 205, 17 h -1,1757</t>
  </si>
  <si>
    <t>IV 205, 17 h -2,1755 (Angebundenes Werk)</t>
  </si>
  <si>
    <t>IV 205, 17 h -3,1754 (Angebundenes Werk)</t>
  </si>
  <si>
    <t xml:space="preserve">IV 205, 17 k - 1 </t>
  </si>
  <si>
    <t>IV 205, 17 k - 2 (Angebundenes Werk)</t>
  </si>
  <si>
    <t>IV 205, 17 k - 4</t>
  </si>
  <si>
    <t>IV 205, 17 k - 3 (Angebundenes Werk)</t>
  </si>
  <si>
    <t>IV 205, 17 k - 5 ( Angebundenes Werk)</t>
  </si>
  <si>
    <t>hohler Rücken, stark deformiertes Objekt</t>
  </si>
  <si>
    <t>IV 205, 18 - 1</t>
  </si>
  <si>
    <t>IV 205, 18 - 3</t>
  </si>
  <si>
    <t>IV 205, 18 - 2 (Bd.2 fehlt)</t>
  </si>
  <si>
    <t>IV 205, 18 a - 1</t>
  </si>
  <si>
    <t>IV 205, 18 a - 2</t>
  </si>
  <si>
    <t>IV 205, 18 a - 4</t>
  </si>
  <si>
    <t>IV 205, 18 a - 3</t>
  </si>
  <si>
    <t>IV 205, 18e - 2</t>
  </si>
  <si>
    <t>IV 205, 18e - 1</t>
  </si>
  <si>
    <t>IV 205, 18e - 3</t>
  </si>
  <si>
    <t>IV 205, 18e - 4</t>
  </si>
  <si>
    <t>IV 205, 18f - 2</t>
  </si>
  <si>
    <t>IV 205, 18g - 5</t>
  </si>
  <si>
    <t>IV 205, 18g - 6</t>
  </si>
  <si>
    <t>IV 205, 18g - 3</t>
  </si>
  <si>
    <t>IV 205, 18g - 1</t>
  </si>
  <si>
    <t>IV 205, 18g - 7</t>
  </si>
  <si>
    <t>IV 205, 18g - 4</t>
  </si>
  <si>
    <t>IV 205, 18 h - 1</t>
  </si>
  <si>
    <t>IV 205, 18 h - 3</t>
  </si>
  <si>
    <t>IV 205, 18 h - 4,1</t>
  </si>
  <si>
    <t>IV 205, 18 h - 4,3</t>
  </si>
  <si>
    <t>IV 205, 18 h - 2</t>
  </si>
  <si>
    <t>IV 205, 18 h - 4,2</t>
  </si>
  <si>
    <t>Papierumschlag</t>
  </si>
  <si>
    <t>IV 205, 18 k - 4</t>
  </si>
  <si>
    <t>IV 205, 18 k - 5</t>
  </si>
  <si>
    <t>IV 205, 18 k - 7</t>
  </si>
  <si>
    <t>IV 205, 18 k - 8</t>
  </si>
  <si>
    <t>IV 205, 18 k - 9</t>
  </si>
  <si>
    <t xml:space="preserve">2. Expl. Vorh. </t>
  </si>
  <si>
    <t>IV 205, 18 k - 10</t>
  </si>
  <si>
    <t>IV 205, 18 k - 11</t>
  </si>
  <si>
    <t>IV 205, 18 k - 12</t>
  </si>
  <si>
    <t>2. Expl. Vorh.</t>
  </si>
  <si>
    <t>IV 205, 18 k - 13</t>
  </si>
  <si>
    <t>IV 205, 18 k - 15</t>
  </si>
  <si>
    <t>Schrift bis in den Falz, Einband mit Schutz- oder Stoßkanten</t>
  </si>
  <si>
    <t>IV 205, 18r -1</t>
  </si>
  <si>
    <t>IV 205, 18r -2</t>
  </si>
  <si>
    <t>IV 205, 18r -3</t>
  </si>
  <si>
    <t>IV 205, 18r - 4</t>
  </si>
  <si>
    <t>IV 205, 18/s -2</t>
  </si>
  <si>
    <t>IV 205, 18/s -1</t>
  </si>
  <si>
    <t>IV 205, 18/s -3</t>
  </si>
  <si>
    <t>IV 205, 18/s -5</t>
  </si>
  <si>
    <t>IV 205, 18/s -10</t>
  </si>
  <si>
    <t>IV 205, 18/s -4</t>
  </si>
  <si>
    <t>IV 205, 18/s -6</t>
  </si>
  <si>
    <t>IV 205, 18/s -7</t>
  </si>
  <si>
    <t>IV 205, 18/s -8</t>
  </si>
  <si>
    <t>IV 205, 18/s -9</t>
  </si>
  <si>
    <t>IV 205, 18u - 2</t>
  </si>
  <si>
    <t>IV 205, 18u - 4</t>
  </si>
  <si>
    <t>IV 205, 18u - 3</t>
  </si>
  <si>
    <t>IV 205, 18 u - 1</t>
  </si>
  <si>
    <t>IV 205, 18v - 2,4-5 (Angebundenenes Werk)</t>
  </si>
  <si>
    <t>IV 205, 18v - 1,1-3</t>
  </si>
  <si>
    <t>IV 205, 18/w - 2</t>
  </si>
  <si>
    <t>IV 205, 18/w - 3</t>
  </si>
  <si>
    <t>IV 205, 18/w - 4</t>
  </si>
  <si>
    <t>IV 205, 18/w - 5</t>
  </si>
  <si>
    <t>IV 205, 18/w - 9</t>
  </si>
  <si>
    <t>IV 205, 18/w - 8</t>
  </si>
  <si>
    <t>IV 205, 18/w - 10</t>
  </si>
  <si>
    <t>IV 205, 18/w - 6</t>
  </si>
  <si>
    <t>IV 205, 18/w - 7</t>
  </si>
  <si>
    <t>IV 205, 18y - 1</t>
  </si>
  <si>
    <t>IV 205, 18y - 3</t>
  </si>
  <si>
    <t>IV 205, 18y - 2</t>
  </si>
  <si>
    <t>IV 205, 18y - 4</t>
  </si>
  <si>
    <t>IV 205, 18bb - 1</t>
  </si>
  <si>
    <t>IV 205, 18bb - 2</t>
  </si>
  <si>
    <t>IV 205, 18 cc - 1</t>
  </si>
  <si>
    <t>IV 205, 18 cc - 5</t>
  </si>
  <si>
    <t>IV 205, 18 cc - 6</t>
  </si>
  <si>
    <t>IV 205, 18 cc - 7</t>
  </si>
  <si>
    <t>IV 205, 18 cc - 2</t>
  </si>
  <si>
    <t>IV 205, 18 cc - 4</t>
  </si>
  <si>
    <t>IV 205, 18 cc - 3</t>
  </si>
  <si>
    <t>IV 205, 18ff - 4</t>
  </si>
  <si>
    <t>IV 205, 18ff - 2</t>
  </si>
  <si>
    <t>IV 205, 18ff - 1</t>
  </si>
  <si>
    <t>IV 205, 18ff - 3</t>
  </si>
  <si>
    <t>IV 205, 18 gg - 6-9</t>
  </si>
  <si>
    <t>IV 205, 18 gg - 1-5</t>
  </si>
  <si>
    <t>S.51/52 fehlen schon bei Erfassg.</t>
  </si>
  <si>
    <t>IV 205, 22 - 5,1</t>
  </si>
  <si>
    <t>IV 205, 22 - 2 (Angebundenes Werk)</t>
  </si>
  <si>
    <t>IV 205, 22 - 3 (Angebundenes Werk)</t>
  </si>
  <si>
    <t>IV 205, 22 - 1-3</t>
  </si>
  <si>
    <t>IV 205, 22 - 4-5</t>
  </si>
  <si>
    <t>IV 205, 22 - 5,2 (Angebundenes Werk)</t>
  </si>
  <si>
    <t>IV 205, 22 - (1)</t>
  </si>
  <si>
    <t>IV 205, 22 e - 1</t>
  </si>
  <si>
    <t>IV 205, 22 e - 2</t>
  </si>
  <si>
    <t>fester Rücken mit Schmuckprägung, Tintenfraß</t>
  </si>
  <si>
    <t>IV 205, 22 o - 5</t>
  </si>
  <si>
    <t>IV 205, 22 o - 1</t>
  </si>
  <si>
    <t>IV 205, 22 o - 2</t>
  </si>
  <si>
    <t>IV 205, 22 o - 3</t>
  </si>
  <si>
    <t>IV 205, 22 o - 6</t>
  </si>
  <si>
    <t>IV 205, 22 o - 8</t>
  </si>
  <si>
    <t>IV 205, 22 o - 9</t>
  </si>
  <si>
    <t>IV 205, 22 o - 11</t>
  </si>
  <si>
    <t>IV 205, 24g - 11</t>
  </si>
  <si>
    <t>IV 205, 27 - 1786</t>
  </si>
  <si>
    <t>IV 205, 31 a - 7</t>
  </si>
  <si>
    <t>IV 205, 31 a - 6</t>
  </si>
  <si>
    <t>IV 205, 31 a - 4</t>
  </si>
  <si>
    <t>hohler Rücken, welliger Buchblock, Tintenfraß</t>
  </si>
  <si>
    <t>Bd. 1+2 in einem Band. Bemerkung auf der Rückseite des Einbandes:…Bd. 1 und 2 bei Restaurierung vertauscht.</t>
  </si>
  <si>
    <t>IV 205, 32 - 1 - 2</t>
  </si>
  <si>
    <t>IV 205, 32 b - 1</t>
  </si>
  <si>
    <t>IV 205, 32 b - 2</t>
  </si>
  <si>
    <t>IV 205, 32 b - 3</t>
  </si>
  <si>
    <t>IV 205, 32 b - 4</t>
  </si>
  <si>
    <t>IV 205, 32 b - 5</t>
  </si>
  <si>
    <t>IV 205, 32 b - 6</t>
  </si>
  <si>
    <t>IV 205, 32 b - 7</t>
  </si>
  <si>
    <t>IV 205, 32 b - 8</t>
  </si>
  <si>
    <t>IV 205, 32 b - 9</t>
  </si>
  <si>
    <t>IV 205, 32 b - 10</t>
  </si>
  <si>
    <t>IV 205, 32 b - 11</t>
  </si>
  <si>
    <t>IV 205, 32 b - 12</t>
  </si>
  <si>
    <t>IV 205, 32 a - 1 - 2</t>
  </si>
  <si>
    <t>Bd. 1-2 in einem Band</t>
  </si>
  <si>
    <t>IV 205, 33c - 2</t>
  </si>
  <si>
    <t>IV 205, 33c - 1,1-2</t>
  </si>
  <si>
    <t xml:space="preserve">IV 205, 33c </t>
  </si>
  <si>
    <t>IV 205, 35 - 1 -2</t>
  </si>
  <si>
    <t>IV 205, 41 - 1</t>
  </si>
  <si>
    <t>IV 205, 41 - 2</t>
  </si>
  <si>
    <t>IV 205, 41 - 3</t>
  </si>
  <si>
    <t>IV 205, 41 - 4</t>
  </si>
  <si>
    <t>IV 205, 41 - 5</t>
  </si>
  <si>
    <t>IV 205, 41 - 6</t>
  </si>
  <si>
    <t>IV 8, 78 - 1</t>
  </si>
  <si>
    <t>IV 8, 78 - 2</t>
  </si>
  <si>
    <t>IV 8, 78 - 1,2</t>
  </si>
  <si>
    <t xml:space="preserve">gereinigt </t>
  </si>
  <si>
    <t>IV 205, 74b - Briefe</t>
  </si>
  <si>
    <t>IV 205, 74b - Fabeln,1(Angebundenes Werk)</t>
  </si>
  <si>
    <t>IV 205, 74b - Fabeln,2(Angebundenes Werk)</t>
  </si>
  <si>
    <t>IV 205, 74b Lehrgedichte(Angebundenes Werk)</t>
  </si>
  <si>
    <t>IV 205, 74b - Lustspiele(Angebundenes Werk)</t>
  </si>
  <si>
    <t>IV 205, 74 c - 1</t>
  </si>
  <si>
    <t>IV 205, 74 c - 2</t>
  </si>
  <si>
    <t>IV 205, 74 c - 3</t>
  </si>
  <si>
    <t>IV 205, 74 c - 4</t>
  </si>
  <si>
    <t>IV 205, 74 c - 5</t>
  </si>
  <si>
    <t>IV 205, 74 c - 6</t>
  </si>
  <si>
    <t xml:space="preserve">IV 205, 74 c - 7 </t>
  </si>
  <si>
    <t>IV 205, 74 c - 8</t>
  </si>
  <si>
    <t>IV 205, 74 c - 9</t>
  </si>
  <si>
    <t>IV 205, 74 c - 10</t>
  </si>
  <si>
    <t>IV 205, 74 c - 11</t>
  </si>
  <si>
    <t>IV 205, 74 c - 12</t>
  </si>
  <si>
    <t>IV 205, 74 c - 13</t>
  </si>
  <si>
    <t>IV 205, 74 c - 14</t>
  </si>
  <si>
    <t>IV 205, 74 c - 15</t>
  </si>
  <si>
    <t xml:space="preserve">IV 205, 74 d - 1   </t>
  </si>
  <si>
    <t>IV 205, 74 d - 2</t>
  </si>
  <si>
    <t>IV 205, 74 d - 3</t>
  </si>
  <si>
    <t>IV 205, 75 - 1</t>
  </si>
  <si>
    <t>IV 205, 75 - 4</t>
  </si>
  <si>
    <t>IV 205, 75 - 3</t>
  </si>
  <si>
    <t>IV 205, 75 - 2</t>
  </si>
  <si>
    <t>IV 205, 75b - 1</t>
  </si>
  <si>
    <t>IV 205, 75b - 2 (Angebundenes Werk)</t>
  </si>
  <si>
    <t>IV 205, 75 c - 1</t>
  </si>
  <si>
    <t>IV 205, 75 c - 2 (Angebundenes Werk)</t>
  </si>
  <si>
    <t>IV 205, 75 i - 1</t>
  </si>
  <si>
    <t>IV 205, 75 i - 2</t>
  </si>
  <si>
    <t>hohler Rücken, welliger Buchblock, Einband mit Schutz- oder Stoßkanten</t>
  </si>
  <si>
    <t>hohler Rücken, welliger Buchblock, gefaltete Blätter</t>
  </si>
  <si>
    <t>fester Rücken mit Schmuckprägung, welliger Buchblock, Schrift bis in den Falz</t>
  </si>
  <si>
    <t>IV 205, 97a, 1715/16</t>
  </si>
  <si>
    <t>IV 205, 97a, 1718</t>
  </si>
  <si>
    <t>IV 205, 97a, 1719</t>
  </si>
  <si>
    <t>IV 205, 97a, 1720</t>
  </si>
  <si>
    <t>IV 205, 97a, 1721</t>
  </si>
  <si>
    <t>IV 10, 2 - 1</t>
  </si>
  <si>
    <t>IV 10, 2 - 2</t>
  </si>
  <si>
    <t>IV 12, 25 - 7</t>
  </si>
  <si>
    <t>fester Rücken mit Schmuckprägung, Einband mit Schutz- oder Stoßkanten, stark deformiertes Objekt</t>
  </si>
  <si>
    <t>IV 12, 25 - 3</t>
  </si>
  <si>
    <t>fester Rücken mit Schmuckprägung, Einband mit Schutz- oder Stoßkanten, Tintenfraß, stark deformiertes Objekt</t>
  </si>
  <si>
    <t>IV 12, 25 - 8</t>
  </si>
  <si>
    <t>IV 12, 25 - 5</t>
  </si>
  <si>
    <t>IV 12, 25 - 1</t>
  </si>
  <si>
    <t>IV 12, 25 - 2</t>
  </si>
  <si>
    <t>IV 12, 25 - 4</t>
  </si>
  <si>
    <t>IV 12, 25 - 6</t>
  </si>
  <si>
    <t>IV 205, 121 - 2</t>
  </si>
  <si>
    <t>IV 205, 121 - 3</t>
  </si>
  <si>
    <t>IV 205, 121 - 4</t>
  </si>
  <si>
    <t>hohler Rücken, Schrift bis in den Falz, Tintenfraß</t>
  </si>
  <si>
    <t>IV 210, 2</t>
  </si>
  <si>
    <t>IV 214, 2</t>
  </si>
  <si>
    <t>IV 215 C, 4 - 1</t>
  </si>
  <si>
    <t>IV 215 C, 4 - 3</t>
  </si>
  <si>
    <t>IV 215 C, 4 - 4</t>
  </si>
  <si>
    <t>IV 215 C, 4 - 2</t>
  </si>
  <si>
    <t>IV 216, 4 a - 2</t>
  </si>
  <si>
    <t>IV 216, 4 a - 4</t>
  </si>
  <si>
    <t>IV 216, 4 a - 3</t>
  </si>
  <si>
    <t>IV 216, 4 a - 1</t>
  </si>
  <si>
    <t>hohler Rücken, gefaltete Blätter, Tintenfraß</t>
  </si>
  <si>
    <t>IV 48, 6a</t>
  </si>
  <si>
    <t>fester Rücken mit Schmuckprägung, welliger Buchblock, gefaltete Blätter</t>
  </si>
  <si>
    <t>stark brüchiges Einbandmaterial, welliger Buchblock</t>
  </si>
  <si>
    <t>IV 16, 18 -2</t>
  </si>
  <si>
    <t>IV 16, 18 -4</t>
  </si>
  <si>
    <t>IV 16, 18 -1</t>
  </si>
  <si>
    <t>IV 16, 18 -3</t>
  </si>
  <si>
    <t>IV 114, 26 - 4</t>
  </si>
  <si>
    <t>IV 114, 26 - 5 (Angebundenes Werk)</t>
  </si>
  <si>
    <t>Broschur, Halbgewebeband</t>
  </si>
  <si>
    <t>fester Rücken mit Schmuckprägung, gefaltete Blätter, stark brüchiges Einbandmaterial</t>
  </si>
  <si>
    <t>fester Rücken mit Schmuckprägung, welliger Buchblock, Schrift bis in den Falz, gefaltete Blätter</t>
  </si>
  <si>
    <t>hohler Rücken, welliger Buchblock, welliger Buchblock</t>
  </si>
  <si>
    <t>2. Exemplar vorhanden</t>
  </si>
  <si>
    <t>IV 118 C, 1 -2</t>
  </si>
  <si>
    <t>IV 118 C, 1 -1</t>
  </si>
  <si>
    <t>IV 118 C, 1 -3</t>
  </si>
  <si>
    <t>IV 118 C, 1 -4</t>
  </si>
  <si>
    <t>IV 8, 7 - 5</t>
  </si>
  <si>
    <t>IV 8, 7 - 6</t>
  </si>
  <si>
    <t>IV 8, 7 - 7</t>
  </si>
  <si>
    <t>IV 8, 7 - 8</t>
  </si>
  <si>
    <t>IV 8, 7 - 3</t>
  </si>
  <si>
    <t>IV 8, 7 - 9</t>
  </si>
  <si>
    <t>IV 8, 7 - 4</t>
  </si>
  <si>
    <t>IV 8, 7 - 1</t>
  </si>
  <si>
    <t>IV 8, 7 - 2</t>
  </si>
  <si>
    <t>IV 8, 7 - 9,1</t>
  </si>
  <si>
    <t>IV 8, 7 - 9,2</t>
  </si>
  <si>
    <t>IV 8, 7 - 8,3</t>
  </si>
  <si>
    <t>fester Rücken mit Schmuckprägung, Schrift bis in den Falz, gefaltete Blätter</t>
  </si>
  <si>
    <t>IV 8, 9 - 1</t>
  </si>
  <si>
    <t>IV 8, 9 - 2</t>
  </si>
  <si>
    <t>IV 131, 9 c,1779</t>
  </si>
  <si>
    <t>Schrift bis in den Falz, gefaltete Blätter</t>
  </si>
  <si>
    <t>Goldschnitt</t>
  </si>
  <si>
    <t>IV 131, 9 c,1782</t>
  </si>
  <si>
    <t>IV 131, 9 c,1784</t>
  </si>
  <si>
    <t>IV 131, 9 c,1785</t>
  </si>
  <si>
    <t>2. Exempl. Vorh., auch digit.?</t>
  </si>
  <si>
    <t>IV 205, 8 -2</t>
  </si>
  <si>
    <t>IV 205, 8 -1</t>
  </si>
  <si>
    <t>IV 205, 11</t>
  </si>
  <si>
    <t>Fragment in Kiste</t>
  </si>
  <si>
    <t>IV 142, 1 -1</t>
  </si>
  <si>
    <t>IV 142, 1 -2</t>
  </si>
  <si>
    <t>IV 142, 1 -3</t>
  </si>
  <si>
    <t>IV 144, 15 -1</t>
  </si>
  <si>
    <t>IV 144, 15 -2</t>
  </si>
  <si>
    <t>IV 145, 2 -2</t>
  </si>
  <si>
    <t>IV 145, 2 -3</t>
  </si>
  <si>
    <t>IV 145, 2 -1</t>
  </si>
  <si>
    <t>fester Rücken mit Schmuckprägung, Schrift bis in den Falz, stark brüchiges Einbandmaterial</t>
  </si>
  <si>
    <t>IV 145, 3 -1</t>
  </si>
  <si>
    <t>IV 145, 3 -2</t>
  </si>
  <si>
    <t>Goldschnitt
37 Bände in einer Kassette</t>
  </si>
  <si>
    <t>18 Bände in einem Schuber, Buchblock nicht aufgeschnitten</t>
  </si>
  <si>
    <t>gefaltete Blätter, welliger Buchblock, Einband mit Schutz- oder Stoßkanten</t>
  </si>
  <si>
    <t>hohler Rücken, gefaltete Blätter, welliger Buchblock, Einband mit Schutz- oder Stoßkanten</t>
  </si>
  <si>
    <t>IV 205, 38a - 2</t>
  </si>
  <si>
    <t>IV 205, 38a - 3</t>
  </si>
  <si>
    <t>IV 205, 38a - 1</t>
  </si>
  <si>
    <t>teilweise gebunden, ohne Einband</t>
  </si>
  <si>
    <t>IV 114, 15 - 3</t>
  </si>
  <si>
    <t xml:space="preserve">IV 114, 15 </t>
  </si>
  <si>
    <t>IV 114, 15 - 2</t>
  </si>
  <si>
    <t>IV 114, 15 - 1</t>
  </si>
  <si>
    <t>IV 8, 8 - 
Vereenighde Nederlanden</t>
  </si>
  <si>
    <t>IV 8, 8 -  Konings
 Nederlanden</t>
  </si>
  <si>
    <t>IV 230, 3 - 2</t>
  </si>
  <si>
    <t>nur Buchblockfoliert, bis 65 cm breite Blätter</t>
  </si>
  <si>
    <t>Fragmente des Ledereinbands in Folie</t>
  </si>
  <si>
    <t>IV 205, 7 j - 3-4</t>
  </si>
  <si>
    <t>IV 205, 74c - 5</t>
  </si>
  <si>
    <t>37 cm breit; gereinigt</t>
  </si>
  <si>
    <t>gereinigt;Fragment in Kiste</t>
  </si>
  <si>
    <t>IV 205, 74c - 6</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</si>
  <si>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</si>
  <si>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</si>
  <si>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</si>
  <si>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</si>
  <si>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</si>
  <si>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</si>
  <si>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</si>
  <si>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</si>
  <si>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</si>
  <si>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Informationen zu dieser Mappe</t>
  </si>
  <si>
    <t>Veränderungen an dieser Mappe:</t>
  </si>
  <si>
    <t>wann</t>
  </si>
  <si>
    <t>wer</t>
  </si>
  <si>
    <t>was</t>
  </si>
  <si>
    <t>F. Thomschke</t>
  </si>
  <si>
    <t>zusätzlich Zebra in Signaturspalte eingefügt</t>
  </si>
  <si>
    <t>relative Zellbezüge eingefügt (auf IV_Drucke 1561-1800, Schäden_Einband, Schäden_Buchblock)</t>
  </si>
  <si>
    <t xml:space="preserve">Signaturgruppe IV </t>
  </si>
  <si>
    <t>Narben spaltet sich ab</t>
  </si>
  <si>
    <t>Heftung zerstört</t>
  </si>
  <si>
    <t>Risse am Rand</t>
  </si>
  <si>
    <t>Falten / Knicke</t>
  </si>
  <si>
    <t>Register-marken fragil</t>
  </si>
  <si>
    <t>L</t>
  </si>
  <si>
    <t>f/V</t>
  </si>
  <si>
    <t>Pa</t>
  </si>
  <si>
    <t>ja vor</t>
  </si>
  <si>
    <t>B: 23x35
F: 55x42</t>
  </si>
  <si>
    <t>Falttafeln mit Rissen</t>
  </si>
  <si>
    <t>HL</t>
  </si>
  <si>
    <t>f</t>
  </si>
  <si>
    <t>Br</t>
  </si>
  <si>
    <t>B: 10x16
F: 24x20</t>
  </si>
  <si>
    <t>nur 110</t>
  </si>
  <si>
    <t>n</t>
  </si>
  <si>
    <t>G</t>
  </si>
  <si>
    <t>Pg</t>
  </si>
  <si>
    <t>h</t>
  </si>
  <si>
    <t>B: 17x22
F: 39x29</t>
  </si>
  <si>
    <t>h/E</t>
  </si>
  <si>
    <t>B: 21x31
F: 35x31</t>
  </si>
  <si>
    <t>x sauer</t>
  </si>
  <si>
    <t>B: 13x20
F: 49x35</t>
  </si>
  <si>
    <t>B: 13x20
F: 49x36</t>
  </si>
  <si>
    <t>B: 13x20
F: 49x37</t>
  </si>
  <si>
    <t>B: 13x20
F: 49x38</t>
  </si>
  <si>
    <t>B: 13x20
F: 49x39</t>
  </si>
  <si>
    <t>B: 13x20
F: 49x40</t>
  </si>
  <si>
    <t>B: 13x20
F: 49x41</t>
  </si>
  <si>
    <t>B: 32x20
F: 74x51</t>
  </si>
  <si>
    <t>B: 19x22
F: 32x22</t>
  </si>
  <si>
    <t>max 45</t>
  </si>
  <si>
    <t>B: 13x20
F: 35x36</t>
  </si>
  <si>
    <t>oE</t>
  </si>
  <si>
    <t>Falttafeln mit Knicken und zwei fast lose (rausgeschnitten)</t>
  </si>
  <si>
    <t>Kassette anfertigen wegen zerfaserten Bindebändern</t>
  </si>
  <si>
    <t>B: 27x42
F: 31x47</t>
  </si>
  <si>
    <t>0 (durchgängige Tafeln)</t>
  </si>
  <si>
    <t>x, wegen Falttafeln</t>
  </si>
  <si>
    <t>B: 27x42
F: 27x67</t>
  </si>
  <si>
    <t>max 180</t>
  </si>
  <si>
    <t>B: 27x42
F: 42x42</t>
  </si>
  <si>
    <t>B: 27x42
F: 34x56</t>
  </si>
  <si>
    <t>HD</t>
  </si>
  <si>
    <t>max 110</t>
  </si>
  <si>
    <t>Klebe-
streifen ablösen</t>
  </si>
  <si>
    <t>mehrere Falttafeln mit verbräunten Klebestreifen und Rissen</t>
  </si>
  <si>
    <t>B: 26x38
F: 88x46</t>
  </si>
  <si>
    <t>B: 26x41
F: 62x56</t>
  </si>
  <si>
    <t>Falten in der Falttafel</t>
  </si>
  <si>
    <t>max 60</t>
  </si>
  <si>
    <t>B: 27x41
F: 63x54</t>
  </si>
  <si>
    <t>v/h</t>
  </si>
  <si>
    <t>nur loses Leder am Rücken sichern, Gelenke belassen (ist stabil genug)</t>
  </si>
  <si>
    <t>ja vor und nach</t>
  </si>
  <si>
    <t>v</t>
  </si>
  <si>
    <t>vor Digit.: Leder am Rücken sichern und Umschlag anfertigen --&gt; 1 Std.
nach Digit.: Gelenk rest. (Rücken am besten hohl belassen) --&gt; 6 Std.</t>
  </si>
  <si>
    <t>B: 26x37
F: 60x52</t>
  </si>
  <si>
    <t>B: 20x17
F: 40x32</t>
  </si>
  <si>
    <t>Falttafel 6e mit Riss</t>
  </si>
  <si>
    <t>HG</t>
  </si>
  <si>
    <t>50x59</t>
  </si>
  <si>
    <t>63x50</t>
  </si>
  <si>
    <t>51x64</t>
  </si>
  <si>
    <t>B: 51x64
F: 110x64</t>
  </si>
  <si>
    <t>Bünde belassen, Gelenk mit Gewebe+JP zw. den Bünden stabilisieren</t>
  </si>
  <si>
    <t>51x67</t>
  </si>
  <si>
    <t>38x56</t>
  </si>
  <si>
    <t>K</t>
  </si>
  <si>
    <t>39x56</t>
  </si>
  <si>
    <t>B: 39x56
F: 58x56</t>
  </si>
  <si>
    <t>B: 38x56
F: 60x56</t>
  </si>
  <si>
    <t>33x54</t>
  </si>
  <si>
    <t>B: 33x54
F: 60x90</t>
  </si>
  <si>
    <t>42x56</t>
  </si>
  <si>
    <t>B: 42x56
F: 70x56</t>
  </si>
  <si>
    <t>ja nach</t>
  </si>
  <si>
    <t>38x58</t>
  </si>
  <si>
    <t>B: 38x58
F: 38x82</t>
  </si>
  <si>
    <t>B: 38x58
F: 120x58</t>
  </si>
  <si>
    <t>Schuber ist unpraktisch (Frosch mit Rausziehband) --&gt; neu?</t>
  </si>
  <si>
    <t>47x63</t>
  </si>
  <si>
    <t>46x58</t>
  </si>
  <si>
    <t>I/R</t>
  </si>
  <si>
    <t>53x78</t>
  </si>
  <si>
    <t>64x56</t>
  </si>
  <si>
    <t>x, wegen Folientaschen (Blätter herausnehmen?)</t>
  </si>
  <si>
    <t>Fragmente des Titelschildes liegen lose bei</t>
  </si>
  <si>
    <t>IV 291, 25 - 1</t>
  </si>
  <si>
    <t>IV 291, 25 - 2,1</t>
  </si>
  <si>
    <t>IV 291, 25 - 2,2</t>
  </si>
  <si>
    <t>IV 291, 25 - 2,3</t>
  </si>
  <si>
    <t>IV 291, 25 - 2,4</t>
  </si>
  <si>
    <t>34x51</t>
  </si>
  <si>
    <t>36x52</t>
  </si>
  <si>
    <t>IV 291, 15 (1679)</t>
  </si>
  <si>
    <t>IV 291, 15 (1670)</t>
  </si>
  <si>
    <t>37x51</t>
  </si>
  <si>
    <t>u</t>
  </si>
  <si>
    <t>44x58</t>
  </si>
  <si>
    <t>46x59</t>
  </si>
  <si>
    <t>39x57</t>
  </si>
  <si>
    <t>ggf. wg. Bauch</t>
  </si>
  <si>
    <t>40x58</t>
  </si>
  <si>
    <t>57x45</t>
  </si>
  <si>
    <t>Einzelblätter</t>
  </si>
  <si>
    <t>45x60</t>
  </si>
  <si>
    <t>ggf., wegen Unterlegen</t>
  </si>
  <si>
    <t>B: 45x60
F: 70x60</t>
  </si>
  <si>
    <t>IV 205, 1 b (1.angebundenes Werk)</t>
  </si>
  <si>
    <t>IV 205, 1 b (2. angebundenes Werk)</t>
  </si>
  <si>
    <t>B: 16x20
F: 30x64</t>
  </si>
  <si>
    <t>IV 205, 18 qq - 1</t>
  </si>
  <si>
    <t>IV 205, 18 qq - 2</t>
  </si>
  <si>
    <t>IV 205, 18 qq - 4</t>
  </si>
  <si>
    <t>IV 205, 18 qq - 3</t>
  </si>
  <si>
    <t>B: 20x25
F: 42x25</t>
  </si>
  <si>
    <t>nur eingerissene und halblose Falttafeln bearbeiten; Rücken ist stabil genug</t>
  </si>
  <si>
    <t>nur Rücken bearbeiten</t>
  </si>
  <si>
    <t>B: 12x18
F:42x30</t>
  </si>
  <si>
    <t>Buchblock ist total steif und eng gebunden --&gt; eigentlich keine Chance zu Digitalisieren</t>
  </si>
  <si>
    <t>Pergament bemalt</t>
  </si>
  <si>
    <t>nur Einbandmaterial auf Deckeln fixieren, Rest ist stabil genug</t>
  </si>
  <si>
    <t>IV 291, 109 - 1</t>
  </si>
  <si>
    <t>IV 291, 109 - 2</t>
  </si>
  <si>
    <t>B: 14x21
F: 40x22</t>
  </si>
  <si>
    <t>B: 22x32
F: 90x65</t>
  </si>
  <si>
    <t>B: 19x28
F: 75x56</t>
  </si>
  <si>
    <t>alter Einband liegt bei</t>
  </si>
  <si>
    <t>Einfügen neuer Spalten in das Hauptblatt "IV Drucke 1561-1800". Diese worden mit Zebra versehen.</t>
  </si>
  <si>
    <t>Wichtig! Bitte alle relevanten Veränderungen (Einfügen von Zellbezügen, neuen Spalten...) ergänzen, da verschiedene Leute mit der Tabelle arbeiten!!!</t>
  </si>
  <si>
    <t>neue Tabellenblätter in die Mappe eingefügt (Infos zu dieser Mappe, Legende_Thomschke, Schäden_Einband, Schäden_Buchblock)</t>
  </si>
  <si>
    <t>grundsätzlich alle Spalten ausgeblendet, die F. Thomschke für die Erfassung nicht benötigt</t>
  </si>
  <si>
    <r>
      <t xml:space="preserve">Größe ÜF
</t>
    </r>
    <r>
      <rPr>
        <sz val="9"/>
        <color theme="1"/>
        <rFont val="Verdana"/>
        <family val="2"/>
      </rPr>
      <t>(BxH)</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</si>
  <si>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</si>
  <si>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</si>
  <si>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</si>
  <si>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</si>
  <si>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</si>
  <si>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</si>
  <si>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nicht
am Stand-ort</t>
  </si>
  <si>
    <t>Abkürzung</t>
  </si>
  <si>
    <t>ÜF</t>
  </si>
  <si>
    <t>Überformat</t>
  </si>
  <si>
    <t>Auflösung</t>
  </si>
  <si>
    <t>HPg</t>
  </si>
  <si>
    <t>Holzdeckelband</t>
  </si>
  <si>
    <t>ohne Einband (ungebunden)</t>
  </si>
  <si>
    <t>EB</t>
  </si>
  <si>
    <t>Hpg</t>
  </si>
  <si>
    <t>Rücken</t>
  </si>
  <si>
    <t>fester Rücken</t>
  </si>
  <si>
    <t>fester Rücken mit Vergoldung</t>
  </si>
  <si>
    <t>hohler Rücken mit Einlage</t>
  </si>
  <si>
    <t>Einband stark defor-miert</t>
  </si>
  <si>
    <t>Buch-schließe steif</t>
  </si>
  <si>
    <t>saures Füll-material</t>
  </si>
  <si>
    <t>Original-grafik</t>
  </si>
  <si>
    <t>Ausstattung</t>
  </si>
  <si>
    <t>B</t>
  </si>
  <si>
    <t>I</t>
  </si>
  <si>
    <t>R</t>
  </si>
  <si>
    <t>o</t>
  </si>
  <si>
    <t>Kolorierung</t>
  </si>
  <si>
    <t>Buchmalerei</t>
  </si>
  <si>
    <t>Initalien</t>
  </si>
  <si>
    <t>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</si>
  <si>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</si>
  <si>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</si>
  <si>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</si>
  <si>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</si>
  <si>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mikro-bieller Befall</t>
  </si>
  <si>
    <t>Digit. mit Begleit-ung</t>
  </si>
  <si>
    <r>
      <t xml:space="preserve">Rest.-
Aufwand gesamt
</t>
    </r>
    <r>
      <rPr>
        <sz val="9"/>
        <color theme="1"/>
        <rFont val="Verdana"/>
        <family val="2"/>
      </rPr>
      <t>(in Std.)</t>
    </r>
  </si>
  <si>
    <t>Rest.-Bericht einge-klebt</t>
  </si>
  <si>
    <t>Buch-schuh</t>
  </si>
  <si>
    <t>SB</t>
  </si>
  <si>
    <t>Schutzbehältnis</t>
  </si>
  <si>
    <t>allg.</t>
  </si>
  <si>
    <t>Anmerkungen (allg.)</t>
  </si>
  <si>
    <t>Rest.
erfolgt</t>
  </si>
  <si>
    <t>feuchte-empfind-liches Leder</t>
  </si>
  <si>
    <t>Gelenk(e) 
an/durch-gebro-chen</t>
  </si>
  <si>
    <r>
      <t>Material am Rücken/
Einband lose / eingeris-sen</t>
    </r>
    <r>
      <rPr>
        <sz val="10"/>
        <color theme="1"/>
        <rFont val="Verdana"/>
        <family val="2"/>
      </rPr>
      <t xml:space="preserve"> (auch Titelschild)</t>
    </r>
  </si>
  <si>
    <r>
      <t xml:space="preserve">Bünde gebro-chen </t>
    </r>
    <r>
      <rPr>
        <sz val="9"/>
        <color theme="1"/>
        <rFont val="Verdana"/>
        <family val="2"/>
      </rPr>
      <t>(Anzahl)</t>
    </r>
  </si>
  <si>
    <t>Rücken lose/
halb lose</t>
  </si>
  <si>
    <t>Buch
schließe fragil</t>
  </si>
  <si>
    <t>Deckel gebro-chen</t>
  </si>
  <si>
    <t>Schäden/
Restaurierung</t>
  </si>
  <si>
    <t>vorn</t>
  </si>
  <si>
    <t>hinten</t>
  </si>
  <si>
    <t>VD</t>
  </si>
  <si>
    <t>RD</t>
  </si>
  <si>
    <t>Vorderdeckel</t>
  </si>
  <si>
    <t>Rückdeckel</t>
  </si>
  <si>
    <t>Kapital fragil/
lose</t>
  </si>
  <si>
    <t>oben</t>
  </si>
  <si>
    <t>unten</t>
  </si>
  <si>
    <t>Buch-block sehr wellig</t>
  </si>
  <si>
    <t>Buch-block neigt zum "Bauch"</t>
  </si>
  <si>
    <t>Buch-block Pa./Perg.</t>
  </si>
  <si>
    <t>ge-schloss-ene Lagen</t>
  </si>
  <si>
    <t>Kolorier-ung / Buch-malerei / Initialen / Rubri-kation</t>
  </si>
  <si>
    <t>Farb-schicht pudert</t>
  </si>
  <si>
    <r>
      <t xml:space="preserve">Ver-schmutz-ung </t>
    </r>
    <r>
      <rPr>
        <sz val="10"/>
        <color theme="1"/>
        <rFont val="Verdana"/>
        <family val="2"/>
      </rPr>
      <t>(Vorsatz / Ränder /
ges. BB)</t>
    </r>
  </si>
  <si>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</si>
  <si>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</si>
  <si>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</si>
  <si>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</si>
  <si>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</si>
  <si>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</si>
  <si>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</si>
  <si>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</si>
  <si>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</si>
  <si>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Um-schlag</t>
  </si>
  <si>
    <r>
      <t xml:space="preserve">12° Format
</t>
    </r>
    <r>
      <rPr>
        <sz val="9"/>
        <color theme="1"/>
        <rFont val="Verdana"/>
        <family val="2"/>
      </rPr>
      <t>(&lt;15 cm)</t>
    </r>
  </si>
  <si>
    <r>
      <t xml:space="preserve">Größe Buch+
Falttafeln </t>
    </r>
    <r>
      <rPr>
        <sz val="9"/>
        <color theme="1"/>
        <rFont val="Verdana"/>
        <family val="2"/>
      </rPr>
      <t>(BxH)</t>
    </r>
  </si>
  <si>
    <r>
      <t xml:space="preserve">Rest.
not-wendig </t>
    </r>
    <r>
      <rPr>
        <sz val="10"/>
        <color theme="1"/>
        <rFont val="Verdana"/>
        <family val="2"/>
      </rPr>
      <t>(ja/nein) (vor/nach der Digit.)</t>
    </r>
  </si>
  <si>
    <t>Die Mappe basiert auf der Excelliste, die 2020 erstellt worde. Veränderungen/Ergänzungen ab 2022 sind unten aufgeführt.</t>
  </si>
  <si>
    <t>Be-schläge bes. auftra-gend</t>
  </si>
  <si>
    <t>Be-schläge locker</t>
  </si>
  <si>
    <t>Deckel spaltet sich / Fehlstelle im Deckel</t>
  </si>
  <si>
    <t>Deckel lose / halb lose</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</si>
  <si>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</si>
  <si>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</si>
  <si>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</si>
  <si>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</si>
  <si>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</si>
  <si>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</si>
  <si>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</si>
  <si>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</si>
  <si>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</si>
  <si>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</si>
  <si>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</si>
  <si>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</si>
  <si>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</si>
  <si>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</si>
  <si>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</si>
  <si>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</si>
  <si>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Besonderheiten (z.B. Perlen)</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</si>
  <si>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</si>
  <si>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</si>
  <si>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</si>
  <si>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</si>
  <si>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</si>
  <si>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</si>
  <si>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</si>
  <si>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</si>
  <si>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</si>
  <si>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</si>
  <si>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</si>
  <si>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</si>
  <si>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saures
Fülmaterial</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</si>
  <si>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</si>
  <si>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</si>
  <si>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</si>
  <si>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</si>
  <si>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</si>
  <si>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</si>
  <si>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</si>
  <si>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</si>
  <si>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</si>
  <si>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</si>
  <si>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</si>
  <si>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</si>
  <si>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80</t>
  </si>
  <si>
    <t>Digit. mit Begleitung</t>
  </si>
  <si>
    <t>Verschmutzung (Vorsatz / Ränder /
ges. BB)</t>
  </si>
  <si>
    <t>mikrobieller Befall</t>
  </si>
  <si>
    <t>Rest.-Bericht eingeklebt</t>
  </si>
  <si>
    <t>Rest.
notwendig</t>
  </si>
  <si>
    <t>gesamt</t>
  </si>
  <si>
    <t>vor Digit.</t>
  </si>
  <si>
    <t>nach Digit.</t>
  </si>
  <si>
    <t>vor und nach Digit.</t>
  </si>
  <si>
    <t>Rest.-Aufwand gesamt
(in Std.)</t>
  </si>
  <si>
    <t>Anzahl erfolgter Restaurierung</t>
  </si>
  <si>
    <t>Umschlag</t>
  </si>
  <si>
    <t>Öffnungswinkel 45</t>
  </si>
  <si>
    <t>Öffnungswinkel 110</t>
  </si>
  <si>
    <t>Schutzbehältnis empfohlen</t>
  </si>
  <si>
    <t>Datentransferblatt für IV Drucke 1561-1800</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</si>
  <si>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</si>
  <si>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</si>
  <si>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x Umschlag (bes. Einband)</t>
  </si>
  <si>
    <t>Gewebe</t>
  </si>
  <si>
    <t>Wellpappe</t>
  </si>
  <si>
    <t>x 110</t>
  </si>
  <si>
    <t>x 45</t>
  </si>
  <si>
    <t>Foto für Erheb. Rest. angefertigt (ab August)</t>
  </si>
  <si>
    <t>Trockenreinigung erste und letzte Seiten, Titelblatt rest., Spiegel u.v.a. Fälze vorn fixieren</t>
  </si>
  <si>
    <t>Box (Einband verworfen)</t>
  </si>
  <si>
    <t>Hülse, Rücken an Kopf und Fuß festigen, Gelenke belassen, nach Rest. nochmal den ÖW prüfen</t>
  </si>
  <si>
    <t>Umschlag (Leder pudert) und Buchschuh wegen Schließe</t>
  </si>
  <si>
    <t>Leder am Rücken fixieren, Ecken/Kante stabiliesieren und ggf. mit JP überfangen, Rücken vollständig lösen (wegen Übergang fest-hohl und besserer Digit. wegen durchgängigen Falttafeln)</t>
  </si>
  <si>
    <t>Schaden stabil</t>
  </si>
  <si>
    <t>JP-Gewebe-Laminat einfügen oder Gewebestreifen</t>
  </si>
  <si>
    <t>Hülse</t>
  </si>
  <si>
    <t>Teilhülse</t>
  </si>
  <si>
    <t>IV 29, 2 - 1</t>
  </si>
  <si>
    <t>IV 29, 2 - 2</t>
  </si>
  <si>
    <t>IV 33, 4h</t>
  </si>
  <si>
    <t>IV 33, 4h (angebunden)</t>
  </si>
  <si>
    <t>Leder am VD anheben, Bünde verlängern, Gelenk außen mit JP-Gewebefalz wiederherstellen (oder nur Falz und Bünde lassen?), Hülse, ggf. Gelenke überfangen, Gelenk innen mit JP-Streifen abdecken, ÖW entgültig festlegen</t>
  </si>
  <si>
    <t>B: 22x24
F: 112x60</t>
  </si>
  <si>
    <t>Ecken am Einband belassen</t>
  </si>
  <si>
    <t>inneliegendes Fragment einfügen, Gelenk belassen</t>
  </si>
  <si>
    <t>halbe Hülse (V-Falz)</t>
  </si>
  <si>
    <t>B: 19x24
F: 36x24</t>
  </si>
  <si>
    <t>Rücken vollständig lösen und oben/unten mit JP unterlegen</t>
  </si>
  <si>
    <t>IV 16, 24 (angebunden)</t>
  </si>
  <si>
    <t>B: 23x33
F: 65x33</t>
  </si>
  <si>
    <t>Hülse, Gelenke mit JP schließen</t>
  </si>
  <si>
    <t>Hülse für unteren Bereich, Rest belassen</t>
  </si>
  <si>
    <t>B: 22x26
F: 43x26</t>
  </si>
  <si>
    <t>Rest. nötig auch wenn nicht digit. wird</t>
  </si>
  <si>
    <t>Umschlag (Leder pudert)</t>
  </si>
  <si>
    <t>am Rücken nur das Nötigste, Kapital "anhäkeln"</t>
  </si>
  <si>
    <t>B: 21x25
F: 47x37</t>
  </si>
  <si>
    <t>Gelenk mit JP überfangen</t>
  </si>
  <si>
    <t>B: 21x25
F: 32x25</t>
  </si>
  <si>
    <t>B: 21x25
F: 36x34</t>
  </si>
  <si>
    <t>B: 21x25
F: 45x25</t>
  </si>
  <si>
    <t>B: 21x25
F: 47x25</t>
  </si>
  <si>
    <t>B: 21x25
F: 38x25</t>
  </si>
  <si>
    <t>Rücken mit JP stabilisieren, Gelenke ggf. mit JP überfangen</t>
  </si>
  <si>
    <t>Schimmel: Altschaden, nicht gefährlich</t>
  </si>
  <si>
    <t>IV 39, 1 - 1</t>
  </si>
  <si>
    <t>IV 39, 1 - 2</t>
  </si>
  <si>
    <t>IV 39, 1 - 3</t>
  </si>
  <si>
    <t>IV 39, 1 - 4</t>
  </si>
  <si>
    <t>Kapital fixieren, Risse im Rücken mit JP unterlegen, ggf. überfangen, ÖW entgültig festlegen (45 oder 0)</t>
  </si>
  <si>
    <t>Kapital fixieren, Bund verlängern, restl. Gelenk belassen und nur loses Leder fixieren und ggf. mit JP überfangen (dürfte dann stabil genug sein)</t>
  </si>
  <si>
    <t>Bund verlängern, restl. Gelenk belassen und nur loses Leder fixieren und ggf. mit JP überfangen (dürfte dann stabil genug sein)</t>
  </si>
  <si>
    <t>Kapital fixieren, Gelenk ggf. überfangen (ist sonst stabil)</t>
  </si>
  <si>
    <t>B: 11x17
F: 18,5x17</t>
  </si>
  <si>
    <t>Umschlag (wegen Einband)</t>
  </si>
  <si>
    <t>Schaden stabil, lässt sich so gut digitalisieren</t>
  </si>
  <si>
    <t>IV 48, 5a (angebunden)</t>
  </si>
  <si>
    <t>Gelenk mit JP unterlegen und überfangen</t>
  </si>
  <si>
    <t>Rest. wenn überhaupt nach der Digit., ist trotzt Schaden stabil (extrem dicke Rückeneinlage und kaputte Gelenke)</t>
  </si>
  <si>
    <t>Zeit geraten, wie am besten machen?, andere Bücher auch mit dem Schadensbild --&gt; Konzept dafür überlegen</t>
  </si>
  <si>
    <t>auf Rücken beschränken</t>
  </si>
  <si>
    <t>Bund verlängern oder JP-Falz einfügen, Gelenke mit JP überfangen</t>
  </si>
  <si>
    <t>Bünde verlängern oder JP-Falz einfügen, Gelenke mit JP überfangen</t>
  </si>
  <si>
    <t>IV 142, 16 (angebunden)</t>
  </si>
  <si>
    <t>IV 142, 16 - 2</t>
  </si>
  <si>
    <t>IV 142, 16 - 1</t>
  </si>
  <si>
    <t>nur Signaturschild, Ecken sind stabil</t>
  </si>
  <si>
    <t>nur Minimaleingriff</t>
  </si>
  <si>
    <t>nur das Nötigste: Rücken festigen, Deckelkanten festigen, Spiegel zurückkleben</t>
  </si>
  <si>
    <t>Spiegel zurückkleben, JP-Falz ins Gelenk vorn innen, Trockenreinigung erste/letzte Seiten und Ränder nach Bedarf</t>
  </si>
  <si>
    <t>nur Titelschild festigen</t>
  </si>
  <si>
    <t>Rücken stabilisieren, Gelenk mir JP überfangen</t>
  </si>
  <si>
    <t>Samteinband</t>
  </si>
  <si>
    <t>nur lose/fragile Bereiche sichern mit JP, am Rücken oben am besten hohl belassen und nur Gelenk stabilisieren</t>
  </si>
  <si>
    <t>Hülse, nach Rest. ÖW entgültig festlegen</t>
  </si>
  <si>
    <t>Hülse, Gelenk hinten Gewebe stabilisieren</t>
  </si>
  <si>
    <t>IV 162, 21 - 1</t>
  </si>
  <si>
    <t>IV 162, 21 - 2</t>
  </si>
  <si>
    <t>Rücken festigen, an Kanten nur das Nötigste (ist soweit stabil)</t>
  </si>
  <si>
    <t>Rücken fixieren, Schließenriemen stabilisieren (ggf. Material einfügen)</t>
  </si>
  <si>
    <t>Rücken und Kanten stabilisieren</t>
  </si>
  <si>
    <t>nach rest. Minieingriff stabil mit losen VD</t>
  </si>
  <si>
    <t>nur loses Leder an Kanten fixieren, "Schnipsel" Leder an VD unten lösen und auf Rücken verkleben, VD lose lassen (ist alles stabil)</t>
  </si>
  <si>
    <t>Box (VD lose)</t>
  </si>
  <si>
    <t>JP einfügen im Gelenke, am Fuß belassen (ist stabil)</t>
  </si>
  <si>
    <t>IV 114, 27a (angebunden)</t>
  </si>
  <si>
    <t>Kapital fixieren, Stoßkante sichern, am Rücken nur das Nötigste: Kaschierung fixieren, Risskante mit JP sichern und begradigen (keine komplette Fehlstellenergänzung), darauf achten, das sich Rücken wie ein fester Rücken anlegt, sonst bei Digit./Benutzung gefährdet</t>
  </si>
  <si>
    <t>Box (wegen Schaden)</t>
  </si>
  <si>
    <t>nur Papierschaden behandeln, Einband ist stabil</t>
  </si>
  <si>
    <t>IV 114, 55 (angebunden?)</t>
  </si>
  <si>
    <t>Jurismappe (wegen Schaden am VD)</t>
  </si>
  <si>
    <t>JP-Falz nach flieg. Blatt zur Stabilisierung des Deckels, Rücken am Kopf überfangen (ggf. JP unterlegen, dann eher 1,5 h)</t>
  </si>
  <si>
    <t>nur Kapital festigen, Gelenk ist stabil</t>
  </si>
  <si>
    <t>Schaden stabil (nach Rest. Kapital)</t>
  </si>
  <si>
    <t>Titelschild festigen, vorhandenen Papierfalz am VD richtig bis in den Falz verkleben damit Deckel besser sitzt (sollte dann stabil sein)</t>
  </si>
  <si>
    <t>Vorsatz vorn restaurieren, JP-Falz zur Stabilisierung des vorderen Gelenk einbringen nach flieg. Blatt</t>
  </si>
  <si>
    <t>nur loses Leder im Gelenk vorn fixieren, Rest (auch Ecken) belassen (ist stabil)</t>
  </si>
  <si>
    <t>Hülse, Gewebe im Gelenk vorn stabilisieren</t>
  </si>
  <si>
    <t>nur das Nötigste am Rücken/im Gelenk sichern</t>
  </si>
  <si>
    <t>Teilhülse, loses Material fixieren, Ecken belassen (ist stabil genug)</t>
  </si>
  <si>
    <t>IV 234, 2 (angebunden)</t>
  </si>
  <si>
    <t>Fragmente beiliegend, zusammenpuzzlen und wieder aufkleben</t>
  </si>
  <si>
    <t>kleinen Rückenfragment inneliegend, Gelenke abschließend vermutlich am besten mit JP überfangen</t>
  </si>
  <si>
    <t>auch nach Rest. noch beschädigt, jedoch stabil genug</t>
  </si>
  <si>
    <t>Box (Einband beschädigt)</t>
  </si>
  <si>
    <t>nur das Nötigste: Überzug fixieren, Ecken und Kanten stabilisieren und mit JP überfangen, Rest belassen</t>
  </si>
  <si>
    <t>Rückeneinlage verlängern, Leder fixieren und Gelenk in dem Bereich stabilisieren</t>
  </si>
  <si>
    <t>50x25</t>
  </si>
  <si>
    <t>lose Falttafel glätten, lapprige Bereiche stabilisieren, Umschlag anfertigen</t>
  </si>
  <si>
    <t>IV 252, 2 (angebunden)</t>
  </si>
  <si>
    <t>Fragment vom Titelschild inneliegend</t>
  </si>
  <si>
    <t>Leder fixieren, im Gelenk mit JP überfangen</t>
  </si>
  <si>
    <t>Pergamentumschlag mit JP stabilieren/ergänzen (in situ!)</t>
  </si>
  <si>
    <t>minimalinvasis vorgehen,
2h Trockenreinigung,
0,5h Spiegel hinten komplett ablösen,
2h Blattrest. Spiegel hinten (in sito, da Heftung intakt),
2 h Blattrest. letzte Lage (in sito),
0,5h lose Blätter einheften,
Spiegel vorn nicht ablösen,
2h Blattrest. Spiegel vorn (gelöste Bereiche zurückkleben, dabei Risse schließen, in sito),
0,5h Blattrest. BB (Eselsohren/Ecken an ersten und letzten Seiten auslegen/stabilisieren),
1,5h Spiegel hinten mit JP kaschieren, möglichst feuchtearm mit Deckel verkleben,
Schwemmränder belassen, Hinterklebung BB ws. nicht nötig (wenn dann mit JP)</t>
  </si>
  <si>
    <t>Box (beide Deckel lose)</t>
  </si>
  <si>
    <t>nur beiliegendes Rückenfragment einfügen, Deckel lose lassen (wäre riesiger Eingriff und vom Rücken blieben nichts übrig, ist sonst alles stabil)</t>
  </si>
  <si>
    <t>Gelenke unterlegen oder überfangen mit JP, Leder fixieren</t>
  </si>
  <si>
    <t>Rücken und Ecken festigen</t>
  </si>
  <si>
    <t>Rücken/Gelenk mit JP sichern, Ecken festigen, Einschläge zurückkleben</t>
  </si>
  <si>
    <t>Trockenreinigung, Spiegel zurückkleben</t>
  </si>
  <si>
    <t>IV 169, 3 (angebunden)</t>
  </si>
  <si>
    <t>was am besten machen (Rücken ist so brüchig, fast papierartig)?, evtl. eins der ohnehin dünnen Gelenke durchtrennen (vorn?) und Rücken komplett lösen und Hülse einfügen (direktes Verkleben des Leders auf dem Rücken führt nur zu weiteren Schäden), generell nur geringen ÖW für die Benutzung</t>
  </si>
  <si>
    <t>0,5h vor der Digit. (Titelschild) festige, nach der Digit. Gelenke schließen mittel JP-Gewebe-Falz (5h)</t>
  </si>
  <si>
    <t>Schaden stabil (nach zwischendurch Restaurierung)</t>
  </si>
  <si>
    <t>Box (Buch sperrt, Nachbar kommt mit)</t>
  </si>
  <si>
    <t>Trockenreinigung (v.a. Vorsätze)</t>
  </si>
  <si>
    <t>Gelenk mit JP-Gewebe-Laminat schließen (nach Digit.)</t>
  </si>
  <si>
    <t>in mehreren Teilen angebrachte Hülse ungünstig --&gt; ablösen, Hülse in einem Stück (Bünde abbinden), Narben festigen, Rücken ggf. partiell mit JP überfangen</t>
  </si>
  <si>
    <t>Fragmente des Klemmeinbandes in Kassette daneben</t>
  </si>
  <si>
    <t>Titelschilder festigen, Gelenk lassen (ist stabil, Spannung würde wieder zu Schaden führen)</t>
  </si>
  <si>
    <t>Box (Deckel sperren)</t>
  </si>
  <si>
    <t>Pg. niederkleben, mit JP überfangen</t>
  </si>
  <si>
    <t>IV 204, 3 (angebunden?)</t>
  </si>
  <si>
    <t>Pg. niederkleben, mit JP überfangen oder unterlegen</t>
  </si>
  <si>
    <t xml:space="preserve">vorn Blattkanten festigen (teils wattig),Seiten per Japanfalz fixieren </t>
  </si>
  <si>
    <t>ohnehin nahezu vollständig gelösten festen Rücken vollständig lösen, schadhafte Bereich mit JP unterlegen/ausfüllen, Rücken hohl belassen, Kassette ist zu groß --&gt; Ausgleich einbringen</t>
  </si>
  <si>
    <t>IV 204, 23 (angebunden)</t>
  </si>
  <si>
    <t>IV 204, 23 - 1</t>
  </si>
  <si>
    <t>IV 204, 23 - 2</t>
  </si>
  <si>
    <t>Kante RD festigen, Gelenk(e) festigen/ggf. mit JP überfangen</t>
  </si>
  <si>
    <t>Hülse, ggf. Gelenke mit JP überfangen, Ecken festigen</t>
  </si>
  <si>
    <t>SB neu! Mappe nicht geeignet</t>
  </si>
  <si>
    <t>Jurismappe (Broschur)</t>
  </si>
  <si>
    <t>Umschlagkanten festigen (nicht zwangsläufig alles ergänzen), Heftung belassen</t>
  </si>
  <si>
    <t>Rücken mit JP unterlegen (in sito), Umschlagkante festigen</t>
  </si>
  <si>
    <t>Box (sperrt)</t>
  </si>
  <si>
    <t>halbe Hülse (Rückenbereich hohl belassen), loses Material fixieren</t>
  </si>
  <si>
    <t>Rücken und Kapital sichern/fixieren, Ecke stabilisieren</t>
  </si>
  <si>
    <t>Titelschild festigen, Einschlagkante am Rücken einfassen, Ecken belassn (ist stabil)</t>
  </si>
  <si>
    <t>B: 10,5x17
F: 21x16</t>
  </si>
  <si>
    <t>Schaden am Einband stabil</t>
  </si>
  <si>
    <t xml:space="preserve">Trockenreinigung, Papierrestaurierung (Risse schließen, ggf. wattierte Bereiche stärken) </t>
  </si>
  <si>
    <t>Deckel mittels JP-Falz im inneren Gelenk anhängen, ggf. außen mit JP überfangen</t>
  </si>
  <si>
    <t>IV 205, 45b (1691)</t>
  </si>
  <si>
    <t>B: 17x20
F: 20x32</t>
  </si>
  <si>
    <t>IV 205, 45b (1704)</t>
  </si>
  <si>
    <t>B: 17x20
F: 43x40</t>
  </si>
  <si>
    <t>IV 205, 45b (1710)</t>
  </si>
  <si>
    <t>B: 17x20
F: 21x28</t>
  </si>
  <si>
    <t>IV 205, 45b (1711)</t>
  </si>
  <si>
    <t>B: 17x20
F: 36x42</t>
  </si>
  <si>
    <t>nur das Nötigste: Leder fixieren, ggf. mit JP überfangen</t>
  </si>
  <si>
    <t>IV 205, 45b (1713)</t>
  </si>
  <si>
    <t>B: 17x20
F: 21x34</t>
  </si>
  <si>
    <t>IV 205, 45b (Indices 1,2)</t>
  </si>
  <si>
    <t xml:space="preserve">nur das Nötigste, Gelenke stehen wegen Schließen auf Spannung --&gt; Rest. würde ws. wieder reißen, ist stabil </t>
  </si>
  <si>
    <t>B: 17x21
F: 25x35</t>
  </si>
  <si>
    <t>Neuen Lederrücken unterziehen (sehr schlechte Lederqualität), Buchblockrücken reinigen und neu ableimen, alten Rücken übertragen, Bünde verlängern, Gelenk innen mit JP-Falz schließen</t>
  </si>
  <si>
    <t>IV 273, 42 - 2</t>
  </si>
  <si>
    <t>IV 273, 42 - 1</t>
  </si>
  <si>
    <t>IV 273, 42 - 3</t>
  </si>
  <si>
    <t>IV 273, 42 (angebunden?)</t>
  </si>
  <si>
    <t>B: 18x22
F: 31x22</t>
  </si>
  <si>
    <t>B: 18x22
F: 32x22</t>
  </si>
  <si>
    <t>B: 17x22
F: 30x22</t>
  </si>
  <si>
    <t>B: 17x22
F: 34x22</t>
  </si>
  <si>
    <t>eigentlich stabil, aber wenn Maßnahmen an BB dann Einband mit restaurieren: loses Material zurückkleben, ggf. mit JP überfangen</t>
  </si>
  <si>
    <t>Karten glätten und ausbessern, wattierte Bereiche festigen/verstärken, ursprüngliches Faltschema ermitteln und danach falten, halblose Seite fixieren</t>
  </si>
  <si>
    <t>IV 277, 2 (angebunden)</t>
  </si>
  <si>
    <t>Gelenk unterlegen mit JP, loses Leder und Titelschild sichern, ggf. Gelenk mit JP überfangen</t>
  </si>
  <si>
    <t>nur fragilen Gelenkbereich sichern, Rest ist stabil - muss nicht "angefasst" werden</t>
  </si>
  <si>
    <t>IV 291, 8/a (angebunden)</t>
  </si>
  <si>
    <t>Bünde verlängern, Gelenk unterlegen mit JP-Gewebe-Laminat, Gelenk innen oben mit JP schließen, Ecken festigen</t>
  </si>
  <si>
    <t>Trockenreinigung der Vorsätze</t>
  </si>
  <si>
    <t>B: 20x26
F: 34x26</t>
  </si>
  <si>
    <t>Bünde belassen, Riss im Rücken unterlegen mit dickem JP, Spiegelfalz vorn und BB-Mitte mit JP-Streifen stabilisieren</t>
  </si>
  <si>
    <t>B: 22x28
F: 31x28</t>
  </si>
  <si>
    <t>B: 22x28
F: 38x28</t>
  </si>
  <si>
    <t>B: 22x28
F: 26x35</t>
  </si>
  <si>
    <t>loses Titelschild inneliegend --&gt; fixieren, Rest belassen (ist stabil)</t>
  </si>
  <si>
    <t>Titelschild festigen</t>
  </si>
  <si>
    <t>B: 20x26
F: 40x26</t>
  </si>
  <si>
    <t>IV 291, 31 - 2</t>
  </si>
  <si>
    <t>IV 291, 31 - 3</t>
  </si>
  <si>
    <t>IV 291, 31 - 4</t>
  </si>
  <si>
    <t>IV 291, 31 - 1</t>
  </si>
  <si>
    <t>am Rücken oben kleine Hülse setzen und Verbindung zum Deckel mit JP herstellen; Fragment für unten steckt unten im Rücken</t>
  </si>
  <si>
    <t>IV 291, 36 - 2</t>
  </si>
  <si>
    <t>IV 291, 36 - 3</t>
  </si>
  <si>
    <t>IV 291, 36 - 4</t>
  </si>
  <si>
    <t>IV 291, 36 - 6</t>
  </si>
  <si>
    <t>IV 291, 36 - 7</t>
  </si>
  <si>
    <t>IV 291, 36 - 8</t>
  </si>
  <si>
    <t>IV 291, 36 - 5</t>
  </si>
  <si>
    <t>IV 291, 37 - 2</t>
  </si>
  <si>
    <t>IV 291, 37 - 3</t>
  </si>
  <si>
    <t>IV 291, 37 - 4</t>
  </si>
  <si>
    <t>IV 291, 37 - 5</t>
  </si>
  <si>
    <t>IV 291, 37 - 6</t>
  </si>
  <si>
    <t>IV 291, 37 - 7</t>
  </si>
  <si>
    <t>IV 291, 37 - 8</t>
  </si>
  <si>
    <t>IV 291, 37 - 9</t>
  </si>
  <si>
    <t>IV 291, 37 - 10</t>
  </si>
  <si>
    <t>IV 291, 37 - 11</t>
  </si>
  <si>
    <t>IV 291, 37 - 12</t>
  </si>
  <si>
    <t>o/u</t>
  </si>
  <si>
    <t>im Gelenk Leder festigen und überfangen</t>
  </si>
  <si>
    <t>JP unterlegen und damit Risse im Leder schließen</t>
  </si>
  <si>
    <t>B: 10x16
F: 40x30</t>
  </si>
  <si>
    <t>beschädigte Bereiche mit JP überfangen</t>
  </si>
  <si>
    <t>IV 291, 52 - 1</t>
  </si>
  <si>
    <t>IV 291, 52 - 2</t>
  </si>
  <si>
    <t>Ecke/Kanten stabilisieren, Rücken belassen (ist stabil)</t>
  </si>
  <si>
    <t>B: 10x17
F: 28x17</t>
  </si>
  <si>
    <t>Kapital fixieren, Rücken belassen</t>
  </si>
  <si>
    <t>B: 21x27
F: 41x27</t>
  </si>
  <si>
    <t>IV 291, 53 b - 1</t>
  </si>
  <si>
    <t>IV 291, 53 b - 4</t>
  </si>
  <si>
    <t>IV 291, 53 b - 7</t>
  </si>
  <si>
    <t>IV 291, 53 b - 5</t>
  </si>
  <si>
    <t>IV 291, 53 b - 2</t>
  </si>
  <si>
    <t>IV 291, 53 b - 6</t>
  </si>
  <si>
    <t>IV 291, 53 b - 3</t>
  </si>
  <si>
    <t>IV 291, 53 b - 8</t>
  </si>
  <si>
    <t>Gelenk mit JP schließen</t>
  </si>
  <si>
    <t>Schaden stabil; alle Bände in einem Schuber, der eigentlich eine umgearbeitete Kiste ist --&gt; entfernen, da unpraktisch und hohe Unfallgefahr für die Bücher, es braucht nicht unbedingt ein SB</t>
  </si>
  <si>
    <t>IV 291, 59 - 2</t>
  </si>
  <si>
    <t>IV 291, 59 - 3</t>
  </si>
  <si>
    <t>IV 291, 59 - 1</t>
  </si>
  <si>
    <t>IV 291, 59 - 4</t>
  </si>
  <si>
    <t>IV 291, 71 - 2</t>
  </si>
  <si>
    <t>IV 291, 71 - 3</t>
  </si>
  <si>
    <t>IV 291, 71 - 4</t>
  </si>
  <si>
    <t>IV 291, 71 - 1</t>
  </si>
  <si>
    <t>Gelenk mit JP stabilisieren, Ecken festigen, ggf. mit JP einfassen</t>
  </si>
  <si>
    <t>IV 291, 79 - 2</t>
  </si>
  <si>
    <t>IV 291, 79 - 1</t>
  </si>
  <si>
    <t>IV 291, 79 - 3</t>
  </si>
  <si>
    <t>IV 291, 79 - 4</t>
  </si>
  <si>
    <t>B: 21x26
F: 42x52</t>
  </si>
  <si>
    <t>x durchgehend</t>
  </si>
  <si>
    <t>Umschlag (abriebgefährdet, beschädigt)</t>
  </si>
  <si>
    <t>B: 21x26
F: 23x26</t>
  </si>
  <si>
    <t>B: 21x26
F: 42x39</t>
  </si>
  <si>
    <t>nur schlimme/gefährdete Seiten stabilisieren/mit JP überfangen (ca. 40 Seiten)</t>
  </si>
  <si>
    <t>B: 21x26
F: 23x33</t>
  </si>
  <si>
    <t>Umschlag (bes. Einband)</t>
  </si>
  <si>
    <t>IV 291, 104 - 1</t>
  </si>
  <si>
    <t>IV 291, 104 - 2</t>
  </si>
  <si>
    <t>IV 291, 104 - 3</t>
  </si>
  <si>
    <t>Umschlag (abriebgefährdet)</t>
  </si>
  <si>
    <t>Gelenk vorn durch JP-Falz im Innern stabilisieren, Ecken und Kanten stabilisieren/Papierüberzug zurückkleben, Rücken belassen (ist soweit stabil)</t>
  </si>
  <si>
    <t>B: 10x17
F: 34x20</t>
  </si>
  <si>
    <t>Minimaleingriff: Rückdeckel stabilisieren, loses Leder im Gelenkbereich niederkleben, Gelenke ggf. mit JP überfangen (sind insgesamt recht stabil, anheben des Leders würde ich vermeiden)</t>
  </si>
  <si>
    <t>IV 292, 1b</t>
  </si>
  <si>
    <t>Hülse, ggf. Gelenk mit JP überfangen, Gewebe auf Deckel fixieren</t>
  </si>
  <si>
    <t>loses Gewebe an Kopf und Fuß sowie im Gelenk fixieren/einfassen</t>
  </si>
  <si>
    <t>Gelenk innen mit dickem JP schließen, Kapital festigen</t>
  </si>
  <si>
    <t>Gelenk innen mit dickem JP schließen, Riss im Vorsatz schließen</t>
  </si>
  <si>
    <t>Schaden stabil, lässt sich so besser öffnen, Rest. dann ggf. nach Digit. oder belassen</t>
  </si>
  <si>
    <t>nahezu fast hohlen Rücken insgesamt ablösen (Vermeidung Übergang fest-hohl), Rücken am Kopf stabilisieren, Bund verlängern, JP-Falz setzen</t>
  </si>
  <si>
    <t>Vorsätze trockenreinigen, Eselsohren auslegen</t>
  </si>
  <si>
    <t>Gelenk mit JP-Gewebe-Laminat stabilisieren, Ecken festigen, Gelenk innen mit JP-Falz schließen</t>
  </si>
  <si>
    <t>VD für die Digit. lose lassen, öffnet sich gut, nach Digit. Restaurieren</t>
  </si>
  <si>
    <t>versuchen wenigstens 2-3 Bünde mit Heftfaden zu verlängern (Leder wird sich ws. schlecht lösen und bröseln), JP-Falz innen kleben (evtl. reicht der auch aus), Gelenke ggf. mit JP überfangen</t>
  </si>
  <si>
    <t>Hülse oder V-Falz</t>
  </si>
  <si>
    <t>Titelschild sichern, Rest belassen (ist stabil)</t>
  </si>
  <si>
    <t>IV 338, 3 - 1</t>
  </si>
  <si>
    <t>Gelenk mit JP-Gewebe-Laminat an Kopf und Fuß stabilisieren, Perg. niederkleben und mit JP Fehlstellen ergänzen, Risskanten/splittrige Bereiche mit JP überfangen</t>
  </si>
  <si>
    <t>JP-Fälze einfügen</t>
  </si>
  <si>
    <t>IV 338, 3 - 2</t>
  </si>
  <si>
    <t>Gelenk mit JP-Gewebe-Laminat stabilisieren, Risskanten mit JP überfangen</t>
  </si>
  <si>
    <t>JP-Falz einfügen</t>
  </si>
  <si>
    <t>möglichst 3 Bünde verlängern und in erstes und letztes Bundfeld JP-Gewebe-Laminat einbringen um Deckel zu befestigen, Gelenk außen mit JP überfangen innen mit JP-Falz stabilisieren, Fehlstelle am Rücken mit JP ergänzen um Kapital zu schützen</t>
  </si>
  <si>
    <t>IV 343, 4a</t>
  </si>
  <si>
    <t>B: 12x18
F: 44x24</t>
  </si>
  <si>
    <t>beide Kapitale sichern, Riss im Rücken schließen, Fragment des Verschlussbandes einfügen</t>
  </si>
  <si>
    <t>IV 374, 1 (angebunden?)</t>
  </si>
  <si>
    <t>Gelenke mit JP-Gewebe-Laminat unterlegen, ggf. mit JP überfangen, loses Leder zurückkleben, Ecken festigen</t>
  </si>
  <si>
    <t>innere Gelenke mit JP-Falz schließen, Kanten fliegende Blätter sichern</t>
  </si>
  <si>
    <t>Bünde verlängern, Hülse aufbringen, Fehlstelle im Rücken ergänzen, Gelenk vorn unterlegen mit JP oder JP-Gewebe-Laminat, Gelenke ggf. mit JP überfangen, Gelenke innen mit JP-Falz schließen, Ecken festigen</t>
  </si>
  <si>
    <t>Gelenk mit JP-Gewebe-Laminat schließen, loses Leder fixieren</t>
  </si>
  <si>
    <t>Lagen in sito festigen, vorhandene Heftfäden nutzen</t>
  </si>
  <si>
    <t>Rücken hohl lassen, Gelenk mit JP-Gewebe-Laminat schließen und ggf. mit JP überfangen, loses Leder an Ecken zurückkleben, entgültig ÖW festlegen nach Rest.</t>
  </si>
  <si>
    <t>Titelblatt im Falz stabilisieren</t>
  </si>
  <si>
    <t>JP-Gewebe-Laminat einfügen, mit JP überfangen</t>
  </si>
  <si>
    <t>Bünde belassen, Gelenke mit JP-Gewebe-Laminat unterlegen, mit JP überfangen</t>
  </si>
  <si>
    <t>S. 335 mit Riss</t>
  </si>
  <si>
    <t>zwei Teilhülsen oder V-Fälze anbringen, Gewebe im Gelenk hinten mit JP unterlegen und fixieren, Gelenk mit JP überfangen</t>
  </si>
  <si>
    <t>Gelenk durch Einfügen von JP stabilisieren, mit JP überfangen</t>
  </si>
  <si>
    <t>Vorsatz befestigen</t>
  </si>
  <si>
    <t>mit JP sichern</t>
  </si>
  <si>
    <t>IV 398, 11</t>
  </si>
  <si>
    <t>Kapitale und loses Leder fixieren, Rest belassen (ist alles stabil)</t>
  </si>
  <si>
    <t>Schaden stabil nach restauratorischen Minimaleingriff</t>
  </si>
  <si>
    <t>Leder fixieren, im Gelenk teils mit JP unterlegen, ggf. überfangen</t>
  </si>
  <si>
    <t xml:space="preserve">Fehlstelle am Rücken unten mit Leder ergänzen, ansonsten loses Leder niederkleben und mit JP unterlegen/überfangen </t>
  </si>
  <si>
    <t>Titelblatt im Falz stabilisieren, fliegendes Blatt vorn Ecke oben: "Fehlstelle" ergänzen mit Ecke die gegenüber am Spiegel klebt</t>
  </si>
  <si>
    <t>Gelenk vorn mit JP überfangen, Rücken oben stabilisieren mit JP</t>
  </si>
  <si>
    <t>Gelenk vorn mit JP überfangen, Fehltstelle unten am Rücken mit JP ergänzen (soweit, das Kapital geschützt ist), Ecken festigen</t>
  </si>
  <si>
    <t>IV 428, 5 - 1</t>
  </si>
  <si>
    <t>IV 428, 5 - 2</t>
  </si>
  <si>
    <t>Einband trocken reinigen, gelöstes Papier zurückkleben, ggf. mit JP überfangen</t>
  </si>
  <si>
    <t>gelöstes Papier zurückkleben, Ecke stabilisieren</t>
  </si>
  <si>
    <t>S</t>
  </si>
  <si>
    <t>Leder am Rücken fixieren, Ecken stabilisieren</t>
  </si>
  <si>
    <t>Gelenk vorn vollständig durchtrennen, Hülse einbringen, Rücken versuchen etwas auszubiegen (ist sehr steif --&gt; Spannung im Gelenk groß), JP-Steifen einfügen und Gewebe im Gelenk darauf kleben, Gelenk und Einschläge mit JP überfangen</t>
  </si>
  <si>
    <t>IV 434, 6 (1570)</t>
  </si>
  <si>
    <t>IV 434, 6 (1561)</t>
  </si>
  <si>
    <t>Seiten fixieren, Blattkanten stabilisieren</t>
  </si>
  <si>
    <t>Rücken mit JP unterlegen und überfangen, Leder am VD im Gelenkbereich lose lassen --&gt; Buch schlägt sich besser auf, Schließenriemen stabilisieren durch verkleben der einzelnen Schichten</t>
  </si>
  <si>
    <t>lose Seite mit JP-Falz fixieren, Fälze in den Vorsätzen können offen lassen --&gt; Buch schlägt sich besser auf</t>
  </si>
  <si>
    <t>Titelschild fixieren</t>
  </si>
  <si>
    <t>Titelschild fixieren, Leder sichern</t>
  </si>
  <si>
    <t>Risse S. 43-47 schließen, Registermarke an S. 175 einfügen (liegt bei)</t>
  </si>
  <si>
    <t>B: 31x47
F: 90x47</t>
  </si>
  <si>
    <t xml:space="preserve">x </t>
  </si>
  <si>
    <t>Knicke in Faltkarten glätten, ggf. mit JP stabilisieren</t>
  </si>
  <si>
    <t>JP einfügen, Riss mit JP überfangen</t>
  </si>
  <si>
    <t>neuen Lederrücken einziehen, alten Rücken übertragen, Deckelkanten stabilisieren und mit JP überfangen</t>
  </si>
  <si>
    <t>letztes Drittel BB Heftung i.O. --&gt; ersten 2/3 Heftung lösen, Lagenfälze ausbessern (ca. 30 Lagen), Lagen aufheften, Bund verlängern, Ableimen/Hinterkleben, Spiegel nur im Falzbereich anheben</t>
  </si>
  <si>
    <t>IV 8, 72 (angebunden)</t>
  </si>
  <si>
    <t>Buchschuh (empfindlicher Lederband)</t>
  </si>
  <si>
    <t>Leder fixieren, Gelenk hinten teilweise überfangen, Ecke stabilisieren</t>
  </si>
  <si>
    <t>mit JP-Gewebe-Laminat Gelenk stabilisieren, loses Pg zurückkleben</t>
  </si>
  <si>
    <t>Gelenk mit (Gewebe-)Streifen unterlegen, mit JP überfangen, weitere schadhafte Stellen mit JP überfangen</t>
  </si>
  <si>
    <t>Box (Deckel deformiert)</t>
  </si>
  <si>
    <t>Vorsätze trocken reinigen, Risse in Spiegeln überfangen, ersten und letzten Blätter ausbessern, Eselsohren auslegen, Spiegel hinten lose Bereiche zurückkleben</t>
  </si>
  <si>
    <t>Kapital fixieren, Stoßkanten stabilisieren mit JP-Gewebe-Laminat, gelöste Einschläge zurückkleben, Ecke am RD stabilisieren/ergänzen, Doformierung der Deckel belassen</t>
  </si>
  <si>
    <t>Vorsätze trocken reinigen, ersten und letzten Blätter ausbessern, Spiegel vorn Verklebung belassen, Tintenfraß feuchtearm sichern (remoistable Tissue, keine Phytatbehandlung o.ä.)</t>
  </si>
  <si>
    <t>Vorsätze trocken reinigen, ersten und letzten Blätter ausbessern, Spiegel zurückkleben</t>
  </si>
  <si>
    <t>Kapitale fixieren, Stoßkanten mit Goretex klimatisieren, in Form bringen, Riss mit JP-Gewebe-Laminat schließen (oder mit Pg.streifen), Einschläge fixieren, Deformation der Deckel belassen</t>
  </si>
  <si>
    <t>Kapitalfragment fixieren, Pergament an Stoßkanten sichern/stabilisieren, Einschläge zurückkleben (hinten evtl. nur punktuell, ebenso wie Spiegel), Deformation der Deckel belassen (und der Stoßkanten)</t>
  </si>
  <si>
    <t>Vorsätze trocken reinigen, Spiegel vorn vom Vordereinschlag ablösen, Spiegel hinten nicht ablösen, sondern (ggf. nur punktuell) zurückkleben und Riss überfangen, ersten und letzten Seiten ausbessern/glätten, fliegendes Blatt hinten mit JP-Falz fixieren, Spiegel vorn zurückkleben</t>
  </si>
  <si>
    <t>Kapitalfragment fixieren, Stoßkante Ecke VD klimatisieren und ausbiegen (beschädigt BB), Einschläge zurückkleben, Deformierung der Deckel belassen</t>
  </si>
  <si>
    <t>Kapitale fixieren, Stoßkanten mit Goretex klimatisieren, in Form bringen, ankleben, zuvor Kaschierpapier daran fixieren, Fehlstellen mit JP oder JP-Gewebe-Laminat schließen, Gelenk mit JP-Gewebe-Laminat unterlegen und mit JP überfangen, gelöstes Pg. auf den Deckeln zurückkleben, Deformierung der Deckel belassen</t>
  </si>
  <si>
    <t>Fragmente der Kapitale fixieren, Stoßkanten stabilisieren mit JP-Gewebe-Laminat, Deformierung der Deckel belassen</t>
  </si>
  <si>
    <t>Vorsätze trocken reinigen, Verklebung hinten zw. Flieg. Blatt und Spiegel lösen, bei beiden Spiegeln nur gelöste Bereiche zurückkleben (vorn nur dort wo möglich) und Risse überfangen, ersten und letzten Seiten Blattkanten ausbessern</t>
  </si>
  <si>
    <t>Vorsätze trocken reinigen, an ersten und letzten Seiten Blattkanten stabilisieren, Spiegel restaurieren und wieder ankleben</t>
  </si>
  <si>
    <t>Kapitalfragmente fixieren, Gelenk mit JP-Gewebe-Laminat unterlegen und Fehltstellen mit JP auffüllen, Risskanten mit JP überfangen, Deckelecke VD unten stabilisieren, Stoßkanten mit JP stabilisieren, Einschläge zurückkleben, Deformierung der Deckel belassen</t>
  </si>
  <si>
    <t>Vorsätze trocken reinigen, Spiegel und ersten und letzten Blätter ausbessern und glätten, Spiegel zurückkleben, Tintenfraß auf 2. Blatt stabilisieren (feuchtearm, remoistable Tissue, keine Phytatbehandlung o.ä.), am VD gelöstes Papierfragment (Streifen) an ursprünglicher Stelle an den Deckel kleben (Abdrücke und farbliche Unterschiede am Deckel zur Positionierung beachten (gehörte ws. zum alten Einband - Deckel wurde wiederverwendet - , siehe analog auch RD)</t>
  </si>
  <si>
    <t>f/E</t>
  </si>
  <si>
    <t>B: 25x37
F: 38x48</t>
  </si>
  <si>
    <t>Gelenke mit JP-Gewebe-Laminat schließen, Fehlstelle mit JP ergänzen, Gelenke ggf. mit JP überfangen</t>
  </si>
  <si>
    <t>letzten Seiten glätten und ggf. mit JP stabilisieren, letzte und vorletzte Seite mit JP-Falz fixieren</t>
  </si>
  <si>
    <t>x historisch?</t>
  </si>
  <si>
    <t>Schuber ist beschädigt --&gt; reparieren??</t>
  </si>
  <si>
    <t>IV 33, 3 - 1</t>
  </si>
  <si>
    <t>Gelenk und Fehlstellen mit JP schließen/ergänzen</t>
  </si>
  <si>
    <t>Ecken festigen, am Rücken mit JP stabilisieren/ergänzen</t>
  </si>
  <si>
    <t>IV 33, 3 (angebunden)</t>
  </si>
  <si>
    <t>IV 33, 3 - 2</t>
  </si>
  <si>
    <t>Schaden stabil (Rest. nach der Digit. sinnvoller)</t>
  </si>
  <si>
    <t>Hülse, ggf. Gelenk mit JP überfangen</t>
  </si>
  <si>
    <t>vor der Rest. den Rücken notsichern, nach der Rest. den Rücken anbringen (sehr dickes Buch, steife Rückeneinlage ---&gt; schlägt sich besser ohne Rücken auf)</t>
  </si>
  <si>
    <t>0,5 h vor der Rest. (Rücken notsichern),
2,5 h nach der Rest. (Bünde verlängern, Hülse (Rückeneinlage ausdünnen, sprich zweite Lage weg?), Gelenke überfangen mit JP</t>
  </si>
  <si>
    <t>Gelenke mit JP-Gewebe-Laminat schließen, Gelenke ggf. mit JP überfangen, am Rücken an Kopf und Fuß mit JP stabilisieren</t>
  </si>
  <si>
    <t>fliegendes Blatt vorn im Falzn mit JP sichern bzw. mit JP-Falz mit BB verbinden</t>
  </si>
  <si>
    <t>B: 25x38
F: 120x67</t>
  </si>
  <si>
    <t>Jurismappe (SB ist sauer)</t>
  </si>
  <si>
    <t>mit JP und JP-Gewebe-Laminat stabilisieren, Gelenk ggf. mit JP überfangen, Vorsätze trocken reinigen</t>
  </si>
  <si>
    <t>mit JP stabilisieren</t>
  </si>
  <si>
    <t>fliegendes Blatt mit JP-Falz fixieren</t>
  </si>
  <si>
    <t>Rücken und Gelenke mit JP bzw. JP-Gewebe-Laminat stabiliseren/unterlegen, Gelenke mit JP überfangen</t>
  </si>
  <si>
    <t>Risse im inneren Gelenk schließen</t>
  </si>
  <si>
    <t>IV 443, 5 - 1</t>
  </si>
  <si>
    <t>IV 443, 5 - 2</t>
  </si>
  <si>
    <t>mit JP sichern/unterlegen, Titelschilder zurückkleben, Rücken ggf. teilweise mit dünnem JP überfangen</t>
  </si>
  <si>
    <t>Rücken und Gelenke mit JP sichern/stabilisieren</t>
  </si>
  <si>
    <t>B: 10x16
F: 28x21</t>
  </si>
  <si>
    <t>Buch wurde bereits repariert, der Rücken ist soweit stabil, nur das Nötigste am Rücken und den Ecken sichern, VD belassen (keine feuchte Reinigung)</t>
  </si>
  <si>
    <t>Klebestreifen an Faltkarte ablösen, Karte restaurieren und wieder einfügen, vorn Verklebung fliegendes Blatt-Spiegel lösen, Vorsatz im Falz stabilisieren, Titelblatt restaurieren, weiche Blattkanten/Ecken stabilisieren,  Barcode vom Spiegel hinten ablösen und auf extra Streifen befestigen (?)</t>
  </si>
  <si>
    <t>Rücken und Ecken stabilisieren (Ecken nicht planlegen, sondern krumme Form beibehalten)</t>
  </si>
  <si>
    <t>Kapital festigen, Schäden am Rücken mit JP oder JP-Gewebe-Laminat beheben, freiliegende Bünde im Gelenke mit JP überfangen</t>
  </si>
  <si>
    <t>wattierte Blattbereiche am Kopf stabilisieren (ca. 50-60 Blatt), vereinzelt Risse schließen, (3) Registermarken stabilisieren, Blatt mit Tintenfraß (liegt vor S. 101) behandeln (wenn möglich feucht und mit Phytatbehandlung) und stabilisieren mit remoistable Tissue (4 Stunden für das Blatt kalkuliert)</t>
  </si>
  <si>
    <t>Box (flexibler Pg, Deckel leicht verworfen)</t>
  </si>
  <si>
    <t>Kapitale festigen, Deckelkante festigen und Pg. dort klimatisieren, Deckelkante mit JP unterlegen/überfangen, Fehlstelle Stoßkante VD ergänzen mit Pg, Stoßkante am RD mit JP stabilisieren, Einschläge zurückkleben, Deformierung der Deckel belassen</t>
  </si>
  <si>
    <t>ersten und letzten Seiten trocken reinigen und Blattkanten/-ecken stabilisieren, flieg. Blatt vorn mit JP-Falz fixieren, Risse im Spiegel überfangen, Fehlstelle Spiegel vorn mit ergänzen</t>
  </si>
  <si>
    <t>B: 23x35
F: 47x39</t>
  </si>
  <si>
    <t>Faltkarte restaurieren, Eselsohren auslegen</t>
  </si>
  <si>
    <t>Gelenke und Schaden am Rücken mit JP stabilisieren, Gelenke ggf. mit JP überfangen, Ecken festigen</t>
  </si>
  <si>
    <t>ersten und letzten Seiten trocken reinigen, Veklebung Titelblatt-Vorsatz lösen und Titelblatt am drunterliegenden Papier fixieren, Falten in den letzten Seiten glätten (sind dann geringfügig größer, aber Text ist lesbar)</t>
  </si>
  <si>
    <t>Narben und lose Bereiche zurückkleben, am Rücken mit JP stabilisieren</t>
  </si>
  <si>
    <t>IV 125, 1 (angebunden)</t>
  </si>
  <si>
    <t>mit Stephanie besprechen, Restaurierleder ist so schlechte Qualität, dass es schon wieder kaputt ist --&gt; lose Bereiche (nicht das was auf Deckeln/Rücken festklebt) ablösen, "Restaurierleder" anheben und Gelenke mit JP schließen? Leder wird sich vermutlich schlecht anheben lassen (ist auch die Frage, ob Originalleder noch drunter ist)</t>
  </si>
  <si>
    <t>Kalkulation bezieht sich auf Maßnahme, die in Anmerkungen (allg.) genannt ist; Fragmente im Buch beiliegend</t>
  </si>
  <si>
    <t>IV 125, 1 a (angebunden)</t>
  </si>
  <si>
    <t>Kapital sichern, Einschlag Rücken oben sichern, Gelenke mit JP überfangen</t>
  </si>
  <si>
    <t>Box (sehr dick, braucht was stabiles, abriebgefährdet)</t>
  </si>
  <si>
    <t>lose Seiten mit JP-Falz fixieren, Blattkanten stabilisieren, Spiegel/Vorsätze Fehlstellen ergänzen/überfangen</t>
  </si>
  <si>
    <t>Kapitale sichern, Rücken am Kopf mit JP stabilisieren, fester Rücken im unteren Bereich weitgehend bereits hohl --&gt; Unterbau einschieben und Fehltstellen/Risse mit JP unterlegen/aufbauen und überfangen, Gelenk mit JP-Gewebe-Laminat schließen, Ecken stabilisieren</t>
  </si>
  <si>
    <t>Titelschild sichern, Rücken oben sichern mit JP</t>
  </si>
  <si>
    <t>IV 142, 1 - 1</t>
  </si>
  <si>
    <t>IV 142, 1 - 2</t>
  </si>
  <si>
    <t>IV 142, 1 - 3</t>
  </si>
  <si>
    <t>wurde offenbar schon mal repariert (Leder ist teils verdunkelt), aber nicht ausreichend, Leder fixieren/stabilisieren, Ecken festigen</t>
  </si>
  <si>
    <t>ersten und letzten Seiten trocken reinigen, Falten im Vorsatz glätten/stabilisieren, lose Seite mit JP-Falz fixieren</t>
  </si>
  <si>
    <t>Gelenke mit JP-Gewebe-Laminat schließen, Gelenke ggf. mit JP überfangen, Ecken festigen</t>
  </si>
  <si>
    <t>x (Buchschuh, abriebgefährdet)</t>
  </si>
  <si>
    <t>Falten in Vorsätzen glätten und stabilisieren</t>
  </si>
  <si>
    <t>Leder mit JP stabilisieren, Ecken festigen</t>
  </si>
  <si>
    <t>x (schon einer von FT - Prototyp)</t>
  </si>
  <si>
    <t>bereits neuer Umschlag von FT (Prototyp)</t>
  </si>
  <si>
    <t>Gelenk mit JP-Gewebe-Laminat schließen, Rücken mit JP sichern, Narben im Gelenk vorn festigen, ggf. mit JP überfangen</t>
  </si>
  <si>
    <t>Falten in Seiten vorn glätten</t>
  </si>
  <si>
    <t>hinten 9 Seiten Falten glätten, ggf. stabilisieren</t>
  </si>
  <si>
    <t>losen Überzug zurückkleben, am Rücken unten Leder evtl. mit Klucel festigen</t>
  </si>
  <si>
    <t>Leder festigen im Gelenk vorn und am Kopf, Ecken festigen</t>
  </si>
  <si>
    <t>ca. 15 Seiten vorn und hinten Ecke unten festigen</t>
  </si>
  <si>
    <t>Textildruck</t>
  </si>
  <si>
    <t>loses Leder zurückkleben, Gelenk mit JP-Gewebe-Laminat stabilisiern</t>
  </si>
  <si>
    <t>B: 24x38
F: 77x50</t>
  </si>
  <si>
    <t>Falttafeln: Ränder trocken reinigen, Falten glätten, Risse schließen; fliegendes Blatt vorn fixieren mit JP-Falz</t>
  </si>
  <si>
    <t>Überzug fixieren, Kanten und Gelenke ggf. mit JP überfangen, Ecken stabilisieren</t>
  </si>
  <si>
    <t>IV 203, 3 - 1</t>
  </si>
  <si>
    <t>IV 203, 3 - 2</t>
  </si>
  <si>
    <t>fester Rücken fast vollständig hohl inzwischen --&gt; Rest auch lösen, Gelenke mit JP-Gewebe-Laminat unterlegen, Fehlstellen im Rücken mit JP ergänzen, Kapital festigen (Bruch belassen, weil sehr steif, aber Bruchkanten sichern und mit 1 Stick am BB fixieren), Ecken festigen</t>
  </si>
  <si>
    <t>eigentlich festen Rücken hohl belassen, Gelenk mit JP-Gewebe-Laminat schließen, Risskanten am Rücken mit JP sichern, Ecken stabilisieren, Kapital sichern</t>
  </si>
  <si>
    <t>Rücken und Gelenk mit JP bzw. JP-Gewebe-Laminat stabilisieren, Bund ansetzen (vom inneren Gelenk her)</t>
  </si>
  <si>
    <t>Marmorpapier im Falzbereich anheben (wenn möglich auch am fliegenden Blatt) und JP-Falz einfügen um BB-Deckel-Verbindung zu stabilisieren (sowie Bund in der Mitte ansetzen)</t>
  </si>
  <si>
    <t>es handelt sich um inges. 18 Interimsbroschuren mit geschlossenen Lagen, alle in einer Kiste</t>
  </si>
  <si>
    <t>IV 205, 15 (Bd. 3, Teil 1)</t>
  </si>
  <si>
    <t>IV 205, 15 (Bd.1)</t>
  </si>
  <si>
    <t>B: 25x38
F: 43x38</t>
  </si>
  <si>
    <t>B: 24x38
F: 44x38</t>
  </si>
  <si>
    <t>Box (Staubschutz wegen Faltkarten, abriebgefährdet)</t>
  </si>
  <si>
    <t>losen Überzug zurückkleben, Ecken festigen, Kanten ggf. mit JP überfangen</t>
  </si>
  <si>
    <t>BB v.a. am Kopf und die Falttafeln trocken reinigen (1,5 h), Falten in Falttafeln glätten und ggf. stabilisieren (nur die nötigen, v.a. da wo Darstellung verdeckt wird) (ca. 40 Stück --&gt; 20 Std.)</t>
  </si>
  <si>
    <t>Bünde ansetzen mit Hanfschnur, Rücken komplett ablösen (ohnehin fast durchgebrochenes Gelenk hinten vollständig durchtrennen), neuen Lederrücken einfügen, alten Rücken übertragen, Ecken festigen und Fehltstellen mit Leder unterlegen, Deckelkanten sichern und ggf. mit JP überfangen bzw. Minifehlstellen damit ergänzen</t>
  </si>
  <si>
    <t>Trockenreinigung (v.a. am Kopf), fliegendes Blatt vorn mit JP-Falz befestigen, ws. muss Spiegel vorn im Falzbereich angehoben werden (wegen Einledern)</t>
  </si>
  <si>
    <t>IV 216, 42 - 1</t>
  </si>
  <si>
    <t>IV 216, 42 - 2</t>
  </si>
  <si>
    <t>nur das Nötigste: 2 Bünde verlängern, BB-Deckelverbindung durch JP-Falz im inneren Gelenk stabilisieren, Ecken festigen, Fehlstellen am Rücken belassen, nur loses Überzugsmaterial zurückkleben</t>
  </si>
  <si>
    <t>erste Blätter glätten und stabilisieren, Fehlstelle im flieg. Blatt ergänzen</t>
  </si>
  <si>
    <t>nur das Nötigste: BB-Deckel-Verbindung am RD mittels JP-Falz im inneren Gelenk stabilisieren, Ecken und Kanten festigen</t>
  </si>
  <si>
    <t>fliegendes Blatt glätten</t>
  </si>
  <si>
    <t>Umschlag neu, unpraktisch für DL</t>
  </si>
  <si>
    <t>Gelenke mit JP-Gewebe-Laminat unterlegen, ggf. mit JP überfangen, Einschläge am Rücken mit JP oder Weimarer Papier stabilisieren/Fehlstelle ergänzen</t>
  </si>
  <si>
    <t>Leder am Rücken mit JP bzw. JP-Gewebe-Laminat stabilisieren, Schließe oben mit Nieten fixieren (Spiegel nicht anheben, sondern Nietenende mit JP abdecken)</t>
  </si>
  <si>
    <t>IV 229, 1a (angebunden)</t>
  </si>
  <si>
    <t>loses Überzugsmaterial zurückkleben, Rückeneinschlag sichern mit JP, Rest belassen</t>
  </si>
  <si>
    <t>Titelblatt stabilisieren</t>
  </si>
  <si>
    <t>IV 273, 8c (angebunden)</t>
  </si>
  <si>
    <t>Gelenk unterlegen mit JP-Gewebe-Laminat, Überzug fixieren</t>
  </si>
  <si>
    <t>B: 24x34
F: 32x43</t>
  </si>
  <si>
    <t>zurückkleben, Risskante mit JP überfangen</t>
  </si>
  <si>
    <t>Kanten und Ecken an letzten Seiten stabilisieren</t>
  </si>
  <si>
    <t>IV 273, 13</t>
  </si>
  <si>
    <t>Gelenke mit JP-Gewebe-Laminat unterlegen (Rücken hohl belassen, weil steif), loses Leder zurückkleben</t>
  </si>
  <si>
    <t>IV 291, 6 - 1</t>
  </si>
  <si>
    <t>absoluter Minimaleingriff: nur Bünde verlängern um BB-Deckelverbindung zu stabilisieren, Gelenk offen lassen (altes Restaurierleder sehr schlechte Qualität --&gt; nichts anheben, lose Bereiche zurückkleben wenn möglich), am Kopf Leder mit JP bzw. JP-Gewebe-Laminat stabilisieren, ggf. im oberen Bundfeld Gelenk unterlegen, Kapital fixieren (annähen)</t>
  </si>
  <si>
    <t>Restaurierungsleder sehr schlechte Qualität --&gt; wieder kaputt</t>
  </si>
  <si>
    <t>keine Bünde verlängern, sondern Gelenk unterlegen mit JP-Gewebe-Laminat und so die BB-Deckelverbindung stabiliseren, Gelenk mit JP überfangen, im inneren Falz ggf. zusätzlich JP-Falz</t>
  </si>
  <si>
    <t>ersten und letzten Seiten trocken reinigen, 25 Seiten Insektenfraß Fehlstelle ergänzen und an weniger schlimmen Seiten überfangen mit JP</t>
  </si>
  <si>
    <t>Schaden stabil, bekommt außerdem Umschlag, vorhandene Mappe ungeeignet (viel zu groß)</t>
  </si>
  <si>
    <t>IV 292, 10a - 1</t>
  </si>
  <si>
    <t>IV 292, 10a - 3</t>
  </si>
  <si>
    <t>IV 292, 10a (angebunden)</t>
  </si>
  <si>
    <t>IV 292, 10a - 2</t>
  </si>
  <si>
    <t>IV 292, 10a - Atlas</t>
  </si>
  <si>
    <t>IV 327, 2 (angebunden)</t>
  </si>
  <si>
    <t>QF (30x42)</t>
  </si>
  <si>
    <t>gesamten Buchblock trocken reinigen (meist v.a. Ränder)</t>
  </si>
  <si>
    <t>Ecke und loses Überzugspapier festigen</t>
  </si>
  <si>
    <t>IV 378, 8 a (angebunden)</t>
  </si>
  <si>
    <t>Kapital fixieren, Rückeneinschlag oben sichern, loses Überzugsmaterilal zurückkleben, Ecken und Kanten stabilisieren</t>
  </si>
  <si>
    <t>Trockenreinigung: Fälze auskehren und v.a. Ränder (dafür 7 Std. für 1160 Seiten), Titelblatt von alter Verklebung lösen (wegen Sollbruchstelle und bereits eingerissen) und an JP-Falz hängen, halblose und lose Seiten in situ mittels JP-Fälze fixieren (keine Heftung lösen),</t>
  </si>
  <si>
    <t>Box (abbriebgefährdet)</t>
  </si>
  <si>
    <t>Kapital annähen, Gelenke mit JP unterlegen (Bünde und BB-Deckelverbindung sind stabil) und ggf. mit JP überfangen, Ecken festigen</t>
  </si>
  <si>
    <t>B: 30x45
F: 52x42</t>
  </si>
  <si>
    <t>Riss im Rücken mit JP-Gewebe-Laminat unterlegen, Titelschilder festigen, Bruch Ecke oben am RD mit Paste (Tylose+Arbocel) verschließen, Vorderkante am RD: Fehlstelle ergänzen und mit JP einfassen</t>
  </si>
  <si>
    <t>ersten und letzten Seiten trocken reinigen, Faltkarte glätten und ggf. stabilisieren</t>
  </si>
  <si>
    <t>Box (sperrt, abriebgefährdet)</t>
  </si>
  <si>
    <t>mit Stephanie besprechen</t>
  </si>
  <si>
    <t>nur das Allernötigste: Rücken unten ggf. unterlegen mit JP, Ecken und Kanten stabilisieren, inneren Gelenke belassen (Leder ist im Gelenk stabil genug)</t>
  </si>
  <si>
    <t>ersten und letzten Seiten trocken reinigen, dann nur das Nötigste: lose Seiten in situ fixieren mit JP-Fälzen, Heftung 1.Lage in situ stabilisieren, Blattränder stabilisieren</t>
  </si>
  <si>
    <t>IV 442, 1 - 1</t>
  </si>
  <si>
    <t>IV 442, 1 - 2</t>
  </si>
  <si>
    <t>IV 442, 1 - 3</t>
  </si>
  <si>
    <t>IV 442, 1 - 4</t>
  </si>
  <si>
    <t>Kapital sichern (annähen), Gelenk vorn mit JP unterlegen, Gelenk hinten weitestgehend "nur" loses Material zurückkleben und mit JP überfangen, Ecken stabilisieren, alles loses Leder zurückkleben</t>
  </si>
  <si>
    <t>Umschlag (pudert, Narben komplett weg)</t>
  </si>
  <si>
    <t>xx</t>
  </si>
  <si>
    <t>Umschlag trotzt Buchschuh, pudert extrem</t>
  </si>
  <si>
    <t>Kapital ist stabil, Gelenke unterlegen mit JP und ggf. überfangen, Ecken stabilisieren</t>
  </si>
  <si>
    <t>Trockenreinigung (ersten und letzten Seiten sowie Ränder im gesamten BB --&gt; ca. 800 Seiten (nur die großen gezählt, nicht den eigentlichen Druck))</t>
  </si>
  <si>
    <t>Trockenreinigung (ersten und letzten Seiten sowie Ränder im gesamten BB --&gt; ca. 700 Seiten (nur die großen gezählt, nicht den eigentlichen Druck)), Riss im 1. Blatt schließen</t>
  </si>
  <si>
    <t>Kapital ist stabil, Gelenke wo nötig unterlegen mit JP und sonst überfangen, Ecken stabilisieren</t>
  </si>
  <si>
    <t>Trockenreinigung (ersten und letzten Seiten sowie Ränder im gesamten BB --&gt; ca. 920 Seiten (nur die großen gezählt, nicht den eigentlichen Druck))</t>
  </si>
  <si>
    <t>Kapital sichern mit JP, Gelenke unterlegen mit JP und ggf. überfangen, Ecken stabilisieren</t>
  </si>
  <si>
    <t xml:space="preserve">Trockenreinigung (ersten und letzten Seiten sowie Ränder im gesamten BB --&gt; ca. 680 Seiten (nur die großen gezählt, nicht den eigentlichen Druck)), lose Seite mit JP-Falz fixieren, Eselohren auslegen, hinten Blattkanten stabilisieren </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</si>
  <si>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</si>
  <si>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</si>
  <si>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</si>
  <si>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</si>
  <si>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</si>
  <si>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Schaden stabil, aber unbedingt Umschlag anfertigen!! (Überzugspapier ist durch Reibung im Regal gefährdet)</t>
  </si>
  <si>
    <t>Umschlag (Einband gefährdet)</t>
  </si>
  <si>
    <t>Gewebe an Kopf und Fuß mit JP sichern</t>
  </si>
  <si>
    <t>steht bei
/ Anm.
zur
Signatur</t>
  </si>
  <si>
    <t>fester Rücken fast vollständig hohl</t>
  </si>
  <si>
    <t>s. IV 8,7-9</t>
  </si>
  <si>
    <t>fester Rücken inzwischen fast vollständig hohl</t>
  </si>
  <si>
    <t>vor der Rest. digitalisieren, fester Rücken jetzt hohl</t>
  </si>
  <si>
    <t>Schaden stabil, fester Rücken inzwischen hohl</t>
  </si>
  <si>
    <t>Datensatz für alle 3 Bde.</t>
  </si>
  <si>
    <t>angebunden?</t>
  </si>
  <si>
    <t>2 unterschiedliche Katalogeinträge zum gleichen Buch?</t>
  </si>
  <si>
    <t>sind insg. 3 Bde., nur der erste mit Falttafeln</t>
  </si>
  <si>
    <t>stehen bei den Großformaten, weil alle in einem Kasten sind</t>
  </si>
  <si>
    <t>=Band 2 (ist auf dem Signaturschild verwechselt)</t>
  </si>
  <si>
    <t>=Band 1 (ist auf dem Signaturschild verwechselt)</t>
  </si>
  <si>
    <t>warum neu aufgenommen durch Ersterfassung?</t>
  </si>
  <si>
    <t>Notiz aus Buch</t>
  </si>
  <si>
    <t>kein Treffer im Katalog</t>
  </si>
  <si>
    <t>liegt bei ÜF</t>
  </si>
  <si>
    <t>liegt bei ÜF, ist ein Querformat</t>
  </si>
  <si>
    <t>vermutlich ist das Band 1; war mir zu schwer zum Ausheben</t>
  </si>
  <si>
    <t>Druck ist nicht in dem Buch enthalten</t>
  </si>
  <si>
    <t>fester Rücken inzwischen hohl</t>
  </si>
  <si>
    <t>IV 273, 10 d - 1</t>
  </si>
  <si>
    <t>IV 273, 10 d - 2</t>
  </si>
  <si>
    <t>ist ein Einbandfragment</t>
  </si>
  <si>
    <t>kein Katalogeintrag, Signatur erscheint weiter unten in der Tabelle nochmal, allerdings mit anderer IDN und AKZ</t>
  </si>
  <si>
    <t>Signatur erscheint weiter unten in der Tabelle nochmal, allerdings mit anderer IDN und AKZ</t>
  </si>
  <si>
    <t>=Grundsignatur, Band 1 fehlt</t>
  </si>
  <si>
    <t>identisch mit IV 291, 104 - 3? Es gibt keinen 4. Band im Regal</t>
  </si>
  <si>
    <t>hat Schild mit Bandnummer 7 (verwechselt bei der Rest. mit Schild Nr. 4???)</t>
  </si>
  <si>
    <t>Hat Schild mit Bandnummer 4, verwechselt bei Rest. mit Schildnummer7??</t>
  </si>
  <si>
    <t>?? Gibt´s dazu ein Buch?</t>
  </si>
  <si>
    <t>liegt nicht bei ÜF</t>
  </si>
  <si>
    <t>kein Katalogeintrag</t>
  </si>
  <si>
    <t>Bibliothekarische Angaben müssen abgeglichen werden! FT hat sich bei Bandangabe nur nach Aufdruck auf Titelschild gerichtet, Verknüpfung zum Katalogeintrag hat sich mir nicht erschlossen.</t>
  </si>
  <si>
    <t>Blatt mit Notizen zum Buch ist hinten eingeklebt</t>
  </si>
  <si>
    <t>Falttafel liegt lose bei</t>
  </si>
  <si>
    <t>x (Verschlussband abgerissen)</t>
  </si>
  <si>
    <t>v (innen)</t>
  </si>
  <si>
    <t>x (fliegendes Blatt vorn)</t>
  </si>
  <si>
    <t>x (Faltkarte)</t>
  </si>
  <si>
    <t>Einband-
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</si>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</sst>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1"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57">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0" xfId="0" applyFill="1" applyBorder="1"/>
    <xf numFmtId="0" fontId="0" fillId="0" borderId="6" xfId="0" applyFill="1" applyBorder="1"/>
    <xf numFmtId="0" fontId="3" fillId="0" borderId="0" xfId="0" applyFont="1"/>
    <xf numFmtId="0" fontId="12" fillId="0" borderId="0" xfId="0" applyFont="1"/>
    <xf numFmtId="14" fontId="0" fillId="0" borderId="0" xfId="0" applyNumberFormat="1" applyAlignment="1">
      <alignment horizontal="left"/>
    </xf>
    <xf numFmtId="0" fontId="0" fillId="0" borderId="0" xfId="0" applyAlignment="1">
      <alignment vertical="top"/>
    </xf>
    <xf numFmtId="0" fontId="0" fillId="0" borderId="0" xfId="0" applyAlignment="1">
      <alignment vertical="top" wrapText="1"/>
    </xf>
    <xf numFmtId="0" fontId="13" fillId="0" borderId="0" xfId="0" applyFont="1"/>
    <xf numFmtId="0" fontId="3" fillId="2" borderId="1" xfId="0" applyFont="1" applyFill="1" applyBorder="1" applyAlignment="1">
      <alignment horizontal="center" vertical="top" wrapText="1"/>
    </xf>
    <xf numFmtId="0" fontId="3" fillId="2" borderId="1" xfId="0" applyFont="1" applyFill="1" applyBorder="1" applyAlignment="1">
      <alignment horizontal="center" vertical="top"/>
    </xf>
    <xf numFmtId="0" fontId="0" fillId="0" borderId="1" xfId="0" applyFont="1" applyFill="1" applyBorder="1" applyAlignment="1">
      <alignment vertical="top"/>
    </xf>
    <xf numFmtId="0" fontId="8" fillId="0" borderId="0" xfId="2" applyFont="1" applyAlignment="1">
      <alignment vertical="top"/>
    </xf>
    <xf numFmtId="0" fontId="0" fillId="0" borderId="1" xfId="0" applyFill="1" applyBorder="1" applyAlignment="1">
      <alignment vertical="top"/>
    </xf>
    <xf numFmtId="0" fontId="0" fillId="0" borderId="1" xfId="0" applyFill="1" applyBorder="1" applyAlignment="1">
      <alignment vertical="top" wrapText="1"/>
    </xf>
    <xf numFmtId="0" fontId="9" fillId="0" borderId="0" xfId="0" applyFont="1" applyFill="1" applyBorder="1" applyAlignment="1">
      <alignment vertical="top"/>
    </xf>
    <xf numFmtId="0" fontId="0" fillId="0" borderId="1" xfId="0" applyFont="1" applyFill="1" applyBorder="1" applyAlignment="1">
      <alignment vertical="top" wrapText="1"/>
    </xf>
    <xf numFmtId="0" fontId="4" fillId="0" borderId="1" xfId="0" applyFont="1" applyFill="1" applyBorder="1" applyAlignment="1">
      <alignment vertical="top"/>
    </xf>
    <xf numFmtId="0" fontId="8" fillId="0" borderId="0" xfId="0" applyFont="1" applyFill="1" applyBorder="1" applyAlignment="1">
      <alignment vertical="top"/>
    </xf>
    <xf numFmtId="0" fontId="8" fillId="0" borderId="0" xfId="2" applyFill="1" applyBorder="1" applyAlignment="1">
      <alignment vertical="top"/>
    </xf>
    <xf numFmtId="0" fontId="9" fillId="0" borderId="1" xfId="0" applyFont="1" applyFill="1" applyBorder="1" applyAlignment="1">
      <alignment vertical="top"/>
    </xf>
    <xf numFmtId="0" fontId="0" fillId="4" borderId="1" xfId="0" applyFill="1" applyBorder="1" applyAlignment="1">
      <alignment vertical="top"/>
    </xf>
    <xf numFmtId="0" fontId="8" fillId="0" borderId="1" xfId="2" applyFill="1" applyBorder="1" applyAlignment="1">
      <alignment vertical="top"/>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Font="1" applyBorder="1"/>
    <xf numFmtId="0" fontId="14" fillId="0" borderId="0" xfId="0" applyFont="1" applyAlignment="1">
      <alignment horizontal="left" vertical="top"/>
    </xf>
    <xf numFmtId="0" fontId="0" fillId="0" borderId="0" xfId="0" applyAlignment="1">
      <alignment horizontal="left" vertical="top" wrapText="1"/>
    </xf>
    <xf numFmtId="0" fontId="0" fillId="0" borderId="0" xfId="0" applyFont="1" applyFill="1" applyBorder="1" applyAlignment="1">
      <alignment horizontal="left" vertical="top"/>
    </xf>
    <xf numFmtId="0" fontId="14"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0" xfId="0" applyAlignment="1">
      <alignment horizontal="center" vertical="top"/>
    </xf>
    <xf numFmtId="0" fontId="0" fillId="0" borderId="0" xfId="0" applyAlignment="1">
      <alignment horizontal="center" vertical="top" wrapText="1"/>
    </xf>
    <xf numFmtId="0" fontId="0" fillId="0" borderId="0" xfId="0" applyAlignment="1">
      <alignment horizontal="center"/>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8" fillId="0" borderId="0" xfId="2"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1" xfId="0" applyFill="1" applyBorder="1" applyAlignment="1">
      <alignment horizontal="left" vertical="top" wrapText="1"/>
    </xf>
    <xf numFmtId="0" fontId="0" fillId="0" borderId="1" xfId="0" applyFill="1" applyBorder="1" applyAlignment="1">
      <alignment horizontal="left" vertical="top"/>
    </xf>
    <xf numFmtId="0" fontId="0" fillId="0" borderId="0" xfId="0" applyFont="1" applyFill="1" applyBorder="1" applyAlignment="1">
      <alignment horizontal="righ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3"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5"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5"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14" fontId="0" fillId="0" borderId="0" xfId="0" applyNumberFormat="1" applyAlignment="1">
      <alignment horizontal="left" vertical="top"/>
    </xf>
    <xf numFmtId="0" fontId="0" fillId="0" borderId="9" xfId="0" applyBorder="1" applyAlignment="1">
      <alignment horizontal="left" vertical="top"/>
    </xf>
    <xf numFmtId="0" fontId="0" fillId="5" borderId="1" xfId="0" applyFill="1" applyBorder="1" applyAlignment="1">
      <alignment vertical="top"/>
    </xf>
    <xf numFmtId="0" fontId="0" fillId="0" borderId="0" xfId="0" applyFont="1" applyFill="1" applyBorder="1" applyAlignment="1">
      <alignment horizontal="left" vertical="top" wrapText="1"/>
    </xf>
    <xf numFmtId="16" fontId="0" fillId="0" borderId="0" xfId="0" applyNumberFormat="1" applyAlignment="1">
      <alignment horizontal="center" vertical="top"/>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7" borderId="1" xfId="0" applyFont="1" applyFill="1" applyBorder="1" applyAlignment="1">
      <alignment horizontal="center" vertical="top" wrapText="1"/>
    </xf>
    <xf numFmtId="0" fontId="3" fillId="7" borderId="6"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top"/>
    </xf>
    <xf numFmtId="0" fontId="3" fillId="0" borderId="11" xfId="0" applyFont="1" applyFill="1" applyBorder="1" applyAlignment="1">
      <alignment horizontal="center" vertical="top" wrapText="1"/>
    </xf>
    <xf numFmtId="0" fontId="3" fillId="0" borderId="11" xfId="0" applyFont="1" applyFill="1" applyBorder="1" applyAlignment="1">
      <alignment horizontal="center" vertical="top"/>
    </xf>
    <xf numFmtId="0" fontId="0" fillId="0" borderId="0" xfId="0" applyFont="1" applyFill="1" applyBorder="1" applyAlignment="1">
      <alignment vertical="top"/>
    </xf>
    <xf numFmtId="0" fontId="0" fillId="0" borderId="11" xfId="0" applyFill="1" applyBorder="1" applyAlignment="1">
      <alignment vertical="top" wrapText="1"/>
    </xf>
    <xf numFmtId="0" fontId="0" fillId="0" borderId="6" xfId="0" applyFill="1" applyBorder="1" applyAlignment="1">
      <alignment vertical="top"/>
    </xf>
    <xf numFmtId="0" fontId="0" fillId="0" borderId="7" xfId="0" applyFill="1" applyBorder="1" applyAlignment="1">
      <alignment vertical="top"/>
    </xf>
    <xf numFmtId="0" fontId="2" fillId="0" borderId="0" xfId="0" applyFont="1" applyAlignment="1">
      <alignment horizontal="left" vertical="top" wrapText="1"/>
    </xf>
    <xf numFmtId="0" fontId="2" fillId="0" borderId="13" xfId="0" applyFont="1" applyBorder="1" applyAlignment="1">
      <alignment horizontal="left" vertical="top" wrapText="1"/>
    </xf>
    <xf numFmtId="0" fontId="0" fillId="0" borderId="0" xfId="0" applyBorder="1" applyAlignment="1">
      <alignment horizontal="left" vertical="top"/>
    </xf>
  </cellXfs>
  <cellStyles count="3">
    <cellStyle name="Link" xfId="2" builtinId="8"/>
    <cellStyle name="Prozent" xfId="1" builtinId="5"/>
    <cellStyle name="Standard"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nsc1-p01\dnb-gesamt\02_FB_BB\007_BE1\006_Konservierung%20-%20Restaurierung\003%20DBSM\003%20Projekte\02_Klemm-Sammlung\02_Zustandserfassung\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s>
    <sheetDataSet>
      <sheetData sheetId="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29"/>
  <sheetViews>
    <sheetView topLeftCell="A10" workbookViewId="0">
      <selection activeCell="C31" sqref="C31"/>
    </sheetView>
  </sheetViews>
  <sheetFormatPr baseColWidth="10" defaultRowHeight="11.25" x14ac:dyDescent="0.15"/>
  <cols>
    <col min="1" max="2" width="13.625" customWidth="1"/>
    <col min="3" max="3" width="155.625" customWidth="1"/>
  </cols>
  <sheetData>
    <row r="2" spans="1:3" ht="14.25" x14ac:dyDescent="0.2">
      <c r="A2" s="1" t="s">
        <v>45</v>
      </c>
      <c r="B2" s="22"/>
      <c r="C2" s="63"/>
    </row>
    <row r="3" spans="1:3" x14ac:dyDescent="0.15">
      <c r="B3" s="22"/>
      <c r="C3" s="63" t="s">
        <v>9708</v>
      </c>
    </row>
    <row r="4" spans="1:3" x14ac:dyDescent="0.15">
      <c r="A4" s="2" t="s">
        <v>9717</v>
      </c>
      <c r="B4" s="22"/>
      <c r="C4" s="63"/>
    </row>
    <row r="5" spans="1:3" x14ac:dyDescent="0.15">
      <c r="B5" s="22"/>
      <c r="C5" s="63"/>
    </row>
    <row r="6" spans="1:3" x14ac:dyDescent="0.15">
      <c r="A6" t="s">
        <v>0</v>
      </c>
      <c r="B6" s="22"/>
      <c r="C6" s="63"/>
    </row>
    <row r="7" spans="1:3" x14ac:dyDescent="0.15">
      <c r="A7" t="s">
        <v>9176</v>
      </c>
      <c r="B7" s="22"/>
      <c r="C7" s="63"/>
    </row>
    <row r="8" spans="1:3" x14ac:dyDescent="0.15">
      <c r="A8" t="s">
        <v>28</v>
      </c>
      <c r="B8" s="22"/>
      <c r="C8" s="63"/>
    </row>
    <row r="9" spans="1:3" x14ac:dyDescent="0.15">
      <c r="A9" t="s">
        <v>29</v>
      </c>
      <c r="B9" s="22"/>
      <c r="C9" s="63"/>
    </row>
    <row r="10" spans="1:3" x14ac:dyDescent="0.15">
      <c r="B10" s="22"/>
      <c r="C10" s="63"/>
    </row>
    <row r="14" spans="1:3" ht="12.75" x14ac:dyDescent="0.2">
      <c r="A14" s="66" t="s">
        <v>9709</v>
      </c>
    </row>
    <row r="16" spans="1:3" x14ac:dyDescent="0.15">
      <c r="A16" t="s">
        <v>9938</v>
      </c>
    </row>
    <row r="18" spans="1:3" x14ac:dyDescent="0.15">
      <c r="A18" s="67" t="s">
        <v>9710</v>
      </c>
    </row>
    <row r="19" spans="1:3" s="71" customFormat="1" x14ac:dyDescent="0.15">
      <c r="A19" s="71" t="s">
        <v>9850</v>
      </c>
    </row>
    <row r="21" spans="1:3" x14ac:dyDescent="0.15">
      <c r="A21" t="s">
        <v>9711</v>
      </c>
      <c r="B21" t="s">
        <v>9712</v>
      </c>
      <c r="C21" t="s">
        <v>9713</v>
      </c>
    </row>
    <row r="23" spans="1:3" x14ac:dyDescent="0.15">
      <c r="A23" s="68">
        <v>44595</v>
      </c>
      <c r="B23" t="s">
        <v>9714</v>
      </c>
      <c r="C23" t="s">
        <v>9849</v>
      </c>
    </row>
    <row r="24" spans="1:3" x14ac:dyDescent="0.15">
      <c r="A24" s="68"/>
      <c r="C24" t="s">
        <v>9715</v>
      </c>
    </row>
    <row r="25" spans="1:3" x14ac:dyDescent="0.15">
      <c r="A25" s="68"/>
      <c r="C25" t="s">
        <v>9851</v>
      </c>
    </row>
    <row r="26" spans="1:3" x14ac:dyDescent="0.15">
      <c r="A26" s="68"/>
      <c r="C26" t="s">
        <v>9716</v>
      </c>
    </row>
    <row r="27" spans="1:3" x14ac:dyDescent="0.15">
      <c r="C27" t="s">
        <v>9852</v>
      </c>
    </row>
    <row r="28" spans="1:3" ht="33.75" x14ac:dyDescent="0.15">
      <c r="C28" s="90" t="s">
        <v>10002</v>
      </c>
    </row>
    <row r="29" spans="1:3" s="69" customFormat="1" ht="33.75" x14ac:dyDescent="0.15">
      <c r="A29" s="137">
        <v>44734</v>
      </c>
      <c r="B29" s="69" t="s">
        <v>9714</v>
      </c>
      <c r="C29" s="70" t="s">
        <v>10003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workbookViewId="0">
      <selection activeCell="B52" sqref="B52"/>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87" customFormat="1" x14ac:dyDescent="0.15">
      <c r="A1" s="86" t="s">
        <v>9861</v>
      </c>
      <c r="B1" s="87" t="s">
        <v>9864</v>
      </c>
    </row>
    <row r="3" spans="1:2" x14ac:dyDescent="0.15">
      <c r="A3" s="89" t="s">
        <v>9898</v>
      </c>
    </row>
    <row r="4" spans="1:2" x14ac:dyDescent="0.15">
      <c r="A4" s="63" t="s">
        <v>9862</v>
      </c>
      <c r="B4" s="63" t="s">
        <v>9863</v>
      </c>
    </row>
    <row r="5" spans="1:2" x14ac:dyDescent="0.15">
      <c r="A5" s="63" t="s">
        <v>9896</v>
      </c>
      <c r="B5" s="63" t="s">
        <v>9897</v>
      </c>
    </row>
    <row r="7" spans="1:2" x14ac:dyDescent="0.15">
      <c r="A7" s="89" t="s">
        <v>9702</v>
      </c>
    </row>
    <row r="8" spans="1:2" x14ac:dyDescent="0.15">
      <c r="A8" s="63" t="s">
        <v>9725</v>
      </c>
      <c r="B8" s="88" t="s">
        <v>18</v>
      </c>
    </row>
    <row r="9" spans="1:2" x14ac:dyDescent="0.15">
      <c r="A9" s="63" t="s">
        <v>9731</v>
      </c>
      <c r="B9" s="88" t="s">
        <v>47</v>
      </c>
    </row>
    <row r="10" spans="1:2" x14ac:dyDescent="0.15">
      <c r="A10" s="63" t="s">
        <v>9735</v>
      </c>
      <c r="B10" s="88" t="s">
        <v>6</v>
      </c>
    </row>
    <row r="11" spans="1:2" x14ac:dyDescent="0.15">
      <c r="A11" s="63" t="s">
        <v>9780</v>
      </c>
      <c r="B11" s="51" t="s">
        <v>17</v>
      </c>
    </row>
    <row r="12" spans="1:2" x14ac:dyDescent="0.15">
      <c r="A12" s="63" t="s">
        <v>9763</v>
      </c>
      <c r="B12" s="63" t="s">
        <v>9866</v>
      </c>
    </row>
    <row r="13" spans="1:2" x14ac:dyDescent="0.15">
      <c r="A13" s="63" t="s">
        <v>9723</v>
      </c>
      <c r="B13" s="88" t="s">
        <v>5</v>
      </c>
    </row>
    <row r="14" spans="1:2" x14ac:dyDescent="0.15">
      <c r="A14" s="63" t="s">
        <v>9729</v>
      </c>
      <c r="B14" s="88" t="s">
        <v>4</v>
      </c>
    </row>
    <row r="15" spans="1:2" x14ac:dyDescent="0.15">
      <c r="A15" s="63" t="s">
        <v>9736</v>
      </c>
      <c r="B15" s="51" t="s">
        <v>48</v>
      </c>
    </row>
    <row r="16" spans="1:2" x14ac:dyDescent="0.15">
      <c r="A16" s="63" t="s">
        <v>9865</v>
      </c>
      <c r="B16" s="51" t="s">
        <v>49</v>
      </c>
    </row>
    <row r="17" spans="1:2" x14ac:dyDescent="0.15">
      <c r="A17" s="63" t="s">
        <v>9943</v>
      </c>
      <c r="B17" s="51" t="s">
        <v>9944</v>
      </c>
    </row>
    <row r="18" spans="1:2" x14ac:dyDescent="0.15">
      <c r="A18" s="63" t="s">
        <v>9753</v>
      </c>
      <c r="B18" s="51" t="s">
        <v>9867</v>
      </c>
    </row>
    <row r="19" spans="1:2" x14ac:dyDescent="0.15">
      <c r="A19" s="63" t="s">
        <v>9868</v>
      </c>
      <c r="B19" s="63" t="s">
        <v>9825</v>
      </c>
    </row>
    <row r="21" spans="1:2" x14ac:dyDescent="0.15">
      <c r="A21" s="89" t="s">
        <v>9870</v>
      </c>
    </row>
    <row r="22" spans="1:2" x14ac:dyDescent="0.15">
      <c r="A22" s="63" t="s">
        <v>9730</v>
      </c>
      <c r="B22" s="63" t="s">
        <v>9871</v>
      </c>
    </row>
    <row r="23" spans="1:2" x14ac:dyDescent="0.15">
      <c r="A23" s="63" t="s">
        <v>9724</v>
      </c>
      <c r="B23" s="63" t="s">
        <v>9872</v>
      </c>
    </row>
    <row r="24" spans="1:2" x14ac:dyDescent="0.15">
      <c r="A24" s="63" t="s">
        <v>9737</v>
      </c>
      <c r="B24" s="63" t="s">
        <v>84</v>
      </c>
    </row>
    <row r="25" spans="1:2" x14ac:dyDescent="0.15">
      <c r="A25" s="63" t="s">
        <v>9739</v>
      </c>
      <c r="B25" s="63" t="s">
        <v>9873</v>
      </c>
    </row>
    <row r="27" spans="1:2" x14ac:dyDescent="0.15">
      <c r="A27" s="89" t="s">
        <v>9878</v>
      </c>
    </row>
    <row r="28" spans="1:2" x14ac:dyDescent="0.15">
      <c r="A28" s="63" t="s">
        <v>9788</v>
      </c>
      <c r="B28" s="63" t="s">
        <v>9883</v>
      </c>
    </row>
    <row r="29" spans="1:2" x14ac:dyDescent="0.15">
      <c r="A29" s="63" t="s">
        <v>9879</v>
      </c>
      <c r="B29" s="63" t="s">
        <v>9884</v>
      </c>
    </row>
    <row r="30" spans="1:2" x14ac:dyDescent="0.15">
      <c r="A30" s="63" t="s">
        <v>9880</v>
      </c>
      <c r="B30" s="63" t="s">
        <v>9885</v>
      </c>
    </row>
    <row r="31" spans="1:2" x14ac:dyDescent="0.15">
      <c r="A31" s="63" t="s">
        <v>9881</v>
      </c>
      <c r="B31" s="63" t="s">
        <v>9886</v>
      </c>
    </row>
    <row r="33" spans="1:2" x14ac:dyDescent="0.15">
      <c r="A33" s="89" t="s">
        <v>9945</v>
      </c>
    </row>
    <row r="34" spans="1:2" x14ac:dyDescent="0.15">
      <c r="A34" s="63" t="s">
        <v>9733</v>
      </c>
      <c r="B34" s="63" t="s">
        <v>9946</v>
      </c>
    </row>
    <row r="35" spans="1:2" ht="45" x14ac:dyDescent="0.15">
      <c r="A35" s="63" t="s">
        <v>9947</v>
      </c>
      <c r="B35" s="90" t="s">
        <v>9948</v>
      </c>
    </row>
    <row r="37" spans="1:2" ht="22.5" x14ac:dyDescent="0.15">
      <c r="A37" s="92" t="s">
        <v>9908</v>
      </c>
    </row>
    <row r="38" spans="1:2" x14ac:dyDescent="0.15">
      <c r="A38" s="63" t="s">
        <v>9775</v>
      </c>
      <c r="B38" s="63" t="s">
        <v>9909</v>
      </c>
    </row>
    <row r="39" spans="1:2" x14ac:dyDescent="0.15">
      <c r="A39" s="63" t="s">
        <v>9737</v>
      </c>
      <c r="B39" s="63" t="s">
        <v>9910</v>
      </c>
    </row>
    <row r="40" spans="1:2" x14ac:dyDescent="0.15">
      <c r="A40" s="63" t="s">
        <v>9911</v>
      </c>
      <c r="B40" s="63" t="s">
        <v>9913</v>
      </c>
    </row>
    <row r="41" spans="1:2" x14ac:dyDescent="0.15">
      <c r="A41" s="63" t="s">
        <v>9912</v>
      </c>
      <c r="B41" s="63" t="s">
        <v>9914</v>
      </c>
    </row>
    <row r="42" spans="1:2" x14ac:dyDescent="0.15">
      <c r="A42" s="63" t="s">
        <v>9882</v>
      </c>
      <c r="B42" s="63" t="s">
        <v>9916</v>
      </c>
    </row>
    <row r="43" spans="1:2" x14ac:dyDescent="0.15">
      <c r="A43" s="63" t="s">
        <v>9818</v>
      </c>
      <c r="B43" s="63" t="s">
        <v>9917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W5272"/>
  <sheetViews>
    <sheetView tabSelected="1" topLeftCell="AV1" zoomScale="90" zoomScaleNormal="90" workbookViewId="0">
      <pane ySplit="1" topLeftCell="A2" activePane="bottomLeft" state="frozen"/>
      <selection activeCell="AK1" sqref="AK1"/>
      <selection pane="bottomLeft" activeCell="BN2" sqref="BN2"/>
    </sheetView>
  </sheetViews>
  <sheetFormatPr baseColWidth="10" defaultColWidth="10.875" defaultRowHeight="11.25" x14ac:dyDescent="0.15"/>
  <cols>
    <col min="1" max="1" width="7.5" style="69" customWidth="1"/>
    <col min="2" max="2" width="17.375" style="69" customWidth="1"/>
    <col min="3" max="3" width="10.75" style="69" customWidth="1"/>
    <col min="4" max="4" width="24" style="69" customWidth="1"/>
    <col min="5" max="5" width="20.625" style="69" customWidth="1"/>
    <col min="6" max="6" width="9.25" style="69" customWidth="1"/>
    <col min="7" max="7" width="10.75" style="69" hidden="1" customWidth="1"/>
    <col min="8" max="8" width="21.5" style="70" hidden="1" customWidth="1"/>
    <col min="9" max="9" width="11.75" style="69" customWidth="1"/>
    <col min="10" max="10" width="30.875" style="70" hidden="1" customWidth="1"/>
    <col min="11" max="11" width="28.875" style="70" hidden="1" customWidth="1"/>
    <col min="12" max="12" width="22.5" style="69" hidden="1" customWidth="1"/>
    <col min="13" max="13" width="15.125" style="69" hidden="1" customWidth="1"/>
    <col min="14" max="14" width="20.625" style="69" hidden="1" customWidth="1"/>
    <col min="15" max="15" width="15.875" style="69" hidden="1" customWidth="1"/>
    <col min="16" max="16" width="25" style="69" hidden="1" customWidth="1"/>
    <col min="17" max="17" width="30.125" style="69" hidden="1" customWidth="1"/>
    <col min="18" max="18" width="28.125" style="69" hidden="1" customWidth="1"/>
    <col min="19" max="19" width="21.75" style="69" hidden="1" customWidth="1"/>
    <col min="20" max="21" width="9.25" style="95" customWidth="1"/>
    <col min="22" max="22" width="9.125" style="95" customWidth="1"/>
    <col min="23" max="24" width="8" style="95" customWidth="1"/>
    <col min="25" max="26" width="10.875" style="95" customWidth="1"/>
    <col min="27" max="37" width="10.875" style="95"/>
    <col min="38" max="38" width="10.5" style="95" bestFit="1" customWidth="1"/>
    <col min="39" max="41" width="10.875" style="95"/>
    <col min="42" max="44" width="10.875" style="95" customWidth="1"/>
    <col min="45" max="45" width="10.875" style="95"/>
    <col min="46" max="46" width="10.875" style="95" bestFit="1" customWidth="1"/>
    <col min="47" max="47" width="9.125" style="95" bestFit="1" customWidth="1"/>
    <col min="48" max="48" width="9.125" style="95" customWidth="1"/>
    <col min="49" max="49" width="10.625" style="95" bestFit="1" customWidth="1"/>
    <col min="50" max="50" width="10.625" style="95" customWidth="1"/>
    <col min="51" max="52" width="9.125" style="95" customWidth="1"/>
    <col min="53" max="54" width="10.875" style="95"/>
    <col min="55" max="55" width="10.875" style="96"/>
    <col min="56" max="56" width="10.875" style="98"/>
    <col min="57" max="57" width="10.875" style="97"/>
    <col min="58" max="63" width="10.875" style="95"/>
    <col min="64" max="64" width="33.625" style="70" customWidth="1"/>
    <col min="65" max="66" width="10.875" style="69"/>
    <col min="67" max="67" width="10.875" style="70"/>
    <col min="68" max="68" width="10.875" style="69"/>
    <col min="69" max="69" width="10.875" style="95"/>
    <col min="70" max="70" width="11.125" style="95" customWidth="1"/>
    <col min="71" max="71" width="10.875" style="95"/>
    <col min="72" max="72" width="11.125" style="95" customWidth="1"/>
    <col min="73" max="80" width="10.875" style="95"/>
    <col min="81" max="81" width="10.875" style="98"/>
    <col min="82" max="82" width="33.625" style="90" customWidth="1"/>
    <col min="83" max="99" width="10.875" style="95"/>
    <col min="100" max="100" width="10.875" style="98"/>
    <col min="101" max="101" width="33.625" style="90" customWidth="1"/>
    <col min="102" max="16384" width="10.875" style="69"/>
  </cols>
  <sheetData>
    <row r="1" spans="1:101" s="95" customFormat="1" ht="102" x14ac:dyDescent="0.15">
      <c r="A1" s="73" t="s">
        <v>10</v>
      </c>
      <c r="B1" s="73" t="s">
        <v>8513</v>
      </c>
      <c r="C1" s="73" t="s">
        <v>8514</v>
      </c>
      <c r="D1" s="73" t="s">
        <v>8659</v>
      </c>
      <c r="E1" s="73" t="s">
        <v>11</v>
      </c>
      <c r="F1" s="72" t="s">
        <v>10511</v>
      </c>
      <c r="G1" s="146" t="s">
        <v>41</v>
      </c>
      <c r="H1" s="146" t="s">
        <v>13</v>
      </c>
      <c r="I1" s="73" t="s">
        <v>42</v>
      </c>
      <c r="J1" s="146" t="s">
        <v>8658</v>
      </c>
      <c r="K1" s="146" t="s">
        <v>61</v>
      </c>
      <c r="L1" s="147" t="s">
        <v>68</v>
      </c>
      <c r="M1" s="147" t="s">
        <v>31</v>
      </c>
      <c r="N1" s="146" t="s">
        <v>8677</v>
      </c>
      <c r="O1" s="147" t="s">
        <v>12</v>
      </c>
      <c r="P1" s="146" t="s">
        <v>8852</v>
      </c>
      <c r="Q1" s="147" t="s">
        <v>14</v>
      </c>
      <c r="R1" s="148" t="s">
        <v>8576</v>
      </c>
      <c r="S1" s="149" t="s">
        <v>52</v>
      </c>
      <c r="T1" s="93" t="s">
        <v>9860</v>
      </c>
      <c r="U1" s="93" t="s">
        <v>9853</v>
      </c>
      <c r="V1" s="72" t="s">
        <v>9700</v>
      </c>
      <c r="W1" s="72" t="s">
        <v>9701</v>
      </c>
      <c r="X1" s="72" t="s">
        <v>9935</v>
      </c>
      <c r="Y1" s="72" t="s">
        <v>9854</v>
      </c>
      <c r="Z1" s="72" t="s">
        <v>10551</v>
      </c>
      <c r="AA1" s="72" t="s">
        <v>9855</v>
      </c>
      <c r="AB1" s="72" t="s">
        <v>9856</v>
      </c>
      <c r="AC1" s="72" t="s">
        <v>9857</v>
      </c>
      <c r="AD1" s="72" t="s">
        <v>9858</v>
      </c>
      <c r="AE1" s="72" t="s">
        <v>9859</v>
      </c>
      <c r="AF1" s="72" t="s">
        <v>9874</v>
      </c>
      <c r="AG1" s="72" t="s">
        <v>9939</v>
      </c>
      <c r="AH1" s="72" t="s">
        <v>9875</v>
      </c>
      <c r="AI1" s="72" t="s">
        <v>9920</v>
      </c>
      <c r="AJ1" s="72" t="s">
        <v>9876</v>
      </c>
      <c r="AK1" s="72" t="s">
        <v>9703</v>
      </c>
      <c r="AL1" s="72" t="s">
        <v>9704</v>
      </c>
      <c r="AM1" s="72" t="s">
        <v>9918</v>
      </c>
      <c r="AN1" s="72" t="s">
        <v>9919</v>
      </c>
      <c r="AO1" s="72" t="s">
        <v>9921</v>
      </c>
      <c r="AP1" s="72" t="s">
        <v>9705</v>
      </c>
      <c r="AQ1" s="72" t="s">
        <v>9936</v>
      </c>
      <c r="AR1" s="72" t="s">
        <v>9877</v>
      </c>
      <c r="AS1" s="72" t="s">
        <v>9922</v>
      </c>
      <c r="AT1" s="72" t="s">
        <v>9887</v>
      </c>
      <c r="AU1" s="72" t="s">
        <v>9888</v>
      </c>
      <c r="AV1" s="72" t="s">
        <v>9889</v>
      </c>
      <c r="AW1" s="72" t="s">
        <v>9890</v>
      </c>
      <c r="AX1" s="72" t="s">
        <v>10552</v>
      </c>
      <c r="AY1" s="72" t="s">
        <v>9892</v>
      </c>
      <c r="AZ1" s="72" t="s">
        <v>10553</v>
      </c>
      <c r="BA1" s="72" t="s">
        <v>9894</v>
      </c>
      <c r="BB1" s="72" t="s">
        <v>9950</v>
      </c>
      <c r="BC1" s="72" t="s">
        <v>9937</v>
      </c>
      <c r="BD1" s="72" t="s">
        <v>9893</v>
      </c>
      <c r="BE1" s="94" t="s">
        <v>9900</v>
      </c>
      <c r="BF1" s="72" t="s">
        <v>38</v>
      </c>
      <c r="BG1" s="72" t="s">
        <v>32</v>
      </c>
      <c r="BH1" s="72" t="s">
        <v>9895</v>
      </c>
      <c r="BI1" s="72" t="s">
        <v>9706</v>
      </c>
      <c r="BJ1" s="72" t="s">
        <v>9934</v>
      </c>
      <c r="BK1" s="72" t="s">
        <v>9707</v>
      </c>
      <c r="BL1" s="72" t="s">
        <v>9899</v>
      </c>
      <c r="BM1" s="96" t="s">
        <v>9949</v>
      </c>
      <c r="BN1" s="96" t="s">
        <v>10554</v>
      </c>
      <c r="BO1" s="96" t="s">
        <v>10000</v>
      </c>
      <c r="BP1" s="140" t="s">
        <v>10009</v>
      </c>
      <c r="BQ1" s="142" t="s">
        <v>9901</v>
      </c>
      <c r="BR1" s="142" t="s">
        <v>9903</v>
      </c>
      <c r="BS1" s="142" t="s">
        <v>9718</v>
      </c>
      <c r="BT1" s="142" t="s">
        <v>9902</v>
      </c>
      <c r="BU1" s="142" t="s">
        <v>9904</v>
      </c>
      <c r="BV1" s="142" t="s">
        <v>9905</v>
      </c>
      <c r="BW1" s="142" t="s">
        <v>9940</v>
      </c>
      <c r="BX1" s="142" t="s">
        <v>9906</v>
      </c>
      <c r="BY1" s="142" t="s">
        <v>9941</v>
      </c>
      <c r="BZ1" s="142" t="s">
        <v>9907</v>
      </c>
      <c r="CA1" s="142" t="s">
        <v>9942</v>
      </c>
      <c r="CB1" s="142" t="s">
        <v>9915</v>
      </c>
      <c r="CC1" s="142" t="s">
        <v>10504</v>
      </c>
      <c r="CD1" s="143" t="s">
        <v>10505</v>
      </c>
      <c r="CE1" s="144" t="s">
        <v>9924</v>
      </c>
      <c r="CF1" s="144" t="s">
        <v>9891</v>
      </c>
      <c r="CG1" s="144" t="s">
        <v>9923</v>
      </c>
      <c r="CH1" s="144" t="s">
        <v>9925</v>
      </c>
      <c r="CI1" s="144" t="s">
        <v>9926</v>
      </c>
      <c r="CJ1" s="144" t="s">
        <v>9927</v>
      </c>
      <c r="CK1" s="144" t="s">
        <v>9719</v>
      </c>
      <c r="CL1" s="144" t="s">
        <v>9928</v>
      </c>
      <c r="CM1" s="144" t="s">
        <v>9929</v>
      </c>
      <c r="CN1" s="144" t="s">
        <v>9720</v>
      </c>
      <c r="CO1" s="144" t="s">
        <v>9930</v>
      </c>
      <c r="CP1" s="144" t="s">
        <v>9931</v>
      </c>
      <c r="CQ1" s="144" t="s">
        <v>9721</v>
      </c>
      <c r="CR1" s="144" t="s">
        <v>9932</v>
      </c>
      <c r="CS1" s="144" t="s">
        <v>9933</v>
      </c>
      <c r="CT1" s="144" t="s">
        <v>9722</v>
      </c>
      <c r="CU1" s="144" t="s">
        <v>9765</v>
      </c>
      <c r="CV1" s="144" t="s">
        <v>10506</v>
      </c>
      <c r="CW1" s="145" t="s">
        <v>10507</v>
      </c>
    </row>
    <row r="2" spans="1:101" ht="33.75" x14ac:dyDescent="0.15">
      <c r="A2" s="76">
        <v>1</v>
      </c>
      <c r="B2" s="74" t="s">
        <v>7516</v>
      </c>
      <c r="C2" s="74">
        <v>1066835942</v>
      </c>
      <c r="D2" s="75" t="str">
        <f t="shared" ref="D2:D65" si="0">HYPERLINK(CONCATENATE("https://portal.dnb.de/opac.htm?method=simpleSearch&amp;cqlMode=true&amp;query=idn%3D",C2))</f>
        <v>https://portal.dnb.de/opac.htm?method=simpleSearch&amp;cqlMode=true&amp;query=idn%3D1066835942</v>
      </c>
      <c r="E2" s="74" t="s">
        <v>7517</v>
      </c>
      <c r="F2" s="74"/>
      <c r="G2" s="76" t="s">
        <v>8541</v>
      </c>
      <c r="H2" s="77" t="s">
        <v>8549</v>
      </c>
      <c r="I2" s="76" t="s">
        <v>53</v>
      </c>
      <c r="J2" s="77" t="s">
        <v>58</v>
      </c>
      <c r="K2" s="77"/>
      <c r="L2" s="76"/>
      <c r="M2" s="76"/>
      <c r="N2" s="76" t="s">
        <v>39</v>
      </c>
      <c r="O2" s="76">
        <v>0</v>
      </c>
      <c r="P2" s="76"/>
      <c r="Q2" s="76"/>
      <c r="R2" s="76"/>
      <c r="S2" s="76"/>
      <c r="BD2" s="99">
        <f>CC2+CV2</f>
        <v>0</v>
      </c>
      <c r="CC2" s="99"/>
      <c r="CV2" s="99"/>
      <c r="CW2" s="63"/>
    </row>
    <row r="3" spans="1:101" ht="22.5" x14ac:dyDescent="0.15">
      <c r="A3" s="76">
        <v>2</v>
      </c>
      <c r="B3" s="74" t="s">
        <v>2261</v>
      </c>
      <c r="C3" s="74">
        <v>1066870152</v>
      </c>
      <c r="D3" s="78" t="str">
        <f t="shared" si="0"/>
        <v>https://portal.dnb.de/opac.htm?method=simpleSearch&amp;cqlMode=true&amp;query=idn%3D1066870152</v>
      </c>
      <c r="E3" s="74" t="s">
        <v>2262</v>
      </c>
      <c r="F3" s="74"/>
      <c r="G3" s="76" t="s">
        <v>8515</v>
      </c>
      <c r="H3" s="77" t="s">
        <v>8560</v>
      </c>
      <c r="I3" s="76" t="s">
        <v>53</v>
      </c>
      <c r="J3" s="77" t="s">
        <v>58</v>
      </c>
      <c r="K3" s="77" t="s">
        <v>8555</v>
      </c>
      <c r="L3" s="76"/>
      <c r="M3" s="76"/>
      <c r="N3" s="76" t="s">
        <v>39</v>
      </c>
      <c r="O3" s="76">
        <v>0</v>
      </c>
      <c r="P3" s="76" t="s">
        <v>73</v>
      </c>
      <c r="Q3" s="76" t="s">
        <v>8556</v>
      </c>
      <c r="R3" s="76"/>
      <c r="S3" s="76"/>
      <c r="BD3" s="99">
        <f t="shared" ref="BD3:BD66" si="1">CC3+CV3</f>
        <v>0</v>
      </c>
      <c r="CC3" s="99"/>
      <c r="CV3" s="99"/>
      <c r="CW3" s="63"/>
    </row>
    <row r="4" spans="1:101" x14ac:dyDescent="0.15">
      <c r="A4" s="76">
        <v>3</v>
      </c>
      <c r="B4" s="74" t="s">
        <v>5425</v>
      </c>
      <c r="C4" s="74">
        <v>1066840482</v>
      </c>
      <c r="D4" s="78" t="str">
        <f t="shared" si="0"/>
        <v>https://portal.dnb.de/opac.htm?method=simpleSearch&amp;cqlMode=true&amp;query=idn%3D1066840482</v>
      </c>
      <c r="E4" s="74" t="s">
        <v>5426</v>
      </c>
      <c r="F4" s="74"/>
      <c r="G4" s="76" t="s">
        <v>8515</v>
      </c>
      <c r="H4" s="77" t="s">
        <v>5</v>
      </c>
      <c r="I4" s="76" t="s">
        <v>54</v>
      </c>
      <c r="J4" s="77" t="s">
        <v>58</v>
      </c>
      <c r="K4" s="77" t="s">
        <v>62</v>
      </c>
      <c r="L4" s="76"/>
      <c r="M4" s="76" t="s">
        <v>38</v>
      </c>
      <c r="N4" s="76"/>
      <c r="O4" s="76">
        <v>1</v>
      </c>
      <c r="P4" s="76"/>
      <c r="Q4" s="76"/>
      <c r="R4" s="76"/>
      <c r="S4" s="76"/>
      <c r="BD4" s="99">
        <f t="shared" si="1"/>
        <v>0</v>
      </c>
      <c r="CC4" s="99"/>
      <c r="CV4" s="99"/>
      <c r="CW4" s="63"/>
    </row>
    <row r="5" spans="1:101" ht="33.75" x14ac:dyDescent="0.15">
      <c r="A5" s="76">
        <v>4</v>
      </c>
      <c r="B5" s="74" t="s">
        <v>5427</v>
      </c>
      <c r="C5" s="74">
        <v>1066871876</v>
      </c>
      <c r="D5" s="78" t="str">
        <f t="shared" si="0"/>
        <v>https://portal.dnb.de/opac.htm?method=simpleSearch&amp;cqlMode=true&amp;query=idn%3D1066871876</v>
      </c>
      <c r="E5" s="74" t="s">
        <v>5428</v>
      </c>
      <c r="F5" s="74"/>
      <c r="G5" s="76" t="s">
        <v>8541</v>
      </c>
      <c r="H5" s="77" t="s">
        <v>8546</v>
      </c>
      <c r="I5" s="76" t="s">
        <v>53</v>
      </c>
      <c r="J5" s="77" t="s">
        <v>8516</v>
      </c>
      <c r="K5" s="77" t="s">
        <v>84</v>
      </c>
      <c r="L5" s="76"/>
      <c r="M5" s="76" t="s">
        <v>37</v>
      </c>
      <c r="N5" s="76" t="s">
        <v>40</v>
      </c>
      <c r="O5" s="76">
        <v>0</v>
      </c>
      <c r="P5" s="76"/>
      <c r="Q5" s="76"/>
      <c r="R5" s="76"/>
      <c r="S5" s="76"/>
      <c r="BD5" s="99">
        <f t="shared" si="1"/>
        <v>0</v>
      </c>
      <c r="CC5" s="99"/>
      <c r="CV5" s="99"/>
      <c r="CW5" s="63"/>
    </row>
    <row r="6" spans="1:101" x14ac:dyDescent="0.15">
      <c r="A6" s="76">
        <v>5</v>
      </c>
      <c r="B6" s="74" t="s">
        <v>6604</v>
      </c>
      <c r="C6" s="74">
        <v>1066937249</v>
      </c>
      <c r="D6" s="78" t="str">
        <f t="shared" si="0"/>
        <v>https://portal.dnb.de/opac.htm?method=simpleSearch&amp;cqlMode=true&amp;query=idn%3D1066937249</v>
      </c>
      <c r="E6" s="74" t="s">
        <v>6605</v>
      </c>
      <c r="F6" s="74"/>
      <c r="G6" s="76" t="s">
        <v>8541</v>
      </c>
      <c r="H6" s="77" t="s">
        <v>49</v>
      </c>
      <c r="I6" s="76" t="s">
        <v>53</v>
      </c>
      <c r="J6" s="77" t="s">
        <v>58</v>
      </c>
      <c r="K6" s="77" t="s">
        <v>8554</v>
      </c>
      <c r="L6" s="76"/>
      <c r="M6" s="76"/>
      <c r="N6" s="76"/>
      <c r="O6" s="76">
        <v>1</v>
      </c>
      <c r="P6" s="76"/>
      <c r="Q6" s="76"/>
      <c r="R6" s="76"/>
      <c r="S6" s="76"/>
      <c r="BD6" s="99">
        <f t="shared" si="1"/>
        <v>0</v>
      </c>
      <c r="CC6" s="99"/>
      <c r="CV6" s="99"/>
      <c r="CW6" s="63"/>
    </row>
    <row r="7" spans="1:101" ht="33.75" x14ac:dyDescent="0.15">
      <c r="A7" s="76">
        <v>6</v>
      </c>
      <c r="B7" s="74" t="s">
        <v>6589</v>
      </c>
      <c r="C7" s="74">
        <v>1066873909</v>
      </c>
      <c r="D7" s="78" t="str">
        <f t="shared" si="0"/>
        <v>https://portal.dnb.de/opac.htm?method=simpleSearch&amp;cqlMode=true&amp;query=idn%3D1066873909</v>
      </c>
      <c r="E7" s="74" t="s">
        <v>6590</v>
      </c>
      <c r="F7" s="74"/>
      <c r="G7" s="76" t="s">
        <v>8541</v>
      </c>
      <c r="H7" s="77" t="s">
        <v>48</v>
      </c>
      <c r="I7" s="76" t="s">
        <v>53</v>
      </c>
      <c r="J7" s="77" t="s">
        <v>89</v>
      </c>
      <c r="K7" s="77" t="s">
        <v>8539</v>
      </c>
      <c r="L7" s="76"/>
      <c r="M7" s="76"/>
      <c r="N7" s="76"/>
      <c r="O7" s="76">
        <v>3</v>
      </c>
      <c r="P7" s="76"/>
      <c r="Q7" s="76"/>
      <c r="R7" s="76"/>
      <c r="S7" s="76"/>
      <c r="Y7" s="95" t="s">
        <v>9736</v>
      </c>
      <c r="AC7" s="95" t="s">
        <v>9737</v>
      </c>
      <c r="AD7" s="95" t="s">
        <v>8541</v>
      </c>
      <c r="AI7" s="95" t="s">
        <v>9725</v>
      </c>
      <c r="AW7" s="95">
        <v>45</v>
      </c>
      <c r="BC7" s="96" t="s">
        <v>9726</v>
      </c>
      <c r="BD7" s="99">
        <f t="shared" si="1"/>
        <v>2.5</v>
      </c>
      <c r="BM7" s="69" t="s">
        <v>10008</v>
      </c>
      <c r="BO7" s="70" t="s">
        <v>10011</v>
      </c>
      <c r="BP7" s="69" t="s">
        <v>8541</v>
      </c>
      <c r="CC7" s="99"/>
      <c r="CE7" s="95" t="s">
        <v>8541</v>
      </c>
      <c r="CL7" s="95" t="s">
        <v>8541</v>
      </c>
      <c r="CN7" s="95" t="s">
        <v>8541</v>
      </c>
      <c r="CV7" s="99">
        <v>2.5</v>
      </c>
      <c r="CW7" s="90" t="s">
        <v>10010</v>
      </c>
    </row>
    <row r="8" spans="1:101" x14ac:dyDescent="0.15">
      <c r="A8" s="76">
        <v>7</v>
      </c>
      <c r="B8" s="74" t="s">
        <v>6591</v>
      </c>
      <c r="C8" s="74">
        <v>1066937435</v>
      </c>
      <c r="D8" s="78" t="str">
        <f t="shared" si="0"/>
        <v>https://portal.dnb.de/opac.htm?method=simpleSearch&amp;cqlMode=true&amp;query=idn%3D1066937435</v>
      </c>
      <c r="E8" s="74" t="s">
        <v>6592</v>
      </c>
      <c r="F8" s="74"/>
      <c r="G8" s="76" t="s">
        <v>8541</v>
      </c>
      <c r="H8" s="77" t="s">
        <v>47</v>
      </c>
      <c r="I8" s="76" t="s">
        <v>53</v>
      </c>
      <c r="J8" s="77" t="s">
        <v>8516</v>
      </c>
      <c r="K8" s="77"/>
      <c r="L8" s="76"/>
      <c r="M8" s="76"/>
      <c r="N8" s="76"/>
      <c r="O8" s="76">
        <v>0</v>
      </c>
      <c r="P8" s="76"/>
      <c r="Q8" s="76"/>
      <c r="R8" s="76"/>
      <c r="S8" s="76"/>
      <c r="BD8" s="99">
        <f t="shared" si="1"/>
        <v>0</v>
      </c>
      <c r="CC8" s="99"/>
      <c r="CV8" s="99"/>
      <c r="CW8" s="63"/>
    </row>
    <row r="9" spans="1:101" ht="22.5" x14ac:dyDescent="0.15">
      <c r="A9" s="76">
        <v>8</v>
      </c>
      <c r="B9" s="74" t="s">
        <v>6593</v>
      </c>
      <c r="C9" s="74">
        <v>1066844666</v>
      </c>
      <c r="D9" s="78" t="str">
        <f t="shared" si="0"/>
        <v>https://portal.dnb.de/opac.htm?method=simpleSearch&amp;cqlMode=true&amp;query=idn%3D1066844666</v>
      </c>
      <c r="E9" s="74" t="s">
        <v>6594</v>
      </c>
      <c r="F9" s="74"/>
      <c r="G9" s="76" t="s">
        <v>8541</v>
      </c>
      <c r="H9" s="77" t="s">
        <v>49</v>
      </c>
      <c r="I9" s="76" t="s">
        <v>53</v>
      </c>
      <c r="J9" s="77" t="s">
        <v>8516</v>
      </c>
      <c r="K9" s="77" t="s">
        <v>8552</v>
      </c>
      <c r="L9" s="76"/>
      <c r="M9" s="76"/>
      <c r="N9" s="76"/>
      <c r="O9" s="76">
        <v>0</v>
      </c>
      <c r="P9" s="76"/>
      <c r="Q9" s="76"/>
      <c r="R9" s="76"/>
      <c r="S9" s="76"/>
      <c r="BD9" s="99">
        <f t="shared" si="1"/>
        <v>0</v>
      </c>
      <c r="CC9" s="99"/>
      <c r="CV9" s="99"/>
      <c r="CW9" s="63"/>
    </row>
    <row r="10" spans="1:101" x14ac:dyDescent="0.15">
      <c r="A10" s="76">
        <v>9</v>
      </c>
      <c r="B10" s="74" t="s">
        <v>6602</v>
      </c>
      <c r="C10" s="74">
        <v>1066937249</v>
      </c>
      <c r="D10" s="78" t="str">
        <f t="shared" si="0"/>
        <v>https://portal.dnb.de/opac.htm?method=simpleSearch&amp;cqlMode=true&amp;query=idn%3D1066937249</v>
      </c>
      <c r="E10" s="74" t="s">
        <v>6603</v>
      </c>
      <c r="F10" s="74"/>
      <c r="G10" s="76" t="s">
        <v>8541</v>
      </c>
      <c r="H10" s="77" t="s">
        <v>48</v>
      </c>
      <c r="I10" s="76" t="s">
        <v>53</v>
      </c>
      <c r="J10" s="77" t="s">
        <v>58</v>
      </c>
      <c r="K10" s="77" t="s">
        <v>8554</v>
      </c>
      <c r="L10" s="76"/>
      <c r="M10" s="76"/>
      <c r="N10" s="76"/>
      <c r="O10" s="76">
        <v>0</v>
      </c>
      <c r="P10" s="76"/>
      <c r="Q10" s="76"/>
      <c r="R10" s="76"/>
      <c r="S10" s="76"/>
      <c r="BD10" s="99">
        <f t="shared" si="1"/>
        <v>0</v>
      </c>
      <c r="CC10" s="99"/>
      <c r="CV10" s="99"/>
      <c r="CW10" s="63"/>
    </row>
    <row r="11" spans="1:101" ht="67.5" x14ac:dyDescent="0.15">
      <c r="A11" s="76">
        <v>10</v>
      </c>
      <c r="B11" s="74" t="s">
        <v>6608</v>
      </c>
      <c r="C11" s="74">
        <v>1066781990</v>
      </c>
      <c r="D11" s="78" t="str">
        <f t="shared" si="0"/>
        <v>https://portal.dnb.de/opac.htm?method=simpleSearch&amp;cqlMode=true&amp;query=idn%3D1066781990</v>
      </c>
      <c r="E11" s="74" t="s">
        <v>6609</v>
      </c>
      <c r="F11" s="74"/>
      <c r="G11" s="76" t="s">
        <v>8541</v>
      </c>
      <c r="H11" s="77" t="s">
        <v>8547</v>
      </c>
      <c r="I11" s="76" t="s">
        <v>53</v>
      </c>
      <c r="J11" s="77" t="s">
        <v>8516</v>
      </c>
      <c r="K11" s="77" t="s">
        <v>8551</v>
      </c>
      <c r="L11" s="76"/>
      <c r="M11" s="76"/>
      <c r="N11" s="76"/>
      <c r="O11" s="76">
        <v>3</v>
      </c>
      <c r="P11" s="76" t="s">
        <v>9</v>
      </c>
      <c r="Q11" s="76"/>
      <c r="R11" s="76"/>
      <c r="S11" s="76"/>
      <c r="Y11" s="95" t="s">
        <v>9723</v>
      </c>
      <c r="AA11" s="95" t="s">
        <v>8541</v>
      </c>
      <c r="AC11" s="95" t="s">
        <v>9739</v>
      </c>
      <c r="AE11" s="95" t="s">
        <v>8541</v>
      </c>
      <c r="AI11" s="95" t="s">
        <v>9725</v>
      </c>
      <c r="AW11" s="95">
        <v>45</v>
      </c>
      <c r="BC11" s="96" t="s">
        <v>9726</v>
      </c>
      <c r="BD11" s="99">
        <f t="shared" si="1"/>
        <v>1</v>
      </c>
      <c r="BO11" s="70" t="s">
        <v>10013</v>
      </c>
      <c r="BP11" s="69" t="s">
        <v>8541</v>
      </c>
      <c r="BQ11" s="95" t="s">
        <v>8541</v>
      </c>
      <c r="BR11" s="95" t="s">
        <v>8541</v>
      </c>
      <c r="BT11" s="95" t="s">
        <v>9772</v>
      </c>
      <c r="BV11" s="95" t="s">
        <v>8541</v>
      </c>
      <c r="CC11" s="99">
        <v>1</v>
      </c>
      <c r="CD11" s="90" t="s">
        <v>10012</v>
      </c>
      <c r="CV11" s="99"/>
      <c r="CW11" s="63"/>
    </row>
    <row r="12" spans="1:101" ht="22.5" x14ac:dyDescent="0.15">
      <c r="A12" s="76">
        <v>11</v>
      </c>
      <c r="B12" s="74" t="s">
        <v>6610</v>
      </c>
      <c r="C12" s="74">
        <v>998019917</v>
      </c>
      <c r="D12" s="78" t="str">
        <f t="shared" si="0"/>
        <v>https://portal.dnb.de/opac.htm?method=simpleSearch&amp;cqlMode=true&amp;query=idn%3D998019917</v>
      </c>
      <c r="E12" s="74" t="s">
        <v>6611</v>
      </c>
      <c r="F12" s="74"/>
      <c r="G12" s="76" t="s">
        <v>8541</v>
      </c>
      <c r="H12" s="77" t="s">
        <v>48</v>
      </c>
      <c r="I12" s="76" t="s">
        <v>54</v>
      </c>
      <c r="J12" s="77" t="s">
        <v>8516</v>
      </c>
      <c r="K12" s="77" t="s">
        <v>8552</v>
      </c>
      <c r="L12" s="76"/>
      <c r="M12" s="76" t="s">
        <v>38</v>
      </c>
      <c r="N12" s="76" t="s">
        <v>40</v>
      </c>
      <c r="O12" s="76">
        <v>0</v>
      </c>
      <c r="P12" s="76"/>
      <c r="Q12" s="76" t="s">
        <v>8548</v>
      </c>
      <c r="R12" s="76"/>
      <c r="S12" s="76"/>
      <c r="BD12" s="99">
        <f t="shared" si="1"/>
        <v>0</v>
      </c>
      <c r="CC12" s="99"/>
      <c r="CV12" s="99"/>
      <c r="CW12" s="63"/>
    </row>
    <row r="13" spans="1:101" x14ac:dyDescent="0.15">
      <c r="A13" s="76">
        <v>12</v>
      </c>
      <c r="B13" s="74" t="s">
        <v>6595</v>
      </c>
      <c r="C13" s="74">
        <v>998007110</v>
      </c>
      <c r="D13" s="78" t="str">
        <f t="shared" si="0"/>
        <v>https://portal.dnb.de/opac.htm?method=simpleSearch&amp;cqlMode=true&amp;query=idn%3D998007110</v>
      </c>
      <c r="E13" s="74" t="s">
        <v>6596</v>
      </c>
      <c r="F13" s="74"/>
      <c r="G13" s="76"/>
      <c r="H13" s="77" t="s">
        <v>49</v>
      </c>
      <c r="I13" s="76" t="s">
        <v>53</v>
      </c>
      <c r="J13" s="77" t="s">
        <v>8516</v>
      </c>
      <c r="K13" s="77" t="s">
        <v>84</v>
      </c>
      <c r="L13" s="76"/>
      <c r="M13" s="76"/>
      <c r="N13" s="76" t="s">
        <v>8523</v>
      </c>
      <c r="O13" s="76">
        <v>0</v>
      </c>
      <c r="P13" s="76"/>
      <c r="Q13" s="76"/>
      <c r="R13" s="76"/>
      <c r="S13" s="76"/>
      <c r="BD13" s="99">
        <f t="shared" si="1"/>
        <v>0</v>
      </c>
      <c r="CC13" s="99"/>
      <c r="CV13" s="99"/>
      <c r="CW13" s="63"/>
    </row>
    <row r="14" spans="1:101" x14ac:dyDescent="0.15">
      <c r="A14" s="76">
        <v>13</v>
      </c>
      <c r="B14" s="74" t="s">
        <v>6597</v>
      </c>
      <c r="C14" s="74">
        <v>1001716558</v>
      </c>
      <c r="D14" s="78" t="str">
        <f t="shared" si="0"/>
        <v>https://portal.dnb.de/opac.htm?method=simpleSearch&amp;cqlMode=true&amp;query=idn%3D1001716558</v>
      </c>
      <c r="E14" s="74" t="s">
        <v>6598</v>
      </c>
      <c r="F14" s="74"/>
      <c r="G14" s="76" t="s">
        <v>8541</v>
      </c>
      <c r="H14" s="77" t="s">
        <v>47</v>
      </c>
      <c r="I14" s="76" t="s">
        <v>53</v>
      </c>
      <c r="J14" s="77" t="s">
        <v>8516</v>
      </c>
      <c r="K14" s="77" t="s">
        <v>86</v>
      </c>
      <c r="L14" s="76"/>
      <c r="M14" s="76"/>
      <c r="N14" s="76"/>
      <c r="O14" s="76">
        <v>0</v>
      </c>
      <c r="P14" s="76"/>
      <c r="Q14" s="76"/>
      <c r="R14" s="76"/>
      <c r="S14" s="76"/>
      <c r="BD14" s="99">
        <f t="shared" si="1"/>
        <v>0</v>
      </c>
      <c r="CC14" s="99"/>
      <c r="CV14" s="99"/>
      <c r="CW14" s="63"/>
    </row>
    <row r="15" spans="1:101" x14ac:dyDescent="0.15">
      <c r="A15" s="76">
        <v>14</v>
      </c>
      <c r="B15" s="74" t="s">
        <v>6599</v>
      </c>
      <c r="C15" s="74">
        <v>1002090997</v>
      </c>
      <c r="D15" s="78" t="str">
        <f t="shared" si="0"/>
        <v>https://portal.dnb.de/opac.htm?method=simpleSearch&amp;cqlMode=true&amp;query=idn%3D1002090997</v>
      </c>
      <c r="E15" s="74" t="s">
        <v>6600</v>
      </c>
      <c r="F15" s="74"/>
      <c r="G15" s="76"/>
      <c r="H15" s="77"/>
      <c r="I15" s="76"/>
      <c r="J15" s="77"/>
      <c r="K15" s="77"/>
      <c r="L15" s="76"/>
      <c r="M15" s="76"/>
      <c r="N15" s="76"/>
      <c r="O15" s="76"/>
      <c r="P15" s="76"/>
      <c r="Q15" s="76"/>
      <c r="R15" s="76"/>
      <c r="S15" s="76"/>
      <c r="BD15" s="99">
        <f t="shared" si="1"/>
        <v>0</v>
      </c>
      <c r="CC15" s="99"/>
      <c r="CV15" s="99"/>
      <c r="CW15" s="63"/>
    </row>
    <row r="16" spans="1:101" x14ac:dyDescent="0.15">
      <c r="A16" s="76">
        <v>15</v>
      </c>
      <c r="B16" s="74" t="s">
        <v>6601</v>
      </c>
      <c r="C16" s="74">
        <v>1002090482</v>
      </c>
      <c r="D16" s="78" t="str">
        <f t="shared" si="0"/>
        <v>https://portal.dnb.de/opac.htm?method=simpleSearch&amp;cqlMode=true&amp;query=idn%3D1002090482</v>
      </c>
      <c r="E16" s="74" t="s">
        <v>6600</v>
      </c>
      <c r="F16" s="74"/>
      <c r="G16" s="76"/>
      <c r="H16" s="77"/>
      <c r="I16" s="76"/>
      <c r="J16" s="77"/>
      <c r="K16" s="77"/>
      <c r="L16" s="76"/>
      <c r="M16" s="76"/>
      <c r="N16" s="76"/>
      <c r="O16" s="76"/>
      <c r="P16" s="76"/>
      <c r="Q16" s="76"/>
      <c r="R16" s="76"/>
      <c r="S16" s="76"/>
      <c r="BD16" s="99">
        <f t="shared" si="1"/>
        <v>0</v>
      </c>
      <c r="CC16" s="99"/>
      <c r="CV16" s="99"/>
      <c r="CW16" s="63"/>
    </row>
    <row r="17" spans="1:101" ht="22.5" x14ac:dyDescent="0.15">
      <c r="A17" s="76">
        <v>16</v>
      </c>
      <c r="B17" s="74" t="s">
        <v>6606</v>
      </c>
      <c r="C17" s="74">
        <v>994642830</v>
      </c>
      <c r="D17" s="78" t="str">
        <f t="shared" si="0"/>
        <v>https://portal.dnb.de/opac.htm?method=simpleSearch&amp;cqlMode=true&amp;query=idn%3D994642830</v>
      </c>
      <c r="E17" s="74" t="s">
        <v>6607</v>
      </c>
      <c r="F17" s="74"/>
      <c r="G17" s="76" t="s">
        <v>8541</v>
      </c>
      <c r="H17" s="77" t="s">
        <v>8553</v>
      </c>
      <c r="I17" s="76" t="s">
        <v>53</v>
      </c>
      <c r="J17" s="77" t="s">
        <v>58</v>
      </c>
      <c r="K17" s="77" t="s">
        <v>84</v>
      </c>
      <c r="L17" s="76"/>
      <c r="M17" s="76" t="s">
        <v>36</v>
      </c>
      <c r="N17" s="76" t="s">
        <v>39</v>
      </c>
      <c r="O17" s="76">
        <v>0</v>
      </c>
      <c r="P17" s="76"/>
      <c r="Q17" s="76"/>
      <c r="R17" s="76"/>
      <c r="S17" s="76"/>
      <c r="BD17" s="99">
        <f t="shared" si="1"/>
        <v>0</v>
      </c>
      <c r="CC17" s="99"/>
      <c r="CV17" s="99"/>
      <c r="CW17" s="63"/>
    </row>
    <row r="18" spans="1:101" ht="22.5" x14ac:dyDescent="0.15">
      <c r="A18" s="76">
        <v>17</v>
      </c>
      <c r="B18" s="74" t="s">
        <v>7518</v>
      </c>
      <c r="C18" s="74">
        <v>1066938148</v>
      </c>
      <c r="D18" s="78" t="str">
        <f t="shared" si="0"/>
        <v>https://portal.dnb.de/opac.htm?method=simpleSearch&amp;cqlMode=true&amp;query=idn%3D1066938148</v>
      </c>
      <c r="E18" s="74" t="s">
        <v>7519</v>
      </c>
      <c r="F18" s="74"/>
      <c r="G18" s="76" t="s">
        <v>8541</v>
      </c>
      <c r="H18" s="77" t="s">
        <v>8550</v>
      </c>
      <c r="I18" s="76" t="s">
        <v>53</v>
      </c>
      <c r="J18" s="77" t="s">
        <v>58</v>
      </c>
      <c r="K18" s="77" t="s">
        <v>84</v>
      </c>
      <c r="L18" s="76"/>
      <c r="M18" s="76"/>
      <c r="N18" s="76"/>
      <c r="O18" s="76">
        <v>0</v>
      </c>
      <c r="P18" s="76"/>
      <c r="Q18" s="76"/>
      <c r="R18" s="76"/>
      <c r="S18" s="76"/>
      <c r="BD18" s="99">
        <f t="shared" si="1"/>
        <v>0</v>
      </c>
      <c r="CC18" s="99"/>
      <c r="CV18" s="99"/>
      <c r="CW18" s="63"/>
    </row>
    <row r="19" spans="1:101" ht="22.5" x14ac:dyDescent="0.15">
      <c r="A19" s="76">
        <v>18</v>
      </c>
      <c r="B19" s="74" t="s">
        <v>7520</v>
      </c>
      <c r="C19" s="74">
        <v>1066834512</v>
      </c>
      <c r="D19" s="78" t="str">
        <f t="shared" si="0"/>
        <v>https://portal.dnb.de/opac.htm?method=simpleSearch&amp;cqlMode=true&amp;query=idn%3D1066834512</v>
      </c>
      <c r="E19" s="74" t="s">
        <v>7521</v>
      </c>
      <c r="F19" s="74"/>
      <c r="G19" s="76" t="s">
        <v>8515</v>
      </c>
      <c r="H19" s="77" t="s">
        <v>18</v>
      </c>
      <c r="I19" s="76" t="s">
        <v>53</v>
      </c>
      <c r="J19" s="77" t="s">
        <v>58</v>
      </c>
      <c r="K19" s="77" t="s">
        <v>84</v>
      </c>
      <c r="L19" s="76"/>
      <c r="M19" s="76"/>
      <c r="N19" s="76"/>
      <c r="O19" s="76">
        <v>0</v>
      </c>
      <c r="P19" s="76"/>
      <c r="Q19" s="76"/>
      <c r="R19" s="76"/>
      <c r="S19" s="76"/>
      <c r="BD19" s="99">
        <f t="shared" si="1"/>
        <v>0</v>
      </c>
      <c r="CC19" s="99"/>
      <c r="CV19" s="99"/>
      <c r="CW19" s="63"/>
    </row>
    <row r="20" spans="1:101" x14ac:dyDescent="0.15">
      <c r="A20" s="76">
        <v>19</v>
      </c>
      <c r="B20" s="74" t="s">
        <v>7522</v>
      </c>
      <c r="C20" s="74">
        <v>995459452</v>
      </c>
      <c r="D20" s="78" t="str">
        <f t="shared" si="0"/>
        <v>https://portal.dnb.de/opac.htm?method=simpleSearch&amp;cqlMode=true&amp;query=idn%3D995459452</v>
      </c>
      <c r="E20" s="74" t="s">
        <v>7523</v>
      </c>
      <c r="F20" s="74"/>
      <c r="G20" s="76"/>
      <c r="H20" s="77" t="s">
        <v>4</v>
      </c>
      <c r="I20" s="76" t="s">
        <v>53</v>
      </c>
      <c r="J20" s="77" t="s">
        <v>8516</v>
      </c>
      <c r="K20" s="77" t="s">
        <v>72</v>
      </c>
      <c r="L20" s="76"/>
      <c r="M20" s="76"/>
      <c r="N20" s="76"/>
      <c r="O20" s="76">
        <v>0</v>
      </c>
      <c r="P20" s="76"/>
      <c r="Q20" s="76"/>
      <c r="R20" s="76"/>
      <c r="S20" s="76"/>
      <c r="BD20" s="99">
        <f t="shared" si="1"/>
        <v>0</v>
      </c>
      <c r="CC20" s="99"/>
      <c r="CV20" s="99"/>
      <c r="CW20" s="63"/>
    </row>
    <row r="21" spans="1:101" x14ac:dyDescent="0.15">
      <c r="A21" s="76">
        <v>20</v>
      </c>
      <c r="B21" s="74" t="s">
        <v>7526</v>
      </c>
      <c r="C21" s="74" t="s">
        <v>7527</v>
      </c>
      <c r="D21" s="78" t="str">
        <f t="shared" si="0"/>
        <v>https://portal.dnb.de/opac.htm?method=simpleSearch&amp;cqlMode=true&amp;query=idn%3D100004663X</v>
      </c>
      <c r="E21" s="74" t="s">
        <v>7528</v>
      </c>
      <c r="F21" s="74"/>
      <c r="G21" s="76"/>
      <c r="H21" s="77" t="s">
        <v>48</v>
      </c>
      <c r="I21" s="76" t="s">
        <v>53</v>
      </c>
      <c r="J21" s="77" t="s">
        <v>8516</v>
      </c>
      <c r="K21" s="77" t="s">
        <v>84</v>
      </c>
      <c r="L21" s="76"/>
      <c r="M21" s="76"/>
      <c r="N21" s="76"/>
      <c r="O21" s="76">
        <v>0</v>
      </c>
      <c r="P21" s="76"/>
      <c r="Q21" s="76"/>
      <c r="R21" s="76"/>
      <c r="S21" s="76"/>
      <c r="BD21" s="99">
        <f t="shared" si="1"/>
        <v>0</v>
      </c>
      <c r="CC21" s="99"/>
      <c r="CV21" s="99"/>
      <c r="CW21" s="63"/>
    </row>
    <row r="22" spans="1:101" x14ac:dyDescent="0.15">
      <c r="A22" s="76">
        <v>21</v>
      </c>
      <c r="B22" s="74" t="s">
        <v>7524</v>
      </c>
      <c r="C22" s="74">
        <v>996221204</v>
      </c>
      <c r="D22" s="78" t="str">
        <f t="shared" si="0"/>
        <v>https://portal.dnb.de/opac.htm?method=simpleSearch&amp;cqlMode=true&amp;query=idn%3D996221204</v>
      </c>
      <c r="E22" s="74" t="s">
        <v>7525</v>
      </c>
      <c r="F22" s="74"/>
      <c r="G22" s="76"/>
      <c r="H22" s="77" t="s">
        <v>5</v>
      </c>
      <c r="I22" s="76" t="s">
        <v>53</v>
      </c>
      <c r="J22" s="77" t="s">
        <v>8516</v>
      </c>
      <c r="K22" s="77" t="s">
        <v>67</v>
      </c>
      <c r="L22" s="76"/>
      <c r="M22" s="76" t="s">
        <v>36</v>
      </c>
      <c r="N22" s="76" t="s">
        <v>39</v>
      </c>
      <c r="O22" s="76">
        <v>2</v>
      </c>
      <c r="P22" s="76" t="s">
        <v>46</v>
      </c>
      <c r="Q22" s="76"/>
      <c r="R22" s="76"/>
      <c r="S22" s="76"/>
      <c r="Y22" s="95" t="s">
        <v>9723</v>
      </c>
      <c r="AC22" s="95" t="s">
        <v>9730</v>
      </c>
      <c r="AI22" s="95" t="s">
        <v>9725</v>
      </c>
      <c r="AU22" s="95">
        <v>2</v>
      </c>
      <c r="AV22" s="95" t="s">
        <v>8541</v>
      </c>
      <c r="AW22" s="95">
        <v>45</v>
      </c>
      <c r="BC22" s="96" t="s">
        <v>9726</v>
      </c>
      <c r="BD22" s="99">
        <f t="shared" si="1"/>
        <v>1</v>
      </c>
      <c r="BJ22" s="95" t="s">
        <v>9741</v>
      </c>
      <c r="BK22" s="95" t="s">
        <v>8541</v>
      </c>
      <c r="BM22" s="69" t="s">
        <v>10008</v>
      </c>
      <c r="BP22" s="69" t="s">
        <v>8541</v>
      </c>
      <c r="BR22" s="95" t="s">
        <v>8541</v>
      </c>
      <c r="CC22" s="99">
        <v>1</v>
      </c>
      <c r="CE22" s="95" t="s">
        <v>8541</v>
      </c>
      <c r="CV22" s="99"/>
      <c r="CW22" s="63"/>
    </row>
    <row r="23" spans="1:101" x14ac:dyDescent="0.15">
      <c r="A23" s="76">
        <v>22</v>
      </c>
      <c r="B23" s="74" t="s">
        <v>7529</v>
      </c>
      <c r="C23" s="74">
        <v>997973285</v>
      </c>
      <c r="D23" s="78" t="str">
        <f t="shared" si="0"/>
        <v>https://portal.dnb.de/opac.htm?method=simpleSearch&amp;cqlMode=true&amp;query=idn%3D997973285</v>
      </c>
      <c r="E23" s="74" t="s">
        <v>7530</v>
      </c>
      <c r="F23" s="74"/>
      <c r="G23" s="76" t="s">
        <v>8515</v>
      </c>
      <c r="H23" s="77" t="s">
        <v>47</v>
      </c>
      <c r="I23" s="76" t="s">
        <v>53</v>
      </c>
      <c r="J23" s="77" t="s">
        <v>58</v>
      </c>
      <c r="K23" s="77"/>
      <c r="L23" s="76"/>
      <c r="M23" s="76" t="s">
        <v>36</v>
      </c>
      <c r="N23" s="76" t="s">
        <v>39</v>
      </c>
      <c r="O23" s="76">
        <v>0</v>
      </c>
      <c r="P23" s="76"/>
      <c r="Q23" s="76"/>
      <c r="R23" s="76"/>
      <c r="S23" s="76"/>
      <c r="BD23" s="99">
        <f t="shared" si="1"/>
        <v>0</v>
      </c>
      <c r="CC23" s="99"/>
      <c r="CV23" s="99"/>
      <c r="CW23" s="63"/>
    </row>
    <row r="24" spans="1:101" ht="22.5" x14ac:dyDescent="0.15">
      <c r="A24" s="76">
        <v>23</v>
      </c>
      <c r="B24" s="74" t="s">
        <v>7531</v>
      </c>
      <c r="C24" s="74" t="s">
        <v>7532</v>
      </c>
      <c r="D24" s="78" t="str">
        <f t="shared" si="0"/>
        <v>https://portal.dnb.de/opac.htm?method=simpleSearch&amp;cqlMode=true&amp;query=idn%3D99853899X</v>
      </c>
      <c r="E24" s="74" t="s">
        <v>7533</v>
      </c>
      <c r="F24" s="74"/>
      <c r="G24" s="76" t="s">
        <v>8515</v>
      </c>
      <c r="H24" s="77" t="s">
        <v>18</v>
      </c>
      <c r="I24" s="76" t="s">
        <v>53</v>
      </c>
      <c r="J24" s="77" t="s">
        <v>58</v>
      </c>
      <c r="K24" s="77" t="s">
        <v>8554</v>
      </c>
      <c r="L24" s="76"/>
      <c r="M24" s="76" t="s">
        <v>36</v>
      </c>
      <c r="N24" s="76" t="s">
        <v>39</v>
      </c>
      <c r="O24" s="76">
        <v>0</v>
      </c>
      <c r="P24" s="76"/>
      <c r="Q24" s="76"/>
      <c r="R24" s="76"/>
      <c r="S24" s="76"/>
      <c r="BD24" s="99">
        <f t="shared" si="1"/>
        <v>0</v>
      </c>
      <c r="CC24" s="99"/>
      <c r="CV24" s="99"/>
      <c r="CW24" s="63"/>
    </row>
    <row r="25" spans="1:101" ht="22.5" x14ac:dyDescent="0.15">
      <c r="A25" s="76">
        <v>24</v>
      </c>
      <c r="B25" s="74" t="s">
        <v>7698</v>
      </c>
      <c r="C25" s="74">
        <v>994063253</v>
      </c>
      <c r="D25" s="78" t="str">
        <f t="shared" si="0"/>
        <v>https://portal.dnb.de/opac.htm?method=simpleSearch&amp;cqlMode=true&amp;query=idn%3D994063253</v>
      </c>
      <c r="E25" s="74" t="s">
        <v>7699</v>
      </c>
      <c r="F25" s="74"/>
      <c r="G25" s="76" t="s">
        <v>8541</v>
      </c>
      <c r="H25" s="77" t="s">
        <v>18</v>
      </c>
      <c r="I25" s="76" t="s">
        <v>53</v>
      </c>
      <c r="J25" s="77" t="s">
        <v>8516</v>
      </c>
      <c r="K25" s="77" t="s">
        <v>84</v>
      </c>
      <c r="L25" s="76"/>
      <c r="M25" s="76" t="s">
        <v>36</v>
      </c>
      <c r="N25" s="76" t="s">
        <v>39</v>
      </c>
      <c r="O25" s="76">
        <v>0</v>
      </c>
      <c r="P25" s="76"/>
      <c r="Q25" s="76"/>
      <c r="R25" s="76"/>
      <c r="S25" s="76"/>
      <c r="BD25" s="99">
        <f t="shared" si="1"/>
        <v>0</v>
      </c>
      <c r="CC25" s="99"/>
      <c r="CV25" s="99"/>
      <c r="CW25" s="63"/>
    </row>
    <row r="26" spans="1:101" x14ac:dyDescent="0.15">
      <c r="A26" s="76">
        <v>25</v>
      </c>
      <c r="B26" s="74" t="s">
        <v>7700</v>
      </c>
      <c r="C26" s="74">
        <v>994063202</v>
      </c>
      <c r="D26" s="78" t="str">
        <f t="shared" si="0"/>
        <v>https://portal.dnb.de/opac.htm?method=simpleSearch&amp;cqlMode=true&amp;query=idn%3D994063202</v>
      </c>
      <c r="E26" s="74" t="s">
        <v>7699</v>
      </c>
      <c r="F26" s="74"/>
      <c r="G26" s="76"/>
      <c r="H26" s="77"/>
      <c r="I26" s="76"/>
      <c r="J26" s="77"/>
      <c r="K26" s="77"/>
      <c r="L26" s="76"/>
      <c r="M26" s="76"/>
      <c r="N26" s="76"/>
      <c r="O26" s="76"/>
      <c r="P26" s="76"/>
      <c r="Q26" s="76"/>
      <c r="R26" s="76"/>
      <c r="S26" s="76"/>
      <c r="BD26" s="99">
        <f t="shared" si="1"/>
        <v>0</v>
      </c>
      <c r="CC26" s="99"/>
      <c r="CV26" s="99"/>
      <c r="CW26" s="63"/>
    </row>
    <row r="27" spans="1:101" x14ac:dyDescent="0.15">
      <c r="A27" s="76">
        <v>26</v>
      </c>
      <c r="B27" s="74" t="s">
        <v>7701</v>
      </c>
      <c r="C27" s="74">
        <v>994063180</v>
      </c>
      <c r="D27" s="78" t="str">
        <f t="shared" si="0"/>
        <v>https://portal.dnb.de/opac.htm?method=simpleSearch&amp;cqlMode=true&amp;query=idn%3D994063180</v>
      </c>
      <c r="E27" s="74" t="s">
        <v>7699</v>
      </c>
      <c r="F27" s="74"/>
      <c r="G27" s="76"/>
      <c r="H27" s="77"/>
      <c r="I27" s="76"/>
      <c r="J27" s="77"/>
      <c r="K27" s="77"/>
      <c r="L27" s="76"/>
      <c r="M27" s="76"/>
      <c r="N27" s="76"/>
      <c r="O27" s="76"/>
      <c r="P27" s="76"/>
      <c r="Q27" s="76"/>
      <c r="R27" s="76"/>
      <c r="S27" s="76"/>
      <c r="BD27" s="99">
        <f t="shared" si="1"/>
        <v>0</v>
      </c>
      <c r="CC27" s="99"/>
      <c r="CV27" s="99"/>
      <c r="CW27" s="63"/>
    </row>
    <row r="28" spans="1:101" x14ac:dyDescent="0.15">
      <c r="A28" s="76">
        <v>27</v>
      </c>
      <c r="B28" s="74" t="s">
        <v>7704</v>
      </c>
      <c r="C28" s="74">
        <v>997309199</v>
      </c>
      <c r="D28" s="78" t="str">
        <f t="shared" si="0"/>
        <v>https://portal.dnb.de/opac.htm?method=simpleSearch&amp;cqlMode=true&amp;query=idn%3D997309199</v>
      </c>
      <c r="E28" s="74" t="s">
        <v>7705</v>
      </c>
      <c r="F28" s="74"/>
      <c r="G28" s="76" t="s">
        <v>8541</v>
      </c>
      <c r="H28" s="77" t="s">
        <v>4</v>
      </c>
      <c r="I28" s="76" t="s">
        <v>53</v>
      </c>
      <c r="J28" s="77" t="s">
        <v>58</v>
      </c>
      <c r="K28" s="77"/>
      <c r="L28" s="76"/>
      <c r="M28" s="76" t="s">
        <v>36</v>
      </c>
      <c r="N28" s="76" t="s">
        <v>39</v>
      </c>
      <c r="O28" s="76">
        <v>2</v>
      </c>
      <c r="P28" s="76"/>
      <c r="Q28" s="76"/>
      <c r="R28" s="76"/>
      <c r="S28" s="76"/>
      <c r="BD28" s="99">
        <f t="shared" si="1"/>
        <v>0</v>
      </c>
      <c r="CC28" s="99"/>
      <c r="CV28" s="99"/>
      <c r="CW28" s="63"/>
    </row>
    <row r="29" spans="1:101" x14ac:dyDescent="0.15">
      <c r="A29" s="76">
        <v>28</v>
      </c>
      <c r="B29" s="74" t="s">
        <v>7706</v>
      </c>
      <c r="C29" s="74">
        <v>997309148</v>
      </c>
      <c r="D29" s="78" t="str">
        <f t="shared" si="0"/>
        <v>https://portal.dnb.de/opac.htm?method=simpleSearch&amp;cqlMode=true&amp;query=idn%3D997309148</v>
      </c>
      <c r="E29" s="74" t="s">
        <v>7705</v>
      </c>
      <c r="F29" s="74"/>
      <c r="G29" s="76" t="s">
        <v>8541</v>
      </c>
      <c r="H29" s="77" t="s">
        <v>4</v>
      </c>
      <c r="I29" s="76" t="s">
        <v>53</v>
      </c>
      <c r="J29" s="77" t="s">
        <v>58</v>
      </c>
      <c r="K29" s="77" t="s">
        <v>87</v>
      </c>
      <c r="L29" s="76"/>
      <c r="M29" s="76" t="s">
        <v>36</v>
      </c>
      <c r="N29" s="76" t="s">
        <v>39</v>
      </c>
      <c r="O29" s="76">
        <v>0</v>
      </c>
      <c r="P29" s="76"/>
      <c r="Q29" s="76"/>
      <c r="R29" s="76"/>
      <c r="S29" s="76"/>
      <c r="BD29" s="99">
        <f t="shared" si="1"/>
        <v>0</v>
      </c>
      <c r="CC29" s="99"/>
      <c r="CV29" s="99"/>
      <c r="CW29" s="63"/>
    </row>
    <row r="30" spans="1:101" ht="22.5" x14ac:dyDescent="0.15">
      <c r="A30" s="76">
        <v>29</v>
      </c>
      <c r="B30" s="74" t="s">
        <v>7686</v>
      </c>
      <c r="C30" s="74">
        <v>1066774072</v>
      </c>
      <c r="D30" s="78" t="str">
        <f t="shared" si="0"/>
        <v>https://portal.dnb.de/opac.htm?method=simpleSearch&amp;cqlMode=true&amp;query=idn%3D1066774072</v>
      </c>
      <c r="E30" s="74" t="s">
        <v>7687</v>
      </c>
      <c r="F30" s="74"/>
      <c r="G30" s="76" t="s">
        <v>8515</v>
      </c>
      <c r="H30" s="77" t="s">
        <v>8560</v>
      </c>
      <c r="I30" s="76" t="s">
        <v>53</v>
      </c>
      <c r="J30" s="77" t="s">
        <v>8516</v>
      </c>
      <c r="K30" s="77" t="s">
        <v>84</v>
      </c>
      <c r="L30" s="76"/>
      <c r="M30" s="76" t="s">
        <v>38</v>
      </c>
      <c r="N30" s="76"/>
      <c r="O30" s="76">
        <v>0</v>
      </c>
      <c r="P30" s="76"/>
      <c r="R30" s="76" t="s">
        <v>8542</v>
      </c>
      <c r="S30" s="76" t="s">
        <v>8543</v>
      </c>
      <c r="BD30" s="99">
        <f t="shared" si="1"/>
        <v>0</v>
      </c>
      <c r="CC30" s="99"/>
      <c r="CV30" s="99"/>
      <c r="CW30" s="63"/>
    </row>
    <row r="31" spans="1:101" x14ac:dyDescent="0.15">
      <c r="A31" s="76">
        <v>30</v>
      </c>
      <c r="B31" s="74" t="s">
        <v>7690</v>
      </c>
      <c r="C31" s="74">
        <v>997976071</v>
      </c>
      <c r="D31" s="78" t="str">
        <f t="shared" si="0"/>
        <v>https://portal.dnb.de/opac.htm?method=simpleSearch&amp;cqlMode=true&amp;query=idn%3D997976071</v>
      </c>
      <c r="E31" s="74" t="s">
        <v>8545</v>
      </c>
      <c r="F31" s="74"/>
      <c r="G31" s="76"/>
      <c r="H31" s="77" t="s">
        <v>4</v>
      </c>
      <c r="I31" s="76" t="s">
        <v>53</v>
      </c>
      <c r="J31" s="77" t="s">
        <v>8516</v>
      </c>
      <c r="K31" s="77" t="s">
        <v>8557</v>
      </c>
      <c r="L31" s="76"/>
      <c r="M31" s="76" t="s">
        <v>36</v>
      </c>
      <c r="N31" s="76" t="s">
        <v>39</v>
      </c>
      <c r="O31" s="76">
        <v>0</v>
      </c>
      <c r="P31" s="76"/>
      <c r="Q31" s="76"/>
      <c r="R31" s="76"/>
      <c r="S31" s="76"/>
      <c r="BD31" s="99">
        <f t="shared" si="1"/>
        <v>0</v>
      </c>
      <c r="CC31" s="99"/>
      <c r="CV31" s="99"/>
      <c r="CW31" s="63"/>
    </row>
    <row r="32" spans="1:101" x14ac:dyDescent="0.15">
      <c r="A32" s="76">
        <v>31</v>
      </c>
      <c r="B32" s="74" t="s">
        <v>7691</v>
      </c>
      <c r="C32" s="74">
        <v>997976047</v>
      </c>
      <c r="D32" s="78" t="str">
        <f t="shared" si="0"/>
        <v>https://portal.dnb.de/opac.htm?method=simpleSearch&amp;cqlMode=true&amp;query=idn%3D997976047</v>
      </c>
      <c r="E32" s="74" t="s">
        <v>8544</v>
      </c>
      <c r="F32" s="74"/>
      <c r="G32" s="76"/>
      <c r="H32" s="77" t="s">
        <v>4</v>
      </c>
      <c r="I32" s="76" t="s">
        <v>53</v>
      </c>
      <c r="J32" s="77" t="s">
        <v>8516</v>
      </c>
      <c r="K32" s="77" t="s">
        <v>8557</v>
      </c>
      <c r="L32" s="76"/>
      <c r="M32" s="76" t="s">
        <v>36</v>
      </c>
      <c r="N32" s="76" t="s">
        <v>39</v>
      </c>
      <c r="O32" s="76">
        <v>0</v>
      </c>
      <c r="P32" s="76"/>
      <c r="Q32" s="76"/>
      <c r="R32" s="76"/>
      <c r="S32" s="76"/>
      <c r="BD32" s="99">
        <f t="shared" si="1"/>
        <v>0</v>
      </c>
      <c r="CC32" s="99"/>
      <c r="CV32" s="99"/>
      <c r="CW32" s="63"/>
    </row>
    <row r="33" spans="1:101" x14ac:dyDescent="0.15">
      <c r="A33" s="76">
        <v>32</v>
      </c>
      <c r="B33" s="74" t="s">
        <v>7692</v>
      </c>
      <c r="C33" s="74">
        <v>1000891534</v>
      </c>
      <c r="D33" s="78" t="str">
        <f t="shared" si="0"/>
        <v>https://portal.dnb.de/opac.htm?method=simpleSearch&amp;cqlMode=true&amp;query=idn%3D1000891534</v>
      </c>
      <c r="E33" s="74" t="s">
        <v>7693</v>
      </c>
      <c r="F33" s="74"/>
      <c r="G33" s="76"/>
      <c r="H33" s="77" t="s">
        <v>4</v>
      </c>
      <c r="I33" s="76" t="s">
        <v>53</v>
      </c>
      <c r="J33" s="77" t="s">
        <v>58</v>
      </c>
      <c r="K33" s="77"/>
      <c r="L33" s="76"/>
      <c r="M33" s="76"/>
      <c r="N33" s="76"/>
      <c r="O33" s="76">
        <v>0</v>
      </c>
      <c r="P33" s="76"/>
      <c r="Q33" s="76"/>
      <c r="R33" s="76"/>
      <c r="S33" s="76"/>
      <c r="BD33" s="99">
        <f t="shared" si="1"/>
        <v>0</v>
      </c>
      <c r="CC33" s="99"/>
      <c r="CV33" s="99"/>
      <c r="CW33" s="63"/>
    </row>
    <row r="34" spans="1:101" ht="22.5" x14ac:dyDescent="0.15">
      <c r="A34" s="76">
        <v>33</v>
      </c>
      <c r="B34" s="74" t="s">
        <v>7694</v>
      </c>
      <c r="C34" s="74">
        <v>995809992</v>
      </c>
      <c r="D34" s="78" t="str">
        <f t="shared" si="0"/>
        <v>https://portal.dnb.de/opac.htm?method=simpleSearch&amp;cqlMode=true&amp;query=idn%3D995809992</v>
      </c>
      <c r="E34" s="74" t="s">
        <v>7695</v>
      </c>
      <c r="F34" s="74"/>
      <c r="G34" s="76"/>
      <c r="H34" s="77" t="s">
        <v>8575</v>
      </c>
      <c r="I34" s="76" t="s">
        <v>53</v>
      </c>
      <c r="J34" s="77" t="s">
        <v>58</v>
      </c>
      <c r="K34" s="77"/>
      <c r="L34" s="76"/>
      <c r="M34" s="76" t="s">
        <v>34</v>
      </c>
      <c r="N34" s="76"/>
      <c r="O34" s="76">
        <v>0</v>
      </c>
      <c r="P34" s="76"/>
      <c r="Q34" s="76"/>
      <c r="R34" s="76"/>
      <c r="S34" s="76"/>
      <c r="BD34" s="99">
        <f t="shared" si="1"/>
        <v>0</v>
      </c>
      <c r="CC34" s="99"/>
      <c r="CV34" s="99"/>
      <c r="CW34" s="63"/>
    </row>
    <row r="35" spans="1:101" x14ac:dyDescent="0.15">
      <c r="A35" s="76">
        <v>34</v>
      </c>
      <c r="B35" s="74" t="s">
        <v>7696</v>
      </c>
      <c r="C35" s="74">
        <v>994062877</v>
      </c>
      <c r="D35" s="78" t="str">
        <f t="shared" si="0"/>
        <v>https://portal.dnb.de/opac.htm?method=simpleSearch&amp;cqlMode=true&amp;query=idn%3D994062877</v>
      </c>
      <c r="E35" s="74" t="s">
        <v>7697</v>
      </c>
      <c r="F35" s="74"/>
      <c r="G35" s="76" t="s">
        <v>8541</v>
      </c>
      <c r="H35" s="77" t="s">
        <v>49</v>
      </c>
      <c r="I35" s="76" t="s">
        <v>53</v>
      </c>
      <c r="J35" s="77" t="s">
        <v>8516</v>
      </c>
      <c r="K35" s="77" t="s">
        <v>84</v>
      </c>
      <c r="L35" s="76"/>
      <c r="M35" s="76"/>
      <c r="N35" s="76"/>
      <c r="O35" s="76">
        <v>0</v>
      </c>
      <c r="P35" s="76"/>
      <c r="Q35" s="76"/>
      <c r="R35" s="76"/>
      <c r="S35" s="76"/>
      <c r="BD35" s="99">
        <f t="shared" si="1"/>
        <v>0</v>
      </c>
      <c r="CC35" s="99"/>
      <c r="CV35" s="99"/>
      <c r="CW35" s="63"/>
    </row>
    <row r="36" spans="1:101" x14ac:dyDescent="0.15">
      <c r="A36" s="76">
        <v>35</v>
      </c>
      <c r="B36" s="74" t="s">
        <v>7702</v>
      </c>
      <c r="C36" s="74">
        <v>1002398029</v>
      </c>
      <c r="D36" s="78" t="str">
        <f t="shared" si="0"/>
        <v>https://portal.dnb.de/opac.htm?method=simpleSearch&amp;cqlMode=true&amp;query=idn%3D1002398029</v>
      </c>
      <c r="E36" s="74" t="s">
        <v>7703</v>
      </c>
      <c r="F36" s="74"/>
      <c r="G36" s="76"/>
      <c r="H36" s="77" t="s">
        <v>4</v>
      </c>
      <c r="I36" s="76" t="s">
        <v>53</v>
      </c>
      <c r="J36" s="77" t="s">
        <v>58</v>
      </c>
      <c r="K36" s="77" t="s">
        <v>84</v>
      </c>
      <c r="L36" s="76"/>
      <c r="M36" s="76"/>
      <c r="N36" s="76" t="s">
        <v>8523</v>
      </c>
      <c r="O36" s="76">
        <v>0</v>
      </c>
      <c r="P36" s="76"/>
      <c r="Q36" s="76"/>
      <c r="R36" s="76"/>
      <c r="S36" s="76"/>
      <c r="BD36" s="99">
        <f t="shared" si="1"/>
        <v>0</v>
      </c>
      <c r="CC36" s="99"/>
      <c r="CV36" s="99"/>
      <c r="CW36" s="63"/>
    </row>
    <row r="37" spans="1:101" x14ac:dyDescent="0.15">
      <c r="A37" s="76">
        <v>36</v>
      </c>
      <c r="B37" s="74" t="s">
        <v>7682</v>
      </c>
      <c r="C37" s="74">
        <v>1075325013</v>
      </c>
      <c r="D37" s="78" t="str">
        <f t="shared" si="0"/>
        <v>https://portal.dnb.de/opac.htm?method=simpleSearch&amp;cqlMode=true&amp;query=idn%3D1075325013</v>
      </c>
      <c r="E37" s="74" t="s">
        <v>7683</v>
      </c>
      <c r="F37" s="74"/>
      <c r="G37" s="76" t="s">
        <v>8515</v>
      </c>
      <c r="H37" s="77" t="s">
        <v>5</v>
      </c>
      <c r="I37" s="76" t="s">
        <v>53</v>
      </c>
      <c r="J37" s="77" t="s">
        <v>89</v>
      </c>
      <c r="K37" s="77" t="s">
        <v>72</v>
      </c>
      <c r="L37" s="76"/>
      <c r="M37" s="76"/>
      <c r="N37" s="76"/>
      <c r="O37" s="76">
        <v>0</v>
      </c>
      <c r="P37" s="76"/>
      <c r="Q37" s="76"/>
      <c r="R37" s="76"/>
      <c r="S37" s="76"/>
      <c r="BD37" s="99">
        <f t="shared" si="1"/>
        <v>0</v>
      </c>
      <c r="CC37" s="99"/>
      <c r="CV37" s="99"/>
      <c r="CW37" s="63"/>
    </row>
    <row r="38" spans="1:101" x14ac:dyDescent="0.15">
      <c r="A38" s="76">
        <v>37</v>
      </c>
      <c r="B38" s="74" t="s">
        <v>7684</v>
      </c>
      <c r="C38" s="74">
        <v>1075325102</v>
      </c>
      <c r="D38" s="78" t="str">
        <f t="shared" si="0"/>
        <v>https://portal.dnb.de/opac.htm?method=simpleSearch&amp;cqlMode=true&amp;query=idn%3D1075325102</v>
      </c>
      <c r="E38" s="74" t="s">
        <v>7685</v>
      </c>
      <c r="F38" s="74"/>
      <c r="G38" s="76"/>
      <c r="H38" s="77"/>
      <c r="I38" s="76"/>
      <c r="J38" s="77"/>
      <c r="K38" s="77"/>
      <c r="L38" s="76"/>
      <c r="M38" s="76"/>
      <c r="N38" s="76"/>
      <c r="O38" s="76"/>
      <c r="P38" s="76"/>
      <c r="Q38" s="76"/>
      <c r="R38" s="76"/>
      <c r="S38" s="76"/>
      <c r="BD38" s="99">
        <f t="shared" si="1"/>
        <v>0</v>
      </c>
      <c r="CC38" s="99"/>
      <c r="CV38" s="99"/>
      <c r="CW38" s="63"/>
    </row>
    <row r="39" spans="1:101" x14ac:dyDescent="0.15">
      <c r="A39" s="76">
        <v>38</v>
      </c>
      <c r="B39" s="74" t="s">
        <v>7688</v>
      </c>
      <c r="C39" s="74">
        <v>1208801864</v>
      </c>
      <c r="D39" s="78" t="str">
        <f t="shared" si="0"/>
        <v>https://portal.dnb.de/opac.htm?method=simpleSearch&amp;cqlMode=true&amp;query=idn%3D1208801864</v>
      </c>
      <c r="E39" s="74" t="s">
        <v>7689</v>
      </c>
      <c r="F39" s="74"/>
      <c r="G39" s="76"/>
      <c r="H39" s="77"/>
      <c r="I39" s="76"/>
      <c r="J39" s="77"/>
      <c r="K39" s="77"/>
      <c r="L39" s="76"/>
      <c r="M39" s="76"/>
      <c r="N39" s="76"/>
      <c r="O39" s="76"/>
      <c r="P39" s="76"/>
      <c r="Q39" s="76"/>
      <c r="R39" s="76"/>
      <c r="S39" s="76"/>
      <c r="BD39" s="99">
        <f t="shared" si="1"/>
        <v>0</v>
      </c>
      <c r="CC39" s="99"/>
      <c r="CV39" s="99"/>
      <c r="CW39" s="63"/>
    </row>
    <row r="40" spans="1:101" x14ac:dyDescent="0.15">
      <c r="A40" s="76">
        <v>39</v>
      </c>
      <c r="B40" s="74" t="s">
        <v>7707</v>
      </c>
      <c r="C40" s="74">
        <v>1002740800</v>
      </c>
      <c r="D40" s="78" t="str">
        <f t="shared" si="0"/>
        <v>https://portal.dnb.de/opac.htm?method=simpleSearch&amp;cqlMode=true&amp;query=idn%3D1002740800</v>
      </c>
      <c r="E40" s="74" t="s">
        <v>7708</v>
      </c>
      <c r="F40" s="74"/>
      <c r="G40" s="76"/>
      <c r="H40" s="77" t="s">
        <v>48</v>
      </c>
      <c r="I40" s="76" t="s">
        <v>53</v>
      </c>
      <c r="J40" s="77" t="s">
        <v>8516</v>
      </c>
      <c r="K40" s="77" t="s">
        <v>84</v>
      </c>
      <c r="L40" s="76"/>
      <c r="M40" s="76" t="s">
        <v>36</v>
      </c>
      <c r="N40" s="76" t="s">
        <v>39</v>
      </c>
      <c r="O40" s="76">
        <v>0</v>
      </c>
      <c r="P40" s="76"/>
      <c r="Q40" s="76"/>
      <c r="R40" s="76"/>
      <c r="S40" s="76"/>
      <c r="BD40" s="99">
        <f t="shared" si="1"/>
        <v>0</v>
      </c>
      <c r="CC40" s="99"/>
      <c r="CV40" s="99"/>
      <c r="CW40" s="63"/>
    </row>
    <row r="41" spans="1:101" x14ac:dyDescent="0.15">
      <c r="A41" s="76">
        <v>40</v>
      </c>
      <c r="B41" s="74" t="s">
        <v>7709</v>
      </c>
      <c r="C41" s="74">
        <v>1002739462</v>
      </c>
      <c r="D41" s="78" t="str">
        <f t="shared" si="0"/>
        <v>https://portal.dnb.de/opac.htm?method=simpleSearch&amp;cqlMode=true&amp;query=idn%3D1002739462</v>
      </c>
      <c r="E41" s="74" t="s">
        <v>7708</v>
      </c>
      <c r="F41" s="74"/>
      <c r="G41" s="76"/>
      <c r="H41" s="77"/>
      <c r="I41" s="76"/>
      <c r="J41" s="77"/>
      <c r="K41" s="77"/>
      <c r="L41" s="76"/>
      <c r="M41" s="76"/>
      <c r="N41" s="76"/>
      <c r="O41" s="76"/>
      <c r="P41" s="76"/>
      <c r="Q41" s="76"/>
      <c r="R41" s="76"/>
      <c r="S41" s="76"/>
      <c r="BD41" s="99">
        <f t="shared" si="1"/>
        <v>0</v>
      </c>
      <c r="CC41" s="99"/>
      <c r="CV41" s="99"/>
      <c r="CW41" s="63"/>
    </row>
    <row r="42" spans="1:101" ht="22.5" x14ac:dyDescent="0.15">
      <c r="A42" s="76">
        <v>41</v>
      </c>
      <c r="B42" s="74" t="s">
        <v>7753</v>
      </c>
      <c r="C42" s="74" t="s">
        <v>7754</v>
      </c>
      <c r="D42" s="78" t="str">
        <f t="shared" si="0"/>
        <v>https://portal.dnb.de/opac.htm?method=simpleSearch&amp;cqlMode=true&amp;query=idn%3D99419594X</v>
      </c>
      <c r="E42" s="74" t="s">
        <v>7755</v>
      </c>
      <c r="F42" s="74"/>
      <c r="G42" s="76"/>
      <c r="H42" s="77" t="s">
        <v>8560</v>
      </c>
      <c r="I42" s="76" t="s">
        <v>53</v>
      </c>
      <c r="J42" s="77" t="s">
        <v>8516</v>
      </c>
      <c r="K42" s="77" t="s">
        <v>8539</v>
      </c>
      <c r="L42" s="76"/>
      <c r="M42" s="76"/>
      <c r="N42" s="76" t="s">
        <v>8523</v>
      </c>
      <c r="O42" s="76">
        <v>0</v>
      </c>
      <c r="P42" s="76"/>
      <c r="Q42" s="76"/>
      <c r="R42" s="76"/>
      <c r="S42" s="76"/>
      <c r="BD42" s="99">
        <f t="shared" si="1"/>
        <v>0</v>
      </c>
      <c r="CC42" s="99"/>
      <c r="CV42" s="99"/>
      <c r="CW42" s="63"/>
    </row>
    <row r="43" spans="1:101" ht="33.75" x14ac:dyDescent="0.15">
      <c r="A43" s="76">
        <v>42</v>
      </c>
      <c r="B43" s="74" t="s">
        <v>7756</v>
      </c>
      <c r="C43" s="74">
        <v>1066935165</v>
      </c>
      <c r="D43" s="78" t="str">
        <f t="shared" si="0"/>
        <v>https://portal.dnb.de/opac.htm?method=simpleSearch&amp;cqlMode=true&amp;query=idn%3D1066935165</v>
      </c>
      <c r="E43" s="74" t="s">
        <v>8558</v>
      </c>
      <c r="F43" s="74"/>
      <c r="G43" s="76" t="s">
        <v>8515</v>
      </c>
      <c r="H43" s="77" t="s">
        <v>8546</v>
      </c>
      <c r="I43" s="76" t="s">
        <v>53</v>
      </c>
      <c r="J43" s="77" t="s">
        <v>8516</v>
      </c>
      <c r="K43" s="77" t="s">
        <v>8539</v>
      </c>
      <c r="L43" s="76"/>
      <c r="M43" s="76"/>
      <c r="N43" s="76" t="s">
        <v>8523</v>
      </c>
      <c r="O43" s="76">
        <v>1</v>
      </c>
      <c r="P43" s="76"/>
      <c r="Q43" s="76"/>
      <c r="R43" s="76"/>
      <c r="S43" s="76"/>
      <c r="BD43" s="99">
        <f t="shared" si="1"/>
        <v>0</v>
      </c>
      <c r="CC43" s="99"/>
      <c r="CV43" s="99"/>
      <c r="CW43" s="63"/>
    </row>
    <row r="44" spans="1:101" ht="33.75" x14ac:dyDescent="0.15">
      <c r="A44" s="76">
        <v>43</v>
      </c>
      <c r="B44" s="74" t="s">
        <v>7757</v>
      </c>
      <c r="C44" s="74">
        <v>1066839832</v>
      </c>
      <c r="D44" s="78" t="str">
        <f t="shared" si="0"/>
        <v>https://portal.dnb.de/opac.htm?method=simpleSearch&amp;cqlMode=true&amp;query=idn%3D1066839832</v>
      </c>
      <c r="E44" s="74" t="s">
        <v>8559</v>
      </c>
      <c r="F44" s="74"/>
      <c r="G44" s="76" t="s">
        <v>8541</v>
      </c>
      <c r="H44" s="77" t="s">
        <v>8546</v>
      </c>
      <c r="I44" s="76" t="s">
        <v>53</v>
      </c>
      <c r="J44" s="77" t="s">
        <v>8516</v>
      </c>
      <c r="K44" s="77" t="s">
        <v>8539</v>
      </c>
      <c r="L44" s="76"/>
      <c r="M44" s="76"/>
      <c r="N44" s="76"/>
      <c r="O44" s="76">
        <v>1</v>
      </c>
      <c r="P44" s="76"/>
      <c r="Q44" s="76"/>
      <c r="R44" s="76"/>
      <c r="S44" s="76"/>
      <c r="BD44" s="99">
        <f t="shared" si="1"/>
        <v>0</v>
      </c>
      <c r="CC44" s="99"/>
      <c r="CV44" s="99"/>
      <c r="CW44" s="63"/>
    </row>
    <row r="45" spans="1:101" ht="22.5" x14ac:dyDescent="0.15">
      <c r="A45" s="76">
        <v>44</v>
      </c>
      <c r="B45" s="74" t="s">
        <v>7758</v>
      </c>
      <c r="C45" s="74">
        <v>1066936269</v>
      </c>
      <c r="D45" s="78" t="str">
        <f t="shared" si="0"/>
        <v>https://portal.dnb.de/opac.htm?method=simpleSearch&amp;cqlMode=true&amp;query=idn%3D1066936269</v>
      </c>
      <c r="E45" s="74" t="s">
        <v>7759</v>
      </c>
      <c r="F45" s="74"/>
      <c r="G45" s="76" t="s">
        <v>8541</v>
      </c>
      <c r="H45" s="77" t="s">
        <v>6</v>
      </c>
      <c r="I45" s="76" t="s">
        <v>53</v>
      </c>
      <c r="J45" s="77" t="s">
        <v>8516</v>
      </c>
      <c r="K45" s="77" t="s">
        <v>8552</v>
      </c>
      <c r="L45" s="76"/>
      <c r="M45" s="76"/>
      <c r="N45" s="76"/>
      <c r="O45" s="76">
        <v>0</v>
      </c>
      <c r="P45" s="76"/>
      <c r="Q45" s="76"/>
      <c r="R45" s="76"/>
      <c r="S45" s="76"/>
      <c r="BD45" s="99">
        <f t="shared" si="1"/>
        <v>0</v>
      </c>
      <c r="CC45" s="99"/>
      <c r="CV45" s="99"/>
      <c r="CW45" s="63"/>
    </row>
    <row r="46" spans="1:101" ht="22.5" x14ac:dyDescent="0.15">
      <c r="A46" s="76">
        <v>45</v>
      </c>
      <c r="B46" s="74" t="s">
        <v>7760</v>
      </c>
      <c r="C46" s="74">
        <v>994406010</v>
      </c>
      <c r="D46" s="78" t="str">
        <f t="shared" si="0"/>
        <v>https://portal.dnb.de/opac.htm?method=simpleSearch&amp;cqlMode=true&amp;query=idn%3D994406010</v>
      </c>
      <c r="E46" s="74" t="s">
        <v>7761</v>
      </c>
      <c r="F46" s="74"/>
      <c r="G46" s="76" t="s">
        <v>8515</v>
      </c>
      <c r="H46" s="77" t="s">
        <v>49</v>
      </c>
      <c r="I46" s="76" t="s">
        <v>53</v>
      </c>
      <c r="J46" s="77" t="s">
        <v>8516</v>
      </c>
      <c r="K46" s="77" t="s">
        <v>8561</v>
      </c>
      <c r="L46" s="76"/>
      <c r="M46" s="76"/>
      <c r="N46" s="76"/>
      <c r="O46" s="76">
        <v>1</v>
      </c>
      <c r="P46" s="76"/>
      <c r="Q46" s="76"/>
      <c r="R46" s="76"/>
      <c r="S46" s="76"/>
      <c r="BD46" s="99">
        <f t="shared" si="1"/>
        <v>0</v>
      </c>
      <c r="CC46" s="99"/>
      <c r="CV46" s="99"/>
      <c r="CW46" s="63"/>
    </row>
    <row r="47" spans="1:101" x14ac:dyDescent="0.15">
      <c r="A47" s="76">
        <v>46</v>
      </c>
      <c r="B47" s="74" t="s">
        <v>7889</v>
      </c>
      <c r="C47" s="74">
        <v>999593250</v>
      </c>
      <c r="D47" s="78" t="str">
        <f t="shared" si="0"/>
        <v>https://portal.dnb.de/opac.htm?method=simpleSearch&amp;cqlMode=true&amp;query=idn%3D999593250</v>
      </c>
      <c r="E47" s="74" t="s">
        <v>7890</v>
      </c>
      <c r="F47" s="74"/>
      <c r="G47" s="76"/>
      <c r="H47" s="77" t="s">
        <v>49</v>
      </c>
      <c r="I47" s="76" t="s">
        <v>53</v>
      </c>
      <c r="J47" s="77" t="s">
        <v>8516</v>
      </c>
      <c r="K47" s="77" t="s">
        <v>8577</v>
      </c>
      <c r="L47" s="76"/>
      <c r="M47" s="76"/>
      <c r="N47" s="76"/>
      <c r="O47" s="76">
        <v>0</v>
      </c>
      <c r="P47" s="76"/>
      <c r="Q47" s="76"/>
      <c r="R47" s="76"/>
      <c r="S47" s="76"/>
      <c r="BD47" s="99">
        <f t="shared" si="1"/>
        <v>0</v>
      </c>
      <c r="CC47" s="99"/>
      <c r="CV47" s="99"/>
      <c r="CW47" s="63"/>
    </row>
    <row r="48" spans="1:101" x14ac:dyDescent="0.15">
      <c r="A48" s="76">
        <v>47</v>
      </c>
      <c r="B48" s="74" t="s">
        <v>7989</v>
      </c>
      <c r="C48" s="74">
        <v>1066937125</v>
      </c>
      <c r="D48" s="78" t="str">
        <f t="shared" si="0"/>
        <v>https://portal.dnb.de/opac.htm?method=simpleSearch&amp;cqlMode=true&amp;query=idn%3D1066937125</v>
      </c>
      <c r="E48" s="74" t="s">
        <v>7990</v>
      </c>
      <c r="F48" s="74"/>
      <c r="G48" s="76"/>
      <c r="H48" s="77" t="s">
        <v>48</v>
      </c>
      <c r="I48" s="76" t="s">
        <v>54</v>
      </c>
      <c r="J48" s="77" t="s">
        <v>8516</v>
      </c>
      <c r="K48" s="77" t="s">
        <v>84</v>
      </c>
      <c r="L48" s="76"/>
      <c r="M48" s="76"/>
      <c r="N48" s="76"/>
      <c r="O48" s="76">
        <v>2</v>
      </c>
      <c r="P48" s="76" t="s">
        <v>8848</v>
      </c>
      <c r="Q48" s="76"/>
      <c r="R48" s="76"/>
      <c r="S48" s="76"/>
      <c r="BD48" s="99">
        <f t="shared" si="1"/>
        <v>0</v>
      </c>
      <c r="CC48" s="99"/>
      <c r="CV48" s="99"/>
      <c r="CW48" s="63"/>
    </row>
    <row r="49" spans="1:101" ht="22.5" x14ac:dyDescent="0.15">
      <c r="A49" s="76">
        <v>48</v>
      </c>
      <c r="B49" s="74" t="s">
        <v>8051</v>
      </c>
      <c r="C49" s="74">
        <v>998782890</v>
      </c>
      <c r="D49" s="78" t="str">
        <f t="shared" si="0"/>
        <v>https://portal.dnb.de/opac.htm?method=simpleSearch&amp;cqlMode=true&amp;query=idn%3D998782890</v>
      </c>
      <c r="E49" s="74" t="s">
        <v>8052</v>
      </c>
      <c r="F49" s="74"/>
      <c r="G49" s="76"/>
      <c r="H49" s="77" t="s">
        <v>48</v>
      </c>
      <c r="I49" s="76" t="s">
        <v>53</v>
      </c>
      <c r="J49" s="77" t="s">
        <v>8516</v>
      </c>
      <c r="K49" s="77" t="s">
        <v>8564</v>
      </c>
      <c r="L49" s="76"/>
      <c r="M49" s="76"/>
      <c r="N49" s="76"/>
      <c r="O49" s="76">
        <v>2</v>
      </c>
      <c r="P49" s="76" t="s">
        <v>76</v>
      </c>
      <c r="Q49" s="76"/>
      <c r="R49" s="76"/>
      <c r="S49" s="76"/>
      <c r="BD49" s="99">
        <f t="shared" si="1"/>
        <v>0</v>
      </c>
      <c r="CC49" s="99"/>
      <c r="CV49" s="99"/>
      <c r="CW49" s="63"/>
    </row>
    <row r="50" spans="1:101" ht="33.75" x14ac:dyDescent="0.15">
      <c r="A50" s="76">
        <v>49</v>
      </c>
      <c r="B50" s="74" t="s">
        <v>8105</v>
      </c>
      <c r="C50" s="74">
        <v>995370850</v>
      </c>
      <c r="D50" s="78" t="str">
        <f t="shared" si="0"/>
        <v>https://portal.dnb.de/opac.htm?method=simpleSearch&amp;cqlMode=true&amp;query=idn%3D995370850</v>
      </c>
      <c r="E50" s="74" t="s">
        <v>8106</v>
      </c>
      <c r="F50" s="74"/>
      <c r="G50" s="76" t="s">
        <v>8515</v>
      </c>
      <c r="H50" s="77" t="s">
        <v>8560</v>
      </c>
      <c r="I50" s="76" t="s">
        <v>53</v>
      </c>
      <c r="J50" s="77" t="s">
        <v>8516</v>
      </c>
      <c r="K50" s="77" t="s">
        <v>8566</v>
      </c>
      <c r="L50" s="76"/>
      <c r="M50" s="76"/>
      <c r="N50" s="76"/>
      <c r="O50" s="76">
        <v>1</v>
      </c>
      <c r="P50" s="76"/>
      <c r="Q50" s="76"/>
      <c r="R50" s="76"/>
      <c r="S50" s="76"/>
      <c r="BD50" s="99">
        <f t="shared" si="1"/>
        <v>0</v>
      </c>
      <c r="CC50" s="99"/>
      <c r="CV50" s="99"/>
      <c r="CW50" s="63"/>
    </row>
    <row r="51" spans="1:101" x14ac:dyDescent="0.15">
      <c r="A51" s="76">
        <v>50</v>
      </c>
      <c r="B51" s="74" t="s">
        <v>8140</v>
      </c>
      <c r="C51" s="74">
        <v>997687010</v>
      </c>
      <c r="D51" s="78" t="str">
        <f t="shared" si="0"/>
        <v>https://portal.dnb.de/opac.htm?method=simpleSearch&amp;cqlMode=true&amp;query=idn%3D997687010</v>
      </c>
      <c r="E51" s="74" t="s">
        <v>8141</v>
      </c>
      <c r="F51" s="74"/>
      <c r="G51" s="76"/>
      <c r="H51" s="77"/>
      <c r="I51" s="76"/>
      <c r="J51" s="77"/>
      <c r="K51" s="77"/>
      <c r="L51" s="76"/>
      <c r="M51" s="76"/>
      <c r="N51" s="76"/>
      <c r="O51" s="76"/>
      <c r="P51" s="76"/>
      <c r="Q51" s="76"/>
      <c r="R51" s="76"/>
      <c r="S51" s="76"/>
      <c r="BD51" s="99">
        <f t="shared" si="1"/>
        <v>0</v>
      </c>
      <c r="CC51" s="99"/>
      <c r="CV51" s="99"/>
      <c r="CW51" s="63"/>
    </row>
    <row r="52" spans="1:101" ht="22.5" x14ac:dyDescent="0.15">
      <c r="A52" s="76">
        <v>51</v>
      </c>
      <c r="B52" s="74" t="s">
        <v>7909</v>
      </c>
      <c r="C52" s="74">
        <v>997311703</v>
      </c>
      <c r="D52" s="78" t="str">
        <f t="shared" si="0"/>
        <v>https://portal.dnb.de/opac.htm?method=simpleSearch&amp;cqlMode=true&amp;query=idn%3D997311703</v>
      </c>
      <c r="E52" s="74" t="s">
        <v>7910</v>
      </c>
      <c r="F52" s="74"/>
      <c r="G52" s="76" t="s">
        <v>8515</v>
      </c>
      <c r="H52" s="77" t="s">
        <v>5</v>
      </c>
      <c r="I52" s="76" t="s">
        <v>53</v>
      </c>
      <c r="J52" s="77" t="s">
        <v>8516</v>
      </c>
      <c r="K52" s="77" t="s">
        <v>8615</v>
      </c>
      <c r="L52" s="76"/>
      <c r="M52" s="76" t="s">
        <v>36</v>
      </c>
      <c r="N52" s="76" t="s">
        <v>39</v>
      </c>
      <c r="O52" s="76">
        <v>0</v>
      </c>
      <c r="P52" s="76"/>
      <c r="Q52" s="76"/>
      <c r="R52" s="76"/>
      <c r="S52" s="76"/>
      <c r="BD52" s="99">
        <f t="shared" si="1"/>
        <v>0</v>
      </c>
      <c r="CC52" s="99"/>
      <c r="CV52" s="99"/>
      <c r="CW52" s="63"/>
    </row>
    <row r="53" spans="1:101" x14ac:dyDescent="0.15">
      <c r="A53" s="76">
        <v>52</v>
      </c>
      <c r="B53" s="74" t="s">
        <v>7880</v>
      </c>
      <c r="C53" s="74">
        <v>998386480</v>
      </c>
      <c r="D53" s="78" t="str">
        <f t="shared" si="0"/>
        <v>https://portal.dnb.de/opac.htm?method=simpleSearch&amp;cqlMode=true&amp;query=idn%3D998386480</v>
      </c>
      <c r="E53" s="74" t="s">
        <v>7881</v>
      </c>
      <c r="F53" s="74"/>
      <c r="G53" s="76" t="s">
        <v>8515</v>
      </c>
      <c r="H53" s="77" t="s">
        <v>17</v>
      </c>
      <c r="I53" s="76" t="s">
        <v>53</v>
      </c>
      <c r="J53" s="77" t="s">
        <v>8516</v>
      </c>
      <c r="K53" s="77" t="s">
        <v>84</v>
      </c>
      <c r="L53" s="76"/>
      <c r="M53" s="76"/>
      <c r="N53" s="76"/>
      <c r="O53" s="76">
        <v>0</v>
      </c>
      <c r="P53" s="76"/>
      <c r="Q53" s="76"/>
      <c r="R53" s="76"/>
      <c r="S53" s="76"/>
      <c r="BD53" s="99">
        <f t="shared" si="1"/>
        <v>0</v>
      </c>
      <c r="CC53" s="99"/>
      <c r="CV53" s="99"/>
      <c r="CW53" s="63"/>
    </row>
    <row r="54" spans="1:101" ht="67.5" x14ac:dyDescent="0.15">
      <c r="A54" s="76">
        <v>53</v>
      </c>
      <c r="B54" s="74" t="s">
        <v>7949</v>
      </c>
      <c r="C54" s="74">
        <v>1066491127</v>
      </c>
      <c r="D54" s="78" t="str">
        <f t="shared" si="0"/>
        <v>https://portal.dnb.de/opac.htm?method=simpleSearch&amp;cqlMode=true&amp;query=idn%3D1066491127</v>
      </c>
      <c r="E54" s="74" t="s">
        <v>7950</v>
      </c>
      <c r="F54" s="74"/>
      <c r="G54" s="76" t="s">
        <v>8515</v>
      </c>
      <c r="H54" s="77" t="s">
        <v>4</v>
      </c>
      <c r="I54" s="76" t="s">
        <v>53</v>
      </c>
      <c r="J54" s="77" t="s">
        <v>58</v>
      </c>
      <c r="K54" s="77"/>
      <c r="L54" s="76"/>
      <c r="M54" s="76"/>
      <c r="N54" s="76"/>
      <c r="O54" s="76">
        <v>1</v>
      </c>
      <c r="P54" s="76"/>
      <c r="Q54" s="76"/>
      <c r="R54" s="76"/>
      <c r="S54" s="76"/>
      <c r="Y54" s="95" t="s">
        <v>9723</v>
      </c>
      <c r="AC54" s="95" t="s">
        <v>9724</v>
      </c>
      <c r="AI54" s="95" t="s">
        <v>9725</v>
      </c>
      <c r="AP54" s="96" t="s">
        <v>10252</v>
      </c>
      <c r="AW54" s="95">
        <v>110</v>
      </c>
      <c r="BC54" s="96" t="s">
        <v>9726</v>
      </c>
      <c r="BD54" s="99">
        <f t="shared" si="1"/>
        <v>2.5</v>
      </c>
      <c r="BL54" s="70" t="s">
        <v>10512</v>
      </c>
      <c r="BP54" s="69" t="s">
        <v>8541</v>
      </c>
      <c r="BQ54" s="95" t="s">
        <v>8541</v>
      </c>
      <c r="BR54" s="95" t="s">
        <v>8541</v>
      </c>
      <c r="CC54" s="99">
        <v>2.5</v>
      </c>
      <c r="CD54" s="90" t="s">
        <v>10014</v>
      </c>
      <c r="CV54" s="99"/>
      <c r="CW54" s="63"/>
    </row>
    <row r="55" spans="1:101" x14ac:dyDescent="0.15">
      <c r="A55" s="76">
        <v>54</v>
      </c>
      <c r="B55" s="74" t="s">
        <v>7987</v>
      </c>
      <c r="C55" s="74">
        <v>1066877041</v>
      </c>
      <c r="D55" s="78" t="str">
        <f t="shared" si="0"/>
        <v>https://portal.dnb.de/opac.htm?method=simpleSearch&amp;cqlMode=true&amp;query=idn%3D1066877041</v>
      </c>
      <c r="E55" s="74" t="s">
        <v>7988</v>
      </c>
      <c r="F55" s="74"/>
      <c r="G55" s="76"/>
      <c r="H55" s="77" t="s">
        <v>5</v>
      </c>
      <c r="I55" s="76" t="s">
        <v>53</v>
      </c>
      <c r="J55" s="77" t="s">
        <v>89</v>
      </c>
      <c r="K55" s="77"/>
      <c r="L55" s="76"/>
      <c r="M55" s="76"/>
      <c r="N55" s="76"/>
      <c r="O55" s="76">
        <v>1</v>
      </c>
      <c r="P55" s="76" t="s">
        <v>46</v>
      </c>
      <c r="Q55" s="76"/>
      <c r="R55" s="76"/>
      <c r="S55" s="76"/>
      <c r="BD55" s="99">
        <f t="shared" si="1"/>
        <v>0</v>
      </c>
      <c r="CC55" s="99"/>
      <c r="CV55" s="99"/>
      <c r="CW55" s="63"/>
    </row>
    <row r="56" spans="1:101" ht="45" x14ac:dyDescent="0.15">
      <c r="A56" s="76">
        <v>55</v>
      </c>
      <c r="B56" s="74" t="s">
        <v>8049</v>
      </c>
      <c r="C56" s="74">
        <v>1132654440</v>
      </c>
      <c r="D56" s="78" t="str">
        <f t="shared" si="0"/>
        <v>https://portal.dnb.de/opac.htm?method=simpleSearch&amp;cqlMode=true&amp;query=idn%3D1132654440</v>
      </c>
      <c r="E56" s="74" t="s">
        <v>9350</v>
      </c>
      <c r="F56" s="74"/>
      <c r="G56" s="76" t="s">
        <v>8515</v>
      </c>
      <c r="H56" s="77" t="s">
        <v>8547</v>
      </c>
      <c r="I56" s="76" t="s">
        <v>56</v>
      </c>
      <c r="J56" s="77" t="s">
        <v>8516</v>
      </c>
      <c r="K56" s="77" t="s">
        <v>8688</v>
      </c>
      <c r="L56" s="76"/>
      <c r="M56" s="76"/>
      <c r="N56" s="76"/>
      <c r="O56" s="76">
        <v>3</v>
      </c>
      <c r="P56" s="76"/>
      <c r="Q56" s="76"/>
      <c r="R56" s="76"/>
      <c r="S56" s="76"/>
      <c r="Y56" s="95" t="s">
        <v>9723</v>
      </c>
      <c r="AA56" s="95" t="s">
        <v>8541</v>
      </c>
      <c r="AC56" s="95" t="s">
        <v>9724</v>
      </c>
      <c r="AI56" s="95" t="s">
        <v>9725</v>
      </c>
      <c r="AP56" s="95" t="s">
        <v>8541</v>
      </c>
      <c r="AW56" s="95" t="s">
        <v>9733</v>
      </c>
      <c r="BC56" s="96" t="s">
        <v>9774</v>
      </c>
      <c r="BD56" s="99">
        <f t="shared" si="1"/>
        <v>7</v>
      </c>
      <c r="BH56" s="95" t="s">
        <v>8541</v>
      </c>
      <c r="BQ56" s="95" t="s">
        <v>8541</v>
      </c>
      <c r="BR56" s="95" t="s">
        <v>8541</v>
      </c>
      <c r="BT56" s="95" t="s">
        <v>9775</v>
      </c>
      <c r="BV56" s="95" t="s">
        <v>8541</v>
      </c>
      <c r="CC56" s="99">
        <v>7</v>
      </c>
      <c r="CD56" s="90" t="s">
        <v>9776</v>
      </c>
      <c r="CV56" s="99"/>
      <c r="CW56" s="63"/>
    </row>
    <row r="57" spans="1:101" ht="22.5" x14ac:dyDescent="0.15">
      <c r="A57" s="76">
        <v>56</v>
      </c>
      <c r="B57" s="74" t="s">
        <v>8050</v>
      </c>
      <c r="C57" s="74">
        <v>1132654432</v>
      </c>
      <c r="D57" s="78" t="str">
        <f t="shared" si="0"/>
        <v>https://portal.dnb.de/opac.htm?method=simpleSearch&amp;cqlMode=true&amp;query=idn%3D1132654432</v>
      </c>
      <c r="E57" s="74" t="s">
        <v>9351</v>
      </c>
      <c r="F57" s="74"/>
      <c r="G57" s="76" t="s">
        <v>8515</v>
      </c>
      <c r="H57" s="77" t="s">
        <v>8547</v>
      </c>
      <c r="I57" s="76" t="s">
        <v>56</v>
      </c>
      <c r="J57" s="77" t="s">
        <v>8516</v>
      </c>
      <c r="K57" s="77" t="s">
        <v>8688</v>
      </c>
      <c r="L57" s="76"/>
      <c r="M57" s="76"/>
      <c r="N57" s="76"/>
      <c r="O57" s="76">
        <v>1</v>
      </c>
      <c r="P57" s="76"/>
      <c r="Q57" s="76"/>
      <c r="R57" s="76"/>
      <c r="S57" s="76"/>
      <c r="Y57" s="95" t="s">
        <v>9723</v>
      </c>
      <c r="AA57" s="95" t="s">
        <v>8541</v>
      </c>
      <c r="AC57" s="95" t="s">
        <v>9724</v>
      </c>
      <c r="AI57" s="95" t="s">
        <v>9725</v>
      </c>
      <c r="AP57" s="95" t="s">
        <v>8541</v>
      </c>
      <c r="AW57" s="95">
        <v>110</v>
      </c>
      <c r="BC57" s="96" t="s">
        <v>9726</v>
      </c>
      <c r="BD57" s="99">
        <f t="shared" si="1"/>
        <v>1</v>
      </c>
      <c r="BH57" s="95" t="s">
        <v>8541</v>
      </c>
      <c r="BQ57" s="95" t="s">
        <v>8541</v>
      </c>
      <c r="BR57" s="95" t="s">
        <v>8541</v>
      </c>
      <c r="BT57" s="95" t="s">
        <v>9772</v>
      </c>
      <c r="CC57" s="99">
        <v>1</v>
      </c>
      <c r="CD57" s="90" t="s">
        <v>9773</v>
      </c>
      <c r="CV57" s="99"/>
      <c r="CW57" s="63"/>
    </row>
    <row r="58" spans="1:101" ht="45" x14ac:dyDescent="0.15">
      <c r="A58" s="76">
        <v>57</v>
      </c>
      <c r="B58" s="74" t="s">
        <v>8103</v>
      </c>
      <c r="C58" s="74">
        <v>1066758336</v>
      </c>
      <c r="D58" s="78" t="str">
        <f t="shared" si="0"/>
        <v>https://portal.dnb.de/opac.htm?method=simpleSearch&amp;cqlMode=true&amp;query=idn%3D1066758336</v>
      </c>
      <c r="E58" s="74" t="s">
        <v>8104</v>
      </c>
      <c r="F58" s="74"/>
      <c r="G58" s="76"/>
      <c r="H58" s="77" t="s">
        <v>8572</v>
      </c>
      <c r="I58" s="76" t="s">
        <v>53</v>
      </c>
      <c r="J58" s="77" t="s">
        <v>8516</v>
      </c>
      <c r="K58" s="77" t="s">
        <v>8565</v>
      </c>
      <c r="L58" s="76"/>
      <c r="M58" s="76"/>
      <c r="N58" s="76"/>
      <c r="O58" s="76">
        <v>0</v>
      </c>
      <c r="P58" s="76"/>
      <c r="Q58" s="76"/>
      <c r="R58" s="76"/>
      <c r="S58" s="76"/>
      <c r="BD58" s="99">
        <f t="shared" si="1"/>
        <v>0</v>
      </c>
      <c r="CC58" s="99"/>
      <c r="CV58" s="99"/>
      <c r="CW58" s="63"/>
    </row>
    <row r="59" spans="1:101" ht="33.75" x14ac:dyDescent="0.15">
      <c r="A59" s="76">
        <v>58</v>
      </c>
      <c r="B59" s="74" t="s">
        <v>8138</v>
      </c>
      <c r="C59" s="74">
        <v>1066937729</v>
      </c>
      <c r="D59" s="78" t="str">
        <f t="shared" si="0"/>
        <v>https://portal.dnb.de/opac.htm?method=simpleSearch&amp;cqlMode=true&amp;query=idn%3D1066937729</v>
      </c>
      <c r="E59" s="74" t="s">
        <v>8139</v>
      </c>
      <c r="F59" s="74"/>
      <c r="G59" s="76" t="s">
        <v>8541</v>
      </c>
      <c r="H59" s="77" t="s">
        <v>8567</v>
      </c>
      <c r="I59" s="76" t="s">
        <v>54</v>
      </c>
      <c r="J59" s="77" t="s">
        <v>58</v>
      </c>
      <c r="K59" s="77" t="s">
        <v>84</v>
      </c>
      <c r="L59" s="76"/>
      <c r="M59" s="76" t="s">
        <v>37</v>
      </c>
      <c r="N59" s="76" t="s">
        <v>40</v>
      </c>
      <c r="O59" s="76">
        <v>0</v>
      </c>
      <c r="P59" s="76"/>
      <c r="Q59" s="76"/>
      <c r="R59" s="76"/>
      <c r="S59" s="76"/>
      <c r="BD59" s="99">
        <f t="shared" si="1"/>
        <v>0</v>
      </c>
      <c r="CC59" s="99"/>
      <c r="CV59" s="99"/>
      <c r="CW59" s="63"/>
    </row>
    <row r="60" spans="1:101" ht="33.75" x14ac:dyDescent="0.15">
      <c r="A60" s="76">
        <v>59</v>
      </c>
      <c r="B60" s="74" t="s">
        <v>8170</v>
      </c>
      <c r="C60" s="74">
        <v>1132651662</v>
      </c>
      <c r="D60" s="78" t="str">
        <f t="shared" si="0"/>
        <v>https://portal.dnb.de/opac.htm?method=simpleSearch&amp;cqlMode=true&amp;query=idn%3D1132651662</v>
      </c>
      <c r="E60" s="74" t="s">
        <v>9649</v>
      </c>
      <c r="F60" s="74"/>
      <c r="G60" s="76" t="s">
        <v>8515</v>
      </c>
      <c r="H60" s="77" t="s">
        <v>8547</v>
      </c>
      <c r="I60" s="76" t="s">
        <v>56</v>
      </c>
      <c r="J60" s="77" t="s">
        <v>8516</v>
      </c>
      <c r="K60" s="77" t="s">
        <v>9653</v>
      </c>
      <c r="L60" s="76"/>
      <c r="M60" s="76" t="s">
        <v>38</v>
      </c>
      <c r="N60" s="76" t="s">
        <v>40</v>
      </c>
      <c r="O60" s="76">
        <v>2</v>
      </c>
      <c r="P60" s="76" t="s">
        <v>78</v>
      </c>
      <c r="Q60" s="76" t="s">
        <v>8569</v>
      </c>
      <c r="R60" s="76"/>
      <c r="S60" s="76"/>
      <c r="U60" s="95" t="s">
        <v>9787</v>
      </c>
      <c r="Y60" s="95" t="s">
        <v>9723</v>
      </c>
      <c r="AC60" s="95" t="s">
        <v>9724</v>
      </c>
      <c r="AI60" s="95" t="s">
        <v>9725</v>
      </c>
      <c r="AP60" s="95" t="s">
        <v>8541</v>
      </c>
      <c r="AR60" s="95" t="s">
        <v>8541</v>
      </c>
      <c r="AS60" s="95" t="s">
        <v>9788</v>
      </c>
      <c r="AT60" s="95" t="s">
        <v>8541</v>
      </c>
      <c r="AW60" s="95" t="s">
        <v>9764</v>
      </c>
      <c r="BC60" s="96" t="s">
        <v>9726</v>
      </c>
      <c r="BD60" s="99">
        <f t="shared" si="1"/>
        <v>3</v>
      </c>
      <c r="BF60" s="95" t="s">
        <v>10005</v>
      </c>
      <c r="BQ60" s="95" t="s">
        <v>8541</v>
      </c>
      <c r="BT60" s="95" t="s">
        <v>9737</v>
      </c>
      <c r="CC60" s="99">
        <v>1</v>
      </c>
      <c r="CN60" s="95" t="s">
        <v>8541</v>
      </c>
      <c r="CQ60" s="95" t="s">
        <v>8541</v>
      </c>
      <c r="CV60" s="99">
        <v>2</v>
      </c>
      <c r="CW60" s="63"/>
    </row>
    <row r="61" spans="1:101" ht="22.5" x14ac:dyDescent="0.15">
      <c r="A61" s="76">
        <v>60</v>
      </c>
      <c r="B61" s="74" t="s">
        <v>8172</v>
      </c>
      <c r="C61" s="74">
        <v>1132651697</v>
      </c>
      <c r="D61" s="78" t="str">
        <f t="shared" si="0"/>
        <v>https://portal.dnb.de/opac.htm?method=simpleSearch&amp;cqlMode=true&amp;query=idn%3D1132651697</v>
      </c>
      <c r="E61" s="74" t="s">
        <v>9641</v>
      </c>
      <c r="F61" s="74"/>
      <c r="G61" s="76" t="s">
        <v>8541</v>
      </c>
      <c r="H61" s="77" t="s">
        <v>8547</v>
      </c>
      <c r="I61" s="74" t="s">
        <v>56</v>
      </c>
      <c r="J61" s="77" t="s">
        <v>8516</v>
      </c>
      <c r="K61" s="77" t="s">
        <v>8520</v>
      </c>
      <c r="L61" s="76"/>
      <c r="M61" s="76" t="s">
        <v>38</v>
      </c>
      <c r="N61" s="76" t="s">
        <v>40</v>
      </c>
      <c r="O61" s="76">
        <v>1</v>
      </c>
      <c r="P61" s="76"/>
      <c r="Q61" s="76" t="s">
        <v>8569</v>
      </c>
      <c r="R61" s="76"/>
      <c r="S61" s="76"/>
      <c r="U61" s="95" t="s">
        <v>9787</v>
      </c>
      <c r="Y61" s="95" t="s">
        <v>9723</v>
      </c>
      <c r="AC61" s="95" t="s">
        <v>9724</v>
      </c>
      <c r="AI61" s="95" t="s">
        <v>9725</v>
      </c>
      <c r="AP61" s="95" t="s">
        <v>8541</v>
      </c>
      <c r="AR61" s="95" t="s">
        <v>8541</v>
      </c>
      <c r="AS61" s="95" t="s">
        <v>9788</v>
      </c>
      <c r="AT61" s="95" t="s">
        <v>8541</v>
      </c>
      <c r="AW61" s="95" t="s">
        <v>9764</v>
      </c>
      <c r="BC61" s="96" t="s">
        <v>9734</v>
      </c>
      <c r="BD61" s="99">
        <f t="shared" si="1"/>
        <v>0</v>
      </c>
      <c r="BF61" s="95" t="s">
        <v>10005</v>
      </c>
      <c r="CC61" s="99"/>
      <c r="CV61" s="99"/>
      <c r="CW61" s="63"/>
    </row>
    <row r="62" spans="1:101" ht="33.75" x14ac:dyDescent="0.15">
      <c r="A62" s="76">
        <v>61</v>
      </c>
      <c r="B62" s="74" t="s">
        <v>8173</v>
      </c>
      <c r="C62" s="74">
        <v>1132651700</v>
      </c>
      <c r="D62" s="78" t="str">
        <f t="shared" si="0"/>
        <v>https://portal.dnb.de/opac.htm?method=simpleSearch&amp;cqlMode=true&amp;query=idn%3D1132651700</v>
      </c>
      <c r="E62" s="74" t="s">
        <v>9642</v>
      </c>
      <c r="F62" s="74"/>
      <c r="G62" s="76"/>
      <c r="H62" s="77" t="s">
        <v>8547</v>
      </c>
      <c r="I62" s="74" t="s">
        <v>56</v>
      </c>
      <c r="J62" s="77" t="s">
        <v>8516</v>
      </c>
      <c r="K62" s="77" t="s">
        <v>8667</v>
      </c>
      <c r="L62" s="76"/>
      <c r="M62" s="76" t="s">
        <v>38</v>
      </c>
      <c r="N62" s="76" t="s">
        <v>40</v>
      </c>
      <c r="O62" s="76">
        <v>0</v>
      </c>
      <c r="P62" s="76"/>
      <c r="Q62" s="76" t="s">
        <v>8569</v>
      </c>
      <c r="R62" s="76"/>
      <c r="S62" s="76"/>
      <c r="U62" s="95" t="s">
        <v>9787</v>
      </c>
      <c r="Y62" s="95" t="s">
        <v>9723</v>
      </c>
      <c r="AC62" s="95" t="s">
        <v>9724</v>
      </c>
      <c r="AI62" s="95" t="s">
        <v>9725</v>
      </c>
      <c r="AP62" s="95" t="s">
        <v>8541</v>
      </c>
      <c r="AR62" s="95" t="s">
        <v>8541</v>
      </c>
      <c r="AS62" s="95" t="s">
        <v>9788</v>
      </c>
      <c r="AT62" s="95" t="s">
        <v>8541</v>
      </c>
      <c r="AW62" s="95" t="s">
        <v>9764</v>
      </c>
      <c r="BC62" s="96" t="s">
        <v>9726</v>
      </c>
      <c r="BD62" s="99">
        <f t="shared" si="1"/>
        <v>4</v>
      </c>
      <c r="BF62" s="95" t="s">
        <v>10005</v>
      </c>
      <c r="BQ62" s="95" t="s">
        <v>8541</v>
      </c>
      <c r="BT62" s="95" t="s">
        <v>9775</v>
      </c>
      <c r="CC62" s="99">
        <v>2</v>
      </c>
      <c r="CN62" s="95" t="s">
        <v>8541</v>
      </c>
      <c r="CQ62" s="95" t="s">
        <v>8541</v>
      </c>
      <c r="CV62" s="99">
        <v>2</v>
      </c>
      <c r="CW62" s="63"/>
    </row>
    <row r="63" spans="1:101" ht="22.5" x14ac:dyDescent="0.15">
      <c r="A63" s="76">
        <v>62</v>
      </c>
      <c r="B63" s="74" t="s">
        <v>8174</v>
      </c>
      <c r="C63" s="74">
        <v>1132651719</v>
      </c>
      <c r="D63" s="78" t="str">
        <f t="shared" si="0"/>
        <v>https://portal.dnb.de/opac.htm?method=simpleSearch&amp;cqlMode=true&amp;query=idn%3D1132651719</v>
      </c>
      <c r="E63" s="74" t="s">
        <v>9643</v>
      </c>
      <c r="F63" s="74"/>
      <c r="G63" s="76" t="s">
        <v>8515</v>
      </c>
      <c r="H63" s="77" t="s">
        <v>8547</v>
      </c>
      <c r="I63" s="76" t="s">
        <v>56</v>
      </c>
      <c r="J63" s="77" t="s">
        <v>8516</v>
      </c>
      <c r="K63" s="77" t="s">
        <v>8520</v>
      </c>
      <c r="L63" s="76"/>
      <c r="M63" s="76" t="s">
        <v>38</v>
      </c>
      <c r="N63" s="76" t="s">
        <v>40</v>
      </c>
      <c r="O63" s="76">
        <v>2</v>
      </c>
      <c r="P63" s="76"/>
      <c r="Q63" s="76" t="s">
        <v>8569</v>
      </c>
      <c r="R63" s="76"/>
      <c r="S63" s="76"/>
      <c r="U63" s="95" t="s">
        <v>9787</v>
      </c>
      <c r="Y63" s="95" t="s">
        <v>9723</v>
      </c>
      <c r="AB63" s="95" t="s">
        <v>8541</v>
      </c>
      <c r="AC63" s="95" t="s">
        <v>9724</v>
      </c>
      <c r="AI63" s="95" t="s">
        <v>9725</v>
      </c>
      <c r="AP63" s="95" t="s">
        <v>8541</v>
      </c>
      <c r="AR63" s="95" t="s">
        <v>8541</v>
      </c>
      <c r="AS63" s="95" t="s">
        <v>9788</v>
      </c>
      <c r="AT63" s="95" t="s">
        <v>8541</v>
      </c>
      <c r="AW63" s="95" t="s">
        <v>9764</v>
      </c>
      <c r="BC63" s="96" t="s">
        <v>9726</v>
      </c>
      <c r="BD63" s="99">
        <f t="shared" si="1"/>
        <v>2</v>
      </c>
      <c r="BF63" s="95" t="s">
        <v>10005</v>
      </c>
      <c r="BQ63" s="95" t="s">
        <v>8541</v>
      </c>
      <c r="BT63" s="95" t="s">
        <v>9775</v>
      </c>
      <c r="CC63" s="99">
        <v>2</v>
      </c>
      <c r="CV63" s="99"/>
      <c r="CW63" s="63"/>
    </row>
    <row r="64" spans="1:101" ht="33.75" x14ac:dyDescent="0.15">
      <c r="A64" s="76">
        <v>63</v>
      </c>
      <c r="B64" s="74" t="s">
        <v>8175</v>
      </c>
      <c r="C64" s="74">
        <v>1132651727</v>
      </c>
      <c r="D64" s="78" t="str">
        <f t="shared" si="0"/>
        <v>https://portal.dnb.de/opac.htm?method=simpleSearch&amp;cqlMode=true&amp;query=idn%3D1132651727</v>
      </c>
      <c r="E64" s="74" t="s">
        <v>9644</v>
      </c>
      <c r="F64" s="74"/>
      <c r="G64" s="76" t="s">
        <v>8515</v>
      </c>
      <c r="H64" s="77" t="s">
        <v>8547</v>
      </c>
      <c r="I64" s="76" t="s">
        <v>56</v>
      </c>
      <c r="J64" s="77" t="s">
        <v>8516</v>
      </c>
      <c r="K64" s="77" t="s">
        <v>8667</v>
      </c>
      <c r="L64" s="76"/>
      <c r="M64" s="76" t="s">
        <v>38</v>
      </c>
      <c r="N64" s="76" t="s">
        <v>40</v>
      </c>
      <c r="O64" s="76">
        <v>2</v>
      </c>
      <c r="P64" s="76" t="s">
        <v>78</v>
      </c>
      <c r="Q64" s="76" t="s">
        <v>8569</v>
      </c>
      <c r="R64" s="76"/>
      <c r="S64" s="76"/>
      <c r="U64" s="95" t="s">
        <v>9787</v>
      </c>
      <c r="Y64" s="95" t="s">
        <v>9723</v>
      </c>
      <c r="AC64" s="95" t="s">
        <v>9724</v>
      </c>
      <c r="AI64" s="95" t="s">
        <v>9725</v>
      </c>
      <c r="AP64" s="95" t="s">
        <v>8541</v>
      </c>
      <c r="AR64" s="95" t="s">
        <v>8541</v>
      </c>
      <c r="AS64" s="95" t="s">
        <v>9788</v>
      </c>
      <c r="AT64" s="95" t="s">
        <v>8541</v>
      </c>
      <c r="AW64" s="95" t="s">
        <v>9764</v>
      </c>
      <c r="BC64" s="96" t="s">
        <v>9726</v>
      </c>
      <c r="BD64" s="99">
        <f t="shared" si="1"/>
        <v>10</v>
      </c>
      <c r="BF64" s="95" t="s">
        <v>10005</v>
      </c>
      <c r="BQ64" s="95" t="s">
        <v>8541</v>
      </c>
      <c r="BT64" s="95" t="s">
        <v>9772</v>
      </c>
      <c r="CC64" s="99">
        <v>4</v>
      </c>
      <c r="CQ64" s="95" t="s">
        <v>8541</v>
      </c>
      <c r="CV64" s="99">
        <v>6</v>
      </c>
      <c r="CW64" s="63"/>
    </row>
    <row r="65" spans="1:101" x14ac:dyDescent="0.15">
      <c r="A65" s="76">
        <v>64</v>
      </c>
      <c r="B65" s="74" t="s">
        <v>8176</v>
      </c>
      <c r="C65" s="74">
        <v>1132651735</v>
      </c>
      <c r="D65" s="78" t="str">
        <f t="shared" si="0"/>
        <v>https://portal.dnb.de/opac.htm?method=simpleSearch&amp;cqlMode=true&amp;query=idn%3D1132651735</v>
      </c>
      <c r="E65" s="74" t="s">
        <v>9652</v>
      </c>
      <c r="F65" s="74"/>
      <c r="G65" s="76"/>
      <c r="H65" s="77"/>
      <c r="I65" s="76"/>
      <c r="J65" s="77"/>
      <c r="K65" s="77"/>
      <c r="L65" s="76"/>
      <c r="M65" s="76"/>
      <c r="N65" s="76"/>
      <c r="O65" s="76"/>
      <c r="P65" s="76"/>
      <c r="Q65" s="76" t="s">
        <v>8569</v>
      </c>
      <c r="R65" s="76"/>
      <c r="S65" s="76"/>
      <c r="BD65" s="99">
        <f t="shared" si="1"/>
        <v>0</v>
      </c>
      <c r="CC65" s="99"/>
      <c r="CV65" s="99"/>
      <c r="CW65" s="63"/>
    </row>
    <row r="66" spans="1:101" ht="33.75" x14ac:dyDescent="0.15">
      <c r="A66" s="76">
        <v>65</v>
      </c>
      <c r="B66" s="74" t="s">
        <v>8177</v>
      </c>
      <c r="C66" s="74">
        <v>1132651743</v>
      </c>
      <c r="D66" s="78" t="str">
        <f t="shared" ref="D66:D129" si="2">HYPERLINK(CONCATENATE("https://portal.dnb.de/opac.htm?method=simpleSearch&amp;cqlMode=true&amp;query=idn%3D",C66))</f>
        <v>https://portal.dnb.de/opac.htm?method=simpleSearch&amp;cqlMode=true&amp;query=idn%3D1132651743</v>
      </c>
      <c r="E66" s="74" t="s">
        <v>9646</v>
      </c>
      <c r="F66" s="74"/>
      <c r="G66" s="76" t="s">
        <v>8515</v>
      </c>
      <c r="H66" s="77" t="s">
        <v>8547</v>
      </c>
      <c r="I66" s="76" t="s">
        <v>56</v>
      </c>
      <c r="J66" s="77" t="s">
        <v>8516</v>
      </c>
      <c r="K66" s="77" t="s">
        <v>9590</v>
      </c>
      <c r="L66" s="76"/>
      <c r="M66" s="76" t="s">
        <v>38</v>
      </c>
      <c r="N66" s="76" t="s">
        <v>40</v>
      </c>
      <c r="O66" s="76">
        <v>1</v>
      </c>
      <c r="P66" s="76" t="s">
        <v>78</v>
      </c>
      <c r="Q66" s="76" t="s">
        <v>8569</v>
      </c>
      <c r="R66" s="76"/>
      <c r="S66" s="76"/>
      <c r="U66" s="95" t="s">
        <v>9787</v>
      </c>
      <c r="Y66" s="95" t="s">
        <v>9723</v>
      </c>
      <c r="AB66" s="95" t="s">
        <v>8541</v>
      </c>
      <c r="AC66" s="95" t="s">
        <v>9724</v>
      </c>
      <c r="AI66" s="95" t="s">
        <v>9725</v>
      </c>
      <c r="AP66" s="95" t="s">
        <v>8541</v>
      </c>
      <c r="AR66" s="95" t="s">
        <v>8541</v>
      </c>
      <c r="AS66" s="95" t="s">
        <v>9788</v>
      </c>
      <c r="AT66" s="95" t="s">
        <v>8541</v>
      </c>
      <c r="AW66" s="95" t="s">
        <v>9764</v>
      </c>
      <c r="BC66" s="96" t="s">
        <v>9726</v>
      </c>
      <c r="BD66" s="99">
        <f t="shared" si="1"/>
        <v>5</v>
      </c>
      <c r="BF66" s="95" t="s">
        <v>10005</v>
      </c>
      <c r="BQ66" s="95" t="s">
        <v>8541</v>
      </c>
      <c r="BR66" s="95" t="s">
        <v>8541</v>
      </c>
      <c r="CC66" s="99">
        <v>1</v>
      </c>
      <c r="CQ66" s="95" t="s">
        <v>8541</v>
      </c>
      <c r="CV66" s="99">
        <v>4</v>
      </c>
      <c r="CW66" s="63"/>
    </row>
    <row r="67" spans="1:101" x14ac:dyDescent="0.15">
      <c r="A67" s="76">
        <v>66</v>
      </c>
      <c r="B67" s="74" t="s">
        <v>8178</v>
      </c>
      <c r="C67" s="74">
        <v>1132651751</v>
      </c>
      <c r="D67" s="78" t="str">
        <f t="shared" si="2"/>
        <v>https://portal.dnb.de/opac.htm?method=simpleSearch&amp;cqlMode=true&amp;query=idn%3D1132651751</v>
      </c>
      <c r="E67" s="74" t="s">
        <v>9650</v>
      </c>
      <c r="F67" s="74" t="s">
        <v>10513</v>
      </c>
      <c r="G67" s="76"/>
      <c r="H67" s="77"/>
      <c r="I67" s="76"/>
      <c r="J67" s="77"/>
      <c r="K67" s="77"/>
      <c r="L67" s="76"/>
      <c r="M67" s="76"/>
      <c r="N67" s="76"/>
      <c r="O67" s="76"/>
      <c r="P67" s="76"/>
      <c r="Q67" s="76" t="s">
        <v>8569</v>
      </c>
      <c r="R67" s="76"/>
      <c r="S67" s="76"/>
      <c r="BD67" s="99">
        <f t="shared" ref="BD67:BD130" si="3">CC67+CV67</f>
        <v>0</v>
      </c>
      <c r="CC67" s="99"/>
      <c r="CV67" s="99"/>
      <c r="CW67" s="63"/>
    </row>
    <row r="68" spans="1:101" ht="33.75" x14ac:dyDescent="0.15">
      <c r="A68" s="76">
        <v>67</v>
      </c>
      <c r="B68" s="74" t="s">
        <v>8179</v>
      </c>
      <c r="C68" s="74">
        <v>1132651689</v>
      </c>
      <c r="D68" s="78" t="str">
        <f t="shared" si="2"/>
        <v>https://portal.dnb.de/opac.htm?method=simpleSearch&amp;cqlMode=true&amp;query=idn%3D1132651689</v>
      </c>
      <c r="E68" s="74" t="s">
        <v>9647</v>
      </c>
      <c r="F68" s="74"/>
      <c r="G68" s="76" t="s">
        <v>8515</v>
      </c>
      <c r="H68" s="77" t="s">
        <v>8547</v>
      </c>
      <c r="I68" s="74" t="s">
        <v>56</v>
      </c>
      <c r="J68" s="77" t="s">
        <v>8516</v>
      </c>
      <c r="K68" s="77" t="s">
        <v>8667</v>
      </c>
      <c r="L68" s="76"/>
      <c r="M68" s="76" t="s">
        <v>38</v>
      </c>
      <c r="N68" s="76" t="s">
        <v>40</v>
      </c>
      <c r="O68" s="76">
        <v>2</v>
      </c>
      <c r="P68" s="76"/>
      <c r="Q68" s="76" t="s">
        <v>8569</v>
      </c>
      <c r="R68" s="76"/>
      <c r="S68" s="76"/>
      <c r="U68" s="95" t="s">
        <v>9787</v>
      </c>
      <c r="Y68" s="95" t="s">
        <v>9723</v>
      </c>
      <c r="AB68" s="95" t="s">
        <v>8541</v>
      </c>
      <c r="AC68" s="95" t="s">
        <v>9724</v>
      </c>
      <c r="AI68" s="95" t="s">
        <v>9725</v>
      </c>
      <c r="AP68" s="95" t="s">
        <v>8541</v>
      </c>
      <c r="AR68" s="95" t="s">
        <v>8541</v>
      </c>
      <c r="AS68" s="95" t="s">
        <v>9788</v>
      </c>
      <c r="AT68" s="95" t="s">
        <v>8541</v>
      </c>
      <c r="AW68" s="95" t="s">
        <v>9764</v>
      </c>
      <c r="BC68" s="96" t="s">
        <v>9734</v>
      </c>
      <c r="BD68" s="99">
        <f t="shared" si="3"/>
        <v>0</v>
      </c>
      <c r="CC68" s="99"/>
      <c r="CV68" s="99"/>
      <c r="CW68" s="63"/>
    </row>
    <row r="69" spans="1:101" ht="22.5" x14ac:dyDescent="0.15">
      <c r="A69" s="76">
        <v>68</v>
      </c>
      <c r="B69" s="74" t="s">
        <v>8180</v>
      </c>
      <c r="C69" s="74">
        <v>1132651654</v>
      </c>
      <c r="D69" s="78" t="str">
        <f t="shared" si="2"/>
        <v>https://portal.dnb.de/opac.htm?method=simpleSearch&amp;cqlMode=true&amp;query=idn%3D1132651654</v>
      </c>
      <c r="E69" s="74" t="s">
        <v>9648</v>
      </c>
      <c r="F69" s="74"/>
      <c r="G69" s="76" t="s">
        <v>8515</v>
      </c>
      <c r="H69" s="77" t="s">
        <v>8547</v>
      </c>
      <c r="I69" s="74" t="s">
        <v>56</v>
      </c>
      <c r="J69" s="77" t="s">
        <v>8516</v>
      </c>
      <c r="K69" s="77" t="s">
        <v>8520</v>
      </c>
      <c r="L69" s="76"/>
      <c r="M69" s="76" t="s">
        <v>38</v>
      </c>
      <c r="N69" s="76" t="s">
        <v>40</v>
      </c>
      <c r="O69" s="76">
        <v>0</v>
      </c>
      <c r="P69" s="76" t="s">
        <v>78</v>
      </c>
      <c r="Q69" s="76" t="s">
        <v>8569</v>
      </c>
      <c r="R69" s="76"/>
      <c r="S69" s="76"/>
      <c r="U69" s="95" t="s">
        <v>9787</v>
      </c>
      <c r="Y69" s="95" t="s">
        <v>9723</v>
      </c>
      <c r="AB69" s="95" t="s">
        <v>8541</v>
      </c>
      <c r="AC69" s="95" t="s">
        <v>9724</v>
      </c>
      <c r="AI69" s="95" t="s">
        <v>9725</v>
      </c>
      <c r="AP69" s="95" t="s">
        <v>8541</v>
      </c>
      <c r="AR69" s="95" t="s">
        <v>8541</v>
      </c>
      <c r="AS69" s="95" t="s">
        <v>9788</v>
      </c>
      <c r="AT69" s="95" t="s">
        <v>8541</v>
      </c>
      <c r="AW69" s="95" t="s">
        <v>9764</v>
      </c>
      <c r="BC69" s="96" t="s">
        <v>9726</v>
      </c>
      <c r="BD69" s="99">
        <f t="shared" si="3"/>
        <v>2</v>
      </c>
      <c r="BF69" s="95" t="s">
        <v>10005</v>
      </c>
      <c r="CC69" s="99"/>
      <c r="CN69" s="95" t="s">
        <v>8541</v>
      </c>
      <c r="CQ69" s="95" t="s">
        <v>8541</v>
      </c>
      <c r="CV69" s="99">
        <v>2</v>
      </c>
      <c r="CW69" s="63"/>
    </row>
    <row r="70" spans="1:101" x14ac:dyDescent="0.15">
      <c r="A70" s="76">
        <v>69</v>
      </c>
      <c r="B70" s="74" t="s">
        <v>8181</v>
      </c>
      <c r="C70" s="74">
        <v>1132651646</v>
      </c>
      <c r="D70" s="78" t="str">
        <f t="shared" si="2"/>
        <v>https://portal.dnb.de/opac.htm?method=simpleSearch&amp;cqlMode=true&amp;query=idn%3D1132651646</v>
      </c>
      <c r="E70" s="74" t="s">
        <v>8171</v>
      </c>
      <c r="F70" s="74"/>
      <c r="G70" s="76"/>
      <c r="H70" s="77"/>
      <c r="I70" s="74"/>
      <c r="J70" s="77"/>
      <c r="K70" s="77"/>
      <c r="L70" s="76"/>
      <c r="M70" s="76"/>
      <c r="N70" s="76"/>
      <c r="O70" s="76"/>
      <c r="P70" s="76"/>
      <c r="Q70" s="76" t="s">
        <v>8569</v>
      </c>
      <c r="R70" s="76"/>
      <c r="S70" s="76"/>
      <c r="BD70" s="99">
        <f t="shared" si="3"/>
        <v>0</v>
      </c>
      <c r="CC70" s="99"/>
      <c r="CV70" s="99"/>
      <c r="CW70" s="63"/>
    </row>
    <row r="71" spans="1:101" ht="33.75" x14ac:dyDescent="0.15">
      <c r="A71" s="76">
        <v>70</v>
      </c>
      <c r="B71" s="74" t="s">
        <v>8182</v>
      </c>
      <c r="C71" s="74">
        <v>1132651670</v>
      </c>
      <c r="D71" s="78" t="str">
        <f t="shared" si="2"/>
        <v>https://portal.dnb.de/opac.htm?method=simpleSearch&amp;cqlMode=true&amp;query=idn%3D1132651670</v>
      </c>
      <c r="E71" s="74" t="s">
        <v>9645</v>
      </c>
      <c r="F71" s="74"/>
      <c r="G71" s="76" t="s">
        <v>8541</v>
      </c>
      <c r="H71" s="77" t="s">
        <v>8547</v>
      </c>
      <c r="I71" s="74" t="s">
        <v>56</v>
      </c>
      <c r="J71" s="77" t="s">
        <v>8516</v>
      </c>
      <c r="K71" s="77" t="s">
        <v>8667</v>
      </c>
      <c r="L71" s="76"/>
      <c r="M71" s="76" t="s">
        <v>38</v>
      </c>
      <c r="N71" s="76" t="s">
        <v>40</v>
      </c>
      <c r="O71" s="76">
        <v>2</v>
      </c>
      <c r="P71" s="76"/>
      <c r="Q71" s="76" t="s">
        <v>8569</v>
      </c>
      <c r="R71" s="76"/>
      <c r="S71" s="76"/>
      <c r="U71" s="95" t="s">
        <v>9787</v>
      </c>
      <c r="Y71" s="95" t="s">
        <v>9723</v>
      </c>
      <c r="AB71" s="95" t="s">
        <v>8541</v>
      </c>
      <c r="AC71" s="95" t="s">
        <v>9724</v>
      </c>
      <c r="AI71" s="95" t="s">
        <v>9725</v>
      </c>
      <c r="AP71" s="95" t="s">
        <v>8541</v>
      </c>
      <c r="AR71" s="95" t="s">
        <v>8541</v>
      </c>
      <c r="AS71" s="95" t="s">
        <v>9788</v>
      </c>
      <c r="AT71" s="95" t="s">
        <v>8541</v>
      </c>
      <c r="AW71" s="95" t="s">
        <v>9764</v>
      </c>
      <c r="BC71" s="96" t="s">
        <v>9726</v>
      </c>
      <c r="BD71" s="99">
        <f t="shared" si="3"/>
        <v>2</v>
      </c>
      <c r="BF71" s="95" t="s">
        <v>10005</v>
      </c>
      <c r="CC71" s="99"/>
      <c r="CN71" s="95" t="s">
        <v>8541</v>
      </c>
      <c r="CQ71" s="95" t="s">
        <v>8541</v>
      </c>
      <c r="CV71" s="99">
        <v>2</v>
      </c>
      <c r="CW71" s="63"/>
    </row>
    <row r="72" spans="1:101" x14ac:dyDescent="0.15">
      <c r="A72" s="76">
        <v>71</v>
      </c>
      <c r="B72" s="74" t="s">
        <v>8183</v>
      </c>
      <c r="C72" s="74" t="s">
        <v>8184</v>
      </c>
      <c r="D72" s="78" t="str">
        <f t="shared" si="2"/>
        <v>https://portal.dnb.de/opac.htm?method=simpleSearch&amp;cqlMode=true&amp;query=idn%3D113265176X</v>
      </c>
      <c r="E72" s="74" t="s">
        <v>9651</v>
      </c>
      <c r="F72" s="74" t="s">
        <v>10513</v>
      </c>
      <c r="G72" s="76"/>
      <c r="H72" s="77"/>
      <c r="I72" s="76"/>
      <c r="J72" s="77"/>
      <c r="K72" s="77"/>
      <c r="L72" s="76"/>
      <c r="M72" s="76"/>
      <c r="N72" s="76"/>
      <c r="O72" s="76"/>
      <c r="P72" s="76"/>
      <c r="Q72" s="76" t="s">
        <v>8569</v>
      </c>
      <c r="R72" s="76"/>
      <c r="S72" s="76"/>
      <c r="BD72" s="99">
        <f t="shared" si="3"/>
        <v>0</v>
      </c>
      <c r="CC72" s="99"/>
      <c r="CV72" s="99"/>
      <c r="CW72" s="63"/>
    </row>
    <row r="73" spans="1:101" ht="33.75" x14ac:dyDescent="0.15">
      <c r="A73" s="76">
        <v>72</v>
      </c>
      <c r="B73" s="74" t="s">
        <v>8219</v>
      </c>
      <c r="C73" s="74">
        <v>1066833702</v>
      </c>
      <c r="D73" s="78" t="str">
        <f t="shared" si="2"/>
        <v>https://portal.dnb.de/opac.htm?method=simpleSearch&amp;cqlMode=true&amp;query=idn%3D1066833702</v>
      </c>
      <c r="E73" s="79" t="s">
        <v>9690</v>
      </c>
      <c r="F73" s="79"/>
      <c r="G73" s="76" t="s">
        <v>8515</v>
      </c>
      <c r="H73" s="77" t="s">
        <v>8547</v>
      </c>
      <c r="I73" s="76" t="s">
        <v>56</v>
      </c>
      <c r="J73" s="77" t="s">
        <v>8516</v>
      </c>
      <c r="K73" s="77" t="s">
        <v>8615</v>
      </c>
      <c r="L73" s="76"/>
      <c r="M73" s="76" t="s">
        <v>38</v>
      </c>
      <c r="N73" s="76" t="s">
        <v>8660</v>
      </c>
      <c r="O73" s="76">
        <v>2</v>
      </c>
      <c r="P73" s="76"/>
      <c r="Q73" s="76" t="s">
        <v>8569</v>
      </c>
      <c r="R73" s="76"/>
      <c r="S73" s="76"/>
      <c r="U73" s="95" t="s">
        <v>9789</v>
      </c>
      <c r="Y73" s="95" t="s">
        <v>9723</v>
      </c>
      <c r="AB73" s="95" t="s">
        <v>8541</v>
      </c>
      <c r="AC73" s="95" t="s">
        <v>9724</v>
      </c>
      <c r="AI73" s="95" t="s">
        <v>9725</v>
      </c>
      <c r="AP73" s="95" t="s">
        <v>8541</v>
      </c>
      <c r="AR73" s="95" t="s">
        <v>8541</v>
      </c>
      <c r="AS73" s="95" t="s">
        <v>9788</v>
      </c>
      <c r="AT73" s="95" t="s">
        <v>8541</v>
      </c>
      <c r="AW73" s="95" t="s">
        <v>9764</v>
      </c>
      <c r="BC73" s="96" t="s">
        <v>9726</v>
      </c>
      <c r="BD73" s="99">
        <f t="shared" si="3"/>
        <v>0.5</v>
      </c>
      <c r="BF73" s="95" t="s">
        <v>10005</v>
      </c>
      <c r="CC73" s="99"/>
      <c r="CQ73" s="95" t="s">
        <v>8541</v>
      </c>
      <c r="CV73" s="99">
        <v>0.5</v>
      </c>
      <c r="CW73" s="63"/>
    </row>
    <row r="74" spans="1:101" ht="22.5" x14ac:dyDescent="0.15">
      <c r="A74" s="76">
        <v>73</v>
      </c>
      <c r="B74" s="74" t="s">
        <v>8220</v>
      </c>
      <c r="C74" s="74">
        <v>1066758816</v>
      </c>
      <c r="D74" s="78" t="str">
        <f t="shared" si="2"/>
        <v>https://portal.dnb.de/opac.htm?method=simpleSearch&amp;cqlMode=true&amp;query=idn%3D1066758816</v>
      </c>
      <c r="E74" s="79" t="s">
        <v>9691</v>
      </c>
      <c r="F74" s="79"/>
      <c r="G74" s="76" t="s">
        <v>8515</v>
      </c>
      <c r="H74" s="77" t="s">
        <v>8547</v>
      </c>
      <c r="I74" s="76" t="s">
        <v>56</v>
      </c>
      <c r="J74" s="77" t="s">
        <v>8516</v>
      </c>
      <c r="K74" s="77" t="s">
        <v>8615</v>
      </c>
      <c r="L74" s="76"/>
      <c r="M74" s="76" t="s">
        <v>38</v>
      </c>
      <c r="N74" s="76"/>
      <c r="O74" s="76">
        <v>1</v>
      </c>
      <c r="P74" s="76"/>
      <c r="Q74" s="76" t="s">
        <v>8569</v>
      </c>
      <c r="R74" s="76"/>
      <c r="S74" s="76"/>
      <c r="U74" s="95" t="s">
        <v>9789</v>
      </c>
      <c r="Y74" s="95" t="s">
        <v>9723</v>
      </c>
      <c r="AC74" s="95" t="s">
        <v>9724</v>
      </c>
      <c r="AI74" s="95" t="s">
        <v>9725</v>
      </c>
      <c r="AP74" s="95" t="s">
        <v>8541</v>
      </c>
      <c r="AR74" s="95" t="s">
        <v>8541</v>
      </c>
      <c r="AS74" s="95" t="s">
        <v>9788</v>
      </c>
      <c r="AT74" s="95" t="s">
        <v>8541</v>
      </c>
      <c r="AW74" s="95" t="s">
        <v>9764</v>
      </c>
      <c r="BC74" s="96" t="s">
        <v>9734</v>
      </c>
      <c r="BD74" s="99">
        <f t="shared" si="3"/>
        <v>0</v>
      </c>
      <c r="CC74" s="99"/>
      <c r="CV74" s="99"/>
      <c r="CW74" s="63"/>
    </row>
    <row r="75" spans="1:101" ht="33.75" x14ac:dyDescent="0.15">
      <c r="A75" s="76">
        <v>74</v>
      </c>
      <c r="B75" s="74" t="s">
        <v>8239</v>
      </c>
      <c r="C75" s="74">
        <v>1132640083</v>
      </c>
      <c r="D75" s="78" t="str">
        <f t="shared" si="2"/>
        <v>https://portal.dnb.de/opac.htm?method=simpleSearch&amp;cqlMode=true&amp;query=idn%3D1132640083</v>
      </c>
      <c r="E75" s="74" t="s">
        <v>9654</v>
      </c>
      <c r="F75" s="74"/>
      <c r="G75" s="76" t="s">
        <v>8515</v>
      </c>
      <c r="H75" s="77" t="s">
        <v>8547</v>
      </c>
      <c r="I75" s="76" t="s">
        <v>56</v>
      </c>
      <c r="J75" s="77" t="s">
        <v>8516</v>
      </c>
      <c r="K75" s="77" t="s">
        <v>8900</v>
      </c>
      <c r="L75" s="76"/>
      <c r="M75" s="76" t="s">
        <v>38</v>
      </c>
      <c r="N75" s="76" t="s">
        <v>8660</v>
      </c>
      <c r="O75" s="76">
        <v>2</v>
      </c>
      <c r="P75" s="76"/>
      <c r="Q75" s="76" t="s">
        <v>8569</v>
      </c>
      <c r="R75" s="76"/>
      <c r="S75" s="76"/>
      <c r="U75" s="95" t="s">
        <v>9789</v>
      </c>
      <c r="Y75" s="95" t="s">
        <v>9723</v>
      </c>
      <c r="AC75" s="95" t="s">
        <v>9724</v>
      </c>
      <c r="AI75" s="95" t="s">
        <v>9725</v>
      </c>
      <c r="AP75" s="95" t="s">
        <v>8541</v>
      </c>
      <c r="AQ75" s="96" t="s">
        <v>9790</v>
      </c>
      <c r="AR75" s="95" t="s">
        <v>8541</v>
      </c>
      <c r="AS75" s="95" t="s">
        <v>9788</v>
      </c>
      <c r="AT75" s="95" t="s">
        <v>8541</v>
      </c>
      <c r="AW75" s="95" t="s">
        <v>9764</v>
      </c>
      <c r="BC75" s="96" t="s">
        <v>9726</v>
      </c>
      <c r="BD75" s="99">
        <f t="shared" si="3"/>
        <v>5</v>
      </c>
      <c r="BF75" s="95" t="s">
        <v>10005</v>
      </c>
      <c r="BQ75" s="95" t="s">
        <v>8541</v>
      </c>
      <c r="BR75" s="95" t="s">
        <v>8541</v>
      </c>
      <c r="CC75" s="99">
        <v>2</v>
      </c>
      <c r="CM75" s="95" t="s">
        <v>8541</v>
      </c>
      <c r="CQ75" s="95" t="s">
        <v>8541</v>
      </c>
      <c r="CV75" s="99">
        <v>3</v>
      </c>
      <c r="CW75" s="63"/>
    </row>
    <row r="76" spans="1:101" ht="33.75" x14ac:dyDescent="0.15">
      <c r="A76" s="76">
        <v>75</v>
      </c>
      <c r="B76" s="74" t="s">
        <v>8240</v>
      </c>
      <c r="C76" s="74">
        <v>1132640091</v>
      </c>
      <c r="D76" s="78" t="str">
        <f t="shared" si="2"/>
        <v>https://portal.dnb.de/opac.htm?method=simpleSearch&amp;cqlMode=true&amp;query=idn%3D1132640091</v>
      </c>
      <c r="E76" s="74" t="s">
        <v>9655</v>
      </c>
      <c r="F76" s="74"/>
      <c r="G76" s="76" t="s">
        <v>8515</v>
      </c>
      <c r="H76" s="77" t="s">
        <v>8547</v>
      </c>
      <c r="I76" s="76" t="s">
        <v>56</v>
      </c>
      <c r="J76" s="77" t="s">
        <v>8516</v>
      </c>
      <c r="K76" s="77" t="s">
        <v>8900</v>
      </c>
      <c r="L76" s="76"/>
      <c r="M76" s="76" t="s">
        <v>38</v>
      </c>
      <c r="N76" s="76"/>
      <c r="O76" s="76">
        <v>1</v>
      </c>
      <c r="P76" s="76"/>
      <c r="Q76" s="76"/>
      <c r="R76" s="76"/>
      <c r="S76" s="76"/>
      <c r="U76" s="95" t="s">
        <v>9789</v>
      </c>
      <c r="Y76" s="95" t="s">
        <v>9723</v>
      </c>
      <c r="AB76" s="95" t="s">
        <v>8541</v>
      </c>
      <c r="AC76" s="95" t="s">
        <v>9724</v>
      </c>
      <c r="AI76" s="95" t="s">
        <v>9725</v>
      </c>
      <c r="AP76" s="95" t="s">
        <v>8541</v>
      </c>
      <c r="AQ76" s="96" t="s">
        <v>9790</v>
      </c>
      <c r="AR76" s="95" t="s">
        <v>8541</v>
      </c>
      <c r="AS76" s="95" t="s">
        <v>9788</v>
      </c>
      <c r="AT76" s="95" t="s">
        <v>8541</v>
      </c>
      <c r="AW76" s="95" t="s">
        <v>9764</v>
      </c>
      <c r="BC76" s="96" t="s">
        <v>9726</v>
      </c>
      <c r="BD76" s="99">
        <f t="shared" si="3"/>
        <v>3</v>
      </c>
      <c r="BF76" s="95" t="s">
        <v>10005</v>
      </c>
      <c r="CC76" s="99"/>
      <c r="CQ76" s="95" t="s">
        <v>8541</v>
      </c>
      <c r="CV76" s="99">
        <v>3</v>
      </c>
      <c r="CW76" s="63"/>
    </row>
    <row r="77" spans="1:101" ht="33.75" x14ac:dyDescent="0.15">
      <c r="A77" s="76">
        <v>76</v>
      </c>
      <c r="B77" s="74" t="s">
        <v>7882</v>
      </c>
      <c r="C77" s="74">
        <v>1066937966</v>
      </c>
      <c r="D77" s="78" t="str">
        <f t="shared" si="2"/>
        <v>https://portal.dnb.de/opac.htm?method=simpleSearch&amp;cqlMode=true&amp;query=idn%3D1066937966</v>
      </c>
      <c r="E77" s="74" t="s">
        <v>7883</v>
      </c>
      <c r="F77" s="74"/>
      <c r="G77" s="76" t="s">
        <v>8515</v>
      </c>
      <c r="H77" s="77" t="s">
        <v>8547</v>
      </c>
      <c r="I77" s="76" t="s">
        <v>56</v>
      </c>
      <c r="J77" s="77" t="s">
        <v>8516</v>
      </c>
      <c r="K77" s="77" t="s">
        <v>8900</v>
      </c>
      <c r="L77" s="76"/>
      <c r="M77" s="76" t="s">
        <v>38</v>
      </c>
      <c r="N77" s="76" t="s">
        <v>8660</v>
      </c>
      <c r="O77" s="76">
        <v>1</v>
      </c>
      <c r="P77" s="76"/>
      <c r="Q77" s="76" t="s">
        <v>8569</v>
      </c>
      <c r="R77" s="76"/>
      <c r="S77" s="76"/>
      <c r="U77" s="95" t="s">
        <v>9787</v>
      </c>
      <c r="Y77" s="95" t="s">
        <v>9723</v>
      </c>
      <c r="AB77" s="95" t="s">
        <v>8541</v>
      </c>
      <c r="AC77" s="95" t="s">
        <v>9724</v>
      </c>
      <c r="AI77" s="95" t="s">
        <v>9725</v>
      </c>
      <c r="AP77" s="95" t="s">
        <v>8541</v>
      </c>
      <c r="AQ77" s="96" t="s">
        <v>9791</v>
      </c>
      <c r="AR77" s="95" t="s">
        <v>8541</v>
      </c>
      <c r="AS77" s="95" t="s">
        <v>9788</v>
      </c>
      <c r="AT77" s="95" t="s">
        <v>8541</v>
      </c>
      <c r="AW77" s="95" t="s">
        <v>9764</v>
      </c>
      <c r="BC77" s="96" t="s">
        <v>9726</v>
      </c>
      <c r="BD77" s="99">
        <f t="shared" si="3"/>
        <v>1</v>
      </c>
      <c r="BF77" s="95" t="s">
        <v>10005</v>
      </c>
      <c r="CC77" s="99"/>
      <c r="CM77" s="95" t="s">
        <v>8541</v>
      </c>
      <c r="CQ77" s="95" t="s">
        <v>8541</v>
      </c>
      <c r="CV77" s="99">
        <v>1</v>
      </c>
      <c r="CW77" s="63"/>
    </row>
    <row r="78" spans="1:101" ht="22.5" x14ac:dyDescent="0.15">
      <c r="A78" s="76">
        <v>77</v>
      </c>
      <c r="B78" s="74" t="s">
        <v>7884</v>
      </c>
      <c r="C78" s="74">
        <v>1132656885</v>
      </c>
      <c r="D78" s="78" t="str">
        <f t="shared" si="2"/>
        <v>https://portal.dnb.de/opac.htm?method=simpleSearch&amp;cqlMode=true&amp;query=idn%3D1132656885</v>
      </c>
      <c r="E78" s="74" t="s">
        <v>8570</v>
      </c>
      <c r="F78" s="74"/>
      <c r="G78" s="80" t="s">
        <v>8515</v>
      </c>
      <c r="H78" s="77" t="s">
        <v>5</v>
      </c>
      <c r="I78" s="76" t="s">
        <v>53</v>
      </c>
      <c r="J78" s="77" t="s">
        <v>8516</v>
      </c>
      <c r="K78" s="77" t="s">
        <v>8565</v>
      </c>
      <c r="L78" s="76"/>
      <c r="M78" s="76"/>
      <c r="N78" s="76" t="s">
        <v>8523</v>
      </c>
      <c r="O78" s="76">
        <v>0</v>
      </c>
      <c r="P78" s="76"/>
      <c r="Q78" s="76"/>
      <c r="R78" s="76"/>
      <c r="S78" s="76"/>
      <c r="Y78" s="95" t="s">
        <v>9723</v>
      </c>
      <c r="AC78" s="95" t="s">
        <v>9739</v>
      </c>
      <c r="AI78" s="95" t="s">
        <v>9725</v>
      </c>
      <c r="AW78" s="95">
        <v>45</v>
      </c>
      <c r="BC78" s="96" t="s">
        <v>9726</v>
      </c>
      <c r="BD78" s="99">
        <f t="shared" si="3"/>
        <v>1</v>
      </c>
      <c r="BP78" s="69" t="s">
        <v>8541</v>
      </c>
      <c r="BQ78" s="95" t="s">
        <v>8541</v>
      </c>
      <c r="BR78" s="95" t="s">
        <v>8541</v>
      </c>
      <c r="CC78" s="99">
        <v>1</v>
      </c>
      <c r="CV78" s="99"/>
      <c r="CW78" s="63"/>
    </row>
    <row r="79" spans="1:101" ht="22.5" x14ac:dyDescent="0.15">
      <c r="A79" s="76">
        <v>78</v>
      </c>
      <c r="B79" s="74" t="s">
        <v>7885</v>
      </c>
      <c r="C79" s="74">
        <v>1132656893</v>
      </c>
      <c r="D79" s="78" t="str">
        <f t="shared" si="2"/>
        <v>https://portal.dnb.de/opac.htm?method=simpleSearch&amp;cqlMode=true&amp;query=idn%3D1132656893</v>
      </c>
      <c r="E79" s="74" t="s">
        <v>8571</v>
      </c>
      <c r="F79" s="74"/>
      <c r="G79" s="80" t="s">
        <v>8541</v>
      </c>
      <c r="H79" s="77" t="s">
        <v>5</v>
      </c>
      <c r="I79" s="76" t="s">
        <v>53</v>
      </c>
      <c r="J79" s="77" t="s">
        <v>8516</v>
      </c>
      <c r="K79" s="77" t="s">
        <v>8565</v>
      </c>
      <c r="L79" s="76"/>
      <c r="M79" s="76"/>
      <c r="N79" s="76"/>
      <c r="O79" s="76">
        <v>0</v>
      </c>
      <c r="P79" s="76"/>
      <c r="Q79" s="76"/>
      <c r="R79" s="76"/>
      <c r="S79" s="76"/>
      <c r="Y79" s="95" t="s">
        <v>9723</v>
      </c>
      <c r="AC79" s="95" t="s">
        <v>9739</v>
      </c>
      <c r="AI79" s="95" t="s">
        <v>9725</v>
      </c>
      <c r="AW79" s="95">
        <v>45</v>
      </c>
      <c r="BC79" s="96" t="s">
        <v>9734</v>
      </c>
      <c r="BD79" s="99">
        <f t="shared" si="3"/>
        <v>0</v>
      </c>
      <c r="CC79" s="99"/>
      <c r="CV79" s="99"/>
      <c r="CW79" s="63"/>
    </row>
    <row r="80" spans="1:101" x14ac:dyDescent="0.15">
      <c r="A80" s="76">
        <v>79</v>
      </c>
      <c r="B80" s="74" t="s">
        <v>7886</v>
      </c>
      <c r="C80" s="74">
        <v>1001753968</v>
      </c>
      <c r="D80" s="78" t="str">
        <f t="shared" si="2"/>
        <v>https://portal.dnb.de/opac.htm?method=simpleSearch&amp;cqlMode=true&amp;query=idn%3D1001753968</v>
      </c>
      <c r="E80" s="74" t="s">
        <v>7887</v>
      </c>
      <c r="F80" s="74"/>
      <c r="G80" s="76"/>
      <c r="H80" s="77"/>
      <c r="I80" s="76"/>
      <c r="J80" s="77"/>
      <c r="K80" s="77"/>
      <c r="L80" s="76"/>
      <c r="M80" s="76"/>
      <c r="N80" s="76"/>
      <c r="O80" s="76"/>
      <c r="P80" s="76"/>
      <c r="Q80" s="76"/>
      <c r="R80" s="76"/>
      <c r="S80" s="76"/>
      <c r="BD80" s="99">
        <f t="shared" si="3"/>
        <v>0</v>
      </c>
      <c r="CC80" s="99"/>
      <c r="CV80" s="99"/>
      <c r="CW80" s="63"/>
    </row>
    <row r="81" spans="1:101" ht="33.75" x14ac:dyDescent="0.15">
      <c r="A81" s="76">
        <v>80</v>
      </c>
      <c r="B81" s="74" t="s">
        <v>7888</v>
      </c>
      <c r="C81" s="74">
        <v>991514378</v>
      </c>
      <c r="D81" s="78" t="str">
        <f t="shared" si="2"/>
        <v>https://portal.dnb.de/opac.htm?method=simpleSearch&amp;cqlMode=true&amp;query=idn%3D991514378</v>
      </c>
      <c r="E81" s="74" t="s">
        <v>7887</v>
      </c>
      <c r="F81" s="74"/>
      <c r="G81" s="76"/>
      <c r="H81" s="77" t="s">
        <v>48</v>
      </c>
      <c r="I81" s="76" t="s">
        <v>56</v>
      </c>
      <c r="J81" s="77" t="s">
        <v>8516</v>
      </c>
      <c r="K81" s="77" t="s">
        <v>8928</v>
      </c>
      <c r="L81" s="76"/>
      <c r="M81" s="76"/>
      <c r="N81" s="76" t="s">
        <v>8660</v>
      </c>
      <c r="O81" s="76">
        <v>1</v>
      </c>
      <c r="P81" s="76"/>
      <c r="Q81" s="76"/>
      <c r="R81" s="76"/>
      <c r="S81" s="76"/>
      <c r="BD81" s="99">
        <f t="shared" si="3"/>
        <v>0</v>
      </c>
      <c r="CC81" s="99"/>
      <c r="CV81" s="99"/>
      <c r="CW81" s="63"/>
    </row>
    <row r="82" spans="1:101" ht="22.5" x14ac:dyDescent="0.15">
      <c r="A82" s="76">
        <v>81</v>
      </c>
      <c r="B82" s="74" t="s">
        <v>7929</v>
      </c>
      <c r="C82" s="74">
        <v>1066859442</v>
      </c>
      <c r="D82" s="78" t="str">
        <f t="shared" si="2"/>
        <v>https://portal.dnb.de/opac.htm?method=simpleSearch&amp;cqlMode=true&amp;query=idn%3D1066859442</v>
      </c>
      <c r="E82" s="74" t="s">
        <v>7930</v>
      </c>
      <c r="F82" s="74"/>
      <c r="G82" s="76" t="s">
        <v>8515</v>
      </c>
      <c r="H82" s="77" t="s">
        <v>5</v>
      </c>
      <c r="I82" s="76" t="s">
        <v>54</v>
      </c>
      <c r="J82" s="77" t="s">
        <v>58</v>
      </c>
      <c r="K82" s="77" t="s">
        <v>8616</v>
      </c>
      <c r="L82" s="76"/>
      <c r="M82" s="76" t="s">
        <v>36</v>
      </c>
      <c r="N82" s="76" t="s">
        <v>8523</v>
      </c>
      <c r="O82" s="76">
        <v>2</v>
      </c>
      <c r="P82" s="76"/>
      <c r="Q82" s="76"/>
      <c r="R82" s="76"/>
      <c r="S82" s="76"/>
      <c r="BD82" s="99">
        <f t="shared" si="3"/>
        <v>0</v>
      </c>
      <c r="CC82" s="99"/>
      <c r="CV82" s="99"/>
      <c r="CW82" s="63"/>
    </row>
    <row r="83" spans="1:101" ht="22.5" x14ac:dyDescent="0.15">
      <c r="A83" s="76">
        <v>82</v>
      </c>
      <c r="B83" s="74" t="s">
        <v>7931</v>
      </c>
      <c r="C83" s="74">
        <v>1132645530</v>
      </c>
      <c r="D83" s="78" t="str">
        <f t="shared" si="2"/>
        <v>https://portal.dnb.de/opac.htm?method=simpleSearch&amp;cqlMode=true&amp;query=idn%3D1132645530</v>
      </c>
      <c r="E83" s="74" t="s">
        <v>8581</v>
      </c>
      <c r="F83" s="74"/>
      <c r="G83" s="76" t="s">
        <v>8515</v>
      </c>
      <c r="H83" s="77" t="s">
        <v>4</v>
      </c>
      <c r="I83" s="76" t="s">
        <v>53</v>
      </c>
      <c r="J83" s="77" t="s">
        <v>58</v>
      </c>
      <c r="K83" s="77" t="s">
        <v>84</v>
      </c>
      <c r="L83" s="76"/>
      <c r="M83" s="76"/>
      <c r="N83" s="76"/>
      <c r="O83" s="76">
        <v>1</v>
      </c>
      <c r="P83" s="76" t="s">
        <v>9</v>
      </c>
      <c r="Q83" s="76"/>
      <c r="R83" s="76"/>
      <c r="S83" s="76"/>
      <c r="Y83" s="95" t="s">
        <v>9729</v>
      </c>
      <c r="AC83" s="95" t="s">
        <v>9739</v>
      </c>
      <c r="AI83" s="95" t="s">
        <v>9725</v>
      </c>
      <c r="AW83" s="95">
        <v>45</v>
      </c>
      <c r="BC83" s="96" t="s">
        <v>9726</v>
      </c>
      <c r="BD83" s="99">
        <f t="shared" si="3"/>
        <v>0.5</v>
      </c>
      <c r="BP83" s="69" t="s">
        <v>8541</v>
      </c>
      <c r="BQ83" s="95" t="s">
        <v>8541</v>
      </c>
      <c r="BR83" s="95" t="s">
        <v>8541</v>
      </c>
      <c r="CC83" s="99">
        <v>0.5</v>
      </c>
      <c r="CD83" s="90" t="s">
        <v>10016</v>
      </c>
      <c r="CV83" s="99"/>
      <c r="CW83" s="63"/>
    </row>
    <row r="84" spans="1:101" x14ac:dyDescent="0.15">
      <c r="A84" s="76">
        <v>83</v>
      </c>
      <c r="B84" s="74" t="s">
        <v>7932</v>
      </c>
      <c r="C84" s="74">
        <v>1132645549</v>
      </c>
      <c r="D84" s="78" t="str">
        <f t="shared" si="2"/>
        <v>https://portal.dnb.de/opac.htm?method=simpleSearch&amp;cqlMode=true&amp;query=idn%3D1132645549</v>
      </c>
      <c r="E84" s="74" t="s">
        <v>8582</v>
      </c>
      <c r="F84" s="74"/>
      <c r="G84" s="76"/>
      <c r="H84" s="77" t="s">
        <v>4</v>
      </c>
      <c r="I84" s="76" t="s">
        <v>53</v>
      </c>
      <c r="J84" s="77" t="s">
        <v>8516</v>
      </c>
      <c r="K84" s="77" t="s">
        <v>84</v>
      </c>
      <c r="L84" s="76"/>
      <c r="M84" s="76"/>
      <c r="N84" s="76"/>
      <c r="O84" s="76">
        <v>1</v>
      </c>
      <c r="P84" s="76"/>
      <c r="Q84" s="76"/>
      <c r="R84" s="76"/>
      <c r="S84" s="76"/>
      <c r="Y84" s="95" t="s">
        <v>9729</v>
      </c>
      <c r="AC84" s="95" t="s">
        <v>9739</v>
      </c>
      <c r="AI84" s="95" t="s">
        <v>9725</v>
      </c>
      <c r="AW84" s="95">
        <v>45</v>
      </c>
      <c r="BC84" s="96" t="s">
        <v>9734</v>
      </c>
      <c r="BD84" s="99">
        <f t="shared" si="3"/>
        <v>0</v>
      </c>
      <c r="CC84" s="99"/>
      <c r="CV84" s="99"/>
      <c r="CW84" s="63"/>
    </row>
    <row r="85" spans="1:101" x14ac:dyDescent="0.15">
      <c r="A85" s="76">
        <v>84</v>
      </c>
      <c r="B85" s="74" t="s">
        <v>7933</v>
      </c>
      <c r="C85" s="74">
        <v>1132645557</v>
      </c>
      <c r="D85" s="78" t="str">
        <f t="shared" si="2"/>
        <v>https://portal.dnb.de/opac.htm?method=simpleSearch&amp;cqlMode=true&amp;query=idn%3D1132645557</v>
      </c>
      <c r="E85" s="74" t="s">
        <v>8583</v>
      </c>
      <c r="F85" s="74"/>
      <c r="G85" s="76" t="s">
        <v>8515</v>
      </c>
      <c r="H85" s="77" t="s">
        <v>4</v>
      </c>
      <c r="I85" s="76" t="s">
        <v>53</v>
      </c>
      <c r="J85" s="77" t="s">
        <v>8516</v>
      </c>
      <c r="K85" s="77" t="s">
        <v>84</v>
      </c>
      <c r="L85" s="76"/>
      <c r="M85" s="76"/>
      <c r="N85" s="76"/>
      <c r="O85" s="76">
        <v>1</v>
      </c>
      <c r="P85" s="76"/>
      <c r="Q85" s="76"/>
      <c r="R85" s="76"/>
      <c r="S85" s="76"/>
      <c r="Y85" s="95" t="s">
        <v>9729</v>
      </c>
      <c r="AC85" s="95" t="s">
        <v>9739</v>
      </c>
      <c r="AI85" s="95" t="s">
        <v>9725</v>
      </c>
      <c r="AW85" s="95">
        <v>45</v>
      </c>
      <c r="BC85" s="96" t="s">
        <v>9734</v>
      </c>
      <c r="BD85" s="99">
        <f t="shared" si="3"/>
        <v>0</v>
      </c>
      <c r="CC85" s="99"/>
      <c r="CV85" s="99"/>
      <c r="CW85" s="63"/>
    </row>
    <row r="86" spans="1:101" x14ac:dyDescent="0.15">
      <c r="A86" s="76">
        <v>85</v>
      </c>
      <c r="B86" s="74" t="s">
        <v>7934</v>
      </c>
      <c r="C86" s="74">
        <v>1132645565</v>
      </c>
      <c r="D86" s="78" t="str">
        <f t="shared" si="2"/>
        <v>https://portal.dnb.de/opac.htm?method=simpleSearch&amp;cqlMode=true&amp;query=idn%3D1132645565</v>
      </c>
      <c r="E86" s="74" t="s">
        <v>8584</v>
      </c>
      <c r="F86" s="74"/>
      <c r="G86" s="76"/>
      <c r="H86" s="77" t="s">
        <v>4</v>
      </c>
      <c r="I86" s="76" t="s">
        <v>53</v>
      </c>
      <c r="J86" s="77" t="s">
        <v>8516</v>
      </c>
      <c r="K86" s="77" t="s">
        <v>84</v>
      </c>
      <c r="L86" s="76"/>
      <c r="M86" s="76"/>
      <c r="N86" s="76"/>
      <c r="O86" s="76">
        <v>2</v>
      </c>
      <c r="P86" s="76"/>
      <c r="Q86" s="76"/>
      <c r="R86" s="76"/>
      <c r="S86" s="76"/>
      <c r="Y86" s="95" t="s">
        <v>9729</v>
      </c>
      <c r="AC86" s="95" t="s">
        <v>9739</v>
      </c>
      <c r="AI86" s="95" t="s">
        <v>9725</v>
      </c>
      <c r="AW86" s="95">
        <v>45</v>
      </c>
      <c r="BC86" s="96" t="s">
        <v>9726</v>
      </c>
      <c r="BD86" s="99">
        <f t="shared" si="3"/>
        <v>0.5</v>
      </c>
      <c r="BP86" s="69" t="s">
        <v>8541</v>
      </c>
      <c r="BQ86" s="95" t="s">
        <v>8541</v>
      </c>
      <c r="BT86" s="95" t="s">
        <v>9775</v>
      </c>
      <c r="BV86" s="95" t="s">
        <v>8541</v>
      </c>
      <c r="CC86" s="99">
        <v>0.5</v>
      </c>
      <c r="CD86" s="90" t="s">
        <v>10017</v>
      </c>
      <c r="CV86" s="99"/>
      <c r="CW86" s="63"/>
    </row>
    <row r="87" spans="1:101" x14ac:dyDescent="0.15">
      <c r="A87" s="76">
        <v>86</v>
      </c>
      <c r="B87" s="74" t="s">
        <v>7935</v>
      </c>
      <c r="C87" s="74">
        <v>1132645573</v>
      </c>
      <c r="D87" s="78" t="str">
        <f t="shared" si="2"/>
        <v>https://portal.dnb.de/opac.htm?method=simpleSearch&amp;cqlMode=true&amp;query=idn%3D1132645573</v>
      </c>
      <c r="E87" s="74" t="s">
        <v>8585</v>
      </c>
      <c r="F87" s="74"/>
      <c r="G87" s="76"/>
      <c r="H87" s="77" t="s">
        <v>4</v>
      </c>
      <c r="I87" s="76" t="s">
        <v>53</v>
      </c>
      <c r="J87" s="77" t="s">
        <v>8516</v>
      </c>
      <c r="K87" s="77" t="s">
        <v>8557</v>
      </c>
      <c r="L87" s="76"/>
      <c r="M87" s="76"/>
      <c r="N87" s="76"/>
      <c r="O87" s="76">
        <v>1</v>
      </c>
      <c r="P87" s="76"/>
      <c r="Q87" s="76"/>
      <c r="R87" s="76"/>
      <c r="S87" s="76"/>
      <c r="Y87" s="95" t="s">
        <v>9729</v>
      </c>
      <c r="AC87" s="95" t="s">
        <v>9739</v>
      </c>
      <c r="AI87" s="95" t="s">
        <v>9725</v>
      </c>
      <c r="AW87" s="95">
        <v>45</v>
      </c>
      <c r="BC87" s="96" t="s">
        <v>9726</v>
      </c>
      <c r="BD87" s="99">
        <f t="shared" si="3"/>
        <v>0.5</v>
      </c>
      <c r="BP87" s="69" t="s">
        <v>8541</v>
      </c>
      <c r="BQ87" s="95" t="s">
        <v>8541</v>
      </c>
      <c r="BT87" s="95" t="s">
        <v>9775</v>
      </c>
      <c r="BV87" s="95" t="s">
        <v>8541</v>
      </c>
      <c r="CC87" s="99">
        <v>0.5</v>
      </c>
      <c r="CD87" s="90" t="s">
        <v>10018</v>
      </c>
      <c r="CV87" s="99"/>
      <c r="CW87" s="63"/>
    </row>
    <row r="88" spans="1:101" ht="22.5" x14ac:dyDescent="0.15">
      <c r="A88" s="76">
        <v>87</v>
      </c>
      <c r="B88" s="74" t="s">
        <v>7936</v>
      </c>
      <c r="C88" s="74">
        <v>1132648556</v>
      </c>
      <c r="D88" s="78" t="str">
        <f t="shared" si="2"/>
        <v>https://portal.dnb.de/opac.htm?method=simpleSearch&amp;cqlMode=true&amp;query=idn%3D1132648556</v>
      </c>
      <c r="E88" s="74" t="s">
        <v>9358</v>
      </c>
      <c r="F88" s="74"/>
      <c r="G88" s="76"/>
      <c r="H88" s="77" t="s">
        <v>48</v>
      </c>
      <c r="I88" s="76" t="s">
        <v>55</v>
      </c>
      <c r="J88" s="77" t="s">
        <v>8516</v>
      </c>
      <c r="K88" s="77" t="s">
        <v>9061</v>
      </c>
      <c r="L88" s="76"/>
      <c r="M88" s="76"/>
      <c r="N88" s="76" t="s">
        <v>8660</v>
      </c>
      <c r="O88" s="76"/>
      <c r="P88" s="76"/>
      <c r="Q88" s="76"/>
      <c r="R88" s="76"/>
      <c r="S88" s="76"/>
      <c r="Y88" s="95" t="s">
        <v>9736</v>
      </c>
      <c r="AC88" s="95" t="s">
        <v>9730</v>
      </c>
      <c r="AI88" s="95" t="s">
        <v>9725</v>
      </c>
      <c r="AP88" s="95" t="s">
        <v>8541</v>
      </c>
      <c r="AQ88" s="96" t="s">
        <v>9768</v>
      </c>
      <c r="AW88" s="95">
        <v>60</v>
      </c>
      <c r="BC88" s="96" t="s">
        <v>9726</v>
      </c>
      <c r="BD88" s="99">
        <f t="shared" si="3"/>
        <v>1</v>
      </c>
      <c r="CC88" s="99"/>
      <c r="CQ88" s="95" t="s">
        <v>8541</v>
      </c>
      <c r="CV88" s="99">
        <v>1</v>
      </c>
      <c r="CW88" s="90" t="s">
        <v>9769</v>
      </c>
    </row>
    <row r="89" spans="1:101" ht="33.75" x14ac:dyDescent="0.15">
      <c r="A89" s="76">
        <v>88</v>
      </c>
      <c r="B89" s="74" t="s">
        <v>7937</v>
      </c>
      <c r="C89" s="74">
        <v>1132648580</v>
      </c>
      <c r="D89" s="78" t="str">
        <f t="shared" si="2"/>
        <v>https://portal.dnb.de/opac.htm?method=simpleSearch&amp;cqlMode=true&amp;query=idn%3D1132648580</v>
      </c>
      <c r="E89" s="74" t="s">
        <v>9355</v>
      </c>
      <c r="F89" s="74"/>
      <c r="G89" s="76"/>
      <c r="H89" s="77" t="s">
        <v>48</v>
      </c>
      <c r="I89" s="76" t="s">
        <v>55</v>
      </c>
      <c r="J89" s="77" t="s">
        <v>8516</v>
      </c>
      <c r="K89" s="77" t="s">
        <v>9352</v>
      </c>
      <c r="L89" s="76"/>
      <c r="M89" s="76"/>
      <c r="N89" s="76"/>
      <c r="O89" s="76">
        <v>1</v>
      </c>
      <c r="P89" s="76"/>
      <c r="Q89" s="76"/>
      <c r="R89" s="76"/>
      <c r="S89" s="76"/>
      <c r="Y89" s="95" t="s">
        <v>9736</v>
      </c>
      <c r="AC89" s="95" t="s">
        <v>9730</v>
      </c>
      <c r="AI89" s="95" t="s">
        <v>9725</v>
      </c>
      <c r="AP89" s="95" t="s">
        <v>8541</v>
      </c>
      <c r="AQ89" s="96" t="s">
        <v>9771</v>
      </c>
      <c r="AW89" s="95" t="s">
        <v>9764</v>
      </c>
      <c r="BC89" s="96" t="s">
        <v>9726</v>
      </c>
      <c r="BD89" s="99">
        <f t="shared" si="3"/>
        <v>1</v>
      </c>
      <c r="CC89" s="99"/>
      <c r="CL89" s="95" t="s">
        <v>8541</v>
      </c>
      <c r="CQ89" s="95" t="s">
        <v>8541</v>
      </c>
      <c r="CV89" s="99">
        <v>1</v>
      </c>
      <c r="CW89" s="63"/>
    </row>
    <row r="90" spans="1:101" ht="33.75" x14ac:dyDescent="0.15">
      <c r="A90" s="76">
        <v>89</v>
      </c>
      <c r="B90" s="74" t="s">
        <v>7938</v>
      </c>
      <c r="C90" s="74">
        <v>1132648564</v>
      </c>
      <c r="D90" s="78" t="str">
        <f t="shared" si="2"/>
        <v>https://portal.dnb.de/opac.htm?method=simpleSearch&amp;cqlMode=true&amp;query=idn%3D1132648564</v>
      </c>
      <c r="E90" s="74" t="s">
        <v>9356</v>
      </c>
      <c r="F90" s="74"/>
      <c r="G90" s="76"/>
      <c r="H90" s="77" t="s">
        <v>48</v>
      </c>
      <c r="I90" s="76" t="s">
        <v>55</v>
      </c>
      <c r="J90" s="77" t="s">
        <v>8516</v>
      </c>
      <c r="K90" s="77" t="s">
        <v>9352</v>
      </c>
      <c r="L90" s="76"/>
      <c r="M90" s="76"/>
      <c r="N90" s="76"/>
      <c r="O90" s="76">
        <v>1</v>
      </c>
      <c r="P90" s="76"/>
      <c r="Q90" s="76"/>
      <c r="R90" s="76"/>
      <c r="S90" s="76"/>
      <c r="Y90" s="95" t="s">
        <v>9736</v>
      </c>
      <c r="AC90" s="95" t="s">
        <v>9730</v>
      </c>
      <c r="AI90" s="95" t="s">
        <v>9725</v>
      </c>
      <c r="AW90" s="95" t="s">
        <v>9770</v>
      </c>
      <c r="BC90" s="96" t="s">
        <v>9734</v>
      </c>
      <c r="BD90" s="99">
        <f t="shared" si="3"/>
        <v>0</v>
      </c>
      <c r="CC90" s="99"/>
      <c r="CV90" s="99"/>
      <c r="CW90" s="63"/>
    </row>
    <row r="91" spans="1:101" x14ac:dyDescent="0.15">
      <c r="A91" s="76">
        <v>90</v>
      </c>
      <c r="B91" s="74" t="s">
        <v>7939</v>
      </c>
      <c r="C91" s="74">
        <v>1132648572</v>
      </c>
      <c r="D91" s="78" t="str">
        <f t="shared" si="2"/>
        <v>https://portal.dnb.de/opac.htm?method=simpleSearch&amp;cqlMode=true&amp;query=idn%3D1132648572</v>
      </c>
      <c r="E91" s="74" t="s">
        <v>9357</v>
      </c>
      <c r="F91" s="74"/>
      <c r="G91" s="76"/>
      <c r="H91" s="77" t="s">
        <v>48</v>
      </c>
      <c r="I91" s="76" t="s">
        <v>55</v>
      </c>
      <c r="J91" s="77" t="s">
        <v>8516</v>
      </c>
      <c r="K91" s="77" t="s">
        <v>62</v>
      </c>
      <c r="L91" s="76"/>
      <c r="M91" s="76"/>
      <c r="N91" s="76" t="s">
        <v>8660</v>
      </c>
      <c r="O91" s="76">
        <v>0</v>
      </c>
      <c r="P91" s="76"/>
      <c r="Q91" s="76"/>
      <c r="R91" s="76"/>
      <c r="S91" s="76"/>
      <c r="Y91" s="95" t="s">
        <v>9736</v>
      </c>
      <c r="AC91" s="95" t="s">
        <v>9730</v>
      </c>
      <c r="AI91" s="95" t="s">
        <v>9725</v>
      </c>
      <c r="AW91" s="95">
        <v>60</v>
      </c>
      <c r="BC91" s="96" t="s">
        <v>9734</v>
      </c>
      <c r="BD91" s="99">
        <f t="shared" si="3"/>
        <v>0</v>
      </c>
      <c r="CC91" s="99"/>
      <c r="CV91" s="99"/>
      <c r="CW91" s="63"/>
    </row>
    <row r="92" spans="1:101" x14ac:dyDescent="0.15">
      <c r="A92" s="76">
        <v>91</v>
      </c>
      <c r="B92" s="74" t="s">
        <v>7940</v>
      </c>
      <c r="C92" s="74">
        <v>1066799997</v>
      </c>
      <c r="D92" s="78" t="str">
        <f t="shared" si="2"/>
        <v>https://portal.dnb.de/opac.htm?method=simpleSearch&amp;cqlMode=true&amp;query=idn%3D1066799997</v>
      </c>
      <c r="E92" s="74" t="s">
        <v>7941</v>
      </c>
      <c r="F92" s="74"/>
      <c r="G92" s="76"/>
      <c r="H92" s="77"/>
      <c r="I92" s="76" t="s">
        <v>56</v>
      </c>
      <c r="J92" s="77"/>
      <c r="K92" s="77"/>
      <c r="L92" s="76"/>
      <c r="M92" s="76"/>
      <c r="N92" s="76"/>
      <c r="O92" s="76"/>
      <c r="P92" s="76"/>
      <c r="Q92" s="76"/>
      <c r="R92" s="76"/>
      <c r="S92" s="76"/>
      <c r="U92" s="95" t="s">
        <v>9781</v>
      </c>
      <c r="Y92" s="95" t="s">
        <v>9729</v>
      </c>
      <c r="AB92" s="95" t="s">
        <v>8541</v>
      </c>
      <c r="AC92" s="95" t="s">
        <v>9730</v>
      </c>
      <c r="AI92" s="95" t="s">
        <v>9725</v>
      </c>
      <c r="AR92" s="95" t="s">
        <v>8541</v>
      </c>
      <c r="AW92" s="95" t="s">
        <v>9760</v>
      </c>
      <c r="BC92" s="96" t="s">
        <v>9734</v>
      </c>
      <c r="BD92" s="99">
        <f t="shared" si="3"/>
        <v>0</v>
      </c>
      <c r="CC92" s="99"/>
      <c r="CV92" s="99"/>
      <c r="CW92" s="63"/>
    </row>
    <row r="93" spans="1:101" ht="22.5" x14ac:dyDescent="0.15">
      <c r="A93" s="76">
        <v>92</v>
      </c>
      <c r="B93" s="74" t="s">
        <v>7942</v>
      </c>
      <c r="C93" s="74">
        <v>1132640512</v>
      </c>
      <c r="D93" s="78" t="str">
        <f t="shared" si="2"/>
        <v>https://portal.dnb.de/opac.htm?method=simpleSearch&amp;cqlMode=true&amp;query=idn%3D1132640512</v>
      </c>
      <c r="E93" s="74" t="s">
        <v>8586</v>
      </c>
      <c r="F93" s="74"/>
      <c r="G93" s="76" t="s">
        <v>8541</v>
      </c>
      <c r="H93" s="77" t="s">
        <v>8553</v>
      </c>
      <c r="I93" s="76" t="s">
        <v>53</v>
      </c>
      <c r="J93" s="77" t="s">
        <v>8516</v>
      </c>
      <c r="K93" s="77" t="s">
        <v>8520</v>
      </c>
      <c r="L93" s="76"/>
      <c r="M93" s="76"/>
      <c r="N93" s="76"/>
      <c r="O93" s="76">
        <v>2</v>
      </c>
      <c r="P93" s="76"/>
      <c r="Q93" s="76"/>
      <c r="R93" s="76"/>
      <c r="S93" s="76"/>
      <c r="Y93" s="95" t="s">
        <v>9723</v>
      </c>
      <c r="AC93" s="95" t="s">
        <v>9724</v>
      </c>
      <c r="AI93" s="95" t="s">
        <v>9725</v>
      </c>
      <c r="AW93" s="95">
        <v>45</v>
      </c>
      <c r="BC93" s="96" t="s">
        <v>9726</v>
      </c>
      <c r="BD93" s="99">
        <f t="shared" si="3"/>
        <v>0.5</v>
      </c>
      <c r="BF93" s="95" t="s">
        <v>10005</v>
      </c>
      <c r="BP93" s="69" t="s">
        <v>8541</v>
      </c>
      <c r="BQ93" s="95" t="s">
        <v>8541</v>
      </c>
      <c r="BR93" s="95" t="s">
        <v>8541</v>
      </c>
      <c r="CC93" s="99">
        <v>0.5</v>
      </c>
      <c r="CV93" s="99"/>
      <c r="CW93" s="63"/>
    </row>
    <row r="94" spans="1:101" ht="22.5" x14ac:dyDescent="0.15">
      <c r="A94" s="76">
        <v>93</v>
      </c>
      <c r="B94" s="74" t="s">
        <v>7943</v>
      </c>
      <c r="C94" s="74">
        <v>1132640504</v>
      </c>
      <c r="D94" s="78" t="str">
        <f t="shared" si="2"/>
        <v>https://portal.dnb.de/opac.htm?method=simpleSearch&amp;cqlMode=true&amp;query=idn%3D1132640504</v>
      </c>
      <c r="E94" s="74" t="s">
        <v>8587</v>
      </c>
      <c r="F94" s="74"/>
      <c r="G94" s="76" t="s">
        <v>8541</v>
      </c>
      <c r="H94" s="77" t="s">
        <v>8553</v>
      </c>
      <c r="I94" s="76" t="s">
        <v>53</v>
      </c>
      <c r="J94" s="77" t="s">
        <v>8516</v>
      </c>
      <c r="K94" s="77" t="s">
        <v>8520</v>
      </c>
      <c r="L94" s="76"/>
      <c r="M94" s="76"/>
      <c r="N94" s="76"/>
      <c r="O94" s="76">
        <v>2</v>
      </c>
      <c r="P94" s="76"/>
      <c r="Q94" s="76"/>
      <c r="R94" s="76"/>
      <c r="S94" s="76"/>
      <c r="Y94" s="95" t="s">
        <v>9723</v>
      </c>
      <c r="AC94" s="95" t="s">
        <v>9724</v>
      </c>
      <c r="AI94" s="95" t="s">
        <v>9725</v>
      </c>
      <c r="AW94" s="95">
        <v>45</v>
      </c>
      <c r="BC94" s="96" t="s">
        <v>9734</v>
      </c>
      <c r="BD94" s="99">
        <f t="shared" si="3"/>
        <v>0</v>
      </c>
      <c r="BF94" s="95" t="s">
        <v>10005</v>
      </c>
      <c r="CC94" s="99"/>
      <c r="CV94" s="99"/>
      <c r="CW94" s="63"/>
    </row>
    <row r="95" spans="1:101" ht="22.5" x14ac:dyDescent="0.15">
      <c r="A95" s="76">
        <v>94</v>
      </c>
      <c r="B95" s="74" t="s">
        <v>7944</v>
      </c>
      <c r="C95" s="74">
        <v>1132653797</v>
      </c>
      <c r="D95" s="78" t="str">
        <f t="shared" si="2"/>
        <v>https://portal.dnb.de/opac.htm?method=simpleSearch&amp;cqlMode=true&amp;query=idn%3D1132653797</v>
      </c>
      <c r="E95" s="74" t="s">
        <v>8588</v>
      </c>
      <c r="F95" s="74"/>
      <c r="G95" s="76" t="s">
        <v>8515</v>
      </c>
      <c r="H95" s="77" t="s">
        <v>4</v>
      </c>
      <c r="I95" s="76" t="s">
        <v>53</v>
      </c>
      <c r="J95" s="77" t="s">
        <v>8516</v>
      </c>
      <c r="K95" s="77" t="s">
        <v>8617</v>
      </c>
      <c r="L95" s="76"/>
      <c r="M95" s="76"/>
      <c r="N95" s="76"/>
      <c r="O95" s="76">
        <v>2</v>
      </c>
      <c r="P95" s="76"/>
      <c r="Q95" s="76" t="s">
        <v>8847</v>
      </c>
      <c r="R95" s="76"/>
      <c r="S95" s="76"/>
      <c r="Y95" s="95" t="s">
        <v>9729</v>
      </c>
      <c r="AC95" s="95" t="s">
        <v>9724</v>
      </c>
      <c r="AI95" s="95" t="s">
        <v>9725</v>
      </c>
      <c r="AW95" s="95">
        <v>0</v>
      </c>
      <c r="BC95" s="96" t="s">
        <v>9734</v>
      </c>
      <c r="BD95" s="99">
        <f t="shared" si="3"/>
        <v>0</v>
      </c>
      <c r="CC95" s="99"/>
      <c r="CF95" s="95" t="s">
        <v>8541</v>
      </c>
      <c r="CV95" s="99"/>
      <c r="CW95" s="63"/>
    </row>
    <row r="96" spans="1:101" ht="22.5" x14ac:dyDescent="0.15">
      <c r="A96" s="76">
        <v>95</v>
      </c>
      <c r="B96" s="74" t="s">
        <v>7945</v>
      </c>
      <c r="C96" s="74">
        <v>1132653789</v>
      </c>
      <c r="D96" s="78" t="str">
        <f t="shared" si="2"/>
        <v>https://portal.dnb.de/opac.htm?method=simpleSearch&amp;cqlMode=true&amp;query=idn%3D1132653789</v>
      </c>
      <c r="E96" s="74" t="s">
        <v>8589</v>
      </c>
      <c r="F96" s="74"/>
      <c r="G96" s="76" t="s">
        <v>8515</v>
      </c>
      <c r="H96" s="77" t="s">
        <v>5</v>
      </c>
      <c r="I96" s="76" t="s">
        <v>53</v>
      </c>
      <c r="J96" s="77" t="s">
        <v>8516</v>
      </c>
      <c r="K96" s="77" t="s">
        <v>8617</v>
      </c>
      <c r="L96" s="76"/>
      <c r="M96" s="76"/>
      <c r="N96" s="76"/>
      <c r="O96" s="76">
        <v>2</v>
      </c>
      <c r="P96" s="76"/>
      <c r="Q96" s="76"/>
      <c r="R96" s="76"/>
      <c r="S96" s="76"/>
      <c r="Y96" s="95" t="s">
        <v>9729</v>
      </c>
      <c r="AC96" s="95" t="s">
        <v>9724</v>
      </c>
      <c r="AI96" s="95" t="s">
        <v>9725</v>
      </c>
      <c r="AW96" s="95">
        <v>45</v>
      </c>
      <c r="BC96" s="96" t="s">
        <v>9726</v>
      </c>
      <c r="BD96" s="99">
        <f t="shared" si="3"/>
        <v>1</v>
      </c>
      <c r="BP96" s="69" t="s">
        <v>8541</v>
      </c>
      <c r="BQ96" s="95" t="s">
        <v>8541</v>
      </c>
      <c r="BR96" s="95" t="s">
        <v>8541</v>
      </c>
      <c r="CC96" s="99">
        <v>0.5</v>
      </c>
      <c r="CQ96" s="95" t="s">
        <v>8541</v>
      </c>
      <c r="CV96" s="99">
        <v>0.5</v>
      </c>
      <c r="CW96" s="63"/>
    </row>
    <row r="97" spans="1:101" ht="22.5" x14ac:dyDescent="0.15">
      <c r="A97" s="76">
        <v>96</v>
      </c>
      <c r="B97" s="74" t="s">
        <v>7946</v>
      </c>
      <c r="C97" s="74">
        <v>1132653770</v>
      </c>
      <c r="D97" s="78" t="str">
        <f t="shared" si="2"/>
        <v>https://portal.dnb.de/opac.htm?method=simpleSearch&amp;cqlMode=true&amp;query=idn%3D1132653770</v>
      </c>
      <c r="E97" s="74" t="s">
        <v>8590</v>
      </c>
      <c r="F97" s="74"/>
      <c r="G97" s="76" t="s">
        <v>8541</v>
      </c>
      <c r="H97" s="77" t="s">
        <v>4</v>
      </c>
      <c r="I97" s="76" t="s">
        <v>53</v>
      </c>
      <c r="J97" s="77" t="s">
        <v>8516</v>
      </c>
      <c r="K97" s="77" t="s">
        <v>8617</v>
      </c>
      <c r="L97" s="76"/>
      <c r="M97" s="76"/>
      <c r="N97" s="76"/>
      <c r="O97" s="76">
        <v>2</v>
      </c>
      <c r="P97" s="76"/>
      <c r="Q97" s="76"/>
      <c r="R97" s="76"/>
      <c r="S97" s="76"/>
      <c r="Y97" s="95" t="s">
        <v>9729</v>
      </c>
      <c r="AC97" s="95" t="s">
        <v>9724</v>
      </c>
      <c r="AI97" s="95" t="s">
        <v>9725</v>
      </c>
      <c r="AW97" s="95">
        <v>45</v>
      </c>
      <c r="BC97" s="96" t="s">
        <v>9734</v>
      </c>
      <c r="BD97" s="99">
        <f t="shared" si="3"/>
        <v>0</v>
      </c>
      <c r="CC97" s="99"/>
      <c r="CV97" s="99"/>
      <c r="CW97" s="63"/>
    </row>
    <row r="98" spans="1:101" ht="22.5" x14ac:dyDescent="0.15">
      <c r="A98" s="76">
        <v>97</v>
      </c>
      <c r="B98" s="74" t="s">
        <v>7947</v>
      </c>
      <c r="C98" s="74">
        <v>1066875693</v>
      </c>
      <c r="D98" s="78" t="str">
        <f t="shared" si="2"/>
        <v>https://portal.dnb.de/opac.htm?method=simpleSearch&amp;cqlMode=true&amp;query=idn%3D1066875693</v>
      </c>
      <c r="E98" s="74" t="s">
        <v>7948</v>
      </c>
      <c r="F98" s="74"/>
      <c r="G98" s="76" t="s">
        <v>8515</v>
      </c>
      <c r="H98" s="77" t="s">
        <v>5</v>
      </c>
      <c r="I98" s="76" t="s">
        <v>53</v>
      </c>
      <c r="J98" s="77" t="s">
        <v>8516</v>
      </c>
      <c r="K98" s="77" t="s">
        <v>8617</v>
      </c>
      <c r="L98" s="76"/>
      <c r="M98" s="76"/>
      <c r="N98" s="76"/>
      <c r="O98" s="76">
        <v>2</v>
      </c>
      <c r="P98" s="76"/>
      <c r="Q98" s="76"/>
      <c r="R98" s="76"/>
      <c r="S98" s="76"/>
      <c r="BD98" s="99">
        <f t="shared" si="3"/>
        <v>0</v>
      </c>
      <c r="CC98" s="99"/>
      <c r="CV98" s="99"/>
      <c r="CW98" s="63"/>
    </row>
    <row r="99" spans="1:101" ht="22.5" x14ac:dyDescent="0.15">
      <c r="A99" s="76">
        <v>98</v>
      </c>
      <c r="B99" s="74" t="s">
        <v>7951</v>
      </c>
      <c r="C99" s="74">
        <v>1066785597</v>
      </c>
      <c r="D99" s="78" t="str">
        <f t="shared" si="2"/>
        <v>https://portal.dnb.de/opac.htm?method=simpleSearch&amp;cqlMode=true&amp;query=idn%3D1066785597</v>
      </c>
      <c r="E99" s="74" t="s">
        <v>7952</v>
      </c>
      <c r="F99" s="74"/>
      <c r="G99" s="76" t="s">
        <v>8515</v>
      </c>
      <c r="H99" s="77" t="s">
        <v>4</v>
      </c>
      <c r="I99" s="76" t="s">
        <v>53</v>
      </c>
      <c r="J99" s="77" t="s">
        <v>8516</v>
      </c>
      <c r="K99" s="77" t="s">
        <v>8617</v>
      </c>
      <c r="L99" s="76"/>
      <c r="M99" s="76"/>
      <c r="N99" s="76"/>
      <c r="O99" s="76">
        <v>3</v>
      </c>
      <c r="P99" s="76" t="s">
        <v>9</v>
      </c>
      <c r="Q99" s="76"/>
      <c r="R99" s="76"/>
      <c r="S99" s="76"/>
      <c r="Y99" s="95" t="s">
        <v>9729</v>
      </c>
      <c r="AC99" s="95" t="s">
        <v>9724</v>
      </c>
      <c r="AI99" s="95" t="s">
        <v>9725</v>
      </c>
      <c r="AW99" s="95">
        <v>45</v>
      </c>
      <c r="BC99" s="96" t="s">
        <v>9726</v>
      </c>
      <c r="BD99" s="99">
        <f t="shared" si="3"/>
        <v>1</v>
      </c>
      <c r="BP99" s="69" t="s">
        <v>8541</v>
      </c>
      <c r="BQ99" s="95" t="s">
        <v>8541</v>
      </c>
      <c r="BR99" s="95" t="s">
        <v>8541</v>
      </c>
      <c r="CC99" s="99">
        <v>0.5</v>
      </c>
      <c r="CD99" s="90" t="s">
        <v>10026</v>
      </c>
      <c r="CJ99" s="95" t="s">
        <v>8541</v>
      </c>
      <c r="CV99" s="99">
        <v>0.5</v>
      </c>
      <c r="CW99" s="63"/>
    </row>
    <row r="100" spans="1:101" ht="22.5" x14ac:dyDescent="0.15">
      <c r="A100" s="76">
        <v>99</v>
      </c>
      <c r="B100" s="74" t="s">
        <v>7958</v>
      </c>
      <c r="C100" s="74">
        <v>1132655676</v>
      </c>
      <c r="D100" s="78" t="str">
        <f t="shared" si="2"/>
        <v>https://portal.dnb.de/opac.htm?method=simpleSearch&amp;cqlMode=true&amp;query=idn%3D1132655676</v>
      </c>
      <c r="E100" s="74" t="s">
        <v>8591</v>
      </c>
      <c r="F100" s="74"/>
      <c r="G100" s="76" t="s">
        <v>8515</v>
      </c>
      <c r="H100" s="77" t="s">
        <v>4</v>
      </c>
      <c r="I100" s="76" t="s">
        <v>53</v>
      </c>
      <c r="J100" s="77" t="s">
        <v>8516</v>
      </c>
      <c r="K100" s="77" t="s">
        <v>8551</v>
      </c>
      <c r="L100" s="76"/>
      <c r="M100" s="76"/>
      <c r="N100" s="76"/>
      <c r="O100" s="76">
        <v>3</v>
      </c>
      <c r="P100" s="76" t="s">
        <v>9</v>
      </c>
      <c r="Q100" s="76"/>
      <c r="R100" s="76"/>
      <c r="S100" s="76"/>
      <c r="Y100" s="95" t="s">
        <v>9729</v>
      </c>
      <c r="AC100" s="95" t="s">
        <v>9739</v>
      </c>
      <c r="AI100" s="95" t="s">
        <v>9725</v>
      </c>
      <c r="AW100" s="95">
        <v>45</v>
      </c>
      <c r="BC100" s="96" t="s">
        <v>9726</v>
      </c>
      <c r="BD100" s="99">
        <f t="shared" si="3"/>
        <v>0.5</v>
      </c>
      <c r="BP100" s="69" t="s">
        <v>8541</v>
      </c>
      <c r="BQ100" s="95" t="s">
        <v>8541</v>
      </c>
      <c r="BT100" s="95" t="s">
        <v>9772</v>
      </c>
      <c r="BV100" s="95" t="s">
        <v>8541</v>
      </c>
      <c r="CC100" s="99">
        <v>0.5</v>
      </c>
      <c r="CD100" s="90" t="s">
        <v>10017</v>
      </c>
      <c r="CV100" s="99"/>
      <c r="CW100" s="63"/>
    </row>
    <row r="101" spans="1:101" x14ac:dyDescent="0.15">
      <c r="A101" s="76">
        <v>100</v>
      </c>
      <c r="B101" s="74" t="s">
        <v>7960</v>
      </c>
      <c r="C101" s="74">
        <v>12397458</v>
      </c>
      <c r="D101" s="78" t="str">
        <f t="shared" si="2"/>
        <v>https://portal.dnb.de/opac.htm?method=simpleSearch&amp;cqlMode=true&amp;query=idn%3D12397458</v>
      </c>
      <c r="E101" s="74" t="s">
        <v>7959</v>
      </c>
      <c r="F101" s="74"/>
      <c r="G101" s="76"/>
      <c r="H101" s="77"/>
      <c r="I101" s="76"/>
      <c r="J101" s="77"/>
      <c r="K101" s="77"/>
      <c r="L101" s="76"/>
      <c r="M101" s="76"/>
      <c r="N101" s="76"/>
      <c r="O101" s="76"/>
      <c r="P101" s="76"/>
      <c r="Q101" s="76"/>
      <c r="R101" s="76" t="s">
        <v>8592</v>
      </c>
      <c r="S101" s="76"/>
      <c r="BD101" s="99">
        <f t="shared" si="3"/>
        <v>0</v>
      </c>
      <c r="CC101" s="99"/>
      <c r="CV101" s="99"/>
      <c r="CW101" s="63"/>
    </row>
    <row r="102" spans="1:101" x14ac:dyDescent="0.15">
      <c r="A102" s="76">
        <v>101</v>
      </c>
      <c r="B102" s="74" t="s">
        <v>7961</v>
      </c>
      <c r="C102" s="74">
        <v>12397458</v>
      </c>
      <c r="D102" s="78" t="str">
        <f t="shared" si="2"/>
        <v>https://portal.dnb.de/opac.htm?method=simpleSearch&amp;cqlMode=true&amp;query=idn%3D12397458</v>
      </c>
      <c r="E102" s="74" t="s">
        <v>7959</v>
      </c>
      <c r="F102" s="74"/>
      <c r="G102" s="76"/>
      <c r="H102" s="77"/>
      <c r="I102" s="76"/>
      <c r="J102" s="77"/>
      <c r="K102" s="77"/>
      <c r="L102" s="76"/>
      <c r="M102" s="76"/>
      <c r="N102" s="76"/>
      <c r="O102" s="76"/>
      <c r="P102" s="76"/>
      <c r="Q102" s="76"/>
      <c r="R102" s="76" t="s">
        <v>8592</v>
      </c>
      <c r="S102" s="76"/>
      <c r="BD102" s="99">
        <f t="shared" si="3"/>
        <v>0</v>
      </c>
      <c r="CC102" s="99"/>
      <c r="CV102" s="99"/>
      <c r="CW102" s="63"/>
    </row>
    <row r="103" spans="1:101" x14ac:dyDescent="0.15">
      <c r="A103" s="76"/>
      <c r="B103" s="74"/>
      <c r="C103" s="74"/>
      <c r="D103" s="78" t="str">
        <f t="shared" si="2"/>
        <v>https://portal.dnb.de/opac.htm?method=simpleSearch&amp;cqlMode=true&amp;query=idn%3D</v>
      </c>
      <c r="E103" s="74" t="s">
        <v>8594</v>
      </c>
      <c r="F103" s="74"/>
      <c r="G103" s="76" t="s">
        <v>8541</v>
      </c>
      <c r="H103" s="77" t="s">
        <v>4</v>
      </c>
      <c r="I103" s="76" t="s">
        <v>53</v>
      </c>
      <c r="J103" s="77" t="s">
        <v>8516</v>
      </c>
      <c r="K103" s="77" t="s">
        <v>84</v>
      </c>
      <c r="L103" s="76"/>
      <c r="M103" s="76"/>
      <c r="N103" s="76"/>
      <c r="O103" s="76">
        <v>1</v>
      </c>
      <c r="P103" s="76"/>
      <c r="Q103" s="76"/>
      <c r="R103" s="76"/>
      <c r="S103" s="76"/>
      <c r="Y103" s="95" t="s">
        <v>9729</v>
      </c>
      <c r="AC103" s="95" t="s">
        <v>9739</v>
      </c>
      <c r="AI103" s="95" t="s">
        <v>9725</v>
      </c>
      <c r="AW103" s="95">
        <v>60</v>
      </c>
      <c r="BC103" s="96" t="s">
        <v>9734</v>
      </c>
      <c r="BD103" s="99">
        <f t="shared" si="3"/>
        <v>0</v>
      </c>
      <c r="CC103" s="99"/>
      <c r="CV103" s="99"/>
      <c r="CW103" s="63"/>
    </row>
    <row r="104" spans="1:101" ht="22.5" x14ac:dyDescent="0.15">
      <c r="A104" s="76"/>
      <c r="B104" s="74"/>
      <c r="C104" s="74"/>
      <c r="D104" s="78" t="str">
        <f t="shared" si="2"/>
        <v>https://portal.dnb.de/opac.htm?method=simpleSearch&amp;cqlMode=true&amp;query=idn%3D</v>
      </c>
      <c r="E104" s="74" t="s">
        <v>8593</v>
      </c>
      <c r="F104" s="74"/>
      <c r="G104" s="76" t="s">
        <v>8515</v>
      </c>
      <c r="H104" s="77" t="s">
        <v>4</v>
      </c>
      <c r="I104" s="76" t="s">
        <v>53</v>
      </c>
      <c r="J104" s="77" t="s">
        <v>8516</v>
      </c>
      <c r="K104" s="77" t="s">
        <v>8601</v>
      </c>
      <c r="L104" s="76"/>
      <c r="M104" s="76"/>
      <c r="N104" s="76"/>
      <c r="O104" s="76">
        <v>2</v>
      </c>
      <c r="P104" s="76"/>
      <c r="Q104" s="76"/>
      <c r="R104" s="76"/>
      <c r="S104" s="76"/>
      <c r="Y104" s="95" t="s">
        <v>9729</v>
      </c>
      <c r="AC104" s="95" t="s">
        <v>9739</v>
      </c>
      <c r="AI104" s="95" t="s">
        <v>9725</v>
      </c>
      <c r="AW104" s="95">
        <v>45</v>
      </c>
      <c r="BC104" s="96" t="s">
        <v>9726</v>
      </c>
      <c r="BD104" s="99">
        <f t="shared" si="3"/>
        <v>0.5</v>
      </c>
      <c r="BP104" s="69" t="s">
        <v>8541</v>
      </c>
      <c r="BQ104" s="95" t="s">
        <v>8541</v>
      </c>
      <c r="BR104" s="95" t="s">
        <v>8541</v>
      </c>
      <c r="BT104" s="95" t="s">
        <v>9772</v>
      </c>
      <c r="CC104" s="99">
        <v>0.5</v>
      </c>
      <c r="CD104" s="90" t="s">
        <v>10017</v>
      </c>
      <c r="CV104" s="99"/>
      <c r="CW104" s="63"/>
    </row>
    <row r="105" spans="1:101" ht="22.5" x14ac:dyDescent="0.15">
      <c r="A105" s="76"/>
      <c r="B105" s="74"/>
      <c r="C105" s="74"/>
      <c r="D105" s="78" t="str">
        <f t="shared" si="2"/>
        <v>https://portal.dnb.de/opac.htm?method=simpleSearch&amp;cqlMode=true&amp;query=idn%3D</v>
      </c>
      <c r="E105" s="74" t="s">
        <v>8596</v>
      </c>
      <c r="F105" s="74"/>
      <c r="G105" s="76" t="s">
        <v>8515</v>
      </c>
      <c r="H105" s="77" t="s">
        <v>4</v>
      </c>
      <c r="I105" s="76" t="s">
        <v>53</v>
      </c>
      <c r="J105" s="77" t="s">
        <v>8516</v>
      </c>
      <c r="K105" s="77" t="s">
        <v>8551</v>
      </c>
      <c r="L105" s="76"/>
      <c r="M105" s="76"/>
      <c r="N105" s="76" t="s">
        <v>8523</v>
      </c>
      <c r="O105" s="76">
        <v>1</v>
      </c>
      <c r="P105" s="76"/>
      <c r="Q105" s="76"/>
      <c r="R105" s="76"/>
      <c r="S105" s="76"/>
      <c r="Y105" s="95" t="s">
        <v>9729</v>
      </c>
      <c r="AC105" s="95" t="s">
        <v>9739</v>
      </c>
      <c r="AI105" s="95" t="s">
        <v>9725</v>
      </c>
      <c r="AW105" s="95">
        <v>45</v>
      </c>
      <c r="BC105" s="96" t="s">
        <v>9734</v>
      </c>
      <c r="BD105" s="99">
        <f t="shared" si="3"/>
        <v>0</v>
      </c>
      <c r="CC105" s="99"/>
      <c r="CV105" s="99"/>
      <c r="CW105" s="63"/>
    </row>
    <row r="106" spans="1:101" ht="22.5" x14ac:dyDescent="0.15">
      <c r="A106" s="76"/>
      <c r="B106" s="74"/>
      <c r="C106" s="74"/>
      <c r="D106" s="78" t="str">
        <f t="shared" si="2"/>
        <v>https://portal.dnb.de/opac.htm?method=simpleSearch&amp;cqlMode=true&amp;query=idn%3D</v>
      </c>
      <c r="E106" s="74" t="s">
        <v>8597</v>
      </c>
      <c r="F106" s="74"/>
      <c r="G106" s="76" t="s">
        <v>8515</v>
      </c>
      <c r="H106" s="77" t="s">
        <v>4</v>
      </c>
      <c r="I106" s="76" t="s">
        <v>53</v>
      </c>
      <c r="J106" s="77" t="s">
        <v>8516</v>
      </c>
      <c r="K106" s="77" t="s">
        <v>8551</v>
      </c>
      <c r="L106" s="76"/>
      <c r="M106" s="76"/>
      <c r="N106" s="76" t="s">
        <v>8523</v>
      </c>
      <c r="O106" s="76">
        <v>2</v>
      </c>
      <c r="P106" s="76"/>
      <c r="Q106" s="76"/>
      <c r="R106" s="76"/>
      <c r="S106" s="76"/>
      <c r="Y106" s="95" t="s">
        <v>9729</v>
      </c>
      <c r="AC106" s="95" t="s">
        <v>9739</v>
      </c>
      <c r="AI106" s="95" t="s">
        <v>9725</v>
      </c>
      <c r="AW106" s="95">
        <v>45</v>
      </c>
      <c r="BC106" s="96" t="s">
        <v>9726</v>
      </c>
      <c r="BD106" s="99">
        <f t="shared" si="3"/>
        <v>0.5</v>
      </c>
      <c r="BQ106" s="95" t="s">
        <v>8541</v>
      </c>
      <c r="BT106" s="95" t="s">
        <v>9775</v>
      </c>
      <c r="CC106" s="99">
        <v>0.5</v>
      </c>
      <c r="CD106" s="90" t="s">
        <v>10027</v>
      </c>
      <c r="CV106" s="99"/>
      <c r="CW106" s="63"/>
    </row>
    <row r="107" spans="1:101" ht="22.5" x14ac:dyDescent="0.15">
      <c r="A107" s="76"/>
      <c r="B107" s="74"/>
      <c r="C107" s="74"/>
      <c r="D107" s="78" t="str">
        <f t="shared" si="2"/>
        <v>https://portal.dnb.de/opac.htm?method=simpleSearch&amp;cqlMode=true&amp;query=idn%3D</v>
      </c>
      <c r="E107" s="74" t="s">
        <v>8598</v>
      </c>
      <c r="F107" s="74"/>
      <c r="G107" s="76" t="s">
        <v>8541</v>
      </c>
      <c r="H107" s="77" t="s">
        <v>4</v>
      </c>
      <c r="I107" s="76" t="s">
        <v>53</v>
      </c>
      <c r="J107" s="77" t="s">
        <v>8516</v>
      </c>
      <c r="K107" s="77" t="s">
        <v>8551</v>
      </c>
      <c r="L107" s="76"/>
      <c r="M107" s="76"/>
      <c r="N107" s="76" t="s">
        <v>8523</v>
      </c>
      <c r="O107" s="76">
        <v>2</v>
      </c>
      <c r="P107" s="76"/>
      <c r="Q107" s="76"/>
      <c r="R107" s="76"/>
      <c r="S107" s="76"/>
      <c r="Y107" s="95" t="s">
        <v>9729</v>
      </c>
      <c r="AC107" s="95" t="s">
        <v>9739</v>
      </c>
      <c r="AI107" s="95" t="s">
        <v>9725</v>
      </c>
      <c r="AW107" s="95">
        <v>45</v>
      </c>
      <c r="BC107" s="96" t="s">
        <v>9726</v>
      </c>
      <c r="BD107" s="99">
        <f t="shared" si="3"/>
        <v>0.5</v>
      </c>
      <c r="BP107" s="69" t="s">
        <v>8541</v>
      </c>
      <c r="BQ107" s="95" t="s">
        <v>8541</v>
      </c>
      <c r="BR107" s="95" t="s">
        <v>8541</v>
      </c>
      <c r="BT107" s="95" t="s">
        <v>9775</v>
      </c>
      <c r="CC107" s="99">
        <v>0.5</v>
      </c>
      <c r="CD107" s="90" t="s">
        <v>10027</v>
      </c>
      <c r="CV107" s="99"/>
      <c r="CW107" s="63"/>
    </row>
    <row r="108" spans="1:101" ht="22.5" x14ac:dyDescent="0.15">
      <c r="A108" s="76"/>
      <c r="B108" s="74"/>
      <c r="C108" s="74"/>
      <c r="D108" s="78" t="str">
        <f t="shared" si="2"/>
        <v>https://portal.dnb.de/opac.htm?method=simpleSearch&amp;cqlMode=true&amp;query=idn%3D</v>
      </c>
      <c r="E108" s="74" t="s">
        <v>8599</v>
      </c>
      <c r="F108" s="74"/>
      <c r="G108" s="76" t="s">
        <v>8515</v>
      </c>
      <c r="H108" s="77" t="s">
        <v>4</v>
      </c>
      <c r="I108" s="76" t="s">
        <v>53</v>
      </c>
      <c r="J108" s="77" t="s">
        <v>8516</v>
      </c>
      <c r="K108" s="77" t="s">
        <v>8551</v>
      </c>
      <c r="L108" s="76"/>
      <c r="M108" s="76"/>
      <c r="N108" s="76" t="s">
        <v>8523</v>
      </c>
      <c r="O108" s="76">
        <v>1</v>
      </c>
      <c r="P108" s="76"/>
      <c r="Q108" s="76"/>
      <c r="R108" s="76"/>
      <c r="S108" s="76"/>
      <c r="Y108" s="95" t="s">
        <v>9729</v>
      </c>
      <c r="AC108" s="95" t="s">
        <v>9739</v>
      </c>
      <c r="AI108" s="95" t="s">
        <v>9725</v>
      </c>
      <c r="AW108" s="95">
        <v>45</v>
      </c>
      <c r="BC108" s="96" t="s">
        <v>9734</v>
      </c>
      <c r="BD108" s="99">
        <f t="shared" si="3"/>
        <v>0</v>
      </c>
      <c r="CC108" s="99"/>
      <c r="CV108" s="99"/>
      <c r="CW108" s="63"/>
    </row>
    <row r="109" spans="1:101" ht="22.5" x14ac:dyDescent="0.15">
      <c r="A109" s="76"/>
      <c r="B109" s="74"/>
      <c r="C109" s="74"/>
      <c r="D109" s="78" t="str">
        <f t="shared" si="2"/>
        <v>https://portal.dnb.de/opac.htm?method=simpleSearch&amp;cqlMode=true&amp;query=idn%3D</v>
      </c>
      <c r="E109" s="74" t="s">
        <v>8600</v>
      </c>
      <c r="F109" s="74"/>
      <c r="G109" s="76" t="s">
        <v>8515</v>
      </c>
      <c r="H109" s="77" t="s">
        <v>4</v>
      </c>
      <c r="I109" s="76" t="s">
        <v>53</v>
      </c>
      <c r="J109" s="77" t="s">
        <v>8516</v>
      </c>
      <c r="K109" s="77" t="s">
        <v>8551</v>
      </c>
      <c r="L109" s="76"/>
      <c r="M109" s="76"/>
      <c r="N109" s="76" t="s">
        <v>8523</v>
      </c>
      <c r="O109" s="76">
        <v>1</v>
      </c>
      <c r="P109" s="76"/>
      <c r="Q109" s="76"/>
      <c r="R109" s="76"/>
      <c r="S109" s="76"/>
      <c r="Y109" s="95" t="s">
        <v>9729</v>
      </c>
      <c r="AC109" s="95" t="s">
        <v>9739</v>
      </c>
      <c r="AI109" s="95" t="s">
        <v>9725</v>
      </c>
      <c r="AW109" s="95">
        <v>45</v>
      </c>
      <c r="BC109" s="96" t="s">
        <v>9726</v>
      </c>
      <c r="BD109" s="99">
        <f t="shared" si="3"/>
        <v>0.5</v>
      </c>
      <c r="BP109" s="69" t="s">
        <v>8541</v>
      </c>
      <c r="BQ109" s="95" t="s">
        <v>8541</v>
      </c>
      <c r="BT109" s="95" t="s">
        <v>9775</v>
      </c>
      <c r="CC109" s="99">
        <v>0.5</v>
      </c>
      <c r="CD109" s="90" t="s">
        <v>10027</v>
      </c>
      <c r="CV109" s="99"/>
      <c r="CW109" s="63"/>
    </row>
    <row r="110" spans="1:101" x14ac:dyDescent="0.15">
      <c r="A110" s="76"/>
      <c r="B110" s="74"/>
      <c r="C110" s="74"/>
      <c r="D110" s="78" t="str">
        <f t="shared" si="2"/>
        <v>https://portal.dnb.de/opac.htm?method=simpleSearch&amp;cqlMode=true&amp;query=idn%3D</v>
      </c>
      <c r="E110" s="74" t="s">
        <v>8602</v>
      </c>
      <c r="F110" s="74"/>
      <c r="G110" s="76" t="s">
        <v>8515</v>
      </c>
      <c r="H110" s="77" t="s">
        <v>4</v>
      </c>
      <c r="I110" s="76" t="s">
        <v>53</v>
      </c>
      <c r="J110" s="77" t="s">
        <v>89</v>
      </c>
      <c r="K110" s="77" t="s">
        <v>84</v>
      </c>
      <c r="L110" s="76"/>
      <c r="M110" s="76"/>
      <c r="N110" s="76" t="s">
        <v>8523</v>
      </c>
      <c r="O110" s="76">
        <v>0</v>
      </c>
      <c r="P110" s="76"/>
      <c r="Q110" s="76"/>
      <c r="R110" s="76"/>
      <c r="S110" s="76"/>
      <c r="Y110" s="95" t="s">
        <v>9729</v>
      </c>
      <c r="AC110" s="95" t="s">
        <v>9739</v>
      </c>
      <c r="AI110" s="95" t="s">
        <v>9725</v>
      </c>
      <c r="AW110" s="95">
        <v>45</v>
      </c>
      <c r="BC110" s="96" t="s">
        <v>9734</v>
      </c>
      <c r="BD110" s="99">
        <f t="shared" si="3"/>
        <v>0</v>
      </c>
      <c r="CC110" s="99"/>
      <c r="CV110" s="99"/>
      <c r="CW110" s="63"/>
    </row>
    <row r="111" spans="1:101" ht="22.5" x14ac:dyDescent="0.15">
      <c r="A111" s="76"/>
      <c r="B111" s="74"/>
      <c r="C111" s="74"/>
      <c r="D111" s="78" t="str">
        <f t="shared" si="2"/>
        <v>https://portal.dnb.de/opac.htm?method=simpleSearch&amp;cqlMode=true&amp;query=idn%3D</v>
      </c>
      <c r="E111" s="74" t="s">
        <v>8603</v>
      </c>
      <c r="F111" s="74"/>
      <c r="G111" s="76" t="s">
        <v>8541</v>
      </c>
      <c r="H111" s="77" t="s">
        <v>4</v>
      </c>
      <c r="I111" s="76" t="s">
        <v>53</v>
      </c>
      <c r="J111" s="77" t="s">
        <v>8516</v>
      </c>
      <c r="K111" s="77" t="s">
        <v>8618</v>
      </c>
      <c r="L111" s="76"/>
      <c r="M111" s="76"/>
      <c r="N111" s="76" t="s">
        <v>8523</v>
      </c>
      <c r="O111" s="76">
        <v>3</v>
      </c>
      <c r="P111" s="76" t="s">
        <v>9</v>
      </c>
      <c r="Q111" s="76"/>
      <c r="R111" s="76"/>
      <c r="S111" s="76"/>
      <c r="Y111" s="95" t="s">
        <v>9729</v>
      </c>
      <c r="AC111" s="95" t="s">
        <v>9739</v>
      </c>
      <c r="AI111" s="95" t="s">
        <v>9725</v>
      </c>
      <c r="AW111" s="95">
        <v>45</v>
      </c>
      <c r="BC111" s="96" t="s">
        <v>9734</v>
      </c>
      <c r="BD111" s="99">
        <f t="shared" si="3"/>
        <v>0</v>
      </c>
      <c r="BL111" s="70" t="s">
        <v>10015</v>
      </c>
      <c r="CC111" s="99"/>
      <c r="CV111" s="99"/>
      <c r="CW111" s="63"/>
    </row>
    <row r="112" spans="1:101" ht="22.5" x14ac:dyDescent="0.15">
      <c r="A112" s="76"/>
      <c r="B112" s="74"/>
      <c r="C112" s="74"/>
      <c r="D112" s="78" t="str">
        <f t="shared" si="2"/>
        <v>https://portal.dnb.de/opac.htm?method=simpleSearch&amp;cqlMode=true&amp;query=idn%3D</v>
      </c>
      <c r="E112" s="74" t="s">
        <v>8604</v>
      </c>
      <c r="F112" s="74"/>
      <c r="G112" s="76" t="s">
        <v>8515</v>
      </c>
      <c r="H112" s="77" t="s">
        <v>4</v>
      </c>
      <c r="I112" s="76" t="s">
        <v>53</v>
      </c>
      <c r="J112" s="77" t="s">
        <v>8516</v>
      </c>
      <c r="K112" s="77" t="s">
        <v>8551</v>
      </c>
      <c r="L112" s="76"/>
      <c r="M112" s="76"/>
      <c r="N112" s="76" t="s">
        <v>8523</v>
      </c>
      <c r="O112" s="76">
        <v>1</v>
      </c>
      <c r="P112" s="76"/>
      <c r="Q112" s="76"/>
      <c r="R112" s="76"/>
      <c r="S112" s="76"/>
      <c r="Y112" s="95" t="s">
        <v>9729</v>
      </c>
      <c r="AC112" s="95" t="s">
        <v>9739</v>
      </c>
      <c r="AI112" s="95" t="s">
        <v>9725</v>
      </c>
      <c r="AW112" s="95">
        <v>45</v>
      </c>
      <c r="BC112" s="96" t="s">
        <v>9734</v>
      </c>
      <c r="BD112" s="99">
        <f t="shared" si="3"/>
        <v>0</v>
      </c>
      <c r="BL112" s="70" t="s">
        <v>10015</v>
      </c>
      <c r="CC112" s="99"/>
      <c r="CV112" s="99"/>
      <c r="CW112" s="63"/>
    </row>
    <row r="113" spans="1:101" ht="22.5" x14ac:dyDescent="0.15">
      <c r="A113" s="76"/>
      <c r="B113" s="74"/>
      <c r="C113" s="74"/>
      <c r="D113" s="78" t="str">
        <f t="shared" si="2"/>
        <v>https://portal.dnb.de/opac.htm?method=simpleSearch&amp;cqlMode=true&amp;query=idn%3D</v>
      </c>
      <c r="E113" s="74" t="s">
        <v>8605</v>
      </c>
      <c r="F113" s="74"/>
      <c r="G113" s="76" t="s">
        <v>8515</v>
      </c>
      <c r="H113" s="77" t="s">
        <v>4</v>
      </c>
      <c r="I113" s="76" t="s">
        <v>53</v>
      </c>
      <c r="J113" s="77" t="s">
        <v>8516</v>
      </c>
      <c r="K113" s="77" t="s">
        <v>8551</v>
      </c>
      <c r="L113" s="76"/>
      <c r="M113" s="76"/>
      <c r="N113" s="76" t="s">
        <v>8523</v>
      </c>
      <c r="O113" s="76">
        <v>1</v>
      </c>
      <c r="P113" s="76"/>
      <c r="Q113" s="76"/>
      <c r="R113" s="76"/>
      <c r="S113" s="76"/>
      <c r="Y113" s="95" t="s">
        <v>9729</v>
      </c>
      <c r="AC113" s="95" t="s">
        <v>9739</v>
      </c>
      <c r="AI113" s="95" t="s">
        <v>9725</v>
      </c>
      <c r="AW113" s="95">
        <v>45</v>
      </c>
      <c r="BC113" s="96" t="s">
        <v>9734</v>
      </c>
      <c r="BD113" s="99">
        <f t="shared" si="3"/>
        <v>0</v>
      </c>
      <c r="CC113" s="99"/>
      <c r="CV113" s="99"/>
      <c r="CW113" s="63"/>
    </row>
    <row r="114" spans="1:101" ht="22.5" x14ac:dyDescent="0.15">
      <c r="A114" s="76"/>
      <c r="B114" s="74"/>
      <c r="C114" s="74"/>
      <c r="D114" s="78" t="str">
        <f t="shared" si="2"/>
        <v>https://portal.dnb.de/opac.htm?method=simpleSearch&amp;cqlMode=true&amp;query=idn%3D</v>
      </c>
      <c r="E114" s="74" t="s">
        <v>8606</v>
      </c>
      <c r="F114" s="74"/>
      <c r="G114" s="76" t="s">
        <v>8541</v>
      </c>
      <c r="H114" s="77" t="s">
        <v>4</v>
      </c>
      <c r="I114" s="76" t="s">
        <v>53</v>
      </c>
      <c r="J114" s="77" t="s">
        <v>8516</v>
      </c>
      <c r="K114" s="77" t="s">
        <v>8551</v>
      </c>
      <c r="L114" s="76"/>
      <c r="M114" s="76"/>
      <c r="N114" s="76" t="s">
        <v>8523</v>
      </c>
      <c r="O114" s="76">
        <v>2</v>
      </c>
      <c r="P114" s="76"/>
      <c r="Q114" s="76"/>
      <c r="R114" s="76"/>
      <c r="S114" s="76"/>
      <c r="Y114" s="95" t="s">
        <v>9729</v>
      </c>
      <c r="AC114" s="95" t="s">
        <v>9739</v>
      </c>
      <c r="AI114" s="95" t="s">
        <v>9725</v>
      </c>
      <c r="AW114" s="95">
        <v>45</v>
      </c>
      <c r="BC114" s="96" t="s">
        <v>9726</v>
      </c>
      <c r="BD114" s="99">
        <f t="shared" si="3"/>
        <v>0.5</v>
      </c>
      <c r="BP114" s="69" t="s">
        <v>8541</v>
      </c>
      <c r="BQ114" s="95" t="s">
        <v>8541</v>
      </c>
      <c r="BT114" s="95" t="s">
        <v>9775</v>
      </c>
      <c r="CC114" s="99">
        <v>0.5</v>
      </c>
      <c r="CD114" s="90" t="s">
        <v>10027</v>
      </c>
      <c r="CV114" s="99"/>
      <c r="CW114" s="63"/>
    </row>
    <row r="115" spans="1:101" ht="22.5" x14ac:dyDescent="0.15">
      <c r="A115" s="76"/>
      <c r="B115" s="74"/>
      <c r="C115" s="74"/>
      <c r="D115" s="78" t="str">
        <f t="shared" si="2"/>
        <v>https://portal.dnb.de/opac.htm?method=simpleSearch&amp;cqlMode=true&amp;query=idn%3D</v>
      </c>
      <c r="E115" s="74" t="s">
        <v>8607</v>
      </c>
      <c r="F115" s="74"/>
      <c r="G115" s="76" t="s">
        <v>8541</v>
      </c>
      <c r="H115" s="77" t="s">
        <v>4</v>
      </c>
      <c r="I115" s="76" t="s">
        <v>53</v>
      </c>
      <c r="J115" s="77" t="s">
        <v>8516</v>
      </c>
      <c r="K115" s="77" t="s">
        <v>8601</v>
      </c>
      <c r="L115" s="76"/>
      <c r="M115" s="76"/>
      <c r="N115" s="76" t="s">
        <v>8523</v>
      </c>
      <c r="O115" s="76">
        <v>1</v>
      </c>
      <c r="P115" s="76"/>
      <c r="Q115" s="76"/>
      <c r="R115" s="76"/>
      <c r="S115" s="76"/>
      <c r="Y115" s="95" t="s">
        <v>9729</v>
      </c>
      <c r="AC115" s="95" t="s">
        <v>9739</v>
      </c>
      <c r="AI115" s="95" t="s">
        <v>9725</v>
      </c>
      <c r="AW115" s="95">
        <v>45</v>
      </c>
      <c r="BC115" s="96" t="s">
        <v>9734</v>
      </c>
      <c r="BD115" s="99">
        <f t="shared" si="3"/>
        <v>0</v>
      </c>
      <c r="BL115" s="70" t="s">
        <v>10015</v>
      </c>
      <c r="CC115" s="99"/>
      <c r="CV115" s="99"/>
      <c r="CW115" s="63"/>
    </row>
    <row r="116" spans="1:101" ht="22.5" x14ac:dyDescent="0.15">
      <c r="A116" s="76"/>
      <c r="B116" s="74"/>
      <c r="C116" s="74"/>
      <c r="D116" s="78" t="str">
        <f t="shared" si="2"/>
        <v>https://portal.dnb.de/opac.htm?method=simpleSearch&amp;cqlMode=true&amp;query=idn%3D</v>
      </c>
      <c r="E116" s="74" t="s">
        <v>8608</v>
      </c>
      <c r="F116" s="74"/>
      <c r="G116" s="76" t="s">
        <v>8515</v>
      </c>
      <c r="H116" s="77" t="s">
        <v>4</v>
      </c>
      <c r="I116" s="76" t="s">
        <v>53</v>
      </c>
      <c r="J116" s="77" t="s">
        <v>8516</v>
      </c>
      <c r="K116" s="77" t="s">
        <v>8601</v>
      </c>
      <c r="L116" s="76"/>
      <c r="M116" s="76"/>
      <c r="N116" s="76" t="s">
        <v>8523</v>
      </c>
      <c r="O116" s="76">
        <v>1</v>
      </c>
      <c r="P116" s="76"/>
      <c r="Q116" s="76"/>
      <c r="R116" s="76"/>
      <c r="S116" s="76"/>
      <c r="Y116" s="95" t="s">
        <v>9729</v>
      </c>
      <c r="AC116" s="95" t="s">
        <v>9739</v>
      </c>
      <c r="AI116" s="95" t="s">
        <v>9725</v>
      </c>
      <c r="AW116" s="95">
        <v>45</v>
      </c>
      <c r="BC116" s="96" t="s">
        <v>9734</v>
      </c>
      <c r="BD116" s="99">
        <f t="shared" si="3"/>
        <v>0</v>
      </c>
      <c r="BL116" s="70" t="s">
        <v>10015</v>
      </c>
      <c r="CC116" s="99"/>
      <c r="CV116" s="99"/>
      <c r="CW116" s="63"/>
    </row>
    <row r="117" spans="1:101" ht="22.5" x14ac:dyDescent="0.15">
      <c r="A117" s="76"/>
      <c r="B117" s="74"/>
      <c r="C117" s="74"/>
      <c r="D117" s="78" t="str">
        <f t="shared" si="2"/>
        <v>https://portal.dnb.de/opac.htm?method=simpleSearch&amp;cqlMode=true&amp;query=idn%3D</v>
      </c>
      <c r="E117" s="74" t="s">
        <v>8609</v>
      </c>
      <c r="F117" s="74"/>
      <c r="G117" s="76" t="s">
        <v>8541</v>
      </c>
      <c r="H117" s="77" t="s">
        <v>4</v>
      </c>
      <c r="I117" s="76" t="s">
        <v>53</v>
      </c>
      <c r="J117" s="77" t="s">
        <v>8516</v>
      </c>
      <c r="K117" s="77" t="s">
        <v>8601</v>
      </c>
      <c r="L117" s="76"/>
      <c r="M117" s="76"/>
      <c r="N117" s="76" t="s">
        <v>8523</v>
      </c>
      <c r="O117" s="76">
        <v>2</v>
      </c>
      <c r="P117" s="76"/>
      <c r="Q117" s="76"/>
      <c r="R117" s="76"/>
      <c r="S117" s="76"/>
      <c r="Y117" s="95" t="s">
        <v>9729</v>
      </c>
      <c r="AC117" s="95" t="s">
        <v>9739</v>
      </c>
      <c r="AI117" s="95" t="s">
        <v>9725</v>
      </c>
      <c r="AW117" s="95">
        <v>45</v>
      </c>
      <c r="BC117" s="96" t="s">
        <v>9734</v>
      </c>
      <c r="BD117" s="99">
        <f t="shared" si="3"/>
        <v>0</v>
      </c>
      <c r="BL117" s="70" t="s">
        <v>10015</v>
      </c>
      <c r="CC117" s="99"/>
      <c r="CV117" s="99"/>
      <c r="CW117" s="63"/>
    </row>
    <row r="118" spans="1:101" ht="22.5" x14ac:dyDescent="0.15">
      <c r="A118" s="76"/>
      <c r="B118" s="74"/>
      <c r="C118" s="74"/>
      <c r="D118" s="78" t="str">
        <f t="shared" si="2"/>
        <v>https://portal.dnb.de/opac.htm?method=simpleSearch&amp;cqlMode=true&amp;query=idn%3D</v>
      </c>
      <c r="E118" s="74" t="s">
        <v>8610</v>
      </c>
      <c r="F118" s="74"/>
      <c r="G118" s="76" t="s">
        <v>8541</v>
      </c>
      <c r="H118" s="77" t="s">
        <v>4</v>
      </c>
      <c r="I118" s="76" t="s">
        <v>53</v>
      </c>
      <c r="J118" s="77" t="s">
        <v>8516</v>
      </c>
      <c r="K118" s="77" t="s">
        <v>8601</v>
      </c>
      <c r="L118" s="76"/>
      <c r="M118" s="76"/>
      <c r="N118" s="76"/>
      <c r="O118" s="76">
        <v>2</v>
      </c>
      <c r="P118" s="76"/>
      <c r="Q118" s="76"/>
      <c r="R118" s="76"/>
      <c r="S118" s="76"/>
      <c r="Y118" s="95" t="s">
        <v>9729</v>
      </c>
      <c r="AC118" s="95" t="s">
        <v>9739</v>
      </c>
      <c r="AI118" s="95" t="s">
        <v>9725</v>
      </c>
      <c r="AW118" s="95">
        <v>45</v>
      </c>
      <c r="BC118" s="96" t="s">
        <v>9726</v>
      </c>
      <c r="BD118" s="99">
        <f t="shared" si="3"/>
        <v>0.5</v>
      </c>
      <c r="BP118" s="69" t="s">
        <v>8541</v>
      </c>
      <c r="BQ118" s="95" t="s">
        <v>8541</v>
      </c>
      <c r="BR118" s="95" t="s">
        <v>8541</v>
      </c>
      <c r="BT118" s="95" t="s">
        <v>9775</v>
      </c>
      <c r="CC118" s="99">
        <v>0.5</v>
      </c>
      <c r="CD118" s="90" t="s">
        <v>10027</v>
      </c>
      <c r="CV118" s="99"/>
      <c r="CW118" s="63"/>
    </row>
    <row r="119" spans="1:101" ht="22.5" x14ac:dyDescent="0.15">
      <c r="A119" s="76"/>
      <c r="B119" s="74"/>
      <c r="C119" s="74"/>
      <c r="D119" s="78" t="str">
        <f t="shared" si="2"/>
        <v>https://portal.dnb.de/opac.htm?method=simpleSearch&amp;cqlMode=true&amp;query=idn%3D</v>
      </c>
      <c r="E119" s="74" t="s">
        <v>8611</v>
      </c>
      <c r="F119" s="74"/>
      <c r="G119" s="76" t="s">
        <v>8515</v>
      </c>
      <c r="H119" s="77" t="s">
        <v>4</v>
      </c>
      <c r="I119" s="76" t="s">
        <v>53</v>
      </c>
      <c r="J119" s="77" t="s">
        <v>8516</v>
      </c>
      <c r="K119" s="77" t="s">
        <v>8601</v>
      </c>
      <c r="L119" s="76"/>
      <c r="M119" s="76"/>
      <c r="N119" s="76"/>
      <c r="O119" s="76">
        <v>1</v>
      </c>
      <c r="P119" s="76"/>
      <c r="Q119" s="76"/>
      <c r="R119" s="76"/>
      <c r="S119" s="76"/>
      <c r="Y119" s="95" t="s">
        <v>9729</v>
      </c>
      <c r="AC119" s="95" t="s">
        <v>9739</v>
      </c>
      <c r="AI119" s="95" t="s">
        <v>9725</v>
      </c>
      <c r="AW119" s="95">
        <v>45</v>
      </c>
      <c r="BC119" s="96" t="s">
        <v>9734</v>
      </c>
      <c r="BD119" s="99">
        <f t="shared" si="3"/>
        <v>0</v>
      </c>
      <c r="CC119" s="99"/>
      <c r="CV119" s="99"/>
      <c r="CW119" s="63"/>
    </row>
    <row r="120" spans="1:101" ht="22.5" x14ac:dyDescent="0.15">
      <c r="A120" s="76"/>
      <c r="B120" s="74"/>
      <c r="C120" s="74"/>
      <c r="D120" s="78" t="str">
        <f t="shared" si="2"/>
        <v>https://portal.dnb.de/opac.htm?method=simpleSearch&amp;cqlMode=true&amp;query=idn%3D</v>
      </c>
      <c r="E120" s="74" t="s">
        <v>8612</v>
      </c>
      <c r="F120" s="74"/>
      <c r="G120" s="76" t="s">
        <v>8515</v>
      </c>
      <c r="H120" s="77" t="s">
        <v>4</v>
      </c>
      <c r="I120" s="76" t="s">
        <v>53</v>
      </c>
      <c r="J120" s="77" t="s">
        <v>8516</v>
      </c>
      <c r="K120" s="77" t="s">
        <v>8601</v>
      </c>
      <c r="L120" s="76"/>
      <c r="M120" s="76"/>
      <c r="N120" s="76"/>
      <c r="O120" s="76">
        <v>2</v>
      </c>
      <c r="P120" s="76"/>
      <c r="Q120" s="76"/>
      <c r="R120" s="76"/>
      <c r="S120" s="76"/>
      <c r="Y120" s="95" t="s">
        <v>9729</v>
      </c>
      <c r="AC120" s="95" t="s">
        <v>9739</v>
      </c>
      <c r="AI120" s="95" t="s">
        <v>9725</v>
      </c>
      <c r="AW120" s="95">
        <v>45</v>
      </c>
      <c r="BC120" s="96" t="s">
        <v>9726</v>
      </c>
      <c r="BD120" s="99">
        <f t="shared" si="3"/>
        <v>0.5</v>
      </c>
      <c r="BP120" s="69" t="s">
        <v>8541</v>
      </c>
      <c r="BQ120" s="95" t="s">
        <v>8541</v>
      </c>
      <c r="BR120" s="95" t="s">
        <v>8541</v>
      </c>
      <c r="BT120" s="95" t="s">
        <v>9772</v>
      </c>
      <c r="CC120" s="99">
        <v>0.5</v>
      </c>
      <c r="CD120" s="90" t="s">
        <v>10018</v>
      </c>
      <c r="CV120" s="99"/>
      <c r="CW120" s="63"/>
    </row>
    <row r="121" spans="1:101" ht="22.5" x14ac:dyDescent="0.15">
      <c r="A121" s="76"/>
      <c r="B121" s="74"/>
      <c r="C121" s="74"/>
      <c r="D121" s="78" t="str">
        <f t="shared" si="2"/>
        <v>https://portal.dnb.de/opac.htm?method=simpleSearch&amp;cqlMode=true&amp;query=idn%3D</v>
      </c>
      <c r="E121" s="74" t="s">
        <v>8613</v>
      </c>
      <c r="F121" s="74"/>
      <c r="G121" s="76" t="s">
        <v>8515</v>
      </c>
      <c r="H121" s="77" t="s">
        <v>4</v>
      </c>
      <c r="I121" s="76" t="s">
        <v>53</v>
      </c>
      <c r="J121" s="77" t="s">
        <v>8516</v>
      </c>
      <c r="K121" s="77" t="s">
        <v>8601</v>
      </c>
      <c r="L121" s="76"/>
      <c r="M121" s="76"/>
      <c r="N121" s="76"/>
      <c r="O121" s="76">
        <v>0</v>
      </c>
      <c r="P121" s="76"/>
      <c r="Q121" s="76"/>
      <c r="R121" s="76"/>
      <c r="S121" s="76"/>
      <c r="Y121" s="95" t="s">
        <v>9729</v>
      </c>
      <c r="AC121" s="95" t="s">
        <v>9739</v>
      </c>
      <c r="AI121" s="95" t="s">
        <v>9725</v>
      </c>
      <c r="AW121" s="95">
        <v>45</v>
      </c>
      <c r="BC121" s="96" t="s">
        <v>9726</v>
      </c>
      <c r="BD121" s="99">
        <f t="shared" si="3"/>
        <v>0.5</v>
      </c>
      <c r="BP121" s="69" t="s">
        <v>8541</v>
      </c>
      <c r="BQ121" s="95" t="s">
        <v>8541</v>
      </c>
      <c r="BT121" s="95" t="s">
        <v>9775</v>
      </c>
      <c r="CC121" s="99">
        <v>0.5</v>
      </c>
      <c r="CD121" s="90" t="s">
        <v>10017</v>
      </c>
      <c r="CV121" s="99"/>
      <c r="CW121" s="63"/>
    </row>
    <row r="122" spans="1:101" ht="22.5" x14ac:dyDescent="0.15">
      <c r="A122" s="76"/>
      <c r="B122" s="74"/>
      <c r="C122" s="74"/>
      <c r="D122" s="78" t="str">
        <f t="shared" si="2"/>
        <v>https://portal.dnb.de/opac.htm?method=simpleSearch&amp;cqlMode=true&amp;query=idn%3D</v>
      </c>
      <c r="E122" s="74" t="s">
        <v>8619</v>
      </c>
      <c r="F122" s="74"/>
      <c r="G122" s="76" t="s">
        <v>8515</v>
      </c>
      <c r="H122" s="77" t="s">
        <v>4</v>
      </c>
      <c r="I122" s="76" t="s">
        <v>53</v>
      </c>
      <c r="J122" s="77" t="s">
        <v>8516</v>
      </c>
      <c r="K122" s="77" t="s">
        <v>8601</v>
      </c>
      <c r="L122" s="76"/>
      <c r="M122" s="76"/>
      <c r="N122" s="76"/>
      <c r="O122" s="76">
        <v>2</v>
      </c>
      <c r="P122" s="76" t="s">
        <v>9</v>
      </c>
      <c r="Q122" s="76"/>
      <c r="R122" s="76"/>
      <c r="S122" s="76"/>
      <c r="Y122" s="95" t="s">
        <v>9729</v>
      </c>
      <c r="AC122" s="95" t="s">
        <v>9739</v>
      </c>
      <c r="AI122" s="95" t="s">
        <v>9725</v>
      </c>
      <c r="AW122" s="95">
        <v>45</v>
      </c>
      <c r="BC122" s="96" t="s">
        <v>9734</v>
      </c>
      <c r="BD122" s="99">
        <f t="shared" si="3"/>
        <v>0</v>
      </c>
      <c r="BL122" s="70" t="s">
        <v>10015</v>
      </c>
      <c r="CC122" s="99"/>
      <c r="CV122" s="99"/>
      <c r="CW122" s="63"/>
    </row>
    <row r="123" spans="1:101" ht="22.5" x14ac:dyDescent="0.15">
      <c r="A123" s="76"/>
      <c r="B123" s="74"/>
      <c r="C123" s="74"/>
      <c r="D123" s="78" t="str">
        <f t="shared" si="2"/>
        <v>https://portal.dnb.de/opac.htm?method=simpleSearch&amp;cqlMode=true&amp;query=idn%3D</v>
      </c>
      <c r="E123" s="74" t="s">
        <v>8620</v>
      </c>
      <c r="F123" s="74"/>
      <c r="G123" s="76" t="s">
        <v>8515</v>
      </c>
      <c r="H123" s="77" t="s">
        <v>4</v>
      </c>
      <c r="I123" s="76" t="s">
        <v>53</v>
      </c>
      <c r="J123" s="77" t="s">
        <v>8516</v>
      </c>
      <c r="K123" s="77" t="s">
        <v>8601</v>
      </c>
      <c r="L123" s="76"/>
      <c r="M123" s="76"/>
      <c r="N123" s="76"/>
      <c r="O123" s="76">
        <v>1</v>
      </c>
      <c r="P123" s="76"/>
      <c r="Q123" s="76"/>
      <c r="R123" s="76"/>
      <c r="S123" s="76"/>
      <c r="Y123" s="95" t="s">
        <v>9729</v>
      </c>
      <c r="AC123" s="95" t="s">
        <v>9739</v>
      </c>
      <c r="AI123" s="95" t="s">
        <v>9725</v>
      </c>
      <c r="AW123" s="95">
        <v>45</v>
      </c>
      <c r="BC123" s="96" t="s">
        <v>9734</v>
      </c>
      <c r="BD123" s="99">
        <f t="shared" si="3"/>
        <v>0</v>
      </c>
      <c r="CC123" s="99"/>
      <c r="CV123" s="99"/>
      <c r="CW123" s="63"/>
    </row>
    <row r="124" spans="1:101" ht="22.5" x14ac:dyDescent="0.15">
      <c r="A124" s="76"/>
      <c r="B124" s="74"/>
      <c r="C124" s="74"/>
      <c r="D124" s="78" t="str">
        <f t="shared" si="2"/>
        <v>https://portal.dnb.de/opac.htm?method=simpleSearch&amp;cqlMode=true&amp;query=idn%3D</v>
      </c>
      <c r="E124" s="74" t="s">
        <v>8621</v>
      </c>
      <c r="F124" s="74"/>
      <c r="G124" s="76" t="s">
        <v>8515</v>
      </c>
      <c r="H124" s="77" t="s">
        <v>4</v>
      </c>
      <c r="I124" s="76" t="s">
        <v>53</v>
      </c>
      <c r="J124" s="77" t="s">
        <v>8516</v>
      </c>
      <c r="K124" s="77" t="s">
        <v>8601</v>
      </c>
      <c r="L124" s="76"/>
      <c r="M124" s="76"/>
      <c r="N124" s="76"/>
      <c r="O124" s="76">
        <v>1</v>
      </c>
      <c r="P124" s="76"/>
      <c r="Q124" s="76"/>
      <c r="R124" s="76"/>
      <c r="S124" s="76"/>
      <c r="Y124" s="95" t="s">
        <v>9729</v>
      </c>
      <c r="AC124" s="95" t="s">
        <v>9739</v>
      </c>
      <c r="AI124" s="95" t="s">
        <v>9725</v>
      </c>
      <c r="AW124" s="95">
        <v>45</v>
      </c>
      <c r="BC124" s="96" t="s">
        <v>9734</v>
      </c>
      <c r="BD124" s="99">
        <f t="shared" si="3"/>
        <v>0</v>
      </c>
      <c r="CC124" s="99"/>
      <c r="CV124" s="99"/>
      <c r="CW124" s="63"/>
    </row>
    <row r="125" spans="1:101" ht="22.5" x14ac:dyDescent="0.15">
      <c r="A125" s="76"/>
      <c r="B125" s="74"/>
      <c r="C125" s="74"/>
      <c r="D125" s="78" t="str">
        <f t="shared" si="2"/>
        <v>https://portal.dnb.de/opac.htm?method=simpleSearch&amp;cqlMode=true&amp;query=idn%3D</v>
      </c>
      <c r="E125" s="74" t="s">
        <v>8622</v>
      </c>
      <c r="F125" s="74"/>
      <c r="G125" s="76" t="s">
        <v>8515</v>
      </c>
      <c r="H125" s="77" t="s">
        <v>4</v>
      </c>
      <c r="I125" s="76" t="s">
        <v>53</v>
      </c>
      <c r="J125" s="77" t="s">
        <v>8516</v>
      </c>
      <c r="K125" s="77" t="s">
        <v>8601</v>
      </c>
      <c r="L125" s="76"/>
      <c r="M125" s="76"/>
      <c r="N125" s="76"/>
      <c r="O125" s="76"/>
      <c r="P125" s="76"/>
      <c r="Q125" s="76"/>
      <c r="R125" s="76"/>
      <c r="S125" s="76"/>
      <c r="Y125" s="95" t="s">
        <v>9729</v>
      </c>
      <c r="AC125" s="95" t="s">
        <v>9739</v>
      </c>
      <c r="AI125" s="95" t="s">
        <v>9725</v>
      </c>
      <c r="AW125" s="95">
        <v>45</v>
      </c>
      <c r="BC125" s="96" t="s">
        <v>9734</v>
      </c>
      <c r="BD125" s="99">
        <f t="shared" si="3"/>
        <v>0</v>
      </c>
      <c r="CC125" s="99"/>
      <c r="CV125" s="99"/>
      <c r="CW125" s="63"/>
    </row>
    <row r="126" spans="1:101" ht="22.5" x14ac:dyDescent="0.15">
      <c r="A126" s="76"/>
      <c r="B126" s="74"/>
      <c r="C126" s="74"/>
      <c r="D126" s="78" t="str">
        <f t="shared" si="2"/>
        <v>https://portal.dnb.de/opac.htm?method=simpleSearch&amp;cqlMode=true&amp;query=idn%3D</v>
      </c>
      <c r="E126" s="74" t="s">
        <v>8624</v>
      </c>
      <c r="F126" s="74"/>
      <c r="G126" s="76" t="s">
        <v>8515</v>
      </c>
      <c r="H126" s="77" t="s">
        <v>4</v>
      </c>
      <c r="I126" s="76" t="s">
        <v>53</v>
      </c>
      <c r="J126" s="77" t="s">
        <v>8516</v>
      </c>
      <c r="K126" s="77" t="s">
        <v>8601</v>
      </c>
      <c r="L126" s="76"/>
      <c r="M126" s="76"/>
      <c r="N126" s="76"/>
      <c r="O126" s="76">
        <v>1</v>
      </c>
      <c r="P126" s="76"/>
      <c r="Q126" s="76"/>
      <c r="R126" s="76"/>
      <c r="S126" s="76"/>
      <c r="Y126" s="95" t="s">
        <v>9729</v>
      </c>
      <c r="AC126" s="95" t="s">
        <v>9739</v>
      </c>
      <c r="AI126" s="95" t="s">
        <v>9725</v>
      </c>
      <c r="AW126" s="95">
        <v>45</v>
      </c>
      <c r="BC126" s="96" t="s">
        <v>9734</v>
      </c>
      <c r="BD126" s="99">
        <f t="shared" si="3"/>
        <v>0</v>
      </c>
      <c r="CC126" s="99"/>
      <c r="CV126" s="99"/>
      <c r="CW126" s="63"/>
    </row>
    <row r="127" spans="1:101" ht="22.5" x14ac:dyDescent="0.15">
      <c r="A127" s="76"/>
      <c r="B127" s="74"/>
      <c r="C127" s="74"/>
      <c r="D127" s="78" t="str">
        <f t="shared" si="2"/>
        <v>https://portal.dnb.de/opac.htm?method=simpleSearch&amp;cqlMode=true&amp;query=idn%3D</v>
      </c>
      <c r="E127" s="74" t="s">
        <v>8625</v>
      </c>
      <c r="F127" s="74"/>
      <c r="G127" s="76" t="s">
        <v>8515</v>
      </c>
      <c r="H127" s="77" t="s">
        <v>4</v>
      </c>
      <c r="I127" s="76" t="s">
        <v>53</v>
      </c>
      <c r="J127" s="77" t="s">
        <v>8516</v>
      </c>
      <c r="K127" s="77" t="s">
        <v>8551</v>
      </c>
      <c r="L127" s="76"/>
      <c r="M127" s="76"/>
      <c r="N127" s="76"/>
      <c r="O127" s="76">
        <v>1</v>
      </c>
      <c r="P127" s="76"/>
      <c r="Q127" s="76"/>
      <c r="R127" s="76"/>
      <c r="S127" s="76"/>
      <c r="Y127" s="95" t="s">
        <v>9729</v>
      </c>
      <c r="AC127" s="95" t="s">
        <v>9739</v>
      </c>
      <c r="AI127" s="95" t="s">
        <v>9725</v>
      </c>
      <c r="AW127" s="95">
        <v>45</v>
      </c>
      <c r="BC127" s="96" t="s">
        <v>9734</v>
      </c>
      <c r="BD127" s="99">
        <f t="shared" si="3"/>
        <v>0</v>
      </c>
      <c r="CC127" s="99"/>
      <c r="CV127" s="99"/>
      <c r="CW127" s="63"/>
    </row>
    <row r="128" spans="1:101" ht="22.5" x14ac:dyDescent="0.15">
      <c r="A128" s="76"/>
      <c r="B128" s="74"/>
      <c r="C128" s="74"/>
      <c r="D128" s="78" t="str">
        <f t="shared" si="2"/>
        <v>https://portal.dnb.de/opac.htm?method=simpleSearch&amp;cqlMode=true&amp;query=idn%3D</v>
      </c>
      <c r="E128" s="74" t="s">
        <v>8623</v>
      </c>
      <c r="F128" s="74"/>
      <c r="G128" s="76" t="s">
        <v>8515</v>
      </c>
      <c r="H128" s="77" t="s">
        <v>4</v>
      </c>
      <c r="I128" s="76" t="s">
        <v>53</v>
      </c>
      <c r="J128" s="77" t="s">
        <v>8516</v>
      </c>
      <c r="K128" s="77" t="s">
        <v>8601</v>
      </c>
      <c r="L128" s="76"/>
      <c r="M128" s="76"/>
      <c r="N128" s="76"/>
      <c r="O128" s="76">
        <v>1</v>
      </c>
      <c r="P128" s="76"/>
      <c r="Q128" s="76"/>
      <c r="R128" s="76"/>
      <c r="S128" s="76"/>
      <c r="Y128" s="95" t="s">
        <v>9729</v>
      </c>
      <c r="AC128" s="95" t="s">
        <v>9739</v>
      </c>
      <c r="AI128" s="95" t="s">
        <v>9725</v>
      </c>
      <c r="AW128" s="95">
        <v>45</v>
      </c>
      <c r="BC128" s="96" t="s">
        <v>9734</v>
      </c>
      <c r="BD128" s="99">
        <f t="shared" si="3"/>
        <v>0</v>
      </c>
      <c r="CC128" s="99"/>
      <c r="CV128" s="99"/>
      <c r="CW128" s="63"/>
    </row>
    <row r="129" spans="1:101" ht="22.5" x14ac:dyDescent="0.15">
      <c r="A129" s="76"/>
      <c r="B129" s="74"/>
      <c r="C129" s="74"/>
      <c r="D129" s="78" t="str">
        <f t="shared" si="2"/>
        <v>https://portal.dnb.de/opac.htm?method=simpleSearch&amp;cqlMode=true&amp;query=idn%3D</v>
      </c>
      <c r="E129" s="74" t="s">
        <v>8626</v>
      </c>
      <c r="F129" s="74"/>
      <c r="G129" s="76" t="s">
        <v>8515</v>
      </c>
      <c r="H129" s="77" t="s">
        <v>4</v>
      </c>
      <c r="I129" s="76" t="s">
        <v>53</v>
      </c>
      <c r="J129" s="77" t="s">
        <v>8516</v>
      </c>
      <c r="K129" s="77" t="s">
        <v>8601</v>
      </c>
      <c r="L129" s="76"/>
      <c r="M129" s="76"/>
      <c r="N129" s="76"/>
      <c r="O129" s="76">
        <v>1</v>
      </c>
      <c r="P129" s="76"/>
      <c r="Q129" s="76"/>
      <c r="R129" s="76"/>
      <c r="S129" s="76"/>
      <c r="Y129" s="95" t="s">
        <v>9729</v>
      </c>
      <c r="AC129" s="95" t="s">
        <v>9739</v>
      </c>
      <c r="AI129" s="95" t="s">
        <v>9725</v>
      </c>
      <c r="AW129" s="95">
        <v>45</v>
      </c>
      <c r="BC129" s="96" t="s">
        <v>9734</v>
      </c>
      <c r="BD129" s="99">
        <f t="shared" si="3"/>
        <v>0</v>
      </c>
      <c r="CC129" s="99"/>
      <c r="CV129" s="99"/>
      <c r="CW129" s="63"/>
    </row>
    <row r="130" spans="1:101" ht="22.5" x14ac:dyDescent="0.15">
      <c r="A130" s="76"/>
      <c r="B130" s="74"/>
      <c r="C130" s="74"/>
      <c r="D130" s="78" t="str">
        <f t="shared" ref="D130:D193" si="4">HYPERLINK(CONCATENATE("https://portal.dnb.de/opac.htm?method=simpleSearch&amp;cqlMode=true&amp;query=idn%3D",C130))</f>
        <v>https://portal.dnb.de/opac.htm?method=simpleSearch&amp;cqlMode=true&amp;query=idn%3D</v>
      </c>
      <c r="E130" s="74" t="s">
        <v>8627</v>
      </c>
      <c r="F130" s="74"/>
      <c r="G130" s="76" t="s">
        <v>8515</v>
      </c>
      <c r="H130" s="77" t="s">
        <v>4</v>
      </c>
      <c r="I130" s="76" t="s">
        <v>53</v>
      </c>
      <c r="J130" s="77" t="s">
        <v>8516</v>
      </c>
      <c r="K130" s="77" t="s">
        <v>8601</v>
      </c>
      <c r="L130" s="76"/>
      <c r="M130" s="76"/>
      <c r="N130" s="76"/>
      <c r="O130" s="76">
        <v>1</v>
      </c>
      <c r="P130" s="76"/>
      <c r="Q130" s="76"/>
      <c r="R130" s="76"/>
      <c r="S130" s="76"/>
      <c r="Y130" s="95" t="s">
        <v>9729</v>
      </c>
      <c r="AC130" s="95" t="s">
        <v>9739</v>
      </c>
      <c r="AI130" s="95" t="s">
        <v>9725</v>
      </c>
      <c r="AW130" s="95">
        <v>45</v>
      </c>
      <c r="BC130" s="96" t="s">
        <v>9734</v>
      </c>
      <c r="BD130" s="99">
        <f t="shared" si="3"/>
        <v>0</v>
      </c>
      <c r="CC130" s="99"/>
      <c r="CV130" s="99"/>
      <c r="CW130" s="63"/>
    </row>
    <row r="131" spans="1:101" ht="22.5" x14ac:dyDescent="0.15">
      <c r="A131" s="76"/>
      <c r="B131" s="74"/>
      <c r="C131" s="74"/>
      <c r="D131" s="78" t="str">
        <f t="shared" si="4"/>
        <v>https://portal.dnb.de/opac.htm?method=simpleSearch&amp;cqlMode=true&amp;query=idn%3D</v>
      </c>
      <c r="E131" s="74" t="s">
        <v>8628</v>
      </c>
      <c r="F131" s="74"/>
      <c r="G131" s="76" t="s">
        <v>8515</v>
      </c>
      <c r="H131" s="77" t="s">
        <v>4</v>
      </c>
      <c r="I131" s="76" t="s">
        <v>53</v>
      </c>
      <c r="J131" s="77" t="s">
        <v>8516</v>
      </c>
      <c r="K131" s="77" t="s">
        <v>8551</v>
      </c>
      <c r="L131" s="76"/>
      <c r="M131" s="76"/>
      <c r="N131" s="76"/>
      <c r="O131" s="76">
        <v>0</v>
      </c>
      <c r="P131" s="76"/>
      <c r="Q131" s="76"/>
      <c r="R131" s="76"/>
      <c r="S131" s="76"/>
      <c r="Y131" s="95" t="s">
        <v>9729</v>
      </c>
      <c r="AC131" s="95" t="s">
        <v>9739</v>
      </c>
      <c r="AI131" s="95" t="s">
        <v>9725</v>
      </c>
      <c r="AW131" s="95">
        <v>45</v>
      </c>
      <c r="BC131" s="96" t="s">
        <v>9734</v>
      </c>
      <c r="BD131" s="99">
        <f t="shared" ref="BD131:BD194" si="5">CC131+CV131</f>
        <v>0</v>
      </c>
      <c r="CC131" s="99"/>
      <c r="CV131" s="99"/>
      <c r="CW131" s="63"/>
    </row>
    <row r="132" spans="1:101" ht="22.5" x14ac:dyDescent="0.15">
      <c r="A132" s="76"/>
      <c r="B132" s="74"/>
      <c r="C132" s="74"/>
      <c r="D132" s="78" t="str">
        <f t="shared" si="4"/>
        <v>https://portal.dnb.de/opac.htm?method=simpleSearch&amp;cqlMode=true&amp;query=idn%3D</v>
      </c>
      <c r="E132" s="74" t="s">
        <v>8629</v>
      </c>
      <c r="F132" s="74"/>
      <c r="G132" s="76" t="s">
        <v>8515</v>
      </c>
      <c r="H132" s="77" t="s">
        <v>4</v>
      </c>
      <c r="I132" s="76" t="s">
        <v>53</v>
      </c>
      <c r="J132" s="77" t="s">
        <v>8516</v>
      </c>
      <c r="K132" s="77" t="s">
        <v>8601</v>
      </c>
      <c r="L132" s="76"/>
      <c r="M132" s="76"/>
      <c r="N132" s="76"/>
      <c r="O132" s="76">
        <v>0</v>
      </c>
      <c r="P132" s="76"/>
      <c r="Q132" s="76"/>
      <c r="R132" s="76"/>
      <c r="S132" s="76"/>
      <c r="Y132" s="95" t="s">
        <v>9729</v>
      </c>
      <c r="AC132" s="95" t="s">
        <v>9739</v>
      </c>
      <c r="AI132" s="95" t="s">
        <v>9725</v>
      </c>
      <c r="AW132" s="95">
        <v>45</v>
      </c>
      <c r="BC132" s="96" t="s">
        <v>9734</v>
      </c>
      <c r="BD132" s="99">
        <f t="shared" si="5"/>
        <v>0</v>
      </c>
      <c r="CC132" s="99"/>
      <c r="CV132" s="99"/>
      <c r="CW132" s="63"/>
    </row>
    <row r="133" spans="1:101" x14ac:dyDescent="0.15">
      <c r="A133" s="76"/>
      <c r="B133" s="74"/>
      <c r="C133" s="74"/>
      <c r="D133" s="78" t="str">
        <f t="shared" si="4"/>
        <v>https://portal.dnb.de/opac.htm?method=simpleSearch&amp;cqlMode=true&amp;query=idn%3D</v>
      </c>
      <c r="E133" s="74" t="s">
        <v>8630</v>
      </c>
      <c r="F133" s="74"/>
      <c r="G133" s="76" t="s">
        <v>8515</v>
      </c>
      <c r="H133" s="77" t="s">
        <v>4</v>
      </c>
      <c r="I133" s="76" t="s">
        <v>53</v>
      </c>
      <c r="J133" s="77" t="s">
        <v>8516</v>
      </c>
      <c r="K133" s="77" t="s">
        <v>84</v>
      </c>
      <c r="L133" s="76"/>
      <c r="M133" s="76"/>
      <c r="N133" s="76"/>
      <c r="O133" s="76">
        <v>0</v>
      </c>
      <c r="P133" s="76"/>
      <c r="Q133" s="76"/>
      <c r="R133" s="76"/>
      <c r="S133" s="76"/>
      <c r="Y133" s="95" t="s">
        <v>9729</v>
      </c>
      <c r="AC133" s="95" t="s">
        <v>9739</v>
      </c>
      <c r="AI133" s="95" t="s">
        <v>9725</v>
      </c>
      <c r="AW133" s="95">
        <v>45</v>
      </c>
      <c r="BC133" s="96" t="s">
        <v>9734</v>
      </c>
      <c r="BD133" s="99">
        <f t="shared" si="5"/>
        <v>0</v>
      </c>
      <c r="CC133" s="99"/>
      <c r="CV133" s="99"/>
      <c r="CW133" s="63"/>
    </row>
    <row r="134" spans="1:101" x14ac:dyDescent="0.15">
      <c r="A134" s="76"/>
      <c r="B134" s="74"/>
      <c r="C134" s="74"/>
      <c r="D134" s="78" t="str">
        <f t="shared" si="4"/>
        <v>https://portal.dnb.de/opac.htm?method=simpleSearch&amp;cqlMode=true&amp;query=idn%3D</v>
      </c>
      <c r="E134" s="74" t="s">
        <v>8631</v>
      </c>
      <c r="F134" s="74"/>
      <c r="G134" s="76" t="s">
        <v>8515</v>
      </c>
      <c r="H134" s="77" t="s">
        <v>4</v>
      </c>
      <c r="I134" s="76" t="s">
        <v>53</v>
      </c>
      <c r="J134" s="77" t="s">
        <v>8516</v>
      </c>
      <c r="K134" s="77" t="s">
        <v>84</v>
      </c>
      <c r="L134" s="76"/>
      <c r="M134" s="76"/>
      <c r="N134" s="76"/>
      <c r="O134" s="76">
        <v>0</v>
      </c>
      <c r="P134" s="76"/>
      <c r="Q134" s="76"/>
      <c r="R134" s="76"/>
      <c r="S134" s="76"/>
      <c r="Y134" s="95" t="s">
        <v>9729</v>
      </c>
      <c r="AC134" s="95" t="s">
        <v>9739</v>
      </c>
      <c r="AI134" s="95" t="s">
        <v>9725</v>
      </c>
      <c r="AW134" s="95">
        <v>45</v>
      </c>
      <c r="BC134" s="96" t="s">
        <v>9734</v>
      </c>
      <c r="BD134" s="99">
        <f t="shared" si="5"/>
        <v>0</v>
      </c>
      <c r="CC134" s="99"/>
      <c r="CV134" s="99"/>
      <c r="CW134" s="63"/>
    </row>
    <row r="135" spans="1:101" x14ac:dyDescent="0.15">
      <c r="A135" s="76"/>
      <c r="B135" s="74"/>
      <c r="C135" s="74"/>
      <c r="D135" s="78" t="str">
        <f t="shared" si="4"/>
        <v>https://portal.dnb.de/opac.htm?method=simpleSearch&amp;cqlMode=true&amp;query=idn%3D</v>
      </c>
      <c r="E135" s="74" t="s">
        <v>8632</v>
      </c>
      <c r="F135" s="74"/>
      <c r="G135" s="76" t="s">
        <v>8515</v>
      </c>
      <c r="H135" s="77" t="s">
        <v>4</v>
      </c>
      <c r="I135" s="76" t="s">
        <v>53</v>
      </c>
      <c r="J135" s="77" t="s">
        <v>58</v>
      </c>
      <c r="K135" s="77" t="s">
        <v>84</v>
      </c>
      <c r="L135" s="76"/>
      <c r="M135" s="76"/>
      <c r="N135" s="76"/>
      <c r="O135" s="76">
        <v>0</v>
      </c>
      <c r="P135" s="76"/>
      <c r="Q135" s="76"/>
      <c r="R135" s="76"/>
      <c r="S135" s="76"/>
      <c r="Y135" s="95" t="s">
        <v>9729</v>
      </c>
      <c r="AC135" s="95" t="s">
        <v>9739</v>
      </c>
      <c r="AI135" s="95" t="s">
        <v>9725</v>
      </c>
      <c r="AW135" s="95">
        <v>45</v>
      </c>
      <c r="BC135" s="96" t="s">
        <v>9734</v>
      </c>
      <c r="BD135" s="99">
        <f t="shared" si="5"/>
        <v>0</v>
      </c>
      <c r="CC135" s="99"/>
      <c r="CV135" s="99"/>
      <c r="CW135" s="63"/>
    </row>
    <row r="136" spans="1:101" x14ac:dyDescent="0.15">
      <c r="A136" s="76"/>
      <c r="B136" s="74"/>
      <c r="C136" s="74"/>
      <c r="D136" s="78" t="str">
        <f t="shared" si="4"/>
        <v>https://portal.dnb.de/opac.htm?method=simpleSearch&amp;cqlMode=true&amp;query=idn%3D</v>
      </c>
      <c r="E136" s="74" t="s">
        <v>8633</v>
      </c>
      <c r="F136" s="74"/>
      <c r="G136" s="76" t="s">
        <v>8515</v>
      </c>
      <c r="H136" s="77" t="s">
        <v>4</v>
      </c>
      <c r="I136" s="76" t="s">
        <v>53</v>
      </c>
      <c r="J136" s="77" t="s">
        <v>58</v>
      </c>
      <c r="K136" s="77" t="s">
        <v>84</v>
      </c>
      <c r="L136" s="76"/>
      <c r="M136" s="76"/>
      <c r="N136" s="76"/>
      <c r="O136" s="76">
        <v>0</v>
      </c>
      <c r="P136" s="76"/>
      <c r="Q136" s="76"/>
      <c r="R136" s="76"/>
      <c r="S136" s="76"/>
      <c r="Y136" s="95" t="s">
        <v>9729</v>
      </c>
      <c r="AC136" s="95" t="s">
        <v>9739</v>
      </c>
      <c r="AI136" s="95" t="s">
        <v>9725</v>
      </c>
      <c r="AW136" s="95">
        <v>45</v>
      </c>
      <c r="BC136" s="96" t="s">
        <v>9734</v>
      </c>
      <c r="BD136" s="99">
        <f t="shared" si="5"/>
        <v>0</v>
      </c>
      <c r="CC136" s="99"/>
      <c r="CV136" s="99"/>
      <c r="CW136" s="63"/>
    </row>
    <row r="137" spans="1:101" ht="22.5" x14ac:dyDescent="0.15">
      <c r="A137" s="76"/>
      <c r="B137" s="74"/>
      <c r="C137" s="74"/>
      <c r="D137" s="78" t="str">
        <f t="shared" si="4"/>
        <v>https://portal.dnb.de/opac.htm?method=simpleSearch&amp;cqlMode=true&amp;query=idn%3D</v>
      </c>
      <c r="E137" s="74" t="s">
        <v>8634</v>
      </c>
      <c r="F137" s="74"/>
      <c r="G137" s="76" t="s">
        <v>8515</v>
      </c>
      <c r="H137" s="77" t="s">
        <v>4</v>
      </c>
      <c r="I137" s="76" t="s">
        <v>53</v>
      </c>
      <c r="J137" s="77" t="s">
        <v>8516</v>
      </c>
      <c r="K137" s="77" t="s">
        <v>8601</v>
      </c>
      <c r="L137" s="76"/>
      <c r="M137" s="76"/>
      <c r="N137" s="76"/>
      <c r="O137" s="76">
        <v>3</v>
      </c>
      <c r="P137" s="76"/>
      <c r="Q137" s="76"/>
      <c r="R137" s="76"/>
      <c r="S137" s="76"/>
      <c r="Y137" s="95" t="s">
        <v>9729</v>
      </c>
      <c r="AC137" s="95" t="s">
        <v>9739</v>
      </c>
      <c r="AI137" s="95" t="s">
        <v>9725</v>
      </c>
      <c r="AW137" s="95">
        <v>45</v>
      </c>
      <c r="BC137" s="96" t="s">
        <v>9734</v>
      </c>
      <c r="BD137" s="99">
        <f t="shared" si="5"/>
        <v>0</v>
      </c>
      <c r="BL137" s="70" t="s">
        <v>10015</v>
      </c>
      <c r="CC137" s="99"/>
      <c r="CV137" s="99"/>
      <c r="CW137" s="63"/>
    </row>
    <row r="138" spans="1:101" ht="22.5" x14ac:dyDescent="0.15">
      <c r="A138" s="76"/>
      <c r="B138" s="74"/>
      <c r="C138" s="74"/>
      <c r="D138" s="78" t="str">
        <f t="shared" si="4"/>
        <v>https://portal.dnb.de/opac.htm?method=simpleSearch&amp;cqlMode=true&amp;query=idn%3D</v>
      </c>
      <c r="E138" s="74" t="s">
        <v>8595</v>
      </c>
      <c r="F138" s="74"/>
      <c r="G138" s="76" t="s">
        <v>8541</v>
      </c>
      <c r="H138" s="77" t="s">
        <v>4</v>
      </c>
      <c r="I138" s="76" t="s">
        <v>53</v>
      </c>
      <c r="J138" s="77" t="s">
        <v>8516</v>
      </c>
      <c r="K138" s="77" t="s">
        <v>8551</v>
      </c>
      <c r="L138" s="76"/>
      <c r="M138" s="76"/>
      <c r="N138" s="76"/>
      <c r="O138" s="76">
        <v>1</v>
      </c>
      <c r="P138" s="76"/>
      <c r="Q138" s="76"/>
      <c r="R138" s="76"/>
      <c r="S138" s="76"/>
      <c r="Y138" s="95" t="s">
        <v>9729</v>
      </c>
      <c r="AC138" s="95" t="s">
        <v>9739</v>
      </c>
      <c r="AI138" s="95" t="s">
        <v>9725</v>
      </c>
      <c r="AW138" s="95">
        <v>45</v>
      </c>
      <c r="BC138" s="96" t="s">
        <v>9734</v>
      </c>
      <c r="BD138" s="99">
        <f t="shared" si="5"/>
        <v>0</v>
      </c>
      <c r="CC138" s="99"/>
      <c r="CV138" s="99"/>
      <c r="CW138" s="63"/>
    </row>
    <row r="139" spans="1:101" ht="33.75" x14ac:dyDescent="0.15">
      <c r="A139" s="76"/>
      <c r="B139" s="74"/>
      <c r="C139" s="74"/>
      <c r="D139" s="78" t="str">
        <f t="shared" si="4"/>
        <v>https://portal.dnb.de/opac.htm?method=simpleSearch&amp;cqlMode=true&amp;query=idn%3D</v>
      </c>
      <c r="E139" s="74" t="s">
        <v>8635</v>
      </c>
      <c r="F139" s="74"/>
      <c r="G139" s="76" t="s">
        <v>8541</v>
      </c>
      <c r="H139" s="77" t="s">
        <v>5</v>
      </c>
      <c r="I139" s="76" t="s">
        <v>53</v>
      </c>
      <c r="J139" s="77" t="s">
        <v>8516</v>
      </c>
      <c r="K139" s="77" t="s">
        <v>8636</v>
      </c>
      <c r="L139" s="76"/>
      <c r="M139" s="76"/>
      <c r="N139" s="76"/>
      <c r="O139" s="76">
        <v>2</v>
      </c>
      <c r="P139" s="76"/>
      <c r="Q139" s="76"/>
      <c r="R139" s="76"/>
      <c r="S139" s="76"/>
      <c r="BD139" s="99">
        <f t="shared" si="5"/>
        <v>0</v>
      </c>
      <c r="CC139" s="99"/>
      <c r="CV139" s="99"/>
      <c r="CW139" s="63"/>
    </row>
    <row r="140" spans="1:101" x14ac:dyDescent="0.15">
      <c r="A140" s="76">
        <v>102</v>
      </c>
      <c r="B140" s="74" t="s">
        <v>7962</v>
      </c>
      <c r="C140" s="74">
        <v>1066847436</v>
      </c>
      <c r="D140" s="78" t="str">
        <f t="shared" si="4"/>
        <v>https://portal.dnb.de/opac.htm?method=simpleSearch&amp;cqlMode=true&amp;query=idn%3D1066847436</v>
      </c>
      <c r="E140" s="74" t="s">
        <v>7963</v>
      </c>
      <c r="F140" s="74"/>
      <c r="G140" s="76" t="s">
        <v>8515</v>
      </c>
      <c r="H140" s="77" t="s">
        <v>48</v>
      </c>
      <c r="I140" s="76" t="s">
        <v>53</v>
      </c>
      <c r="J140" s="77" t="s">
        <v>8516</v>
      </c>
      <c r="K140" s="77" t="s">
        <v>84</v>
      </c>
      <c r="L140" s="76"/>
      <c r="M140" s="76"/>
      <c r="N140" s="76"/>
      <c r="O140" s="76">
        <v>1</v>
      </c>
      <c r="P140" s="76"/>
      <c r="Q140" s="76"/>
      <c r="R140" s="76"/>
      <c r="S140" s="76"/>
      <c r="BD140" s="99">
        <f t="shared" si="5"/>
        <v>0</v>
      </c>
      <c r="CC140" s="99"/>
      <c r="CV140" s="99"/>
      <c r="CW140" s="63"/>
    </row>
    <row r="141" spans="1:101" x14ac:dyDescent="0.15">
      <c r="A141" s="76">
        <v>103</v>
      </c>
      <c r="B141" s="74" t="s">
        <v>7964</v>
      </c>
      <c r="C141" s="74" t="s">
        <v>7965</v>
      </c>
      <c r="D141" s="78" t="str">
        <f t="shared" si="4"/>
        <v>https://portal.dnb.de/opac.htm?method=simpleSearch&amp;cqlMode=true&amp;query=idn%3D100076009X</v>
      </c>
      <c r="E141" s="74" t="s">
        <v>7966</v>
      </c>
      <c r="F141" s="74"/>
      <c r="G141" s="76"/>
      <c r="H141" s="77" t="s">
        <v>49</v>
      </c>
      <c r="I141" s="76"/>
      <c r="J141" s="77" t="s">
        <v>8516</v>
      </c>
      <c r="K141" s="77" t="s">
        <v>8577</v>
      </c>
      <c r="L141" s="76"/>
      <c r="M141" s="76"/>
      <c r="N141" s="76"/>
      <c r="O141" s="76">
        <v>0</v>
      </c>
      <c r="P141" s="76"/>
      <c r="Q141" s="76"/>
      <c r="R141" s="76"/>
      <c r="S141" s="76"/>
      <c r="BD141" s="99">
        <f t="shared" si="5"/>
        <v>0</v>
      </c>
      <c r="CC141" s="99"/>
      <c r="CV141" s="99"/>
      <c r="CW141" s="63"/>
    </row>
    <row r="142" spans="1:101" x14ac:dyDescent="0.15">
      <c r="A142" s="76">
        <v>104</v>
      </c>
      <c r="B142" s="74" t="s">
        <v>7967</v>
      </c>
      <c r="C142" s="74">
        <v>1002334888</v>
      </c>
      <c r="D142" s="78" t="str">
        <f t="shared" si="4"/>
        <v>https://portal.dnb.de/opac.htm?method=simpleSearch&amp;cqlMode=true&amp;query=idn%3D1002334888</v>
      </c>
      <c r="E142" s="74" t="s">
        <v>7968</v>
      </c>
      <c r="F142" s="74"/>
      <c r="G142" s="76" t="s">
        <v>8515</v>
      </c>
      <c r="H142" s="77" t="s">
        <v>5</v>
      </c>
      <c r="I142" s="76" t="s">
        <v>53</v>
      </c>
      <c r="J142" s="77" t="s">
        <v>58</v>
      </c>
      <c r="K142" s="77" t="s">
        <v>84</v>
      </c>
      <c r="L142" s="76"/>
      <c r="M142" s="76"/>
      <c r="N142" s="76" t="s">
        <v>8523</v>
      </c>
      <c r="O142" s="76">
        <v>2</v>
      </c>
      <c r="P142" s="76"/>
      <c r="Q142" s="76"/>
      <c r="R142" s="76"/>
      <c r="S142" s="76"/>
      <c r="BD142" s="99">
        <f t="shared" si="5"/>
        <v>0</v>
      </c>
      <c r="CC142" s="99"/>
      <c r="CV142" s="99"/>
      <c r="CW142" s="63"/>
    </row>
    <row r="143" spans="1:101" x14ac:dyDescent="0.15">
      <c r="A143" s="76">
        <v>105</v>
      </c>
      <c r="B143" s="74" t="s">
        <v>7969</v>
      </c>
      <c r="C143" s="74">
        <v>994216491</v>
      </c>
      <c r="D143" s="78" t="str">
        <f t="shared" si="4"/>
        <v>https://portal.dnb.de/opac.htm?method=simpleSearch&amp;cqlMode=true&amp;query=idn%3D994216491</v>
      </c>
      <c r="E143" s="74" t="s">
        <v>7970</v>
      </c>
      <c r="F143" s="74"/>
      <c r="G143" s="76"/>
      <c r="H143" s="77" t="s">
        <v>47</v>
      </c>
      <c r="I143" s="76" t="s">
        <v>55</v>
      </c>
      <c r="J143" s="77" t="s">
        <v>58</v>
      </c>
      <c r="K143" s="77"/>
      <c r="L143" s="76"/>
      <c r="M143" s="76" t="s">
        <v>34</v>
      </c>
      <c r="N143" s="76" t="s">
        <v>40</v>
      </c>
      <c r="O143" s="76">
        <v>0</v>
      </c>
      <c r="P143" s="76"/>
      <c r="Q143" s="76"/>
      <c r="R143" s="76"/>
      <c r="S143" s="76"/>
      <c r="BD143" s="99">
        <f t="shared" si="5"/>
        <v>0</v>
      </c>
      <c r="CC143" s="99"/>
      <c r="CV143" s="99"/>
      <c r="CW143" s="63"/>
    </row>
    <row r="144" spans="1:101" x14ac:dyDescent="0.15">
      <c r="A144" s="76">
        <v>106</v>
      </c>
      <c r="B144" s="74" t="s">
        <v>7971</v>
      </c>
      <c r="C144" s="74">
        <v>997308567</v>
      </c>
      <c r="D144" s="78" t="str">
        <f t="shared" si="4"/>
        <v>https://portal.dnb.de/opac.htm?method=simpleSearch&amp;cqlMode=true&amp;query=idn%3D997308567</v>
      </c>
      <c r="E144" s="74" t="s">
        <v>7972</v>
      </c>
      <c r="F144" s="74"/>
      <c r="G144" s="76" t="s">
        <v>8515</v>
      </c>
      <c r="H144" s="77" t="s">
        <v>5</v>
      </c>
      <c r="I144" s="76" t="s">
        <v>53</v>
      </c>
      <c r="J144" s="77" t="s">
        <v>8516</v>
      </c>
      <c r="K144" s="77" t="s">
        <v>8557</v>
      </c>
      <c r="L144" s="76"/>
      <c r="M144" s="76"/>
      <c r="N144" s="76"/>
      <c r="O144" s="76">
        <v>2</v>
      </c>
      <c r="P144" s="76" t="s">
        <v>46</v>
      </c>
      <c r="Q144" s="76"/>
      <c r="R144" s="76"/>
      <c r="S144" s="76"/>
      <c r="BD144" s="99">
        <f t="shared" si="5"/>
        <v>0</v>
      </c>
      <c r="CC144" s="99"/>
      <c r="CV144" s="99"/>
      <c r="CW144" s="63"/>
    </row>
    <row r="145" spans="1:101" x14ac:dyDescent="0.15">
      <c r="A145" s="76">
        <v>107</v>
      </c>
      <c r="B145" s="74" t="s">
        <v>7975</v>
      </c>
      <c r="C145" s="74" t="s">
        <v>7976</v>
      </c>
      <c r="D145" s="78" t="str">
        <f t="shared" si="4"/>
        <v>https://portal.dnb.de/opac.htm?method=simpleSearch&amp;cqlMode=true&amp;query=idn%3D99472683X</v>
      </c>
      <c r="E145" s="74" t="s">
        <v>8639</v>
      </c>
      <c r="F145" s="74"/>
      <c r="G145" s="76" t="s">
        <v>8515</v>
      </c>
      <c r="H145" s="77" t="s">
        <v>5</v>
      </c>
      <c r="I145" s="76" t="s">
        <v>53</v>
      </c>
      <c r="J145" s="77" t="s">
        <v>8516</v>
      </c>
      <c r="K145" s="77" t="s">
        <v>8520</v>
      </c>
      <c r="L145" s="76"/>
      <c r="M145" s="76"/>
      <c r="N145" s="76"/>
      <c r="O145" s="76">
        <v>0</v>
      </c>
      <c r="P145" s="76"/>
      <c r="Q145" s="76"/>
      <c r="R145" s="76"/>
      <c r="S145" s="76"/>
      <c r="BD145" s="99">
        <f t="shared" si="5"/>
        <v>0</v>
      </c>
      <c r="CC145" s="99"/>
      <c r="CV145" s="99"/>
      <c r="CW145" s="63"/>
    </row>
    <row r="146" spans="1:101" x14ac:dyDescent="0.15">
      <c r="A146" s="76">
        <v>108</v>
      </c>
      <c r="B146" s="74" t="s">
        <v>7977</v>
      </c>
      <c r="C146" s="74">
        <v>994726791</v>
      </c>
      <c r="D146" s="78" t="str">
        <f t="shared" si="4"/>
        <v>https://portal.dnb.de/opac.htm?method=simpleSearch&amp;cqlMode=true&amp;query=idn%3D994726791</v>
      </c>
      <c r="E146" s="74" t="s">
        <v>8637</v>
      </c>
      <c r="F146" s="74"/>
      <c r="G146" s="76" t="s">
        <v>8515</v>
      </c>
      <c r="H146" s="77" t="s">
        <v>5</v>
      </c>
      <c r="I146" s="76" t="s">
        <v>53</v>
      </c>
      <c r="J146" s="77" t="s">
        <v>8516</v>
      </c>
      <c r="K146" s="77" t="s">
        <v>8520</v>
      </c>
      <c r="L146" s="76"/>
      <c r="M146" s="76"/>
      <c r="N146" s="76"/>
      <c r="O146" s="76">
        <v>0</v>
      </c>
      <c r="P146" s="76"/>
      <c r="Q146" s="76"/>
      <c r="R146" s="76"/>
      <c r="S146" s="76"/>
      <c r="BD146" s="99">
        <f t="shared" si="5"/>
        <v>0</v>
      </c>
      <c r="CC146" s="99"/>
      <c r="CV146" s="99"/>
      <c r="CW146" s="63"/>
    </row>
    <row r="147" spans="1:101" x14ac:dyDescent="0.15">
      <c r="A147" s="76">
        <v>109</v>
      </c>
      <c r="B147" s="74" t="s">
        <v>7978</v>
      </c>
      <c r="C147" s="74">
        <v>994726813</v>
      </c>
      <c r="D147" s="78" t="str">
        <f t="shared" si="4"/>
        <v>https://portal.dnb.de/opac.htm?method=simpleSearch&amp;cqlMode=true&amp;query=idn%3D994726813</v>
      </c>
      <c r="E147" s="74" t="s">
        <v>8638</v>
      </c>
      <c r="F147" s="74"/>
      <c r="G147" s="76" t="s">
        <v>8515</v>
      </c>
      <c r="H147" s="77" t="s">
        <v>5</v>
      </c>
      <c r="I147" s="76" t="s">
        <v>53</v>
      </c>
      <c r="J147" s="77" t="s">
        <v>8516</v>
      </c>
      <c r="K147" s="77" t="s">
        <v>8520</v>
      </c>
      <c r="L147" s="76"/>
      <c r="M147" s="76"/>
      <c r="N147" s="76" t="s">
        <v>8523</v>
      </c>
      <c r="O147" s="76">
        <v>0</v>
      </c>
      <c r="P147" s="76"/>
      <c r="Q147" s="76"/>
      <c r="R147" s="76"/>
      <c r="S147" s="76"/>
      <c r="BD147" s="99">
        <f t="shared" si="5"/>
        <v>0</v>
      </c>
      <c r="CC147" s="99"/>
      <c r="CV147" s="99"/>
      <c r="CW147" s="63"/>
    </row>
    <row r="148" spans="1:101" x14ac:dyDescent="0.15">
      <c r="A148" s="76">
        <v>110</v>
      </c>
      <c r="B148" s="74" t="s">
        <v>7979</v>
      </c>
      <c r="C148" s="74">
        <v>994726872</v>
      </c>
      <c r="D148" s="78" t="str">
        <f t="shared" si="4"/>
        <v>https://portal.dnb.de/opac.htm?method=simpleSearch&amp;cqlMode=true&amp;query=idn%3D994726872</v>
      </c>
      <c r="E148" s="74" t="s">
        <v>8640</v>
      </c>
      <c r="F148" s="74"/>
      <c r="G148" s="76" t="s">
        <v>8515</v>
      </c>
      <c r="H148" s="77" t="s">
        <v>5</v>
      </c>
      <c r="I148" s="76" t="s">
        <v>53</v>
      </c>
      <c r="J148" s="77" t="s">
        <v>8516</v>
      </c>
      <c r="K148" s="77" t="s">
        <v>8520</v>
      </c>
      <c r="L148" s="76"/>
      <c r="M148" s="76"/>
      <c r="N148" s="76" t="s">
        <v>8523</v>
      </c>
      <c r="O148" s="76">
        <v>0</v>
      </c>
      <c r="P148" s="76"/>
      <c r="Q148" s="76"/>
      <c r="R148" s="76"/>
      <c r="S148" s="76"/>
      <c r="BD148" s="99">
        <f t="shared" si="5"/>
        <v>0</v>
      </c>
      <c r="CC148" s="99"/>
      <c r="CV148" s="99"/>
      <c r="CW148" s="63"/>
    </row>
    <row r="149" spans="1:101" x14ac:dyDescent="0.15">
      <c r="A149" s="76">
        <v>111</v>
      </c>
      <c r="B149" s="74" t="s">
        <v>7982</v>
      </c>
      <c r="C149" s="74">
        <v>1000231720</v>
      </c>
      <c r="D149" s="78" t="str">
        <f t="shared" si="4"/>
        <v>https://portal.dnb.de/opac.htm?method=simpleSearch&amp;cqlMode=true&amp;query=idn%3D1000231720</v>
      </c>
      <c r="E149" s="74" t="s">
        <v>8649</v>
      </c>
      <c r="F149" s="74"/>
      <c r="G149" s="76" t="s">
        <v>8515</v>
      </c>
      <c r="H149" s="77" t="s">
        <v>5</v>
      </c>
      <c r="I149" s="76" t="s">
        <v>53</v>
      </c>
      <c r="J149" s="77" t="s">
        <v>58</v>
      </c>
      <c r="K149" s="77" t="s">
        <v>8520</v>
      </c>
      <c r="L149" s="76"/>
      <c r="M149" s="76" t="s">
        <v>36</v>
      </c>
      <c r="N149" s="76" t="s">
        <v>39</v>
      </c>
      <c r="O149" s="76">
        <v>2</v>
      </c>
      <c r="P149" s="76"/>
      <c r="Q149" s="76"/>
      <c r="R149" s="76"/>
      <c r="S149" s="76"/>
      <c r="BD149" s="99">
        <f t="shared" si="5"/>
        <v>0</v>
      </c>
      <c r="CC149" s="99"/>
      <c r="CV149" s="99"/>
      <c r="CW149" s="63"/>
    </row>
    <row r="150" spans="1:101" ht="22.5" x14ac:dyDescent="0.15">
      <c r="A150" s="76">
        <v>112</v>
      </c>
      <c r="B150" s="74" t="s">
        <v>7983</v>
      </c>
      <c r="C150" s="74">
        <v>1000231569</v>
      </c>
      <c r="D150" s="78" t="str">
        <f t="shared" si="4"/>
        <v>https://portal.dnb.de/opac.htm?method=simpleSearch&amp;cqlMode=true&amp;query=idn%3D1000231569</v>
      </c>
      <c r="E150" s="74" t="s">
        <v>8641</v>
      </c>
      <c r="F150" s="74"/>
      <c r="G150" s="76" t="s">
        <v>8515</v>
      </c>
      <c r="H150" s="77" t="s">
        <v>5</v>
      </c>
      <c r="I150" s="76" t="s">
        <v>53</v>
      </c>
      <c r="J150" s="77" t="s">
        <v>8516</v>
      </c>
      <c r="K150" s="77" t="s">
        <v>8647</v>
      </c>
      <c r="L150" s="76"/>
      <c r="M150" s="76" t="s">
        <v>36</v>
      </c>
      <c r="N150" s="76" t="s">
        <v>39</v>
      </c>
      <c r="O150" s="76">
        <v>2</v>
      </c>
      <c r="P150" s="76"/>
      <c r="Q150" s="76"/>
      <c r="R150" s="76"/>
      <c r="S150" s="76"/>
      <c r="BD150" s="99">
        <f t="shared" si="5"/>
        <v>0</v>
      </c>
      <c r="CC150" s="99"/>
      <c r="CV150" s="99"/>
      <c r="CW150" s="63"/>
    </row>
    <row r="151" spans="1:101" x14ac:dyDescent="0.15">
      <c r="A151" s="76">
        <v>113</v>
      </c>
      <c r="B151" s="74" t="s">
        <v>7984</v>
      </c>
      <c r="C151" s="74">
        <v>1000231674</v>
      </c>
      <c r="D151" s="78" t="str">
        <f t="shared" si="4"/>
        <v>https://portal.dnb.de/opac.htm?method=simpleSearch&amp;cqlMode=true&amp;query=idn%3D1000231674</v>
      </c>
      <c r="E151" s="74" t="s">
        <v>8648</v>
      </c>
      <c r="F151" s="74"/>
      <c r="G151" s="76" t="s">
        <v>8541</v>
      </c>
      <c r="H151" s="77" t="s">
        <v>5</v>
      </c>
      <c r="I151" s="76" t="s">
        <v>53</v>
      </c>
      <c r="J151" s="77" t="s">
        <v>58</v>
      </c>
      <c r="K151" s="77" t="s">
        <v>8520</v>
      </c>
      <c r="L151" s="76"/>
      <c r="M151" s="76" t="s">
        <v>36</v>
      </c>
      <c r="N151" s="76" t="s">
        <v>39</v>
      </c>
      <c r="O151" s="76">
        <v>2</v>
      </c>
      <c r="P151" s="76"/>
      <c r="Q151" s="76"/>
      <c r="R151" s="76"/>
      <c r="S151" s="76"/>
      <c r="BD151" s="99">
        <f t="shared" si="5"/>
        <v>0</v>
      </c>
      <c r="CC151" s="99"/>
      <c r="CV151" s="99"/>
      <c r="CW151" s="63"/>
    </row>
    <row r="152" spans="1:101" x14ac:dyDescent="0.15">
      <c r="A152" s="76">
        <v>114</v>
      </c>
      <c r="B152" s="74" t="s">
        <v>8008</v>
      </c>
      <c r="C152" s="74">
        <v>1002335906</v>
      </c>
      <c r="D152" s="78" t="str">
        <f t="shared" si="4"/>
        <v>https://portal.dnb.de/opac.htm?method=simpleSearch&amp;cqlMode=true&amp;query=idn%3D1002335906</v>
      </c>
      <c r="E152" s="74" t="s">
        <v>8009</v>
      </c>
      <c r="F152" s="74"/>
      <c r="G152" s="76"/>
      <c r="H152" s="77"/>
      <c r="I152" s="76"/>
      <c r="J152" s="77"/>
      <c r="K152" s="77"/>
      <c r="L152" s="76"/>
      <c r="M152" s="76" t="s">
        <v>38</v>
      </c>
      <c r="N152" s="76"/>
      <c r="O152" s="76">
        <v>0</v>
      </c>
      <c r="P152" s="76"/>
      <c r="Q152" s="76"/>
      <c r="R152" s="76"/>
      <c r="S152" s="76"/>
      <c r="BD152" s="99">
        <f t="shared" si="5"/>
        <v>0</v>
      </c>
      <c r="CC152" s="99"/>
      <c r="CV152" s="99"/>
      <c r="CW152" s="63"/>
    </row>
    <row r="153" spans="1:101" ht="22.5" x14ac:dyDescent="0.15">
      <c r="A153" s="76">
        <v>115</v>
      </c>
      <c r="B153" s="74" t="s">
        <v>8010</v>
      </c>
      <c r="C153" s="74">
        <v>1002335809</v>
      </c>
      <c r="D153" s="78" t="str">
        <f t="shared" si="4"/>
        <v>https://portal.dnb.de/opac.htm?method=simpleSearch&amp;cqlMode=true&amp;query=idn%3D1002335809</v>
      </c>
      <c r="E153" s="74" t="s">
        <v>8642</v>
      </c>
      <c r="F153" s="74"/>
      <c r="G153" s="76"/>
      <c r="H153" s="77" t="s">
        <v>8547</v>
      </c>
      <c r="I153" s="76" t="s">
        <v>53</v>
      </c>
      <c r="J153" s="77" t="s">
        <v>8516</v>
      </c>
      <c r="K153" s="77" t="s">
        <v>72</v>
      </c>
      <c r="L153" s="76"/>
      <c r="M153" s="76" t="s">
        <v>38</v>
      </c>
      <c r="N153" s="76"/>
      <c r="O153" s="76">
        <v>0</v>
      </c>
      <c r="P153" s="76"/>
      <c r="Q153" s="76"/>
      <c r="R153" s="76"/>
      <c r="S153" s="76"/>
      <c r="BD153" s="99">
        <f t="shared" si="5"/>
        <v>0</v>
      </c>
      <c r="CC153" s="99"/>
      <c r="CV153" s="99"/>
      <c r="CW153" s="63"/>
    </row>
    <row r="154" spans="1:101" ht="22.5" x14ac:dyDescent="0.15">
      <c r="A154" s="76">
        <v>116</v>
      </c>
      <c r="B154" s="74" t="s">
        <v>8011</v>
      </c>
      <c r="C154" s="74">
        <v>998562939</v>
      </c>
      <c r="D154" s="78" t="str">
        <f t="shared" si="4"/>
        <v>https://portal.dnb.de/opac.htm?method=simpleSearch&amp;cqlMode=true&amp;query=idn%3D998562939</v>
      </c>
      <c r="E154" s="74" t="s">
        <v>8643</v>
      </c>
      <c r="F154" s="74"/>
      <c r="G154" s="76" t="s">
        <v>8515</v>
      </c>
      <c r="H154" s="77" t="s">
        <v>18</v>
      </c>
      <c r="I154" s="76" t="s">
        <v>53</v>
      </c>
      <c r="J154" s="77" t="s">
        <v>58</v>
      </c>
      <c r="K154" s="77" t="s">
        <v>84</v>
      </c>
      <c r="L154" s="76"/>
      <c r="M154" s="76"/>
      <c r="N154" s="76" t="s">
        <v>8523</v>
      </c>
      <c r="O154" s="76">
        <v>0</v>
      </c>
      <c r="P154" s="76"/>
      <c r="Q154" s="76"/>
      <c r="R154" s="76"/>
      <c r="S154" s="76"/>
      <c r="BD154" s="99">
        <f t="shared" si="5"/>
        <v>0</v>
      </c>
      <c r="CC154" s="99"/>
      <c r="CV154" s="99"/>
      <c r="CW154" s="63"/>
    </row>
    <row r="155" spans="1:101" ht="22.5" x14ac:dyDescent="0.15">
      <c r="A155" s="76">
        <v>117</v>
      </c>
      <c r="B155" s="74" t="s">
        <v>8012</v>
      </c>
      <c r="C155" s="74">
        <v>998562882</v>
      </c>
      <c r="D155" s="78" t="str">
        <f t="shared" si="4"/>
        <v>https://portal.dnb.de/opac.htm?method=simpleSearch&amp;cqlMode=true&amp;query=idn%3D998562882</v>
      </c>
      <c r="E155" s="74" t="s">
        <v>8644</v>
      </c>
      <c r="F155" s="74"/>
      <c r="G155" s="76" t="s">
        <v>8515</v>
      </c>
      <c r="H155" s="77" t="s">
        <v>18</v>
      </c>
      <c r="I155" s="76" t="s">
        <v>53</v>
      </c>
      <c r="J155" s="77" t="s">
        <v>58</v>
      </c>
      <c r="K155" s="77" t="s">
        <v>84</v>
      </c>
      <c r="L155" s="76"/>
      <c r="M155" s="76"/>
      <c r="N155" s="76" t="s">
        <v>8523</v>
      </c>
      <c r="O155" s="76">
        <v>0</v>
      </c>
      <c r="P155" s="76"/>
      <c r="Q155" s="76"/>
      <c r="R155" s="76"/>
      <c r="S155" s="76"/>
      <c r="BD155" s="99">
        <f t="shared" si="5"/>
        <v>0</v>
      </c>
      <c r="CC155" s="99"/>
      <c r="CV155" s="99"/>
      <c r="CW155" s="63"/>
    </row>
    <row r="156" spans="1:101" ht="22.5" x14ac:dyDescent="0.15">
      <c r="A156" s="76">
        <v>118</v>
      </c>
      <c r="B156" s="74" t="s">
        <v>8013</v>
      </c>
      <c r="C156" s="74">
        <v>998562912</v>
      </c>
      <c r="D156" s="78" t="str">
        <f t="shared" si="4"/>
        <v>https://portal.dnb.de/opac.htm?method=simpleSearch&amp;cqlMode=true&amp;query=idn%3D998562912</v>
      </c>
      <c r="E156" s="74" t="s">
        <v>8646</v>
      </c>
      <c r="F156" s="74"/>
      <c r="G156" s="76" t="s">
        <v>8515</v>
      </c>
      <c r="H156" s="77" t="s">
        <v>18</v>
      </c>
      <c r="I156" s="76" t="s">
        <v>53</v>
      </c>
      <c r="J156" s="77" t="s">
        <v>58</v>
      </c>
      <c r="K156" s="77" t="s">
        <v>84</v>
      </c>
      <c r="L156" s="76"/>
      <c r="M156" s="76"/>
      <c r="N156" s="76" t="s">
        <v>8523</v>
      </c>
      <c r="O156" s="76">
        <v>0</v>
      </c>
      <c r="P156" s="76"/>
      <c r="Q156" s="76"/>
      <c r="R156" s="76"/>
      <c r="S156" s="76"/>
      <c r="BD156" s="99">
        <f t="shared" si="5"/>
        <v>0</v>
      </c>
      <c r="CC156" s="99"/>
      <c r="CV156" s="99"/>
      <c r="CW156" s="63"/>
    </row>
    <row r="157" spans="1:101" ht="22.5" x14ac:dyDescent="0.15">
      <c r="A157" s="76">
        <v>119</v>
      </c>
      <c r="B157" s="74" t="s">
        <v>8014</v>
      </c>
      <c r="C157" s="74">
        <v>998562904</v>
      </c>
      <c r="D157" s="78" t="str">
        <f t="shared" si="4"/>
        <v>https://portal.dnb.de/opac.htm?method=simpleSearch&amp;cqlMode=true&amp;query=idn%3D998562904</v>
      </c>
      <c r="E157" s="74" t="s">
        <v>8645</v>
      </c>
      <c r="F157" s="74"/>
      <c r="G157" s="76" t="s">
        <v>8515</v>
      </c>
      <c r="H157" s="77" t="s">
        <v>18</v>
      </c>
      <c r="I157" s="76" t="s">
        <v>53</v>
      </c>
      <c r="J157" s="77" t="s">
        <v>58</v>
      </c>
      <c r="K157" s="77" t="s">
        <v>84</v>
      </c>
      <c r="L157" s="76"/>
      <c r="M157" s="76"/>
      <c r="N157" s="76" t="s">
        <v>8523</v>
      </c>
      <c r="O157" s="76">
        <v>0</v>
      </c>
      <c r="P157" s="76"/>
      <c r="Q157" s="76"/>
      <c r="R157" s="76"/>
      <c r="S157" s="76"/>
      <c r="BD157" s="99">
        <f t="shared" si="5"/>
        <v>0</v>
      </c>
      <c r="CC157" s="99"/>
      <c r="CV157" s="99"/>
      <c r="CW157" s="63"/>
    </row>
    <row r="158" spans="1:101" ht="22.5" x14ac:dyDescent="0.15">
      <c r="A158" s="76">
        <v>120</v>
      </c>
      <c r="B158" s="74" t="s">
        <v>8015</v>
      </c>
      <c r="C158" s="74">
        <v>995618666</v>
      </c>
      <c r="D158" s="78" t="str">
        <f t="shared" si="4"/>
        <v>https://portal.dnb.de/opac.htm?method=simpleSearch&amp;cqlMode=true&amp;query=idn%3D995618666</v>
      </c>
      <c r="E158" s="74" t="s">
        <v>8652</v>
      </c>
      <c r="F158" s="74"/>
      <c r="G158" s="76"/>
      <c r="H158" s="77" t="s">
        <v>18</v>
      </c>
      <c r="I158" s="76" t="s">
        <v>53</v>
      </c>
      <c r="J158" s="77" t="s">
        <v>58</v>
      </c>
      <c r="K158" s="77" t="s">
        <v>84</v>
      </c>
      <c r="L158" s="76"/>
      <c r="M158" s="76"/>
      <c r="N158" s="76"/>
      <c r="O158" s="76">
        <v>0</v>
      </c>
      <c r="P158" s="76"/>
      <c r="Q158" s="76"/>
      <c r="R158" s="76"/>
      <c r="S158" s="76"/>
      <c r="BD158" s="99">
        <f t="shared" si="5"/>
        <v>0</v>
      </c>
      <c r="CC158" s="99"/>
      <c r="CV158" s="99"/>
      <c r="CW158" s="63"/>
    </row>
    <row r="159" spans="1:101" ht="22.5" x14ac:dyDescent="0.15">
      <c r="A159" s="76">
        <v>121</v>
      </c>
      <c r="B159" s="74" t="s">
        <v>8016</v>
      </c>
      <c r="C159" s="74">
        <v>995618402</v>
      </c>
      <c r="D159" s="78" t="str">
        <f t="shared" si="4"/>
        <v>https://portal.dnb.de/opac.htm?method=simpleSearch&amp;cqlMode=true&amp;query=idn%3D995618402</v>
      </c>
      <c r="E159" s="74" t="s">
        <v>8650</v>
      </c>
      <c r="F159" s="74"/>
      <c r="G159" s="76"/>
      <c r="H159" s="77" t="s">
        <v>18</v>
      </c>
      <c r="I159" s="76" t="s">
        <v>53</v>
      </c>
      <c r="J159" s="77" t="s">
        <v>58</v>
      </c>
      <c r="K159" s="77" t="s">
        <v>84</v>
      </c>
      <c r="L159" s="76"/>
      <c r="M159" s="76"/>
      <c r="N159" s="76"/>
      <c r="O159" s="76">
        <v>0</v>
      </c>
      <c r="P159" s="76"/>
      <c r="Q159" s="76"/>
      <c r="R159" s="76"/>
      <c r="S159" s="76"/>
      <c r="BD159" s="99">
        <f t="shared" si="5"/>
        <v>0</v>
      </c>
      <c r="CC159" s="99"/>
      <c r="CV159" s="99"/>
      <c r="CW159" s="63"/>
    </row>
    <row r="160" spans="1:101" ht="22.5" x14ac:dyDescent="0.15">
      <c r="A160" s="76">
        <v>122</v>
      </c>
      <c r="B160" s="74" t="s">
        <v>8017</v>
      </c>
      <c r="C160" s="74">
        <v>995618453</v>
      </c>
      <c r="D160" s="78" t="str">
        <f t="shared" si="4"/>
        <v>https://portal.dnb.de/opac.htm?method=simpleSearch&amp;cqlMode=true&amp;query=idn%3D995618453</v>
      </c>
      <c r="E160" s="74" t="s">
        <v>8651</v>
      </c>
      <c r="F160" s="74"/>
      <c r="G160" s="76" t="s">
        <v>8541</v>
      </c>
      <c r="H160" s="77" t="s">
        <v>18</v>
      </c>
      <c r="I160" s="76" t="s">
        <v>53</v>
      </c>
      <c r="J160" s="77" t="s">
        <v>58</v>
      </c>
      <c r="K160" s="77" t="s">
        <v>84</v>
      </c>
      <c r="L160" s="76"/>
      <c r="M160" s="76"/>
      <c r="N160" s="76"/>
      <c r="O160" s="76">
        <v>0</v>
      </c>
      <c r="P160" s="76"/>
      <c r="Q160" s="76"/>
      <c r="R160" s="76"/>
      <c r="S160" s="76"/>
      <c r="BD160" s="99">
        <f t="shared" si="5"/>
        <v>0</v>
      </c>
      <c r="CC160" s="99"/>
      <c r="CV160" s="99"/>
      <c r="CW160" s="63"/>
    </row>
    <row r="161" spans="1:101" ht="22.5" x14ac:dyDescent="0.15">
      <c r="A161" s="76">
        <v>123</v>
      </c>
      <c r="B161" s="74" t="s">
        <v>8018</v>
      </c>
      <c r="C161" s="74">
        <v>995618607</v>
      </c>
      <c r="D161" s="78" t="str">
        <f t="shared" si="4"/>
        <v>https://portal.dnb.de/opac.htm?method=simpleSearch&amp;cqlMode=true&amp;query=idn%3D995618607</v>
      </c>
      <c r="E161" s="74" t="s">
        <v>8653</v>
      </c>
      <c r="F161" s="74"/>
      <c r="G161" s="76" t="s">
        <v>8541</v>
      </c>
      <c r="H161" s="77" t="s">
        <v>18</v>
      </c>
      <c r="I161" s="76" t="s">
        <v>53</v>
      </c>
      <c r="J161" s="77" t="s">
        <v>58</v>
      </c>
      <c r="K161" s="77" t="s">
        <v>84</v>
      </c>
      <c r="L161" s="76"/>
      <c r="M161" s="76"/>
      <c r="N161" s="76"/>
      <c r="O161" s="76">
        <v>0</v>
      </c>
      <c r="P161" s="76"/>
      <c r="Q161" s="76"/>
      <c r="R161" s="76"/>
      <c r="S161" s="76"/>
      <c r="BD161" s="99">
        <f t="shared" si="5"/>
        <v>0</v>
      </c>
      <c r="CC161" s="99"/>
      <c r="CV161" s="99"/>
      <c r="CW161" s="63"/>
    </row>
    <row r="162" spans="1:101" x14ac:dyDescent="0.15">
      <c r="A162" s="76">
        <v>124</v>
      </c>
      <c r="B162" s="74" t="s">
        <v>8021</v>
      </c>
      <c r="C162" s="74">
        <v>994234007</v>
      </c>
      <c r="D162" s="78" t="str">
        <f t="shared" si="4"/>
        <v>https://portal.dnb.de/opac.htm?method=simpleSearch&amp;cqlMode=true&amp;query=idn%3D994234007</v>
      </c>
      <c r="E162" s="74" t="s">
        <v>8022</v>
      </c>
      <c r="F162" s="74"/>
      <c r="G162" s="76" t="s">
        <v>8541</v>
      </c>
      <c r="H162" s="77" t="s">
        <v>5</v>
      </c>
      <c r="I162" s="76" t="s">
        <v>53</v>
      </c>
      <c r="J162" s="77" t="s">
        <v>8516</v>
      </c>
      <c r="K162" s="77" t="s">
        <v>8520</v>
      </c>
      <c r="L162" s="76"/>
      <c r="M162" s="76" t="s">
        <v>38</v>
      </c>
      <c r="N162" s="76"/>
      <c r="O162" s="76">
        <v>0</v>
      </c>
      <c r="P162" s="76"/>
      <c r="Q162" s="76"/>
      <c r="R162" s="76"/>
      <c r="S162" s="76"/>
      <c r="BD162" s="99">
        <f t="shared" si="5"/>
        <v>0</v>
      </c>
      <c r="CC162" s="99"/>
      <c r="CV162" s="99"/>
      <c r="CW162" s="63"/>
    </row>
    <row r="163" spans="1:101" x14ac:dyDescent="0.15">
      <c r="A163" s="76">
        <v>125</v>
      </c>
      <c r="B163" s="74" t="s">
        <v>8023</v>
      </c>
      <c r="C163" s="74">
        <v>1002701805</v>
      </c>
      <c r="D163" s="78" t="str">
        <f t="shared" si="4"/>
        <v>https://portal.dnb.de/opac.htm?method=simpleSearch&amp;cqlMode=true&amp;query=idn%3D1002701805</v>
      </c>
      <c r="E163" s="74" t="s">
        <v>8022</v>
      </c>
      <c r="F163" s="74"/>
      <c r="G163" s="76"/>
      <c r="H163" s="77" t="s">
        <v>5</v>
      </c>
      <c r="I163" s="76" t="s">
        <v>53</v>
      </c>
      <c r="J163" s="77" t="s">
        <v>8516</v>
      </c>
      <c r="K163" s="77" t="s">
        <v>8520</v>
      </c>
      <c r="L163" s="76"/>
      <c r="M163" s="76" t="s">
        <v>38</v>
      </c>
      <c r="N163" s="76"/>
      <c r="O163" s="76">
        <v>0</v>
      </c>
      <c r="P163" s="76"/>
      <c r="Q163" s="76"/>
      <c r="R163" s="76"/>
      <c r="S163" s="76"/>
      <c r="BD163" s="99">
        <f t="shared" si="5"/>
        <v>0</v>
      </c>
      <c r="CC163" s="99"/>
      <c r="CV163" s="99"/>
      <c r="CW163" s="63"/>
    </row>
    <row r="164" spans="1:101" x14ac:dyDescent="0.15">
      <c r="A164" s="76">
        <v>126</v>
      </c>
      <c r="B164" s="74" t="s">
        <v>8024</v>
      </c>
      <c r="C164" s="74">
        <v>998946796</v>
      </c>
      <c r="D164" s="78" t="str">
        <f t="shared" si="4"/>
        <v>https://portal.dnb.de/opac.htm?method=simpleSearch&amp;cqlMode=true&amp;query=idn%3D998946796</v>
      </c>
      <c r="E164" s="74" t="s">
        <v>8025</v>
      </c>
      <c r="F164" s="74"/>
      <c r="G164" s="76" t="s">
        <v>8541</v>
      </c>
      <c r="H164" s="77" t="s">
        <v>48</v>
      </c>
      <c r="I164" s="76" t="s">
        <v>53</v>
      </c>
      <c r="J164" s="77" t="s">
        <v>8516</v>
      </c>
      <c r="K164" s="77" t="s">
        <v>84</v>
      </c>
      <c r="L164" s="76"/>
      <c r="M164" s="76"/>
      <c r="N164" s="76"/>
      <c r="O164" s="76">
        <v>0</v>
      </c>
      <c r="P164" s="76"/>
      <c r="Q164" s="76"/>
      <c r="R164" s="76"/>
      <c r="S164" s="76"/>
      <c r="BD164" s="99">
        <f t="shared" si="5"/>
        <v>0</v>
      </c>
      <c r="CC164" s="99"/>
      <c r="CV164" s="99"/>
      <c r="CW164" s="63"/>
    </row>
    <row r="165" spans="1:101" x14ac:dyDescent="0.15">
      <c r="A165" s="76">
        <v>127</v>
      </c>
      <c r="B165" s="74" t="s">
        <v>8026</v>
      </c>
      <c r="C165" s="74">
        <v>998947113</v>
      </c>
      <c r="D165" s="78" t="str">
        <f t="shared" si="4"/>
        <v>https://portal.dnb.de/opac.htm?method=simpleSearch&amp;cqlMode=true&amp;query=idn%3D998947113</v>
      </c>
      <c r="E165" s="74" t="s">
        <v>8025</v>
      </c>
      <c r="F165" s="74"/>
      <c r="G165" s="76"/>
      <c r="H165" s="77" t="s">
        <v>48</v>
      </c>
      <c r="I165" s="76" t="s">
        <v>53</v>
      </c>
      <c r="J165" s="77" t="s">
        <v>8516</v>
      </c>
      <c r="K165" s="77" t="s">
        <v>84</v>
      </c>
      <c r="L165" s="76"/>
      <c r="M165" s="76"/>
      <c r="N165" s="76"/>
      <c r="O165" s="76">
        <v>0</v>
      </c>
      <c r="P165" s="76"/>
      <c r="Q165" s="76"/>
      <c r="R165" s="76"/>
      <c r="S165" s="76"/>
      <c r="BD165" s="99">
        <f t="shared" si="5"/>
        <v>0</v>
      </c>
      <c r="CC165" s="99"/>
      <c r="CV165" s="99"/>
      <c r="CW165" s="63"/>
    </row>
    <row r="166" spans="1:101" x14ac:dyDescent="0.15">
      <c r="A166" s="76"/>
      <c r="B166" s="74"/>
      <c r="C166" s="74"/>
      <c r="D166" s="78" t="str">
        <f t="shared" si="4"/>
        <v>https://portal.dnb.de/opac.htm?method=simpleSearch&amp;cqlMode=true&amp;query=idn%3D</v>
      </c>
      <c r="E166" s="74" t="s">
        <v>8657</v>
      </c>
      <c r="F166" s="74"/>
      <c r="G166" s="76" t="s">
        <v>8541</v>
      </c>
      <c r="H166" s="77" t="s">
        <v>5</v>
      </c>
      <c r="I166" s="76" t="s">
        <v>53</v>
      </c>
      <c r="J166" s="77" t="s">
        <v>58</v>
      </c>
      <c r="K166" s="77" t="s">
        <v>8520</v>
      </c>
      <c r="L166" s="76"/>
      <c r="M166" s="76"/>
      <c r="N166" s="76" t="s">
        <v>8523</v>
      </c>
      <c r="O166" s="76">
        <v>0</v>
      </c>
      <c r="P166" s="76"/>
      <c r="Q166" s="76"/>
      <c r="R166" s="76"/>
      <c r="S166" s="76"/>
      <c r="BD166" s="99">
        <f t="shared" si="5"/>
        <v>0</v>
      </c>
      <c r="CC166" s="99"/>
      <c r="CV166" s="99"/>
      <c r="CW166" s="63"/>
    </row>
    <row r="167" spans="1:101" x14ac:dyDescent="0.15">
      <c r="A167" s="76">
        <v>128</v>
      </c>
      <c r="B167" s="74" t="s">
        <v>8027</v>
      </c>
      <c r="C167" s="74" t="s">
        <v>8028</v>
      </c>
      <c r="D167" s="78" t="str">
        <f t="shared" si="4"/>
        <v>https://portal.dnb.de/opac.htm?method=simpleSearch&amp;cqlMode=true&amp;query=idn%3D99536365X</v>
      </c>
      <c r="E167" s="74" t="s">
        <v>8029</v>
      </c>
      <c r="F167" s="74"/>
      <c r="G167" s="76"/>
      <c r="H167" s="77" t="s">
        <v>4</v>
      </c>
      <c r="I167" s="76" t="s">
        <v>53</v>
      </c>
      <c r="J167" s="77" t="s">
        <v>8516</v>
      </c>
      <c r="K167" s="77" t="s">
        <v>84</v>
      </c>
      <c r="L167" s="76"/>
      <c r="M167" s="76"/>
      <c r="N167" s="76" t="s">
        <v>8523</v>
      </c>
      <c r="O167" s="76">
        <v>0</v>
      </c>
      <c r="P167" s="76"/>
      <c r="Q167" s="76"/>
      <c r="R167" s="76"/>
      <c r="S167" s="76"/>
      <c r="BD167" s="99">
        <f t="shared" si="5"/>
        <v>0</v>
      </c>
      <c r="CC167" s="99"/>
      <c r="CV167" s="99"/>
      <c r="CW167" s="63"/>
    </row>
    <row r="168" spans="1:101" ht="33.75" x14ac:dyDescent="0.15">
      <c r="A168" s="76">
        <v>129</v>
      </c>
      <c r="B168" s="74" t="s">
        <v>8041</v>
      </c>
      <c r="C168" s="74">
        <v>1000832376</v>
      </c>
      <c r="D168" s="78" t="str">
        <f t="shared" si="4"/>
        <v>https://portal.dnb.de/opac.htm?method=simpleSearch&amp;cqlMode=true&amp;query=idn%3D1000832376</v>
      </c>
      <c r="E168" s="74" t="s">
        <v>8042</v>
      </c>
      <c r="F168" s="74"/>
      <c r="G168" s="76" t="s">
        <v>8515</v>
      </c>
      <c r="H168" s="77" t="s">
        <v>48</v>
      </c>
      <c r="I168" s="76" t="s">
        <v>53</v>
      </c>
      <c r="J168" s="77" t="s">
        <v>89</v>
      </c>
      <c r="K168" s="77" t="s">
        <v>8566</v>
      </c>
      <c r="L168" s="76"/>
      <c r="M168" s="76"/>
      <c r="N168" s="76"/>
      <c r="O168" s="76">
        <v>0</v>
      </c>
      <c r="P168" s="76"/>
      <c r="Q168" s="76"/>
      <c r="R168" s="76"/>
      <c r="S168" s="76"/>
      <c r="BD168" s="99">
        <f t="shared" si="5"/>
        <v>0</v>
      </c>
      <c r="CC168" s="99"/>
      <c r="CV168" s="99"/>
      <c r="CW168" s="63"/>
    </row>
    <row r="169" spans="1:101" ht="33.75" x14ac:dyDescent="0.15">
      <c r="A169" s="76">
        <v>130</v>
      </c>
      <c r="B169" s="74" t="s">
        <v>8043</v>
      </c>
      <c r="C169" s="74">
        <v>997906243</v>
      </c>
      <c r="D169" s="78" t="str">
        <f t="shared" si="4"/>
        <v>https://portal.dnb.de/opac.htm?method=simpleSearch&amp;cqlMode=true&amp;query=idn%3D997906243</v>
      </c>
      <c r="E169" s="74" t="s">
        <v>8044</v>
      </c>
      <c r="F169" s="74"/>
      <c r="G169" s="76"/>
      <c r="H169" s="77" t="s">
        <v>8546</v>
      </c>
      <c r="I169" s="76" t="s">
        <v>55</v>
      </c>
      <c r="J169" s="77" t="s">
        <v>8516</v>
      </c>
      <c r="K169" s="77" t="s">
        <v>87</v>
      </c>
      <c r="L169" s="76"/>
      <c r="M169" s="76" t="s">
        <v>38</v>
      </c>
      <c r="N169" s="76"/>
      <c r="O169" s="76">
        <v>0</v>
      </c>
      <c r="P169" s="76"/>
      <c r="Q169" s="76"/>
      <c r="R169" s="76"/>
      <c r="S169" s="76"/>
      <c r="BD169" s="99">
        <f t="shared" si="5"/>
        <v>0</v>
      </c>
      <c r="CC169" s="99"/>
      <c r="CV169" s="99"/>
      <c r="CW169" s="63"/>
    </row>
    <row r="170" spans="1:101" x14ac:dyDescent="0.15">
      <c r="A170" s="76">
        <v>131</v>
      </c>
      <c r="B170" s="74" t="s">
        <v>8047</v>
      </c>
      <c r="C170" s="74">
        <v>999995200</v>
      </c>
      <c r="D170" s="78" t="str">
        <f t="shared" si="4"/>
        <v>https://portal.dnb.de/opac.htm?method=simpleSearch&amp;cqlMode=true&amp;query=idn%3D999995200</v>
      </c>
      <c r="E170" s="74" t="s">
        <v>8048</v>
      </c>
      <c r="F170" s="74"/>
      <c r="G170" s="76"/>
      <c r="H170" s="77" t="s">
        <v>48</v>
      </c>
      <c r="I170" s="76" t="s">
        <v>53</v>
      </c>
      <c r="J170" s="77" t="s">
        <v>8516</v>
      </c>
      <c r="K170" s="77" t="s">
        <v>84</v>
      </c>
      <c r="L170" s="76"/>
      <c r="M170" s="76"/>
      <c r="N170" s="76" t="s">
        <v>8660</v>
      </c>
      <c r="O170" s="76">
        <v>0</v>
      </c>
      <c r="P170" s="76"/>
      <c r="Q170" s="76"/>
      <c r="R170" s="76"/>
      <c r="S170" s="76"/>
      <c r="BD170" s="99">
        <f t="shared" si="5"/>
        <v>0</v>
      </c>
      <c r="CC170" s="99"/>
      <c r="CV170" s="99"/>
      <c r="CW170" s="63"/>
    </row>
    <row r="171" spans="1:101" x14ac:dyDescent="0.15">
      <c r="A171" s="76">
        <v>132</v>
      </c>
      <c r="B171" s="74" t="s">
        <v>8061</v>
      </c>
      <c r="C171" s="74">
        <v>993975534</v>
      </c>
      <c r="D171" s="78" t="str">
        <f t="shared" si="4"/>
        <v>https://portal.dnb.de/opac.htm?method=simpleSearch&amp;cqlMode=true&amp;query=idn%3D993975534</v>
      </c>
      <c r="E171" s="74" t="s">
        <v>8062</v>
      </c>
      <c r="F171" s="74"/>
      <c r="G171" s="76" t="s">
        <v>8515</v>
      </c>
      <c r="H171" s="77" t="s">
        <v>4</v>
      </c>
      <c r="I171" s="76" t="s">
        <v>53</v>
      </c>
      <c r="J171" s="77" t="s">
        <v>8516</v>
      </c>
      <c r="K171" s="77" t="s">
        <v>8520</v>
      </c>
      <c r="L171" s="76"/>
      <c r="M171" s="76"/>
      <c r="N171" s="76" t="s">
        <v>8660</v>
      </c>
      <c r="O171" s="76">
        <v>1</v>
      </c>
      <c r="P171" s="76"/>
      <c r="Q171" s="76"/>
      <c r="R171" s="76"/>
      <c r="S171" s="76"/>
      <c r="BD171" s="99">
        <f t="shared" si="5"/>
        <v>0</v>
      </c>
      <c r="CC171" s="99"/>
      <c r="CV171" s="99"/>
      <c r="CW171" s="63"/>
    </row>
    <row r="172" spans="1:101" ht="22.5" x14ac:dyDescent="0.15">
      <c r="A172" s="76">
        <v>133</v>
      </c>
      <c r="B172" s="74" t="s">
        <v>8065</v>
      </c>
      <c r="C172" s="74">
        <v>997905727</v>
      </c>
      <c r="D172" s="78" t="str">
        <f t="shared" si="4"/>
        <v>https://portal.dnb.de/opac.htm?method=simpleSearch&amp;cqlMode=true&amp;query=idn%3D997905727</v>
      </c>
      <c r="E172" s="74" t="s">
        <v>8066</v>
      </c>
      <c r="F172" s="74"/>
      <c r="G172" s="76"/>
      <c r="H172" s="77" t="s">
        <v>5</v>
      </c>
      <c r="I172" s="76" t="s">
        <v>53</v>
      </c>
      <c r="J172" s="77" t="s">
        <v>8516</v>
      </c>
      <c r="K172" s="77" t="s">
        <v>8647</v>
      </c>
      <c r="L172" s="76"/>
      <c r="M172" s="76"/>
      <c r="N172" s="76" t="s">
        <v>8660</v>
      </c>
      <c r="O172" s="76">
        <v>2</v>
      </c>
      <c r="P172" s="76"/>
      <c r="Q172" s="76"/>
      <c r="R172" s="76"/>
      <c r="S172" s="76"/>
      <c r="Y172" s="95" t="s">
        <v>9723</v>
      </c>
      <c r="AC172" s="95" t="s">
        <v>9724</v>
      </c>
      <c r="AI172" s="95" t="s">
        <v>9725</v>
      </c>
      <c r="AP172" s="95" t="s">
        <v>8541</v>
      </c>
      <c r="AQ172" s="96" t="s">
        <v>10028</v>
      </c>
      <c r="AW172" s="95">
        <v>110</v>
      </c>
      <c r="BC172" s="96" t="s">
        <v>9726</v>
      </c>
      <c r="BD172" s="99">
        <f t="shared" si="5"/>
        <v>1.5</v>
      </c>
      <c r="BL172" s="70" t="s">
        <v>10514</v>
      </c>
      <c r="BP172" s="69" t="s">
        <v>8541</v>
      </c>
      <c r="BQ172" s="95" t="s">
        <v>8541</v>
      </c>
      <c r="BR172" s="95" t="s">
        <v>8541</v>
      </c>
      <c r="CC172" s="99">
        <v>1.5</v>
      </c>
      <c r="CD172" s="90" t="s">
        <v>10029</v>
      </c>
      <c r="CV172" s="99"/>
      <c r="CW172" s="63"/>
    </row>
    <row r="173" spans="1:101" ht="22.5" x14ac:dyDescent="0.15">
      <c r="A173" s="76">
        <v>134</v>
      </c>
      <c r="B173" s="74" t="s">
        <v>8067</v>
      </c>
      <c r="C173" s="74">
        <v>997906839</v>
      </c>
      <c r="D173" s="78" t="str">
        <f t="shared" si="4"/>
        <v>https://portal.dnb.de/opac.htm?method=simpleSearch&amp;cqlMode=true&amp;query=idn%3D997906839</v>
      </c>
      <c r="E173" s="74" t="s">
        <v>8068</v>
      </c>
      <c r="F173" s="74"/>
      <c r="G173" s="76"/>
      <c r="H173" s="77" t="s">
        <v>49</v>
      </c>
      <c r="I173" s="76" t="s">
        <v>55</v>
      </c>
      <c r="J173" s="77" t="s">
        <v>58</v>
      </c>
      <c r="K173" s="77" t="s">
        <v>8771</v>
      </c>
      <c r="L173" s="76"/>
      <c r="M173" s="76"/>
      <c r="N173" s="76"/>
      <c r="O173" s="76">
        <v>0</v>
      </c>
      <c r="P173" s="76"/>
      <c r="Q173" s="76"/>
      <c r="R173" s="76"/>
      <c r="S173" s="76"/>
      <c r="BD173" s="99">
        <f t="shared" si="5"/>
        <v>0</v>
      </c>
      <c r="CC173" s="99"/>
      <c r="CV173" s="99"/>
      <c r="CW173" s="63"/>
    </row>
    <row r="174" spans="1:101" x14ac:dyDescent="0.15">
      <c r="A174" s="76">
        <v>135</v>
      </c>
      <c r="B174" s="74" t="s">
        <v>8069</v>
      </c>
      <c r="C174" s="74">
        <v>1000813916</v>
      </c>
      <c r="D174" s="78" t="str">
        <f t="shared" si="4"/>
        <v>https://portal.dnb.de/opac.htm?method=simpleSearch&amp;cqlMode=true&amp;query=idn%3D1000813916</v>
      </c>
      <c r="E174" s="74" t="s">
        <v>8070</v>
      </c>
      <c r="F174" s="74"/>
      <c r="G174" s="76" t="s">
        <v>8515</v>
      </c>
      <c r="H174" s="77" t="s">
        <v>48</v>
      </c>
      <c r="I174" s="76" t="s">
        <v>53</v>
      </c>
      <c r="J174" s="77" t="s">
        <v>8516</v>
      </c>
      <c r="K174" s="77" t="s">
        <v>87</v>
      </c>
      <c r="L174" s="76"/>
      <c r="M174" s="76"/>
      <c r="N174" s="76" t="s">
        <v>8660</v>
      </c>
      <c r="O174" s="76">
        <v>1</v>
      </c>
      <c r="P174" s="76"/>
      <c r="Q174" s="76"/>
      <c r="R174" s="76"/>
      <c r="S174" s="76"/>
      <c r="BD174" s="99">
        <f t="shared" si="5"/>
        <v>0</v>
      </c>
      <c r="CC174" s="99"/>
      <c r="CV174" s="99"/>
      <c r="CW174" s="63"/>
    </row>
    <row r="175" spans="1:101" x14ac:dyDescent="0.15">
      <c r="A175" s="76">
        <v>136</v>
      </c>
      <c r="B175" s="74" t="s">
        <v>8071</v>
      </c>
      <c r="C175" s="74">
        <v>1002325358</v>
      </c>
      <c r="D175" s="78" t="str">
        <f t="shared" si="4"/>
        <v>https://portal.dnb.de/opac.htm?method=simpleSearch&amp;cqlMode=true&amp;query=idn%3D1002325358</v>
      </c>
      <c r="E175" s="74" t="s">
        <v>8070</v>
      </c>
      <c r="F175" s="74"/>
      <c r="G175" s="76"/>
      <c r="H175" s="77"/>
      <c r="I175" s="76"/>
      <c r="J175" s="77"/>
      <c r="K175" s="77"/>
      <c r="L175" s="76"/>
      <c r="M175" s="76"/>
      <c r="N175" s="76"/>
      <c r="O175" s="76"/>
      <c r="P175" s="76"/>
      <c r="Q175" s="76"/>
      <c r="R175" s="76"/>
      <c r="S175" s="76"/>
      <c r="BD175" s="99">
        <f t="shared" si="5"/>
        <v>0</v>
      </c>
      <c r="CC175" s="99"/>
      <c r="CV175" s="99"/>
      <c r="CW175" s="63"/>
    </row>
    <row r="176" spans="1:101" x14ac:dyDescent="0.15">
      <c r="A176" s="76">
        <v>137</v>
      </c>
      <c r="B176" s="74" t="s">
        <v>8074</v>
      </c>
      <c r="C176" s="74">
        <v>998435031</v>
      </c>
      <c r="D176" s="78" t="str">
        <f t="shared" si="4"/>
        <v>https://portal.dnb.de/opac.htm?method=simpleSearch&amp;cqlMode=true&amp;query=idn%3D998435031</v>
      </c>
      <c r="E176" s="74" t="s">
        <v>8075</v>
      </c>
      <c r="F176" s="74"/>
      <c r="G176" s="76"/>
      <c r="H176" s="77" t="s">
        <v>48</v>
      </c>
      <c r="I176" s="76" t="s">
        <v>53</v>
      </c>
      <c r="J176" s="77" t="s">
        <v>8516</v>
      </c>
      <c r="K176" s="77" t="s">
        <v>84</v>
      </c>
      <c r="L176" s="76"/>
      <c r="M176" s="76"/>
      <c r="N176" s="76"/>
      <c r="O176" s="76">
        <v>0</v>
      </c>
      <c r="P176" s="76"/>
      <c r="Q176" s="76"/>
      <c r="R176" s="76"/>
      <c r="S176" s="76"/>
      <c r="BD176" s="99">
        <f t="shared" si="5"/>
        <v>0</v>
      </c>
      <c r="CC176" s="99"/>
      <c r="CV176" s="99"/>
      <c r="CW176" s="63"/>
    </row>
    <row r="177" spans="1:101" x14ac:dyDescent="0.15">
      <c r="A177" s="76">
        <v>138</v>
      </c>
      <c r="B177" s="74" t="s">
        <v>8076</v>
      </c>
      <c r="C177" s="74">
        <v>994844735</v>
      </c>
      <c r="D177" s="78" t="str">
        <f t="shared" si="4"/>
        <v>https://portal.dnb.de/opac.htm?method=simpleSearch&amp;cqlMode=true&amp;query=idn%3D994844735</v>
      </c>
      <c r="E177" s="74" t="s">
        <v>8077</v>
      </c>
      <c r="F177" s="74"/>
      <c r="G177" s="76" t="s">
        <v>8515</v>
      </c>
      <c r="H177" s="77" t="s">
        <v>5</v>
      </c>
      <c r="I177" s="76" t="s">
        <v>53</v>
      </c>
      <c r="J177" s="77" t="s">
        <v>8516</v>
      </c>
      <c r="K177" s="77" t="s">
        <v>8520</v>
      </c>
      <c r="L177" s="76"/>
      <c r="M177" s="76" t="s">
        <v>36</v>
      </c>
      <c r="N177" s="76" t="s">
        <v>39</v>
      </c>
      <c r="O177" s="76">
        <v>1</v>
      </c>
      <c r="P177" s="76"/>
      <c r="Q177" s="76"/>
      <c r="R177" s="76"/>
      <c r="S177" s="76"/>
      <c r="BD177" s="99">
        <f t="shared" si="5"/>
        <v>0</v>
      </c>
      <c r="CC177" s="99"/>
      <c r="CV177" s="99"/>
      <c r="CW177" s="63"/>
    </row>
    <row r="178" spans="1:101" ht="22.5" x14ac:dyDescent="0.15">
      <c r="A178" s="76">
        <v>139</v>
      </c>
      <c r="B178" s="74" t="s">
        <v>8078</v>
      </c>
      <c r="C178" s="74">
        <v>998426466</v>
      </c>
      <c r="D178" s="78" t="str">
        <f t="shared" si="4"/>
        <v>https://portal.dnb.de/opac.htm?method=simpleSearch&amp;cqlMode=true&amp;query=idn%3D998426466</v>
      </c>
      <c r="E178" s="74" t="s">
        <v>8079</v>
      </c>
      <c r="F178" s="74"/>
      <c r="G178" s="76"/>
      <c r="H178" s="77" t="s">
        <v>17</v>
      </c>
      <c r="I178" s="76" t="s">
        <v>56</v>
      </c>
      <c r="J178" s="77" t="s">
        <v>8516</v>
      </c>
      <c r="K178" s="77" t="s">
        <v>8565</v>
      </c>
      <c r="L178" s="76"/>
      <c r="M178" s="76" t="s">
        <v>38</v>
      </c>
      <c r="N178" s="76"/>
      <c r="O178" s="76">
        <v>0</v>
      </c>
      <c r="P178" s="76"/>
      <c r="Q178" s="76"/>
      <c r="R178" s="76"/>
      <c r="S178" s="76"/>
      <c r="BD178" s="99">
        <f t="shared" si="5"/>
        <v>0</v>
      </c>
      <c r="CC178" s="99"/>
      <c r="CV178" s="99"/>
      <c r="CW178" s="63"/>
    </row>
    <row r="179" spans="1:101" ht="22.5" x14ac:dyDescent="0.15">
      <c r="A179" s="76">
        <v>140</v>
      </c>
      <c r="B179" s="74" t="s">
        <v>8080</v>
      </c>
      <c r="C179" s="74">
        <v>999777262</v>
      </c>
      <c r="D179" s="78" t="str">
        <f t="shared" si="4"/>
        <v>https://portal.dnb.de/opac.htm?method=simpleSearch&amp;cqlMode=true&amp;query=idn%3D999777262</v>
      </c>
      <c r="E179" s="74" t="s">
        <v>8081</v>
      </c>
      <c r="F179" s="74"/>
      <c r="G179" s="76" t="s">
        <v>8515</v>
      </c>
      <c r="H179" s="77" t="s">
        <v>18</v>
      </c>
      <c r="I179" s="76" t="s">
        <v>53</v>
      </c>
      <c r="J179" s="77" t="s">
        <v>8516</v>
      </c>
      <c r="K179" s="77" t="s">
        <v>8661</v>
      </c>
      <c r="L179" s="76"/>
      <c r="M179" s="76" t="s">
        <v>38</v>
      </c>
      <c r="N179" s="76" t="s">
        <v>40</v>
      </c>
      <c r="O179" s="76">
        <v>1</v>
      </c>
      <c r="P179" s="76"/>
      <c r="Q179" s="76"/>
      <c r="R179" s="76"/>
      <c r="S179" s="76"/>
      <c r="BD179" s="99">
        <f t="shared" si="5"/>
        <v>0</v>
      </c>
      <c r="CC179" s="99"/>
      <c r="CV179" s="99"/>
      <c r="CW179" s="63"/>
    </row>
    <row r="180" spans="1:101" x14ac:dyDescent="0.15">
      <c r="A180" s="76">
        <v>141</v>
      </c>
      <c r="B180" s="74" t="s">
        <v>8088</v>
      </c>
      <c r="C180" s="74">
        <v>999812858</v>
      </c>
      <c r="D180" s="78" t="str">
        <f t="shared" si="4"/>
        <v>https://portal.dnb.de/opac.htm?method=simpleSearch&amp;cqlMode=true&amp;query=idn%3D999812858</v>
      </c>
      <c r="E180" s="74" t="s">
        <v>8089</v>
      </c>
      <c r="F180" s="74"/>
      <c r="G180" s="76"/>
      <c r="H180" s="77" t="s">
        <v>48</v>
      </c>
      <c r="I180" s="76" t="s">
        <v>54</v>
      </c>
      <c r="J180" s="77" t="s">
        <v>58</v>
      </c>
      <c r="K180" s="77" t="s">
        <v>84</v>
      </c>
      <c r="L180" s="76"/>
      <c r="M180" s="76"/>
      <c r="N180" s="76" t="s">
        <v>8660</v>
      </c>
      <c r="O180" s="76">
        <v>1</v>
      </c>
      <c r="P180" s="76"/>
      <c r="Q180" s="76"/>
      <c r="R180" s="76"/>
      <c r="S180" s="76"/>
      <c r="BD180" s="99">
        <f t="shared" si="5"/>
        <v>0</v>
      </c>
      <c r="CC180" s="99"/>
      <c r="CV180" s="99"/>
      <c r="CW180" s="63"/>
    </row>
    <row r="181" spans="1:101" ht="33.75" x14ac:dyDescent="0.15">
      <c r="A181" s="76">
        <v>142</v>
      </c>
      <c r="B181" s="74" t="s">
        <v>8096</v>
      </c>
      <c r="C181" s="74">
        <v>1003388361</v>
      </c>
      <c r="D181" s="78" t="str">
        <f t="shared" si="4"/>
        <v>https://portal.dnb.de/opac.htm?method=simpleSearch&amp;cqlMode=true&amp;query=idn%3D1003388361</v>
      </c>
      <c r="E181" s="74" t="s">
        <v>8097</v>
      </c>
      <c r="F181" s="74"/>
      <c r="G181" s="76"/>
      <c r="H181" s="77" t="s">
        <v>5</v>
      </c>
      <c r="I181" s="76" t="s">
        <v>56</v>
      </c>
      <c r="J181" s="77" t="s">
        <v>8516</v>
      </c>
      <c r="K181" s="77" t="s">
        <v>8688</v>
      </c>
      <c r="L181" s="76"/>
      <c r="M181" s="76"/>
      <c r="N181" s="76" t="s">
        <v>8660</v>
      </c>
      <c r="O181" s="76">
        <v>3</v>
      </c>
      <c r="P181" s="76"/>
      <c r="Q181" s="76"/>
      <c r="R181" s="76"/>
      <c r="S181" s="76"/>
      <c r="Y181" s="95" t="s">
        <v>9723</v>
      </c>
      <c r="AC181" s="95" t="s">
        <v>9724</v>
      </c>
      <c r="AE181" s="95" t="s">
        <v>8541</v>
      </c>
      <c r="AI181" s="95" t="s">
        <v>9725</v>
      </c>
      <c r="AP181" s="95" t="s">
        <v>8541</v>
      </c>
      <c r="AQ181" s="96" t="s">
        <v>10327</v>
      </c>
      <c r="AW181" s="95">
        <v>110</v>
      </c>
      <c r="BC181" s="96" t="s">
        <v>9726</v>
      </c>
      <c r="BD181" s="99">
        <f t="shared" si="5"/>
        <v>4</v>
      </c>
      <c r="BO181" s="70" t="s">
        <v>10036</v>
      </c>
      <c r="BP181" s="69" t="s">
        <v>10328</v>
      </c>
      <c r="BQ181" s="95" t="s">
        <v>8541</v>
      </c>
      <c r="BR181" s="95" t="s">
        <v>8541</v>
      </c>
      <c r="CC181" s="99">
        <v>1</v>
      </c>
      <c r="CQ181" s="95" t="s">
        <v>8541</v>
      </c>
      <c r="CV181" s="99">
        <v>3</v>
      </c>
      <c r="CW181" s="90" t="s">
        <v>10329</v>
      </c>
    </row>
    <row r="182" spans="1:101" ht="33.75" x14ac:dyDescent="0.15">
      <c r="A182" s="76">
        <v>143</v>
      </c>
      <c r="B182" s="74" t="s">
        <v>8113</v>
      </c>
      <c r="C182" s="74">
        <v>1000539172</v>
      </c>
      <c r="D182" s="78" t="str">
        <f t="shared" si="4"/>
        <v>https://portal.dnb.de/opac.htm?method=simpleSearch&amp;cqlMode=true&amp;query=idn%3D1000539172</v>
      </c>
      <c r="E182" s="74" t="s">
        <v>8114</v>
      </c>
      <c r="F182" s="74"/>
      <c r="G182" s="76"/>
      <c r="H182" s="77" t="s">
        <v>48</v>
      </c>
      <c r="I182" s="76" t="s">
        <v>53</v>
      </c>
      <c r="J182" s="77" t="s">
        <v>8516</v>
      </c>
      <c r="K182" s="77" t="s">
        <v>8663</v>
      </c>
      <c r="L182" s="76"/>
      <c r="M182" s="76"/>
      <c r="N182" s="76" t="s">
        <v>8660</v>
      </c>
      <c r="O182" s="76">
        <v>0</v>
      </c>
      <c r="P182" s="76"/>
      <c r="Q182" s="76"/>
      <c r="R182" s="76"/>
      <c r="S182" s="76"/>
      <c r="BD182" s="99">
        <f t="shared" si="5"/>
        <v>0</v>
      </c>
      <c r="CC182" s="99"/>
      <c r="CV182" s="99"/>
      <c r="CW182" s="63"/>
    </row>
    <row r="183" spans="1:101" ht="22.5" x14ac:dyDescent="0.15">
      <c r="A183" s="76">
        <v>144</v>
      </c>
      <c r="B183" s="74" t="s">
        <v>8115</v>
      </c>
      <c r="C183" s="74" t="s">
        <v>8116</v>
      </c>
      <c r="D183" s="78" t="str">
        <f t="shared" si="4"/>
        <v>https://portal.dnb.de/opac.htm?method=simpleSearch&amp;cqlMode=true&amp;query=idn%3D100293107X</v>
      </c>
      <c r="E183" s="74" t="s">
        <v>8117</v>
      </c>
      <c r="F183" s="74"/>
      <c r="G183" s="76"/>
      <c r="H183" s="77" t="s">
        <v>8547</v>
      </c>
      <c r="I183" s="76" t="s">
        <v>53</v>
      </c>
      <c r="J183" s="77" t="s">
        <v>89</v>
      </c>
      <c r="K183" s="77" t="s">
        <v>72</v>
      </c>
      <c r="L183" s="76"/>
      <c r="M183" s="76" t="s">
        <v>38</v>
      </c>
      <c r="N183" s="76"/>
      <c r="O183" s="76">
        <v>0</v>
      </c>
      <c r="P183" s="76"/>
      <c r="Q183" s="76"/>
      <c r="R183" s="76"/>
      <c r="S183" s="76"/>
      <c r="BD183" s="99">
        <f t="shared" si="5"/>
        <v>0</v>
      </c>
      <c r="CC183" s="99"/>
      <c r="CV183" s="99"/>
      <c r="CW183" s="63"/>
    </row>
    <row r="184" spans="1:101" ht="22.5" x14ac:dyDescent="0.15">
      <c r="A184" s="76">
        <v>145</v>
      </c>
      <c r="B184" s="74" t="s">
        <v>8118</v>
      </c>
      <c r="C184" s="74">
        <v>1003745415</v>
      </c>
      <c r="D184" s="78" t="str">
        <f t="shared" si="4"/>
        <v>https://portal.dnb.de/opac.htm?method=simpleSearch&amp;cqlMode=true&amp;query=idn%3D1003745415</v>
      </c>
      <c r="E184" s="74" t="s">
        <v>8119</v>
      </c>
      <c r="F184" s="74"/>
      <c r="G184" s="76"/>
      <c r="H184" s="77" t="s">
        <v>5</v>
      </c>
      <c r="I184" s="76" t="s">
        <v>56</v>
      </c>
      <c r="J184" s="77" t="s">
        <v>8516</v>
      </c>
      <c r="K184" s="77" t="s">
        <v>8965</v>
      </c>
      <c r="L184" s="76"/>
      <c r="M184" s="76" t="s">
        <v>38</v>
      </c>
      <c r="N184" s="76"/>
      <c r="O184" s="76">
        <v>0</v>
      </c>
      <c r="P184" s="76"/>
      <c r="Q184" s="76"/>
      <c r="R184" s="76"/>
      <c r="S184" s="76"/>
      <c r="U184" s="95" t="s">
        <v>9792</v>
      </c>
      <c r="Y184" s="95" t="s">
        <v>9723</v>
      </c>
      <c r="AC184" s="95" t="s">
        <v>9730</v>
      </c>
      <c r="AI184" s="95" t="s">
        <v>9725</v>
      </c>
      <c r="AP184" s="95" t="s">
        <v>8541</v>
      </c>
      <c r="AQ184" s="96" t="s">
        <v>9793</v>
      </c>
      <c r="AR184" s="95" t="s">
        <v>8541</v>
      </c>
      <c r="AS184" s="95" t="s">
        <v>9788</v>
      </c>
      <c r="AT184" s="95" t="s">
        <v>8541</v>
      </c>
      <c r="AW184" s="95" t="s">
        <v>9764</v>
      </c>
      <c r="BC184" s="96" t="s">
        <v>9726</v>
      </c>
      <c r="BD184" s="99">
        <f t="shared" si="5"/>
        <v>1</v>
      </c>
      <c r="BF184" s="95" t="s">
        <v>10005</v>
      </c>
      <c r="CC184" s="99"/>
      <c r="CN184" s="95" t="s">
        <v>8541</v>
      </c>
      <c r="CQ184" s="95" t="s">
        <v>8541</v>
      </c>
      <c r="CV184" s="99">
        <v>1</v>
      </c>
      <c r="CW184" s="63"/>
    </row>
    <row r="185" spans="1:101" ht="22.5" x14ac:dyDescent="0.15">
      <c r="A185" s="76">
        <v>146</v>
      </c>
      <c r="B185" s="74" t="s">
        <v>8120</v>
      </c>
      <c r="C185" s="74">
        <v>1003785875</v>
      </c>
      <c r="D185" s="78" t="str">
        <f t="shared" si="4"/>
        <v>https://portal.dnb.de/opac.htm?method=simpleSearch&amp;cqlMode=true&amp;query=idn%3D1003785875</v>
      </c>
      <c r="E185" s="74" t="s">
        <v>8121</v>
      </c>
      <c r="F185" s="74"/>
      <c r="G185" s="76" t="s">
        <v>8515</v>
      </c>
      <c r="H185" s="77" t="s">
        <v>4</v>
      </c>
      <c r="I185" s="76" t="s">
        <v>56</v>
      </c>
      <c r="J185" s="77" t="s">
        <v>8516</v>
      </c>
      <c r="K185" s="77" t="s">
        <v>8565</v>
      </c>
      <c r="L185" s="76"/>
      <c r="M185" s="76" t="s">
        <v>32</v>
      </c>
      <c r="N185" s="76" t="s">
        <v>8660</v>
      </c>
      <c r="O185" s="76">
        <v>0</v>
      </c>
      <c r="P185" s="76"/>
      <c r="Q185" s="76"/>
      <c r="R185" s="76"/>
      <c r="S185" s="76"/>
      <c r="U185" s="95" t="s">
        <v>9787</v>
      </c>
      <c r="Y185" s="95" t="s">
        <v>9729</v>
      </c>
      <c r="AA185" s="95" t="s">
        <v>8541</v>
      </c>
      <c r="AC185" s="95" t="s">
        <v>9739</v>
      </c>
      <c r="AI185" s="95" t="s">
        <v>9725</v>
      </c>
      <c r="AP185" s="95" t="s">
        <v>8541</v>
      </c>
      <c r="AR185" s="95" t="s">
        <v>8541</v>
      </c>
      <c r="AT185" s="95" t="s">
        <v>8541</v>
      </c>
      <c r="AW185" s="95">
        <v>110</v>
      </c>
      <c r="BC185" s="96" t="s">
        <v>9734</v>
      </c>
      <c r="BD185" s="99">
        <f t="shared" si="5"/>
        <v>0</v>
      </c>
      <c r="BG185" s="95" t="s">
        <v>8541</v>
      </c>
      <c r="CC185" s="99"/>
      <c r="CV185" s="99"/>
      <c r="CW185" s="63"/>
    </row>
    <row r="186" spans="1:101" ht="33.75" x14ac:dyDescent="0.15">
      <c r="A186" s="76">
        <v>147</v>
      </c>
      <c r="B186" s="74" t="s">
        <v>8122</v>
      </c>
      <c r="C186" s="74">
        <v>997131365</v>
      </c>
      <c r="D186" s="78" t="str">
        <f t="shared" si="4"/>
        <v>https://portal.dnb.de/opac.htm?method=simpleSearch&amp;cqlMode=true&amp;query=idn%3D997131365</v>
      </c>
      <c r="E186" s="74" t="s">
        <v>8123</v>
      </c>
      <c r="F186" s="74"/>
      <c r="G186" s="76"/>
      <c r="H186" s="77" t="s">
        <v>4</v>
      </c>
      <c r="I186" s="76" t="s">
        <v>55</v>
      </c>
      <c r="J186" s="77" t="s">
        <v>8516</v>
      </c>
      <c r="K186" s="77" t="s">
        <v>8928</v>
      </c>
      <c r="L186" s="76"/>
      <c r="M186" s="76"/>
      <c r="N186" s="76" t="s">
        <v>8660</v>
      </c>
      <c r="O186" s="76">
        <v>1</v>
      </c>
      <c r="P186" s="76"/>
      <c r="Q186" s="76"/>
      <c r="R186" s="76"/>
      <c r="S186" s="76"/>
      <c r="Y186" s="95" t="s">
        <v>9729</v>
      </c>
      <c r="AC186" s="95" t="s">
        <v>9724</v>
      </c>
      <c r="AI186" s="95" t="s">
        <v>9725</v>
      </c>
      <c r="AW186" s="95">
        <v>60</v>
      </c>
      <c r="BB186" s="95" t="s">
        <v>8541</v>
      </c>
      <c r="BC186" s="96" t="s">
        <v>9726</v>
      </c>
      <c r="BD186" s="99">
        <f t="shared" si="5"/>
        <v>1</v>
      </c>
      <c r="BH186" s="95" t="s">
        <v>8541</v>
      </c>
      <c r="BP186" s="69" t="s">
        <v>10328</v>
      </c>
      <c r="BQ186" s="95" t="s">
        <v>8541</v>
      </c>
      <c r="BR186" s="95" t="s">
        <v>8541</v>
      </c>
      <c r="CC186" s="99">
        <v>1</v>
      </c>
      <c r="CV186" s="99"/>
      <c r="CW186" s="63"/>
    </row>
    <row r="187" spans="1:101" x14ac:dyDescent="0.15">
      <c r="A187" s="76">
        <v>148</v>
      </c>
      <c r="B187" s="74" t="s">
        <v>8124</v>
      </c>
      <c r="C187" s="74">
        <v>999265490</v>
      </c>
      <c r="D187" s="78" t="str">
        <f t="shared" si="4"/>
        <v>https://portal.dnb.de/opac.htm?method=simpleSearch&amp;cqlMode=true&amp;query=idn%3D999265490</v>
      </c>
      <c r="E187" s="74" t="s">
        <v>8125</v>
      </c>
      <c r="F187" s="74"/>
      <c r="G187" s="76"/>
      <c r="H187" s="77" t="s">
        <v>48</v>
      </c>
      <c r="I187" s="76" t="s">
        <v>53</v>
      </c>
      <c r="J187" s="77" t="s">
        <v>58</v>
      </c>
      <c r="K187" s="77"/>
      <c r="L187" s="76"/>
      <c r="M187" s="76"/>
      <c r="N187" s="76"/>
      <c r="O187" s="76">
        <v>0</v>
      </c>
      <c r="P187" s="76"/>
      <c r="Q187" s="76"/>
      <c r="R187" s="76"/>
      <c r="S187" s="76"/>
      <c r="BD187" s="99">
        <f t="shared" si="5"/>
        <v>0</v>
      </c>
      <c r="CC187" s="99"/>
      <c r="CV187" s="99"/>
      <c r="CW187" s="63"/>
    </row>
    <row r="188" spans="1:101" x14ac:dyDescent="0.15">
      <c r="A188" s="76">
        <v>149</v>
      </c>
      <c r="B188" s="74" t="s">
        <v>8126</v>
      </c>
      <c r="C188" s="74">
        <v>1003366511</v>
      </c>
      <c r="D188" s="78" t="str">
        <f t="shared" si="4"/>
        <v>https://portal.dnb.de/opac.htm?method=simpleSearch&amp;cqlMode=true&amp;query=idn%3D1003366511</v>
      </c>
      <c r="E188" s="74" t="s">
        <v>8127</v>
      </c>
      <c r="F188" s="74"/>
      <c r="G188" s="76"/>
      <c r="H188" s="77"/>
      <c r="I188" s="76" t="s">
        <v>53</v>
      </c>
      <c r="J188" s="77" t="s">
        <v>58</v>
      </c>
      <c r="K188" s="77" t="s">
        <v>8520</v>
      </c>
      <c r="L188" s="76"/>
      <c r="M188" s="76" t="s">
        <v>36</v>
      </c>
      <c r="N188" s="76" t="s">
        <v>40</v>
      </c>
      <c r="O188" s="76">
        <v>0</v>
      </c>
      <c r="P188" s="76"/>
      <c r="Q188" s="76"/>
      <c r="R188" s="76"/>
      <c r="S188" s="76"/>
      <c r="BD188" s="99">
        <f t="shared" si="5"/>
        <v>0</v>
      </c>
      <c r="CC188" s="99"/>
      <c r="CV188" s="99"/>
      <c r="CW188" s="63"/>
    </row>
    <row r="189" spans="1:101" x14ac:dyDescent="0.15">
      <c r="A189" s="76">
        <v>150</v>
      </c>
      <c r="B189" s="74" t="s">
        <v>8128</v>
      </c>
      <c r="C189" s="74">
        <v>1002489792</v>
      </c>
      <c r="D189" s="78" t="str">
        <f t="shared" si="4"/>
        <v>https://portal.dnb.de/opac.htm?method=simpleSearch&amp;cqlMode=true&amp;query=idn%3D1002489792</v>
      </c>
      <c r="E189" s="74" t="s">
        <v>8129</v>
      </c>
      <c r="F189" s="74"/>
      <c r="G189" s="76"/>
      <c r="H189" s="77"/>
      <c r="I189" s="76"/>
      <c r="J189" s="77"/>
      <c r="K189" s="77"/>
      <c r="L189" s="76"/>
      <c r="M189" s="76"/>
      <c r="N189" s="76"/>
      <c r="O189" s="76"/>
      <c r="P189" s="76"/>
      <c r="Q189" s="76"/>
      <c r="R189" s="76"/>
      <c r="S189" s="76"/>
      <c r="BD189" s="99">
        <f t="shared" si="5"/>
        <v>0</v>
      </c>
      <c r="CC189" s="99"/>
      <c r="CV189" s="99"/>
      <c r="CW189" s="63"/>
    </row>
    <row r="190" spans="1:101" x14ac:dyDescent="0.15">
      <c r="A190" s="76">
        <v>151</v>
      </c>
      <c r="B190" s="74" t="s">
        <v>8130</v>
      </c>
      <c r="C190" s="74">
        <v>1001795881</v>
      </c>
      <c r="D190" s="78" t="str">
        <f t="shared" si="4"/>
        <v>https://portal.dnb.de/opac.htm?method=simpleSearch&amp;cqlMode=true&amp;query=idn%3D1001795881</v>
      </c>
      <c r="E190" s="74" t="s">
        <v>8129</v>
      </c>
      <c r="F190" s="74"/>
      <c r="G190" s="76" t="s">
        <v>8515</v>
      </c>
      <c r="H190" s="77" t="s">
        <v>5</v>
      </c>
      <c r="I190" s="76" t="s">
        <v>53</v>
      </c>
      <c r="J190" s="77" t="s">
        <v>8516</v>
      </c>
      <c r="K190" s="77" t="s">
        <v>8520</v>
      </c>
      <c r="L190" s="76"/>
      <c r="M190" s="76" t="s">
        <v>38</v>
      </c>
      <c r="N190" s="76"/>
      <c r="O190" s="76">
        <v>0</v>
      </c>
      <c r="P190" s="76"/>
      <c r="Q190" s="76"/>
      <c r="R190" s="76"/>
      <c r="S190" s="76"/>
      <c r="BD190" s="99">
        <f t="shared" si="5"/>
        <v>0</v>
      </c>
      <c r="CC190" s="99"/>
      <c r="CV190" s="99"/>
      <c r="CW190" s="63"/>
    </row>
    <row r="191" spans="1:101" x14ac:dyDescent="0.15">
      <c r="A191" s="76">
        <v>152</v>
      </c>
      <c r="B191" s="74" t="s">
        <v>8131</v>
      </c>
      <c r="C191" s="74" t="s">
        <v>8132</v>
      </c>
      <c r="D191" s="78" t="str">
        <f t="shared" si="4"/>
        <v>https://portal.dnb.de/opac.htm?method=simpleSearch&amp;cqlMode=true&amp;query=idn%3D99991023X</v>
      </c>
      <c r="E191" s="74" t="s">
        <v>8133</v>
      </c>
      <c r="F191" s="74"/>
      <c r="G191" s="76" t="s">
        <v>8515</v>
      </c>
      <c r="H191" s="77" t="s">
        <v>5</v>
      </c>
      <c r="I191" s="76" t="s">
        <v>55</v>
      </c>
      <c r="J191" s="77" t="s">
        <v>8516</v>
      </c>
      <c r="K191" s="77" t="s">
        <v>8520</v>
      </c>
      <c r="L191" s="76"/>
      <c r="M191" s="76"/>
      <c r="N191" s="76" t="s">
        <v>8660</v>
      </c>
      <c r="O191" s="76">
        <v>0</v>
      </c>
      <c r="P191" s="76"/>
      <c r="Q191" s="76"/>
      <c r="R191" s="76"/>
      <c r="S191" s="76"/>
      <c r="Y191" s="95" t="s">
        <v>9723</v>
      </c>
      <c r="AC191" s="95" t="s">
        <v>9724</v>
      </c>
      <c r="AI191" s="95" t="s">
        <v>9725</v>
      </c>
      <c r="AW191" s="95">
        <v>60</v>
      </c>
      <c r="BC191" s="96" t="s">
        <v>9726</v>
      </c>
      <c r="BD191" s="99">
        <f t="shared" si="5"/>
        <v>0.5</v>
      </c>
      <c r="BP191" s="69" t="s">
        <v>8541</v>
      </c>
      <c r="BQ191" s="95" t="s">
        <v>8541</v>
      </c>
      <c r="BR191" s="95" t="s">
        <v>8541</v>
      </c>
      <c r="CC191" s="99">
        <v>0.5</v>
      </c>
      <c r="CD191" s="90" t="s">
        <v>10330</v>
      </c>
      <c r="CV191" s="99"/>
      <c r="CW191" s="63"/>
    </row>
    <row r="192" spans="1:101" ht="33.75" x14ac:dyDescent="0.15">
      <c r="A192" s="76">
        <v>153</v>
      </c>
      <c r="B192" s="74" t="s">
        <v>8134</v>
      </c>
      <c r="C192" s="74">
        <v>994201680</v>
      </c>
      <c r="D192" s="78" t="str">
        <f t="shared" si="4"/>
        <v>https://portal.dnb.de/opac.htm?method=simpleSearch&amp;cqlMode=true&amp;query=idn%3D994201680</v>
      </c>
      <c r="E192" s="74" t="s">
        <v>8135</v>
      </c>
      <c r="F192" s="74"/>
      <c r="G192" s="76"/>
      <c r="H192" s="77" t="s">
        <v>48</v>
      </c>
      <c r="I192" s="76" t="s">
        <v>53</v>
      </c>
      <c r="J192" s="77" t="s">
        <v>8516</v>
      </c>
      <c r="K192" s="77" t="s">
        <v>8663</v>
      </c>
      <c r="L192" s="76"/>
      <c r="M192" s="76" t="s">
        <v>38</v>
      </c>
      <c r="N192" s="76" t="s">
        <v>40</v>
      </c>
      <c r="O192" s="76">
        <v>0</v>
      </c>
      <c r="P192" s="76"/>
      <c r="Q192" s="76" t="s">
        <v>8847</v>
      </c>
      <c r="R192" s="76"/>
      <c r="S192" s="76"/>
      <c r="BD192" s="99">
        <f t="shared" si="5"/>
        <v>0</v>
      </c>
      <c r="CC192" s="99"/>
      <c r="CV192" s="99"/>
      <c r="CW192" s="63"/>
    </row>
    <row r="193" spans="1:101" x14ac:dyDescent="0.15">
      <c r="A193" s="76">
        <v>154</v>
      </c>
      <c r="B193" s="74" t="s">
        <v>8144</v>
      </c>
      <c r="C193" s="74">
        <v>994423918</v>
      </c>
      <c r="D193" s="78" t="str">
        <f t="shared" si="4"/>
        <v>https://portal.dnb.de/opac.htm?method=simpleSearch&amp;cqlMode=true&amp;query=idn%3D994423918</v>
      </c>
      <c r="E193" s="74" t="s">
        <v>8145</v>
      </c>
      <c r="F193" s="74"/>
      <c r="G193" s="76"/>
      <c r="H193" s="77" t="s">
        <v>48</v>
      </c>
      <c r="I193" s="76" t="s">
        <v>53</v>
      </c>
      <c r="J193" s="77" t="s">
        <v>8516</v>
      </c>
      <c r="K193" s="77" t="s">
        <v>84</v>
      </c>
      <c r="L193" s="76"/>
      <c r="M193" s="76" t="s">
        <v>38</v>
      </c>
      <c r="N193" s="76"/>
      <c r="O193" s="76">
        <v>0</v>
      </c>
      <c r="P193" s="76"/>
      <c r="Q193" s="76"/>
      <c r="R193" s="76"/>
      <c r="S193" s="76"/>
      <c r="BD193" s="99">
        <f t="shared" si="5"/>
        <v>0</v>
      </c>
      <c r="CC193" s="99"/>
      <c r="CV193" s="99"/>
      <c r="CW193" s="63"/>
    </row>
    <row r="194" spans="1:101" ht="33.75" x14ac:dyDescent="0.15">
      <c r="A194" s="76">
        <v>155</v>
      </c>
      <c r="B194" s="74" t="s">
        <v>8146</v>
      </c>
      <c r="C194" s="74">
        <v>993945295</v>
      </c>
      <c r="D194" s="78" t="str">
        <f t="shared" ref="D194:D257" si="6">HYPERLINK(CONCATENATE("https://portal.dnb.de/opac.htm?method=simpleSearch&amp;cqlMode=true&amp;query=idn%3D",C194))</f>
        <v>https://portal.dnb.de/opac.htm?method=simpleSearch&amp;cqlMode=true&amp;query=idn%3D993945295</v>
      </c>
      <c r="E194" s="74" t="s">
        <v>8147</v>
      </c>
      <c r="F194" s="74"/>
      <c r="G194" s="76"/>
      <c r="H194" s="77" t="s">
        <v>5</v>
      </c>
      <c r="I194" s="76" t="s">
        <v>53</v>
      </c>
      <c r="J194" s="77" t="s">
        <v>89</v>
      </c>
      <c r="K194" s="77" t="s">
        <v>8667</v>
      </c>
      <c r="L194" s="76"/>
      <c r="M194" s="76" t="s">
        <v>38</v>
      </c>
      <c r="N194" s="76" t="s">
        <v>40</v>
      </c>
      <c r="O194" s="76">
        <v>0</v>
      </c>
      <c r="P194" s="76"/>
      <c r="Q194" s="76"/>
      <c r="R194" s="76"/>
      <c r="S194" s="76"/>
      <c r="BD194" s="99">
        <f t="shared" si="5"/>
        <v>0</v>
      </c>
      <c r="CC194" s="99"/>
      <c r="CV194" s="99"/>
      <c r="CW194" s="63"/>
    </row>
    <row r="195" spans="1:101" x14ac:dyDescent="0.15">
      <c r="A195" s="76">
        <v>156</v>
      </c>
      <c r="B195" s="74" t="s">
        <v>8148</v>
      </c>
      <c r="C195" s="74">
        <v>1002923328</v>
      </c>
      <c r="D195" s="78" t="str">
        <f t="shared" si="6"/>
        <v>https://portal.dnb.de/opac.htm?method=simpleSearch&amp;cqlMode=true&amp;query=idn%3D1002923328</v>
      </c>
      <c r="E195" s="74" t="s">
        <v>8149</v>
      </c>
      <c r="F195" s="74"/>
      <c r="G195" s="76" t="s">
        <v>8515</v>
      </c>
      <c r="H195" s="77" t="s">
        <v>49</v>
      </c>
      <c r="I195" s="76" t="s">
        <v>53</v>
      </c>
      <c r="J195" s="77" t="s">
        <v>8516</v>
      </c>
      <c r="K195" s="77" t="s">
        <v>84</v>
      </c>
      <c r="L195" s="76"/>
      <c r="M195" s="76" t="s">
        <v>38</v>
      </c>
      <c r="N195" s="76" t="s">
        <v>8660</v>
      </c>
      <c r="O195" s="76">
        <v>1</v>
      </c>
      <c r="P195" s="76"/>
      <c r="Q195" s="76" t="s">
        <v>8847</v>
      </c>
      <c r="R195" s="76"/>
      <c r="S195" s="76"/>
      <c r="BD195" s="99">
        <f t="shared" ref="BD195:BD258" si="7">CC195+CV195</f>
        <v>0</v>
      </c>
      <c r="CC195" s="99"/>
      <c r="CV195" s="99"/>
      <c r="CW195" s="63"/>
    </row>
    <row r="196" spans="1:101" x14ac:dyDescent="0.15">
      <c r="A196" s="76">
        <v>157</v>
      </c>
      <c r="B196" s="74" t="s">
        <v>8150</v>
      </c>
      <c r="C196" s="74">
        <v>994341261</v>
      </c>
      <c r="D196" s="78" t="str">
        <f t="shared" si="6"/>
        <v>https://portal.dnb.de/opac.htm?method=simpleSearch&amp;cqlMode=true&amp;query=idn%3D994341261</v>
      </c>
      <c r="E196" s="74" t="s">
        <v>8149</v>
      </c>
      <c r="F196" s="74"/>
      <c r="G196" s="76"/>
      <c r="H196" s="77"/>
      <c r="I196" s="76"/>
      <c r="J196" s="77"/>
      <c r="K196" s="77"/>
      <c r="L196" s="76"/>
      <c r="M196" s="76"/>
      <c r="N196" s="76"/>
      <c r="O196" s="76"/>
      <c r="P196" s="76"/>
      <c r="Q196" s="76"/>
      <c r="R196" s="76"/>
      <c r="S196" s="76"/>
      <c r="BD196" s="99">
        <f t="shared" si="7"/>
        <v>0</v>
      </c>
      <c r="CC196" s="99"/>
      <c r="CV196" s="99"/>
      <c r="CW196" s="63"/>
    </row>
    <row r="197" spans="1:101" x14ac:dyDescent="0.15">
      <c r="A197" s="76">
        <v>158</v>
      </c>
      <c r="B197" s="74" t="s">
        <v>8151</v>
      </c>
      <c r="C197" s="74">
        <v>998891584</v>
      </c>
      <c r="D197" s="78" t="str">
        <f t="shared" si="6"/>
        <v>https://portal.dnb.de/opac.htm?method=simpleSearch&amp;cqlMode=true&amp;query=idn%3D998891584</v>
      </c>
      <c r="E197" s="74" t="s">
        <v>8152</v>
      </c>
      <c r="F197" s="74"/>
      <c r="G197" s="76"/>
      <c r="H197" s="77" t="s">
        <v>48</v>
      </c>
      <c r="I197" s="76" t="s">
        <v>53</v>
      </c>
      <c r="J197" s="77" t="s">
        <v>58</v>
      </c>
      <c r="K197" s="77" t="s">
        <v>84</v>
      </c>
      <c r="L197" s="76"/>
      <c r="M197" s="76"/>
      <c r="N197" s="76"/>
      <c r="O197" s="76">
        <v>0</v>
      </c>
      <c r="P197" s="76"/>
      <c r="Q197" s="76"/>
      <c r="R197" s="76"/>
      <c r="S197" s="76"/>
      <c r="BD197" s="99">
        <f t="shared" si="7"/>
        <v>0</v>
      </c>
      <c r="CC197" s="99"/>
      <c r="CV197" s="99"/>
      <c r="CW197" s="63"/>
    </row>
    <row r="198" spans="1:101" x14ac:dyDescent="0.15">
      <c r="A198" s="76">
        <v>159</v>
      </c>
      <c r="B198" s="74" t="s">
        <v>8153</v>
      </c>
      <c r="C198" s="74">
        <v>998892068</v>
      </c>
      <c r="D198" s="78" t="str">
        <f t="shared" si="6"/>
        <v>https://portal.dnb.de/opac.htm?method=simpleSearch&amp;cqlMode=true&amp;query=idn%3D998892068</v>
      </c>
      <c r="E198" s="74" t="s">
        <v>8154</v>
      </c>
      <c r="F198" s="74"/>
      <c r="G198" s="76"/>
      <c r="H198" s="77" t="s">
        <v>5</v>
      </c>
      <c r="I198" s="76" t="s">
        <v>53</v>
      </c>
      <c r="J198" s="77" t="s">
        <v>58</v>
      </c>
      <c r="K198" s="77" t="s">
        <v>8520</v>
      </c>
      <c r="L198" s="76"/>
      <c r="M198" s="76" t="s">
        <v>38</v>
      </c>
      <c r="N198" s="76" t="s">
        <v>40</v>
      </c>
      <c r="O198" s="76">
        <v>1</v>
      </c>
      <c r="P198" s="76"/>
      <c r="Q198" s="76"/>
      <c r="R198" s="76"/>
      <c r="S198" s="76"/>
      <c r="BD198" s="99">
        <f t="shared" si="7"/>
        <v>0</v>
      </c>
      <c r="CC198" s="99"/>
      <c r="CV198" s="99"/>
      <c r="CW198" s="63"/>
    </row>
    <row r="199" spans="1:101" ht="22.5" x14ac:dyDescent="0.15">
      <c r="A199" s="76">
        <v>160</v>
      </c>
      <c r="B199" s="74" t="s">
        <v>8155</v>
      </c>
      <c r="C199" s="74">
        <v>998810452</v>
      </c>
      <c r="D199" s="78" t="str">
        <f t="shared" si="6"/>
        <v>https://portal.dnb.de/opac.htm?method=simpleSearch&amp;cqlMode=true&amp;query=idn%3D998810452</v>
      </c>
      <c r="E199" s="74" t="s">
        <v>8156</v>
      </c>
      <c r="F199" s="74"/>
      <c r="G199" s="76"/>
      <c r="H199" s="77" t="s">
        <v>48</v>
      </c>
      <c r="I199" s="76" t="s">
        <v>53</v>
      </c>
      <c r="J199" s="77" t="s">
        <v>8516</v>
      </c>
      <c r="K199" s="77" t="s">
        <v>8565</v>
      </c>
      <c r="L199" s="76"/>
      <c r="M199" s="76" t="s">
        <v>38</v>
      </c>
      <c r="N199" s="76"/>
      <c r="O199" s="76">
        <v>0</v>
      </c>
      <c r="P199" s="76"/>
      <c r="Q199" s="76"/>
      <c r="R199" s="76"/>
      <c r="S199" s="76"/>
      <c r="BD199" s="99">
        <f t="shared" si="7"/>
        <v>0</v>
      </c>
      <c r="CC199" s="99"/>
      <c r="CV199" s="99"/>
      <c r="CW199" s="63"/>
    </row>
    <row r="200" spans="1:101" x14ac:dyDescent="0.15">
      <c r="A200" s="76">
        <v>161</v>
      </c>
      <c r="B200" s="74" t="s">
        <v>8157</v>
      </c>
      <c r="C200" s="74">
        <v>1000901572</v>
      </c>
      <c r="D200" s="78" t="str">
        <f t="shared" si="6"/>
        <v>https://portal.dnb.de/opac.htm?method=simpleSearch&amp;cqlMode=true&amp;query=idn%3D1000901572</v>
      </c>
      <c r="E200" s="74" t="s">
        <v>8158</v>
      </c>
      <c r="F200" s="74"/>
      <c r="G200" s="76"/>
      <c r="H200" s="77" t="s">
        <v>4</v>
      </c>
      <c r="I200" s="76" t="s">
        <v>53</v>
      </c>
      <c r="J200" s="77" t="s">
        <v>8516</v>
      </c>
      <c r="K200" s="77" t="s">
        <v>8577</v>
      </c>
      <c r="L200" s="76"/>
      <c r="M200" s="76" t="s">
        <v>36</v>
      </c>
      <c r="N200" s="76" t="s">
        <v>39</v>
      </c>
      <c r="O200" s="76">
        <v>0</v>
      </c>
      <c r="P200" s="76"/>
      <c r="Q200" s="76"/>
      <c r="R200" s="76"/>
      <c r="S200" s="76"/>
      <c r="BD200" s="99">
        <f t="shared" si="7"/>
        <v>0</v>
      </c>
      <c r="CC200" s="99"/>
      <c r="CV200" s="99"/>
      <c r="CW200" s="63"/>
    </row>
    <row r="201" spans="1:101" x14ac:dyDescent="0.15">
      <c r="A201" s="76">
        <v>162</v>
      </c>
      <c r="B201" s="74" t="s">
        <v>8159</v>
      </c>
      <c r="C201" s="74" t="s">
        <v>8160</v>
      </c>
      <c r="D201" s="78" t="str">
        <f t="shared" si="6"/>
        <v>https://portal.dnb.de/opac.htm?method=simpleSearch&amp;cqlMode=true&amp;query=idn%3D99469332X</v>
      </c>
      <c r="E201" s="74" t="s">
        <v>8161</v>
      </c>
      <c r="F201" s="74"/>
      <c r="G201" s="76"/>
      <c r="H201" s="77" t="s">
        <v>5</v>
      </c>
      <c r="I201" s="76" t="s">
        <v>53</v>
      </c>
      <c r="J201" s="77" t="s">
        <v>58</v>
      </c>
      <c r="K201" s="77" t="s">
        <v>8520</v>
      </c>
      <c r="L201" s="76"/>
      <c r="M201" s="76" t="s">
        <v>36</v>
      </c>
      <c r="N201" s="76" t="s">
        <v>39</v>
      </c>
      <c r="O201" s="76"/>
      <c r="P201" s="76"/>
      <c r="Q201" s="76" t="s">
        <v>8847</v>
      </c>
      <c r="R201" s="76"/>
      <c r="S201" s="76"/>
      <c r="BD201" s="99">
        <f t="shared" si="7"/>
        <v>0</v>
      </c>
      <c r="CC201" s="99"/>
      <c r="CV201" s="99"/>
      <c r="CW201" s="63"/>
    </row>
    <row r="202" spans="1:101" ht="33.75" x14ac:dyDescent="0.15">
      <c r="A202" s="76">
        <v>163</v>
      </c>
      <c r="B202" s="74" t="s">
        <v>8162</v>
      </c>
      <c r="C202" s="74">
        <v>994216769</v>
      </c>
      <c r="D202" s="78" t="str">
        <f t="shared" si="6"/>
        <v>https://portal.dnb.de/opac.htm?method=simpleSearch&amp;cqlMode=true&amp;query=idn%3D994216769</v>
      </c>
      <c r="E202" s="74" t="s">
        <v>8163</v>
      </c>
      <c r="F202" s="74"/>
      <c r="G202" s="76"/>
      <c r="H202" s="77" t="s">
        <v>5</v>
      </c>
      <c r="I202" s="76" t="s">
        <v>53</v>
      </c>
      <c r="J202" s="77" t="s">
        <v>8516</v>
      </c>
      <c r="K202" s="77" t="s">
        <v>8667</v>
      </c>
      <c r="L202" s="76"/>
      <c r="M202" s="76" t="s">
        <v>36</v>
      </c>
      <c r="N202" s="76" t="s">
        <v>39</v>
      </c>
      <c r="O202" s="76">
        <v>1</v>
      </c>
      <c r="P202" s="76"/>
      <c r="Q202" s="76"/>
      <c r="R202" s="76"/>
      <c r="S202" s="76"/>
      <c r="BD202" s="99">
        <f t="shared" si="7"/>
        <v>0</v>
      </c>
      <c r="CC202" s="99"/>
      <c r="CV202" s="99"/>
      <c r="CW202" s="63"/>
    </row>
    <row r="203" spans="1:101" ht="33.75" x14ac:dyDescent="0.15">
      <c r="A203" s="76">
        <v>164</v>
      </c>
      <c r="B203" s="74" t="s">
        <v>8164</v>
      </c>
      <c r="C203" s="74">
        <v>1000349489</v>
      </c>
      <c r="D203" s="78" t="str">
        <f t="shared" si="6"/>
        <v>https://portal.dnb.de/opac.htm?method=simpleSearch&amp;cqlMode=true&amp;query=idn%3D1000349489</v>
      </c>
      <c r="E203" s="74" t="s">
        <v>8165</v>
      </c>
      <c r="F203" s="74"/>
      <c r="G203" s="76"/>
      <c r="H203" s="77" t="s">
        <v>48</v>
      </c>
      <c r="I203" s="76" t="s">
        <v>53</v>
      </c>
      <c r="J203" s="77" t="s">
        <v>89</v>
      </c>
      <c r="K203" s="77" t="s">
        <v>8663</v>
      </c>
      <c r="L203" s="76"/>
      <c r="M203" s="76"/>
      <c r="N203" s="76"/>
      <c r="O203" s="76">
        <v>0</v>
      </c>
      <c r="P203" s="76"/>
      <c r="Q203" s="76"/>
      <c r="R203" s="76"/>
      <c r="S203" s="76"/>
      <c r="BD203" s="99">
        <f t="shared" si="7"/>
        <v>0</v>
      </c>
      <c r="CC203" s="99"/>
      <c r="CV203" s="99"/>
      <c r="CW203" s="63"/>
    </row>
    <row r="204" spans="1:101" ht="67.5" x14ac:dyDescent="0.15">
      <c r="A204" s="76">
        <v>165</v>
      </c>
      <c r="B204" s="74" t="s">
        <v>8185</v>
      </c>
      <c r="C204" s="74">
        <v>998386642</v>
      </c>
      <c r="D204" s="78" t="str">
        <f t="shared" si="6"/>
        <v>https://portal.dnb.de/opac.htm?method=simpleSearch&amp;cqlMode=true&amp;query=idn%3D998386642</v>
      </c>
      <c r="E204" s="74" t="s">
        <v>8186</v>
      </c>
      <c r="F204" s="74"/>
      <c r="G204" s="76"/>
      <c r="H204" s="77" t="s">
        <v>4</v>
      </c>
      <c r="I204" s="76" t="s">
        <v>56</v>
      </c>
      <c r="J204" s="77" t="s">
        <v>8516</v>
      </c>
      <c r="K204" s="77" t="s">
        <v>84</v>
      </c>
      <c r="L204" s="76"/>
      <c r="M204" s="76" t="s">
        <v>36</v>
      </c>
      <c r="N204" s="76" t="s">
        <v>39</v>
      </c>
      <c r="O204" s="76">
        <v>3</v>
      </c>
      <c r="P204" s="76"/>
      <c r="Q204" s="76"/>
      <c r="R204" s="76"/>
      <c r="S204" s="76"/>
      <c r="Y204" s="95" t="s">
        <v>9729</v>
      </c>
      <c r="AC204" s="95" t="s">
        <v>9730</v>
      </c>
      <c r="AI204" s="95" t="s">
        <v>9725</v>
      </c>
      <c r="AW204" s="95" t="s">
        <v>9733</v>
      </c>
      <c r="AY204" s="95" t="s">
        <v>8541</v>
      </c>
      <c r="BC204" s="96" t="s">
        <v>9796</v>
      </c>
      <c r="BD204" s="99">
        <f t="shared" si="7"/>
        <v>15</v>
      </c>
      <c r="BJ204" s="95" t="s">
        <v>9741</v>
      </c>
      <c r="BK204" s="95" t="s">
        <v>8541</v>
      </c>
      <c r="BL204" s="70" t="s">
        <v>10515</v>
      </c>
      <c r="BP204" s="69" t="s">
        <v>8541</v>
      </c>
      <c r="BQ204" s="95" t="s">
        <v>8541</v>
      </c>
      <c r="BR204" s="95" t="s">
        <v>8541</v>
      </c>
      <c r="BT204" s="95" t="s">
        <v>9772</v>
      </c>
      <c r="BU204" s="95">
        <v>1</v>
      </c>
      <c r="CB204" s="95" t="s">
        <v>8541</v>
      </c>
      <c r="CC204" s="99">
        <v>7.5</v>
      </c>
      <c r="CD204" s="90" t="s">
        <v>10331</v>
      </c>
      <c r="CJ204" s="95" t="s">
        <v>8541</v>
      </c>
      <c r="CV204" s="99">
        <v>7.5</v>
      </c>
      <c r="CW204" s="90" t="s">
        <v>10332</v>
      </c>
    </row>
    <row r="205" spans="1:101" x14ac:dyDescent="0.15">
      <c r="A205" s="76">
        <v>166</v>
      </c>
      <c r="B205" s="74" t="s">
        <v>8187</v>
      </c>
      <c r="C205" s="74">
        <v>1002028744</v>
      </c>
      <c r="D205" s="78" t="str">
        <f t="shared" si="6"/>
        <v>https://portal.dnb.de/opac.htm?method=simpleSearch&amp;cqlMode=true&amp;query=idn%3D1002028744</v>
      </c>
      <c r="E205" s="74" t="s">
        <v>8666</v>
      </c>
      <c r="F205" s="74"/>
      <c r="G205" s="76" t="s">
        <v>8515</v>
      </c>
      <c r="H205" s="77" t="s">
        <v>5</v>
      </c>
      <c r="I205" s="76" t="s">
        <v>54</v>
      </c>
      <c r="J205" s="77" t="s">
        <v>8516</v>
      </c>
      <c r="K205" s="77" t="s">
        <v>8520</v>
      </c>
      <c r="L205" s="76"/>
      <c r="M205" s="76"/>
      <c r="N205" s="76"/>
      <c r="O205" s="76">
        <v>0</v>
      </c>
      <c r="P205" s="76"/>
      <c r="Q205" s="76"/>
      <c r="R205" s="76"/>
      <c r="S205" s="76"/>
      <c r="BD205" s="99">
        <f t="shared" si="7"/>
        <v>0</v>
      </c>
      <c r="CC205" s="99"/>
      <c r="CV205" s="99"/>
      <c r="CW205" s="63"/>
    </row>
    <row r="206" spans="1:101" x14ac:dyDescent="0.15">
      <c r="A206" s="76">
        <v>167</v>
      </c>
      <c r="B206" s="74" t="s">
        <v>8189</v>
      </c>
      <c r="C206" s="74">
        <v>1002028825</v>
      </c>
      <c r="D206" s="78" t="str">
        <f t="shared" si="6"/>
        <v>https://portal.dnb.de/opac.htm?method=simpleSearch&amp;cqlMode=true&amp;query=idn%3D1002028825</v>
      </c>
      <c r="E206" s="74" t="s">
        <v>8188</v>
      </c>
      <c r="F206" s="74"/>
      <c r="G206" s="76" t="s">
        <v>8515</v>
      </c>
      <c r="H206" s="77" t="s">
        <v>5</v>
      </c>
      <c r="I206" s="76" t="s">
        <v>54</v>
      </c>
      <c r="J206" s="77" t="s">
        <v>8516</v>
      </c>
      <c r="K206" s="77" t="s">
        <v>8520</v>
      </c>
      <c r="L206" s="76"/>
      <c r="M206" s="76" t="s">
        <v>38</v>
      </c>
      <c r="N206" s="76"/>
      <c r="O206" s="76">
        <v>0</v>
      </c>
      <c r="P206" s="76"/>
      <c r="Q206" s="76"/>
      <c r="R206" s="76"/>
      <c r="S206" s="76"/>
      <c r="BD206" s="99">
        <f t="shared" si="7"/>
        <v>0</v>
      </c>
      <c r="CC206" s="99"/>
      <c r="CV206" s="99"/>
      <c r="CW206" s="63"/>
    </row>
    <row r="207" spans="1:101" ht="45" x14ac:dyDescent="0.15">
      <c r="A207" s="76">
        <v>168</v>
      </c>
      <c r="B207" s="74" t="s">
        <v>8190</v>
      </c>
      <c r="C207" s="74">
        <v>998562505</v>
      </c>
      <c r="D207" s="78" t="str">
        <f t="shared" si="6"/>
        <v>https://portal.dnb.de/opac.htm?method=simpleSearch&amp;cqlMode=true&amp;query=idn%3D998562505</v>
      </c>
      <c r="E207" s="74" t="s">
        <v>8191</v>
      </c>
      <c r="F207" s="74"/>
      <c r="G207" s="76"/>
      <c r="H207" s="77"/>
      <c r="I207" s="76" t="s">
        <v>55</v>
      </c>
      <c r="J207" s="77"/>
      <c r="K207" s="77"/>
      <c r="L207" s="76"/>
      <c r="M207" s="76"/>
      <c r="N207" s="76"/>
      <c r="O207" s="76"/>
      <c r="P207" s="76"/>
      <c r="Q207" s="76"/>
      <c r="R207" s="76"/>
      <c r="S207" s="76"/>
      <c r="Y207" s="95" t="s">
        <v>9723</v>
      </c>
      <c r="AC207" s="95" t="s">
        <v>9730</v>
      </c>
      <c r="AI207" s="95" t="s">
        <v>9725</v>
      </c>
      <c r="AP207" s="95" t="s">
        <v>8541</v>
      </c>
      <c r="AW207" s="95">
        <v>60</v>
      </c>
      <c r="BC207" s="96" t="s">
        <v>9726</v>
      </c>
      <c r="BD207" s="99">
        <f t="shared" si="7"/>
        <v>3</v>
      </c>
      <c r="BO207" s="70" t="s">
        <v>10334</v>
      </c>
      <c r="BP207" s="69" t="s">
        <v>8541</v>
      </c>
      <c r="BQ207" s="95" t="s">
        <v>8541</v>
      </c>
      <c r="BR207" s="95" t="s">
        <v>8541</v>
      </c>
      <c r="CC207" s="99">
        <v>3</v>
      </c>
      <c r="CD207" s="90" t="s">
        <v>10335</v>
      </c>
      <c r="CV207" s="99"/>
      <c r="CW207" s="63"/>
    </row>
    <row r="208" spans="1:101" ht="22.5" x14ac:dyDescent="0.15">
      <c r="A208" s="76">
        <v>169</v>
      </c>
      <c r="B208" s="74" t="s">
        <v>8192</v>
      </c>
      <c r="C208" s="74">
        <v>1001604237</v>
      </c>
      <c r="D208" s="78" t="str">
        <f t="shared" si="6"/>
        <v>https://portal.dnb.de/opac.htm?method=simpleSearch&amp;cqlMode=true&amp;query=idn%3D1001604237</v>
      </c>
      <c r="E208" s="74" t="s">
        <v>10333</v>
      </c>
      <c r="F208" s="74"/>
      <c r="G208" s="76"/>
      <c r="H208" s="77" t="s">
        <v>5</v>
      </c>
      <c r="I208" s="76"/>
      <c r="J208" s="77" t="s">
        <v>8516</v>
      </c>
      <c r="K208" s="77" t="s">
        <v>8688</v>
      </c>
      <c r="L208" s="76"/>
      <c r="M208" s="76" t="s">
        <v>34</v>
      </c>
      <c r="N208" s="76" t="s">
        <v>39</v>
      </c>
      <c r="O208" s="76">
        <v>3</v>
      </c>
      <c r="P208" s="76"/>
      <c r="Q208" s="76"/>
      <c r="R208" s="76"/>
      <c r="S208" s="76"/>
      <c r="BD208" s="99">
        <f t="shared" si="7"/>
        <v>0</v>
      </c>
      <c r="CC208" s="99"/>
      <c r="CV208" s="99"/>
      <c r="CW208" s="63"/>
    </row>
    <row r="209" spans="1:101" x14ac:dyDescent="0.15">
      <c r="A209" s="76">
        <v>170</v>
      </c>
      <c r="B209" s="74" t="s">
        <v>8193</v>
      </c>
      <c r="C209" s="74" t="s">
        <v>8194</v>
      </c>
      <c r="D209" s="78" t="str">
        <f t="shared" si="6"/>
        <v>https://portal.dnb.de/opac.htm?method=simpleSearch&amp;cqlMode=true&amp;query=idn%3D100007143X</v>
      </c>
      <c r="E209" s="74" t="s">
        <v>8195</v>
      </c>
      <c r="F209" s="74"/>
      <c r="G209" s="76"/>
      <c r="H209" s="77" t="s">
        <v>48</v>
      </c>
      <c r="I209" s="76" t="s">
        <v>53</v>
      </c>
      <c r="J209" s="77" t="s">
        <v>58</v>
      </c>
      <c r="K209" s="77" t="s">
        <v>8577</v>
      </c>
      <c r="L209" s="76"/>
      <c r="M209" s="76"/>
      <c r="N209" s="76" t="s">
        <v>8660</v>
      </c>
      <c r="O209" s="76">
        <v>0</v>
      </c>
      <c r="P209" s="76"/>
      <c r="Q209" s="76"/>
      <c r="R209" s="76"/>
      <c r="S209" s="76"/>
      <c r="BD209" s="99">
        <f t="shared" si="7"/>
        <v>0</v>
      </c>
      <c r="CC209" s="99"/>
      <c r="CV209" s="99"/>
      <c r="CW209" s="63"/>
    </row>
    <row r="210" spans="1:101" ht="22.5" x14ac:dyDescent="0.15">
      <c r="A210" s="76">
        <v>171</v>
      </c>
      <c r="B210" s="74" t="s">
        <v>8196</v>
      </c>
      <c r="C210" s="74">
        <v>997388080</v>
      </c>
      <c r="D210" s="78" t="str">
        <f t="shared" si="6"/>
        <v>https://portal.dnb.de/opac.htm?method=simpleSearch&amp;cqlMode=true&amp;query=idn%3D997388080</v>
      </c>
      <c r="E210" s="74" t="s">
        <v>8197</v>
      </c>
      <c r="F210" s="74"/>
      <c r="G210" s="76"/>
      <c r="H210" s="77" t="s">
        <v>18</v>
      </c>
      <c r="I210" s="76" t="s">
        <v>53</v>
      </c>
      <c r="J210" s="77" t="s">
        <v>58</v>
      </c>
      <c r="K210" s="77"/>
      <c r="L210" s="76"/>
      <c r="M210" s="76" t="s">
        <v>34</v>
      </c>
      <c r="N210" s="76" t="s">
        <v>39</v>
      </c>
      <c r="O210" s="76">
        <v>2</v>
      </c>
      <c r="P210" s="76"/>
      <c r="Q210" s="76"/>
      <c r="R210" s="76"/>
      <c r="S210" s="76"/>
      <c r="BD210" s="99">
        <f t="shared" si="7"/>
        <v>0</v>
      </c>
      <c r="CC210" s="99"/>
      <c r="CV210" s="99"/>
      <c r="CW210" s="63"/>
    </row>
    <row r="211" spans="1:101" x14ac:dyDescent="0.15">
      <c r="A211" s="76">
        <v>172</v>
      </c>
      <c r="B211" s="74" t="s">
        <v>8198</v>
      </c>
      <c r="C211" s="74">
        <v>988003481</v>
      </c>
      <c r="D211" s="78" t="str">
        <f t="shared" si="6"/>
        <v>https://portal.dnb.de/opac.htm?method=simpleSearch&amp;cqlMode=true&amp;query=idn%3D988003481</v>
      </c>
      <c r="E211" s="74" t="s">
        <v>8199</v>
      </c>
      <c r="F211" s="74"/>
      <c r="G211" s="76"/>
      <c r="H211" s="77" t="s">
        <v>48</v>
      </c>
      <c r="I211" s="76" t="s">
        <v>53</v>
      </c>
      <c r="J211" s="77" t="s">
        <v>8516</v>
      </c>
      <c r="K211" s="77" t="s">
        <v>8554</v>
      </c>
      <c r="L211" s="76"/>
      <c r="M211" s="76" t="s">
        <v>38</v>
      </c>
      <c r="N211" s="76" t="s">
        <v>40</v>
      </c>
      <c r="O211" s="76">
        <v>0</v>
      </c>
      <c r="P211" s="76"/>
      <c r="Q211" s="76"/>
      <c r="R211" s="76"/>
      <c r="S211" s="76"/>
      <c r="BD211" s="99">
        <f t="shared" si="7"/>
        <v>0</v>
      </c>
      <c r="CC211" s="99"/>
      <c r="CV211" s="99"/>
      <c r="CW211" s="63"/>
    </row>
    <row r="212" spans="1:101" ht="22.5" x14ac:dyDescent="0.15">
      <c r="A212" s="76">
        <v>173</v>
      </c>
      <c r="B212" s="74" t="s">
        <v>8204</v>
      </c>
      <c r="C212" s="74">
        <v>988012049</v>
      </c>
      <c r="D212" s="78" t="str">
        <f t="shared" si="6"/>
        <v>https://portal.dnb.de/opac.htm?method=simpleSearch&amp;cqlMode=true&amp;query=idn%3D988012049</v>
      </c>
      <c r="E212" s="74" t="s">
        <v>8205</v>
      </c>
      <c r="F212" s="74"/>
      <c r="G212" s="76" t="s">
        <v>8515</v>
      </c>
      <c r="H212" s="77" t="s">
        <v>48</v>
      </c>
      <c r="I212" s="76" t="s">
        <v>53</v>
      </c>
      <c r="J212" s="77" t="s">
        <v>8516</v>
      </c>
      <c r="K212" s="77" t="s">
        <v>8564</v>
      </c>
      <c r="L212" s="76"/>
      <c r="M212" s="76" t="s">
        <v>34</v>
      </c>
      <c r="N212" s="76" t="s">
        <v>40</v>
      </c>
      <c r="O212" s="76">
        <v>0</v>
      </c>
      <c r="P212" s="76"/>
      <c r="Q212" s="76"/>
      <c r="R212" s="76"/>
      <c r="S212" s="76"/>
      <c r="BD212" s="99">
        <f t="shared" si="7"/>
        <v>0</v>
      </c>
      <c r="CC212" s="99"/>
      <c r="CV212" s="99"/>
      <c r="CW212" s="63"/>
    </row>
    <row r="213" spans="1:101" ht="33.75" x14ac:dyDescent="0.15">
      <c r="A213" s="76">
        <v>174</v>
      </c>
      <c r="B213" s="74" t="s">
        <v>8206</v>
      </c>
      <c r="C213" s="74">
        <v>1013971736</v>
      </c>
      <c r="D213" s="78" t="str">
        <f t="shared" si="6"/>
        <v>https://portal.dnb.de/opac.htm?method=simpleSearch&amp;cqlMode=true&amp;query=idn%3D1013971736</v>
      </c>
      <c r="E213" s="74" t="s">
        <v>8207</v>
      </c>
      <c r="F213" s="74"/>
      <c r="G213" s="76" t="s">
        <v>8515</v>
      </c>
      <c r="H213" s="77" t="s">
        <v>5</v>
      </c>
      <c r="I213" s="76" t="s">
        <v>53</v>
      </c>
      <c r="J213" s="77" t="s">
        <v>89</v>
      </c>
      <c r="K213" s="77" t="s">
        <v>8669</v>
      </c>
      <c r="L213" s="76"/>
      <c r="M213" s="76" t="s">
        <v>34</v>
      </c>
      <c r="N213" s="76" t="s">
        <v>40</v>
      </c>
      <c r="O213" s="76">
        <v>1</v>
      </c>
      <c r="P213" s="76"/>
      <c r="Q213" s="76"/>
      <c r="R213" s="76"/>
      <c r="S213" s="76"/>
      <c r="BD213" s="99">
        <f t="shared" si="7"/>
        <v>0</v>
      </c>
      <c r="CC213" s="99"/>
      <c r="CV213" s="99"/>
      <c r="CW213" s="63"/>
    </row>
    <row r="214" spans="1:101" x14ac:dyDescent="0.15">
      <c r="A214" s="76">
        <v>175</v>
      </c>
      <c r="B214" s="74" t="s">
        <v>8208</v>
      </c>
      <c r="C214" s="74">
        <v>17838088</v>
      </c>
      <c r="D214" s="78" t="str">
        <f t="shared" si="6"/>
        <v>https://portal.dnb.de/opac.htm?method=simpleSearch&amp;cqlMode=true&amp;query=idn%3D17838088</v>
      </c>
      <c r="E214" s="74" t="s">
        <v>8207</v>
      </c>
      <c r="F214" s="74"/>
      <c r="G214" s="76"/>
      <c r="H214" s="77"/>
      <c r="I214" s="76"/>
      <c r="J214" s="77"/>
      <c r="K214" s="77"/>
      <c r="L214" s="76"/>
      <c r="M214" s="76"/>
      <c r="N214" s="76"/>
      <c r="O214" s="76"/>
      <c r="P214" s="76"/>
      <c r="Q214" s="76"/>
      <c r="R214" s="76"/>
      <c r="S214" s="76"/>
      <c r="BD214" s="99">
        <f t="shared" si="7"/>
        <v>0</v>
      </c>
      <c r="CC214" s="99"/>
      <c r="CV214" s="99"/>
      <c r="CW214" s="63"/>
    </row>
    <row r="215" spans="1:101" ht="22.5" x14ac:dyDescent="0.15">
      <c r="A215" s="76">
        <v>176</v>
      </c>
      <c r="B215" s="74" t="s">
        <v>8209</v>
      </c>
      <c r="C215" s="74" t="s">
        <v>8210</v>
      </c>
      <c r="D215" s="78" t="str">
        <f t="shared" si="6"/>
        <v>https://portal.dnb.de/opac.htm?method=simpleSearch&amp;cqlMode=true&amp;query=idn%3D102639242X</v>
      </c>
      <c r="E215" s="74" t="s">
        <v>9551</v>
      </c>
      <c r="F215" s="74"/>
      <c r="G215" s="76"/>
      <c r="H215" s="77" t="s">
        <v>49</v>
      </c>
      <c r="I215" s="76" t="s">
        <v>55</v>
      </c>
      <c r="J215" s="77" t="s">
        <v>8516</v>
      </c>
      <c r="K215" s="77" t="s">
        <v>84</v>
      </c>
      <c r="L215" s="76"/>
      <c r="M215" s="76" t="s">
        <v>36</v>
      </c>
      <c r="N215" s="76" t="s">
        <v>40</v>
      </c>
      <c r="O215" s="76">
        <v>0</v>
      </c>
      <c r="P215" s="76"/>
      <c r="Q215" s="76"/>
      <c r="R215" s="76"/>
      <c r="S215" s="76"/>
      <c r="Y215" s="95" t="s">
        <v>9865</v>
      </c>
      <c r="AC215" s="95" t="s">
        <v>9737</v>
      </c>
      <c r="AI215" s="95" t="s">
        <v>9725</v>
      </c>
      <c r="AW215" s="95">
        <v>110</v>
      </c>
      <c r="BC215" s="96" t="s">
        <v>9726</v>
      </c>
      <c r="BD215" s="99">
        <f t="shared" si="7"/>
        <v>2</v>
      </c>
      <c r="BP215" s="69" t="s">
        <v>8541</v>
      </c>
      <c r="BR215" s="95" t="s">
        <v>8541</v>
      </c>
      <c r="BT215" s="95" t="s">
        <v>9775</v>
      </c>
      <c r="CC215" s="99">
        <v>2</v>
      </c>
      <c r="CD215" s="90" t="s">
        <v>10336</v>
      </c>
      <c r="CV215" s="99"/>
      <c r="CW215" s="63"/>
    </row>
    <row r="216" spans="1:101" x14ac:dyDescent="0.15">
      <c r="A216" s="76">
        <v>177</v>
      </c>
      <c r="B216" s="74" t="s">
        <v>8211</v>
      </c>
      <c r="C216" s="74">
        <v>1046277545</v>
      </c>
      <c r="D216" s="78" t="str">
        <f t="shared" si="6"/>
        <v>https://portal.dnb.de/opac.htm?method=simpleSearch&amp;cqlMode=true&amp;query=idn%3D1046277545</v>
      </c>
      <c r="E216" s="74" t="s">
        <v>9552</v>
      </c>
      <c r="F216" s="74"/>
      <c r="G216" s="76"/>
      <c r="H216" s="77" t="s">
        <v>49</v>
      </c>
      <c r="I216" s="76" t="s">
        <v>55</v>
      </c>
      <c r="J216" s="77" t="s">
        <v>8516</v>
      </c>
      <c r="K216" s="77" t="s">
        <v>84</v>
      </c>
      <c r="L216" s="76"/>
      <c r="M216" s="76" t="s">
        <v>36</v>
      </c>
      <c r="N216" s="76" t="s">
        <v>40</v>
      </c>
      <c r="O216" s="76">
        <v>0</v>
      </c>
      <c r="P216" s="76"/>
      <c r="Q216" s="76"/>
      <c r="R216" s="76"/>
      <c r="S216" s="76"/>
      <c r="BD216" s="99">
        <f t="shared" si="7"/>
        <v>0</v>
      </c>
      <c r="CC216" s="99"/>
      <c r="CV216" s="99"/>
      <c r="CW216" s="63"/>
    </row>
    <row r="217" spans="1:101" x14ac:dyDescent="0.15">
      <c r="A217" s="76">
        <v>178</v>
      </c>
      <c r="B217" s="74" t="s">
        <v>8212</v>
      </c>
      <c r="C217" s="74">
        <v>1046715836</v>
      </c>
      <c r="D217" s="78" t="str">
        <f t="shared" si="6"/>
        <v>https://portal.dnb.de/opac.htm?method=simpleSearch&amp;cqlMode=true&amp;query=idn%3D1046715836</v>
      </c>
      <c r="E217" s="74" t="s">
        <v>9553</v>
      </c>
      <c r="F217" s="74"/>
      <c r="G217" s="76"/>
      <c r="H217" s="77" t="s">
        <v>49</v>
      </c>
      <c r="I217" s="76" t="s">
        <v>55</v>
      </c>
      <c r="J217" s="77" t="s">
        <v>8516</v>
      </c>
      <c r="K217" s="77" t="s">
        <v>8577</v>
      </c>
      <c r="L217" s="76"/>
      <c r="M217" s="76"/>
      <c r="N217" s="76" t="s">
        <v>8660</v>
      </c>
      <c r="O217" s="76">
        <v>0</v>
      </c>
      <c r="P217" s="76"/>
      <c r="Q217" s="76"/>
      <c r="R217" s="76"/>
      <c r="S217" s="76"/>
      <c r="BD217" s="99">
        <f t="shared" si="7"/>
        <v>0</v>
      </c>
      <c r="CC217" s="99"/>
      <c r="CV217" s="99"/>
      <c r="CW217" s="63"/>
    </row>
    <row r="218" spans="1:101" x14ac:dyDescent="0.15">
      <c r="A218" s="76">
        <v>179</v>
      </c>
      <c r="B218" s="74" t="s">
        <v>8213</v>
      </c>
      <c r="C218" s="74" t="s">
        <v>8214</v>
      </c>
      <c r="D218" s="78" t="str">
        <f t="shared" si="6"/>
        <v>https://portal.dnb.de/opac.htm?method=simpleSearch&amp;cqlMode=true&amp;query=idn%3D103529155X</v>
      </c>
      <c r="E218" s="74" t="s">
        <v>8215</v>
      </c>
      <c r="F218" s="74"/>
      <c r="G218" s="76"/>
      <c r="H218" s="77"/>
      <c r="I218" s="76"/>
      <c r="J218" s="77"/>
      <c r="K218" s="77"/>
      <c r="L218" s="76"/>
      <c r="M218" s="76"/>
      <c r="N218" s="76"/>
      <c r="O218" s="76"/>
      <c r="P218" s="76"/>
      <c r="Q218" s="76"/>
      <c r="R218" s="76"/>
      <c r="S218" s="76"/>
      <c r="BD218" s="99">
        <f t="shared" si="7"/>
        <v>0</v>
      </c>
      <c r="CC218" s="99"/>
      <c r="CV218" s="99"/>
      <c r="CW218" s="63"/>
    </row>
    <row r="219" spans="1:101" x14ac:dyDescent="0.15">
      <c r="A219" s="76">
        <v>180</v>
      </c>
      <c r="B219" s="74" t="s">
        <v>8216</v>
      </c>
      <c r="C219" s="74">
        <v>1035136058</v>
      </c>
      <c r="D219" s="78" t="str">
        <f t="shared" si="6"/>
        <v>https://portal.dnb.de/opac.htm?method=simpleSearch&amp;cqlMode=true&amp;query=idn%3D1035136058</v>
      </c>
      <c r="E219" s="74" t="s">
        <v>8671</v>
      </c>
      <c r="F219" s="74"/>
      <c r="G219" s="76" t="s">
        <v>8515</v>
      </c>
      <c r="H219" s="77" t="s">
        <v>5</v>
      </c>
      <c r="I219" s="76" t="s">
        <v>53</v>
      </c>
      <c r="J219" s="77" t="s">
        <v>8516</v>
      </c>
      <c r="K219" s="77" t="s">
        <v>8520</v>
      </c>
      <c r="L219" s="76"/>
      <c r="M219" s="76" t="s">
        <v>36</v>
      </c>
      <c r="N219" s="76" t="s">
        <v>40</v>
      </c>
      <c r="O219" s="76"/>
      <c r="P219" s="76"/>
      <c r="Q219" s="76"/>
      <c r="R219" s="76"/>
      <c r="S219" s="76"/>
      <c r="BD219" s="99">
        <f t="shared" si="7"/>
        <v>0</v>
      </c>
      <c r="CC219" s="99"/>
      <c r="CV219" s="99"/>
      <c r="CW219" s="63"/>
    </row>
    <row r="220" spans="1:101" ht="22.5" x14ac:dyDescent="0.15">
      <c r="A220" s="76">
        <v>181</v>
      </c>
      <c r="B220" s="74" t="s">
        <v>8217</v>
      </c>
      <c r="C220" s="74">
        <v>1034945475</v>
      </c>
      <c r="D220" s="78" t="str">
        <f t="shared" si="6"/>
        <v>https://portal.dnb.de/opac.htm?method=simpleSearch&amp;cqlMode=true&amp;query=idn%3D1034945475</v>
      </c>
      <c r="E220" s="74" t="s">
        <v>8670</v>
      </c>
      <c r="F220" s="74"/>
      <c r="G220" s="76" t="s">
        <v>8515</v>
      </c>
      <c r="H220" s="77" t="s">
        <v>5</v>
      </c>
      <c r="I220" s="76" t="s">
        <v>53</v>
      </c>
      <c r="J220" s="77" t="s">
        <v>8516</v>
      </c>
      <c r="K220" s="77" t="s">
        <v>8647</v>
      </c>
      <c r="L220" s="76"/>
      <c r="M220" s="76" t="s">
        <v>36</v>
      </c>
      <c r="N220" s="76" t="s">
        <v>40</v>
      </c>
      <c r="O220" s="76">
        <v>0</v>
      </c>
      <c r="P220" s="76"/>
      <c r="Q220" s="76"/>
      <c r="R220" s="76"/>
      <c r="S220" s="76"/>
      <c r="BD220" s="99">
        <f t="shared" si="7"/>
        <v>0</v>
      </c>
      <c r="CC220" s="99"/>
      <c r="CV220" s="99"/>
      <c r="CW220" s="63"/>
    </row>
    <row r="221" spans="1:101" x14ac:dyDescent="0.15">
      <c r="A221" s="76">
        <v>182</v>
      </c>
      <c r="B221" s="74" t="s">
        <v>8218</v>
      </c>
      <c r="C221" s="74">
        <v>1035291576</v>
      </c>
      <c r="D221" s="78" t="str">
        <f t="shared" si="6"/>
        <v>https://portal.dnb.de/opac.htm?method=simpleSearch&amp;cqlMode=true&amp;query=idn%3D1035291576</v>
      </c>
      <c r="E221" s="74" t="s">
        <v>8215</v>
      </c>
      <c r="F221" s="74"/>
      <c r="G221" s="76"/>
      <c r="H221" s="77"/>
      <c r="I221" s="76"/>
      <c r="J221" s="77"/>
      <c r="K221" s="77"/>
      <c r="L221" s="76"/>
      <c r="M221" s="76"/>
      <c r="N221" s="76"/>
      <c r="O221" s="76"/>
      <c r="P221" s="76"/>
      <c r="Q221" s="76"/>
      <c r="R221" s="76"/>
      <c r="S221" s="76"/>
      <c r="BD221" s="99">
        <f t="shared" si="7"/>
        <v>0</v>
      </c>
      <c r="CC221" s="99"/>
      <c r="CV221" s="99"/>
      <c r="CW221" s="63"/>
    </row>
    <row r="222" spans="1:101" ht="22.5" x14ac:dyDescent="0.15">
      <c r="A222" s="76">
        <v>183</v>
      </c>
      <c r="B222" s="74" t="s">
        <v>8221</v>
      </c>
      <c r="C222" s="74">
        <v>1050054415</v>
      </c>
      <c r="D222" s="78" t="str">
        <f t="shared" si="6"/>
        <v>https://portal.dnb.de/opac.htm?method=simpleSearch&amp;cqlMode=true&amp;query=idn%3D1050054415</v>
      </c>
      <c r="E222" s="74" t="s">
        <v>8222</v>
      </c>
      <c r="F222" s="74"/>
      <c r="G222" s="76"/>
      <c r="H222" s="77" t="s">
        <v>5</v>
      </c>
      <c r="I222" s="76" t="s">
        <v>53</v>
      </c>
      <c r="J222" s="77" t="s">
        <v>8516</v>
      </c>
      <c r="K222" s="77" t="s">
        <v>8647</v>
      </c>
      <c r="L222" s="76"/>
      <c r="M222" s="76" t="s">
        <v>36</v>
      </c>
      <c r="N222" s="76" t="s">
        <v>40</v>
      </c>
      <c r="O222" s="76">
        <v>1</v>
      </c>
      <c r="P222" s="76"/>
      <c r="Q222" s="76"/>
      <c r="R222" s="76"/>
      <c r="S222" s="76"/>
      <c r="BD222" s="99">
        <f t="shared" si="7"/>
        <v>0</v>
      </c>
      <c r="CC222" s="99"/>
      <c r="CV222" s="99"/>
      <c r="CW222" s="63"/>
    </row>
    <row r="223" spans="1:101" x14ac:dyDescent="0.15">
      <c r="A223" s="76">
        <v>184</v>
      </c>
      <c r="B223" s="74" t="s">
        <v>8223</v>
      </c>
      <c r="C223" s="74">
        <v>1070487228</v>
      </c>
      <c r="D223" s="78" t="str">
        <f t="shared" si="6"/>
        <v>https://portal.dnb.de/opac.htm?method=simpleSearch&amp;cqlMode=true&amp;query=idn%3D1070487228</v>
      </c>
      <c r="E223" s="74" t="s">
        <v>8224</v>
      </c>
      <c r="F223" s="74"/>
      <c r="G223" s="76" t="s">
        <v>8515</v>
      </c>
      <c r="H223" s="77" t="s">
        <v>49</v>
      </c>
      <c r="I223" s="76" t="s">
        <v>53</v>
      </c>
      <c r="J223" s="77" t="s">
        <v>8516</v>
      </c>
      <c r="K223" s="77" t="s">
        <v>8554</v>
      </c>
      <c r="L223" s="76"/>
      <c r="M223" s="76" t="s">
        <v>36</v>
      </c>
      <c r="N223" s="76" t="s">
        <v>40</v>
      </c>
      <c r="O223" s="76">
        <v>1</v>
      </c>
      <c r="P223" s="76"/>
      <c r="Q223" s="76"/>
      <c r="R223" s="76"/>
      <c r="S223" s="76"/>
      <c r="BD223" s="99">
        <f t="shared" si="7"/>
        <v>0</v>
      </c>
      <c r="CC223" s="99"/>
      <c r="CV223" s="99"/>
      <c r="CW223" s="63"/>
    </row>
    <row r="224" spans="1:101" x14ac:dyDescent="0.15">
      <c r="A224" s="76">
        <v>185</v>
      </c>
      <c r="B224" s="74" t="s">
        <v>8225</v>
      </c>
      <c r="C224" s="74">
        <v>1073555224</v>
      </c>
      <c r="D224" s="78" t="str">
        <f t="shared" si="6"/>
        <v>https://portal.dnb.de/opac.htm?method=simpleSearch&amp;cqlMode=true&amp;query=idn%3D1073555224</v>
      </c>
      <c r="E224" s="74" t="s">
        <v>8226</v>
      </c>
      <c r="F224" s="74"/>
      <c r="G224" s="76"/>
      <c r="H224" s="77" t="s">
        <v>47</v>
      </c>
      <c r="I224" s="76" t="s">
        <v>53</v>
      </c>
      <c r="J224" s="77" t="s">
        <v>8516</v>
      </c>
      <c r="K224" s="77"/>
      <c r="L224" s="76"/>
      <c r="M224" s="76"/>
      <c r="N224" s="76"/>
      <c r="O224" s="76">
        <v>0</v>
      </c>
      <c r="P224" s="76"/>
      <c r="Q224" s="76"/>
      <c r="R224" s="76"/>
      <c r="S224" s="76"/>
      <c r="BD224" s="99">
        <f t="shared" si="7"/>
        <v>0</v>
      </c>
      <c r="CC224" s="99"/>
      <c r="CV224" s="99"/>
      <c r="CW224" s="63"/>
    </row>
    <row r="225" spans="1:101" x14ac:dyDescent="0.15">
      <c r="A225" s="76">
        <v>186</v>
      </c>
      <c r="B225" s="74" t="s">
        <v>8233</v>
      </c>
      <c r="C225" s="74">
        <v>1171497172</v>
      </c>
      <c r="D225" s="78" t="str">
        <f t="shared" si="6"/>
        <v>https://portal.dnb.de/opac.htm?method=simpleSearch&amp;cqlMode=true&amp;query=idn%3D1171497172</v>
      </c>
      <c r="E225" s="74" t="s">
        <v>8234</v>
      </c>
      <c r="F225" s="74"/>
      <c r="G225" s="76" t="s">
        <v>8515</v>
      </c>
      <c r="H225" s="77" t="s">
        <v>4</v>
      </c>
      <c r="I225" s="76" t="s">
        <v>53</v>
      </c>
      <c r="J225" s="77" t="s">
        <v>8516</v>
      </c>
      <c r="K225" s="77" t="s">
        <v>84</v>
      </c>
      <c r="L225" s="76"/>
      <c r="M225" s="76" t="s">
        <v>36</v>
      </c>
      <c r="N225" s="76" t="s">
        <v>40</v>
      </c>
      <c r="O225" s="76">
        <v>0</v>
      </c>
      <c r="P225" s="76"/>
      <c r="Q225" s="76"/>
      <c r="R225" s="76"/>
      <c r="S225" s="76"/>
      <c r="BD225" s="99">
        <f t="shared" si="7"/>
        <v>0</v>
      </c>
      <c r="CC225" s="99"/>
      <c r="CV225" s="99"/>
      <c r="CW225" s="63"/>
    </row>
    <row r="226" spans="1:101" ht="22.5" x14ac:dyDescent="0.15">
      <c r="A226" s="76">
        <v>187</v>
      </c>
      <c r="B226" s="74" t="s">
        <v>8235</v>
      </c>
      <c r="C226" s="74">
        <v>1175894583</v>
      </c>
      <c r="D226" s="78" t="str">
        <f t="shared" si="6"/>
        <v>https://portal.dnb.de/opac.htm?method=simpleSearch&amp;cqlMode=true&amp;query=idn%3D1175894583</v>
      </c>
      <c r="E226" s="74" t="s">
        <v>8236</v>
      </c>
      <c r="F226" s="74"/>
      <c r="G226" s="76"/>
      <c r="H226" s="77"/>
      <c r="I226" s="76" t="s">
        <v>55</v>
      </c>
      <c r="J226" s="77"/>
      <c r="K226" s="77"/>
      <c r="L226" s="76"/>
      <c r="M226" s="76"/>
      <c r="N226" s="76"/>
      <c r="O226" s="76"/>
      <c r="P226" s="76"/>
      <c r="Q226" s="76"/>
      <c r="R226" s="76"/>
      <c r="S226" s="76"/>
      <c r="Y226" s="95" t="s">
        <v>9723</v>
      </c>
      <c r="AB226" s="95" t="s">
        <v>8541</v>
      </c>
      <c r="AC226" s="95" t="s">
        <v>9724</v>
      </c>
      <c r="AI226" s="95" t="s">
        <v>9725</v>
      </c>
      <c r="AP226" s="95" t="s">
        <v>8541</v>
      </c>
      <c r="AQ226" s="96" t="s">
        <v>9777</v>
      </c>
      <c r="AW226" s="95" t="s">
        <v>9764</v>
      </c>
      <c r="BC226" s="96" t="s">
        <v>9734</v>
      </c>
      <c r="BD226" s="99">
        <f t="shared" si="7"/>
        <v>0</v>
      </c>
      <c r="BI226" s="95" t="s">
        <v>8541</v>
      </c>
      <c r="CC226" s="99"/>
      <c r="CV226" s="99"/>
      <c r="CW226" s="63"/>
    </row>
    <row r="227" spans="1:101" x14ac:dyDescent="0.15">
      <c r="A227" s="76">
        <v>188</v>
      </c>
      <c r="B227" s="74" t="s">
        <v>8237</v>
      </c>
      <c r="C227" s="74">
        <v>1208512838</v>
      </c>
      <c r="D227" s="78" t="str">
        <f t="shared" si="6"/>
        <v>https://portal.dnb.de/opac.htm?method=simpleSearch&amp;cqlMode=true&amp;query=idn%3D1208512838</v>
      </c>
      <c r="E227" s="74" t="s">
        <v>8238</v>
      </c>
      <c r="F227" s="74"/>
      <c r="G227" s="76"/>
      <c r="H227" s="77"/>
      <c r="I227" s="76"/>
      <c r="J227" s="77"/>
      <c r="K227" s="77"/>
      <c r="L227" s="76"/>
      <c r="M227" s="76"/>
      <c r="N227" s="76"/>
      <c r="O227" s="76"/>
      <c r="P227" s="76"/>
      <c r="Q227" s="76"/>
      <c r="R227" s="76"/>
      <c r="S227" s="76"/>
      <c r="BD227" s="99">
        <f t="shared" si="7"/>
        <v>0</v>
      </c>
      <c r="CC227" s="99"/>
      <c r="CV227" s="99"/>
      <c r="CW227" s="63"/>
    </row>
    <row r="228" spans="1:101" ht="22.5" x14ac:dyDescent="0.15">
      <c r="A228" s="76">
        <v>189</v>
      </c>
      <c r="B228" s="74" t="s">
        <v>7891</v>
      </c>
      <c r="C228" s="74">
        <v>994054084</v>
      </c>
      <c r="D228" s="78" t="str">
        <f t="shared" si="6"/>
        <v>https://portal.dnb.de/opac.htm?method=simpleSearch&amp;cqlMode=true&amp;query=idn%3D994054084</v>
      </c>
      <c r="E228" s="74" t="s">
        <v>7892</v>
      </c>
      <c r="F228" s="74"/>
      <c r="G228" s="76"/>
      <c r="H228" s="77" t="s">
        <v>48</v>
      </c>
      <c r="I228" s="76" t="s">
        <v>53</v>
      </c>
      <c r="J228" s="77" t="s">
        <v>8516</v>
      </c>
      <c r="K228" s="77" t="s">
        <v>8614</v>
      </c>
      <c r="L228" s="76"/>
      <c r="M228" s="76"/>
      <c r="N228" s="76"/>
      <c r="O228" s="76">
        <v>1</v>
      </c>
      <c r="P228" s="76"/>
      <c r="Q228" s="76"/>
      <c r="R228" s="76"/>
      <c r="S228" s="76"/>
      <c r="BD228" s="99">
        <f t="shared" si="7"/>
        <v>0</v>
      </c>
      <c r="CC228" s="99"/>
      <c r="CV228" s="99"/>
      <c r="CW228" s="63"/>
    </row>
    <row r="229" spans="1:101" x14ac:dyDescent="0.15">
      <c r="A229" s="76">
        <v>190</v>
      </c>
      <c r="B229" s="74" t="s">
        <v>7893</v>
      </c>
      <c r="C229" s="74">
        <v>999348744</v>
      </c>
      <c r="D229" s="78" t="str">
        <f t="shared" si="6"/>
        <v>https://portal.dnb.de/opac.htm?method=simpleSearch&amp;cqlMode=true&amp;query=idn%3D999348744</v>
      </c>
      <c r="E229" s="74" t="s">
        <v>7894</v>
      </c>
      <c r="F229" s="74"/>
      <c r="G229" s="76" t="s">
        <v>8541</v>
      </c>
      <c r="H229" s="77" t="s">
        <v>5</v>
      </c>
      <c r="I229" s="76" t="s">
        <v>53</v>
      </c>
      <c r="J229" s="77" t="s">
        <v>8516</v>
      </c>
      <c r="K229" s="77" t="s">
        <v>72</v>
      </c>
      <c r="L229" s="76"/>
      <c r="M229" s="76"/>
      <c r="N229" s="76" t="s">
        <v>8523</v>
      </c>
      <c r="O229" s="76">
        <v>0</v>
      </c>
      <c r="P229" s="76"/>
      <c r="Q229" s="76"/>
      <c r="R229" s="76"/>
      <c r="S229" s="76"/>
      <c r="BD229" s="99">
        <f t="shared" si="7"/>
        <v>0</v>
      </c>
      <c r="CC229" s="99"/>
      <c r="CV229" s="99"/>
      <c r="CW229" s="63"/>
    </row>
    <row r="230" spans="1:101" x14ac:dyDescent="0.15">
      <c r="A230" s="76">
        <v>191</v>
      </c>
      <c r="B230" s="74" t="s">
        <v>7895</v>
      </c>
      <c r="C230" s="74">
        <v>999348949</v>
      </c>
      <c r="D230" s="78" t="str">
        <f t="shared" si="6"/>
        <v>https://portal.dnb.de/opac.htm?method=simpleSearch&amp;cqlMode=true&amp;query=idn%3D999348949</v>
      </c>
      <c r="E230" s="74" t="s">
        <v>7894</v>
      </c>
      <c r="F230" s="74"/>
      <c r="G230" s="76"/>
      <c r="H230" s="77"/>
      <c r="I230" s="76"/>
      <c r="J230" s="77"/>
      <c r="K230" s="77"/>
      <c r="L230" s="76"/>
      <c r="M230" s="76"/>
      <c r="N230" s="76"/>
      <c r="O230" s="76"/>
      <c r="P230" s="76"/>
      <c r="Q230" s="76"/>
      <c r="R230" s="76"/>
      <c r="S230" s="76"/>
      <c r="BD230" s="99">
        <f t="shared" si="7"/>
        <v>0</v>
      </c>
      <c r="CC230" s="99"/>
      <c r="CV230" s="99"/>
      <c r="CW230" s="63"/>
    </row>
    <row r="231" spans="1:101" x14ac:dyDescent="0.15">
      <c r="A231" s="76">
        <v>192</v>
      </c>
      <c r="B231" s="74" t="s">
        <v>7896</v>
      </c>
      <c r="C231" s="74">
        <v>1000948544</v>
      </c>
      <c r="D231" s="78" t="str">
        <f t="shared" si="6"/>
        <v>https://portal.dnb.de/opac.htm?method=simpleSearch&amp;cqlMode=true&amp;query=idn%3D1000948544</v>
      </c>
      <c r="E231" s="74" t="s">
        <v>7897</v>
      </c>
      <c r="F231" s="74"/>
      <c r="G231" s="76"/>
      <c r="H231" s="77" t="s">
        <v>5</v>
      </c>
      <c r="I231" s="76" t="s">
        <v>53</v>
      </c>
      <c r="J231" s="77" t="s">
        <v>8516</v>
      </c>
      <c r="K231" s="77" t="s">
        <v>72</v>
      </c>
      <c r="L231" s="76"/>
      <c r="M231" s="76"/>
      <c r="N231" s="76" t="s">
        <v>8523</v>
      </c>
      <c r="O231" s="76">
        <v>0</v>
      </c>
      <c r="P231" s="76"/>
      <c r="Q231" s="76"/>
      <c r="R231" s="76"/>
      <c r="S231" s="76"/>
      <c r="BD231" s="99">
        <f t="shared" si="7"/>
        <v>0</v>
      </c>
      <c r="CC231" s="99"/>
      <c r="CV231" s="99"/>
      <c r="CW231" s="63"/>
    </row>
    <row r="232" spans="1:101" ht="22.5" x14ac:dyDescent="0.15">
      <c r="A232" s="76">
        <v>193</v>
      </c>
      <c r="B232" s="74" t="s">
        <v>7898</v>
      </c>
      <c r="C232" s="74">
        <v>995354545</v>
      </c>
      <c r="D232" s="78" t="str">
        <f t="shared" si="6"/>
        <v>https://portal.dnb.de/opac.htm?method=simpleSearch&amp;cqlMode=true&amp;query=idn%3D995354545</v>
      </c>
      <c r="E232" s="74" t="s">
        <v>7899</v>
      </c>
      <c r="F232" s="74"/>
      <c r="G232" s="76" t="s">
        <v>8515</v>
      </c>
      <c r="H232" s="77" t="s">
        <v>48</v>
      </c>
      <c r="I232" s="76" t="s">
        <v>53</v>
      </c>
      <c r="J232" s="77" t="s">
        <v>58</v>
      </c>
      <c r="K232" s="77" t="s">
        <v>8564</v>
      </c>
      <c r="L232" s="76"/>
      <c r="M232" s="76"/>
      <c r="N232" s="76" t="s">
        <v>8523</v>
      </c>
      <c r="O232" s="76">
        <v>0</v>
      </c>
      <c r="P232" s="76"/>
      <c r="Q232" s="76"/>
      <c r="R232" s="76"/>
      <c r="S232" s="76"/>
      <c r="BD232" s="99">
        <f t="shared" si="7"/>
        <v>0</v>
      </c>
      <c r="CC232" s="99"/>
      <c r="CV232" s="99"/>
      <c r="CW232" s="63"/>
    </row>
    <row r="233" spans="1:101" ht="22.5" x14ac:dyDescent="0.15">
      <c r="A233" s="76">
        <v>194</v>
      </c>
      <c r="B233" s="74" t="s">
        <v>7900</v>
      </c>
      <c r="C233" s="74">
        <v>1000968073</v>
      </c>
      <c r="D233" s="78" t="str">
        <f t="shared" si="6"/>
        <v>https://portal.dnb.de/opac.htm?method=simpleSearch&amp;cqlMode=true&amp;query=idn%3D1000968073</v>
      </c>
      <c r="E233" s="74" t="s">
        <v>7901</v>
      </c>
      <c r="F233" s="74"/>
      <c r="G233" s="76" t="s">
        <v>8515</v>
      </c>
      <c r="H233" s="77" t="s">
        <v>18</v>
      </c>
      <c r="I233" s="76" t="s">
        <v>53</v>
      </c>
      <c r="J233" s="77" t="s">
        <v>58</v>
      </c>
      <c r="K233" s="77" t="s">
        <v>84</v>
      </c>
      <c r="L233" s="76"/>
      <c r="M233" s="76"/>
      <c r="N233" s="76" t="s">
        <v>8523</v>
      </c>
      <c r="O233" s="76">
        <v>0</v>
      </c>
      <c r="P233" s="76"/>
      <c r="Q233" s="76"/>
      <c r="R233" s="76"/>
      <c r="S233" s="76"/>
      <c r="X233" s="95" t="s">
        <v>8541</v>
      </c>
      <c r="Y233" s="95" t="s">
        <v>9725</v>
      </c>
      <c r="AC233" s="95" t="s">
        <v>9739</v>
      </c>
      <c r="AI233" s="95" t="s">
        <v>9725</v>
      </c>
      <c r="AW233" s="95">
        <v>45</v>
      </c>
      <c r="BC233" s="96" t="s">
        <v>9734</v>
      </c>
      <c r="BD233" s="99">
        <f t="shared" si="7"/>
        <v>0</v>
      </c>
      <c r="BL233" s="70" t="s">
        <v>10015</v>
      </c>
      <c r="CC233" s="99"/>
      <c r="CV233" s="99"/>
      <c r="CW233" s="63"/>
    </row>
    <row r="234" spans="1:101" ht="22.5" x14ac:dyDescent="0.15">
      <c r="A234" s="76">
        <v>195</v>
      </c>
      <c r="B234" s="74" t="s">
        <v>7902</v>
      </c>
      <c r="C234" s="74" t="s">
        <v>7903</v>
      </c>
      <c r="D234" s="78" t="str">
        <f t="shared" si="6"/>
        <v>https://portal.dnb.de/opac.htm?method=simpleSearch&amp;cqlMode=true&amp;query=idn%3D99740048X</v>
      </c>
      <c r="E234" s="74" t="s">
        <v>7904</v>
      </c>
      <c r="F234" s="74"/>
      <c r="G234" s="76" t="s">
        <v>8515</v>
      </c>
      <c r="H234" s="77" t="s">
        <v>48</v>
      </c>
      <c r="I234" s="76" t="s">
        <v>54</v>
      </c>
      <c r="J234" s="77" t="s">
        <v>58</v>
      </c>
      <c r="K234" s="77" t="s">
        <v>8564</v>
      </c>
      <c r="L234" s="76"/>
      <c r="M234" s="76"/>
      <c r="N234" s="76" t="s">
        <v>8523</v>
      </c>
      <c r="O234" s="76">
        <v>0</v>
      </c>
      <c r="P234" s="76"/>
      <c r="Q234" s="76"/>
      <c r="R234" s="76"/>
      <c r="S234" s="76"/>
      <c r="BD234" s="99">
        <f t="shared" si="7"/>
        <v>0</v>
      </c>
      <c r="CC234" s="99"/>
      <c r="CV234" s="99"/>
      <c r="CW234" s="63"/>
    </row>
    <row r="235" spans="1:101" x14ac:dyDescent="0.15">
      <c r="A235" s="76">
        <v>196</v>
      </c>
      <c r="B235" s="74" t="s">
        <v>7905</v>
      </c>
      <c r="C235" s="74">
        <v>998438898</v>
      </c>
      <c r="D235" s="78" t="str">
        <f t="shared" si="6"/>
        <v>https://portal.dnb.de/opac.htm?method=simpleSearch&amp;cqlMode=true&amp;query=idn%3D998438898</v>
      </c>
      <c r="E235" s="74" t="s">
        <v>8579</v>
      </c>
      <c r="F235" s="74"/>
      <c r="G235" s="76"/>
      <c r="H235" s="77" t="s">
        <v>49</v>
      </c>
      <c r="I235" s="76" t="s">
        <v>53</v>
      </c>
      <c r="J235" s="77" t="s">
        <v>8516</v>
      </c>
      <c r="K235" s="77" t="s">
        <v>8557</v>
      </c>
      <c r="L235" s="76"/>
      <c r="M235" s="76"/>
      <c r="N235" s="76"/>
      <c r="O235" s="76">
        <v>0</v>
      </c>
      <c r="P235" s="76"/>
      <c r="Q235" s="76"/>
      <c r="R235" s="76"/>
      <c r="S235" s="76"/>
      <c r="BD235" s="99">
        <f t="shared" si="7"/>
        <v>0</v>
      </c>
      <c r="CC235" s="99"/>
      <c r="CV235" s="99"/>
      <c r="CW235" s="63"/>
    </row>
    <row r="236" spans="1:101" x14ac:dyDescent="0.15">
      <c r="A236" s="76">
        <v>197</v>
      </c>
      <c r="B236" s="74" t="s">
        <v>7906</v>
      </c>
      <c r="C236" s="74">
        <v>998438863</v>
      </c>
      <c r="D236" s="78" t="str">
        <f t="shared" si="6"/>
        <v>https://portal.dnb.de/opac.htm?method=simpleSearch&amp;cqlMode=true&amp;query=idn%3D998438863</v>
      </c>
      <c r="E236" s="74" t="s">
        <v>8578</v>
      </c>
      <c r="F236" s="74"/>
      <c r="G236" s="76"/>
      <c r="H236" s="77" t="s">
        <v>49</v>
      </c>
      <c r="I236" s="76" t="s">
        <v>53</v>
      </c>
      <c r="J236" s="77" t="s">
        <v>8516</v>
      </c>
      <c r="K236" s="77" t="s">
        <v>8557</v>
      </c>
      <c r="L236" s="76"/>
      <c r="M236" s="76"/>
      <c r="N236" s="76"/>
      <c r="O236" s="76">
        <v>0</v>
      </c>
      <c r="P236" s="76"/>
      <c r="Q236" s="76"/>
      <c r="R236" s="76"/>
      <c r="S236" s="76"/>
      <c r="BD236" s="99">
        <f t="shared" si="7"/>
        <v>0</v>
      </c>
      <c r="CC236" s="99"/>
      <c r="CV236" s="99"/>
      <c r="CW236" s="63"/>
    </row>
    <row r="237" spans="1:101" x14ac:dyDescent="0.15">
      <c r="A237" s="76">
        <v>198</v>
      </c>
      <c r="B237" s="74" t="s">
        <v>7907</v>
      </c>
      <c r="C237" s="74">
        <v>1000352153</v>
      </c>
      <c r="D237" s="78" t="str">
        <f t="shared" si="6"/>
        <v>https://portal.dnb.de/opac.htm?method=simpleSearch&amp;cqlMode=true&amp;query=idn%3D1000352153</v>
      </c>
      <c r="E237" s="74" t="s">
        <v>7908</v>
      </c>
      <c r="F237" s="74"/>
      <c r="G237" s="76"/>
      <c r="H237" s="77"/>
      <c r="I237" s="76"/>
      <c r="J237" s="77"/>
      <c r="K237" s="77"/>
      <c r="L237" s="76"/>
      <c r="M237" s="76"/>
      <c r="N237" s="76"/>
      <c r="O237" s="76"/>
      <c r="P237" s="76"/>
      <c r="Q237" s="76"/>
      <c r="R237" s="76"/>
      <c r="S237" s="76"/>
      <c r="BD237" s="99">
        <f t="shared" si="7"/>
        <v>0</v>
      </c>
      <c r="CC237" s="99"/>
      <c r="CV237" s="99"/>
      <c r="CW237" s="63"/>
    </row>
    <row r="238" spans="1:101" x14ac:dyDescent="0.15">
      <c r="A238" s="76">
        <v>199</v>
      </c>
      <c r="B238" s="74" t="s">
        <v>7911</v>
      </c>
      <c r="C238" s="74">
        <v>1001648382</v>
      </c>
      <c r="D238" s="78" t="str">
        <f t="shared" si="6"/>
        <v>https://portal.dnb.de/opac.htm?method=simpleSearch&amp;cqlMode=true&amp;query=idn%3D1001648382</v>
      </c>
      <c r="E238" s="74" t="s">
        <v>7912</v>
      </c>
      <c r="F238" s="74"/>
      <c r="G238" s="76"/>
      <c r="H238" s="77"/>
      <c r="I238" s="76"/>
      <c r="J238" s="77"/>
      <c r="K238" s="77"/>
      <c r="L238" s="76"/>
      <c r="M238" s="76"/>
      <c r="N238" s="76"/>
      <c r="O238" s="76"/>
      <c r="P238" s="76"/>
      <c r="Q238" s="76"/>
      <c r="R238" s="76"/>
      <c r="S238" s="76"/>
      <c r="BD238" s="99">
        <f t="shared" si="7"/>
        <v>0</v>
      </c>
      <c r="CC238" s="99"/>
      <c r="CV238" s="99"/>
      <c r="CW238" s="63"/>
    </row>
    <row r="239" spans="1:101" x14ac:dyDescent="0.15">
      <c r="A239" s="76">
        <v>200</v>
      </c>
      <c r="B239" s="74" t="s">
        <v>7913</v>
      </c>
      <c r="C239" s="74">
        <v>1000188108</v>
      </c>
      <c r="D239" s="78" t="str">
        <f t="shared" si="6"/>
        <v>https://portal.dnb.de/opac.htm?method=simpleSearch&amp;cqlMode=true&amp;query=idn%3D1000188108</v>
      </c>
      <c r="E239" s="74" t="s">
        <v>7912</v>
      </c>
      <c r="F239" s="74"/>
      <c r="G239" s="76"/>
      <c r="H239" s="77"/>
      <c r="I239" s="76"/>
      <c r="J239" s="77"/>
      <c r="K239" s="77"/>
      <c r="L239" s="76"/>
      <c r="M239" s="76"/>
      <c r="N239" s="76"/>
      <c r="O239" s="76"/>
      <c r="P239" s="76"/>
      <c r="Q239" s="76"/>
      <c r="R239" s="76"/>
      <c r="S239" s="76"/>
      <c r="BD239" s="99">
        <f t="shared" si="7"/>
        <v>0</v>
      </c>
      <c r="CC239" s="99"/>
      <c r="CV239" s="99"/>
      <c r="CW239" s="63"/>
    </row>
    <row r="240" spans="1:101" x14ac:dyDescent="0.15">
      <c r="A240" s="76">
        <v>201</v>
      </c>
      <c r="B240" s="74" t="s">
        <v>7914</v>
      </c>
      <c r="C240" s="74">
        <v>994821107</v>
      </c>
      <c r="D240" s="78" t="str">
        <f t="shared" si="6"/>
        <v>https://portal.dnb.de/opac.htm?method=simpleSearch&amp;cqlMode=true&amp;query=idn%3D994821107</v>
      </c>
      <c r="E240" s="74" t="s">
        <v>7915</v>
      </c>
      <c r="F240" s="74"/>
      <c r="G240" s="76" t="s">
        <v>8515</v>
      </c>
      <c r="H240" s="77" t="s">
        <v>48</v>
      </c>
      <c r="I240" s="76" t="s">
        <v>53</v>
      </c>
      <c r="J240" s="77" t="s">
        <v>8516</v>
      </c>
      <c r="K240" s="77" t="s">
        <v>84</v>
      </c>
      <c r="L240" s="76"/>
      <c r="M240" s="76"/>
      <c r="N240" s="76"/>
      <c r="O240" s="76">
        <v>1</v>
      </c>
      <c r="P240" s="76"/>
      <c r="Q240" s="76"/>
      <c r="R240" s="76"/>
      <c r="S240" s="76"/>
      <c r="BD240" s="99">
        <f t="shared" si="7"/>
        <v>0</v>
      </c>
      <c r="CC240" s="99"/>
      <c r="CV240" s="99"/>
      <c r="CW240" s="63"/>
    </row>
    <row r="241" spans="1:101" ht="22.5" x14ac:dyDescent="0.15">
      <c r="A241" s="76">
        <v>202</v>
      </c>
      <c r="B241" s="74" t="s">
        <v>7916</v>
      </c>
      <c r="C241" s="74">
        <v>1002390427</v>
      </c>
      <c r="D241" s="78" t="str">
        <f t="shared" si="6"/>
        <v>https://portal.dnb.de/opac.htm?method=simpleSearch&amp;cqlMode=true&amp;query=idn%3D1002390427</v>
      </c>
      <c r="E241" s="74" t="s">
        <v>7917</v>
      </c>
      <c r="F241" s="74"/>
      <c r="G241" s="76" t="s">
        <v>8515</v>
      </c>
      <c r="H241" s="77" t="s">
        <v>48</v>
      </c>
      <c r="I241" s="76" t="s">
        <v>53</v>
      </c>
      <c r="J241" s="77" t="s">
        <v>58</v>
      </c>
      <c r="K241" s="77" t="s">
        <v>8564</v>
      </c>
      <c r="L241" s="76"/>
      <c r="M241" s="76"/>
      <c r="N241" s="76" t="s">
        <v>8523</v>
      </c>
      <c r="O241" s="76">
        <v>0</v>
      </c>
      <c r="P241" s="76"/>
      <c r="Q241" s="76"/>
      <c r="R241" s="76"/>
      <c r="S241" s="76"/>
      <c r="BD241" s="99">
        <f t="shared" si="7"/>
        <v>0</v>
      </c>
      <c r="CC241" s="99"/>
      <c r="CV241" s="99"/>
      <c r="CW241" s="63"/>
    </row>
    <row r="242" spans="1:101" ht="33.75" x14ac:dyDescent="0.15">
      <c r="A242" s="76">
        <v>203</v>
      </c>
      <c r="B242" s="74" t="s">
        <v>7918</v>
      </c>
      <c r="C242" s="74">
        <v>1001753674</v>
      </c>
      <c r="D242" s="78" t="str">
        <f t="shared" si="6"/>
        <v>https://portal.dnb.de/opac.htm?method=simpleSearch&amp;cqlMode=true&amp;query=idn%3D1001753674</v>
      </c>
      <c r="E242" s="74" t="s">
        <v>7919</v>
      </c>
      <c r="F242" s="74"/>
      <c r="G242" s="76" t="s">
        <v>8515</v>
      </c>
      <c r="H242" s="77" t="s">
        <v>5</v>
      </c>
      <c r="I242" s="76" t="s">
        <v>55</v>
      </c>
      <c r="J242" s="77" t="s">
        <v>8516</v>
      </c>
      <c r="K242" s="77" t="s">
        <v>8928</v>
      </c>
      <c r="L242" s="76"/>
      <c r="M242" s="76" t="s">
        <v>38</v>
      </c>
      <c r="N242" s="76"/>
      <c r="O242" s="76">
        <v>0</v>
      </c>
      <c r="P242" s="76"/>
      <c r="Q242" s="76"/>
      <c r="R242" s="76"/>
      <c r="S242" s="76"/>
      <c r="Y242" s="95" t="s">
        <v>9723</v>
      </c>
      <c r="AB242" s="95" t="s">
        <v>8541</v>
      </c>
      <c r="AC242" s="95" t="s">
        <v>9724</v>
      </c>
      <c r="AI242" s="95" t="s">
        <v>9725</v>
      </c>
      <c r="AP242" s="95" t="s">
        <v>8541</v>
      </c>
      <c r="AW242" s="95">
        <v>45</v>
      </c>
      <c r="BC242" s="96" t="s">
        <v>9734</v>
      </c>
      <c r="BD242" s="99">
        <f t="shared" si="7"/>
        <v>0</v>
      </c>
      <c r="BF242" s="95" t="s">
        <v>10005</v>
      </c>
      <c r="CC242" s="99"/>
      <c r="CV242" s="99"/>
      <c r="CW242" s="63"/>
    </row>
    <row r="243" spans="1:101" ht="33.75" x14ac:dyDescent="0.15">
      <c r="A243" s="76">
        <v>204</v>
      </c>
      <c r="B243" s="74" t="s">
        <v>7920</v>
      </c>
      <c r="C243" s="74">
        <v>999816233</v>
      </c>
      <c r="D243" s="78" t="str">
        <f t="shared" si="6"/>
        <v>https://portal.dnb.de/opac.htm?method=simpleSearch&amp;cqlMode=true&amp;query=idn%3D999816233</v>
      </c>
      <c r="E243" s="74" t="s">
        <v>7921</v>
      </c>
      <c r="F243" s="74"/>
      <c r="G243" s="76"/>
      <c r="H243" s="77" t="s">
        <v>5</v>
      </c>
      <c r="I243" s="76" t="s">
        <v>55</v>
      </c>
      <c r="J243" s="77" t="s">
        <v>8516</v>
      </c>
      <c r="K243" s="77" t="s">
        <v>8928</v>
      </c>
      <c r="L243" s="76"/>
      <c r="M243" s="76"/>
      <c r="N243" s="76"/>
      <c r="O243" s="76">
        <v>0</v>
      </c>
      <c r="P243" s="76"/>
      <c r="Q243" s="76"/>
      <c r="R243" s="76"/>
      <c r="S243" s="76"/>
      <c r="BD243" s="99">
        <f t="shared" si="7"/>
        <v>0</v>
      </c>
      <c r="CC243" s="99"/>
      <c r="CV243" s="99"/>
      <c r="CW243" s="63"/>
    </row>
    <row r="244" spans="1:101" x14ac:dyDescent="0.15">
      <c r="A244" s="76">
        <v>205</v>
      </c>
      <c r="B244" s="74" t="s">
        <v>7922</v>
      </c>
      <c r="C244" s="74">
        <v>999816098</v>
      </c>
      <c r="D244" s="78" t="str">
        <f t="shared" si="6"/>
        <v>https://portal.dnb.de/opac.htm?method=simpleSearch&amp;cqlMode=true&amp;query=idn%3D999816098</v>
      </c>
      <c r="E244" s="74" t="s">
        <v>7921</v>
      </c>
      <c r="F244" s="74"/>
      <c r="G244" s="76"/>
      <c r="H244" s="77"/>
      <c r="I244" s="76"/>
      <c r="J244" s="77"/>
      <c r="K244" s="77"/>
      <c r="L244" s="76"/>
      <c r="M244" s="76"/>
      <c r="N244" s="76"/>
      <c r="O244" s="76"/>
      <c r="P244" s="76"/>
      <c r="Q244" s="76"/>
      <c r="R244" s="76"/>
      <c r="S244" s="76"/>
      <c r="BD244" s="99">
        <f t="shared" si="7"/>
        <v>0</v>
      </c>
      <c r="CC244" s="99"/>
      <c r="CV244" s="99"/>
      <c r="CW244" s="63"/>
    </row>
    <row r="245" spans="1:101" x14ac:dyDescent="0.15">
      <c r="A245" s="76">
        <v>206</v>
      </c>
      <c r="B245" s="74" t="s">
        <v>7923</v>
      </c>
      <c r="C245" s="74">
        <v>1002733324</v>
      </c>
      <c r="D245" s="78" t="str">
        <f t="shared" si="6"/>
        <v>https://portal.dnb.de/opac.htm?method=simpleSearch&amp;cqlMode=true&amp;query=idn%3D1002733324</v>
      </c>
      <c r="E245" s="74" t="s">
        <v>7924</v>
      </c>
      <c r="F245" s="74"/>
      <c r="G245" s="76" t="s">
        <v>8515</v>
      </c>
      <c r="H245" s="77"/>
      <c r="I245" s="76" t="s">
        <v>53</v>
      </c>
      <c r="J245" s="77" t="s">
        <v>58</v>
      </c>
      <c r="K245" s="77"/>
      <c r="L245" s="76"/>
      <c r="M245" s="76" t="s">
        <v>34</v>
      </c>
      <c r="N245" s="76"/>
      <c r="O245" s="76">
        <v>0</v>
      </c>
      <c r="P245" s="76"/>
      <c r="Q245" s="76"/>
      <c r="R245" s="76"/>
      <c r="S245" s="76"/>
      <c r="BD245" s="99">
        <f t="shared" si="7"/>
        <v>0</v>
      </c>
      <c r="CC245" s="99"/>
      <c r="CV245" s="99"/>
      <c r="CW245" s="63"/>
    </row>
    <row r="246" spans="1:101" ht="22.5" x14ac:dyDescent="0.15">
      <c r="A246" s="76">
        <v>207</v>
      </c>
      <c r="B246" s="74" t="s">
        <v>7925</v>
      </c>
      <c r="C246" s="74">
        <v>1001476409</v>
      </c>
      <c r="D246" s="78" t="str">
        <f t="shared" si="6"/>
        <v>https://portal.dnb.de/opac.htm?method=simpleSearch&amp;cqlMode=true&amp;query=idn%3D1001476409</v>
      </c>
      <c r="E246" s="74" t="s">
        <v>7926</v>
      </c>
      <c r="F246" s="74"/>
      <c r="G246" s="76" t="s">
        <v>8515</v>
      </c>
      <c r="H246" s="77" t="s">
        <v>18</v>
      </c>
      <c r="I246" s="76" t="s">
        <v>53</v>
      </c>
      <c r="J246" s="77" t="s">
        <v>89</v>
      </c>
      <c r="K246" s="77" t="s">
        <v>8580</v>
      </c>
      <c r="L246" s="76"/>
      <c r="M246" s="76"/>
      <c r="N246" s="76" t="s">
        <v>8523</v>
      </c>
      <c r="O246" s="76">
        <v>0</v>
      </c>
      <c r="P246" s="76"/>
      <c r="Q246" s="76"/>
      <c r="R246" s="76"/>
      <c r="S246" s="76"/>
      <c r="BD246" s="99">
        <f t="shared" si="7"/>
        <v>0</v>
      </c>
      <c r="CC246" s="99"/>
      <c r="CV246" s="99"/>
      <c r="CW246" s="63"/>
    </row>
    <row r="247" spans="1:101" x14ac:dyDescent="0.15">
      <c r="A247" s="76">
        <v>208</v>
      </c>
      <c r="B247" s="74" t="s">
        <v>7927</v>
      </c>
      <c r="C247" s="74">
        <v>994797745</v>
      </c>
      <c r="D247" s="78" t="str">
        <f t="shared" si="6"/>
        <v>https://portal.dnb.de/opac.htm?method=simpleSearch&amp;cqlMode=true&amp;query=idn%3D994797745</v>
      </c>
      <c r="E247" s="74" t="s">
        <v>9353</v>
      </c>
      <c r="F247" s="74"/>
      <c r="G247" s="76" t="s">
        <v>8515</v>
      </c>
      <c r="H247" s="77" t="s">
        <v>4</v>
      </c>
      <c r="I247" s="76" t="s">
        <v>55</v>
      </c>
      <c r="J247" s="77" t="s">
        <v>8516</v>
      </c>
      <c r="K247" s="77" t="s">
        <v>62</v>
      </c>
      <c r="L247" s="76"/>
      <c r="M247" s="76"/>
      <c r="N247" s="76"/>
      <c r="O247" s="76"/>
      <c r="P247" s="76"/>
      <c r="Q247" s="76"/>
      <c r="R247" s="76"/>
      <c r="S247" s="76"/>
      <c r="BD247" s="99">
        <f t="shared" si="7"/>
        <v>0</v>
      </c>
      <c r="CC247" s="99"/>
      <c r="CV247" s="99"/>
      <c r="CW247" s="63"/>
    </row>
    <row r="248" spans="1:101" x14ac:dyDescent="0.15">
      <c r="A248" s="76">
        <v>209</v>
      </c>
      <c r="B248" s="74" t="s">
        <v>7928</v>
      </c>
      <c r="C248" s="74">
        <v>994797699</v>
      </c>
      <c r="D248" s="78" t="str">
        <f t="shared" si="6"/>
        <v>https://portal.dnb.de/opac.htm?method=simpleSearch&amp;cqlMode=true&amp;query=idn%3D994797699</v>
      </c>
      <c r="E248" s="74" t="s">
        <v>9354</v>
      </c>
      <c r="F248" s="74"/>
      <c r="G248" s="76" t="s">
        <v>8515</v>
      </c>
      <c r="H248" s="77" t="s">
        <v>4</v>
      </c>
      <c r="I248" s="76" t="s">
        <v>55</v>
      </c>
      <c r="J248" s="77" t="s">
        <v>8516</v>
      </c>
      <c r="K248" s="77" t="s">
        <v>62</v>
      </c>
      <c r="L248" s="76"/>
      <c r="M248" s="76" t="s">
        <v>38</v>
      </c>
      <c r="N248" s="76" t="s">
        <v>40</v>
      </c>
      <c r="O248" s="76">
        <v>0</v>
      </c>
      <c r="P248" s="76"/>
      <c r="Q248" s="76"/>
      <c r="R248" s="76"/>
      <c r="S248" s="76"/>
      <c r="BD248" s="99">
        <f t="shared" si="7"/>
        <v>0</v>
      </c>
      <c r="CC248" s="99"/>
      <c r="CV248" s="99"/>
      <c r="CW248" s="63"/>
    </row>
    <row r="249" spans="1:101" x14ac:dyDescent="0.15">
      <c r="A249" s="76">
        <v>210</v>
      </c>
      <c r="B249" s="74" t="s">
        <v>7953</v>
      </c>
      <c r="C249" s="74">
        <v>1208535455</v>
      </c>
      <c r="D249" s="78" t="str">
        <f t="shared" si="6"/>
        <v>https://portal.dnb.de/opac.htm?method=simpleSearch&amp;cqlMode=true&amp;query=idn%3D1208535455</v>
      </c>
      <c r="E249" s="74" t="s">
        <v>7954</v>
      </c>
      <c r="F249" s="74"/>
      <c r="G249" s="76"/>
      <c r="H249" s="77"/>
      <c r="I249" s="76"/>
      <c r="J249" s="77"/>
      <c r="K249" s="77"/>
      <c r="L249" s="76"/>
      <c r="M249" s="76" t="s">
        <v>38</v>
      </c>
      <c r="N249" s="76" t="s">
        <v>40</v>
      </c>
      <c r="O249" s="76">
        <v>0</v>
      </c>
      <c r="P249" s="76"/>
      <c r="Q249" s="76"/>
      <c r="R249" s="76"/>
      <c r="S249" s="76"/>
      <c r="BD249" s="99">
        <f t="shared" si="7"/>
        <v>0</v>
      </c>
      <c r="CC249" s="99"/>
      <c r="CV249" s="99"/>
      <c r="CW249" s="63"/>
    </row>
    <row r="250" spans="1:101" x14ac:dyDescent="0.15">
      <c r="A250" s="76">
        <v>211</v>
      </c>
      <c r="B250" s="74" t="s">
        <v>7955</v>
      </c>
      <c r="C250" s="74" t="s">
        <v>7956</v>
      </c>
      <c r="D250" s="78" t="str">
        <f t="shared" si="6"/>
        <v>https://portal.dnb.de/opac.htm?method=simpleSearch&amp;cqlMode=true&amp;query=idn%3D120853534X</v>
      </c>
      <c r="E250" s="74" t="s">
        <v>7957</v>
      </c>
      <c r="F250" s="74"/>
      <c r="G250" s="76"/>
      <c r="H250" s="77"/>
      <c r="I250" s="76"/>
      <c r="J250" s="77"/>
      <c r="K250" s="77"/>
      <c r="L250" s="76"/>
      <c r="M250" s="76"/>
      <c r="N250" s="76"/>
      <c r="O250" s="76"/>
      <c r="P250" s="76"/>
      <c r="Q250" s="76"/>
      <c r="R250" s="76"/>
      <c r="S250" s="76"/>
      <c r="BD250" s="99">
        <f t="shared" si="7"/>
        <v>0</v>
      </c>
      <c r="CC250" s="99"/>
      <c r="CV250" s="99"/>
      <c r="CW250" s="63"/>
    </row>
    <row r="251" spans="1:101" ht="22.5" x14ac:dyDescent="0.15">
      <c r="A251" s="76">
        <v>212</v>
      </c>
      <c r="B251" s="74" t="s">
        <v>7973</v>
      </c>
      <c r="C251" s="74">
        <v>999123734</v>
      </c>
      <c r="D251" s="78" t="str">
        <f t="shared" si="6"/>
        <v>https://portal.dnb.de/opac.htm?method=simpleSearch&amp;cqlMode=true&amp;query=idn%3D999123734</v>
      </c>
      <c r="E251" s="74" t="s">
        <v>7974</v>
      </c>
      <c r="F251" s="74"/>
      <c r="G251" s="76"/>
      <c r="H251" s="77" t="s">
        <v>18</v>
      </c>
      <c r="I251" s="76" t="s">
        <v>53</v>
      </c>
      <c r="J251" s="77" t="s">
        <v>89</v>
      </c>
      <c r="K251" s="77" t="s">
        <v>8552</v>
      </c>
      <c r="L251" s="76"/>
      <c r="M251" s="76" t="s">
        <v>36</v>
      </c>
      <c r="N251" s="76" t="s">
        <v>39</v>
      </c>
      <c r="O251" s="76"/>
      <c r="P251" s="76"/>
      <c r="Q251" s="76"/>
      <c r="R251" s="76"/>
      <c r="S251" s="76"/>
      <c r="BD251" s="99">
        <f t="shared" si="7"/>
        <v>0</v>
      </c>
      <c r="CC251" s="99"/>
      <c r="CV251" s="99"/>
      <c r="CW251" s="63"/>
    </row>
    <row r="252" spans="1:101" x14ac:dyDescent="0.15">
      <c r="A252" s="76">
        <v>213</v>
      </c>
      <c r="B252" s="74" t="s">
        <v>7980</v>
      </c>
      <c r="C252" s="74">
        <v>999345796</v>
      </c>
      <c r="D252" s="78" t="str">
        <f t="shared" si="6"/>
        <v>https://portal.dnb.de/opac.htm?method=simpleSearch&amp;cqlMode=true&amp;query=idn%3D999345796</v>
      </c>
      <c r="E252" s="74" t="s">
        <v>7981</v>
      </c>
      <c r="F252" s="74"/>
      <c r="G252" s="76"/>
      <c r="H252" s="77" t="s">
        <v>5</v>
      </c>
      <c r="I252" s="76" t="s">
        <v>53</v>
      </c>
      <c r="J252" s="77" t="s">
        <v>8516</v>
      </c>
      <c r="K252" s="77" t="s">
        <v>8520</v>
      </c>
      <c r="L252" s="76"/>
      <c r="M252" s="76" t="s">
        <v>36</v>
      </c>
      <c r="N252" s="76" t="s">
        <v>39</v>
      </c>
      <c r="O252" s="76">
        <v>0</v>
      </c>
      <c r="P252" s="76"/>
      <c r="Q252" s="76"/>
      <c r="R252" s="76"/>
      <c r="S252" s="76"/>
      <c r="BD252" s="99">
        <f t="shared" si="7"/>
        <v>0</v>
      </c>
      <c r="CC252" s="99"/>
      <c r="CV252" s="99"/>
      <c r="CW252" s="63"/>
    </row>
    <row r="253" spans="1:101" x14ac:dyDescent="0.15">
      <c r="A253" s="76">
        <v>214</v>
      </c>
      <c r="B253" s="74" t="s">
        <v>7985</v>
      </c>
      <c r="C253" s="74">
        <v>1000241793</v>
      </c>
      <c r="D253" s="78" t="str">
        <f t="shared" si="6"/>
        <v>https://portal.dnb.de/opac.htm?method=simpleSearch&amp;cqlMode=true&amp;query=idn%3D1000241793</v>
      </c>
      <c r="E253" s="74" t="s">
        <v>7986</v>
      </c>
      <c r="F253" s="74"/>
      <c r="G253" s="76"/>
      <c r="H253" s="77" t="s">
        <v>5</v>
      </c>
      <c r="I253" s="76" t="s">
        <v>53</v>
      </c>
      <c r="J253" s="77" t="s">
        <v>8516</v>
      </c>
      <c r="K253" s="77" t="s">
        <v>8520</v>
      </c>
      <c r="L253" s="76"/>
      <c r="M253" s="76"/>
      <c r="N253" s="76" t="s">
        <v>8523</v>
      </c>
      <c r="O253" s="76">
        <v>0</v>
      </c>
      <c r="P253" s="76"/>
      <c r="Q253" s="76"/>
      <c r="R253" s="76"/>
      <c r="S253" s="76"/>
      <c r="BD253" s="99">
        <f t="shared" si="7"/>
        <v>0</v>
      </c>
      <c r="CC253" s="99"/>
      <c r="CV253" s="99"/>
      <c r="CW253" s="63"/>
    </row>
    <row r="254" spans="1:101" x14ac:dyDescent="0.15">
      <c r="A254" s="76">
        <v>215</v>
      </c>
      <c r="B254" s="74" t="s">
        <v>7991</v>
      </c>
      <c r="C254" s="74">
        <v>1066770921</v>
      </c>
      <c r="D254" s="78" t="str">
        <f t="shared" si="6"/>
        <v>https://portal.dnb.de/opac.htm?method=simpleSearch&amp;cqlMode=true&amp;query=idn%3D1066770921</v>
      </c>
      <c r="E254" s="74" t="s">
        <v>7992</v>
      </c>
      <c r="F254" s="74"/>
      <c r="G254" s="76"/>
      <c r="H254" s="77" t="s">
        <v>5</v>
      </c>
      <c r="I254" s="76" t="s">
        <v>53</v>
      </c>
      <c r="J254" s="77" t="s">
        <v>8516</v>
      </c>
      <c r="K254" s="77" t="s">
        <v>84</v>
      </c>
      <c r="L254" s="76"/>
      <c r="M254" s="76"/>
      <c r="N254" s="76" t="s">
        <v>8523</v>
      </c>
      <c r="O254" s="76">
        <v>0</v>
      </c>
      <c r="P254" s="76"/>
      <c r="Q254" s="76"/>
      <c r="R254" s="76"/>
      <c r="S254" s="76"/>
      <c r="BD254" s="99">
        <f t="shared" si="7"/>
        <v>0</v>
      </c>
      <c r="CC254" s="99"/>
      <c r="CV254" s="99"/>
      <c r="CW254" s="63"/>
    </row>
    <row r="255" spans="1:101" ht="33.75" x14ac:dyDescent="0.15">
      <c r="A255" s="76">
        <v>216</v>
      </c>
      <c r="B255" s="74" t="s">
        <v>7993</v>
      </c>
      <c r="C255" s="74">
        <v>994563736</v>
      </c>
      <c r="D255" s="78" t="str">
        <f t="shared" si="6"/>
        <v>https://portal.dnb.de/opac.htm?method=simpleSearch&amp;cqlMode=true&amp;query=idn%3D994563736</v>
      </c>
      <c r="E255" s="74" t="s">
        <v>7994</v>
      </c>
      <c r="F255" s="74"/>
      <c r="G255" s="76"/>
      <c r="H255" s="77" t="s">
        <v>48</v>
      </c>
      <c r="I255" s="76" t="s">
        <v>53</v>
      </c>
      <c r="J255" s="77" t="s">
        <v>8516</v>
      </c>
      <c r="K255" s="77" t="s">
        <v>8540</v>
      </c>
      <c r="L255" s="76"/>
      <c r="M255" s="76"/>
      <c r="N255" s="76" t="s">
        <v>8523</v>
      </c>
      <c r="O255" s="76">
        <v>1</v>
      </c>
      <c r="P255" s="76"/>
      <c r="Q255" s="76"/>
      <c r="R255" s="76"/>
      <c r="S255" s="76"/>
      <c r="BD255" s="99">
        <f t="shared" si="7"/>
        <v>0</v>
      </c>
      <c r="CC255" s="99"/>
      <c r="CV255" s="99"/>
      <c r="CW255" s="63"/>
    </row>
    <row r="256" spans="1:101" x14ac:dyDescent="0.15">
      <c r="A256" s="76">
        <v>217</v>
      </c>
      <c r="B256" s="74" t="s">
        <v>7995</v>
      </c>
      <c r="C256" s="74">
        <v>994563655</v>
      </c>
      <c r="D256" s="78" t="str">
        <f t="shared" si="6"/>
        <v>https://portal.dnb.de/opac.htm?method=simpleSearch&amp;cqlMode=true&amp;query=idn%3D994563655</v>
      </c>
      <c r="E256" s="74" t="s">
        <v>7994</v>
      </c>
      <c r="F256" s="74"/>
      <c r="G256" s="76"/>
      <c r="H256" s="77"/>
      <c r="I256" s="76"/>
      <c r="J256" s="77"/>
      <c r="K256" s="77"/>
      <c r="L256" s="76"/>
      <c r="M256" s="76"/>
      <c r="N256" s="76"/>
      <c r="O256" s="76"/>
      <c r="P256" s="76"/>
      <c r="Q256" s="76"/>
      <c r="R256" s="76"/>
      <c r="S256" s="76"/>
      <c r="BD256" s="99">
        <f t="shared" si="7"/>
        <v>0</v>
      </c>
      <c r="CC256" s="99"/>
      <c r="CV256" s="99"/>
      <c r="CW256" s="63"/>
    </row>
    <row r="257" spans="1:101" x14ac:dyDescent="0.15">
      <c r="A257" s="76">
        <v>218</v>
      </c>
      <c r="B257" s="74" t="s">
        <v>7996</v>
      </c>
      <c r="C257" s="74">
        <v>994577370</v>
      </c>
      <c r="D257" s="78" t="str">
        <f t="shared" si="6"/>
        <v>https://portal.dnb.de/opac.htm?method=simpleSearch&amp;cqlMode=true&amp;query=idn%3D994577370</v>
      </c>
      <c r="E257" s="74" t="s">
        <v>7994</v>
      </c>
      <c r="F257" s="74"/>
      <c r="G257" s="76"/>
      <c r="H257" s="77"/>
      <c r="I257" s="76"/>
      <c r="J257" s="77"/>
      <c r="K257" s="77"/>
      <c r="L257" s="76"/>
      <c r="M257" s="76"/>
      <c r="N257" s="76"/>
      <c r="O257" s="76"/>
      <c r="P257" s="76"/>
      <c r="Q257" s="76"/>
      <c r="R257" s="76"/>
      <c r="S257" s="76"/>
      <c r="BD257" s="99">
        <f t="shared" si="7"/>
        <v>0</v>
      </c>
      <c r="CC257" s="99"/>
      <c r="CV257" s="99"/>
      <c r="CW257" s="63"/>
    </row>
    <row r="258" spans="1:101" x14ac:dyDescent="0.15">
      <c r="A258" s="76">
        <v>219</v>
      </c>
      <c r="B258" s="74" t="s">
        <v>7997</v>
      </c>
      <c r="C258" s="74">
        <v>1002481910</v>
      </c>
      <c r="D258" s="78" t="str">
        <f t="shared" ref="D258:D322" si="8">HYPERLINK(CONCATENATE("https://portal.dnb.de/opac.htm?method=simpleSearch&amp;cqlMode=true&amp;query=idn%3D",C258))</f>
        <v>https://portal.dnb.de/opac.htm?method=simpleSearch&amp;cqlMode=true&amp;query=idn%3D1002481910</v>
      </c>
      <c r="E258" s="74" t="s">
        <v>8562</v>
      </c>
      <c r="F258" s="74"/>
      <c r="G258" s="76" t="s">
        <v>8515</v>
      </c>
      <c r="H258" s="77" t="s">
        <v>5</v>
      </c>
      <c r="I258" s="76" t="s">
        <v>53</v>
      </c>
      <c r="J258" s="77" t="s">
        <v>58</v>
      </c>
      <c r="K258" s="77" t="s">
        <v>8554</v>
      </c>
      <c r="L258" s="76"/>
      <c r="M258" s="76" t="s">
        <v>38</v>
      </c>
      <c r="N258" s="76"/>
      <c r="O258" s="76">
        <v>0</v>
      </c>
      <c r="P258" s="76"/>
      <c r="Q258" s="76"/>
      <c r="R258" s="76"/>
      <c r="S258" s="76"/>
      <c r="BD258" s="99">
        <f t="shared" si="7"/>
        <v>0</v>
      </c>
      <c r="CC258" s="99"/>
      <c r="CV258" s="99"/>
      <c r="CW258" s="63"/>
    </row>
    <row r="259" spans="1:101" x14ac:dyDescent="0.15">
      <c r="A259" s="76">
        <v>220</v>
      </c>
      <c r="B259" s="74" t="s">
        <v>7999</v>
      </c>
      <c r="C259" s="74">
        <v>1002482232</v>
      </c>
      <c r="D259" s="78" t="str">
        <f t="shared" si="8"/>
        <v>https://portal.dnb.de/opac.htm?method=simpleSearch&amp;cqlMode=true&amp;query=idn%3D1002482232</v>
      </c>
      <c r="E259" s="74" t="s">
        <v>7998</v>
      </c>
      <c r="F259" s="74"/>
      <c r="G259" s="76"/>
      <c r="H259" s="77"/>
      <c r="I259" s="76"/>
      <c r="J259" s="77"/>
      <c r="K259" s="77"/>
      <c r="L259" s="76"/>
      <c r="M259" s="76"/>
      <c r="N259" s="76"/>
      <c r="O259" s="76"/>
      <c r="P259" s="76"/>
      <c r="Q259" s="76"/>
      <c r="R259" s="76"/>
      <c r="S259" s="76"/>
      <c r="BD259" s="99">
        <f t="shared" ref="BD259:BD322" si="9">CC259+CV259</f>
        <v>0</v>
      </c>
      <c r="CC259" s="99"/>
      <c r="CV259" s="99"/>
      <c r="CW259" s="63"/>
    </row>
    <row r="260" spans="1:101" ht="22.5" x14ac:dyDescent="0.15">
      <c r="A260" s="76">
        <v>221</v>
      </c>
      <c r="B260" s="74" t="s">
        <v>8000</v>
      </c>
      <c r="C260" s="74">
        <v>995350191</v>
      </c>
      <c r="D260" s="78" t="str">
        <f t="shared" si="8"/>
        <v>https://portal.dnb.de/opac.htm?method=simpleSearch&amp;cqlMode=true&amp;query=idn%3D995350191</v>
      </c>
      <c r="E260" s="74" t="s">
        <v>8001</v>
      </c>
      <c r="F260" s="74"/>
      <c r="G260" s="76" t="s">
        <v>8541</v>
      </c>
      <c r="H260" s="77" t="s">
        <v>48</v>
      </c>
      <c r="I260" s="76" t="s">
        <v>53</v>
      </c>
      <c r="J260" s="77" t="s">
        <v>89</v>
      </c>
      <c r="K260" s="77" t="s">
        <v>8552</v>
      </c>
      <c r="L260" s="76"/>
      <c r="M260" s="76"/>
      <c r="N260" s="76"/>
      <c r="O260" s="76">
        <v>0</v>
      </c>
      <c r="P260" s="76"/>
      <c r="Q260" s="76"/>
      <c r="R260" s="76"/>
      <c r="S260" s="76"/>
      <c r="BD260" s="99">
        <f t="shared" si="9"/>
        <v>0</v>
      </c>
      <c r="CC260" s="99"/>
      <c r="CV260" s="99"/>
      <c r="CW260" s="63"/>
    </row>
    <row r="261" spans="1:101" ht="33.75" x14ac:dyDescent="0.15">
      <c r="A261" s="76">
        <v>222</v>
      </c>
      <c r="B261" s="74" t="s">
        <v>8002</v>
      </c>
      <c r="C261" s="74">
        <v>998440272</v>
      </c>
      <c r="D261" s="78" t="str">
        <f t="shared" si="8"/>
        <v>https://portal.dnb.de/opac.htm?method=simpleSearch&amp;cqlMode=true&amp;query=idn%3D998440272</v>
      </c>
      <c r="E261" s="74" t="s">
        <v>8003</v>
      </c>
      <c r="F261" s="74"/>
      <c r="G261" s="76" t="s">
        <v>8541</v>
      </c>
      <c r="H261" s="77" t="s">
        <v>8563</v>
      </c>
      <c r="I261" s="76" t="s">
        <v>53</v>
      </c>
      <c r="J261" s="77" t="s">
        <v>8516</v>
      </c>
      <c r="K261" s="77" t="s">
        <v>84</v>
      </c>
      <c r="L261" s="76"/>
      <c r="M261" s="76"/>
      <c r="N261" s="76"/>
      <c r="O261" s="76">
        <v>1</v>
      </c>
      <c r="P261" s="76"/>
      <c r="Q261" s="76"/>
      <c r="R261" s="76"/>
      <c r="S261" s="76"/>
      <c r="BD261" s="99">
        <f t="shared" si="9"/>
        <v>0</v>
      </c>
      <c r="CC261" s="99"/>
      <c r="CV261" s="99"/>
      <c r="CW261" s="63"/>
    </row>
    <row r="262" spans="1:101" x14ac:dyDescent="0.15">
      <c r="A262" s="76">
        <v>223</v>
      </c>
      <c r="B262" s="74" t="s">
        <v>8004</v>
      </c>
      <c r="C262" s="74">
        <v>999809237</v>
      </c>
      <c r="D262" s="78" t="str">
        <f t="shared" si="8"/>
        <v>https://portal.dnb.de/opac.htm?method=simpleSearch&amp;cqlMode=true&amp;query=idn%3D999809237</v>
      </c>
      <c r="E262" s="74" t="s">
        <v>8005</v>
      </c>
      <c r="F262" s="74"/>
      <c r="G262" s="76"/>
      <c r="H262" s="77" t="s">
        <v>48</v>
      </c>
      <c r="I262" s="76" t="s">
        <v>53</v>
      </c>
      <c r="J262" s="77" t="s">
        <v>8516</v>
      </c>
      <c r="K262" s="77" t="s">
        <v>84</v>
      </c>
      <c r="L262" s="76"/>
      <c r="M262" s="76"/>
      <c r="N262" s="76" t="s">
        <v>8523</v>
      </c>
      <c r="O262" s="76">
        <v>0</v>
      </c>
      <c r="P262" s="76"/>
      <c r="Q262" s="76"/>
      <c r="R262" s="76"/>
      <c r="S262" s="76"/>
      <c r="BD262" s="99">
        <f t="shared" si="9"/>
        <v>0</v>
      </c>
      <c r="CC262" s="99"/>
      <c r="CV262" s="99"/>
      <c r="CW262" s="63"/>
    </row>
    <row r="263" spans="1:101" ht="22.5" x14ac:dyDescent="0.15">
      <c r="A263" s="76">
        <v>224</v>
      </c>
      <c r="B263" s="74" t="s">
        <v>8006</v>
      </c>
      <c r="C263" s="74">
        <v>1000069117</v>
      </c>
      <c r="D263" s="78" t="str">
        <f t="shared" si="8"/>
        <v>https://portal.dnb.de/opac.htm?method=simpleSearch&amp;cqlMode=true&amp;query=idn%3D1000069117</v>
      </c>
      <c r="E263" s="74" t="s">
        <v>8007</v>
      </c>
      <c r="F263" s="74"/>
      <c r="G263" s="76"/>
      <c r="H263" s="77" t="s">
        <v>48</v>
      </c>
      <c r="I263" s="76" t="s">
        <v>53</v>
      </c>
      <c r="J263" s="77" t="s">
        <v>58</v>
      </c>
      <c r="K263" s="77" t="s">
        <v>8564</v>
      </c>
      <c r="L263" s="76"/>
      <c r="M263" s="76" t="s">
        <v>36</v>
      </c>
      <c r="N263" s="76" t="s">
        <v>39</v>
      </c>
      <c r="O263" s="76">
        <v>0</v>
      </c>
      <c r="P263" s="76"/>
      <c r="Q263" s="76"/>
      <c r="R263" s="76"/>
      <c r="S263" s="76"/>
      <c r="BD263" s="99">
        <f t="shared" si="9"/>
        <v>0</v>
      </c>
      <c r="CC263" s="99"/>
      <c r="CV263" s="99"/>
      <c r="CW263" s="63"/>
    </row>
    <row r="264" spans="1:101" x14ac:dyDescent="0.15">
      <c r="A264" s="76">
        <v>225</v>
      </c>
      <c r="B264" s="74" t="s">
        <v>8019</v>
      </c>
      <c r="C264" s="74">
        <v>1000495957</v>
      </c>
      <c r="D264" s="78" t="str">
        <f t="shared" si="8"/>
        <v>https://portal.dnb.de/opac.htm?method=simpleSearch&amp;cqlMode=true&amp;query=idn%3D1000495957</v>
      </c>
      <c r="E264" s="74" t="s">
        <v>8655</v>
      </c>
      <c r="F264" s="74"/>
      <c r="G264" s="76" t="s">
        <v>8541</v>
      </c>
      <c r="H264" s="77" t="s">
        <v>5</v>
      </c>
      <c r="I264" s="76" t="s">
        <v>54</v>
      </c>
      <c r="J264" s="77" t="s">
        <v>8516</v>
      </c>
      <c r="K264" s="77" t="s">
        <v>8520</v>
      </c>
      <c r="L264" s="76"/>
      <c r="M264" s="76"/>
      <c r="N264" s="76"/>
      <c r="O264" s="76">
        <v>0</v>
      </c>
      <c r="P264" s="76"/>
      <c r="Q264" s="76"/>
      <c r="R264" s="76"/>
      <c r="S264" s="76"/>
      <c r="BD264" s="99">
        <f t="shared" si="9"/>
        <v>0</v>
      </c>
      <c r="CC264" s="99"/>
      <c r="CV264" s="99"/>
      <c r="CW264" s="63"/>
    </row>
    <row r="265" spans="1:101" ht="22.5" x14ac:dyDescent="0.15">
      <c r="A265" s="76">
        <v>226</v>
      </c>
      <c r="B265" s="74" t="s">
        <v>8020</v>
      </c>
      <c r="C265" s="74">
        <v>1000495825</v>
      </c>
      <c r="D265" s="78" t="str">
        <f t="shared" si="8"/>
        <v>https://portal.dnb.de/opac.htm?method=simpleSearch&amp;cqlMode=true&amp;query=idn%3D1000495825</v>
      </c>
      <c r="E265" s="74" t="s">
        <v>8654</v>
      </c>
      <c r="F265" s="74"/>
      <c r="G265" s="76"/>
      <c r="H265" s="77" t="s">
        <v>5</v>
      </c>
      <c r="I265" s="76" t="s">
        <v>54</v>
      </c>
      <c r="J265" s="77" t="s">
        <v>8516</v>
      </c>
      <c r="K265" s="77" t="s">
        <v>8656</v>
      </c>
      <c r="L265" s="76"/>
      <c r="M265" s="76"/>
      <c r="N265" s="76"/>
      <c r="O265" s="76">
        <v>0</v>
      </c>
      <c r="P265" s="76"/>
      <c r="Q265" s="76"/>
      <c r="R265" s="76"/>
      <c r="S265" s="76"/>
      <c r="BD265" s="99">
        <f t="shared" si="9"/>
        <v>0</v>
      </c>
      <c r="CC265" s="99"/>
      <c r="CV265" s="99"/>
      <c r="CW265" s="63"/>
    </row>
    <row r="266" spans="1:101" x14ac:dyDescent="0.15">
      <c r="A266" s="76">
        <v>227</v>
      </c>
      <c r="B266" s="74" t="s">
        <v>8030</v>
      </c>
      <c r="C266" s="74">
        <v>999751719</v>
      </c>
      <c r="D266" s="78" t="str">
        <f t="shared" si="8"/>
        <v>https://portal.dnb.de/opac.htm?method=simpleSearch&amp;cqlMode=true&amp;query=idn%3D999751719</v>
      </c>
      <c r="E266" s="74" t="s">
        <v>8031</v>
      </c>
      <c r="F266" s="74"/>
      <c r="G266" s="76" t="s">
        <v>8515</v>
      </c>
      <c r="H266" s="77" t="s">
        <v>48</v>
      </c>
      <c r="I266" s="76" t="s">
        <v>53</v>
      </c>
      <c r="J266" s="77" t="s">
        <v>8516</v>
      </c>
      <c r="K266" s="77"/>
      <c r="L266" s="76"/>
      <c r="M266" s="76" t="s">
        <v>36</v>
      </c>
      <c r="N266" s="76" t="s">
        <v>39</v>
      </c>
      <c r="O266" s="76">
        <v>2</v>
      </c>
      <c r="P266" s="76"/>
      <c r="Q266" s="76"/>
      <c r="R266" s="76"/>
      <c r="S266" s="76"/>
      <c r="BD266" s="99">
        <f t="shared" si="9"/>
        <v>0</v>
      </c>
      <c r="CC266" s="99"/>
      <c r="CV266" s="99"/>
      <c r="CW266" s="63"/>
    </row>
    <row r="267" spans="1:101" ht="22.5" x14ac:dyDescent="0.15">
      <c r="A267" s="76">
        <v>228</v>
      </c>
      <c r="B267" s="74" t="s">
        <v>8032</v>
      </c>
      <c r="C267" s="74">
        <v>999751379</v>
      </c>
      <c r="D267" s="78" t="str">
        <f t="shared" si="8"/>
        <v>https://portal.dnb.de/opac.htm?method=simpleSearch&amp;cqlMode=true&amp;query=idn%3D999751379</v>
      </c>
      <c r="E267" s="74" t="s">
        <v>8033</v>
      </c>
      <c r="F267" s="74"/>
      <c r="G267" s="76" t="s">
        <v>8515</v>
      </c>
      <c r="H267" s="77" t="s">
        <v>48</v>
      </c>
      <c r="I267" s="76" t="s">
        <v>53</v>
      </c>
      <c r="J267" s="77" t="s">
        <v>89</v>
      </c>
      <c r="K267" s="77" t="s">
        <v>8564</v>
      </c>
      <c r="L267" s="76"/>
      <c r="M267" s="76" t="s">
        <v>36</v>
      </c>
      <c r="N267" s="76" t="s">
        <v>39</v>
      </c>
      <c r="O267" s="76">
        <v>2</v>
      </c>
      <c r="P267" s="76"/>
      <c r="Q267" s="76"/>
      <c r="R267" s="76"/>
      <c r="S267" s="76"/>
      <c r="BD267" s="99">
        <f t="shared" si="9"/>
        <v>0</v>
      </c>
      <c r="CC267" s="99"/>
      <c r="CV267" s="99"/>
      <c r="CW267" s="63"/>
    </row>
    <row r="268" spans="1:101" x14ac:dyDescent="0.15">
      <c r="A268" s="76">
        <v>229</v>
      </c>
      <c r="B268" s="74" t="s">
        <v>8034</v>
      </c>
      <c r="C268" s="74">
        <v>999751328</v>
      </c>
      <c r="D268" s="78" t="str">
        <f t="shared" si="8"/>
        <v>https://portal.dnb.de/opac.htm?method=simpleSearch&amp;cqlMode=true&amp;query=idn%3D999751328</v>
      </c>
      <c r="E268" s="74" t="s">
        <v>8033</v>
      </c>
      <c r="F268" s="74"/>
      <c r="G268" s="76"/>
      <c r="H268" s="77"/>
      <c r="I268" s="76"/>
      <c r="J268" s="77"/>
      <c r="K268" s="77"/>
      <c r="L268" s="76"/>
      <c r="M268" s="76"/>
      <c r="N268" s="76"/>
      <c r="O268" s="76"/>
      <c r="P268" s="76"/>
      <c r="Q268" s="76"/>
      <c r="R268" s="76"/>
      <c r="S268" s="76"/>
      <c r="BD268" s="99">
        <f t="shared" si="9"/>
        <v>0</v>
      </c>
      <c r="CC268" s="99"/>
      <c r="CV268" s="99"/>
      <c r="CW268" s="63"/>
    </row>
    <row r="269" spans="1:101" x14ac:dyDescent="0.15">
      <c r="A269" s="76">
        <v>230</v>
      </c>
      <c r="B269" s="74" t="s">
        <v>8035</v>
      </c>
      <c r="C269" s="74">
        <v>999751719</v>
      </c>
      <c r="D269" s="78" t="str">
        <f t="shared" si="8"/>
        <v>https://portal.dnb.de/opac.htm?method=simpleSearch&amp;cqlMode=true&amp;query=idn%3D999751719</v>
      </c>
      <c r="E269" s="74" t="s">
        <v>8033</v>
      </c>
      <c r="F269" s="74"/>
      <c r="G269" s="76"/>
      <c r="H269" s="77"/>
      <c r="I269" s="76"/>
      <c r="J269" s="77"/>
      <c r="K269" s="77"/>
      <c r="L269" s="76"/>
      <c r="M269" s="76"/>
      <c r="N269" s="76"/>
      <c r="O269" s="76"/>
      <c r="P269" s="76"/>
      <c r="Q269" s="76"/>
      <c r="R269" s="76"/>
      <c r="S269" s="76"/>
      <c r="BD269" s="99">
        <f t="shared" si="9"/>
        <v>0</v>
      </c>
      <c r="CC269" s="99"/>
      <c r="CV269" s="99"/>
      <c r="CW269" s="63"/>
    </row>
    <row r="270" spans="1:101" ht="22.5" x14ac:dyDescent="0.15">
      <c r="A270" s="76">
        <v>231</v>
      </c>
      <c r="B270" s="74" t="s">
        <v>8036</v>
      </c>
      <c r="C270" s="74" t="s">
        <v>8037</v>
      </c>
      <c r="D270" s="78" t="str">
        <f t="shared" si="8"/>
        <v>https://portal.dnb.de/opac.htm?method=simpleSearch&amp;cqlMode=true&amp;query=idn%3D98144668X</v>
      </c>
      <c r="E270" s="74" t="s">
        <v>8038</v>
      </c>
      <c r="F270" s="74"/>
      <c r="G270" s="76" t="s">
        <v>8515</v>
      </c>
      <c r="H270" s="77" t="s">
        <v>48</v>
      </c>
      <c r="I270" s="76" t="s">
        <v>53</v>
      </c>
      <c r="J270" s="77" t="s">
        <v>58</v>
      </c>
      <c r="K270" s="77" t="s">
        <v>8539</v>
      </c>
      <c r="L270" s="76"/>
      <c r="M270" s="76" t="s">
        <v>36</v>
      </c>
      <c r="N270" s="76" t="s">
        <v>8662</v>
      </c>
      <c r="O270" s="76">
        <v>1</v>
      </c>
      <c r="P270" s="76"/>
      <c r="Q270" s="76"/>
      <c r="R270" s="76"/>
      <c r="S270" s="76"/>
      <c r="BD270" s="99">
        <f t="shared" si="9"/>
        <v>0</v>
      </c>
      <c r="CC270" s="99"/>
      <c r="CV270" s="99"/>
      <c r="CW270" s="63"/>
    </row>
    <row r="271" spans="1:101" ht="22.5" x14ac:dyDescent="0.15">
      <c r="A271" s="76">
        <v>232</v>
      </c>
      <c r="B271" s="74" t="s">
        <v>8039</v>
      </c>
      <c r="C271" s="74">
        <v>986469432</v>
      </c>
      <c r="D271" s="78" t="str">
        <f t="shared" si="8"/>
        <v>https://portal.dnb.de/opac.htm?method=simpleSearch&amp;cqlMode=true&amp;query=idn%3D986469432</v>
      </c>
      <c r="E271" s="74" t="s">
        <v>8040</v>
      </c>
      <c r="F271" s="74"/>
      <c r="G271" s="76"/>
      <c r="H271" s="77" t="s">
        <v>48</v>
      </c>
      <c r="I271" s="76" t="s">
        <v>53</v>
      </c>
      <c r="J271" s="77" t="s">
        <v>8516</v>
      </c>
      <c r="K271" s="77" t="s">
        <v>8539</v>
      </c>
      <c r="L271" s="76"/>
      <c r="M271" s="76" t="s">
        <v>34</v>
      </c>
      <c r="N271" s="76" t="s">
        <v>40</v>
      </c>
      <c r="O271" s="76">
        <v>1</v>
      </c>
      <c r="P271" s="76"/>
      <c r="Q271" s="76"/>
      <c r="R271" s="76"/>
      <c r="S271" s="76"/>
      <c r="BD271" s="99">
        <f t="shared" si="9"/>
        <v>0</v>
      </c>
      <c r="CC271" s="99"/>
      <c r="CV271" s="99"/>
      <c r="CW271" s="63"/>
    </row>
    <row r="272" spans="1:101" x14ac:dyDescent="0.15">
      <c r="A272" s="76">
        <v>233</v>
      </c>
      <c r="B272" s="74" t="s">
        <v>8045</v>
      </c>
      <c r="C272" s="74">
        <v>997906391</v>
      </c>
      <c r="D272" s="78" t="str">
        <f t="shared" si="8"/>
        <v>https://portal.dnb.de/opac.htm?method=simpleSearch&amp;cqlMode=true&amp;query=idn%3D997906391</v>
      </c>
      <c r="E272" s="74" t="s">
        <v>8046</v>
      </c>
      <c r="F272" s="74"/>
      <c r="G272" s="76"/>
      <c r="H272" s="77"/>
      <c r="I272" s="76"/>
      <c r="J272" s="77"/>
      <c r="K272" s="77"/>
      <c r="L272" s="76"/>
      <c r="M272" s="76"/>
      <c r="N272" s="76"/>
      <c r="O272" s="76"/>
      <c r="P272" s="76"/>
      <c r="Q272" s="76"/>
      <c r="R272" s="76"/>
      <c r="S272" s="76"/>
      <c r="BD272" s="99">
        <f t="shared" si="9"/>
        <v>0</v>
      </c>
      <c r="CC272" s="99"/>
      <c r="CV272" s="99"/>
      <c r="CW272" s="63"/>
    </row>
    <row r="273" spans="1:101" ht="21.75" customHeight="1" x14ac:dyDescent="0.15">
      <c r="A273" s="76">
        <v>234</v>
      </c>
      <c r="B273" s="74" t="s">
        <v>8053</v>
      </c>
      <c r="C273" s="74">
        <v>999640100</v>
      </c>
      <c r="D273" s="78" t="str">
        <f t="shared" si="8"/>
        <v>https://portal.dnb.de/opac.htm?method=simpleSearch&amp;cqlMode=true&amp;query=idn%3D999640100</v>
      </c>
      <c r="E273" s="74" t="s">
        <v>8054</v>
      </c>
      <c r="F273" s="74"/>
      <c r="G273" s="76"/>
      <c r="H273" s="77" t="s">
        <v>51</v>
      </c>
      <c r="I273" s="76"/>
      <c r="J273" s="77"/>
      <c r="K273" s="77"/>
      <c r="L273" s="76"/>
      <c r="M273" s="76"/>
      <c r="N273" s="76"/>
      <c r="O273" s="76"/>
      <c r="P273" s="76"/>
      <c r="Q273" s="77" t="s">
        <v>8573</v>
      </c>
      <c r="R273" s="76"/>
      <c r="S273" s="76"/>
      <c r="BD273" s="99">
        <f t="shared" si="9"/>
        <v>0</v>
      </c>
      <c r="CC273" s="99"/>
      <c r="CV273" s="99"/>
      <c r="CW273" s="63"/>
    </row>
    <row r="274" spans="1:101" ht="32.25" customHeight="1" x14ac:dyDescent="0.15">
      <c r="A274" s="76">
        <v>235</v>
      </c>
      <c r="B274" s="74" t="s">
        <v>8055</v>
      </c>
      <c r="C274" s="74">
        <v>989004139</v>
      </c>
      <c r="D274" s="78" t="str">
        <f t="shared" si="8"/>
        <v>https://portal.dnb.de/opac.htm?method=simpleSearch&amp;cqlMode=true&amp;query=idn%3D989004139</v>
      </c>
      <c r="E274" s="74" t="s">
        <v>8056</v>
      </c>
      <c r="F274" s="74"/>
      <c r="G274" s="76"/>
      <c r="H274" s="77" t="s">
        <v>48</v>
      </c>
      <c r="I274" s="76" t="s">
        <v>53</v>
      </c>
      <c r="J274" s="77" t="s">
        <v>58</v>
      </c>
      <c r="K274" s="77" t="s">
        <v>8539</v>
      </c>
      <c r="L274" s="76"/>
      <c r="M274" s="76"/>
      <c r="N274" s="76" t="s">
        <v>8523</v>
      </c>
      <c r="O274" s="76">
        <v>0</v>
      </c>
      <c r="P274" s="76"/>
      <c r="Q274" s="76"/>
      <c r="R274" s="77" t="s">
        <v>8574</v>
      </c>
      <c r="S274" s="76"/>
      <c r="BD274" s="99">
        <f t="shared" si="9"/>
        <v>0</v>
      </c>
      <c r="CC274" s="99"/>
      <c r="CV274" s="99"/>
      <c r="CW274" s="63"/>
    </row>
    <row r="275" spans="1:101" x14ac:dyDescent="0.15">
      <c r="A275" s="76">
        <v>236</v>
      </c>
      <c r="B275" s="74" t="s">
        <v>8057</v>
      </c>
      <c r="C275" s="74">
        <v>1203920121</v>
      </c>
      <c r="D275" s="78" t="str">
        <f t="shared" si="8"/>
        <v>https://portal.dnb.de/opac.htm?method=simpleSearch&amp;cqlMode=true&amp;query=idn%3D1203920121</v>
      </c>
      <c r="E275" s="74" t="s">
        <v>8058</v>
      </c>
      <c r="F275" s="74"/>
      <c r="G275" s="76"/>
      <c r="H275" s="77"/>
      <c r="I275" s="76"/>
      <c r="J275" s="77"/>
      <c r="K275" s="77"/>
      <c r="L275" s="76"/>
      <c r="M275" s="76"/>
      <c r="N275" s="76"/>
      <c r="O275" s="76"/>
      <c r="P275" s="76"/>
      <c r="Q275" s="76"/>
      <c r="R275" s="76"/>
      <c r="S275" s="76"/>
      <c r="BD275" s="99">
        <f t="shared" si="9"/>
        <v>0</v>
      </c>
      <c r="CC275" s="99"/>
      <c r="CV275" s="99"/>
      <c r="CW275" s="63"/>
    </row>
    <row r="276" spans="1:101" x14ac:dyDescent="0.15">
      <c r="A276" s="76">
        <v>237</v>
      </c>
      <c r="B276" s="74" t="s">
        <v>8059</v>
      </c>
      <c r="C276" s="74">
        <v>995988471</v>
      </c>
      <c r="D276" s="78" t="str">
        <f t="shared" si="8"/>
        <v>https://portal.dnb.de/opac.htm?method=simpleSearch&amp;cqlMode=true&amp;query=idn%3D995988471</v>
      </c>
      <c r="E276" s="74" t="s">
        <v>8060</v>
      </c>
      <c r="F276" s="74"/>
      <c r="G276" s="76" t="s">
        <v>8541</v>
      </c>
      <c r="H276" s="77" t="s">
        <v>48</v>
      </c>
      <c r="I276" s="76" t="s">
        <v>53</v>
      </c>
      <c r="J276" s="77" t="s">
        <v>8516</v>
      </c>
      <c r="K276" s="77" t="s">
        <v>84</v>
      </c>
      <c r="L276" s="76"/>
      <c r="M276" s="76"/>
      <c r="N276" s="76"/>
      <c r="O276" s="76">
        <v>0</v>
      </c>
      <c r="P276" s="76"/>
      <c r="Q276" s="76"/>
      <c r="R276" s="76"/>
      <c r="S276" s="76"/>
      <c r="BD276" s="99">
        <f t="shared" si="9"/>
        <v>0</v>
      </c>
      <c r="CC276" s="99"/>
      <c r="CV276" s="99"/>
      <c r="CW276" s="63"/>
    </row>
    <row r="277" spans="1:101" ht="33.75" x14ac:dyDescent="0.15">
      <c r="A277" s="76">
        <v>238</v>
      </c>
      <c r="B277" s="74" t="s">
        <v>8063</v>
      </c>
      <c r="C277" s="74">
        <v>999815660</v>
      </c>
      <c r="D277" s="78" t="str">
        <f t="shared" si="8"/>
        <v>https://portal.dnb.de/opac.htm?method=simpleSearch&amp;cqlMode=true&amp;query=idn%3D999815660</v>
      </c>
      <c r="E277" s="74" t="s">
        <v>8064</v>
      </c>
      <c r="F277" s="74"/>
      <c r="G277" s="76"/>
      <c r="H277" s="77" t="s">
        <v>48</v>
      </c>
      <c r="I277" s="76" t="s">
        <v>53</v>
      </c>
      <c r="J277" s="77" t="s">
        <v>8516</v>
      </c>
      <c r="K277" s="77" t="s">
        <v>8540</v>
      </c>
      <c r="L277" s="76"/>
      <c r="M277" s="76"/>
      <c r="N277" s="76"/>
      <c r="O277" s="76">
        <v>1</v>
      </c>
      <c r="P277" s="76"/>
      <c r="Q277" s="76"/>
      <c r="R277" s="76"/>
      <c r="S277" s="76"/>
      <c r="BD277" s="99">
        <f t="shared" si="9"/>
        <v>0</v>
      </c>
      <c r="CC277" s="99"/>
      <c r="CV277" s="99"/>
      <c r="CW277" s="63"/>
    </row>
    <row r="278" spans="1:101" x14ac:dyDescent="0.15">
      <c r="A278" s="76">
        <v>239</v>
      </c>
      <c r="B278" s="74" t="s">
        <v>8072</v>
      </c>
      <c r="C278" s="74">
        <v>994591969</v>
      </c>
      <c r="D278" s="78" t="str">
        <f t="shared" si="8"/>
        <v>https://portal.dnb.de/opac.htm?method=simpleSearch&amp;cqlMode=true&amp;query=idn%3D994591969</v>
      </c>
      <c r="E278" s="74" t="s">
        <v>8073</v>
      </c>
      <c r="F278" s="74"/>
      <c r="G278" s="76" t="s">
        <v>8515</v>
      </c>
      <c r="H278" s="77" t="s">
        <v>48</v>
      </c>
      <c r="I278" s="76" t="s">
        <v>53</v>
      </c>
      <c r="J278" s="77" t="s">
        <v>89</v>
      </c>
      <c r="K278" s="77" t="s">
        <v>84</v>
      </c>
      <c r="L278" s="76"/>
      <c r="M278" s="76" t="s">
        <v>38</v>
      </c>
      <c r="N278" s="76" t="s">
        <v>40</v>
      </c>
      <c r="O278" s="76">
        <v>0</v>
      </c>
      <c r="P278" s="76"/>
      <c r="Q278" s="76"/>
      <c r="R278" s="76"/>
      <c r="S278" s="76"/>
      <c r="BD278" s="99">
        <f t="shared" si="9"/>
        <v>0</v>
      </c>
      <c r="CC278" s="99"/>
      <c r="CV278" s="99"/>
      <c r="CW278" s="63"/>
    </row>
    <row r="279" spans="1:101" ht="22.5" x14ac:dyDescent="0.15">
      <c r="A279" s="76">
        <v>240</v>
      </c>
      <c r="B279" s="74" t="s">
        <v>8082</v>
      </c>
      <c r="C279" s="74" t="s">
        <v>8083</v>
      </c>
      <c r="D279" s="78" t="str">
        <f t="shared" si="8"/>
        <v>https://portal.dnb.de/opac.htm?method=simpleSearch&amp;cqlMode=true&amp;query=idn%3D99424679X</v>
      </c>
      <c r="E279" s="74" t="s">
        <v>8084</v>
      </c>
      <c r="F279" s="74"/>
      <c r="G279" s="76" t="s">
        <v>8515</v>
      </c>
      <c r="H279" s="77" t="s">
        <v>5</v>
      </c>
      <c r="I279" s="76" t="s">
        <v>53</v>
      </c>
      <c r="J279" s="77" t="s">
        <v>8516</v>
      </c>
      <c r="K279" s="77" t="s">
        <v>8647</v>
      </c>
      <c r="L279" s="76"/>
      <c r="M279" s="76" t="s">
        <v>38</v>
      </c>
      <c r="N279" s="76" t="s">
        <v>40</v>
      </c>
      <c r="O279" s="76">
        <v>0</v>
      </c>
      <c r="P279" s="76"/>
      <c r="Q279" s="76"/>
      <c r="R279" s="76"/>
      <c r="S279" s="76"/>
      <c r="BD279" s="99">
        <f t="shared" si="9"/>
        <v>0</v>
      </c>
      <c r="CC279" s="99"/>
      <c r="CV279" s="99"/>
      <c r="CW279" s="63"/>
    </row>
    <row r="280" spans="1:101" x14ac:dyDescent="0.15">
      <c r="A280" s="76">
        <v>241</v>
      </c>
      <c r="B280" s="74" t="s">
        <v>8085</v>
      </c>
      <c r="C280" s="74">
        <v>994245807</v>
      </c>
      <c r="D280" s="78" t="str">
        <f t="shared" si="8"/>
        <v>https://portal.dnb.de/opac.htm?method=simpleSearch&amp;cqlMode=true&amp;query=idn%3D994245807</v>
      </c>
      <c r="E280" s="74" t="s">
        <v>8086</v>
      </c>
      <c r="F280" s="74"/>
      <c r="G280" s="76"/>
      <c r="H280" s="77"/>
      <c r="I280" s="76"/>
      <c r="J280" s="77"/>
      <c r="K280" s="77"/>
      <c r="L280" s="76"/>
      <c r="M280" s="76"/>
      <c r="N280" s="76"/>
      <c r="O280" s="76"/>
      <c r="P280" s="76"/>
      <c r="Q280" s="76"/>
      <c r="R280" s="76"/>
      <c r="S280" s="76"/>
      <c r="BD280" s="99">
        <f t="shared" si="9"/>
        <v>0</v>
      </c>
      <c r="CC280" s="99"/>
      <c r="CV280" s="99"/>
      <c r="CW280" s="63"/>
    </row>
    <row r="281" spans="1:101" ht="22.5" x14ac:dyDescent="0.15">
      <c r="A281" s="76">
        <v>242</v>
      </c>
      <c r="B281" s="74" t="s">
        <v>8087</v>
      </c>
      <c r="C281" s="74" t="s">
        <v>8083</v>
      </c>
      <c r="D281" s="78" t="str">
        <f t="shared" si="8"/>
        <v>https://portal.dnb.de/opac.htm?method=simpleSearch&amp;cqlMode=true&amp;query=idn%3D99424679X</v>
      </c>
      <c r="E281" s="74" t="s">
        <v>8086</v>
      </c>
      <c r="F281" s="74"/>
      <c r="G281" s="76"/>
      <c r="H281" s="77" t="s">
        <v>4</v>
      </c>
      <c r="I281" s="76" t="s">
        <v>53</v>
      </c>
      <c r="J281" s="77" t="s">
        <v>8516</v>
      </c>
      <c r="K281" s="77" t="s">
        <v>8664</v>
      </c>
      <c r="L281" s="76"/>
      <c r="M281" s="76" t="s">
        <v>36</v>
      </c>
      <c r="N281" s="76" t="s">
        <v>39</v>
      </c>
      <c r="O281" s="76">
        <v>1</v>
      </c>
      <c r="P281" s="76"/>
      <c r="Q281" s="76"/>
      <c r="R281" s="76"/>
      <c r="S281" s="76"/>
      <c r="BD281" s="99">
        <f t="shared" si="9"/>
        <v>0</v>
      </c>
      <c r="CC281" s="99"/>
      <c r="CV281" s="99"/>
      <c r="CW281" s="63"/>
    </row>
    <row r="282" spans="1:101" ht="22.5" x14ac:dyDescent="0.15">
      <c r="A282" s="76">
        <v>243</v>
      </c>
      <c r="B282" s="74" t="s">
        <v>8090</v>
      </c>
      <c r="C282" s="74" t="s">
        <v>8091</v>
      </c>
      <c r="D282" s="78" t="str">
        <f t="shared" si="8"/>
        <v>https://portal.dnb.de/opac.htm?method=simpleSearch&amp;cqlMode=true&amp;query=idn%3D99570273X</v>
      </c>
      <c r="E282" s="74" t="s">
        <v>8092</v>
      </c>
      <c r="F282" s="74"/>
      <c r="G282" s="76"/>
      <c r="H282" s="77" t="s">
        <v>18</v>
      </c>
      <c r="I282" s="76" t="s">
        <v>53</v>
      </c>
      <c r="J282" s="77" t="s">
        <v>58</v>
      </c>
      <c r="K282" s="77" t="s">
        <v>8665</v>
      </c>
      <c r="L282" s="76"/>
      <c r="M282" s="76"/>
      <c r="N282" s="76"/>
      <c r="O282" s="76">
        <v>1</v>
      </c>
      <c r="P282" s="76"/>
      <c r="Q282" s="76"/>
      <c r="R282" s="76"/>
      <c r="S282" s="76"/>
      <c r="BD282" s="99">
        <f t="shared" si="9"/>
        <v>0</v>
      </c>
      <c r="CC282" s="99"/>
      <c r="CV282" s="99"/>
      <c r="CW282" s="63"/>
    </row>
    <row r="283" spans="1:101" ht="33.75" x14ac:dyDescent="0.15">
      <c r="A283" s="76">
        <v>244</v>
      </c>
      <c r="B283" s="74" t="s">
        <v>8093</v>
      </c>
      <c r="C283" s="74" t="s">
        <v>8094</v>
      </c>
      <c r="D283" s="78" t="str">
        <f t="shared" si="8"/>
        <v>https://portal.dnb.de/opac.htm?method=simpleSearch&amp;cqlMode=true&amp;query=idn%3D99879452X</v>
      </c>
      <c r="E283" s="74" t="s">
        <v>8095</v>
      </c>
      <c r="F283" s="74"/>
      <c r="G283" s="76"/>
      <c r="H283" s="77" t="s">
        <v>8546</v>
      </c>
      <c r="I283" s="76" t="s">
        <v>53</v>
      </c>
      <c r="J283" s="77" t="s">
        <v>58</v>
      </c>
      <c r="K283" s="77" t="s">
        <v>8539</v>
      </c>
      <c r="L283" s="76"/>
      <c r="M283" s="76" t="s">
        <v>38</v>
      </c>
      <c r="N283" s="76"/>
      <c r="O283" s="76">
        <v>0</v>
      </c>
      <c r="P283" s="76"/>
      <c r="Q283" s="76"/>
      <c r="R283" s="76"/>
      <c r="S283" s="76"/>
      <c r="BD283" s="99">
        <f t="shared" si="9"/>
        <v>0</v>
      </c>
      <c r="CC283" s="99"/>
      <c r="CV283" s="99"/>
      <c r="CW283" s="63"/>
    </row>
    <row r="284" spans="1:101" x14ac:dyDescent="0.15">
      <c r="A284" s="76">
        <v>245</v>
      </c>
      <c r="B284" s="74" t="s">
        <v>8098</v>
      </c>
      <c r="C284" s="74">
        <v>1000574903</v>
      </c>
      <c r="D284" s="78" t="str">
        <f t="shared" si="8"/>
        <v>https://portal.dnb.de/opac.htm?method=simpleSearch&amp;cqlMode=true&amp;query=idn%3D1000574903</v>
      </c>
      <c r="E284" s="74" t="s">
        <v>8099</v>
      </c>
      <c r="F284" s="74"/>
      <c r="G284" s="76"/>
      <c r="H284" s="77" t="s">
        <v>48</v>
      </c>
      <c r="I284" s="76" t="s">
        <v>53</v>
      </c>
      <c r="J284" s="77" t="s">
        <v>8516</v>
      </c>
      <c r="K284" s="77"/>
      <c r="L284" s="76"/>
      <c r="M284" s="76"/>
      <c r="N284" s="76"/>
      <c r="O284" s="76">
        <v>1</v>
      </c>
      <c r="P284" s="76"/>
      <c r="Q284" s="76"/>
      <c r="R284" s="76"/>
      <c r="S284" s="76"/>
      <c r="BD284" s="99">
        <f t="shared" si="9"/>
        <v>0</v>
      </c>
      <c r="CC284" s="99"/>
      <c r="CV284" s="99"/>
      <c r="CW284" s="63"/>
    </row>
    <row r="285" spans="1:101" x14ac:dyDescent="0.15">
      <c r="A285" s="76">
        <v>246</v>
      </c>
      <c r="B285" s="74" t="s">
        <v>8100</v>
      </c>
      <c r="C285" s="74">
        <v>993902278</v>
      </c>
      <c r="D285" s="78" t="str">
        <f t="shared" si="8"/>
        <v>https://portal.dnb.de/opac.htm?method=simpleSearch&amp;cqlMode=true&amp;query=idn%3D993902278</v>
      </c>
      <c r="E285" s="74" t="s">
        <v>8101</v>
      </c>
      <c r="F285" s="74"/>
      <c r="G285" s="76"/>
      <c r="H285" s="77" t="s">
        <v>5</v>
      </c>
      <c r="I285" s="76" t="s">
        <v>53</v>
      </c>
      <c r="J285" s="77" t="s">
        <v>58</v>
      </c>
      <c r="K285" s="77"/>
      <c r="L285" s="76"/>
      <c r="M285" s="76" t="s">
        <v>36</v>
      </c>
      <c r="N285" s="76" t="s">
        <v>39</v>
      </c>
      <c r="O285" s="76">
        <v>1</v>
      </c>
      <c r="P285" s="76"/>
      <c r="Q285" s="76"/>
      <c r="R285" s="76"/>
      <c r="S285" s="76"/>
      <c r="BD285" s="99">
        <f t="shared" si="9"/>
        <v>0</v>
      </c>
      <c r="CC285" s="99"/>
      <c r="CV285" s="99"/>
      <c r="CW285" s="63"/>
    </row>
    <row r="286" spans="1:101" x14ac:dyDescent="0.15">
      <c r="A286" s="76">
        <v>247</v>
      </c>
      <c r="B286" s="74" t="s">
        <v>8102</v>
      </c>
      <c r="C286" s="74">
        <v>1002181399</v>
      </c>
      <c r="D286" s="78" t="str">
        <f t="shared" si="8"/>
        <v>https://portal.dnb.de/opac.htm?method=simpleSearch&amp;cqlMode=true&amp;query=idn%3D1002181399</v>
      </c>
      <c r="E286" s="74" t="s">
        <v>8101</v>
      </c>
      <c r="F286" s="74"/>
      <c r="G286" s="76"/>
      <c r="H286" s="77"/>
      <c r="I286" s="76"/>
      <c r="J286" s="77"/>
      <c r="K286" s="77"/>
      <c r="L286" s="76"/>
      <c r="M286" s="76"/>
      <c r="N286" s="76"/>
      <c r="O286" s="76"/>
      <c r="P286" s="76"/>
      <c r="Q286" s="76"/>
      <c r="R286" s="76"/>
      <c r="S286" s="76"/>
      <c r="BD286" s="99">
        <f t="shared" si="9"/>
        <v>0</v>
      </c>
      <c r="CC286" s="99"/>
      <c r="CV286" s="99"/>
      <c r="CW286" s="63"/>
    </row>
    <row r="287" spans="1:101" ht="22.5" x14ac:dyDescent="0.15">
      <c r="A287" s="76">
        <v>248</v>
      </c>
      <c r="B287" s="74" t="s">
        <v>8107</v>
      </c>
      <c r="C287" s="74">
        <v>996823670</v>
      </c>
      <c r="D287" s="78" t="str">
        <f t="shared" si="8"/>
        <v>https://portal.dnb.de/opac.htm?method=simpleSearch&amp;cqlMode=true&amp;query=idn%3D996823670</v>
      </c>
      <c r="E287" s="74" t="s">
        <v>8108</v>
      </c>
      <c r="F287" s="74"/>
      <c r="G287" s="76" t="s">
        <v>8515</v>
      </c>
      <c r="H287" s="77" t="s">
        <v>48</v>
      </c>
      <c r="I287" s="76" t="s">
        <v>53</v>
      </c>
      <c r="J287" s="77" t="s">
        <v>58</v>
      </c>
      <c r="K287" s="77" t="s">
        <v>8539</v>
      </c>
      <c r="L287" s="76"/>
      <c r="M287" s="76"/>
      <c r="N287" s="76"/>
      <c r="O287" s="76">
        <v>1</v>
      </c>
      <c r="P287" s="76"/>
      <c r="Q287" s="76"/>
      <c r="R287" s="76"/>
      <c r="S287" s="76"/>
      <c r="BD287" s="99">
        <f t="shared" si="9"/>
        <v>0</v>
      </c>
      <c r="CC287" s="99"/>
      <c r="CV287" s="99"/>
      <c r="CW287" s="63"/>
    </row>
    <row r="288" spans="1:101" ht="33.75" x14ac:dyDescent="0.15">
      <c r="A288" s="76">
        <v>249</v>
      </c>
      <c r="B288" s="74" t="s">
        <v>8109</v>
      </c>
      <c r="C288" s="74">
        <v>994052308</v>
      </c>
      <c r="D288" s="78" t="str">
        <f t="shared" si="8"/>
        <v>https://portal.dnb.de/opac.htm?method=simpleSearch&amp;cqlMode=true&amp;query=idn%3D994052308</v>
      </c>
      <c r="E288" s="74" t="s">
        <v>8110</v>
      </c>
      <c r="F288" s="74"/>
      <c r="G288" s="76"/>
      <c r="H288" s="77" t="s">
        <v>4</v>
      </c>
      <c r="I288" s="76" t="s">
        <v>55</v>
      </c>
      <c r="J288" s="77" t="s">
        <v>58</v>
      </c>
      <c r="K288" s="77" t="s">
        <v>9352</v>
      </c>
      <c r="L288" s="76"/>
      <c r="M288" s="76"/>
      <c r="N288" s="76" t="s">
        <v>8660</v>
      </c>
      <c r="O288" s="76">
        <v>1</v>
      </c>
      <c r="P288" s="76"/>
      <c r="Q288" s="76"/>
      <c r="R288" s="76"/>
      <c r="S288" s="76"/>
      <c r="BD288" s="99">
        <f t="shared" si="9"/>
        <v>0</v>
      </c>
      <c r="CC288" s="99"/>
      <c r="CV288" s="99"/>
      <c r="CW288" s="63"/>
    </row>
    <row r="289" spans="1:101" ht="33.75" x14ac:dyDescent="0.15">
      <c r="A289" s="76">
        <v>250</v>
      </c>
      <c r="B289" s="74" t="s">
        <v>8111</v>
      </c>
      <c r="C289" s="74">
        <v>994052308</v>
      </c>
      <c r="D289" s="78" t="str">
        <f t="shared" si="8"/>
        <v>https://portal.dnb.de/opac.htm?method=simpleSearch&amp;cqlMode=true&amp;query=idn%3D994052308</v>
      </c>
      <c r="E289" s="74" t="s">
        <v>8112</v>
      </c>
      <c r="F289" s="74"/>
      <c r="G289" s="76" t="s">
        <v>8541</v>
      </c>
      <c r="H289" s="77" t="s">
        <v>8547</v>
      </c>
      <c r="I289" s="76" t="s">
        <v>56</v>
      </c>
      <c r="J289" s="77" t="s">
        <v>8516</v>
      </c>
      <c r="K289" s="77" t="s">
        <v>9352</v>
      </c>
      <c r="L289" s="76"/>
      <c r="M289" s="76" t="s">
        <v>38</v>
      </c>
      <c r="N289" s="76" t="s">
        <v>40</v>
      </c>
      <c r="O289" s="76">
        <v>0</v>
      </c>
      <c r="P289" s="76"/>
      <c r="Q289" s="76"/>
      <c r="R289" s="76"/>
      <c r="S289" s="76"/>
      <c r="BD289" s="99">
        <f t="shared" si="9"/>
        <v>0</v>
      </c>
      <c r="CC289" s="99"/>
      <c r="CV289" s="99"/>
      <c r="CW289" s="63"/>
    </row>
    <row r="290" spans="1:101" x14ac:dyDescent="0.15">
      <c r="A290" s="76">
        <v>251</v>
      </c>
      <c r="B290" s="74" t="s">
        <v>8136</v>
      </c>
      <c r="C290" s="74">
        <v>1002701708</v>
      </c>
      <c r="D290" s="78" t="str">
        <f t="shared" si="8"/>
        <v>https://portal.dnb.de/opac.htm?method=simpleSearch&amp;cqlMode=true&amp;query=idn%3D1002701708</v>
      </c>
      <c r="E290" s="74" t="s">
        <v>8137</v>
      </c>
      <c r="F290" s="74"/>
      <c r="G290" s="76"/>
      <c r="H290" s="77"/>
      <c r="I290" s="76"/>
      <c r="J290" s="77"/>
      <c r="K290" s="77"/>
      <c r="L290" s="76"/>
      <c r="M290" s="76"/>
      <c r="N290" s="76"/>
      <c r="O290" s="76"/>
      <c r="P290" s="76"/>
      <c r="Q290" s="76"/>
      <c r="R290" s="76"/>
      <c r="S290" s="76"/>
      <c r="BD290" s="99">
        <f t="shared" si="9"/>
        <v>0</v>
      </c>
      <c r="CC290" s="99"/>
      <c r="CV290" s="99"/>
      <c r="CW290" s="63"/>
    </row>
    <row r="291" spans="1:101" ht="22.5" x14ac:dyDescent="0.15">
      <c r="A291" s="76">
        <v>252</v>
      </c>
      <c r="B291" s="74" t="s">
        <v>8142</v>
      </c>
      <c r="C291" s="74">
        <v>997687045</v>
      </c>
      <c r="D291" s="78" t="str">
        <f t="shared" si="8"/>
        <v>https://portal.dnb.de/opac.htm?method=simpleSearch&amp;cqlMode=true&amp;query=idn%3D997687045</v>
      </c>
      <c r="E291" s="74" t="s">
        <v>8143</v>
      </c>
      <c r="F291" s="74"/>
      <c r="G291" s="76"/>
      <c r="H291" s="77" t="s">
        <v>18</v>
      </c>
      <c r="I291" s="76" t="s">
        <v>53</v>
      </c>
      <c r="J291" s="77" t="s">
        <v>58</v>
      </c>
      <c r="K291" s="77" t="s">
        <v>84</v>
      </c>
      <c r="L291" s="76"/>
      <c r="M291" s="76"/>
      <c r="N291" s="76"/>
      <c r="O291" s="76">
        <v>0</v>
      </c>
      <c r="P291" s="76"/>
      <c r="Q291" s="76"/>
      <c r="R291" s="76"/>
      <c r="S291" s="76"/>
      <c r="BD291" s="99">
        <f t="shared" si="9"/>
        <v>0</v>
      </c>
      <c r="CC291" s="99"/>
      <c r="CV291" s="99"/>
      <c r="CW291" s="63"/>
    </row>
    <row r="292" spans="1:101" ht="22.5" x14ac:dyDescent="0.15">
      <c r="A292" s="76">
        <v>253</v>
      </c>
      <c r="B292" s="74" t="s">
        <v>8166</v>
      </c>
      <c r="C292" s="74">
        <v>999956531</v>
      </c>
      <c r="D292" s="78" t="str">
        <f t="shared" si="8"/>
        <v>https://portal.dnb.de/opac.htm?method=simpleSearch&amp;cqlMode=true&amp;query=idn%3D999956531</v>
      </c>
      <c r="E292" s="74" t="s">
        <v>8167</v>
      </c>
      <c r="F292" s="74"/>
      <c r="G292" s="76"/>
      <c r="H292" s="77" t="s">
        <v>18</v>
      </c>
      <c r="I292" s="76" t="s">
        <v>53</v>
      </c>
      <c r="J292" s="77" t="s">
        <v>8516</v>
      </c>
      <c r="K292" s="77" t="s">
        <v>84</v>
      </c>
      <c r="L292" s="76"/>
      <c r="M292" s="76"/>
      <c r="N292" s="76"/>
      <c r="O292" s="76">
        <v>1</v>
      </c>
      <c r="P292" s="76"/>
      <c r="Q292" s="76"/>
      <c r="R292" s="76"/>
      <c r="S292" s="76"/>
      <c r="BD292" s="99">
        <f t="shared" si="9"/>
        <v>0</v>
      </c>
      <c r="CC292" s="99"/>
      <c r="CV292" s="99"/>
      <c r="CW292" s="63"/>
    </row>
    <row r="293" spans="1:101" ht="22.5" x14ac:dyDescent="0.15">
      <c r="A293" s="76">
        <v>254</v>
      </c>
      <c r="B293" s="74" t="s">
        <v>8168</v>
      </c>
      <c r="C293" s="74">
        <v>999956531</v>
      </c>
      <c r="D293" s="78" t="str">
        <f t="shared" si="8"/>
        <v>https://portal.dnb.de/opac.htm?method=simpleSearch&amp;cqlMode=true&amp;query=idn%3D999956531</v>
      </c>
      <c r="E293" s="74" t="s">
        <v>8169</v>
      </c>
      <c r="F293" s="74"/>
      <c r="G293" s="76"/>
      <c r="H293" s="77" t="s">
        <v>8553</v>
      </c>
      <c r="I293" s="76" t="s">
        <v>53</v>
      </c>
      <c r="J293" s="77" t="s">
        <v>8516</v>
      </c>
      <c r="K293" s="77" t="s">
        <v>84</v>
      </c>
      <c r="L293" s="76"/>
      <c r="M293" s="76"/>
      <c r="N293" s="76"/>
      <c r="O293" s="76">
        <v>0</v>
      </c>
      <c r="P293" s="76"/>
      <c r="Q293" s="76"/>
      <c r="R293" s="76" t="s">
        <v>8568</v>
      </c>
      <c r="S293" s="76"/>
      <c r="BD293" s="99">
        <f t="shared" si="9"/>
        <v>0</v>
      </c>
      <c r="CC293" s="99"/>
      <c r="CV293" s="99"/>
      <c r="CW293" s="63"/>
    </row>
    <row r="294" spans="1:101" x14ac:dyDescent="0.15">
      <c r="A294" s="76">
        <v>255</v>
      </c>
      <c r="B294" s="74" t="s">
        <v>8200</v>
      </c>
      <c r="C294" s="74">
        <v>1207570095</v>
      </c>
      <c r="D294" s="78" t="str">
        <f t="shared" si="8"/>
        <v>https://portal.dnb.de/opac.htm?method=simpleSearch&amp;cqlMode=true&amp;query=idn%3D1207570095</v>
      </c>
      <c r="E294" s="74" t="s">
        <v>8201</v>
      </c>
      <c r="F294" s="74"/>
      <c r="G294" s="76"/>
      <c r="H294" s="77"/>
      <c r="I294" s="76"/>
      <c r="J294" s="77"/>
      <c r="K294" s="77"/>
      <c r="L294" s="76"/>
      <c r="M294" s="76"/>
      <c r="N294" s="76"/>
      <c r="O294" s="76"/>
      <c r="P294" s="76"/>
      <c r="Q294" s="76"/>
      <c r="R294" s="76"/>
      <c r="S294" s="76"/>
      <c r="BD294" s="99">
        <f t="shared" si="9"/>
        <v>0</v>
      </c>
      <c r="CC294" s="99"/>
      <c r="CV294" s="99"/>
      <c r="CW294" s="63"/>
    </row>
    <row r="295" spans="1:101" x14ac:dyDescent="0.15">
      <c r="A295" s="76">
        <v>256</v>
      </c>
      <c r="B295" s="74" t="s">
        <v>8202</v>
      </c>
      <c r="C295" s="74">
        <v>1207569194</v>
      </c>
      <c r="D295" s="78" t="str">
        <f t="shared" si="8"/>
        <v>https://portal.dnb.de/opac.htm?method=simpleSearch&amp;cqlMode=true&amp;query=idn%3D1207569194</v>
      </c>
      <c r="E295" s="74" t="s">
        <v>8203</v>
      </c>
      <c r="F295" s="74"/>
      <c r="G295" s="76"/>
      <c r="H295" s="77"/>
      <c r="I295" s="76"/>
      <c r="J295" s="77"/>
      <c r="K295" s="77"/>
      <c r="L295" s="76"/>
      <c r="M295" s="76"/>
      <c r="N295" s="76"/>
      <c r="O295" s="76"/>
      <c r="P295" s="76"/>
      <c r="Q295" s="76"/>
      <c r="R295" s="76"/>
      <c r="S295" s="76"/>
      <c r="BD295" s="99">
        <f t="shared" si="9"/>
        <v>0</v>
      </c>
      <c r="CC295" s="99"/>
      <c r="CV295" s="99"/>
      <c r="CW295" s="63"/>
    </row>
    <row r="296" spans="1:101" ht="33.75" x14ac:dyDescent="0.15">
      <c r="A296" s="76">
        <v>257</v>
      </c>
      <c r="B296" s="74" t="s">
        <v>8227</v>
      </c>
      <c r="C296" s="74">
        <v>1100197079</v>
      </c>
      <c r="D296" s="78" t="str">
        <f t="shared" si="8"/>
        <v>https://portal.dnb.de/opac.htm?method=simpleSearch&amp;cqlMode=true&amp;query=idn%3D1100197079</v>
      </c>
      <c r="E296" s="74" t="s">
        <v>8228</v>
      </c>
      <c r="F296" s="74"/>
      <c r="G296" s="76"/>
      <c r="H296" s="77" t="s">
        <v>5</v>
      </c>
      <c r="I296" s="76" t="s">
        <v>53</v>
      </c>
      <c r="J296" s="77" t="s">
        <v>8516</v>
      </c>
      <c r="K296" s="77" t="s">
        <v>8667</v>
      </c>
      <c r="L296" s="76"/>
      <c r="M296" s="76" t="s">
        <v>33</v>
      </c>
      <c r="N296" s="76" t="s">
        <v>40</v>
      </c>
      <c r="O296" s="76">
        <v>0</v>
      </c>
      <c r="P296" s="76"/>
      <c r="Q296" s="76"/>
      <c r="R296" s="76"/>
      <c r="S296" s="76"/>
      <c r="BD296" s="99">
        <f t="shared" si="9"/>
        <v>0</v>
      </c>
      <c r="CC296" s="99"/>
      <c r="CV296" s="99"/>
      <c r="CW296" s="63"/>
    </row>
    <row r="297" spans="1:101" ht="22.5" x14ac:dyDescent="0.15">
      <c r="A297" s="76">
        <v>258</v>
      </c>
      <c r="B297" s="74" t="s">
        <v>8229</v>
      </c>
      <c r="C297" s="74">
        <v>1109913184</v>
      </c>
      <c r="D297" s="78" t="str">
        <f t="shared" si="8"/>
        <v>https://portal.dnb.de/opac.htm?method=simpleSearch&amp;cqlMode=true&amp;query=idn%3D1109913184</v>
      </c>
      <c r="E297" s="74" t="s">
        <v>8230</v>
      </c>
      <c r="F297" s="74"/>
      <c r="G297" s="76"/>
      <c r="H297" s="77" t="s">
        <v>5</v>
      </c>
      <c r="I297" s="76" t="s">
        <v>53</v>
      </c>
      <c r="J297" s="77" t="s">
        <v>8516</v>
      </c>
      <c r="K297" s="77" t="s">
        <v>8647</v>
      </c>
      <c r="L297" s="76"/>
      <c r="M297" s="76" t="s">
        <v>33</v>
      </c>
      <c r="N297" s="76" t="s">
        <v>40</v>
      </c>
      <c r="O297" s="76">
        <v>0</v>
      </c>
      <c r="P297" s="76"/>
      <c r="Q297" s="76"/>
      <c r="R297" s="76"/>
      <c r="S297" s="76"/>
      <c r="BD297" s="99">
        <f t="shared" si="9"/>
        <v>0</v>
      </c>
      <c r="CC297" s="99"/>
      <c r="CV297" s="99"/>
      <c r="CW297" s="63"/>
    </row>
    <row r="298" spans="1:101" ht="33.75" x14ac:dyDescent="0.15">
      <c r="A298" s="76">
        <v>259</v>
      </c>
      <c r="B298" s="74" t="s">
        <v>8231</v>
      </c>
      <c r="C298" s="74">
        <v>1109913753</v>
      </c>
      <c r="D298" s="78" t="str">
        <f t="shared" si="8"/>
        <v>https://portal.dnb.de/opac.htm?method=simpleSearch&amp;cqlMode=true&amp;query=idn%3D1109913753</v>
      </c>
      <c r="E298" s="74" t="s">
        <v>8232</v>
      </c>
      <c r="F298" s="74"/>
      <c r="G298" s="76"/>
      <c r="H298" s="77" t="s">
        <v>5</v>
      </c>
      <c r="I298" s="76" t="s">
        <v>53</v>
      </c>
      <c r="J298" s="77" t="s">
        <v>8516</v>
      </c>
      <c r="K298" s="77" t="s">
        <v>8667</v>
      </c>
      <c r="L298" s="76"/>
      <c r="M298" s="76" t="s">
        <v>33</v>
      </c>
      <c r="N298" s="76" t="s">
        <v>40</v>
      </c>
      <c r="O298" s="76">
        <v>0</v>
      </c>
      <c r="P298" s="76"/>
      <c r="Q298" s="76"/>
      <c r="R298" s="76"/>
      <c r="S298" s="76"/>
      <c r="BD298" s="99">
        <f t="shared" si="9"/>
        <v>0</v>
      </c>
      <c r="CC298" s="99"/>
      <c r="CV298" s="99"/>
      <c r="CW298" s="63"/>
    </row>
    <row r="299" spans="1:101" ht="33.75" x14ac:dyDescent="0.15">
      <c r="A299" s="76"/>
      <c r="B299" s="74"/>
      <c r="C299" s="74"/>
      <c r="D299" s="78"/>
      <c r="E299" s="74" t="s">
        <v>8672</v>
      </c>
      <c r="F299" s="74"/>
      <c r="G299" s="76"/>
      <c r="H299" s="77" t="s">
        <v>8673</v>
      </c>
      <c r="I299" s="76" t="s">
        <v>54</v>
      </c>
      <c r="J299" s="77" t="s">
        <v>8516</v>
      </c>
      <c r="K299" s="77" t="s">
        <v>8520</v>
      </c>
      <c r="L299" s="76"/>
      <c r="M299" s="76" t="s">
        <v>37</v>
      </c>
      <c r="N299" s="76" t="s">
        <v>40</v>
      </c>
      <c r="O299" s="76">
        <v>0</v>
      </c>
      <c r="P299" s="76"/>
      <c r="Q299" s="76"/>
      <c r="R299" s="76"/>
      <c r="S299" s="76"/>
      <c r="BD299" s="99">
        <f t="shared" si="9"/>
        <v>0</v>
      </c>
      <c r="CC299" s="99"/>
      <c r="CV299" s="99"/>
      <c r="CW299" s="63"/>
    </row>
    <row r="300" spans="1:101" ht="22.5" x14ac:dyDescent="0.15">
      <c r="A300" s="76">
        <v>260</v>
      </c>
      <c r="B300" s="74" t="s">
        <v>96</v>
      </c>
      <c r="C300" s="74">
        <v>993906206</v>
      </c>
      <c r="D300" s="78" t="str">
        <f t="shared" si="8"/>
        <v>https://portal.dnb.de/opac.htm?method=simpleSearch&amp;cqlMode=true&amp;query=idn%3D993906206</v>
      </c>
      <c r="E300" s="74" t="s">
        <v>97</v>
      </c>
      <c r="F300" s="74"/>
      <c r="G300" s="76" t="s">
        <v>8515</v>
      </c>
      <c r="H300" s="77" t="s">
        <v>18</v>
      </c>
      <c r="I300" s="76" t="s">
        <v>53</v>
      </c>
      <c r="J300" s="77" t="s">
        <v>8516</v>
      </c>
      <c r="K300" s="77" t="s">
        <v>84</v>
      </c>
      <c r="L300" s="76"/>
      <c r="M300" s="76" t="s">
        <v>38</v>
      </c>
      <c r="N300" s="76" t="s">
        <v>40</v>
      </c>
      <c r="O300" s="76">
        <v>1</v>
      </c>
      <c r="P300" s="76"/>
      <c r="Q300" s="76"/>
      <c r="R300" s="76"/>
      <c r="S300" s="76"/>
      <c r="X300" s="95" t="s">
        <v>8541</v>
      </c>
      <c r="Y300" s="95" t="s">
        <v>9725</v>
      </c>
      <c r="AC300" s="95" t="s">
        <v>9739</v>
      </c>
      <c r="AI300" s="95" t="s">
        <v>9725</v>
      </c>
      <c r="AW300" s="95">
        <v>110</v>
      </c>
      <c r="BC300" s="96" t="s">
        <v>9726</v>
      </c>
      <c r="BD300" s="99">
        <f t="shared" si="9"/>
        <v>0.5</v>
      </c>
      <c r="BP300" s="69" t="s">
        <v>8541</v>
      </c>
      <c r="BR300" s="95" t="s">
        <v>8541</v>
      </c>
      <c r="CC300" s="99">
        <v>0.5</v>
      </c>
      <c r="CV300" s="99"/>
      <c r="CW300" s="63"/>
    </row>
    <row r="301" spans="1:101" ht="33.75" x14ac:dyDescent="0.15">
      <c r="A301" s="76">
        <v>261</v>
      </c>
      <c r="B301" s="74" t="s">
        <v>98</v>
      </c>
      <c r="C301" s="74">
        <v>1132637600</v>
      </c>
      <c r="D301" s="78" t="str">
        <f t="shared" si="8"/>
        <v>https://portal.dnb.de/opac.htm?method=simpleSearch&amp;cqlMode=true&amp;query=idn%3D1132637600</v>
      </c>
      <c r="E301" s="74" t="s">
        <v>9597</v>
      </c>
      <c r="F301" s="74"/>
      <c r="G301" s="76" t="s">
        <v>8515</v>
      </c>
      <c r="H301" s="77" t="s">
        <v>5</v>
      </c>
      <c r="I301" s="76" t="s">
        <v>54</v>
      </c>
      <c r="J301" s="77" t="s">
        <v>8516</v>
      </c>
      <c r="K301" s="77" t="s">
        <v>8667</v>
      </c>
      <c r="L301" s="76"/>
      <c r="M301" s="76" t="s">
        <v>38</v>
      </c>
      <c r="N301" s="76" t="s">
        <v>40</v>
      </c>
      <c r="O301" s="76">
        <v>0</v>
      </c>
      <c r="P301" s="76"/>
      <c r="Q301" s="76"/>
      <c r="R301" s="76"/>
      <c r="S301" s="76"/>
      <c r="BD301" s="99">
        <f t="shared" si="9"/>
        <v>0</v>
      </c>
      <c r="CC301" s="99"/>
      <c r="CV301" s="99"/>
      <c r="CW301" s="63"/>
    </row>
    <row r="302" spans="1:101" ht="33.75" x14ac:dyDescent="0.15">
      <c r="A302" s="76">
        <v>262</v>
      </c>
      <c r="B302" s="74" t="s">
        <v>99</v>
      </c>
      <c r="C302" s="74">
        <v>1132637597</v>
      </c>
      <c r="D302" s="78" t="str">
        <f t="shared" si="8"/>
        <v>https://portal.dnb.de/opac.htm?method=simpleSearch&amp;cqlMode=true&amp;query=idn%3D1132637597</v>
      </c>
      <c r="E302" s="74" t="s">
        <v>9596</v>
      </c>
      <c r="F302" s="74"/>
      <c r="G302" s="76" t="s">
        <v>8515</v>
      </c>
      <c r="H302" s="77" t="s">
        <v>5</v>
      </c>
      <c r="I302" s="76" t="s">
        <v>54</v>
      </c>
      <c r="J302" s="77" t="s">
        <v>8516</v>
      </c>
      <c r="K302" s="77" t="s">
        <v>8667</v>
      </c>
      <c r="L302" s="76"/>
      <c r="M302" s="76" t="s">
        <v>38</v>
      </c>
      <c r="N302" s="76" t="s">
        <v>40</v>
      </c>
      <c r="O302" s="76">
        <v>0</v>
      </c>
      <c r="P302" s="76"/>
      <c r="Q302" s="76"/>
      <c r="R302" s="76"/>
      <c r="S302" s="76"/>
      <c r="BD302" s="99">
        <f t="shared" si="9"/>
        <v>0</v>
      </c>
      <c r="CC302" s="99"/>
      <c r="CV302" s="99"/>
      <c r="CW302" s="63"/>
    </row>
    <row r="303" spans="1:101" x14ac:dyDescent="0.15">
      <c r="A303" s="76">
        <v>263</v>
      </c>
      <c r="B303" s="74" t="s">
        <v>100</v>
      </c>
      <c r="C303" s="74">
        <v>996049665</v>
      </c>
      <c r="D303" s="78" t="str">
        <f t="shared" si="8"/>
        <v>https://portal.dnb.de/opac.htm?method=simpleSearch&amp;cqlMode=true&amp;query=idn%3D996049665</v>
      </c>
      <c r="E303" s="74" t="s">
        <v>101</v>
      </c>
      <c r="F303" s="74"/>
      <c r="G303" s="76"/>
      <c r="H303" s="77" t="s">
        <v>47</v>
      </c>
      <c r="I303" s="76" t="s">
        <v>53</v>
      </c>
      <c r="J303" s="77" t="s">
        <v>8516</v>
      </c>
      <c r="K303" s="77"/>
      <c r="L303" s="76"/>
      <c r="M303" s="76" t="s">
        <v>34</v>
      </c>
      <c r="N303" s="76" t="s">
        <v>39</v>
      </c>
      <c r="O303" s="76"/>
      <c r="P303" s="76"/>
      <c r="Q303" s="76"/>
      <c r="R303" s="76"/>
      <c r="S303" s="76"/>
      <c r="BD303" s="99">
        <f t="shared" si="9"/>
        <v>0</v>
      </c>
      <c r="CC303" s="99"/>
      <c r="CV303" s="99"/>
      <c r="CW303" s="63"/>
    </row>
    <row r="304" spans="1:101" x14ac:dyDescent="0.15">
      <c r="A304" s="76">
        <v>264</v>
      </c>
      <c r="B304" s="74" t="s">
        <v>186</v>
      </c>
      <c r="C304" s="74">
        <v>1066934665</v>
      </c>
      <c r="D304" s="78" t="str">
        <f t="shared" si="8"/>
        <v>https://portal.dnb.de/opac.htm?method=simpleSearch&amp;cqlMode=true&amp;query=idn%3D1066934665</v>
      </c>
      <c r="E304" s="74" t="s">
        <v>187</v>
      </c>
      <c r="F304" s="74"/>
      <c r="G304" s="76" t="s">
        <v>8515</v>
      </c>
      <c r="H304" s="77" t="s">
        <v>47</v>
      </c>
      <c r="I304" s="76" t="s">
        <v>53</v>
      </c>
      <c r="J304" s="77" t="s">
        <v>8516</v>
      </c>
      <c r="K304" s="77"/>
      <c r="L304" s="76"/>
      <c r="M304" s="76"/>
      <c r="N304" s="76"/>
      <c r="O304" s="76">
        <v>0</v>
      </c>
      <c r="P304" s="76"/>
      <c r="Q304" s="76"/>
      <c r="R304" s="76"/>
      <c r="S304" s="76"/>
      <c r="BD304" s="99">
        <f t="shared" si="9"/>
        <v>0</v>
      </c>
      <c r="CC304" s="99"/>
      <c r="CV304" s="99"/>
      <c r="CW304" s="63"/>
    </row>
    <row r="305" spans="1:101" x14ac:dyDescent="0.15">
      <c r="A305" s="76">
        <v>265</v>
      </c>
      <c r="B305" s="74" t="s">
        <v>188</v>
      </c>
      <c r="C305" s="74">
        <v>995514291</v>
      </c>
      <c r="D305" s="78" t="str">
        <f t="shared" si="8"/>
        <v>https://portal.dnb.de/opac.htm?method=simpleSearch&amp;cqlMode=true&amp;query=idn%3D995514291</v>
      </c>
      <c r="E305" s="74" t="s">
        <v>189</v>
      </c>
      <c r="F305" s="74"/>
      <c r="G305" s="76"/>
      <c r="H305" s="77"/>
      <c r="I305" s="76"/>
      <c r="J305" s="77"/>
      <c r="K305" s="77"/>
      <c r="L305" s="76"/>
      <c r="M305" s="76"/>
      <c r="N305" s="76"/>
      <c r="O305" s="76"/>
      <c r="P305" s="76"/>
      <c r="Q305" s="76"/>
      <c r="R305" s="76"/>
      <c r="S305" s="76"/>
      <c r="BD305" s="99">
        <f t="shared" si="9"/>
        <v>0</v>
      </c>
      <c r="CC305" s="99"/>
      <c r="CV305" s="99"/>
      <c r="CW305" s="63"/>
    </row>
    <row r="306" spans="1:101" x14ac:dyDescent="0.15">
      <c r="A306" s="76">
        <v>266</v>
      </c>
      <c r="B306" s="74" t="s">
        <v>190</v>
      </c>
      <c r="C306" s="74">
        <v>995514429</v>
      </c>
      <c r="D306" s="78" t="str">
        <f t="shared" si="8"/>
        <v>https://portal.dnb.de/opac.htm?method=simpleSearch&amp;cqlMode=true&amp;query=idn%3D995514429</v>
      </c>
      <c r="E306" s="74" t="s">
        <v>189</v>
      </c>
      <c r="F306" s="74"/>
      <c r="G306" s="76"/>
      <c r="H306" s="77"/>
      <c r="I306" s="76"/>
      <c r="J306" s="77"/>
      <c r="K306" s="77"/>
      <c r="L306" s="76"/>
      <c r="M306" s="76"/>
      <c r="N306" s="76"/>
      <c r="O306" s="76"/>
      <c r="P306" s="76"/>
      <c r="Q306" s="76"/>
      <c r="R306" s="76"/>
      <c r="S306" s="76"/>
      <c r="BD306" s="99">
        <f t="shared" si="9"/>
        <v>0</v>
      </c>
      <c r="CC306" s="99"/>
      <c r="CV306" s="99"/>
      <c r="CW306" s="63"/>
    </row>
    <row r="307" spans="1:101" ht="33.75" x14ac:dyDescent="0.15">
      <c r="A307" s="76">
        <v>267</v>
      </c>
      <c r="B307" s="74" t="s">
        <v>587</v>
      </c>
      <c r="C307" s="74">
        <v>998632627</v>
      </c>
      <c r="D307" s="78" t="str">
        <f t="shared" si="8"/>
        <v>https://portal.dnb.de/opac.htm?method=simpleSearch&amp;cqlMode=true&amp;query=idn%3D998632627</v>
      </c>
      <c r="E307" s="74" t="s">
        <v>588</v>
      </c>
      <c r="F307" s="74"/>
      <c r="G307" s="76" t="s">
        <v>8515</v>
      </c>
      <c r="H307" s="77" t="s">
        <v>5</v>
      </c>
      <c r="I307" s="76" t="s">
        <v>53</v>
      </c>
      <c r="J307" s="77" t="s">
        <v>8516</v>
      </c>
      <c r="K307" s="77" t="s">
        <v>8667</v>
      </c>
      <c r="L307" s="76"/>
      <c r="M307" s="76" t="s">
        <v>38</v>
      </c>
      <c r="N307" s="76" t="s">
        <v>40</v>
      </c>
      <c r="O307" s="76">
        <v>0</v>
      </c>
      <c r="P307" s="76"/>
      <c r="Q307" s="76"/>
      <c r="R307" s="76"/>
      <c r="S307" s="76"/>
      <c r="BD307" s="99">
        <f t="shared" si="9"/>
        <v>0</v>
      </c>
      <c r="CC307" s="99"/>
      <c r="CV307" s="99"/>
      <c r="CW307" s="63"/>
    </row>
    <row r="308" spans="1:101" x14ac:dyDescent="0.15">
      <c r="A308" s="76">
        <v>268</v>
      </c>
      <c r="B308" s="74" t="s">
        <v>521</v>
      </c>
      <c r="C308" s="74">
        <v>1066858594</v>
      </c>
      <c r="D308" s="78" t="str">
        <f t="shared" si="8"/>
        <v>https://portal.dnb.de/opac.htm?method=simpleSearch&amp;cqlMode=true&amp;query=idn%3D1066858594</v>
      </c>
      <c r="E308" s="74" t="s">
        <v>522</v>
      </c>
      <c r="F308" s="74"/>
      <c r="G308" s="76"/>
      <c r="H308" s="77" t="s">
        <v>5</v>
      </c>
      <c r="I308" s="76" t="s">
        <v>53</v>
      </c>
      <c r="J308" s="77" t="s">
        <v>8516</v>
      </c>
      <c r="K308" s="77" t="s">
        <v>8520</v>
      </c>
      <c r="L308" s="76"/>
      <c r="M308" s="76"/>
      <c r="N308" s="76" t="s">
        <v>8660</v>
      </c>
      <c r="O308" s="76">
        <v>0</v>
      </c>
      <c r="P308" s="76"/>
      <c r="Q308" s="76"/>
      <c r="R308" s="76"/>
      <c r="S308" s="76"/>
      <c r="BD308" s="99">
        <f t="shared" si="9"/>
        <v>0</v>
      </c>
      <c r="CC308" s="99"/>
      <c r="CV308" s="99"/>
      <c r="CW308" s="63"/>
    </row>
    <row r="309" spans="1:101" x14ac:dyDescent="0.15">
      <c r="A309" s="76">
        <v>269</v>
      </c>
      <c r="B309" s="74" t="s">
        <v>555</v>
      </c>
      <c r="C309" s="74">
        <v>1002497132</v>
      </c>
      <c r="D309" s="78" t="str">
        <f t="shared" si="8"/>
        <v>https://portal.dnb.de/opac.htm?method=simpleSearch&amp;cqlMode=true&amp;query=idn%3D1002497132</v>
      </c>
      <c r="E309" s="74" t="s">
        <v>556</v>
      </c>
      <c r="F309" s="74"/>
      <c r="G309" s="76" t="s">
        <v>8515</v>
      </c>
      <c r="H309" s="77" t="s">
        <v>5</v>
      </c>
      <c r="I309" s="76" t="s">
        <v>53</v>
      </c>
      <c r="J309" s="77" t="s">
        <v>8516</v>
      </c>
      <c r="K309" s="77"/>
      <c r="L309" s="76"/>
      <c r="M309" s="76"/>
      <c r="N309" s="76" t="s">
        <v>8660</v>
      </c>
      <c r="O309" s="76">
        <v>0</v>
      </c>
      <c r="P309" s="76"/>
      <c r="Q309" s="76"/>
      <c r="R309" s="76"/>
      <c r="S309" s="76"/>
      <c r="BD309" s="99">
        <f t="shared" si="9"/>
        <v>0</v>
      </c>
      <c r="CC309" s="99"/>
      <c r="CV309" s="99"/>
      <c r="CW309" s="63"/>
    </row>
    <row r="310" spans="1:101" ht="33.75" x14ac:dyDescent="0.15">
      <c r="A310" s="76">
        <v>270</v>
      </c>
      <c r="B310" s="74" t="s">
        <v>585</v>
      </c>
      <c r="C310" s="74">
        <v>1002369363</v>
      </c>
      <c r="D310" s="78" t="str">
        <f t="shared" si="8"/>
        <v>https://portal.dnb.de/opac.htm?method=simpleSearch&amp;cqlMode=true&amp;query=idn%3D1002369363</v>
      </c>
      <c r="E310" s="74" t="s">
        <v>586</v>
      </c>
      <c r="F310" s="74"/>
      <c r="G310" s="76" t="s">
        <v>8515</v>
      </c>
      <c r="H310" s="77" t="s">
        <v>5</v>
      </c>
      <c r="I310" s="76" t="s">
        <v>53</v>
      </c>
      <c r="J310" s="77" t="s">
        <v>89</v>
      </c>
      <c r="K310" s="77" t="s">
        <v>8667</v>
      </c>
      <c r="L310" s="76"/>
      <c r="M310" s="76" t="s">
        <v>38</v>
      </c>
      <c r="N310" s="76" t="s">
        <v>40</v>
      </c>
      <c r="O310" s="76">
        <v>0</v>
      </c>
      <c r="P310" s="76"/>
      <c r="Q310" s="76"/>
      <c r="R310" s="76"/>
      <c r="S310" s="76"/>
      <c r="BD310" s="99">
        <f t="shared" si="9"/>
        <v>0</v>
      </c>
      <c r="CC310" s="99"/>
      <c r="CV310" s="99"/>
      <c r="CW310" s="63"/>
    </row>
    <row r="311" spans="1:101" x14ac:dyDescent="0.15">
      <c r="A311" s="76">
        <v>271</v>
      </c>
      <c r="B311" s="74" t="s">
        <v>620</v>
      </c>
      <c r="C311" s="74" t="s">
        <v>621</v>
      </c>
      <c r="D311" s="78" t="str">
        <f t="shared" si="8"/>
        <v>https://portal.dnb.de/opac.htm?method=simpleSearch&amp;cqlMode=true&amp;query=idn%3D99448349X</v>
      </c>
      <c r="E311" s="74" t="s">
        <v>622</v>
      </c>
      <c r="F311" s="74"/>
      <c r="G311" s="76"/>
      <c r="H311" s="77" t="s">
        <v>5</v>
      </c>
      <c r="I311" s="76" t="s">
        <v>53</v>
      </c>
      <c r="J311" s="77" t="s">
        <v>8516</v>
      </c>
      <c r="K311" s="77" t="s">
        <v>84</v>
      </c>
      <c r="L311" s="76"/>
      <c r="M311" s="76"/>
      <c r="N311" s="76"/>
      <c r="O311" s="76">
        <v>0</v>
      </c>
      <c r="P311" s="76"/>
      <c r="Q311" s="76"/>
      <c r="R311" s="76"/>
      <c r="S311" s="76"/>
      <c r="BD311" s="99">
        <f t="shared" si="9"/>
        <v>0</v>
      </c>
      <c r="CC311" s="99"/>
      <c r="CV311" s="99"/>
      <c r="CW311" s="63"/>
    </row>
    <row r="312" spans="1:101" ht="22.5" x14ac:dyDescent="0.15">
      <c r="A312" s="76">
        <v>272</v>
      </c>
      <c r="B312" s="74" t="s">
        <v>651</v>
      </c>
      <c r="C312" s="74">
        <v>993865607</v>
      </c>
      <c r="D312" s="78" t="str">
        <f t="shared" si="8"/>
        <v>https://portal.dnb.de/opac.htm?method=simpleSearch&amp;cqlMode=true&amp;query=idn%3D993865607</v>
      </c>
      <c r="E312" s="74" t="s">
        <v>652</v>
      </c>
      <c r="F312" s="74"/>
      <c r="G312" s="76" t="s">
        <v>8515</v>
      </c>
      <c r="H312" s="77" t="s">
        <v>48</v>
      </c>
      <c r="I312" s="76" t="s">
        <v>53</v>
      </c>
      <c r="J312" s="77" t="s">
        <v>8516</v>
      </c>
      <c r="K312" s="77" t="s">
        <v>8539</v>
      </c>
      <c r="L312" s="76"/>
      <c r="M312" s="76" t="s">
        <v>38</v>
      </c>
      <c r="N312" s="76" t="s">
        <v>40</v>
      </c>
      <c r="O312" s="76">
        <v>0</v>
      </c>
      <c r="P312" s="76"/>
      <c r="Q312" s="76"/>
      <c r="R312" s="76"/>
      <c r="S312" s="76"/>
      <c r="BD312" s="99">
        <f t="shared" si="9"/>
        <v>0</v>
      </c>
      <c r="CC312" s="99"/>
      <c r="CV312" s="99"/>
      <c r="CW312" s="63"/>
    </row>
    <row r="313" spans="1:101" x14ac:dyDescent="0.15">
      <c r="A313" s="76">
        <v>273</v>
      </c>
      <c r="B313" s="74" t="s">
        <v>686</v>
      </c>
      <c r="C313" s="74">
        <v>1066786275</v>
      </c>
      <c r="D313" s="78" t="str">
        <f t="shared" si="8"/>
        <v>https://portal.dnb.de/opac.htm?method=simpleSearch&amp;cqlMode=true&amp;query=idn%3D1066786275</v>
      </c>
      <c r="E313" s="74" t="s">
        <v>687</v>
      </c>
      <c r="F313" s="74"/>
      <c r="G313" s="76"/>
      <c r="H313" s="77"/>
      <c r="I313" s="76"/>
      <c r="J313" s="77"/>
      <c r="K313" s="77"/>
      <c r="L313" s="76"/>
      <c r="M313" s="76"/>
      <c r="N313" s="76"/>
      <c r="O313" s="76"/>
      <c r="P313" s="76"/>
      <c r="Q313" s="76"/>
      <c r="R313" s="76"/>
      <c r="S313" s="76"/>
      <c r="BD313" s="99">
        <f t="shared" si="9"/>
        <v>0</v>
      </c>
      <c r="CC313" s="99"/>
      <c r="CV313" s="99"/>
      <c r="CW313" s="63"/>
    </row>
    <row r="314" spans="1:101" ht="33.75" x14ac:dyDescent="0.15">
      <c r="A314" s="76">
        <v>274</v>
      </c>
      <c r="B314" s="74" t="s">
        <v>712</v>
      </c>
      <c r="C314" s="74">
        <v>1066778876</v>
      </c>
      <c r="D314" s="78" t="str">
        <f t="shared" si="8"/>
        <v>https://portal.dnb.de/opac.htm?method=simpleSearch&amp;cqlMode=true&amp;query=idn%3D1066778876</v>
      </c>
      <c r="E314" s="74" t="s">
        <v>713</v>
      </c>
      <c r="F314" s="74"/>
      <c r="G314" s="76" t="s">
        <v>8515</v>
      </c>
      <c r="H314" s="77" t="s">
        <v>8549</v>
      </c>
      <c r="I314" s="76" t="s">
        <v>55</v>
      </c>
      <c r="J314" s="77" t="s">
        <v>8516</v>
      </c>
      <c r="K314" s="77" t="s">
        <v>8577</v>
      </c>
      <c r="L314" s="76"/>
      <c r="M314" s="76"/>
      <c r="N314" s="76" t="s">
        <v>8660</v>
      </c>
      <c r="O314" s="76">
        <v>0</v>
      </c>
      <c r="P314" s="76"/>
      <c r="Q314" s="76"/>
      <c r="R314" s="76"/>
      <c r="S314" s="76"/>
      <c r="Y314" s="95" t="s">
        <v>9736</v>
      </c>
      <c r="AC314" s="95" t="s">
        <v>9739</v>
      </c>
      <c r="AI314" s="95" t="s">
        <v>9725</v>
      </c>
      <c r="AW314" s="95">
        <v>110</v>
      </c>
      <c r="BC314" s="96" t="s">
        <v>9726</v>
      </c>
      <c r="BD314" s="99">
        <f t="shared" si="9"/>
        <v>0.5</v>
      </c>
      <c r="BP314" s="69" t="s">
        <v>10328</v>
      </c>
      <c r="BR314" s="95" t="s">
        <v>8541</v>
      </c>
      <c r="CC314" s="99">
        <v>0.5</v>
      </c>
      <c r="CV314" s="99"/>
      <c r="CW314" s="63"/>
    </row>
    <row r="315" spans="1:101" x14ac:dyDescent="0.15">
      <c r="A315" s="76">
        <v>275</v>
      </c>
      <c r="B315" s="74" t="s">
        <v>739</v>
      </c>
      <c r="C315" s="74">
        <v>1066875731</v>
      </c>
      <c r="D315" s="78" t="str">
        <f t="shared" si="8"/>
        <v>https://portal.dnb.de/opac.htm?method=simpleSearch&amp;cqlMode=true&amp;query=idn%3D1066875731</v>
      </c>
      <c r="E315" s="74" t="s">
        <v>740</v>
      </c>
      <c r="F315" s="74"/>
      <c r="G315" s="76" t="s">
        <v>8515</v>
      </c>
      <c r="H315" s="77" t="s">
        <v>48</v>
      </c>
      <c r="I315" s="76" t="s">
        <v>53</v>
      </c>
      <c r="J315" s="77" t="s">
        <v>58</v>
      </c>
      <c r="K315" s="77" t="s">
        <v>84</v>
      </c>
      <c r="L315" s="76"/>
      <c r="M315" s="76"/>
      <c r="N315" s="76"/>
      <c r="O315" s="76"/>
      <c r="P315" s="76"/>
      <c r="Q315" s="76"/>
      <c r="R315" s="76"/>
      <c r="S315" s="76"/>
      <c r="BD315" s="99">
        <f t="shared" si="9"/>
        <v>0</v>
      </c>
      <c r="CC315" s="99"/>
      <c r="CV315" s="99"/>
      <c r="CW315" s="63"/>
    </row>
    <row r="316" spans="1:101" ht="33.75" x14ac:dyDescent="0.15">
      <c r="A316" s="76">
        <v>276</v>
      </c>
      <c r="B316" s="74" t="s">
        <v>776</v>
      </c>
      <c r="C316" s="74">
        <v>1066930112</v>
      </c>
      <c r="D316" s="78" t="str">
        <f t="shared" si="8"/>
        <v>https://portal.dnb.de/opac.htm?method=simpleSearch&amp;cqlMode=true&amp;query=idn%3D1066930112</v>
      </c>
      <c r="E316" s="74" t="s">
        <v>777</v>
      </c>
      <c r="F316" s="74"/>
      <c r="G316" s="76" t="s">
        <v>8541</v>
      </c>
      <c r="H316" s="77" t="s">
        <v>8674</v>
      </c>
      <c r="I316" s="76" t="s">
        <v>53</v>
      </c>
      <c r="J316" s="77" t="s">
        <v>8516</v>
      </c>
      <c r="K316" s="77" t="s">
        <v>8565</v>
      </c>
      <c r="L316" s="76"/>
      <c r="M316" s="76" t="s">
        <v>32</v>
      </c>
      <c r="N316" s="76"/>
      <c r="O316" s="76">
        <v>1</v>
      </c>
      <c r="P316" s="76"/>
      <c r="Q316" s="76"/>
      <c r="R316" s="76"/>
      <c r="S316" s="76"/>
      <c r="Y316" s="95" t="s">
        <v>9735</v>
      </c>
      <c r="AA316" s="95" t="s">
        <v>8541</v>
      </c>
      <c r="AC316" s="95" t="s">
        <v>9739</v>
      </c>
      <c r="AI316" s="95" t="s">
        <v>9725</v>
      </c>
      <c r="AU316" s="95">
        <v>2</v>
      </c>
      <c r="AW316" s="95">
        <v>110</v>
      </c>
      <c r="BC316" s="96" t="s">
        <v>9734</v>
      </c>
      <c r="BD316" s="99">
        <f t="shared" si="9"/>
        <v>0</v>
      </c>
      <c r="BH316" s="95" t="s">
        <v>8541</v>
      </c>
      <c r="BL316" s="70" t="s">
        <v>10015</v>
      </c>
      <c r="CC316" s="99"/>
      <c r="CV316" s="99"/>
      <c r="CW316" s="63"/>
    </row>
    <row r="317" spans="1:101" ht="33.75" x14ac:dyDescent="0.15">
      <c r="A317" s="76">
        <v>277</v>
      </c>
      <c r="B317" s="74" t="s">
        <v>523</v>
      </c>
      <c r="C317" s="74">
        <v>1066669279</v>
      </c>
      <c r="D317" s="78" t="str">
        <f t="shared" si="8"/>
        <v>https://portal.dnb.de/opac.htm?method=simpleSearch&amp;cqlMode=true&amp;query=idn%3D1066669279</v>
      </c>
      <c r="E317" s="74" t="s">
        <v>524</v>
      </c>
      <c r="F317" s="74"/>
      <c r="G317" s="76" t="s">
        <v>8515</v>
      </c>
      <c r="H317" s="77" t="s">
        <v>8546</v>
      </c>
      <c r="I317" s="76" t="s">
        <v>54</v>
      </c>
      <c r="J317" s="77" t="s">
        <v>8516</v>
      </c>
      <c r="K317" s="77" t="s">
        <v>84</v>
      </c>
      <c r="L317" s="76"/>
      <c r="M317" s="76"/>
      <c r="N317" s="76"/>
      <c r="O317" s="76">
        <v>0</v>
      </c>
      <c r="P317" s="76"/>
      <c r="Q317" s="76"/>
      <c r="R317" s="76"/>
      <c r="S317" s="76"/>
      <c r="Y317" s="95" t="s">
        <v>9736</v>
      </c>
      <c r="AC317" s="95" t="s">
        <v>9737</v>
      </c>
      <c r="AI317" s="95" t="s">
        <v>9725</v>
      </c>
      <c r="AW317" s="95">
        <v>110</v>
      </c>
      <c r="BC317" s="96" t="s">
        <v>9726</v>
      </c>
      <c r="BD317" s="99">
        <f t="shared" si="9"/>
        <v>0.5</v>
      </c>
      <c r="BP317" s="69" t="s">
        <v>8541</v>
      </c>
      <c r="BR317" s="95" t="s">
        <v>8541</v>
      </c>
      <c r="CC317" s="99">
        <v>0.5</v>
      </c>
      <c r="CV317" s="99"/>
      <c r="CW317" s="63"/>
    </row>
    <row r="318" spans="1:101" ht="33.75" x14ac:dyDescent="0.15">
      <c r="A318" s="76">
        <v>278</v>
      </c>
      <c r="B318" s="74" t="s">
        <v>525</v>
      </c>
      <c r="C318" s="74">
        <v>1066934940</v>
      </c>
      <c r="D318" s="78" t="str">
        <f t="shared" si="8"/>
        <v>https://portal.dnb.de/opac.htm?method=simpleSearch&amp;cqlMode=true&amp;query=idn%3D1066934940</v>
      </c>
      <c r="E318" s="74" t="s">
        <v>526</v>
      </c>
      <c r="F318" s="74"/>
      <c r="G318" s="76" t="s">
        <v>8515</v>
      </c>
      <c r="H318" s="77" t="s">
        <v>8546</v>
      </c>
      <c r="I318" s="76" t="s">
        <v>54</v>
      </c>
      <c r="J318" s="77" t="s">
        <v>8516</v>
      </c>
      <c r="K318" s="77" t="s">
        <v>8520</v>
      </c>
      <c r="L318" s="76"/>
      <c r="M318" s="76"/>
      <c r="N318" s="76"/>
      <c r="O318" s="76">
        <v>0</v>
      </c>
      <c r="P318" s="76"/>
      <c r="Q318" s="76"/>
      <c r="R318" s="76"/>
      <c r="S318" s="76"/>
      <c r="BD318" s="99">
        <f t="shared" si="9"/>
        <v>0</v>
      </c>
      <c r="CC318" s="99"/>
      <c r="CV318" s="99"/>
      <c r="CW318" s="63"/>
    </row>
    <row r="319" spans="1:101" ht="33.75" x14ac:dyDescent="0.15">
      <c r="A319" s="76">
        <v>279</v>
      </c>
      <c r="B319" s="74" t="s">
        <v>527</v>
      </c>
      <c r="C319" s="74">
        <v>1066798494</v>
      </c>
      <c r="D319" s="78" t="str">
        <f t="shared" si="8"/>
        <v>https://portal.dnb.de/opac.htm?method=simpleSearch&amp;cqlMode=true&amp;query=idn%3D1066798494</v>
      </c>
      <c r="E319" s="74" t="s">
        <v>528</v>
      </c>
      <c r="F319" s="74"/>
      <c r="G319" s="76" t="s">
        <v>8515</v>
      </c>
      <c r="H319" s="77" t="s">
        <v>8674</v>
      </c>
      <c r="I319" s="76" t="s">
        <v>54</v>
      </c>
      <c r="J319" s="77" t="s">
        <v>8516</v>
      </c>
      <c r="K319" s="77" t="s">
        <v>84</v>
      </c>
      <c r="L319" s="76"/>
      <c r="M319" s="76"/>
      <c r="N319" s="76" t="s">
        <v>8660</v>
      </c>
      <c r="O319" s="76">
        <v>1</v>
      </c>
      <c r="P319" s="76"/>
      <c r="Q319" s="76"/>
      <c r="R319" s="76"/>
      <c r="S319" s="76"/>
      <c r="Y319" s="95" t="s">
        <v>9735</v>
      </c>
      <c r="AC319" s="95" t="s">
        <v>9739</v>
      </c>
      <c r="AI319" s="95" t="s">
        <v>9725</v>
      </c>
      <c r="AW319" s="95">
        <v>45</v>
      </c>
      <c r="BC319" s="96" t="s">
        <v>9726</v>
      </c>
      <c r="BD319" s="99">
        <f t="shared" si="9"/>
        <v>2.5</v>
      </c>
      <c r="BH319" s="95" t="s">
        <v>8541</v>
      </c>
      <c r="BP319" s="69" t="s">
        <v>8541</v>
      </c>
      <c r="BT319" s="95" t="s">
        <v>9775</v>
      </c>
      <c r="CC319" s="99">
        <v>2.5</v>
      </c>
      <c r="CD319" s="90" t="s">
        <v>10337</v>
      </c>
      <c r="CV319" s="99"/>
      <c r="CW319" s="63"/>
    </row>
    <row r="320" spans="1:101" ht="33.75" x14ac:dyDescent="0.15">
      <c r="A320" s="76">
        <v>280</v>
      </c>
      <c r="B320" s="74" t="s">
        <v>532</v>
      </c>
      <c r="C320" s="74">
        <v>1066776091</v>
      </c>
      <c r="D320" s="78" t="str">
        <f t="shared" si="8"/>
        <v>https://portal.dnb.de/opac.htm?method=simpleSearch&amp;cqlMode=true&amp;query=idn%3D1066776091</v>
      </c>
      <c r="E320" s="74" t="s">
        <v>533</v>
      </c>
      <c r="F320" s="74"/>
      <c r="G320" s="76" t="s">
        <v>8515</v>
      </c>
      <c r="H320" s="77" t="s">
        <v>48</v>
      </c>
      <c r="I320" s="76" t="s">
        <v>56</v>
      </c>
      <c r="J320" s="77" t="s">
        <v>8516</v>
      </c>
      <c r="K320" s="77" t="s">
        <v>8663</v>
      </c>
      <c r="L320" s="76"/>
      <c r="M320" s="76" t="s">
        <v>38</v>
      </c>
      <c r="N320" s="76"/>
      <c r="O320" s="76">
        <v>0</v>
      </c>
      <c r="P320" s="76"/>
      <c r="Q320" s="76"/>
      <c r="R320" s="76"/>
      <c r="S320" s="76"/>
      <c r="U320" s="95" t="s">
        <v>9794</v>
      </c>
      <c r="Y320" s="95" t="s">
        <v>9736</v>
      </c>
      <c r="AB320" s="95" t="s">
        <v>8541</v>
      </c>
      <c r="AC320" s="95" t="s">
        <v>9739</v>
      </c>
      <c r="AD320" s="95" t="s">
        <v>8541</v>
      </c>
      <c r="AI320" s="95" t="s">
        <v>9725</v>
      </c>
      <c r="AP320" s="95" t="s">
        <v>8541</v>
      </c>
      <c r="AQ320" s="96" t="s">
        <v>9795</v>
      </c>
      <c r="AR320" s="95" t="s">
        <v>8541</v>
      </c>
      <c r="AT320" s="95" t="s">
        <v>8541</v>
      </c>
      <c r="AW320" s="95">
        <v>110</v>
      </c>
      <c r="BC320" s="96" t="s">
        <v>9796</v>
      </c>
      <c r="BD320" s="99">
        <f t="shared" si="9"/>
        <v>1</v>
      </c>
      <c r="BF320" s="95" t="s">
        <v>10005</v>
      </c>
      <c r="BR320" s="95" t="s">
        <v>8541</v>
      </c>
      <c r="CC320" s="99">
        <v>1</v>
      </c>
      <c r="CV320" s="99"/>
      <c r="CW320" s="63"/>
    </row>
    <row r="321" spans="1:101" x14ac:dyDescent="0.15">
      <c r="A321" s="76">
        <v>281</v>
      </c>
      <c r="B321" s="74" t="s">
        <v>534</v>
      </c>
      <c r="C321" s="74">
        <v>1000186164</v>
      </c>
      <c r="D321" s="78" t="str">
        <f t="shared" si="8"/>
        <v>https://portal.dnb.de/opac.htm?method=simpleSearch&amp;cqlMode=true&amp;query=idn%3D1000186164</v>
      </c>
      <c r="E321" s="74" t="s">
        <v>535</v>
      </c>
      <c r="F321" s="74"/>
      <c r="G321" s="76"/>
      <c r="H321" s="77" t="s">
        <v>5</v>
      </c>
      <c r="I321" s="76" t="s">
        <v>53</v>
      </c>
      <c r="J321" s="77" t="s">
        <v>58</v>
      </c>
      <c r="K321" s="77" t="s">
        <v>84</v>
      </c>
      <c r="L321" s="76"/>
      <c r="M321" s="76"/>
      <c r="N321" s="76" t="s">
        <v>8660</v>
      </c>
      <c r="O321" s="76">
        <v>0</v>
      </c>
      <c r="P321" s="76"/>
      <c r="Q321" s="76"/>
      <c r="R321" s="76"/>
      <c r="S321" s="76"/>
      <c r="BD321" s="99">
        <f t="shared" si="9"/>
        <v>0</v>
      </c>
      <c r="CC321" s="99"/>
      <c r="CV321" s="99"/>
      <c r="CW321" s="63"/>
    </row>
    <row r="322" spans="1:101" x14ac:dyDescent="0.15">
      <c r="A322" s="76">
        <v>282</v>
      </c>
      <c r="B322" s="74" t="s">
        <v>536</v>
      </c>
      <c r="C322" s="74">
        <v>996417087</v>
      </c>
      <c r="D322" s="78" t="str">
        <f t="shared" si="8"/>
        <v>https://portal.dnb.de/opac.htm?method=simpleSearch&amp;cqlMode=true&amp;query=idn%3D996417087</v>
      </c>
      <c r="E322" s="74" t="s">
        <v>535</v>
      </c>
      <c r="F322" s="74"/>
      <c r="G322" s="76"/>
      <c r="H322" s="77" t="s">
        <v>5</v>
      </c>
      <c r="I322" s="76" t="s">
        <v>53</v>
      </c>
      <c r="J322" s="77" t="s">
        <v>58</v>
      </c>
      <c r="K322" s="77" t="s">
        <v>84</v>
      </c>
      <c r="L322" s="76"/>
      <c r="M322" s="76"/>
      <c r="N322" s="76" t="s">
        <v>8660</v>
      </c>
      <c r="O322" s="76">
        <v>0</v>
      </c>
      <c r="P322" s="76"/>
      <c r="Q322" s="76"/>
      <c r="R322" s="76"/>
      <c r="S322" s="76"/>
      <c r="BD322" s="99">
        <f t="shared" si="9"/>
        <v>0</v>
      </c>
      <c r="CC322" s="99"/>
      <c r="CV322" s="99"/>
      <c r="CW322" s="63"/>
    </row>
    <row r="323" spans="1:101" ht="22.5" x14ac:dyDescent="0.15">
      <c r="A323" s="76">
        <v>283</v>
      </c>
      <c r="B323" s="74" t="s">
        <v>537</v>
      </c>
      <c r="C323" s="74" t="s">
        <v>538</v>
      </c>
      <c r="D323" s="78" t="str">
        <f t="shared" ref="D323:D386" si="10">HYPERLINK(CONCATENATE("https://portal.dnb.de/opac.htm?method=simpleSearch&amp;cqlMode=true&amp;query=idn%3D",C323))</f>
        <v>https://portal.dnb.de/opac.htm?method=simpleSearch&amp;cqlMode=true&amp;query=idn%3D100255232X</v>
      </c>
      <c r="E323" s="74" t="s">
        <v>539</v>
      </c>
      <c r="F323" s="74"/>
      <c r="G323" s="76"/>
      <c r="H323" s="77" t="s">
        <v>4</v>
      </c>
      <c r="I323" s="76" t="s">
        <v>53</v>
      </c>
      <c r="J323" s="77" t="s">
        <v>8516</v>
      </c>
      <c r="K323" s="77" t="s">
        <v>8615</v>
      </c>
      <c r="L323" s="76"/>
      <c r="M323" s="76" t="s">
        <v>38</v>
      </c>
      <c r="N323" s="76"/>
      <c r="O323" s="76">
        <v>0</v>
      </c>
      <c r="P323" s="76"/>
      <c r="Q323" s="76"/>
      <c r="R323" s="76"/>
      <c r="S323" s="76"/>
      <c r="BD323" s="99">
        <f t="shared" ref="BD323:BD386" si="11">CC323+CV323</f>
        <v>0</v>
      </c>
      <c r="CC323" s="99"/>
      <c r="CV323" s="99"/>
      <c r="CW323" s="63"/>
    </row>
    <row r="324" spans="1:101" ht="33.75" x14ac:dyDescent="0.15">
      <c r="A324" s="76">
        <v>284</v>
      </c>
      <c r="B324" s="74" t="s">
        <v>540</v>
      </c>
      <c r="C324" s="74">
        <v>994642199</v>
      </c>
      <c r="D324" s="78" t="str">
        <f t="shared" si="10"/>
        <v>https://portal.dnb.de/opac.htm?method=simpleSearch&amp;cqlMode=true&amp;query=idn%3D994642199</v>
      </c>
      <c r="E324" s="74" t="s">
        <v>541</v>
      </c>
      <c r="F324" s="74"/>
      <c r="G324" s="76" t="s">
        <v>8515</v>
      </c>
      <c r="H324" s="77" t="s">
        <v>5</v>
      </c>
      <c r="I324" s="76" t="s">
        <v>53</v>
      </c>
      <c r="J324" s="77" t="s">
        <v>8516</v>
      </c>
      <c r="K324" s="77" t="s">
        <v>8667</v>
      </c>
      <c r="L324" s="76"/>
      <c r="M324" s="76" t="s">
        <v>38</v>
      </c>
      <c r="N324" s="76"/>
      <c r="O324" s="76">
        <v>0</v>
      </c>
      <c r="P324" s="76"/>
      <c r="Q324" s="76"/>
      <c r="R324" s="76"/>
      <c r="S324" s="76"/>
      <c r="BD324" s="99">
        <f t="shared" si="11"/>
        <v>0</v>
      </c>
      <c r="CC324" s="99"/>
      <c r="CV324" s="99"/>
      <c r="CW324" s="63"/>
    </row>
    <row r="325" spans="1:101" ht="22.5" x14ac:dyDescent="0.15">
      <c r="A325" s="76">
        <v>285</v>
      </c>
      <c r="B325" s="74" t="s">
        <v>544</v>
      </c>
      <c r="C325" s="74" t="s">
        <v>545</v>
      </c>
      <c r="D325" s="78" t="str">
        <f t="shared" si="10"/>
        <v>https://portal.dnb.de/opac.htm?method=simpleSearch&amp;cqlMode=true&amp;query=idn%3D99762583X</v>
      </c>
      <c r="E325" s="74" t="s">
        <v>546</v>
      </c>
      <c r="F325" s="74"/>
      <c r="G325" s="76"/>
      <c r="H325" s="77" t="s">
        <v>48</v>
      </c>
      <c r="I325" s="76" t="s">
        <v>53</v>
      </c>
      <c r="J325" s="77" t="s">
        <v>89</v>
      </c>
      <c r="K325" s="77" t="s">
        <v>8565</v>
      </c>
      <c r="L325" s="76"/>
      <c r="M325" s="76"/>
      <c r="N325" s="76"/>
      <c r="O325" s="76">
        <v>0</v>
      </c>
      <c r="P325" s="76"/>
      <c r="Q325" s="76"/>
      <c r="R325" s="76"/>
      <c r="S325" s="76"/>
      <c r="BD325" s="99">
        <f t="shared" si="11"/>
        <v>0</v>
      </c>
      <c r="CC325" s="99"/>
      <c r="CV325" s="99"/>
      <c r="CW325" s="63"/>
    </row>
    <row r="326" spans="1:101" x14ac:dyDescent="0.15">
      <c r="A326" s="76">
        <v>286</v>
      </c>
      <c r="B326" s="74" t="s">
        <v>553</v>
      </c>
      <c r="C326" s="74">
        <v>999589164</v>
      </c>
      <c r="D326" s="78" t="str">
        <f t="shared" si="10"/>
        <v>https://portal.dnb.de/opac.htm?method=simpleSearch&amp;cqlMode=true&amp;query=idn%3D999589164</v>
      </c>
      <c r="E326" s="74" t="s">
        <v>554</v>
      </c>
      <c r="F326" s="74"/>
      <c r="G326" s="76" t="s">
        <v>8515</v>
      </c>
      <c r="H326" s="77" t="s">
        <v>5</v>
      </c>
      <c r="I326" s="76" t="s">
        <v>53</v>
      </c>
      <c r="J326" s="77" t="s">
        <v>58</v>
      </c>
      <c r="K326" s="77"/>
      <c r="L326" s="76"/>
      <c r="M326" s="76" t="s">
        <v>38</v>
      </c>
      <c r="N326" s="76"/>
      <c r="O326" s="76"/>
      <c r="P326" s="76"/>
      <c r="Q326" s="76"/>
      <c r="R326" s="76"/>
      <c r="S326" s="76"/>
      <c r="BD326" s="99">
        <f t="shared" si="11"/>
        <v>0</v>
      </c>
      <c r="CC326" s="99"/>
      <c r="CV326" s="99"/>
      <c r="CW326" s="63"/>
    </row>
    <row r="327" spans="1:101" ht="33.75" x14ac:dyDescent="0.15">
      <c r="A327" s="76">
        <v>287</v>
      </c>
      <c r="B327" s="74" t="s">
        <v>557</v>
      </c>
      <c r="C327" s="74">
        <v>997143223</v>
      </c>
      <c r="D327" s="78" t="str">
        <f t="shared" si="10"/>
        <v>https://portal.dnb.de/opac.htm?method=simpleSearch&amp;cqlMode=true&amp;query=idn%3D997143223</v>
      </c>
      <c r="E327" s="74" t="s">
        <v>558</v>
      </c>
      <c r="F327" s="74"/>
      <c r="G327" s="76" t="s">
        <v>8515</v>
      </c>
      <c r="H327" s="77" t="s">
        <v>8546</v>
      </c>
      <c r="I327" s="76" t="s">
        <v>53</v>
      </c>
      <c r="J327" s="77" t="s">
        <v>89</v>
      </c>
      <c r="K327" s="77" t="s">
        <v>8564</v>
      </c>
      <c r="L327" s="76"/>
      <c r="M327" s="76" t="s">
        <v>38</v>
      </c>
      <c r="N327" s="76"/>
      <c r="O327" s="76">
        <v>0</v>
      </c>
      <c r="P327" s="76"/>
      <c r="Q327" s="76"/>
      <c r="R327" s="76"/>
      <c r="S327" s="76"/>
      <c r="BD327" s="99">
        <f t="shared" si="11"/>
        <v>0</v>
      </c>
      <c r="CC327" s="99"/>
      <c r="CV327" s="99"/>
      <c r="CW327" s="63"/>
    </row>
    <row r="328" spans="1:101" x14ac:dyDescent="0.15">
      <c r="A328" s="76">
        <v>288</v>
      </c>
      <c r="B328" s="74" t="s">
        <v>559</v>
      </c>
      <c r="C328" s="74">
        <v>1001452011</v>
      </c>
      <c r="D328" s="78" t="str">
        <f t="shared" si="10"/>
        <v>https://portal.dnb.de/opac.htm?method=simpleSearch&amp;cqlMode=true&amp;query=idn%3D1001452011</v>
      </c>
      <c r="E328" s="74" t="s">
        <v>560</v>
      </c>
      <c r="F328" s="74"/>
      <c r="G328" s="76"/>
      <c r="H328" s="77" t="s">
        <v>5</v>
      </c>
      <c r="I328" s="76" t="s">
        <v>53</v>
      </c>
      <c r="J328" s="77" t="s">
        <v>8516</v>
      </c>
      <c r="K328" s="77" t="s">
        <v>8520</v>
      </c>
      <c r="L328" s="76"/>
      <c r="M328" s="76" t="s">
        <v>38</v>
      </c>
      <c r="N328" s="76" t="s">
        <v>39</v>
      </c>
      <c r="O328" s="76">
        <v>0</v>
      </c>
      <c r="P328" s="76"/>
      <c r="Q328" s="76"/>
      <c r="R328" s="76"/>
      <c r="S328" s="76"/>
      <c r="BD328" s="99">
        <f t="shared" si="11"/>
        <v>0</v>
      </c>
      <c r="CC328" s="99"/>
      <c r="CV328" s="99"/>
      <c r="CW328" s="63"/>
    </row>
    <row r="329" spans="1:101" ht="22.5" x14ac:dyDescent="0.15">
      <c r="A329" s="76">
        <v>289</v>
      </c>
      <c r="B329" s="74" t="s">
        <v>561</v>
      </c>
      <c r="C329" s="74">
        <v>1066942188</v>
      </c>
      <c r="D329" s="78" t="str">
        <f t="shared" si="10"/>
        <v>https://portal.dnb.de/opac.htm?method=simpleSearch&amp;cqlMode=true&amp;query=idn%3D1066942188</v>
      </c>
      <c r="E329" s="74" t="s">
        <v>562</v>
      </c>
      <c r="F329" s="74"/>
      <c r="G329" s="76" t="s">
        <v>8515</v>
      </c>
      <c r="H329" s="77" t="s">
        <v>18</v>
      </c>
      <c r="I329" s="76" t="s">
        <v>53</v>
      </c>
      <c r="J329" s="77" t="s">
        <v>58</v>
      </c>
      <c r="K329" s="77"/>
      <c r="L329" s="76"/>
      <c r="M329" s="76" t="s">
        <v>38</v>
      </c>
      <c r="N329" s="76"/>
      <c r="O329" s="76"/>
      <c r="P329" s="76"/>
      <c r="Q329" s="76"/>
      <c r="R329" s="76"/>
      <c r="S329" s="76"/>
      <c r="Y329" s="95" t="s">
        <v>9731</v>
      </c>
      <c r="AI329" s="95" t="s">
        <v>9725</v>
      </c>
      <c r="AP329" s="95" t="s">
        <v>8541</v>
      </c>
      <c r="AQ329" s="96" t="s">
        <v>9732</v>
      </c>
      <c r="AW329" s="95" t="s">
        <v>9733</v>
      </c>
      <c r="BC329" s="96" t="s">
        <v>9734</v>
      </c>
      <c r="BD329" s="99">
        <f t="shared" si="11"/>
        <v>0</v>
      </c>
      <c r="BF329" s="95" t="s">
        <v>10005</v>
      </c>
      <c r="BM329" s="69" t="s">
        <v>10007</v>
      </c>
      <c r="CC329" s="99"/>
      <c r="CV329" s="99"/>
      <c r="CW329" s="63"/>
    </row>
    <row r="330" spans="1:101" ht="33.75" x14ac:dyDescent="0.15">
      <c r="A330" s="76">
        <v>290</v>
      </c>
      <c r="B330" s="74" t="s">
        <v>563</v>
      </c>
      <c r="C330" s="74">
        <v>996417540</v>
      </c>
      <c r="D330" s="78" t="str">
        <f t="shared" si="10"/>
        <v>https://portal.dnb.de/opac.htm?method=simpleSearch&amp;cqlMode=true&amp;query=idn%3D996417540</v>
      </c>
      <c r="E330" s="74" t="s">
        <v>564</v>
      </c>
      <c r="F330" s="74"/>
      <c r="G330" s="76"/>
      <c r="H330" s="77" t="s">
        <v>8546</v>
      </c>
      <c r="I330" s="76" t="s">
        <v>53</v>
      </c>
      <c r="J330" s="77" t="s">
        <v>89</v>
      </c>
      <c r="K330" s="77" t="s">
        <v>84</v>
      </c>
      <c r="L330" s="76"/>
      <c r="M330" s="76" t="s">
        <v>38</v>
      </c>
      <c r="N330" s="76"/>
      <c r="O330" s="76">
        <v>0</v>
      </c>
      <c r="P330" s="76"/>
      <c r="Q330" s="76"/>
      <c r="R330" s="76"/>
      <c r="S330" s="76"/>
      <c r="BD330" s="99">
        <f t="shared" si="11"/>
        <v>0</v>
      </c>
      <c r="CC330" s="99"/>
      <c r="CV330" s="99"/>
      <c r="CW330" s="63"/>
    </row>
    <row r="331" spans="1:101" ht="33.75" x14ac:dyDescent="0.15">
      <c r="A331" s="76">
        <v>291</v>
      </c>
      <c r="B331" s="74" t="s">
        <v>565</v>
      </c>
      <c r="C331" s="74">
        <v>994507941</v>
      </c>
      <c r="D331" s="78" t="str">
        <f t="shared" si="10"/>
        <v>https://portal.dnb.de/opac.htm?method=simpleSearch&amp;cqlMode=true&amp;query=idn%3D994507941</v>
      </c>
      <c r="E331" s="74" t="s">
        <v>566</v>
      </c>
      <c r="F331" s="74"/>
      <c r="G331" s="76" t="s">
        <v>8515</v>
      </c>
      <c r="H331" s="77" t="s">
        <v>8546</v>
      </c>
      <c r="I331" s="76" t="s">
        <v>53</v>
      </c>
      <c r="J331" s="77" t="s">
        <v>89</v>
      </c>
      <c r="K331" s="77" t="s">
        <v>8552</v>
      </c>
      <c r="L331" s="76"/>
      <c r="M331" s="76" t="s">
        <v>38</v>
      </c>
      <c r="N331" s="76"/>
      <c r="O331" s="76">
        <v>0</v>
      </c>
      <c r="P331" s="76"/>
      <c r="Q331" s="76"/>
      <c r="R331" s="76"/>
      <c r="S331" s="76"/>
      <c r="BD331" s="99">
        <f t="shared" si="11"/>
        <v>0</v>
      </c>
      <c r="CC331" s="99"/>
      <c r="CV331" s="99"/>
      <c r="CW331" s="63"/>
    </row>
    <row r="332" spans="1:101" ht="56.25" x14ac:dyDescent="0.15">
      <c r="A332" s="76">
        <v>292</v>
      </c>
      <c r="B332" s="74" t="s">
        <v>567</v>
      </c>
      <c r="C332" s="74">
        <v>1132653029</v>
      </c>
      <c r="D332" s="78" t="str">
        <f t="shared" si="10"/>
        <v>https://portal.dnb.de/opac.htm?method=simpleSearch&amp;cqlMode=true&amp;query=idn%3D1132653029</v>
      </c>
      <c r="E332" s="74" t="s">
        <v>9598</v>
      </c>
      <c r="F332" s="74"/>
      <c r="G332" s="76" t="s">
        <v>8515</v>
      </c>
      <c r="H332" s="77" t="s">
        <v>48</v>
      </c>
      <c r="I332" s="76" t="s">
        <v>56</v>
      </c>
      <c r="J332" s="77" t="s">
        <v>8516</v>
      </c>
      <c r="K332" s="77" t="s">
        <v>9599</v>
      </c>
      <c r="L332" s="76"/>
      <c r="M332" s="76"/>
      <c r="N332" s="76"/>
      <c r="O332" s="76">
        <v>3</v>
      </c>
      <c r="P332" s="76"/>
      <c r="Q332" s="76"/>
      <c r="R332" s="76"/>
      <c r="S332" s="76"/>
      <c r="Y332" s="95" t="s">
        <v>9736</v>
      </c>
      <c r="AC332" s="95" t="s">
        <v>9737</v>
      </c>
      <c r="AD332" s="95" t="s">
        <v>8541</v>
      </c>
      <c r="AF332" s="95" t="s">
        <v>8541</v>
      </c>
      <c r="AI332" s="95" t="s">
        <v>9725</v>
      </c>
      <c r="AW332" s="95">
        <v>45</v>
      </c>
      <c r="BC332" s="96" t="s">
        <v>9726</v>
      </c>
      <c r="BD332" s="99">
        <f t="shared" si="11"/>
        <v>10</v>
      </c>
      <c r="BO332" s="70" t="s">
        <v>10338</v>
      </c>
      <c r="BP332" s="69" t="s">
        <v>8541</v>
      </c>
      <c r="BR332" s="95" t="s">
        <v>8541</v>
      </c>
      <c r="CB332" s="95" t="s">
        <v>9882</v>
      </c>
      <c r="CC332" s="99">
        <v>6</v>
      </c>
      <c r="CD332" s="90" t="s">
        <v>10340</v>
      </c>
      <c r="CE332" s="95" t="s">
        <v>8541</v>
      </c>
      <c r="CI332" s="95" t="s">
        <v>8541</v>
      </c>
      <c r="CL332" s="95" t="s">
        <v>8541</v>
      </c>
      <c r="CN332" s="95" t="s">
        <v>8541</v>
      </c>
      <c r="CV332" s="99">
        <v>4</v>
      </c>
      <c r="CW332" s="90" t="s">
        <v>10339</v>
      </c>
    </row>
    <row r="333" spans="1:101" ht="56.25" x14ac:dyDescent="0.15">
      <c r="A333" s="76">
        <v>293</v>
      </c>
      <c r="B333" s="74" t="s">
        <v>568</v>
      </c>
      <c r="C333" s="74">
        <v>1132652987</v>
      </c>
      <c r="D333" s="78" t="str">
        <f t="shared" si="10"/>
        <v>https://portal.dnb.de/opac.htm?method=simpleSearch&amp;cqlMode=true&amp;query=idn%3D1132652987</v>
      </c>
      <c r="E333" s="74" t="s">
        <v>9600</v>
      </c>
      <c r="F333" s="74"/>
      <c r="G333" s="76" t="s">
        <v>8515</v>
      </c>
      <c r="H333" s="77" t="s">
        <v>48</v>
      </c>
      <c r="I333" s="76" t="s">
        <v>56</v>
      </c>
      <c r="J333" s="77" t="s">
        <v>8516</v>
      </c>
      <c r="K333" s="77" t="s">
        <v>9601</v>
      </c>
      <c r="L333" s="76"/>
      <c r="M333" s="76"/>
      <c r="N333" s="76"/>
      <c r="O333" s="76">
        <v>3</v>
      </c>
      <c r="P333" s="76"/>
      <c r="Q333" s="76"/>
      <c r="R333" s="76"/>
      <c r="S333" s="76"/>
      <c r="Y333" s="95" t="s">
        <v>9736</v>
      </c>
      <c r="AC333" s="95" t="s">
        <v>9737</v>
      </c>
      <c r="AD333" s="95" t="s">
        <v>8541</v>
      </c>
      <c r="AF333" s="95" t="s">
        <v>8541</v>
      </c>
      <c r="AI333" s="95" t="s">
        <v>9725</v>
      </c>
      <c r="AW333" s="95">
        <v>60</v>
      </c>
      <c r="BC333" s="96" t="s">
        <v>9726</v>
      </c>
      <c r="BD333" s="99">
        <f t="shared" si="11"/>
        <v>6</v>
      </c>
      <c r="BO333" s="70" t="s">
        <v>10338</v>
      </c>
      <c r="BP333" s="69" t="s">
        <v>8541</v>
      </c>
      <c r="BR333" s="95" t="s">
        <v>8541</v>
      </c>
      <c r="CB333" s="95" t="s">
        <v>10217</v>
      </c>
      <c r="CC333" s="99">
        <v>3</v>
      </c>
      <c r="CD333" s="90" t="s">
        <v>10348</v>
      </c>
      <c r="CE333" s="95" t="s">
        <v>8541</v>
      </c>
      <c r="CL333" s="95" t="s">
        <v>8541</v>
      </c>
      <c r="CN333" s="95" t="s">
        <v>8541</v>
      </c>
      <c r="CS333" s="96" t="s">
        <v>10549</v>
      </c>
      <c r="CV333" s="99">
        <v>3</v>
      </c>
      <c r="CW333" s="90" t="s">
        <v>10341</v>
      </c>
    </row>
    <row r="334" spans="1:101" ht="33.75" x14ac:dyDescent="0.15">
      <c r="A334" s="76">
        <v>294</v>
      </c>
      <c r="B334" s="74" t="s">
        <v>569</v>
      </c>
      <c r="C334" s="74">
        <v>1132653037</v>
      </c>
      <c r="D334" s="78" t="str">
        <f t="shared" si="10"/>
        <v>https://portal.dnb.de/opac.htm?method=simpleSearch&amp;cqlMode=true&amp;query=idn%3D1132653037</v>
      </c>
      <c r="E334" s="74" t="s">
        <v>9602</v>
      </c>
      <c r="F334" s="74"/>
      <c r="G334" s="76" t="s">
        <v>8515</v>
      </c>
      <c r="H334" s="77" t="s">
        <v>8546</v>
      </c>
      <c r="I334" s="76" t="s">
        <v>56</v>
      </c>
      <c r="J334" s="77" t="s">
        <v>8516</v>
      </c>
      <c r="K334" s="77" t="s">
        <v>8564</v>
      </c>
      <c r="L334" s="76"/>
      <c r="M334" s="76"/>
      <c r="N334" s="76" t="s">
        <v>8660</v>
      </c>
      <c r="O334" s="76">
        <v>0</v>
      </c>
      <c r="P334" s="76"/>
      <c r="Q334" s="76"/>
      <c r="R334" s="76"/>
      <c r="S334" s="76"/>
      <c r="Y334" s="95" t="s">
        <v>9736</v>
      </c>
      <c r="AB334" s="95" t="s">
        <v>8541</v>
      </c>
      <c r="AC334" s="95" t="s">
        <v>9737</v>
      </c>
      <c r="AD334" s="95" t="s">
        <v>8541</v>
      </c>
      <c r="AI334" s="95" t="s">
        <v>9725</v>
      </c>
      <c r="AP334" s="95" t="s">
        <v>10252</v>
      </c>
      <c r="AW334" s="95">
        <v>110</v>
      </c>
      <c r="BC334" s="96" t="s">
        <v>9734</v>
      </c>
      <c r="BD334" s="99">
        <f t="shared" si="11"/>
        <v>0</v>
      </c>
      <c r="BL334" s="70" t="s">
        <v>10015</v>
      </c>
      <c r="CC334" s="99"/>
      <c r="CV334" s="99"/>
      <c r="CW334" s="63"/>
    </row>
    <row r="335" spans="1:101" ht="90" x14ac:dyDescent="0.15">
      <c r="A335" s="76">
        <v>295</v>
      </c>
      <c r="B335" s="74" t="s">
        <v>570</v>
      </c>
      <c r="C335" s="74">
        <v>1132653002</v>
      </c>
      <c r="D335" s="78" t="str">
        <f t="shared" si="10"/>
        <v>https://portal.dnb.de/opac.htm?method=simpleSearch&amp;cqlMode=true&amp;query=idn%3D1132653002</v>
      </c>
      <c r="E335" s="74" t="s">
        <v>9603</v>
      </c>
      <c r="F335" s="74"/>
      <c r="G335" s="76" t="s">
        <v>8515</v>
      </c>
      <c r="H335" s="77" t="s">
        <v>48</v>
      </c>
      <c r="I335" s="76" t="s">
        <v>56</v>
      </c>
      <c r="J335" s="77" t="s">
        <v>8516</v>
      </c>
      <c r="K335" s="77" t="s">
        <v>9599</v>
      </c>
      <c r="L335" s="76"/>
      <c r="M335" s="76"/>
      <c r="N335" s="76"/>
      <c r="O335" s="76">
        <v>3</v>
      </c>
      <c r="P335" s="76"/>
      <c r="Q335" s="76"/>
      <c r="R335" s="76"/>
      <c r="S335" s="76"/>
      <c r="Y335" s="95" t="s">
        <v>9736</v>
      </c>
      <c r="AC335" s="95" t="s">
        <v>9737</v>
      </c>
      <c r="AD335" s="95" t="s">
        <v>8541</v>
      </c>
      <c r="AF335" s="95" t="s">
        <v>8541</v>
      </c>
      <c r="AI335" s="95" t="s">
        <v>9725</v>
      </c>
      <c r="AW335" s="95">
        <v>60</v>
      </c>
      <c r="BC335" s="96" t="s">
        <v>9726</v>
      </c>
      <c r="BD335" s="99">
        <f t="shared" si="11"/>
        <v>11</v>
      </c>
      <c r="BO335" s="70" t="s">
        <v>10338</v>
      </c>
      <c r="BP335" s="69" t="s">
        <v>8541</v>
      </c>
      <c r="BR335" s="95" t="s">
        <v>8541</v>
      </c>
      <c r="CB335" s="95" t="s">
        <v>9882</v>
      </c>
      <c r="CC335" s="99">
        <v>4</v>
      </c>
      <c r="CD335" s="90" t="s">
        <v>10344</v>
      </c>
      <c r="CE335" s="95" t="s">
        <v>8541</v>
      </c>
      <c r="CI335" s="95" t="s">
        <v>8541</v>
      </c>
      <c r="CL335" s="95" t="s">
        <v>8541</v>
      </c>
      <c r="CN335" s="95" t="s">
        <v>8541</v>
      </c>
      <c r="CQ335" s="95" t="s">
        <v>8541</v>
      </c>
      <c r="CV335" s="99">
        <v>7</v>
      </c>
      <c r="CW335" s="90" t="s">
        <v>10345</v>
      </c>
    </row>
    <row r="336" spans="1:101" ht="101.25" x14ac:dyDescent="0.15">
      <c r="A336" s="76">
        <v>296</v>
      </c>
      <c r="B336" s="74" t="s">
        <v>571</v>
      </c>
      <c r="C336" s="74">
        <v>1132652960</v>
      </c>
      <c r="D336" s="78" t="str">
        <f t="shared" si="10"/>
        <v>https://portal.dnb.de/opac.htm?method=simpleSearch&amp;cqlMode=true&amp;query=idn%3D1132652960</v>
      </c>
      <c r="E336" s="74" t="s">
        <v>9604</v>
      </c>
      <c r="F336" s="74"/>
      <c r="G336" s="76" t="s">
        <v>8515</v>
      </c>
      <c r="H336" s="77" t="s">
        <v>48</v>
      </c>
      <c r="I336" s="76" t="s">
        <v>56</v>
      </c>
      <c r="J336" s="77" t="s">
        <v>8516</v>
      </c>
      <c r="K336" s="77" t="s">
        <v>9599</v>
      </c>
      <c r="L336" s="76"/>
      <c r="M336" s="76"/>
      <c r="N336" s="76"/>
      <c r="O336" s="76">
        <v>3</v>
      </c>
      <c r="P336" s="76"/>
      <c r="Q336" s="76"/>
      <c r="R336" s="76"/>
      <c r="S336" s="76"/>
      <c r="Y336" s="95" t="s">
        <v>9736</v>
      </c>
      <c r="AC336" s="95" t="s">
        <v>9737</v>
      </c>
      <c r="AD336" s="95" t="s">
        <v>8541</v>
      </c>
      <c r="AF336" s="95" t="s">
        <v>8541</v>
      </c>
      <c r="AI336" s="95" t="s">
        <v>9725</v>
      </c>
      <c r="AW336" s="95">
        <v>60</v>
      </c>
      <c r="BC336" s="96" t="s">
        <v>9726</v>
      </c>
      <c r="BD336" s="99">
        <f t="shared" si="11"/>
        <v>17</v>
      </c>
      <c r="BO336" s="70" t="s">
        <v>10338</v>
      </c>
      <c r="BP336" s="69" t="s">
        <v>8541</v>
      </c>
      <c r="BR336" s="95" t="s">
        <v>8541</v>
      </c>
      <c r="BT336" s="95" t="s">
        <v>9775</v>
      </c>
      <c r="CB336" s="95" t="s">
        <v>10217</v>
      </c>
      <c r="CC336" s="99">
        <v>10</v>
      </c>
      <c r="CD336" s="90" t="s">
        <v>10347</v>
      </c>
      <c r="CE336" s="95" t="s">
        <v>8541</v>
      </c>
      <c r="CL336" s="95" t="s">
        <v>8541</v>
      </c>
      <c r="CN336" s="95" t="s">
        <v>8541</v>
      </c>
      <c r="CV336" s="99">
        <v>7</v>
      </c>
      <c r="CW336" s="90" t="s">
        <v>10350</v>
      </c>
    </row>
    <row r="337" spans="1:101" ht="56.25" x14ac:dyDescent="0.15">
      <c r="A337" s="76">
        <v>297</v>
      </c>
      <c r="B337" s="74" t="s">
        <v>572</v>
      </c>
      <c r="C337" s="74">
        <v>1132652979</v>
      </c>
      <c r="D337" s="78" t="str">
        <f t="shared" si="10"/>
        <v>https://portal.dnb.de/opac.htm?method=simpleSearch&amp;cqlMode=true&amp;query=idn%3D1132652979</v>
      </c>
      <c r="E337" s="74" t="s">
        <v>9605</v>
      </c>
      <c r="F337" s="74"/>
      <c r="G337" s="76" t="s">
        <v>8515</v>
      </c>
      <c r="H337" s="77" t="s">
        <v>48</v>
      </c>
      <c r="I337" s="76" t="s">
        <v>56</v>
      </c>
      <c r="J337" s="77" t="s">
        <v>8516</v>
      </c>
      <c r="K337" s="77" t="s">
        <v>9599</v>
      </c>
      <c r="L337" s="76"/>
      <c r="M337" s="76"/>
      <c r="N337" s="76"/>
      <c r="O337" s="76">
        <v>3</v>
      </c>
      <c r="P337" s="76"/>
      <c r="Q337" s="76"/>
      <c r="R337" s="76"/>
      <c r="S337" s="76"/>
      <c r="Y337" s="95" t="s">
        <v>9736</v>
      </c>
      <c r="AC337" s="95" t="s">
        <v>9737</v>
      </c>
      <c r="AD337" s="95" t="s">
        <v>8541</v>
      </c>
      <c r="AF337" s="95" t="s">
        <v>8541</v>
      </c>
      <c r="AI337" s="95" t="s">
        <v>9725</v>
      </c>
      <c r="AW337" s="95">
        <v>45</v>
      </c>
      <c r="BC337" s="96" t="s">
        <v>9726</v>
      </c>
      <c r="BD337" s="99">
        <f t="shared" si="11"/>
        <v>8</v>
      </c>
      <c r="BO337" s="70" t="s">
        <v>10338</v>
      </c>
      <c r="BP337" s="69" t="s">
        <v>8541</v>
      </c>
      <c r="BR337" s="95" t="s">
        <v>8541</v>
      </c>
      <c r="CB337" s="95" t="s">
        <v>10217</v>
      </c>
      <c r="CC337" s="99">
        <v>4.5</v>
      </c>
      <c r="CD337" s="90" t="s">
        <v>10343</v>
      </c>
      <c r="CE337" s="95" t="s">
        <v>8541</v>
      </c>
      <c r="CI337" s="95" t="s">
        <v>8541</v>
      </c>
      <c r="CL337" s="95" t="s">
        <v>8541</v>
      </c>
      <c r="CN337" s="95" t="s">
        <v>8541</v>
      </c>
      <c r="CQ337" s="95" t="s">
        <v>8541</v>
      </c>
      <c r="CV337" s="99">
        <v>3.5</v>
      </c>
      <c r="CW337" s="90" t="s">
        <v>10342</v>
      </c>
    </row>
    <row r="338" spans="1:101" ht="56.25" x14ac:dyDescent="0.15">
      <c r="A338" s="76">
        <v>298</v>
      </c>
      <c r="B338" s="74" t="s">
        <v>573</v>
      </c>
      <c r="C338" s="74">
        <v>1132652995</v>
      </c>
      <c r="D338" s="78" t="str">
        <f t="shared" si="10"/>
        <v>https://portal.dnb.de/opac.htm?method=simpleSearch&amp;cqlMode=true&amp;query=idn%3D1132652995</v>
      </c>
      <c r="E338" s="74" t="s">
        <v>9606</v>
      </c>
      <c r="F338" s="74"/>
      <c r="G338" s="76" t="s">
        <v>8515</v>
      </c>
      <c r="H338" s="77" t="s">
        <v>48</v>
      </c>
      <c r="I338" s="76" t="s">
        <v>56</v>
      </c>
      <c r="J338" s="77" t="s">
        <v>8516</v>
      </c>
      <c r="K338" s="77" t="s">
        <v>9601</v>
      </c>
      <c r="L338" s="76"/>
      <c r="M338" s="76"/>
      <c r="N338" s="76"/>
      <c r="O338" s="76">
        <v>3</v>
      </c>
      <c r="P338" s="76"/>
      <c r="Q338" s="76"/>
      <c r="R338" s="76"/>
      <c r="S338" s="76"/>
      <c r="Y338" s="95" t="s">
        <v>9736</v>
      </c>
      <c r="AC338" s="95" t="s">
        <v>9737</v>
      </c>
      <c r="AD338" s="95" t="s">
        <v>8541</v>
      </c>
      <c r="AF338" s="95" t="s">
        <v>8541</v>
      </c>
      <c r="AI338" s="95" t="s">
        <v>9725</v>
      </c>
      <c r="AW338" s="95">
        <v>60</v>
      </c>
      <c r="BC338" s="96" t="s">
        <v>9726</v>
      </c>
      <c r="BD338" s="99">
        <f t="shared" si="11"/>
        <v>6</v>
      </c>
      <c r="BO338" s="70" t="s">
        <v>10338</v>
      </c>
      <c r="BP338" s="69" t="s">
        <v>8541</v>
      </c>
      <c r="BR338" s="95" t="s">
        <v>8541</v>
      </c>
      <c r="CB338" s="95" t="s">
        <v>9882</v>
      </c>
      <c r="CC338" s="99">
        <v>2.5</v>
      </c>
      <c r="CD338" s="90" t="s">
        <v>10346</v>
      </c>
      <c r="CE338" s="95" t="s">
        <v>8541</v>
      </c>
      <c r="CH338" s="95" t="s">
        <v>8541</v>
      </c>
      <c r="CL338" s="95" t="s">
        <v>8541</v>
      </c>
      <c r="CN338" s="95" t="s">
        <v>8541</v>
      </c>
      <c r="CV338" s="99">
        <v>3.5</v>
      </c>
      <c r="CW338" s="63" t="s">
        <v>10349</v>
      </c>
    </row>
    <row r="339" spans="1:101" ht="157.5" x14ac:dyDescent="0.15">
      <c r="A339" s="76">
        <v>299</v>
      </c>
      <c r="B339" s="74" t="s">
        <v>574</v>
      </c>
      <c r="C339" s="74">
        <v>1132653010</v>
      </c>
      <c r="D339" s="78" t="str">
        <f t="shared" si="10"/>
        <v>https://portal.dnb.de/opac.htm?method=simpleSearch&amp;cqlMode=true&amp;query=idn%3D1132653010</v>
      </c>
      <c r="E339" s="74" t="s">
        <v>9607</v>
      </c>
      <c r="F339" s="74"/>
      <c r="G339" s="76" t="s">
        <v>8515</v>
      </c>
      <c r="H339" s="77" t="s">
        <v>48</v>
      </c>
      <c r="I339" s="76" t="s">
        <v>56</v>
      </c>
      <c r="J339" s="77" t="s">
        <v>8516</v>
      </c>
      <c r="K339" s="77" t="s">
        <v>9599</v>
      </c>
      <c r="L339" s="76"/>
      <c r="M339" s="76"/>
      <c r="N339" s="76"/>
      <c r="O339" s="76">
        <v>3</v>
      </c>
      <c r="P339" s="76"/>
      <c r="Q339" s="76"/>
      <c r="R339" s="76"/>
      <c r="S339" s="76"/>
      <c r="Y339" s="95" t="s">
        <v>9736</v>
      </c>
      <c r="AC339" s="95" t="s">
        <v>9737</v>
      </c>
      <c r="AD339" s="95" t="s">
        <v>8541</v>
      </c>
      <c r="AF339" s="95" t="s">
        <v>8541</v>
      </c>
      <c r="AI339" s="95" t="s">
        <v>9725</v>
      </c>
      <c r="AW339" s="95">
        <v>45</v>
      </c>
      <c r="BC339" s="96" t="s">
        <v>9726</v>
      </c>
      <c r="BD339" s="99">
        <f t="shared" si="11"/>
        <v>19.5</v>
      </c>
      <c r="BO339" s="70" t="s">
        <v>10338</v>
      </c>
      <c r="BP339" s="69" t="s">
        <v>8541</v>
      </c>
      <c r="BR339" s="95" t="s">
        <v>8541</v>
      </c>
      <c r="BT339" s="95" t="s">
        <v>9737</v>
      </c>
      <c r="CB339" s="95" t="s">
        <v>9818</v>
      </c>
      <c r="CC339" s="99">
        <v>11</v>
      </c>
      <c r="CD339" s="90" t="s">
        <v>10351</v>
      </c>
      <c r="CE339" s="95" t="s">
        <v>8541</v>
      </c>
      <c r="CL339" s="95" t="s">
        <v>8541</v>
      </c>
      <c r="CN339" s="95" t="s">
        <v>8541</v>
      </c>
      <c r="CQ339" s="95" t="s">
        <v>8541</v>
      </c>
      <c r="CV339" s="99">
        <v>8.5</v>
      </c>
      <c r="CW339" s="90" t="s">
        <v>10352</v>
      </c>
    </row>
    <row r="340" spans="1:101" x14ac:dyDescent="0.15">
      <c r="A340" s="76">
        <v>300</v>
      </c>
      <c r="B340" s="74" t="s">
        <v>575</v>
      </c>
      <c r="C340" s="74">
        <v>994423543</v>
      </c>
      <c r="D340" s="78" t="str">
        <f t="shared" si="10"/>
        <v>https://portal.dnb.de/opac.htm?method=simpleSearch&amp;cqlMode=true&amp;query=idn%3D994423543</v>
      </c>
      <c r="E340" s="74" t="s">
        <v>576</v>
      </c>
      <c r="F340" s="74"/>
      <c r="G340" s="76" t="s">
        <v>8515</v>
      </c>
      <c r="H340" s="77" t="s">
        <v>5</v>
      </c>
      <c r="I340" s="76" t="s">
        <v>53</v>
      </c>
      <c r="J340" s="77" t="s">
        <v>8516</v>
      </c>
      <c r="K340" s="77" t="s">
        <v>8520</v>
      </c>
      <c r="L340" s="76"/>
      <c r="M340" s="76" t="s">
        <v>38</v>
      </c>
      <c r="N340" s="76"/>
      <c r="O340" s="76">
        <v>0</v>
      </c>
      <c r="P340" s="76" t="s">
        <v>46</v>
      </c>
      <c r="Q340" s="76"/>
      <c r="R340" s="76"/>
      <c r="S340" s="76"/>
      <c r="BD340" s="99">
        <f t="shared" si="11"/>
        <v>0</v>
      </c>
      <c r="CC340" s="99"/>
      <c r="CV340" s="99"/>
      <c r="CW340" s="63"/>
    </row>
    <row r="341" spans="1:101" x14ac:dyDescent="0.15">
      <c r="A341" s="76">
        <v>301</v>
      </c>
      <c r="B341" s="74" t="s">
        <v>577</v>
      </c>
      <c r="C341" s="74">
        <v>997144769</v>
      </c>
      <c r="D341" s="78" t="str">
        <f t="shared" si="10"/>
        <v>https://portal.dnb.de/opac.htm?method=simpleSearch&amp;cqlMode=true&amp;query=idn%3D997144769</v>
      </c>
      <c r="E341" s="74" t="s">
        <v>578</v>
      </c>
      <c r="F341" s="74"/>
      <c r="G341" s="76"/>
      <c r="H341" s="77" t="s">
        <v>48</v>
      </c>
      <c r="I341" s="76" t="s">
        <v>53</v>
      </c>
      <c r="J341" s="77" t="s">
        <v>8516</v>
      </c>
      <c r="K341" s="77" t="s">
        <v>84</v>
      </c>
      <c r="L341" s="76"/>
      <c r="M341" s="76" t="s">
        <v>38</v>
      </c>
      <c r="N341" s="76"/>
      <c r="O341" s="76">
        <v>0</v>
      </c>
      <c r="P341" s="76"/>
      <c r="Q341" s="76"/>
      <c r="R341" s="76"/>
      <c r="S341" s="76"/>
      <c r="BD341" s="99">
        <f t="shared" si="11"/>
        <v>0</v>
      </c>
      <c r="CC341" s="99"/>
      <c r="CV341" s="99"/>
      <c r="CW341" s="63"/>
    </row>
    <row r="342" spans="1:101" x14ac:dyDescent="0.15">
      <c r="A342" s="76">
        <v>302</v>
      </c>
      <c r="B342" s="74" t="s">
        <v>579</v>
      </c>
      <c r="C342" s="74">
        <v>997144939</v>
      </c>
      <c r="D342" s="78" t="str">
        <f t="shared" si="10"/>
        <v>https://portal.dnb.de/opac.htm?method=simpleSearch&amp;cqlMode=true&amp;query=idn%3D997144939</v>
      </c>
      <c r="E342" s="74" t="s">
        <v>578</v>
      </c>
      <c r="F342" s="74"/>
      <c r="G342" s="76"/>
      <c r="H342" s="77" t="s">
        <v>48</v>
      </c>
      <c r="I342" s="76" t="s">
        <v>53</v>
      </c>
      <c r="J342" s="77" t="s">
        <v>8516</v>
      </c>
      <c r="K342" s="77" t="s">
        <v>84</v>
      </c>
      <c r="L342" s="76"/>
      <c r="M342" s="76" t="s">
        <v>38</v>
      </c>
      <c r="N342" s="76"/>
      <c r="O342" s="76">
        <v>0</v>
      </c>
      <c r="P342" s="76"/>
      <c r="Q342" s="76"/>
      <c r="R342" s="76"/>
      <c r="S342" s="76"/>
      <c r="BD342" s="99">
        <f t="shared" si="11"/>
        <v>0</v>
      </c>
      <c r="CC342" s="99"/>
      <c r="CV342" s="99"/>
      <c r="CW342" s="63"/>
    </row>
    <row r="343" spans="1:101" x14ac:dyDescent="0.15">
      <c r="A343" s="76">
        <v>303</v>
      </c>
      <c r="B343" s="74" t="s">
        <v>580</v>
      </c>
      <c r="C343" s="74">
        <v>995413258</v>
      </c>
      <c r="D343" s="78" t="str">
        <f t="shared" si="10"/>
        <v>https://portal.dnb.de/opac.htm?method=simpleSearch&amp;cqlMode=true&amp;query=idn%3D995413258</v>
      </c>
      <c r="E343" s="74" t="s">
        <v>578</v>
      </c>
      <c r="F343" s="74"/>
      <c r="G343" s="76"/>
      <c r="H343" s="77" t="s">
        <v>48</v>
      </c>
      <c r="I343" s="76" t="s">
        <v>53</v>
      </c>
      <c r="J343" s="77" t="s">
        <v>8516</v>
      </c>
      <c r="K343" s="77" t="s">
        <v>84</v>
      </c>
      <c r="L343" s="76"/>
      <c r="M343" s="76" t="s">
        <v>38</v>
      </c>
      <c r="N343" s="76"/>
      <c r="O343" s="76">
        <v>0</v>
      </c>
      <c r="P343" s="76"/>
      <c r="Q343" s="76"/>
      <c r="R343" s="76"/>
      <c r="S343" s="76"/>
      <c r="BD343" s="99">
        <f t="shared" si="11"/>
        <v>0</v>
      </c>
      <c r="CC343" s="99"/>
      <c r="CV343" s="99"/>
      <c r="CW343" s="63"/>
    </row>
    <row r="344" spans="1:101" x14ac:dyDescent="0.15">
      <c r="A344" s="76">
        <v>304</v>
      </c>
      <c r="B344" s="74" t="s">
        <v>581</v>
      </c>
      <c r="C344" s="74">
        <v>1002645166</v>
      </c>
      <c r="D344" s="78" t="str">
        <f t="shared" si="10"/>
        <v>https://portal.dnb.de/opac.htm?method=simpleSearch&amp;cqlMode=true&amp;query=idn%3D1002645166</v>
      </c>
      <c r="E344" s="74" t="s">
        <v>582</v>
      </c>
      <c r="F344" s="74"/>
      <c r="G344" s="76" t="s">
        <v>8515</v>
      </c>
      <c r="H344" s="77" t="s">
        <v>48</v>
      </c>
      <c r="I344" s="76" t="s">
        <v>53</v>
      </c>
      <c r="J344" s="77" t="s">
        <v>58</v>
      </c>
      <c r="K344" s="77" t="s">
        <v>84</v>
      </c>
      <c r="L344" s="76"/>
      <c r="M344" s="76" t="s">
        <v>38</v>
      </c>
      <c r="N344" s="76"/>
      <c r="O344" s="76">
        <v>0</v>
      </c>
      <c r="P344" s="76"/>
      <c r="Q344" s="76"/>
      <c r="R344" s="76"/>
      <c r="S344" s="76"/>
      <c r="BD344" s="99">
        <f t="shared" si="11"/>
        <v>0</v>
      </c>
      <c r="CC344" s="99"/>
      <c r="CV344" s="99"/>
      <c r="CW344" s="63"/>
    </row>
    <row r="345" spans="1:101" x14ac:dyDescent="0.15">
      <c r="A345" s="76">
        <v>305</v>
      </c>
      <c r="B345" s="74" t="s">
        <v>583</v>
      </c>
      <c r="C345" s="74">
        <v>1002645379</v>
      </c>
      <c r="D345" s="78" t="str">
        <f t="shared" si="10"/>
        <v>https://portal.dnb.de/opac.htm?method=simpleSearch&amp;cqlMode=true&amp;query=idn%3D1002645379</v>
      </c>
      <c r="E345" s="74" t="s">
        <v>584</v>
      </c>
      <c r="F345" s="74"/>
      <c r="G345" s="76"/>
      <c r="H345" s="77" t="s">
        <v>48</v>
      </c>
      <c r="I345" s="76" t="s">
        <v>53</v>
      </c>
      <c r="J345" s="77" t="s">
        <v>8516</v>
      </c>
      <c r="K345" s="77" t="s">
        <v>84</v>
      </c>
      <c r="L345" s="76"/>
      <c r="M345" s="76" t="s">
        <v>38</v>
      </c>
      <c r="N345" s="76"/>
      <c r="O345" s="76">
        <v>0</v>
      </c>
      <c r="P345" s="76"/>
      <c r="Q345" s="76"/>
      <c r="R345" s="76"/>
      <c r="S345" s="76"/>
      <c r="BD345" s="99">
        <f t="shared" si="11"/>
        <v>0</v>
      </c>
      <c r="CC345" s="99"/>
      <c r="CV345" s="99"/>
      <c r="CW345" s="63"/>
    </row>
    <row r="346" spans="1:101" ht="22.5" x14ac:dyDescent="0.15">
      <c r="A346" s="76">
        <v>306</v>
      </c>
      <c r="B346" s="74" t="s">
        <v>589</v>
      </c>
      <c r="C346" s="74">
        <v>995502862</v>
      </c>
      <c r="D346" s="78" t="str">
        <f t="shared" si="10"/>
        <v>https://portal.dnb.de/opac.htm?method=simpleSearch&amp;cqlMode=true&amp;query=idn%3D995502862</v>
      </c>
      <c r="E346" s="74" t="s">
        <v>590</v>
      </c>
      <c r="F346" s="74"/>
      <c r="G346" s="76" t="s">
        <v>8515</v>
      </c>
      <c r="H346" s="77" t="s">
        <v>8547</v>
      </c>
      <c r="I346" s="76" t="s">
        <v>53</v>
      </c>
      <c r="J346" s="77" t="s">
        <v>8516</v>
      </c>
      <c r="K346" s="77"/>
      <c r="L346" s="76"/>
      <c r="M346" s="76" t="s">
        <v>38</v>
      </c>
      <c r="N346" s="76"/>
      <c r="O346" s="76">
        <v>1</v>
      </c>
      <c r="P346" s="76"/>
      <c r="Q346" s="76"/>
      <c r="R346" s="76"/>
      <c r="S346" s="76"/>
      <c r="BD346" s="99">
        <f t="shared" si="11"/>
        <v>0</v>
      </c>
      <c r="CC346" s="99"/>
      <c r="CV346" s="99"/>
      <c r="CW346" s="63"/>
    </row>
    <row r="347" spans="1:101" ht="33.75" x14ac:dyDescent="0.15">
      <c r="A347" s="76">
        <v>307</v>
      </c>
      <c r="B347" s="74" t="s">
        <v>591</v>
      </c>
      <c r="C347" s="74">
        <v>1002925398</v>
      </c>
      <c r="D347" s="78" t="str">
        <f t="shared" si="10"/>
        <v>https://portal.dnb.de/opac.htm?method=simpleSearch&amp;cqlMode=true&amp;query=idn%3D1002925398</v>
      </c>
      <c r="E347" s="74" t="s">
        <v>592</v>
      </c>
      <c r="F347" s="74"/>
      <c r="G347" s="76" t="s">
        <v>8515</v>
      </c>
      <c r="H347" s="77" t="s">
        <v>8546</v>
      </c>
      <c r="I347" s="76" t="s">
        <v>53</v>
      </c>
      <c r="J347" s="77" t="s">
        <v>8516</v>
      </c>
      <c r="K347" s="77" t="s">
        <v>84</v>
      </c>
      <c r="L347" s="76"/>
      <c r="M347" s="76" t="s">
        <v>38</v>
      </c>
      <c r="N347" s="76"/>
      <c r="O347" s="76">
        <v>0</v>
      </c>
      <c r="P347" s="76"/>
      <c r="Q347" s="76"/>
      <c r="R347" s="76"/>
      <c r="S347" s="76"/>
      <c r="BD347" s="99">
        <f t="shared" si="11"/>
        <v>0</v>
      </c>
      <c r="CC347" s="99"/>
      <c r="CV347" s="99"/>
      <c r="CW347" s="63"/>
    </row>
    <row r="348" spans="1:101" x14ac:dyDescent="0.15">
      <c r="A348" s="76">
        <v>308</v>
      </c>
      <c r="B348" s="74" t="s">
        <v>593</v>
      </c>
      <c r="C348" s="74" t="s">
        <v>594</v>
      </c>
      <c r="D348" s="78" t="str">
        <f t="shared" si="10"/>
        <v>https://portal.dnb.de/opac.htm?method=simpleSearch&amp;cqlMode=true&amp;query=idn%3D99975260X</v>
      </c>
      <c r="E348" s="74" t="s">
        <v>595</v>
      </c>
      <c r="F348" s="74"/>
      <c r="G348" s="76"/>
      <c r="H348" s="77" t="s">
        <v>5</v>
      </c>
      <c r="I348" s="76" t="s">
        <v>53</v>
      </c>
      <c r="J348" s="77" t="s">
        <v>8516</v>
      </c>
      <c r="K348" s="77" t="s">
        <v>8520</v>
      </c>
      <c r="L348" s="76"/>
      <c r="M348" s="76" t="s">
        <v>38</v>
      </c>
      <c r="N348" s="76"/>
      <c r="O348" s="76">
        <v>0</v>
      </c>
      <c r="P348" s="76"/>
      <c r="Q348" s="76"/>
      <c r="R348" s="76"/>
      <c r="S348" s="76"/>
      <c r="BD348" s="99">
        <f t="shared" si="11"/>
        <v>0</v>
      </c>
      <c r="CC348" s="99"/>
      <c r="CV348" s="99"/>
      <c r="CW348" s="63"/>
    </row>
    <row r="349" spans="1:101" ht="33.75" x14ac:dyDescent="0.15">
      <c r="A349" s="76">
        <v>309</v>
      </c>
      <c r="B349" s="74" t="s">
        <v>596</v>
      </c>
      <c r="C349" s="74" t="s">
        <v>597</v>
      </c>
      <c r="D349" s="78" t="str">
        <f t="shared" si="10"/>
        <v>https://portal.dnb.de/opac.htm?method=simpleSearch&amp;cqlMode=true&amp;query=idn%3D99451039X</v>
      </c>
      <c r="E349" s="74" t="s">
        <v>598</v>
      </c>
      <c r="F349" s="74"/>
      <c r="G349" s="76"/>
      <c r="H349" s="77" t="s">
        <v>8546</v>
      </c>
      <c r="I349" s="76" t="s">
        <v>53</v>
      </c>
      <c r="J349" s="77" t="s">
        <v>89</v>
      </c>
      <c r="K349" s="77" t="s">
        <v>8676</v>
      </c>
      <c r="L349" s="76"/>
      <c r="M349" s="76" t="s">
        <v>38</v>
      </c>
      <c r="N349" s="76"/>
      <c r="O349" s="76">
        <v>0</v>
      </c>
      <c r="P349" s="76"/>
      <c r="Q349" s="76"/>
      <c r="R349" s="76"/>
      <c r="S349" s="76"/>
      <c r="BD349" s="99">
        <f t="shared" si="11"/>
        <v>0</v>
      </c>
      <c r="CC349" s="99"/>
      <c r="CV349" s="99"/>
      <c r="CW349" s="63"/>
    </row>
    <row r="350" spans="1:101" ht="33.75" x14ac:dyDescent="0.15">
      <c r="A350" s="76">
        <v>310</v>
      </c>
      <c r="B350" s="74" t="s">
        <v>599</v>
      </c>
      <c r="C350" s="74">
        <v>994423071</v>
      </c>
      <c r="D350" s="78" t="str">
        <f t="shared" si="10"/>
        <v>https://portal.dnb.de/opac.htm?method=simpleSearch&amp;cqlMode=true&amp;query=idn%3D994423071</v>
      </c>
      <c r="E350" s="74" t="s">
        <v>600</v>
      </c>
      <c r="F350" s="74"/>
      <c r="G350" s="76"/>
      <c r="H350" s="77" t="s">
        <v>5</v>
      </c>
      <c r="I350" s="76" t="s">
        <v>53</v>
      </c>
      <c r="J350" s="77" t="s">
        <v>89</v>
      </c>
      <c r="K350" s="77" t="s">
        <v>8667</v>
      </c>
      <c r="L350" s="76"/>
      <c r="M350" s="76"/>
      <c r="N350" s="76" t="s">
        <v>8660</v>
      </c>
      <c r="O350" s="76">
        <v>0</v>
      </c>
      <c r="P350" s="76"/>
      <c r="Q350" s="76"/>
      <c r="R350" s="76"/>
      <c r="S350" s="76"/>
      <c r="BD350" s="99">
        <f t="shared" si="11"/>
        <v>0</v>
      </c>
      <c r="CC350" s="99"/>
      <c r="CV350" s="99"/>
      <c r="CW350" s="63"/>
    </row>
    <row r="351" spans="1:101" x14ac:dyDescent="0.15">
      <c r="A351" s="76">
        <v>311</v>
      </c>
      <c r="B351" s="74" t="s">
        <v>605</v>
      </c>
      <c r="C351" s="74">
        <v>999614509</v>
      </c>
      <c r="D351" s="78" t="str">
        <f t="shared" si="10"/>
        <v>https://portal.dnb.de/opac.htm?method=simpleSearch&amp;cqlMode=true&amp;query=idn%3D999614509</v>
      </c>
      <c r="E351" s="74" t="s">
        <v>606</v>
      </c>
      <c r="F351" s="74"/>
      <c r="G351" s="76"/>
      <c r="H351" s="77" t="s">
        <v>4</v>
      </c>
      <c r="I351" s="76" t="s">
        <v>53</v>
      </c>
      <c r="J351" s="77" t="s">
        <v>58</v>
      </c>
      <c r="K351" s="77" t="s">
        <v>8520</v>
      </c>
      <c r="L351" s="76"/>
      <c r="M351" s="76" t="s">
        <v>38</v>
      </c>
      <c r="N351" s="76"/>
      <c r="O351" s="76"/>
      <c r="P351" s="76"/>
      <c r="Q351" s="76"/>
      <c r="R351" s="76"/>
      <c r="S351" s="76"/>
      <c r="BD351" s="99">
        <f t="shared" si="11"/>
        <v>0</v>
      </c>
      <c r="CC351" s="99"/>
      <c r="CV351" s="99"/>
      <c r="CW351" s="63"/>
    </row>
    <row r="352" spans="1:101" ht="22.5" x14ac:dyDescent="0.15">
      <c r="A352" s="76">
        <v>312</v>
      </c>
      <c r="B352" s="74" t="s">
        <v>607</v>
      </c>
      <c r="C352" s="74">
        <v>993966861</v>
      </c>
      <c r="D352" s="78" t="str">
        <f t="shared" si="10"/>
        <v>https://portal.dnb.de/opac.htm?method=simpleSearch&amp;cqlMode=true&amp;query=idn%3D993966861</v>
      </c>
      <c r="E352" s="74" t="s">
        <v>608</v>
      </c>
      <c r="F352" s="74"/>
      <c r="G352" s="76"/>
      <c r="H352" s="77" t="s">
        <v>48</v>
      </c>
      <c r="I352" s="76" t="s">
        <v>53</v>
      </c>
      <c r="J352" s="77" t="s">
        <v>58</v>
      </c>
      <c r="K352" s="77" t="s">
        <v>8678</v>
      </c>
      <c r="L352" s="76"/>
      <c r="M352" s="76"/>
      <c r="N352" s="76"/>
      <c r="O352" s="76">
        <v>0</v>
      </c>
      <c r="P352" s="76"/>
      <c r="Q352" s="76"/>
      <c r="R352" s="76"/>
      <c r="S352" s="76"/>
      <c r="BD352" s="99">
        <f t="shared" si="11"/>
        <v>0</v>
      </c>
      <c r="CC352" s="99"/>
      <c r="CV352" s="99"/>
      <c r="CW352" s="63"/>
    </row>
    <row r="353" spans="1:101" x14ac:dyDescent="0.15">
      <c r="A353" s="76">
        <v>313</v>
      </c>
      <c r="B353" s="74" t="s">
        <v>611</v>
      </c>
      <c r="C353" s="74">
        <v>997553367</v>
      </c>
      <c r="D353" s="78" t="str">
        <f t="shared" si="10"/>
        <v>https://portal.dnb.de/opac.htm?method=simpleSearch&amp;cqlMode=true&amp;query=idn%3D997553367</v>
      </c>
      <c r="E353" s="74" t="s">
        <v>612</v>
      </c>
      <c r="F353" s="74"/>
      <c r="G353" s="76"/>
      <c r="H353" s="77" t="s">
        <v>4</v>
      </c>
      <c r="I353" s="76" t="s">
        <v>53</v>
      </c>
      <c r="J353" s="77" t="s">
        <v>8516</v>
      </c>
      <c r="K353" s="77" t="s">
        <v>8520</v>
      </c>
      <c r="L353" s="76"/>
      <c r="M353" s="76" t="s">
        <v>38</v>
      </c>
      <c r="N353" s="76"/>
      <c r="O353" s="76">
        <v>0</v>
      </c>
      <c r="P353" s="76"/>
      <c r="Q353" s="76"/>
      <c r="R353" s="76"/>
      <c r="S353" s="76"/>
      <c r="BD353" s="99">
        <f t="shared" si="11"/>
        <v>0</v>
      </c>
      <c r="CC353" s="99"/>
      <c r="CV353" s="99"/>
      <c r="CW353" s="63"/>
    </row>
    <row r="354" spans="1:101" x14ac:dyDescent="0.15">
      <c r="A354" s="76">
        <v>314</v>
      </c>
      <c r="B354" s="74" t="s">
        <v>613</v>
      </c>
      <c r="C354" s="74">
        <v>999214225</v>
      </c>
      <c r="D354" s="78" t="str">
        <f t="shared" si="10"/>
        <v>https://portal.dnb.de/opac.htm?method=simpleSearch&amp;cqlMode=true&amp;query=idn%3D999214225</v>
      </c>
      <c r="E354" s="74" t="s">
        <v>614</v>
      </c>
      <c r="F354" s="74"/>
      <c r="G354" s="76"/>
      <c r="H354" s="77" t="s">
        <v>48</v>
      </c>
      <c r="I354" s="76" t="s">
        <v>53</v>
      </c>
      <c r="J354" s="77" t="s">
        <v>8516</v>
      </c>
      <c r="K354" s="77" t="s">
        <v>84</v>
      </c>
      <c r="L354" s="76"/>
      <c r="M354" s="76" t="s">
        <v>38</v>
      </c>
      <c r="N354" s="76"/>
      <c r="O354" s="76">
        <v>0</v>
      </c>
      <c r="P354" s="76"/>
      <c r="Q354" s="76"/>
      <c r="R354" s="76"/>
      <c r="S354" s="76"/>
      <c r="BD354" s="99">
        <f t="shared" si="11"/>
        <v>0</v>
      </c>
      <c r="CC354" s="99"/>
      <c r="CV354" s="99"/>
      <c r="CW354" s="63"/>
    </row>
    <row r="355" spans="1:101" x14ac:dyDescent="0.15">
      <c r="A355" s="76">
        <v>315</v>
      </c>
      <c r="B355" s="74" t="s">
        <v>615</v>
      </c>
      <c r="C355" s="74">
        <v>995833281</v>
      </c>
      <c r="D355" s="78" t="str">
        <f t="shared" si="10"/>
        <v>https://portal.dnb.de/opac.htm?method=simpleSearch&amp;cqlMode=true&amp;query=idn%3D995833281</v>
      </c>
      <c r="E355" s="74" t="s">
        <v>616</v>
      </c>
      <c r="F355" s="74"/>
      <c r="G355" s="76"/>
      <c r="H355" s="77" t="s">
        <v>49</v>
      </c>
      <c r="I355" s="76" t="s">
        <v>53</v>
      </c>
      <c r="J355" s="77" t="s">
        <v>8516</v>
      </c>
      <c r="K355" s="77" t="s">
        <v>8577</v>
      </c>
      <c r="L355" s="76"/>
      <c r="M355" s="76"/>
      <c r="N355" s="76"/>
      <c r="O355" s="76">
        <v>0</v>
      </c>
      <c r="P355" s="76"/>
      <c r="Q355" s="76"/>
      <c r="R355" s="76"/>
      <c r="S355" s="76"/>
      <c r="BD355" s="99">
        <f t="shared" si="11"/>
        <v>0</v>
      </c>
      <c r="CC355" s="99"/>
      <c r="CV355" s="99"/>
      <c r="CW355" s="63"/>
    </row>
    <row r="356" spans="1:101" x14ac:dyDescent="0.15">
      <c r="A356" s="76">
        <v>316</v>
      </c>
      <c r="B356" s="74" t="s">
        <v>623</v>
      </c>
      <c r="C356" s="74">
        <v>996719342</v>
      </c>
      <c r="D356" s="78" t="str">
        <f t="shared" si="10"/>
        <v>https://portal.dnb.de/opac.htm?method=simpleSearch&amp;cqlMode=true&amp;query=idn%3D996719342</v>
      </c>
      <c r="E356" s="74" t="s">
        <v>624</v>
      </c>
      <c r="F356" s="74"/>
      <c r="G356" s="76" t="s">
        <v>8515</v>
      </c>
      <c r="H356" s="77" t="s">
        <v>5</v>
      </c>
      <c r="I356" s="76" t="s">
        <v>54</v>
      </c>
      <c r="J356" s="77" t="s">
        <v>8516</v>
      </c>
      <c r="K356" s="77"/>
      <c r="L356" s="76"/>
      <c r="M356" s="76" t="s">
        <v>38</v>
      </c>
      <c r="N356" s="76" t="s">
        <v>40</v>
      </c>
      <c r="O356" s="76">
        <v>0</v>
      </c>
      <c r="P356" s="76"/>
      <c r="Q356" s="76"/>
      <c r="R356" s="76"/>
      <c r="S356" s="76"/>
      <c r="BD356" s="99">
        <f t="shared" si="11"/>
        <v>0</v>
      </c>
      <c r="CC356" s="99"/>
      <c r="CV356" s="99"/>
      <c r="CW356" s="63"/>
    </row>
    <row r="357" spans="1:101" x14ac:dyDescent="0.15">
      <c r="A357" s="76">
        <v>317</v>
      </c>
      <c r="B357" s="74" t="s">
        <v>629</v>
      </c>
      <c r="C357" s="74">
        <v>1002287030</v>
      </c>
      <c r="D357" s="78" t="str">
        <f t="shared" si="10"/>
        <v>https://portal.dnb.de/opac.htm?method=simpleSearch&amp;cqlMode=true&amp;query=idn%3D1002287030</v>
      </c>
      <c r="E357" s="74" t="s">
        <v>630</v>
      </c>
      <c r="F357" s="74"/>
      <c r="G357" s="76"/>
      <c r="H357" s="77" t="s">
        <v>5</v>
      </c>
      <c r="I357" s="76" t="s">
        <v>53</v>
      </c>
      <c r="J357" s="77" t="s">
        <v>8516</v>
      </c>
      <c r="K357" s="77" t="s">
        <v>8520</v>
      </c>
      <c r="L357" s="76"/>
      <c r="M357" s="76" t="s">
        <v>38</v>
      </c>
      <c r="N357" s="76"/>
      <c r="O357" s="76">
        <v>0</v>
      </c>
      <c r="P357" s="76"/>
      <c r="Q357" s="76"/>
      <c r="R357" s="76"/>
      <c r="S357" s="76"/>
      <c r="BD357" s="99">
        <f t="shared" si="11"/>
        <v>0</v>
      </c>
      <c r="CC357" s="99"/>
      <c r="CV357" s="99"/>
      <c r="CW357" s="63"/>
    </row>
    <row r="358" spans="1:101" x14ac:dyDescent="0.15">
      <c r="A358" s="76">
        <v>318</v>
      </c>
      <c r="B358" s="74" t="s">
        <v>631</v>
      </c>
      <c r="C358" s="74">
        <v>996718966</v>
      </c>
      <c r="D358" s="78" t="str">
        <f t="shared" si="10"/>
        <v>https://portal.dnb.de/opac.htm?method=simpleSearch&amp;cqlMode=true&amp;query=idn%3D996718966</v>
      </c>
      <c r="E358" s="74" t="s">
        <v>632</v>
      </c>
      <c r="F358" s="74"/>
      <c r="G358" s="76"/>
      <c r="H358" s="77" t="s">
        <v>47</v>
      </c>
      <c r="I358" s="76" t="s">
        <v>53</v>
      </c>
      <c r="J358" s="77" t="s">
        <v>58</v>
      </c>
      <c r="K358" s="77"/>
      <c r="L358" s="76"/>
      <c r="M358" s="76" t="s">
        <v>38</v>
      </c>
      <c r="N358" s="76"/>
      <c r="O358" s="76">
        <v>0</v>
      </c>
      <c r="P358" s="76"/>
      <c r="Q358" s="76"/>
      <c r="R358" s="76"/>
      <c r="S358" s="76"/>
      <c r="BD358" s="99">
        <f t="shared" si="11"/>
        <v>0</v>
      </c>
      <c r="CC358" s="99"/>
      <c r="CV358" s="99"/>
      <c r="CW358" s="63"/>
    </row>
    <row r="359" spans="1:101" ht="33.75" x14ac:dyDescent="0.15">
      <c r="A359" s="76">
        <v>319</v>
      </c>
      <c r="B359" s="74" t="s">
        <v>633</v>
      </c>
      <c r="C359" s="74">
        <v>1002111323</v>
      </c>
      <c r="D359" s="78" t="str">
        <f t="shared" si="10"/>
        <v>https://portal.dnb.de/opac.htm?method=simpleSearch&amp;cqlMode=true&amp;query=idn%3D1002111323</v>
      </c>
      <c r="E359" s="74" t="s">
        <v>634</v>
      </c>
      <c r="F359" s="74"/>
      <c r="G359" s="76"/>
      <c r="H359" s="77" t="s">
        <v>5</v>
      </c>
      <c r="I359" s="76" t="s">
        <v>53</v>
      </c>
      <c r="J359" s="77" t="s">
        <v>8516</v>
      </c>
      <c r="K359" s="77" t="s">
        <v>8667</v>
      </c>
      <c r="L359" s="76"/>
      <c r="M359" s="76" t="s">
        <v>38</v>
      </c>
      <c r="N359" s="76"/>
      <c r="O359" s="76">
        <v>0</v>
      </c>
      <c r="P359" s="76"/>
      <c r="Q359" s="76"/>
      <c r="R359" s="76"/>
      <c r="S359" s="76"/>
      <c r="BD359" s="99">
        <f t="shared" si="11"/>
        <v>0</v>
      </c>
      <c r="CC359" s="99"/>
      <c r="CV359" s="99"/>
      <c r="CW359" s="63"/>
    </row>
    <row r="360" spans="1:101" ht="22.5" x14ac:dyDescent="0.15">
      <c r="A360" s="76">
        <v>320</v>
      </c>
      <c r="B360" s="74" t="s">
        <v>635</v>
      </c>
      <c r="C360" s="74">
        <v>994482671</v>
      </c>
      <c r="D360" s="78" t="str">
        <f t="shared" si="10"/>
        <v>https://portal.dnb.de/opac.htm?method=simpleSearch&amp;cqlMode=true&amp;query=idn%3D994482671</v>
      </c>
      <c r="E360" s="74" t="s">
        <v>636</v>
      </c>
      <c r="F360" s="74"/>
      <c r="G360" s="76"/>
      <c r="H360" s="77" t="s">
        <v>5</v>
      </c>
      <c r="I360" s="76" t="s">
        <v>53</v>
      </c>
      <c r="J360" s="77" t="s">
        <v>8516</v>
      </c>
      <c r="K360" s="77" t="s">
        <v>8615</v>
      </c>
      <c r="L360" s="76"/>
      <c r="M360" s="76" t="s">
        <v>38</v>
      </c>
      <c r="N360" s="76"/>
      <c r="O360" s="76">
        <v>0</v>
      </c>
      <c r="P360" s="76"/>
      <c r="Q360" s="76"/>
      <c r="R360" s="76"/>
      <c r="S360" s="76"/>
      <c r="BD360" s="99">
        <f t="shared" si="11"/>
        <v>0</v>
      </c>
      <c r="CC360" s="99"/>
      <c r="CV360" s="99"/>
      <c r="CW360" s="63"/>
    </row>
    <row r="361" spans="1:101" x14ac:dyDescent="0.15">
      <c r="A361" s="76">
        <v>321</v>
      </c>
      <c r="B361" s="74" t="s">
        <v>637</v>
      </c>
      <c r="C361" s="74">
        <v>994129114</v>
      </c>
      <c r="D361" s="78" t="str">
        <f t="shared" si="10"/>
        <v>https://portal.dnb.de/opac.htm?method=simpleSearch&amp;cqlMode=true&amp;query=idn%3D994129114</v>
      </c>
      <c r="E361" s="74" t="s">
        <v>638</v>
      </c>
      <c r="F361" s="74"/>
      <c r="G361" s="76"/>
      <c r="H361" s="77" t="s">
        <v>5</v>
      </c>
      <c r="I361" s="76" t="s">
        <v>53</v>
      </c>
      <c r="J361" s="77" t="s">
        <v>8516</v>
      </c>
      <c r="K361" s="77" t="s">
        <v>8520</v>
      </c>
      <c r="L361" s="76"/>
      <c r="M361" s="76" t="s">
        <v>38</v>
      </c>
      <c r="N361" s="76"/>
      <c r="O361" s="76">
        <v>0</v>
      </c>
      <c r="P361" s="76"/>
      <c r="Q361" s="76"/>
      <c r="R361" s="76"/>
      <c r="S361" s="76"/>
      <c r="BD361" s="99">
        <f t="shared" si="11"/>
        <v>0</v>
      </c>
      <c r="CC361" s="99"/>
      <c r="CV361" s="99"/>
      <c r="CW361" s="63"/>
    </row>
    <row r="362" spans="1:101" x14ac:dyDescent="0.15">
      <c r="A362" s="76">
        <v>322</v>
      </c>
      <c r="B362" s="74" t="s">
        <v>639</v>
      </c>
      <c r="C362" s="74">
        <v>994426054</v>
      </c>
      <c r="D362" s="78" t="str">
        <f t="shared" si="10"/>
        <v>https://portal.dnb.de/opac.htm?method=simpleSearch&amp;cqlMode=true&amp;query=idn%3D994426054</v>
      </c>
      <c r="E362" s="74" t="s">
        <v>640</v>
      </c>
      <c r="F362" s="74"/>
      <c r="G362" s="76"/>
      <c r="H362" s="77" t="s">
        <v>4</v>
      </c>
      <c r="I362" s="76" t="s">
        <v>53</v>
      </c>
      <c r="J362" s="77" t="s">
        <v>58</v>
      </c>
      <c r="K362" s="77" t="s">
        <v>8520</v>
      </c>
      <c r="L362" s="76"/>
      <c r="M362" s="76" t="s">
        <v>36</v>
      </c>
      <c r="N362" s="76" t="s">
        <v>39</v>
      </c>
      <c r="O362" s="76">
        <v>0</v>
      </c>
      <c r="P362" s="76"/>
      <c r="Q362" s="76"/>
      <c r="R362" s="76"/>
      <c r="S362" s="76"/>
      <c r="BD362" s="99">
        <f t="shared" si="11"/>
        <v>0</v>
      </c>
      <c r="CC362" s="99"/>
      <c r="CV362" s="99"/>
      <c r="CW362" s="63"/>
    </row>
    <row r="363" spans="1:101" ht="22.5" x14ac:dyDescent="0.15">
      <c r="A363" s="76">
        <v>323</v>
      </c>
      <c r="B363" s="74" t="s">
        <v>641</v>
      </c>
      <c r="C363" s="74">
        <v>1000904393</v>
      </c>
      <c r="D363" s="78" t="str">
        <f t="shared" si="10"/>
        <v>https://portal.dnb.de/opac.htm?method=simpleSearch&amp;cqlMode=true&amp;query=idn%3D1000904393</v>
      </c>
      <c r="E363" s="74" t="s">
        <v>642</v>
      </c>
      <c r="F363" s="74"/>
      <c r="G363" s="76"/>
      <c r="H363" s="77" t="s">
        <v>5</v>
      </c>
      <c r="I363" s="76" t="s">
        <v>53</v>
      </c>
      <c r="J363" s="77" t="s">
        <v>8516</v>
      </c>
      <c r="K363" s="77" t="s">
        <v>8656</v>
      </c>
      <c r="L363" s="76"/>
      <c r="M363" s="76"/>
      <c r="N363" s="76"/>
      <c r="O363" s="76">
        <v>1</v>
      </c>
      <c r="P363" s="76"/>
      <c r="Q363" s="76"/>
      <c r="R363" s="76"/>
      <c r="S363" s="76"/>
      <c r="X363" s="95" t="s">
        <v>8541</v>
      </c>
      <c r="Y363" s="95" t="s">
        <v>9723</v>
      </c>
      <c r="AC363" s="95" t="s">
        <v>9737</v>
      </c>
      <c r="AI363" s="95" t="s">
        <v>9725</v>
      </c>
      <c r="AW363" s="95" t="s">
        <v>9764</v>
      </c>
      <c r="BC363" s="96" t="s">
        <v>9734</v>
      </c>
      <c r="BD363" s="99">
        <f t="shared" si="11"/>
        <v>0</v>
      </c>
      <c r="BL363" s="70" t="s">
        <v>10516</v>
      </c>
      <c r="CC363" s="99"/>
      <c r="CV363" s="99"/>
      <c r="CW363" s="63"/>
    </row>
    <row r="364" spans="1:101" ht="33.75" x14ac:dyDescent="0.15">
      <c r="A364" s="76">
        <v>324</v>
      </c>
      <c r="B364" s="74" t="s">
        <v>643</v>
      </c>
      <c r="C364" s="74">
        <v>994000723</v>
      </c>
      <c r="D364" s="78" t="str">
        <f t="shared" si="10"/>
        <v>https://portal.dnb.de/opac.htm?method=simpleSearch&amp;cqlMode=true&amp;query=idn%3D994000723</v>
      </c>
      <c r="E364" s="74" t="s">
        <v>644</v>
      </c>
      <c r="F364" s="74"/>
      <c r="G364" s="76"/>
      <c r="H364" s="77" t="s">
        <v>8546</v>
      </c>
      <c r="I364" s="76" t="s">
        <v>53</v>
      </c>
      <c r="J364" s="77" t="s">
        <v>89</v>
      </c>
      <c r="K364" s="77" t="s">
        <v>8564</v>
      </c>
      <c r="L364" s="76"/>
      <c r="M364" s="76" t="s">
        <v>38</v>
      </c>
      <c r="N364" s="76"/>
      <c r="O364" s="76">
        <v>0</v>
      </c>
      <c r="P364" s="76"/>
      <c r="Q364" s="76"/>
      <c r="R364" s="76"/>
      <c r="S364" s="76"/>
      <c r="BD364" s="99">
        <f t="shared" si="11"/>
        <v>0</v>
      </c>
      <c r="CC364" s="99"/>
      <c r="CV364" s="99"/>
      <c r="CW364" s="63"/>
    </row>
    <row r="365" spans="1:101" x14ac:dyDescent="0.15">
      <c r="A365" s="76">
        <v>325</v>
      </c>
      <c r="B365" s="74" t="s">
        <v>647</v>
      </c>
      <c r="C365" s="74">
        <v>995497478</v>
      </c>
      <c r="D365" s="78" t="str">
        <f t="shared" si="10"/>
        <v>https://portal.dnb.de/opac.htm?method=simpleSearch&amp;cqlMode=true&amp;query=idn%3D995497478</v>
      </c>
      <c r="E365" s="74" t="s">
        <v>648</v>
      </c>
      <c r="F365" s="74"/>
      <c r="G365" s="76"/>
      <c r="H365" s="77" t="s">
        <v>4</v>
      </c>
      <c r="I365" s="76" t="s">
        <v>53</v>
      </c>
      <c r="J365" s="77" t="s">
        <v>8516</v>
      </c>
      <c r="K365" s="77" t="s">
        <v>8520</v>
      </c>
      <c r="L365" s="76"/>
      <c r="M365" s="76"/>
      <c r="N365" s="76" t="s">
        <v>8660</v>
      </c>
      <c r="O365" s="76">
        <v>0</v>
      </c>
      <c r="P365" s="76"/>
      <c r="Q365" s="76"/>
      <c r="R365" s="76"/>
      <c r="S365" s="76"/>
      <c r="BD365" s="99">
        <f t="shared" si="11"/>
        <v>0</v>
      </c>
      <c r="CC365" s="99"/>
      <c r="CV365" s="99"/>
      <c r="CW365" s="63"/>
    </row>
    <row r="366" spans="1:101" x14ac:dyDescent="0.15">
      <c r="A366" s="76">
        <v>326</v>
      </c>
      <c r="B366" s="74" t="s">
        <v>653</v>
      </c>
      <c r="C366" s="74" t="s">
        <v>654</v>
      </c>
      <c r="D366" s="78" t="str">
        <f t="shared" si="10"/>
        <v>https://portal.dnb.de/opac.htm?method=simpleSearch&amp;cqlMode=true&amp;query=idn%3D99665349X</v>
      </c>
      <c r="E366" s="74" t="s">
        <v>655</v>
      </c>
      <c r="F366" s="74"/>
      <c r="G366" s="76"/>
      <c r="H366" s="77"/>
      <c r="I366" s="76"/>
      <c r="J366" s="77"/>
      <c r="K366" s="77"/>
      <c r="L366" s="76"/>
      <c r="M366" s="76"/>
      <c r="N366" s="76"/>
      <c r="O366" s="76"/>
      <c r="P366" s="76"/>
      <c r="Q366" s="76"/>
      <c r="R366" s="76"/>
      <c r="S366" s="76"/>
      <c r="BD366" s="99">
        <f t="shared" si="11"/>
        <v>0</v>
      </c>
      <c r="CC366" s="99"/>
      <c r="CV366" s="99"/>
      <c r="CW366" s="63"/>
    </row>
    <row r="367" spans="1:101" x14ac:dyDescent="0.15">
      <c r="A367" s="76">
        <v>327</v>
      </c>
      <c r="B367" s="74" t="s">
        <v>656</v>
      </c>
      <c r="C367" s="74">
        <v>996653554</v>
      </c>
      <c r="D367" s="78" t="str">
        <f t="shared" si="10"/>
        <v>https://portal.dnb.de/opac.htm?method=simpleSearch&amp;cqlMode=true&amp;query=idn%3D996653554</v>
      </c>
      <c r="E367" s="74" t="s">
        <v>655</v>
      </c>
      <c r="F367" s="74"/>
      <c r="G367" s="76"/>
      <c r="H367" s="77"/>
      <c r="I367" s="76"/>
      <c r="J367" s="77"/>
      <c r="K367" s="77"/>
      <c r="L367" s="76"/>
      <c r="M367" s="76"/>
      <c r="N367" s="76"/>
      <c r="O367" s="76"/>
      <c r="P367" s="76"/>
      <c r="Q367" s="76"/>
      <c r="R367" s="76"/>
      <c r="S367" s="76"/>
      <c r="BD367" s="99">
        <f t="shared" si="11"/>
        <v>0</v>
      </c>
      <c r="CC367" s="99"/>
      <c r="CV367" s="99"/>
      <c r="CW367" s="63"/>
    </row>
    <row r="368" spans="1:101" x14ac:dyDescent="0.15">
      <c r="A368" s="76">
        <v>328</v>
      </c>
      <c r="B368" s="74" t="s">
        <v>657</v>
      </c>
      <c r="C368" s="74">
        <v>996653430</v>
      </c>
      <c r="D368" s="78" t="str">
        <f t="shared" si="10"/>
        <v>https://portal.dnb.de/opac.htm?method=simpleSearch&amp;cqlMode=true&amp;query=idn%3D996653430</v>
      </c>
      <c r="E368" s="74" t="s">
        <v>655</v>
      </c>
      <c r="F368" s="74"/>
      <c r="G368" s="76"/>
      <c r="H368" s="77"/>
      <c r="I368" s="76"/>
      <c r="J368" s="77"/>
      <c r="K368" s="77"/>
      <c r="L368" s="76"/>
      <c r="M368" s="76"/>
      <c r="N368" s="76"/>
      <c r="O368" s="76"/>
      <c r="P368" s="76"/>
      <c r="Q368" s="76"/>
      <c r="R368" s="76"/>
      <c r="S368" s="76"/>
      <c r="BD368" s="99">
        <f t="shared" si="11"/>
        <v>0</v>
      </c>
      <c r="CC368" s="99"/>
      <c r="CV368" s="99"/>
      <c r="CW368" s="63"/>
    </row>
    <row r="369" spans="1:101" x14ac:dyDescent="0.15">
      <c r="A369" s="76">
        <v>329</v>
      </c>
      <c r="B369" s="74" t="s">
        <v>658</v>
      </c>
      <c r="C369" s="74">
        <v>996653376</v>
      </c>
      <c r="D369" s="78" t="str">
        <f t="shared" si="10"/>
        <v>https://portal.dnb.de/opac.htm?method=simpleSearch&amp;cqlMode=true&amp;query=idn%3D996653376</v>
      </c>
      <c r="E369" s="74" t="s">
        <v>655</v>
      </c>
      <c r="F369" s="74"/>
      <c r="G369" s="76"/>
      <c r="H369" s="77"/>
      <c r="I369" s="76"/>
      <c r="J369" s="77"/>
      <c r="K369" s="77"/>
      <c r="L369" s="76"/>
      <c r="M369" s="76"/>
      <c r="N369" s="76"/>
      <c r="O369" s="76"/>
      <c r="P369" s="76"/>
      <c r="Q369" s="76"/>
      <c r="R369" s="76"/>
      <c r="S369" s="76"/>
      <c r="BD369" s="99">
        <f t="shared" si="11"/>
        <v>0</v>
      </c>
      <c r="CC369" s="99"/>
      <c r="CV369" s="99"/>
      <c r="CW369" s="63"/>
    </row>
    <row r="370" spans="1:101" ht="33.75" x14ac:dyDescent="0.15">
      <c r="A370" s="76">
        <v>330</v>
      </c>
      <c r="B370" s="74" t="s">
        <v>659</v>
      </c>
      <c r="C370" s="74">
        <v>996653325</v>
      </c>
      <c r="D370" s="78" t="str">
        <f t="shared" si="10"/>
        <v>https://portal.dnb.de/opac.htm?method=simpleSearch&amp;cqlMode=true&amp;query=idn%3D996653325</v>
      </c>
      <c r="E370" s="74" t="s">
        <v>655</v>
      </c>
      <c r="F370" s="74"/>
      <c r="G370" s="76" t="s">
        <v>8515</v>
      </c>
      <c r="H370" s="77" t="s">
        <v>8546</v>
      </c>
      <c r="I370" s="76" t="s">
        <v>54</v>
      </c>
      <c r="J370" s="77" t="s">
        <v>58</v>
      </c>
      <c r="K370" s="77"/>
      <c r="L370" s="76"/>
      <c r="M370" s="76" t="s">
        <v>38</v>
      </c>
      <c r="N370" s="76" t="s">
        <v>40</v>
      </c>
      <c r="O370" s="76">
        <v>0</v>
      </c>
      <c r="P370" s="76"/>
      <c r="Q370" s="76"/>
      <c r="R370" s="76"/>
      <c r="S370" s="76"/>
      <c r="BD370" s="99">
        <f t="shared" si="11"/>
        <v>0</v>
      </c>
      <c r="CC370" s="99"/>
      <c r="CV370" s="99"/>
      <c r="CW370" s="63"/>
    </row>
    <row r="371" spans="1:101" x14ac:dyDescent="0.15">
      <c r="A371" s="76">
        <v>331</v>
      </c>
      <c r="B371" s="74" t="s">
        <v>660</v>
      </c>
      <c r="C371" s="74">
        <v>996653465</v>
      </c>
      <c r="D371" s="78" t="str">
        <f t="shared" si="10"/>
        <v>https://portal.dnb.de/opac.htm?method=simpleSearch&amp;cqlMode=true&amp;query=idn%3D996653465</v>
      </c>
      <c r="E371" s="74" t="s">
        <v>655</v>
      </c>
      <c r="F371" s="74"/>
      <c r="G371" s="76"/>
      <c r="H371" s="77"/>
      <c r="I371" s="76"/>
      <c r="J371" s="77"/>
      <c r="K371" s="77"/>
      <c r="L371" s="76"/>
      <c r="M371" s="76"/>
      <c r="N371" s="76"/>
      <c r="O371" s="76"/>
      <c r="P371" s="76"/>
      <c r="Q371" s="76"/>
      <c r="R371" s="76"/>
      <c r="S371" s="76"/>
      <c r="BD371" s="99">
        <f t="shared" si="11"/>
        <v>0</v>
      </c>
      <c r="CC371" s="99"/>
      <c r="CV371" s="99"/>
      <c r="CW371" s="63"/>
    </row>
    <row r="372" spans="1:101" x14ac:dyDescent="0.15">
      <c r="A372" s="76">
        <v>332</v>
      </c>
      <c r="B372" s="74" t="s">
        <v>661</v>
      </c>
      <c r="C372" s="74">
        <v>998905267</v>
      </c>
      <c r="D372" s="78" t="str">
        <f t="shared" si="10"/>
        <v>https://portal.dnb.de/opac.htm?method=simpleSearch&amp;cqlMode=true&amp;query=idn%3D998905267</v>
      </c>
      <c r="E372" s="74" t="s">
        <v>662</v>
      </c>
      <c r="F372" s="74"/>
      <c r="G372" s="76"/>
      <c r="H372" s="77" t="s">
        <v>48</v>
      </c>
      <c r="I372" s="76" t="s">
        <v>53</v>
      </c>
      <c r="J372" s="77" t="s">
        <v>89</v>
      </c>
      <c r="K372" s="77" t="s">
        <v>84</v>
      </c>
      <c r="L372" s="76"/>
      <c r="M372" s="76" t="s">
        <v>38</v>
      </c>
      <c r="N372" s="76"/>
      <c r="O372" s="76">
        <v>0</v>
      </c>
      <c r="P372" s="76"/>
      <c r="Q372" s="76"/>
      <c r="R372" s="76"/>
      <c r="S372" s="76"/>
      <c r="BD372" s="99">
        <f t="shared" si="11"/>
        <v>0</v>
      </c>
      <c r="CC372" s="99"/>
      <c r="CV372" s="99"/>
      <c r="CW372" s="63"/>
    </row>
    <row r="373" spans="1:101" ht="33.75" x14ac:dyDescent="0.15">
      <c r="A373" s="76">
        <v>333</v>
      </c>
      <c r="B373" s="74" t="s">
        <v>663</v>
      </c>
      <c r="C373" s="74">
        <v>993994210</v>
      </c>
      <c r="D373" s="78" t="str">
        <f t="shared" si="10"/>
        <v>https://portal.dnb.de/opac.htm?method=simpleSearch&amp;cqlMode=true&amp;query=idn%3D993994210</v>
      </c>
      <c r="E373" s="74" t="s">
        <v>664</v>
      </c>
      <c r="F373" s="74"/>
      <c r="G373" s="76"/>
      <c r="H373" s="77" t="s">
        <v>4</v>
      </c>
      <c r="I373" s="76" t="s">
        <v>53</v>
      </c>
      <c r="J373" s="77" t="s">
        <v>8516</v>
      </c>
      <c r="K373" s="77" t="s">
        <v>8667</v>
      </c>
      <c r="L373" s="76"/>
      <c r="M373" s="76" t="s">
        <v>38</v>
      </c>
      <c r="N373" s="76"/>
      <c r="O373" s="76">
        <v>1</v>
      </c>
      <c r="P373" s="76"/>
      <c r="Q373" s="76"/>
      <c r="R373" s="76"/>
      <c r="S373" s="76"/>
      <c r="BD373" s="99">
        <f t="shared" si="11"/>
        <v>0</v>
      </c>
      <c r="CC373" s="99"/>
      <c r="CV373" s="99"/>
      <c r="CW373" s="63"/>
    </row>
    <row r="374" spans="1:101" x14ac:dyDescent="0.15">
      <c r="A374" s="76">
        <v>334</v>
      </c>
      <c r="B374" s="74" t="s">
        <v>665</v>
      </c>
      <c r="C374" s="74">
        <v>999153684</v>
      </c>
      <c r="D374" s="78" t="str">
        <f t="shared" si="10"/>
        <v>https://portal.dnb.de/opac.htm?method=simpleSearch&amp;cqlMode=true&amp;query=idn%3D999153684</v>
      </c>
      <c r="E374" s="74" t="s">
        <v>666</v>
      </c>
      <c r="F374" s="74"/>
      <c r="G374" s="76"/>
      <c r="H374" s="77" t="s">
        <v>48</v>
      </c>
      <c r="I374" s="76" t="s">
        <v>53</v>
      </c>
      <c r="J374" s="77" t="s">
        <v>8516</v>
      </c>
      <c r="K374" s="77" t="s">
        <v>84</v>
      </c>
      <c r="L374" s="76"/>
      <c r="M374" s="76" t="s">
        <v>38</v>
      </c>
      <c r="N374" s="76"/>
      <c r="O374" s="76">
        <v>0</v>
      </c>
      <c r="P374" s="76"/>
      <c r="Q374" s="76"/>
      <c r="R374" s="76"/>
      <c r="S374" s="76"/>
      <c r="BD374" s="99">
        <f t="shared" si="11"/>
        <v>0</v>
      </c>
      <c r="CC374" s="99"/>
      <c r="CV374" s="99"/>
      <c r="CW374" s="63"/>
    </row>
    <row r="375" spans="1:101" ht="33.75" x14ac:dyDescent="0.15">
      <c r="A375" s="76">
        <v>335</v>
      </c>
      <c r="B375" s="74" t="s">
        <v>667</v>
      </c>
      <c r="C375" s="74">
        <v>999814915</v>
      </c>
      <c r="D375" s="78" t="str">
        <f t="shared" si="10"/>
        <v>https://portal.dnb.de/opac.htm?method=simpleSearch&amp;cqlMode=true&amp;query=idn%3D999814915</v>
      </c>
      <c r="E375" s="74" t="s">
        <v>668</v>
      </c>
      <c r="F375" s="74"/>
      <c r="G375" s="76"/>
      <c r="H375" s="77" t="s">
        <v>17</v>
      </c>
      <c r="I375" s="76" t="s">
        <v>53</v>
      </c>
      <c r="J375" s="77" t="s">
        <v>89</v>
      </c>
      <c r="K375" s="77" t="s">
        <v>8667</v>
      </c>
      <c r="L375" s="76"/>
      <c r="M375" s="76"/>
      <c r="N375" s="76" t="s">
        <v>8660</v>
      </c>
      <c r="O375" s="76">
        <v>0</v>
      </c>
      <c r="P375" s="76"/>
      <c r="Q375" s="76"/>
      <c r="R375" s="76"/>
      <c r="S375" s="76"/>
      <c r="BD375" s="99">
        <f t="shared" si="11"/>
        <v>0</v>
      </c>
      <c r="CC375" s="99"/>
      <c r="CV375" s="99"/>
      <c r="CW375" s="63"/>
    </row>
    <row r="376" spans="1:101" ht="33.75" x14ac:dyDescent="0.15">
      <c r="A376" s="76">
        <v>336</v>
      </c>
      <c r="B376" s="74" t="s">
        <v>669</v>
      </c>
      <c r="C376" s="74" t="s">
        <v>670</v>
      </c>
      <c r="D376" s="78" t="str">
        <f t="shared" si="10"/>
        <v>https://portal.dnb.de/opac.htm?method=simpleSearch&amp;cqlMode=true&amp;query=idn%3D99451655X</v>
      </c>
      <c r="E376" s="74" t="s">
        <v>671</v>
      </c>
      <c r="F376" s="74"/>
      <c r="G376" s="76"/>
      <c r="H376" s="77" t="s">
        <v>8546</v>
      </c>
      <c r="I376" s="76" t="s">
        <v>53</v>
      </c>
      <c r="J376" s="77" t="s">
        <v>8516</v>
      </c>
      <c r="K376" s="77" t="s">
        <v>8564</v>
      </c>
      <c r="L376" s="76"/>
      <c r="M376" s="76" t="s">
        <v>38</v>
      </c>
      <c r="N376" s="76"/>
      <c r="O376" s="76">
        <v>0</v>
      </c>
      <c r="P376" s="76"/>
      <c r="Q376" s="76"/>
      <c r="R376" s="76"/>
      <c r="S376" s="76"/>
      <c r="BD376" s="99">
        <f t="shared" si="11"/>
        <v>0</v>
      </c>
      <c r="CC376" s="99"/>
      <c r="CV376" s="99"/>
      <c r="CW376" s="63"/>
    </row>
    <row r="377" spans="1:101" ht="22.5" x14ac:dyDescent="0.15">
      <c r="A377" s="76">
        <v>337</v>
      </c>
      <c r="B377" s="74" t="s">
        <v>672</v>
      </c>
      <c r="C377" s="74">
        <v>1066754039</v>
      </c>
      <c r="D377" s="78" t="str">
        <f t="shared" si="10"/>
        <v>https://portal.dnb.de/opac.htm?method=simpleSearch&amp;cqlMode=true&amp;query=idn%3D1066754039</v>
      </c>
      <c r="E377" s="74" t="s">
        <v>673</v>
      </c>
      <c r="F377" s="74"/>
      <c r="G377" s="76"/>
      <c r="H377" s="77" t="s">
        <v>48</v>
      </c>
      <c r="I377" s="76" t="s">
        <v>53</v>
      </c>
      <c r="J377" s="77" t="s">
        <v>89</v>
      </c>
      <c r="K377" s="77" t="s">
        <v>8552</v>
      </c>
      <c r="L377" s="76"/>
      <c r="M377" s="76" t="s">
        <v>38</v>
      </c>
      <c r="N377" s="76"/>
      <c r="O377" s="76">
        <v>0</v>
      </c>
      <c r="P377" s="76"/>
      <c r="Q377" s="76"/>
      <c r="R377" s="76"/>
      <c r="S377" s="76"/>
      <c r="BD377" s="99">
        <f t="shared" si="11"/>
        <v>0</v>
      </c>
      <c r="CC377" s="99"/>
      <c r="CV377" s="99"/>
      <c r="CW377" s="63"/>
    </row>
    <row r="378" spans="1:101" ht="22.5" x14ac:dyDescent="0.15">
      <c r="A378" s="76">
        <v>338</v>
      </c>
      <c r="B378" s="74" t="s">
        <v>680</v>
      </c>
      <c r="C378" s="74">
        <v>994193769</v>
      </c>
      <c r="D378" s="78" t="str">
        <f t="shared" si="10"/>
        <v>https://portal.dnb.de/opac.htm?method=simpleSearch&amp;cqlMode=true&amp;query=idn%3D994193769</v>
      </c>
      <c r="E378" s="74" t="s">
        <v>681</v>
      </c>
      <c r="F378" s="74"/>
      <c r="G378" s="76"/>
      <c r="H378" s="77" t="s">
        <v>8547</v>
      </c>
      <c r="I378" s="76" t="s">
        <v>55</v>
      </c>
      <c r="J378" s="77" t="s">
        <v>8516</v>
      </c>
      <c r="K378" s="77" t="s">
        <v>72</v>
      </c>
      <c r="L378" s="76"/>
      <c r="M378" s="76" t="s">
        <v>38</v>
      </c>
      <c r="N378" s="76" t="s">
        <v>40</v>
      </c>
      <c r="O378" s="76">
        <v>0</v>
      </c>
      <c r="P378" s="76"/>
      <c r="Q378" s="76"/>
      <c r="R378" s="76"/>
      <c r="S378" s="76"/>
      <c r="BD378" s="99">
        <f t="shared" si="11"/>
        <v>0</v>
      </c>
      <c r="CC378" s="99"/>
      <c r="CV378" s="99"/>
      <c r="CW378" s="63"/>
    </row>
    <row r="379" spans="1:101" x14ac:dyDescent="0.15">
      <c r="A379" s="76">
        <v>339</v>
      </c>
      <c r="B379" s="74" t="s">
        <v>682</v>
      </c>
      <c r="C379" s="74">
        <v>995774099</v>
      </c>
      <c r="D379" s="78" t="str">
        <f t="shared" si="10"/>
        <v>https://portal.dnb.de/opac.htm?method=simpleSearch&amp;cqlMode=true&amp;query=idn%3D995774099</v>
      </c>
      <c r="E379" s="74" t="s">
        <v>683</v>
      </c>
      <c r="F379" s="74"/>
      <c r="G379" s="76"/>
      <c r="H379" s="77" t="s">
        <v>5</v>
      </c>
      <c r="I379" s="76" t="s">
        <v>53</v>
      </c>
      <c r="J379" s="77" t="s">
        <v>8516</v>
      </c>
      <c r="K379" s="77" t="s">
        <v>84</v>
      </c>
      <c r="L379" s="76"/>
      <c r="M379" s="76" t="s">
        <v>38</v>
      </c>
      <c r="N379" s="76"/>
      <c r="O379" s="76">
        <v>0</v>
      </c>
      <c r="P379" s="76"/>
      <c r="Q379" s="76"/>
      <c r="R379" s="76"/>
      <c r="S379" s="76"/>
      <c r="BD379" s="99">
        <f t="shared" si="11"/>
        <v>0</v>
      </c>
      <c r="CC379" s="99"/>
      <c r="CV379" s="99"/>
      <c r="CW379" s="63"/>
    </row>
    <row r="380" spans="1:101" x14ac:dyDescent="0.15">
      <c r="A380" s="76">
        <v>340</v>
      </c>
      <c r="B380" s="74" t="s">
        <v>684</v>
      </c>
      <c r="C380" s="74">
        <v>998551880</v>
      </c>
      <c r="D380" s="78" t="str">
        <f t="shared" si="10"/>
        <v>https://portal.dnb.de/opac.htm?method=simpleSearch&amp;cqlMode=true&amp;query=idn%3D998551880</v>
      </c>
      <c r="E380" s="74" t="s">
        <v>685</v>
      </c>
      <c r="F380" s="74"/>
      <c r="G380" s="76" t="s">
        <v>8515</v>
      </c>
      <c r="H380" s="77" t="s">
        <v>5</v>
      </c>
      <c r="I380" s="76" t="s">
        <v>54</v>
      </c>
      <c r="J380" s="77" t="s">
        <v>58</v>
      </c>
      <c r="K380" s="77" t="s">
        <v>8520</v>
      </c>
      <c r="L380" s="76"/>
      <c r="M380" s="76" t="s">
        <v>38</v>
      </c>
      <c r="N380" s="76" t="s">
        <v>40</v>
      </c>
      <c r="O380" s="76">
        <v>0</v>
      </c>
      <c r="P380" s="76"/>
      <c r="Q380" s="76"/>
      <c r="R380" s="76"/>
      <c r="S380" s="76"/>
      <c r="BD380" s="99">
        <f t="shared" si="11"/>
        <v>0</v>
      </c>
      <c r="CC380" s="99"/>
      <c r="CV380" s="99"/>
      <c r="CW380" s="63"/>
    </row>
    <row r="381" spans="1:101" x14ac:dyDescent="0.15">
      <c r="A381" s="76">
        <v>341</v>
      </c>
      <c r="B381" s="74" t="s">
        <v>688</v>
      </c>
      <c r="C381" s="74">
        <v>1000112055</v>
      </c>
      <c r="D381" s="78" t="str">
        <f t="shared" si="10"/>
        <v>https://portal.dnb.de/opac.htm?method=simpleSearch&amp;cqlMode=true&amp;query=idn%3D1000112055</v>
      </c>
      <c r="E381" s="74" t="s">
        <v>689</v>
      </c>
      <c r="F381" s="74"/>
      <c r="G381" s="76" t="s">
        <v>8515</v>
      </c>
      <c r="H381" s="77" t="s">
        <v>48</v>
      </c>
      <c r="I381" s="76" t="s">
        <v>53</v>
      </c>
      <c r="J381" s="77" t="s">
        <v>8516</v>
      </c>
      <c r="K381" s="77" t="s">
        <v>84</v>
      </c>
      <c r="L381" s="76"/>
      <c r="M381" s="76" t="s">
        <v>38</v>
      </c>
      <c r="N381" s="76"/>
      <c r="O381" s="76">
        <v>0</v>
      </c>
      <c r="P381" s="76"/>
      <c r="Q381" s="76"/>
      <c r="R381" s="76"/>
      <c r="S381" s="76"/>
      <c r="BD381" s="99">
        <f t="shared" si="11"/>
        <v>0</v>
      </c>
      <c r="CC381" s="99"/>
      <c r="CV381" s="99"/>
      <c r="CW381" s="63"/>
    </row>
    <row r="382" spans="1:101" ht="33.75" x14ac:dyDescent="0.15">
      <c r="A382" s="76">
        <v>342</v>
      </c>
      <c r="B382" s="74" t="s">
        <v>690</v>
      </c>
      <c r="C382" s="74">
        <v>1002668360</v>
      </c>
      <c r="D382" s="78" t="str">
        <f t="shared" si="10"/>
        <v>https://portal.dnb.de/opac.htm?method=simpleSearch&amp;cqlMode=true&amp;query=idn%3D1002668360</v>
      </c>
      <c r="E382" s="74" t="s">
        <v>691</v>
      </c>
      <c r="F382" s="74"/>
      <c r="G382" s="76"/>
      <c r="H382" s="77" t="s">
        <v>5</v>
      </c>
      <c r="I382" s="76" t="s">
        <v>53</v>
      </c>
      <c r="J382" s="77" t="s">
        <v>8516</v>
      </c>
      <c r="K382" s="77" t="s">
        <v>8681</v>
      </c>
      <c r="L382" s="76"/>
      <c r="M382" s="76" t="s">
        <v>38</v>
      </c>
      <c r="N382" s="76"/>
      <c r="O382" s="76">
        <v>0</v>
      </c>
      <c r="P382" s="76"/>
      <c r="Q382" s="76"/>
      <c r="R382" s="76"/>
      <c r="S382" s="76"/>
      <c r="BD382" s="99">
        <f t="shared" si="11"/>
        <v>0</v>
      </c>
      <c r="CC382" s="99"/>
      <c r="CV382" s="99"/>
      <c r="CW382" s="63"/>
    </row>
    <row r="383" spans="1:101" ht="22.5" x14ac:dyDescent="0.15">
      <c r="A383" s="76">
        <v>343</v>
      </c>
      <c r="B383" s="74" t="s">
        <v>692</v>
      </c>
      <c r="C383" s="74">
        <v>998714747</v>
      </c>
      <c r="D383" s="78" t="str">
        <f t="shared" si="10"/>
        <v>https://portal.dnb.de/opac.htm?method=simpleSearch&amp;cqlMode=true&amp;query=idn%3D998714747</v>
      </c>
      <c r="E383" s="74" t="s">
        <v>693</v>
      </c>
      <c r="F383" s="74"/>
      <c r="G383" s="76"/>
      <c r="H383" s="77" t="s">
        <v>48</v>
      </c>
      <c r="I383" s="76" t="s">
        <v>53</v>
      </c>
      <c r="J383" s="77" t="s">
        <v>58</v>
      </c>
      <c r="K383" s="77" t="s">
        <v>8554</v>
      </c>
      <c r="L383" s="76"/>
      <c r="M383" s="76" t="s">
        <v>38</v>
      </c>
      <c r="N383" s="76"/>
      <c r="O383" s="76">
        <v>0</v>
      </c>
      <c r="P383" s="76"/>
      <c r="Q383" s="76"/>
      <c r="R383" s="76"/>
      <c r="S383" s="76"/>
      <c r="Y383" s="95" t="s">
        <v>9736</v>
      </c>
      <c r="AC383" s="95" t="s">
        <v>9737</v>
      </c>
      <c r="AI383" s="95" t="s">
        <v>9725</v>
      </c>
      <c r="AP383" s="95" t="s">
        <v>8541</v>
      </c>
      <c r="AQ383" s="96" t="s">
        <v>9738</v>
      </c>
      <c r="AR383" s="95" t="s">
        <v>8541</v>
      </c>
      <c r="AW383" s="95">
        <v>110</v>
      </c>
      <c r="BC383" s="96" t="s">
        <v>9726</v>
      </c>
      <c r="BD383" s="99">
        <f t="shared" si="11"/>
        <v>1</v>
      </c>
      <c r="BF383" s="95" t="s">
        <v>10005</v>
      </c>
      <c r="CC383" s="99"/>
      <c r="CM383" s="95" t="s">
        <v>8541</v>
      </c>
      <c r="CV383" s="99">
        <v>1</v>
      </c>
      <c r="CW383" s="90" t="s">
        <v>9728</v>
      </c>
    </row>
    <row r="384" spans="1:101" ht="33.75" x14ac:dyDescent="0.15">
      <c r="A384" s="76">
        <v>344</v>
      </c>
      <c r="B384" s="74" t="s">
        <v>696</v>
      </c>
      <c r="C384" s="74">
        <v>999499653</v>
      </c>
      <c r="D384" s="78" t="str">
        <f t="shared" si="10"/>
        <v>https://portal.dnb.de/opac.htm?method=simpleSearch&amp;cqlMode=true&amp;query=idn%3D999499653</v>
      </c>
      <c r="E384" s="74" t="s">
        <v>697</v>
      </c>
      <c r="F384" s="74"/>
      <c r="G384" s="76" t="s">
        <v>8515</v>
      </c>
      <c r="H384" s="77" t="s">
        <v>8546</v>
      </c>
      <c r="I384" s="76" t="s">
        <v>53</v>
      </c>
      <c r="J384" s="77" t="s">
        <v>8516</v>
      </c>
      <c r="K384" s="77" t="s">
        <v>8565</v>
      </c>
      <c r="L384" s="76"/>
      <c r="M384" s="76" t="s">
        <v>38</v>
      </c>
      <c r="N384" s="76"/>
      <c r="O384" s="76">
        <v>0</v>
      </c>
      <c r="P384" s="76"/>
      <c r="Q384" s="76"/>
      <c r="R384" s="76"/>
      <c r="S384" s="76"/>
      <c r="BD384" s="99">
        <f t="shared" si="11"/>
        <v>0</v>
      </c>
      <c r="CC384" s="99"/>
      <c r="CV384" s="99"/>
      <c r="CW384" s="63"/>
    </row>
    <row r="385" spans="1:101" x14ac:dyDescent="0.15">
      <c r="A385" s="76">
        <v>345</v>
      </c>
      <c r="B385" s="74" t="s">
        <v>698</v>
      </c>
      <c r="C385" s="74">
        <v>994041225</v>
      </c>
      <c r="D385" s="78" t="str">
        <f t="shared" si="10"/>
        <v>https://portal.dnb.de/opac.htm?method=simpleSearch&amp;cqlMode=true&amp;query=idn%3D994041225</v>
      </c>
      <c r="E385" s="74" t="s">
        <v>699</v>
      </c>
      <c r="F385" s="74"/>
      <c r="G385" s="76"/>
      <c r="H385" s="77" t="s">
        <v>5</v>
      </c>
      <c r="I385" s="76" t="s">
        <v>53</v>
      </c>
      <c r="J385" s="77" t="s">
        <v>8516</v>
      </c>
      <c r="K385" s="77" t="s">
        <v>8520</v>
      </c>
      <c r="L385" s="76"/>
      <c r="M385" s="76" t="s">
        <v>38</v>
      </c>
      <c r="N385" s="76"/>
      <c r="O385" s="76">
        <v>0</v>
      </c>
      <c r="P385" s="76"/>
      <c r="Q385" s="76"/>
      <c r="R385" s="76"/>
      <c r="S385" s="76"/>
      <c r="BD385" s="99">
        <f t="shared" si="11"/>
        <v>0</v>
      </c>
      <c r="CC385" s="99"/>
      <c r="CV385" s="99"/>
      <c r="CW385" s="63"/>
    </row>
    <row r="386" spans="1:101" ht="33.75" x14ac:dyDescent="0.15">
      <c r="A386" s="76">
        <v>346</v>
      </c>
      <c r="B386" s="74" t="s">
        <v>700</v>
      </c>
      <c r="C386" s="74" t="s">
        <v>701</v>
      </c>
      <c r="D386" s="78" t="str">
        <f t="shared" si="10"/>
        <v>https://portal.dnb.de/opac.htm?method=simpleSearch&amp;cqlMode=true&amp;query=idn%3D99885283X</v>
      </c>
      <c r="E386" s="74" t="s">
        <v>702</v>
      </c>
      <c r="F386" s="74"/>
      <c r="G386" s="76"/>
      <c r="H386" s="77" t="s">
        <v>8546</v>
      </c>
      <c r="I386" s="76" t="s">
        <v>53</v>
      </c>
      <c r="J386" s="77" t="s">
        <v>89</v>
      </c>
      <c r="K386" s="77" t="s">
        <v>8564</v>
      </c>
      <c r="L386" s="76"/>
      <c r="M386" s="76" t="s">
        <v>38</v>
      </c>
      <c r="N386" s="76"/>
      <c r="O386" s="76">
        <v>0</v>
      </c>
      <c r="P386" s="76"/>
      <c r="Q386" s="76"/>
      <c r="R386" s="76"/>
      <c r="S386" s="76"/>
      <c r="BD386" s="99">
        <f t="shared" si="11"/>
        <v>0</v>
      </c>
      <c r="CC386" s="99"/>
      <c r="CV386" s="99"/>
      <c r="CW386" s="63"/>
    </row>
    <row r="387" spans="1:101" x14ac:dyDescent="0.15">
      <c r="A387" s="76">
        <v>347</v>
      </c>
      <c r="B387" s="74" t="s">
        <v>703</v>
      </c>
      <c r="C387" s="74">
        <v>998846066</v>
      </c>
      <c r="D387" s="78" t="str">
        <f t="shared" ref="D387:D451" si="12">HYPERLINK(CONCATENATE("https://portal.dnb.de/opac.htm?method=simpleSearch&amp;cqlMode=true&amp;query=idn%3D",C387))</f>
        <v>https://portal.dnb.de/opac.htm?method=simpleSearch&amp;cqlMode=true&amp;query=idn%3D998846066</v>
      </c>
      <c r="E387" s="74" t="s">
        <v>704</v>
      </c>
      <c r="F387" s="74"/>
      <c r="G387" s="76"/>
      <c r="H387" s="77" t="s">
        <v>4</v>
      </c>
      <c r="I387" s="76" t="s">
        <v>53</v>
      </c>
      <c r="J387" s="77" t="s">
        <v>8516</v>
      </c>
      <c r="K387" s="77" t="s">
        <v>84</v>
      </c>
      <c r="L387" s="76"/>
      <c r="M387" s="76" t="s">
        <v>38</v>
      </c>
      <c r="N387" s="76"/>
      <c r="O387" s="76">
        <v>0</v>
      </c>
      <c r="P387" s="76"/>
      <c r="Q387" s="76"/>
      <c r="R387" s="76"/>
      <c r="S387" s="76"/>
      <c r="BD387" s="99">
        <f t="shared" ref="BD387:BD450" si="13">CC387+CV387</f>
        <v>0</v>
      </c>
      <c r="CC387" s="99"/>
      <c r="CV387" s="99"/>
      <c r="CW387" s="63"/>
    </row>
    <row r="388" spans="1:101" ht="33.75" x14ac:dyDescent="0.15">
      <c r="A388" s="76">
        <v>348</v>
      </c>
      <c r="B388" s="74" t="s">
        <v>705</v>
      </c>
      <c r="C388" s="74">
        <v>994366167</v>
      </c>
      <c r="D388" s="78" t="str">
        <f t="shared" si="12"/>
        <v>https://portal.dnb.de/opac.htm?method=simpleSearch&amp;cqlMode=true&amp;query=idn%3D994366167</v>
      </c>
      <c r="E388" s="74" t="s">
        <v>706</v>
      </c>
      <c r="F388" s="74"/>
      <c r="G388" s="76" t="s">
        <v>8515</v>
      </c>
      <c r="H388" s="77" t="s">
        <v>5</v>
      </c>
      <c r="I388" s="76" t="s">
        <v>53</v>
      </c>
      <c r="J388" s="77" t="s">
        <v>8516</v>
      </c>
      <c r="K388" s="77" t="s">
        <v>8680</v>
      </c>
      <c r="L388" s="76"/>
      <c r="M388" s="76" t="s">
        <v>38</v>
      </c>
      <c r="N388" s="76"/>
      <c r="O388" s="76">
        <v>0</v>
      </c>
      <c r="P388" s="76"/>
      <c r="Q388" s="76"/>
      <c r="R388" s="76"/>
      <c r="S388" s="76"/>
      <c r="BD388" s="99">
        <f t="shared" si="13"/>
        <v>0</v>
      </c>
      <c r="CC388" s="99"/>
      <c r="CV388" s="99"/>
      <c r="CW388" s="63"/>
    </row>
    <row r="389" spans="1:101" ht="22.5" x14ac:dyDescent="0.15">
      <c r="A389" s="76">
        <v>349</v>
      </c>
      <c r="B389" s="74" t="s">
        <v>707</v>
      </c>
      <c r="C389" s="74" t="s">
        <v>708</v>
      </c>
      <c r="D389" s="78" t="str">
        <f t="shared" si="12"/>
        <v>https://portal.dnb.de/opac.htm?method=simpleSearch&amp;cqlMode=true&amp;query=idn%3D99930464X</v>
      </c>
      <c r="E389" s="74" t="s">
        <v>709</v>
      </c>
      <c r="F389" s="74"/>
      <c r="G389" s="76"/>
      <c r="H389" s="77" t="s">
        <v>5</v>
      </c>
      <c r="I389" s="76" t="s">
        <v>53</v>
      </c>
      <c r="J389" s="77" t="s">
        <v>8516</v>
      </c>
      <c r="K389" s="77" t="s">
        <v>8615</v>
      </c>
      <c r="L389" s="76"/>
      <c r="M389" s="76" t="s">
        <v>38</v>
      </c>
      <c r="N389" s="76"/>
      <c r="O389" s="76">
        <v>0</v>
      </c>
      <c r="P389" s="76"/>
      <c r="Q389" s="76"/>
      <c r="R389" s="76"/>
      <c r="S389" s="76"/>
      <c r="BD389" s="99">
        <f t="shared" si="13"/>
        <v>0</v>
      </c>
      <c r="CC389" s="99"/>
      <c r="CV389" s="99"/>
      <c r="CW389" s="63"/>
    </row>
    <row r="390" spans="1:101" ht="33.75" x14ac:dyDescent="0.15">
      <c r="A390" s="76">
        <v>350</v>
      </c>
      <c r="B390" s="74" t="s">
        <v>710</v>
      </c>
      <c r="C390" s="74">
        <v>998852872</v>
      </c>
      <c r="D390" s="78" t="str">
        <f t="shared" si="12"/>
        <v>https://portal.dnb.de/opac.htm?method=simpleSearch&amp;cqlMode=true&amp;query=idn%3D998852872</v>
      </c>
      <c r="E390" s="74" t="s">
        <v>711</v>
      </c>
      <c r="F390" s="74"/>
      <c r="G390" s="76"/>
      <c r="H390" s="77" t="s">
        <v>8546</v>
      </c>
      <c r="I390" s="76" t="s">
        <v>53</v>
      </c>
      <c r="J390" s="77" t="s">
        <v>8516</v>
      </c>
      <c r="K390" s="77" t="s">
        <v>8564</v>
      </c>
      <c r="L390" s="76"/>
      <c r="M390" s="76" t="s">
        <v>38</v>
      </c>
      <c r="N390" s="76"/>
      <c r="O390" s="76">
        <v>0</v>
      </c>
      <c r="P390" s="76"/>
      <c r="Q390" s="76"/>
      <c r="R390" s="76"/>
      <c r="S390" s="76"/>
      <c r="BD390" s="99">
        <f t="shared" si="13"/>
        <v>0</v>
      </c>
      <c r="CC390" s="99"/>
      <c r="CV390" s="99"/>
      <c r="CW390" s="63"/>
    </row>
    <row r="391" spans="1:101" ht="33.75" x14ac:dyDescent="0.15">
      <c r="A391" s="76">
        <v>351</v>
      </c>
      <c r="B391" s="74" t="s">
        <v>714</v>
      </c>
      <c r="C391" s="74">
        <v>1001764773</v>
      </c>
      <c r="D391" s="78" t="str">
        <f t="shared" si="12"/>
        <v>https://portal.dnb.de/opac.htm?method=simpleSearch&amp;cqlMode=true&amp;query=idn%3D1001764773</v>
      </c>
      <c r="E391" s="74" t="s">
        <v>8682</v>
      </c>
      <c r="F391" s="74"/>
      <c r="G391" s="76" t="s">
        <v>8515</v>
      </c>
      <c r="H391" s="77" t="s">
        <v>8546</v>
      </c>
      <c r="I391" s="76" t="s">
        <v>53</v>
      </c>
      <c r="J391" s="77" t="s">
        <v>8516</v>
      </c>
      <c r="K391" s="77" t="s">
        <v>8663</v>
      </c>
      <c r="L391" s="76"/>
      <c r="M391" s="76" t="s">
        <v>38</v>
      </c>
      <c r="N391" s="76" t="s">
        <v>8660</v>
      </c>
      <c r="O391" s="76">
        <v>0</v>
      </c>
      <c r="P391" s="76"/>
      <c r="Q391" s="76"/>
      <c r="R391" s="76"/>
      <c r="S391" s="76"/>
      <c r="BD391" s="99">
        <f t="shared" si="13"/>
        <v>0</v>
      </c>
      <c r="CC391" s="99"/>
      <c r="CV391" s="99"/>
      <c r="CW391" s="63"/>
    </row>
    <row r="392" spans="1:101" x14ac:dyDescent="0.15">
      <c r="A392" s="76">
        <v>352</v>
      </c>
      <c r="B392" s="74" t="s">
        <v>715</v>
      </c>
      <c r="C392" s="74">
        <v>1001764730</v>
      </c>
      <c r="D392" s="78" t="str">
        <f t="shared" si="12"/>
        <v>https://portal.dnb.de/opac.htm?method=simpleSearch&amp;cqlMode=true&amp;query=idn%3D1001764730</v>
      </c>
      <c r="E392" s="74" t="s">
        <v>8683</v>
      </c>
      <c r="F392" s="74"/>
      <c r="G392" s="76"/>
      <c r="H392" s="77"/>
      <c r="I392" s="76"/>
      <c r="J392" s="77"/>
      <c r="K392" s="77"/>
      <c r="L392" s="76"/>
      <c r="M392" s="76"/>
      <c r="N392" s="76"/>
      <c r="O392" s="76"/>
      <c r="P392" s="76"/>
      <c r="Q392" s="76"/>
      <c r="R392" s="76"/>
      <c r="S392" s="76"/>
      <c r="BD392" s="99">
        <f t="shared" si="13"/>
        <v>0</v>
      </c>
      <c r="CC392" s="99"/>
      <c r="CV392" s="99"/>
      <c r="CW392" s="63"/>
    </row>
    <row r="393" spans="1:101" x14ac:dyDescent="0.15">
      <c r="A393" s="76">
        <v>353</v>
      </c>
      <c r="B393" s="74" t="s">
        <v>716</v>
      </c>
      <c r="C393" s="74">
        <v>998710113</v>
      </c>
      <c r="D393" s="78" t="str">
        <f t="shared" si="12"/>
        <v>https://portal.dnb.de/opac.htm?method=simpleSearch&amp;cqlMode=true&amp;query=idn%3D998710113</v>
      </c>
      <c r="E393" s="74" t="s">
        <v>717</v>
      </c>
      <c r="F393" s="74"/>
      <c r="G393" s="76" t="s">
        <v>8515</v>
      </c>
      <c r="H393" s="77" t="s">
        <v>5</v>
      </c>
      <c r="I393" s="76" t="s">
        <v>54</v>
      </c>
      <c r="J393" s="77" t="s">
        <v>58</v>
      </c>
      <c r="K393" s="77" t="s">
        <v>8520</v>
      </c>
      <c r="L393" s="76"/>
      <c r="M393" s="76"/>
      <c r="N393" s="76" t="s">
        <v>8660</v>
      </c>
      <c r="O393" s="76">
        <v>0</v>
      </c>
      <c r="P393" s="76"/>
      <c r="Q393" s="76"/>
      <c r="R393" s="76"/>
      <c r="S393" s="76"/>
      <c r="BD393" s="99">
        <f t="shared" si="13"/>
        <v>0</v>
      </c>
      <c r="CC393" s="99"/>
      <c r="CV393" s="99"/>
      <c r="CW393" s="63"/>
    </row>
    <row r="394" spans="1:101" x14ac:dyDescent="0.15">
      <c r="A394" s="76">
        <v>354</v>
      </c>
      <c r="B394" s="74" t="s">
        <v>718</v>
      </c>
      <c r="C394" s="74" t="s">
        <v>719</v>
      </c>
      <c r="D394" s="78" t="str">
        <f t="shared" si="12"/>
        <v>https://portal.dnb.de/opac.htm?method=simpleSearch&amp;cqlMode=true&amp;query=idn%3D99871058X</v>
      </c>
      <c r="E394" s="74" t="s">
        <v>720</v>
      </c>
      <c r="F394" s="74"/>
      <c r="G394" s="76"/>
      <c r="H394" s="77" t="s">
        <v>5</v>
      </c>
      <c r="I394" s="76" t="s">
        <v>54</v>
      </c>
      <c r="J394" s="77" t="s">
        <v>58</v>
      </c>
      <c r="K394" s="77" t="s">
        <v>8520</v>
      </c>
      <c r="L394" s="76"/>
      <c r="M394" s="76"/>
      <c r="N394" s="76" t="s">
        <v>8660</v>
      </c>
      <c r="O394" s="76">
        <v>0</v>
      </c>
      <c r="P394" s="76"/>
      <c r="Q394" s="76"/>
      <c r="R394" s="76"/>
      <c r="S394" s="76"/>
      <c r="BD394" s="99">
        <f t="shared" si="13"/>
        <v>0</v>
      </c>
      <c r="CC394" s="99"/>
      <c r="CV394" s="99"/>
      <c r="CW394" s="63"/>
    </row>
    <row r="395" spans="1:101" ht="22.5" x14ac:dyDescent="0.15">
      <c r="A395" s="76">
        <v>355</v>
      </c>
      <c r="B395" s="74" t="s">
        <v>721</v>
      </c>
      <c r="C395" s="74">
        <v>998713791</v>
      </c>
      <c r="D395" s="78" t="str">
        <f t="shared" si="12"/>
        <v>https://portal.dnb.de/opac.htm?method=simpleSearch&amp;cqlMode=true&amp;query=idn%3D998713791</v>
      </c>
      <c r="E395" s="74" t="s">
        <v>722</v>
      </c>
      <c r="F395" s="74"/>
      <c r="G395" s="76"/>
      <c r="H395" s="77" t="s">
        <v>5</v>
      </c>
      <c r="I395" s="76" t="s">
        <v>54</v>
      </c>
      <c r="J395" s="77" t="s">
        <v>58</v>
      </c>
      <c r="K395" s="77" t="s">
        <v>8688</v>
      </c>
      <c r="L395" s="76"/>
      <c r="M395" s="76"/>
      <c r="N395" s="76" t="s">
        <v>8660</v>
      </c>
      <c r="O395" s="76">
        <v>0</v>
      </c>
      <c r="P395" s="76"/>
      <c r="Q395" s="76"/>
      <c r="R395" s="76"/>
      <c r="S395" s="76"/>
      <c r="BD395" s="99">
        <f t="shared" si="13"/>
        <v>0</v>
      </c>
      <c r="CC395" s="99"/>
      <c r="CV395" s="99"/>
      <c r="CW395" s="63"/>
    </row>
    <row r="396" spans="1:101" x14ac:dyDescent="0.15">
      <c r="A396" s="76">
        <v>356</v>
      </c>
      <c r="B396" s="74" t="s">
        <v>725</v>
      </c>
      <c r="C396" s="74">
        <v>998714461</v>
      </c>
      <c r="D396" s="78" t="str">
        <f t="shared" si="12"/>
        <v>https://portal.dnb.de/opac.htm?method=simpleSearch&amp;cqlMode=true&amp;query=idn%3D998714461</v>
      </c>
      <c r="E396" s="74" t="s">
        <v>726</v>
      </c>
      <c r="F396" s="74"/>
      <c r="G396" s="76"/>
      <c r="H396" s="77" t="s">
        <v>5</v>
      </c>
      <c r="I396" s="76" t="s">
        <v>54</v>
      </c>
      <c r="J396" s="77" t="s">
        <v>58</v>
      </c>
      <c r="K396" s="77"/>
      <c r="L396" s="76"/>
      <c r="M396" s="76"/>
      <c r="N396" s="76" t="s">
        <v>8660</v>
      </c>
      <c r="O396" s="76">
        <v>0</v>
      </c>
      <c r="P396" s="76"/>
      <c r="Q396" s="76"/>
      <c r="R396" s="76"/>
      <c r="S396" s="76"/>
      <c r="BD396" s="99">
        <f t="shared" si="13"/>
        <v>0</v>
      </c>
      <c r="CC396" s="99"/>
      <c r="CV396" s="99"/>
      <c r="CW396" s="63"/>
    </row>
    <row r="397" spans="1:101" x14ac:dyDescent="0.15">
      <c r="A397" s="76">
        <v>357</v>
      </c>
      <c r="B397" s="74" t="s">
        <v>727</v>
      </c>
      <c r="C397" s="74">
        <v>998714305</v>
      </c>
      <c r="D397" s="78" t="str">
        <f t="shared" si="12"/>
        <v>https://portal.dnb.de/opac.htm?method=simpleSearch&amp;cqlMode=true&amp;query=idn%3D998714305</v>
      </c>
      <c r="E397" s="74" t="s">
        <v>728</v>
      </c>
      <c r="F397" s="74"/>
      <c r="G397" s="76"/>
      <c r="H397" s="77" t="s">
        <v>5</v>
      </c>
      <c r="I397" s="76" t="s">
        <v>54</v>
      </c>
      <c r="J397" s="77" t="s">
        <v>58</v>
      </c>
      <c r="K397" s="77" t="s">
        <v>8520</v>
      </c>
      <c r="L397" s="76"/>
      <c r="M397" s="76"/>
      <c r="N397" s="76" t="s">
        <v>8660</v>
      </c>
      <c r="O397" s="76">
        <v>0</v>
      </c>
      <c r="P397" s="76"/>
      <c r="Q397" s="76"/>
      <c r="R397" s="76"/>
      <c r="S397" s="76"/>
      <c r="BD397" s="99">
        <f t="shared" si="13"/>
        <v>0</v>
      </c>
      <c r="CC397" s="99"/>
      <c r="CV397" s="99"/>
      <c r="CW397" s="63"/>
    </row>
    <row r="398" spans="1:101" ht="33.75" x14ac:dyDescent="0.15">
      <c r="A398" s="76">
        <v>358</v>
      </c>
      <c r="B398" s="74" t="s">
        <v>729</v>
      </c>
      <c r="C398" s="74" t="s">
        <v>730</v>
      </c>
      <c r="D398" s="78" t="str">
        <f t="shared" si="12"/>
        <v>https://portal.dnb.de/opac.htm?method=simpleSearch&amp;cqlMode=true&amp;query=idn%3D99420146X</v>
      </c>
      <c r="E398" s="74" t="s">
        <v>731</v>
      </c>
      <c r="F398" s="74"/>
      <c r="G398" s="76"/>
      <c r="H398" s="77" t="s">
        <v>5</v>
      </c>
      <c r="I398" s="76" t="s">
        <v>54</v>
      </c>
      <c r="J398" s="77" t="s">
        <v>8516</v>
      </c>
      <c r="K398" s="77" t="s">
        <v>8667</v>
      </c>
      <c r="L398" s="76"/>
      <c r="M398" s="76" t="s">
        <v>38</v>
      </c>
      <c r="N398" s="76"/>
      <c r="O398" s="76"/>
      <c r="P398" s="76"/>
      <c r="Q398" s="76"/>
      <c r="R398" s="76"/>
      <c r="S398" s="76"/>
      <c r="BD398" s="99">
        <f t="shared" si="13"/>
        <v>0</v>
      </c>
      <c r="CC398" s="99"/>
      <c r="CV398" s="99"/>
      <c r="CW398" s="63"/>
    </row>
    <row r="399" spans="1:101" ht="22.5" x14ac:dyDescent="0.15">
      <c r="A399" s="76">
        <v>359</v>
      </c>
      <c r="B399" s="74" t="s">
        <v>732</v>
      </c>
      <c r="C399" s="74">
        <v>994671970</v>
      </c>
      <c r="D399" s="78" t="str">
        <f t="shared" si="12"/>
        <v>https://portal.dnb.de/opac.htm?method=simpleSearch&amp;cqlMode=true&amp;query=idn%3D994671970</v>
      </c>
      <c r="E399" s="74" t="s">
        <v>733</v>
      </c>
      <c r="F399" s="74"/>
      <c r="G399" s="76"/>
      <c r="H399" s="77" t="s">
        <v>4</v>
      </c>
      <c r="I399" s="76" t="s">
        <v>53</v>
      </c>
      <c r="J399" s="77" t="s">
        <v>58</v>
      </c>
      <c r="K399" s="77" t="s">
        <v>8656</v>
      </c>
      <c r="L399" s="76"/>
      <c r="M399" s="76" t="s">
        <v>36</v>
      </c>
      <c r="N399" s="76" t="s">
        <v>39</v>
      </c>
      <c r="O399" s="76">
        <v>0</v>
      </c>
      <c r="P399" s="76"/>
      <c r="Q399" s="76"/>
      <c r="R399" s="76"/>
      <c r="S399" s="76"/>
      <c r="BD399" s="99">
        <f t="shared" si="13"/>
        <v>0</v>
      </c>
      <c r="CC399" s="99"/>
      <c r="CV399" s="99"/>
      <c r="CW399" s="63"/>
    </row>
    <row r="400" spans="1:101" x14ac:dyDescent="0.15">
      <c r="A400" s="76">
        <v>360</v>
      </c>
      <c r="B400" s="74" t="s">
        <v>734</v>
      </c>
      <c r="C400" s="74">
        <v>998713317</v>
      </c>
      <c r="D400" s="78" t="str">
        <f t="shared" si="12"/>
        <v>https://portal.dnb.de/opac.htm?method=simpleSearch&amp;cqlMode=true&amp;query=idn%3D998713317</v>
      </c>
      <c r="E400" s="74" t="s">
        <v>8691</v>
      </c>
      <c r="F400" s="74"/>
      <c r="G400" s="76"/>
      <c r="H400" s="77" t="s">
        <v>48</v>
      </c>
      <c r="I400" s="76" t="s">
        <v>53</v>
      </c>
      <c r="J400" s="77" t="s">
        <v>8516</v>
      </c>
      <c r="K400" s="77" t="s">
        <v>84</v>
      </c>
      <c r="L400" s="76"/>
      <c r="M400" s="76" t="s">
        <v>38</v>
      </c>
      <c r="N400" s="76"/>
      <c r="O400" s="76">
        <v>0</v>
      </c>
      <c r="P400" s="76"/>
      <c r="Q400" s="76"/>
      <c r="R400" s="76"/>
      <c r="S400" s="76"/>
      <c r="BD400" s="99">
        <f t="shared" si="13"/>
        <v>0</v>
      </c>
      <c r="CC400" s="99"/>
      <c r="CV400" s="99"/>
      <c r="CW400" s="63"/>
    </row>
    <row r="401" spans="1:101" x14ac:dyDescent="0.15">
      <c r="A401" s="76">
        <v>361</v>
      </c>
      <c r="B401" s="74" t="s">
        <v>735</v>
      </c>
      <c r="C401" s="74">
        <v>998713279</v>
      </c>
      <c r="D401" s="78" t="str">
        <f t="shared" si="12"/>
        <v>https://portal.dnb.de/opac.htm?method=simpleSearch&amp;cqlMode=true&amp;query=idn%3D998713279</v>
      </c>
      <c r="E401" s="74" t="s">
        <v>8690</v>
      </c>
      <c r="F401" s="74"/>
      <c r="G401" s="76"/>
      <c r="H401" s="77" t="s">
        <v>48</v>
      </c>
      <c r="I401" s="76" t="s">
        <v>53</v>
      </c>
      <c r="J401" s="77" t="s">
        <v>8516</v>
      </c>
      <c r="K401" s="77" t="s">
        <v>84</v>
      </c>
      <c r="L401" s="76"/>
      <c r="M401" s="76" t="s">
        <v>38</v>
      </c>
      <c r="N401" s="76"/>
      <c r="O401" s="76">
        <v>0</v>
      </c>
      <c r="P401" s="76"/>
      <c r="Q401" s="76"/>
      <c r="R401" s="76"/>
      <c r="S401" s="76"/>
      <c r="BD401" s="99">
        <f t="shared" si="13"/>
        <v>0</v>
      </c>
      <c r="CC401" s="99"/>
      <c r="CV401" s="99"/>
      <c r="CW401" s="63"/>
    </row>
    <row r="402" spans="1:101" x14ac:dyDescent="0.15">
      <c r="A402" s="76">
        <v>362</v>
      </c>
      <c r="B402" s="74" t="s">
        <v>736</v>
      </c>
      <c r="C402" s="74">
        <v>998713341</v>
      </c>
      <c r="D402" s="78" t="str">
        <f t="shared" si="12"/>
        <v>https://portal.dnb.de/opac.htm?method=simpleSearch&amp;cqlMode=true&amp;query=idn%3D998713341</v>
      </c>
      <c r="E402" s="74" t="s">
        <v>8689</v>
      </c>
      <c r="F402" s="74"/>
      <c r="G402" s="76"/>
      <c r="H402" s="77" t="s">
        <v>48</v>
      </c>
      <c r="I402" s="76" t="s">
        <v>53</v>
      </c>
      <c r="J402" s="77" t="s">
        <v>8516</v>
      </c>
      <c r="K402" s="77" t="s">
        <v>84</v>
      </c>
      <c r="L402" s="76"/>
      <c r="M402" s="76" t="s">
        <v>38</v>
      </c>
      <c r="N402" s="76"/>
      <c r="O402" s="76">
        <v>0</v>
      </c>
      <c r="P402" s="76"/>
      <c r="Q402" s="76"/>
      <c r="R402" s="76"/>
      <c r="S402" s="76"/>
      <c r="BD402" s="99">
        <f t="shared" si="13"/>
        <v>0</v>
      </c>
      <c r="CC402" s="99"/>
      <c r="CV402" s="99"/>
      <c r="CW402" s="63"/>
    </row>
    <row r="403" spans="1:101" x14ac:dyDescent="0.15">
      <c r="A403" s="76">
        <v>363</v>
      </c>
      <c r="B403" s="74" t="s">
        <v>737</v>
      </c>
      <c r="C403" s="74">
        <v>993873375</v>
      </c>
      <c r="D403" s="78" t="str">
        <f t="shared" si="12"/>
        <v>https://portal.dnb.de/opac.htm?method=simpleSearch&amp;cqlMode=true&amp;query=idn%3D993873375</v>
      </c>
      <c r="E403" s="74" t="s">
        <v>8684</v>
      </c>
      <c r="F403" s="74"/>
      <c r="G403" s="76"/>
      <c r="H403" s="77" t="s">
        <v>48</v>
      </c>
      <c r="I403" s="76" t="s">
        <v>53</v>
      </c>
      <c r="J403" s="77" t="s">
        <v>58</v>
      </c>
      <c r="K403" s="77"/>
      <c r="L403" s="76"/>
      <c r="M403" s="76"/>
      <c r="N403" s="76" t="s">
        <v>8660</v>
      </c>
      <c r="O403" s="76">
        <v>0</v>
      </c>
      <c r="P403" s="76"/>
      <c r="Q403" s="76"/>
      <c r="R403" s="76"/>
      <c r="S403" s="76"/>
      <c r="BD403" s="99">
        <f t="shared" si="13"/>
        <v>0</v>
      </c>
      <c r="CC403" s="99"/>
      <c r="CV403" s="99"/>
      <c r="CW403" s="63"/>
    </row>
    <row r="404" spans="1:101" ht="22.5" x14ac:dyDescent="0.15">
      <c r="A404" s="76">
        <v>364</v>
      </c>
      <c r="B404" s="74" t="s">
        <v>738</v>
      </c>
      <c r="C404" s="74">
        <v>993866662</v>
      </c>
      <c r="D404" s="78" t="str">
        <f t="shared" si="12"/>
        <v>https://portal.dnb.de/opac.htm?method=simpleSearch&amp;cqlMode=true&amp;query=idn%3D993866662</v>
      </c>
      <c r="E404" s="74" t="s">
        <v>8685</v>
      </c>
      <c r="F404" s="74"/>
      <c r="G404" s="76" t="s">
        <v>8515</v>
      </c>
      <c r="H404" s="77" t="s">
        <v>48</v>
      </c>
      <c r="I404" s="76" t="s">
        <v>53</v>
      </c>
      <c r="J404" s="77" t="s">
        <v>8516</v>
      </c>
      <c r="K404" s="77" t="s">
        <v>8686</v>
      </c>
      <c r="L404" s="76"/>
      <c r="M404" s="76" t="s">
        <v>38</v>
      </c>
      <c r="N404" s="76"/>
      <c r="O404" s="76">
        <v>0</v>
      </c>
      <c r="P404" s="76"/>
      <c r="Q404" s="76"/>
      <c r="R404" s="76"/>
      <c r="S404" s="76"/>
      <c r="BD404" s="99">
        <f t="shared" si="13"/>
        <v>0</v>
      </c>
      <c r="CC404" s="99"/>
      <c r="CV404" s="99"/>
      <c r="CW404" s="63"/>
    </row>
    <row r="405" spans="1:101" x14ac:dyDescent="0.15">
      <c r="A405" s="76">
        <v>365</v>
      </c>
      <c r="B405" s="74" t="s">
        <v>741</v>
      </c>
      <c r="C405" s="74">
        <v>999525239</v>
      </c>
      <c r="D405" s="78" t="str">
        <f t="shared" si="12"/>
        <v>https://portal.dnb.de/opac.htm?method=simpleSearch&amp;cqlMode=true&amp;query=idn%3D999525239</v>
      </c>
      <c r="E405" s="74" t="s">
        <v>742</v>
      </c>
      <c r="F405" s="74"/>
      <c r="G405" s="76"/>
      <c r="H405" s="77" t="s">
        <v>48</v>
      </c>
      <c r="I405" s="76" t="s">
        <v>53</v>
      </c>
      <c r="J405" s="77" t="s">
        <v>8516</v>
      </c>
      <c r="K405" s="77" t="s">
        <v>84</v>
      </c>
      <c r="L405" s="76"/>
      <c r="M405" s="76" t="s">
        <v>38</v>
      </c>
      <c r="N405" s="76"/>
      <c r="O405" s="76">
        <v>0</v>
      </c>
      <c r="P405" s="76"/>
      <c r="Q405" s="76"/>
      <c r="R405" s="76"/>
      <c r="S405" s="76"/>
      <c r="BD405" s="99">
        <f t="shared" si="13"/>
        <v>0</v>
      </c>
      <c r="CC405" s="99"/>
      <c r="CV405" s="99"/>
      <c r="CW405" s="63"/>
    </row>
    <row r="406" spans="1:101" ht="33.75" x14ac:dyDescent="0.15">
      <c r="A406" s="76">
        <v>366</v>
      </c>
      <c r="B406" s="74" t="s">
        <v>743</v>
      </c>
      <c r="C406" s="74" t="s">
        <v>744</v>
      </c>
      <c r="D406" s="78" t="str">
        <f t="shared" si="12"/>
        <v>https://portal.dnb.de/opac.htm?method=simpleSearch&amp;cqlMode=true&amp;query=idn%3D99713321X</v>
      </c>
      <c r="E406" s="74" t="s">
        <v>745</v>
      </c>
      <c r="F406" s="74"/>
      <c r="G406" s="76" t="s">
        <v>8515</v>
      </c>
      <c r="H406" s="77" t="s">
        <v>8546</v>
      </c>
      <c r="I406" s="76" t="s">
        <v>53</v>
      </c>
      <c r="J406" s="77" t="s">
        <v>8516</v>
      </c>
      <c r="K406" s="77" t="s">
        <v>8518</v>
      </c>
      <c r="L406" s="76"/>
      <c r="M406" s="76" t="s">
        <v>38</v>
      </c>
      <c r="N406" s="76"/>
      <c r="O406" s="76">
        <v>0</v>
      </c>
      <c r="P406" s="76"/>
      <c r="Q406" s="76"/>
      <c r="R406" s="76"/>
      <c r="S406" s="76"/>
      <c r="BD406" s="99">
        <f t="shared" si="13"/>
        <v>0</v>
      </c>
      <c r="CC406" s="99"/>
      <c r="CV406" s="99"/>
      <c r="CW406" s="63"/>
    </row>
    <row r="407" spans="1:101" ht="33.75" x14ac:dyDescent="0.15">
      <c r="A407" s="76">
        <v>367</v>
      </c>
      <c r="B407" s="74" t="s">
        <v>746</v>
      </c>
      <c r="C407" s="74">
        <v>994490909</v>
      </c>
      <c r="D407" s="78" t="str">
        <f t="shared" si="12"/>
        <v>https://portal.dnb.de/opac.htm?method=simpleSearch&amp;cqlMode=true&amp;query=idn%3D994490909</v>
      </c>
      <c r="E407" s="74" t="s">
        <v>747</v>
      </c>
      <c r="F407" s="74"/>
      <c r="G407" s="76"/>
      <c r="H407" s="77" t="s">
        <v>8547</v>
      </c>
      <c r="I407" s="76" t="s">
        <v>54</v>
      </c>
      <c r="J407" s="77" t="s">
        <v>8516</v>
      </c>
      <c r="K407" s="77" t="s">
        <v>8667</v>
      </c>
      <c r="L407" s="76"/>
      <c r="M407" s="76" t="s">
        <v>37</v>
      </c>
      <c r="N407" s="76" t="s">
        <v>8660</v>
      </c>
      <c r="O407" s="76">
        <v>0</v>
      </c>
      <c r="P407" s="76"/>
      <c r="Q407" s="76"/>
      <c r="R407" s="76"/>
      <c r="S407" s="76"/>
      <c r="BD407" s="99">
        <f t="shared" si="13"/>
        <v>0</v>
      </c>
      <c r="CC407" s="99"/>
      <c r="CV407" s="99"/>
      <c r="CW407" s="63"/>
    </row>
    <row r="408" spans="1:101" ht="22.5" x14ac:dyDescent="0.15">
      <c r="A408" s="76">
        <v>368</v>
      </c>
      <c r="B408" s="74" t="s">
        <v>770</v>
      </c>
      <c r="C408" s="74">
        <v>999046225</v>
      </c>
      <c r="D408" s="78" t="str">
        <f t="shared" si="12"/>
        <v>https://portal.dnb.de/opac.htm?method=simpleSearch&amp;cqlMode=true&amp;query=idn%3D999046225</v>
      </c>
      <c r="E408" s="74" t="s">
        <v>771</v>
      </c>
      <c r="F408" s="74"/>
      <c r="G408" s="76" t="s">
        <v>8515</v>
      </c>
      <c r="H408" s="77" t="s">
        <v>8547</v>
      </c>
      <c r="I408" s="76" t="s">
        <v>53</v>
      </c>
      <c r="J408" s="77" t="s">
        <v>8516</v>
      </c>
      <c r="K408" s="77" t="s">
        <v>72</v>
      </c>
      <c r="L408" s="76"/>
      <c r="M408" s="76" t="s">
        <v>38</v>
      </c>
      <c r="N408" s="76"/>
      <c r="O408" s="76">
        <v>0</v>
      </c>
      <c r="P408" s="76"/>
      <c r="Q408" s="76"/>
      <c r="R408" s="76"/>
      <c r="S408" s="76"/>
      <c r="BD408" s="99">
        <f t="shared" si="13"/>
        <v>0</v>
      </c>
      <c r="CC408" s="99"/>
      <c r="CV408" s="99"/>
      <c r="CW408" s="63"/>
    </row>
    <row r="409" spans="1:101" ht="33.75" x14ac:dyDescent="0.15">
      <c r="A409" s="76">
        <v>369</v>
      </c>
      <c r="B409" s="74" t="s">
        <v>772</v>
      </c>
      <c r="C409" s="74">
        <v>1001529812</v>
      </c>
      <c r="D409" s="78" t="str">
        <f t="shared" si="12"/>
        <v>https://portal.dnb.de/opac.htm?method=simpleSearch&amp;cqlMode=true&amp;query=idn%3D1001529812</v>
      </c>
      <c r="E409" s="74" t="s">
        <v>773</v>
      </c>
      <c r="F409" s="74"/>
      <c r="G409" s="76"/>
      <c r="H409" s="77" t="s">
        <v>8546</v>
      </c>
      <c r="I409" s="76" t="s">
        <v>55</v>
      </c>
      <c r="J409" s="77" t="s">
        <v>58</v>
      </c>
      <c r="K409" s="77"/>
      <c r="L409" s="76"/>
      <c r="M409" s="76"/>
      <c r="N409" s="76" t="s">
        <v>8660</v>
      </c>
      <c r="O409" s="76">
        <v>0</v>
      </c>
      <c r="P409" s="76"/>
      <c r="Q409" s="76"/>
      <c r="R409" s="76"/>
      <c r="S409" s="76"/>
      <c r="BD409" s="99">
        <f t="shared" si="13"/>
        <v>0</v>
      </c>
      <c r="CC409" s="99"/>
      <c r="CV409" s="99"/>
      <c r="CW409" s="63"/>
    </row>
    <row r="410" spans="1:101" ht="22.5" x14ac:dyDescent="0.15">
      <c r="A410" s="76">
        <v>370</v>
      </c>
      <c r="B410" s="74" t="s">
        <v>774</v>
      </c>
      <c r="C410" s="74">
        <v>1066674973</v>
      </c>
      <c r="D410" s="78" t="str">
        <f t="shared" si="12"/>
        <v>https://portal.dnb.de/opac.htm?method=simpleSearch&amp;cqlMode=true&amp;query=idn%3D1066674973</v>
      </c>
      <c r="E410" s="74" t="s">
        <v>775</v>
      </c>
      <c r="F410" s="74"/>
      <c r="G410" s="76" t="s">
        <v>8541</v>
      </c>
      <c r="H410" s="77" t="s">
        <v>8547</v>
      </c>
      <c r="I410" s="76" t="s">
        <v>53</v>
      </c>
      <c r="J410" s="77" t="s">
        <v>89</v>
      </c>
      <c r="K410" s="77" t="s">
        <v>8520</v>
      </c>
      <c r="L410" s="76"/>
      <c r="M410" s="76" t="s">
        <v>34</v>
      </c>
      <c r="N410" s="76" t="s">
        <v>39</v>
      </c>
      <c r="O410" s="76">
        <v>1</v>
      </c>
      <c r="P410" s="76"/>
      <c r="Q410" s="76"/>
      <c r="R410" s="76"/>
      <c r="S410" s="76"/>
      <c r="BD410" s="99">
        <f t="shared" si="13"/>
        <v>0</v>
      </c>
      <c r="CC410" s="99"/>
      <c r="CV410" s="99"/>
      <c r="CW410" s="63"/>
    </row>
    <row r="411" spans="1:101" x14ac:dyDescent="0.15">
      <c r="A411" s="76">
        <v>371</v>
      </c>
      <c r="B411" s="74" t="s">
        <v>529</v>
      </c>
      <c r="C411" s="74">
        <v>995895252</v>
      </c>
      <c r="D411" s="78" t="str">
        <f t="shared" si="12"/>
        <v>https://portal.dnb.de/opac.htm?method=simpleSearch&amp;cqlMode=true&amp;query=idn%3D995895252</v>
      </c>
      <c r="E411" s="74" t="s">
        <v>530</v>
      </c>
      <c r="F411" s="74"/>
      <c r="G411" s="76" t="s">
        <v>8541</v>
      </c>
      <c r="H411" s="77" t="s">
        <v>5</v>
      </c>
      <c r="I411" s="76" t="s">
        <v>53</v>
      </c>
      <c r="J411" s="77" t="s">
        <v>8516</v>
      </c>
      <c r="K411" s="77"/>
      <c r="L411" s="76"/>
      <c r="M411" s="76" t="s">
        <v>38</v>
      </c>
      <c r="N411" s="76"/>
      <c r="O411" s="76">
        <v>0</v>
      </c>
      <c r="P411" s="76"/>
      <c r="Q411" s="76"/>
      <c r="R411" s="76"/>
      <c r="S411" s="76"/>
      <c r="BD411" s="99">
        <f t="shared" si="13"/>
        <v>0</v>
      </c>
      <c r="CC411" s="99"/>
      <c r="CV411" s="99"/>
      <c r="CW411" s="63"/>
    </row>
    <row r="412" spans="1:101" x14ac:dyDescent="0.15">
      <c r="A412" s="76">
        <v>372</v>
      </c>
      <c r="B412" s="74" t="s">
        <v>531</v>
      </c>
      <c r="C412" s="74">
        <v>994508042</v>
      </c>
      <c r="D412" s="78" t="str">
        <f t="shared" si="12"/>
        <v>https://portal.dnb.de/opac.htm?method=simpleSearch&amp;cqlMode=true&amp;query=idn%3D994508042</v>
      </c>
      <c r="E412" s="74" t="s">
        <v>530</v>
      </c>
      <c r="F412" s="74"/>
      <c r="G412" s="76"/>
      <c r="H412" s="77" t="s">
        <v>5</v>
      </c>
      <c r="I412" s="76" t="s">
        <v>53</v>
      </c>
      <c r="J412" s="77" t="s">
        <v>8516</v>
      </c>
      <c r="K412" s="77"/>
      <c r="L412" s="76"/>
      <c r="M412" s="76" t="s">
        <v>38</v>
      </c>
      <c r="N412" s="76"/>
      <c r="O412" s="76">
        <v>0</v>
      </c>
      <c r="P412" s="76"/>
      <c r="Q412" s="76"/>
      <c r="R412" s="76"/>
      <c r="S412" s="76"/>
      <c r="BD412" s="99">
        <f t="shared" si="13"/>
        <v>0</v>
      </c>
      <c r="CC412" s="99"/>
      <c r="CV412" s="99"/>
      <c r="CW412" s="63"/>
    </row>
    <row r="413" spans="1:101" ht="33.75" x14ac:dyDescent="0.15">
      <c r="A413" s="76">
        <v>373</v>
      </c>
      <c r="B413" s="74" t="s">
        <v>542</v>
      </c>
      <c r="C413" s="74">
        <v>994642172</v>
      </c>
      <c r="D413" s="78" t="str">
        <f t="shared" si="12"/>
        <v>https://portal.dnb.de/opac.htm?method=simpleSearch&amp;cqlMode=true&amp;query=idn%3D994642172</v>
      </c>
      <c r="E413" s="74" t="s">
        <v>543</v>
      </c>
      <c r="F413" s="74"/>
      <c r="G413" s="76" t="s">
        <v>8515</v>
      </c>
      <c r="H413" s="77" t="s">
        <v>5</v>
      </c>
      <c r="I413" s="76" t="s">
        <v>53</v>
      </c>
      <c r="J413" s="77" t="s">
        <v>8516</v>
      </c>
      <c r="K413" s="77" t="s">
        <v>8667</v>
      </c>
      <c r="L413" s="76"/>
      <c r="M413" s="76" t="s">
        <v>38</v>
      </c>
      <c r="N413" s="76"/>
      <c r="O413" s="76">
        <v>0</v>
      </c>
      <c r="P413" s="76"/>
      <c r="Q413" s="76"/>
      <c r="R413" s="76"/>
      <c r="S413" s="76"/>
      <c r="BD413" s="99">
        <f t="shared" si="13"/>
        <v>0</v>
      </c>
      <c r="CC413" s="99"/>
      <c r="CV413" s="99"/>
      <c r="CW413" s="63"/>
    </row>
    <row r="414" spans="1:101" ht="33.75" x14ac:dyDescent="0.15">
      <c r="A414" s="76">
        <v>374</v>
      </c>
      <c r="B414" s="74" t="s">
        <v>547</v>
      </c>
      <c r="C414" s="74">
        <v>997674008</v>
      </c>
      <c r="D414" s="78" t="str">
        <f t="shared" si="12"/>
        <v>https://portal.dnb.de/opac.htm?method=simpleSearch&amp;cqlMode=true&amp;query=idn%3D997674008</v>
      </c>
      <c r="E414" s="74" t="s">
        <v>548</v>
      </c>
      <c r="F414" s="74"/>
      <c r="G414" s="76"/>
      <c r="H414" s="77" t="s">
        <v>8546</v>
      </c>
      <c r="I414" s="76" t="s">
        <v>53</v>
      </c>
      <c r="J414" s="77" t="s">
        <v>89</v>
      </c>
      <c r="K414" s="77" t="s">
        <v>84</v>
      </c>
      <c r="L414" s="76"/>
      <c r="M414" s="76" t="s">
        <v>38</v>
      </c>
      <c r="N414" s="76"/>
      <c r="O414" s="76">
        <v>0</v>
      </c>
      <c r="P414" s="76"/>
      <c r="Q414" s="76"/>
      <c r="R414" s="76"/>
      <c r="S414" s="76"/>
      <c r="BD414" s="99">
        <f t="shared" si="13"/>
        <v>0</v>
      </c>
      <c r="CC414" s="99"/>
      <c r="CV414" s="99"/>
      <c r="CW414" s="63"/>
    </row>
    <row r="415" spans="1:101" ht="33.75" x14ac:dyDescent="0.15">
      <c r="A415" s="76">
        <v>375</v>
      </c>
      <c r="B415" s="74" t="s">
        <v>549</v>
      </c>
      <c r="C415" s="74">
        <v>1000914917</v>
      </c>
      <c r="D415" s="78" t="str">
        <f t="shared" si="12"/>
        <v>https://portal.dnb.de/opac.htm?method=simpleSearch&amp;cqlMode=true&amp;query=idn%3D1000914917</v>
      </c>
      <c r="E415" s="74" t="s">
        <v>550</v>
      </c>
      <c r="F415" s="74"/>
      <c r="G415" s="76"/>
      <c r="H415" s="77" t="s">
        <v>8546</v>
      </c>
      <c r="I415" s="76" t="s">
        <v>53</v>
      </c>
      <c r="J415" s="77" t="s">
        <v>89</v>
      </c>
      <c r="K415" s="77" t="s">
        <v>84</v>
      </c>
      <c r="L415" s="76"/>
      <c r="M415" s="76" t="s">
        <v>38</v>
      </c>
      <c r="N415" s="76"/>
      <c r="O415" s="76">
        <v>0</v>
      </c>
      <c r="P415" s="76"/>
      <c r="Q415" s="76"/>
      <c r="R415" s="76"/>
      <c r="S415" s="76"/>
      <c r="BD415" s="99">
        <f t="shared" si="13"/>
        <v>0</v>
      </c>
      <c r="CC415" s="99"/>
      <c r="CV415" s="99"/>
      <c r="CW415" s="63"/>
    </row>
    <row r="416" spans="1:101" ht="22.5" x14ac:dyDescent="0.15">
      <c r="A416" s="76">
        <v>376</v>
      </c>
      <c r="B416" s="74" t="s">
        <v>551</v>
      </c>
      <c r="C416" s="74">
        <v>1052333206</v>
      </c>
      <c r="D416" s="78" t="str">
        <f t="shared" si="12"/>
        <v>https://portal.dnb.de/opac.htm?method=simpleSearch&amp;cqlMode=true&amp;query=idn%3D1052333206</v>
      </c>
      <c r="E416" s="74" t="s">
        <v>552</v>
      </c>
      <c r="F416" s="74"/>
      <c r="G416" s="76"/>
      <c r="H416" s="77" t="s">
        <v>5</v>
      </c>
      <c r="I416" s="76" t="s">
        <v>53</v>
      </c>
      <c r="J416" s="77" t="s">
        <v>89</v>
      </c>
      <c r="K416" s="77" t="s">
        <v>8675</v>
      </c>
      <c r="L416" s="76"/>
      <c r="M416" s="76" t="s">
        <v>38</v>
      </c>
      <c r="N416" s="76"/>
      <c r="O416" s="76">
        <v>0</v>
      </c>
      <c r="P416" s="76"/>
      <c r="Q416" s="76"/>
      <c r="R416" s="76"/>
      <c r="S416" s="76"/>
      <c r="BD416" s="99">
        <f t="shared" si="13"/>
        <v>0</v>
      </c>
      <c r="CC416" s="99"/>
      <c r="CV416" s="99"/>
      <c r="CW416" s="63"/>
    </row>
    <row r="417" spans="1:101" ht="33.75" x14ac:dyDescent="0.15">
      <c r="A417" s="76">
        <v>377</v>
      </c>
      <c r="B417" s="74" t="s">
        <v>601</v>
      </c>
      <c r="C417" s="74">
        <v>994423306</v>
      </c>
      <c r="D417" s="78" t="str">
        <f t="shared" si="12"/>
        <v>https://portal.dnb.de/opac.htm?method=simpleSearch&amp;cqlMode=true&amp;query=idn%3D994423306</v>
      </c>
      <c r="E417" s="74" t="s">
        <v>602</v>
      </c>
      <c r="F417" s="74"/>
      <c r="G417" s="76"/>
      <c r="H417" s="77" t="s">
        <v>48</v>
      </c>
      <c r="I417" s="76" t="s">
        <v>53</v>
      </c>
      <c r="J417" s="77" t="s">
        <v>8516</v>
      </c>
      <c r="K417" s="77" t="s">
        <v>8566</v>
      </c>
      <c r="L417" s="76"/>
      <c r="M417" s="76" t="s">
        <v>38</v>
      </c>
      <c r="N417" s="76"/>
      <c r="O417" s="76">
        <v>0</v>
      </c>
      <c r="P417" s="76"/>
      <c r="Q417" s="76"/>
      <c r="R417" s="76"/>
      <c r="S417" s="76"/>
      <c r="BD417" s="99">
        <f t="shared" si="13"/>
        <v>0</v>
      </c>
      <c r="CC417" s="99"/>
      <c r="CV417" s="99"/>
      <c r="CW417" s="63"/>
    </row>
    <row r="418" spans="1:101" x14ac:dyDescent="0.15">
      <c r="A418" s="76">
        <v>378</v>
      </c>
      <c r="B418" s="74" t="s">
        <v>603</v>
      </c>
      <c r="C418" s="74">
        <v>999614509</v>
      </c>
      <c r="D418" s="78" t="str">
        <f t="shared" si="12"/>
        <v>https://portal.dnb.de/opac.htm?method=simpleSearch&amp;cqlMode=true&amp;query=idn%3D999614509</v>
      </c>
      <c r="E418" s="74" t="s">
        <v>604</v>
      </c>
      <c r="F418" s="74"/>
      <c r="G418" s="76"/>
      <c r="H418" s="77"/>
      <c r="I418" s="76"/>
      <c r="J418" s="77"/>
      <c r="K418" s="77"/>
      <c r="L418" s="76"/>
      <c r="M418" s="76"/>
      <c r="N418" s="76"/>
      <c r="O418" s="76"/>
      <c r="P418" s="76"/>
      <c r="Q418" s="76"/>
      <c r="R418" s="76"/>
      <c r="S418" s="76"/>
      <c r="BD418" s="99">
        <f t="shared" si="13"/>
        <v>0</v>
      </c>
      <c r="CC418" s="99"/>
      <c r="CV418" s="99"/>
      <c r="CW418" s="63"/>
    </row>
    <row r="419" spans="1:101" x14ac:dyDescent="0.15">
      <c r="A419" s="76">
        <v>379</v>
      </c>
      <c r="B419" s="74" t="s">
        <v>609</v>
      </c>
      <c r="C419" s="74">
        <v>993967264</v>
      </c>
      <c r="D419" s="78" t="str">
        <f t="shared" si="12"/>
        <v>https://portal.dnb.de/opac.htm?method=simpleSearch&amp;cqlMode=true&amp;query=idn%3D993967264</v>
      </c>
      <c r="E419" s="74" t="s">
        <v>610</v>
      </c>
      <c r="F419" s="74"/>
      <c r="G419" s="76"/>
      <c r="H419" s="77" t="s">
        <v>49</v>
      </c>
      <c r="I419" s="76" t="s">
        <v>53</v>
      </c>
      <c r="J419" s="77" t="s">
        <v>58</v>
      </c>
      <c r="K419" s="77" t="s">
        <v>84</v>
      </c>
      <c r="L419" s="76"/>
      <c r="M419" s="76"/>
      <c r="N419" s="76"/>
      <c r="O419" s="76">
        <v>0</v>
      </c>
      <c r="P419" s="76"/>
      <c r="Q419" s="76"/>
      <c r="R419" s="76"/>
      <c r="S419" s="76"/>
      <c r="BD419" s="99">
        <f t="shared" si="13"/>
        <v>0</v>
      </c>
      <c r="CC419" s="99"/>
      <c r="CV419" s="99"/>
      <c r="CW419" s="63"/>
    </row>
    <row r="420" spans="1:101" ht="22.5" x14ac:dyDescent="0.15">
      <c r="A420" s="76">
        <v>380</v>
      </c>
      <c r="B420" s="74" t="s">
        <v>617</v>
      </c>
      <c r="C420" s="74" t="s">
        <v>618</v>
      </c>
      <c r="D420" s="78" t="str">
        <f t="shared" si="12"/>
        <v>https://portal.dnb.de/opac.htm?method=simpleSearch&amp;cqlMode=true&amp;query=idn%3D99583251X</v>
      </c>
      <c r="E420" s="74" t="s">
        <v>619</v>
      </c>
      <c r="F420" s="74"/>
      <c r="G420" s="76"/>
      <c r="H420" s="77" t="s">
        <v>48</v>
      </c>
      <c r="I420" s="76" t="s">
        <v>53</v>
      </c>
      <c r="J420" s="77" t="s">
        <v>8516</v>
      </c>
      <c r="K420" s="77" t="s">
        <v>8564</v>
      </c>
      <c r="L420" s="76"/>
      <c r="M420" s="76" t="s">
        <v>38</v>
      </c>
      <c r="N420" s="76"/>
      <c r="O420" s="76">
        <v>0</v>
      </c>
      <c r="P420" s="76"/>
      <c r="Q420" s="76"/>
      <c r="R420" s="76"/>
      <c r="S420" s="76"/>
      <c r="BD420" s="99">
        <f t="shared" si="13"/>
        <v>0</v>
      </c>
      <c r="CC420" s="99"/>
      <c r="CV420" s="99"/>
      <c r="CW420" s="63"/>
    </row>
    <row r="421" spans="1:101" ht="33.75" x14ac:dyDescent="0.15">
      <c r="A421" s="76">
        <v>381</v>
      </c>
      <c r="B421" s="74" t="s">
        <v>625</v>
      </c>
      <c r="C421" s="74">
        <v>1000201562</v>
      </c>
      <c r="D421" s="78" t="str">
        <f t="shared" si="12"/>
        <v>https://portal.dnb.de/opac.htm?method=simpleSearch&amp;cqlMode=true&amp;query=idn%3D1000201562</v>
      </c>
      <c r="E421" s="74" t="s">
        <v>626</v>
      </c>
      <c r="F421" s="74"/>
      <c r="G421" s="76"/>
      <c r="H421" s="77" t="s">
        <v>5</v>
      </c>
      <c r="I421" s="76"/>
      <c r="J421" s="77" t="s">
        <v>8516</v>
      </c>
      <c r="K421" s="77" t="s">
        <v>8679</v>
      </c>
      <c r="L421" s="76"/>
      <c r="M421" s="76" t="s">
        <v>38</v>
      </c>
      <c r="N421" s="76"/>
      <c r="O421" s="76">
        <v>0</v>
      </c>
      <c r="P421" s="76"/>
      <c r="Q421" s="76"/>
      <c r="R421" s="76"/>
      <c r="S421" s="76"/>
      <c r="BD421" s="99">
        <f t="shared" si="13"/>
        <v>0</v>
      </c>
      <c r="CC421" s="99"/>
      <c r="CV421" s="99"/>
      <c r="CW421" s="63"/>
    </row>
    <row r="422" spans="1:101" x14ac:dyDescent="0.15">
      <c r="A422" s="76">
        <v>382</v>
      </c>
      <c r="B422" s="74" t="s">
        <v>627</v>
      </c>
      <c r="C422" s="74">
        <v>1000194159</v>
      </c>
      <c r="D422" s="78" t="str">
        <f t="shared" si="12"/>
        <v>https://portal.dnb.de/opac.htm?method=simpleSearch&amp;cqlMode=true&amp;query=idn%3D1000194159</v>
      </c>
      <c r="E422" s="74" t="s">
        <v>628</v>
      </c>
      <c r="F422" s="74"/>
      <c r="G422" s="76"/>
      <c r="H422" s="77"/>
      <c r="I422" s="76"/>
      <c r="J422" s="77"/>
      <c r="K422" s="77"/>
      <c r="L422" s="76"/>
      <c r="M422" s="76"/>
      <c r="N422" s="76"/>
      <c r="O422" s="76"/>
      <c r="P422" s="76"/>
      <c r="Q422" s="76"/>
      <c r="R422" s="76"/>
      <c r="S422" s="76"/>
      <c r="BD422" s="99">
        <f t="shared" si="13"/>
        <v>0</v>
      </c>
      <c r="CC422" s="99"/>
      <c r="CV422" s="99"/>
      <c r="CW422" s="63"/>
    </row>
    <row r="423" spans="1:101" x14ac:dyDescent="0.15">
      <c r="A423" s="76">
        <v>383</v>
      </c>
      <c r="B423" s="74" t="s">
        <v>645</v>
      </c>
      <c r="C423" s="74">
        <v>994000804</v>
      </c>
      <c r="D423" s="78" t="str">
        <f t="shared" si="12"/>
        <v>https://portal.dnb.de/opac.htm?method=simpleSearch&amp;cqlMode=true&amp;query=idn%3D994000804</v>
      </c>
      <c r="E423" s="74" t="s">
        <v>646</v>
      </c>
      <c r="F423" s="74"/>
      <c r="G423" s="76"/>
      <c r="H423" s="77"/>
      <c r="I423" s="76"/>
      <c r="J423" s="77"/>
      <c r="K423" s="77"/>
      <c r="L423" s="76"/>
      <c r="M423" s="76"/>
      <c r="N423" s="76"/>
      <c r="O423" s="76"/>
      <c r="P423" s="76"/>
      <c r="Q423" s="76"/>
      <c r="R423" s="76"/>
      <c r="S423" s="76"/>
      <c r="BD423" s="99">
        <f t="shared" si="13"/>
        <v>0</v>
      </c>
      <c r="CC423" s="99"/>
      <c r="CV423" s="99"/>
      <c r="CW423" s="63"/>
    </row>
    <row r="424" spans="1:101" x14ac:dyDescent="0.15">
      <c r="A424" s="76">
        <v>384</v>
      </c>
      <c r="B424" s="74" t="s">
        <v>649</v>
      </c>
      <c r="C424" s="74">
        <v>994428723</v>
      </c>
      <c r="D424" s="78" t="str">
        <f t="shared" si="12"/>
        <v>https://portal.dnb.de/opac.htm?method=simpleSearch&amp;cqlMode=true&amp;query=idn%3D994428723</v>
      </c>
      <c r="E424" s="74" t="s">
        <v>650</v>
      </c>
      <c r="F424" s="74"/>
      <c r="G424" s="76"/>
      <c r="H424" s="77"/>
      <c r="I424" s="76"/>
      <c r="J424" s="77"/>
      <c r="K424" s="77"/>
      <c r="L424" s="76"/>
      <c r="M424" s="76"/>
      <c r="N424" s="76"/>
      <c r="O424" s="76"/>
      <c r="P424" s="76"/>
      <c r="Q424" s="76"/>
      <c r="R424" s="76"/>
      <c r="S424" s="76"/>
      <c r="BD424" s="99">
        <f t="shared" si="13"/>
        <v>0</v>
      </c>
      <c r="CC424" s="99"/>
      <c r="CV424" s="99"/>
      <c r="CW424" s="63"/>
    </row>
    <row r="425" spans="1:101" x14ac:dyDescent="0.15">
      <c r="A425" s="76">
        <v>385</v>
      </c>
      <c r="B425" s="74" t="s">
        <v>674</v>
      </c>
      <c r="C425" s="74">
        <v>1066754039</v>
      </c>
      <c r="D425" s="78" t="str">
        <f t="shared" si="12"/>
        <v>https://portal.dnb.de/opac.htm?method=simpleSearch&amp;cqlMode=true&amp;query=idn%3D1066754039</v>
      </c>
      <c r="E425" s="74" t="s">
        <v>675</v>
      </c>
      <c r="F425" s="74"/>
      <c r="G425" s="76"/>
      <c r="H425" s="77" t="s">
        <v>5</v>
      </c>
      <c r="I425" s="76" t="s">
        <v>53</v>
      </c>
      <c r="J425" s="77" t="s">
        <v>8516</v>
      </c>
      <c r="K425" s="77" t="s">
        <v>8520</v>
      </c>
      <c r="L425" s="76"/>
      <c r="M425" s="76" t="s">
        <v>38</v>
      </c>
      <c r="N425" s="76" t="s">
        <v>39</v>
      </c>
      <c r="O425" s="76">
        <v>0</v>
      </c>
      <c r="P425" s="76"/>
      <c r="Q425" s="76"/>
      <c r="R425" s="76"/>
      <c r="S425" s="76"/>
      <c r="BD425" s="99">
        <f t="shared" si="13"/>
        <v>0</v>
      </c>
      <c r="CC425" s="99"/>
      <c r="CV425" s="99"/>
      <c r="CW425" s="63"/>
    </row>
    <row r="426" spans="1:101" ht="33.75" x14ac:dyDescent="0.15">
      <c r="A426" s="76">
        <v>386</v>
      </c>
      <c r="B426" s="74" t="s">
        <v>676</v>
      </c>
      <c r="C426" s="74">
        <v>1066754039</v>
      </c>
      <c r="D426" s="78" t="str">
        <f t="shared" si="12"/>
        <v>https://portal.dnb.de/opac.htm?method=simpleSearch&amp;cqlMode=true&amp;query=idn%3D1066754039</v>
      </c>
      <c r="E426" s="74" t="s">
        <v>677</v>
      </c>
      <c r="F426" s="74"/>
      <c r="G426" s="76"/>
      <c r="H426" s="77" t="s">
        <v>5</v>
      </c>
      <c r="I426" s="76" t="s">
        <v>53</v>
      </c>
      <c r="J426" s="77" t="s">
        <v>89</v>
      </c>
      <c r="K426" s="77" t="s">
        <v>8667</v>
      </c>
      <c r="L426" s="76"/>
      <c r="M426" s="76"/>
      <c r="N426" s="76" t="s">
        <v>8660</v>
      </c>
      <c r="O426" s="76">
        <v>0</v>
      </c>
      <c r="P426" s="76"/>
      <c r="Q426" s="76"/>
      <c r="R426" s="76"/>
      <c r="S426" s="76"/>
      <c r="BD426" s="99">
        <f t="shared" si="13"/>
        <v>0</v>
      </c>
      <c r="CC426" s="99"/>
      <c r="CV426" s="99"/>
      <c r="CW426" s="63"/>
    </row>
    <row r="427" spans="1:101" ht="22.5" x14ac:dyDescent="0.15">
      <c r="A427" s="76">
        <v>387</v>
      </c>
      <c r="B427" s="74" t="s">
        <v>678</v>
      </c>
      <c r="C427" s="74">
        <v>1000903524</v>
      </c>
      <c r="D427" s="78" t="str">
        <f t="shared" si="12"/>
        <v>https://portal.dnb.de/opac.htm?method=simpleSearch&amp;cqlMode=true&amp;query=idn%3D1000903524</v>
      </c>
      <c r="E427" s="74" t="s">
        <v>679</v>
      </c>
      <c r="F427" s="74"/>
      <c r="G427" s="76"/>
      <c r="H427" s="77" t="s">
        <v>48</v>
      </c>
      <c r="I427" s="76" t="s">
        <v>53</v>
      </c>
      <c r="J427" s="77" t="s">
        <v>89</v>
      </c>
      <c r="K427" s="77" t="s">
        <v>8565</v>
      </c>
      <c r="L427" s="76"/>
      <c r="M427" s="76" t="s">
        <v>38</v>
      </c>
      <c r="N427" s="76"/>
      <c r="O427" s="76">
        <v>0</v>
      </c>
      <c r="P427" s="76"/>
      <c r="Q427" s="76"/>
      <c r="R427" s="76"/>
      <c r="S427" s="76"/>
      <c r="BD427" s="99">
        <f t="shared" si="13"/>
        <v>0</v>
      </c>
      <c r="CC427" s="99"/>
      <c r="CV427" s="99"/>
      <c r="CW427" s="63"/>
    </row>
    <row r="428" spans="1:101" x14ac:dyDescent="0.15">
      <c r="A428" s="76">
        <v>388</v>
      </c>
      <c r="B428" s="74" t="s">
        <v>694</v>
      </c>
      <c r="C428" s="74">
        <v>1002180228</v>
      </c>
      <c r="D428" s="78" t="str">
        <f t="shared" si="12"/>
        <v>https://portal.dnb.de/opac.htm?method=simpleSearch&amp;cqlMode=true&amp;query=idn%3D1002180228</v>
      </c>
      <c r="E428" s="74" t="s">
        <v>695</v>
      </c>
      <c r="F428" s="74"/>
      <c r="G428" s="76" t="s">
        <v>8515</v>
      </c>
      <c r="H428" s="77" t="s">
        <v>48</v>
      </c>
      <c r="I428" s="76" t="s">
        <v>54</v>
      </c>
      <c r="J428" s="77" t="s">
        <v>58</v>
      </c>
      <c r="K428" s="77"/>
      <c r="L428" s="76"/>
      <c r="M428" s="76" t="s">
        <v>38</v>
      </c>
      <c r="N428" s="76" t="s">
        <v>40</v>
      </c>
      <c r="O428" s="76">
        <v>0</v>
      </c>
      <c r="P428" s="76"/>
      <c r="Q428" s="76"/>
      <c r="R428" s="76"/>
      <c r="S428" s="76"/>
      <c r="BD428" s="99">
        <f t="shared" si="13"/>
        <v>0</v>
      </c>
      <c r="CC428" s="99"/>
      <c r="CV428" s="99"/>
      <c r="CW428" s="63"/>
    </row>
    <row r="429" spans="1:101" x14ac:dyDescent="0.15">
      <c r="A429" s="76">
        <v>389</v>
      </c>
      <c r="B429" s="74" t="s">
        <v>723</v>
      </c>
      <c r="C429" s="74">
        <v>1001764641</v>
      </c>
      <c r="D429" s="78" t="str">
        <f t="shared" si="12"/>
        <v>https://portal.dnb.de/opac.htm?method=simpleSearch&amp;cqlMode=true&amp;query=idn%3D1001764641</v>
      </c>
      <c r="E429" s="74" t="s">
        <v>724</v>
      </c>
      <c r="F429" s="74"/>
      <c r="G429" s="76"/>
      <c r="H429" s="77"/>
      <c r="I429" s="76"/>
      <c r="J429" s="77"/>
      <c r="K429" s="77"/>
      <c r="L429" s="76"/>
      <c r="M429" s="76"/>
      <c r="N429" s="76"/>
      <c r="O429" s="76"/>
      <c r="P429" s="76"/>
      <c r="Q429" s="76"/>
      <c r="R429" s="76"/>
      <c r="S429" s="76"/>
      <c r="BD429" s="99">
        <f t="shared" si="13"/>
        <v>0</v>
      </c>
      <c r="CC429" s="99"/>
      <c r="CV429" s="99"/>
      <c r="CW429" s="63"/>
    </row>
    <row r="430" spans="1:101" x14ac:dyDescent="0.15">
      <c r="A430" s="76">
        <v>390</v>
      </c>
      <c r="B430" s="74" t="s">
        <v>748</v>
      </c>
      <c r="C430" s="74" t="s">
        <v>749</v>
      </c>
      <c r="D430" s="78" t="str">
        <f t="shared" si="12"/>
        <v>https://portal.dnb.de/opac.htm?method=simpleSearch&amp;cqlMode=true&amp;query=idn%3D99449095X</v>
      </c>
      <c r="E430" s="74" t="s">
        <v>750</v>
      </c>
      <c r="F430" s="74"/>
      <c r="G430" s="76"/>
      <c r="H430" s="77"/>
      <c r="I430" s="76"/>
      <c r="J430" s="77"/>
      <c r="K430" s="77"/>
      <c r="L430" s="76"/>
      <c r="M430" s="76"/>
      <c r="N430" s="76"/>
      <c r="O430" s="76"/>
      <c r="P430" s="76"/>
      <c r="Q430" s="76"/>
      <c r="R430" s="76"/>
      <c r="S430" s="76"/>
      <c r="BD430" s="99">
        <f t="shared" si="13"/>
        <v>0</v>
      </c>
      <c r="CC430" s="99"/>
      <c r="CV430" s="99"/>
      <c r="CW430" s="63"/>
    </row>
    <row r="431" spans="1:101" x14ac:dyDescent="0.15">
      <c r="A431" s="76">
        <v>391</v>
      </c>
      <c r="B431" s="74" t="s">
        <v>751</v>
      </c>
      <c r="C431" s="74">
        <v>999891537</v>
      </c>
      <c r="D431" s="78" t="str">
        <f t="shared" si="12"/>
        <v>https://portal.dnb.de/opac.htm?method=simpleSearch&amp;cqlMode=true&amp;query=idn%3D999891537</v>
      </c>
      <c r="E431" s="74" t="s">
        <v>752</v>
      </c>
      <c r="F431" s="74"/>
      <c r="G431" s="76"/>
      <c r="H431" s="77"/>
      <c r="I431" s="76"/>
      <c r="J431" s="77"/>
      <c r="K431" s="77"/>
      <c r="L431" s="76"/>
      <c r="M431" s="76"/>
      <c r="N431" s="76"/>
      <c r="O431" s="76"/>
      <c r="P431" s="76"/>
      <c r="Q431" s="76"/>
      <c r="R431" s="76"/>
      <c r="S431" s="76"/>
      <c r="BD431" s="99">
        <f t="shared" si="13"/>
        <v>0</v>
      </c>
      <c r="CC431" s="99"/>
      <c r="CV431" s="99"/>
      <c r="CW431" s="63"/>
    </row>
    <row r="432" spans="1:101" x14ac:dyDescent="0.15">
      <c r="A432" s="76">
        <v>392</v>
      </c>
      <c r="B432" s="74" t="s">
        <v>753</v>
      </c>
      <c r="C432" s="74">
        <v>994490984</v>
      </c>
      <c r="D432" s="78" t="str">
        <f t="shared" si="12"/>
        <v>https://portal.dnb.de/opac.htm?method=simpleSearch&amp;cqlMode=true&amp;query=idn%3D994490984</v>
      </c>
      <c r="E432" s="74" t="s">
        <v>754</v>
      </c>
      <c r="F432" s="74"/>
      <c r="G432" s="76"/>
      <c r="H432" s="77"/>
      <c r="I432" s="76"/>
      <c r="J432" s="77"/>
      <c r="K432" s="77"/>
      <c r="L432" s="76"/>
      <c r="M432" s="76"/>
      <c r="N432" s="76"/>
      <c r="O432" s="76"/>
      <c r="P432" s="76"/>
      <c r="Q432" s="76"/>
      <c r="R432" s="76"/>
      <c r="S432" s="76"/>
      <c r="BD432" s="99">
        <f t="shared" si="13"/>
        <v>0</v>
      </c>
      <c r="CC432" s="99"/>
      <c r="CV432" s="99"/>
      <c r="CW432" s="63"/>
    </row>
    <row r="433" spans="1:101" x14ac:dyDescent="0.15">
      <c r="A433" s="76">
        <v>393</v>
      </c>
      <c r="B433" s="74" t="s">
        <v>755</v>
      </c>
      <c r="C433" s="74" t="s">
        <v>756</v>
      </c>
      <c r="D433" s="78" t="str">
        <f t="shared" si="12"/>
        <v>https://portal.dnb.de/opac.htm?method=simpleSearch&amp;cqlMode=true&amp;query=idn%3D99449100X</v>
      </c>
      <c r="E433" s="74" t="s">
        <v>757</v>
      </c>
      <c r="F433" s="74"/>
      <c r="G433" s="76"/>
      <c r="H433" s="77"/>
      <c r="I433" s="76"/>
      <c r="J433" s="77"/>
      <c r="K433" s="77"/>
      <c r="L433" s="76"/>
      <c r="M433" s="76"/>
      <c r="N433" s="76"/>
      <c r="O433" s="76"/>
      <c r="P433" s="76"/>
      <c r="Q433" s="76"/>
      <c r="R433" s="76"/>
      <c r="S433" s="76"/>
      <c r="BD433" s="99">
        <f t="shared" si="13"/>
        <v>0</v>
      </c>
      <c r="CC433" s="99"/>
      <c r="CV433" s="99"/>
      <c r="CW433" s="63"/>
    </row>
    <row r="434" spans="1:101" x14ac:dyDescent="0.15">
      <c r="A434" s="76">
        <v>394</v>
      </c>
      <c r="B434" s="74" t="s">
        <v>758</v>
      </c>
      <c r="C434" s="74">
        <v>994491034</v>
      </c>
      <c r="D434" s="78" t="str">
        <f t="shared" si="12"/>
        <v>https://portal.dnb.de/opac.htm?method=simpleSearch&amp;cqlMode=true&amp;query=idn%3D994491034</v>
      </c>
      <c r="E434" s="74" t="s">
        <v>759</v>
      </c>
      <c r="F434" s="74"/>
      <c r="G434" s="76"/>
      <c r="H434" s="77"/>
      <c r="I434" s="76"/>
      <c r="J434" s="77"/>
      <c r="K434" s="77"/>
      <c r="L434" s="76"/>
      <c r="M434" s="76"/>
      <c r="N434" s="76"/>
      <c r="O434" s="76"/>
      <c r="P434" s="76"/>
      <c r="Q434" s="76"/>
      <c r="R434" s="76"/>
      <c r="S434" s="76"/>
      <c r="BD434" s="99">
        <f t="shared" si="13"/>
        <v>0</v>
      </c>
      <c r="CC434" s="99"/>
      <c r="CV434" s="99"/>
      <c r="CW434" s="63"/>
    </row>
    <row r="435" spans="1:101" x14ac:dyDescent="0.15">
      <c r="A435" s="76">
        <v>395</v>
      </c>
      <c r="B435" s="74" t="s">
        <v>760</v>
      </c>
      <c r="C435" s="74">
        <v>994491050</v>
      </c>
      <c r="D435" s="78" t="str">
        <f t="shared" si="12"/>
        <v>https://portal.dnb.de/opac.htm?method=simpleSearch&amp;cqlMode=true&amp;query=idn%3D994491050</v>
      </c>
      <c r="E435" s="74" t="s">
        <v>761</v>
      </c>
      <c r="F435" s="74"/>
      <c r="G435" s="76"/>
      <c r="H435" s="77"/>
      <c r="I435" s="76"/>
      <c r="J435" s="77"/>
      <c r="K435" s="77"/>
      <c r="L435" s="76"/>
      <c r="M435" s="76"/>
      <c r="N435" s="76"/>
      <c r="O435" s="76"/>
      <c r="P435" s="76"/>
      <c r="Q435" s="76"/>
      <c r="R435" s="76"/>
      <c r="S435" s="76"/>
      <c r="BD435" s="99">
        <f t="shared" si="13"/>
        <v>0</v>
      </c>
      <c r="CC435" s="99"/>
      <c r="CV435" s="99"/>
      <c r="CW435" s="63"/>
    </row>
    <row r="436" spans="1:101" x14ac:dyDescent="0.15">
      <c r="A436" s="76">
        <v>396</v>
      </c>
      <c r="B436" s="74" t="s">
        <v>762</v>
      </c>
      <c r="C436" s="74">
        <v>994491085</v>
      </c>
      <c r="D436" s="78" t="str">
        <f t="shared" si="12"/>
        <v>https://portal.dnb.de/opac.htm?method=simpleSearch&amp;cqlMode=true&amp;query=idn%3D994491085</v>
      </c>
      <c r="E436" s="74" t="s">
        <v>763</v>
      </c>
      <c r="F436" s="74"/>
      <c r="G436" s="76"/>
      <c r="H436" s="77"/>
      <c r="I436" s="76"/>
      <c r="J436" s="77"/>
      <c r="K436" s="77"/>
      <c r="L436" s="76"/>
      <c r="M436" s="76"/>
      <c r="N436" s="76"/>
      <c r="O436" s="76"/>
      <c r="P436" s="76"/>
      <c r="Q436" s="76"/>
      <c r="R436" s="76"/>
      <c r="S436" s="76"/>
      <c r="BD436" s="99">
        <f t="shared" si="13"/>
        <v>0</v>
      </c>
      <c r="CC436" s="99"/>
      <c r="CV436" s="99"/>
      <c r="CW436" s="63"/>
    </row>
    <row r="437" spans="1:101" x14ac:dyDescent="0.15">
      <c r="A437" s="76">
        <v>397</v>
      </c>
      <c r="B437" s="74" t="s">
        <v>764</v>
      </c>
      <c r="C437" s="74">
        <v>994491123</v>
      </c>
      <c r="D437" s="78" t="str">
        <f t="shared" si="12"/>
        <v>https://portal.dnb.de/opac.htm?method=simpleSearch&amp;cqlMode=true&amp;query=idn%3D994491123</v>
      </c>
      <c r="E437" s="74" t="s">
        <v>765</v>
      </c>
      <c r="F437" s="74"/>
      <c r="G437" s="76"/>
      <c r="H437" s="77"/>
      <c r="I437" s="76"/>
      <c r="J437" s="77"/>
      <c r="K437" s="77"/>
      <c r="L437" s="76"/>
      <c r="M437" s="76"/>
      <c r="N437" s="76"/>
      <c r="O437" s="76"/>
      <c r="P437" s="76"/>
      <c r="Q437" s="76"/>
      <c r="R437" s="76"/>
      <c r="S437" s="76"/>
      <c r="BD437" s="99">
        <f t="shared" si="13"/>
        <v>0</v>
      </c>
      <c r="CC437" s="99"/>
      <c r="CV437" s="99"/>
      <c r="CW437" s="63"/>
    </row>
    <row r="438" spans="1:101" x14ac:dyDescent="0.15">
      <c r="A438" s="76">
        <v>398</v>
      </c>
      <c r="B438" s="74" t="s">
        <v>766</v>
      </c>
      <c r="C438" s="74">
        <v>994491174</v>
      </c>
      <c r="D438" s="78" t="str">
        <f t="shared" si="12"/>
        <v>https://portal.dnb.de/opac.htm?method=simpleSearch&amp;cqlMode=true&amp;query=idn%3D994491174</v>
      </c>
      <c r="E438" s="74" t="s">
        <v>767</v>
      </c>
      <c r="F438" s="74"/>
      <c r="G438" s="76"/>
      <c r="H438" s="77"/>
      <c r="I438" s="76"/>
      <c r="J438" s="77"/>
      <c r="K438" s="77"/>
      <c r="L438" s="76"/>
      <c r="M438" s="76"/>
      <c r="N438" s="76"/>
      <c r="O438" s="76"/>
      <c r="P438" s="76"/>
      <c r="Q438" s="76"/>
      <c r="R438" s="76"/>
      <c r="S438" s="76"/>
      <c r="BD438" s="99">
        <f t="shared" si="13"/>
        <v>0</v>
      </c>
      <c r="CC438" s="99"/>
      <c r="CV438" s="99"/>
      <c r="CW438" s="63"/>
    </row>
    <row r="439" spans="1:101" x14ac:dyDescent="0.15">
      <c r="A439" s="76">
        <v>399</v>
      </c>
      <c r="B439" s="74" t="s">
        <v>768</v>
      </c>
      <c r="C439" s="74">
        <v>994491255</v>
      </c>
      <c r="D439" s="78" t="str">
        <f t="shared" si="12"/>
        <v>https://portal.dnb.de/opac.htm?method=simpleSearch&amp;cqlMode=true&amp;query=idn%3D994491255</v>
      </c>
      <c r="E439" s="74" t="s">
        <v>769</v>
      </c>
      <c r="F439" s="74"/>
      <c r="G439" s="76"/>
      <c r="H439" s="77"/>
      <c r="I439" s="76"/>
      <c r="J439" s="77"/>
      <c r="K439" s="77"/>
      <c r="L439" s="76"/>
      <c r="M439" s="76"/>
      <c r="N439" s="76"/>
      <c r="O439" s="76"/>
      <c r="P439" s="76"/>
      <c r="Q439" s="76"/>
      <c r="R439" s="76"/>
      <c r="S439" s="76"/>
      <c r="BD439" s="99">
        <f t="shared" si="13"/>
        <v>0</v>
      </c>
      <c r="CC439" s="99"/>
      <c r="CV439" s="99"/>
      <c r="CW439" s="63"/>
    </row>
    <row r="440" spans="1:101" x14ac:dyDescent="0.15">
      <c r="A440" s="76"/>
      <c r="B440" s="74"/>
      <c r="C440" s="74"/>
      <c r="D440" s="78"/>
      <c r="E440" s="74"/>
      <c r="F440" s="74"/>
      <c r="G440" s="76"/>
      <c r="H440" s="77"/>
      <c r="I440" s="76"/>
      <c r="J440" s="77"/>
      <c r="K440" s="77"/>
      <c r="L440" s="76"/>
      <c r="M440" s="76"/>
      <c r="N440" s="76"/>
      <c r="O440" s="76"/>
      <c r="P440" s="76"/>
      <c r="Q440" s="76"/>
      <c r="R440" s="76"/>
      <c r="S440" s="76"/>
      <c r="BD440" s="99">
        <f t="shared" si="13"/>
        <v>0</v>
      </c>
      <c r="CC440" s="99"/>
      <c r="CV440" s="99"/>
      <c r="CW440" s="63"/>
    </row>
    <row r="441" spans="1:101" ht="22.5" x14ac:dyDescent="0.15">
      <c r="A441" s="76">
        <v>400</v>
      </c>
      <c r="B441" s="74" t="s">
        <v>738</v>
      </c>
      <c r="C441" s="74">
        <v>995383154</v>
      </c>
      <c r="D441" s="78" t="str">
        <f t="shared" si="12"/>
        <v>https://portal.dnb.de/opac.htm?method=simpleSearch&amp;cqlMode=true&amp;query=idn%3D995383154</v>
      </c>
      <c r="E441" s="74" t="s">
        <v>8692</v>
      </c>
      <c r="F441" s="74"/>
      <c r="G441" s="76"/>
      <c r="H441" s="77" t="s">
        <v>48</v>
      </c>
      <c r="I441" s="76" t="s">
        <v>53</v>
      </c>
      <c r="J441" s="77" t="s">
        <v>89</v>
      </c>
      <c r="K441" s="77" t="s">
        <v>8539</v>
      </c>
      <c r="L441" s="76"/>
      <c r="M441" s="76"/>
      <c r="N441" s="76" t="s">
        <v>8660</v>
      </c>
      <c r="O441" s="76">
        <v>0</v>
      </c>
      <c r="P441" s="76"/>
      <c r="Q441" s="76"/>
      <c r="R441" s="76"/>
      <c r="S441" s="76"/>
      <c r="BD441" s="99">
        <f t="shared" si="13"/>
        <v>0</v>
      </c>
      <c r="CC441" s="99"/>
      <c r="CV441" s="99"/>
      <c r="CW441" s="63"/>
    </row>
    <row r="442" spans="1:101" ht="33.75" x14ac:dyDescent="0.15">
      <c r="A442" s="76">
        <v>401</v>
      </c>
      <c r="B442" s="74" t="s">
        <v>952</v>
      </c>
      <c r="C442" s="74">
        <v>995383170</v>
      </c>
      <c r="D442" s="78" t="str">
        <f t="shared" si="12"/>
        <v>https://portal.dnb.de/opac.htm?method=simpleSearch&amp;cqlMode=true&amp;query=idn%3D995383170</v>
      </c>
      <c r="E442" s="74" t="s">
        <v>951</v>
      </c>
      <c r="F442" s="74"/>
      <c r="G442" s="76" t="s">
        <v>8515</v>
      </c>
      <c r="H442" s="77" t="s">
        <v>8546</v>
      </c>
      <c r="I442" s="76" t="s">
        <v>54</v>
      </c>
      <c r="J442" s="77" t="s">
        <v>58</v>
      </c>
      <c r="K442" s="77" t="s">
        <v>8965</v>
      </c>
      <c r="L442" s="76"/>
      <c r="M442" s="76" t="s">
        <v>38</v>
      </c>
      <c r="N442" s="76" t="s">
        <v>40</v>
      </c>
      <c r="O442" s="76">
        <v>0</v>
      </c>
      <c r="P442" s="76"/>
      <c r="Q442" s="76"/>
      <c r="R442" s="76"/>
      <c r="S442" s="76"/>
      <c r="BD442" s="99">
        <f t="shared" si="13"/>
        <v>0</v>
      </c>
      <c r="CC442" s="99"/>
      <c r="CV442" s="99"/>
      <c r="CW442" s="63"/>
    </row>
    <row r="443" spans="1:101" x14ac:dyDescent="0.15">
      <c r="A443" s="76">
        <v>402</v>
      </c>
      <c r="B443" s="74" t="s">
        <v>953</v>
      </c>
      <c r="C443" s="74">
        <v>995383189</v>
      </c>
      <c r="D443" s="78" t="str">
        <f>HYPERLINK(CONCATENATE("https://portal.dnb.de/opac.htm?method=simpleSearch&amp;cqlMode=true&amp;query=idn%3D",C443))</f>
        <v>https://portal.dnb.de/opac.htm?method=simpleSearch&amp;cqlMode=true&amp;query=idn%3D995383189</v>
      </c>
      <c r="E443" s="74" t="s">
        <v>951</v>
      </c>
      <c r="F443" s="74"/>
      <c r="G443" s="76"/>
      <c r="H443" s="77"/>
      <c r="I443" s="76"/>
      <c r="J443" s="77"/>
      <c r="K443" s="77"/>
      <c r="L443" s="76"/>
      <c r="M443" s="76"/>
      <c r="N443" s="76"/>
      <c r="O443" s="76"/>
      <c r="P443" s="76"/>
      <c r="Q443" s="76"/>
      <c r="R443" s="76"/>
      <c r="S443" s="76"/>
      <c r="BD443" s="99">
        <f t="shared" si="13"/>
        <v>0</v>
      </c>
      <c r="CC443" s="99"/>
      <c r="CV443" s="99"/>
      <c r="CW443" s="63"/>
    </row>
    <row r="444" spans="1:101" ht="33.75" x14ac:dyDescent="0.15">
      <c r="A444" s="76">
        <v>403</v>
      </c>
      <c r="B444" s="74" t="s">
        <v>950</v>
      </c>
      <c r="C444" s="74">
        <v>1066941149</v>
      </c>
      <c r="D444" s="81" t="str">
        <f>HYPERLINK(CONCATENATE("https://portal.dnb.de/opac.htm?method=simpleSearch&amp;cqlMode=true&amp;query=idn%3D",C444))</f>
        <v>https://portal.dnb.de/opac.htm?method=simpleSearch&amp;cqlMode=true&amp;query=idn%3D1066941149</v>
      </c>
      <c r="E444" s="74" t="s">
        <v>8693</v>
      </c>
      <c r="F444" s="74"/>
      <c r="G444" s="76" t="s">
        <v>8515</v>
      </c>
      <c r="H444" s="77" t="s">
        <v>48</v>
      </c>
      <c r="I444" s="76" t="s">
        <v>54</v>
      </c>
      <c r="J444" s="77" t="s">
        <v>58</v>
      </c>
      <c r="K444" s="77" t="s">
        <v>8687</v>
      </c>
      <c r="L444" s="76"/>
      <c r="M444" s="76" t="s">
        <v>38</v>
      </c>
      <c r="N444" s="76"/>
      <c r="O444" s="76">
        <v>0</v>
      </c>
      <c r="P444" s="76"/>
      <c r="Q444" s="76"/>
      <c r="R444" s="76"/>
      <c r="S444" s="76"/>
      <c r="Y444" s="95" t="s">
        <v>9736</v>
      </c>
      <c r="AB444" s="95" t="s">
        <v>8541</v>
      </c>
      <c r="AC444" s="95" t="s">
        <v>9739</v>
      </c>
      <c r="AD444" s="95" t="s">
        <v>8541</v>
      </c>
      <c r="AI444" s="95" t="s">
        <v>9725</v>
      </c>
      <c r="AP444" s="95" t="s">
        <v>8541</v>
      </c>
      <c r="AQ444" s="96" t="s">
        <v>9740</v>
      </c>
      <c r="AW444" s="95">
        <v>110</v>
      </c>
      <c r="BC444" s="96" t="s">
        <v>9734</v>
      </c>
      <c r="BD444" s="99">
        <f t="shared" si="13"/>
        <v>0</v>
      </c>
      <c r="BF444" s="95" t="s">
        <v>10005</v>
      </c>
      <c r="BM444" s="69" t="s">
        <v>10007</v>
      </c>
      <c r="CC444" s="99"/>
      <c r="CV444" s="99"/>
      <c r="CW444" s="63"/>
    </row>
    <row r="445" spans="1:101" x14ac:dyDescent="0.15">
      <c r="A445" s="76">
        <v>404</v>
      </c>
      <c r="B445" s="74" t="s">
        <v>954</v>
      </c>
      <c r="C445" s="74">
        <v>1132642353</v>
      </c>
      <c r="D445" s="78" t="str">
        <f t="shared" si="12"/>
        <v>https://portal.dnb.de/opac.htm?method=simpleSearch&amp;cqlMode=true&amp;query=idn%3D1132642353</v>
      </c>
      <c r="E445" s="74" t="s">
        <v>955</v>
      </c>
      <c r="F445" s="74"/>
      <c r="G445" s="76" t="s">
        <v>8515</v>
      </c>
      <c r="H445" s="77" t="s">
        <v>48</v>
      </c>
      <c r="I445" s="76" t="s">
        <v>54</v>
      </c>
      <c r="J445" s="77" t="s">
        <v>58</v>
      </c>
      <c r="K445" s="77" t="s">
        <v>84</v>
      </c>
      <c r="L445" s="76"/>
      <c r="M445" s="76" t="s">
        <v>37</v>
      </c>
      <c r="N445" s="76" t="s">
        <v>40</v>
      </c>
      <c r="O445" s="76">
        <v>3</v>
      </c>
      <c r="P445" s="76"/>
      <c r="Q445" s="76"/>
      <c r="R445" s="76"/>
      <c r="S445" s="76"/>
      <c r="BD445" s="99">
        <f t="shared" si="13"/>
        <v>0</v>
      </c>
      <c r="CC445" s="99"/>
      <c r="CV445" s="99"/>
      <c r="CW445" s="63"/>
    </row>
    <row r="446" spans="1:101" x14ac:dyDescent="0.15">
      <c r="A446" s="76">
        <v>405</v>
      </c>
      <c r="B446" s="74" t="s">
        <v>1046</v>
      </c>
      <c r="C446" s="74">
        <v>1075292271</v>
      </c>
      <c r="D446" s="78" t="str">
        <f t="shared" si="12"/>
        <v>https://portal.dnb.de/opac.htm?method=simpleSearch&amp;cqlMode=true&amp;query=idn%3D1075292271</v>
      </c>
      <c r="E446" s="74" t="s">
        <v>1047</v>
      </c>
      <c r="F446" s="74"/>
      <c r="G446" s="76"/>
      <c r="H446" s="77"/>
      <c r="I446" s="76"/>
      <c r="J446" s="77"/>
      <c r="K446" s="77"/>
      <c r="L446" s="76"/>
      <c r="M446" s="76"/>
      <c r="N446" s="76"/>
      <c r="O446" s="76"/>
      <c r="P446" s="76"/>
      <c r="Q446" s="76"/>
      <c r="R446" s="76"/>
      <c r="S446" s="76"/>
      <c r="BD446" s="99">
        <f t="shared" si="13"/>
        <v>0</v>
      </c>
      <c r="CC446" s="99"/>
      <c r="CV446" s="99"/>
      <c r="CW446" s="63"/>
    </row>
    <row r="447" spans="1:101" ht="22.5" x14ac:dyDescent="0.15">
      <c r="A447" s="76">
        <v>406</v>
      </c>
      <c r="B447" s="74" t="s">
        <v>1589</v>
      </c>
      <c r="C447" s="74">
        <v>1066834865</v>
      </c>
      <c r="D447" s="78" t="str">
        <f t="shared" si="12"/>
        <v>https://portal.dnb.de/opac.htm?method=simpleSearch&amp;cqlMode=true&amp;query=idn%3D1066834865</v>
      </c>
      <c r="E447" s="74" t="s">
        <v>1590</v>
      </c>
      <c r="F447" s="74"/>
      <c r="G447" s="76" t="s">
        <v>8515</v>
      </c>
      <c r="H447" s="77" t="s">
        <v>18</v>
      </c>
      <c r="I447" s="76" t="s">
        <v>53</v>
      </c>
      <c r="J447" s="77" t="s">
        <v>58</v>
      </c>
      <c r="K447" s="77"/>
      <c r="L447" s="76"/>
      <c r="M447" s="76"/>
      <c r="N447" s="76"/>
      <c r="O447" s="76">
        <v>0</v>
      </c>
      <c r="P447" s="76"/>
      <c r="Q447" s="76"/>
      <c r="R447" s="76"/>
      <c r="S447" s="76"/>
      <c r="BD447" s="99">
        <f t="shared" si="13"/>
        <v>0</v>
      </c>
      <c r="CC447" s="99"/>
      <c r="CV447" s="99"/>
      <c r="CW447" s="63"/>
    </row>
    <row r="448" spans="1:101" x14ac:dyDescent="0.15">
      <c r="A448" s="76">
        <v>407</v>
      </c>
      <c r="B448" s="74" t="s">
        <v>1694</v>
      </c>
      <c r="C448" s="74">
        <v>998088811</v>
      </c>
      <c r="D448" s="78" t="str">
        <f t="shared" si="12"/>
        <v>https://portal.dnb.de/opac.htm?method=simpleSearch&amp;cqlMode=true&amp;query=idn%3D998088811</v>
      </c>
      <c r="E448" s="74" t="s">
        <v>1695</v>
      </c>
      <c r="F448" s="74"/>
      <c r="G448" s="76"/>
      <c r="H448" s="77" t="s">
        <v>4</v>
      </c>
      <c r="I448" s="76" t="s">
        <v>54</v>
      </c>
      <c r="J448" s="77" t="s">
        <v>8516</v>
      </c>
      <c r="K448" s="77" t="s">
        <v>84</v>
      </c>
      <c r="L448" s="76"/>
      <c r="M448" s="76" t="s">
        <v>36</v>
      </c>
      <c r="N448" s="76" t="s">
        <v>39</v>
      </c>
      <c r="O448" s="76">
        <v>0</v>
      </c>
      <c r="P448" s="76"/>
      <c r="Q448" s="76"/>
      <c r="R448" s="76"/>
      <c r="S448" s="76"/>
      <c r="BD448" s="99">
        <f t="shared" si="13"/>
        <v>0</v>
      </c>
      <c r="CC448" s="99"/>
      <c r="CV448" s="99"/>
      <c r="CW448" s="63"/>
    </row>
    <row r="449" spans="1:101" ht="22.5" x14ac:dyDescent="0.15">
      <c r="A449" s="76">
        <v>408</v>
      </c>
      <c r="B449" s="74" t="s">
        <v>1686</v>
      </c>
      <c r="C449" s="74">
        <v>1000801411</v>
      </c>
      <c r="D449" s="78" t="str">
        <f t="shared" si="12"/>
        <v>https://portal.dnb.de/opac.htm?method=simpleSearch&amp;cqlMode=true&amp;query=idn%3D1000801411</v>
      </c>
      <c r="E449" s="74" t="s">
        <v>1687</v>
      </c>
      <c r="F449" s="74"/>
      <c r="G449" s="76"/>
      <c r="H449" s="77" t="s">
        <v>8547</v>
      </c>
      <c r="I449" s="76" t="s">
        <v>53</v>
      </c>
      <c r="J449" s="77" t="s">
        <v>8516</v>
      </c>
      <c r="K449" s="77" t="s">
        <v>72</v>
      </c>
      <c r="L449" s="76"/>
      <c r="M449" s="76" t="s">
        <v>38</v>
      </c>
      <c r="N449" s="76" t="s">
        <v>40</v>
      </c>
      <c r="O449" s="76">
        <v>0</v>
      </c>
      <c r="P449" s="76"/>
      <c r="Q449" s="76"/>
      <c r="R449" s="76"/>
      <c r="S449" s="76"/>
      <c r="BD449" s="99">
        <f t="shared" si="13"/>
        <v>0</v>
      </c>
      <c r="CC449" s="99"/>
      <c r="CV449" s="99"/>
      <c r="CW449" s="63"/>
    </row>
    <row r="450" spans="1:101" x14ac:dyDescent="0.15">
      <c r="A450" s="76">
        <v>409</v>
      </c>
      <c r="B450" s="74" t="s">
        <v>1764</v>
      </c>
      <c r="C450" s="74">
        <v>19810407</v>
      </c>
      <c r="D450" s="78" t="str">
        <f t="shared" si="12"/>
        <v>https://portal.dnb.de/opac.htm?method=simpleSearch&amp;cqlMode=true&amp;query=idn%3D19810407</v>
      </c>
      <c r="E450" s="74" t="s">
        <v>1765</v>
      </c>
      <c r="F450" s="74"/>
      <c r="G450" s="76"/>
      <c r="H450" s="77"/>
      <c r="I450" s="76"/>
      <c r="J450" s="77"/>
      <c r="K450" s="77"/>
      <c r="L450" s="76"/>
      <c r="M450" s="76"/>
      <c r="N450" s="76"/>
      <c r="O450" s="76"/>
      <c r="P450" s="76"/>
      <c r="Q450" s="76"/>
      <c r="R450" s="76"/>
      <c r="S450" s="76"/>
      <c r="BD450" s="99">
        <f t="shared" si="13"/>
        <v>0</v>
      </c>
      <c r="CC450" s="99"/>
      <c r="CV450" s="99"/>
      <c r="CW450" s="63"/>
    </row>
    <row r="451" spans="1:101" ht="33.75" x14ac:dyDescent="0.15">
      <c r="A451" s="76">
        <v>410</v>
      </c>
      <c r="B451" s="74" t="s">
        <v>1684</v>
      </c>
      <c r="C451" s="74">
        <v>1066873402</v>
      </c>
      <c r="D451" s="78" t="str">
        <f t="shared" si="12"/>
        <v>https://portal.dnb.de/opac.htm?method=simpleSearch&amp;cqlMode=true&amp;query=idn%3D1066873402</v>
      </c>
      <c r="E451" s="74" t="s">
        <v>1685</v>
      </c>
      <c r="F451" s="74"/>
      <c r="G451" s="76" t="s">
        <v>8515</v>
      </c>
      <c r="H451" s="77" t="s">
        <v>8694</v>
      </c>
      <c r="I451" s="76" t="s">
        <v>54</v>
      </c>
      <c r="J451" s="77" t="s">
        <v>58</v>
      </c>
      <c r="K451" s="77" t="s">
        <v>84</v>
      </c>
      <c r="L451" s="76"/>
      <c r="M451" s="76" t="s">
        <v>37</v>
      </c>
      <c r="N451" s="76" t="s">
        <v>40</v>
      </c>
      <c r="O451" s="76">
        <v>0</v>
      </c>
      <c r="P451" s="76"/>
      <c r="Q451" s="76"/>
      <c r="R451" s="76"/>
      <c r="S451" s="76"/>
      <c r="BD451" s="99">
        <f t="shared" ref="BD451:BD514" si="14">CC451+CV451</f>
        <v>0</v>
      </c>
      <c r="CC451" s="99"/>
      <c r="CV451" s="99"/>
      <c r="CW451" s="63"/>
    </row>
    <row r="452" spans="1:101" ht="33.75" x14ac:dyDescent="0.15">
      <c r="A452" s="76">
        <v>411</v>
      </c>
      <c r="B452" s="74" t="s">
        <v>1715</v>
      </c>
      <c r="C452" s="74">
        <v>997546700</v>
      </c>
      <c r="D452" s="78" t="str">
        <f t="shared" ref="D452:D515" si="15">HYPERLINK(CONCATENATE("https://portal.dnb.de/opac.htm?method=simpleSearch&amp;cqlMode=true&amp;query=idn%3D",C452))</f>
        <v>https://portal.dnb.de/opac.htm?method=simpleSearch&amp;cqlMode=true&amp;query=idn%3D997546700</v>
      </c>
      <c r="E452" s="74" t="s">
        <v>1716</v>
      </c>
      <c r="F452" s="74"/>
      <c r="G452" s="76" t="s">
        <v>8515</v>
      </c>
      <c r="H452" s="77" t="s">
        <v>8674</v>
      </c>
      <c r="I452" s="76" t="s">
        <v>54</v>
      </c>
      <c r="J452" s="77" t="s">
        <v>8516</v>
      </c>
      <c r="K452" s="77" t="s">
        <v>84</v>
      </c>
      <c r="L452" s="76"/>
      <c r="M452" s="76" t="s">
        <v>37</v>
      </c>
      <c r="N452" s="76" t="s">
        <v>40</v>
      </c>
      <c r="O452" s="76">
        <v>0</v>
      </c>
      <c r="P452" s="76"/>
      <c r="Q452" s="76"/>
      <c r="R452" s="76"/>
      <c r="S452" s="76"/>
      <c r="BD452" s="99">
        <f t="shared" si="14"/>
        <v>0</v>
      </c>
      <c r="CC452" s="99"/>
      <c r="CV452" s="99"/>
      <c r="CW452" s="63"/>
    </row>
    <row r="453" spans="1:101" x14ac:dyDescent="0.15">
      <c r="A453" s="76">
        <v>412</v>
      </c>
      <c r="B453" s="74" t="s">
        <v>1717</v>
      </c>
      <c r="C453" s="74">
        <v>997044225</v>
      </c>
      <c r="D453" s="78" t="str">
        <f t="shared" si="15"/>
        <v>https://portal.dnb.de/opac.htm?method=simpleSearch&amp;cqlMode=true&amp;query=idn%3D997044225</v>
      </c>
      <c r="E453" s="74" t="s">
        <v>1716</v>
      </c>
      <c r="F453" s="74"/>
      <c r="G453" s="76"/>
      <c r="H453" s="77"/>
      <c r="I453" s="76"/>
      <c r="J453" s="77"/>
      <c r="K453" s="77"/>
      <c r="L453" s="76"/>
      <c r="M453" s="76"/>
      <c r="N453" s="76"/>
      <c r="O453" s="76"/>
      <c r="P453" s="76"/>
      <c r="Q453" s="76"/>
      <c r="R453" s="76"/>
      <c r="S453" s="76"/>
      <c r="BD453" s="99">
        <f t="shared" si="14"/>
        <v>0</v>
      </c>
      <c r="CC453" s="99"/>
      <c r="CV453" s="99"/>
      <c r="CW453" s="63"/>
    </row>
    <row r="454" spans="1:101" x14ac:dyDescent="0.15">
      <c r="A454" s="76">
        <v>413</v>
      </c>
      <c r="B454" s="74" t="s">
        <v>1751</v>
      </c>
      <c r="C454" s="74">
        <v>1066936463</v>
      </c>
      <c r="D454" s="78" t="str">
        <f t="shared" si="15"/>
        <v>https://portal.dnb.de/opac.htm?method=simpleSearch&amp;cqlMode=true&amp;query=idn%3D1066936463</v>
      </c>
      <c r="E454" s="74" t="s">
        <v>1752</v>
      </c>
      <c r="F454" s="74"/>
      <c r="G454" s="76" t="s">
        <v>8515</v>
      </c>
      <c r="H454" s="77" t="s">
        <v>5</v>
      </c>
      <c r="I454" s="76" t="s">
        <v>54</v>
      </c>
      <c r="J454" s="77" t="s">
        <v>8516</v>
      </c>
      <c r="K454" s="77" t="s">
        <v>8520</v>
      </c>
      <c r="L454" s="76"/>
      <c r="M454" s="76" t="s">
        <v>38</v>
      </c>
      <c r="N454" s="76" t="s">
        <v>40</v>
      </c>
      <c r="O454" s="76">
        <v>0</v>
      </c>
      <c r="P454" s="76"/>
      <c r="Q454" s="76"/>
      <c r="R454" s="76"/>
      <c r="S454" s="76"/>
      <c r="BD454" s="99">
        <f t="shared" si="14"/>
        <v>0</v>
      </c>
      <c r="CC454" s="99"/>
      <c r="CV454" s="99"/>
      <c r="CW454" s="63"/>
    </row>
    <row r="455" spans="1:101" x14ac:dyDescent="0.15">
      <c r="A455" s="76">
        <v>414</v>
      </c>
      <c r="B455" s="74" t="s">
        <v>1753</v>
      </c>
      <c r="C455" s="74">
        <v>1066933901</v>
      </c>
      <c r="D455" s="78" t="str">
        <f t="shared" si="15"/>
        <v>https://portal.dnb.de/opac.htm?method=simpleSearch&amp;cqlMode=true&amp;query=idn%3D1066933901</v>
      </c>
      <c r="E455" s="74" t="s">
        <v>1754</v>
      </c>
      <c r="F455" s="74"/>
      <c r="G455" s="76"/>
      <c r="H455" s="77"/>
      <c r="I455" s="76"/>
      <c r="J455" s="77"/>
      <c r="K455" s="77"/>
      <c r="L455" s="76"/>
      <c r="M455" s="76"/>
      <c r="N455" s="76"/>
      <c r="O455" s="76"/>
      <c r="P455" s="76"/>
      <c r="Q455" s="76"/>
      <c r="R455" s="76"/>
      <c r="S455" s="76"/>
      <c r="BD455" s="99">
        <f t="shared" si="14"/>
        <v>0</v>
      </c>
      <c r="CC455" s="99"/>
      <c r="CV455" s="99"/>
      <c r="CW455" s="63"/>
    </row>
    <row r="456" spans="1:101" x14ac:dyDescent="0.15">
      <c r="A456" s="76">
        <v>415</v>
      </c>
      <c r="B456" s="74" t="s">
        <v>1762</v>
      </c>
      <c r="C456" s="74">
        <v>1066941238</v>
      </c>
      <c r="D456" s="78" t="str">
        <f t="shared" si="15"/>
        <v>https://portal.dnb.de/opac.htm?method=simpleSearch&amp;cqlMode=true&amp;query=idn%3D1066941238</v>
      </c>
      <c r="E456" s="74" t="s">
        <v>1763</v>
      </c>
      <c r="F456" s="74"/>
      <c r="G456" s="76"/>
      <c r="H456" s="77"/>
      <c r="I456" s="76"/>
      <c r="J456" s="77"/>
      <c r="K456" s="77"/>
      <c r="L456" s="76"/>
      <c r="M456" s="76"/>
      <c r="N456" s="76"/>
      <c r="O456" s="76"/>
      <c r="P456" s="76"/>
      <c r="Q456" s="76"/>
      <c r="R456" s="76"/>
      <c r="S456" s="76"/>
      <c r="BD456" s="99">
        <f t="shared" si="14"/>
        <v>0</v>
      </c>
      <c r="CC456" s="99"/>
      <c r="CV456" s="99"/>
      <c r="CW456" s="63"/>
    </row>
    <row r="457" spans="1:101" x14ac:dyDescent="0.15">
      <c r="A457" s="76">
        <v>416</v>
      </c>
      <c r="B457" s="74" t="s">
        <v>1766</v>
      </c>
      <c r="C457" s="74">
        <v>1066880913</v>
      </c>
      <c r="D457" s="78" t="str">
        <f t="shared" si="15"/>
        <v>https://portal.dnb.de/opac.htm?method=simpleSearch&amp;cqlMode=true&amp;query=idn%3D1066880913</v>
      </c>
      <c r="E457" s="74" t="s">
        <v>1767</v>
      </c>
      <c r="F457" s="74"/>
      <c r="G457" s="76" t="s">
        <v>8515</v>
      </c>
      <c r="H457" s="77" t="s">
        <v>5</v>
      </c>
      <c r="I457" s="76" t="s">
        <v>53</v>
      </c>
      <c r="J457" s="77" t="s">
        <v>8516</v>
      </c>
      <c r="K457" s="77" t="s">
        <v>8520</v>
      </c>
      <c r="L457" s="76"/>
      <c r="M457" s="76" t="s">
        <v>38</v>
      </c>
      <c r="N457" s="76" t="s">
        <v>8695</v>
      </c>
      <c r="O457" s="76">
        <v>0</v>
      </c>
      <c r="P457" s="76"/>
      <c r="Q457" s="76"/>
      <c r="R457" s="76"/>
      <c r="S457" s="76"/>
      <c r="BD457" s="99">
        <f t="shared" si="14"/>
        <v>0</v>
      </c>
      <c r="CC457" s="99"/>
      <c r="CV457" s="99"/>
      <c r="CW457" s="63"/>
    </row>
    <row r="458" spans="1:101" ht="33.75" x14ac:dyDescent="0.15">
      <c r="A458" s="76">
        <v>417</v>
      </c>
      <c r="B458" s="74" t="s">
        <v>1768</v>
      </c>
      <c r="C458" s="74">
        <v>1066753660</v>
      </c>
      <c r="D458" s="78" t="str">
        <f t="shared" si="15"/>
        <v>https://portal.dnb.de/opac.htm?method=simpleSearch&amp;cqlMode=true&amp;query=idn%3D1066753660</v>
      </c>
      <c r="E458" s="74" t="s">
        <v>1769</v>
      </c>
      <c r="F458" s="74"/>
      <c r="G458" s="76" t="s">
        <v>8515</v>
      </c>
      <c r="H458" s="77" t="s">
        <v>8547</v>
      </c>
      <c r="I458" s="76" t="s">
        <v>53</v>
      </c>
      <c r="J458" s="77" t="s">
        <v>89</v>
      </c>
      <c r="K458" s="77" t="s">
        <v>8667</v>
      </c>
      <c r="L458" s="76"/>
      <c r="M458" s="76" t="s">
        <v>37</v>
      </c>
      <c r="N458" s="76" t="s">
        <v>40</v>
      </c>
      <c r="O458" s="76">
        <v>2</v>
      </c>
      <c r="P458" s="76"/>
      <c r="Q458" s="76"/>
      <c r="R458" s="76"/>
      <c r="S458" s="76"/>
      <c r="BD458" s="99">
        <f t="shared" si="14"/>
        <v>0</v>
      </c>
      <c r="CC458" s="99"/>
      <c r="CV458" s="99"/>
      <c r="CW458" s="63"/>
    </row>
    <row r="459" spans="1:101" x14ac:dyDescent="0.15">
      <c r="A459" s="76">
        <v>418</v>
      </c>
      <c r="B459" s="74" t="s">
        <v>1770</v>
      </c>
      <c r="C459" s="74">
        <v>1132656974</v>
      </c>
      <c r="D459" s="78" t="str">
        <f t="shared" si="15"/>
        <v>https://portal.dnb.de/opac.htm?method=simpleSearch&amp;cqlMode=true&amp;query=idn%3D1132656974</v>
      </c>
      <c r="E459" s="74" t="s">
        <v>1771</v>
      </c>
      <c r="F459" s="74"/>
      <c r="G459" s="76"/>
      <c r="H459" s="77"/>
      <c r="I459" s="76"/>
      <c r="J459" s="77"/>
      <c r="K459" s="77"/>
      <c r="L459" s="76"/>
      <c r="M459" s="76"/>
      <c r="N459" s="76"/>
      <c r="O459" s="76"/>
      <c r="P459" s="76"/>
      <c r="Q459" s="76"/>
      <c r="R459" s="76"/>
      <c r="S459" s="76"/>
      <c r="BD459" s="99">
        <f t="shared" si="14"/>
        <v>0</v>
      </c>
      <c r="CC459" s="99"/>
      <c r="CV459" s="99"/>
      <c r="CW459" s="63"/>
    </row>
    <row r="460" spans="1:101" x14ac:dyDescent="0.15">
      <c r="A460" s="76">
        <v>419</v>
      </c>
      <c r="B460" s="74" t="s">
        <v>1772</v>
      </c>
      <c r="C460" s="74">
        <v>1132656982</v>
      </c>
      <c r="D460" s="78" t="str">
        <f t="shared" si="15"/>
        <v>https://portal.dnb.de/opac.htm?method=simpleSearch&amp;cqlMode=true&amp;query=idn%3D1132656982</v>
      </c>
      <c r="E460" s="74" t="s">
        <v>1771</v>
      </c>
      <c r="F460" s="74"/>
      <c r="G460" s="76"/>
      <c r="H460" s="77"/>
      <c r="I460" s="76"/>
      <c r="J460" s="77"/>
      <c r="K460" s="77"/>
      <c r="L460" s="76"/>
      <c r="M460" s="76"/>
      <c r="N460" s="76"/>
      <c r="O460" s="76"/>
      <c r="P460" s="76"/>
      <c r="Q460" s="76"/>
      <c r="R460" s="76"/>
      <c r="S460" s="76"/>
      <c r="BD460" s="99">
        <f t="shared" si="14"/>
        <v>0</v>
      </c>
      <c r="CC460" s="99"/>
      <c r="CV460" s="99"/>
      <c r="CW460" s="63"/>
    </row>
    <row r="461" spans="1:101" x14ac:dyDescent="0.15">
      <c r="A461" s="76">
        <v>420</v>
      </c>
      <c r="B461" s="74" t="s">
        <v>1777</v>
      </c>
      <c r="C461" s="74">
        <v>1066942196</v>
      </c>
      <c r="D461" s="78" t="str">
        <f t="shared" si="15"/>
        <v>https://portal.dnb.de/opac.htm?method=simpleSearch&amp;cqlMode=true&amp;query=idn%3D1066942196</v>
      </c>
      <c r="E461" s="74" t="s">
        <v>1778</v>
      </c>
      <c r="F461" s="74"/>
      <c r="G461" s="76" t="s">
        <v>8515</v>
      </c>
      <c r="H461" s="77" t="s">
        <v>5</v>
      </c>
      <c r="I461" s="76" t="s">
        <v>54</v>
      </c>
      <c r="J461" s="77" t="s">
        <v>8516</v>
      </c>
      <c r="K461" s="77" t="s">
        <v>84</v>
      </c>
      <c r="L461" s="76"/>
      <c r="M461" s="76"/>
      <c r="N461" s="76" t="s">
        <v>8660</v>
      </c>
      <c r="O461" s="76">
        <v>1</v>
      </c>
      <c r="P461" s="76"/>
      <c r="Q461" s="76"/>
      <c r="R461" s="76"/>
      <c r="S461" s="76"/>
      <c r="Y461" s="95" t="s">
        <v>9723</v>
      </c>
      <c r="AC461" s="95" t="s">
        <v>9739</v>
      </c>
      <c r="AI461" s="95" t="s">
        <v>9725</v>
      </c>
      <c r="AW461" s="95">
        <v>60</v>
      </c>
      <c r="BC461" s="96" t="s">
        <v>9734</v>
      </c>
      <c r="BD461" s="99">
        <f t="shared" si="14"/>
        <v>0</v>
      </c>
      <c r="CC461" s="99"/>
      <c r="CV461" s="99"/>
      <c r="CW461" s="63"/>
    </row>
    <row r="462" spans="1:101" x14ac:dyDescent="0.15">
      <c r="A462" s="76">
        <v>421</v>
      </c>
      <c r="B462" s="74" t="s">
        <v>1688</v>
      </c>
      <c r="C462" s="74">
        <v>999760548</v>
      </c>
      <c r="D462" s="78" t="str">
        <f t="shared" si="15"/>
        <v>https://portal.dnb.de/opac.htm?method=simpleSearch&amp;cqlMode=true&amp;query=idn%3D999760548</v>
      </c>
      <c r="E462" s="74" t="s">
        <v>1689</v>
      </c>
      <c r="F462" s="74"/>
      <c r="G462" s="76"/>
      <c r="H462" s="77" t="s">
        <v>49</v>
      </c>
      <c r="I462" s="76" t="s">
        <v>54</v>
      </c>
      <c r="J462" s="77" t="s">
        <v>8516</v>
      </c>
      <c r="K462" s="77" t="s">
        <v>84</v>
      </c>
      <c r="L462" s="76"/>
      <c r="M462" s="76"/>
      <c r="N462" s="76"/>
      <c r="O462" s="76">
        <v>0</v>
      </c>
      <c r="P462" s="76"/>
      <c r="Q462" s="76"/>
      <c r="R462" s="76"/>
      <c r="S462" s="76"/>
      <c r="BD462" s="99">
        <f t="shared" si="14"/>
        <v>0</v>
      </c>
      <c r="CC462" s="99"/>
      <c r="CV462" s="99"/>
      <c r="CW462" s="63"/>
    </row>
    <row r="463" spans="1:101" ht="22.5" x14ac:dyDescent="0.15">
      <c r="A463" s="76">
        <v>422</v>
      </c>
      <c r="B463" s="74" t="s">
        <v>1690</v>
      </c>
      <c r="C463" s="74">
        <v>998089060</v>
      </c>
      <c r="D463" s="78" t="str">
        <f t="shared" si="15"/>
        <v>https://portal.dnb.de/opac.htm?method=simpleSearch&amp;cqlMode=true&amp;query=idn%3D998089060</v>
      </c>
      <c r="E463" s="74" t="s">
        <v>1691</v>
      </c>
      <c r="F463" s="74"/>
      <c r="G463" s="76"/>
      <c r="H463" s="77" t="s">
        <v>18</v>
      </c>
      <c r="I463" s="76" t="s">
        <v>53</v>
      </c>
      <c r="J463" s="77" t="s">
        <v>8516</v>
      </c>
      <c r="K463" s="77" t="s">
        <v>84</v>
      </c>
      <c r="L463" s="76"/>
      <c r="M463" s="76"/>
      <c r="N463" s="76"/>
      <c r="O463" s="76">
        <v>0</v>
      </c>
      <c r="P463" s="76"/>
      <c r="Q463" s="76"/>
      <c r="R463" s="76"/>
      <c r="S463" s="76"/>
      <c r="BD463" s="99">
        <f t="shared" si="14"/>
        <v>0</v>
      </c>
      <c r="CC463" s="99"/>
      <c r="CV463" s="99"/>
      <c r="CW463" s="63"/>
    </row>
    <row r="464" spans="1:101" x14ac:dyDescent="0.15">
      <c r="A464" s="76">
        <v>423</v>
      </c>
      <c r="B464" s="74" t="s">
        <v>1692</v>
      </c>
      <c r="C464" s="74">
        <v>998088811</v>
      </c>
      <c r="D464" s="78" t="str">
        <f t="shared" si="15"/>
        <v>https://portal.dnb.de/opac.htm?method=simpleSearch&amp;cqlMode=true&amp;query=idn%3D998088811</v>
      </c>
      <c r="E464" s="74" t="s">
        <v>1693</v>
      </c>
      <c r="F464" s="74"/>
      <c r="G464" s="76"/>
      <c r="H464" s="77" t="s">
        <v>5</v>
      </c>
      <c r="I464" s="76" t="s">
        <v>55</v>
      </c>
      <c r="J464" s="77" t="s">
        <v>58</v>
      </c>
      <c r="K464" s="77" t="s">
        <v>84</v>
      </c>
      <c r="L464" s="76"/>
      <c r="M464" s="76" t="s">
        <v>38</v>
      </c>
      <c r="N464" s="76" t="s">
        <v>40</v>
      </c>
      <c r="O464" s="76">
        <v>1</v>
      </c>
      <c r="P464" s="76"/>
      <c r="Q464" s="76"/>
      <c r="R464" s="76"/>
      <c r="S464" s="76"/>
      <c r="BD464" s="99">
        <f t="shared" si="14"/>
        <v>0</v>
      </c>
      <c r="CC464" s="99"/>
      <c r="CV464" s="99"/>
      <c r="CW464" s="63"/>
    </row>
    <row r="465" spans="1:101" ht="22.5" x14ac:dyDescent="0.15">
      <c r="A465" s="76">
        <v>424</v>
      </c>
      <c r="B465" s="74" t="s">
        <v>1696</v>
      </c>
      <c r="C465" s="74" t="s">
        <v>1697</v>
      </c>
      <c r="D465" s="78" t="str">
        <f t="shared" si="15"/>
        <v>https://portal.dnb.de/opac.htm?method=simpleSearch&amp;cqlMode=true&amp;query=idn%3D99495199X</v>
      </c>
      <c r="E465" s="74" t="s">
        <v>1698</v>
      </c>
      <c r="F465" s="74"/>
      <c r="G465" s="76"/>
      <c r="H465" s="77" t="s">
        <v>8710</v>
      </c>
      <c r="I465" s="76" t="s">
        <v>53</v>
      </c>
      <c r="J465" s="77" t="s">
        <v>8516</v>
      </c>
      <c r="K465" s="77"/>
      <c r="L465" s="76"/>
      <c r="M465" s="76"/>
      <c r="N465" s="76"/>
      <c r="O465" s="76"/>
      <c r="P465" s="76"/>
      <c r="Q465" s="76"/>
      <c r="R465" s="76"/>
      <c r="S465" s="76"/>
      <c r="BD465" s="99">
        <f t="shared" si="14"/>
        <v>0</v>
      </c>
      <c r="CC465" s="99"/>
      <c r="CV465" s="99"/>
      <c r="CW465" s="63"/>
    </row>
    <row r="466" spans="1:101" ht="22.5" x14ac:dyDescent="0.15">
      <c r="A466" s="76">
        <v>425</v>
      </c>
      <c r="B466" s="74" t="s">
        <v>1699</v>
      </c>
      <c r="C466" s="74">
        <v>1001960890</v>
      </c>
      <c r="D466" s="78" t="str">
        <f t="shared" si="15"/>
        <v>https://portal.dnb.de/opac.htm?method=simpleSearch&amp;cqlMode=true&amp;query=idn%3D1001960890</v>
      </c>
      <c r="E466" s="74" t="s">
        <v>1700</v>
      </c>
      <c r="F466" s="74"/>
      <c r="G466" s="76"/>
      <c r="H466" s="77" t="s">
        <v>8547</v>
      </c>
      <c r="I466" s="76" t="s">
        <v>53</v>
      </c>
      <c r="J466" s="77" t="s">
        <v>8516</v>
      </c>
      <c r="K466" s="77"/>
      <c r="L466" s="76"/>
      <c r="M466" s="76" t="s">
        <v>37</v>
      </c>
      <c r="N466" s="76" t="s">
        <v>8695</v>
      </c>
      <c r="O466" s="76">
        <v>0</v>
      </c>
      <c r="P466" s="76"/>
      <c r="Q466" s="76"/>
      <c r="R466" s="76"/>
      <c r="S466" s="76"/>
      <c r="BD466" s="99">
        <f t="shared" si="14"/>
        <v>0</v>
      </c>
      <c r="CC466" s="99"/>
      <c r="CV466" s="99"/>
      <c r="CW466" s="63"/>
    </row>
    <row r="467" spans="1:101" ht="22.5" x14ac:dyDescent="0.15">
      <c r="A467" s="76">
        <v>426</v>
      </c>
      <c r="B467" s="74" t="s">
        <v>1701</v>
      </c>
      <c r="C467" s="74">
        <v>999937820</v>
      </c>
      <c r="D467" s="78" t="str">
        <f t="shared" si="15"/>
        <v>https://portal.dnb.de/opac.htm?method=simpleSearch&amp;cqlMode=true&amp;query=idn%3D999937820</v>
      </c>
      <c r="E467" s="74" t="s">
        <v>1702</v>
      </c>
      <c r="F467" s="74"/>
      <c r="G467" s="76"/>
      <c r="H467" s="77" t="s">
        <v>4</v>
      </c>
      <c r="I467" s="76" t="s">
        <v>54</v>
      </c>
      <c r="J467" s="77" t="s">
        <v>58</v>
      </c>
      <c r="K467" s="77" t="s">
        <v>8688</v>
      </c>
      <c r="L467" s="76"/>
      <c r="M467" s="76"/>
      <c r="N467" s="76"/>
      <c r="O467" s="76">
        <v>0</v>
      </c>
      <c r="P467" s="76"/>
      <c r="Q467" s="76"/>
      <c r="R467" s="76"/>
      <c r="S467" s="76"/>
      <c r="BD467" s="99">
        <f t="shared" si="14"/>
        <v>0</v>
      </c>
      <c r="CC467" s="99"/>
      <c r="CV467" s="99"/>
      <c r="CW467" s="63"/>
    </row>
    <row r="468" spans="1:101" x14ac:dyDescent="0.15">
      <c r="A468" s="76">
        <v>427</v>
      </c>
      <c r="B468" s="74" t="s">
        <v>1703</v>
      </c>
      <c r="C468" s="74">
        <v>998840610</v>
      </c>
      <c r="D468" s="78" t="str">
        <f t="shared" si="15"/>
        <v>https://portal.dnb.de/opac.htm?method=simpleSearch&amp;cqlMode=true&amp;query=idn%3D998840610</v>
      </c>
      <c r="E468" s="74" t="s">
        <v>1704</v>
      </c>
      <c r="F468" s="74"/>
      <c r="G468" s="76" t="s">
        <v>8515</v>
      </c>
      <c r="H468" s="77" t="s">
        <v>5</v>
      </c>
      <c r="I468" s="76" t="s">
        <v>54</v>
      </c>
      <c r="J468" s="77" t="s">
        <v>8516</v>
      </c>
      <c r="K468" s="77"/>
      <c r="L468" s="76"/>
      <c r="M468" s="76" t="s">
        <v>38</v>
      </c>
      <c r="N468" s="76" t="s">
        <v>40</v>
      </c>
      <c r="O468" s="76">
        <v>0</v>
      </c>
      <c r="P468" s="76"/>
      <c r="Q468" s="76"/>
      <c r="R468" s="76"/>
      <c r="S468" s="76"/>
      <c r="BD468" s="99">
        <f t="shared" si="14"/>
        <v>0</v>
      </c>
      <c r="CC468" s="99"/>
      <c r="CV468" s="99"/>
      <c r="CW468" s="63"/>
    </row>
    <row r="469" spans="1:101" x14ac:dyDescent="0.15">
      <c r="A469" s="76">
        <v>428</v>
      </c>
      <c r="B469" s="74" t="s">
        <v>1705</v>
      </c>
      <c r="C469" s="74">
        <v>993921515</v>
      </c>
      <c r="D469" s="78" t="str">
        <f t="shared" si="15"/>
        <v>https://portal.dnb.de/opac.htm?method=simpleSearch&amp;cqlMode=true&amp;query=idn%3D993921515</v>
      </c>
      <c r="E469" s="74" t="s">
        <v>1706</v>
      </c>
      <c r="F469" s="74"/>
      <c r="G469" s="76"/>
      <c r="H469" s="77" t="s">
        <v>49</v>
      </c>
      <c r="I469" s="76" t="s">
        <v>53</v>
      </c>
      <c r="J469" s="77" t="s">
        <v>8516</v>
      </c>
      <c r="K469" s="77" t="s">
        <v>84</v>
      </c>
      <c r="L469" s="76"/>
      <c r="M469" s="76"/>
      <c r="N469" s="76"/>
      <c r="O469" s="76">
        <v>0</v>
      </c>
      <c r="P469" s="76"/>
      <c r="Q469" s="76"/>
      <c r="R469" s="76"/>
      <c r="S469" s="76"/>
      <c r="BD469" s="99">
        <f t="shared" si="14"/>
        <v>0</v>
      </c>
      <c r="CC469" s="99"/>
      <c r="CV469" s="99"/>
      <c r="CW469" s="63"/>
    </row>
    <row r="470" spans="1:101" x14ac:dyDescent="0.15">
      <c r="A470" s="76">
        <v>429</v>
      </c>
      <c r="B470" s="74" t="s">
        <v>1707</v>
      </c>
      <c r="C470" s="74">
        <v>1132655005</v>
      </c>
      <c r="D470" s="78" t="str">
        <f t="shared" si="15"/>
        <v>https://portal.dnb.de/opac.htm?method=simpleSearch&amp;cqlMode=true&amp;query=idn%3D1132655005</v>
      </c>
      <c r="E470" s="74" t="s">
        <v>9626</v>
      </c>
      <c r="F470" s="74"/>
      <c r="G470" s="76"/>
      <c r="H470" s="77" t="s">
        <v>48</v>
      </c>
      <c r="I470" s="76" t="s">
        <v>55</v>
      </c>
      <c r="J470" s="77" t="s">
        <v>58</v>
      </c>
      <c r="K470" s="77" t="s">
        <v>8785</v>
      </c>
      <c r="L470" s="76"/>
      <c r="M470" s="76"/>
      <c r="N470" s="76"/>
      <c r="O470" s="76">
        <v>1</v>
      </c>
      <c r="P470" s="76"/>
      <c r="Q470" s="76"/>
      <c r="R470" s="76"/>
      <c r="S470" s="76"/>
      <c r="BD470" s="99">
        <f t="shared" si="14"/>
        <v>0</v>
      </c>
      <c r="CC470" s="99"/>
      <c r="CV470" s="99"/>
      <c r="CW470" s="63"/>
    </row>
    <row r="471" spans="1:101" x14ac:dyDescent="0.15">
      <c r="A471" s="76">
        <v>430</v>
      </c>
      <c r="B471" s="74" t="s">
        <v>1708</v>
      </c>
      <c r="C471" s="74">
        <v>1132655021</v>
      </c>
      <c r="D471" s="78" t="str">
        <f t="shared" si="15"/>
        <v>https://portal.dnb.de/opac.htm?method=simpleSearch&amp;cqlMode=true&amp;query=idn%3D1132655021</v>
      </c>
      <c r="E471" s="74" t="s">
        <v>9627</v>
      </c>
      <c r="F471" s="74"/>
      <c r="G471" s="76"/>
      <c r="H471" s="77" t="s">
        <v>48</v>
      </c>
      <c r="I471" s="76" t="s">
        <v>55</v>
      </c>
      <c r="J471" s="77" t="s">
        <v>8516</v>
      </c>
      <c r="K471" s="77" t="s">
        <v>84</v>
      </c>
      <c r="L471" s="76"/>
      <c r="M471" s="76"/>
      <c r="N471" s="76"/>
      <c r="O471" s="76">
        <v>1</v>
      </c>
      <c r="P471" s="76"/>
      <c r="Q471" s="76"/>
      <c r="R471" s="76"/>
      <c r="S471" s="76"/>
      <c r="BD471" s="99">
        <f t="shared" si="14"/>
        <v>0</v>
      </c>
      <c r="CC471" s="99"/>
      <c r="CV471" s="99"/>
      <c r="CW471" s="63"/>
    </row>
    <row r="472" spans="1:101" x14ac:dyDescent="0.15">
      <c r="A472" s="76">
        <v>431</v>
      </c>
      <c r="B472" s="74" t="s">
        <v>1709</v>
      </c>
      <c r="C472" s="74">
        <v>1132654998</v>
      </c>
      <c r="D472" s="78" t="str">
        <f t="shared" si="15"/>
        <v>https://portal.dnb.de/opac.htm?method=simpleSearch&amp;cqlMode=true&amp;query=idn%3D1132654998</v>
      </c>
      <c r="E472" s="74" t="s">
        <v>9628</v>
      </c>
      <c r="F472" s="74"/>
      <c r="G472" s="76"/>
      <c r="H472" s="77" t="s">
        <v>48</v>
      </c>
      <c r="I472" s="76" t="s">
        <v>55</v>
      </c>
      <c r="J472" s="77" t="s">
        <v>58</v>
      </c>
      <c r="K472" s="77" t="s">
        <v>84</v>
      </c>
      <c r="L472" s="76"/>
      <c r="M472" s="76"/>
      <c r="N472" s="76"/>
      <c r="O472" s="76">
        <v>1</v>
      </c>
      <c r="P472" s="76"/>
      <c r="Q472" s="76"/>
      <c r="R472" s="76"/>
      <c r="S472" s="76"/>
      <c r="BD472" s="99">
        <f t="shared" si="14"/>
        <v>0</v>
      </c>
      <c r="CC472" s="99"/>
      <c r="CV472" s="99"/>
      <c r="CW472" s="63"/>
    </row>
    <row r="473" spans="1:101" x14ac:dyDescent="0.15">
      <c r="A473" s="76">
        <v>432</v>
      </c>
      <c r="B473" s="74" t="s">
        <v>1710</v>
      </c>
      <c r="C473" s="74">
        <v>1132655013</v>
      </c>
      <c r="D473" s="78" t="str">
        <f t="shared" si="15"/>
        <v>https://portal.dnb.de/opac.htm?method=simpleSearch&amp;cqlMode=true&amp;query=idn%3D1132655013</v>
      </c>
      <c r="E473" s="74" t="s">
        <v>9629</v>
      </c>
      <c r="F473" s="74"/>
      <c r="G473" s="76"/>
      <c r="H473" s="77" t="s">
        <v>48</v>
      </c>
      <c r="I473" s="76" t="s">
        <v>55</v>
      </c>
      <c r="J473" s="77" t="s">
        <v>8516</v>
      </c>
      <c r="K473" s="77" t="s">
        <v>8785</v>
      </c>
      <c r="L473" s="76"/>
      <c r="M473" s="76"/>
      <c r="N473" s="76"/>
      <c r="O473" s="76">
        <v>0</v>
      </c>
      <c r="P473" s="76"/>
      <c r="Q473" s="76"/>
      <c r="R473" s="76"/>
      <c r="S473" s="76"/>
      <c r="BD473" s="99">
        <f t="shared" si="14"/>
        <v>0</v>
      </c>
      <c r="CC473" s="99"/>
      <c r="CV473" s="99"/>
      <c r="CW473" s="63"/>
    </row>
    <row r="474" spans="1:101" ht="22.5" x14ac:dyDescent="0.15">
      <c r="A474" s="76">
        <v>433</v>
      </c>
      <c r="B474" s="74" t="s">
        <v>1711</v>
      </c>
      <c r="C474" s="74">
        <v>994417616</v>
      </c>
      <c r="D474" s="78" t="str">
        <f t="shared" si="15"/>
        <v>https://portal.dnb.de/opac.htm?method=simpleSearch&amp;cqlMode=true&amp;query=idn%3D994417616</v>
      </c>
      <c r="E474" s="74" t="s">
        <v>1712</v>
      </c>
      <c r="F474" s="74"/>
      <c r="G474" s="76"/>
      <c r="H474" s="77" t="s">
        <v>4</v>
      </c>
      <c r="I474" s="76" t="s">
        <v>53</v>
      </c>
      <c r="J474" s="77" t="s">
        <v>89</v>
      </c>
      <c r="K474" s="77" t="s">
        <v>8552</v>
      </c>
      <c r="L474" s="76"/>
      <c r="M474" s="76"/>
      <c r="N474" s="76" t="s">
        <v>8660</v>
      </c>
      <c r="O474" s="76">
        <v>0</v>
      </c>
      <c r="P474" s="76"/>
      <c r="Q474" s="76"/>
      <c r="R474" s="76"/>
      <c r="S474" s="76"/>
      <c r="BD474" s="99">
        <f t="shared" si="14"/>
        <v>0</v>
      </c>
      <c r="CC474" s="99"/>
      <c r="CV474" s="99"/>
      <c r="CW474" s="63"/>
    </row>
    <row r="475" spans="1:101" ht="22.5" x14ac:dyDescent="0.15">
      <c r="A475" s="76">
        <v>434</v>
      </c>
      <c r="B475" s="74" t="s">
        <v>1718</v>
      </c>
      <c r="C475" s="74">
        <v>15224104</v>
      </c>
      <c r="D475" s="78" t="str">
        <f t="shared" si="15"/>
        <v>https://portal.dnb.de/opac.htm?method=simpleSearch&amp;cqlMode=true&amp;query=idn%3D15224104</v>
      </c>
      <c r="E475" s="74" t="s">
        <v>1719</v>
      </c>
      <c r="F475" s="74"/>
      <c r="G475" s="76"/>
      <c r="H475" s="77" t="s">
        <v>18</v>
      </c>
      <c r="I475" s="76" t="s">
        <v>53</v>
      </c>
      <c r="J475" s="77" t="s">
        <v>8516</v>
      </c>
      <c r="K475" s="77" t="s">
        <v>84</v>
      </c>
      <c r="L475" s="76"/>
      <c r="M475" s="76" t="s">
        <v>38</v>
      </c>
      <c r="N475" s="76"/>
      <c r="O475" s="76">
        <v>0</v>
      </c>
      <c r="P475" s="76"/>
      <c r="Q475" s="76"/>
      <c r="R475" s="76"/>
      <c r="S475" s="76"/>
      <c r="BD475" s="99">
        <f t="shared" si="14"/>
        <v>0</v>
      </c>
      <c r="CC475" s="99"/>
      <c r="CV475" s="99"/>
      <c r="CW475" s="63"/>
    </row>
    <row r="476" spans="1:101" ht="22.5" x14ac:dyDescent="0.15">
      <c r="A476" s="76">
        <v>435</v>
      </c>
      <c r="B476" s="74" t="s">
        <v>1720</v>
      </c>
      <c r="C476" s="74">
        <v>1001482859</v>
      </c>
      <c r="D476" s="78" t="str">
        <f t="shared" si="15"/>
        <v>https://portal.dnb.de/opac.htm?method=simpleSearch&amp;cqlMode=true&amp;query=idn%3D1001482859</v>
      </c>
      <c r="E476" s="74" t="s">
        <v>1721</v>
      </c>
      <c r="F476" s="74"/>
      <c r="G476" s="76"/>
      <c r="H476" s="77" t="s">
        <v>48</v>
      </c>
      <c r="I476" s="76" t="s">
        <v>53</v>
      </c>
      <c r="J476" s="77" t="s">
        <v>89</v>
      </c>
      <c r="K476" s="77" t="s">
        <v>8552</v>
      </c>
      <c r="L476" s="76"/>
      <c r="M476" s="76" t="s">
        <v>38</v>
      </c>
      <c r="N476" s="76" t="s">
        <v>40</v>
      </c>
      <c r="O476" s="76">
        <v>0</v>
      </c>
      <c r="P476" s="76"/>
      <c r="Q476" s="76"/>
      <c r="R476" s="76"/>
      <c r="S476" s="76"/>
      <c r="BD476" s="99">
        <f t="shared" si="14"/>
        <v>0</v>
      </c>
      <c r="CC476" s="99"/>
      <c r="CV476" s="99"/>
      <c r="CW476" s="63"/>
    </row>
    <row r="477" spans="1:101" x14ac:dyDescent="0.15">
      <c r="A477" s="76">
        <v>436</v>
      </c>
      <c r="B477" s="74" t="s">
        <v>1722</v>
      </c>
      <c r="C477" s="74">
        <v>1001441737</v>
      </c>
      <c r="D477" s="78" t="str">
        <f t="shared" si="15"/>
        <v>https://portal.dnb.de/opac.htm?method=simpleSearch&amp;cqlMode=true&amp;query=idn%3D1001441737</v>
      </c>
      <c r="E477" s="74" t="s">
        <v>1721</v>
      </c>
      <c r="F477" s="74"/>
      <c r="G477" s="76"/>
      <c r="H477" s="77"/>
      <c r="I477" s="76"/>
      <c r="J477" s="77"/>
      <c r="K477" s="77"/>
      <c r="L477" s="76"/>
      <c r="M477" s="76"/>
      <c r="N477" s="76"/>
      <c r="O477" s="76"/>
      <c r="P477" s="76"/>
      <c r="Q477" s="76"/>
      <c r="R477" s="76"/>
      <c r="S477" s="76"/>
      <c r="BD477" s="99">
        <f t="shared" si="14"/>
        <v>0</v>
      </c>
      <c r="CC477" s="99"/>
      <c r="CV477" s="99"/>
      <c r="CW477" s="63"/>
    </row>
    <row r="478" spans="1:101" x14ac:dyDescent="0.15">
      <c r="A478" s="76">
        <v>437</v>
      </c>
      <c r="B478" s="74" t="s">
        <v>1723</v>
      </c>
      <c r="C478" s="74">
        <v>1001776631</v>
      </c>
      <c r="D478" s="78" t="str">
        <f t="shared" si="15"/>
        <v>https://portal.dnb.de/opac.htm?method=simpleSearch&amp;cqlMode=true&amp;query=idn%3D1001776631</v>
      </c>
      <c r="E478" s="74" t="s">
        <v>1721</v>
      </c>
      <c r="F478" s="74"/>
      <c r="G478" s="76"/>
      <c r="H478" s="77"/>
      <c r="I478" s="76"/>
      <c r="J478" s="77"/>
      <c r="K478" s="77"/>
      <c r="L478" s="76"/>
      <c r="M478" s="76"/>
      <c r="N478" s="76"/>
      <c r="O478" s="76"/>
      <c r="P478" s="76"/>
      <c r="Q478" s="76"/>
      <c r="R478" s="76"/>
      <c r="S478" s="76"/>
      <c r="BD478" s="99">
        <f t="shared" si="14"/>
        <v>0</v>
      </c>
      <c r="CC478" s="99"/>
      <c r="CV478" s="99"/>
      <c r="CW478" s="63"/>
    </row>
    <row r="479" spans="1:101" x14ac:dyDescent="0.15">
      <c r="A479" s="76">
        <v>438</v>
      </c>
      <c r="B479" s="74" t="s">
        <v>1724</v>
      </c>
      <c r="C479" s="74">
        <v>1000193292</v>
      </c>
      <c r="D479" s="78" t="str">
        <f t="shared" si="15"/>
        <v>https://portal.dnb.de/opac.htm?method=simpleSearch&amp;cqlMode=true&amp;query=idn%3D1000193292</v>
      </c>
      <c r="E479" s="74" t="s">
        <v>1725</v>
      </c>
      <c r="F479" s="74"/>
      <c r="G479" s="76"/>
      <c r="H479" s="77" t="s">
        <v>4</v>
      </c>
      <c r="I479" s="76" t="s">
        <v>53</v>
      </c>
      <c r="J479" s="77" t="s">
        <v>8516</v>
      </c>
      <c r="K479" s="77" t="s">
        <v>84</v>
      </c>
      <c r="L479" s="76"/>
      <c r="M479" s="76"/>
      <c r="N479" s="76" t="s">
        <v>8660</v>
      </c>
      <c r="O479" s="76">
        <v>0</v>
      </c>
      <c r="P479" s="76"/>
      <c r="Q479" s="76"/>
      <c r="R479" s="76"/>
      <c r="S479" s="76"/>
      <c r="BD479" s="99">
        <f t="shared" si="14"/>
        <v>0</v>
      </c>
      <c r="CC479" s="99"/>
      <c r="CV479" s="99"/>
      <c r="CW479" s="63"/>
    </row>
    <row r="480" spans="1:101" x14ac:dyDescent="0.15">
      <c r="A480" s="76">
        <v>439</v>
      </c>
      <c r="B480" s="74" t="s">
        <v>1726</v>
      </c>
      <c r="C480" s="74">
        <v>994090064</v>
      </c>
      <c r="D480" s="78" t="str">
        <f t="shared" si="15"/>
        <v>https://portal.dnb.de/opac.htm?method=simpleSearch&amp;cqlMode=true&amp;query=idn%3D994090064</v>
      </c>
      <c r="E480" s="74" t="s">
        <v>1727</v>
      </c>
      <c r="F480" s="74"/>
      <c r="G480" s="76"/>
      <c r="H480" s="77" t="s">
        <v>48</v>
      </c>
      <c r="I480" s="76" t="s">
        <v>54</v>
      </c>
      <c r="J480" s="77" t="s">
        <v>58</v>
      </c>
      <c r="K480" s="77" t="s">
        <v>84</v>
      </c>
      <c r="L480" s="76"/>
      <c r="M480" s="76"/>
      <c r="N480" s="76" t="s">
        <v>8660</v>
      </c>
      <c r="O480" s="76">
        <v>0</v>
      </c>
      <c r="P480" s="76"/>
      <c r="Q480" s="76"/>
      <c r="R480" s="76"/>
      <c r="S480" s="76"/>
      <c r="BD480" s="99">
        <f t="shared" si="14"/>
        <v>0</v>
      </c>
      <c r="CC480" s="99"/>
      <c r="CV480" s="99"/>
      <c r="CW480" s="63"/>
    </row>
    <row r="481" spans="1:101" x14ac:dyDescent="0.15">
      <c r="A481" s="76">
        <v>440</v>
      </c>
      <c r="B481" s="74" t="s">
        <v>1728</v>
      </c>
      <c r="C481" s="74">
        <v>994097514</v>
      </c>
      <c r="D481" s="78" t="str">
        <f t="shared" si="15"/>
        <v>https://portal.dnb.de/opac.htm?method=simpleSearch&amp;cqlMode=true&amp;query=idn%3D994097514</v>
      </c>
      <c r="E481" s="74" t="s">
        <v>10030</v>
      </c>
      <c r="F481" s="74"/>
      <c r="G481" s="76"/>
      <c r="H481" s="77"/>
      <c r="I481" s="76"/>
      <c r="J481" s="77"/>
      <c r="K481" s="77"/>
      <c r="L481" s="76"/>
      <c r="M481" s="76"/>
      <c r="N481" s="76"/>
      <c r="O481" s="76"/>
      <c r="P481" s="76"/>
      <c r="Q481" s="76"/>
      <c r="R481" s="76"/>
      <c r="S481" s="76"/>
      <c r="BD481" s="99">
        <f t="shared" si="14"/>
        <v>0</v>
      </c>
      <c r="CC481" s="99"/>
      <c r="CV481" s="99"/>
      <c r="CW481" s="63"/>
    </row>
    <row r="482" spans="1:101" x14ac:dyDescent="0.15">
      <c r="A482" s="76">
        <v>441</v>
      </c>
      <c r="B482" s="74" t="s">
        <v>1729</v>
      </c>
      <c r="C482" s="74">
        <v>994097433</v>
      </c>
      <c r="D482" s="78" t="str">
        <f t="shared" si="15"/>
        <v>https://portal.dnb.de/opac.htm?method=simpleSearch&amp;cqlMode=true&amp;query=idn%3D994097433</v>
      </c>
      <c r="E482" s="74" t="s">
        <v>10030</v>
      </c>
      <c r="F482" s="74"/>
      <c r="G482" s="76"/>
      <c r="H482" s="77"/>
      <c r="I482" s="76"/>
      <c r="J482" s="77"/>
      <c r="K482" s="77"/>
      <c r="L482" s="76"/>
      <c r="M482" s="76"/>
      <c r="N482" s="76"/>
      <c r="O482" s="76"/>
      <c r="P482" s="76"/>
      <c r="Q482" s="76"/>
      <c r="R482" s="76"/>
      <c r="S482" s="76"/>
      <c r="BD482" s="99">
        <f t="shared" si="14"/>
        <v>0</v>
      </c>
      <c r="CC482" s="99"/>
      <c r="CV482" s="99"/>
      <c r="CW482" s="63"/>
    </row>
    <row r="483" spans="1:101" x14ac:dyDescent="0.15">
      <c r="A483" s="76">
        <v>442</v>
      </c>
      <c r="B483" s="74" t="s">
        <v>1730</v>
      </c>
      <c r="C483" s="74">
        <v>994098146</v>
      </c>
      <c r="D483" s="78" t="str">
        <f t="shared" si="15"/>
        <v>https://portal.dnb.de/opac.htm?method=simpleSearch&amp;cqlMode=true&amp;query=idn%3D994098146</v>
      </c>
      <c r="E483" s="74" t="s">
        <v>10030</v>
      </c>
      <c r="F483" s="74"/>
      <c r="G483" s="76"/>
      <c r="H483" s="77"/>
      <c r="I483" s="76"/>
      <c r="J483" s="77"/>
      <c r="K483" s="77"/>
      <c r="L483" s="76"/>
      <c r="M483" s="76"/>
      <c r="N483" s="76"/>
      <c r="O483" s="76"/>
      <c r="P483" s="76"/>
      <c r="Q483" s="76"/>
      <c r="R483" s="76"/>
      <c r="S483" s="76"/>
      <c r="BD483" s="99">
        <f t="shared" si="14"/>
        <v>0</v>
      </c>
      <c r="CC483" s="99"/>
      <c r="CV483" s="99"/>
      <c r="CW483" s="63"/>
    </row>
    <row r="484" spans="1:101" x14ac:dyDescent="0.15">
      <c r="A484" s="76">
        <v>443</v>
      </c>
      <c r="B484" s="74" t="s">
        <v>1731</v>
      </c>
      <c r="C484" s="74">
        <v>994097204</v>
      </c>
      <c r="D484" s="78" t="str">
        <f t="shared" si="15"/>
        <v>https://portal.dnb.de/opac.htm?method=simpleSearch&amp;cqlMode=true&amp;query=idn%3D994097204</v>
      </c>
      <c r="E484" s="74" t="s">
        <v>10030</v>
      </c>
      <c r="F484" s="74"/>
      <c r="G484" s="76"/>
      <c r="H484" s="77"/>
      <c r="I484" s="76"/>
      <c r="J484" s="77"/>
      <c r="K484" s="77"/>
      <c r="L484" s="76"/>
      <c r="M484" s="76"/>
      <c r="N484" s="76"/>
      <c r="O484" s="76"/>
      <c r="P484" s="76"/>
      <c r="Q484" s="76"/>
      <c r="R484" s="76"/>
      <c r="S484" s="76"/>
      <c r="BD484" s="99">
        <f t="shared" si="14"/>
        <v>0</v>
      </c>
      <c r="CC484" s="99"/>
      <c r="CV484" s="99"/>
      <c r="CW484" s="63"/>
    </row>
    <row r="485" spans="1:101" x14ac:dyDescent="0.15">
      <c r="A485" s="76">
        <v>444</v>
      </c>
      <c r="B485" s="74" t="s">
        <v>1732</v>
      </c>
      <c r="C485" s="74">
        <v>994097328</v>
      </c>
      <c r="D485" s="78" t="str">
        <f t="shared" si="15"/>
        <v>https://portal.dnb.de/opac.htm?method=simpleSearch&amp;cqlMode=true&amp;query=idn%3D994097328</v>
      </c>
      <c r="E485" s="74" t="s">
        <v>10030</v>
      </c>
      <c r="F485" s="74"/>
      <c r="G485" s="76"/>
      <c r="H485" s="77"/>
      <c r="I485" s="76"/>
      <c r="J485" s="77"/>
      <c r="K485" s="77"/>
      <c r="L485" s="76"/>
      <c r="M485" s="76"/>
      <c r="N485" s="76"/>
      <c r="O485" s="76"/>
      <c r="P485" s="76"/>
      <c r="Q485" s="76"/>
      <c r="R485" s="76"/>
      <c r="S485" s="76"/>
      <c r="BD485" s="99">
        <f t="shared" si="14"/>
        <v>0</v>
      </c>
      <c r="CC485" s="99"/>
      <c r="CV485" s="99"/>
      <c r="CW485" s="63"/>
    </row>
    <row r="486" spans="1:101" ht="22.5" x14ac:dyDescent="0.15">
      <c r="A486" s="76">
        <v>445</v>
      </c>
      <c r="B486" s="74" t="s">
        <v>1733</v>
      </c>
      <c r="C486" s="74">
        <v>994096925</v>
      </c>
      <c r="D486" s="78" t="str">
        <f t="shared" si="15"/>
        <v>https://portal.dnb.de/opac.htm?method=simpleSearch&amp;cqlMode=true&amp;query=idn%3D994096925</v>
      </c>
      <c r="E486" s="74" t="s">
        <v>8696</v>
      </c>
      <c r="F486" s="74"/>
      <c r="G486" s="76"/>
      <c r="H486" s="77" t="s">
        <v>18</v>
      </c>
      <c r="I486" s="76" t="s">
        <v>54</v>
      </c>
      <c r="J486" s="77" t="s">
        <v>8516</v>
      </c>
      <c r="K486" s="77" t="s">
        <v>8697</v>
      </c>
      <c r="L486" s="76"/>
      <c r="M486" s="76"/>
      <c r="N486" s="76" t="s">
        <v>8660</v>
      </c>
      <c r="O486" s="76">
        <v>2</v>
      </c>
      <c r="P486" s="76"/>
      <c r="Q486" s="76" t="s">
        <v>8847</v>
      </c>
      <c r="R486" s="76"/>
      <c r="S486" s="76"/>
      <c r="Y486" s="95" t="s">
        <v>9725</v>
      </c>
      <c r="AC486" s="95" t="s">
        <v>9739</v>
      </c>
      <c r="AI486" s="95" t="s">
        <v>9725</v>
      </c>
      <c r="AP486" s="95" t="s">
        <v>8541</v>
      </c>
      <c r="AQ486" s="96" t="s">
        <v>10031</v>
      </c>
      <c r="AW486" s="95" t="s">
        <v>9764</v>
      </c>
      <c r="BC486" s="96" t="s">
        <v>9734</v>
      </c>
      <c r="BD486" s="99">
        <f t="shared" si="14"/>
        <v>0</v>
      </c>
      <c r="BL486" s="70" t="s">
        <v>10015</v>
      </c>
      <c r="BP486" s="69" t="s">
        <v>8541</v>
      </c>
      <c r="CC486" s="99"/>
      <c r="CV486" s="99"/>
      <c r="CW486" s="63"/>
    </row>
    <row r="487" spans="1:101" x14ac:dyDescent="0.15">
      <c r="A487" s="76">
        <v>446</v>
      </c>
      <c r="B487" s="74" t="s">
        <v>1734</v>
      </c>
      <c r="C487" s="74">
        <v>994098030</v>
      </c>
      <c r="D487" s="78" t="str">
        <f t="shared" si="15"/>
        <v>https://portal.dnb.de/opac.htm?method=simpleSearch&amp;cqlMode=true&amp;query=idn%3D994098030</v>
      </c>
      <c r="E487" s="74" t="s">
        <v>10030</v>
      </c>
      <c r="F487" s="74"/>
      <c r="G487" s="76"/>
      <c r="H487" s="77"/>
      <c r="I487" s="76"/>
      <c r="J487" s="77"/>
      <c r="K487" s="77"/>
      <c r="L487" s="76"/>
      <c r="M487" s="76"/>
      <c r="N487" s="76"/>
      <c r="O487" s="76"/>
      <c r="P487" s="76"/>
      <c r="Q487" s="76"/>
      <c r="R487" s="76"/>
      <c r="S487" s="76"/>
      <c r="BD487" s="99">
        <f t="shared" si="14"/>
        <v>0</v>
      </c>
      <c r="CC487" s="99"/>
      <c r="CV487" s="99"/>
      <c r="CW487" s="63"/>
    </row>
    <row r="488" spans="1:101" x14ac:dyDescent="0.15">
      <c r="A488" s="76">
        <v>447</v>
      </c>
      <c r="B488" s="74" t="s">
        <v>1735</v>
      </c>
      <c r="C488" s="74">
        <v>994098200</v>
      </c>
      <c r="D488" s="78" t="str">
        <f t="shared" si="15"/>
        <v>https://portal.dnb.de/opac.htm?method=simpleSearch&amp;cqlMode=true&amp;query=idn%3D994098200</v>
      </c>
      <c r="E488" s="74" t="s">
        <v>10030</v>
      </c>
      <c r="F488" s="74"/>
      <c r="G488" s="76"/>
      <c r="H488" s="77"/>
      <c r="I488" s="76"/>
      <c r="J488" s="77"/>
      <c r="K488" s="77"/>
      <c r="L488" s="76"/>
      <c r="M488" s="76"/>
      <c r="N488" s="76"/>
      <c r="O488" s="76"/>
      <c r="P488" s="76"/>
      <c r="Q488" s="76"/>
      <c r="R488" s="76"/>
      <c r="S488" s="76"/>
      <c r="BD488" s="99">
        <f t="shared" si="14"/>
        <v>0</v>
      </c>
      <c r="CC488" s="99"/>
      <c r="CV488" s="99"/>
      <c r="CW488" s="63"/>
    </row>
    <row r="489" spans="1:101" x14ac:dyDescent="0.15">
      <c r="A489" s="76">
        <v>448</v>
      </c>
      <c r="B489" s="74" t="s">
        <v>1736</v>
      </c>
      <c r="C489" s="74">
        <v>994097964</v>
      </c>
      <c r="D489" s="78" t="str">
        <f t="shared" si="15"/>
        <v>https://portal.dnb.de/opac.htm?method=simpleSearch&amp;cqlMode=true&amp;query=idn%3D994097964</v>
      </c>
      <c r="E489" s="74" t="s">
        <v>10030</v>
      </c>
      <c r="F489" s="74"/>
      <c r="G489" s="76"/>
      <c r="H489" s="77"/>
      <c r="I489" s="76"/>
      <c r="J489" s="77"/>
      <c r="K489" s="77"/>
      <c r="L489" s="76"/>
      <c r="M489" s="76"/>
      <c r="N489" s="76"/>
      <c r="O489" s="76"/>
      <c r="P489" s="76"/>
      <c r="Q489" s="76"/>
      <c r="R489" s="76"/>
      <c r="S489" s="76"/>
      <c r="BD489" s="99">
        <f t="shared" si="14"/>
        <v>0</v>
      </c>
      <c r="CC489" s="99"/>
      <c r="CV489" s="99"/>
      <c r="CW489" s="63"/>
    </row>
    <row r="490" spans="1:101" x14ac:dyDescent="0.15">
      <c r="A490" s="76">
        <v>449</v>
      </c>
      <c r="B490" s="74" t="s">
        <v>1737</v>
      </c>
      <c r="C490" s="74">
        <v>994097867</v>
      </c>
      <c r="D490" s="78" t="str">
        <f t="shared" si="15"/>
        <v>https://portal.dnb.de/opac.htm?method=simpleSearch&amp;cqlMode=true&amp;query=idn%3D994097867</v>
      </c>
      <c r="E490" s="74" t="s">
        <v>10030</v>
      </c>
      <c r="F490" s="74"/>
      <c r="G490" s="76"/>
      <c r="H490" s="77"/>
      <c r="I490" s="76"/>
      <c r="J490" s="77"/>
      <c r="K490" s="77"/>
      <c r="L490" s="76"/>
      <c r="M490" s="76"/>
      <c r="N490" s="76"/>
      <c r="O490" s="76"/>
      <c r="P490" s="76"/>
      <c r="Q490" s="76"/>
      <c r="R490" s="76"/>
      <c r="S490" s="76"/>
      <c r="BD490" s="99">
        <f t="shared" si="14"/>
        <v>0</v>
      </c>
      <c r="CC490" s="99"/>
      <c r="CV490" s="99"/>
      <c r="CW490" s="63"/>
    </row>
    <row r="491" spans="1:101" x14ac:dyDescent="0.15">
      <c r="A491" s="76">
        <v>450</v>
      </c>
      <c r="B491" s="74" t="s">
        <v>1738</v>
      </c>
      <c r="C491" s="74">
        <v>994097638</v>
      </c>
      <c r="D491" s="78" t="str">
        <f t="shared" si="15"/>
        <v>https://portal.dnb.de/opac.htm?method=simpleSearch&amp;cqlMode=true&amp;query=idn%3D994097638</v>
      </c>
      <c r="E491" s="74" t="s">
        <v>10030</v>
      </c>
      <c r="F491" s="74"/>
      <c r="G491" s="76"/>
      <c r="H491" s="77"/>
      <c r="I491" s="76"/>
      <c r="J491" s="77"/>
      <c r="K491" s="77"/>
      <c r="L491" s="76"/>
      <c r="M491" s="76"/>
      <c r="N491" s="76"/>
      <c r="O491" s="76"/>
      <c r="P491" s="76"/>
      <c r="Q491" s="76"/>
      <c r="R491" s="76"/>
      <c r="S491" s="76"/>
      <c r="BD491" s="99">
        <f t="shared" si="14"/>
        <v>0</v>
      </c>
      <c r="CC491" s="99"/>
      <c r="CV491" s="99"/>
      <c r="CW491" s="63"/>
    </row>
    <row r="492" spans="1:101" ht="22.5" x14ac:dyDescent="0.15">
      <c r="A492" s="76">
        <v>451</v>
      </c>
      <c r="B492" s="74" t="s">
        <v>1739</v>
      </c>
      <c r="C492" s="74">
        <v>994097751</v>
      </c>
      <c r="D492" s="78" t="str">
        <f t="shared" si="15"/>
        <v>https://portal.dnb.de/opac.htm?method=simpleSearch&amp;cqlMode=true&amp;query=idn%3D994097751</v>
      </c>
      <c r="E492" s="74" t="s">
        <v>8698</v>
      </c>
      <c r="F492" s="74"/>
      <c r="G492" s="76"/>
      <c r="H492" s="77" t="s">
        <v>18</v>
      </c>
      <c r="I492" s="76" t="s">
        <v>54</v>
      </c>
      <c r="J492" s="77" t="s">
        <v>8516</v>
      </c>
      <c r="K492" s="77" t="s">
        <v>8697</v>
      </c>
      <c r="L492" s="76"/>
      <c r="M492" s="76"/>
      <c r="N492" s="76"/>
      <c r="O492" s="76">
        <v>2</v>
      </c>
      <c r="P492" s="76"/>
      <c r="Q492" s="76" t="s">
        <v>8847</v>
      </c>
      <c r="R492" s="76"/>
      <c r="S492" s="76"/>
      <c r="Y492" s="95" t="s">
        <v>9725</v>
      </c>
      <c r="AC492" s="95" t="s">
        <v>9739</v>
      </c>
      <c r="AI492" s="95" t="s">
        <v>9725</v>
      </c>
      <c r="AP492" s="95" t="s">
        <v>8541</v>
      </c>
      <c r="AQ492" s="96" t="s">
        <v>10031</v>
      </c>
      <c r="AW492" s="95" t="s">
        <v>9764</v>
      </c>
      <c r="BC492" s="96" t="s">
        <v>9726</v>
      </c>
      <c r="BD492" s="99">
        <f t="shared" si="14"/>
        <v>2</v>
      </c>
      <c r="BP492" s="69" t="s">
        <v>8541</v>
      </c>
      <c r="BT492" s="95" t="s">
        <v>9772</v>
      </c>
      <c r="BV492" s="95" t="s">
        <v>8541</v>
      </c>
      <c r="CC492" s="99">
        <v>2</v>
      </c>
      <c r="CD492" s="90" t="s">
        <v>10032</v>
      </c>
      <c r="CV492" s="99"/>
      <c r="CW492" s="63"/>
    </row>
    <row r="493" spans="1:101" x14ac:dyDescent="0.15">
      <c r="A493" s="76">
        <v>452</v>
      </c>
      <c r="B493" s="74" t="s">
        <v>1740</v>
      </c>
      <c r="C493" s="74">
        <v>1023009765</v>
      </c>
      <c r="D493" s="78" t="str">
        <f>HYPERLINK(CONCATENATE("https://portal.dnb.de/opac.htm?method=simpleSearch&amp;cqlMode=true&amp;query=idn%3D",C493))</f>
        <v>https://portal.dnb.de/opac.htm?method=simpleSearch&amp;cqlMode=true&amp;query=idn%3D1023009765</v>
      </c>
      <c r="E493" s="74" t="s">
        <v>1741</v>
      </c>
      <c r="F493" s="74"/>
      <c r="G493" s="76"/>
      <c r="H493" s="77" t="s">
        <v>5</v>
      </c>
      <c r="I493" s="76" t="s">
        <v>53</v>
      </c>
      <c r="J493" s="77" t="s">
        <v>8516</v>
      </c>
      <c r="K493" s="77"/>
      <c r="L493" s="76"/>
      <c r="M493" s="76" t="s">
        <v>36</v>
      </c>
      <c r="N493" s="76" t="s">
        <v>40</v>
      </c>
      <c r="O493" s="76">
        <v>0</v>
      </c>
      <c r="P493" s="76"/>
      <c r="Q493" s="76"/>
      <c r="R493" s="76"/>
      <c r="S493" s="76"/>
      <c r="BD493" s="99">
        <f t="shared" si="14"/>
        <v>0</v>
      </c>
      <c r="CC493" s="99"/>
      <c r="CV493" s="99"/>
      <c r="CW493" s="63"/>
    </row>
    <row r="494" spans="1:101" x14ac:dyDescent="0.15">
      <c r="A494" s="76">
        <v>453</v>
      </c>
      <c r="B494" s="74" t="s">
        <v>1742</v>
      </c>
      <c r="C494" s="74">
        <v>11854049</v>
      </c>
      <c r="D494" s="78" t="str">
        <f t="shared" si="15"/>
        <v>https://portal.dnb.de/opac.htm?method=simpleSearch&amp;cqlMode=true&amp;query=idn%3D11854049</v>
      </c>
      <c r="E494" s="74" t="s">
        <v>1741</v>
      </c>
      <c r="F494" s="74"/>
      <c r="G494" s="76"/>
      <c r="H494" s="77"/>
      <c r="I494" s="76"/>
      <c r="J494" s="77"/>
      <c r="K494" s="77"/>
      <c r="L494" s="76"/>
      <c r="M494" s="76"/>
      <c r="N494" s="76"/>
      <c r="O494" s="76"/>
      <c r="P494" s="76"/>
      <c r="Q494" s="76"/>
      <c r="R494" s="76"/>
      <c r="S494" s="76"/>
      <c r="BD494" s="99">
        <f t="shared" si="14"/>
        <v>0</v>
      </c>
      <c r="CC494" s="99"/>
      <c r="CV494" s="99"/>
      <c r="CW494" s="63"/>
    </row>
    <row r="495" spans="1:101" ht="33.75" x14ac:dyDescent="0.15">
      <c r="A495" s="76">
        <v>454</v>
      </c>
      <c r="B495" s="74" t="s">
        <v>1743</v>
      </c>
      <c r="C495" s="74">
        <v>1026394228</v>
      </c>
      <c r="D495" s="78" t="str">
        <f t="shared" si="15"/>
        <v>https://portal.dnb.de/opac.htm?method=simpleSearch&amp;cqlMode=true&amp;query=idn%3D1026394228</v>
      </c>
      <c r="E495" s="74" t="s">
        <v>1744</v>
      </c>
      <c r="F495" s="74"/>
      <c r="G495" s="76"/>
      <c r="H495" s="77" t="s">
        <v>5</v>
      </c>
      <c r="I495" s="76" t="s">
        <v>53</v>
      </c>
      <c r="J495" s="77" t="s">
        <v>8516</v>
      </c>
      <c r="K495" s="77" t="s">
        <v>8667</v>
      </c>
      <c r="L495" s="76"/>
      <c r="M495" s="76" t="s">
        <v>36</v>
      </c>
      <c r="N495" s="76" t="s">
        <v>40</v>
      </c>
      <c r="O495" s="76">
        <v>0</v>
      </c>
      <c r="P495" s="76"/>
      <c r="Q495" s="76"/>
      <c r="R495" s="76"/>
      <c r="S495" s="76"/>
      <c r="BD495" s="99">
        <f t="shared" si="14"/>
        <v>0</v>
      </c>
      <c r="CC495" s="99"/>
      <c r="CV495" s="99"/>
      <c r="CW495" s="63"/>
    </row>
    <row r="496" spans="1:101" x14ac:dyDescent="0.15">
      <c r="A496" s="76">
        <v>455</v>
      </c>
      <c r="B496" s="74" t="s">
        <v>1745</v>
      </c>
      <c r="C496" s="74">
        <v>1031272518</v>
      </c>
      <c r="D496" s="78" t="str">
        <f t="shared" si="15"/>
        <v>https://portal.dnb.de/opac.htm?method=simpleSearch&amp;cqlMode=true&amp;query=idn%3D1031272518</v>
      </c>
      <c r="E496" s="74" t="s">
        <v>1746</v>
      </c>
      <c r="F496" s="74"/>
      <c r="G496" s="76"/>
      <c r="H496" s="77" t="s">
        <v>5</v>
      </c>
      <c r="I496" s="76" t="s">
        <v>53</v>
      </c>
      <c r="J496" s="77" t="s">
        <v>8516</v>
      </c>
      <c r="K496" s="77"/>
      <c r="L496" s="76"/>
      <c r="M496" s="76"/>
      <c r="N496" s="76"/>
      <c r="O496" s="76">
        <v>0</v>
      </c>
      <c r="P496" s="76"/>
      <c r="Q496" s="76"/>
      <c r="R496" s="76"/>
      <c r="S496" s="76"/>
      <c r="BD496" s="99">
        <f t="shared" si="14"/>
        <v>0</v>
      </c>
      <c r="CC496" s="99"/>
      <c r="CV496" s="99"/>
      <c r="CW496" s="63"/>
    </row>
    <row r="497" spans="1:101" x14ac:dyDescent="0.15">
      <c r="A497" s="76">
        <v>456</v>
      </c>
      <c r="B497" s="74" t="s">
        <v>1747</v>
      </c>
      <c r="C497" s="74">
        <v>1070177326</v>
      </c>
      <c r="D497" s="78" t="str">
        <f t="shared" si="15"/>
        <v>https://portal.dnb.de/opac.htm?method=simpleSearch&amp;cqlMode=true&amp;query=idn%3D1070177326</v>
      </c>
      <c r="E497" s="74" t="s">
        <v>1748</v>
      </c>
      <c r="F497" s="74"/>
      <c r="G497" s="76" t="s">
        <v>8515</v>
      </c>
      <c r="H497" s="77" t="s">
        <v>5</v>
      </c>
      <c r="I497" s="76" t="s">
        <v>53</v>
      </c>
      <c r="J497" s="77" t="s">
        <v>8516</v>
      </c>
      <c r="K497" s="77" t="s">
        <v>72</v>
      </c>
      <c r="L497" s="76"/>
      <c r="M497" s="76" t="s">
        <v>36</v>
      </c>
      <c r="N497" s="76" t="s">
        <v>40</v>
      </c>
      <c r="O497" s="76">
        <v>0</v>
      </c>
      <c r="P497" s="76"/>
      <c r="Q497" s="76"/>
      <c r="R497" s="76"/>
      <c r="S497" s="76"/>
      <c r="BD497" s="99">
        <f t="shared" si="14"/>
        <v>0</v>
      </c>
      <c r="CC497" s="99"/>
      <c r="CV497" s="99"/>
      <c r="CW497" s="63"/>
    </row>
    <row r="498" spans="1:101" x14ac:dyDescent="0.15">
      <c r="A498" s="76">
        <v>457</v>
      </c>
      <c r="B498" s="74" t="s">
        <v>1749</v>
      </c>
      <c r="C498" s="74">
        <v>1071081675</v>
      </c>
      <c r="D498" s="78" t="str">
        <f t="shared" si="15"/>
        <v>https://portal.dnb.de/opac.htm?method=simpleSearch&amp;cqlMode=true&amp;query=idn%3D1071081675</v>
      </c>
      <c r="E498" s="74" t="s">
        <v>1750</v>
      </c>
      <c r="F498" s="74"/>
      <c r="G498" s="76"/>
      <c r="H498" s="77" t="s">
        <v>4</v>
      </c>
      <c r="I498" s="76" t="s">
        <v>54</v>
      </c>
      <c r="J498" s="77" t="s">
        <v>58</v>
      </c>
      <c r="K498" s="77" t="s">
        <v>84</v>
      </c>
      <c r="L498" s="76"/>
      <c r="M498" s="76" t="s">
        <v>33</v>
      </c>
      <c r="N498" s="76" t="s">
        <v>40</v>
      </c>
      <c r="O498" s="76">
        <v>0</v>
      </c>
      <c r="P498" s="76"/>
      <c r="Q498" s="76"/>
      <c r="R498" s="76"/>
      <c r="S498" s="76"/>
      <c r="BD498" s="99">
        <f t="shared" si="14"/>
        <v>0</v>
      </c>
      <c r="CC498" s="99"/>
      <c r="CV498" s="99"/>
      <c r="CW498" s="63"/>
    </row>
    <row r="499" spans="1:101" x14ac:dyDescent="0.15">
      <c r="A499" s="76">
        <v>458</v>
      </c>
      <c r="B499" s="74" t="s">
        <v>1773</v>
      </c>
      <c r="C499" s="74">
        <v>1075324017</v>
      </c>
      <c r="D499" s="78" t="str">
        <f t="shared" si="15"/>
        <v>https://portal.dnb.de/opac.htm?method=simpleSearch&amp;cqlMode=true&amp;query=idn%3D1075324017</v>
      </c>
      <c r="E499" s="74" t="s">
        <v>1774</v>
      </c>
      <c r="F499" s="74"/>
      <c r="G499" s="76"/>
      <c r="H499" s="77"/>
      <c r="I499" s="76"/>
      <c r="J499" s="77"/>
      <c r="K499" s="77"/>
      <c r="L499" s="76"/>
      <c r="M499" s="76"/>
      <c r="N499" s="76"/>
      <c r="O499" s="76"/>
      <c r="P499" s="76"/>
      <c r="Q499" s="76"/>
      <c r="R499" s="76"/>
      <c r="S499" s="76"/>
      <c r="BD499" s="99">
        <f t="shared" si="14"/>
        <v>0</v>
      </c>
      <c r="CC499" s="99"/>
      <c r="CV499" s="99"/>
      <c r="CW499" s="63"/>
    </row>
    <row r="500" spans="1:101" x14ac:dyDescent="0.15">
      <c r="A500" s="76">
        <v>459</v>
      </c>
      <c r="B500" s="74" t="s">
        <v>1775</v>
      </c>
      <c r="C500" s="74">
        <v>1075324106</v>
      </c>
      <c r="D500" s="78" t="str">
        <f t="shared" si="15"/>
        <v>https://portal.dnb.de/opac.htm?method=simpleSearch&amp;cqlMode=true&amp;query=idn%3D1075324106</v>
      </c>
      <c r="E500" s="74" t="s">
        <v>1776</v>
      </c>
      <c r="F500" s="74"/>
      <c r="G500" s="76"/>
      <c r="H500" s="77"/>
      <c r="I500" s="76"/>
      <c r="J500" s="77"/>
      <c r="K500" s="77"/>
      <c r="L500" s="76"/>
      <c r="M500" s="76"/>
      <c r="N500" s="76"/>
      <c r="O500" s="76"/>
      <c r="P500" s="76"/>
      <c r="Q500" s="76"/>
      <c r="R500" s="76"/>
      <c r="S500" s="76"/>
      <c r="BD500" s="99">
        <f t="shared" si="14"/>
        <v>0</v>
      </c>
      <c r="CC500" s="99"/>
      <c r="CV500" s="99"/>
      <c r="CW500" s="63"/>
    </row>
    <row r="501" spans="1:101" x14ac:dyDescent="0.15">
      <c r="A501" s="76">
        <v>460</v>
      </c>
      <c r="B501" s="74" t="s">
        <v>1713</v>
      </c>
      <c r="C501" s="74">
        <v>1001016580</v>
      </c>
      <c r="D501" s="78" t="str">
        <f t="shared" si="15"/>
        <v>https://portal.dnb.de/opac.htm?method=simpleSearch&amp;cqlMode=true&amp;query=idn%3D1001016580</v>
      </c>
      <c r="E501" s="74" t="s">
        <v>1714</v>
      </c>
      <c r="F501" s="74"/>
      <c r="G501" s="76"/>
      <c r="H501" s="77" t="s">
        <v>4</v>
      </c>
      <c r="I501" s="76" t="s">
        <v>53</v>
      </c>
      <c r="J501" s="77" t="s">
        <v>8516</v>
      </c>
      <c r="K501" s="77" t="s">
        <v>8520</v>
      </c>
      <c r="L501" s="76"/>
      <c r="M501" s="76" t="s">
        <v>36</v>
      </c>
      <c r="N501" s="76" t="s">
        <v>39</v>
      </c>
      <c r="O501" s="76">
        <v>2</v>
      </c>
      <c r="P501" s="76"/>
      <c r="Q501" s="76"/>
      <c r="R501" s="76"/>
      <c r="S501" s="76"/>
      <c r="BD501" s="99">
        <f t="shared" si="14"/>
        <v>0</v>
      </c>
      <c r="CC501" s="99"/>
      <c r="CV501" s="99"/>
      <c r="CW501" s="63"/>
    </row>
    <row r="502" spans="1:101" x14ac:dyDescent="0.15">
      <c r="A502" s="76">
        <v>461</v>
      </c>
      <c r="B502" s="74" t="s">
        <v>1755</v>
      </c>
      <c r="C502" s="74">
        <v>1000147428</v>
      </c>
      <c r="D502" s="78" t="str">
        <f t="shared" si="15"/>
        <v>https://portal.dnb.de/opac.htm?method=simpleSearch&amp;cqlMode=true&amp;query=idn%3D1000147428</v>
      </c>
      <c r="E502" s="74" t="s">
        <v>1756</v>
      </c>
      <c r="F502" s="74"/>
      <c r="G502" s="76"/>
      <c r="H502" s="77"/>
      <c r="I502" s="76"/>
      <c r="J502" s="77"/>
      <c r="K502" s="77"/>
      <c r="L502" s="76"/>
      <c r="M502" s="76"/>
      <c r="N502" s="76"/>
      <c r="O502" s="76"/>
      <c r="P502" s="76"/>
      <c r="Q502" s="76"/>
      <c r="R502" s="76"/>
      <c r="S502" s="76"/>
      <c r="BD502" s="99">
        <f t="shared" si="14"/>
        <v>0</v>
      </c>
      <c r="CC502" s="99"/>
      <c r="CV502" s="99"/>
      <c r="CW502" s="63"/>
    </row>
    <row r="503" spans="1:101" x14ac:dyDescent="0.15">
      <c r="A503" s="76">
        <v>462</v>
      </c>
      <c r="B503" s="74" t="s">
        <v>1757</v>
      </c>
      <c r="C503" s="74">
        <v>1000147169</v>
      </c>
      <c r="D503" s="78" t="str">
        <f t="shared" si="15"/>
        <v>https://portal.dnb.de/opac.htm?method=simpleSearch&amp;cqlMode=true&amp;query=idn%3D1000147169</v>
      </c>
      <c r="E503" s="74" t="s">
        <v>1756</v>
      </c>
      <c r="F503" s="74"/>
      <c r="G503" s="76"/>
      <c r="H503" s="77" t="s">
        <v>5</v>
      </c>
      <c r="I503" s="76" t="s">
        <v>54</v>
      </c>
      <c r="J503" s="77" t="s">
        <v>8516</v>
      </c>
      <c r="K503" s="77" t="s">
        <v>72</v>
      </c>
      <c r="L503" s="76"/>
      <c r="M503" s="76" t="s">
        <v>38</v>
      </c>
      <c r="N503" s="76" t="s">
        <v>40</v>
      </c>
      <c r="O503" s="76">
        <v>0</v>
      </c>
      <c r="P503" s="76"/>
      <c r="Q503" s="76"/>
      <c r="R503" s="76"/>
      <c r="S503" s="76"/>
      <c r="BD503" s="99">
        <f t="shared" si="14"/>
        <v>0</v>
      </c>
      <c r="CC503" s="99"/>
      <c r="CV503" s="99"/>
      <c r="CW503" s="63"/>
    </row>
    <row r="504" spans="1:101" x14ac:dyDescent="0.15">
      <c r="A504" s="76">
        <v>463</v>
      </c>
      <c r="B504" s="74" t="s">
        <v>1758</v>
      </c>
      <c r="C504" s="74">
        <v>988413175</v>
      </c>
      <c r="D504" s="78" t="str">
        <f t="shared" si="15"/>
        <v>https://portal.dnb.de/opac.htm?method=simpleSearch&amp;cqlMode=true&amp;query=idn%3D988413175</v>
      </c>
      <c r="E504" s="74" t="s">
        <v>1759</v>
      </c>
      <c r="F504" s="74"/>
      <c r="G504" s="76" t="s">
        <v>8515</v>
      </c>
      <c r="H504" s="77" t="s">
        <v>48</v>
      </c>
      <c r="I504" s="76" t="s">
        <v>53</v>
      </c>
      <c r="J504" s="77" t="s">
        <v>8516</v>
      </c>
      <c r="K504" s="77" t="s">
        <v>84</v>
      </c>
      <c r="L504" s="76"/>
      <c r="M504" s="76" t="s">
        <v>38</v>
      </c>
      <c r="N504" s="76" t="s">
        <v>40</v>
      </c>
      <c r="O504" s="76">
        <v>0</v>
      </c>
      <c r="P504" s="76"/>
      <c r="Q504" s="76"/>
      <c r="R504" s="76"/>
      <c r="S504" s="76"/>
      <c r="BD504" s="99">
        <f t="shared" si="14"/>
        <v>0</v>
      </c>
      <c r="CC504" s="99"/>
      <c r="CV504" s="99"/>
      <c r="CW504" s="63"/>
    </row>
    <row r="505" spans="1:101" ht="22.5" x14ac:dyDescent="0.15">
      <c r="A505" s="76">
        <v>464</v>
      </c>
      <c r="B505" s="74" t="s">
        <v>1760</v>
      </c>
      <c r="C505" s="74">
        <v>1003101372</v>
      </c>
      <c r="D505" s="78" t="str">
        <f t="shared" si="15"/>
        <v>https://portal.dnb.de/opac.htm?method=simpleSearch&amp;cqlMode=true&amp;query=idn%3D1003101372</v>
      </c>
      <c r="E505" s="74" t="s">
        <v>1761</v>
      </c>
      <c r="F505" s="74"/>
      <c r="G505" s="76" t="s">
        <v>8515</v>
      </c>
      <c r="H505" s="77" t="s">
        <v>18</v>
      </c>
      <c r="I505" s="76" t="s">
        <v>54</v>
      </c>
      <c r="J505" s="77" t="s">
        <v>8516</v>
      </c>
      <c r="K505" s="77" t="s">
        <v>72</v>
      </c>
      <c r="L505" s="76"/>
      <c r="M505" s="76" t="s">
        <v>36</v>
      </c>
      <c r="N505" s="76" t="s">
        <v>39</v>
      </c>
      <c r="O505" s="76">
        <v>1</v>
      </c>
      <c r="P505" s="76"/>
      <c r="Q505" s="76"/>
      <c r="R505" s="76"/>
      <c r="S505" s="76"/>
      <c r="BD505" s="99">
        <f t="shared" si="14"/>
        <v>0</v>
      </c>
      <c r="CC505" s="99"/>
      <c r="CV505" s="99"/>
      <c r="CW505" s="63"/>
    </row>
    <row r="506" spans="1:101" ht="22.5" x14ac:dyDescent="0.15">
      <c r="A506" s="76">
        <v>465</v>
      </c>
      <c r="B506" s="74" t="s">
        <v>1779</v>
      </c>
      <c r="C506" s="74">
        <v>984954112</v>
      </c>
      <c r="D506" s="78" t="str">
        <f t="shared" si="15"/>
        <v>https://portal.dnb.de/opac.htm?method=simpleSearch&amp;cqlMode=true&amp;query=idn%3D984954112</v>
      </c>
      <c r="E506" s="74" t="s">
        <v>1780</v>
      </c>
      <c r="F506" s="74"/>
      <c r="G506" s="76" t="s">
        <v>8515</v>
      </c>
      <c r="H506" s="77" t="s">
        <v>18</v>
      </c>
      <c r="I506" s="76" t="s">
        <v>55</v>
      </c>
      <c r="J506" s="77" t="s">
        <v>58</v>
      </c>
      <c r="K506" s="77" t="s">
        <v>84</v>
      </c>
      <c r="L506" s="76"/>
      <c r="M506" s="76" t="s">
        <v>38</v>
      </c>
      <c r="N506" s="76" t="s">
        <v>40</v>
      </c>
      <c r="O506" s="76">
        <v>1</v>
      </c>
      <c r="P506" s="76"/>
      <c r="Q506" s="76"/>
      <c r="R506" s="76"/>
      <c r="S506" s="76"/>
      <c r="BD506" s="99">
        <f t="shared" si="14"/>
        <v>0</v>
      </c>
      <c r="CC506" s="99"/>
      <c r="CV506" s="99"/>
      <c r="CW506" s="63"/>
    </row>
    <row r="507" spans="1:101" x14ac:dyDescent="0.15">
      <c r="A507" s="76">
        <v>466</v>
      </c>
      <c r="B507" s="74" t="s">
        <v>1781</v>
      </c>
      <c r="C507" s="74">
        <v>984954112</v>
      </c>
      <c r="D507" s="78" t="str">
        <f t="shared" si="15"/>
        <v>https://portal.dnb.de/opac.htm?method=simpleSearch&amp;cqlMode=true&amp;query=idn%3D984954112</v>
      </c>
      <c r="E507" s="74" t="s">
        <v>1780</v>
      </c>
      <c r="F507" s="74"/>
      <c r="G507" s="76"/>
      <c r="H507" s="77"/>
      <c r="I507" s="76"/>
      <c r="J507" s="77"/>
      <c r="K507" s="77"/>
      <c r="L507" s="76"/>
      <c r="M507" s="76"/>
      <c r="N507" s="76"/>
      <c r="O507" s="76"/>
      <c r="P507" s="76"/>
      <c r="Q507" s="76"/>
      <c r="R507" s="76"/>
      <c r="S507" s="76"/>
      <c r="BD507" s="99">
        <f t="shared" si="14"/>
        <v>0</v>
      </c>
      <c r="CC507" s="99"/>
      <c r="CV507" s="99"/>
      <c r="CW507" s="63"/>
    </row>
    <row r="508" spans="1:101" ht="22.5" x14ac:dyDescent="0.15">
      <c r="A508" s="76">
        <v>467</v>
      </c>
      <c r="B508" s="74" t="s">
        <v>1782</v>
      </c>
      <c r="C508" s="74">
        <v>985003480</v>
      </c>
      <c r="D508" s="78" t="str">
        <f t="shared" si="15"/>
        <v>https://portal.dnb.de/opac.htm?method=simpleSearch&amp;cqlMode=true&amp;query=idn%3D985003480</v>
      </c>
      <c r="E508" s="74" t="s">
        <v>1783</v>
      </c>
      <c r="F508" s="74"/>
      <c r="G508" s="76" t="s">
        <v>8515</v>
      </c>
      <c r="H508" s="77" t="s">
        <v>18</v>
      </c>
      <c r="I508" s="76" t="s">
        <v>55</v>
      </c>
      <c r="J508" s="77" t="s">
        <v>58</v>
      </c>
      <c r="K508" s="77" t="s">
        <v>84</v>
      </c>
      <c r="L508" s="76"/>
      <c r="M508" s="76" t="s">
        <v>38</v>
      </c>
      <c r="N508" s="76" t="s">
        <v>40</v>
      </c>
      <c r="O508" s="76">
        <v>1</v>
      </c>
      <c r="P508" s="76"/>
      <c r="Q508" s="76"/>
      <c r="R508" s="76"/>
      <c r="S508" s="76"/>
      <c r="BD508" s="99">
        <f t="shared" si="14"/>
        <v>0</v>
      </c>
      <c r="CC508" s="99"/>
      <c r="CV508" s="99"/>
      <c r="CW508" s="63"/>
    </row>
    <row r="509" spans="1:101" ht="22.5" x14ac:dyDescent="0.15">
      <c r="A509" s="76">
        <v>468</v>
      </c>
      <c r="B509" s="74" t="s">
        <v>2055</v>
      </c>
      <c r="C509" s="74">
        <v>1066858551</v>
      </c>
      <c r="D509" s="78" t="str">
        <f t="shared" si="15"/>
        <v>https://portal.dnb.de/opac.htm?method=simpleSearch&amp;cqlMode=true&amp;query=idn%3D1066858551</v>
      </c>
      <c r="E509" s="74" t="s">
        <v>2056</v>
      </c>
      <c r="F509" s="74"/>
      <c r="G509" s="76" t="s">
        <v>8515</v>
      </c>
      <c r="H509" s="77" t="s">
        <v>8547</v>
      </c>
      <c r="I509" s="76" t="s">
        <v>53</v>
      </c>
      <c r="J509" s="77" t="s">
        <v>8516</v>
      </c>
      <c r="K509" s="77" t="s">
        <v>84</v>
      </c>
      <c r="L509" s="76"/>
      <c r="M509" s="76" t="s">
        <v>37</v>
      </c>
      <c r="N509" s="76" t="s">
        <v>40</v>
      </c>
      <c r="O509" s="76">
        <v>0</v>
      </c>
      <c r="P509" s="76"/>
      <c r="Q509" s="76"/>
      <c r="R509" s="76"/>
      <c r="S509" s="76"/>
      <c r="BD509" s="99">
        <f t="shared" si="14"/>
        <v>0</v>
      </c>
      <c r="CC509" s="99"/>
      <c r="CV509" s="99"/>
      <c r="CW509" s="63"/>
    </row>
    <row r="510" spans="1:101" x14ac:dyDescent="0.15">
      <c r="A510" s="76">
        <v>469</v>
      </c>
      <c r="B510" s="74" t="s">
        <v>2145</v>
      </c>
      <c r="C510" s="74">
        <v>1066859140</v>
      </c>
      <c r="D510" s="78" t="str">
        <f t="shared" si="15"/>
        <v>https://portal.dnb.de/opac.htm?method=simpleSearch&amp;cqlMode=true&amp;query=idn%3D1066859140</v>
      </c>
      <c r="E510" s="74" t="s">
        <v>2146</v>
      </c>
      <c r="F510" s="74"/>
      <c r="G510" s="76" t="s">
        <v>8515</v>
      </c>
      <c r="H510" s="77" t="s">
        <v>47</v>
      </c>
      <c r="I510" s="76" t="s">
        <v>53</v>
      </c>
      <c r="J510" s="77" t="s">
        <v>58</v>
      </c>
      <c r="K510" s="77"/>
      <c r="L510" s="76"/>
      <c r="M510" s="76"/>
      <c r="N510" s="76"/>
      <c r="O510" s="76">
        <v>0</v>
      </c>
      <c r="P510" s="76"/>
      <c r="Q510" s="76"/>
      <c r="R510" s="76"/>
      <c r="S510" s="76"/>
      <c r="BD510" s="99">
        <f t="shared" si="14"/>
        <v>0</v>
      </c>
      <c r="CC510" s="99"/>
      <c r="CV510" s="99"/>
      <c r="CW510" s="63"/>
    </row>
    <row r="511" spans="1:101" x14ac:dyDescent="0.15">
      <c r="A511" s="76">
        <v>470</v>
      </c>
      <c r="B511" s="74" t="s">
        <v>2222</v>
      </c>
      <c r="C511" s="74" t="s">
        <v>2223</v>
      </c>
      <c r="D511" s="78" t="str">
        <f t="shared" si="15"/>
        <v>https://portal.dnb.de/opac.htm?method=simpleSearch&amp;cqlMode=true&amp;query=idn%3D99406442X</v>
      </c>
      <c r="E511" s="74" t="s">
        <v>2224</v>
      </c>
      <c r="F511" s="74"/>
      <c r="G511" s="76" t="s">
        <v>8515</v>
      </c>
      <c r="H511" s="77" t="s">
        <v>48</v>
      </c>
      <c r="I511" s="76" t="s">
        <v>53</v>
      </c>
      <c r="J511" s="77" t="s">
        <v>58</v>
      </c>
      <c r="K511" s="77"/>
      <c r="L511" s="76"/>
      <c r="M511" s="76"/>
      <c r="N511" s="76"/>
      <c r="O511" s="76">
        <v>0</v>
      </c>
      <c r="P511" s="76"/>
      <c r="Q511" s="76"/>
      <c r="R511" s="76"/>
      <c r="S511" s="76"/>
      <c r="BD511" s="99">
        <f t="shared" si="14"/>
        <v>0</v>
      </c>
      <c r="CC511" s="99"/>
      <c r="CV511" s="99"/>
      <c r="CW511" s="63"/>
    </row>
    <row r="512" spans="1:101" x14ac:dyDescent="0.15">
      <c r="A512" s="76">
        <v>471</v>
      </c>
      <c r="B512" s="74" t="s">
        <v>2268</v>
      </c>
      <c r="C512" s="74">
        <v>1066935335</v>
      </c>
      <c r="D512" s="78" t="str">
        <f t="shared" si="15"/>
        <v>https://portal.dnb.de/opac.htm?method=simpleSearch&amp;cqlMode=true&amp;query=idn%3D1066935335</v>
      </c>
      <c r="E512" s="74" t="s">
        <v>2269</v>
      </c>
      <c r="F512" s="74"/>
      <c r="G512" s="76" t="s">
        <v>8515</v>
      </c>
      <c r="H512" s="77" t="s">
        <v>5</v>
      </c>
      <c r="I512" s="76" t="s">
        <v>53</v>
      </c>
      <c r="J512" s="77" t="s">
        <v>8516</v>
      </c>
      <c r="K512" s="77" t="s">
        <v>84</v>
      </c>
      <c r="L512" s="76"/>
      <c r="M512" s="76" t="s">
        <v>32</v>
      </c>
      <c r="N512" s="76" t="s">
        <v>8660</v>
      </c>
      <c r="O512" s="76">
        <v>0</v>
      </c>
      <c r="P512" s="76"/>
      <c r="Q512" s="76"/>
      <c r="R512" s="76"/>
      <c r="S512" s="76"/>
      <c r="BD512" s="99">
        <f t="shared" si="14"/>
        <v>0</v>
      </c>
      <c r="CC512" s="99"/>
      <c r="CV512" s="99"/>
      <c r="CW512" s="63"/>
    </row>
    <row r="513" spans="1:101" ht="33.75" x14ac:dyDescent="0.15">
      <c r="A513" s="76">
        <v>472</v>
      </c>
      <c r="B513" s="74" t="s">
        <v>3636</v>
      </c>
      <c r="C513" s="74">
        <v>1066933448</v>
      </c>
      <c r="D513" s="78" t="str">
        <f t="shared" si="15"/>
        <v>https://portal.dnb.de/opac.htm?method=simpleSearch&amp;cqlMode=true&amp;query=idn%3D1066933448</v>
      </c>
      <c r="E513" s="74" t="s">
        <v>3637</v>
      </c>
      <c r="F513" s="74"/>
      <c r="G513" s="76" t="s">
        <v>8515</v>
      </c>
      <c r="H513" s="77" t="s">
        <v>6</v>
      </c>
      <c r="I513" s="76" t="s">
        <v>53</v>
      </c>
      <c r="J513" s="77" t="s">
        <v>58</v>
      </c>
      <c r="K513" s="77" t="s">
        <v>8702</v>
      </c>
      <c r="L513" s="76"/>
      <c r="M513" s="76"/>
      <c r="N513" s="76"/>
      <c r="O513" s="76">
        <v>1</v>
      </c>
      <c r="P513" s="76"/>
      <c r="Q513" s="76"/>
      <c r="R513" s="76"/>
      <c r="S513" s="76"/>
      <c r="Y513" s="95" t="s">
        <v>9729</v>
      </c>
      <c r="AA513" s="95" t="s">
        <v>8541</v>
      </c>
      <c r="AC513" s="95" t="s">
        <v>9739</v>
      </c>
      <c r="AI513" s="95" t="s">
        <v>9725</v>
      </c>
      <c r="AJ513" s="95" t="s">
        <v>8541</v>
      </c>
      <c r="AW513" s="95">
        <v>110</v>
      </c>
      <c r="BC513" s="96" t="s">
        <v>9726</v>
      </c>
      <c r="BD513" s="99">
        <f t="shared" si="14"/>
        <v>0.5</v>
      </c>
      <c r="BP513" s="69" t="s">
        <v>8541</v>
      </c>
      <c r="BQ513" s="95" t="s">
        <v>8541</v>
      </c>
      <c r="BT513" s="95" t="s">
        <v>9772</v>
      </c>
      <c r="BV513" s="95" t="s">
        <v>8541</v>
      </c>
      <c r="CC513" s="99">
        <v>0.5</v>
      </c>
      <c r="CD513" s="90" t="s">
        <v>10033</v>
      </c>
      <c r="CV513" s="99"/>
      <c r="CW513" s="63"/>
    </row>
    <row r="514" spans="1:101" x14ac:dyDescent="0.15">
      <c r="A514" s="76">
        <v>473</v>
      </c>
      <c r="B514" s="74" t="s">
        <v>3638</v>
      </c>
      <c r="C514" s="74">
        <v>1066926646</v>
      </c>
      <c r="D514" s="78" t="str">
        <f t="shared" si="15"/>
        <v>https://portal.dnb.de/opac.htm?method=simpleSearch&amp;cqlMode=true&amp;query=idn%3D1066926646</v>
      </c>
      <c r="E514" s="74" t="s">
        <v>3639</v>
      </c>
      <c r="F514" s="74"/>
      <c r="G514" s="76" t="s">
        <v>8515</v>
      </c>
      <c r="H514" s="77" t="s">
        <v>5</v>
      </c>
      <c r="I514" s="76" t="s">
        <v>53</v>
      </c>
      <c r="J514" s="77" t="s">
        <v>8516</v>
      </c>
      <c r="K514" s="77" t="s">
        <v>84</v>
      </c>
      <c r="L514" s="76"/>
      <c r="M514" s="76"/>
      <c r="N514" s="76"/>
      <c r="O514" s="76">
        <v>0</v>
      </c>
      <c r="P514" s="76"/>
      <c r="Q514" s="76"/>
      <c r="R514" s="76"/>
      <c r="S514" s="76"/>
      <c r="BD514" s="99">
        <f t="shared" si="14"/>
        <v>0</v>
      </c>
      <c r="CC514" s="99"/>
      <c r="CV514" s="99"/>
      <c r="CW514" s="63"/>
    </row>
    <row r="515" spans="1:101" ht="33.75" x14ac:dyDescent="0.15">
      <c r="A515" s="76">
        <v>474</v>
      </c>
      <c r="B515" s="74" t="s">
        <v>3878</v>
      </c>
      <c r="C515" s="74">
        <v>1132642450</v>
      </c>
      <c r="D515" s="78" t="str">
        <f t="shared" si="15"/>
        <v>https://portal.dnb.de/opac.htm?method=simpleSearch&amp;cqlMode=true&amp;query=idn%3D1132642450</v>
      </c>
      <c r="E515" s="74" t="s">
        <v>8703</v>
      </c>
      <c r="F515" s="74"/>
      <c r="G515" s="76" t="s">
        <v>8541</v>
      </c>
      <c r="H515" s="77" t="s">
        <v>8673</v>
      </c>
      <c r="I515" s="76" t="s">
        <v>54</v>
      </c>
      <c r="J515" s="77" t="s">
        <v>8516</v>
      </c>
      <c r="K515" s="77" t="s">
        <v>8565</v>
      </c>
      <c r="L515" s="76"/>
      <c r="M515" s="76" t="s">
        <v>37</v>
      </c>
      <c r="N515" s="76" t="s">
        <v>40</v>
      </c>
      <c r="O515" s="76">
        <v>0</v>
      </c>
      <c r="P515" s="76"/>
      <c r="Q515" s="76"/>
      <c r="R515" s="76"/>
      <c r="S515" s="76"/>
      <c r="BD515" s="99">
        <f t="shared" ref="BD515:BD578" si="16">CC515+CV515</f>
        <v>0</v>
      </c>
      <c r="CC515" s="99"/>
      <c r="CV515" s="99"/>
      <c r="CW515" s="63"/>
    </row>
    <row r="516" spans="1:101" ht="33.75" x14ac:dyDescent="0.15">
      <c r="A516" s="76">
        <v>475</v>
      </c>
      <c r="B516" s="74" t="s">
        <v>3880</v>
      </c>
      <c r="C516" s="74">
        <v>1132642442</v>
      </c>
      <c r="D516" s="78" t="str">
        <f t="shared" ref="D516:D580" si="17">HYPERLINK(CONCATENATE("https://portal.dnb.de/opac.htm?method=simpleSearch&amp;cqlMode=true&amp;query=idn%3D",C516))</f>
        <v>https://portal.dnb.de/opac.htm?method=simpleSearch&amp;cqlMode=true&amp;query=idn%3D1132642442</v>
      </c>
      <c r="E516" s="74" t="s">
        <v>3879</v>
      </c>
      <c r="F516" s="74"/>
      <c r="G516" s="76"/>
      <c r="H516" s="77" t="s">
        <v>8694</v>
      </c>
      <c r="I516" s="76" t="s">
        <v>54</v>
      </c>
      <c r="J516" s="77" t="s">
        <v>8516</v>
      </c>
      <c r="K516" s="77" t="s">
        <v>8565</v>
      </c>
      <c r="L516" s="76"/>
      <c r="M516" s="76" t="s">
        <v>37</v>
      </c>
      <c r="N516" s="76" t="s">
        <v>40</v>
      </c>
      <c r="O516" s="76">
        <v>0</v>
      </c>
      <c r="P516" s="76"/>
      <c r="Q516" s="76"/>
      <c r="R516" s="76"/>
      <c r="S516" s="76"/>
      <c r="BD516" s="99">
        <f t="shared" si="16"/>
        <v>0</v>
      </c>
      <c r="CC516" s="99"/>
      <c r="CV516" s="99"/>
      <c r="CW516" s="63"/>
    </row>
    <row r="517" spans="1:101" x14ac:dyDescent="0.15">
      <c r="A517" s="76">
        <v>476</v>
      </c>
      <c r="B517" s="74" t="s">
        <v>4065</v>
      </c>
      <c r="C517" s="74">
        <v>1066870780</v>
      </c>
      <c r="D517" s="78" t="str">
        <f t="shared" si="17"/>
        <v>https://portal.dnb.de/opac.htm?method=simpleSearch&amp;cqlMode=true&amp;query=idn%3D1066870780</v>
      </c>
      <c r="E517" s="74" t="s">
        <v>4066</v>
      </c>
      <c r="F517" s="74"/>
      <c r="G517" s="76" t="s">
        <v>8515</v>
      </c>
      <c r="H517" s="77" t="s">
        <v>4</v>
      </c>
      <c r="I517" s="76" t="s">
        <v>53</v>
      </c>
      <c r="J517" s="77" t="s">
        <v>58</v>
      </c>
      <c r="K517" s="77" t="s">
        <v>67</v>
      </c>
      <c r="L517" s="76"/>
      <c r="M517" s="76"/>
      <c r="N517" s="76"/>
      <c r="O517" s="76">
        <v>1</v>
      </c>
      <c r="P517" s="76"/>
      <c r="Q517" s="76"/>
      <c r="R517" s="76"/>
      <c r="S517" s="76"/>
      <c r="BD517" s="99">
        <f t="shared" si="16"/>
        <v>0</v>
      </c>
      <c r="CC517" s="99"/>
      <c r="CV517" s="99"/>
      <c r="CW517" s="63"/>
    </row>
    <row r="518" spans="1:101" x14ac:dyDescent="0.15">
      <c r="A518" s="76">
        <v>477</v>
      </c>
      <c r="B518" s="74" t="s">
        <v>4067</v>
      </c>
      <c r="C518" s="74">
        <v>998470635</v>
      </c>
      <c r="D518" s="78" t="str">
        <f t="shared" si="17"/>
        <v>https://portal.dnb.de/opac.htm?method=simpleSearch&amp;cqlMode=true&amp;query=idn%3D998470635</v>
      </c>
      <c r="E518" s="74" t="s">
        <v>4068</v>
      </c>
      <c r="F518" s="74"/>
      <c r="G518" s="76" t="s">
        <v>8515</v>
      </c>
      <c r="H518" s="77" t="s">
        <v>49</v>
      </c>
      <c r="I518" s="76" t="s">
        <v>53</v>
      </c>
      <c r="J518" s="77" t="s">
        <v>8516</v>
      </c>
      <c r="K518" s="77" t="s">
        <v>84</v>
      </c>
      <c r="L518" s="76"/>
      <c r="M518" s="76"/>
      <c r="N518" s="76"/>
      <c r="O518" s="76">
        <v>0</v>
      </c>
      <c r="P518" s="76"/>
      <c r="Q518" s="76"/>
      <c r="R518" s="76"/>
      <c r="S518" s="76"/>
      <c r="BD518" s="99">
        <f t="shared" si="16"/>
        <v>0</v>
      </c>
      <c r="CC518" s="99"/>
      <c r="CV518" s="99"/>
      <c r="CW518" s="63"/>
    </row>
    <row r="519" spans="1:101" x14ac:dyDescent="0.15">
      <c r="A519" s="76">
        <v>478</v>
      </c>
      <c r="B519" s="74" t="s">
        <v>4069</v>
      </c>
      <c r="C519" s="74">
        <v>1196881103</v>
      </c>
      <c r="D519" s="78" t="str">
        <f t="shared" si="17"/>
        <v>https://portal.dnb.de/opac.htm?method=simpleSearch&amp;cqlMode=true&amp;query=idn%3D1196881103</v>
      </c>
      <c r="E519" s="74" t="s">
        <v>8699</v>
      </c>
      <c r="F519" s="74"/>
      <c r="G519" s="76" t="s">
        <v>8515</v>
      </c>
      <c r="H519" s="77" t="s">
        <v>49</v>
      </c>
      <c r="I519" s="76" t="s">
        <v>53</v>
      </c>
      <c r="J519" s="77" t="s">
        <v>58</v>
      </c>
      <c r="K519" s="77" t="s">
        <v>84</v>
      </c>
      <c r="L519" s="76"/>
      <c r="M519" s="76" t="s">
        <v>36</v>
      </c>
      <c r="N519" s="76" t="s">
        <v>40</v>
      </c>
      <c r="O519" s="76">
        <v>0</v>
      </c>
      <c r="P519" s="76"/>
      <c r="Q519" s="76"/>
      <c r="R519" s="76"/>
      <c r="S519" s="76"/>
      <c r="BD519" s="99">
        <f t="shared" si="16"/>
        <v>0</v>
      </c>
      <c r="CC519" s="99"/>
      <c r="CV519" s="99"/>
      <c r="CW519" s="63"/>
    </row>
    <row r="520" spans="1:101" x14ac:dyDescent="0.15">
      <c r="A520" s="76">
        <v>479</v>
      </c>
      <c r="B520" s="74" t="s">
        <v>4070</v>
      </c>
      <c r="C520" s="74">
        <v>1197547983</v>
      </c>
      <c r="D520" s="78" t="str">
        <f t="shared" si="17"/>
        <v>https://portal.dnb.de/opac.htm?method=simpleSearch&amp;cqlMode=true&amp;query=idn%3D1197547983</v>
      </c>
      <c r="E520" s="74" t="s">
        <v>4071</v>
      </c>
      <c r="F520" s="74"/>
      <c r="G520" s="76" t="s">
        <v>8515</v>
      </c>
      <c r="H520" s="77" t="s">
        <v>49</v>
      </c>
      <c r="I520" s="76" t="s">
        <v>53</v>
      </c>
      <c r="J520" s="77" t="s">
        <v>58</v>
      </c>
      <c r="K520" s="77" t="s">
        <v>84</v>
      </c>
      <c r="L520" s="76"/>
      <c r="M520" s="76" t="s">
        <v>36</v>
      </c>
      <c r="N520" s="76" t="s">
        <v>40</v>
      </c>
      <c r="O520" s="76">
        <v>0</v>
      </c>
      <c r="P520" s="76"/>
      <c r="Q520" s="76"/>
      <c r="R520" s="76"/>
      <c r="S520" s="76"/>
      <c r="BD520" s="99">
        <f t="shared" si="16"/>
        <v>0</v>
      </c>
      <c r="CC520" s="99"/>
      <c r="CV520" s="99"/>
      <c r="CW520" s="63"/>
    </row>
    <row r="521" spans="1:101" ht="22.5" x14ac:dyDescent="0.15">
      <c r="A521" s="76">
        <v>480</v>
      </c>
      <c r="B521" s="74" t="s">
        <v>4145</v>
      </c>
      <c r="C521" s="74" t="s">
        <v>4146</v>
      </c>
      <c r="D521" s="78" t="str">
        <f t="shared" si="17"/>
        <v>https://portal.dnb.de/opac.htm?method=simpleSearch&amp;cqlMode=true&amp;query=idn%3D106687106X</v>
      </c>
      <c r="E521" s="74" t="s">
        <v>4147</v>
      </c>
      <c r="F521" s="74"/>
      <c r="G521" s="76" t="s">
        <v>8541</v>
      </c>
      <c r="H521" s="77" t="s">
        <v>18</v>
      </c>
      <c r="I521" s="76" t="s">
        <v>53</v>
      </c>
      <c r="J521" s="77" t="s">
        <v>8516</v>
      </c>
      <c r="K521" s="77" t="s">
        <v>84</v>
      </c>
      <c r="L521" s="76"/>
      <c r="M521" s="76"/>
      <c r="N521" s="76"/>
      <c r="O521" s="76">
        <v>0</v>
      </c>
      <c r="P521" s="76"/>
      <c r="Q521" s="76"/>
      <c r="R521" s="76"/>
      <c r="S521" s="76"/>
      <c r="BD521" s="99">
        <f t="shared" si="16"/>
        <v>0</v>
      </c>
      <c r="CC521" s="99"/>
      <c r="CV521" s="99"/>
      <c r="CW521" s="63"/>
    </row>
    <row r="522" spans="1:101" ht="22.5" x14ac:dyDescent="0.15">
      <c r="A522" s="76">
        <v>481</v>
      </c>
      <c r="B522" s="74" t="s">
        <v>4148</v>
      </c>
      <c r="C522" s="74" t="s">
        <v>4149</v>
      </c>
      <c r="D522" s="78" t="str">
        <f t="shared" si="17"/>
        <v>https://portal.dnb.de/opac.htm?method=simpleSearch&amp;cqlMode=true&amp;query=idn%3D106684156X</v>
      </c>
      <c r="E522" s="74" t="s">
        <v>4150</v>
      </c>
      <c r="F522" s="74"/>
      <c r="G522" s="76"/>
      <c r="H522" s="77" t="s">
        <v>6</v>
      </c>
      <c r="I522" s="76" t="s">
        <v>53</v>
      </c>
      <c r="J522" s="77" t="s">
        <v>8516</v>
      </c>
      <c r="K522" s="77" t="s">
        <v>8565</v>
      </c>
      <c r="L522" s="76"/>
      <c r="M522" s="76"/>
      <c r="N522" s="76"/>
      <c r="O522" s="76">
        <v>0</v>
      </c>
      <c r="P522" s="76"/>
      <c r="Q522" s="76"/>
      <c r="R522" s="76"/>
      <c r="S522" s="76"/>
      <c r="BD522" s="99">
        <f t="shared" si="16"/>
        <v>0</v>
      </c>
      <c r="CC522" s="99"/>
      <c r="CV522" s="99"/>
      <c r="CW522" s="63"/>
    </row>
    <row r="523" spans="1:101" x14ac:dyDescent="0.15">
      <c r="A523" s="76">
        <v>482</v>
      </c>
      <c r="B523" s="74" t="s">
        <v>4209</v>
      </c>
      <c r="C523" s="74">
        <v>1066962049</v>
      </c>
      <c r="D523" s="78" t="str">
        <f t="shared" si="17"/>
        <v>https://portal.dnb.de/opac.htm?method=simpleSearch&amp;cqlMode=true&amp;query=idn%3D1066962049</v>
      </c>
      <c r="E523" s="74" t="s">
        <v>4210</v>
      </c>
      <c r="F523" s="74"/>
      <c r="G523" s="76"/>
      <c r="H523" s="77" t="s">
        <v>5</v>
      </c>
      <c r="I523" s="76" t="s">
        <v>53</v>
      </c>
      <c r="J523" s="77" t="s">
        <v>8516</v>
      </c>
      <c r="K523" s="77"/>
      <c r="L523" s="76"/>
      <c r="M523" s="76" t="s">
        <v>38</v>
      </c>
      <c r="N523" s="76" t="s">
        <v>40</v>
      </c>
      <c r="O523" s="76">
        <v>0</v>
      </c>
      <c r="P523" s="76"/>
      <c r="Q523" s="76"/>
      <c r="R523" s="76"/>
      <c r="S523" s="76"/>
      <c r="BD523" s="99">
        <f t="shared" si="16"/>
        <v>0</v>
      </c>
      <c r="CC523" s="99"/>
      <c r="CV523" s="99"/>
      <c r="CW523" s="63"/>
    </row>
    <row r="524" spans="1:101" ht="33.75" x14ac:dyDescent="0.15">
      <c r="A524" s="76">
        <v>483</v>
      </c>
      <c r="B524" s="74" t="s">
        <v>4211</v>
      </c>
      <c r="C524" s="74">
        <v>1066843279</v>
      </c>
      <c r="D524" s="78" t="str">
        <f t="shared" si="17"/>
        <v>https://portal.dnb.de/opac.htm?method=simpleSearch&amp;cqlMode=true&amp;query=idn%3D1066843279</v>
      </c>
      <c r="E524" s="74" t="s">
        <v>4212</v>
      </c>
      <c r="F524" s="74"/>
      <c r="G524" s="76" t="s">
        <v>8515</v>
      </c>
      <c r="H524" s="77" t="s">
        <v>8547</v>
      </c>
      <c r="I524" s="76" t="s">
        <v>54</v>
      </c>
      <c r="J524" s="77" t="s">
        <v>8516</v>
      </c>
      <c r="K524" s="77" t="s">
        <v>8667</v>
      </c>
      <c r="L524" s="76"/>
      <c r="M524" s="76" t="s">
        <v>37</v>
      </c>
      <c r="N524" s="76" t="s">
        <v>40</v>
      </c>
      <c r="O524" s="76">
        <v>0</v>
      </c>
      <c r="P524" s="76"/>
      <c r="Q524" s="76"/>
      <c r="R524" s="76"/>
      <c r="S524" s="76"/>
      <c r="BD524" s="99">
        <f t="shared" si="16"/>
        <v>0</v>
      </c>
      <c r="CC524" s="99"/>
      <c r="CV524" s="99"/>
      <c r="CW524" s="63"/>
    </row>
    <row r="525" spans="1:101" ht="22.5" x14ac:dyDescent="0.15">
      <c r="A525" s="76">
        <v>484</v>
      </c>
      <c r="B525" s="74" t="s">
        <v>4213</v>
      </c>
      <c r="C525" s="74">
        <v>1066960216</v>
      </c>
      <c r="D525" s="78" t="str">
        <f t="shared" si="17"/>
        <v>https://portal.dnb.de/opac.htm?method=simpleSearch&amp;cqlMode=true&amp;query=idn%3D1066960216</v>
      </c>
      <c r="E525" s="74" t="s">
        <v>4214</v>
      </c>
      <c r="F525" s="74"/>
      <c r="G525" s="76" t="s">
        <v>8515</v>
      </c>
      <c r="H525" s="77" t="s">
        <v>8547</v>
      </c>
      <c r="I525" s="76" t="s">
        <v>53</v>
      </c>
      <c r="J525" s="77" t="s">
        <v>8516</v>
      </c>
      <c r="K525" s="77" t="s">
        <v>84</v>
      </c>
      <c r="L525" s="76"/>
      <c r="M525" s="76" t="s">
        <v>37</v>
      </c>
      <c r="N525" s="76" t="s">
        <v>40</v>
      </c>
      <c r="O525" s="76">
        <v>0</v>
      </c>
      <c r="P525" s="76"/>
      <c r="Q525" s="76"/>
      <c r="R525" s="76"/>
      <c r="S525" s="76"/>
      <c r="BD525" s="99">
        <f t="shared" si="16"/>
        <v>0</v>
      </c>
      <c r="CC525" s="99"/>
      <c r="CV525" s="99"/>
      <c r="CW525" s="63"/>
    </row>
    <row r="526" spans="1:101" ht="22.5" x14ac:dyDescent="0.15">
      <c r="A526" s="76">
        <v>485</v>
      </c>
      <c r="B526" s="74" t="s">
        <v>4296</v>
      </c>
      <c r="C526" s="74">
        <v>1066941912</v>
      </c>
      <c r="D526" s="78" t="str">
        <f t="shared" si="17"/>
        <v>https://portal.dnb.de/opac.htm?method=simpleSearch&amp;cqlMode=true&amp;query=idn%3D1066941912</v>
      </c>
      <c r="E526" s="74" t="s">
        <v>4297</v>
      </c>
      <c r="F526" s="74"/>
      <c r="G526" s="76" t="s">
        <v>8515</v>
      </c>
      <c r="H526" s="77" t="s">
        <v>18</v>
      </c>
      <c r="I526" s="76" t="s">
        <v>53</v>
      </c>
      <c r="J526" s="77" t="s">
        <v>58</v>
      </c>
      <c r="K526" s="77"/>
      <c r="L526" s="76"/>
      <c r="M526" s="76"/>
      <c r="N526" s="76"/>
      <c r="O526" s="76">
        <v>0</v>
      </c>
      <c r="P526" s="76"/>
      <c r="Q526" s="76"/>
      <c r="R526" s="76"/>
      <c r="S526" s="76"/>
      <c r="BD526" s="99">
        <f t="shared" si="16"/>
        <v>0</v>
      </c>
      <c r="CC526" s="99"/>
      <c r="CV526" s="99"/>
      <c r="CW526" s="63"/>
    </row>
    <row r="527" spans="1:101" x14ac:dyDescent="0.15">
      <c r="A527" s="76">
        <v>486</v>
      </c>
      <c r="B527" s="74" t="s">
        <v>4414</v>
      </c>
      <c r="C527" s="74">
        <v>1001304861</v>
      </c>
      <c r="D527" s="78" t="str">
        <f t="shared" si="17"/>
        <v>https://portal.dnb.de/opac.htm?method=simpleSearch&amp;cqlMode=true&amp;query=idn%3D1001304861</v>
      </c>
      <c r="E527" s="74" t="s">
        <v>4415</v>
      </c>
      <c r="F527" s="74"/>
      <c r="G527" s="76"/>
      <c r="H527" s="77" t="s">
        <v>4</v>
      </c>
      <c r="I527" s="76" t="s">
        <v>54</v>
      </c>
      <c r="J527" s="77" t="s">
        <v>8516</v>
      </c>
      <c r="K527" s="77" t="s">
        <v>8520</v>
      </c>
      <c r="L527" s="76"/>
      <c r="M527" s="76"/>
      <c r="N527" s="76" t="s">
        <v>8660</v>
      </c>
      <c r="O527" s="76">
        <v>0</v>
      </c>
      <c r="P527" s="76"/>
      <c r="Q527" s="76"/>
      <c r="R527" s="76"/>
      <c r="S527" s="76"/>
      <c r="BD527" s="99">
        <f t="shared" si="16"/>
        <v>0</v>
      </c>
      <c r="CC527" s="99"/>
      <c r="CV527" s="99"/>
      <c r="CW527" s="63"/>
    </row>
    <row r="528" spans="1:101" x14ac:dyDescent="0.15">
      <c r="A528" s="76">
        <v>487</v>
      </c>
      <c r="B528" s="74" t="s">
        <v>4416</v>
      </c>
      <c r="C528" s="74">
        <v>995891346</v>
      </c>
      <c r="D528" s="78" t="str">
        <f t="shared" si="17"/>
        <v>https://portal.dnb.de/opac.htm?method=simpleSearch&amp;cqlMode=true&amp;query=idn%3D995891346</v>
      </c>
      <c r="E528" s="74" t="s">
        <v>4415</v>
      </c>
      <c r="F528" s="74"/>
      <c r="G528" s="76"/>
      <c r="H528" s="77"/>
      <c r="I528" s="76"/>
      <c r="J528" s="77"/>
      <c r="K528" s="77"/>
      <c r="L528" s="76"/>
      <c r="M528" s="76"/>
      <c r="N528" s="76"/>
      <c r="O528" s="76"/>
      <c r="P528" s="76"/>
      <c r="Q528" s="76"/>
      <c r="R528" s="76"/>
      <c r="S528" s="76"/>
      <c r="BD528" s="99">
        <f t="shared" si="16"/>
        <v>0</v>
      </c>
      <c r="CC528" s="99"/>
      <c r="CV528" s="99"/>
      <c r="CW528" s="63"/>
    </row>
    <row r="529" spans="1:101" x14ac:dyDescent="0.15">
      <c r="A529" s="76">
        <v>488</v>
      </c>
      <c r="B529" s="74" t="s">
        <v>4425</v>
      </c>
      <c r="C529" s="74">
        <v>999828983</v>
      </c>
      <c r="D529" s="78" t="str">
        <f t="shared" si="17"/>
        <v>https://portal.dnb.de/opac.htm?method=simpleSearch&amp;cqlMode=true&amp;query=idn%3D999828983</v>
      </c>
      <c r="E529" s="74" t="s">
        <v>4426</v>
      </c>
      <c r="F529" s="74"/>
      <c r="G529" s="76"/>
      <c r="H529" s="77" t="s">
        <v>48</v>
      </c>
      <c r="I529" s="76" t="s">
        <v>54</v>
      </c>
      <c r="J529" s="77" t="s">
        <v>8516</v>
      </c>
      <c r="K529" s="77" t="s">
        <v>84</v>
      </c>
      <c r="L529" s="76"/>
      <c r="M529" s="76" t="s">
        <v>38</v>
      </c>
      <c r="N529" s="76" t="s">
        <v>40</v>
      </c>
      <c r="O529" s="76">
        <v>0</v>
      </c>
      <c r="P529" s="76"/>
      <c r="Q529" s="76"/>
      <c r="R529" s="76"/>
      <c r="S529" s="76"/>
      <c r="BD529" s="99">
        <f t="shared" si="16"/>
        <v>0</v>
      </c>
      <c r="CC529" s="99"/>
      <c r="CV529" s="99"/>
      <c r="CW529" s="63"/>
    </row>
    <row r="530" spans="1:101" ht="22.5" x14ac:dyDescent="0.15">
      <c r="A530" s="76">
        <v>489</v>
      </c>
      <c r="B530" s="74" t="s">
        <v>4354</v>
      </c>
      <c r="C530" s="74">
        <v>1066873224</v>
      </c>
      <c r="D530" s="78" t="str">
        <f t="shared" si="17"/>
        <v>https://portal.dnb.de/opac.htm?method=simpleSearch&amp;cqlMode=true&amp;query=idn%3D1066873224</v>
      </c>
      <c r="E530" s="74" t="s">
        <v>4355</v>
      </c>
      <c r="F530" s="74"/>
      <c r="G530" s="76" t="s">
        <v>8515</v>
      </c>
      <c r="H530" s="77" t="s">
        <v>8547</v>
      </c>
      <c r="I530" s="76" t="s">
        <v>54</v>
      </c>
      <c r="J530" s="77" t="s">
        <v>8516</v>
      </c>
      <c r="K530" s="77" t="s">
        <v>8520</v>
      </c>
      <c r="L530" s="76"/>
      <c r="M530" s="76" t="s">
        <v>37</v>
      </c>
      <c r="N530" s="76" t="s">
        <v>40</v>
      </c>
      <c r="O530" s="76">
        <v>0</v>
      </c>
      <c r="P530" s="76"/>
      <c r="Q530" s="76"/>
      <c r="R530" s="76"/>
      <c r="S530" s="76"/>
      <c r="BD530" s="99">
        <f t="shared" si="16"/>
        <v>0</v>
      </c>
      <c r="CC530" s="99"/>
      <c r="CV530" s="99"/>
      <c r="CW530" s="63"/>
    </row>
    <row r="531" spans="1:101" ht="33.75" x14ac:dyDescent="0.15">
      <c r="A531" s="76">
        <v>490</v>
      </c>
      <c r="B531" s="74" t="s">
        <v>4404</v>
      </c>
      <c r="C531" s="74">
        <v>1066942064</v>
      </c>
      <c r="D531" s="78" t="str">
        <f t="shared" si="17"/>
        <v>https://portal.dnb.de/opac.htm?method=simpleSearch&amp;cqlMode=true&amp;query=idn%3D1066942064</v>
      </c>
      <c r="E531" s="74" t="s">
        <v>4405</v>
      </c>
      <c r="F531" s="74"/>
      <c r="G531" s="76" t="s">
        <v>8515</v>
      </c>
      <c r="H531" s="77" t="s">
        <v>8674</v>
      </c>
      <c r="I531" s="76" t="s">
        <v>53</v>
      </c>
      <c r="J531" s="77" t="s">
        <v>8516</v>
      </c>
      <c r="K531" s="77" t="s">
        <v>84</v>
      </c>
      <c r="L531" s="76"/>
      <c r="M531" s="76" t="s">
        <v>37</v>
      </c>
      <c r="N531" s="76" t="s">
        <v>40</v>
      </c>
      <c r="O531" s="76">
        <v>0</v>
      </c>
      <c r="P531" s="76"/>
      <c r="Q531" s="76"/>
      <c r="R531" s="76"/>
      <c r="S531" s="76"/>
      <c r="BD531" s="99">
        <f t="shared" si="16"/>
        <v>0</v>
      </c>
      <c r="CC531" s="99"/>
      <c r="CV531" s="99"/>
      <c r="CW531" s="63"/>
    </row>
    <row r="532" spans="1:101" ht="33.75" x14ac:dyDescent="0.15">
      <c r="A532" s="76">
        <v>491</v>
      </c>
      <c r="B532" s="74" t="s">
        <v>4408</v>
      </c>
      <c r="C532" s="74">
        <v>1066461163</v>
      </c>
      <c r="D532" s="78" t="str">
        <f t="shared" si="17"/>
        <v>https://portal.dnb.de/opac.htm?method=simpleSearch&amp;cqlMode=true&amp;query=idn%3D1066461163</v>
      </c>
      <c r="E532" s="74" t="s">
        <v>4409</v>
      </c>
      <c r="F532" s="74"/>
      <c r="G532" s="76" t="s">
        <v>8515</v>
      </c>
      <c r="H532" s="77" t="s">
        <v>8546</v>
      </c>
      <c r="I532" s="76" t="s">
        <v>53</v>
      </c>
      <c r="J532" s="77" t="s">
        <v>8516</v>
      </c>
      <c r="K532" s="77" t="s">
        <v>84</v>
      </c>
      <c r="L532" s="76"/>
      <c r="M532" s="76" t="s">
        <v>37</v>
      </c>
      <c r="N532" s="76" t="s">
        <v>40</v>
      </c>
      <c r="O532" s="76">
        <v>0</v>
      </c>
      <c r="P532" s="76"/>
      <c r="Q532" s="76"/>
      <c r="R532" s="76"/>
      <c r="S532" s="76"/>
      <c r="BD532" s="99">
        <f t="shared" si="16"/>
        <v>0</v>
      </c>
      <c r="CC532" s="99"/>
      <c r="CV532" s="99"/>
      <c r="CW532" s="63"/>
    </row>
    <row r="533" spans="1:101" ht="22.5" x14ac:dyDescent="0.15">
      <c r="A533" s="76">
        <v>492</v>
      </c>
      <c r="B533" s="74" t="s">
        <v>4410</v>
      </c>
      <c r="C533" s="74">
        <v>1066843082</v>
      </c>
      <c r="D533" s="78" t="str">
        <f t="shared" si="17"/>
        <v>https://portal.dnb.de/opac.htm?method=simpleSearch&amp;cqlMode=true&amp;query=idn%3D1066843082</v>
      </c>
      <c r="E533" s="74" t="s">
        <v>4411</v>
      </c>
      <c r="F533" s="74"/>
      <c r="G533" s="76" t="s">
        <v>8515</v>
      </c>
      <c r="H533" s="77" t="s">
        <v>49</v>
      </c>
      <c r="I533" s="76" t="s">
        <v>53</v>
      </c>
      <c r="J533" s="77" t="s">
        <v>8516</v>
      </c>
      <c r="K533" s="77" t="s">
        <v>8565</v>
      </c>
      <c r="L533" s="76"/>
      <c r="M533" s="76"/>
      <c r="N533" s="76"/>
      <c r="O533" s="76">
        <v>0</v>
      </c>
      <c r="P533" s="76"/>
      <c r="Q533" s="76"/>
      <c r="R533" s="76"/>
      <c r="S533" s="76"/>
      <c r="BD533" s="99">
        <f t="shared" si="16"/>
        <v>0</v>
      </c>
      <c r="CC533" s="99"/>
      <c r="CV533" s="99"/>
      <c r="CW533" s="63"/>
    </row>
    <row r="534" spans="1:101" ht="33.75" x14ac:dyDescent="0.15">
      <c r="A534" s="76">
        <v>493</v>
      </c>
      <c r="B534" s="74" t="s">
        <v>4412</v>
      </c>
      <c r="C534" s="74">
        <v>1066941793</v>
      </c>
      <c r="D534" s="78" t="str">
        <f t="shared" si="17"/>
        <v>https://portal.dnb.de/opac.htm?method=simpleSearch&amp;cqlMode=true&amp;query=idn%3D1066941793</v>
      </c>
      <c r="E534" s="74" t="s">
        <v>4413</v>
      </c>
      <c r="F534" s="74"/>
      <c r="G534" s="76" t="s">
        <v>8515</v>
      </c>
      <c r="H534" s="77" t="s">
        <v>8673</v>
      </c>
      <c r="I534" s="76" t="s">
        <v>53</v>
      </c>
      <c r="J534" s="77" t="s">
        <v>8516</v>
      </c>
      <c r="K534" s="77" t="s">
        <v>8565</v>
      </c>
      <c r="L534" s="76"/>
      <c r="M534" s="76" t="s">
        <v>37</v>
      </c>
      <c r="N534" s="76" t="s">
        <v>40</v>
      </c>
      <c r="O534" s="76">
        <v>0</v>
      </c>
      <c r="P534" s="76"/>
      <c r="Q534" s="76"/>
      <c r="R534" s="76"/>
      <c r="S534" s="76"/>
      <c r="BD534" s="99">
        <f t="shared" si="16"/>
        <v>0</v>
      </c>
      <c r="CC534" s="99"/>
      <c r="CV534" s="99"/>
      <c r="CW534" s="63"/>
    </row>
    <row r="535" spans="1:101" x14ac:dyDescent="0.15">
      <c r="A535" s="76">
        <v>494</v>
      </c>
      <c r="B535" s="74" t="s">
        <v>4421</v>
      </c>
      <c r="C535" s="74">
        <v>1066957827</v>
      </c>
      <c r="D535" s="78" t="str">
        <f t="shared" si="17"/>
        <v>https://portal.dnb.de/opac.htm?method=simpleSearch&amp;cqlMode=true&amp;query=idn%3D1066957827</v>
      </c>
      <c r="E535" s="74" t="s">
        <v>4422</v>
      </c>
      <c r="F535" s="74"/>
      <c r="G535" s="76"/>
      <c r="H535" s="77"/>
      <c r="I535" s="76"/>
      <c r="J535" s="77"/>
      <c r="K535" s="77"/>
      <c r="L535" s="76"/>
      <c r="M535" s="76"/>
      <c r="N535" s="76"/>
      <c r="O535" s="76"/>
      <c r="P535" s="76"/>
      <c r="Q535" s="76"/>
      <c r="R535" s="76"/>
      <c r="S535" s="76"/>
      <c r="BD535" s="99">
        <f t="shared" si="16"/>
        <v>0</v>
      </c>
      <c r="CC535" s="99"/>
      <c r="CV535" s="99"/>
      <c r="CW535" s="63"/>
    </row>
    <row r="536" spans="1:101" ht="22.5" x14ac:dyDescent="0.15">
      <c r="A536" s="76">
        <v>495</v>
      </c>
      <c r="B536" s="74" t="s">
        <v>4423</v>
      </c>
      <c r="C536" s="74">
        <v>1132640377</v>
      </c>
      <c r="D536" s="78" t="str">
        <f t="shared" si="17"/>
        <v>https://portal.dnb.de/opac.htm?method=simpleSearch&amp;cqlMode=true&amp;query=idn%3D1132640377</v>
      </c>
      <c r="E536" s="74" t="s">
        <v>8706</v>
      </c>
      <c r="F536" s="74"/>
      <c r="G536" s="76" t="s">
        <v>8515</v>
      </c>
      <c r="H536" s="77" t="s">
        <v>18</v>
      </c>
      <c r="I536" s="76" t="s">
        <v>53</v>
      </c>
      <c r="J536" s="77" t="s">
        <v>8516</v>
      </c>
      <c r="K536" s="77" t="s">
        <v>8708</v>
      </c>
      <c r="L536" s="76"/>
      <c r="M536" s="76"/>
      <c r="N536" s="76"/>
      <c r="O536" s="76">
        <v>1</v>
      </c>
      <c r="P536" s="76" t="s">
        <v>76</v>
      </c>
      <c r="Q536" s="76"/>
      <c r="R536" s="76"/>
      <c r="S536" s="76"/>
      <c r="Y536" s="95" t="s">
        <v>9725</v>
      </c>
      <c r="AC536" s="95" t="s">
        <v>9739</v>
      </c>
      <c r="AI536" s="95" t="s">
        <v>9725</v>
      </c>
      <c r="AW536" s="95">
        <v>45</v>
      </c>
      <c r="BC536" s="96" t="s">
        <v>9734</v>
      </c>
      <c r="BD536" s="99">
        <f t="shared" si="16"/>
        <v>0</v>
      </c>
      <c r="CC536" s="99"/>
      <c r="CV536" s="99"/>
      <c r="CW536" s="63"/>
    </row>
    <row r="537" spans="1:101" ht="22.5" x14ac:dyDescent="0.15">
      <c r="A537" s="76">
        <v>496</v>
      </c>
      <c r="B537" s="74" t="s">
        <v>4424</v>
      </c>
      <c r="C537" s="74">
        <v>1132640385</v>
      </c>
      <c r="D537" s="78" t="str">
        <f t="shared" si="17"/>
        <v>https://portal.dnb.de/opac.htm?method=simpleSearch&amp;cqlMode=true&amp;query=idn%3D1132640385</v>
      </c>
      <c r="E537" s="74" t="s">
        <v>8707</v>
      </c>
      <c r="F537" s="74"/>
      <c r="G537" s="76" t="s">
        <v>8515</v>
      </c>
      <c r="H537" s="77" t="s">
        <v>18</v>
      </c>
      <c r="I537" s="76" t="s">
        <v>53</v>
      </c>
      <c r="J537" s="77" t="s">
        <v>8516</v>
      </c>
      <c r="K537" s="77" t="s">
        <v>8709</v>
      </c>
      <c r="L537" s="76"/>
      <c r="M537" s="76"/>
      <c r="N537" s="76"/>
      <c r="O537" s="76">
        <v>0</v>
      </c>
      <c r="P537" s="76"/>
      <c r="Q537" s="76"/>
      <c r="R537" s="76"/>
      <c r="S537" s="76"/>
      <c r="Y537" s="95" t="s">
        <v>9725</v>
      </c>
      <c r="AC537" s="95" t="s">
        <v>9739</v>
      </c>
      <c r="AI537" s="95" t="s">
        <v>9725</v>
      </c>
      <c r="AW537" s="95">
        <v>45</v>
      </c>
      <c r="BC537" s="96" t="s">
        <v>9734</v>
      </c>
      <c r="BD537" s="99">
        <f t="shared" si="16"/>
        <v>0</v>
      </c>
      <c r="CC537" s="99"/>
      <c r="CV537" s="99"/>
      <c r="CW537" s="63"/>
    </row>
    <row r="538" spans="1:101" x14ac:dyDescent="0.15">
      <c r="A538" s="76">
        <v>497</v>
      </c>
      <c r="B538" s="74" t="s">
        <v>4427</v>
      </c>
      <c r="C538" s="74">
        <v>1066962529</v>
      </c>
      <c r="D538" s="78" t="str">
        <f t="shared" si="17"/>
        <v>https://portal.dnb.de/opac.htm?method=simpleSearch&amp;cqlMode=true&amp;query=idn%3D1066962529</v>
      </c>
      <c r="E538" s="74" t="s">
        <v>4428</v>
      </c>
      <c r="F538" s="74"/>
      <c r="G538" s="76" t="s">
        <v>8541</v>
      </c>
      <c r="H538" s="77" t="s">
        <v>49</v>
      </c>
      <c r="I538" s="76" t="s">
        <v>54</v>
      </c>
      <c r="J538" s="77" t="s">
        <v>8516</v>
      </c>
      <c r="K538" s="77"/>
      <c r="L538" s="76"/>
      <c r="M538" s="76"/>
      <c r="N538" s="76" t="s">
        <v>8660</v>
      </c>
      <c r="O538" s="76">
        <v>0</v>
      </c>
      <c r="P538" s="76"/>
      <c r="Q538" s="76"/>
      <c r="R538" s="76"/>
      <c r="S538" s="76"/>
      <c r="BD538" s="99">
        <f t="shared" si="16"/>
        <v>0</v>
      </c>
      <c r="CC538" s="99"/>
      <c r="CV538" s="99"/>
      <c r="CW538" s="63"/>
    </row>
    <row r="539" spans="1:101" ht="45" x14ac:dyDescent="0.15">
      <c r="A539" s="76">
        <v>498</v>
      </c>
      <c r="B539" s="74" t="s">
        <v>4431</v>
      </c>
      <c r="C539" s="74">
        <v>1003781160</v>
      </c>
      <c r="D539" s="78" t="str">
        <f t="shared" si="17"/>
        <v>https://portal.dnb.de/opac.htm?method=simpleSearch&amp;cqlMode=true&amp;query=idn%3D1003781160</v>
      </c>
      <c r="E539" s="74" t="s">
        <v>4432</v>
      </c>
      <c r="F539" s="74"/>
      <c r="G539" s="76"/>
      <c r="H539" s="77" t="s">
        <v>4</v>
      </c>
      <c r="I539" s="76" t="s">
        <v>55</v>
      </c>
      <c r="J539" s="77" t="s">
        <v>8516</v>
      </c>
      <c r="K539" s="77" t="s">
        <v>9173</v>
      </c>
      <c r="L539" s="76"/>
      <c r="M539" s="76" t="s">
        <v>32</v>
      </c>
      <c r="N539" s="76"/>
      <c r="O539" s="76">
        <v>3</v>
      </c>
      <c r="P539" s="76"/>
      <c r="Q539" s="76"/>
      <c r="R539" s="76"/>
      <c r="S539" s="76"/>
      <c r="Y539" s="95" t="s">
        <v>9729</v>
      </c>
      <c r="AA539" s="95" t="s">
        <v>8541</v>
      </c>
      <c r="AC539" s="95" t="s">
        <v>10353</v>
      </c>
      <c r="AI539" s="95" t="s">
        <v>9725</v>
      </c>
      <c r="AP539" s="95" t="s">
        <v>8541</v>
      </c>
      <c r="AQ539" s="96" t="s">
        <v>10354</v>
      </c>
      <c r="AW539" s="95">
        <v>45</v>
      </c>
      <c r="BC539" s="96" t="s">
        <v>9726</v>
      </c>
      <c r="BD539" s="99">
        <f t="shared" si="16"/>
        <v>10</v>
      </c>
      <c r="BG539" s="95" t="s">
        <v>10357</v>
      </c>
      <c r="BH539" s="95" t="s">
        <v>8541</v>
      </c>
      <c r="BL539" s="70" t="s">
        <v>10358</v>
      </c>
      <c r="BP539" s="69" t="s">
        <v>8541</v>
      </c>
      <c r="BQ539" s="95" t="s">
        <v>8541</v>
      </c>
      <c r="BR539" s="95" t="s">
        <v>8541</v>
      </c>
      <c r="BT539" s="95" t="s">
        <v>9772</v>
      </c>
      <c r="CC539" s="99">
        <v>7</v>
      </c>
      <c r="CD539" s="90" t="s">
        <v>10355</v>
      </c>
      <c r="CL539" s="95" t="s">
        <v>8541</v>
      </c>
      <c r="CQ539" s="95" t="s">
        <v>8541</v>
      </c>
      <c r="CV539" s="99">
        <v>3</v>
      </c>
      <c r="CW539" s="90" t="s">
        <v>10356</v>
      </c>
    </row>
    <row r="540" spans="1:101" x14ac:dyDescent="0.15">
      <c r="A540" s="76">
        <v>499</v>
      </c>
      <c r="B540" s="74" t="s">
        <v>4363</v>
      </c>
      <c r="C540" s="74" t="s">
        <v>4364</v>
      </c>
      <c r="D540" s="78" t="str">
        <f t="shared" si="17"/>
        <v>https://portal.dnb.de/opac.htm?method=simpleSearch&amp;cqlMode=true&amp;query=idn%3D100004792X</v>
      </c>
      <c r="E540" s="74" t="s">
        <v>4365</v>
      </c>
      <c r="F540" s="74"/>
      <c r="G540" s="76" t="s">
        <v>8515</v>
      </c>
      <c r="H540" s="77" t="s">
        <v>48</v>
      </c>
      <c r="I540" s="76" t="s">
        <v>54</v>
      </c>
      <c r="J540" s="77" t="s">
        <v>8516</v>
      </c>
      <c r="K540" s="77"/>
      <c r="L540" s="76"/>
      <c r="M540" s="76"/>
      <c r="N540" s="76" t="s">
        <v>8660</v>
      </c>
      <c r="O540" s="76">
        <v>0</v>
      </c>
      <c r="P540" s="76"/>
      <c r="Q540" s="76" t="s">
        <v>8847</v>
      </c>
      <c r="R540" s="76"/>
      <c r="S540" s="76"/>
      <c r="BD540" s="99">
        <f t="shared" si="16"/>
        <v>0</v>
      </c>
      <c r="CC540" s="99"/>
      <c r="CV540" s="99"/>
      <c r="CW540" s="63"/>
    </row>
    <row r="541" spans="1:101" x14ac:dyDescent="0.15">
      <c r="A541" s="76">
        <v>500</v>
      </c>
      <c r="B541" s="74" t="s">
        <v>4366</v>
      </c>
      <c r="C541" s="74">
        <v>1000166872</v>
      </c>
      <c r="D541" s="78" t="str">
        <f t="shared" si="17"/>
        <v>https://portal.dnb.de/opac.htm?method=simpleSearch&amp;cqlMode=true&amp;query=idn%3D1000166872</v>
      </c>
      <c r="E541" s="74" t="s">
        <v>4367</v>
      </c>
      <c r="F541" s="74"/>
      <c r="G541" s="76" t="s">
        <v>8541</v>
      </c>
      <c r="H541" s="77" t="s">
        <v>49</v>
      </c>
      <c r="I541" s="76" t="s">
        <v>54</v>
      </c>
      <c r="J541" s="77" t="s">
        <v>89</v>
      </c>
      <c r="K541" s="77"/>
      <c r="L541" s="76"/>
      <c r="M541" s="76"/>
      <c r="N541" s="76" t="s">
        <v>8660</v>
      </c>
      <c r="O541" s="76">
        <v>0</v>
      </c>
      <c r="P541" s="76"/>
      <c r="Q541" s="76"/>
      <c r="R541" s="76"/>
      <c r="S541" s="76"/>
      <c r="BD541" s="99">
        <f t="shared" si="16"/>
        <v>0</v>
      </c>
      <c r="CC541" s="99"/>
      <c r="CV541" s="99"/>
      <c r="CW541" s="63"/>
    </row>
    <row r="542" spans="1:101" ht="22.5" x14ac:dyDescent="0.15">
      <c r="A542" s="76">
        <v>501</v>
      </c>
      <c r="B542" s="74" t="s">
        <v>4368</v>
      </c>
      <c r="C542" s="74" t="s">
        <v>4369</v>
      </c>
      <c r="D542" s="78" t="str">
        <f t="shared" si="17"/>
        <v>https://portal.dnb.de/opac.htm?method=simpleSearch&amp;cqlMode=true&amp;query=idn%3D99469928X</v>
      </c>
      <c r="E542" s="74" t="s">
        <v>4370</v>
      </c>
      <c r="F542" s="74"/>
      <c r="G542" s="76"/>
      <c r="H542" s="77" t="s">
        <v>18</v>
      </c>
      <c r="I542" s="76" t="s">
        <v>53</v>
      </c>
      <c r="J542" s="77" t="s">
        <v>8516</v>
      </c>
      <c r="K542" s="77" t="s">
        <v>84</v>
      </c>
      <c r="L542" s="76"/>
      <c r="M542" s="76"/>
      <c r="N542" s="76"/>
      <c r="O542" s="76">
        <v>0</v>
      </c>
      <c r="P542" s="76"/>
      <c r="Q542" s="76"/>
      <c r="R542" s="76"/>
      <c r="S542" s="76"/>
      <c r="BD542" s="99">
        <f t="shared" si="16"/>
        <v>0</v>
      </c>
      <c r="CC542" s="99"/>
      <c r="CV542" s="99"/>
      <c r="CW542" s="63"/>
    </row>
    <row r="543" spans="1:101" ht="33.75" x14ac:dyDescent="0.15">
      <c r="A543" s="76">
        <v>502</v>
      </c>
      <c r="B543" s="74" t="s">
        <v>4371</v>
      </c>
      <c r="C543" s="74">
        <v>994199406</v>
      </c>
      <c r="D543" s="78" t="str">
        <f t="shared" si="17"/>
        <v>https://portal.dnb.de/opac.htm?method=simpleSearch&amp;cqlMode=true&amp;query=idn%3D994199406</v>
      </c>
      <c r="E543" s="74" t="s">
        <v>4372</v>
      </c>
      <c r="F543" s="74"/>
      <c r="G543" s="76"/>
      <c r="H543" s="77" t="s">
        <v>8673</v>
      </c>
      <c r="I543" s="76" t="s">
        <v>55</v>
      </c>
      <c r="J543" s="77" t="s">
        <v>8516</v>
      </c>
      <c r="K543" s="77" t="s">
        <v>8667</v>
      </c>
      <c r="L543" s="76"/>
      <c r="M543" s="76" t="s">
        <v>37</v>
      </c>
      <c r="N543" s="76" t="s">
        <v>8660</v>
      </c>
      <c r="O543" s="76">
        <v>0</v>
      </c>
      <c r="P543" s="76"/>
      <c r="Q543" s="76"/>
      <c r="R543" s="76"/>
      <c r="S543" s="76"/>
      <c r="BD543" s="99">
        <f t="shared" si="16"/>
        <v>0</v>
      </c>
      <c r="CC543" s="99"/>
      <c r="CV543" s="99"/>
      <c r="CW543" s="63"/>
    </row>
    <row r="544" spans="1:101" x14ac:dyDescent="0.15">
      <c r="A544" s="76">
        <v>503</v>
      </c>
      <c r="B544" s="74" t="s">
        <v>4373</v>
      </c>
      <c r="C544" s="74">
        <v>994199457</v>
      </c>
      <c r="D544" s="78" t="str">
        <f t="shared" si="17"/>
        <v>https://portal.dnb.de/opac.htm?method=simpleSearch&amp;cqlMode=true&amp;query=idn%3D994199457</v>
      </c>
      <c r="E544" s="74" t="s">
        <v>4372</v>
      </c>
      <c r="F544" s="74"/>
      <c r="G544" s="76"/>
      <c r="H544" s="77"/>
      <c r="I544" s="76"/>
      <c r="J544" s="77"/>
      <c r="K544" s="77"/>
      <c r="L544" s="76"/>
      <c r="M544" s="76"/>
      <c r="N544" s="76"/>
      <c r="O544" s="76"/>
      <c r="P544" s="76"/>
      <c r="Q544" s="76"/>
      <c r="R544" s="76"/>
      <c r="S544" s="76"/>
      <c r="BD544" s="99">
        <f t="shared" si="16"/>
        <v>0</v>
      </c>
      <c r="CC544" s="99"/>
      <c r="CV544" s="99"/>
      <c r="CW544" s="63"/>
    </row>
    <row r="545" spans="1:101" x14ac:dyDescent="0.15">
      <c r="A545" s="76">
        <v>504</v>
      </c>
      <c r="B545" s="74" t="s">
        <v>4374</v>
      </c>
      <c r="C545" s="74">
        <v>994199481</v>
      </c>
      <c r="D545" s="78" t="str">
        <f t="shared" si="17"/>
        <v>https://portal.dnb.de/opac.htm?method=simpleSearch&amp;cqlMode=true&amp;query=idn%3D994199481</v>
      </c>
      <c r="E545" s="74" t="s">
        <v>4372</v>
      </c>
      <c r="F545" s="74"/>
      <c r="G545" s="76"/>
      <c r="H545" s="77"/>
      <c r="I545" s="76"/>
      <c r="J545" s="77"/>
      <c r="K545" s="77"/>
      <c r="L545" s="76"/>
      <c r="M545" s="76"/>
      <c r="N545" s="76"/>
      <c r="O545" s="76"/>
      <c r="P545" s="76"/>
      <c r="Q545" s="76"/>
      <c r="R545" s="76"/>
      <c r="S545" s="76"/>
      <c r="BD545" s="99">
        <f t="shared" si="16"/>
        <v>0</v>
      </c>
      <c r="CC545" s="99"/>
      <c r="CV545" s="99"/>
      <c r="CW545" s="63"/>
    </row>
    <row r="546" spans="1:101" x14ac:dyDescent="0.15">
      <c r="A546" s="76">
        <v>505</v>
      </c>
      <c r="B546" s="74" t="s">
        <v>4375</v>
      </c>
      <c r="C546" s="74">
        <v>994199465</v>
      </c>
      <c r="D546" s="78" t="str">
        <f t="shared" si="17"/>
        <v>https://portal.dnb.de/opac.htm?method=simpleSearch&amp;cqlMode=true&amp;query=idn%3D994199465</v>
      </c>
      <c r="E546" s="74" t="s">
        <v>4372</v>
      </c>
      <c r="F546" s="74"/>
      <c r="G546" s="76"/>
      <c r="H546" s="77"/>
      <c r="I546" s="76"/>
      <c r="J546" s="77"/>
      <c r="K546" s="77"/>
      <c r="L546" s="76"/>
      <c r="M546" s="76"/>
      <c r="N546" s="76"/>
      <c r="O546" s="76"/>
      <c r="P546" s="76"/>
      <c r="Q546" s="76"/>
      <c r="R546" s="76"/>
      <c r="S546" s="76"/>
      <c r="BD546" s="99">
        <f t="shared" si="16"/>
        <v>0</v>
      </c>
      <c r="CC546" s="99"/>
      <c r="CV546" s="99"/>
      <c r="CW546" s="63"/>
    </row>
    <row r="547" spans="1:101" x14ac:dyDescent="0.15">
      <c r="A547" s="76">
        <v>506</v>
      </c>
      <c r="B547" s="74" t="s">
        <v>4376</v>
      </c>
      <c r="C547" s="74">
        <v>997638133</v>
      </c>
      <c r="D547" s="78" t="str">
        <f t="shared" si="17"/>
        <v>https://portal.dnb.de/opac.htm?method=simpleSearch&amp;cqlMode=true&amp;query=idn%3D997638133</v>
      </c>
      <c r="E547" s="74" t="s">
        <v>4377</v>
      </c>
      <c r="F547" s="74"/>
      <c r="G547" s="76"/>
      <c r="H547" s="77" t="s">
        <v>5</v>
      </c>
      <c r="I547" s="76" t="s">
        <v>55</v>
      </c>
      <c r="J547" s="77" t="s">
        <v>8516</v>
      </c>
      <c r="K547" s="77" t="s">
        <v>8520</v>
      </c>
      <c r="L547" s="76"/>
      <c r="M547" s="76" t="s">
        <v>37</v>
      </c>
      <c r="N547" s="76" t="s">
        <v>8660</v>
      </c>
      <c r="O547" s="76">
        <v>0</v>
      </c>
      <c r="P547" s="76"/>
      <c r="Q547" s="76"/>
      <c r="R547" s="76"/>
      <c r="S547" s="76"/>
      <c r="BD547" s="99">
        <f t="shared" si="16"/>
        <v>0</v>
      </c>
      <c r="CC547" s="99"/>
      <c r="CV547" s="99"/>
      <c r="CW547" s="63"/>
    </row>
    <row r="548" spans="1:101" x14ac:dyDescent="0.15">
      <c r="A548" s="76">
        <v>507</v>
      </c>
      <c r="B548" s="74" t="s">
        <v>4378</v>
      </c>
      <c r="C548" s="74" t="s">
        <v>4379</v>
      </c>
      <c r="D548" s="78" t="str">
        <f t="shared" si="17"/>
        <v>https://portal.dnb.de/opac.htm?method=simpleSearch&amp;cqlMode=true&amp;query=idn%3D99763751X</v>
      </c>
      <c r="E548" s="74" t="s">
        <v>4377</v>
      </c>
      <c r="F548" s="74"/>
      <c r="G548" s="76"/>
      <c r="H548" s="77"/>
      <c r="I548" s="76"/>
      <c r="J548" s="77"/>
      <c r="K548" s="77"/>
      <c r="L548" s="76"/>
      <c r="M548" s="76"/>
      <c r="N548" s="76"/>
      <c r="O548" s="76"/>
      <c r="P548" s="76"/>
      <c r="Q548" s="76"/>
      <c r="R548" s="76"/>
      <c r="S548" s="76"/>
      <c r="BD548" s="99">
        <f t="shared" si="16"/>
        <v>0</v>
      </c>
      <c r="CC548" s="99"/>
      <c r="CV548" s="99"/>
      <c r="CW548" s="63"/>
    </row>
    <row r="549" spans="1:101" x14ac:dyDescent="0.15">
      <c r="A549" s="76">
        <v>508</v>
      </c>
      <c r="B549" s="74" t="s">
        <v>4380</v>
      </c>
      <c r="C549" s="74">
        <v>997637714</v>
      </c>
      <c r="D549" s="78" t="str">
        <f t="shared" si="17"/>
        <v>https://portal.dnb.de/opac.htm?method=simpleSearch&amp;cqlMode=true&amp;query=idn%3D997637714</v>
      </c>
      <c r="E549" s="74" t="s">
        <v>4377</v>
      </c>
      <c r="F549" s="74"/>
      <c r="G549" s="76"/>
      <c r="H549" s="77"/>
      <c r="I549" s="76"/>
      <c r="J549" s="77"/>
      <c r="K549" s="77"/>
      <c r="L549" s="76"/>
      <c r="M549" s="76"/>
      <c r="N549" s="76"/>
      <c r="O549" s="76"/>
      <c r="P549" s="76"/>
      <c r="Q549" s="76"/>
      <c r="R549" s="76"/>
      <c r="S549" s="76"/>
      <c r="BD549" s="99">
        <f t="shared" si="16"/>
        <v>0</v>
      </c>
      <c r="CC549" s="99"/>
      <c r="CV549" s="99"/>
      <c r="CW549" s="63"/>
    </row>
    <row r="550" spans="1:101" x14ac:dyDescent="0.15">
      <c r="A550" s="76">
        <v>509</v>
      </c>
      <c r="B550" s="74" t="s">
        <v>4381</v>
      </c>
      <c r="C550" s="74">
        <v>997638028</v>
      </c>
      <c r="D550" s="78" t="str">
        <f t="shared" si="17"/>
        <v>https://portal.dnb.de/opac.htm?method=simpleSearch&amp;cqlMode=true&amp;query=idn%3D997638028</v>
      </c>
      <c r="E550" s="74" t="s">
        <v>4377</v>
      </c>
      <c r="F550" s="74"/>
      <c r="G550" s="76"/>
      <c r="H550" s="77"/>
      <c r="I550" s="76"/>
      <c r="J550" s="77"/>
      <c r="K550" s="77"/>
      <c r="L550" s="76"/>
      <c r="M550" s="76"/>
      <c r="N550" s="76"/>
      <c r="O550" s="76"/>
      <c r="P550" s="76"/>
      <c r="Q550" s="76"/>
      <c r="R550" s="76"/>
      <c r="S550" s="76"/>
      <c r="BD550" s="99">
        <f t="shared" si="16"/>
        <v>0</v>
      </c>
      <c r="CC550" s="99"/>
      <c r="CV550" s="99"/>
      <c r="CW550" s="63"/>
    </row>
    <row r="551" spans="1:101" x14ac:dyDescent="0.15">
      <c r="A551" s="76">
        <v>510</v>
      </c>
      <c r="B551" s="74" t="s">
        <v>4388</v>
      </c>
      <c r="C551" s="74">
        <v>1002498406</v>
      </c>
      <c r="D551" s="78" t="str">
        <f t="shared" si="17"/>
        <v>https://portal.dnb.de/opac.htm?method=simpleSearch&amp;cqlMode=true&amp;query=idn%3D1002498406</v>
      </c>
      <c r="E551" s="74" t="s">
        <v>4389</v>
      </c>
      <c r="F551" s="74"/>
      <c r="G551" s="76"/>
      <c r="H551" s="77"/>
      <c r="I551" s="76"/>
      <c r="J551" s="77"/>
      <c r="K551" s="77"/>
      <c r="L551" s="76"/>
      <c r="M551" s="76"/>
      <c r="N551" s="76"/>
      <c r="O551" s="76"/>
      <c r="P551" s="76"/>
      <c r="Q551" s="76"/>
      <c r="R551" s="76"/>
      <c r="S551" s="76"/>
      <c r="BD551" s="99">
        <f t="shared" si="16"/>
        <v>0</v>
      </c>
      <c r="CC551" s="99"/>
      <c r="CV551" s="99"/>
      <c r="CW551" s="63"/>
    </row>
    <row r="552" spans="1:101" x14ac:dyDescent="0.15">
      <c r="A552" s="76">
        <v>511</v>
      </c>
      <c r="B552" s="74" t="s">
        <v>4390</v>
      </c>
      <c r="C552" s="74">
        <v>1002162815</v>
      </c>
      <c r="D552" s="78" t="str">
        <f t="shared" si="17"/>
        <v>https://portal.dnb.de/opac.htm?method=simpleSearch&amp;cqlMode=true&amp;query=idn%3D1002162815</v>
      </c>
      <c r="E552" s="74" t="s">
        <v>4389</v>
      </c>
      <c r="F552" s="74"/>
      <c r="G552" s="76"/>
      <c r="H552" s="77"/>
      <c r="I552" s="76"/>
      <c r="J552" s="77"/>
      <c r="K552" s="77"/>
      <c r="L552" s="76"/>
      <c r="M552" s="76"/>
      <c r="N552" s="76"/>
      <c r="O552" s="76"/>
      <c r="P552" s="76"/>
      <c r="Q552" s="76"/>
      <c r="R552" s="76"/>
      <c r="S552" s="76"/>
      <c r="BD552" s="99">
        <f t="shared" si="16"/>
        <v>0</v>
      </c>
      <c r="CC552" s="99"/>
      <c r="CV552" s="99"/>
      <c r="CW552" s="63"/>
    </row>
    <row r="553" spans="1:101" x14ac:dyDescent="0.15">
      <c r="A553" s="76">
        <v>512</v>
      </c>
      <c r="B553" s="74" t="s">
        <v>4391</v>
      </c>
      <c r="C553" s="74">
        <v>994484259</v>
      </c>
      <c r="D553" s="78" t="str">
        <f t="shared" si="17"/>
        <v>https://portal.dnb.de/opac.htm?method=simpleSearch&amp;cqlMode=true&amp;query=idn%3D994484259</v>
      </c>
      <c r="E553" s="74" t="s">
        <v>4389</v>
      </c>
      <c r="F553" s="74"/>
      <c r="G553" s="76"/>
      <c r="H553" s="77"/>
      <c r="I553" s="76"/>
      <c r="J553" s="77"/>
      <c r="K553" s="77"/>
      <c r="L553" s="76"/>
      <c r="M553" s="76"/>
      <c r="N553" s="76"/>
      <c r="O553" s="76"/>
      <c r="P553" s="76"/>
      <c r="Q553" s="76"/>
      <c r="R553" s="76"/>
      <c r="S553" s="76"/>
      <c r="BD553" s="99">
        <f t="shared" si="16"/>
        <v>0</v>
      </c>
      <c r="CC553" s="99"/>
      <c r="CV553" s="99"/>
      <c r="CW553" s="63"/>
    </row>
    <row r="554" spans="1:101" x14ac:dyDescent="0.15">
      <c r="A554" s="76">
        <v>513</v>
      </c>
      <c r="B554" s="74" t="s">
        <v>4392</v>
      </c>
      <c r="C554" s="74">
        <v>1002332419</v>
      </c>
      <c r="D554" s="78" t="str">
        <f t="shared" si="17"/>
        <v>https://portal.dnb.de/opac.htm?method=simpleSearch&amp;cqlMode=true&amp;query=idn%3D1002332419</v>
      </c>
      <c r="E554" s="74" t="s">
        <v>4393</v>
      </c>
      <c r="F554" s="74"/>
      <c r="G554" s="76"/>
      <c r="H554" s="77" t="s">
        <v>5</v>
      </c>
      <c r="I554" s="76" t="s">
        <v>55</v>
      </c>
      <c r="J554" s="77" t="s">
        <v>8516</v>
      </c>
      <c r="K554" s="77" t="s">
        <v>72</v>
      </c>
      <c r="L554" s="76"/>
      <c r="M554" s="76" t="s">
        <v>36</v>
      </c>
      <c r="N554" s="76" t="s">
        <v>39</v>
      </c>
      <c r="O554" s="76">
        <v>0</v>
      </c>
      <c r="P554" s="76"/>
      <c r="Q554" s="76"/>
      <c r="R554" s="76"/>
      <c r="S554" s="76"/>
      <c r="BD554" s="99">
        <f t="shared" si="16"/>
        <v>0</v>
      </c>
      <c r="CC554" s="99"/>
      <c r="CV554" s="99"/>
      <c r="CW554" s="63"/>
    </row>
    <row r="555" spans="1:101" x14ac:dyDescent="0.15">
      <c r="A555" s="76">
        <v>514</v>
      </c>
      <c r="B555" s="74" t="s">
        <v>4394</v>
      </c>
      <c r="C555" s="74">
        <v>1002332400</v>
      </c>
      <c r="D555" s="78" t="str">
        <f t="shared" si="17"/>
        <v>https://portal.dnb.de/opac.htm?method=simpleSearch&amp;cqlMode=true&amp;query=idn%3D1002332400</v>
      </c>
      <c r="E555" s="74" t="s">
        <v>4393</v>
      </c>
      <c r="F555" s="74"/>
      <c r="G555" s="76"/>
      <c r="H555" s="77" t="s">
        <v>5</v>
      </c>
      <c r="I555" s="76" t="s">
        <v>55</v>
      </c>
      <c r="J555" s="77" t="s">
        <v>8516</v>
      </c>
      <c r="K555" s="77"/>
      <c r="L555" s="76"/>
      <c r="M555" s="76" t="s">
        <v>36</v>
      </c>
      <c r="N555" s="76" t="s">
        <v>39</v>
      </c>
      <c r="O555" s="76">
        <v>0</v>
      </c>
      <c r="P555" s="76"/>
      <c r="Q555" s="76"/>
      <c r="R555" s="76"/>
      <c r="S555" s="76"/>
      <c r="BD555" s="99">
        <f t="shared" si="16"/>
        <v>0</v>
      </c>
      <c r="CC555" s="99"/>
      <c r="CV555" s="99"/>
      <c r="CW555" s="63"/>
    </row>
    <row r="556" spans="1:101" x14ac:dyDescent="0.15">
      <c r="A556" s="76">
        <v>515</v>
      </c>
      <c r="B556" s="74" t="s">
        <v>4395</v>
      </c>
      <c r="C556" s="74">
        <v>999344986</v>
      </c>
      <c r="D556" s="78" t="str">
        <f t="shared" si="17"/>
        <v>https://portal.dnb.de/opac.htm?method=simpleSearch&amp;cqlMode=true&amp;query=idn%3D999344986</v>
      </c>
      <c r="E556" s="74" t="s">
        <v>8704</v>
      </c>
      <c r="F556" s="74"/>
      <c r="G556" s="76" t="s">
        <v>8515</v>
      </c>
      <c r="H556" s="77" t="s">
        <v>4</v>
      </c>
      <c r="I556" s="76" t="s">
        <v>53</v>
      </c>
      <c r="J556" s="77" t="s">
        <v>8516</v>
      </c>
      <c r="K556" s="77" t="s">
        <v>84</v>
      </c>
      <c r="L556" s="76"/>
      <c r="M556" s="76"/>
      <c r="N556" s="76" t="s">
        <v>8660</v>
      </c>
      <c r="O556" s="76">
        <v>2</v>
      </c>
      <c r="P556" s="76"/>
      <c r="Q556" s="76"/>
      <c r="R556" s="76"/>
      <c r="S556" s="76"/>
      <c r="X556" s="95" t="s">
        <v>8541</v>
      </c>
      <c r="Y556" s="95" t="s">
        <v>9723</v>
      </c>
      <c r="AC556" s="95" t="s">
        <v>9737</v>
      </c>
      <c r="AI556" s="95" t="s">
        <v>9725</v>
      </c>
      <c r="AW556" s="95">
        <v>45</v>
      </c>
      <c r="BC556" s="96" t="s">
        <v>9726</v>
      </c>
      <c r="BD556" s="99">
        <f t="shared" si="16"/>
        <v>0.5</v>
      </c>
      <c r="BP556" s="69" t="s">
        <v>8541</v>
      </c>
      <c r="BQ556" s="95" t="s">
        <v>8541</v>
      </c>
      <c r="BR556" s="95" t="s">
        <v>8541</v>
      </c>
      <c r="CB556" s="95" t="s">
        <v>8541</v>
      </c>
      <c r="CC556" s="99">
        <v>0.5</v>
      </c>
      <c r="CV556" s="99"/>
      <c r="CW556" s="63"/>
    </row>
    <row r="557" spans="1:101" x14ac:dyDescent="0.15">
      <c r="A557" s="76">
        <v>516</v>
      </c>
      <c r="B557" s="74" t="s">
        <v>4396</v>
      </c>
      <c r="C557" s="74">
        <v>999345230</v>
      </c>
      <c r="D557" s="78" t="str">
        <f t="shared" si="17"/>
        <v>https://portal.dnb.de/opac.htm?method=simpleSearch&amp;cqlMode=true&amp;query=idn%3D999345230</v>
      </c>
      <c r="E557" s="74" t="s">
        <v>8705</v>
      </c>
      <c r="F557" s="74"/>
      <c r="G557" s="76" t="s">
        <v>8515</v>
      </c>
      <c r="H557" s="77" t="s">
        <v>4</v>
      </c>
      <c r="I557" s="76" t="s">
        <v>53</v>
      </c>
      <c r="J557" s="77" t="s">
        <v>8516</v>
      </c>
      <c r="K557" s="77" t="s">
        <v>84</v>
      </c>
      <c r="L557" s="76"/>
      <c r="M557" s="76"/>
      <c r="N557" s="76" t="s">
        <v>8660</v>
      </c>
      <c r="O557" s="76">
        <v>2</v>
      </c>
      <c r="P557" s="76"/>
      <c r="Q557" s="76"/>
      <c r="R557" s="76"/>
      <c r="S557" s="76"/>
      <c r="X557" s="95" t="s">
        <v>8541</v>
      </c>
      <c r="Y557" s="95" t="s">
        <v>9723</v>
      </c>
      <c r="AC557" s="95" t="s">
        <v>9737</v>
      </c>
      <c r="AI557" s="95" t="s">
        <v>9725</v>
      </c>
      <c r="AW557" s="95">
        <v>45</v>
      </c>
      <c r="BC557" s="96" t="s">
        <v>9734</v>
      </c>
      <c r="BD557" s="99">
        <f t="shared" si="16"/>
        <v>0</v>
      </c>
      <c r="BL557" s="70" t="s">
        <v>10015</v>
      </c>
      <c r="CC557" s="99"/>
      <c r="CV557" s="99"/>
      <c r="CW557" s="63"/>
    </row>
    <row r="558" spans="1:101" ht="22.5" x14ac:dyDescent="0.15">
      <c r="A558" s="76">
        <v>517</v>
      </c>
      <c r="B558" s="74" t="s">
        <v>4433</v>
      </c>
      <c r="C558" s="74">
        <v>995357803</v>
      </c>
      <c r="D558" s="78" t="str">
        <f t="shared" si="17"/>
        <v>https://portal.dnb.de/opac.htm?method=simpleSearch&amp;cqlMode=true&amp;query=idn%3D995357803</v>
      </c>
      <c r="E558" s="74" t="s">
        <v>8524</v>
      </c>
      <c r="F558" s="74"/>
      <c r="G558" s="76" t="s">
        <v>8515</v>
      </c>
      <c r="H558" s="77" t="s">
        <v>48</v>
      </c>
      <c r="I558" s="76" t="s">
        <v>53</v>
      </c>
      <c r="J558" s="77" t="s">
        <v>8516</v>
      </c>
      <c r="K558" s="77" t="s">
        <v>8565</v>
      </c>
      <c r="L558" s="76"/>
      <c r="M558" s="76" t="s">
        <v>38</v>
      </c>
      <c r="N558" s="76" t="s">
        <v>40</v>
      </c>
      <c r="O558" s="76">
        <v>0</v>
      </c>
      <c r="P558" s="76"/>
      <c r="Q558" s="76"/>
      <c r="R558" s="76"/>
      <c r="S558" s="76"/>
      <c r="BD558" s="99">
        <f t="shared" si="16"/>
        <v>0</v>
      </c>
      <c r="CC558" s="99"/>
      <c r="CV558" s="99"/>
      <c r="CW558" s="63"/>
    </row>
    <row r="559" spans="1:101" x14ac:dyDescent="0.15">
      <c r="A559" s="76">
        <v>518</v>
      </c>
      <c r="B559" s="74" t="s">
        <v>4399</v>
      </c>
      <c r="C559" s="74">
        <v>1001539451</v>
      </c>
      <c r="D559" s="78" t="str">
        <f t="shared" si="17"/>
        <v>https://portal.dnb.de/opac.htm?method=simpleSearch&amp;cqlMode=true&amp;query=idn%3D1001539451</v>
      </c>
      <c r="E559" s="74" t="s">
        <v>4400</v>
      </c>
      <c r="F559" s="74"/>
      <c r="G559" s="76"/>
      <c r="H559" s="77" t="s">
        <v>48</v>
      </c>
      <c r="I559" s="76" t="s">
        <v>55</v>
      </c>
      <c r="J559" s="77" t="s">
        <v>8516</v>
      </c>
      <c r="K559" s="77" t="s">
        <v>8785</v>
      </c>
      <c r="L559" s="76"/>
      <c r="M559" s="76"/>
      <c r="N559" s="76" t="s">
        <v>8660</v>
      </c>
      <c r="O559" s="76">
        <v>0</v>
      </c>
      <c r="P559" s="76"/>
      <c r="Q559" s="76"/>
      <c r="R559" s="76"/>
      <c r="S559" s="76"/>
      <c r="BD559" s="99">
        <f t="shared" si="16"/>
        <v>0</v>
      </c>
      <c r="CC559" s="99"/>
      <c r="CV559" s="99"/>
      <c r="CW559" s="63"/>
    </row>
    <row r="560" spans="1:101" ht="22.5" x14ac:dyDescent="0.15">
      <c r="A560" s="76">
        <v>519</v>
      </c>
      <c r="B560" s="74" t="s">
        <v>4406</v>
      </c>
      <c r="C560" s="74">
        <v>1002107342</v>
      </c>
      <c r="D560" s="78" t="str">
        <f t="shared" si="17"/>
        <v>https://portal.dnb.de/opac.htm?method=simpleSearch&amp;cqlMode=true&amp;query=idn%3D1002107342</v>
      </c>
      <c r="E560" s="74" t="s">
        <v>4407</v>
      </c>
      <c r="F560" s="74"/>
      <c r="G560" s="76" t="s">
        <v>8515</v>
      </c>
      <c r="H560" s="77" t="s">
        <v>5</v>
      </c>
      <c r="I560" s="76" t="s">
        <v>53</v>
      </c>
      <c r="J560" s="77" t="s">
        <v>8516</v>
      </c>
      <c r="K560" s="77" t="s">
        <v>8647</v>
      </c>
      <c r="L560" s="76"/>
      <c r="M560" s="76" t="s">
        <v>34</v>
      </c>
      <c r="N560" s="76" t="s">
        <v>40</v>
      </c>
      <c r="O560" s="76">
        <v>1</v>
      </c>
      <c r="P560" s="76"/>
      <c r="Q560" s="76"/>
      <c r="R560" s="76"/>
      <c r="S560" s="76"/>
      <c r="BD560" s="99">
        <f t="shared" si="16"/>
        <v>0</v>
      </c>
      <c r="CC560" s="99"/>
      <c r="CV560" s="99"/>
      <c r="CW560" s="63"/>
    </row>
    <row r="561" spans="1:101" ht="22.5" x14ac:dyDescent="0.15">
      <c r="A561" s="76">
        <v>520</v>
      </c>
      <c r="B561" s="74" t="s">
        <v>4356</v>
      </c>
      <c r="C561" s="74" t="s">
        <v>4357</v>
      </c>
      <c r="D561" s="78" t="str">
        <f t="shared" si="17"/>
        <v>https://portal.dnb.de/opac.htm?method=simpleSearch&amp;cqlMode=true&amp;query=idn%3D99958314X</v>
      </c>
      <c r="E561" s="74" t="s">
        <v>4358</v>
      </c>
      <c r="F561" s="74"/>
      <c r="G561" s="76" t="s">
        <v>8515</v>
      </c>
      <c r="H561" s="77" t="s">
        <v>8547</v>
      </c>
      <c r="I561" s="76" t="s">
        <v>53</v>
      </c>
      <c r="J561" s="77" t="s">
        <v>8516</v>
      </c>
      <c r="K561" s="77" t="s">
        <v>72</v>
      </c>
      <c r="L561" s="76"/>
      <c r="M561" s="76" t="s">
        <v>38</v>
      </c>
      <c r="N561" s="76" t="s">
        <v>8660</v>
      </c>
      <c r="O561" s="76">
        <v>0</v>
      </c>
      <c r="P561" s="76"/>
      <c r="Q561" s="76"/>
      <c r="R561" s="76"/>
      <c r="S561" s="76"/>
      <c r="BD561" s="99">
        <f t="shared" si="16"/>
        <v>0</v>
      </c>
      <c r="CC561" s="99"/>
      <c r="CV561" s="99"/>
      <c r="CW561" s="63"/>
    </row>
    <row r="562" spans="1:101" ht="33.75" x14ac:dyDescent="0.15">
      <c r="A562" s="76">
        <v>521</v>
      </c>
      <c r="B562" s="74" t="s">
        <v>4359</v>
      </c>
      <c r="C562" s="74">
        <v>997212365</v>
      </c>
      <c r="D562" s="78" t="str">
        <f t="shared" si="17"/>
        <v>https://portal.dnb.de/opac.htm?method=simpleSearch&amp;cqlMode=true&amp;query=idn%3D997212365</v>
      </c>
      <c r="E562" s="74" t="s">
        <v>4360</v>
      </c>
      <c r="F562" s="74"/>
      <c r="G562" s="76"/>
      <c r="H562" s="77" t="s">
        <v>8547</v>
      </c>
      <c r="I562" s="76" t="s">
        <v>54</v>
      </c>
      <c r="J562" s="77" t="s">
        <v>8516</v>
      </c>
      <c r="K562" s="77" t="s">
        <v>8928</v>
      </c>
      <c r="L562" s="76"/>
      <c r="M562" s="76"/>
      <c r="N562" s="76" t="s">
        <v>8660</v>
      </c>
      <c r="O562" s="76">
        <v>1</v>
      </c>
      <c r="P562" s="76"/>
      <c r="Q562" s="76"/>
      <c r="R562" s="76"/>
      <c r="S562" s="76"/>
      <c r="BD562" s="99">
        <f t="shared" si="16"/>
        <v>0</v>
      </c>
      <c r="CC562" s="99"/>
      <c r="CV562" s="99"/>
      <c r="CW562" s="63"/>
    </row>
    <row r="563" spans="1:101" x14ac:dyDescent="0.15">
      <c r="A563" s="76">
        <v>522</v>
      </c>
      <c r="B563" s="74" t="s">
        <v>4361</v>
      </c>
      <c r="C563" s="74">
        <v>997212535</v>
      </c>
      <c r="D563" s="78" t="str">
        <f t="shared" si="17"/>
        <v>https://portal.dnb.de/opac.htm?method=simpleSearch&amp;cqlMode=true&amp;query=idn%3D997212535</v>
      </c>
      <c r="E563" s="74" t="s">
        <v>4360</v>
      </c>
      <c r="F563" s="74"/>
      <c r="G563" s="76"/>
      <c r="H563" s="77"/>
      <c r="I563" s="76"/>
      <c r="J563" s="77"/>
      <c r="K563" s="77"/>
      <c r="L563" s="76"/>
      <c r="M563" s="76"/>
      <c r="N563" s="76"/>
      <c r="O563" s="76"/>
      <c r="P563" s="76"/>
      <c r="Q563" s="76"/>
      <c r="R563" s="76"/>
      <c r="S563" s="76"/>
      <c r="BD563" s="99">
        <f t="shared" si="16"/>
        <v>0</v>
      </c>
      <c r="CC563" s="99"/>
      <c r="CV563" s="99"/>
      <c r="CW563" s="63"/>
    </row>
    <row r="564" spans="1:101" x14ac:dyDescent="0.15">
      <c r="A564" s="76">
        <v>523</v>
      </c>
      <c r="B564" s="74" t="s">
        <v>4362</v>
      </c>
      <c r="C564" s="74">
        <v>997171685</v>
      </c>
      <c r="D564" s="78" t="str">
        <f t="shared" si="17"/>
        <v>https://portal.dnb.de/opac.htm?method=simpleSearch&amp;cqlMode=true&amp;query=idn%3D997171685</v>
      </c>
      <c r="E564" s="74" t="s">
        <v>4360</v>
      </c>
      <c r="F564" s="74"/>
      <c r="G564" s="76"/>
      <c r="H564" s="77"/>
      <c r="I564" s="76"/>
      <c r="J564" s="77"/>
      <c r="K564" s="77"/>
      <c r="L564" s="76"/>
      <c r="M564" s="76"/>
      <c r="N564" s="76"/>
      <c r="O564" s="76"/>
      <c r="P564" s="76"/>
      <c r="Q564" s="76"/>
      <c r="R564" s="76"/>
      <c r="S564" s="76"/>
      <c r="BD564" s="99">
        <f t="shared" si="16"/>
        <v>0</v>
      </c>
      <c r="CC564" s="99"/>
      <c r="CV564" s="99"/>
      <c r="CW564" s="63"/>
    </row>
    <row r="565" spans="1:101" x14ac:dyDescent="0.15">
      <c r="A565" s="76">
        <v>524</v>
      </c>
      <c r="B565" s="74" t="s">
        <v>4382</v>
      </c>
      <c r="C565" s="74">
        <v>1001442490</v>
      </c>
      <c r="D565" s="78" t="str">
        <f t="shared" si="17"/>
        <v>https://portal.dnb.de/opac.htm?method=simpleSearch&amp;cqlMode=true&amp;query=idn%3D1001442490</v>
      </c>
      <c r="E565" s="74" t="s">
        <v>4383</v>
      </c>
      <c r="F565" s="74"/>
      <c r="G565" s="76"/>
      <c r="H565" s="77"/>
      <c r="I565" s="76"/>
      <c r="J565" s="77"/>
      <c r="K565" s="77"/>
      <c r="L565" s="76"/>
      <c r="M565" s="76"/>
      <c r="N565" s="76"/>
      <c r="O565" s="76"/>
      <c r="P565" s="76"/>
      <c r="Q565" s="76"/>
      <c r="R565" s="76"/>
      <c r="S565" s="76"/>
      <c r="BD565" s="99">
        <f t="shared" si="16"/>
        <v>0</v>
      </c>
      <c r="CC565" s="99"/>
      <c r="CV565" s="99"/>
      <c r="CW565" s="63"/>
    </row>
    <row r="566" spans="1:101" x14ac:dyDescent="0.15">
      <c r="A566" s="76">
        <v>525</v>
      </c>
      <c r="B566" s="74" t="s">
        <v>4384</v>
      </c>
      <c r="C566" s="74">
        <v>1000730395</v>
      </c>
      <c r="D566" s="78" t="str">
        <f t="shared" si="17"/>
        <v>https://portal.dnb.de/opac.htm?method=simpleSearch&amp;cqlMode=true&amp;query=idn%3D1000730395</v>
      </c>
      <c r="E566" s="74" t="s">
        <v>4383</v>
      </c>
      <c r="F566" s="74"/>
      <c r="G566" s="76"/>
      <c r="H566" s="77"/>
      <c r="I566" s="76"/>
      <c r="J566" s="77"/>
      <c r="K566" s="77"/>
      <c r="L566" s="76"/>
      <c r="M566" s="76"/>
      <c r="N566" s="76"/>
      <c r="O566" s="76"/>
      <c r="P566" s="76"/>
      <c r="Q566" s="76"/>
      <c r="R566" s="76"/>
      <c r="S566" s="76"/>
      <c r="BD566" s="99">
        <f t="shared" si="16"/>
        <v>0</v>
      </c>
      <c r="CC566" s="99"/>
      <c r="CV566" s="99"/>
      <c r="CW566" s="63"/>
    </row>
    <row r="567" spans="1:101" ht="33.75" x14ac:dyDescent="0.15">
      <c r="A567" s="76">
        <v>526</v>
      </c>
      <c r="B567" s="74" t="s">
        <v>4385</v>
      </c>
      <c r="C567" s="74">
        <v>999010174</v>
      </c>
      <c r="D567" s="78" t="str">
        <f t="shared" si="17"/>
        <v>https://portal.dnb.de/opac.htm?method=simpleSearch&amp;cqlMode=true&amp;query=idn%3D999010174</v>
      </c>
      <c r="E567" s="74" t="s">
        <v>4383</v>
      </c>
      <c r="F567" s="74"/>
      <c r="G567" s="76"/>
      <c r="H567" s="77" t="s">
        <v>8546</v>
      </c>
      <c r="I567" s="76" t="s">
        <v>53</v>
      </c>
      <c r="J567" s="77" t="s">
        <v>8516</v>
      </c>
      <c r="K567" s="77" t="s">
        <v>72</v>
      </c>
      <c r="L567" s="76"/>
      <c r="M567" s="76" t="s">
        <v>38</v>
      </c>
      <c r="N567" s="76" t="s">
        <v>40</v>
      </c>
      <c r="O567" s="76">
        <v>0</v>
      </c>
      <c r="P567" s="76"/>
      <c r="Q567" s="76"/>
      <c r="R567" s="76"/>
      <c r="S567" s="76"/>
      <c r="BD567" s="99">
        <f t="shared" si="16"/>
        <v>0</v>
      </c>
      <c r="CC567" s="99"/>
      <c r="CV567" s="99"/>
      <c r="CW567" s="63"/>
    </row>
    <row r="568" spans="1:101" x14ac:dyDescent="0.15">
      <c r="A568" s="76">
        <v>527</v>
      </c>
      <c r="B568" s="74" t="s">
        <v>4386</v>
      </c>
      <c r="C568" s="74">
        <v>1001603222</v>
      </c>
      <c r="D568" s="78" t="str">
        <f t="shared" si="17"/>
        <v>https://portal.dnb.de/opac.htm?method=simpleSearch&amp;cqlMode=true&amp;query=idn%3D1001603222</v>
      </c>
      <c r="E568" s="74" t="s">
        <v>4387</v>
      </c>
      <c r="F568" s="74"/>
      <c r="G568" s="76"/>
      <c r="H568" s="77"/>
      <c r="I568" s="76"/>
      <c r="J568" s="77"/>
      <c r="K568" s="77"/>
      <c r="L568" s="76"/>
      <c r="M568" s="76"/>
      <c r="N568" s="76"/>
      <c r="O568" s="76"/>
      <c r="P568" s="76"/>
      <c r="Q568" s="76"/>
      <c r="R568" s="76"/>
      <c r="S568" s="76"/>
      <c r="BD568" s="99">
        <f t="shared" si="16"/>
        <v>0</v>
      </c>
      <c r="CC568" s="99"/>
      <c r="CV568" s="99"/>
      <c r="CW568" s="63"/>
    </row>
    <row r="569" spans="1:101" ht="22.5" x14ac:dyDescent="0.15">
      <c r="A569" s="76">
        <v>528</v>
      </c>
      <c r="B569" s="74" t="s">
        <v>4397</v>
      </c>
      <c r="C569" s="74">
        <v>995357803</v>
      </c>
      <c r="D569" s="78" t="str">
        <f t="shared" si="17"/>
        <v>https://portal.dnb.de/opac.htm?method=simpleSearch&amp;cqlMode=true&amp;query=idn%3D995357803</v>
      </c>
      <c r="E569" s="74" t="s">
        <v>4398</v>
      </c>
      <c r="F569" s="74"/>
      <c r="G569" s="76" t="s">
        <v>8515</v>
      </c>
      <c r="H569" s="77" t="s">
        <v>4</v>
      </c>
      <c r="I569" s="76" t="s">
        <v>53</v>
      </c>
      <c r="J569" s="77" t="s">
        <v>89</v>
      </c>
      <c r="K569" s="77" t="s">
        <v>8552</v>
      </c>
      <c r="L569" s="76"/>
      <c r="M569" s="76"/>
      <c r="N569" s="76" t="s">
        <v>8660</v>
      </c>
      <c r="O569" s="76">
        <v>0</v>
      </c>
      <c r="P569" s="76"/>
      <c r="Q569" s="76"/>
      <c r="R569" s="76"/>
      <c r="S569" s="76"/>
      <c r="BD569" s="99">
        <f t="shared" si="16"/>
        <v>0</v>
      </c>
      <c r="CC569" s="99"/>
      <c r="CV569" s="99"/>
      <c r="CW569" s="63"/>
    </row>
    <row r="570" spans="1:101" x14ac:dyDescent="0.15">
      <c r="A570" s="76">
        <v>529</v>
      </c>
      <c r="B570" s="74" t="s">
        <v>4401</v>
      </c>
      <c r="C570" s="74">
        <v>995519501</v>
      </c>
      <c r="D570" s="78" t="str">
        <f t="shared" si="17"/>
        <v>https://portal.dnb.de/opac.htm?method=simpleSearch&amp;cqlMode=true&amp;query=idn%3D995519501</v>
      </c>
      <c r="E570" s="74" t="s">
        <v>4402</v>
      </c>
      <c r="F570" s="74"/>
      <c r="G570" s="76" t="s">
        <v>8515</v>
      </c>
      <c r="H570" s="77" t="s">
        <v>5</v>
      </c>
      <c r="I570" s="76" t="s">
        <v>53</v>
      </c>
      <c r="J570" s="77" t="s">
        <v>8516</v>
      </c>
      <c r="K570" s="77"/>
      <c r="L570" s="76"/>
      <c r="M570" s="76" t="s">
        <v>38</v>
      </c>
      <c r="N570" s="76" t="s">
        <v>40</v>
      </c>
      <c r="O570" s="76">
        <v>0</v>
      </c>
      <c r="P570" s="76"/>
      <c r="Q570" s="76"/>
      <c r="R570" s="76"/>
      <c r="S570" s="76"/>
      <c r="BD570" s="99">
        <f t="shared" si="16"/>
        <v>0</v>
      </c>
      <c r="CC570" s="99"/>
      <c r="CV570" s="99"/>
      <c r="CW570" s="63"/>
    </row>
    <row r="571" spans="1:101" x14ac:dyDescent="0.15">
      <c r="A571" s="76">
        <v>530</v>
      </c>
      <c r="B571" s="74" t="s">
        <v>4403</v>
      </c>
      <c r="C571" s="74">
        <v>999452258</v>
      </c>
      <c r="D571" s="78" t="str">
        <f t="shared" si="17"/>
        <v>https://portal.dnb.de/opac.htm?method=simpleSearch&amp;cqlMode=true&amp;query=idn%3D999452258</v>
      </c>
      <c r="E571" s="74" t="s">
        <v>4402</v>
      </c>
      <c r="F571" s="74"/>
      <c r="G571" s="76"/>
      <c r="H571" s="77"/>
      <c r="I571" s="76"/>
      <c r="J571" s="77"/>
      <c r="K571" s="77"/>
      <c r="L571" s="76"/>
      <c r="M571" s="76"/>
      <c r="N571" s="76"/>
      <c r="O571" s="76"/>
      <c r="P571" s="76"/>
      <c r="Q571" s="76"/>
      <c r="R571" s="76"/>
      <c r="S571" s="76"/>
      <c r="BD571" s="99">
        <f t="shared" si="16"/>
        <v>0</v>
      </c>
      <c r="CC571" s="99"/>
      <c r="CV571" s="99"/>
      <c r="CW571" s="63"/>
    </row>
    <row r="572" spans="1:101" ht="33.75" x14ac:dyDescent="0.15">
      <c r="A572" s="76">
        <v>531</v>
      </c>
      <c r="B572" s="74" t="s">
        <v>4417</v>
      </c>
      <c r="C572" s="74">
        <v>996355693</v>
      </c>
      <c r="D572" s="78" t="str">
        <f t="shared" si="17"/>
        <v>https://portal.dnb.de/opac.htm?method=simpleSearch&amp;cqlMode=true&amp;query=idn%3D996355693</v>
      </c>
      <c r="E572" s="74" t="s">
        <v>4418</v>
      </c>
      <c r="F572" s="74"/>
      <c r="G572" s="76"/>
      <c r="H572" s="77" t="s">
        <v>8547</v>
      </c>
      <c r="I572" s="76" t="s">
        <v>55</v>
      </c>
      <c r="J572" s="77" t="s">
        <v>89</v>
      </c>
      <c r="K572" s="77" t="s">
        <v>8667</v>
      </c>
      <c r="L572" s="76"/>
      <c r="M572" s="76" t="s">
        <v>38</v>
      </c>
      <c r="N572" s="76" t="s">
        <v>40</v>
      </c>
      <c r="O572" s="76">
        <v>0</v>
      </c>
      <c r="P572" s="76"/>
      <c r="Q572" s="76"/>
      <c r="R572" s="76"/>
      <c r="S572" s="76"/>
      <c r="BD572" s="99">
        <f t="shared" si="16"/>
        <v>0</v>
      </c>
      <c r="CC572" s="99"/>
      <c r="CV572" s="99"/>
      <c r="CW572" s="63"/>
    </row>
    <row r="573" spans="1:101" x14ac:dyDescent="0.15">
      <c r="A573" s="76">
        <v>532</v>
      </c>
      <c r="B573" s="74" t="s">
        <v>4419</v>
      </c>
      <c r="C573" s="74">
        <v>994423799</v>
      </c>
      <c r="D573" s="78" t="str">
        <f t="shared" si="17"/>
        <v>https://portal.dnb.de/opac.htm?method=simpleSearch&amp;cqlMode=true&amp;query=idn%3D994423799</v>
      </c>
      <c r="E573" s="74" t="s">
        <v>4420</v>
      </c>
      <c r="F573" s="74"/>
      <c r="G573" s="76"/>
      <c r="H573" s="77"/>
      <c r="I573" s="76"/>
      <c r="J573" s="77"/>
      <c r="K573" s="77"/>
      <c r="L573" s="76"/>
      <c r="M573" s="76"/>
      <c r="N573" s="76"/>
      <c r="O573" s="76"/>
      <c r="P573" s="76"/>
      <c r="Q573" s="76"/>
      <c r="R573" s="76"/>
      <c r="S573" s="76"/>
      <c r="BD573" s="99">
        <f t="shared" si="16"/>
        <v>0</v>
      </c>
      <c r="CC573" s="99"/>
      <c r="CV573" s="99"/>
      <c r="CW573" s="63"/>
    </row>
    <row r="574" spans="1:101" ht="22.5" x14ac:dyDescent="0.15">
      <c r="A574" s="76">
        <v>533</v>
      </c>
      <c r="B574" s="74" t="s">
        <v>4429</v>
      </c>
      <c r="C574" s="74">
        <v>1209571099</v>
      </c>
      <c r="D574" s="78" t="str">
        <f t="shared" si="17"/>
        <v>https://portal.dnb.de/opac.htm?method=simpleSearch&amp;cqlMode=true&amp;query=idn%3D1209571099</v>
      </c>
      <c r="E574" s="74" t="s">
        <v>4430</v>
      </c>
      <c r="F574" s="74"/>
      <c r="G574" s="76"/>
      <c r="H574" s="77" t="s">
        <v>8547</v>
      </c>
      <c r="I574" s="76" t="s">
        <v>53</v>
      </c>
      <c r="J574" s="77" t="s">
        <v>8516</v>
      </c>
      <c r="K574" s="77" t="s">
        <v>84</v>
      </c>
      <c r="L574" s="76"/>
      <c r="M574" s="76" t="s">
        <v>37</v>
      </c>
      <c r="N574" s="76" t="s">
        <v>40</v>
      </c>
      <c r="O574" s="76">
        <v>0</v>
      </c>
      <c r="P574" s="76"/>
      <c r="Q574" s="76"/>
      <c r="R574" s="76"/>
      <c r="S574" s="76"/>
      <c r="BD574" s="99">
        <f t="shared" si="16"/>
        <v>0</v>
      </c>
      <c r="CC574" s="99"/>
      <c r="CV574" s="99"/>
      <c r="CW574" s="63"/>
    </row>
    <row r="575" spans="1:101" ht="22.5" x14ac:dyDescent="0.15">
      <c r="A575" s="76">
        <v>534</v>
      </c>
      <c r="B575" s="74" t="s">
        <v>4791</v>
      </c>
      <c r="C575" s="74">
        <v>1066941122</v>
      </c>
      <c r="D575" s="78" t="str">
        <f t="shared" si="17"/>
        <v>https://portal.dnb.de/opac.htm?method=simpleSearch&amp;cqlMode=true&amp;query=idn%3D1066941122</v>
      </c>
      <c r="E575" s="74" t="s">
        <v>4792</v>
      </c>
      <c r="F575" s="74"/>
      <c r="G575" s="76" t="s">
        <v>8515</v>
      </c>
      <c r="H575" s="77" t="s">
        <v>18</v>
      </c>
      <c r="I575" s="76" t="s">
        <v>53</v>
      </c>
      <c r="J575" s="77" t="s">
        <v>58</v>
      </c>
      <c r="K575" s="77" t="s">
        <v>84</v>
      </c>
      <c r="L575" s="76"/>
      <c r="M575" s="76"/>
      <c r="N575" s="76"/>
      <c r="O575" s="76">
        <v>0</v>
      </c>
      <c r="P575" s="76"/>
      <c r="Q575" s="76"/>
      <c r="R575" s="76"/>
      <c r="S575" s="76"/>
      <c r="BD575" s="99">
        <f t="shared" si="16"/>
        <v>0</v>
      </c>
      <c r="CC575" s="99"/>
      <c r="CV575" s="99"/>
      <c r="CW575" s="63"/>
    </row>
    <row r="576" spans="1:101" x14ac:dyDescent="0.15">
      <c r="A576" s="76">
        <v>535</v>
      </c>
      <c r="B576" s="74" t="s">
        <v>4878</v>
      </c>
      <c r="C576" s="74">
        <v>1132646650</v>
      </c>
      <c r="D576" s="81" t="str">
        <f>HYPERLINK(CONCATENATE("https://portal.dnb.de/opac.htm?method=simpleSearch&amp;cqlMode=true&amp;query=idn%3D",C576))</f>
        <v>https://portal.dnb.de/opac.htm?method=simpleSearch&amp;cqlMode=true&amp;query=idn%3D1132646650</v>
      </c>
      <c r="E576" s="74" t="s">
        <v>8711</v>
      </c>
      <c r="F576" s="74"/>
      <c r="G576" s="76" t="s">
        <v>8541</v>
      </c>
      <c r="H576" s="77" t="s">
        <v>6</v>
      </c>
      <c r="I576" s="76" t="s">
        <v>53</v>
      </c>
      <c r="J576" s="77" t="s">
        <v>8516</v>
      </c>
      <c r="K576" s="77"/>
      <c r="L576" s="76"/>
      <c r="M576" s="76"/>
      <c r="N576" s="76"/>
      <c r="O576" s="76">
        <v>0</v>
      </c>
      <c r="P576" s="76"/>
      <c r="Q576" s="76"/>
      <c r="R576" s="76"/>
      <c r="S576" s="76"/>
      <c r="BD576" s="99">
        <f t="shared" si="16"/>
        <v>0</v>
      </c>
      <c r="CC576" s="99"/>
      <c r="CV576" s="99"/>
      <c r="CW576" s="63"/>
    </row>
    <row r="577" spans="1:101" ht="22.5" x14ac:dyDescent="0.15">
      <c r="A577" s="76">
        <v>536</v>
      </c>
      <c r="B577" s="74" t="s">
        <v>4879</v>
      </c>
      <c r="C577" s="74">
        <v>1132646669</v>
      </c>
      <c r="D577" s="81" t="str">
        <f>HYPERLINK(CONCATENATE("https://portal.dnb.de/opac.htm?method=simpleSearch&amp;cqlMode=true&amp;query=idn%3D",C577))</f>
        <v>https://portal.dnb.de/opac.htm?method=simpleSearch&amp;cqlMode=true&amp;query=idn%3D1132646669</v>
      </c>
      <c r="E577" s="74" t="s">
        <v>10020</v>
      </c>
      <c r="F577" s="74"/>
      <c r="G577" s="76"/>
      <c r="H577" s="77" t="s">
        <v>8547</v>
      </c>
      <c r="I577" s="76" t="s">
        <v>53</v>
      </c>
      <c r="J577" s="77" t="s">
        <v>8516</v>
      </c>
      <c r="K577" s="77" t="s">
        <v>84</v>
      </c>
      <c r="L577" s="76"/>
      <c r="M577" s="76" t="s">
        <v>37</v>
      </c>
      <c r="N577" s="76" t="s">
        <v>40</v>
      </c>
      <c r="O577" s="76">
        <v>0</v>
      </c>
      <c r="P577" s="76"/>
      <c r="Q577" s="76"/>
      <c r="R577" s="76"/>
      <c r="S577" s="76"/>
      <c r="Y577" s="95" t="s">
        <v>9736</v>
      </c>
      <c r="AA577" s="95" t="s">
        <v>8541</v>
      </c>
      <c r="AC577" s="95" t="s">
        <v>9737</v>
      </c>
      <c r="AI577" s="95" t="s">
        <v>9725</v>
      </c>
      <c r="AW577" s="95">
        <v>45</v>
      </c>
      <c r="BC577" s="96" t="s">
        <v>9726</v>
      </c>
      <c r="BD577" s="99">
        <f t="shared" si="16"/>
        <v>0.5</v>
      </c>
      <c r="BH577" s="95" t="s">
        <v>8541</v>
      </c>
      <c r="BM577" s="69" t="s">
        <v>10008</v>
      </c>
      <c r="BP577" s="69" t="s">
        <v>8541</v>
      </c>
      <c r="BR577" s="95" t="s">
        <v>8541</v>
      </c>
      <c r="CC577" s="99">
        <v>0.5</v>
      </c>
      <c r="CV577" s="99"/>
      <c r="CW577" s="63"/>
    </row>
    <row r="578" spans="1:101" x14ac:dyDescent="0.15">
      <c r="A578" s="76"/>
      <c r="B578" s="74"/>
      <c r="C578" s="74"/>
      <c r="D578" s="81"/>
      <c r="E578" s="74" t="s">
        <v>10019</v>
      </c>
      <c r="F578" s="74"/>
      <c r="G578" s="76"/>
      <c r="H578" s="77"/>
      <c r="I578" s="76" t="s">
        <v>53</v>
      </c>
      <c r="J578" s="77"/>
      <c r="K578" s="77"/>
      <c r="L578" s="76"/>
      <c r="M578" s="76"/>
      <c r="N578" s="76"/>
      <c r="O578" s="76"/>
      <c r="P578" s="76"/>
      <c r="Q578" s="76"/>
      <c r="R578" s="76"/>
      <c r="S578" s="76"/>
      <c r="Y578" s="95" t="s">
        <v>9736</v>
      </c>
      <c r="AA578" s="95" t="s">
        <v>8541</v>
      </c>
      <c r="AC578" s="95" t="s">
        <v>9737</v>
      </c>
      <c r="AI578" s="95" t="s">
        <v>9725</v>
      </c>
      <c r="AW578" s="95">
        <v>45</v>
      </c>
      <c r="BC578" s="96" t="s">
        <v>9726</v>
      </c>
      <c r="BD578" s="99">
        <f t="shared" si="16"/>
        <v>0.5</v>
      </c>
      <c r="BH578" s="95" t="s">
        <v>8541</v>
      </c>
      <c r="BM578" s="69" t="s">
        <v>10008</v>
      </c>
      <c r="BP578" s="69" t="s">
        <v>8541</v>
      </c>
      <c r="BR578" s="95" t="s">
        <v>8541</v>
      </c>
      <c r="CC578" s="99">
        <v>0.5</v>
      </c>
      <c r="CS578" s="95" t="s">
        <v>9736</v>
      </c>
      <c r="CT578" s="95" t="s">
        <v>8541</v>
      </c>
      <c r="CV578" s="99"/>
      <c r="CW578" s="63"/>
    </row>
    <row r="579" spans="1:101" x14ac:dyDescent="0.15">
      <c r="A579" s="76">
        <v>537</v>
      </c>
      <c r="B579" s="74" t="s">
        <v>4880</v>
      </c>
      <c r="C579" s="74">
        <v>1066850348</v>
      </c>
      <c r="D579" s="78" t="str">
        <f t="shared" si="17"/>
        <v>https://portal.dnb.de/opac.htm?method=simpleSearch&amp;cqlMode=true&amp;query=idn%3D1066850348</v>
      </c>
      <c r="E579" s="74" t="s">
        <v>4881</v>
      </c>
      <c r="F579" s="74"/>
      <c r="G579" s="76"/>
      <c r="H579" s="77" t="s">
        <v>6</v>
      </c>
      <c r="I579" s="76" t="s">
        <v>53</v>
      </c>
      <c r="J579" s="77" t="s">
        <v>8516</v>
      </c>
      <c r="K579" s="77" t="s">
        <v>84</v>
      </c>
      <c r="L579" s="76"/>
      <c r="M579" s="76"/>
      <c r="N579" s="76"/>
      <c r="O579" s="76">
        <v>0</v>
      </c>
      <c r="P579" s="76"/>
      <c r="Q579" s="76"/>
      <c r="R579" s="76"/>
      <c r="S579" s="76"/>
      <c r="Y579" s="95" t="s">
        <v>9735</v>
      </c>
      <c r="AA579" s="95" t="s">
        <v>8541</v>
      </c>
      <c r="AC579" s="95" t="s">
        <v>9739</v>
      </c>
      <c r="AI579" s="95" t="s">
        <v>9725</v>
      </c>
      <c r="AW579" s="95">
        <v>80</v>
      </c>
      <c r="BC579" s="96" t="s">
        <v>9726</v>
      </c>
      <c r="BD579" s="99">
        <f t="shared" ref="BD579:BD642" si="18">CC579+CV579</f>
        <v>0.5</v>
      </c>
      <c r="BP579" s="69" t="s">
        <v>8541</v>
      </c>
      <c r="BR579" s="95" t="s">
        <v>8541</v>
      </c>
      <c r="CC579" s="99">
        <v>0.5</v>
      </c>
      <c r="CV579" s="99"/>
      <c r="CW579" s="63"/>
    </row>
    <row r="580" spans="1:101" ht="22.5" x14ac:dyDescent="0.15">
      <c r="A580" s="76">
        <v>538</v>
      </c>
      <c r="B580" s="74" t="s">
        <v>4882</v>
      </c>
      <c r="C580" s="74">
        <v>1002955246</v>
      </c>
      <c r="D580" s="78" t="str">
        <f t="shared" si="17"/>
        <v>https://portal.dnb.de/opac.htm?method=simpleSearch&amp;cqlMode=true&amp;query=idn%3D1002955246</v>
      </c>
      <c r="E580" s="74" t="s">
        <v>4883</v>
      </c>
      <c r="F580" s="74"/>
      <c r="G580" s="76" t="s">
        <v>8515</v>
      </c>
      <c r="H580" s="77" t="s">
        <v>18</v>
      </c>
      <c r="I580" s="76" t="s">
        <v>53</v>
      </c>
      <c r="J580" s="77" t="s">
        <v>58</v>
      </c>
      <c r="K580" s="77"/>
      <c r="L580" s="76"/>
      <c r="M580" s="76"/>
      <c r="N580" s="76"/>
      <c r="O580" s="76">
        <v>0</v>
      </c>
      <c r="P580" s="76"/>
      <c r="Q580" s="76"/>
      <c r="R580" s="76"/>
      <c r="S580" s="76"/>
      <c r="BD580" s="99">
        <f t="shared" si="18"/>
        <v>0</v>
      </c>
      <c r="CC580" s="99"/>
      <c r="CV580" s="99"/>
      <c r="CW580" s="63"/>
    </row>
    <row r="581" spans="1:101" ht="33.75" x14ac:dyDescent="0.15">
      <c r="A581" s="76">
        <v>539</v>
      </c>
      <c r="B581" s="74" t="s">
        <v>4884</v>
      </c>
      <c r="C581" s="74">
        <v>998891991</v>
      </c>
      <c r="D581" s="78" t="str">
        <f t="shared" ref="D581:D645" si="19">HYPERLINK(CONCATENATE("https://portal.dnb.de/opac.htm?method=simpleSearch&amp;cqlMode=true&amp;query=idn%3D",C581))</f>
        <v>https://portal.dnb.de/opac.htm?method=simpleSearch&amp;cqlMode=true&amp;query=idn%3D998891991</v>
      </c>
      <c r="E581" s="74" t="s">
        <v>4885</v>
      </c>
      <c r="F581" s="74"/>
      <c r="G581" s="76"/>
      <c r="H581" s="77" t="s">
        <v>8673</v>
      </c>
      <c r="I581" s="76" t="s">
        <v>53</v>
      </c>
      <c r="J581" s="77" t="s">
        <v>8516</v>
      </c>
      <c r="K581" s="77" t="s">
        <v>72</v>
      </c>
      <c r="L581" s="76"/>
      <c r="M581" s="76"/>
      <c r="N581" s="76"/>
      <c r="O581" s="76">
        <v>0</v>
      </c>
      <c r="P581" s="76"/>
      <c r="Q581" s="76"/>
      <c r="R581" s="76"/>
      <c r="S581" s="76"/>
      <c r="BD581" s="99">
        <f t="shared" si="18"/>
        <v>0</v>
      </c>
      <c r="CC581" s="99"/>
      <c r="CV581" s="99"/>
      <c r="CW581" s="63"/>
    </row>
    <row r="582" spans="1:101" ht="22.5" x14ac:dyDescent="0.15">
      <c r="A582" s="76">
        <v>540</v>
      </c>
      <c r="B582" s="74" t="s">
        <v>4886</v>
      </c>
      <c r="C582" s="74">
        <v>1003281370</v>
      </c>
      <c r="D582" s="78" t="str">
        <f t="shared" si="19"/>
        <v>https://portal.dnb.de/opac.htm?method=simpleSearch&amp;cqlMode=true&amp;query=idn%3D1003281370</v>
      </c>
      <c r="E582" s="74" t="s">
        <v>4887</v>
      </c>
      <c r="F582" s="74"/>
      <c r="G582" s="76" t="s">
        <v>8515</v>
      </c>
      <c r="H582" s="77" t="s">
        <v>18</v>
      </c>
      <c r="I582" s="76" t="s">
        <v>53</v>
      </c>
      <c r="J582" s="77" t="s">
        <v>58</v>
      </c>
      <c r="K582" s="77" t="s">
        <v>84</v>
      </c>
      <c r="L582" s="76"/>
      <c r="M582" s="76"/>
      <c r="N582" s="76"/>
      <c r="O582" s="76">
        <v>0</v>
      </c>
      <c r="P582" s="76"/>
      <c r="Q582" s="76"/>
      <c r="R582" s="76"/>
      <c r="S582" s="76"/>
      <c r="BD582" s="99">
        <f t="shared" si="18"/>
        <v>0</v>
      </c>
      <c r="CC582" s="99"/>
      <c r="CV582" s="99"/>
      <c r="CW582" s="63"/>
    </row>
    <row r="583" spans="1:101" x14ac:dyDescent="0.15">
      <c r="A583" s="76">
        <v>541</v>
      </c>
      <c r="B583" s="74" t="s">
        <v>4888</v>
      </c>
      <c r="C583" s="74">
        <v>994218133</v>
      </c>
      <c r="D583" s="78" t="str">
        <f t="shared" si="19"/>
        <v>https://portal.dnb.de/opac.htm?method=simpleSearch&amp;cqlMode=true&amp;query=idn%3D994218133</v>
      </c>
      <c r="E583" s="74" t="s">
        <v>4889</v>
      </c>
      <c r="F583" s="74"/>
      <c r="G583" s="76"/>
      <c r="H583" s="77" t="s">
        <v>4</v>
      </c>
      <c r="I583" s="76" t="s">
        <v>54</v>
      </c>
      <c r="J583" s="77" t="s">
        <v>58</v>
      </c>
      <c r="K583" s="77" t="s">
        <v>84</v>
      </c>
      <c r="L583" s="76"/>
      <c r="M583" s="76"/>
      <c r="N583" s="76"/>
      <c r="O583" s="76">
        <v>0</v>
      </c>
      <c r="P583" s="76"/>
      <c r="Q583" s="76"/>
      <c r="R583" s="76"/>
      <c r="S583" s="76"/>
      <c r="BD583" s="99">
        <f t="shared" si="18"/>
        <v>0</v>
      </c>
      <c r="CC583" s="99"/>
      <c r="CV583" s="99"/>
      <c r="CW583" s="63"/>
    </row>
    <row r="584" spans="1:101" ht="33.75" x14ac:dyDescent="0.15">
      <c r="A584" s="76">
        <v>542</v>
      </c>
      <c r="B584" s="74" t="s">
        <v>5429</v>
      </c>
      <c r="C584" s="74">
        <v>994581025</v>
      </c>
      <c r="D584" s="78" t="str">
        <f t="shared" si="19"/>
        <v>https://portal.dnb.de/opac.htm?method=simpleSearch&amp;cqlMode=true&amp;query=idn%3D994581025</v>
      </c>
      <c r="E584" s="74" t="s">
        <v>5430</v>
      </c>
      <c r="F584" s="74"/>
      <c r="G584" s="76"/>
      <c r="H584" s="77" t="s">
        <v>8674</v>
      </c>
      <c r="I584" s="76" t="s">
        <v>53</v>
      </c>
      <c r="J584" s="77" t="s">
        <v>8516</v>
      </c>
      <c r="K584" s="77" t="s">
        <v>8565</v>
      </c>
      <c r="L584" s="76"/>
      <c r="M584" s="76"/>
      <c r="N584" s="76"/>
      <c r="O584" s="76">
        <v>0</v>
      </c>
      <c r="P584" s="76"/>
      <c r="Q584" s="76"/>
      <c r="R584" s="76"/>
      <c r="S584" s="76"/>
      <c r="BD584" s="99">
        <f t="shared" si="18"/>
        <v>0</v>
      </c>
      <c r="CC584" s="99"/>
      <c r="CV584" s="99"/>
      <c r="CW584" s="63"/>
    </row>
    <row r="585" spans="1:101" x14ac:dyDescent="0.15">
      <c r="A585" s="76">
        <v>543</v>
      </c>
      <c r="B585" s="74" t="s">
        <v>5506</v>
      </c>
      <c r="C585" s="74">
        <v>1066841780</v>
      </c>
      <c r="D585" s="78" t="str">
        <f t="shared" si="19"/>
        <v>https://portal.dnb.de/opac.htm?method=simpleSearch&amp;cqlMode=true&amp;query=idn%3D1066841780</v>
      </c>
      <c r="E585" s="74" t="s">
        <v>5507</v>
      </c>
      <c r="F585" s="74"/>
      <c r="G585" s="76" t="s">
        <v>8541</v>
      </c>
      <c r="H585" s="77" t="s">
        <v>47</v>
      </c>
      <c r="I585" s="76"/>
      <c r="J585" s="77" t="s">
        <v>58</v>
      </c>
      <c r="K585" s="77"/>
      <c r="L585" s="76"/>
      <c r="M585" s="76"/>
      <c r="N585" s="76"/>
      <c r="O585" s="76"/>
      <c r="P585" s="76"/>
      <c r="Q585" s="76"/>
      <c r="R585" s="76"/>
      <c r="S585" s="76"/>
      <c r="BD585" s="99">
        <f t="shared" si="18"/>
        <v>0</v>
      </c>
      <c r="CC585" s="99"/>
      <c r="CV585" s="99"/>
      <c r="CW585" s="63"/>
    </row>
    <row r="586" spans="1:101" x14ac:dyDescent="0.15">
      <c r="A586" s="76">
        <v>544</v>
      </c>
      <c r="B586" s="74" t="s">
        <v>5508</v>
      </c>
      <c r="C586" s="74">
        <v>1066936412</v>
      </c>
      <c r="D586" s="78" t="str">
        <f t="shared" si="19"/>
        <v>https://portal.dnb.de/opac.htm?method=simpleSearch&amp;cqlMode=true&amp;query=idn%3D1066936412</v>
      </c>
      <c r="E586" s="74" t="s">
        <v>5509</v>
      </c>
      <c r="F586" s="74"/>
      <c r="G586" s="76" t="s">
        <v>8541</v>
      </c>
      <c r="H586" s="77" t="s">
        <v>47</v>
      </c>
      <c r="I586" s="76" t="s">
        <v>53</v>
      </c>
      <c r="J586" s="77" t="s">
        <v>58</v>
      </c>
      <c r="K586" s="77"/>
      <c r="L586" s="76"/>
      <c r="M586" s="76"/>
      <c r="N586" s="76"/>
      <c r="O586" s="76">
        <v>0</v>
      </c>
      <c r="P586" s="76"/>
      <c r="Q586" s="76"/>
      <c r="R586" s="76"/>
      <c r="S586" s="76"/>
      <c r="BD586" s="99">
        <f t="shared" si="18"/>
        <v>0</v>
      </c>
      <c r="CC586" s="99"/>
      <c r="CV586" s="99"/>
      <c r="CW586" s="63"/>
    </row>
    <row r="587" spans="1:101" x14ac:dyDescent="0.15">
      <c r="A587" s="76">
        <v>545</v>
      </c>
      <c r="B587" s="74" t="s">
        <v>5559</v>
      </c>
      <c r="C587" s="74">
        <v>1066772886</v>
      </c>
      <c r="D587" s="78" t="str">
        <f t="shared" si="19"/>
        <v>https://portal.dnb.de/opac.htm?method=simpleSearch&amp;cqlMode=true&amp;query=idn%3D1066772886</v>
      </c>
      <c r="E587" s="74" t="s">
        <v>5560</v>
      </c>
      <c r="F587" s="74"/>
      <c r="G587" s="76" t="s">
        <v>8515</v>
      </c>
      <c r="H587" s="77" t="s">
        <v>48</v>
      </c>
      <c r="I587" s="76" t="s">
        <v>53</v>
      </c>
      <c r="J587" s="77" t="s">
        <v>58</v>
      </c>
      <c r="K587" s="77" t="s">
        <v>84</v>
      </c>
      <c r="L587" s="76"/>
      <c r="M587" s="76"/>
      <c r="N587" s="76"/>
      <c r="O587" s="76">
        <v>0</v>
      </c>
      <c r="P587" s="76"/>
      <c r="Q587" s="76"/>
      <c r="R587" s="76"/>
      <c r="S587" s="76"/>
      <c r="BD587" s="99">
        <f t="shared" si="18"/>
        <v>0</v>
      </c>
      <c r="CC587" s="99"/>
      <c r="CV587" s="99"/>
      <c r="CW587" s="63"/>
    </row>
    <row r="588" spans="1:101" x14ac:dyDescent="0.15">
      <c r="A588" s="76">
        <v>546</v>
      </c>
      <c r="B588" s="74" t="s">
        <v>5895</v>
      </c>
      <c r="C588" s="74">
        <v>997102381</v>
      </c>
      <c r="D588" s="78" t="str">
        <f t="shared" si="19"/>
        <v>https://portal.dnb.de/opac.htm?method=simpleSearch&amp;cqlMode=true&amp;query=idn%3D997102381</v>
      </c>
      <c r="E588" s="74" t="s">
        <v>5896</v>
      </c>
      <c r="F588" s="74"/>
      <c r="G588" s="76"/>
      <c r="H588" s="77" t="s">
        <v>49</v>
      </c>
      <c r="I588" s="76" t="s">
        <v>53</v>
      </c>
      <c r="J588" s="77" t="s">
        <v>58</v>
      </c>
      <c r="K588" s="77" t="s">
        <v>84</v>
      </c>
      <c r="L588" s="76"/>
      <c r="M588" s="76"/>
      <c r="N588" s="76"/>
      <c r="O588" s="76">
        <v>0</v>
      </c>
      <c r="P588" s="76"/>
      <c r="Q588" s="76"/>
      <c r="R588" s="76"/>
      <c r="S588" s="76"/>
      <c r="BD588" s="99">
        <f t="shared" si="18"/>
        <v>0</v>
      </c>
      <c r="CC588" s="99"/>
      <c r="CV588" s="99"/>
      <c r="CW588" s="63"/>
    </row>
    <row r="589" spans="1:101" x14ac:dyDescent="0.15">
      <c r="A589" s="76">
        <v>547</v>
      </c>
      <c r="B589" s="74" t="s">
        <v>5736</v>
      </c>
      <c r="C589" s="74">
        <v>1066932670</v>
      </c>
      <c r="D589" s="78" t="str">
        <f t="shared" si="19"/>
        <v>https://portal.dnb.de/opac.htm?method=simpleSearch&amp;cqlMode=true&amp;query=idn%3D1066932670</v>
      </c>
      <c r="E589" s="74" t="s">
        <v>5737</v>
      </c>
      <c r="F589" s="74"/>
      <c r="G589" s="76"/>
      <c r="H589" s="77" t="s">
        <v>5</v>
      </c>
      <c r="I589" s="76" t="s">
        <v>53</v>
      </c>
      <c r="J589" s="77" t="s">
        <v>8516</v>
      </c>
      <c r="K589" s="77" t="s">
        <v>72</v>
      </c>
      <c r="L589" s="76"/>
      <c r="M589" s="76"/>
      <c r="N589" s="76"/>
      <c r="O589" s="76">
        <v>0</v>
      </c>
      <c r="P589" s="76"/>
      <c r="Q589" s="76"/>
      <c r="R589" s="76"/>
      <c r="S589" s="76"/>
      <c r="X589" s="95" t="s">
        <v>8541</v>
      </c>
      <c r="Y589" s="95" t="s">
        <v>9723</v>
      </c>
      <c r="AC589" s="95" t="s">
        <v>9730</v>
      </c>
      <c r="AI589" s="95" t="s">
        <v>9725</v>
      </c>
      <c r="AU589" s="95">
        <v>0</v>
      </c>
      <c r="AV589" s="95" t="s">
        <v>8541</v>
      </c>
      <c r="AW589" s="95">
        <v>45</v>
      </c>
      <c r="BC589" s="96" t="s">
        <v>9734</v>
      </c>
      <c r="BD589" s="99">
        <f t="shared" si="18"/>
        <v>0</v>
      </c>
      <c r="BL589" s="70" t="s">
        <v>10015</v>
      </c>
      <c r="CC589" s="99"/>
      <c r="CV589" s="99"/>
      <c r="CW589" s="63"/>
    </row>
    <row r="590" spans="1:101" x14ac:dyDescent="0.15">
      <c r="A590" s="76">
        <v>548</v>
      </c>
      <c r="B590" s="74" t="s">
        <v>5773</v>
      </c>
      <c r="C590" s="74">
        <v>1002616530</v>
      </c>
      <c r="D590" s="78" t="str">
        <f t="shared" si="19"/>
        <v>https://portal.dnb.de/opac.htm?method=simpleSearch&amp;cqlMode=true&amp;query=idn%3D1002616530</v>
      </c>
      <c r="E590" s="74" t="s">
        <v>5774</v>
      </c>
      <c r="F590" s="74"/>
      <c r="G590" s="76" t="s">
        <v>8515</v>
      </c>
      <c r="H590" s="77" t="s">
        <v>6</v>
      </c>
      <c r="I590" s="76" t="s">
        <v>53</v>
      </c>
      <c r="J590" s="77" t="s">
        <v>58</v>
      </c>
      <c r="K590" s="77" t="s">
        <v>84</v>
      </c>
      <c r="L590" s="76"/>
      <c r="M590" s="76"/>
      <c r="N590" s="76"/>
      <c r="O590" s="76">
        <v>0</v>
      </c>
      <c r="P590" s="76"/>
      <c r="Q590" s="76"/>
      <c r="R590" s="76"/>
      <c r="S590" s="76"/>
      <c r="BD590" s="99">
        <f t="shared" si="18"/>
        <v>0</v>
      </c>
      <c r="CC590" s="99"/>
      <c r="CV590" s="99"/>
      <c r="CW590" s="63"/>
    </row>
    <row r="591" spans="1:101" ht="33.75" x14ac:dyDescent="0.15">
      <c r="A591" s="76">
        <v>549</v>
      </c>
      <c r="B591" s="74" t="s">
        <v>5827</v>
      </c>
      <c r="C591" s="74">
        <v>994096003</v>
      </c>
      <c r="D591" s="78" t="str">
        <f t="shared" si="19"/>
        <v>https://portal.dnb.de/opac.htm?method=simpleSearch&amp;cqlMode=true&amp;query=idn%3D994096003</v>
      </c>
      <c r="E591" s="74" t="s">
        <v>10359</v>
      </c>
      <c r="F591" s="74"/>
      <c r="G591" s="76" t="s">
        <v>8515</v>
      </c>
      <c r="H591" s="77" t="s">
        <v>5</v>
      </c>
      <c r="I591" s="76" t="s">
        <v>55</v>
      </c>
      <c r="J591" s="77" t="s">
        <v>8516</v>
      </c>
      <c r="K591" s="77" t="s">
        <v>8702</v>
      </c>
      <c r="L591" s="76"/>
      <c r="M591" s="76"/>
      <c r="N591" s="76" t="s">
        <v>8660</v>
      </c>
      <c r="O591" s="76">
        <v>3</v>
      </c>
      <c r="P591" s="76"/>
      <c r="Q591" s="76"/>
      <c r="R591" s="76"/>
      <c r="S591" s="76"/>
      <c r="Y591" s="95" t="s">
        <v>9723</v>
      </c>
      <c r="AC591" s="95" t="s">
        <v>9724</v>
      </c>
      <c r="AE591" s="95" t="s">
        <v>8541</v>
      </c>
      <c r="AI591" s="95" t="s">
        <v>9725</v>
      </c>
      <c r="AW591" s="95">
        <v>0</v>
      </c>
      <c r="BC591" s="96" t="s">
        <v>10503</v>
      </c>
      <c r="BD591" s="99">
        <f t="shared" si="18"/>
        <v>4</v>
      </c>
      <c r="BH591" s="95" t="s">
        <v>8541</v>
      </c>
      <c r="BO591" s="70" t="s">
        <v>10036</v>
      </c>
      <c r="BP591" s="69" t="s">
        <v>8541</v>
      </c>
      <c r="BQ591" s="95" t="s">
        <v>8541</v>
      </c>
      <c r="BR591" s="95" t="s">
        <v>8541</v>
      </c>
      <c r="BT591" s="95" t="s">
        <v>9772</v>
      </c>
      <c r="CC591" s="99">
        <v>4</v>
      </c>
      <c r="CD591" s="90" t="s">
        <v>10360</v>
      </c>
      <c r="CE591" s="95" t="s">
        <v>8541</v>
      </c>
      <c r="CV591" s="99"/>
      <c r="CW591" s="63"/>
    </row>
    <row r="592" spans="1:101" ht="33.75" x14ac:dyDescent="0.15">
      <c r="A592" s="76">
        <v>550</v>
      </c>
      <c r="B592" s="74" t="s">
        <v>5828</v>
      </c>
      <c r="C592" s="74">
        <v>994096216</v>
      </c>
      <c r="D592" s="78" t="str">
        <f t="shared" si="19"/>
        <v>https://portal.dnb.de/opac.htm?method=simpleSearch&amp;cqlMode=true&amp;query=idn%3D994096216</v>
      </c>
      <c r="E592" s="74" t="s">
        <v>10362</v>
      </c>
      <c r="F592" s="74"/>
      <c r="G592" s="76" t="s">
        <v>8515</v>
      </c>
      <c r="H592" s="77" t="s">
        <v>5</v>
      </c>
      <c r="I592" s="76"/>
      <c r="J592" s="77" t="s">
        <v>8516</v>
      </c>
      <c r="K592" s="77" t="s">
        <v>8702</v>
      </c>
      <c r="L592" s="76"/>
      <c r="M592" s="76"/>
      <c r="N592" s="76" t="s">
        <v>8660</v>
      </c>
      <c r="O592" s="76">
        <v>3</v>
      </c>
      <c r="P592" s="76"/>
      <c r="Q592" s="76"/>
      <c r="R592" s="76"/>
      <c r="S592" s="76"/>
      <c r="BD592" s="99">
        <f t="shared" si="18"/>
        <v>0</v>
      </c>
      <c r="CC592" s="99"/>
      <c r="CV592" s="99"/>
      <c r="CW592" s="63"/>
    </row>
    <row r="593" spans="1:101" ht="33.75" x14ac:dyDescent="0.15">
      <c r="A593" s="76">
        <v>551</v>
      </c>
      <c r="B593" s="74" t="s">
        <v>5829</v>
      </c>
      <c r="C593" s="74">
        <v>994096453</v>
      </c>
      <c r="D593" s="78" t="str">
        <f t="shared" si="19"/>
        <v>https://portal.dnb.de/opac.htm?method=simpleSearch&amp;cqlMode=true&amp;query=idn%3D994096453</v>
      </c>
      <c r="E593" s="74" t="s">
        <v>10363</v>
      </c>
      <c r="F593" s="74"/>
      <c r="G593" s="76"/>
      <c r="H593" s="77" t="s">
        <v>6</v>
      </c>
      <c r="I593" s="76" t="s">
        <v>55</v>
      </c>
      <c r="J593" s="77" t="s">
        <v>58</v>
      </c>
      <c r="K593" s="77" t="s">
        <v>84</v>
      </c>
      <c r="L593" s="76"/>
      <c r="M593" s="76"/>
      <c r="N593" s="76"/>
      <c r="O593" s="76">
        <v>0</v>
      </c>
      <c r="P593" s="76"/>
      <c r="Q593" s="76"/>
      <c r="R593" s="76"/>
      <c r="S593" s="76"/>
      <c r="Y593" s="95" t="s">
        <v>9723</v>
      </c>
      <c r="AC593" s="95" t="s">
        <v>9724</v>
      </c>
      <c r="AE593" s="95" t="s">
        <v>8541</v>
      </c>
      <c r="AI593" s="95" t="s">
        <v>9725</v>
      </c>
      <c r="AW593" s="95">
        <v>0</v>
      </c>
      <c r="BC593" s="96" t="s">
        <v>10503</v>
      </c>
      <c r="BD593" s="99">
        <f t="shared" si="18"/>
        <v>1.5</v>
      </c>
      <c r="BH593" s="95" t="s">
        <v>8541</v>
      </c>
      <c r="BO593" s="70" t="s">
        <v>10036</v>
      </c>
      <c r="BP593" s="69" t="s">
        <v>8541</v>
      </c>
      <c r="BQ593" s="95" t="s">
        <v>8541</v>
      </c>
      <c r="BR593" s="95" t="s">
        <v>8541</v>
      </c>
      <c r="CC593" s="99">
        <v>1.5</v>
      </c>
      <c r="CD593" s="90" t="s">
        <v>10361</v>
      </c>
      <c r="CE593" s="95" t="s">
        <v>8541</v>
      </c>
      <c r="CV593" s="99"/>
      <c r="CW593" s="63"/>
    </row>
    <row r="594" spans="1:101" x14ac:dyDescent="0.15">
      <c r="A594" s="76">
        <v>552</v>
      </c>
      <c r="B594" s="74" t="s">
        <v>5893</v>
      </c>
      <c r="C594" s="74">
        <v>1066940347</v>
      </c>
      <c r="D594" s="78" t="str">
        <f t="shared" si="19"/>
        <v>https://portal.dnb.de/opac.htm?method=simpleSearch&amp;cqlMode=true&amp;query=idn%3D1066940347</v>
      </c>
      <c r="E594" s="74" t="s">
        <v>5894</v>
      </c>
      <c r="F594" s="74"/>
      <c r="G594" s="76"/>
      <c r="H594" s="77"/>
      <c r="I594" s="76"/>
      <c r="J594" s="77"/>
      <c r="K594" s="77"/>
      <c r="L594" s="76"/>
      <c r="M594" s="76"/>
      <c r="N594" s="76"/>
      <c r="O594" s="76"/>
      <c r="P594" s="76"/>
      <c r="Q594" s="76"/>
      <c r="R594" s="76"/>
      <c r="S594" s="76"/>
      <c r="BD594" s="99">
        <f t="shared" si="18"/>
        <v>0</v>
      </c>
      <c r="CC594" s="99"/>
      <c r="CV594" s="99"/>
      <c r="CW594" s="63"/>
    </row>
    <row r="595" spans="1:101" ht="33.75" x14ac:dyDescent="0.15">
      <c r="A595" s="76">
        <v>553</v>
      </c>
      <c r="B595" s="74" t="s">
        <v>6010</v>
      </c>
      <c r="C595" s="74">
        <v>1066864829</v>
      </c>
      <c r="D595" s="78" t="str">
        <f t="shared" si="19"/>
        <v>https://portal.dnb.de/opac.htm?method=simpleSearch&amp;cqlMode=true&amp;query=idn%3D1066864829</v>
      </c>
      <c r="E595" s="74" t="s">
        <v>6011</v>
      </c>
      <c r="F595" s="74"/>
      <c r="G595" s="76" t="s">
        <v>8515</v>
      </c>
      <c r="H595" s="77" t="s">
        <v>8673</v>
      </c>
      <c r="I595" s="76" t="s">
        <v>53</v>
      </c>
      <c r="J595" s="77" t="s">
        <v>8516</v>
      </c>
      <c r="K595" s="77"/>
      <c r="L595" s="76"/>
      <c r="M595" s="76" t="s">
        <v>37</v>
      </c>
      <c r="N595" s="76" t="s">
        <v>40</v>
      </c>
      <c r="O595" s="76">
        <v>0</v>
      </c>
      <c r="P595" s="76"/>
      <c r="Q595" s="76"/>
      <c r="R595" s="76"/>
      <c r="S595" s="76"/>
      <c r="BD595" s="99">
        <f t="shared" si="18"/>
        <v>0</v>
      </c>
      <c r="CC595" s="99"/>
      <c r="CV595" s="99"/>
      <c r="CW595" s="63"/>
    </row>
    <row r="596" spans="1:101" x14ac:dyDescent="0.15">
      <c r="A596" s="76">
        <v>554</v>
      </c>
      <c r="B596" s="74" t="s">
        <v>6030</v>
      </c>
      <c r="C596" s="74" t="s">
        <v>6031</v>
      </c>
      <c r="D596" s="78" t="str">
        <f t="shared" si="19"/>
        <v>https://portal.dnb.de/opac.htm?method=simpleSearch&amp;cqlMode=true&amp;query=idn%3D113265775X</v>
      </c>
      <c r="E596" s="74" t="s">
        <v>8766</v>
      </c>
      <c r="F596" s="74"/>
      <c r="G596" s="76"/>
      <c r="H596" s="77" t="s">
        <v>4</v>
      </c>
      <c r="I596" s="76" t="s">
        <v>53</v>
      </c>
      <c r="J596" s="77" t="s">
        <v>58</v>
      </c>
      <c r="K596" s="77" t="s">
        <v>84</v>
      </c>
      <c r="L596" s="76"/>
      <c r="M596" s="76"/>
      <c r="N596" s="76"/>
      <c r="O596" s="76">
        <v>1</v>
      </c>
      <c r="P596" s="76" t="s">
        <v>9</v>
      </c>
      <c r="Q596" s="76"/>
      <c r="R596" s="76"/>
      <c r="S596" s="76"/>
      <c r="Y596" s="95" t="s">
        <v>9723</v>
      </c>
      <c r="AC596" s="95" t="s">
        <v>9737</v>
      </c>
      <c r="AI596" s="95" t="s">
        <v>9725</v>
      </c>
      <c r="AW596" s="95">
        <v>45</v>
      </c>
      <c r="BC596" s="96" t="s">
        <v>9726</v>
      </c>
      <c r="BD596" s="99">
        <f t="shared" si="18"/>
        <v>0.5</v>
      </c>
      <c r="BP596" s="69" t="s">
        <v>8541</v>
      </c>
      <c r="BQ596" s="95" t="s">
        <v>8541</v>
      </c>
      <c r="BR596" s="95" t="s">
        <v>8541</v>
      </c>
      <c r="CC596" s="99">
        <v>0.5</v>
      </c>
      <c r="CV596" s="99"/>
      <c r="CW596" s="63"/>
    </row>
    <row r="597" spans="1:101" x14ac:dyDescent="0.15">
      <c r="A597" s="76">
        <v>555</v>
      </c>
      <c r="B597" s="74" t="s">
        <v>6032</v>
      </c>
      <c r="C597" s="74">
        <v>1132657768</v>
      </c>
      <c r="D597" s="78" t="str">
        <f t="shared" si="19"/>
        <v>https://portal.dnb.de/opac.htm?method=simpleSearch&amp;cqlMode=true&amp;query=idn%3D1132657768</v>
      </c>
      <c r="E597" s="74" t="s">
        <v>8767</v>
      </c>
      <c r="F597" s="74"/>
      <c r="G597" s="76" t="s">
        <v>8515</v>
      </c>
      <c r="H597" s="77" t="s">
        <v>4</v>
      </c>
      <c r="I597" s="76" t="s">
        <v>53</v>
      </c>
      <c r="J597" s="77" t="s">
        <v>58</v>
      </c>
      <c r="K597" s="77" t="s">
        <v>84</v>
      </c>
      <c r="L597" s="76"/>
      <c r="M597" s="76"/>
      <c r="N597" s="76"/>
      <c r="O597" s="76">
        <v>0</v>
      </c>
      <c r="P597" s="76"/>
      <c r="Q597" s="76"/>
      <c r="R597" s="76"/>
      <c r="S597" s="76"/>
      <c r="Y597" s="95" t="s">
        <v>9723</v>
      </c>
      <c r="AC597" s="95" t="s">
        <v>9737</v>
      </c>
      <c r="AI597" s="95" t="s">
        <v>9725</v>
      </c>
      <c r="AW597" s="95">
        <v>45</v>
      </c>
      <c r="BC597" s="96" t="s">
        <v>9726</v>
      </c>
      <c r="BD597" s="99">
        <f t="shared" si="18"/>
        <v>0.5</v>
      </c>
      <c r="BP597" s="69" t="s">
        <v>8541</v>
      </c>
      <c r="BQ597" s="95" t="s">
        <v>8541</v>
      </c>
      <c r="BR597" s="95" t="s">
        <v>8541</v>
      </c>
      <c r="CC597" s="99">
        <v>0.5</v>
      </c>
      <c r="CV597" s="99"/>
      <c r="CW597" s="63"/>
    </row>
    <row r="598" spans="1:101" x14ac:dyDescent="0.15">
      <c r="A598" s="76">
        <v>556</v>
      </c>
      <c r="B598" s="74" t="s">
        <v>6045</v>
      </c>
      <c r="C598" s="74">
        <v>1066937133</v>
      </c>
      <c r="D598" s="78" t="str">
        <f t="shared" si="19"/>
        <v>https://portal.dnb.de/opac.htm?method=simpleSearch&amp;cqlMode=true&amp;query=idn%3D1066937133</v>
      </c>
      <c r="E598" s="74" t="s">
        <v>6046</v>
      </c>
      <c r="F598" s="74"/>
      <c r="G598" s="76"/>
      <c r="H598" s="77" t="s">
        <v>17</v>
      </c>
      <c r="I598" s="76" t="s">
        <v>53</v>
      </c>
      <c r="J598" s="77" t="s">
        <v>58</v>
      </c>
      <c r="K598" s="77"/>
      <c r="L598" s="76"/>
      <c r="M598" s="76" t="s">
        <v>33</v>
      </c>
      <c r="N598" s="76" t="s">
        <v>40</v>
      </c>
      <c r="O598" s="76">
        <v>1</v>
      </c>
      <c r="P598" s="76"/>
      <c r="Q598" s="76"/>
      <c r="R598" s="76"/>
      <c r="S598" s="76"/>
      <c r="BD598" s="99">
        <f t="shared" si="18"/>
        <v>0</v>
      </c>
      <c r="CC598" s="99"/>
      <c r="CV598" s="99"/>
      <c r="CW598" s="63"/>
    </row>
    <row r="599" spans="1:101" ht="78.75" x14ac:dyDescent="0.15">
      <c r="A599" s="76">
        <v>557</v>
      </c>
      <c r="B599" s="74" t="s">
        <v>6047</v>
      </c>
      <c r="C599" s="74">
        <v>1132656737</v>
      </c>
      <c r="D599" s="78" t="str">
        <f t="shared" si="19"/>
        <v>https://portal.dnb.de/opac.htm?method=simpleSearch&amp;cqlMode=true&amp;query=idn%3D1132656737</v>
      </c>
      <c r="E599" s="74" t="s">
        <v>6048</v>
      </c>
      <c r="F599" s="74"/>
      <c r="G599" s="76"/>
      <c r="H599" s="77" t="s">
        <v>4</v>
      </c>
      <c r="I599" s="76" t="s">
        <v>54</v>
      </c>
      <c r="J599" s="77" t="s">
        <v>58</v>
      </c>
      <c r="K599" s="77" t="s">
        <v>67</v>
      </c>
      <c r="L599" s="76"/>
      <c r="M599" s="76"/>
      <c r="N599" s="76" t="s">
        <v>8660</v>
      </c>
      <c r="O599" s="76">
        <v>1</v>
      </c>
      <c r="P599" s="76"/>
      <c r="Q599" s="76"/>
      <c r="R599" s="76"/>
      <c r="S599" s="76"/>
      <c r="Y599" s="95" t="s">
        <v>9729</v>
      </c>
      <c r="AC599" s="95" t="s">
        <v>9739</v>
      </c>
      <c r="AI599" s="95" t="s">
        <v>9725</v>
      </c>
      <c r="AW599" s="95">
        <v>80</v>
      </c>
      <c r="BB599" s="95" t="s">
        <v>8541</v>
      </c>
      <c r="BC599" s="96" t="s">
        <v>9726</v>
      </c>
      <c r="BD599" s="99">
        <f t="shared" si="18"/>
        <v>6</v>
      </c>
      <c r="BP599" s="69" t="s">
        <v>8541</v>
      </c>
      <c r="BQ599" s="95" t="s">
        <v>8541</v>
      </c>
      <c r="BR599" s="95" t="s">
        <v>8541</v>
      </c>
      <c r="BT599" s="95" t="s">
        <v>9772</v>
      </c>
      <c r="BU599" s="95">
        <v>4</v>
      </c>
      <c r="BV599" s="95" t="s">
        <v>8541</v>
      </c>
      <c r="CA599" s="95" t="s">
        <v>9911</v>
      </c>
      <c r="CC599" s="99">
        <v>6</v>
      </c>
      <c r="CD599" s="90" t="s">
        <v>10023</v>
      </c>
      <c r="CV599" s="99"/>
      <c r="CW599" s="63"/>
    </row>
    <row r="600" spans="1:101" ht="22.5" x14ac:dyDescent="0.15">
      <c r="A600" s="76">
        <v>558</v>
      </c>
      <c r="B600" s="74" t="s">
        <v>6049</v>
      </c>
      <c r="C600" s="74">
        <v>1132654637</v>
      </c>
      <c r="D600" s="78" t="str">
        <f t="shared" si="19"/>
        <v>https://portal.dnb.de/opac.htm?method=simpleSearch&amp;cqlMode=true&amp;query=idn%3D1132654637</v>
      </c>
      <c r="E600" s="74" t="s">
        <v>8776</v>
      </c>
      <c r="F600" s="74"/>
      <c r="G600" s="76" t="s">
        <v>8515</v>
      </c>
      <c r="H600" s="77" t="s">
        <v>18</v>
      </c>
      <c r="I600" s="76" t="s">
        <v>53</v>
      </c>
      <c r="J600" s="77" t="s">
        <v>8516</v>
      </c>
      <c r="K600" s="77" t="s">
        <v>84</v>
      </c>
      <c r="L600" s="76"/>
      <c r="M600" s="76"/>
      <c r="N600" s="76" t="s">
        <v>8660</v>
      </c>
      <c r="O600" s="76">
        <v>0</v>
      </c>
      <c r="P600" s="76"/>
      <c r="Q600" s="76"/>
      <c r="R600" s="76"/>
      <c r="S600" s="76"/>
      <c r="BD600" s="99">
        <f t="shared" si="18"/>
        <v>0</v>
      </c>
      <c r="CC600" s="99"/>
      <c r="CV600" s="99"/>
      <c r="CW600" s="63"/>
    </row>
    <row r="601" spans="1:101" ht="22.5" x14ac:dyDescent="0.15">
      <c r="A601" s="76"/>
      <c r="B601" s="74"/>
      <c r="C601" s="74"/>
      <c r="D601" s="78"/>
      <c r="E601" s="74" t="s">
        <v>8774</v>
      </c>
      <c r="F601" s="74"/>
      <c r="G601" s="76"/>
      <c r="H601" s="77" t="s">
        <v>18</v>
      </c>
      <c r="I601" s="76" t="s">
        <v>53</v>
      </c>
      <c r="J601" s="77" t="s">
        <v>8516</v>
      </c>
      <c r="K601" s="77" t="s">
        <v>84</v>
      </c>
      <c r="L601" s="76"/>
      <c r="M601" s="76"/>
      <c r="N601" s="76"/>
      <c r="O601" s="76"/>
      <c r="P601" s="76"/>
      <c r="Q601" s="76"/>
      <c r="R601" s="76"/>
      <c r="S601" s="76"/>
      <c r="BD601" s="99">
        <f t="shared" si="18"/>
        <v>0</v>
      </c>
      <c r="CC601" s="99"/>
      <c r="CV601" s="99"/>
      <c r="CW601" s="63"/>
    </row>
    <row r="602" spans="1:101" ht="22.5" x14ac:dyDescent="0.15">
      <c r="A602" s="76">
        <v>559</v>
      </c>
      <c r="B602" s="74" t="s">
        <v>5738</v>
      </c>
      <c r="C602" s="74">
        <v>999425900</v>
      </c>
      <c r="D602" s="78" t="str">
        <f t="shared" si="19"/>
        <v>https://portal.dnb.de/opac.htm?method=simpleSearch&amp;cqlMode=true&amp;query=idn%3D999425900</v>
      </c>
      <c r="E602" s="74" t="s">
        <v>5739</v>
      </c>
      <c r="F602" s="74"/>
      <c r="G602" s="76"/>
      <c r="H602" s="77" t="s">
        <v>18</v>
      </c>
      <c r="I602" s="76" t="s">
        <v>53</v>
      </c>
      <c r="J602" s="77" t="s">
        <v>8516</v>
      </c>
      <c r="K602" s="77" t="s">
        <v>84</v>
      </c>
      <c r="L602" s="76"/>
      <c r="M602" s="76" t="s">
        <v>36</v>
      </c>
      <c r="N602" s="76" t="s">
        <v>8790</v>
      </c>
      <c r="O602" s="76">
        <v>0</v>
      </c>
      <c r="P602" s="76"/>
      <c r="Q602" s="76"/>
      <c r="R602" s="76"/>
      <c r="S602" s="76"/>
      <c r="BD602" s="99">
        <f t="shared" si="18"/>
        <v>0</v>
      </c>
      <c r="CC602" s="99"/>
      <c r="CV602" s="99"/>
      <c r="CW602" s="63"/>
    </row>
    <row r="603" spans="1:101" x14ac:dyDescent="0.15">
      <c r="A603" s="76">
        <v>560</v>
      </c>
      <c r="B603" s="74" t="s">
        <v>5740</v>
      </c>
      <c r="C603" s="74">
        <v>999426168</v>
      </c>
      <c r="D603" s="78" t="str">
        <f t="shared" si="19"/>
        <v>https://portal.dnb.de/opac.htm?method=simpleSearch&amp;cqlMode=true&amp;query=idn%3D999426168</v>
      </c>
      <c r="E603" s="74" t="s">
        <v>5741</v>
      </c>
      <c r="F603" s="74"/>
      <c r="G603" s="76"/>
      <c r="H603" s="77" t="s">
        <v>6</v>
      </c>
      <c r="I603" s="76" t="s">
        <v>53</v>
      </c>
      <c r="J603" s="77" t="s">
        <v>8516</v>
      </c>
      <c r="K603" s="77" t="s">
        <v>84</v>
      </c>
      <c r="L603" s="76"/>
      <c r="M603" s="76"/>
      <c r="N603" s="76"/>
      <c r="O603" s="76">
        <v>0</v>
      </c>
      <c r="P603" s="76"/>
      <c r="Q603" s="76"/>
      <c r="R603" s="76"/>
      <c r="S603" s="76"/>
      <c r="BD603" s="99">
        <f t="shared" si="18"/>
        <v>0</v>
      </c>
      <c r="CC603" s="99"/>
      <c r="CV603" s="99"/>
      <c r="CW603" s="63"/>
    </row>
    <row r="604" spans="1:101" x14ac:dyDescent="0.15">
      <c r="A604" s="76">
        <v>561</v>
      </c>
      <c r="B604" s="74" t="s">
        <v>5742</v>
      </c>
      <c r="C604" s="74">
        <v>13039296</v>
      </c>
      <c r="D604" s="78" t="str">
        <f t="shared" si="19"/>
        <v>https://portal.dnb.de/opac.htm?method=simpleSearch&amp;cqlMode=true&amp;query=idn%3D13039296</v>
      </c>
      <c r="E604" s="74" t="s">
        <v>5743</v>
      </c>
      <c r="F604" s="74"/>
      <c r="G604" s="76"/>
      <c r="H604" s="77" t="s">
        <v>4</v>
      </c>
      <c r="I604" s="76" t="s">
        <v>53</v>
      </c>
      <c r="J604" s="77" t="s">
        <v>89</v>
      </c>
      <c r="K604" s="77" t="s">
        <v>8520</v>
      </c>
      <c r="L604" s="76"/>
      <c r="M604" s="76"/>
      <c r="N604" s="76" t="s">
        <v>8660</v>
      </c>
      <c r="O604" s="76">
        <v>0</v>
      </c>
      <c r="P604" s="76"/>
      <c r="Q604" s="76"/>
      <c r="R604" s="76"/>
      <c r="S604" s="76"/>
      <c r="BD604" s="99">
        <f t="shared" si="18"/>
        <v>0</v>
      </c>
      <c r="CC604" s="99"/>
      <c r="CV604" s="99"/>
      <c r="CW604" s="63"/>
    </row>
    <row r="605" spans="1:101" x14ac:dyDescent="0.15">
      <c r="A605" s="76">
        <v>562</v>
      </c>
      <c r="B605" s="74" t="s">
        <v>5744</v>
      </c>
      <c r="C605" s="74">
        <v>994750684</v>
      </c>
      <c r="D605" s="78" t="str">
        <f t="shared" si="19"/>
        <v>https://portal.dnb.de/opac.htm?method=simpleSearch&amp;cqlMode=true&amp;query=idn%3D994750684</v>
      </c>
      <c r="E605" s="74" t="s">
        <v>8777</v>
      </c>
      <c r="F605" s="74"/>
      <c r="G605" s="76"/>
      <c r="H605" s="77" t="s">
        <v>17</v>
      </c>
      <c r="I605" s="76" t="s">
        <v>53</v>
      </c>
      <c r="J605" s="77" t="s">
        <v>58</v>
      </c>
      <c r="K605" s="77" t="s">
        <v>84</v>
      </c>
      <c r="L605" s="76"/>
      <c r="M605" s="76"/>
      <c r="N605" s="76" t="s">
        <v>8660</v>
      </c>
      <c r="O605" s="76">
        <v>0</v>
      </c>
      <c r="P605" s="76"/>
      <c r="Q605" s="76"/>
      <c r="R605" s="76"/>
      <c r="S605" s="76"/>
      <c r="Y605" s="95" t="s">
        <v>9725</v>
      </c>
      <c r="AC605" s="95" t="s">
        <v>9739</v>
      </c>
      <c r="AI605" s="95" t="s">
        <v>9725</v>
      </c>
      <c r="AO605" s="95" t="s">
        <v>8541</v>
      </c>
      <c r="AW605" s="95">
        <v>110</v>
      </c>
      <c r="BC605" s="96" t="s">
        <v>9734</v>
      </c>
      <c r="BD605" s="99">
        <f t="shared" si="18"/>
        <v>0</v>
      </c>
      <c r="CC605" s="99"/>
      <c r="CV605" s="99"/>
      <c r="CW605" s="63"/>
    </row>
    <row r="606" spans="1:101" x14ac:dyDescent="0.15">
      <c r="A606" s="76">
        <v>563</v>
      </c>
      <c r="B606" s="74" t="s">
        <v>5745</v>
      </c>
      <c r="C606" s="74">
        <v>994750641</v>
      </c>
      <c r="D606" s="78" t="str">
        <f t="shared" si="19"/>
        <v>https://portal.dnb.de/opac.htm?method=simpleSearch&amp;cqlMode=true&amp;query=idn%3D994750641</v>
      </c>
      <c r="E606" s="74" t="s">
        <v>8778</v>
      </c>
      <c r="F606" s="74"/>
      <c r="G606" s="76"/>
      <c r="H606" s="77" t="s">
        <v>17</v>
      </c>
      <c r="I606" s="76" t="s">
        <v>53</v>
      </c>
      <c r="J606" s="77" t="s">
        <v>58</v>
      </c>
      <c r="K606" s="77" t="s">
        <v>84</v>
      </c>
      <c r="L606" s="76"/>
      <c r="M606" s="76"/>
      <c r="N606" s="76" t="s">
        <v>8660</v>
      </c>
      <c r="O606" s="76">
        <v>0</v>
      </c>
      <c r="P606" s="76"/>
      <c r="Q606" s="76"/>
      <c r="R606" s="76"/>
      <c r="S606" s="76"/>
      <c r="Y606" s="95" t="s">
        <v>9725</v>
      </c>
      <c r="AC606" s="95" t="s">
        <v>9739</v>
      </c>
      <c r="AI606" s="95" t="s">
        <v>9725</v>
      </c>
      <c r="AO606" s="95" t="s">
        <v>8541</v>
      </c>
      <c r="AW606" s="95">
        <v>110</v>
      </c>
      <c r="BC606" s="96" t="s">
        <v>9726</v>
      </c>
      <c r="BD606" s="99">
        <f t="shared" si="18"/>
        <v>2.5</v>
      </c>
      <c r="BP606" s="69" t="s">
        <v>8541</v>
      </c>
      <c r="CC606" s="99"/>
      <c r="CM606" s="95" t="s">
        <v>8541</v>
      </c>
      <c r="CV606" s="99">
        <v>2.5</v>
      </c>
      <c r="CW606" s="63"/>
    </row>
    <row r="607" spans="1:101" x14ac:dyDescent="0.15">
      <c r="A607" s="76">
        <v>564</v>
      </c>
      <c r="B607" s="74" t="s">
        <v>5746</v>
      </c>
      <c r="C607" s="74">
        <v>996535764</v>
      </c>
      <c r="D607" s="78" t="str">
        <f t="shared" si="19"/>
        <v>https://portal.dnb.de/opac.htm?method=simpleSearch&amp;cqlMode=true&amp;query=idn%3D996535764</v>
      </c>
      <c r="E607" s="74" t="s">
        <v>8780</v>
      </c>
      <c r="F607" s="74"/>
      <c r="G607" s="76"/>
      <c r="H607" s="77" t="s">
        <v>4</v>
      </c>
      <c r="I607" s="76" t="s">
        <v>53</v>
      </c>
      <c r="J607" s="77" t="s">
        <v>8516</v>
      </c>
      <c r="K607" s="77" t="s">
        <v>8520</v>
      </c>
      <c r="L607" s="76"/>
      <c r="M607" s="76" t="s">
        <v>38</v>
      </c>
      <c r="N607" s="76" t="s">
        <v>40</v>
      </c>
      <c r="O607" s="76">
        <v>0</v>
      </c>
      <c r="P607" s="76"/>
      <c r="Q607" s="76"/>
      <c r="R607" s="76"/>
      <c r="S607" s="76"/>
      <c r="BD607" s="99">
        <f t="shared" si="18"/>
        <v>0</v>
      </c>
      <c r="CC607" s="99"/>
      <c r="CV607" s="99"/>
      <c r="CW607" s="63"/>
    </row>
    <row r="608" spans="1:101" x14ac:dyDescent="0.15">
      <c r="A608" s="76">
        <v>565</v>
      </c>
      <c r="B608" s="74" t="s">
        <v>5748</v>
      </c>
      <c r="C608" s="74">
        <v>996534466</v>
      </c>
      <c r="D608" s="78" t="str">
        <f t="shared" si="19"/>
        <v>https://portal.dnb.de/opac.htm?method=simpleSearch&amp;cqlMode=true&amp;query=idn%3D996534466</v>
      </c>
      <c r="E608" s="74" t="s">
        <v>5747</v>
      </c>
      <c r="F608" s="74"/>
      <c r="G608" s="76"/>
      <c r="H608" s="77"/>
      <c r="I608" s="76"/>
      <c r="J608" s="77"/>
      <c r="K608" s="77"/>
      <c r="L608" s="76"/>
      <c r="M608" s="76"/>
      <c r="N608" s="76"/>
      <c r="O608" s="76"/>
      <c r="P608" s="76"/>
      <c r="Q608" s="76"/>
      <c r="R608" s="76"/>
      <c r="S608" s="76"/>
      <c r="BD608" s="99">
        <f t="shared" si="18"/>
        <v>0</v>
      </c>
      <c r="CC608" s="99"/>
      <c r="CV608" s="99"/>
      <c r="CW608" s="63"/>
    </row>
    <row r="609" spans="1:101" x14ac:dyDescent="0.15">
      <c r="A609" s="76">
        <v>566</v>
      </c>
      <c r="B609" s="74" t="s">
        <v>5749</v>
      </c>
      <c r="C609" s="74">
        <v>996535926</v>
      </c>
      <c r="D609" s="78" t="str">
        <f t="shared" si="19"/>
        <v>https://portal.dnb.de/opac.htm?method=simpleSearch&amp;cqlMode=true&amp;query=idn%3D996535926</v>
      </c>
      <c r="E609" s="74" t="s">
        <v>5747</v>
      </c>
      <c r="F609" s="74"/>
      <c r="G609" s="76"/>
      <c r="H609" s="77"/>
      <c r="I609" s="76"/>
      <c r="J609" s="77"/>
      <c r="K609" s="77"/>
      <c r="L609" s="76"/>
      <c r="M609" s="76"/>
      <c r="N609" s="76"/>
      <c r="O609" s="76"/>
      <c r="P609" s="76"/>
      <c r="Q609" s="76"/>
      <c r="R609" s="76"/>
      <c r="S609" s="76"/>
      <c r="BD609" s="99">
        <f t="shared" si="18"/>
        <v>0</v>
      </c>
      <c r="CC609" s="99"/>
      <c r="CV609" s="99"/>
      <c r="CW609" s="63"/>
    </row>
    <row r="610" spans="1:101" x14ac:dyDescent="0.15">
      <c r="A610" s="76">
        <v>567</v>
      </c>
      <c r="B610" s="74" t="s">
        <v>5750</v>
      </c>
      <c r="C610" s="74">
        <v>996534563</v>
      </c>
      <c r="D610" s="78" t="str">
        <f t="shared" si="19"/>
        <v>https://portal.dnb.de/opac.htm?method=simpleSearch&amp;cqlMode=true&amp;query=idn%3D996534563</v>
      </c>
      <c r="E610" s="74" t="s">
        <v>5747</v>
      </c>
      <c r="F610" s="74"/>
      <c r="G610" s="76"/>
      <c r="H610" s="77"/>
      <c r="I610" s="76"/>
      <c r="J610" s="77"/>
      <c r="K610" s="77"/>
      <c r="L610" s="76"/>
      <c r="M610" s="76"/>
      <c r="N610" s="76"/>
      <c r="O610" s="76"/>
      <c r="P610" s="76"/>
      <c r="Q610" s="76"/>
      <c r="R610" s="76"/>
      <c r="S610" s="76"/>
      <c r="BD610" s="99">
        <f t="shared" si="18"/>
        <v>0</v>
      </c>
      <c r="CC610" s="99"/>
      <c r="CV610" s="99"/>
      <c r="CW610" s="63"/>
    </row>
    <row r="611" spans="1:101" x14ac:dyDescent="0.15">
      <c r="A611" s="76">
        <v>568</v>
      </c>
      <c r="B611" s="74" t="s">
        <v>5751</v>
      </c>
      <c r="C611" s="74">
        <v>996535322</v>
      </c>
      <c r="D611" s="78" t="str">
        <f t="shared" si="19"/>
        <v>https://portal.dnb.de/opac.htm?method=simpleSearch&amp;cqlMode=true&amp;query=idn%3D996535322</v>
      </c>
      <c r="E611" s="74" t="s">
        <v>8781</v>
      </c>
      <c r="F611" s="74"/>
      <c r="G611" s="76"/>
      <c r="H611" s="77" t="s">
        <v>5</v>
      </c>
      <c r="I611" s="76" t="s">
        <v>53</v>
      </c>
      <c r="J611" s="77" t="s">
        <v>8516</v>
      </c>
      <c r="K611" s="77" t="s">
        <v>8520</v>
      </c>
      <c r="L611" s="76"/>
      <c r="M611" s="76" t="s">
        <v>38</v>
      </c>
      <c r="N611" s="76" t="s">
        <v>40</v>
      </c>
      <c r="O611" s="76">
        <v>0</v>
      </c>
      <c r="P611" s="76"/>
      <c r="Q611" s="76"/>
      <c r="R611" s="76"/>
      <c r="S611" s="76"/>
      <c r="BD611" s="99">
        <f t="shared" si="18"/>
        <v>0</v>
      </c>
      <c r="CC611" s="99"/>
      <c r="CV611" s="99"/>
      <c r="CW611" s="63"/>
    </row>
    <row r="612" spans="1:101" x14ac:dyDescent="0.15">
      <c r="A612" s="76">
        <v>569</v>
      </c>
      <c r="B612" s="74" t="s">
        <v>5752</v>
      </c>
      <c r="C612" s="74">
        <v>996535241</v>
      </c>
      <c r="D612" s="78" t="str">
        <f t="shared" si="19"/>
        <v>https://portal.dnb.de/opac.htm?method=simpleSearch&amp;cqlMode=true&amp;query=idn%3D996535241</v>
      </c>
      <c r="E612" s="74" t="s">
        <v>8782</v>
      </c>
      <c r="F612" s="74"/>
      <c r="G612" s="76"/>
      <c r="H612" s="77" t="s">
        <v>5</v>
      </c>
      <c r="I612" s="76" t="s">
        <v>53</v>
      </c>
      <c r="J612" s="77" t="s">
        <v>8516</v>
      </c>
      <c r="K612" s="77" t="s">
        <v>8520</v>
      </c>
      <c r="L612" s="76"/>
      <c r="M612" s="76" t="s">
        <v>38</v>
      </c>
      <c r="N612" s="76" t="s">
        <v>40</v>
      </c>
      <c r="O612" s="76">
        <v>0</v>
      </c>
      <c r="P612" s="76"/>
      <c r="Q612" s="76"/>
      <c r="R612" s="76"/>
      <c r="S612" s="76"/>
      <c r="BD612" s="99">
        <f t="shared" si="18"/>
        <v>0</v>
      </c>
      <c r="CC612" s="99"/>
      <c r="CV612" s="99"/>
      <c r="CW612" s="63"/>
    </row>
    <row r="613" spans="1:101" x14ac:dyDescent="0.15">
      <c r="A613" s="76">
        <v>570</v>
      </c>
      <c r="B613" s="74" t="s">
        <v>5753</v>
      </c>
      <c r="C613" s="74">
        <v>996535039</v>
      </c>
      <c r="D613" s="78" t="str">
        <f t="shared" si="19"/>
        <v>https://portal.dnb.de/opac.htm?method=simpleSearch&amp;cqlMode=true&amp;query=idn%3D996535039</v>
      </c>
      <c r="E613" s="74" t="s">
        <v>5747</v>
      </c>
      <c r="F613" s="74"/>
      <c r="G613" s="76"/>
      <c r="H613" s="77"/>
      <c r="I613" s="76"/>
      <c r="J613" s="77"/>
      <c r="K613" s="77"/>
      <c r="L613" s="76"/>
      <c r="M613" s="76"/>
      <c r="N613" s="76"/>
      <c r="O613" s="76"/>
      <c r="P613" s="76"/>
      <c r="Q613" s="76"/>
      <c r="R613" s="76"/>
      <c r="S613" s="76"/>
      <c r="BD613" s="99">
        <f t="shared" si="18"/>
        <v>0</v>
      </c>
      <c r="CC613" s="99"/>
      <c r="CV613" s="99"/>
      <c r="CW613" s="63"/>
    </row>
    <row r="614" spans="1:101" ht="22.5" x14ac:dyDescent="0.15">
      <c r="A614" s="76">
        <v>571</v>
      </c>
      <c r="B614" s="74" t="s">
        <v>5759</v>
      </c>
      <c r="C614" s="74">
        <v>1002261740</v>
      </c>
      <c r="D614" s="78" t="str">
        <f t="shared" si="19"/>
        <v>https://portal.dnb.de/opac.htm?method=simpleSearch&amp;cqlMode=true&amp;query=idn%3D1002261740</v>
      </c>
      <c r="E614" s="74" t="s">
        <v>5760</v>
      </c>
      <c r="F614" s="74"/>
      <c r="G614" s="76"/>
      <c r="H614" s="77" t="s">
        <v>4</v>
      </c>
      <c r="I614" s="76" t="s">
        <v>53</v>
      </c>
      <c r="J614" s="77" t="s">
        <v>8516</v>
      </c>
      <c r="K614" s="77" t="s">
        <v>8785</v>
      </c>
      <c r="L614" s="76"/>
      <c r="M614" s="76" t="s">
        <v>36</v>
      </c>
      <c r="N614" s="76" t="s">
        <v>39</v>
      </c>
      <c r="O614" s="76"/>
      <c r="P614" s="76"/>
      <c r="Q614" s="76"/>
      <c r="R614" s="76"/>
      <c r="S614" s="76"/>
      <c r="Y614" s="95" t="s">
        <v>9729</v>
      </c>
      <c r="AC614" s="95" t="s">
        <v>9730</v>
      </c>
      <c r="AI614" s="95" t="s">
        <v>9725</v>
      </c>
      <c r="AP614" s="95" t="s">
        <v>8541</v>
      </c>
      <c r="AQ614" s="96" t="s">
        <v>10024</v>
      </c>
      <c r="AW614" s="95" t="s">
        <v>9764</v>
      </c>
      <c r="AY614" s="95" t="s">
        <v>8541</v>
      </c>
      <c r="BB614" s="95" t="s">
        <v>8541</v>
      </c>
      <c r="BC614" s="96" t="s">
        <v>9726</v>
      </c>
      <c r="BD614" s="99">
        <f t="shared" si="18"/>
        <v>0.5</v>
      </c>
      <c r="BJ614" s="95" t="s">
        <v>9741</v>
      </c>
      <c r="BK614" s="95" t="s">
        <v>8541</v>
      </c>
      <c r="BP614" s="69" t="s">
        <v>8541</v>
      </c>
      <c r="CC614" s="99"/>
      <c r="CM614" s="95" t="s">
        <v>8541</v>
      </c>
      <c r="CQ614" s="95" t="s">
        <v>8541</v>
      </c>
      <c r="CV614" s="99">
        <v>0.5</v>
      </c>
      <c r="CW614" s="63" t="s">
        <v>10025</v>
      </c>
    </row>
    <row r="615" spans="1:101" x14ac:dyDescent="0.15">
      <c r="A615" s="76">
        <v>572</v>
      </c>
      <c r="B615" s="74" t="s">
        <v>5761</v>
      </c>
      <c r="C615" s="74">
        <v>1001577388</v>
      </c>
      <c r="D615" s="78" t="str">
        <f t="shared" si="19"/>
        <v>https://portal.dnb.de/opac.htm?method=simpleSearch&amp;cqlMode=true&amp;query=idn%3D1001577388</v>
      </c>
      <c r="E615" s="74" t="s">
        <v>8786</v>
      </c>
      <c r="F615" s="74"/>
      <c r="G615" s="76"/>
      <c r="H615" s="77" t="s">
        <v>4</v>
      </c>
      <c r="I615" s="76" t="s">
        <v>53</v>
      </c>
      <c r="J615" s="77" t="s">
        <v>58</v>
      </c>
      <c r="K615" s="77" t="s">
        <v>84</v>
      </c>
      <c r="L615" s="76"/>
      <c r="M615" s="76" t="s">
        <v>36</v>
      </c>
      <c r="N615" s="76" t="s">
        <v>39</v>
      </c>
      <c r="O615" s="76">
        <v>0</v>
      </c>
      <c r="P615" s="76"/>
      <c r="Q615" s="76"/>
      <c r="R615" s="76"/>
      <c r="S615" s="76"/>
      <c r="BD615" s="99">
        <f t="shared" si="18"/>
        <v>0</v>
      </c>
      <c r="CC615" s="99"/>
      <c r="CV615" s="99"/>
      <c r="CW615" s="63"/>
    </row>
    <row r="616" spans="1:101" x14ac:dyDescent="0.15">
      <c r="A616" s="76">
        <v>573</v>
      </c>
      <c r="B616" s="74" t="s">
        <v>5763</v>
      </c>
      <c r="C616" s="74">
        <v>1001577426</v>
      </c>
      <c r="D616" s="78" t="str">
        <f t="shared" si="19"/>
        <v>https://portal.dnb.de/opac.htm?method=simpleSearch&amp;cqlMode=true&amp;query=idn%3D1001577426</v>
      </c>
      <c r="E616" s="74" t="s">
        <v>5762</v>
      </c>
      <c r="F616" s="74"/>
      <c r="G616" s="76"/>
      <c r="H616" s="77"/>
      <c r="I616" s="76"/>
      <c r="J616" s="77"/>
      <c r="K616" s="77"/>
      <c r="L616" s="76"/>
      <c r="M616" s="76"/>
      <c r="N616" s="76"/>
      <c r="O616" s="76"/>
      <c r="P616" s="76"/>
      <c r="Q616" s="76"/>
      <c r="R616" s="76"/>
      <c r="S616" s="76"/>
      <c r="BD616" s="99">
        <f t="shared" si="18"/>
        <v>0</v>
      </c>
      <c r="CC616" s="99"/>
      <c r="CV616" s="99"/>
      <c r="CW616" s="63"/>
    </row>
    <row r="617" spans="1:101" x14ac:dyDescent="0.15">
      <c r="A617" s="76">
        <v>574</v>
      </c>
      <c r="B617" s="74" t="s">
        <v>5767</v>
      </c>
      <c r="C617" s="74">
        <v>13158090</v>
      </c>
      <c r="D617" s="78" t="str">
        <f t="shared" si="19"/>
        <v>https://portal.dnb.de/opac.htm?method=simpleSearch&amp;cqlMode=true&amp;query=idn%3D13158090</v>
      </c>
      <c r="E617" s="74" t="s">
        <v>5768</v>
      </c>
      <c r="F617" s="74"/>
      <c r="G617" s="76"/>
      <c r="H617" s="77"/>
      <c r="I617" s="76"/>
      <c r="J617" s="77"/>
      <c r="K617" s="77"/>
      <c r="L617" s="76"/>
      <c r="M617" s="76"/>
      <c r="N617" s="76"/>
      <c r="O617" s="76"/>
      <c r="P617" s="76"/>
      <c r="Q617" s="76"/>
      <c r="R617" s="76"/>
      <c r="S617" s="76"/>
      <c r="BD617" s="99">
        <f t="shared" si="18"/>
        <v>0</v>
      </c>
      <c r="CC617" s="99"/>
      <c r="CV617" s="99"/>
      <c r="CW617" s="63"/>
    </row>
    <row r="618" spans="1:101" x14ac:dyDescent="0.15">
      <c r="A618" s="76">
        <v>575</v>
      </c>
      <c r="B618" s="74" t="s">
        <v>5769</v>
      </c>
      <c r="C618" s="74">
        <v>999238795</v>
      </c>
      <c r="D618" s="78" t="str">
        <f t="shared" si="19"/>
        <v>https://portal.dnb.de/opac.htm?method=simpleSearch&amp;cqlMode=true&amp;query=idn%3D999238795</v>
      </c>
      <c r="E618" s="74" t="s">
        <v>5770</v>
      </c>
      <c r="F618" s="74"/>
      <c r="G618" s="76"/>
      <c r="H618" s="77"/>
      <c r="I618" s="76"/>
      <c r="J618" s="77"/>
      <c r="K618" s="77"/>
      <c r="L618" s="76"/>
      <c r="M618" s="76"/>
      <c r="N618" s="76"/>
      <c r="O618" s="76"/>
      <c r="P618" s="76"/>
      <c r="Q618" s="76"/>
      <c r="R618" s="76"/>
      <c r="S618" s="76"/>
      <c r="BD618" s="99">
        <f t="shared" si="18"/>
        <v>0</v>
      </c>
      <c r="CC618" s="99"/>
      <c r="CV618" s="99"/>
      <c r="CW618" s="63"/>
    </row>
    <row r="619" spans="1:101" x14ac:dyDescent="0.15">
      <c r="A619" s="76">
        <v>576</v>
      </c>
      <c r="B619" s="74" t="s">
        <v>5775</v>
      </c>
      <c r="C619" s="74">
        <v>997683708</v>
      </c>
      <c r="D619" s="78" t="str">
        <f t="shared" si="19"/>
        <v>https://portal.dnb.de/opac.htm?method=simpleSearch&amp;cqlMode=true&amp;query=idn%3D997683708</v>
      </c>
      <c r="E619" s="74" t="s">
        <v>5776</v>
      </c>
      <c r="F619" s="74"/>
      <c r="G619" s="76"/>
      <c r="H619" s="77" t="s">
        <v>6</v>
      </c>
      <c r="I619" s="76" t="s">
        <v>53</v>
      </c>
      <c r="J619" s="77" t="s">
        <v>8516</v>
      </c>
      <c r="K619" s="77" t="s">
        <v>84</v>
      </c>
      <c r="L619" s="76"/>
      <c r="M619" s="76" t="s">
        <v>38</v>
      </c>
      <c r="N619" s="76" t="s">
        <v>40</v>
      </c>
      <c r="O619" s="76">
        <v>0</v>
      </c>
      <c r="P619" s="76"/>
      <c r="Q619" s="76"/>
      <c r="R619" s="76"/>
      <c r="S619" s="76"/>
      <c r="BD619" s="99">
        <f t="shared" si="18"/>
        <v>0</v>
      </c>
      <c r="CC619" s="99"/>
      <c r="CV619" s="99"/>
      <c r="CW619" s="63"/>
    </row>
    <row r="620" spans="1:101" x14ac:dyDescent="0.15">
      <c r="A620" s="76">
        <v>577</v>
      </c>
      <c r="B620" s="74" t="s">
        <v>5779</v>
      </c>
      <c r="C620" s="74">
        <v>999970828</v>
      </c>
      <c r="D620" s="78" t="str">
        <f t="shared" si="19"/>
        <v>https://portal.dnb.de/opac.htm?method=simpleSearch&amp;cqlMode=true&amp;query=idn%3D999970828</v>
      </c>
      <c r="E620" s="74" t="s">
        <v>5780</v>
      </c>
      <c r="F620" s="74"/>
      <c r="G620" s="76"/>
      <c r="H620" s="77"/>
      <c r="I620" s="76" t="s">
        <v>53</v>
      </c>
      <c r="J620" s="77"/>
      <c r="K620" s="77"/>
      <c r="L620" s="76"/>
      <c r="M620" s="76"/>
      <c r="N620" s="76"/>
      <c r="O620" s="76"/>
      <c r="P620" s="76"/>
      <c r="Q620" s="76"/>
      <c r="R620" s="76"/>
      <c r="S620" s="76"/>
      <c r="Y620" s="95" t="s">
        <v>9723</v>
      </c>
      <c r="AC620" s="95" t="s">
        <v>9730</v>
      </c>
      <c r="AI620" s="95" t="s">
        <v>9725</v>
      </c>
      <c r="AW620" s="95">
        <v>45</v>
      </c>
      <c r="BC620" s="96" t="s">
        <v>9734</v>
      </c>
      <c r="BD620" s="99">
        <f t="shared" si="18"/>
        <v>0</v>
      </c>
      <c r="BJ620" s="95" t="s">
        <v>9741</v>
      </c>
      <c r="BK620" s="95" t="s">
        <v>8541</v>
      </c>
      <c r="BM620" s="69" t="s">
        <v>10008</v>
      </c>
      <c r="CC620" s="99"/>
      <c r="CV620" s="99"/>
      <c r="CW620" s="63"/>
    </row>
    <row r="621" spans="1:101" x14ac:dyDescent="0.15">
      <c r="A621" s="76">
        <v>578</v>
      </c>
      <c r="B621" s="74" t="s">
        <v>5785</v>
      </c>
      <c r="C621" s="74">
        <v>1001150910</v>
      </c>
      <c r="D621" s="78" t="str">
        <f t="shared" si="19"/>
        <v>https://portal.dnb.de/opac.htm?method=simpleSearch&amp;cqlMode=true&amp;query=idn%3D1001150910</v>
      </c>
      <c r="E621" s="74" t="s">
        <v>5786</v>
      </c>
      <c r="F621" s="74"/>
      <c r="G621" s="76"/>
      <c r="H621" s="77"/>
      <c r="I621" s="76"/>
      <c r="J621" s="77"/>
      <c r="K621" s="77"/>
      <c r="L621" s="76"/>
      <c r="M621" s="76"/>
      <c r="N621" s="76"/>
      <c r="O621" s="76"/>
      <c r="P621" s="76"/>
      <c r="Q621" s="76"/>
      <c r="R621" s="76"/>
      <c r="S621" s="76"/>
      <c r="BD621" s="99">
        <f t="shared" si="18"/>
        <v>0</v>
      </c>
      <c r="CC621" s="99"/>
      <c r="CV621" s="99"/>
      <c r="CW621" s="63"/>
    </row>
    <row r="622" spans="1:101" x14ac:dyDescent="0.15">
      <c r="A622" s="76">
        <v>579</v>
      </c>
      <c r="B622" s="74" t="s">
        <v>5787</v>
      </c>
      <c r="C622" s="74">
        <v>994422970</v>
      </c>
      <c r="D622" s="78" t="str">
        <f t="shared" si="19"/>
        <v>https://portal.dnb.de/opac.htm?method=simpleSearch&amp;cqlMode=true&amp;query=idn%3D994422970</v>
      </c>
      <c r="E622" s="74" t="s">
        <v>5786</v>
      </c>
      <c r="F622" s="74"/>
      <c r="G622" s="76"/>
      <c r="H622" s="77"/>
      <c r="I622" s="76"/>
      <c r="J622" s="77"/>
      <c r="K622" s="77"/>
      <c r="L622" s="76"/>
      <c r="M622" s="76"/>
      <c r="N622" s="76"/>
      <c r="O622" s="76"/>
      <c r="P622" s="76"/>
      <c r="Q622" s="76"/>
      <c r="R622" s="76"/>
      <c r="S622" s="76"/>
      <c r="BD622" s="99">
        <f t="shared" si="18"/>
        <v>0</v>
      </c>
      <c r="CC622" s="99"/>
      <c r="CV622" s="99"/>
      <c r="CW622" s="63"/>
    </row>
    <row r="623" spans="1:101" ht="33.75" x14ac:dyDescent="0.15">
      <c r="A623" s="76">
        <v>580</v>
      </c>
      <c r="B623" s="74" t="s">
        <v>5790</v>
      </c>
      <c r="C623" s="74" t="s">
        <v>5791</v>
      </c>
      <c r="D623" s="78" t="str">
        <f t="shared" si="19"/>
        <v>https://portal.dnb.de/opac.htm?method=simpleSearch&amp;cqlMode=true&amp;query=idn%3D01274042X</v>
      </c>
      <c r="E623" s="74" t="s">
        <v>5792</v>
      </c>
      <c r="F623" s="74"/>
      <c r="G623" s="76"/>
      <c r="H623" s="77"/>
      <c r="I623" s="76" t="s">
        <v>54</v>
      </c>
      <c r="J623" s="77"/>
      <c r="K623" s="77"/>
      <c r="L623" s="76"/>
      <c r="M623" s="76"/>
      <c r="N623" s="76"/>
      <c r="O623" s="76"/>
      <c r="P623" s="76"/>
      <c r="Q623" s="76"/>
      <c r="R623" s="76"/>
      <c r="S623" s="76"/>
      <c r="Y623" s="95" t="s">
        <v>9723</v>
      </c>
      <c r="AC623" s="95" t="s">
        <v>9730</v>
      </c>
      <c r="AE623" s="95" t="s">
        <v>8541</v>
      </c>
      <c r="AI623" s="95" t="s">
        <v>9725</v>
      </c>
      <c r="AP623" s="95" t="s">
        <v>8541</v>
      </c>
      <c r="AQ623" s="96" t="s">
        <v>10034</v>
      </c>
      <c r="AW623" s="95">
        <v>0</v>
      </c>
      <c r="BC623" s="96" t="s">
        <v>10503</v>
      </c>
      <c r="BD623" s="99">
        <f t="shared" si="18"/>
        <v>2</v>
      </c>
      <c r="BJ623" s="95" t="s">
        <v>9741</v>
      </c>
      <c r="BK623" s="95" t="s">
        <v>8541</v>
      </c>
      <c r="BL623" s="70" t="s">
        <v>10035</v>
      </c>
      <c r="BO623" s="70" t="s">
        <v>10036</v>
      </c>
      <c r="BP623" s="69" t="s">
        <v>8541</v>
      </c>
      <c r="BQ623" s="95" t="s">
        <v>8541</v>
      </c>
      <c r="BR623" s="95" t="s">
        <v>8541</v>
      </c>
      <c r="CB623" s="95" t="s">
        <v>9818</v>
      </c>
      <c r="CC623" s="99">
        <v>2</v>
      </c>
      <c r="CD623" s="90" t="s">
        <v>10037</v>
      </c>
      <c r="CE623" s="95" t="s">
        <v>8541</v>
      </c>
      <c r="CV623" s="99"/>
      <c r="CW623" s="63"/>
    </row>
    <row r="624" spans="1:101" x14ac:dyDescent="0.15">
      <c r="A624" s="76">
        <v>581</v>
      </c>
      <c r="B624" s="74" t="s">
        <v>5793</v>
      </c>
      <c r="C624" s="74">
        <v>11383003</v>
      </c>
      <c r="D624" s="78" t="str">
        <f t="shared" si="19"/>
        <v>https://portal.dnb.de/opac.htm?method=simpleSearch&amp;cqlMode=true&amp;query=idn%3D11383003</v>
      </c>
      <c r="E624" s="74" t="s">
        <v>5794</v>
      </c>
      <c r="F624" s="74"/>
      <c r="G624" s="76"/>
      <c r="H624" s="77" t="s">
        <v>47</v>
      </c>
      <c r="I624" s="76" t="s">
        <v>53</v>
      </c>
      <c r="J624" s="77" t="s">
        <v>58</v>
      </c>
      <c r="K624" s="77"/>
      <c r="L624" s="76"/>
      <c r="M624" s="76" t="s">
        <v>34</v>
      </c>
      <c r="N624" s="76" t="s">
        <v>39</v>
      </c>
      <c r="O624" s="76">
        <v>0</v>
      </c>
      <c r="P624" s="76"/>
      <c r="Q624" s="76"/>
      <c r="R624" s="76"/>
      <c r="S624" s="76"/>
      <c r="BD624" s="99">
        <f t="shared" si="18"/>
        <v>0</v>
      </c>
      <c r="CC624" s="99"/>
      <c r="CV624" s="99"/>
      <c r="CW624" s="63"/>
    </row>
    <row r="625" spans="1:101" x14ac:dyDescent="0.15">
      <c r="A625" s="76">
        <v>582</v>
      </c>
      <c r="B625" s="74" t="s">
        <v>5795</v>
      </c>
      <c r="C625" s="74">
        <v>1001233565</v>
      </c>
      <c r="D625" s="78" t="str">
        <f t="shared" si="19"/>
        <v>https://portal.dnb.de/opac.htm?method=simpleSearch&amp;cqlMode=true&amp;query=idn%3D1001233565</v>
      </c>
      <c r="E625" s="74" t="s">
        <v>5796</v>
      </c>
      <c r="F625" s="74"/>
      <c r="G625" s="76"/>
      <c r="H625" s="77"/>
      <c r="I625" s="76"/>
      <c r="J625" s="77"/>
      <c r="K625" s="77"/>
      <c r="L625" s="76"/>
      <c r="M625" s="76"/>
      <c r="N625" s="76"/>
      <c r="O625" s="76"/>
      <c r="P625" s="76"/>
      <c r="Q625" s="76"/>
      <c r="R625" s="76"/>
      <c r="S625" s="76"/>
      <c r="BD625" s="99">
        <f t="shared" si="18"/>
        <v>0</v>
      </c>
      <c r="CC625" s="99"/>
      <c r="CV625" s="99"/>
      <c r="CW625" s="63"/>
    </row>
    <row r="626" spans="1:101" x14ac:dyDescent="0.15">
      <c r="A626" s="76">
        <v>583</v>
      </c>
      <c r="B626" s="74" t="s">
        <v>5797</v>
      </c>
      <c r="C626" s="74" t="s">
        <v>5798</v>
      </c>
      <c r="D626" s="78" t="str">
        <f t="shared" si="19"/>
        <v>https://portal.dnb.de/opac.htm?method=simpleSearch&amp;cqlMode=true&amp;query=idn%3D01299832X</v>
      </c>
      <c r="E626" s="74" t="s">
        <v>5796</v>
      </c>
      <c r="F626" s="74"/>
      <c r="G626" s="76"/>
      <c r="H626" s="77"/>
      <c r="I626" s="76"/>
      <c r="J626" s="77"/>
      <c r="K626" s="77"/>
      <c r="L626" s="76"/>
      <c r="M626" s="76"/>
      <c r="N626" s="76"/>
      <c r="O626" s="76"/>
      <c r="P626" s="76"/>
      <c r="Q626" s="76"/>
      <c r="R626" s="76"/>
      <c r="S626" s="76"/>
      <c r="BD626" s="99">
        <f t="shared" si="18"/>
        <v>0</v>
      </c>
      <c r="CC626" s="99"/>
      <c r="CV626" s="99"/>
      <c r="CW626" s="63"/>
    </row>
    <row r="627" spans="1:101" ht="22.5" x14ac:dyDescent="0.15">
      <c r="A627" s="76">
        <v>584</v>
      </c>
      <c r="B627" s="74" t="s">
        <v>5804</v>
      </c>
      <c r="C627" s="74">
        <v>1001916158</v>
      </c>
      <c r="D627" s="78" t="str">
        <f t="shared" si="19"/>
        <v>https://portal.dnb.de/opac.htm?method=simpleSearch&amp;cqlMode=true&amp;query=idn%3D1001916158</v>
      </c>
      <c r="E627" s="74" t="s">
        <v>8794</v>
      </c>
      <c r="F627" s="74"/>
      <c r="G627" s="76" t="s">
        <v>8515</v>
      </c>
      <c r="H627" s="77" t="s">
        <v>18</v>
      </c>
      <c r="I627" s="76" t="s">
        <v>53</v>
      </c>
      <c r="J627" s="77" t="s">
        <v>8516</v>
      </c>
      <c r="K627" s="77" t="s">
        <v>8565</v>
      </c>
      <c r="L627" s="76"/>
      <c r="M627" s="76" t="s">
        <v>38</v>
      </c>
      <c r="N627" s="76" t="s">
        <v>40</v>
      </c>
      <c r="O627" s="76">
        <v>0</v>
      </c>
      <c r="P627" s="76"/>
      <c r="Q627" s="76"/>
      <c r="R627" s="76"/>
      <c r="S627" s="76"/>
      <c r="BD627" s="99">
        <f t="shared" si="18"/>
        <v>0</v>
      </c>
      <c r="CC627" s="99"/>
      <c r="CV627" s="99"/>
      <c r="CW627" s="63"/>
    </row>
    <row r="628" spans="1:101" ht="22.5" x14ac:dyDescent="0.15">
      <c r="A628" s="76">
        <v>585</v>
      </c>
      <c r="B628" s="74" t="s">
        <v>5805</v>
      </c>
      <c r="C628" s="74">
        <v>1001916107</v>
      </c>
      <c r="D628" s="78" t="str">
        <f t="shared" si="19"/>
        <v>https://portal.dnb.de/opac.htm?method=simpleSearch&amp;cqlMode=true&amp;query=idn%3D1001916107</v>
      </c>
      <c r="E628" s="74" t="s">
        <v>8795</v>
      </c>
      <c r="F628" s="74"/>
      <c r="G628" s="76" t="s">
        <v>8515</v>
      </c>
      <c r="H628" s="77" t="s">
        <v>18</v>
      </c>
      <c r="I628" s="76" t="s">
        <v>53</v>
      </c>
      <c r="J628" s="77" t="s">
        <v>8516</v>
      </c>
      <c r="K628" s="77" t="s">
        <v>8565</v>
      </c>
      <c r="L628" s="76"/>
      <c r="M628" s="76" t="s">
        <v>38</v>
      </c>
      <c r="N628" s="76" t="s">
        <v>40</v>
      </c>
      <c r="O628" s="76">
        <v>0</v>
      </c>
      <c r="P628" s="76"/>
      <c r="Q628" s="76"/>
      <c r="R628" s="76"/>
      <c r="S628" s="76"/>
      <c r="BD628" s="99">
        <f t="shared" si="18"/>
        <v>0</v>
      </c>
      <c r="CC628" s="99"/>
      <c r="CV628" s="99"/>
      <c r="CW628" s="63"/>
    </row>
    <row r="629" spans="1:101" ht="22.5" x14ac:dyDescent="0.15">
      <c r="A629" s="76">
        <v>586</v>
      </c>
      <c r="B629" s="74" t="s">
        <v>5807</v>
      </c>
      <c r="C629" s="74">
        <v>1004273304</v>
      </c>
      <c r="D629" s="78" t="str">
        <f t="shared" si="19"/>
        <v>https://portal.dnb.de/opac.htm?method=simpleSearch&amp;cqlMode=true&amp;query=idn%3D1004273304</v>
      </c>
      <c r="E629" s="74" t="s">
        <v>8796</v>
      </c>
      <c r="F629" s="74"/>
      <c r="G629" s="76"/>
      <c r="H629" s="77" t="s">
        <v>18</v>
      </c>
      <c r="I629" s="76" t="s">
        <v>53</v>
      </c>
      <c r="J629" s="77" t="s">
        <v>8516</v>
      </c>
      <c r="K629" s="77" t="s">
        <v>84</v>
      </c>
      <c r="L629" s="76"/>
      <c r="M629" s="76" t="s">
        <v>38</v>
      </c>
      <c r="N629" s="76" t="s">
        <v>40</v>
      </c>
      <c r="O629" s="76">
        <v>0</v>
      </c>
      <c r="P629" s="76"/>
      <c r="Q629" s="76"/>
      <c r="R629" s="76"/>
      <c r="S629" s="76"/>
      <c r="BD629" s="99">
        <f t="shared" si="18"/>
        <v>0</v>
      </c>
      <c r="CC629" s="99"/>
      <c r="CV629" s="99"/>
      <c r="CW629" s="63"/>
    </row>
    <row r="630" spans="1:101" ht="22.5" x14ac:dyDescent="0.15">
      <c r="A630" s="76">
        <v>587</v>
      </c>
      <c r="B630" s="74" t="s">
        <v>5809</v>
      </c>
      <c r="C630" s="74" t="s">
        <v>5810</v>
      </c>
      <c r="D630" s="78" t="str">
        <f t="shared" si="19"/>
        <v>https://portal.dnb.de/opac.htm?method=simpleSearch&amp;cqlMode=true&amp;query=idn%3D106694153X</v>
      </c>
      <c r="E630" s="74" t="s">
        <v>8797</v>
      </c>
      <c r="F630" s="74"/>
      <c r="G630" s="76"/>
      <c r="H630" s="77" t="s">
        <v>18</v>
      </c>
      <c r="I630" s="76" t="s">
        <v>53</v>
      </c>
      <c r="J630" s="77" t="s">
        <v>8516</v>
      </c>
      <c r="K630" s="77" t="s">
        <v>84</v>
      </c>
      <c r="L630" s="76"/>
      <c r="M630" s="76" t="s">
        <v>38</v>
      </c>
      <c r="N630" s="76" t="s">
        <v>40</v>
      </c>
      <c r="O630" s="76">
        <v>0</v>
      </c>
      <c r="P630" s="76"/>
      <c r="Q630" s="76"/>
      <c r="R630" s="76"/>
      <c r="S630" s="76"/>
      <c r="BD630" s="99">
        <f t="shared" si="18"/>
        <v>0</v>
      </c>
      <c r="CC630" s="99"/>
      <c r="CV630" s="99"/>
      <c r="CW630" s="63"/>
    </row>
    <row r="631" spans="1:101" x14ac:dyDescent="0.15">
      <c r="A631" s="76">
        <v>588</v>
      </c>
      <c r="B631" s="74" t="s">
        <v>5811</v>
      </c>
      <c r="C631" s="74">
        <v>1004273169</v>
      </c>
      <c r="D631" s="78" t="str">
        <f t="shared" si="19"/>
        <v>https://portal.dnb.de/opac.htm?method=simpleSearch&amp;cqlMode=true&amp;query=idn%3D1004273169</v>
      </c>
      <c r="E631" s="74" t="s">
        <v>5808</v>
      </c>
      <c r="F631" s="74"/>
      <c r="G631" s="76"/>
      <c r="H631" s="77"/>
      <c r="I631" s="76"/>
      <c r="J631" s="77"/>
      <c r="K631" s="77"/>
      <c r="L631" s="76"/>
      <c r="M631" s="76"/>
      <c r="N631" s="76"/>
      <c r="O631" s="76"/>
      <c r="P631" s="76"/>
      <c r="Q631" s="76"/>
      <c r="R631" s="76"/>
      <c r="S631" s="76"/>
      <c r="BD631" s="99">
        <f t="shared" si="18"/>
        <v>0</v>
      </c>
      <c r="CC631" s="99"/>
      <c r="CV631" s="99"/>
      <c r="CW631" s="63"/>
    </row>
    <row r="632" spans="1:101" ht="22.5" x14ac:dyDescent="0.15">
      <c r="A632" s="76">
        <v>589</v>
      </c>
      <c r="B632" s="74" t="s">
        <v>5821</v>
      </c>
      <c r="C632" s="74">
        <v>994404093</v>
      </c>
      <c r="D632" s="78" t="str">
        <f t="shared" si="19"/>
        <v>https://portal.dnb.de/opac.htm?method=simpleSearch&amp;cqlMode=true&amp;query=idn%3D994404093</v>
      </c>
      <c r="E632" s="74" t="s">
        <v>5822</v>
      </c>
      <c r="F632" s="74"/>
      <c r="G632" s="76"/>
      <c r="H632" s="77" t="s">
        <v>18</v>
      </c>
      <c r="I632" s="76" t="s">
        <v>53</v>
      </c>
      <c r="J632" s="77" t="s">
        <v>8516</v>
      </c>
      <c r="K632" s="77" t="s">
        <v>84</v>
      </c>
      <c r="L632" s="76"/>
      <c r="M632" s="76" t="s">
        <v>38</v>
      </c>
      <c r="N632" s="76" t="s">
        <v>40</v>
      </c>
      <c r="O632" s="76">
        <v>0</v>
      </c>
      <c r="P632" s="76"/>
      <c r="Q632" s="76"/>
      <c r="R632" s="76"/>
      <c r="S632" s="76"/>
      <c r="BD632" s="99">
        <f t="shared" si="18"/>
        <v>0</v>
      </c>
      <c r="CC632" s="99"/>
      <c r="CV632" s="99"/>
      <c r="CW632" s="63"/>
    </row>
    <row r="633" spans="1:101" x14ac:dyDescent="0.15">
      <c r="A633" s="76">
        <v>590</v>
      </c>
      <c r="B633" s="74" t="s">
        <v>5823</v>
      </c>
      <c r="C633" s="74">
        <v>1000244725</v>
      </c>
      <c r="D633" s="78" t="str">
        <f t="shared" si="19"/>
        <v>https://portal.dnb.de/opac.htm?method=simpleSearch&amp;cqlMode=true&amp;query=idn%3D1000244725</v>
      </c>
      <c r="E633" s="74" t="s">
        <v>8805</v>
      </c>
      <c r="F633" s="74"/>
      <c r="G633" s="76"/>
      <c r="H633" s="77" t="s">
        <v>4</v>
      </c>
      <c r="I633" s="76" t="s">
        <v>53</v>
      </c>
      <c r="J633" s="77" t="s">
        <v>8516</v>
      </c>
      <c r="K633" s="77" t="s">
        <v>8577</v>
      </c>
      <c r="L633" s="76"/>
      <c r="M633" s="76" t="s">
        <v>36</v>
      </c>
      <c r="N633" s="76" t="s">
        <v>39</v>
      </c>
      <c r="O633" s="76">
        <v>0</v>
      </c>
      <c r="P633" s="76"/>
      <c r="Q633" s="76"/>
      <c r="R633" s="76"/>
      <c r="S633" s="76"/>
      <c r="BD633" s="99">
        <f t="shared" si="18"/>
        <v>0</v>
      </c>
      <c r="CC633" s="99"/>
      <c r="CV633" s="99"/>
      <c r="CW633" s="63"/>
    </row>
    <row r="634" spans="1:101" x14ac:dyDescent="0.15">
      <c r="A634" s="76">
        <v>591</v>
      </c>
      <c r="B634" s="74" t="s">
        <v>5824</v>
      </c>
      <c r="C634" s="74">
        <v>1000243753</v>
      </c>
      <c r="D634" s="78" t="str">
        <f t="shared" si="19"/>
        <v>https://portal.dnb.de/opac.htm?method=simpleSearch&amp;cqlMode=true&amp;query=idn%3D1000243753</v>
      </c>
      <c r="E634" s="74" t="s">
        <v>8806</v>
      </c>
      <c r="F634" s="74"/>
      <c r="G634" s="76"/>
      <c r="H634" s="77" t="s">
        <v>4</v>
      </c>
      <c r="I634" s="76" t="s">
        <v>53</v>
      </c>
      <c r="J634" s="77" t="s">
        <v>8516</v>
      </c>
      <c r="K634" s="77" t="s">
        <v>8577</v>
      </c>
      <c r="L634" s="76"/>
      <c r="M634" s="76" t="s">
        <v>36</v>
      </c>
      <c r="N634" s="76" t="s">
        <v>39</v>
      </c>
      <c r="O634" s="76">
        <v>1</v>
      </c>
      <c r="P634" s="76"/>
      <c r="Q634" s="76"/>
      <c r="R634" s="76"/>
      <c r="S634" s="76"/>
      <c r="BD634" s="99">
        <f t="shared" si="18"/>
        <v>0</v>
      </c>
      <c r="CC634" s="99"/>
      <c r="CV634" s="99"/>
      <c r="CW634" s="63"/>
    </row>
    <row r="635" spans="1:101" x14ac:dyDescent="0.15">
      <c r="A635" s="76">
        <v>592</v>
      </c>
      <c r="B635" s="74" t="s">
        <v>5825</v>
      </c>
      <c r="C635" s="74">
        <v>1000243575</v>
      </c>
      <c r="D635" s="78" t="str">
        <f t="shared" si="19"/>
        <v>https://portal.dnb.de/opac.htm?method=simpleSearch&amp;cqlMode=true&amp;query=idn%3D1000243575</v>
      </c>
      <c r="E635" s="74" t="s">
        <v>8807</v>
      </c>
      <c r="F635" s="74"/>
      <c r="G635" s="76"/>
      <c r="H635" s="77" t="s">
        <v>4</v>
      </c>
      <c r="I635" s="76" t="s">
        <v>53</v>
      </c>
      <c r="J635" s="77" t="s">
        <v>8516</v>
      </c>
      <c r="K635" s="77" t="s">
        <v>8577</v>
      </c>
      <c r="L635" s="76"/>
      <c r="M635" s="76" t="s">
        <v>36</v>
      </c>
      <c r="N635" s="76" t="s">
        <v>39</v>
      </c>
      <c r="O635" s="76">
        <v>1</v>
      </c>
      <c r="P635" s="76"/>
      <c r="Q635" s="76"/>
      <c r="R635" s="76"/>
      <c r="S635" s="76"/>
      <c r="BD635" s="99">
        <f t="shared" si="18"/>
        <v>0</v>
      </c>
      <c r="CC635" s="99"/>
      <c r="CV635" s="99"/>
      <c r="CW635" s="63"/>
    </row>
    <row r="636" spans="1:101" x14ac:dyDescent="0.15">
      <c r="A636" s="76">
        <v>593</v>
      </c>
      <c r="B636" s="74" t="s">
        <v>5826</v>
      </c>
      <c r="C636" s="74">
        <v>1000243788</v>
      </c>
      <c r="D636" s="78" t="str">
        <f t="shared" si="19"/>
        <v>https://portal.dnb.de/opac.htm?method=simpleSearch&amp;cqlMode=true&amp;query=idn%3D1000243788</v>
      </c>
      <c r="E636" s="74" t="s">
        <v>8808</v>
      </c>
      <c r="F636" s="74"/>
      <c r="G636" s="76"/>
      <c r="H636" s="77" t="s">
        <v>4</v>
      </c>
      <c r="I636" s="76" t="s">
        <v>53</v>
      </c>
      <c r="J636" s="77" t="s">
        <v>8516</v>
      </c>
      <c r="K636" s="77" t="s">
        <v>8577</v>
      </c>
      <c r="L636" s="76"/>
      <c r="M636" s="76" t="s">
        <v>36</v>
      </c>
      <c r="N636" s="76" t="s">
        <v>39</v>
      </c>
      <c r="O636" s="76">
        <v>0</v>
      </c>
      <c r="P636" s="76"/>
      <c r="Q636" s="76"/>
      <c r="R636" s="76"/>
      <c r="S636" s="76"/>
      <c r="BD636" s="99">
        <f t="shared" si="18"/>
        <v>0</v>
      </c>
      <c r="CC636" s="99"/>
      <c r="CV636" s="99"/>
      <c r="CW636" s="63"/>
    </row>
    <row r="637" spans="1:101" ht="22.5" x14ac:dyDescent="0.15">
      <c r="A637" s="76">
        <v>594</v>
      </c>
      <c r="B637" s="74" t="s">
        <v>5830</v>
      </c>
      <c r="C637" s="74">
        <v>367383306</v>
      </c>
      <c r="D637" s="78" t="str">
        <f t="shared" si="19"/>
        <v>https://portal.dnb.de/opac.htm?method=simpleSearch&amp;cqlMode=true&amp;query=idn%3D367383306</v>
      </c>
      <c r="E637" s="74" t="s">
        <v>5831</v>
      </c>
      <c r="F637" s="74"/>
      <c r="G637" s="76"/>
      <c r="H637" s="77" t="s">
        <v>18</v>
      </c>
      <c r="I637" s="76" t="s">
        <v>54</v>
      </c>
      <c r="J637" s="77" t="s">
        <v>58</v>
      </c>
      <c r="K637" s="77" t="s">
        <v>8557</v>
      </c>
      <c r="L637" s="76"/>
      <c r="M637" s="76" t="s">
        <v>36</v>
      </c>
      <c r="N637" s="76" t="s">
        <v>39</v>
      </c>
      <c r="O637" s="76">
        <v>1</v>
      </c>
      <c r="P637" s="76"/>
      <c r="Q637" s="76"/>
      <c r="R637" s="76"/>
      <c r="S637" s="76"/>
      <c r="Y637" s="95" t="s">
        <v>9725</v>
      </c>
      <c r="AC637" s="95" t="s">
        <v>9739</v>
      </c>
      <c r="AI637" s="95" t="s">
        <v>9725</v>
      </c>
      <c r="AW637" s="95">
        <v>110</v>
      </c>
      <c r="BC637" s="96" t="s">
        <v>9734</v>
      </c>
      <c r="BD637" s="99">
        <f t="shared" si="18"/>
        <v>0</v>
      </c>
      <c r="BJ637" s="95" t="s">
        <v>9741</v>
      </c>
      <c r="BK637" s="95" t="s">
        <v>8541</v>
      </c>
      <c r="BL637" s="70" t="s">
        <v>10015</v>
      </c>
      <c r="CC637" s="99"/>
      <c r="CV637" s="99"/>
      <c r="CW637" s="63"/>
    </row>
    <row r="638" spans="1:101" x14ac:dyDescent="0.15">
      <c r="A638" s="76">
        <v>595</v>
      </c>
      <c r="B638" s="74" t="s">
        <v>5834</v>
      </c>
      <c r="C638" s="74" t="s">
        <v>5835</v>
      </c>
      <c r="D638" s="78" t="str">
        <f t="shared" si="19"/>
        <v>https://portal.dnb.de/opac.htm?method=simpleSearch&amp;cqlMode=true&amp;query=idn%3D99440428X</v>
      </c>
      <c r="E638" s="74" t="s">
        <v>5836</v>
      </c>
      <c r="F638" s="74"/>
      <c r="G638" s="76" t="s">
        <v>8515</v>
      </c>
      <c r="H638" s="77" t="s">
        <v>4</v>
      </c>
      <c r="I638" s="76" t="s">
        <v>53</v>
      </c>
      <c r="J638" s="77" t="s">
        <v>8516</v>
      </c>
      <c r="K638" s="77" t="s">
        <v>8520</v>
      </c>
      <c r="L638" s="76"/>
      <c r="M638" s="76"/>
      <c r="N638" s="76"/>
      <c r="O638" s="76">
        <v>0</v>
      </c>
      <c r="P638" s="76"/>
      <c r="Q638" s="76"/>
      <c r="R638" s="76"/>
      <c r="S638" s="76"/>
      <c r="BD638" s="99">
        <f t="shared" si="18"/>
        <v>0</v>
      </c>
      <c r="CC638" s="99"/>
      <c r="CV638" s="99"/>
      <c r="CW638" s="63"/>
    </row>
    <row r="639" spans="1:101" x14ac:dyDescent="0.15">
      <c r="A639" s="76">
        <v>596</v>
      </c>
      <c r="B639" s="74" t="s">
        <v>5839</v>
      </c>
      <c r="C639" s="74">
        <v>997608587</v>
      </c>
      <c r="D639" s="78" t="str">
        <f t="shared" si="19"/>
        <v>https://portal.dnb.de/opac.htm?method=simpleSearch&amp;cqlMode=true&amp;query=idn%3D997608587</v>
      </c>
      <c r="E639" s="74" t="s">
        <v>5840</v>
      </c>
      <c r="F639" s="74"/>
      <c r="G639" s="76"/>
      <c r="H639" s="77"/>
      <c r="I639" s="76"/>
      <c r="J639" s="77"/>
      <c r="K639" s="77"/>
      <c r="L639" s="76"/>
      <c r="M639" s="76"/>
      <c r="N639" s="76"/>
      <c r="O639" s="76"/>
      <c r="P639" s="76"/>
      <c r="Q639" s="76"/>
      <c r="R639" s="76"/>
      <c r="S639" s="76"/>
      <c r="BD639" s="99">
        <f t="shared" si="18"/>
        <v>0</v>
      </c>
      <c r="CC639" s="99"/>
      <c r="CV639" s="99"/>
      <c r="CW639" s="63"/>
    </row>
    <row r="640" spans="1:101" ht="33.75" x14ac:dyDescent="0.15">
      <c r="A640" s="76">
        <v>597</v>
      </c>
      <c r="B640" s="74" t="s">
        <v>5841</v>
      </c>
      <c r="C640" s="74" t="s">
        <v>5842</v>
      </c>
      <c r="D640" s="78" t="str">
        <f t="shared" si="19"/>
        <v>https://portal.dnb.de/opac.htm?method=simpleSearch&amp;cqlMode=true&amp;query=idn%3D99703713X</v>
      </c>
      <c r="E640" s="74" t="s">
        <v>5840</v>
      </c>
      <c r="F640" s="74"/>
      <c r="G640" s="76"/>
      <c r="H640" s="77" t="s">
        <v>8546</v>
      </c>
      <c r="I640" s="76" t="s">
        <v>53</v>
      </c>
      <c r="J640" s="77" t="s">
        <v>89</v>
      </c>
      <c r="K640" s="77" t="s">
        <v>8565</v>
      </c>
      <c r="L640" s="76"/>
      <c r="M640" s="76" t="s">
        <v>37</v>
      </c>
      <c r="N640" s="76" t="s">
        <v>40</v>
      </c>
      <c r="O640" s="76">
        <v>0</v>
      </c>
      <c r="P640" s="76"/>
      <c r="Q640" s="76"/>
      <c r="R640" s="76"/>
      <c r="S640" s="76"/>
      <c r="BD640" s="99">
        <f t="shared" si="18"/>
        <v>0</v>
      </c>
      <c r="CC640" s="99"/>
      <c r="CV640" s="99"/>
      <c r="CW640" s="63"/>
    </row>
    <row r="641" spans="1:101" x14ac:dyDescent="0.15">
      <c r="A641" s="76">
        <v>598</v>
      </c>
      <c r="B641" s="74" t="s">
        <v>5843</v>
      </c>
      <c r="C641" s="74">
        <v>999911368</v>
      </c>
      <c r="D641" s="78" t="str">
        <f t="shared" si="19"/>
        <v>https://portal.dnb.de/opac.htm?method=simpleSearch&amp;cqlMode=true&amp;query=idn%3D999911368</v>
      </c>
      <c r="E641" s="74" t="s">
        <v>5844</v>
      </c>
      <c r="F641" s="74"/>
      <c r="G641" s="76"/>
      <c r="H641" s="77" t="s">
        <v>4</v>
      </c>
      <c r="I641" s="76" t="s">
        <v>53</v>
      </c>
      <c r="J641" s="77" t="s">
        <v>8516</v>
      </c>
      <c r="K641" s="77"/>
      <c r="L641" s="76"/>
      <c r="M641" s="76"/>
      <c r="N641" s="76"/>
      <c r="O641" s="76">
        <v>0</v>
      </c>
      <c r="P641" s="76"/>
      <c r="Q641" s="76"/>
      <c r="R641" s="76"/>
      <c r="S641" s="76"/>
      <c r="BD641" s="99">
        <f t="shared" si="18"/>
        <v>0</v>
      </c>
      <c r="CC641" s="99"/>
      <c r="CV641" s="99"/>
      <c r="CW641" s="63"/>
    </row>
    <row r="642" spans="1:101" x14ac:dyDescent="0.15">
      <c r="A642" s="76">
        <v>599</v>
      </c>
      <c r="B642" s="74" t="s">
        <v>5845</v>
      </c>
      <c r="C642" s="74">
        <v>999911317</v>
      </c>
      <c r="D642" s="78" t="str">
        <f t="shared" si="19"/>
        <v>https://portal.dnb.de/opac.htm?method=simpleSearch&amp;cqlMode=true&amp;query=idn%3D999911317</v>
      </c>
      <c r="E642" s="74" t="s">
        <v>5844</v>
      </c>
      <c r="F642" s="74"/>
      <c r="G642" s="76"/>
      <c r="H642" s="77"/>
      <c r="I642" s="76"/>
      <c r="J642" s="77"/>
      <c r="K642" s="77"/>
      <c r="L642" s="76"/>
      <c r="M642" s="76"/>
      <c r="N642" s="76"/>
      <c r="O642" s="76"/>
      <c r="P642" s="76"/>
      <c r="Q642" s="76"/>
      <c r="R642" s="76"/>
      <c r="S642" s="76"/>
      <c r="BD642" s="99">
        <f t="shared" si="18"/>
        <v>0</v>
      </c>
      <c r="CC642" s="99"/>
      <c r="CV642" s="99"/>
      <c r="CW642" s="63"/>
    </row>
    <row r="643" spans="1:101" x14ac:dyDescent="0.15">
      <c r="A643" s="76">
        <v>600</v>
      </c>
      <c r="B643" s="74" t="s">
        <v>5846</v>
      </c>
      <c r="C643" s="74">
        <v>993853064</v>
      </c>
      <c r="D643" s="78" t="str">
        <f t="shared" si="19"/>
        <v>https://portal.dnb.de/opac.htm?method=simpleSearch&amp;cqlMode=true&amp;query=idn%3D993853064</v>
      </c>
      <c r="E643" s="74" t="s">
        <v>5847</v>
      </c>
      <c r="F643" s="74"/>
      <c r="G643" s="76"/>
      <c r="H643" s="77" t="s">
        <v>5</v>
      </c>
      <c r="I643" s="76" t="s">
        <v>53</v>
      </c>
      <c r="J643" s="77" t="s">
        <v>8516</v>
      </c>
      <c r="K643" s="77"/>
      <c r="L643" s="76"/>
      <c r="M643" s="76" t="s">
        <v>36</v>
      </c>
      <c r="N643" s="76" t="s">
        <v>39</v>
      </c>
      <c r="O643" s="76">
        <v>0</v>
      </c>
      <c r="P643" s="76"/>
      <c r="Q643" s="76"/>
      <c r="R643" s="76"/>
      <c r="S643" s="76"/>
      <c r="BD643" s="99">
        <f t="shared" ref="BD643:BD706" si="20">CC643+CV643</f>
        <v>0</v>
      </c>
      <c r="CC643" s="99"/>
      <c r="CV643" s="99"/>
      <c r="CW643" s="63"/>
    </row>
    <row r="644" spans="1:101" x14ac:dyDescent="0.15">
      <c r="A644" s="76">
        <v>601</v>
      </c>
      <c r="B644" s="74" t="s">
        <v>5848</v>
      </c>
      <c r="C644" s="74">
        <v>993853153</v>
      </c>
      <c r="D644" s="78" t="str">
        <f t="shared" si="19"/>
        <v>https://portal.dnb.de/opac.htm?method=simpleSearch&amp;cqlMode=true&amp;query=idn%3D993853153</v>
      </c>
      <c r="E644" s="74" t="s">
        <v>5849</v>
      </c>
      <c r="F644" s="74"/>
      <c r="G644" s="76"/>
      <c r="H644" s="77" t="s">
        <v>5</v>
      </c>
      <c r="I644" s="76" t="s">
        <v>53</v>
      </c>
      <c r="J644" s="77" t="s">
        <v>8516</v>
      </c>
      <c r="K644" s="77" t="s">
        <v>72</v>
      </c>
      <c r="L644" s="76"/>
      <c r="M644" s="76" t="s">
        <v>36</v>
      </c>
      <c r="N644" s="76" t="s">
        <v>39</v>
      </c>
      <c r="O644" s="76">
        <v>0</v>
      </c>
      <c r="P644" s="76"/>
      <c r="Q644" s="76"/>
      <c r="R644" s="76"/>
      <c r="S644" s="76"/>
      <c r="BD644" s="99">
        <f t="shared" si="20"/>
        <v>0</v>
      </c>
      <c r="CC644" s="99"/>
      <c r="CV644" s="99"/>
      <c r="CW644" s="63"/>
    </row>
    <row r="645" spans="1:101" ht="22.5" x14ac:dyDescent="0.15">
      <c r="A645" s="76">
        <v>602</v>
      </c>
      <c r="B645" s="74" t="s">
        <v>5855</v>
      </c>
      <c r="C645" s="74">
        <v>1000556050</v>
      </c>
      <c r="D645" s="78" t="str">
        <f t="shared" si="19"/>
        <v>https://portal.dnb.de/opac.htm?method=simpleSearch&amp;cqlMode=true&amp;query=idn%3D1000556050</v>
      </c>
      <c r="E645" s="74" t="s">
        <v>5856</v>
      </c>
      <c r="F645" s="74"/>
      <c r="G645" s="76"/>
      <c r="H645" s="77" t="s">
        <v>18</v>
      </c>
      <c r="I645" s="76" t="s">
        <v>53</v>
      </c>
      <c r="J645" s="77" t="s">
        <v>8516</v>
      </c>
      <c r="K645" s="77" t="s">
        <v>8554</v>
      </c>
      <c r="L645" s="76"/>
      <c r="M645" s="76"/>
      <c r="N645" s="76"/>
      <c r="O645" s="76">
        <v>0</v>
      </c>
      <c r="P645" s="76"/>
      <c r="Q645" s="76"/>
      <c r="R645" s="76"/>
      <c r="S645" s="76"/>
      <c r="BD645" s="99">
        <f t="shared" si="20"/>
        <v>0</v>
      </c>
      <c r="CC645" s="99"/>
      <c r="CV645" s="99"/>
      <c r="CW645" s="63"/>
    </row>
    <row r="646" spans="1:101" ht="22.5" x14ac:dyDescent="0.15">
      <c r="A646" s="76">
        <v>603</v>
      </c>
      <c r="B646" s="74" t="s">
        <v>5859</v>
      </c>
      <c r="C646" s="74">
        <v>995435847</v>
      </c>
      <c r="D646" s="78" t="str">
        <f t="shared" ref="D646:D711" si="21">HYPERLINK(CONCATENATE("https://portal.dnb.de/opac.htm?method=simpleSearch&amp;cqlMode=true&amp;query=idn%3D",C646))</f>
        <v>https://portal.dnb.de/opac.htm?method=simpleSearch&amp;cqlMode=true&amp;query=idn%3D995435847</v>
      </c>
      <c r="E646" s="74" t="s">
        <v>5860</v>
      </c>
      <c r="F646" s="74"/>
      <c r="G646" s="76" t="s">
        <v>8541</v>
      </c>
      <c r="H646" s="77" t="s">
        <v>18</v>
      </c>
      <c r="I646" s="76" t="s">
        <v>53</v>
      </c>
      <c r="J646" s="77" t="s">
        <v>58</v>
      </c>
      <c r="K646" s="77" t="s">
        <v>84</v>
      </c>
      <c r="L646" s="76"/>
      <c r="M646" s="76" t="s">
        <v>36</v>
      </c>
      <c r="N646" s="76" t="s">
        <v>39</v>
      </c>
      <c r="O646" s="76">
        <v>0</v>
      </c>
      <c r="P646" s="76"/>
      <c r="Q646" s="76"/>
      <c r="R646" s="76"/>
      <c r="S646" s="76"/>
      <c r="BD646" s="99">
        <f t="shared" si="20"/>
        <v>0</v>
      </c>
      <c r="CC646" s="99"/>
      <c r="CV646" s="99"/>
      <c r="CW646" s="63"/>
    </row>
    <row r="647" spans="1:101" ht="22.5" x14ac:dyDescent="0.15">
      <c r="A647" s="76">
        <v>604</v>
      </c>
      <c r="B647" s="74" t="s">
        <v>5874</v>
      </c>
      <c r="C647" s="74">
        <v>995479321</v>
      </c>
      <c r="D647" s="78" t="str">
        <f t="shared" si="21"/>
        <v>https://portal.dnb.de/opac.htm?method=simpleSearch&amp;cqlMode=true&amp;query=idn%3D995479321</v>
      </c>
      <c r="E647" s="74" t="s">
        <v>8818</v>
      </c>
      <c r="F647" s="74"/>
      <c r="G647" s="76"/>
      <c r="H647" s="77" t="s">
        <v>5</v>
      </c>
      <c r="I647" s="76" t="s">
        <v>53</v>
      </c>
      <c r="J647" s="77" t="s">
        <v>58</v>
      </c>
      <c r="K647" s="77" t="s">
        <v>8647</v>
      </c>
      <c r="L647" s="76"/>
      <c r="M647" s="76" t="s">
        <v>36</v>
      </c>
      <c r="N647" s="76" t="s">
        <v>39</v>
      </c>
      <c r="O647" s="76">
        <v>0</v>
      </c>
      <c r="P647" s="76"/>
      <c r="Q647" s="76"/>
      <c r="R647" s="76"/>
      <c r="S647" s="76"/>
      <c r="Y647" s="95" t="s">
        <v>9723</v>
      </c>
      <c r="AC647" s="95" t="s">
        <v>9724</v>
      </c>
      <c r="AI647" s="95" t="s">
        <v>9725</v>
      </c>
      <c r="AP647" s="95" t="s">
        <v>8541</v>
      </c>
      <c r="AQ647" s="96" t="s">
        <v>10044</v>
      </c>
      <c r="AW647" s="95">
        <v>45</v>
      </c>
      <c r="BC647" s="96" t="s">
        <v>9734</v>
      </c>
      <c r="BD647" s="99">
        <f t="shared" si="20"/>
        <v>0</v>
      </c>
      <c r="BJ647" s="95" t="s">
        <v>9741</v>
      </c>
      <c r="BK647" s="95" t="s">
        <v>8541</v>
      </c>
      <c r="CC647" s="99"/>
      <c r="CV647" s="99"/>
      <c r="CW647" s="63"/>
    </row>
    <row r="648" spans="1:101" ht="22.5" x14ac:dyDescent="0.15">
      <c r="A648" s="76">
        <v>605</v>
      </c>
      <c r="B648" s="74" t="s">
        <v>5875</v>
      </c>
      <c r="C648" s="74">
        <v>995477779</v>
      </c>
      <c r="D648" s="78" t="str">
        <f t="shared" si="21"/>
        <v>https://portal.dnb.de/opac.htm?method=simpleSearch&amp;cqlMode=true&amp;query=idn%3D995477779</v>
      </c>
      <c r="E648" s="74" t="s">
        <v>8819</v>
      </c>
      <c r="F648" s="74"/>
      <c r="G648" s="76"/>
      <c r="H648" s="77" t="s">
        <v>5</v>
      </c>
      <c r="I648" s="76" t="s">
        <v>53</v>
      </c>
      <c r="J648" s="77" t="s">
        <v>58</v>
      </c>
      <c r="K648" s="77" t="s">
        <v>8647</v>
      </c>
      <c r="L648" s="76"/>
      <c r="M648" s="76" t="s">
        <v>36</v>
      </c>
      <c r="N648" s="76" t="s">
        <v>39</v>
      </c>
      <c r="O648" s="76">
        <v>0</v>
      </c>
      <c r="P648" s="76"/>
      <c r="Q648" s="76"/>
      <c r="R648" s="76"/>
      <c r="S648" s="76"/>
      <c r="Y648" s="95" t="s">
        <v>9723</v>
      </c>
      <c r="AB648" s="95" t="s">
        <v>8541</v>
      </c>
      <c r="AC648" s="95" t="s">
        <v>9724</v>
      </c>
      <c r="AI648" s="95" t="s">
        <v>9725</v>
      </c>
      <c r="AP648" s="95" t="s">
        <v>8541</v>
      </c>
      <c r="AQ648" s="96" t="s">
        <v>10041</v>
      </c>
      <c r="AW648" s="95">
        <v>0</v>
      </c>
      <c r="BC648" s="96" t="s">
        <v>9734</v>
      </c>
      <c r="BD648" s="99">
        <f t="shared" si="20"/>
        <v>0</v>
      </c>
      <c r="BJ648" s="95" t="s">
        <v>9741</v>
      </c>
      <c r="BK648" s="95" t="s">
        <v>8541</v>
      </c>
      <c r="CC648" s="99"/>
      <c r="CV648" s="99"/>
      <c r="CW648" s="63"/>
    </row>
    <row r="649" spans="1:101" ht="22.5" x14ac:dyDescent="0.15">
      <c r="A649" s="76">
        <v>606</v>
      </c>
      <c r="B649" s="74" t="s">
        <v>5876</v>
      </c>
      <c r="C649" s="74">
        <v>995479224</v>
      </c>
      <c r="D649" s="78" t="str">
        <f t="shared" si="21"/>
        <v>https://portal.dnb.de/opac.htm?method=simpleSearch&amp;cqlMode=true&amp;query=idn%3D995479224</v>
      </c>
      <c r="E649" s="74" t="s">
        <v>8820</v>
      </c>
      <c r="F649" s="74"/>
      <c r="G649" s="76"/>
      <c r="H649" s="77" t="s">
        <v>5</v>
      </c>
      <c r="I649" s="76" t="s">
        <v>53</v>
      </c>
      <c r="J649" s="77" t="s">
        <v>58</v>
      </c>
      <c r="K649" s="77" t="s">
        <v>8688</v>
      </c>
      <c r="L649" s="76"/>
      <c r="M649" s="76" t="s">
        <v>36</v>
      </c>
      <c r="N649" s="76" t="s">
        <v>39</v>
      </c>
      <c r="O649" s="76">
        <v>0</v>
      </c>
      <c r="P649" s="76"/>
      <c r="Q649" s="76"/>
      <c r="R649" s="76"/>
      <c r="S649" s="76"/>
      <c r="Y649" s="95" t="s">
        <v>9723</v>
      </c>
      <c r="AC649" s="95" t="s">
        <v>9724</v>
      </c>
      <c r="AI649" s="95" t="s">
        <v>9725</v>
      </c>
      <c r="AP649" s="95" t="s">
        <v>8541</v>
      </c>
      <c r="AQ649" s="96" t="s">
        <v>10044</v>
      </c>
      <c r="AW649" s="95">
        <v>0</v>
      </c>
      <c r="BC649" s="96" t="s">
        <v>9734</v>
      </c>
      <c r="BD649" s="99">
        <f t="shared" si="20"/>
        <v>0</v>
      </c>
      <c r="BJ649" s="95" t="s">
        <v>9741</v>
      </c>
      <c r="BK649" s="95" t="s">
        <v>8541</v>
      </c>
      <c r="CC649" s="99"/>
      <c r="CV649" s="99"/>
      <c r="CW649" s="63"/>
    </row>
    <row r="650" spans="1:101" ht="33.75" x14ac:dyDescent="0.15">
      <c r="A650" s="76">
        <v>607</v>
      </c>
      <c r="B650" s="74" t="s">
        <v>5877</v>
      </c>
      <c r="C650" s="74">
        <v>995477868</v>
      </c>
      <c r="D650" s="82" t="str">
        <f>HYPERLINK(CONCATENATE("https://portal.dnb.de/opac.htm?method=simpleSearch&amp;cqlMode=true&amp;query=idn%3D",C650))</f>
        <v>https://portal.dnb.de/opac.htm?method=simpleSearch&amp;cqlMode=true&amp;query=idn%3D995477868</v>
      </c>
      <c r="E650" s="74" t="s">
        <v>8821</v>
      </c>
      <c r="F650" s="74"/>
      <c r="G650" s="76"/>
      <c r="H650" s="77" t="s">
        <v>5</v>
      </c>
      <c r="I650" s="76" t="s">
        <v>53</v>
      </c>
      <c r="J650" s="77" t="s">
        <v>58</v>
      </c>
      <c r="K650" s="77" t="s">
        <v>8679</v>
      </c>
      <c r="L650" s="76"/>
      <c r="M650" s="76" t="s">
        <v>36</v>
      </c>
      <c r="N650" s="76" t="s">
        <v>39</v>
      </c>
      <c r="O650" s="76">
        <v>0</v>
      </c>
      <c r="P650" s="76"/>
      <c r="Q650" s="76"/>
      <c r="R650" s="76"/>
      <c r="S650" s="76"/>
      <c r="Y650" s="95" t="s">
        <v>9723</v>
      </c>
      <c r="AC650" s="95" t="s">
        <v>9724</v>
      </c>
      <c r="AI650" s="95" t="s">
        <v>9725</v>
      </c>
      <c r="AP650" s="95" t="s">
        <v>8541</v>
      </c>
      <c r="AQ650" s="96" t="s">
        <v>10043</v>
      </c>
      <c r="AW650" s="95">
        <v>45</v>
      </c>
      <c r="BC650" s="96" t="s">
        <v>9734</v>
      </c>
      <c r="BD650" s="99">
        <f t="shared" si="20"/>
        <v>0</v>
      </c>
      <c r="BJ650" s="95" t="s">
        <v>9741</v>
      </c>
      <c r="BK650" s="95" t="s">
        <v>8541</v>
      </c>
      <c r="CC650" s="99"/>
      <c r="CV650" s="99"/>
      <c r="CW650" s="63"/>
    </row>
    <row r="651" spans="1:101" ht="22.5" x14ac:dyDescent="0.15">
      <c r="A651" s="76">
        <v>608</v>
      </c>
      <c r="B651" s="74" t="s">
        <v>5878</v>
      </c>
      <c r="C651" s="74">
        <v>995477388</v>
      </c>
      <c r="D651" s="78" t="str">
        <f t="shared" si="21"/>
        <v>https://portal.dnb.de/opac.htm?method=simpleSearch&amp;cqlMode=true&amp;query=idn%3D995477388</v>
      </c>
      <c r="E651" s="74" t="s">
        <v>8822</v>
      </c>
      <c r="F651" s="74"/>
      <c r="G651" s="76"/>
      <c r="H651" s="77" t="s">
        <v>5</v>
      </c>
      <c r="I651" s="76" t="s">
        <v>53</v>
      </c>
      <c r="J651" s="77" t="s">
        <v>58</v>
      </c>
      <c r="K651" s="77" t="s">
        <v>8688</v>
      </c>
      <c r="L651" s="76"/>
      <c r="M651" s="76" t="s">
        <v>36</v>
      </c>
      <c r="N651" s="76" t="s">
        <v>39</v>
      </c>
      <c r="O651" s="76">
        <v>0</v>
      </c>
      <c r="P651" s="76"/>
      <c r="Q651" s="76"/>
      <c r="R651" s="76"/>
      <c r="S651" s="76"/>
      <c r="Y651" s="95" t="s">
        <v>9723</v>
      </c>
      <c r="AB651" s="95" t="s">
        <v>8541</v>
      </c>
      <c r="AC651" s="95" t="s">
        <v>9724</v>
      </c>
      <c r="AI651" s="95" t="s">
        <v>9725</v>
      </c>
      <c r="AW651" s="95">
        <v>45</v>
      </c>
      <c r="BC651" s="96" t="s">
        <v>9734</v>
      </c>
      <c r="BD651" s="99">
        <f t="shared" si="20"/>
        <v>0</v>
      </c>
      <c r="BJ651" s="95" t="s">
        <v>9741</v>
      </c>
      <c r="BK651" s="95" t="s">
        <v>8541</v>
      </c>
      <c r="CC651" s="99"/>
      <c r="CV651" s="99"/>
      <c r="CW651" s="63"/>
    </row>
    <row r="652" spans="1:101" ht="22.5" x14ac:dyDescent="0.15">
      <c r="A652" s="76">
        <v>609</v>
      </c>
      <c r="B652" s="74" t="s">
        <v>5879</v>
      </c>
      <c r="C652" s="74">
        <v>995474494</v>
      </c>
      <c r="D652" s="78" t="str">
        <f t="shared" si="21"/>
        <v>https://portal.dnb.de/opac.htm?method=simpleSearch&amp;cqlMode=true&amp;query=idn%3D995474494</v>
      </c>
      <c r="E652" s="74" t="s">
        <v>8823</v>
      </c>
      <c r="F652" s="74"/>
      <c r="G652" s="76"/>
      <c r="H652" s="77" t="s">
        <v>5</v>
      </c>
      <c r="I652" s="76" t="s">
        <v>53</v>
      </c>
      <c r="J652" s="77" t="s">
        <v>58</v>
      </c>
      <c r="K652" s="77" t="s">
        <v>8647</v>
      </c>
      <c r="L652" s="76"/>
      <c r="M652" s="76" t="s">
        <v>36</v>
      </c>
      <c r="N652" s="76" t="s">
        <v>39</v>
      </c>
      <c r="O652" s="76">
        <v>0</v>
      </c>
      <c r="P652" s="76"/>
      <c r="Q652" s="76"/>
      <c r="R652" s="76"/>
      <c r="S652" s="76"/>
      <c r="Y652" s="95" t="s">
        <v>9723</v>
      </c>
      <c r="AB652" s="95" t="s">
        <v>8541</v>
      </c>
      <c r="AC652" s="95" t="s">
        <v>9724</v>
      </c>
      <c r="AI652" s="95" t="s">
        <v>9725</v>
      </c>
      <c r="AP652" s="95" t="s">
        <v>8541</v>
      </c>
      <c r="AW652" s="95">
        <v>0</v>
      </c>
      <c r="BC652" s="96" t="s">
        <v>9734</v>
      </c>
      <c r="BD652" s="99">
        <f t="shared" si="20"/>
        <v>0</v>
      </c>
      <c r="BJ652" s="95" t="s">
        <v>9741</v>
      </c>
      <c r="BK652" s="95" t="s">
        <v>8541</v>
      </c>
      <c r="CC652" s="99"/>
      <c r="CV652" s="99"/>
      <c r="CW652" s="63"/>
    </row>
    <row r="653" spans="1:101" ht="22.5" x14ac:dyDescent="0.15">
      <c r="A653" s="76">
        <v>610</v>
      </c>
      <c r="B653" s="74" t="s">
        <v>5880</v>
      </c>
      <c r="C653" s="74">
        <v>995473218</v>
      </c>
      <c r="D653" s="78" t="str">
        <f t="shared" si="21"/>
        <v>https://portal.dnb.de/opac.htm?method=simpleSearch&amp;cqlMode=true&amp;query=idn%3D995473218</v>
      </c>
      <c r="E653" s="74" t="s">
        <v>8824</v>
      </c>
      <c r="F653" s="74"/>
      <c r="G653" s="76"/>
      <c r="H653" s="77" t="s">
        <v>5</v>
      </c>
      <c r="I653" s="76" t="s">
        <v>53</v>
      </c>
      <c r="J653" s="77" t="s">
        <v>58</v>
      </c>
      <c r="K653" s="77" t="s">
        <v>8647</v>
      </c>
      <c r="L653" s="76"/>
      <c r="M653" s="76" t="s">
        <v>36</v>
      </c>
      <c r="N653" s="76" t="s">
        <v>39</v>
      </c>
      <c r="O653" s="76">
        <v>0</v>
      </c>
      <c r="P653" s="76"/>
      <c r="Q653" s="76"/>
      <c r="R653" s="76"/>
      <c r="S653" s="76"/>
      <c r="Y653" s="95" t="s">
        <v>9723</v>
      </c>
      <c r="AB653" s="95" t="s">
        <v>8541</v>
      </c>
      <c r="AC653" s="95" t="s">
        <v>9724</v>
      </c>
      <c r="AI653" s="95" t="s">
        <v>9725</v>
      </c>
      <c r="AP653" s="95" t="s">
        <v>8541</v>
      </c>
      <c r="AQ653" s="96" t="s">
        <v>10038</v>
      </c>
      <c r="AW653" s="95">
        <v>45</v>
      </c>
      <c r="BC653" s="96" t="s">
        <v>9726</v>
      </c>
      <c r="BD653" s="99">
        <f t="shared" si="20"/>
        <v>1</v>
      </c>
      <c r="BJ653" s="95" t="s">
        <v>9741</v>
      </c>
      <c r="BK653" s="95" t="s">
        <v>8541</v>
      </c>
      <c r="BP653" s="69" t="s">
        <v>8541</v>
      </c>
      <c r="BQ653" s="95" t="s">
        <v>8541</v>
      </c>
      <c r="BR653" s="95" t="s">
        <v>8541</v>
      </c>
      <c r="CC653" s="99">
        <v>0.5</v>
      </c>
      <c r="CD653" s="90" t="s">
        <v>10039</v>
      </c>
      <c r="CP653" s="95" t="s">
        <v>8541</v>
      </c>
      <c r="CV653" s="99">
        <v>0.5</v>
      </c>
      <c r="CW653" s="63"/>
    </row>
    <row r="654" spans="1:101" ht="22.5" x14ac:dyDescent="0.15">
      <c r="A654" s="76">
        <v>611</v>
      </c>
      <c r="B654" s="74" t="s">
        <v>5881</v>
      </c>
      <c r="C654" s="74">
        <v>995477647</v>
      </c>
      <c r="D654" s="78" t="str">
        <f t="shared" si="21"/>
        <v>https://portal.dnb.de/opac.htm?method=simpleSearch&amp;cqlMode=true&amp;query=idn%3D995477647</v>
      </c>
      <c r="E654" s="74" t="s">
        <v>8825</v>
      </c>
      <c r="F654" s="74"/>
      <c r="G654" s="76"/>
      <c r="H654" s="77" t="s">
        <v>5</v>
      </c>
      <c r="I654" s="76" t="s">
        <v>53</v>
      </c>
      <c r="J654" s="77" t="s">
        <v>58</v>
      </c>
      <c r="K654" s="77" t="s">
        <v>8647</v>
      </c>
      <c r="L654" s="76"/>
      <c r="M654" s="76" t="s">
        <v>36</v>
      </c>
      <c r="N654" s="76" t="s">
        <v>39</v>
      </c>
      <c r="O654" s="76">
        <v>0</v>
      </c>
      <c r="P654" s="76"/>
      <c r="Q654" s="76"/>
      <c r="R654" s="76"/>
      <c r="S654" s="76"/>
      <c r="Y654" s="95" t="s">
        <v>9723</v>
      </c>
      <c r="AC654" s="95" t="s">
        <v>9724</v>
      </c>
      <c r="AI654" s="95" t="s">
        <v>9725</v>
      </c>
      <c r="AP654" s="95" t="s">
        <v>8541</v>
      </c>
      <c r="AQ654" s="96" t="s">
        <v>10040</v>
      </c>
      <c r="AW654" s="95">
        <v>45</v>
      </c>
      <c r="BB654" s="95" t="s">
        <v>8541</v>
      </c>
      <c r="BC654" s="96" t="s">
        <v>9734</v>
      </c>
      <c r="BD654" s="99">
        <f t="shared" si="20"/>
        <v>0</v>
      </c>
      <c r="BJ654" s="95" t="s">
        <v>9741</v>
      </c>
      <c r="BK654" s="95" t="s">
        <v>8541</v>
      </c>
      <c r="CC654" s="99"/>
      <c r="CV654" s="99"/>
      <c r="CW654" s="63"/>
    </row>
    <row r="655" spans="1:101" ht="22.5" x14ac:dyDescent="0.15">
      <c r="A655" s="76">
        <v>612</v>
      </c>
      <c r="B655" s="74" t="s">
        <v>5882</v>
      </c>
      <c r="C655" s="74">
        <v>995477922</v>
      </c>
      <c r="D655" s="78" t="str">
        <f t="shared" si="21"/>
        <v>https://portal.dnb.de/opac.htm?method=simpleSearch&amp;cqlMode=true&amp;query=idn%3D995477922</v>
      </c>
      <c r="E655" s="74" t="s">
        <v>8826</v>
      </c>
      <c r="F655" s="74"/>
      <c r="G655" s="76"/>
      <c r="H655" s="77" t="s">
        <v>5</v>
      </c>
      <c r="I655" s="76" t="s">
        <v>53</v>
      </c>
      <c r="J655" s="77" t="s">
        <v>58</v>
      </c>
      <c r="K655" s="77" t="s">
        <v>8647</v>
      </c>
      <c r="L655" s="76"/>
      <c r="M655" s="76" t="s">
        <v>36</v>
      </c>
      <c r="N655" s="76" t="s">
        <v>39</v>
      </c>
      <c r="O655" s="76">
        <v>0</v>
      </c>
      <c r="P655" s="76"/>
      <c r="Q655" s="76"/>
      <c r="R655" s="76"/>
      <c r="S655" s="76"/>
      <c r="Y655" s="95" t="s">
        <v>9723</v>
      </c>
      <c r="AC655" s="95" t="s">
        <v>9724</v>
      </c>
      <c r="AI655" s="95" t="s">
        <v>9725</v>
      </c>
      <c r="AP655" s="95" t="s">
        <v>8541</v>
      </c>
      <c r="AQ655" s="96" t="s">
        <v>10042</v>
      </c>
      <c r="AW655" s="95">
        <v>45</v>
      </c>
      <c r="BC655" s="96" t="s">
        <v>9734</v>
      </c>
      <c r="BD655" s="99">
        <f t="shared" si="20"/>
        <v>0</v>
      </c>
      <c r="BJ655" s="95" t="s">
        <v>9741</v>
      </c>
      <c r="BK655" s="95" t="s">
        <v>8541</v>
      </c>
      <c r="CC655" s="99"/>
      <c r="CV655" s="99"/>
      <c r="CW655" s="63"/>
    </row>
    <row r="656" spans="1:101" ht="22.5" x14ac:dyDescent="0.15">
      <c r="A656" s="76">
        <v>613</v>
      </c>
      <c r="B656" s="74" t="s">
        <v>5889</v>
      </c>
      <c r="C656" s="74">
        <v>1000276732</v>
      </c>
      <c r="D656" s="78" t="str">
        <f t="shared" si="21"/>
        <v>https://portal.dnb.de/opac.htm?method=simpleSearch&amp;cqlMode=true&amp;query=idn%3D1000276732</v>
      </c>
      <c r="E656" s="74" t="s">
        <v>8827</v>
      </c>
      <c r="F656" s="74"/>
      <c r="G656" s="76" t="s">
        <v>8515</v>
      </c>
      <c r="H656" s="77" t="s">
        <v>18</v>
      </c>
      <c r="I656" s="76" t="s">
        <v>53</v>
      </c>
      <c r="J656" s="77" t="s">
        <v>58</v>
      </c>
      <c r="K656" s="77" t="s">
        <v>84</v>
      </c>
      <c r="L656" s="76"/>
      <c r="M656" s="76" t="s">
        <v>36</v>
      </c>
      <c r="N656" s="76" t="s">
        <v>39</v>
      </c>
      <c r="O656" s="76">
        <v>0</v>
      </c>
      <c r="P656" s="76"/>
      <c r="Q656" s="76"/>
      <c r="R656" s="76"/>
      <c r="S656" s="76"/>
      <c r="BD656" s="99">
        <f t="shared" si="20"/>
        <v>0</v>
      </c>
      <c r="CC656" s="99"/>
      <c r="CV656" s="99"/>
      <c r="CW656" s="63"/>
    </row>
    <row r="657" spans="1:101" ht="22.5" x14ac:dyDescent="0.15">
      <c r="A657" s="76">
        <v>614</v>
      </c>
      <c r="B657" s="74" t="s">
        <v>5890</v>
      </c>
      <c r="C657" s="74">
        <v>1000276783</v>
      </c>
      <c r="D657" s="78" t="str">
        <f t="shared" si="21"/>
        <v>https://portal.dnb.de/opac.htm?method=simpleSearch&amp;cqlMode=true&amp;query=idn%3D1000276783</v>
      </c>
      <c r="E657" s="74" t="s">
        <v>8828</v>
      </c>
      <c r="F657" s="74"/>
      <c r="G657" s="76" t="s">
        <v>8515</v>
      </c>
      <c r="H657" s="77" t="s">
        <v>18</v>
      </c>
      <c r="I657" s="76" t="s">
        <v>53</v>
      </c>
      <c r="J657" s="77" t="s">
        <v>58</v>
      </c>
      <c r="K657" s="77" t="s">
        <v>84</v>
      </c>
      <c r="L657" s="76"/>
      <c r="M657" s="76" t="s">
        <v>36</v>
      </c>
      <c r="N657" s="76" t="s">
        <v>39</v>
      </c>
      <c r="O657" s="76">
        <v>0</v>
      </c>
      <c r="P657" s="76"/>
      <c r="Q657" s="76"/>
      <c r="R657" s="76"/>
      <c r="S657" s="76"/>
      <c r="BD657" s="99">
        <f t="shared" si="20"/>
        <v>0</v>
      </c>
      <c r="CC657" s="99"/>
      <c r="CV657" s="99"/>
      <c r="CW657" s="63"/>
    </row>
    <row r="658" spans="1:101" x14ac:dyDescent="0.15">
      <c r="A658" s="76">
        <v>615</v>
      </c>
      <c r="B658" s="74" t="s">
        <v>5923</v>
      </c>
      <c r="C658" s="74">
        <v>993853641</v>
      </c>
      <c r="D658" s="78" t="str">
        <f t="shared" si="21"/>
        <v>https://portal.dnb.de/opac.htm?method=simpleSearch&amp;cqlMode=true&amp;query=idn%3D993853641</v>
      </c>
      <c r="E658" s="74" t="s">
        <v>5924</v>
      </c>
      <c r="F658" s="74"/>
      <c r="G658" s="76"/>
      <c r="H658" s="77"/>
      <c r="I658" s="76"/>
      <c r="J658" s="77"/>
      <c r="K658" s="77"/>
      <c r="L658" s="76"/>
      <c r="M658" s="76"/>
      <c r="N658" s="76"/>
      <c r="O658" s="76"/>
      <c r="P658" s="76"/>
      <c r="Q658" s="76"/>
      <c r="R658" s="76"/>
      <c r="S658" s="76"/>
      <c r="BD658" s="99">
        <f t="shared" si="20"/>
        <v>0</v>
      </c>
      <c r="CC658" s="99"/>
      <c r="CV658" s="99"/>
      <c r="CW658" s="63"/>
    </row>
    <row r="659" spans="1:101" x14ac:dyDescent="0.15">
      <c r="A659" s="76">
        <v>616</v>
      </c>
      <c r="B659" s="74" t="s">
        <v>5929</v>
      </c>
      <c r="C659" s="74">
        <v>1001871901</v>
      </c>
      <c r="D659" s="78" t="str">
        <f t="shared" si="21"/>
        <v>https://portal.dnb.de/opac.htm?method=simpleSearch&amp;cqlMode=true&amp;query=idn%3D1001871901</v>
      </c>
      <c r="E659" s="74" t="s">
        <v>8829</v>
      </c>
      <c r="F659" s="74"/>
      <c r="G659" s="76"/>
      <c r="H659" s="77"/>
      <c r="I659" s="76"/>
      <c r="J659" s="77"/>
      <c r="K659" s="77"/>
      <c r="L659" s="76"/>
      <c r="M659" s="76"/>
      <c r="N659" s="76"/>
      <c r="O659" s="76"/>
      <c r="P659" s="76"/>
      <c r="Q659" s="76"/>
      <c r="R659" s="76"/>
      <c r="S659" s="76"/>
      <c r="BD659" s="99">
        <f t="shared" si="20"/>
        <v>0</v>
      </c>
      <c r="CC659" s="99"/>
      <c r="CV659" s="99"/>
      <c r="CW659" s="63"/>
    </row>
    <row r="660" spans="1:101" x14ac:dyDescent="0.15">
      <c r="A660" s="76">
        <v>617</v>
      </c>
      <c r="B660" s="74" t="s">
        <v>5930</v>
      </c>
      <c r="C660" s="74">
        <v>1001871766</v>
      </c>
      <c r="D660" s="78" t="str">
        <f t="shared" si="21"/>
        <v>https://portal.dnb.de/opac.htm?method=simpleSearch&amp;cqlMode=true&amp;query=idn%3D1001871766</v>
      </c>
      <c r="E660" s="74" t="s">
        <v>8830</v>
      </c>
      <c r="F660" s="74"/>
      <c r="G660" s="76"/>
      <c r="H660" s="77" t="s">
        <v>4</v>
      </c>
      <c r="I660" s="76" t="s">
        <v>53</v>
      </c>
      <c r="J660" s="77" t="s">
        <v>58</v>
      </c>
      <c r="K660" s="77" t="s">
        <v>8520</v>
      </c>
      <c r="L660" s="76"/>
      <c r="M660" s="76" t="s">
        <v>36</v>
      </c>
      <c r="N660" s="76" t="s">
        <v>39</v>
      </c>
      <c r="O660" s="76">
        <v>0</v>
      </c>
      <c r="P660" s="76"/>
      <c r="Q660" s="76"/>
      <c r="R660" s="76"/>
      <c r="S660" s="76"/>
      <c r="BD660" s="99">
        <f t="shared" si="20"/>
        <v>0</v>
      </c>
      <c r="CC660" s="99"/>
      <c r="CV660" s="99"/>
      <c r="CW660" s="63"/>
    </row>
    <row r="661" spans="1:101" x14ac:dyDescent="0.15">
      <c r="A661" s="76">
        <v>618</v>
      </c>
      <c r="B661" s="74" t="s">
        <v>5931</v>
      </c>
      <c r="C661" s="74" t="s">
        <v>5932</v>
      </c>
      <c r="D661" s="82" t="str">
        <f>HYPERLINK(CONCATENATE("https://portal.dnb.de/opac.htm?method=simpleSearch&amp;cqlMode=true&amp;query=idn%3D",C661))</f>
        <v>https://portal.dnb.de/opac.htm?method=simpleSearch&amp;cqlMode=true&amp;query=idn%3D100187160X</v>
      </c>
      <c r="E661" s="74" t="s">
        <v>8831</v>
      </c>
      <c r="F661" s="74"/>
      <c r="G661" s="76"/>
      <c r="H661" s="77"/>
      <c r="I661" s="76"/>
      <c r="J661" s="77"/>
      <c r="K661" s="77"/>
      <c r="L661" s="76"/>
      <c r="M661" s="76"/>
      <c r="N661" s="76"/>
      <c r="O661" s="76"/>
      <c r="P661" s="76"/>
      <c r="Q661" s="76"/>
      <c r="R661" s="76"/>
      <c r="S661" s="76"/>
      <c r="BD661" s="99">
        <f t="shared" si="20"/>
        <v>0</v>
      </c>
      <c r="CC661" s="99"/>
      <c r="CV661" s="99"/>
      <c r="CW661" s="63"/>
    </row>
    <row r="662" spans="1:101" x14ac:dyDescent="0.15">
      <c r="A662" s="76">
        <v>619</v>
      </c>
      <c r="B662" s="74" t="s">
        <v>5933</v>
      </c>
      <c r="C662" s="74">
        <v>1001871324</v>
      </c>
      <c r="D662" s="78" t="str">
        <f t="shared" si="21"/>
        <v>https://portal.dnb.de/opac.htm?method=simpleSearch&amp;cqlMode=true&amp;query=idn%3D1001871324</v>
      </c>
      <c r="E662" s="74" t="s">
        <v>8832</v>
      </c>
      <c r="F662" s="74"/>
      <c r="G662" s="76"/>
      <c r="H662" s="77" t="s">
        <v>4</v>
      </c>
      <c r="I662" s="76" t="s">
        <v>53</v>
      </c>
      <c r="J662" s="77" t="s">
        <v>58</v>
      </c>
      <c r="K662" s="77" t="s">
        <v>8520</v>
      </c>
      <c r="L662" s="76"/>
      <c r="M662" s="76" t="s">
        <v>36</v>
      </c>
      <c r="N662" s="76" t="s">
        <v>39</v>
      </c>
      <c r="O662" s="76">
        <v>0</v>
      </c>
      <c r="P662" s="76"/>
      <c r="Q662" s="76"/>
      <c r="R662" s="76"/>
      <c r="S662" s="76"/>
      <c r="BD662" s="99">
        <f t="shared" si="20"/>
        <v>0</v>
      </c>
      <c r="CC662" s="99"/>
      <c r="CV662" s="99"/>
      <c r="CW662" s="63"/>
    </row>
    <row r="663" spans="1:101" x14ac:dyDescent="0.15">
      <c r="A663" s="76">
        <v>620</v>
      </c>
      <c r="B663" s="74" t="s">
        <v>5934</v>
      </c>
      <c r="C663" s="74">
        <v>994184360</v>
      </c>
      <c r="D663" s="78" t="str">
        <f t="shared" si="21"/>
        <v>https://portal.dnb.de/opac.htm?method=simpleSearch&amp;cqlMode=true&amp;query=idn%3D994184360</v>
      </c>
      <c r="E663" s="74" t="s">
        <v>5935</v>
      </c>
      <c r="F663" s="74"/>
      <c r="G663" s="76"/>
      <c r="H663" s="77"/>
      <c r="I663" s="76"/>
      <c r="J663" s="77"/>
      <c r="K663" s="77"/>
      <c r="L663" s="76"/>
      <c r="M663" s="76"/>
      <c r="N663" s="76"/>
      <c r="O663" s="76"/>
      <c r="P663" s="76"/>
      <c r="Q663" s="76"/>
      <c r="R663" s="76"/>
      <c r="S663" s="76"/>
      <c r="BD663" s="99">
        <f t="shared" si="20"/>
        <v>0</v>
      </c>
      <c r="CC663" s="99"/>
      <c r="CV663" s="99"/>
      <c r="CW663" s="63"/>
    </row>
    <row r="664" spans="1:101" x14ac:dyDescent="0.15">
      <c r="A664" s="76">
        <v>621</v>
      </c>
      <c r="B664" s="74" t="s">
        <v>5940</v>
      </c>
      <c r="C664" s="74">
        <v>1002261449</v>
      </c>
      <c r="D664" s="78" t="str">
        <f t="shared" si="21"/>
        <v>https://portal.dnb.de/opac.htm?method=simpleSearch&amp;cqlMode=true&amp;query=idn%3D1002261449</v>
      </c>
      <c r="E664" s="74" t="s">
        <v>5941</v>
      </c>
      <c r="F664" s="74"/>
      <c r="G664" s="76"/>
      <c r="H664" s="77"/>
      <c r="I664" s="76"/>
      <c r="J664" s="77"/>
      <c r="K664" s="77"/>
      <c r="L664" s="76"/>
      <c r="M664" s="76"/>
      <c r="N664" s="76"/>
      <c r="O664" s="76"/>
      <c r="P664" s="76"/>
      <c r="Q664" s="76"/>
      <c r="R664" s="76"/>
      <c r="S664" s="76"/>
      <c r="BD664" s="99">
        <f t="shared" si="20"/>
        <v>0</v>
      </c>
      <c r="CC664" s="99"/>
      <c r="CV664" s="99"/>
      <c r="CW664" s="63"/>
    </row>
    <row r="665" spans="1:101" x14ac:dyDescent="0.15">
      <c r="A665" s="76">
        <v>622</v>
      </c>
      <c r="B665" s="74" t="s">
        <v>5947</v>
      </c>
      <c r="C665" s="74">
        <v>998684619</v>
      </c>
      <c r="D665" s="78" t="str">
        <f t="shared" si="21"/>
        <v>https://portal.dnb.de/opac.htm?method=simpleSearch&amp;cqlMode=true&amp;query=idn%3D998684619</v>
      </c>
      <c r="E665" s="74" t="s">
        <v>5948</v>
      </c>
      <c r="F665" s="74"/>
      <c r="G665" s="76"/>
      <c r="H665" s="77"/>
      <c r="I665" s="76" t="s">
        <v>53</v>
      </c>
      <c r="J665" s="77"/>
      <c r="K665" s="77"/>
      <c r="L665" s="76"/>
      <c r="M665" s="76"/>
      <c r="N665" s="76"/>
      <c r="O665" s="76"/>
      <c r="P665" s="76"/>
      <c r="Q665" s="76"/>
      <c r="R665" s="76"/>
      <c r="S665" s="76"/>
      <c r="Y665" s="95" t="s">
        <v>9725</v>
      </c>
      <c r="AC665" s="95" t="s">
        <v>9739</v>
      </c>
      <c r="AI665" s="95" t="s">
        <v>9725</v>
      </c>
      <c r="AW665" s="95">
        <v>45</v>
      </c>
      <c r="BC665" s="96" t="s">
        <v>9734</v>
      </c>
      <c r="BD665" s="99">
        <f t="shared" si="20"/>
        <v>0</v>
      </c>
      <c r="BF665" s="95" t="s">
        <v>10005</v>
      </c>
      <c r="BL665" s="70" t="s">
        <v>10015</v>
      </c>
      <c r="CC665" s="99"/>
      <c r="CV665" s="99"/>
      <c r="CW665" s="63"/>
    </row>
    <row r="666" spans="1:101" x14ac:dyDescent="0.15">
      <c r="A666" s="76">
        <v>623</v>
      </c>
      <c r="B666" s="74" t="s">
        <v>5949</v>
      </c>
      <c r="C666" s="74">
        <v>999393200</v>
      </c>
      <c r="D666" s="78" t="str">
        <f t="shared" si="21"/>
        <v>https://portal.dnb.de/opac.htm?method=simpleSearch&amp;cqlMode=true&amp;query=idn%3D999393200</v>
      </c>
      <c r="E666" s="74" t="s">
        <v>5950</v>
      </c>
      <c r="F666" s="74"/>
      <c r="G666" s="76"/>
      <c r="H666" s="77" t="s">
        <v>47</v>
      </c>
      <c r="I666" s="76" t="s">
        <v>56</v>
      </c>
      <c r="J666" s="77" t="s">
        <v>58</v>
      </c>
      <c r="K666" s="77"/>
      <c r="L666" s="76"/>
      <c r="M666" s="76" t="s">
        <v>34</v>
      </c>
      <c r="N666" s="76" t="s">
        <v>40</v>
      </c>
      <c r="O666" s="76">
        <v>2</v>
      </c>
      <c r="P666" s="76"/>
      <c r="Q666" s="76"/>
      <c r="R666" s="76"/>
      <c r="S666" s="76"/>
      <c r="BD666" s="99">
        <f t="shared" si="20"/>
        <v>0</v>
      </c>
      <c r="CC666" s="99"/>
      <c r="CV666" s="99"/>
      <c r="CW666" s="63"/>
    </row>
    <row r="667" spans="1:101" x14ac:dyDescent="0.15">
      <c r="A667" s="76">
        <v>624</v>
      </c>
      <c r="B667" s="74" t="s">
        <v>5951</v>
      </c>
      <c r="C667" s="74">
        <v>1000805077</v>
      </c>
      <c r="D667" s="78" t="str">
        <f t="shared" si="21"/>
        <v>https://portal.dnb.de/opac.htm?method=simpleSearch&amp;cqlMode=true&amp;query=idn%3D1000805077</v>
      </c>
      <c r="E667" s="74" t="s">
        <v>5952</v>
      </c>
      <c r="F667" s="74"/>
      <c r="G667" s="76"/>
      <c r="H667" s="77"/>
      <c r="I667" s="76"/>
      <c r="J667" s="77"/>
      <c r="K667" s="77"/>
      <c r="L667" s="76"/>
      <c r="M667" s="76"/>
      <c r="N667" s="76"/>
      <c r="O667" s="76"/>
      <c r="P667" s="76"/>
      <c r="Q667" s="76"/>
      <c r="R667" s="76"/>
      <c r="S667" s="76"/>
      <c r="BD667" s="99">
        <f t="shared" si="20"/>
        <v>0</v>
      </c>
      <c r="CC667" s="99"/>
      <c r="CV667" s="99"/>
      <c r="CW667" s="63"/>
    </row>
    <row r="668" spans="1:101" x14ac:dyDescent="0.15">
      <c r="A668" s="76">
        <v>625</v>
      </c>
      <c r="B668" s="74" t="s">
        <v>5953</v>
      </c>
      <c r="C668" s="74">
        <v>1001036603</v>
      </c>
      <c r="D668" s="78" t="str">
        <f t="shared" si="21"/>
        <v>https://portal.dnb.de/opac.htm?method=simpleSearch&amp;cqlMode=true&amp;query=idn%3D1001036603</v>
      </c>
      <c r="E668" s="74" t="s">
        <v>5952</v>
      </c>
      <c r="F668" s="74"/>
      <c r="G668" s="76"/>
      <c r="H668" s="77"/>
      <c r="I668" s="76"/>
      <c r="J668" s="77"/>
      <c r="K668" s="77"/>
      <c r="L668" s="76"/>
      <c r="M668" s="76"/>
      <c r="N668" s="76"/>
      <c r="O668" s="76"/>
      <c r="P668" s="76"/>
      <c r="Q668" s="76"/>
      <c r="R668" s="76"/>
      <c r="S668" s="76"/>
      <c r="BD668" s="99">
        <f t="shared" si="20"/>
        <v>0</v>
      </c>
      <c r="CC668" s="99"/>
      <c r="CV668" s="99"/>
      <c r="CW668" s="63"/>
    </row>
    <row r="669" spans="1:101" x14ac:dyDescent="0.15">
      <c r="A669" s="76">
        <v>626</v>
      </c>
      <c r="B669" s="74" t="s">
        <v>5954</v>
      </c>
      <c r="C669" s="74" t="s">
        <v>5955</v>
      </c>
      <c r="D669" s="78" t="str">
        <f t="shared" si="21"/>
        <v>https://portal.dnb.de/opac.htm?method=simpleSearch&amp;cqlMode=true&amp;query=idn%3D100103662X</v>
      </c>
      <c r="E669" s="74" t="s">
        <v>5952</v>
      </c>
      <c r="F669" s="74"/>
      <c r="G669" s="76"/>
      <c r="H669" s="77"/>
      <c r="I669" s="76"/>
      <c r="J669" s="77"/>
      <c r="K669" s="77"/>
      <c r="L669" s="76"/>
      <c r="M669" s="76"/>
      <c r="N669" s="76"/>
      <c r="O669" s="76"/>
      <c r="P669" s="76"/>
      <c r="Q669" s="76"/>
      <c r="R669" s="76"/>
      <c r="S669" s="76"/>
      <c r="BD669" s="99">
        <f t="shared" si="20"/>
        <v>0</v>
      </c>
      <c r="CC669" s="99"/>
      <c r="CV669" s="99"/>
      <c r="CW669" s="63"/>
    </row>
    <row r="670" spans="1:101" x14ac:dyDescent="0.15">
      <c r="A670" s="76">
        <v>627</v>
      </c>
      <c r="B670" s="74" t="s">
        <v>5962</v>
      </c>
      <c r="C670" s="74">
        <v>11974702</v>
      </c>
      <c r="D670" s="78" t="str">
        <f t="shared" si="21"/>
        <v>https://portal.dnb.de/opac.htm?method=simpleSearch&amp;cqlMode=true&amp;query=idn%3D11974702</v>
      </c>
      <c r="E670" s="74" t="s">
        <v>5963</v>
      </c>
      <c r="F670" s="74"/>
      <c r="G670" s="76"/>
      <c r="H670" s="77"/>
      <c r="I670" s="76" t="s">
        <v>53</v>
      </c>
      <c r="J670" s="77"/>
      <c r="K670" s="77"/>
      <c r="L670" s="76"/>
      <c r="M670" s="76"/>
      <c r="N670" s="76"/>
      <c r="O670" s="76"/>
      <c r="P670" s="76"/>
      <c r="Q670" s="76"/>
      <c r="R670" s="76"/>
      <c r="S670" s="76"/>
      <c r="Y670" s="95" t="s">
        <v>9723</v>
      </c>
      <c r="AC670" s="95" t="s">
        <v>9724</v>
      </c>
      <c r="AI670" s="95" t="s">
        <v>9725</v>
      </c>
      <c r="AW670" s="95">
        <v>45</v>
      </c>
      <c r="BC670" s="96" t="s">
        <v>9734</v>
      </c>
      <c r="BD670" s="99">
        <f t="shared" si="20"/>
        <v>0</v>
      </c>
      <c r="BL670" s="70" t="s">
        <v>10015</v>
      </c>
      <c r="CC670" s="99"/>
      <c r="CV670" s="99"/>
      <c r="CW670" s="63"/>
    </row>
    <row r="671" spans="1:101" x14ac:dyDescent="0.15">
      <c r="A671" s="76">
        <v>628</v>
      </c>
      <c r="B671" s="74" t="s">
        <v>5969</v>
      </c>
      <c r="C671" s="74">
        <v>994509650</v>
      </c>
      <c r="D671" s="78" t="str">
        <f t="shared" si="21"/>
        <v>https://portal.dnb.de/opac.htm?method=simpleSearch&amp;cqlMode=true&amp;query=idn%3D994509650</v>
      </c>
      <c r="E671" s="74" t="s">
        <v>5970</v>
      </c>
      <c r="F671" s="74"/>
      <c r="G671" s="76" t="s">
        <v>8515</v>
      </c>
      <c r="H671" s="77" t="s">
        <v>4</v>
      </c>
      <c r="I671" s="76" t="s">
        <v>53</v>
      </c>
      <c r="J671" s="77" t="s">
        <v>58</v>
      </c>
      <c r="K671" s="77"/>
      <c r="L671" s="76"/>
      <c r="M671" s="76" t="s">
        <v>36</v>
      </c>
      <c r="N671" s="76" t="s">
        <v>39</v>
      </c>
      <c r="O671" s="76">
        <v>1</v>
      </c>
      <c r="P671" s="76"/>
      <c r="Q671" s="76"/>
      <c r="R671" s="76"/>
      <c r="S671" s="76"/>
      <c r="BD671" s="99">
        <f t="shared" si="20"/>
        <v>0</v>
      </c>
      <c r="CC671" s="99"/>
      <c r="CV671" s="99"/>
      <c r="CW671" s="63"/>
    </row>
    <row r="672" spans="1:101" x14ac:dyDescent="0.15">
      <c r="A672" s="76">
        <v>629</v>
      </c>
      <c r="B672" s="74" t="s">
        <v>5972</v>
      </c>
      <c r="C672" s="74">
        <v>996875379</v>
      </c>
      <c r="D672" s="78" t="str">
        <f t="shared" si="21"/>
        <v>https://portal.dnb.de/opac.htm?method=simpleSearch&amp;cqlMode=true&amp;query=idn%3D996875379</v>
      </c>
      <c r="E672" s="74" t="s">
        <v>5973</v>
      </c>
      <c r="F672" s="74"/>
      <c r="G672" s="76" t="s">
        <v>8541</v>
      </c>
      <c r="H672" s="77" t="s">
        <v>17</v>
      </c>
      <c r="I672" s="76" t="s">
        <v>53</v>
      </c>
      <c r="J672" s="77" t="s">
        <v>58</v>
      </c>
      <c r="K672" s="77" t="s">
        <v>84</v>
      </c>
      <c r="L672" s="76"/>
      <c r="M672" s="76"/>
      <c r="N672" s="76"/>
      <c r="O672" s="76">
        <v>0</v>
      </c>
      <c r="P672" s="76"/>
      <c r="Q672" s="76"/>
      <c r="R672" s="76"/>
      <c r="S672" s="76"/>
      <c r="BD672" s="99">
        <f t="shared" si="20"/>
        <v>0</v>
      </c>
      <c r="CC672" s="99"/>
      <c r="CV672" s="99"/>
      <c r="CW672" s="63"/>
    </row>
    <row r="673" spans="1:101" ht="22.5" x14ac:dyDescent="0.15">
      <c r="A673" s="76">
        <v>630</v>
      </c>
      <c r="B673" s="74" t="s">
        <v>6012</v>
      </c>
      <c r="C673" s="74">
        <v>1001102584</v>
      </c>
      <c r="D673" s="78" t="str">
        <f t="shared" si="21"/>
        <v>https://portal.dnb.de/opac.htm?method=simpleSearch&amp;cqlMode=true&amp;query=idn%3D1001102584</v>
      </c>
      <c r="E673" s="74" t="s">
        <v>6013</v>
      </c>
      <c r="F673" s="74"/>
      <c r="G673" s="76"/>
      <c r="H673" s="77" t="s">
        <v>18</v>
      </c>
      <c r="I673" s="76" t="s">
        <v>53</v>
      </c>
      <c r="J673" s="77" t="s">
        <v>58</v>
      </c>
      <c r="K673" s="77" t="s">
        <v>84</v>
      </c>
      <c r="L673" s="76"/>
      <c r="M673" s="76"/>
      <c r="N673" s="76" t="s">
        <v>8660</v>
      </c>
      <c r="O673" s="76">
        <v>0</v>
      </c>
      <c r="P673" s="76"/>
      <c r="Q673" s="76"/>
      <c r="R673" s="76"/>
      <c r="S673" s="76"/>
      <c r="BD673" s="99">
        <f t="shared" si="20"/>
        <v>0</v>
      </c>
      <c r="CC673" s="99"/>
      <c r="CV673" s="99"/>
      <c r="CW673" s="63"/>
    </row>
    <row r="674" spans="1:101" ht="22.5" x14ac:dyDescent="0.15">
      <c r="A674" s="76">
        <v>631</v>
      </c>
      <c r="B674" s="74" t="s">
        <v>6014</v>
      </c>
      <c r="C674" s="74">
        <v>998387940</v>
      </c>
      <c r="D674" s="78" t="str">
        <f t="shared" si="21"/>
        <v>https://portal.dnb.de/opac.htm?method=simpleSearch&amp;cqlMode=true&amp;query=idn%3D998387940</v>
      </c>
      <c r="E674" s="74" t="s">
        <v>6015</v>
      </c>
      <c r="F674" s="74"/>
      <c r="G674" s="76" t="s">
        <v>8515</v>
      </c>
      <c r="H674" s="77" t="s">
        <v>18</v>
      </c>
      <c r="I674" s="76" t="s">
        <v>53</v>
      </c>
      <c r="J674" s="77" t="s">
        <v>58</v>
      </c>
      <c r="K674" s="77" t="s">
        <v>84</v>
      </c>
      <c r="L674" s="76"/>
      <c r="M674" s="76" t="s">
        <v>36</v>
      </c>
      <c r="N674" s="76" t="s">
        <v>39</v>
      </c>
      <c r="O674" s="76"/>
      <c r="P674" s="76"/>
      <c r="Q674" s="76"/>
      <c r="R674" s="76"/>
      <c r="S674" s="76"/>
      <c r="BD674" s="99">
        <f t="shared" si="20"/>
        <v>0</v>
      </c>
      <c r="CC674" s="99"/>
      <c r="CV674" s="99"/>
      <c r="CW674" s="63"/>
    </row>
    <row r="675" spans="1:101" ht="22.5" x14ac:dyDescent="0.15">
      <c r="A675" s="76">
        <v>632</v>
      </c>
      <c r="B675" s="74" t="s">
        <v>6016</v>
      </c>
      <c r="C675" s="74">
        <v>995632634</v>
      </c>
      <c r="D675" s="78" t="str">
        <f t="shared" si="21"/>
        <v>https://portal.dnb.de/opac.htm?method=simpleSearch&amp;cqlMode=true&amp;query=idn%3D995632634</v>
      </c>
      <c r="E675" s="74" t="s">
        <v>6017</v>
      </c>
      <c r="F675" s="74"/>
      <c r="G675" s="76" t="s">
        <v>8515</v>
      </c>
      <c r="H675" s="77" t="s">
        <v>18</v>
      </c>
      <c r="I675" s="76" t="s">
        <v>53</v>
      </c>
      <c r="J675" s="77" t="s">
        <v>58</v>
      </c>
      <c r="K675" s="77" t="s">
        <v>84</v>
      </c>
      <c r="L675" s="76"/>
      <c r="M675" s="76" t="s">
        <v>36</v>
      </c>
      <c r="N675" s="76" t="s">
        <v>39</v>
      </c>
      <c r="O675" s="76">
        <v>1</v>
      </c>
      <c r="P675" s="76"/>
      <c r="Q675" s="76"/>
      <c r="R675" s="76"/>
      <c r="S675" s="76"/>
      <c r="BD675" s="99">
        <f t="shared" si="20"/>
        <v>0</v>
      </c>
      <c r="CC675" s="99"/>
      <c r="CV675" s="99"/>
      <c r="CW675" s="63"/>
    </row>
    <row r="676" spans="1:101" ht="22.5" x14ac:dyDescent="0.15">
      <c r="A676" s="76">
        <v>633</v>
      </c>
      <c r="B676" s="74" t="s">
        <v>6018</v>
      </c>
      <c r="C676" s="74">
        <v>996411534</v>
      </c>
      <c r="D676" s="78" t="str">
        <f t="shared" si="21"/>
        <v>https://portal.dnb.de/opac.htm?method=simpleSearch&amp;cqlMode=true&amp;query=idn%3D996411534</v>
      </c>
      <c r="E676" s="74" t="s">
        <v>6019</v>
      </c>
      <c r="F676" s="74"/>
      <c r="G676" s="76" t="s">
        <v>8541</v>
      </c>
      <c r="H676" s="77" t="s">
        <v>18</v>
      </c>
      <c r="I676" s="76" t="s">
        <v>53</v>
      </c>
      <c r="J676" s="77" t="s">
        <v>58</v>
      </c>
      <c r="K676" s="77" t="s">
        <v>84</v>
      </c>
      <c r="L676" s="76"/>
      <c r="M676" s="76" t="s">
        <v>38</v>
      </c>
      <c r="N676" s="76"/>
      <c r="O676" s="76">
        <v>0</v>
      </c>
      <c r="P676" s="76"/>
      <c r="Q676" s="76"/>
      <c r="R676" s="76"/>
      <c r="S676" s="76"/>
      <c r="BD676" s="99">
        <f t="shared" si="20"/>
        <v>0</v>
      </c>
      <c r="CC676" s="99"/>
      <c r="CV676" s="99"/>
      <c r="CW676" s="63"/>
    </row>
    <row r="677" spans="1:101" x14ac:dyDescent="0.15">
      <c r="A677" s="76">
        <v>634</v>
      </c>
      <c r="B677" s="74" t="s">
        <v>6020</v>
      </c>
      <c r="C677" s="74">
        <v>994563787</v>
      </c>
      <c r="D677" s="78" t="str">
        <f t="shared" si="21"/>
        <v>https://portal.dnb.de/opac.htm?method=simpleSearch&amp;cqlMode=true&amp;query=idn%3D994563787</v>
      </c>
      <c r="E677" s="74" t="s">
        <v>6021</v>
      </c>
      <c r="F677" s="74"/>
      <c r="G677" s="76"/>
      <c r="H677" s="77" t="s">
        <v>4</v>
      </c>
      <c r="I677" s="76" t="s">
        <v>53</v>
      </c>
      <c r="J677" s="77" t="s">
        <v>8516</v>
      </c>
      <c r="K677" s="77" t="s">
        <v>8557</v>
      </c>
      <c r="L677" s="76"/>
      <c r="M677" s="76" t="s">
        <v>36</v>
      </c>
      <c r="N677" s="76" t="s">
        <v>39</v>
      </c>
      <c r="O677" s="76">
        <v>1</v>
      </c>
      <c r="P677" s="76"/>
      <c r="Q677" s="76" t="s">
        <v>9040</v>
      </c>
      <c r="R677" s="76"/>
      <c r="S677" s="76"/>
      <c r="BD677" s="99">
        <f t="shared" si="20"/>
        <v>0</v>
      </c>
      <c r="CC677" s="99"/>
      <c r="CV677" s="99"/>
      <c r="CW677" s="63"/>
    </row>
    <row r="678" spans="1:101" x14ac:dyDescent="0.15">
      <c r="A678" s="76">
        <v>635</v>
      </c>
      <c r="B678" s="74" t="s">
        <v>6022</v>
      </c>
      <c r="C678" s="74">
        <v>996396810</v>
      </c>
      <c r="D678" s="78" t="str">
        <f t="shared" si="21"/>
        <v>https://portal.dnb.de/opac.htm?method=simpleSearch&amp;cqlMode=true&amp;query=idn%3D996396810</v>
      </c>
      <c r="E678" s="74" t="s">
        <v>6023</v>
      </c>
      <c r="F678" s="74"/>
      <c r="G678" s="76"/>
      <c r="H678" s="77" t="s">
        <v>4</v>
      </c>
      <c r="I678" s="76" t="s">
        <v>53</v>
      </c>
      <c r="J678" s="77" t="s">
        <v>58</v>
      </c>
      <c r="K678" s="77" t="s">
        <v>87</v>
      </c>
      <c r="L678" s="76"/>
      <c r="M678" s="76" t="s">
        <v>36</v>
      </c>
      <c r="N678" s="76" t="s">
        <v>8519</v>
      </c>
      <c r="O678" s="76">
        <v>0</v>
      </c>
      <c r="P678" s="76"/>
      <c r="Q678" s="76"/>
      <c r="R678" s="76"/>
      <c r="S678" s="76"/>
      <c r="BD678" s="99">
        <f t="shared" si="20"/>
        <v>0</v>
      </c>
      <c r="CC678" s="99"/>
      <c r="CV678" s="99"/>
      <c r="CW678" s="63"/>
    </row>
    <row r="679" spans="1:101" ht="22.5" x14ac:dyDescent="0.15">
      <c r="A679" s="76">
        <v>636</v>
      </c>
      <c r="B679" s="74" t="s">
        <v>6024</v>
      </c>
      <c r="C679" s="74">
        <v>1066695946</v>
      </c>
      <c r="D679" s="78" t="str">
        <f t="shared" si="21"/>
        <v>https://portal.dnb.de/opac.htm?method=simpleSearch&amp;cqlMode=true&amp;query=idn%3D1066695946</v>
      </c>
      <c r="E679" s="74" t="s">
        <v>6025</v>
      </c>
      <c r="F679" s="74"/>
      <c r="G679" s="76" t="s">
        <v>8515</v>
      </c>
      <c r="H679" s="77" t="s">
        <v>18</v>
      </c>
      <c r="I679" s="76" t="s">
        <v>53</v>
      </c>
      <c r="J679" s="77" t="s">
        <v>58</v>
      </c>
      <c r="K679" s="77"/>
      <c r="L679" s="76"/>
      <c r="M679" s="76" t="s">
        <v>34</v>
      </c>
      <c r="N679" s="76"/>
      <c r="O679" s="76">
        <v>0</v>
      </c>
      <c r="P679" s="76"/>
      <c r="Q679" s="76"/>
      <c r="R679" s="76"/>
      <c r="S679" s="76"/>
      <c r="BD679" s="99">
        <f t="shared" si="20"/>
        <v>0</v>
      </c>
      <c r="CC679" s="99"/>
      <c r="CV679" s="99"/>
      <c r="CW679" s="63"/>
    </row>
    <row r="680" spans="1:101" x14ac:dyDescent="0.15">
      <c r="A680" s="76">
        <v>637</v>
      </c>
      <c r="B680" s="74" t="s">
        <v>6026</v>
      </c>
      <c r="C680" s="74">
        <v>1001810368</v>
      </c>
      <c r="D680" s="78" t="str">
        <f t="shared" si="21"/>
        <v>https://portal.dnb.de/opac.htm?method=simpleSearch&amp;cqlMode=true&amp;query=idn%3D1001810368</v>
      </c>
      <c r="E680" s="74" t="s">
        <v>6027</v>
      </c>
      <c r="F680" s="74"/>
      <c r="G680" s="76" t="s">
        <v>8515</v>
      </c>
      <c r="H680" s="77" t="s">
        <v>4</v>
      </c>
      <c r="I680" s="76" t="s">
        <v>53</v>
      </c>
      <c r="J680" s="77" t="s">
        <v>58</v>
      </c>
      <c r="K680" s="77" t="s">
        <v>87</v>
      </c>
      <c r="L680" s="76"/>
      <c r="M680" s="76" t="s">
        <v>36</v>
      </c>
      <c r="N680" s="76" t="s">
        <v>39</v>
      </c>
      <c r="O680" s="76">
        <v>1</v>
      </c>
      <c r="P680" s="76"/>
      <c r="Q680" s="76"/>
      <c r="R680" s="76"/>
      <c r="S680" s="76"/>
      <c r="BD680" s="99">
        <f t="shared" si="20"/>
        <v>0</v>
      </c>
      <c r="CC680" s="99"/>
      <c r="CV680" s="99"/>
      <c r="CW680" s="63"/>
    </row>
    <row r="681" spans="1:101" ht="22.5" x14ac:dyDescent="0.15">
      <c r="A681" s="76">
        <v>638</v>
      </c>
      <c r="B681" s="74" t="s">
        <v>6028</v>
      </c>
      <c r="C681" s="74">
        <v>1128844397</v>
      </c>
      <c r="D681" s="78" t="str">
        <f t="shared" si="21"/>
        <v>https://portal.dnb.de/opac.htm?method=simpleSearch&amp;cqlMode=true&amp;query=idn%3D1128844397</v>
      </c>
      <c r="E681" s="74" t="s">
        <v>6029</v>
      </c>
      <c r="F681" s="74"/>
      <c r="G681" s="76"/>
      <c r="H681" s="77" t="s">
        <v>18</v>
      </c>
      <c r="I681" s="76" t="s">
        <v>53</v>
      </c>
      <c r="J681" s="77" t="s">
        <v>58</v>
      </c>
      <c r="K681" s="77" t="s">
        <v>84</v>
      </c>
      <c r="L681" s="76"/>
      <c r="M681" s="76" t="s">
        <v>33</v>
      </c>
      <c r="N681" s="76" t="s">
        <v>40</v>
      </c>
      <c r="O681" s="76">
        <v>0</v>
      </c>
      <c r="P681" s="76"/>
      <c r="Q681" s="76"/>
      <c r="R681" s="76"/>
      <c r="S681" s="76"/>
      <c r="BD681" s="99">
        <f t="shared" si="20"/>
        <v>0</v>
      </c>
      <c r="CC681" s="99"/>
      <c r="CV681" s="99"/>
      <c r="CW681" s="63"/>
    </row>
    <row r="682" spans="1:101" x14ac:dyDescent="0.15">
      <c r="A682" s="76">
        <v>639</v>
      </c>
      <c r="B682" s="74" t="s">
        <v>5921</v>
      </c>
      <c r="C682" s="74">
        <v>998635669</v>
      </c>
      <c r="D682" s="78" t="str">
        <f t="shared" si="21"/>
        <v>https://portal.dnb.de/opac.htm?method=simpleSearch&amp;cqlMode=true&amp;query=idn%3D998635669</v>
      </c>
      <c r="E682" s="74" t="s">
        <v>5922</v>
      </c>
      <c r="F682" s="74"/>
      <c r="G682" s="76"/>
      <c r="H682" s="77"/>
      <c r="I682" s="76"/>
      <c r="J682" s="77"/>
      <c r="K682" s="77"/>
      <c r="L682" s="76"/>
      <c r="M682" s="76"/>
      <c r="N682" s="76"/>
      <c r="O682" s="76"/>
      <c r="P682" s="76"/>
      <c r="Q682" s="76"/>
      <c r="R682" s="76"/>
      <c r="S682" s="76"/>
      <c r="BD682" s="99">
        <f t="shared" si="20"/>
        <v>0</v>
      </c>
      <c r="CC682" s="99"/>
      <c r="CV682" s="99"/>
      <c r="CW682" s="63"/>
    </row>
    <row r="683" spans="1:101" x14ac:dyDescent="0.15">
      <c r="A683" s="76">
        <v>640</v>
      </c>
      <c r="B683" s="74" t="s">
        <v>5754</v>
      </c>
      <c r="C683" s="74">
        <v>996590560</v>
      </c>
      <c r="D683" s="78" t="str">
        <f t="shared" si="21"/>
        <v>https://portal.dnb.de/opac.htm?method=simpleSearch&amp;cqlMode=true&amp;query=idn%3D996590560</v>
      </c>
      <c r="E683" s="74" t="s">
        <v>8783</v>
      </c>
      <c r="F683" s="74"/>
      <c r="G683" s="76"/>
      <c r="H683" s="77" t="s">
        <v>4</v>
      </c>
      <c r="I683" s="76" t="s">
        <v>53</v>
      </c>
      <c r="J683" s="77" t="s">
        <v>58</v>
      </c>
      <c r="K683" s="77" t="s">
        <v>8785</v>
      </c>
      <c r="L683" s="76"/>
      <c r="M683" s="76" t="s">
        <v>36</v>
      </c>
      <c r="N683" s="76" t="s">
        <v>39</v>
      </c>
      <c r="O683" s="76">
        <v>0</v>
      </c>
      <c r="P683" s="76"/>
      <c r="Q683" s="76"/>
      <c r="R683" s="76"/>
      <c r="S683" s="76"/>
      <c r="BD683" s="99">
        <f t="shared" si="20"/>
        <v>0</v>
      </c>
      <c r="CC683" s="99"/>
      <c r="CV683" s="99"/>
      <c r="CW683" s="63"/>
    </row>
    <row r="684" spans="1:101" x14ac:dyDescent="0.15">
      <c r="A684" s="76">
        <v>641</v>
      </c>
      <c r="B684" s="74" t="s">
        <v>5756</v>
      </c>
      <c r="C684" s="74">
        <v>996590501</v>
      </c>
      <c r="D684" s="78" t="str">
        <f t="shared" si="21"/>
        <v>https://portal.dnb.de/opac.htm?method=simpleSearch&amp;cqlMode=true&amp;query=idn%3D996590501</v>
      </c>
      <c r="E684" s="74" t="s">
        <v>5755</v>
      </c>
      <c r="F684" s="74"/>
      <c r="G684" s="76"/>
      <c r="H684" s="77"/>
      <c r="I684" s="76"/>
      <c r="J684" s="77"/>
      <c r="K684" s="77"/>
      <c r="L684" s="76"/>
      <c r="M684" s="76"/>
      <c r="N684" s="76"/>
      <c r="O684" s="76"/>
      <c r="P684" s="76"/>
      <c r="Q684" s="76"/>
      <c r="R684" s="76"/>
      <c r="S684" s="76"/>
      <c r="BD684" s="99">
        <f t="shared" si="20"/>
        <v>0</v>
      </c>
      <c r="CC684" s="99"/>
      <c r="CV684" s="99"/>
      <c r="CW684" s="63"/>
    </row>
    <row r="685" spans="1:101" x14ac:dyDescent="0.15">
      <c r="A685" s="76">
        <v>642</v>
      </c>
      <c r="B685" s="74" t="s">
        <v>5757</v>
      </c>
      <c r="C685" s="74">
        <v>996590447</v>
      </c>
      <c r="D685" s="78" t="str">
        <f t="shared" si="21"/>
        <v>https://portal.dnb.de/opac.htm?method=simpleSearch&amp;cqlMode=true&amp;query=idn%3D996590447</v>
      </c>
      <c r="E685" s="74" t="s">
        <v>8784</v>
      </c>
      <c r="F685" s="74"/>
      <c r="G685" s="76"/>
      <c r="H685" s="77" t="s">
        <v>4</v>
      </c>
      <c r="I685" s="76" t="s">
        <v>53</v>
      </c>
      <c r="J685" s="77" t="s">
        <v>58</v>
      </c>
      <c r="K685" s="77" t="s">
        <v>8785</v>
      </c>
      <c r="L685" s="76"/>
      <c r="M685" s="76" t="s">
        <v>36</v>
      </c>
      <c r="N685" s="76" t="s">
        <v>39</v>
      </c>
      <c r="O685" s="76"/>
      <c r="P685" s="76"/>
      <c r="Q685" s="76"/>
      <c r="R685" s="76"/>
      <c r="S685" s="76"/>
      <c r="BD685" s="99">
        <f t="shared" si="20"/>
        <v>0</v>
      </c>
      <c r="CC685" s="99"/>
      <c r="CV685" s="99"/>
      <c r="CW685" s="63"/>
    </row>
    <row r="686" spans="1:101" x14ac:dyDescent="0.15">
      <c r="A686" s="76">
        <v>643</v>
      </c>
      <c r="B686" s="74" t="s">
        <v>5758</v>
      </c>
      <c r="C686" s="74">
        <v>996590404</v>
      </c>
      <c r="D686" s="78" t="str">
        <f t="shared" si="21"/>
        <v>https://portal.dnb.de/opac.htm?method=simpleSearch&amp;cqlMode=true&amp;query=idn%3D996590404</v>
      </c>
      <c r="E686" s="74" t="s">
        <v>5755</v>
      </c>
      <c r="F686" s="74"/>
      <c r="G686" s="76"/>
      <c r="H686" s="77"/>
      <c r="I686" s="76"/>
      <c r="J686" s="77"/>
      <c r="K686" s="77"/>
      <c r="L686" s="76"/>
      <c r="M686" s="76"/>
      <c r="N686" s="76"/>
      <c r="O686" s="76"/>
      <c r="P686" s="76"/>
      <c r="Q686" s="76"/>
      <c r="R686" s="76"/>
      <c r="S686" s="76"/>
      <c r="BD686" s="99">
        <f t="shared" si="20"/>
        <v>0</v>
      </c>
      <c r="CC686" s="99"/>
      <c r="CV686" s="99"/>
      <c r="CW686" s="63"/>
    </row>
    <row r="687" spans="1:101" ht="22.5" x14ac:dyDescent="0.15">
      <c r="A687" s="76">
        <v>644</v>
      </c>
      <c r="B687" s="74" t="s">
        <v>5764</v>
      </c>
      <c r="C687" s="74">
        <v>994046138</v>
      </c>
      <c r="D687" s="78" t="str">
        <f t="shared" si="21"/>
        <v>https://portal.dnb.de/opac.htm?method=simpleSearch&amp;cqlMode=true&amp;query=idn%3D994046138</v>
      </c>
      <c r="E687" s="74" t="s">
        <v>8787</v>
      </c>
      <c r="F687" s="74"/>
      <c r="G687" s="76"/>
      <c r="H687" s="77" t="s">
        <v>4</v>
      </c>
      <c r="I687" s="76" t="s">
        <v>53</v>
      </c>
      <c r="J687" s="77" t="s">
        <v>8516</v>
      </c>
      <c r="K687" s="77" t="s">
        <v>8565</v>
      </c>
      <c r="L687" s="76"/>
      <c r="M687" s="76" t="s">
        <v>38</v>
      </c>
      <c r="N687" s="76" t="s">
        <v>40</v>
      </c>
      <c r="O687" s="76">
        <v>0</v>
      </c>
      <c r="P687" s="76"/>
      <c r="Q687" s="76"/>
      <c r="R687" s="76"/>
      <c r="S687" s="76"/>
      <c r="BD687" s="99">
        <f t="shared" si="20"/>
        <v>0</v>
      </c>
      <c r="CC687" s="99"/>
      <c r="CV687" s="99"/>
      <c r="CW687" s="63"/>
    </row>
    <row r="688" spans="1:101" x14ac:dyDescent="0.15">
      <c r="A688" s="76">
        <v>645</v>
      </c>
      <c r="B688" s="74" t="s">
        <v>5765</v>
      </c>
      <c r="C688" s="74">
        <v>994046154</v>
      </c>
      <c r="D688" s="78" t="str">
        <f t="shared" si="21"/>
        <v>https://portal.dnb.de/opac.htm?method=simpleSearch&amp;cqlMode=true&amp;query=idn%3D994046154</v>
      </c>
      <c r="E688" s="74" t="s">
        <v>8788</v>
      </c>
      <c r="F688" s="74"/>
      <c r="G688" s="76"/>
      <c r="H688" s="77" t="s">
        <v>4</v>
      </c>
      <c r="I688" s="76" t="s">
        <v>53</v>
      </c>
      <c r="J688" s="77" t="s">
        <v>89</v>
      </c>
      <c r="K688" s="77" t="s">
        <v>84</v>
      </c>
      <c r="L688" s="76"/>
      <c r="M688" s="76" t="s">
        <v>38</v>
      </c>
      <c r="N688" s="76" t="s">
        <v>40</v>
      </c>
      <c r="O688" s="76">
        <v>0</v>
      </c>
      <c r="P688" s="76"/>
      <c r="Q688" s="76"/>
      <c r="R688" s="76"/>
      <c r="S688" s="76"/>
      <c r="BD688" s="99">
        <f t="shared" si="20"/>
        <v>0</v>
      </c>
      <c r="CC688" s="99"/>
      <c r="CV688" s="99"/>
      <c r="CW688" s="63"/>
    </row>
    <row r="689" spans="1:101" ht="22.5" x14ac:dyDescent="0.15">
      <c r="A689" s="76">
        <v>646</v>
      </c>
      <c r="B689" s="74" t="s">
        <v>5766</v>
      </c>
      <c r="C689" s="74">
        <v>13465139</v>
      </c>
      <c r="D689" s="78" t="str">
        <f t="shared" si="21"/>
        <v>https://portal.dnb.de/opac.htm?method=simpleSearch&amp;cqlMode=true&amp;query=idn%3D13465139</v>
      </c>
      <c r="E689" s="74" t="s">
        <v>8792</v>
      </c>
      <c r="F689" s="74"/>
      <c r="G689" s="76" t="s">
        <v>8541</v>
      </c>
      <c r="H689" s="77" t="s">
        <v>5</v>
      </c>
      <c r="I689" s="76" t="s">
        <v>53</v>
      </c>
      <c r="J689" s="77" t="s">
        <v>89</v>
      </c>
      <c r="K689" s="77" t="s">
        <v>8664</v>
      </c>
      <c r="L689" s="76"/>
      <c r="M689" s="76" t="s">
        <v>36</v>
      </c>
      <c r="N689" s="76" t="s">
        <v>40</v>
      </c>
      <c r="O689" s="76">
        <v>0</v>
      </c>
      <c r="P689" s="76"/>
      <c r="Q689" s="76"/>
      <c r="R689" s="76"/>
      <c r="S689" s="76"/>
      <c r="BD689" s="99">
        <f t="shared" si="20"/>
        <v>0</v>
      </c>
      <c r="CC689" s="99"/>
      <c r="CV689" s="99"/>
      <c r="CW689" s="63"/>
    </row>
    <row r="690" spans="1:101" ht="22.5" x14ac:dyDescent="0.15">
      <c r="A690" s="76"/>
      <c r="B690" s="74"/>
      <c r="C690" s="74"/>
      <c r="D690" s="78"/>
      <c r="E690" s="74" t="s">
        <v>8793</v>
      </c>
      <c r="F690" s="74"/>
      <c r="G690" s="76" t="s">
        <v>8515</v>
      </c>
      <c r="H690" s="77" t="s">
        <v>18</v>
      </c>
      <c r="I690" s="76" t="s">
        <v>53</v>
      </c>
      <c r="J690" s="77" t="s">
        <v>8516</v>
      </c>
      <c r="K690" s="77" t="s">
        <v>8565</v>
      </c>
      <c r="L690" s="76"/>
      <c r="M690" s="76" t="s">
        <v>38</v>
      </c>
      <c r="N690" s="76" t="s">
        <v>40</v>
      </c>
      <c r="O690" s="76">
        <v>0</v>
      </c>
      <c r="P690" s="76"/>
      <c r="Q690" s="76"/>
      <c r="R690" s="76"/>
      <c r="S690" s="76"/>
      <c r="BD690" s="99">
        <f t="shared" si="20"/>
        <v>0</v>
      </c>
      <c r="CC690" s="99"/>
      <c r="CV690" s="99"/>
      <c r="CW690" s="63"/>
    </row>
    <row r="691" spans="1:101" x14ac:dyDescent="0.15">
      <c r="A691" s="76"/>
      <c r="B691" s="74"/>
      <c r="C691" s="74"/>
      <c r="D691" s="78"/>
      <c r="E691" s="74" t="s">
        <v>8789</v>
      </c>
      <c r="F691" s="74"/>
      <c r="G691" s="76"/>
      <c r="H691" s="77" t="s">
        <v>4</v>
      </c>
      <c r="I691" s="76" t="s">
        <v>53</v>
      </c>
      <c r="J691" s="77" t="s">
        <v>8516</v>
      </c>
      <c r="K691" s="77" t="s">
        <v>84</v>
      </c>
      <c r="L691" s="76"/>
      <c r="M691" s="76" t="s">
        <v>38</v>
      </c>
      <c r="N691" s="76" t="s">
        <v>40</v>
      </c>
      <c r="O691" s="76">
        <v>0</v>
      </c>
      <c r="P691" s="76"/>
      <c r="Q691" s="76"/>
      <c r="R691" s="76"/>
      <c r="S691" s="76"/>
      <c r="BD691" s="99">
        <f t="shared" si="20"/>
        <v>0</v>
      </c>
      <c r="CC691" s="99"/>
      <c r="CV691" s="99"/>
      <c r="CW691" s="63"/>
    </row>
    <row r="692" spans="1:101" x14ac:dyDescent="0.15">
      <c r="A692" s="76">
        <v>647</v>
      </c>
      <c r="B692" s="74" t="s">
        <v>5771</v>
      </c>
      <c r="C692" s="74">
        <v>995829586</v>
      </c>
      <c r="D692" s="78" t="str">
        <f t="shared" si="21"/>
        <v>https://portal.dnb.de/opac.htm?method=simpleSearch&amp;cqlMode=true&amp;query=idn%3D995829586</v>
      </c>
      <c r="E692" s="74" t="s">
        <v>5772</v>
      </c>
      <c r="F692" s="74"/>
      <c r="G692" s="76"/>
      <c r="H692" s="77" t="s">
        <v>47</v>
      </c>
      <c r="I692" s="76" t="s">
        <v>53</v>
      </c>
      <c r="J692" s="77" t="s">
        <v>58</v>
      </c>
      <c r="K692" s="77"/>
      <c r="L692" s="76"/>
      <c r="M692" s="76" t="s">
        <v>34</v>
      </c>
      <c r="N692" s="76" t="s">
        <v>40</v>
      </c>
      <c r="O692" s="76">
        <v>1</v>
      </c>
      <c r="P692" s="76"/>
      <c r="Q692" s="76" t="s">
        <v>8875</v>
      </c>
      <c r="R692" s="76"/>
      <c r="S692" s="76"/>
      <c r="BD692" s="99">
        <f t="shared" si="20"/>
        <v>0</v>
      </c>
      <c r="CC692" s="99"/>
      <c r="CV692" s="99"/>
      <c r="CW692" s="63"/>
    </row>
    <row r="693" spans="1:101" x14ac:dyDescent="0.15">
      <c r="A693" s="76">
        <v>648</v>
      </c>
      <c r="B693" s="74" t="s">
        <v>5777</v>
      </c>
      <c r="C693" s="74">
        <v>995937486</v>
      </c>
      <c r="D693" s="78" t="str">
        <f t="shared" si="21"/>
        <v>https://portal.dnb.de/opac.htm?method=simpleSearch&amp;cqlMode=true&amp;query=idn%3D995937486</v>
      </c>
      <c r="E693" s="74" t="s">
        <v>5778</v>
      </c>
      <c r="F693" s="74"/>
      <c r="G693" s="76"/>
      <c r="H693" s="77" t="s">
        <v>4</v>
      </c>
      <c r="I693" s="76" t="s">
        <v>53</v>
      </c>
      <c r="J693" s="77" t="s">
        <v>58</v>
      </c>
      <c r="K693" s="77" t="s">
        <v>84</v>
      </c>
      <c r="L693" s="76"/>
      <c r="M693" s="76" t="s">
        <v>36</v>
      </c>
      <c r="N693" s="76" t="s">
        <v>39</v>
      </c>
      <c r="O693" s="76">
        <v>0</v>
      </c>
      <c r="P693" s="76"/>
      <c r="Q693" s="76"/>
      <c r="R693" s="76"/>
      <c r="S693" s="76"/>
      <c r="BD693" s="99">
        <f t="shared" si="20"/>
        <v>0</v>
      </c>
      <c r="CC693" s="99"/>
      <c r="CV693" s="99"/>
      <c r="CW693" s="63"/>
    </row>
    <row r="694" spans="1:101" x14ac:dyDescent="0.15">
      <c r="A694" s="76">
        <v>649</v>
      </c>
      <c r="B694" s="74" t="s">
        <v>5781</v>
      </c>
      <c r="C694" s="74">
        <v>995372594</v>
      </c>
      <c r="D694" s="78" t="str">
        <f t="shared" si="21"/>
        <v>https://portal.dnb.de/opac.htm?method=simpleSearch&amp;cqlMode=true&amp;query=idn%3D995372594</v>
      </c>
      <c r="E694" s="74" t="s">
        <v>5782</v>
      </c>
      <c r="F694" s="74"/>
      <c r="G694" s="76"/>
      <c r="H694" s="77"/>
      <c r="I694" s="76"/>
      <c r="J694" s="77"/>
      <c r="K694" s="77"/>
      <c r="L694" s="76"/>
      <c r="M694" s="76"/>
      <c r="N694" s="76"/>
      <c r="O694" s="76"/>
      <c r="P694" s="76"/>
      <c r="Q694" s="76"/>
      <c r="R694" s="76"/>
      <c r="S694" s="76"/>
      <c r="BD694" s="99">
        <f t="shared" si="20"/>
        <v>0</v>
      </c>
      <c r="CC694" s="99"/>
      <c r="CV694" s="99"/>
      <c r="CW694" s="63"/>
    </row>
    <row r="695" spans="1:101" ht="33.75" x14ac:dyDescent="0.15">
      <c r="A695" s="76">
        <v>650</v>
      </c>
      <c r="B695" s="74" t="s">
        <v>5783</v>
      </c>
      <c r="C695" s="74">
        <v>999327321</v>
      </c>
      <c r="D695" s="78" t="str">
        <f t="shared" si="21"/>
        <v>https://portal.dnb.de/opac.htm?method=simpleSearch&amp;cqlMode=true&amp;query=idn%3D999327321</v>
      </c>
      <c r="E695" s="74" t="s">
        <v>5784</v>
      </c>
      <c r="F695" s="74"/>
      <c r="G695" s="76"/>
      <c r="H695" s="77" t="s">
        <v>48</v>
      </c>
      <c r="I695" s="76" t="s">
        <v>53</v>
      </c>
      <c r="J695" s="77" t="s">
        <v>58</v>
      </c>
      <c r="K695" s="77" t="s">
        <v>84</v>
      </c>
      <c r="L695" s="76"/>
      <c r="M695" s="76" t="s">
        <v>36</v>
      </c>
      <c r="N695" s="76" t="s">
        <v>39</v>
      </c>
      <c r="O695" s="76">
        <v>0</v>
      </c>
      <c r="P695" s="76"/>
      <c r="Q695" s="76"/>
      <c r="R695" s="76"/>
      <c r="S695" s="76"/>
      <c r="Y695" s="95" t="s">
        <v>9725</v>
      </c>
      <c r="AC695" s="95" t="s">
        <v>9739</v>
      </c>
      <c r="AI695" s="95" t="s">
        <v>9725</v>
      </c>
      <c r="AW695" s="95">
        <v>110</v>
      </c>
      <c r="BC695" s="96" t="s">
        <v>9734</v>
      </c>
      <c r="BD695" s="99">
        <f t="shared" si="20"/>
        <v>0</v>
      </c>
      <c r="BJ695" s="95" t="s">
        <v>9741</v>
      </c>
      <c r="BK695" s="95" t="s">
        <v>8541</v>
      </c>
      <c r="BL695" s="70" t="s">
        <v>10508</v>
      </c>
      <c r="BO695" s="70" t="s">
        <v>10509</v>
      </c>
      <c r="BP695" s="69" t="s">
        <v>8541</v>
      </c>
      <c r="CC695" s="99"/>
      <c r="CV695" s="99"/>
      <c r="CW695" s="63"/>
    </row>
    <row r="696" spans="1:101" ht="22.5" x14ac:dyDescent="0.15">
      <c r="A696" s="76">
        <v>651</v>
      </c>
      <c r="B696" s="74" t="s">
        <v>5788</v>
      </c>
      <c r="C696" s="74">
        <v>1000384276</v>
      </c>
      <c r="D696" s="78" t="str">
        <f t="shared" si="21"/>
        <v>https://portal.dnb.de/opac.htm?method=simpleSearch&amp;cqlMode=true&amp;query=idn%3D1000384276</v>
      </c>
      <c r="E696" s="74" t="s">
        <v>5789</v>
      </c>
      <c r="F696" s="74"/>
      <c r="G696" s="76"/>
      <c r="H696" s="77" t="s">
        <v>48</v>
      </c>
      <c r="I696" s="76" t="s">
        <v>53</v>
      </c>
      <c r="J696" s="77" t="s">
        <v>89</v>
      </c>
      <c r="K696" s="77" t="s">
        <v>8565</v>
      </c>
      <c r="L696" s="76"/>
      <c r="M696" s="76" t="s">
        <v>38</v>
      </c>
      <c r="N696" s="76" t="s">
        <v>40</v>
      </c>
      <c r="O696" s="76">
        <v>0</v>
      </c>
      <c r="P696" s="76"/>
      <c r="Q696" s="76"/>
      <c r="R696" s="76"/>
      <c r="S696" s="76"/>
      <c r="BD696" s="99">
        <f t="shared" si="20"/>
        <v>0</v>
      </c>
      <c r="CC696" s="99"/>
      <c r="CV696" s="99"/>
      <c r="CW696" s="63"/>
    </row>
    <row r="697" spans="1:101" x14ac:dyDescent="0.15">
      <c r="A697" s="76">
        <v>652</v>
      </c>
      <c r="B697" s="74" t="s">
        <v>5799</v>
      </c>
      <c r="C697" s="74">
        <v>1000056147</v>
      </c>
      <c r="D697" s="78" t="str">
        <f t="shared" si="21"/>
        <v>https://portal.dnb.de/opac.htm?method=simpleSearch&amp;cqlMode=true&amp;query=idn%3D1000056147</v>
      </c>
      <c r="E697" s="74" t="s">
        <v>5800</v>
      </c>
      <c r="F697" s="74"/>
      <c r="G697" s="76"/>
      <c r="H697" s="77"/>
      <c r="I697" s="76"/>
      <c r="J697" s="77"/>
      <c r="K697" s="77"/>
      <c r="L697" s="76"/>
      <c r="M697" s="76"/>
      <c r="N697" s="76"/>
      <c r="O697" s="76"/>
      <c r="P697" s="76"/>
      <c r="Q697" s="76"/>
      <c r="R697" s="76"/>
      <c r="S697" s="76"/>
      <c r="BD697" s="99">
        <f t="shared" si="20"/>
        <v>0</v>
      </c>
      <c r="CC697" s="99"/>
      <c r="CV697" s="99"/>
      <c r="CW697" s="63"/>
    </row>
    <row r="698" spans="1:101" x14ac:dyDescent="0.15">
      <c r="A698" s="76">
        <v>653</v>
      </c>
      <c r="B698" s="74" t="s">
        <v>5801</v>
      </c>
      <c r="C698" s="74" t="s">
        <v>5802</v>
      </c>
      <c r="D698" s="78" t="str">
        <f t="shared" si="21"/>
        <v>https://portal.dnb.de/opac.htm?method=simpleSearch&amp;cqlMode=true&amp;query=idn%3D100005618X</v>
      </c>
      <c r="E698" s="74" t="s">
        <v>5800</v>
      </c>
      <c r="F698" s="74"/>
      <c r="G698" s="76"/>
      <c r="H698" s="77"/>
      <c r="I698" s="76"/>
      <c r="J698" s="77"/>
      <c r="K698" s="77"/>
      <c r="L698" s="76"/>
      <c r="M698" s="76"/>
      <c r="N698" s="76"/>
      <c r="O698" s="76"/>
      <c r="P698" s="76"/>
      <c r="Q698" s="76"/>
      <c r="R698" s="76"/>
      <c r="S698" s="76"/>
      <c r="BD698" s="99">
        <f t="shared" si="20"/>
        <v>0</v>
      </c>
      <c r="CC698" s="99"/>
      <c r="CV698" s="99"/>
      <c r="CW698" s="63"/>
    </row>
    <row r="699" spans="1:101" x14ac:dyDescent="0.15">
      <c r="A699" s="76">
        <v>654</v>
      </c>
      <c r="B699" s="74" t="s">
        <v>5803</v>
      </c>
      <c r="C699" s="74">
        <v>1000056228</v>
      </c>
      <c r="D699" s="78" t="str">
        <f t="shared" si="21"/>
        <v>https://portal.dnb.de/opac.htm?method=simpleSearch&amp;cqlMode=true&amp;query=idn%3D1000056228</v>
      </c>
      <c r="E699" s="74" t="s">
        <v>5800</v>
      </c>
      <c r="F699" s="74"/>
      <c r="G699" s="76"/>
      <c r="H699" s="77"/>
      <c r="I699" s="76"/>
      <c r="J699" s="77"/>
      <c r="K699" s="77"/>
      <c r="L699" s="76"/>
      <c r="M699" s="76"/>
      <c r="N699" s="76"/>
      <c r="O699" s="76"/>
      <c r="P699" s="76"/>
      <c r="Q699" s="76"/>
      <c r="R699" s="76"/>
      <c r="S699" s="76"/>
      <c r="BD699" s="99">
        <f t="shared" si="20"/>
        <v>0</v>
      </c>
      <c r="CC699" s="99"/>
      <c r="CV699" s="99"/>
      <c r="CW699" s="63"/>
    </row>
    <row r="700" spans="1:101" ht="22.5" x14ac:dyDescent="0.15">
      <c r="A700" s="76">
        <v>655</v>
      </c>
      <c r="B700" s="74" t="s">
        <v>5806</v>
      </c>
      <c r="C700" s="74">
        <v>994544367</v>
      </c>
      <c r="D700" s="78" t="str">
        <f t="shared" si="21"/>
        <v>https://portal.dnb.de/opac.htm?method=simpleSearch&amp;cqlMode=true&amp;query=idn%3D994544367</v>
      </c>
      <c r="E700" s="74" t="s">
        <v>8791</v>
      </c>
      <c r="F700" s="74"/>
      <c r="G700" s="76" t="s">
        <v>8515</v>
      </c>
      <c r="H700" s="77" t="s">
        <v>18</v>
      </c>
      <c r="I700" s="76" t="s">
        <v>53</v>
      </c>
      <c r="J700" s="77" t="s">
        <v>8516</v>
      </c>
      <c r="K700" s="77" t="s">
        <v>8785</v>
      </c>
      <c r="L700" s="76"/>
      <c r="M700" s="76" t="s">
        <v>36</v>
      </c>
      <c r="N700" s="76" t="s">
        <v>39</v>
      </c>
      <c r="O700" s="76">
        <v>0</v>
      </c>
      <c r="P700" s="76"/>
      <c r="Q700" s="76"/>
      <c r="R700" s="76"/>
      <c r="S700" s="76"/>
      <c r="BD700" s="99">
        <f t="shared" si="20"/>
        <v>0</v>
      </c>
      <c r="CC700" s="99"/>
      <c r="CV700" s="99"/>
      <c r="CW700" s="63"/>
    </row>
    <row r="701" spans="1:101" x14ac:dyDescent="0.15">
      <c r="A701" s="76">
        <v>656</v>
      </c>
      <c r="B701" s="74" t="s">
        <v>5812</v>
      </c>
      <c r="C701" s="74" t="s">
        <v>5813</v>
      </c>
      <c r="D701" s="78" t="str">
        <f t="shared" si="21"/>
        <v>https://portal.dnb.de/opac.htm?method=simpleSearch&amp;cqlMode=true&amp;query=idn%3D99710516X</v>
      </c>
      <c r="E701" s="74" t="s">
        <v>5814</v>
      </c>
      <c r="F701" s="74"/>
      <c r="G701" s="76"/>
      <c r="H701" s="77" t="s">
        <v>50</v>
      </c>
      <c r="I701" s="76" t="s">
        <v>55</v>
      </c>
      <c r="J701" s="77"/>
      <c r="K701" s="77"/>
      <c r="L701" s="76"/>
      <c r="M701" s="76" t="s">
        <v>34</v>
      </c>
      <c r="N701" s="76" t="s">
        <v>8660</v>
      </c>
      <c r="O701" s="76">
        <v>0</v>
      </c>
      <c r="P701" s="76"/>
      <c r="Q701" s="76"/>
      <c r="R701" s="76"/>
      <c r="S701" s="76"/>
      <c r="BD701" s="99">
        <f t="shared" si="20"/>
        <v>0</v>
      </c>
      <c r="CC701" s="99"/>
      <c r="CV701" s="99"/>
      <c r="CW701" s="63"/>
    </row>
    <row r="702" spans="1:101" x14ac:dyDescent="0.15">
      <c r="A702" s="76">
        <v>657</v>
      </c>
      <c r="B702" s="74" t="s">
        <v>5815</v>
      </c>
      <c r="C702" s="74">
        <v>997105119</v>
      </c>
      <c r="D702" s="78" t="str">
        <f t="shared" si="21"/>
        <v>https://portal.dnb.de/opac.htm?method=simpleSearch&amp;cqlMode=true&amp;query=idn%3D997105119</v>
      </c>
      <c r="E702" s="74" t="s">
        <v>8798</v>
      </c>
      <c r="F702" s="74"/>
      <c r="G702" s="76"/>
      <c r="H702" s="77" t="s">
        <v>17</v>
      </c>
      <c r="I702" s="76" t="s">
        <v>54</v>
      </c>
      <c r="J702" s="77" t="s">
        <v>8516</v>
      </c>
      <c r="K702" s="77" t="s">
        <v>8557</v>
      </c>
      <c r="L702" s="76"/>
      <c r="M702" s="76" t="s">
        <v>36</v>
      </c>
      <c r="N702" s="76" t="s">
        <v>8790</v>
      </c>
      <c r="O702" s="76">
        <v>0</v>
      </c>
      <c r="P702" s="76"/>
      <c r="Q702" s="76"/>
      <c r="R702" s="76"/>
      <c r="S702" s="76"/>
      <c r="BD702" s="99">
        <f t="shared" si="20"/>
        <v>0</v>
      </c>
      <c r="CC702" s="99"/>
      <c r="CV702" s="99"/>
      <c r="CW702" s="63"/>
    </row>
    <row r="703" spans="1:101" x14ac:dyDescent="0.15">
      <c r="A703" s="76">
        <v>658</v>
      </c>
      <c r="B703" s="74" t="s">
        <v>5816</v>
      </c>
      <c r="C703" s="74">
        <v>997105038</v>
      </c>
      <c r="D703" s="78" t="str">
        <f t="shared" si="21"/>
        <v>https://portal.dnb.de/opac.htm?method=simpleSearch&amp;cqlMode=true&amp;query=idn%3D997105038</v>
      </c>
      <c r="E703" s="74" t="s">
        <v>8802</v>
      </c>
      <c r="F703" s="74"/>
      <c r="G703" s="76"/>
      <c r="H703" s="77" t="s">
        <v>17</v>
      </c>
      <c r="I703" s="76" t="s">
        <v>54</v>
      </c>
      <c r="J703" s="77" t="s">
        <v>8516</v>
      </c>
      <c r="K703" s="77" t="s">
        <v>8557</v>
      </c>
      <c r="L703" s="76"/>
      <c r="M703" s="76" t="s">
        <v>36</v>
      </c>
      <c r="N703" s="76" t="s">
        <v>8790</v>
      </c>
      <c r="O703" s="76">
        <v>0</v>
      </c>
      <c r="P703" s="76"/>
      <c r="Q703" s="76"/>
      <c r="R703" s="76"/>
      <c r="S703" s="76"/>
      <c r="BD703" s="99">
        <f t="shared" si="20"/>
        <v>0</v>
      </c>
      <c r="CC703" s="99"/>
      <c r="CV703" s="99"/>
      <c r="CW703" s="63"/>
    </row>
    <row r="704" spans="1:101" ht="22.5" x14ac:dyDescent="0.15">
      <c r="A704" s="76">
        <v>659</v>
      </c>
      <c r="B704" s="74" t="s">
        <v>5817</v>
      </c>
      <c r="C704" s="74">
        <v>997104937</v>
      </c>
      <c r="D704" s="82" t="str">
        <f>HYPERLINK(CONCATENATE("https://portal.dnb.de/opac.htm?method=simpleSearch&amp;cqlMode=true&amp;query=idn%3D",C704))</f>
        <v>https://portal.dnb.de/opac.htm?method=simpleSearch&amp;cqlMode=true&amp;query=idn%3D997104937</v>
      </c>
      <c r="E704" s="74" t="s">
        <v>8804</v>
      </c>
      <c r="F704" s="74"/>
      <c r="G704" s="76"/>
      <c r="H704" s="77" t="s">
        <v>47</v>
      </c>
      <c r="I704" s="76" t="s">
        <v>54</v>
      </c>
      <c r="J704" s="77" t="s">
        <v>58</v>
      </c>
      <c r="K704" s="77" t="s">
        <v>8803</v>
      </c>
      <c r="L704" s="76"/>
      <c r="M704" s="76" t="s">
        <v>34</v>
      </c>
      <c r="N704" s="76" t="s">
        <v>39</v>
      </c>
      <c r="O704" s="76">
        <v>0</v>
      </c>
      <c r="P704" s="76"/>
      <c r="Q704" s="76"/>
      <c r="R704" s="76"/>
      <c r="S704" s="76"/>
      <c r="BD704" s="99">
        <f t="shared" si="20"/>
        <v>0</v>
      </c>
      <c r="CC704" s="99"/>
      <c r="CV704" s="99"/>
      <c r="CW704" s="63"/>
    </row>
    <row r="705" spans="1:101" x14ac:dyDescent="0.15">
      <c r="A705" s="76">
        <v>660</v>
      </c>
      <c r="B705" s="74" t="s">
        <v>5818</v>
      </c>
      <c r="C705" s="74">
        <v>1000930882</v>
      </c>
      <c r="D705" s="78" t="str">
        <f t="shared" si="21"/>
        <v>https://portal.dnb.de/opac.htm?method=simpleSearch&amp;cqlMode=true&amp;query=idn%3D1000930882</v>
      </c>
      <c r="E705" s="74" t="s">
        <v>8801</v>
      </c>
      <c r="F705" s="74"/>
      <c r="G705" s="76"/>
      <c r="H705" s="77" t="s">
        <v>17</v>
      </c>
      <c r="I705" s="76" t="s">
        <v>54</v>
      </c>
      <c r="J705" s="77" t="s">
        <v>8516</v>
      </c>
      <c r="K705" s="77" t="s">
        <v>8557</v>
      </c>
      <c r="L705" s="76"/>
      <c r="M705" s="76" t="s">
        <v>36</v>
      </c>
      <c r="N705" s="76" t="s">
        <v>8790</v>
      </c>
      <c r="O705" s="76">
        <v>0</v>
      </c>
      <c r="P705" s="76"/>
      <c r="Q705" s="76"/>
      <c r="R705" s="76"/>
      <c r="S705" s="76"/>
      <c r="BD705" s="99">
        <f t="shared" si="20"/>
        <v>0</v>
      </c>
      <c r="CC705" s="99"/>
      <c r="CV705" s="99"/>
      <c r="CW705" s="63"/>
    </row>
    <row r="706" spans="1:101" x14ac:dyDescent="0.15">
      <c r="A706" s="76">
        <v>661</v>
      </c>
      <c r="B706" s="74" t="s">
        <v>5819</v>
      </c>
      <c r="C706" s="74">
        <v>1000930947</v>
      </c>
      <c r="D706" s="78" t="str">
        <f t="shared" si="21"/>
        <v>https://portal.dnb.de/opac.htm?method=simpleSearch&amp;cqlMode=true&amp;query=idn%3D1000930947</v>
      </c>
      <c r="E706" s="74" t="s">
        <v>8800</v>
      </c>
      <c r="F706" s="74"/>
      <c r="G706" s="76"/>
      <c r="H706" s="77" t="s">
        <v>17</v>
      </c>
      <c r="I706" s="76" t="s">
        <v>54</v>
      </c>
      <c r="J706" s="77" t="s">
        <v>8516</v>
      </c>
      <c r="K706" s="77" t="s">
        <v>8557</v>
      </c>
      <c r="L706" s="76"/>
      <c r="M706" s="76" t="s">
        <v>36</v>
      </c>
      <c r="N706" s="76" t="s">
        <v>8790</v>
      </c>
      <c r="O706" s="76">
        <v>0</v>
      </c>
      <c r="P706" s="76"/>
      <c r="Q706" s="76"/>
      <c r="R706" s="76"/>
      <c r="S706" s="76"/>
      <c r="BD706" s="99">
        <f t="shared" si="20"/>
        <v>0</v>
      </c>
      <c r="CC706" s="99"/>
      <c r="CV706" s="99"/>
      <c r="CW706" s="63"/>
    </row>
    <row r="707" spans="1:101" x14ac:dyDescent="0.15">
      <c r="A707" s="76">
        <v>662</v>
      </c>
      <c r="B707" s="74" t="s">
        <v>5820</v>
      </c>
      <c r="C707" s="74">
        <v>1000930998</v>
      </c>
      <c r="D707" s="78" t="str">
        <f t="shared" si="21"/>
        <v>https://portal.dnb.de/opac.htm?method=simpleSearch&amp;cqlMode=true&amp;query=idn%3D1000930998</v>
      </c>
      <c r="E707" s="74" t="s">
        <v>8799</v>
      </c>
      <c r="F707" s="74"/>
      <c r="G707" s="76"/>
      <c r="H707" s="77" t="s">
        <v>17</v>
      </c>
      <c r="I707" s="76" t="s">
        <v>54</v>
      </c>
      <c r="J707" s="77" t="s">
        <v>8516</v>
      </c>
      <c r="K707" s="77" t="s">
        <v>8557</v>
      </c>
      <c r="L707" s="76"/>
      <c r="M707" s="76" t="s">
        <v>36</v>
      </c>
      <c r="N707" s="76" t="s">
        <v>8790</v>
      </c>
      <c r="O707" s="76">
        <v>0</v>
      </c>
      <c r="P707" s="76"/>
      <c r="Q707" s="76"/>
      <c r="R707" s="76"/>
      <c r="S707" s="76"/>
      <c r="BD707" s="99">
        <f t="shared" ref="BD707:BD770" si="22">CC707+CV707</f>
        <v>0</v>
      </c>
      <c r="CC707" s="99"/>
      <c r="CV707" s="99"/>
      <c r="CW707" s="63"/>
    </row>
    <row r="708" spans="1:101" x14ac:dyDescent="0.15">
      <c r="A708" s="76">
        <v>663</v>
      </c>
      <c r="B708" s="74" t="s">
        <v>5832</v>
      </c>
      <c r="C708" s="74">
        <v>999425617</v>
      </c>
      <c r="D708" s="78" t="str">
        <f t="shared" si="21"/>
        <v>https://portal.dnb.de/opac.htm?method=simpleSearch&amp;cqlMode=true&amp;query=idn%3D999425617</v>
      </c>
      <c r="E708" s="74" t="s">
        <v>5833</v>
      </c>
      <c r="F708" s="74"/>
      <c r="G708" s="76" t="s">
        <v>8515</v>
      </c>
      <c r="H708" s="77" t="s">
        <v>4</v>
      </c>
      <c r="I708" s="76" t="s">
        <v>53</v>
      </c>
      <c r="J708" s="77" t="s">
        <v>8516</v>
      </c>
      <c r="K708" s="77" t="s">
        <v>84</v>
      </c>
      <c r="L708" s="76"/>
      <c r="M708" s="76"/>
      <c r="N708" s="76" t="s">
        <v>8660</v>
      </c>
      <c r="O708" s="76">
        <v>0</v>
      </c>
      <c r="P708" s="76"/>
      <c r="Q708" s="76"/>
      <c r="R708" s="76"/>
      <c r="S708" s="76"/>
      <c r="BD708" s="99">
        <f t="shared" si="22"/>
        <v>0</v>
      </c>
      <c r="CC708" s="99"/>
      <c r="CV708" s="99"/>
      <c r="CW708" s="63"/>
    </row>
    <row r="709" spans="1:101" ht="22.5" x14ac:dyDescent="0.15">
      <c r="A709" s="76">
        <v>664</v>
      </c>
      <c r="B709" s="74" t="s">
        <v>5837</v>
      </c>
      <c r="C709" s="74">
        <v>997927089</v>
      </c>
      <c r="D709" s="78" t="str">
        <f t="shared" si="21"/>
        <v>https://portal.dnb.de/opac.htm?method=simpleSearch&amp;cqlMode=true&amp;query=idn%3D997927089</v>
      </c>
      <c r="E709" s="74" t="s">
        <v>5838</v>
      </c>
      <c r="F709" s="74"/>
      <c r="G709" s="76" t="s">
        <v>8515</v>
      </c>
      <c r="H709" s="77" t="s">
        <v>4</v>
      </c>
      <c r="I709" s="76" t="s">
        <v>53</v>
      </c>
      <c r="J709" s="77" t="s">
        <v>8516</v>
      </c>
      <c r="K709" s="77" t="s">
        <v>8770</v>
      </c>
      <c r="L709" s="76"/>
      <c r="M709" s="76" t="s">
        <v>36</v>
      </c>
      <c r="N709" s="76" t="s">
        <v>39</v>
      </c>
      <c r="O709" s="76">
        <v>0</v>
      </c>
      <c r="P709" s="76"/>
      <c r="Q709" s="76"/>
      <c r="R709" s="76"/>
      <c r="S709" s="76"/>
      <c r="BD709" s="99">
        <f t="shared" si="22"/>
        <v>0</v>
      </c>
      <c r="CC709" s="99"/>
      <c r="CV709" s="99"/>
      <c r="CW709" s="63"/>
    </row>
    <row r="710" spans="1:101" x14ac:dyDescent="0.15">
      <c r="A710" s="76">
        <v>665</v>
      </c>
      <c r="B710" s="74" t="s">
        <v>5850</v>
      </c>
      <c r="C710" s="74">
        <v>999638262</v>
      </c>
      <c r="D710" s="78" t="str">
        <f t="shared" si="21"/>
        <v>https://portal.dnb.de/opac.htm?method=simpleSearch&amp;cqlMode=true&amp;query=idn%3D999638262</v>
      </c>
      <c r="E710" s="74" t="s">
        <v>8809</v>
      </c>
      <c r="F710" s="74"/>
      <c r="G710" s="76"/>
      <c r="H710" s="77" t="s">
        <v>4</v>
      </c>
      <c r="I710" s="76" t="s">
        <v>53</v>
      </c>
      <c r="J710" s="77" t="s">
        <v>8516</v>
      </c>
      <c r="K710" s="77" t="s">
        <v>8520</v>
      </c>
      <c r="L710" s="76"/>
      <c r="M710" s="76" t="s">
        <v>38</v>
      </c>
      <c r="N710" s="76" t="s">
        <v>40</v>
      </c>
      <c r="O710" s="76">
        <v>0</v>
      </c>
      <c r="P710" s="76"/>
      <c r="Q710" s="76"/>
      <c r="R710" s="76"/>
      <c r="S710" s="76"/>
      <c r="BD710" s="99">
        <f t="shared" si="22"/>
        <v>0</v>
      </c>
      <c r="CC710" s="99"/>
      <c r="CV710" s="99"/>
      <c r="CW710" s="63"/>
    </row>
    <row r="711" spans="1:101" x14ac:dyDescent="0.15">
      <c r="A711" s="76">
        <v>666</v>
      </c>
      <c r="B711" s="74" t="s">
        <v>5851</v>
      </c>
      <c r="C711" s="74">
        <v>999638211</v>
      </c>
      <c r="D711" s="78" t="str">
        <f t="shared" si="21"/>
        <v>https://portal.dnb.de/opac.htm?method=simpleSearch&amp;cqlMode=true&amp;query=idn%3D999638211</v>
      </c>
      <c r="E711" s="74" t="s">
        <v>8810</v>
      </c>
      <c r="F711" s="74"/>
      <c r="G711" s="76"/>
      <c r="H711" s="77" t="s">
        <v>4</v>
      </c>
      <c r="I711" s="76" t="s">
        <v>53</v>
      </c>
      <c r="J711" s="77" t="s">
        <v>8516</v>
      </c>
      <c r="K711" s="77" t="s">
        <v>8520</v>
      </c>
      <c r="L711" s="76"/>
      <c r="M711" s="76" t="s">
        <v>38</v>
      </c>
      <c r="N711" s="76" t="s">
        <v>40</v>
      </c>
      <c r="O711" s="76">
        <v>0</v>
      </c>
      <c r="P711" s="76"/>
      <c r="Q711" s="76"/>
      <c r="R711" s="76"/>
      <c r="S711" s="76"/>
      <c r="BD711" s="99">
        <f t="shared" si="22"/>
        <v>0</v>
      </c>
      <c r="CC711" s="99"/>
      <c r="CV711" s="99"/>
      <c r="CW711" s="63"/>
    </row>
    <row r="712" spans="1:101" ht="33.75" x14ac:dyDescent="0.15">
      <c r="A712" s="76">
        <v>667</v>
      </c>
      <c r="B712" s="74" t="s">
        <v>5852</v>
      </c>
      <c r="C712" s="74">
        <v>999638300</v>
      </c>
      <c r="D712" s="78" t="str">
        <f t="shared" ref="D712:D808" si="23">HYPERLINK(CONCATENATE("https://portal.dnb.de/opac.htm?method=simpleSearch&amp;cqlMode=true&amp;query=idn%3D",C712))</f>
        <v>https://portal.dnb.de/opac.htm?method=simpleSearch&amp;cqlMode=true&amp;query=idn%3D999638300</v>
      </c>
      <c r="E712" s="74" t="s">
        <v>8811</v>
      </c>
      <c r="F712" s="74"/>
      <c r="G712" s="76"/>
      <c r="H712" s="77" t="s">
        <v>5</v>
      </c>
      <c r="I712" s="76" t="s">
        <v>53</v>
      </c>
      <c r="J712" s="77" t="s">
        <v>8516</v>
      </c>
      <c r="K712" s="77" t="s">
        <v>8667</v>
      </c>
      <c r="L712" s="76"/>
      <c r="M712" s="76" t="s">
        <v>38</v>
      </c>
      <c r="N712" s="76" t="s">
        <v>40</v>
      </c>
      <c r="O712" s="76">
        <v>0</v>
      </c>
      <c r="P712" s="76"/>
      <c r="Q712" s="76"/>
      <c r="R712" s="76"/>
      <c r="S712" s="76"/>
      <c r="BD712" s="99">
        <f t="shared" si="22"/>
        <v>0</v>
      </c>
      <c r="CC712" s="99"/>
      <c r="CV712" s="99"/>
      <c r="CW712" s="63"/>
    </row>
    <row r="713" spans="1:101" ht="22.5" x14ac:dyDescent="0.15">
      <c r="A713" s="76">
        <v>668</v>
      </c>
      <c r="B713" s="74" t="s">
        <v>5853</v>
      </c>
      <c r="C713" s="74">
        <v>1000413470</v>
      </c>
      <c r="D713" s="78" t="str">
        <f t="shared" si="23"/>
        <v>https://portal.dnb.de/opac.htm?method=simpleSearch&amp;cqlMode=true&amp;query=idn%3D1000413470</v>
      </c>
      <c r="E713" s="74" t="s">
        <v>8812</v>
      </c>
      <c r="F713" s="74"/>
      <c r="G713" s="76"/>
      <c r="H713" s="77" t="s">
        <v>6</v>
      </c>
      <c r="I713" s="76" t="s">
        <v>53</v>
      </c>
      <c r="J713" s="77" t="s">
        <v>8516</v>
      </c>
      <c r="K713" s="77" t="s">
        <v>8565</v>
      </c>
      <c r="L713" s="76"/>
      <c r="M713" s="76" t="s">
        <v>36</v>
      </c>
      <c r="N713" s="76" t="s">
        <v>39</v>
      </c>
      <c r="O713" s="76">
        <v>0</v>
      </c>
      <c r="P713" s="76"/>
      <c r="Q713" s="76"/>
      <c r="R713" s="76"/>
      <c r="S713" s="76"/>
      <c r="BD713" s="99">
        <f t="shared" si="22"/>
        <v>0</v>
      </c>
      <c r="CC713" s="99"/>
      <c r="CV713" s="99"/>
      <c r="CW713" s="63"/>
    </row>
    <row r="714" spans="1:101" x14ac:dyDescent="0.15">
      <c r="A714" s="76">
        <v>669</v>
      </c>
      <c r="B714" s="74" t="s">
        <v>5854</v>
      </c>
      <c r="C714" s="74">
        <v>1000413403</v>
      </c>
      <c r="D714" s="78" t="str">
        <f t="shared" si="23"/>
        <v>https://portal.dnb.de/opac.htm?method=simpleSearch&amp;cqlMode=true&amp;query=idn%3D1000413403</v>
      </c>
      <c r="E714" s="74" t="s">
        <v>8813</v>
      </c>
      <c r="F714" s="74"/>
      <c r="G714" s="76"/>
      <c r="H714" s="77" t="s">
        <v>6</v>
      </c>
      <c r="I714" s="76" t="s">
        <v>53</v>
      </c>
      <c r="J714" s="77" t="s">
        <v>8516</v>
      </c>
      <c r="K714" s="77" t="s">
        <v>84</v>
      </c>
      <c r="L714" s="76"/>
      <c r="M714" s="76" t="s">
        <v>36</v>
      </c>
      <c r="N714" s="76" t="s">
        <v>39</v>
      </c>
      <c r="O714" s="76">
        <v>0</v>
      </c>
      <c r="P714" s="76"/>
      <c r="Q714" s="76"/>
      <c r="R714" s="76"/>
      <c r="S714" s="76"/>
      <c r="BD714" s="99">
        <f t="shared" si="22"/>
        <v>0</v>
      </c>
      <c r="CC714" s="99"/>
      <c r="CV714" s="99"/>
      <c r="CW714" s="63"/>
    </row>
    <row r="715" spans="1:101" x14ac:dyDescent="0.15">
      <c r="A715" s="76">
        <v>670</v>
      </c>
      <c r="B715" s="74" t="s">
        <v>5857</v>
      </c>
      <c r="C715" s="74">
        <v>1002117097</v>
      </c>
      <c r="D715" s="78" t="str">
        <f t="shared" si="23"/>
        <v>https://portal.dnb.de/opac.htm?method=simpleSearch&amp;cqlMode=true&amp;query=idn%3D1002117097</v>
      </c>
      <c r="E715" s="74" t="s">
        <v>5858</v>
      </c>
      <c r="F715" s="74"/>
      <c r="G715" s="76"/>
      <c r="H715" s="77" t="s">
        <v>4</v>
      </c>
      <c r="I715" s="76" t="s">
        <v>53</v>
      </c>
      <c r="J715" s="77" t="s">
        <v>58</v>
      </c>
      <c r="K715" s="77" t="s">
        <v>84</v>
      </c>
      <c r="L715" s="76"/>
      <c r="M715" s="76" t="s">
        <v>36</v>
      </c>
      <c r="N715" s="76" t="s">
        <v>39</v>
      </c>
      <c r="O715" s="76">
        <v>0</v>
      </c>
      <c r="P715" s="76"/>
      <c r="Q715" s="76"/>
      <c r="R715" s="76"/>
      <c r="S715" s="76"/>
      <c r="Y715" s="95" t="s">
        <v>9729</v>
      </c>
      <c r="AC715" s="95" t="s">
        <v>9724</v>
      </c>
      <c r="AI715" s="95" t="s">
        <v>9725</v>
      </c>
      <c r="AW715" s="95">
        <v>110</v>
      </c>
      <c r="BC715" s="96" t="s">
        <v>9726</v>
      </c>
      <c r="BD715" s="99">
        <f t="shared" si="22"/>
        <v>0.5</v>
      </c>
      <c r="BJ715" s="95" t="s">
        <v>9741</v>
      </c>
      <c r="BK715" s="95" t="s">
        <v>8541</v>
      </c>
      <c r="BP715" s="69" t="s">
        <v>8541</v>
      </c>
      <c r="BQ715" s="95" t="s">
        <v>8541</v>
      </c>
      <c r="BR715" s="95" t="s">
        <v>8541</v>
      </c>
      <c r="CC715" s="99">
        <v>0.5</v>
      </c>
      <c r="CV715" s="99"/>
      <c r="CW715" s="63"/>
    </row>
    <row r="716" spans="1:101" ht="22.5" x14ac:dyDescent="0.15">
      <c r="A716" s="76"/>
      <c r="B716" s="74"/>
      <c r="C716" s="74"/>
      <c r="D716" s="78"/>
      <c r="E716" s="74" t="s">
        <v>8814</v>
      </c>
      <c r="F716" s="74"/>
      <c r="G716" s="76"/>
      <c r="H716" s="77" t="s">
        <v>18</v>
      </c>
      <c r="I716" s="76" t="s">
        <v>53</v>
      </c>
      <c r="J716" s="77" t="s">
        <v>58</v>
      </c>
      <c r="K716" s="77" t="s">
        <v>84</v>
      </c>
      <c r="L716" s="76"/>
      <c r="M716" s="76" t="s">
        <v>36</v>
      </c>
      <c r="N716" s="76" t="s">
        <v>8815</v>
      </c>
      <c r="O716" s="76"/>
      <c r="P716" s="76"/>
      <c r="Q716" s="76"/>
      <c r="R716" s="76"/>
      <c r="S716" s="76"/>
      <c r="Y716" s="95" t="s">
        <v>9725</v>
      </c>
      <c r="AC716" s="95" t="s">
        <v>9739</v>
      </c>
      <c r="AI716" s="95" t="s">
        <v>9725</v>
      </c>
      <c r="AW716" s="95">
        <v>110</v>
      </c>
      <c r="BC716" s="96" t="s">
        <v>9726</v>
      </c>
      <c r="BD716" s="99">
        <f t="shared" si="22"/>
        <v>0.5</v>
      </c>
      <c r="BJ716" s="95" t="s">
        <v>9741</v>
      </c>
      <c r="BK716" s="95" t="s">
        <v>8541</v>
      </c>
      <c r="BP716" s="69" t="s">
        <v>8541</v>
      </c>
      <c r="BR716" s="95" t="s">
        <v>8541</v>
      </c>
      <c r="CC716" s="99">
        <v>0.5</v>
      </c>
      <c r="CV716" s="99"/>
      <c r="CW716" s="63"/>
    </row>
    <row r="717" spans="1:101" x14ac:dyDescent="0.15">
      <c r="A717" s="76">
        <v>671</v>
      </c>
      <c r="B717" s="74" t="s">
        <v>5861</v>
      </c>
      <c r="C717" s="74">
        <v>999636960</v>
      </c>
      <c r="D717" s="78" t="str">
        <f t="shared" si="23"/>
        <v>https://portal.dnb.de/opac.htm?method=simpleSearch&amp;cqlMode=true&amp;query=idn%3D999636960</v>
      </c>
      <c r="E717" s="74" t="s">
        <v>5862</v>
      </c>
      <c r="F717" s="74"/>
      <c r="G717" s="76"/>
      <c r="H717" s="77"/>
      <c r="I717" s="76"/>
      <c r="J717" s="77"/>
      <c r="K717" s="77"/>
      <c r="L717" s="76"/>
      <c r="M717" s="76"/>
      <c r="N717" s="76"/>
      <c r="O717" s="76"/>
      <c r="P717" s="76"/>
      <c r="Q717" s="76"/>
      <c r="R717" s="76"/>
      <c r="S717" s="76"/>
      <c r="BD717" s="99">
        <f t="shared" si="22"/>
        <v>0</v>
      </c>
      <c r="CC717" s="99"/>
      <c r="CV717" s="99"/>
      <c r="CW717" s="63"/>
    </row>
    <row r="718" spans="1:101" x14ac:dyDescent="0.15">
      <c r="A718" s="76">
        <v>672</v>
      </c>
      <c r="B718" s="74" t="s">
        <v>5863</v>
      </c>
      <c r="C718" s="74">
        <v>999637606</v>
      </c>
      <c r="D718" s="78" t="str">
        <f t="shared" si="23"/>
        <v>https://portal.dnb.de/opac.htm?method=simpleSearch&amp;cqlMode=true&amp;query=idn%3D999637606</v>
      </c>
      <c r="E718" s="74" t="s">
        <v>5862</v>
      </c>
      <c r="F718" s="74"/>
      <c r="G718" s="76"/>
      <c r="H718" s="77"/>
      <c r="I718" s="76"/>
      <c r="J718" s="77"/>
      <c r="K718" s="77"/>
      <c r="L718" s="76"/>
      <c r="M718" s="76"/>
      <c r="N718" s="76"/>
      <c r="O718" s="76"/>
      <c r="P718" s="76"/>
      <c r="Q718" s="76"/>
      <c r="R718" s="76"/>
      <c r="S718" s="76"/>
      <c r="BD718" s="99">
        <f t="shared" si="22"/>
        <v>0</v>
      </c>
      <c r="CC718" s="99"/>
      <c r="CV718" s="99"/>
      <c r="CW718" s="63"/>
    </row>
    <row r="719" spans="1:101" x14ac:dyDescent="0.15">
      <c r="A719" s="76">
        <v>673</v>
      </c>
      <c r="B719" s="74" t="s">
        <v>5864</v>
      </c>
      <c r="C719" s="74" t="s">
        <v>5865</v>
      </c>
      <c r="D719" s="78" t="str">
        <f t="shared" si="23"/>
        <v>https://portal.dnb.de/opac.htm?method=simpleSearch&amp;cqlMode=true&amp;query=idn%3D99563775X</v>
      </c>
      <c r="E719" s="74" t="s">
        <v>5862</v>
      </c>
      <c r="F719" s="74"/>
      <c r="G719" s="76"/>
      <c r="H719" s="77"/>
      <c r="I719" s="76"/>
      <c r="J719" s="77"/>
      <c r="K719" s="77"/>
      <c r="L719" s="76"/>
      <c r="M719" s="76"/>
      <c r="N719" s="76"/>
      <c r="O719" s="76"/>
      <c r="P719" s="76"/>
      <c r="Q719" s="76"/>
      <c r="R719" s="76"/>
      <c r="S719" s="76"/>
      <c r="BD719" s="99">
        <f t="shared" si="22"/>
        <v>0</v>
      </c>
      <c r="CC719" s="99"/>
      <c r="CV719" s="99"/>
      <c r="CW719" s="63"/>
    </row>
    <row r="720" spans="1:101" x14ac:dyDescent="0.15">
      <c r="A720" s="76">
        <v>674</v>
      </c>
      <c r="B720" s="74" t="s">
        <v>5866</v>
      </c>
      <c r="C720" s="74">
        <v>994809603</v>
      </c>
      <c r="D720" s="78" t="str">
        <f t="shared" si="23"/>
        <v>https://portal.dnb.de/opac.htm?method=simpleSearch&amp;cqlMode=true&amp;query=idn%3D994809603</v>
      </c>
      <c r="E720" s="74" t="s">
        <v>5867</v>
      </c>
      <c r="F720" s="74"/>
      <c r="G720" s="76"/>
      <c r="H720" s="77" t="s">
        <v>49</v>
      </c>
      <c r="I720" s="76" t="s">
        <v>53</v>
      </c>
      <c r="J720" s="77" t="s">
        <v>8516</v>
      </c>
      <c r="K720" s="77" t="s">
        <v>84</v>
      </c>
      <c r="L720" s="76"/>
      <c r="M720" s="76"/>
      <c r="N720" s="76"/>
      <c r="O720" s="76">
        <v>0</v>
      </c>
      <c r="P720" s="76"/>
      <c r="Q720" s="76"/>
      <c r="R720" s="76"/>
      <c r="S720" s="76"/>
      <c r="BD720" s="99">
        <f t="shared" si="22"/>
        <v>0</v>
      </c>
      <c r="CC720" s="99"/>
      <c r="CV720" s="99"/>
      <c r="CW720" s="63"/>
    </row>
    <row r="721" spans="1:101" ht="22.5" x14ac:dyDescent="0.15">
      <c r="A721" s="76">
        <v>675</v>
      </c>
      <c r="B721" s="74" t="s">
        <v>5868</v>
      </c>
      <c r="C721" s="74">
        <v>999638009</v>
      </c>
      <c r="D721" s="78" t="str">
        <f t="shared" si="23"/>
        <v>https://portal.dnb.de/opac.htm?method=simpleSearch&amp;cqlMode=true&amp;query=idn%3D999638009</v>
      </c>
      <c r="E721" s="74" t="s">
        <v>5869</v>
      </c>
      <c r="F721" s="74"/>
      <c r="G721" s="76"/>
      <c r="H721" s="77" t="s">
        <v>18</v>
      </c>
      <c r="I721" s="76" t="s">
        <v>53</v>
      </c>
      <c r="J721" s="77" t="s">
        <v>58</v>
      </c>
      <c r="K721" s="77" t="s">
        <v>8577</v>
      </c>
      <c r="L721" s="76"/>
      <c r="M721" s="76" t="s">
        <v>38</v>
      </c>
      <c r="N721" s="76" t="s">
        <v>40</v>
      </c>
      <c r="O721" s="76">
        <v>0</v>
      </c>
      <c r="P721" s="76"/>
      <c r="Q721" s="76"/>
      <c r="R721" s="76"/>
      <c r="S721" s="76"/>
      <c r="BD721" s="99">
        <f t="shared" si="22"/>
        <v>0</v>
      </c>
      <c r="CC721" s="99"/>
      <c r="CV721" s="99"/>
      <c r="CW721" s="63"/>
    </row>
    <row r="722" spans="1:101" x14ac:dyDescent="0.15">
      <c r="A722" s="76">
        <v>676</v>
      </c>
      <c r="B722" s="74" t="s">
        <v>5870</v>
      </c>
      <c r="C722" s="74">
        <v>1003393373</v>
      </c>
      <c r="D722" s="78" t="str">
        <f t="shared" si="23"/>
        <v>https://portal.dnb.de/opac.htm?method=simpleSearch&amp;cqlMode=true&amp;query=idn%3D1003393373</v>
      </c>
      <c r="E722" s="74" t="s">
        <v>8816</v>
      </c>
      <c r="F722" s="74"/>
      <c r="G722" s="76"/>
      <c r="H722" s="77" t="s">
        <v>5</v>
      </c>
      <c r="I722" s="76" t="s">
        <v>53</v>
      </c>
      <c r="J722" s="77" t="s">
        <v>58</v>
      </c>
      <c r="K722" s="77" t="s">
        <v>84</v>
      </c>
      <c r="L722" s="76"/>
      <c r="M722" s="76"/>
      <c r="N722" s="76" t="s">
        <v>8660</v>
      </c>
      <c r="O722" s="76">
        <v>0</v>
      </c>
      <c r="P722" s="76"/>
      <c r="Q722" s="76"/>
      <c r="R722" s="76"/>
      <c r="S722" s="76"/>
      <c r="BD722" s="99">
        <f t="shared" si="22"/>
        <v>0</v>
      </c>
      <c r="CC722" s="99"/>
      <c r="CV722" s="99"/>
      <c r="CW722" s="63"/>
    </row>
    <row r="723" spans="1:101" x14ac:dyDescent="0.15">
      <c r="A723" s="76">
        <v>677</v>
      </c>
      <c r="B723" s="74" t="s">
        <v>5871</v>
      </c>
      <c r="C723" s="74">
        <v>1003393322</v>
      </c>
      <c r="D723" s="78" t="str">
        <f t="shared" si="23"/>
        <v>https://portal.dnb.de/opac.htm?method=simpleSearch&amp;cqlMode=true&amp;query=idn%3D1003393322</v>
      </c>
      <c r="E723" s="74" t="s">
        <v>8817</v>
      </c>
      <c r="F723" s="74"/>
      <c r="G723" s="76"/>
      <c r="H723" s="77" t="s">
        <v>5</v>
      </c>
      <c r="I723" s="76" t="s">
        <v>53</v>
      </c>
      <c r="J723" s="77" t="s">
        <v>58</v>
      </c>
      <c r="K723" s="77" t="s">
        <v>84</v>
      </c>
      <c r="L723" s="76"/>
      <c r="M723" s="76"/>
      <c r="N723" s="76" t="s">
        <v>8660</v>
      </c>
      <c r="O723" s="76">
        <v>0</v>
      </c>
      <c r="P723" s="76"/>
      <c r="Q723" s="76"/>
      <c r="R723" s="76"/>
      <c r="S723" s="76"/>
      <c r="BD723" s="99">
        <f t="shared" si="22"/>
        <v>0</v>
      </c>
      <c r="CC723" s="99"/>
      <c r="CV723" s="99"/>
      <c r="CW723" s="63"/>
    </row>
    <row r="724" spans="1:101" ht="22.5" x14ac:dyDescent="0.15">
      <c r="A724" s="76">
        <v>678</v>
      </c>
      <c r="B724" s="74" t="s">
        <v>5872</v>
      </c>
      <c r="C724" s="74">
        <v>999437771</v>
      </c>
      <c r="D724" s="78" t="str">
        <f t="shared" si="23"/>
        <v>https://portal.dnb.de/opac.htm?method=simpleSearch&amp;cqlMode=true&amp;query=idn%3D999437771</v>
      </c>
      <c r="E724" s="74" t="s">
        <v>5873</v>
      </c>
      <c r="F724" s="74"/>
      <c r="G724" s="76"/>
      <c r="H724" s="77" t="s">
        <v>18</v>
      </c>
      <c r="I724" s="76" t="s">
        <v>53</v>
      </c>
      <c r="J724" s="77" t="s">
        <v>58</v>
      </c>
      <c r="K724" s="77" t="s">
        <v>84</v>
      </c>
      <c r="L724" s="76"/>
      <c r="M724" s="76" t="s">
        <v>36</v>
      </c>
      <c r="N724" s="76" t="s">
        <v>39</v>
      </c>
      <c r="O724" s="76">
        <v>0</v>
      </c>
      <c r="P724" s="76"/>
      <c r="Q724" s="76"/>
      <c r="R724" s="76"/>
      <c r="S724" s="76"/>
      <c r="BD724" s="99">
        <f t="shared" si="22"/>
        <v>0</v>
      </c>
      <c r="CC724" s="99"/>
      <c r="CV724" s="99"/>
      <c r="CW724" s="63"/>
    </row>
    <row r="725" spans="1:101" x14ac:dyDescent="0.15">
      <c r="A725" s="76">
        <v>679</v>
      </c>
      <c r="B725" s="74" t="s">
        <v>5883</v>
      </c>
      <c r="C725" s="74">
        <v>997419539</v>
      </c>
      <c r="D725" s="78" t="str">
        <f t="shared" si="23"/>
        <v>https://portal.dnb.de/opac.htm?method=simpleSearch&amp;cqlMode=true&amp;query=idn%3D997419539</v>
      </c>
      <c r="E725" s="74" t="s">
        <v>5884</v>
      </c>
      <c r="F725" s="74"/>
      <c r="G725" s="76"/>
      <c r="H725" s="77" t="s">
        <v>48</v>
      </c>
      <c r="I725" s="76" t="s">
        <v>53</v>
      </c>
      <c r="J725" s="77" t="s">
        <v>8516</v>
      </c>
      <c r="K725" s="77" t="s">
        <v>84</v>
      </c>
      <c r="L725" s="76"/>
      <c r="M725" s="76" t="s">
        <v>36</v>
      </c>
      <c r="N725" s="76" t="s">
        <v>39</v>
      </c>
      <c r="O725" s="76">
        <v>0</v>
      </c>
      <c r="P725" s="76"/>
      <c r="Q725" s="76"/>
      <c r="R725" s="76"/>
      <c r="S725" s="76"/>
      <c r="Y725" s="95" t="s">
        <v>9736</v>
      </c>
      <c r="AC725" s="95" t="s">
        <v>9737</v>
      </c>
      <c r="AI725" s="95" t="s">
        <v>9725</v>
      </c>
      <c r="AW725" s="95">
        <v>45</v>
      </c>
      <c r="BC725" s="96" t="s">
        <v>9726</v>
      </c>
      <c r="BD725" s="99">
        <f t="shared" si="22"/>
        <v>0.5</v>
      </c>
      <c r="BJ725" s="95" t="s">
        <v>9741</v>
      </c>
      <c r="BK725" s="95" t="s">
        <v>8541</v>
      </c>
      <c r="BP725" s="69" t="s">
        <v>8541</v>
      </c>
      <c r="BR725" s="95" t="s">
        <v>8541</v>
      </c>
      <c r="CC725" s="99">
        <v>0.5</v>
      </c>
      <c r="CV725" s="99"/>
      <c r="CW725" s="63"/>
    </row>
    <row r="726" spans="1:101" x14ac:dyDescent="0.15">
      <c r="A726" s="76">
        <v>680</v>
      </c>
      <c r="B726" s="74" t="s">
        <v>5885</v>
      </c>
      <c r="C726" s="74">
        <v>995923574</v>
      </c>
      <c r="D726" s="78" t="str">
        <f t="shared" si="23"/>
        <v>https://portal.dnb.de/opac.htm?method=simpleSearch&amp;cqlMode=true&amp;query=idn%3D995923574</v>
      </c>
      <c r="E726" s="74" t="s">
        <v>5886</v>
      </c>
      <c r="F726" s="74"/>
      <c r="G726" s="76"/>
      <c r="H726" s="77" t="s">
        <v>49</v>
      </c>
      <c r="I726" s="76" t="s">
        <v>53</v>
      </c>
      <c r="J726" s="77" t="s">
        <v>58</v>
      </c>
      <c r="K726" s="77"/>
      <c r="L726" s="76"/>
      <c r="M726" s="76" t="s">
        <v>34</v>
      </c>
      <c r="N726" s="76" t="s">
        <v>40</v>
      </c>
      <c r="O726" s="76">
        <v>0</v>
      </c>
      <c r="P726" s="76"/>
      <c r="Q726" s="76"/>
      <c r="R726" s="76"/>
      <c r="S726" s="76"/>
      <c r="BD726" s="99">
        <f t="shared" si="22"/>
        <v>0</v>
      </c>
      <c r="CC726" s="99"/>
      <c r="CV726" s="99"/>
      <c r="CW726" s="63"/>
    </row>
    <row r="727" spans="1:101" x14ac:dyDescent="0.15">
      <c r="A727" s="76">
        <v>681</v>
      </c>
      <c r="B727" s="74" t="s">
        <v>5887</v>
      </c>
      <c r="C727" s="74">
        <v>1002490006</v>
      </c>
      <c r="D727" s="78" t="str">
        <f t="shared" si="23"/>
        <v>https://portal.dnb.de/opac.htm?method=simpleSearch&amp;cqlMode=true&amp;query=idn%3D1002490006</v>
      </c>
      <c r="E727" s="74" t="s">
        <v>5888</v>
      </c>
      <c r="F727" s="74"/>
      <c r="G727" s="76"/>
      <c r="H727" s="77" t="s">
        <v>49</v>
      </c>
      <c r="I727" s="76" t="s">
        <v>53</v>
      </c>
      <c r="J727" s="77" t="s">
        <v>58</v>
      </c>
      <c r="K727" s="77"/>
      <c r="L727" s="76"/>
      <c r="M727" s="76" t="s">
        <v>34</v>
      </c>
      <c r="N727" s="76" t="s">
        <v>40</v>
      </c>
      <c r="O727" s="76">
        <v>0</v>
      </c>
      <c r="P727" s="76"/>
      <c r="Q727" s="76"/>
      <c r="R727" s="76"/>
      <c r="S727" s="76"/>
      <c r="BD727" s="99">
        <f t="shared" si="22"/>
        <v>0</v>
      </c>
      <c r="CC727" s="99"/>
      <c r="CV727" s="99"/>
      <c r="CW727" s="63"/>
    </row>
    <row r="728" spans="1:101" x14ac:dyDescent="0.15">
      <c r="A728" s="76">
        <v>682</v>
      </c>
      <c r="B728" s="74" t="s">
        <v>5891</v>
      </c>
      <c r="C728" s="74">
        <v>1001614070</v>
      </c>
      <c r="D728" s="78" t="str">
        <f t="shared" si="23"/>
        <v>https://portal.dnb.de/opac.htm?method=simpleSearch&amp;cqlMode=true&amp;query=idn%3D1001614070</v>
      </c>
      <c r="E728" s="74" t="s">
        <v>5892</v>
      </c>
      <c r="F728" s="74"/>
      <c r="G728" s="76"/>
      <c r="H728" s="77" t="s">
        <v>48</v>
      </c>
      <c r="I728" s="76" t="s">
        <v>53</v>
      </c>
      <c r="J728" s="77" t="s">
        <v>8516</v>
      </c>
      <c r="K728" s="77" t="s">
        <v>84</v>
      </c>
      <c r="L728" s="76"/>
      <c r="M728" s="76" t="s">
        <v>38</v>
      </c>
      <c r="N728" s="76" t="s">
        <v>40</v>
      </c>
      <c r="O728" s="76">
        <v>0</v>
      </c>
      <c r="P728" s="76"/>
      <c r="Q728" s="76"/>
      <c r="R728" s="76"/>
      <c r="S728" s="76"/>
      <c r="BD728" s="99">
        <f t="shared" si="22"/>
        <v>0</v>
      </c>
      <c r="CC728" s="99"/>
      <c r="CV728" s="99"/>
      <c r="CW728" s="63"/>
    </row>
    <row r="729" spans="1:101" x14ac:dyDescent="0.15">
      <c r="A729" s="76">
        <v>683</v>
      </c>
      <c r="B729" s="74" t="s">
        <v>5897</v>
      </c>
      <c r="C729" s="74">
        <v>995827664</v>
      </c>
      <c r="D729" s="78" t="str">
        <f t="shared" si="23"/>
        <v>https://portal.dnb.de/opac.htm?method=simpleSearch&amp;cqlMode=true&amp;query=idn%3D995827664</v>
      </c>
      <c r="E729" s="74" t="s">
        <v>8712</v>
      </c>
      <c r="F729" s="74"/>
      <c r="G729" s="76" t="s">
        <v>8515</v>
      </c>
      <c r="H729" s="77" t="s">
        <v>5</v>
      </c>
      <c r="I729" s="76" t="s">
        <v>53</v>
      </c>
      <c r="J729" s="77" t="s">
        <v>8516</v>
      </c>
      <c r="K729" s="77" t="s">
        <v>8520</v>
      </c>
      <c r="L729" s="76"/>
      <c r="M729" s="76" t="s">
        <v>32</v>
      </c>
      <c r="N729" s="76" t="s">
        <v>40</v>
      </c>
      <c r="O729" s="76">
        <v>0</v>
      </c>
      <c r="P729" s="76"/>
      <c r="Q729" s="76"/>
      <c r="R729" s="76"/>
      <c r="S729" s="76"/>
      <c r="BD729" s="99">
        <f t="shared" si="22"/>
        <v>0</v>
      </c>
      <c r="CC729" s="99"/>
      <c r="CV729" s="99"/>
      <c r="CW729" s="63"/>
    </row>
    <row r="730" spans="1:101" x14ac:dyDescent="0.15">
      <c r="A730" s="76">
        <v>684</v>
      </c>
      <c r="B730" s="74" t="s">
        <v>5898</v>
      </c>
      <c r="C730" s="74">
        <v>995828520</v>
      </c>
      <c r="D730" s="78" t="str">
        <f t="shared" si="23"/>
        <v>https://portal.dnb.de/opac.htm?method=simpleSearch&amp;cqlMode=true&amp;query=idn%3D995828520</v>
      </c>
      <c r="E730" s="74" t="s">
        <v>8713</v>
      </c>
      <c r="F730" s="74"/>
      <c r="G730" s="76" t="s">
        <v>8515</v>
      </c>
      <c r="H730" s="77" t="s">
        <v>5</v>
      </c>
      <c r="I730" s="76" t="s">
        <v>53</v>
      </c>
      <c r="J730" s="77" t="s">
        <v>8516</v>
      </c>
      <c r="K730" s="77" t="s">
        <v>8520</v>
      </c>
      <c r="L730" s="76"/>
      <c r="M730" s="76" t="s">
        <v>32</v>
      </c>
      <c r="N730" s="76" t="s">
        <v>40</v>
      </c>
      <c r="O730" s="76">
        <v>0</v>
      </c>
      <c r="P730" s="76"/>
      <c r="Q730" s="76"/>
      <c r="R730" s="76"/>
      <c r="S730" s="76"/>
      <c r="BD730" s="99">
        <f t="shared" si="22"/>
        <v>0</v>
      </c>
      <c r="CC730" s="99"/>
      <c r="CV730" s="99"/>
      <c r="CW730" s="63"/>
    </row>
    <row r="731" spans="1:101" x14ac:dyDescent="0.15">
      <c r="A731" s="76">
        <v>685</v>
      </c>
      <c r="B731" s="74" t="s">
        <v>5899</v>
      </c>
      <c r="C731" s="74">
        <v>995827494</v>
      </c>
      <c r="D731" s="78" t="str">
        <f t="shared" si="23"/>
        <v>https://portal.dnb.de/opac.htm?method=simpleSearch&amp;cqlMode=true&amp;query=idn%3D995827494</v>
      </c>
      <c r="E731" s="74" t="s">
        <v>8714</v>
      </c>
      <c r="F731" s="74"/>
      <c r="G731" s="76" t="s">
        <v>8515</v>
      </c>
      <c r="H731" s="77" t="s">
        <v>5</v>
      </c>
      <c r="I731" s="76" t="s">
        <v>53</v>
      </c>
      <c r="J731" s="77" t="s">
        <v>8516</v>
      </c>
      <c r="K731" s="77" t="s">
        <v>8520</v>
      </c>
      <c r="L731" s="76"/>
      <c r="M731" s="76" t="s">
        <v>32</v>
      </c>
      <c r="N731" s="76" t="s">
        <v>40</v>
      </c>
      <c r="O731" s="76">
        <v>0</v>
      </c>
      <c r="P731" s="76"/>
      <c r="Q731" s="76"/>
      <c r="R731" s="76"/>
      <c r="S731" s="76"/>
      <c r="BD731" s="99">
        <f t="shared" si="22"/>
        <v>0</v>
      </c>
      <c r="CC731" s="99"/>
      <c r="CV731" s="99"/>
      <c r="CW731" s="63"/>
    </row>
    <row r="732" spans="1:101" x14ac:dyDescent="0.15">
      <c r="A732" s="76">
        <v>686</v>
      </c>
      <c r="B732" s="74" t="s">
        <v>5900</v>
      </c>
      <c r="C732" s="74">
        <v>995828555</v>
      </c>
      <c r="D732" s="78" t="str">
        <f t="shared" si="23"/>
        <v>https://portal.dnb.de/opac.htm?method=simpleSearch&amp;cqlMode=true&amp;query=idn%3D995828555</v>
      </c>
      <c r="E732" s="74" t="s">
        <v>8715</v>
      </c>
      <c r="F732" s="74"/>
      <c r="G732" s="76" t="s">
        <v>8515</v>
      </c>
      <c r="H732" s="77" t="s">
        <v>5</v>
      </c>
      <c r="I732" s="76" t="s">
        <v>53</v>
      </c>
      <c r="J732" s="77" t="s">
        <v>8516</v>
      </c>
      <c r="K732" s="77" t="s">
        <v>8520</v>
      </c>
      <c r="L732" s="76"/>
      <c r="M732" s="76" t="s">
        <v>32</v>
      </c>
      <c r="N732" s="76" t="s">
        <v>40</v>
      </c>
      <c r="O732" s="76">
        <v>0</v>
      </c>
      <c r="P732" s="76"/>
      <c r="Q732" s="76"/>
      <c r="R732" s="76"/>
      <c r="S732" s="76"/>
      <c r="BD732" s="99">
        <f t="shared" si="22"/>
        <v>0</v>
      </c>
      <c r="CC732" s="99"/>
      <c r="CV732" s="99"/>
      <c r="CW732" s="63"/>
    </row>
    <row r="733" spans="1:101" x14ac:dyDescent="0.15">
      <c r="A733" s="76">
        <v>687</v>
      </c>
      <c r="B733" s="74" t="s">
        <v>5901</v>
      </c>
      <c r="C733" s="74">
        <v>995826625</v>
      </c>
      <c r="D733" s="78" t="str">
        <f t="shared" si="23"/>
        <v>https://portal.dnb.de/opac.htm?method=simpleSearch&amp;cqlMode=true&amp;query=idn%3D995826625</v>
      </c>
      <c r="E733" s="74" t="s">
        <v>8716</v>
      </c>
      <c r="F733" s="74"/>
      <c r="G733" s="76" t="s">
        <v>8515</v>
      </c>
      <c r="H733" s="77" t="s">
        <v>5</v>
      </c>
      <c r="I733" s="76" t="s">
        <v>53</v>
      </c>
      <c r="J733" s="77" t="s">
        <v>8516</v>
      </c>
      <c r="K733" s="77" t="s">
        <v>8520</v>
      </c>
      <c r="L733" s="76"/>
      <c r="M733" s="76" t="s">
        <v>32</v>
      </c>
      <c r="N733" s="76" t="s">
        <v>40</v>
      </c>
      <c r="O733" s="76">
        <v>0</v>
      </c>
      <c r="P733" s="76"/>
      <c r="Q733" s="76"/>
      <c r="R733" s="76"/>
      <c r="S733" s="76"/>
      <c r="BD733" s="99">
        <f t="shared" si="22"/>
        <v>0</v>
      </c>
      <c r="CC733" s="99"/>
      <c r="CV733" s="99"/>
      <c r="CW733" s="63"/>
    </row>
    <row r="734" spans="1:101" x14ac:dyDescent="0.15">
      <c r="A734" s="76">
        <v>688</v>
      </c>
      <c r="B734" s="74" t="s">
        <v>5902</v>
      </c>
      <c r="C734" s="74">
        <v>995828563</v>
      </c>
      <c r="D734" s="78" t="str">
        <f t="shared" si="23"/>
        <v>https://portal.dnb.de/opac.htm?method=simpleSearch&amp;cqlMode=true&amp;query=idn%3D995828563</v>
      </c>
      <c r="E734" s="74" t="s">
        <v>8717</v>
      </c>
      <c r="F734" s="74"/>
      <c r="G734" s="76" t="s">
        <v>8515</v>
      </c>
      <c r="H734" s="77" t="s">
        <v>5</v>
      </c>
      <c r="I734" s="76" t="s">
        <v>53</v>
      </c>
      <c r="J734" s="77" t="s">
        <v>8516</v>
      </c>
      <c r="K734" s="77" t="s">
        <v>8520</v>
      </c>
      <c r="L734" s="76"/>
      <c r="M734" s="76" t="s">
        <v>32</v>
      </c>
      <c r="N734" s="76" t="s">
        <v>40</v>
      </c>
      <c r="O734" s="76">
        <v>0</v>
      </c>
      <c r="P734" s="76"/>
      <c r="Q734" s="76"/>
      <c r="R734" s="76"/>
      <c r="S734" s="76"/>
      <c r="BD734" s="99">
        <f t="shared" si="22"/>
        <v>0</v>
      </c>
      <c r="CC734" s="99"/>
      <c r="CV734" s="99"/>
      <c r="CW734" s="63"/>
    </row>
    <row r="735" spans="1:101" x14ac:dyDescent="0.15">
      <c r="A735" s="76">
        <v>689</v>
      </c>
      <c r="B735" s="74" t="s">
        <v>5903</v>
      </c>
      <c r="C735" s="74">
        <v>995826552</v>
      </c>
      <c r="D735" s="78" t="str">
        <f t="shared" si="23"/>
        <v>https://portal.dnb.de/opac.htm?method=simpleSearch&amp;cqlMode=true&amp;query=idn%3D995826552</v>
      </c>
      <c r="E735" s="74" t="s">
        <v>8718</v>
      </c>
      <c r="F735" s="74"/>
      <c r="G735" s="76" t="s">
        <v>8515</v>
      </c>
      <c r="H735" s="77" t="s">
        <v>5</v>
      </c>
      <c r="I735" s="76" t="s">
        <v>53</v>
      </c>
      <c r="J735" s="77" t="s">
        <v>8516</v>
      </c>
      <c r="K735" s="77" t="s">
        <v>8520</v>
      </c>
      <c r="L735" s="76"/>
      <c r="M735" s="76" t="s">
        <v>32</v>
      </c>
      <c r="N735" s="76" t="s">
        <v>40</v>
      </c>
      <c r="O735" s="76">
        <v>0</v>
      </c>
      <c r="P735" s="76"/>
      <c r="Q735" s="76"/>
      <c r="R735" s="76"/>
      <c r="S735" s="76"/>
      <c r="Y735" s="95" t="s">
        <v>9723</v>
      </c>
      <c r="AC735" s="95" t="s">
        <v>9724</v>
      </c>
      <c r="AI735" s="95" t="s">
        <v>9725</v>
      </c>
      <c r="AW735" s="95">
        <v>45</v>
      </c>
      <c r="BC735" s="96" t="s">
        <v>9726</v>
      </c>
      <c r="BD735" s="99">
        <f t="shared" si="22"/>
        <v>0.5</v>
      </c>
      <c r="BG735" s="95" t="s">
        <v>8541</v>
      </c>
      <c r="BP735" s="69" t="s">
        <v>8541</v>
      </c>
      <c r="BQ735" s="95" t="s">
        <v>8541</v>
      </c>
      <c r="CB735" s="95" t="s">
        <v>9882</v>
      </c>
      <c r="CC735" s="99">
        <v>0.5</v>
      </c>
      <c r="CV735" s="99"/>
      <c r="CW735" s="63"/>
    </row>
    <row r="736" spans="1:101" x14ac:dyDescent="0.15">
      <c r="A736" s="76">
        <v>690</v>
      </c>
      <c r="B736" s="74" t="s">
        <v>5904</v>
      </c>
      <c r="C736" s="74">
        <v>995828571</v>
      </c>
      <c r="D736" s="78" t="str">
        <f t="shared" si="23"/>
        <v>https://portal.dnb.de/opac.htm?method=simpleSearch&amp;cqlMode=true&amp;query=idn%3D995828571</v>
      </c>
      <c r="E736" s="74" t="s">
        <v>8719</v>
      </c>
      <c r="F736" s="74"/>
      <c r="G736" s="76" t="s">
        <v>8515</v>
      </c>
      <c r="H736" s="77" t="s">
        <v>5</v>
      </c>
      <c r="I736" s="76" t="s">
        <v>53</v>
      </c>
      <c r="J736" s="77" t="s">
        <v>8516</v>
      </c>
      <c r="K736" s="77" t="s">
        <v>8520</v>
      </c>
      <c r="L736" s="76"/>
      <c r="M736" s="76" t="s">
        <v>32</v>
      </c>
      <c r="N736" s="76" t="s">
        <v>40</v>
      </c>
      <c r="O736" s="76">
        <v>0</v>
      </c>
      <c r="P736" s="76"/>
      <c r="Q736" s="76"/>
      <c r="R736" s="76"/>
      <c r="S736" s="76"/>
      <c r="BD736" s="99">
        <f t="shared" si="22"/>
        <v>0</v>
      </c>
      <c r="CC736" s="99"/>
      <c r="CV736" s="99"/>
      <c r="CW736" s="63"/>
    </row>
    <row r="737" spans="1:101" x14ac:dyDescent="0.15">
      <c r="A737" s="76">
        <v>691</v>
      </c>
      <c r="B737" s="74" t="s">
        <v>5905</v>
      </c>
      <c r="C737" s="74">
        <v>995826404</v>
      </c>
      <c r="D737" s="78" t="str">
        <f t="shared" si="23"/>
        <v>https://portal.dnb.de/opac.htm?method=simpleSearch&amp;cqlMode=true&amp;query=idn%3D995826404</v>
      </c>
      <c r="E737" s="74" t="s">
        <v>8720</v>
      </c>
      <c r="F737" s="74"/>
      <c r="G737" s="76" t="s">
        <v>8515</v>
      </c>
      <c r="H737" s="77" t="s">
        <v>5</v>
      </c>
      <c r="I737" s="76" t="s">
        <v>53</v>
      </c>
      <c r="J737" s="77" t="s">
        <v>8516</v>
      </c>
      <c r="K737" s="77" t="s">
        <v>8520</v>
      </c>
      <c r="L737" s="76"/>
      <c r="M737" s="76" t="s">
        <v>32</v>
      </c>
      <c r="N737" s="76" t="s">
        <v>40</v>
      </c>
      <c r="O737" s="76">
        <v>0</v>
      </c>
      <c r="P737" s="76"/>
      <c r="Q737" s="76"/>
      <c r="R737" s="76"/>
      <c r="S737" s="76"/>
      <c r="BD737" s="99">
        <f t="shared" si="22"/>
        <v>0</v>
      </c>
      <c r="CC737" s="99"/>
      <c r="CV737" s="99"/>
      <c r="CW737" s="63"/>
    </row>
    <row r="738" spans="1:101" x14ac:dyDescent="0.15">
      <c r="A738" s="76">
        <v>692</v>
      </c>
      <c r="B738" s="74" t="s">
        <v>5906</v>
      </c>
      <c r="C738" s="74">
        <v>995827745</v>
      </c>
      <c r="D738" s="78" t="str">
        <f t="shared" si="23"/>
        <v>https://portal.dnb.de/opac.htm?method=simpleSearch&amp;cqlMode=true&amp;query=idn%3D995827745</v>
      </c>
      <c r="E738" s="74" t="s">
        <v>8721</v>
      </c>
      <c r="F738" s="74"/>
      <c r="G738" s="76" t="s">
        <v>8515</v>
      </c>
      <c r="H738" s="77" t="s">
        <v>5</v>
      </c>
      <c r="I738" s="76" t="s">
        <v>53</v>
      </c>
      <c r="J738" s="77" t="s">
        <v>8516</v>
      </c>
      <c r="K738" s="77" t="s">
        <v>8520</v>
      </c>
      <c r="L738" s="76"/>
      <c r="M738" s="76" t="s">
        <v>32</v>
      </c>
      <c r="N738" s="76" t="s">
        <v>40</v>
      </c>
      <c r="O738" s="76">
        <v>0</v>
      </c>
      <c r="P738" s="76"/>
      <c r="Q738" s="76"/>
      <c r="R738" s="76"/>
      <c r="S738" s="76"/>
      <c r="BD738" s="99">
        <f t="shared" si="22"/>
        <v>0</v>
      </c>
      <c r="CC738" s="99"/>
      <c r="CV738" s="99"/>
      <c r="CW738" s="63"/>
    </row>
    <row r="739" spans="1:101" x14ac:dyDescent="0.15">
      <c r="A739" s="76">
        <v>693</v>
      </c>
      <c r="B739" s="74" t="s">
        <v>5907</v>
      </c>
      <c r="C739" s="74">
        <v>995827826</v>
      </c>
      <c r="D739" s="78" t="str">
        <f t="shared" si="23"/>
        <v>https://portal.dnb.de/opac.htm?method=simpleSearch&amp;cqlMode=true&amp;query=idn%3D995827826</v>
      </c>
      <c r="E739" s="74" t="s">
        <v>8722</v>
      </c>
      <c r="F739" s="74"/>
      <c r="G739" s="76" t="s">
        <v>8515</v>
      </c>
      <c r="H739" s="77" t="s">
        <v>5</v>
      </c>
      <c r="I739" s="76" t="s">
        <v>53</v>
      </c>
      <c r="J739" s="77" t="s">
        <v>8516</v>
      </c>
      <c r="K739" s="77" t="s">
        <v>8520</v>
      </c>
      <c r="L739" s="76"/>
      <c r="M739" s="76" t="s">
        <v>32</v>
      </c>
      <c r="N739" s="76" t="s">
        <v>40</v>
      </c>
      <c r="O739" s="76">
        <v>0</v>
      </c>
      <c r="P739" s="76"/>
      <c r="Q739" s="76"/>
      <c r="R739" s="76"/>
      <c r="S739" s="76"/>
      <c r="BD739" s="99">
        <f t="shared" si="22"/>
        <v>0</v>
      </c>
      <c r="CC739" s="99"/>
      <c r="CV739" s="99"/>
      <c r="CW739" s="63"/>
    </row>
    <row r="740" spans="1:101" x14ac:dyDescent="0.15">
      <c r="A740" s="76">
        <v>694</v>
      </c>
      <c r="B740" s="74" t="s">
        <v>5908</v>
      </c>
      <c r="C740" s="74">
        <v>995827877</v>
      </c>
      <c r="D740" s="78" t="str">
        <f t="shared" si="23"/>
        <v>https://portal.dnb.de/opac.htm?method=simpleSearch&amp;cqlMode=true&amp;query=idn%3D995827877</v>
      </c>
      <c r="E740" s="74" t="s">
        <v>8723</v>
      </c>
      <c r="F740" s="74"/>
      <c r="G740" s="76" t="s">
        <v>8515</v>
      </c>
      <c r="H740" s="77" t="s">
        <v>5</v>
      </c>
      <c r="I740" s="76" t="s">
        <v>53</v>
      </c>
      <c r="J740" s="77" t="s">
        <v>8516</v>
      </c>
      <c r="K740" s="77" t="s">
        <v>8520</v>
      </c>
      <c r="L740" s="76"/>
      <c r="M740" s="76" t="s">
        <v>32</v>
      </c>
      <c r="N740" s="76" t="s">
        <v>40</v>
      </c>
      <c r="O740" s="76">
        <v>0</v>
      </c>
      <c r="P740" s="76"/>
      <c r="Q740" s="76"/>
      <c r="R740" s="76"/>
      <c r="S740" s="76"/>
      <c r="BD740" s="99">
        <f t="shared" si="22"/>
        <v>0</v>
      </c>
      <c r="CC740" s="99"/>
      <c r="CV740" s="99"/>
      <c r="CW740" s="63"/>
    </row>
    <row r="741" spans="1:101" x14ac:dyDescent="0.15">
      <c r="A741" s="76">
        <v>695</v>
      </c>
      <c r="B741" s="74" t="s">
        <v>5909</v>
      </c>
      <c r="C741" s="74">
        <v>995827958</v>
      </c>
      <c r="D741" s="78" t="str">
        <f t="shared" si="23"/>
        <v>https://portal.dnb.de/opac.htm?method=simpleSearch&amp;cqlMode=true&amp;query=idn%3D995827958</v>
      </c>
      <c r="E741" s="74" t="s">
        <v>8724</v>
      </c>
      <c r="F741" s="74"/>
      <c r="G741" s="76" t="s">
        <v>8515</v>
      </c>
      <c r="H741" s="77" t="s">
        <v>5</v>
      </c>
      <c r="I741" s="76" t="s">
        <v>53</v>
      </c>
      <c r="J741" s="77" t="s">
        <v>8516</v>
      </c>
      <c r="K741" s="77" t="s">
        <v>8520</v>
      </c>
      <c r="L741" s="76"/>
      <c r="M741" s="76" t="s">
        <v>32</v>
      </c>
      <c r="N741" s="76" t="s">
        <v>40</v>
      </c>
      <c r="O741" s="76">
        <v>0</v>
      </c>
      <c r="P741" s="76"/>
      <c r="Q741" s="76"/>
      <c r="R741" s="76"/>
      <c r="S741" s="76"/>
      <c r="BD741" s="99">
        <f t="shared" si="22"/>
        <v>0</v>
      </c>
      <c r="CC741" s="99"/>
      <c r="CV741" s="99"/>
      <c r="CW741" s="63"/>
    </row>
    <row r="742" spans="1:101" x14ac:dyDescent="0.15">
      <c r="A742" s="76">
        <v>696</v>
      </c>
      <c r="B742" s="74" t="s">
        <v>5910</v>
      </c>
      <c r="C742" s="74">
        <v>995828504</v>
      </c>
      <c r="D742" s="78" t="str">
        <f t="shared" si="23"/>
        <v>https://portal.dnb.de/opac.htm?method=simpleSearch&amp;cqlMode=true&amp;query=idn%3D995828504</v>
      </c>
      <c r="E742" s="74" t="s">
        <v>8725</v>
      </c>
      <c r="F742" s="74"/>
      <c r="G742" s="76" t="s">
        <v>8515</v>
      </c>
      <c r="H742" s="77" t="s">
        <v>5</v>
      </c>
      <c r="I742" s="76" t="s">
        <v>53</v>
      </c>
      <c r="J742" s="77" t="s">
        <v>8516</v>
      </c>
      <c r="K742" s="77" t="s">
        <v>8520</v>
      </c>
      <c r="L742" s="76"/>
      <c r="M742" s="76" t="s">
        <v>32</v>
      </c>
      <c r="N742" s="76" t="s">
        <v>40</v>
      </c>
      <c r="O742" s="76">
        <v>0</v>
      </c>
      <c r="P742" s="76"/>
      <c r="Q742" s="76"/>
      <c r="R742" s="76"/>
      <c r="S742" s="76"/>
      <c r="BD742" s="99">
        <f t="shared" si="22"/>
        <v>0</v>
      </c>
      <c r="CC742" s="99"/>
      <c r="CV742" s="99"/>
      <c r="CW742" s="63"/>
    </row>
    <row r="743" spans="1:101" x14ac:dyDescent="0.15">
      <c r="A743" s="76">
        <v>697</v>
      </c>
      <c r="B743" s="74" t="s">
        <v>5911</v>
      </c>
      <c r="C743" s="74">
        <v>995828490</v>
      </c>
      <c r="D743" s="78" t="str">
        <f t="shared" si="23"/>
        <v>https://portal.dnb.de/opac.htm?method=simpleSearch&amp;cqlMode=true&amp;query=idn%3D995828490</v>
      </c>
      <c r="E743" s="74" t="s">
        <v>8726</v>
      </c>
      <c r="F743" s="74"/>
      <c r="G743" s="76" t="s">
        <v>8515</v>
      </c>
      <c r="H743" s="77" t="s">
        <v>5</v>
      </c>
      <c r="I743" s="76" t="s">
        <v>53</v>
      </c>
      <c r="J743" s="77" t="s">
        <v>8516</v>
      </c>
      <c r="K743" s="77" t="s">
        <v>8520</v>
      </c>
      <c r="L743" s="76"/>
      <c r="M743" s="76" t="s">
        <v>32</v>
      </c>
      <c r="N743" s="76" t="s">
        <v>40</v>
      </c>
      <c r="O743" s="76">
        <v>0</v>
      </c>
      <c r="P743" s="76"/>
      <c r="Q743" s="76"/>
      <c r="R743" s="76"/>
      <c r="S743" s="76"/>
      <c r="BD743" s="99">
        <f t="shared" si="22"/>
        <v>0</v>
      </c>
      <c r="CC743" s="99"/>
      <c r="CV743" s="99"/>
      <c r="CW743" s="63"/>
    </row>
    <row r="744" spans="1:101" x14ac:dyDescent="0.15">
      <c r="A744" s="76">
        <v>698</v>
      </c>
      <c r="B744" s="74" t="s">
        <v>5912</v>
      </c>
      <c r="C744" s="74">
        <v>995718512</v>
      </c>
      <c r="D744" s="78" t="str">
        <f t="shared" si="23"/>
        <v>https://portal.dnb.de/opac.htm?method=simpleSearch&amp;cqlMode=true&amp;query=idn%3D995718512</v>
      </c>
      <c r="E744" s="74" t="s">
        <v>8727</v>
      </c>
      <c r="F744" s="74"/>
      <c r="G744" s="76"/>
      <c r="H744" s="77" t="s">
        <v>4</v>
      </c>
      <c r="I744" s="76" t="s">
        <v>53</v>
      </c>
      <c r="J744" s="77" t="s">
        <v>8516</v>
      </c>
      <c r="K744" s="77" t="s">
        <v>84</v>
      </c>
      <c r="L744" s="76"/>
      <c r="M744" s="76" t="s">
        <v>36</v>
      </c>
      <c r="N744" s="76" t="s">
        <v>39</v>
      </c>
      <c r="O744" s="76">
        <v>0</v>
      </c>
      <c r="P744" s="76"/>
      <c r="Q744" s="76"/>
      <c r="R744" s="76"/>
      <c r="S744" s="76"/>
      <c r="BD744" s="99">
        <f t="shared" si="22"/>
        <v>0</v>
      </c>
      <c r="CC744" s="99"/>
      <c r="CV744" s="99"/>
      <c r="CW744" s="63"/>
    </row>
    <row r="745" spans="1:101" x14ac:dyDescent="0.15">
      <c r="A745" s="76">
        <v>699</v>
      </c>
      <c r="B745" s="74" t="s">
        <v>5913</v>
      </c>
      <c r="C745" s="74">
        <v>995718423</v>
      </c>
      <c r="D745" s="78" t="str">
        <f t="shared" si="23"/>
        <v>https://portal.dnb.de/opac.htm?method=simpleSearch&amp;cqlMode=true&amp;query=idn%3D995718423</v>
      </c>
      <c r="E745" s="74" t="s">
        <v>8728</v>
      </c>
      <c r="F745" s="74"/>
      <c r="G745" s="76"/>
      <c r="H745" s="77" t="s">
        <v>4</v>
      </c>
      <c r="I745" s="76" t="s">
        <v>53</v>
      </c>
      <c r="J745" s="77" t="s">
        <v>8516</v>
      </c>
      <c r="K745" s="77" t="s">
        <v>84</v>
      </c>
      <c r="L745" s="76"/>
      <c r="M745" s="76" t="s">
        <v>36</v>
      </c>
      <c r="N745" s="76" t="s">
        <v>39</v>
      </c>
      <c r="O745" s="76">
        <v>0</v>
      </c>
      <c r="P745" s="76"/>
      <c r="Q745" s="76"/>
      <c r="R745" s="76"/>
      <c r="S745" s="76"/>
      <c r="BD745" s="99">
        <f t="shared" si="22"/>
        <v>0</v>
      </c>
      <c r="CC745" s="99"/>
      <c r="CV745" s="99"/>
      <c r="CW745" s="63"/>
    </row>
    <row r="746" spans="1:101" ht="22.5" x14ac:dyDescent="0.15">
      <c r="A746" s="76">
        <v>700</v>
      </c>
      <c r="B746" s="74" t="s">
        <v>5914</v>
      </c>
      <c r="C746" s="74">
        <v>998635626</v>
      </c>
      <c r="D746" s="78" t="str">
        <f t="shared" si="23"/>
        <v>https://portal.dnb.de/opac.htm?method=simpleSearch&amp;cqlMode=true&amp;query=idn%3D998635626</v>
      </c>
      <c r="E746" s="74" t="s">
        <v>8764</v>
      </c>
      <c r="F746" s="74"/>
      <c r="G746" s="76"/>
      <c r="H746" s="77" t="s">
        <v>18</v>
      </c>
      <c r="I746" s="76" t="s">
        <v>53</v>
      </c>
      <c r="J746" s="77" t="s">
        <v>8516</v>
      </c>
      <c r="K746" s="77" t="s">
        <v>84</v>
      </c>
      <c r="L746" s="76"/>
      <c r="M746" s="76"/>
      <c r="N746" s="76" t="s">
        <v>8660</v>
      </c>
      <c r="O746" s="76">
        <v>0</v>
      </c>
      <c r="P746" s="76"/>
      <c r="Q746" s="76"/>
      <c r="R746" s="76"/>
      <c r="S746" s="76"/>
      <c r="BD746" s="99">
        <f t="shared" si="22"/>
        <v>0</v>
      </c>
      <c r="CC746" s="99"/>
      <c r="CV746" s="99"/>
      <c r="CW746" s="63"/>
    </row>
    <row r="747" spans="1:101" ht="22.5" x14ac:dyDescent="0.15">
      <c r="A747" s="76"/>
      <c r="B747" s="74"/>
      <c r="C747" s="74"/>
      <c r="D747" s="78"/>
      <c r="E747" s="74" t="s">
        <v>8765</v>
      </c>
      <c r="F747" s="74"/>
      <c r="G747" s="76"/>
      <c r="H747" s="77" t="s">
        <v>18</v>
      </c>
      <c r="I747" s="76" t="s">
        <v>53</v>
      </c>
      <c r="J747" s="77" t="s">
        <v>8516</v>
      </c>
      <c r="K747" s="77" t="s">
        <v>84</v>
      </c>
      <c r="L747" s="76"/>
      <c r="M747" s="76"/>
      <c r="N747" s="76"/>
      <c r="O747" s="76">
        <v>0</v>
      </c>
      <c r="P747" s="76"/>
      <c r="Q747" s="76"/>
      <c r="R747" s="76"/>
      <c r="S747" s="76"/>
      <c r="BD747" s="99">
        <f t="shared" si="22"/>
        <v>0</v>
      </c>
      <c r="CC747" s="99"/>
      <c r="CV747" s="99"/>
      <c r="CW747" s="63"/>
    </row>
    <row r="748" spans="1:101" ht="22.5" x14ac:dyDescent="0.15">
      <c r="A748" s="76">
        <v>701</v>
      </c>
      <c r="B748" s="74" t="s">
        <v>5915</v>
      </c>
      <c r="C748" s="74">
        <v>993860524</v>
      </c>
      <c r="D748" s="78" t="str">
        <f t="shared" si="23"/>
        <v>https://portal.dnb.de/opac.htm?method=simpleSearch&amp;cqlMode=true&amp;query=idn%3D993860524</v>
      </c>
      <c r="E748" s="74" t="s">
        <v>5916</v>
      </c>
      <c r="F748" s="74"/>
      <c r="G748" s="76" t="s">
        <v>8515</v>
      </c>
      <c r="H748" s="77" t="s">
        <v>18</v>
      </c>
      <c r="I748" s="76" t="s">
        <v>53</v>
      </c>
      <c r="J748" s="77" t="s">
        <v>58</v>
      </c>
      <c r="K748" s="77" t="s">
        <v>8557</v>
      </c>
      <c r="L748" s="76"/>
      <c r="M748" s="76"/>
      <c r="N748" s="76"/>
      <c r="O748" s="76">
        <v>0</v>
      </c>
      <c r="P748" s="76"/>
      <c r="Q748" s="76"/>
      <c r="R748" s="76"/>
      <c r="S748" s="76"/>
      <c r="BD748" s="99">
        <f t="shared" si="22"/>
        <v>0</v>
      </c>
      <c r="CC748" s="99"/>
      <c r="CV748" s="99"/>
      <c r="CW748" s="63"/>
    </row>
    <row r="749" spans="1:101" ht="22.5" x14ac:dyDescent="0.15">
      <c r="A749" s="76">
        <v>702</v>
      </c>
      <c r="B749" s="74" t="s">
        <v>5917</v>
      </c>
      <c r="C749" s="74">
        <v>997927283</v>
      </c>
      <c r="D749" s="78" t="str">
        <f t="shared" si="23"/>
        <v>https://portal.dnb.de/opac.htm?method=simpleSearch&amp;cqlMode=true&amp;query=idn%3D997927283</v>
      </c>
      <c r="E749" s="74" t="s">
        <v>5918</v>
      </c>
      <c r="F749" s="74"/>
      <c r="G749" s="76" t="s">
        <v>8515</v>
      </c>
      <c r="H749" s="77" t="s">
        <v>18</v>
      </c>
      <c r="I749" s="76" t="s">
        <v>53</v>
      </c>
      <c r="J749" s="77" t="s">
        <v>58</v>
      </c>
      <c r="K749" s="77" t="s">
        <v>84</v>
      </c>
      <c r="L749" s="76"/>
      <c r="M749" s="76" t="s">
        <v>36</v>
      </c>
      <c r="N749" s="76" t="s">
        <v>39</v>
      </c>
      <c r="O749" s="76">
        <v>1</v>
      </c>
      <c r="P749" s="76"/>
      <c r="Q749" s="76"/>
      <c r="R749" s="76"/>
      <c r="S749" s="76"/>
      <c r="BD749" s="99">
        <f t="shared" si="22"/>
        <v>0</v>
      </c>
      <c r="CC749" s="99"/>
      <c r="CV749" s="99"/>
      <c r="CW749" s="63"/>
    </row>
    <row r="750" spans="1:101" ht="22.5" x14ac:dyDescent="0.15">
      <c r="A750" s="76">
        <v>703</v>
      </c>
      <c r="B750" s="74" t="s">
        <v>5919</v>
      </c>
      <c r="C750" s="74">
        <v>995719578</v>
      </c>
      <c r="D750" s="78" t="str">
        <f t="shared" si="23"/>
        <v>https://portal.dnb.de/opac.htm?method=simpleSearch&amp;cqlMode=true&amp;query=idn%3D995719578</v>
      </c>
      <c r="E750" s="74" t="s">
        <v>5920</v>
      </c>
      <c r="F750" s="74"/>
      <c r="G750" s="76"/>
      <c r="H750" s="77" t="s">
        <v>18</v>
      </c>
      <c r="I750" s="76" t="s">
        <v>54</v>
      </c>
      <c r="J750" s="77" t="s">
        <v>58</v>
      </c>
      <c r="K750" s="77" t="s">
        <v>8771</v>
      </c>
      <c r="L750" s="76"/>
      <c r="M750" s="76" t="s">
        <v>36</v>
      </c>
      <c r="N750" s="76" t="s">
        <v>39</v>
      </c>
      <c r="O750" s="76">
        <v>0</v>
      </c>
      <c r="P750" s="76"/>
      <c r="Q750" s="76"/>
      <c r="R750" s="76"/>
      <c r="S750" s="76"/>
      <c r="BD750" s="99">
        <f t="shared" si="22"/>
        <v>0</v>
      </c>
      <c r="CC750" s="99"/>
      <c r="CV750" s="99"/>
      <c r="CW750" s="63"/>
    </row>
    <row r="751" spans="1:101" x14ac:dyDescent="0.15">
      <c r="A751" s="76">
        <v>704</v>
      </c>
      <c r="B751" s="74" t="s">
        <v>5925</v>
      </c>
      <c r="C751" s="74">
        <v>1046183621</v>
      </c>
      <c r="D751" s="78" t="str">
        <f t="shared" si="23"/>
        <v>https://portal.dnb.de/opac.htm?method=simpleSearch&amp;cqlMode=true&amp;query=idn%3D1046183621</v>
      </c>
      <c r="E751" s="74" t="s">
        <v>8863</v>
      </c>
      <c r="F751" s="74"/>
      <c r="G751" s="76"/>
      <c r="H751" s="77"/>
      <c r="I751" s="76"/>
      <c r="J751" s="77"/>
      <c r="K751" s="77"/>
      <c r="L751" s="76"/>
      <c r="M751" s="76"/>
      <c r="N751" s="76"/>
      <c r="O751" s="76"/>
      <c r="P751" s="76"/>
      <c r="Q751" s="76"/>
      <c r="R751" s="76"/>
      <c r="S751" s="76"/>
      <c r="BD751" s="99">
        <f t="shared" si="22"/>
        <v>0</v>
      </c>
      <c r="CC751" s="99"/>
      <c r="CV751" s="99"/>
      <c r="CW751" s="63"/>
    </row>
    <row r="752" spans="1:101" x14ac:dyDescent="0.15">
      <c r="A752" s="76">
        <v>705</v>
      </c>
      <c r="B752" s="74" t="s">
        <v>5926</v>
      </c>
      <c r="C752" s="74">
        <v>1019546204</v>
      </c>
      <c r="D752" s="78" t="str">
        <f t="shared" si="23"/>
        <v>https://portal.dnb.de/opac.htm?method=simpleSearch&amp;cqlMode=true&amp;query=idn%3D1019546204</v>
      </c>
      <c r="E752" s="74" t="s">
        <v>8862</v>
      </c>
      <c r="F752" s="74"/>
      <c r="G752" s="76"/>
      <c r="H752" s="77"/>
      <c r="I752" s="76"/>
      <c r="J752" s="77"/>
      <c r="K752" s="77" t="s">
        <v>8522</v>
      </c>
      <c r="L752" s="76"/>
      <c r="M752" s="76"/>
      <c r="N752" s="76"/>
      <c r="O752" s="76"/>
      <c r="P752" s="76"/>
      <c r="Q752" s="76"/>
      <c r="R752" s="76"/>
      <c r="S752" s="76"/>
      <c r="BD752" s="99">
        <f t="shared" si="22"/>
        <v>0</v>
      </c>
      <c r="CC752" s="99"/>
      <c r="CV752" s="99"/>
      <c r="CW752" s="63"/>
    </row>
    <row r="753" spans="1:101" x14ac:dyDescent="0.15">
      <c r="A753" s="76">
        <v>706</v>
      </c>
      <c r="B753" s="74" t="s">
        <v>5927</v>
      </c>
      <c r="C753" s="74">
        <v>1046183508</v>
      </c>
      <c r="D753" s="78" t="str">
        <f t="shared" si="23"/>
        <v>https://portal.dnb.de/opac.htm?method=simpleSearch&amp;cqlMode=true&amp;query=idn%3D1046183508</v>
      </c>
      <c r="E753" s="74" t="s">
        <v>8861</v>
      </c>
      <c r="F753" s="74"/>
      <c r="G753" s="76"/>
      <c r="H753" s="77"/>
      <c r="I753" s="76"/>
      <c r="J753" s="77"/>
      <c r="K753" s="77"/>
      <c r="L753" s="76"/>
      <c r="M753" s="76"/>
      <c r="N753" s="76"/>
      <c r="O753" s="76"/>
      <c r="P753" s="76"/>
      <c r="Q753" s="76"/>
      <c r="R753" s="76"/>
      <c r="S753" s="76"/>
      <c r="BD753" s="99">
        <f t="shared" si="22"/>
        <v>0</v>
      </c>
      <c r="CC753" s="99"/>
      <c r="CV753" s="99"/>
      <c r="CW753" s="63"/>
    </row>
    <row r="754" spans="1:101" x14ac:dyDescent="0.15">
      <c r="A754" s="76">
        <v>707</v>
      </c>
      <c r="B754" s="74" t="s">
        <v>5928</v>
      </c>
      <c r="C754" s="74">
        <v>1046183249</v>
      </c>
      <c r="D754" s="78" t="str">
        <f t="shared" si="23"/>
        <v>https://portal.dnb.de/opac.htm?method=simpleSearch&amp;cqlMode=true&amp;query=idn%3D1046183249</v>
      </c>
      <c r="E754" s="74" t="s">
        <v>8860</v>
      </c>
      <c r="F754" s="74"/>
      <c r="G754" s="76"/>
      <c r="H754" s="77"/>
      <c r="I754" s="76"/>
      <c r="J754" s="77"/>
      <c r="K754" s="77"/>
      <c r="L754" s="76"/>
      <c r="M754" s="76"/>
      <c r="N754" s="76"/>
      <c r="O754" s="76"/>
      <c r="P754" s="76"/>
      <c r="Q754" s="76"/>
      <c r="R754" s="76"/>
      <c r="S754" s="76"/>
      <c r="BD754" s="99">
        <f t="shared" si="22"/>
        <v>0</v>
      </c>
      <c r="CC754" s="99"/>
      <c r="CV754" s="99"/>
      <c r="CW754" s="63"/>
    </row>
    <row r="755" spans="1:101" ht="22.5" x14ac:dyDescent="0.15">
      <c r="A755" s="76"/>
      <c r="B755" s="74"/>
      <c r="C755" s="74"/>
      <c r="D755" s="78"/>
      <c r="E755" s="74" t="s">
        <v>8833</v>
      </c>
      <c r="F755" s="74"/>
      <c r="G755" s="76"/>
      <c r="H755" s="77" t="s">
        <v>18</v>
      </c>
      <c r="I755" s="76" t="s">
        <v>53</v>
      </c>
      <c r="J755" s="77" t="s">
        <v>8516</v>
      </c>
      <c r="K755" s="77" t="s">
        <v>8520</v>
      </c>
      <c r="L755" s="76"/>
      <c r="M755" s="76" t="s">
        <v>36</v>
      </c>
      <c r="N755" s="76" t="s">
        <v>39</v>
      </c>
      <c r="O755" s="76">
        <v>0</v>
      </c>
      <c r="P755" s="76"/>
      <c r="Q755" s="76"/>
      <c r="R755" s="76"/>
      <c r="S755" s="76"/>
      <c r="BD755" s="99">
        <f t="shared" si="22"/>
        <v>0</v>
      </c>
      <c r="CC755" s="99"/>
      <c r="CV755" s="99"/>
      <c r="CW755" s="63"/>
    </row>
    <row r="756" spans="1:101" x14ac:dyDescent="0.15">
      <c r="A756" s="76">
        <v>708</v>
      </c>
      <c r="B756" s="74" t="s">
        <v>5936</v>
      </c>
      <c r="C756" s="74">
        <v>994660413</v>
      </c>
      <c r="D756" s="78" t="str">
        <f t="shared" si="23"/>
        <v>https://portal.dnb.de/opac.htm?method=simpleSearch&amp;cqlMode=true&amp;query=idn%3D994660413</v>
      </c>
      <c r="E756" s="74" t="s">
        <v>5937</v>
      </c>
      <c r="F756" s="74"/>
      <c r="G756" s="76" t="s">
        <v>8515</v>
      </c>
      <c r="H756" s="77" t="s">
        <v>4</v>
      </c>
      <c r="I756" s="76" t="s">
        <v>53</v>
      </c>
      <c r="J756" s="77" t="s">
        <v>58</v>
      </c>
      <c r="K756" s="77" t="s">
        <v>8520</v>
      </c>
      <c r="L756" s="76"/>
      <c r="M756" s="76" t="s">
        <v>36</v>
      </c>
      <c r="N756" s="76" t="s">
        <v>39</v>
      </c>
      <c r="O756" s="76">
        <v>0</v>
      </c>
      <c r="P756" s="76"/>
      <c r="Q756" s="76"/>
      <c r="R756" s="76"/>
      <c r="S756" s="76"/>
      <c r="BD756" s="99">
        <f t="shared" si="22"/>
        <v>0</v>
      </c>
      <c r="CC756" s="99"/>
      <c r="CV756" s="99"/>
      <c r="CW756" s="63"/>
    </row>
    <row r="757" spans="1:101" x14ac:dyDescent="0.15">
      <c r="A757" s="76">
        <v>709</v>
      </c>
      <c r="B757" s="74" t="s">
        <v>5938</v>
      </c>
      <c r="C757" s="74">
        <v>994660316</v>
      </c>
      <c r="D757" s="78" t="str">
        <f t="shared" si="23"/>
        <v>https://portal.dnb.de/opac.htm?method=simpleSearch&amp;cqlMode=true&amp;query=idn%3D994660316</v>
      </c>
      <c r="E757" s="74" t="s">
        <v>5939</v>
      </c>
      <c r="F757" s="74"/>
      <c r="G757" s="76"/>
      <c r="H757" s="77"/>
      <c r="I757" s="76"/>
      <c r="J757" s="77"/>
      <c r="K757" s="77"/>
      <c r="L757" s="76"/>
      <c r="M757" s="76"/>
      <c r="N757" s="76"/>
      <c r="O757" s="76"/>
      <c r="P757" s="76"/>
      <c r="Q757" s="76"/>
      <c r="R757" s="76"/>
      <c r="S757" s="76"/>
      <c r="BD757" s="99">
        <f t="shared" si="22"/>
        <v>0</v>
      </c>
      <c r="CC757" s="99"/>
      <c r="CV757" s="99"/>
      <c r="CW757" s="63"/>
    </row>
    <row r="758" spans="1:101" x14ac:dyDescent="0.15">
      <c r="A758" s="76">
        <v>710</v>
      </c>
      <c r="B758" s="74" t="s">
        <v>5942</v>
      </c>
      <c r="C758" s="74" t="s">
        <v>5943</v>
      </c>
      <c r="D758" s="78" t="str">
        <f t="shared" si="23"/>
        <v>https://portal.dnb.de/opac.htm?method=simpleSearch&amp;cqlMode=true&amp;query=idn%3D100037842X</v>
      </c>
      <c r="E758" s="74" t="s">
        <v>5944</v>
      </c>
      <c r="F758" s="74"/>
      <c r="G758" s="76"/>
      <c r="H758" s="77"/>
      <c r="I758" s="76"/>
      <c r="J758" s="77"/>
      <c r="K758" s="77"/>
      <c r="L758" s="76"/>
      <c r="M758" s="76"/>
      <c r="N758" s="76"/>
      <c r="O758" s="76"/>
      <c r="P758" s="76"/>
      <c r="Q758" s="76"/>
      <c r="R758" s="76"/>
      <c r="S758" s="76"/>
      <c r="BD758" s="99">
        <f t="shared" si="22"/>
        <v>0</v>
      </c>
      <c r="CC758" s="99"/>
      <c r="CV758" s="99"/>
      <c r="CW758" s="63"/>
    </row>
    <row r="759" spans="1:101" x14ac:dyDescent="0.15">
      <c r="A759" s="76">
        <v>711</v>
      </c>
      <c r="B759" s="74" t="s">
        <v>5945</v>
      </c>
      <c r="C759" s="74">
        <v>12707457</v>
      </c>
      <c r="D759" s="78" t="str">
        <f t="shared" si="23"/>
        <v>https://portal.dnb.de/opac.htm?method=simpleSearch&amp;cqlMode=true&amp;query=idn%3D12707457</v>
      </c>
      <c r="E759" s="74" t="s">
        <v>5946</v>
      </c>
      <c r="F759" s="74"/>
      <c r="G759" s="76"/>
      <c r="H759" s="77" t="s">
        <v>4</v>
      </c>
      <c r="I759" s="76" t="s">
        <v>53</v>
      </c>
      <c r="J759" s="77" t="s">
        <v>8516</v>
      </c>
      <c r="K759" s="77" t="s">
        <v>8520</v>
      </c>
      <c r="L759" s="76"/>
      <c r="M759" s="76" t="s">
        <v>36</v>
      </c>
      <c r="N759" s="76" t="s">
        <v>39</v>
      </c>
      <c r="O759" s="76">
        <v>0</v>
      </c>
      <c r="P759" s="76"/>
      <c r="Q759" s="76"/>
      <c r="R759" s="76"/>
      <c r="S759" s="76"/>
      <c r="BD759" s="99">
        <f t="shared" si="22"/>
        <v>0</v>
      </c>
      <c r="CC759" s="99"/>
      <c r="CV759" s="99"/>
      <c r="CW759" s="63"/>
    </row>
    <row r="760" spans="1:101" x14ac:dyDescent="0.15">
      <c r="A760" s="76"/>
      <c r="B760" s="74"/>
      <c r="C760" s="74"/>
      <c r="D760" s="78"/>
      <c r="E760" s="74" t="s">
        <v>8838</v>
      </c>
      <c r="F760" s="74"/>
      <c r="G760" s="76"/>
      <c r="H760" s="77" t="s">
        <v>8668</v>
      </c>
      <c r="I760" s="76" t="s">
        <v>54</v>
      </c>
      <c r="J760" s="77" t="s">
        <v>58</v>
      </c>
      <c r="K760" s="77"/>
      <c r="L760" s="76"/>
      <c r="M760" s="76" t="s">
        <v>38</v>
      </c>
      <c r="N760" s="76" t="s">
        <v>40</v>
      </c>
      <c r="O760" s="76">
        <v>1</v>
      </c>
      <c r="P760" s="76"/>
      <c r="Q760" s="76"/>
      <c r="R760" s="76"/>
      <c r="S760" s="76"/>
      <c r="BD760" s="99">
        <f t="shared" si="22"/>
        <v>0</v>
      </c>
      <c r="CC760" s="99"/>
      <c r="CV760" s="99"/>
      <c r="CW760" s="63"/>
    </row>
    <row r="761" spans="1:101" x14ac:dyDescent="0.15">
      <c r="A761" s="76">
        <v>712</v>
      </c>
      <c r="B761" s="74" t="s">
        <v>5956</v>
      </c>
      <c r="C761" s="74">
        <v>1000805506</v>
      </c>
      <c r="D761" s="78" t="str">
        <f t="shared" si="23"/>
        <v>https://portal.dnb.de/opac.htm?method=simpleSearch&amp;cqlMode=true&amp;query=idn%3D1000805506</v>
      </c>
      <c r="E761" s="74" t="s">
        <v>8834</v>
      </c>
      <c r="F761" s="74"/>
      <c r="G761" s="76"/>
      <c r="H761" s="77" t="s">
        <v>8668</v>
      </c>
      <c r="I761" s="76" t="s">
        <v>54</v>
      </c>
      <c r="J761" s="77" t="s">
        <v>58</v>
      </c>
      <c r="K761" s="77"/>
      <c r="L761" s="76"/>
      <c r="M761" s="76" t="s">
        <v>38</v>
      </c>
      <c r="N761" s="76" t="s">
        <v>40</v>
      </c>
      <c r="O761" s="76">
        <v>1</v>
      </c>
      <c r="P761" s="76"/>
      <c r="Q761" s="76" t="s">
        <v>8847</v>
      </c>
      <c r="R761" s="76"/>
      <c r="S761" s="76"/>
      <c r="BD761" s="99">
        <f t="shared" si="22"/>
        <v>0</v>
      </c>
      <c r="CC761" s="99"/>
      <c r="CV761" s="99"/>
      <c r="CW761" s="63"/>
    </row>
    <row r="762" spans="1:101" x14ac:dyDescent="0.15">
      <c r="A762" s="76">
        <v>713</v>
      </c>
      <c r="B762" s="74" t="s">
        <v>5957</v>
      </c>
      <c r="C762" s="74">
        <v>13021796</v>
      </c>
      <c r="D762" s="78" t="str">
        <f t="shared" si="23"/>
        <v>https://portal.dnb.de/opac.htm?method=simpleSearch&amp;cqlMode=true&amp;query=idn%3D13021796</v>
      </c>
      <c r="E762" s="74" t="s">
        <v>5958</v>
      </c>
      <c r="F762" s="74"/>
      <c r="G762" s="76"/>
      <c r="H762" s="77"/>
      <c r="I762" s="76"/>
      <c r="J762" s="77"/>
      <c r="K762" s="77"/>
      <c r="L762" s="76"/>
      <c r="M762" s="76"/>
      <c r="N762" s="76"/>
      <c r="O762" s="76"/>
      <c r="P762" s="76"/>
      <c r="Q762" s="76"/>
      <c r="R762" s="76"/>
      <c r="S762" s="76"/>
      <c r="BD762" s="99">
        <f t="shared" si="22"/>
        <v>0</v>
      </c>
      <c r="CC762" s="99"/>
      <c r="CV762" s="99"/>
      <c r="CW762" s="63"/>
    </row>
    <row r="763" spans="1:101" x14ac:dyDescent="0.15">
      <c r="A763" s="76">
        <v>714</v>
      </c>
      <c r="B763" s="74" t="s">
        <v>5959</v>
      </c>
      <c r="C763" s="74">
        <v>1003543650</v>
      </c>
      <c r="D763" s="82" t="str">
        <f>HYPERLINK(CONCATENATE("https://portal.dnb.de/opac.htm?method=simpleSearch&amp;cqlMode=true&amp;query=idn%3D",C763))</f>
        <v>https://portal.dnb.de/opac.htm?method=simpleSearch&amp;cqlMode=true&amp;query=idn%3D1003543650</v>
      </c>
      <c r="E763" s="74" t="s">
        <v>8835</v>
      </c>
      <c r="F763" s="74"/>
      <c r="G763" s="76"/>
      <c r="H763" s="77" t="s">
        <v>8668</v>
      </c>
      <c r="I763" s="76" t="s">
        <v>54</v>
      </c>
      <c r="J763" s="77" t="s">
        <v>58</v>
      </c>
      <c r="K763" s="77" t="s">
        <v>87</v>
      </c>
      <c r="L763" s="76"/>
      <c r="M763" s="76" t="s">
        <v>38</v>
      </c>
      <c r="N763" s="76" t="s">
        <v>40</v>
      </c>
      <c r="O763" s="76">
        <v>1</v>
      </c>
      <c r="P763" s="76"/>
      <c r="Q763" s="76"/>
      <c r="R763" s="76"/>
      <c r="S763" s="76"/>
      <c r="BD763" s="99">
        <f t="shared" si="22"/>
        <v>0</v>
      </c>
      <c r="CC763" s="99"/>
      <c r="CV763" s="99"/>
      <c r="CW763" s="63"/>
    </row>
    <row r="764" spans="1:101" x14ac:dyDescent="0.15">
      <c r="A764" s="76"/>
      <c r="B764" s="74"/>
      <c r="C764" s="74"/>
      <c r="D764" s="82"/>
      <c r="E764" s="74" t="s">
        <v>8839</v>
      </c>
      <c r="F764" s="74"/>
      <c r="G764" s="76"/>
      <c r="H764" s="77" t="s">
        <v>8668</v>
      </c>
      <c r="I764" s="76" t="s">
        <v>54</v>
      </c>
      <c r="J764" s="77" t="s">
        <v>58</v>
      </c>
      <c r="K764" s="77" t="s">
        <v>87</v>
      </c>
      <c r="L764" s="76"/>
      <c r="M764" s="76" t="s">
        <v>38</v>
      </c>
      <c r="N764" s="76" t="s">
        <v>40</v>
      </c>
      <c r="O764" s="76">
        <v>1</v>
      </c>
      <c r="P764" s="76"/>
      <c r="Q764" s="76"/>
      <c r="R764" s="76"/>
      <c r="S764" s="76"/>
      <c r="BD764" s="99">
        <f t="shared" si="22"/>
        <v>0</v>
      </c>
      <c r="CC764" s="99"/>
      <c r="CV764" s="99"/>
      <c r="CW764" s="63"/>
    </row>
    <row r="765" spans="1:101" x14ac:dyDescent="0.15">
      <c r="A765" s="76">
        <v>715</v>
      </c>
      <c r="B765" s="74" t="s">
        <v>5960</v>
      </c>
      <c r="C765" s="74">
        <v>1003543448</v>
      </c>
      <c r="D765" s="78" t="str">
        <f t="shared" si="23"/>
        <v>https://portal.dnb.de/opac.htm?method=simpleSearch&amp;cqlMode=true&amp;query=idn%3D1003543448</v>
      </c>
      <c r="E765" s="74" t="s">
        <v>8835</v>
      </c>
      <c r="F765" s="74"/>
      <c r="G765" s="76"/>
      <c r="H765" s="77"/>
      <c r="I765" s="76"/>
      <c r="J765" s="77"/>
      <c r="K765" s="77"/>
      <c r="L765" s="76"/>
      <c r="M765" s="76"/>
      <c r="N765" s="76"/>
      <c r="O765" s="76"/>
      <c r="P765" s="76"/>
      <c r="Q765" s="76"/>
      <c r="R765" s="76" t="s">
        <v>8837</v>
      </c>
      <c r="S765" s="76"/>
      <c r="BD765" s="99">
        <f t="shared" si="22"/>
        <v>0</v>
      </c>
      <c r="CC765" s="99"/>
      <c r="CV765" s="99"/>
      <c r="CW765" s="63"/>
    </row>
    <row r="766" spans="1:101" x14ac:dyDescent="0.15">
      <c r="A766" s="76">
        <v>716</v>
      </c>
      <c r="B766" s="74" t="s">
        <v>5961</v>
      </c>
      <c r="C766" s="74">
        <v>1003543995</v>
      </c>
      <c r="D766" s="78" t="str">
        <f t="shared" si="23"/>
        <v>https://portal.dnb.de/opac.htm?method=simpleSearch&amp;cqlMode=true&amp;query=idn%3D1003543995</v>
      </c>
      <c r="E766" s="74" t="s">
        <v>8836</v>
      </c>
      <c r="F766" s="74"/>
      <c r="G766" s="76"/>
      <c r="H766" s="77" t="s">
        <v>8668</v>
      </c>
      <c r="I766" s="76" t="s">
        <v>54</v>
      </c>
      <c r="J766" s="77" t="s">
        <v>58</v>
      </c>
      <c r="K766" s="77"/>
      <c r="L766" s="76"/>
      <c r="M766" s="76" t="s">
        <v>38</v>
      </c>
      <c r="N766" s="76" t="s">
        <v>40</v>
      </c>
      <c r="O766" s="76">
        <v>1</v>
      </c>
      <c r="P766" s="76"/>
      <c r="Q766" s="76" t="s">
        <v>8847</v>
      </c>
      <c r="R766" s="76"/>
      <c r="S766" s="76"/>
      <c r="BD766" s="99">
        <f t="shared" si="22"/>
        <v>0</v>
      </c>
      <c r="CC766" s="99"/>
      <c r="CV766" s="99"/>
      <c r="CW766" s="63"/>
    </row>
    <row r="767" spans="1:101" ht="22.5" x14ac:dyDescent="0.15">
      <c r="A767" s="76">
        <v>717</v>
      </c>
      <c r="B767" s="74" t="s">
        <v>5964</v>
      </c>
      <c r="C767" s="74">
        <v>997548045</v>
      </c>
      <c r="D767" s="78" t="str">
        <f t="shared" si="23"/>
        <v>https://portal.dnb.de/opac.htm?method=simpleSearch&amp;cqlMode=true&amp;query=idn%3D997548045</v>
      </c>
      <c r="E767" s="74" t="s">
        <v>8840</v>
      </c>
      <c r="F767" s="74"/>
      <c r="G767" s="76"/>
      <c r="H767" s="77" t="s">
        <v>18</v>
      </c>
      <c r="I767" s="76" t="s">
        <v>53</v>
      </c>
      <c r="J767" s="77" t="s">
        <v>8516</v>
      </c>
      <c r="K767" s="77" t="s">
        <v>8841</v>
      </c>
      <c r="L767" s="76"/>
      <c r="M767" s="76" t="s">
        <v>36</v>
      </c>
      <c r="N767" s="76" t="s">
        <v>39</v>
      </c>
      <c r="O767" s="76">
        <v>0</v>
      </c>
      <c r="P767" s="76"/>
      <c r="Q767" s="76" t="s">
        <v>9040</v>
      </c>
      <c r="R767" s="76"/>
      <c r="S767" s="76"/>
      <c r="BD767" s="99">
        <f t="shared" si="22"/>
        <v>0</v>
      </c>
      <c r="CC767" s="99"/>
      <c r="CV767" s="99"/>
      <c r="CW767" s="63"/>
    </row>
    <row r="768" spans="1:101" ht="22.5" x14ac:dyDescent="0.15">
      <c r="A768" s="76">
        <v>718</v>
      </c>
      <c r="B768" s="74" t="s">
        <v>5965</v>
      </c>
      <c r="C768" s="74">
        <v>997548126</v>
      </c>
      <c r="D768" s="78" t="str">
        <f t="shared" si="23"/>
        <v>https://portal.dnb.de/opac.htm?method=simpleSearch&amp;cqlMode=true&amp;query=idn%3D997548126</v>
      </c>
      <c r="E768" s="74" t="s">
        <v>8842</v>
      </c>
      <c r="F768" s="74"/>
      <c r="G768" s="76"/>
      <c r="H768" s="77" t="s">
        <v>18</v>
      </c>
      <c r="I768" s="76" t="s">
        <v>53</v>
      </c>
      <c r="J768" s="77" t="s">
        <v>8516</v>
      </c>
      <c r="K768" s="77" t="s">
        <v>8841</v>
      </c>
      <c r="L768" s="76"/>
      <c r="M768" s="76" t="s">
        <v>36</v>
      </c>
      <c r="N768" s="76" t="s">
        <v>39</v>
      </c>
      <c r="O768" s="76">
        <v>0</v>
      </c>
      <c r="P768" s="76"/>
      <c r="Q768" s="76"/>
      <c r="R768" s="76"/>
      <c r="S768" s="76"/>
      <c r="BD768" s="99">
        <f t="shared" si="22"/>
        <v>0</v>
      </c>
      <c r="CC768" s="99"/>
      <c r="CV768" s="99"/>
      <c r="CW768" s="63"/>
    </row>
    <row r="769" spans="1:101" ht="22.5" x14ac:dyDescent="0.15">
      <c r="A769" s="76">
        <v>719</v>
      </c>
      <c r="B769" s="74" t="s">
        <v>5966</v>
      </c>
      <c r="C769" s="74">
        <v>997548169</v>
      </c>
      <c r="D769" s="78" t="str">
        <f t="shared" si="23"/>
        <v>https://portal.dnb.de/opac.htm?method=simpleSearch&amp;cqlMode=true&amp;query=idn%3D997548169</v>
      </c>
      <c r="E769" s="74" t="s">
        <v>8843</v>
      </c>
      <c r="F769" s="74"/>
      <c r="G769" s="76"/>
      <c r="H769" s="77" t="s">
        <v>18</v>
      </c>
      <c r="I769" s="76" t="s">
        <v>53</v>
      </c>
      <c r="J769" s="77" t="s">
        <v>8516</v>
      </c>
      <c r="K769" s="77" t="s">
        <v>8841</v>
      </c>
      <c r="L769" s="76"/>
      <c r="M769" s="76" t="s">
        <v>36</v>
      </c>
      <c r="N769" s="76" t="s">
        <v>39</v>
      </c>
      <c r="O769" s="76">
        <v>0</v>
      </c>
      <c r="P769" s="76"/>
      <c r="Q769" s="76"/>
      <c r="R769" s="76"/>
      <c r="S769" s="76"/>
      <c r="BD769" s="99">
        <f t="shared" si="22"/>
        <v>0</v>
      </c>
      <c r="CC769" s="99"/>
      <c r="CV769" s="99"/>
      <c r="CW769" s="63"/>
    </row>
    <row r="770" spans="1:101" ht="22.5" x14ac:dyDescent="0.15">
      <c r="A770" s="76">
        <v>720</v>
      </c>
      <c r="B770" s="74" t="s">
        <v>5967</v>
      </c>
      <c r="C770" s="74">
        <v>997548231</v>
      </c>
      <c r="D770" s="78" t="str">
        <f t="shared" si="23"/>
        <v>https://portal.dnb.de/opac.htm?method=simpleSearch&amp;cqlMode=true&amp;query=idn%3D997548231</v>
      </c>
      <c r="E770" s="74" t="s">
        <v>8844</v>
      </c>
      <c r="F770" s="74"/>
      <c r="G770" s="76"/>
      <c r="H770" s="77" t="s">
        <v>18</v>
      </c>
      <c r="I770" s="76" t="s">
        <v>53</v>
      </c>
      <c r="J770" s="77" t="s">
        <v>8516</v>
      </c>
      <c r="K770" s="77" t="s">
        <v>8841</v>
      </c>
      <c r="L770" s="76"/>
      <c r="M770" s="76" t="s">
        <v>36</v>
      </c>
      <c r="N770" s="76" t="s">
        <v>39</v>
      </c>
      <c r="O770" s="76">
        <v>0</v>
      </c>
      <c r="P770" s="76"/>
      <c r="Q770" s="76" t="s">
        <v>9040</v>
      </c>
      <c r="R770" s="76"/>
      <c r="S770" s="76"/>
      <c r="BD770" s="99">
        <f t="shared" si="22"/>
        <v>0</v>
      </c>
      <c r="CC770" s="99"/>
      <c r="CV770" s="99"/>
      <c r="CW770" s="63"/>
    </row>
    <row r="771" spans="1:101" ht="22.5" x14ac:dyDescent="0.15">
      <c r="A771" s="76">
        <v>721</v>
      </c>
      <c r="B771" s="74" t="s">
        <v>5968</v>
      </c>
      <c r="C771" s="74">
        <v>997548290</v>
      </c>
      <c r="D771" s="78" t="str">
        <f t="shared" si="23"/>
        <v>https://portal.dnb.de/opac.htm?method=simpleSearch&amp;cqlMode=true&amp;query=idn%3D997548290</v>
      </c>
      <c r="E771" s="74" t="s">
        <v>8845</v>
      </c>
      <c r="F771" s="74"/>
      <c r="G771" s="76"/>
      <c r="H771" s="77" t="s">
        <v>18</v>
      </c>
      <c r="I771" s="76" t="s">
        <v>53</v>
      </c>
      <c r="J771" s="77" t="s">
        <v>8516</v>
      </c>
      <c r="K771" s="77" t="s">
        <v>8557</v>
      </c>
      <c r="L771" s="76"/>
      <c r="M771" s="76" t="s">
        <v>36</v>
      </c>
      <c r="N771" s="76" t="s">
        <v>39</v>
      </c>
      <c r="O771" s="76">
        <v>0</v>
      </c>
      <c r="P771" s="76"/>
      <c r="Q771" s="76"/>
      <c r="R771" s="76"/>
      <c r="S771" s="76"/>
      <c r="BD771" s="99">
        <f t="shared" ref="BD771:BD834" si="24">CC771+CV771</f>
        <v>0</v>
      </c>
      <c r="CC771" s="99"/>
      <c r="CV771" s="99"/>
      <c r="CW771" s="63"/>
    </row>
    <row r="772" spans="1:101" x14ac:dyDescent="0.15">
      <c r="A772" s="76">
        <v>722</v>
      </c>
      <c r="B772" s="74" t="s">
        <v>5971</v>
      </c>
      <c r="C772" s="74">
        <v>996235213</v>
      </c>
      <c r="D772" s="78" t="str">
        <f t="shared" si="23"/>
        <v>https://portal.dnb.de/opac.htm?method=simpleSearch&amp;cqlMode=true&amp;query=idn%3D996235213</v>
      </c>
      <c r="E772" s="74" t="s">
        <v>8846</v>
      </c>
      <c r="F772" s="74"/>
      <c r="G772" s="76"/>
      <c r="H772" s="77" t="s">
        <v>5</v>
      </c>
      <c r="I772" s="76" t="s">
        <v>53</v>
      </c>
      <c r="J772" s="77" t="s">
        <v>8516</v>
      </c>
      <c r="K772" s="77" t="s">
        <v>72</v>
      </c>
      <c r="L772" s="76"/>
      <c r="M772" s="76" t="s">
        <v>36</v>
      </c>
      <c r="N772" s="76" t="s">
        <v>39</v>
      </c>
      <c r="O772" s="76">
        <v>0</v>
      </c>
      <c r="P772" s="76"/>
      <c r="Q772" s="76"/>
      <c r="R772" s="76"/>
      <c r="S772" s="76"/>
      <c r="BD772" s="99">
        <f t="shared" si="24"/>
        <v>0</v>
      </c>
      <c r="CC772" s="99"/>
      <c r="CV772" s="99"/>
      <c r="CW772" s="63"/>
    </row>
    <row r="773" spans="1:101" x14ac:dyDescent="0.15">
      <c r="A773" s="76">
        <v>723</v>
      </c>
      <c r="B773" s="74" t="s">
        <v>5974</v>
      </c>
      <c r="C773" s="74">
        <v>1003743072</v>
      </c>
      <c r="D773" s="78" t="str">
        <f t="shared" si="23"/>
        <v>https://portal.dnb.de/opac.htm?method=simpleSearch&amp;cqlMode=true&amp;query=idn%3D1003743072</v>
      </c>
      <c r="E773" s="74" t="s">
        <v>5975</v>
      </c>
      <c r="F773" s="74"/>
      <c r="G773" s="76"/>
      <c r="H773" s="77"/>
      <c r="I773" s="76"/>
      <c r="J773" s="77"/>
      <c r="K773" s="77"/>
      <c r="L773" s="76"/>
      <c r="M773" s="76"/>
      <c r="N773" s="76"/>
      <c r="O773" s="76"/>
      <c r="P773" s="76"/>
      <c r="Q773" s="76"/>
      <c r="R773" s="76"/>
      <c r="S773" s="76"/>
      <c r="BD773" s="99">
        <f t="shared" si="24"/>
        <v>0</v>
      </c>
      <c r="CC773" s="99"/>
      <c r="CV773" s="99"/>
      <c r="CW773" s="63"/>
    </row>
    <row r="774" spans="1:101" x14ac:dyDescent="0.15">
      <c r="A774" s="76">
        <v>724</v>
      </c>
      <c r="B774" s="74" t="s">
        <v>5976</v>
      </c>
      <c r="C774" s="74">
        <v>998634697</v>
      </c>
      <c r="D774" s="78" t="str">
        <f t="shared" si="23"/>
        <v>https://portal.dnb.de/opac.htm?method=simpleSearch&amp;cqlMode=true&amp;query=idn%3D998634697</v>
      </c>
      <c r="E774" s="74" t="s">
        <v>5977</v>
      </c>
      <c r="F774" s="74"/>
      <c r="G774" s="76"/>
      <c r="H774" s="77" t="s">
        <v>4</v>
      </c>
      <c r="I774" s="76" t="s">
        <v>53</v>
      </c>
      <c r="J774" s="77" t="s">
        <v>8516</v>
      </c>
      <c r="K774" s="77" t="s">
        <v>8520</v>
      </c>
      <c r="L774" s="76"/>
      <c r="M774" s="76" t="s">
        <v>38</v>
      </c>
      <c r="N774" s="76" t="s">
        <v>40</v>
      </c>
      <c r="O774" s="76">
        <v>0</v>
      </c>
      <c r="P774" s="76"/>
      <c r="Q774" s="76"/>
      <c r="R774" s="76"/>
      <c r="S774" s="76"/>
      <c r="BD774" s="99">
        <f t="shared" si="24"/>
        <v>0</v>
      </c>
      <c r="CC774" s="99"/>
      <c r="CV774" s="99"/>
      <c r="CW774" s="63"/>
    </row>
    <row r="775" spans="1:101" x14ac:dyDescent="0.15">
      <c r="A775" s="76">
        <v>725</v>
      </c>
      <c r="B775" s="74" t="s">
        <v>5978</v>
      </c>
      <c r="C775" s="74">
        <v>998651923</v>
      </c>
      <c r="D775" s="78" t="str">
        <f t="shared" si="23"/>
        <v>https://portal.dnb.de/opac.htm?method=simpleSearch&amp;cqlMode=true&amp;query=idn%3D998651923</v>
      </c>
      <c r="E775" s="74" t="s">
        <v>5979</v>
      </c>
      <c r="F775" s="74"/>
      <c r="G775" s="76"/>
      <c r="H775" s="77" t="s">
        <v>48</v>
      </c>
      <c r="I775" s="76" t="s">
        <v>53</v>
      </c>
      <c r="J775" s="77" t="s">
        <v>8516</v>
      </c>
      <c r="K775" s="77" t="s">
        <v>84</v>
      </c>
      <c r="L775" s="76"/>
      <c r="M775" s="76" t="s">
        <v>38</v>
      </c>
      <c r="N775" s="76" t="s">
        <v>40</v>
      </c>
      <c r="O775" s="76">
        <v>0</v>
      </c>
      <c r="P775" s="76"/>
      <c r="Q775" s="76"/>
      <c r="R775" s="76"/>
      <c r="S775" s="76"/>
      <c r="BD775" s="99">
        <f t="shared" si="24"/>
        <v>0</v>
      </c>
      <c r="CC775" s="99"/>
      <c r="CV775" s="99"/>
      <c r="CW775" s="63"/>
    </row>
    <row r="776" spans="1:101" ht="22.5" x14ac:dyDescent="0.15">
      <c r="A776" s="76">
        <v>726</v>
      </c>
      <c r="B776" s="74" t="s">
        <v>5980</v>
      </c>
      <c r="C776" s="74" t="s">
        <v>5981</v>
      </c>
      <c r="D776" s="78" t="str">
        <f t="shared" si="23"/>
        <v>https://portal.dnb.de/opac.htm?method=simpleSearch&amp;cqlMode=true&amp;query=idn%3D99865261X</v>
      </c>
      <c r="E776" s="74" t="s">
        <v>5982</v>
      </c>
      <c r="F776" s="74"/>
      <c r="G776" s="76"/>
      <c r="H776" s="77" t="s">
        <v>18</v>
      </c>
      <c r="I776" s="76" t="s">
        <v>53</v>
      </c>
      <c r="J776" s="77" t="s">
        <v>8516</v>
      </c>
      <c r="K776" s="77" t="s">
        <v>84</v>
      </c>
      <c r="L776" s="76"/>
      <c r="M776" s="76"/>
      <c r="N776" s="76" t="s">
        <v>8660</v>
      </c>
      <c r="O776" s="76">
        <v>0</v>
      </c>
      <c r="P776" s="76"/>
      <c r="Q776" s="76"/>
      <c r="R776" s="76"/>
      <c r="S776" s="76"/>
      <c r="BD776" s="99">
        <f t="shared" si="24"/>
        <v>0</v>
      </c>
      <c r="CC776" s="99"/>
      <c r="CV776" s="99"/>
      <c r="CW776" s="63"/>
    </row>
    <row r="777" spans="1:101" x14ac:dyDescent="0.15">
      <c r="A777" s="76">
        <v>727</v>
      </c>
      <c r="B777" s="74" t="s">
        <v>5983</v>
      </c>
      <c r="C777" s="74">
        <v>998631841</v>
      </c>
      <c r="D777" s="78" t="str">
        <f t="shared" si="23"/>
        <v>https://portal.dnb.de/opac.htm?method=simpleSearch&amp;cqlMode=true&amp;query=idn%3D998631841</v>
      </c>
      <c r="E777" s="74" t="s">
        <v>5984</v>
      </c>
      <c r="F777" s="74"/>
      <c r="G777" s="76"/>
      <c r="H777" s="77"/>
      <c r="I777" s="76"/>
      <c r="J777" s="77"/>
      <c r="K777" s="77"/>
      <c r="L777" s="76"/>
      <c r="M777" s="76"/>
      <c r="N777" s="76"/>
      <c r="O777" s="76"/>
      <c r="P777" s="76"/>
      <c r="Q777" s="76" t="s">
        <v>8729</v>
      </c>
      <c r="R777" s="76"/>
      <c r="S777" s="76"/>
      <c r="BD777" s="99">
        <f t="shared" si="24"/>
        <v>0</v>
      </c>
      <c r="CC777" s="99"/>
      <c r="CV777" s="99"/>
      <c r="CW777" s="63"/>
    </row>
    <row r="778" spans="1:101" x14ac:dyDescent="0.15">
      <c r="A778" s="76">
        <v>728</v>
      </c>
      <c r="B778" s="74" t="s">
        <v>5985</v>
      </c>
      <c r="C778" s="74">
        <v>998631809</v>
      </c>
      <c r="D778" s="78" t="str">
        <f t="shared" si="23"/>
        <v>https://portal.dnb.de/opac.htm?method=simpleSearch&amp;cqlMode=true&amp;query=idn%3D998631809</v>
      </c>
      <c r="E778" s="74" t="s">
        <v>5984</v>
      </c>
      <c r="F778" s="74"/>
      <c r="G778" s="76"/>
      <c r="H778" s="77"/>
      <c r="I778" s="76"/>
      <c r="J778" s="77"/>
      <c r="K778" s="77"/>
      <c r="L778" s="76"/>
      <c r="M778" s="76"/>
      <c r="N778" s="76"/>
      <c r="O778" s="76"/>
      <c r="P778" s="76"/>
      <c r="Q778" s="76" t="s">
        <v>8729</v>
      </c>
      <c r="R778" s="76"/>
      <c r="S778" s="76"/>
      <c r="BD778" s="99">
        <f t="shared" si="24"/>
        <v>0</v>
      </c>
      <c r="CC778" s="99"/>
      <c r="CV778" s="99"/>
      <c r="CW778" s="63"/>
    </row>
    <row r="779" spans="1:101" ht="22.5" x14ac:dyDescent="0.15">
      <c r="A779" s="76"/>
      <c r="B779" s="74"/>
      <c r="C779" s="74"/>
      <c r="D779" s="83"/>
      <c r="E779" s="74" t="s">
        <v>8730</v>
      </c>
      <c r="F779" s="74"/>
      <c r="G779" s="76"/>
      <c r="H779" s="77" t="s">
        <v>18</v>
      </c>
      <c r="I779" s="76" t="s">
        <v>53</v>
      </c>
      <c r="J779" s="77" t="s">
        <v>8516</v>
      </c>
      <c r="K779" s="77" t="s">
        <v>8557</v>
      </c>
      <c r="L779" s="76"/>
      <c r="M779" s="76"/>
      <c r="N779" s="76"/>
      <c r="O779" s="76">
        <v>0</v>
      </c>
      <c r="P779" s="76"/>
      <c r="Q779" s="76"/>
      <c r="R779" s="76"/>
      <c r="S779" s="76"/>
      <c r="BD779" s="99">
        <f t="shared" si="24"/>
        <v>0</v>
      </c>
      <c r="CC779" s="99"/>
      <c r="CV779" s="99"/>
      <c r="CW779" s="63"/>
    </row>
    <row r="780" spans="1:101" ht="22.5" x14ac:dyDescent="0.15">
      <c r="A780" s="76"/>
      <c r="B780" s="74"/>
      <c r="C780" s="74"/>
      <c r="D780" s="83"/>
      <c r="E780" s="74" t="s">
        <v>8731</v>
      </c>
      <c r="F780" s="74"/>
      <c r="G780" s="76"/>
      <c r="H780" s="77" t="s">
        <v>18</v>
      </c>
      <c r="I780" s="76" t="s">
        <v>53</v>
      </c>
      <c r="J780" s="77" t="s">
        <v>8516</v>
      </c>
      <c r="K780" s="77" t="s">
        <v>8557</v>
      </c>
      <c r="L780" s="76"/>
      <c r="M780" s="76"/>
      <c r="N780" s="76"/>
      <c r="O780" s="76">
        <v>0</v>
      </c>
      <c r="P780" s="76"/>
      <c r="Q780" s="76"/>
      <c r="R780" s="76"/>
      <c r="S780" s="76"/>
      <c r="BD780" s="99">
        <f t="shared" si="24"/>
        <v>0</v>
      </c>
      <c r="CC780" s="99"/>
      <c r="CV780" s="99"/>
      <c r="CW780" s="63"/>
    </row>
    <row r="781" spans="1:101" ht="22.5" x14ac:dyDescent="0.15">
      <c r="A781" s="76"/>
      <c r="B781" s="74"/>
      <c r="C781" s="74"/>
      <c r="D781" s="83"/>
      <c r="E781" s="74" t="s">
        <v>8732</v>
      </c>
      <c r="F781" s="74"/>
      <c r="G781" s="76"/>
      <c r="H781" s="77" t="s">
        <v>18</v>
      </c>
      <c r="I781" s="76" t="s">
        <v>53</v>
      </c>
      <c r="J781" s="77" t="s">
        <v>8516</v>
      </c>
      <c r="K781" s="77" t="s">
        <v>8557</v>
      </c>
      <c r="L781" s="76"/>
      <c r="M781" s="76"/>
      <c r="N781" s="76"/>
      <c r="O781" s="76">
        <v>0</v>
      </c>
      <c r="P781" s="76"/>
      <c r="Q781" s="76"/>
      <c r="R781" s="76"/>
      <c r="S781" s="76"/>
      <c r="BD781" s="99">
        <f t="shared" si="24"/>
        <v>0</v>
      </c>
      <c r="CC781" s="99"/>
      <c r="CV781" s="99"/>
      <c r="CW781" s="63"/>
    </row>
    <row r="782" spans="1:101" ht="22.5" x14ac:dyDescent="0.15">
      <c r="A782" s="76"/>
      <c r="B782" s="74"/>
      <c r="C782" s="74"/>
      <c r="D782" s="83"/>
      <c r="E782" s="74" t="s">
        <v>8733</v>
      </c>
      <c r="F782" s="74"/>
      <c r="G782" s="76"/>
      <c r="H782" s="77" t="s">
        <v>18</v>
      </c>
      <c r="I782" s="76" t="s">
        <v>53</v>
      </c>
      <c r="J782" s="77" t="s">
        <v>8516</v>
      </c>
      <c r="K782" s="77" t="s">
        <v>8557</v>
      </c>
      <c r="L782" s="76"/>
      <c r="M782" s="76"/>
      <c r="N782" s="76"/>
      <c r="O782" s="76">
        <v>0</v>
      </c>
      <c r="P782" s="76"/>
      <c r="Q782" s="76"/>
      <c r="R782" s="76"/>
      <c r="S782" s="76"/>
      <c r="BD782" s="99">
        <f t="shared" si="24"/>
        <v>0</v>
      </c>
      <c r="CC782" s="99"/>
      <c r="CV782" s="99"/>
      <c r="CW782" s="63"/>
    </row>
    <row r="783" spans="1:101" ht="22.5" x14ac:dyDescent="0.15">
      <c r="A783" s="76"/>
      <c r="B783" s="74"/>
      <c r="C783" s="74"/>
      <c r="D783" s="83"/>
      <c r="E783" s="74" t="s">
        <v>8734</v>
      </c>
      <c r="F783" s="74"/>
      <c r="G783" s="76"/>
      <c r="H783" s="77" t="s">
        <v>18</v>
      </c>
      <c r="I783" s="76" t="s">
        <v>53</v>
      </c>
      <c r="J783" s="77" t="s">
        <v>8516</v>
      </c>
      <c r="K783" s="77" t="s">
        <v>8557</v>
      </c>
      <c r="L783" s="76"/>
      <c r="M783" s="76"/>
      <c r="N783" s="76"/>
      <c r="O783" s="76">
        <v>0</v>
      </c>
      <c r="P783" s="76"/>
      <c r="Q783" s="76"/>
      <c r="R783" s="76"/>
      <c r="S783" s="76"/>
      <c r="BD783" s="99">
        <f t="shared" si="24"/>
        <v>0</v>
      </c>
      <c r="CC783" s="99"/>
      <c r="CV783" s="99"/>
      <c r="CW783" s="63"/>
    </row>
    <row r="784" spans="1:101" ht="22.5" x14ac:dyDescent="0.15">
      <c r="A784" s="76"/>
      <c r="B784" s="74"/>
      <c r="C784" s="74"/>
      <c r="D784" s="83"/>
      <c r="E784" s="74" t="s">
        <v>8735</v>
      </c>
      <c r="F784" s="74"/>
      <c r="G784" s="76"/>
      <c r="H784" s="77" t="s">
        <v>18</v>
      </c>
      <c r="I784" s="76" t="s">
        <v>53</v>
      </c>
      <c r="J784" s="77" t="s">
        <v>8516</v>
      </c>
      <c r="K784" s="77" t="s">
        <v>8557</v>
      </c>
      <c r="L784" s="76"/>
      <c r="M784" s="76"/>
      <c r="N784" s="76"/>
      <c r="O784" s="76">
        <v>0</v>
      </c>
      <c r="P784" s="76"/>
      <c r="Q784" s="76"/>
      <c r="R784" s="76"/>
      <c r="S784" s="76"/>
      <c r="BD784" s="99">
        <f t="shared" si="24"/>
        <v>0</v>
      </c>
      <c r="CC784" s="99"/>
      <c r="CV784" s="99"/>
      <c r="CW784" s="63"/>
    </row>
    <row r="785" spans="1:101" ht="22.5" x14ac:dyDescent="0.15">
      <c r="A785" s="76"/>
      <c r="B785" s="74"/>
      <c r="C785" s="74"/>
      <c r="D785" s="83"/>
      <c r="E785" s="74" t="s">
        <v>8736</v>
      </c>
      <c r="F785" s="74"/>
      <c r="G785" s="76"/>
      <c r="H785" s="77" t="s">
        <v>18</v>
      </c>
      <c r="I785" s="76" t="s">
        <v>53</v>
      </c>
      <c r="J785" s="77" t="s">
        <v>8516</v>
      </c>
      <c r="K785" s="77" t="s">
        <v>8557</v>
      </c>
      <c r="L785" s="76"/>
      <c r="M785" s="76"/>
      <c r="N785" s="76"/>
      <c r="O785" s="76">
        <v>0</v>
      </c>
      <c r="P785" s="76"/>
      <c r="Q785" s="76"/>
      <c r="R785" s="76"/>
      <c r="S785" s="76"/>
      <c r="BD785" s="99">
        <f t="shared" si="24"/>
        <v>0</v>
      </c>
      <c r="CC785" s="99"/>
      <c r="CV785" s="99"/>
      <c r="CW785" s="63"/>
    </row>
    <row r="786" spans="1:101" ht="22.5" x14ac:dyDescent="0.15">
      <c r="A786" s="76"/>
      <c r="B786" s="74"/>
      <c r="C786" s="74"/>
      <c r="D786" s="83"/>
      <c r="E786" s="74" t="s">
        <v>8737</v>
      </c>
      <c r="F786" s="74"/>
      <c r="G786" s="76"/>
      <c r="H786" s="77" t="s">
        <v>18</v>
      </c>
      <c r="I786" s="76" t="s">
        <v>53</v>
      </c>
      <c r="J786" s="77" t="s">
        <v>8516</v>
      </c>
      <c r="K786" s="77" t="s">
        <v>8557</v>
      </c>
      <c r="L786" s="76"/>
      <c r="M786" s="76"/>
      <c r="N786" s="76"/>
      <c r="O786" s="76">
        <v>0</v>
      </c>
      <c r="P786" s="76"/>
      <c r="Q786" s="76"/>
      <c r="R786" s="76"/>
      <c r="S786" s="76"/>
      <c r="BD786" s="99">
        <f t="shared" si="24"/>
        <v>0</v>
      </c>
      <c r="CC786" s="99"/>
      <c r="CV786" s="99"/>
      <c r="CW786" s="63"/>
    </row>
    <row r="787" spans="1:101" ht="22.5" x14ac:dyDescent="0.15">
      <c r="A787" s="76"/>
      <c r="B787" s="74"/>
      <c r="C787" s="74"/>
      <c r="D787" s="83"/>
      <c r="E787" s="74" t="s">
        <v>8738</v>
      </c>
      <c r="F787" s="74"/>
      <c r="G787" s="76"/>
      <c r="H787" s="77" t="s">
        <v>18</v>
      </c>
      <c r="I787" s="76" t="s">
        <v>53</v>
      </c>
      <c r="J787" s="77" t="s">
        <v>8516</v>
      </c>
      <c r="K787" s="77" t="s">
        <v>8557</v>
      </c>
      <c r="L787" s="76"/>
      <c r="M787" s="76"/>
      <c r="N787" s="76"/>
      <c r="O787" s="76">
        <v>0</v>
      </c>
      <c r="P787" s="76"/>
      <c r="Q787" s="76"/>
      <c r="R787" s="76"/>
      <c r="S787" s="76"/>
      <c r="BD787" s="99">
        <f t="shared" si="24"/>
        <v>0</v>
      </c>
      <c r="CC787" s="99"/>
      <c r="CV787" s="99"/>
      <c r="CW787" s="63"/>
    </row>
    <row r="788" spans="1:101" ht="22.5" x14ac:dyDescent="0.15">
      <c r="A788" s="76"/>
      <c r="B788" s="74"/>
      <c r="C788" s="74"/>
      <c r="D788" s="83"/>
      <c r="E788" s="74" t="s">
        <v>8739</v>
      </c>
      <c r="F788" s="74"/>
      <c r="G788" s="76"/>
      <c r="H788" s="77" t="s">
        <v>18</v>
      </c>
      <c r="I788" s="76" t="s">
        <v>53</v>
      </c>
      <c r="J788" s="77" t="s">
        <v>8516</v>
      </c>
      <c r="K788" s="77" t="s">
        <v>8557</v>
      </c>
      <c r="L788" s="76"/>
      <c r="M788" s="76"/>
      <c r="N788" s="76"/>
      <c r="O788" s="76">
        <v>0</v>
      </c>
      <c r="P788" s="76"/>
      <c r="Q788" s="76"/>
      <c r="R788" s="76"/>
      <c r="S788" s="76"/>
      <c r="BD788" s="99">
        <f t="shared" si="24"/>
        <v>0</v>
      </c>
      <c r="CC788" s="99"/>
      <c r="CV788" s="99"/>
      <c r="CW788" s="63"/>
    </row>
    <row r="789" spans="1:101" ht="22.5" x14ac:dyDescent="0.15">
      <c r="A789" s="76"/>
      <c r="B789" s="74"/>
      <c r="C789" s="74"/>
      <c r="D789" s="83"/>
      <c r="E789" s="74" t="s">
        <v>8740</v>
      </c>
      <c r="F789" s="74"/>
      <c r="G789" s="76"/>
      <c r="H789" s="77" t="s">
        <v>18</v>
      </c>
      <c r="I789" s="76" t="s">
        <v>53</v>
      </c>
      <c r="J789" s="77" t="s">
        <v>8516</v>
      </c>
      <c r="K789" s="77" t="s">
        <v>8557</v>
      </c>
      <c r="L789" s="76"/>
      <c r="M789" s="76"/>
      <c r="N789" s="76"/>
      <c r="O789" s="76">
        <v>0</v>
      </c>
      <c r="P789" s="76"/>
      <c r="Q789" s="76"/>
      <c r="R789" s="76"/>
      <c r="S789" s="76"/>
      <c r="BD789" s="99">
        <f t="shared" si="24"/>
        <v>0</v>
      </c>
      <c r="CC789" s="99"/>
      <c r="CV789" s="99"/>
      <c r="CW789" s="63"/>
    </row>
    <row r="790" spans="1:101" ht="22.5" x14ac:dyDescent="0.15">
      <c r="A790" s="76"/>
      <c r="B790" s="74"/>
      <c r="C790" s="74"/>
      <c r="D790" s="83"/>
      <c r="E790" s="74" t="s">
        <v>8741</v>
      </c>
      <c r="F790" s="74"/>
      <c r="G790" s="76"/>
      <c r="H790" s="77" t="s">
        <v>18</v>
      </c>
      <c r="I790" s="76" t="s">
        <v>53</v>
      </c>
      <c r="J790" s="77" t="s">
        <v>8516</v>
      </c>
      <c r="K790" s="77" t="s">
        <v>8557</v>
      </c>
      <c r="L790" s="76"/>
      <c r="M790" s="76"/>
      <c r="N790" s="76"/>
      <c r="O790" s="76">
        <v>0</v>
      </c>
      <c r="P790" s="76"/>
      <c r="Q790" s="76"/>
      <c r="R790" s="76"/>
      <c r="S790" s="76"/>
      <c r="BD790" s="99">
        <f t="shared" si="24"/>
        <v>0</v>
      </c>
      <c r="CC790" s="99"/>
      <c r="CV790" s="99"/>
      <c r="CW790" s="63"/>
    </row>
    <row r="791" spans="1:101" ht="22.5" x14ac:dyDescent="0.15">
      <c r="A791" s="76"/>
      <c r="B791" s="74"/>
      <c r="C791" s="74"/>
      <c r="D791" s="83"/>
      <c r="E791" s="74" t="s">
        <v>8742</v>
      </c>
      <c r="F791" s="74"/>
      <c r="G791" s="76"/>
      <c r="H791" s="77" t="s">
        <v>18</v>
      </c>
      <c r="I791" s="76" t="s">
        <v>53</v>
      </c>
      <c r="J791" s="77" t="s">
        <v>8516</v>
      </c>
      <c r="K791" s="77" t="s">
        <v>8557</v>
      </c>
      <c r="L791" s="76"/>
      <c r="M791" s="76"/>
      <c r="N791" s="76"/>
      <c r="O791" s="76">
        <v>0</v>
      </c>
      <c r="P791" s="76"/>
      <c r="Q791" s="76"/>
      <c r="R791" s="76"/>
      <c r="S791" s="76"/>
      <c r="BD791" s="99">
        <f t="shared" si="24"/>
        <v>0</v>
      </c>
      <c r="CC791" s="99"/>
      <c r="CV791" s="99"/>
      <c r="CW791" s="63"/>
    </row>
    <row r="792" spans="1:101" ht="22.5" x14ac:dyDescent="0.15">
      <c r="A792" s="76"/>
      <c r="B792" s="74"/>
      <c r="C792" s="74"/>
      <c r="D792" s="83"/>
      <c r="E792" s="74" t="s">
        <v>8743</v>
      </c>
      <c r="F792" s="74"/>
      <c r="G792" s="76"/>
      <c r="H792" s="77" t="s">
        <v>18</v>
      </c>
      <c r="I792" s="76" t="s">
        <v>53</v>
      </c>
      <c r="J792" s="77" t="s">
        <v>8516</v>
      </c>
      <c r="K792" s="77" t="s">
        <v>8557</v>
      </c>
      <c r="L792" s="76"/>
      <c r="M792" s="76"/>
      <c r="N792" s="76"/>
      <c r="O792" s="76">
        <v>0</v>
      </c>
      <c r="P792" s="76"/>
      <c r="Q792" s="76"/>
      <c r="R792" s="76"/>
      <c r="S792" s="76"/>
      <c r="BD792" s="99">
        <f t="shared" si="24"/>
        <v>0</v>
      </c>
      <c r="CC792" s="99"/>
      <c r="CV792" s="99"/>
      <c r="CW792" s="63"/>
    </row>
    <row r="793" spans="1:101" ht="22.5" x14ac:dyDescent="0.15">
      <c r="A793" s="76"/>
      <c r="B793" s="74"/>
      <c r="C793" s="74"/>
      <c r="D793" s="83"/>
      <c r="E793" s="74" t="s">
        <v>8744</v>
      </c>
      <c r="F793" s="74"/>
      <c r="G793" s="76"/>
      <c r="H793" s="77" t="s">
        <v>18</v>
      </c>
      <c r="I793" s="76" t="s">
        <v>53</v>
      </c>
      <c r="J793" s="77" t="s">
        <v>8516</v>
      </c>
      <c r="K793" s="77" t="s">
        <v>8557</v>
      </c>
      <c r="L793" s="76"/>
      <c r="M793" s="76"/>
      <c r="N793" s="76"/>
      <c r="O793" s="76">
        <v>0</v>
      </c>
      <c r="P793" s="76"/>
      <c r="Q793" s="76"/>
      <c r="R793" s="76"/>
      <c r="S793" s="76"/>
      <c r="BD793" s="99">
        <f t="shared" si="24"/>
        <v>0</v>
      </c>
      <c r="CC793" s="99"/>
      <c r="CV793" s="99"/>
      <c r="CW793" s="63"/>
    </row>
    <row r="794" spans="1:101" ht="22.5" x14ac:dyDescent="0.15">
      <c r="A794" s="76"/>
      <c r="B794" s="74"/>
      <c r="C794" s="74"/>
      <c r="D794" s="83"/>
      <c r="E794" s="74" t="s">
        <v>8745</v>
      </c>
      <c r="F794" s="74"/>
      <c r="G794" s="76"/>
      <c r="H794" s="77" t="s">
        <v>18</v>
      </c>
      <c r="I794" s="76" t="s">
        <v>53</v>
      </c>
      <c r="J794" s="77" t="s">
        <v>8516</v>
      </c>
      <c r="K794" s="77" t="s">
        <v>8557</v>
      </c>
      <c r="L794" s="76"/>
      <c r="M794" s="76"/>
      <c r="N794" s="76"/>
      <c r="O794" s="76">
        <v>0</v>
      </c>
      <c r="P794" s="76"/>
      <c r="Q794" s="76"/>
      <c r="R794" s="76"/>
      <c r="S794" s="76"/>
      <c r="BD794" s="99">
        <f t="shared" si="24"/>
        <v>0</v>
      </c>
      <c r="CC794" s="99"/>
      <c r="CV794" s="99"/>
      <c r="CW794" s="63"/>
    </row>
    <row r="795" spans="1:101" ht="22.5" x14ac:dyDescent="0.15">
      <c r="A795" s="76"/>
      <c r="B795" s="74"/>
      <c r="C795" s="74"/>
      <c r="D795" s="83"/>
      <c r="E795" s="74" t="s">
        <v>8746</v>
      </c>
      <c r="F795" s="74"/>
      <c r="G795" s="76"/>
      <c r="H795" s="77" t="s">
        <v>18</v>
      </c>
      <c r="I795" s="76" t="s">
        <v>53</v>
      </c>
      <c r="J795" s="77" t="s">
        <v>8516</v>
      </c>
      <c r="K795" s="77" t="s">
        <v>8557</v>
      </c>
      <c r="L795" s="76"/>
      <c r="M795" s="76"/>
      <c r="N795" s="76"/>
      <c r="O795" s="76">
        <v>0</v>
      </c>
      <c r="P795" s="76"/>
      <c r="Q795" s="76"/>
      <c r="R795" s="76"/>
      <c r="S795" s="76"/>
      <c r="BD795" s="99">
        <f t="shared" si="24"/>
        <v>0</v>
      </c>
      <c r="CC795" s="99"/>
      <c r="CV795" s="99"/>
      <c r="CW795" s="63"/>
    </row>
    <row r="796" spans="1:101" ht="22.5" x14ac:dyDescent="0.15">
      <c r="A796" s="76"/>
      <c r="B796" s="74"/>
      <c r="C796" s="74"/>
      <c r="D796" s="83"/>
      <c r="E796" s="74" t="s">
        <v>8747</v>
      </c>
      <c r="F796" s="74"/>
      <c r="G796" s="76"/>
      <c r="H796" s="77" t="s">
        <v>18</v>
      </c>
      <c r="I796" s="76" t="s">
        <v>53</v>
      </c>
      <c r="J796" s="77" t="s">
        <v>8516</v>
      </c>
      <c r="K796" s="77" t="s">
        <v>8557</v>
      </c>
      <c r="L796" s="76"/>
      <c r="M796" s="76"/>
      <c r="N796" s="76"/>
      <c r="O796" s="76">
        <v>0</v>
      </c>
      <c r="P796" s="76"/>
      <c r="Q796" s="76"/>
      <c r="R796" s="76"/>
      <c r="S796" s="76"/>
      <c r="BD796" s="99">
        <f t="shared" si="24"/>
        <v>0</v>
      </c>
      <c r="CC796" s="99"/>
      <c r="CV796" s="99"/>
      <c r="CW796" s="63"/>
    </row>
    <row r="797" spans="1:101" ht="22.5" x14ac:dyDescent="0.15">
      <c r="A797" s="76"/>
      <c r="B797" s="74"/>
      <c r="C797" s="74"/>
      <c r="D797" s="83"/>
      <c r="E797" s="74" t="s">
        <v>8748</v>
      </c>
      <c r="F797" s="74"/>
      <c r="G797" s="76"/>
      <c r="H797" s="77" t="s">
        <v>18</v>
      </c>
      <c r="I797" s="76" t="s">
        <v>53</v>
      </c>
      <c r="J797" s="77" t="s">
        <v>8516</v>
      </c>
      <c r="K797" s="77" t="s">
        <v>8557</v>
      </c>
      <c r="L797" s="76"/>
      <c r="M797" s="76"/>
      <c r="N797" s="76"/>
      <c r="O797" s="76">
        <v>0</v>
      </c>
      <c r="P797" s="76"/>
      <c r="Q797" s="76"/>
      <c r="R797" s="76"/>
      <c r="S797" s="76"/>
      <c r="BD797" s="99">
        <f t="shared" si="24"/>
        <v>0</v>
      </c>
      <c r="CC797" s="99"/>
      <c r="CV797" s="99"/>
      <c r="CW797" s="63"/>
    </row>
    <row r="798" spans="1:101" ht="22.5" x14ac:dyDescent="0.15">
      <c r="A798" s="76"/>
      <c r="B798" s="74"/>
      <c r="C798" s="74"/>
      <c r="D798" s="83"/>
      <c r="E798" s="74" t="s">
        <v>8749</v>
      </c>
      <c r="F798" s="74"/>
      <c r="G798" s="76"/>
      <c r="H798" s="77" t="s">
        <v>18</v>
      </c>
      <c r="I798" s="76" t="s">
        <v>53</v>
      </c>
      <c r="J798" s="77" t="s">
        <v>8516</v>
      </c>
      <c r="K798" s="77" t="s">
        <v>8557</v>
      </c>
      <c r="L798" s="76"/>
      <c r="M798" s="76"/>
      <c r="N798" s="76"/>
      <c r="O798" s="76">
        <v>0</v>
      </c>
      <c r="P798" s="76"/>
      <c r="Q798" s="76"/>
      <c r="R798" s="76"/>
      <c r="S798" s="76"/>
      <c r="BD798" s="99">
        <f t="shared" si="24"/>
        <v>0</v>
      </c>
      <c r="CC798" s="99"/>
      <c r="CV798" s="99"/>
      <c r="CW798" s="63"/>
    </row>
    <row r="799" spans="1:101" ht="22.5" x14ac:dyDescent="0.15">
      <c r="A799" s="76"/>
      <c r="B799" s="74"/>
      <c r="C799" s="74"/>
      <c r="D799" s="83"/>
      <c r="E799" s="74" t="s">
        <v>8750</v>
      </c>
      <c r="F799" s="74"/>
      <c r="G799" s="76"/>
      <c r="H799" s="77" t="s">
        <v>18</v>
      </c>
      <c r="I799" s="76" t="s">
        <v>53</v>
      </c>
      <c r="J799" s="77" t="s">
        <v>8516</v>
      </c>
      <c r="K799" s="77" t="s">
        <v>8557</v>
      </c>
      <c r="L799" s="76"/>
      <c r="M799" s="76"/>
      <c r="N799" s="76"/>
      <c r="O799" s="76">
        <v>0</v>
      </c>
      <c r="P799" s="76"/>
      <c r="Q799" s="76"/>
      <c r="R799" s="76"/>
      <c r="S799" s="76"/>
      <c r="BD799" s="99">
        <f t="shared" si="24"/>
        <v>0</v>
      </c>
      <c r="CC799" s="99"/>
      <c r="CV799" s="99"/>
      <c r="CW799" s="63"/>
    </row>
    <row r="800" spans="1:101" ht="22.5" x14ac:dyDescent="0.15">
      <c r="A800" s="76"/>
      <c r="B800" s="74"/>
      <c r="C800" s="74"/>
      <c r="D800" s="83"/>
      <c r="E800" s="74" t="s">
        <v>8751</v>
      </c>
      <c r="F800" s="74"/>
      <c r="G800" s="76"/>
      <c r="H800" s="77" t="s">
        <v>18</v>
      </c>
      <c r="I800" s="76" t="s">
        <v>53</v>
      </c>
      <c r="J800" s="77" t="s">
        <v>8516</v>
      </c>
      <c r="K800" s="77" t="s">
        <v>8557</v>
      </c>
      <c r="L800" s="76"/>
      <c r="M800" s="76"/>
      <c r="N800" s="76"/>
      <c r="O800" s="76">
        <v>0</v>
      </c>
      <c r="P800" s="76"/>
      <c r="Q800" s="76"/>
      <c r="R800" s="76"/>
      <c r="S800" s="76"/>
      <c r="BD800" s="99">
        <f t="shared" si="24"/>
        <v>0</v>
      </c>
      <c r="CC800" s="99"/>
      <c r="CV800" s="99"/>
      <c r="CW800" s="63"/>
    </row>
    <row r="801" spans="1:101" ht="22.5" x14ac:dyDescent="0.15">
      <c r="A801" s="76"/>
      <c r="B801" s="74"/>
      <c r="C801" s="74"/>
      <c r="D801" s="83"/>
      <c r="E801" s="74" t="s">
        <v>8752</v>
      </c>
      <c r="F801" s="74"/>
      <c r="G801" s="76"/>
      <c r="H801" s="77" t="s">
        <v>18</v>
      </c>
      <c r="I801" s="76" t="s">
        <v>53</v>
      </c>
      <c r="J801" s="77" t="s">
        <v>8516</v>
      </c>
      <c r="K801" s="77" t="s">
        <v>8557</v>
      </c>
      <c r="L801" s="76"/>
      <c r="M801" s="76"/>
      <c r="N801" s="76"/>
      <c r="O801" s="76">
        <v>0</v>
      </c>
      <c r="P801" s="76"/>
      <c r="Q801" s="76"/>
      <c r="R801" s="76"/>
      <c r="S801" s="76"/>
      <c r="BD801" s="99">
        <f t="shared" si="24"/>
        <v>0</v>
      </c>
      <c r="CC801" s="99"/>
      <c r="CV801" s="99"/>
      <c r="CW801" s="63"/>
    </row>
    <row r="802" spans="1:101" ht="22.5" x14ac:dyDescent="0.15">
      <c r="A802" s="76"/>
      <c r="B802" s="74"/>
      <c r="C802" s="74"/>
      <c r="D802" s="83"/>
      <c r="E802" s="74" t="s">
        <v>8753</v>
      </c>
      <c r="F802" s="74"/>
      <c r="G802" s="76"/>
      <c r="H802" s="77" t="s">
        <v>18</v>
      </c>
      <c r="I802" s="76" t="s">
        <v>53</v>
      </c>
      <c r="J802" s="77" t="s">
        <v>8516</v>
      </c>
      <c r="K802" s="77" t="s">
        <v>8557</v>
      </c>
      <c r="L802" s="76"/>
      <c r="M802" s="76"/>
      <c r="N802" s="76"/>
      <c r="O802" s="76">
        <v>0</v>
      </c>
      <c r="P802" s="76"/>
      <c r="Q802" s="76"/>
      <c r="R802" s="76"/>
      <c r="S802" s="76"/>
      <c r="BD802" s="99">
        <f t="shared" si="24"/>
        <v>0</v>
      </c>
      <c r="CC802" s="99"/>
      <c r="CV802" s="99"/>
      <c r="CW802" s="63"/>
    </row>
    <row r="803" spans="1:101" ht="22.5" x14ac:dyDescent="0.15">
      <c r="A803" s="76"/>
      <c r="B803" s="74"/>
      <c r="C803" s="74"/>
      <c r="D803" s="83"/>
      <c r="E803" s="74" t="s">
        <v>8754</v>
      </c>
      <c r="F803" s="74"/>
      <c r="G803" s="76"/>
      <c r="H803" s="77" t="s">
        <v>18</v>
      </c>
      <c r="I803" s="76" t="s">
        <v>53</v>
      </c>
      <c r="J803" s="77" t="s">
        <v>8516</v>
      </c>
      <c r="K803" s="77" t="s">
        <v>8557</v>
      </c>
      <c r="L803" s="76"/>
      <c r="M803" s="76"/>
      <c r="N803" s="76"/>
      <c r="O803" s="76">
        <v>0</v>
      </c>
      <c r="P803" s="76"/>
      <c r="Q803" s="76"/>
      <c r="R803" s="76"/>
      <c r="S803" s="76"/>
      <c r="BD803" s="99">
        <f t="shared" si="24"/>
        <v>0</v>
      </c>
      <c r="CC803" s="99"/>
      <c r="CV803" s="99"/>
      <c r="CW803" s="63"/>
    </row>
    <row r="804" spans="1:101" ht="22.5" x14ac:dyDescent="0.15">
      <c r="A804" s="76"/>
      <c r="B804" s="74"/>
      <c r="C804" s="74"/>
      <c r="D804" s="83"/>
      <c r="E804" s="74" t="s">
        <v>8755</v>
      </c>
      <c r="F804" s="74"/>
      <c r="G804" s="76"/>
      <c r="H804" s="77" t="s">
        <v>18</v>
      </c>
      <c r="I804" s="76" t="s">
        <v>53</v>
      </c>
      <c r="J804" s="77" t="s">
        <v>8516</v>
      </c>
      <c r="K804" s="77" t="s">
        <v>8557</v>
      </c>
      <c r="L804" s="76"/>
      <c r="M804" s="76"/>
      <c r="N804" s="76"/>
      <c r="O804" s="76">
        <v>0</v>
      </c>
      <c r="P804" s="76"/>
      <c r="Q804" s="76"/>
      <c r="R804" s="76"/>
      <c r="S804" s="76"/>
      <c r="BD804" s="99">
        <f t="shared" si="24"/>
        <v>0</v>
      </c>
      <c r="CC804" s="99"/>
      <c r="CV804" s="99"/>
      <c r="CW804" s="63"/>
    </row>
    <row r="805" spans="1:101" ht="22.5" x14ac:dyDescent="0.15">
      <c r="A805" s="76"/>
      <c r="B805" s="74"/>
      <c r="C805" s="74"/>
      <c r="D805" s="83"/>
      <c r="E805" s="74" t="s">
        <v>8756</v>
      </c>
      <c r="F805" s="74"/>
      <c r="G805" s="76"/>
      <c r="H805" s="77" t="s">
        <v>18</v>
      </c>
      <c r="I805" s="76" t="s">
        <v>53</v>
      </c>
      <c r="J805" s="77" t="s">
        <v>8516</v>
      </c>
      <c r="K805" s="77" t="s">
        <v>8557</v>
      </c>
      <c r="L805" s="76"/>
      <c r="M805" s="76"/>
      <c r="N805" s="76"/>
      <c r="O805" s="76">
        <v>0</v>
      </c>
      <c r="P805" s="76"/>
      <c r="Q805" s="76"/>
      <c r="R805" s="76"/>
      <c r="S805" s="76"/>
      <c r="BD805" s="99">
        <f t="shared" si="24"/>
        <v>0</v>
      </c>
      <c r="CC805" s="99"/>
      <c r="CV805" s="99"/>
      <c r="CW805" s="63"/>
    </row>
    <row r="806" spans="1:101" ht="22.5" x14ac:dyDescent="0.15">
      <c r="A806" s="76"/>
      <c r="B806" s="74"/>
      <c r="C806" s="74"/>
      <c r="D806" s="83"/>
      <c r="E806" s="74" t="s">
        <v>8757</v>
      </c>
      <c r="F806" s="74"/>
      <c r="G806" s="76"/>
      <c r="H806" s="77" t="s">
        <v>18</v>
      </c>
      <c r="I806" s="76" t="s">
        <v>53</v>
      </c>
      <c r="J806" s="77" t="s">
        <v>8516</v>
      </c>
      <c r="K806" s="77" t="s">
        <v>8557</v>
      </c>
      <c r="L806" s="76"/>
      <c r="M806" s="76"/>
      <c r="N806" s="76"/>
      <c r="O806" s="76">
        <v>0</v>
      </c>
      <c r="P806" s="76"/>
      <c r="Q806" s="76"/>
      <c r="R806" s="76"/>
      <c r="S806" s="76"/>
      <c r="BD806" s="99">
        <f t="shared" si="24"/>
        <v>0</v>
      </c>
      <c r="CC806" s="99"/>
      <c r="CV806" s="99"/>
      <c r="CW806" s="63"/>
    </row>
    <row r="807" spans="1:101" ht="22.5" x14ac:dyDescent="0.15">
      <c r="A807" s="76"/>
      <c r="B807" s="74"/>
      <c r="C807" s="74"/>
      <c r="D807" s="83"/>
      <c r="E807" s="74" t="s">
        <v>8758</v>
      </c>
      <c r="F807" s="74"/>
      <c r="G807" s="76"/>
      <c r="H807" s="77" t="s">
        <v>18</v>
      </c>
      <c r="I807" s="76" t="s">
        <v>53</v>
      </c>
      <c r="J807" s="77" t="s">
        <v>8516</v>
      </c>
      <c r="K807" s="77" t="s">
        <v>8557</v>
      </c>
      <c r="L807" s="76"/>
      <c r="M807" s="76"/>
      <c r="N807" s="76"/>
      <c r="O807" s="76">
        <v>0</v>
      </c>
      <c r="P807" s="76"/>
      <c r="Q807" s="76"/>
      <c r="R807" s="76"/>
      <c r="S807" s="76"/>
      <c r="Y807" s="95" t="s">
        <v>9725</v>
      </c>
      <c r="AC807" s="95" t="s">
        <v>9739</v>
      </c>
      <c r="AI807" s="95" t="s">
        <v>9725</v>
      </c>
      <c r="AW807" s="95">
        <v>110</v>
      </c>
      <c r="BC807" s="96" t="s">
        <v>9726</v>
      </c>
      <c r="BD807" s="99">
        <f t="shared" si="24"/>
        <v>1</v>
      </c>
      <c r="BP807" s="69" t="s">
        <v>8541</v>
      </c>
      <c r="BR807" s="95" t="s">
        <v>8541</v>
      </c>
      <c r="CC807" s="99">
        <v>1</v>
      </c>
      <c r="CV807" s="99"/>
      <c r="CW807" s="63"/>
    </row>
    <row r="808" spans="1:101" ht="22.5" x14ac:dyDescent="0.15">
      <c r="A808" s="76">
        <v>729</v>
      </c>
      <c r="B808" s="74" t="s">
        <v>5986</v>
      </c>
      <c r="C808" s="74">
        <v>998634395</v>
      </c>
      <c r="D808" s="78" t="str">
        <f t="shared" si="23"/>
        <v>https://portal.dnb.de/opac.htm?method=simpleSearch&amp;cqlMode=true&amp;query=idn%3D998634395</v>
      </c>
      <c r="E808" s="74" t="s">
        <v>10021</v>
      </c>
      <c r="F808" s="74"/>
      <c r="G808" s="76"/>
      <c r="H808" s="77" t="s">
        <v>18</v>
      </c>
      <c r="I808" s="76" t="s">
        <v>53</v>
      </c>
      <c r="J808" s="77" t="s">
        <v>8516</v>
      </c>
      <c r="K808" s="77" t="s">
        <v>8557</v>
      </c>
      <c r="L808" s="76"/>
      <c r="M808" s="76"/>
      <c r="N808" s="76" t="s">
        <v>8660</v>
      </c>
      <c r="O808" s="76">
        <v>0</v>
      </c>
      <c r="P808" s="76"/>
      <c r="Q808" s="76"/>
      <c r="R808" s="76"/>
      <c r="S808" s="76"/>
      <c r="Y808" s="95" t="s">
        <v>9725</v>
      </c>
      <c r="AC808" s="95" t="s">
        <v>9739</v>
      </c>
      <c r="AI808" s="95" t="s">
        <v>9725</v>
      </c>
      <c r="AW808" s="95">
        <v>110</v>
      </c>
      <c r="BC808" s="96" t="s">
        <v>9726</v>
      </c>
      <c r="BD808" s="99">
        <f t="shared" si="24"/>
        <v>1</v>
      </c>
      <c r="BP808" s="69" t="s">
        <v>8541</v>
      </c>
      <c r="BR808" s="95" t="s">
        <v>8541</v>
      </c>
      <c r="CC808" s="99">
        <v>1</v>
      </c>
      <c r="CV808" s="99"/>
      <c r="CW808" s="63"/>
    </row>
    <row r="809" spans="1:101" ht="22.5" x14ac:dyDescent="0.15">
      <c r="A809" s="76">
        <v>730</v>
      </c>
      <c r="B809" s="74" t="s">
        <v>5987</v>
      </c>
      <c r="C809" s="74">
        <v>998634468</v>
      </c>
      <c r="D809" s="81" t="str">
        <f>HYPERLINK(CONCATENATE("https://portal.dnb.de/opac.htm?method=simpleSearch&amp;cqlMode=true&amp;query=idn%3D",C809))</f>
        <v>https://portal.dnb.de/opac.htm?method=simpleSearch&amp;cqlMode=true&amp;query=idn%3D998634468</v>
      </c>
      <c r="E809" s="74" t="s">
        <v>10022</v>
      </c>
      <c r="F809" s="74"/>
      <c r="G809" s="76"/>
      <c r="H809" s="77" t="s">
        <v>18</v>
      </c>
      <c r="I809" s="76"/>
      <c r="J809" s="77" t="s">
        <v>8516</v>
      </c>
      <c r="K809" s="77" t="s">
        <v>8557</v>
      </c>
      <c r="L809" s="76"/>
      <c r="M809" s="76"/>
      <c r="N809" s="76"/>
      <c r="O809" s="76"/>
      <c r="P809" s="76"/>
      <c r="Q809" s="76"/>
      <c r="R809" s="76"/>
      <c r="S809" s="76"/>
      <c r="BD809" s="99">
        <f t="shared" si="24"/>
        <v>0</v>
      </c>
      <c r="CC809" s="99"/>
      <c r="CV809" s="99"/>
      <c r="CW809" s="63"/>
    </row>
    <row r="810" spans="1:101" ht="22.5" x14ac:dyDescent="0.15">
      <c r="A810" s="76">
        <v>731</v>
      </c>
      <c r="B810" s="74" t="s">
        <v>5988</v>
      </c>
      <c r="C810" s="74">
        <v>998636738</v>
      </c>
      <c r="D810" s="81" t="e">
        <v>#REF!</v>
      </c>
      <c r="E810" s="74" t="s">
        <v>8759</v>
      </c>
      <c r="F810" s="74"/>
      <c r="G810" s="76"/>
      <c r="H810" s="77" t="s">
        <v>18</v>
      </c>
      <c r="I810" s="76" t="s">
        <v>53</v>
      </c>
      <c r="J810" s="77" t="s">
        <v>8516</v>
      </c>
      <c r="K810" s="77" t="s">
        <v>8557</v>
      </c>
      <c r="L810" s="76"/>
      <c r="M810" s="76"/>
      <c r="N810" s="76" t="s">
        <v>8660</v>
      </c>
      <c r="O810" s="76">
        <v>0</v>
      </c>
      <c r="P810" s="76"/>
      <c r="Q810" s="76"/>
      <c r="R810" s="76"/>
      <c r="S810" s="76"/>
      <c r="BD810" s="99">
        <f t="shared" si="24"/>
        <v>0</v>
      </c>
      <c r="CC810" s="99"/>
      <c r="CV810" s="99"/>
      <c r="CW810" s="63"/>
    </row>
    <row r="811" spans="1:101" ht="22.5" x14ac:dyDescent="0.15">
      <c r="A811" s="76">
        <v>732</v>
      </c>
      <c r="B811" s="74" t="s">
        <v>5989</v>
      </c>
      <c r="C811" s="74">
        <v>998636746</v>
      </c>
      <c r="D811" s="81" t="str">
        <f>HYPERLINK(CONCATENATE("https://portal.dnb.de/opac.htm?method=simpleSearch&amp;cqlMode=true&amp;query=idn%3D",C811))</f>
        <v>https://portal.dnb.de/opac.htm?method=simpleSearch&amp;cqlMode=true&amp;query=idn%3D998636746</v>
      </c>
      <c r="E811" s="74" t="s">
        <v>8760</v>
      </c>
      <c r="F811" s="74"/>
      <c r="G811" s="76"/>
      <c r="H811" s="77" t="s">
        <v>18</v>
      </c>
      <c r="I811" s="76" t="s">
        <v>53</v>
      </c>
      <c r="J811" s="77" t="s">
        <v>8516</v>
      </c>
      <c r="K811" s="77" t="s">
        <v>8557</v>
      </c>
      <c r="L811" s="76"/>
      <c r="M811" s="76"/>
      <c r="N811" s="76"/>
      <c r="O811" s="76">
        <v>0</v>
      </c>
      <c r="P811" s="76"/>
      <c r="Q811" s="76"/>
      <c r="R811" s="76"/>
      <c r="S811" s="76"/>
      <c r="BD811" s="99">
        <f t="shared" si="24"/>
        <v>0</v>
      </c>
      <c r="CC811" s="99"/>
      <c r="CV811" s="99"/>
      <c r="CW811" s="63"/>
    </row>
    <row r="812" spans="1:101" ht="22.5" x14ac:dyDescent="0.15">
      <c r="A812" s="76">
        <v>733</v>
      </c>
      <c r="B812" s="74" t="s">
        <v>5990</v>
      </c>
      <c r="C812" s="74">
        <v>994336888</v>
      </c>
      <c r="D812" s="78" t="str">
        <f t="shared" ref="D812:D874" si="25">HYPERLINK(CONCATENATE("https://portal.dnb.de/opac.htm?method=simpleSearch&amp;cqlMode=true&amp;query=idn%3D",C812))</f>
        <v>https://portal.dnb.de/opac.htm?method=simpleSearch&amp;cqlMode=true&amp;query=idn%3D994336888</v>
      </c>
      <c r="E812" s="74" t="s">
        <v>8763</v>
      </c>
      <c r="F812" s="74"/>
      <c r="G812" s="76"/>
      <c r="H812" s="77" t="s">
        <v>18</v>
      </c>
      <c r="I812" s="76" t="s">
        <v>53</v>
      </c>
      <c r="J812" s="77" t="s">
        <v>8516</v>
      </c>
      <c r="K812" s="77" t="s">
        <v>8557</v>
      </c>
      <c r="L812" s="76"/>
      <c r="M812" s="76"/>
      <c r="N812" s="76"/>
      <c r="O812" s="76">
        <v>0</v>
      </c>
      <c r="P812" s="76"/>
      <c r="Q812" s="76"/>
      <c r="R812" s="76"/>
      <c r="S812" s="76"/>
      <c r="BD812" s="99">
        <f t="shared" si="24"/>
        <v>0</v>
      </c>
      <c r="CC812" s="99"/>
      <c r="CV812" s="99"/>
      <c r="CW812" s="63"/>
    </row>
    <row r="813" spans="1:101" ht="22.5" x14ac:dyDescent="0.15">
      <c r="A813" s="76">
        <v>734</v>
      </c>
      <c r="B813" s="74" t="s">
        <v>5991</v>
      </c>
      <c r="C813" s="74">
        <v>994336721</v>
      </c>
      <c r="D813" s="78" t="str">
        <f t="shared" si="25"/>
        <v>https://portal.dnb.de/opac.htm?method=simpleSearch&amp;cqlMode=true&amp;query=idn%3D994336721</v>
      </c>
      <c r="E813" s="74" t="s">
        <v>8761</v>
      </c>
      <c r="F813" s="74"/>
      <c r="G813" s="76"/>
      <c r="H813" s="77" t="s">
        <v>18</v>
      </c>
      <c r="I813" s="76" t="s">
        <v>53</v>
      </c>
      <c r="J813" s="77" t="s">
        <v>8516</v>
      </c>
      <c r="K813" s="77" t="s">
        <v>8557</v>
      </c>
      <c r="L813" s="76"/>
      <c r="M813" s="76"/>
      <c r="N813" s="76" t="s">
        <v>8660</v>
      </c>
      <c r="O813" s="76">
        <v>0</v>
      </c>
      <c r="P813" s="76"/>
      <c r="Q813" s="76"/>
      <c r="R813" s="76"/>
      <c r="S813" s="76"/>
      <c r="BD813" s="99">
        <f t="shared" si="24"/>
        <v>0</v>
      </c>
      <c r="CC813" s="99"/>
      <c r="CV813" s="99"/>
      <c r="CW813" s="63"/>
    </row>
    <row r="814" spans="1:101" ht="22.5" x14ac:dyDescent="0.15">
      <c r="A814" s="76">
        <v>735</v>
      </c>
      <c r="B814" s="74" t="s">
        <v>5992</v>
      </c>
      <c r="C814" s="74">
        <v>994336799</v>
      </c>
      <c r="D814" s="78" t="str">
        <f t="shared" si="25"/>
        <v>https://portal.dnb.de/opac.htm?method=simpleSearch&amp;cqlMode=true&amp;query=idn%3D994336799</v>
      </c>
      <c r="E814" s="74" t="s">
        <v>8762</v>
      </c>
      <c r="F814" s="74"/>
      <c r="G814" s="76"/>
      <c r="H814" s="77" t="s">
        <v>18</v>
      </c>
      <c r="I814" s="76" t="s">
        <v>53</v>
      </c>
      <c r="J814" s="77" t="s">
        <v>8516</v>
      </c>
      <c r="K814" s="77" t="s">
        <v>8557</v>
      </c>
      <c r="L814" s="76"/>
      <c r="M814" s="76"/>
      <c r="N814" s="76"/>
      <c r="O814" s="76">
        <v>0</v>
      </c>
      <c r="P814" s="76"/>
      <c r="Q814" s="76"/>
      <c r="R814" s="76"/>
      <c r="S814" s="76"/>
      <c r="BD814" s="99">
        <f t="shared" si="24"/>
        <v>0</v>
      </c>
      <c r="CC814" s="99"/>
      <c r="CV814" s="99"/>
      <c r="CW814" s="63"/>
    </row>
    <row r="815" spans="1:101" ht="22.5" x14ac:dyDescent="0.15">
      <c r="A815" s="76">
        <v>736</v>
      </c>
      <c r="B815" s="74" t="s">
        <v>5993</v>
      </c>
      <c r="C815" s="74">
        <v>998652199</v>
      </c>
      <c r="D815" s="78" t="str">
        <f t="shared" si="25"/>
        <v>https://portal.dnb.de/opac.htm?method=simpleSearch&amp;cqlMode=true&amp;query=idn%3D998652199</v>
      </c>
      <c r="E815" s="74" t="s">
        <v>5994</v>
      </c>
      <c r="F815" s="74"/>
      <c r="G815" s="76"/>
      <c r="H815" s="77" t="s">
        <v>18</v>
      </c>
      <c r="I815" s="76" t="s">
        <v>53</v>
      </c>
      <c r="J815" s="77" t="s">
        <v>8516</v>
      </c>
      <c r="K815" s="77" t="s">
        <v>84</v>
      </c>
      <c r="L815" s="76"/>
      <c r="M815" s="76"/>
      <c r="N815" s="76" t="s">
        <v>8660</v>
      </c>
      <c r="O815" s="76">
        <v>0</v>
      </c>
      <c r="P815" s="76"/>
      <c r="Q815" s="76"/>
      <c r="R815" s="76"/>
      <c r="S815" s="76"/>
      <c r="BD815" s="99">
        <f t="shared" si="24"/>
        <v>0</v>
      </c>
      <c r="CC815" s="99"/>
      <c r="CV815" s="99"/>
      <c r="CW815" s="63"/>
    </row>
    <row r="816" spans="1:101" x14ac:dyDescent="0.15">
      <c r="A816" s="76">
        <v>737</v>
      </c>
      <c r="B816" s="74" t="s">
        <v>5995</v>
      </c>
      <c r="C816" s="74">
        <v>998653357</v>
      </c>
      <c r="D816" s="78" t="str">
        <f t="shared" si="25"/>
        <v>https://portal.dnb.de/opac.htm?method=simpleSearch&amp;cqlMode=true&amp;query=idn%3D998653357</v>
      </c>
      <c r="E816" s="74" t="s">
        <v>5996</v>
      </c>
      <c r="F816" s="74"/>
      <c r="G816" s="76" t="s">
        <v>8515</v>
      </c>
      <c r="H816" s="77" t="s">
        <v>4</v>
      </c>
      <c r="I816" s="76" t="s">
        <v>53</v>
      </c>
      <c r="J816" s="77" t="s">
        <v>8516</v>
      </c>
      <c r="K816" s="77" t="s">
        <v>8577</v>
      </c>
      <c r="L816" s="76"/>
      <c r="M816" s="76" t="s">
        <v>36</v>
      </c>
      <c r="N816" s="76" t="s">
        <v>39</v>
      </c>
      <c r="O816" s="76"/>
      <c r="P816" s="76"/>
      <c r="Q816" s="76"/>
      <c r="R816" s="76"/>
      <c r="S816" s="76"/>
      <c r="BD816" s="99">
        <f t="shared" si="24"/>
        <v>0</v>
      </c>
      <c r="CC816" s="99"/>
      <c r="CV816" s="99"/>
      <c r="CW816" s="63"/>
    </row>
    <row r="817" spans="1:101" ht="22.5" x14ac:dyDescent="0.15">
      <c r="A817" s="76">
        <v>738</v>
      </c>
      <c r="B817" s="74" t="s">
        <v>5997</v>
      </c>
      <c r="C817" s="74">
        <v>998636975</v>
      </c>
      <c r="D817" s="78" t="str">
        <f t="shared" si="25"/>
        <v>https://portal.dnb.de/opac.htm?method=simpleSearch&amp;cqlMode=true&amp;query=idn%3D998636975</v>
      </c>
      <c r="E817" s="74" t="s">
        <v>5998</v>
      </c>
      <c r="F817" s="74"/>
      <c r="G817" s="76"/>
      <c r="H817" s="77" t="s">
        <v>18</v>
      </c>
      <c r="I817" s="76" t="s">
        <v>53</v>
      </c>
      <c r="J817" s="77" t="s">
        <v>8516</v>
      </c>
      <c r="K817" s="77"/>
      <c r="L817" s="76"/>
      <c r="M817" s="76" t="s">
        <v>36</v>
      </c>
      <c r="N817" s="76" t="s">
        <v>39</v>
      </c>
      <c r="O817" s="76">
        <v>0</v>
      </c>
      <c r="P817" s="76"/>
      <c r="Q817" s="76"/>
      <c r="R817" s="76"/>
      <c r="S817" s="76"/>
      <c r="BD817" s="99">
        <f t="shared" si="24"/>
        <v>0</v>
      </c>
      <c r="CC817" s="99"/>
      <c r="CV817" s="99"/>
      <c r="CW817" s="63"/>
    </row>
    <row r="818" spans="1:101" ht="22.5" x14ac:dyDescent="0.15">
      <c r="A818" s="76">
        <v>739</v>
      </c>
      <c r="B818" s="74" t="s">
        <v>5999</v>
      </c>
      <c r="C818" s="74">
        <v>998633941</v>
      </c>
      <c r="D818" s="78" t="str">
        <f t="shared" si="25"/>
        <v>https://portal.dnb.de/opac.htm?method=simpleSearch&amp;cqlMode=true&amp;query=idn%3D998633941</v>
      </c>
      <c r="E818" s="74" t="s">
        <v>8768</v>
      </c>
      <c r="F818" s="74"/>
      <c r="G818" s="76"/>
      <c r="H818" s="77" t="s">
        <v>5</v>
      </c>
      <c r="I818" s="76" t="s">
        <v>53</v>
      </c>
      <c r="J818" s="77" t="s">
        <v>58</v>
      </c>
      <c r="K818" s="77" t="s">
        <v>8770</v>
      </c>
      <c r="L818" s="76"/>
      <c r="M818" s="76" t="s">
        <v>38</v>
      </c>
      <c r="N818" s="76" t="s">
        <v>40</v>
      </c>
      <c r="O818" s="76">
        <v>0</v>
      </c>
      <c r="P818" s="76"/>
      <c r="Q818" s="76"/>
      <c r="R818" s="76"/>
      <c r="S818" s="76"/>
      <c r="BD818" s="99">
        <f t="shared" si="24"/>
        <v>0</v>
      </c>
      <c r="CC818" s="99"/>
      <c r="CV818" s="99"/>
      <c r="CW818" s="63"/>
    </row>
    <row r="819" spans="1:101" x14ac:dyDescent="0.15">
      <c r="A819" s="76">
        <v>740</v>
      </c>
      <c r="B819" s="74" t="s">
        <v>6000</v>
      </c>
      <c r="C819" s="74">
        <v>998633836</v>
      </c>
      <c r="D819" s="78" t="str">
        <f t="shared" si="25"/>
        <v>https://portal.dnb.de/opac.htm?method=simpleSearch&amp;cqlMode=true&amp;query=idn%3D998633836</v>
      </c>
      <c r="E819" s="74" t="s">
        <v>8769</v>
      </c>
      <c r="F819" s="74"/>
      <c r="G819" s="76" t="s">
        <v>8515</v>
      </c>
      <c r="H819" s="77" t="s">
        <v>4</v>
      </c>
      <c r="I819" s="76" t="s">
        <v>53</v>
      </c>
      <c r="J819" s="77" t="s">
        <v>8516</v>
      </c>
      <c r="K819" s="77" t="s">
        <v>8557</v>
      </c>
      <c r="L819" s="76"/>
      <c r="M819" s="76" t="s">
        <v>38</v>
      </c>
      <c r="N819" s="76" t="s">
        <v>40</v>
      </c>
      <c r="O819" s="76">
        <v>0</v>
      </c>
      <c r="P819" s="76"/>
      <c r="Q819" s="76"/>
      <c r="R819" s="76"/>
      <c r="S819" s="76"/>
      <c r="BD819" s="99">
        <f t="shared" si="24"/>
        <v>0</v>
      </c>
      <c r="CC819" s="99"/>
      <c r="CV819" s="99"/>
      <c r="CW819" s="63"/>
    </row>
    <row r="820" spans="1:101" ht="22.5" x14ac:dyDescent="0.15">
      <c r="A820" s="76">
        <v>741</v>
      </c>
      <c r="B820" s="74" t="s">
        <v>6001</v>
      </c>
      <c r="C820" s="74">
        <v>998652458</v>
      </c>
      <c r="D820" s="78" t="str">
        <f t="shared" si="25"/>
        <v>https://portal.dnb.de/opac.htm?method=simpleSearch&amp;cqlMode=true&amp;query=idn%3D998652458</v>
      </c>
      <c r="E820" s="74" t="s">
        <v>6002</v>
      </c>
      <c r="F820" s="74"/>
      <c r="G820" s="76" t="s">
        <v>8515</v>
      </c>
      <c r="H820" s="77" t="s">
        <v>18</v>
      </c>
      <c r="I820" s="76" t="s">
        <v>53</v>
      </c>
      <c r="J820" s="77" t="s">
        <v>8516</v>
      </c>
      <c r="K820" s="77" t="s">
        <v>84</v>
      </c>
      <c r="L820" s="76"/>
      <c r="M820" s="76"/>
      <c r="N820" s="76" t="s">
        <v>8660</v>
      </c>
      <c r="O820" s="76">
        <v>0</v>
      </c>
      <c r="P820" s="76"/>
      <c r="Q820" s="76"/>
      <c r="R820" s="76"/>
      <c r="S820" s="76"/>
      <c r="BD820" s="99">
        <f t="shared" si="24"/>
        <v>0</v>
      </c>
      <c r="CC820" s="99"/>
      <c r="CV820" s="99"/>
      <c r="CW820" s="63"/>
    </row>
    <row r="821" spans="1:101" x14ac:dyDescent="0.15">
      <c r="A821" s="76">
        <v>742</v>
      </c>
      <c r="B821" s="74" t="s">
        <v>6003</v>
      </c>
      <c r="C821" s="74">
        <v>999172999</v>
      </c>
      <c r="D821" s="78" t="str">
        <f t="shared" si="25"/>
        <v>https://portal.dnb.de/opac.htm?method=simpleSearch&amp;cqlMode=true&amp;query=idn%3D999172999</v>
      </c>
      <c r="E821" s="74" t="s">
        <v>6004</v>
      </c>
      <c r="F821" s="74"/>
      <c r="G821" s="76" t="s">
        <v>8515</v>
      </c>
      <c r="H821" s="77" t="s">
        <v>17</v>
      </c>
      <c r="I821" s="76" t="s">
        <v>53</v>
      </c>
      <c r="J821" s="77" t="s">
        <v>8516</v>
      </c>
      <c r="K821" s="77" t="s">
        <v>84</v>
      </c>
      <c r="L821" s="76"/>
      <c r="M821" s="76" t="s">
        <v>36</v>
      </c>
      <c r="N821" s="76" t="s">
        <v>39</v>
      </c>
      <c r="O821" s="76">
        <v>0</v>
      </c>
      <c r="P821" s="76"/>
      <c r="Q821" s="76"/>
      <c r="R821" s="76"/>
      <c r="S821" s="76"/>
      <c r="BD821" s="99">
        <f t="shared" si="24"/>
        <v>0</v>
      </c>
      <c r="CC821" s="99"/>
      <c r="CV821" s="99"/>
      <c r="CW821" s="63"/>
    </row>
    <row r="822" spans="1:101" x14ac:dyDescent="0.15">
      <c r="A822" s="76">
        <v>743</v>
      </c>
      <c r="B822" s="74" t="s">
        <v>6005</v>
      </c>
      <c r="C822" s="74">
        <v>999173030</v>
      </c>
      <c r="D822" s="78" t="str">
        <f t="shared" si="25"/>
        <v>https://portal.dnb.de/opac.htm?method=simpleSearch&amp;cqlMode=true&amp;query=idn%3D999173030</v>
      </c>
      <c r="E822" s="74" t="s">
        <v>6004</v>
      </c>
      <c r="F822" s="74"/>
      <c r="G822" s="76"/>
      <c r="H822" s="77"/>
      <c r="I822" s="76"/>
      <c r="J822" s="77"/>
      <c r="K822" s="77"/>
      <c r="L822" s="76"/>
      <c r="M822" s="76"/>
      <c r="N822" s="76"/>
      <c r="O822" s="76"/>
      <c r="P822" s="76"/>
      <c r="Q822" s="76"/>
      <c r="R822" s="76"/>
      <c r="S822" s="76"/>
      <c r="BD822" s="99">
        <f t="shared" si="24"/>
        <v>0</v>
      </c>
      <c r="CC822" s="99"/>
      <c r="CV822" s="99"/>
      <c r="CW822" s="63"/>
    </row>
    <row r="823" spans="1:101" ht="22.5" x14ac:dyDescent="0.15">
      <c r="A823" s="76">
        <v>744</v>
      </c>
      <c r="B823" s="74" t="s">
        <v>6006</v>
      </c>
      <c r="C823" s="74">
        <v>998651559</v>
      </c>
      <c r="D823" s="78" t="str">
        <f t="shared" si="25"/>
        <v>https://portal.dnb.de/opac.htm?method=simpleSearch&amp;cqlMode=true&amp;query=idn%3D998651559</v>
      </c>
      <c r="E823" s="74" t="s">
        <v>6007</v>
      </c>
      <c r="F823" s="74"/>
      <c r="G823" s="76" t="s">
        <v>8515</v>
      </c>
      <c r="H823" s="77" t="s">
        <v>5</v>
      </c>
      <c r="I823" s="76" t="s">
        <v>53</v>
      </c>
      <c r="J823" s="77" t="s">
        <v>8516</v>
      </c>
      <c r="K823" s="77" t="s">
        <v>8552</v>
      </c>
      <c r="L823" s="76"/>
      <c r="M823" s="76"/>
      <c r="N823" s="76" t="s">
        <v>8660</v>
      </c>
      <c r="O823" s="76">
        <v>0</v>
      </c>
      <c r="P823" s="76"/>
      <c r="Q823" s="76"/>
      <c r="R823" s="76"/>
      <c r="S823" s="76"/>
      <c r="BD823" s="99">
        <f t="shared" si="24"/>
        <v>0</v>
      </c>
      <c r="CC823" s="99"/>
      <c r="CV823" s="99"/>
      <c r="CW823" s="63"/>
    </row>
    <row r="824" spans="1:101" ht="22.5" x14ac:dyDescent="0.15">
      <c r="A824" s="76">
        <v>745</v>
      </c>
      <c r="B824" s="74" t="s">
        <v>6008</v>
      </c>
      <c r="C824" s="74">
        <v>999651021</v>
      </c>
      <c r="D824" s="78" t="str">
        <f t="shared" si="25"/>
        <v>https://portal.dnb.de/opac.htm?method=simpleSearch&amp;cqlMode=true&amp;query=idn%3D999651021</v>
      </c>
      <c r="E824" s="74" t="s">
        <v>6009</v>
      </c>
      <c r="F824" s="74"/>
      <c r="G824" s="76" t="s">
        <v>8515</v>
      </c>
      <c r="H824" s="77" t="s">
        <v>18</v>
      </c>
      <c r="I824" s="76" t="s">
        <v>53</v>
      </c>
      <c r="J824" s="77" t="s">
        <v>8516</v>
      </c>
      <c r="K824" s="77" t="s">
        <v>84</v>
      </c>
      <c r="L824" s="76"/>
      <c r="M824" s="76" t="s">
        <v>36</v>
      </c>
      <c r="N824" s="76" t="s">
        <v>39</v>
      </c>
      <c r="O824" s="76">
        <v>0</v>
      </c>
      <c r="P824" s="76"/>
      <c r="Q824" s="76"/>
      <c r="R824" s="76"/>
      <c r="S824" s="76"/>
      <c r="BD824" s="99">
        <f t="shared" si="24"/>
        <v>0</v>
      </c>
      <c r="CC824" s="99"/>
      <c r="CV824" s="99"/>
      <c r="CW824" s="63"/>
    </row>
    <row r="825" spans="1:101" ht="22.5" x14ac:dyDescent="0.15">
      <c r="A825" s="76">
        <v>746</v>
      </c>
      <c r="B825" s="74" t="s">
        <v>6033</v>
      </c>
      <c r="C825" s="74">
        <v>999457810</v>
      </c>
      <c r="D825" s="78" t="str">
        <f t="shared" si="25"/>
        <v>https://portal.dnb.de/opac.htm?method=simpleSearch&amp;cqlMode=true&amp;query=idn%3D999457810</v>
      </c>
      <c r="E825" s="74" t="s">
        <v>6034</v>
      </c>
      <c r="F825" s="74"/>
      <c r="G825" s="76"/>
      <c r="H825" s="77" t="s">
        <v>18</v>
      </c>
      <c r="I825" s="76" t="s">
        <v>53</v>
      </c>
      <c r="J825" s="77" t="s">
        <v>58</v>
      </c>
      <c r="K825" s="77" t="s">
        <v>84</v>
      </c>
      <c r="L825" s="76"/>
      <c r="M825" s="76"/>
      <c r="N825" s="76"/>
      <c r="O825" s="76"/>
      <c r="P825" s="76"/>
      <c r="Q825" s="76"/>
      <c r="R825" s="76"/>
      <c r="S825" s="76"/>
      <c r="BD825" s="99">
        <f t="shared" si="24"/>
        <v>0</v>
      </c>
      <c r="CC825" s="99"/>
      <c r="CV825" s="99"/>
      <c r="CW825" s="63"/>
    </row>
    <row r="826" spans="1:101" ht="22.5" x14ac:dyDescent="0.15">
      <c r="A826" s="76">
        <v>747</v>
      </c>
      <c r="B826" s="74" t="s">
        <v>6035</v>
      </c>
      <c r="C826" s="74">
        <v>995938962</v>
      </c>
      <c r="D826" s="78" t="str">
        <f t="shared" si="25"/>
        <v>https://portal.dnb.de/opac.htm?method=simpleSearch&amp;cqlMode=true&amp;query=idn%3D995938962</v>
      </c>
      <c r="E826" s="74" t="s">
        <v>6036</v>
      </c>
      <c r="F826" s="74"/>
      <c r="G826" s="76"/>
      <c r="H826" s="77" t="s">
        <v>18</v>
      </c>
      <c r="I826" s="76" t="s">
        <v>53</v>
      </c>
      <c r="J826" s="77" t="s">
        <v>58</v>
      </c>
      <c r="K826" s="77" t="s">
        <v>84</v>
      </c>
      <c r="L826" s="76"/>
      <c r="M826" s="76"/>
      <c r="N826" s="76"/>
      <c r="O826" s="76">
        <v>3</v>
      </c>
      <c r="P826" s="76"/>
      <c r="Q826" s="76"/>
      <c r="R826" s="76"/>
      <c r="S826" s="76"/>
      <c r="BD826" s="99">
        <f t="shared" si="24"/>
        <v>0</v>
      </c>
      <c r="CC826" s="99"/>
      <c r="CV826" s="99"/>
      <c r="CW826" s="63"/>
    </row>
    <row r="827" spans="1:101" ht="22.5" x14ac:dyDescent="0.15">
      <c r="A827" s="76">
        <v>748</v>
      </c>
      <c r="B827" s="74" t="s">
        <v>6037</v>
      </c>
      <c r="C827" s="74">
        <v>995937834</v>
      </c>
      <c r="D827" s="78" t="str">
        <f t="shared" si="25"/>
        <v>https://portal.dnb.de/opac.htm?method=simpleSearch&amp;cqlMode=true&amp;query=idn%3D995937834</v>
      </c>
      <c r="E827" s="74" t="s">
        <v>6038</v>
      </c>
      <c r="F827" s="74"/>
      <c r="G827" s="76" t="s">
        <v>8515</v>
      </c>
      <c r="H827" s="77" t="s">
        <v>17</v>
      </c>
      <c r="I827" s="76" t="s">
        <v>53</v>
      </c>
      <c r="J827" s="77" t="s">
        <v>58</v>
      </c>
      <c r="K827" s="77" t="s">
        <v>8565</v>
      </c>
      <c r="L827" s="76"/>
      <c r="M827" s="76"/>
      <c r="N827" s="76"/>
      <c r="O827" s="76">
        <v>0</v>
      </c>
      <c r="P827" s="76"/>
      <c r="Q827" s="76"/>
      <c r="R827" s="76"/>
      <c r="S827" s="76"/>
      <c r="BD827" s="99">
        <f t="shared" si="24"/>
        <v>0</v>
      </c>
      <c r="CC827" s="99"/>
      <c r="CV827" s="99"/>
      <c r="CW827" s="63"/>
    </row>
    <row r="828" spans="1:101" x14ac:dyDescent="0.15">
      <c r="A828" s="76">
        <v>749</v>
      </c>
      <c r="B828" s="74" t="s">
        <v>6039</v>
      </c>
      <c r="C828" s="74">
        <v>995333580</v>
      </c>
      <c r="D828" s="78" t="str">
        <f t="shared" si="25"/>
        <v>https://portal.dnb.de/opac.htm?method=simpleSearch&amp;cqlMode=true&amp;query=idn%3D995333580</v>
      </c>
      <c r="E828" s="74" t="s">
        <v>8772</v>
      </c>
      <c r="F828" s="74"/>
      <c r="G828" s="76" t="s">
        <v>8515</v>
      </c>
      <c r="H828" s="77" t="s">
        <v>4</v>
      </c>
      <c r="I828" s="76" t="s">
        <v>53</v>
      </c>
      <c r="J828" s="77" t="s">
        <v>8516</v>
      </c>
      <c r="K828" s="77" t="s">
        <v>84</v>
      </c>
      <c r="L828" s="76"/>
      <c r="M828" s="76"/>
      <c r="N828" s="76"/>
      <c r="O828" s="76">
        <v>0</v>
      </c>
      <c r="P828" s="76"/>
      <c r="Q828" s="76"/>
      <c r="R828" s="76"/>
      <c r="S828" s="76"/>
      <c r="BD828" s="99">
        <f t="shared" si="24"/>
        <v>0</v>
      </c>
      <c r="CC828" s="99"/>
      <c r="CV828" s="99"/>
      <c r="CW828" s="63"/>
    </row>
    <row r="829" spans="1:101" x14ac:dyDescent="0.15">
      <c r="A829" s="76">
        <v>750</v>
      </c>
      <c r="B829" s="74" t="s">
        <v>6040</v>
      </c>
      <c r="C829" s="74">
        <v>995333645</v>
      </c>
      <c r="D829" s="78" t="str">
        <f t="shared" si="25"/>
        <v>https://portal.dnb.de/opac.htm?method=simpleSearch&amp;cqlMode=true&amp;query=idn%3D995333645</v>
      </c>
      <c r="E829" s="74" t="s">
        <v>8773</v>
      </c>
      <c r="F829" s="74"/>
      <c r="G829" s="76"/>
      <c r="H829" s="77"/>
      <c r="I829" s="76"/>
      <c r="J829" s="77"/>
      <c r="K829" s="77"/>
      <c r="L829" s="76"/>
      <c r="M829" s="76"/>
      <c r="N829" s="76"/>
      <c r="O829" s="76"/>
      <c r="P829" s="76"/>
      <c r="Q829" s="76"/>
      <c r="R829" s="76"/>
      <c r="S829" s="76"/>
      <c r="BD829" s="99">
        <f t="shared" si="24"/>
        <v>0</v>
      </c>
      <c r="CC829" s="99"/>
      <c r="CV829" s="99"/>
      <c r="CW829" s="63"/>
    </row>
    <row r="830" spans="1:101" ht="22.5" x14ac:dyDescent="0.15">
      <c r="A830" s="76">
        <v>751</v>
      </c>
      <c r="B830" s="74" t="s">
        <v>6041</v>
      </c>
      <c r="C830" s="74">
        <v>998650536</v>
      </c>
      <c r="D830" s="78" t="str">
        <f t="shared" si="25"/>
        <v>https://portal.dnb.de/opac.htm?method=simpleSearch&amp;cqlMode=true&amp;query=idn%3D998650536</v>
      </c>
      <c r="E830" s="74" t="s">
        <v>6042</v>
      </c>
      <c r="F830" s="74"/>
      <c r="G830" s="76"/>
      <c r="H830" s="77" t="s">
        <v>18</v>
      </c>
      <c r="I830" s="76" t="s">
        <v>53</v>
      </c>
      <c r="J830" s="77" t="s">
        <v>58</v>
      </c>
      <c r="K830" s="77"/>
      <c r="L830" s="76"/>
      <c r="M830" s="76" t="s">
        <v>36</v>
      </c>
      <c r="N830" s="76" t="s">
        <v>39</v>
      </c>
      <c r="O830" s="76">
        <v>0</v>
      </c>
      <c r="P830" s="76"/>
      <c r="Q830" s="76"/>
      <c r="R830" s="76"/>
      <c r="S830" s="76"/>
      <c r="BD830" s="99">
        <f t="shared" si="24"/>
        <v>0</v>
      </c>
      <c r="CC830" s="99"/>
      <c r="CV830" s="99"/>
      <c r="CW830" s="63"/>
    </row>
    <row r="831" spans="1:101" x14ac:dyDescent="0.15">
      <c r="A831" s="76">
        <v>752</v>
      </c>
      <c r="B831" s="74" t="s">
        <v>6043</v>
      </c>
      <c r="C831" s="74">
        <v>999817027</v>
      </c>
      <c r="D831" s="78" t="str">
        <f t="shared" si="25"/>
        <v>https://portal.dnb.de/opac.htm?method=simpleSearch&amp;cqlMode=true&amp;query=idn%3D999817027</v>
      </c>
      <c r="E831" s="74" t="s">
        <v>6044</v>
      </c>
      <c r="F831" s="74"/>
      <c r="G831" s="76"/>
      <c r="H831" s="77" t="s">
        <v>48</v>
      </c>
      <c r="I831" s="76" t="s">
        <v>53</v>
      </c>
      <c r="J831" s="77" t="s">
        <v>8516</v>
      </c>
      <c r="K831" s="77" t="s">
        <v>84</v>
      </c>
      <c r="L831" s="76"/>
      <c r="M831" s="76" t="s">
        <v>38</v>
      </c>
      <c r="N831" s="76" t="s">
        <v>40</v>
      </c>
      <c r="O831" s="76">
        <v>0</v>
      </c>
      <c r="P831" s="76"/>
      <c r="Q831" s="76"/>
      <c r="R831" s="76"/>
      <c r="S831" s="76"/>
      <c r="BD831" s="99">
        <f t="shared" si="24"/>
        <v>0</v>
      </c>
      <c r="CC831" s="99"/>
      <c r="CV831" s="99"/>
      <c r="CW831" s="63"/>
    </row>
    <row r="832" spans="1:101" x14ac:dyDescent="0.15">
      <c r="A832" s="76">
        <v>753</v>
      </c>
      <c r="B832" s="74" t="s">
        <v>6050</v>
      </c>
      <c r="C832" s="74">
        <v>999906461</v>
      </c>
      <c r="D832" s="81" t="e">
        <v>#VALUE!</v>
      </c>
      <c r="E832" s="74" t="s">
        <v>8779</v>
      </c>
      <c r="F832" s="74"/>
      <c r="G832" s="76"/>
      <c r="H832" s="77" t="s">
        <v>4</v>
      </c>
      <c r="I832" s="76" t="s">
        <v>53</v>
      </c>
      <c r="J832" s="77" t="s">
        <v>8516</v>
      </c>
      <c r="K832" s="77" t="s">
        <v>84</v>
      </c>
      <c r="L832" s="76"/>
      <c r="M832" s="76" t="s">
        <v>36</v>
      </c>
      <c r="N832" s="76" t="s">
        <v>39</v>
      </c>
      <c r="O832" s="76">
        <v>0</v>
      </c>
      <c r="P832" s="76"/>
      <c r="Q832" s="76"/>
      <c r="R832" s="76"/>
      <c r="S832" s="76"/>
      <c r="BD832" s="99">
        <f t="shared" si="24"/>
        <v>0</v>
      </c>
      <c r="CC832" s="99"/>
      <c r="CV832" s="99"/>
      <c r="CW832" s="63"/>
    </row>
    <row r="833" spans="1:101" x14ac:dyDescent="0.15">
      <c r="A833" s="76">
        <v>754</v>
      </c>
      <c r="B833" s="74" t="s">
        <v>6051</v>
      </c>
      <c r="C833" s="74">
        <v>999906453</v>
      </c>
      <c r="D833" s="78" t="str">
        <f t="shared" si="25"/>
        <v>https://portal.dnb.de/opac.htm?method=simpleSearch&amp;cqlMode=true&amp;query=idn%3D999906453</v>
      </c>
      <c r="E833" s="74" t="s">
        <v>8775</v>
      </c>
      <c r="F833" s="74"/>
      <c r="G833" s="76"/>
      <c r="H833" s="77" t="s">
        <v>4</v>
      </c>
      <c r="I833" s="76" t="s">
        <v>53</v>
      </c>
      <c r="J833" s="77" t="s">
        <v>8516</v>
      </c>
      <c r="K833" s="77" t="s">
        <v>84</v>
      </c>
      <c r="L833" s="76"/>
      <c r="M833" s="76" t="s">
        <v>36</v>
      </c>
      <c r="N833" s="76" t="s">
        <v>39</v>
      </c>
      <c r="O833" s="76">
        <v>0</v>
      </c>
      <c r="P833" s="76"/>
      <c r="Q833" s="76"/>
      <c r="R833" s="76"/>
      <c r="S833" s="76"/>
      <c r="BD833" s="99">
        <f t="shared" si="24"/>
        <v>0</v>
      </c>
      <c r="CC833" s="99"/>
      <c r="CV833" s="99"/>
      <c r="CW833" s="63"/>
    </row>
    <row r="834" spans="1:101" ht="33.75" x14ac:dyDescent="0.15">
      <c r="A834" s="76">
        <v>755</v>
      </c>
      <c r="B834" s="74" t="s">
        <v>6104</v>
      </c>
      <c r="C834" s="74">
        <v>999027166</v>
      </c>
      <c r="D834" s="82" t="str">
        <f>HYPERLINK(CONCATENATE("https://portal.dnb.de/opac.htm?method=simpleSearch&amp;cqlMode=true&amp;query=idn%3D",C834))</f>
        <v>https://portal.dnb.de/opac.htm?method=simpleSearch&amp;cqlMode=true&amp;query=idn%3D999027166</v>
      </c>
      <c r="E834" s="74" t="s">
        <v>6105</v>
      </c>
      <c r="F834" s="79" t="s">
        <v>10517</v>
      </c>
      <c r="G834" s="76"/>
      <c r="H834" s="77"/>
      <c r="I834" s="76"/>
      <c r="J834" s="77"/>
      <c r="K834" s="77"/>
      <c r="L834" s="76"/>
      <c r="M834" s="76"/>
      <c r="N834" s="76"/>
      <c r="O834" s="76"/>
      <c r="P834" s="76"/>
      <c r="Q834" s="76"/>
      <c r="R834" s="76"/>
      <c r="S834" s="76"/>
      <c r="BD834" s="99">
        <f t="shared" si="24"/>
        <v>0</v>
      </c>
      <c r="CC834" s="99"/>
      <c r="CV834" s="99"/>
      <c r="CW834" s="63"/>
    </row>
    <row r="835" spans="1:101" ht="22.5" x14ac:dyDescent="0.15">
      <c r="A835" s="76">
        <v>756</v>
      </c>
      <c r="B835" s="74" t="s">
        <v>6106</v>
      </c>
      <c r="C835" s="74">
        <v>1132629608</v>
      </c>
      <c r="D835" s="78" t="str">
        <f t="shared" si="25"/>
        <v>https://portal.dnb.de/opac.htm?method=simpleSearch&amp;cqlMode=true&amp;query=idn%3D1132629608</v>
      </c>
      <c r="E835" s="74" t="s">
        <v>8849</v>
      </c>
      <c r="F835" s="74"/>
      <c r="G835" s="76"/>
      <c r="H835" s="77" t="s">
        <v>18</v>
      </c>
      <c r="I835" s="76" t="s">
        <v>53</v>
      </c>
      <c r="J835" s="77" t="s">
        <v>58</v>
      </c>
      <c r="K835" s="77" t="s">
        <v>84</v>
      </c>
      <c r="L835" s="76"/>
      <c r="M835" s="76"/>
      <c r="N835" s="76" t="s">
        <v>8660</v>
      </c>
      <c r="O835" s="76">
        <v>1</v>
      </c>
      <c r="P835" s="76"/>
      <c r="Q835" s="76"/>
      <c r="R835" s="76"/>
      <c r="S835" s="76"/>
      <c r="Y835" s="95" t="s">
        <v>9725</v>
      </c>
      <c r="AC835" s="95" t="s">
        <v>9739</v>
      </c>
      <c r="AI835" s="95" t="s">
        <v>9725</v>
      </c>
      <c r="AW835" s="95">
        <v>45</v>
      </c>
      <c r="BC835" s="96" t="s">
        <v>9726</v>
      </c>
      <c r="BD835" s="99">
        <f t="shared" ref="BD835:BD898" si="26">CC835+CV835</f>
        <v>2</v>
      </c>
      <c r="BP835" s="69" t="s">
        <v>8541</v>
      </c>
      <c r="BR835" s="95" t="s">
        <v>8541</v>
      </c>
      <c r="CC835" s="99">
        <v>2</v>
      </c>
      <c r="CD835" s="90" t="s">
        <v>10045</v>
      </c>
      <c r="CV835" s="99"/>
      <c r="CW835" s="63"/>
    </row>
    <row r="836" spans="1:101" ht="22.5" x14ac:dyDescent="0.15">
      <c r="A836" s="76">
        <v>757</v>
      </c>
      <c r="B836" s="74" t="s">
        <v>6107</v>
      </c>
      <c r="C836" s="74">
        <v>1132629616</v>
      </c>
      <c r="D836" s="78" t="str">
        <f t="shared" si="25"/>
        <v>https://portal.dnb.de/opac.htm?method=simpleSearch&amp;cqlMode=true&amp;query=idn%3D1132629616</v>
      </c>
      <c r="E836" s="74" t="s">
        <v>8850</v>
      </c>
      <c r="F836" s="74"/>
      <c r="G836" s="76"/>
      <c r="H836" s="77" t="s">
        <v>18</v>
      </c>
      <c r="I836" s="76" t="s">
        <v>53</v>
      </c>
      <c r="J836" s="77" t="s">
        <v>58</v>
      </c>
      <c r="K836" s="77" t="s">
        <v>84</v>
      </c>
      <c r="L836" s="76"/>
      <c r="M836" s="76"/>
      <c r="N836" s="76" t="s">
        <v>8660</v>
      </c>
      <c r="O836" s="76">
        <v>0</v>
      </c>
      <c r="P836" s="76"/>
      <c r="Q836" s="76"/>
      <c r="R836" s="76"/>
      <c r="S836" s="76"/>
      <c r="Y836" s="95" t="s">
        <v>9725</v>
      </c>
      <c r="AC836" s="95" t="s">
        <v>9739</v>
      </c>
      <c r="AI836" s="95" t="s">
        <v>9725</v>
      </c>
      <c r="AW836" s="95">
        <v>45</v>
      </c>
      <c r="BC836" s="96" t="s">
        <v>9734</v>
      </c>
      <c r="BD836" s="99">
        <f t="shared" si="26"/>
        <v>0</v>
      </c>
      <c r="CC836" s="99"/>
      <c r="CV836" s="99"/>
      <c r="CW836" s="63"/>
    </row>
    <row r="837" spans="1:101" x14ac:dyDescent="0.15">
      <c r="A837" s="76">
        <v>758</v>
      </c>
      <c r="B837" s="74" t="s">
        <v>6108</v>
      </c>
      <c r="C837" s="74">
        <v>1132629624</v>
      </c>
      <c r="D837" s="78" t="str">
        <f t="shared" si="25"/>
        <v>https://portal.dnb.de/opac.htm?method=simpleSearch&amp;cqlMode=true&amp;query=idn%3D1132629624</v>
      </c>
      <c r="E837" s="74" t="s">
        <v>8851</v>
      </c>
      <c r="F837" s="74"/>
      <c r="G837" s="76"/>
      <c r="H837" s="77"/>
      <c r="I837" s="76" t="s">
        <v>53</v>
      </c>
      <c r="J837" s="77"/>
      <c r="K837" s="77"/>
      <c r="L837" s="76"/>
      <c r="M837" s="76"/>
      <c r="N837" s="76"/>
      <c r="O837" s="76"/>
      <c r="P837" s="76"/>
      <c r="Q837" s="76"/>
      <c r="R837" s="76"/>
      <c r="S837" s="76"/>
      <c r="Y837" s="95" t="s">
        <v>9725</v>
      </c>
      <c r="AC837" s="95" t="s">
        <v>9739</v>
      </c>
      <c r="AI837" s="95" t="s">
        <v>9725</v>
      </c>
      <c r="AW837" s="95">
        <v>110</v>
      </c>
      <c r="BC837" s="96" t="s">
        <v>9734</v>
      </c>
      <c r="BD837" s="99">
        <f t="shared" si="26"/>
        <v>0</v>
      </c>
      <c r="CC837" s="99"/>
      <c r="CV837" s="99"/>
      <c r="CW837" s="63"/>
    </row>
    <row r="838" spans="1:101" x14ac:dyDescent="0.15">
      <c r="A838" s="76">
        <v>759</v>
      </c>
      <c r="B838" s="74" t="s">
        <v>6109</v>
      </c>
      <c r="C838" s="74">
        <v>996235434</v>
      </c>
      <c r="D838" s="78" t="str">
        <f t="shared" si="25"/>
        <v>https://portal.dnb.de/opac.htm?method=simpleSearch&amp;cqlMode=true&amp;query=idn%3D996235434</v>
      </c>
      <c r="E838" s="74" t="s">
        <v>8888</v>
      </c>
      <c r="F838" s="74"/>
      <c r="G838" s="76" t="s">
        <v>8515</v>
      </c>
      <c r="H838" s="77" t="s">
        <v>5</v>
      </c>
      <c r="I838" s="76" t="s">
        <v>53</v>
      </c>
      <c r="J838" s="77" t="s">
        <v>8516</v>
      </c>
      <c r="K838" s="77" t="s">
        <v>84</v>
      </c>
      <c r="L838" s="76"/>
      <c r="M838" s="76"/>
      <c r="N838" s="76"/>
      <c r="O838" s="76">
        <v>1</v>
      </c>
      <c r="P838" s="76"/>
      <c r="Q838" s="76"/>
      <c r="R838" s="76" t="s">
        <v>8889</v>
      </c>
      <c r="S838" s="76"/>
      <c r="BD838" s="99">
        <f t="shared" si="26"/>
        <v>0</v>
      </c>
      <c r="CC838" s="99"/>
      <c r="CV838" s="99"/>
      <c r="CW838" s="63"/>
    </row>
    <row r="839" spans="1:101" x14ac:dyDescent="0.15">
      <c r="A839" s="76">
        <v>760</v>
      </c>
      <c r="B839" s="74" t="s">
        <v>6110</v>
      </c>
      <c r="C839" s="74">
        <v>996235604</v>
      </c>
      <c r="D839" s="78" t="str">
        <f t="shared" si="25"/>
        <v>https://portal.dnb.de/opac.htm?method=simpleSearch&amp;cqlMode=true&amp;query=idn%3D996235604</v>
      </c>
      <c r="E839" s="74" t="s">
        <v>8881</v>
      </c>
      <c r="F839" s="74"/>
      <c r="G839" s="76" t="s">
        <v>8515</v>
      </c>
      <c r="H839" s="77" t="s">
        <v>5</v>
      </c>
      <c r="I839" s="76" t="s">
        <v>53</v>
      </c>
      <c r="J839" s="77" t="s">
        <v>8516</v>
      </c>
      <c r="K839" s="77" t="s">
        <v>84</v>
      </c>
      <c r="L839" s="76"/>
      <c r="M839" s="76"/>
      <c r="N839" s="76"/>
      <c r="O839" s="76">
        <v>0</v>
      </c>
      <c r="P839" s="76"/>
      <c r="Q839" s="76"/>
      <c r="R839" s="76"/>
      <c r="S839" s="76"/>
      <c r="BD839" s="99">
        <f t="shared" si="26"/>
        <v>0</v>
      </c>
      <c r="CC839" s="99"/>
      <c r="CV839" s="99"/>
      <c r="CW839" s="63"/>
    </row>
    <row r="840" spans="1:101" x14ac:dyDescent="0.15">
      <c r="A840" s="76">
        <v>761</v>
      </c>
      <c r="B840" s="74" t="s">
        <v>6111</v>
      </c>
      <c r="C840" s="74">
        <v>996235698</v>
      </c>
      <c r="D840" s="78" t="str">
        <f t="shared" si="25"/>
        <v>https://portal.dnb.de/opac.htm?method=simpleSearch&amp;cqlMode=true&amp;query=idn%3D996235698</v>
      </c>
      <c r="E840" s="74" t="s">
        <v>8882</v>
      </c>
      <c r="F840" s="74"/>
      <c r="G840" s="76" t="s">
        <v>8515</v>
      </c>
      <c r="H840" s="77" t="s">
        <v>5</v>
      </c>
      <c r="I840" s="76" t="s">
        <v>53</v>
      </c>
      <c r="J840" s="77" t="s">
        <v>8516</v>
      </c>
      <c r="K840" s="77" t="s">
        <v>84</v>
      </c>
      <c r="L840" s="76"/>
      <c r="M840" s="76"/>
      <c r="N840" s="76"/>
      <c r="O840" s="76">
        <v>1</v>
      </c>
      <c r="P840" s="76"/>
      <c r="Q840" s="76"/>
      <c r="R840" s="76"/>
      <c r="S840" s="76"/>
      <c r="BD840" s="99">
        <f t="shared" si="26"/>
        <v>0</v>
      </c>
      <c r="CC840" s="99"/>
      <c r="CV840" s="99"/>
      <c r="CW840" s="63"/>
    </row>
    <row r="841" spans="1:101" x14ac:dyDescent="0.15">
      <c r="A841" s="76">
        <v>762</v>
      </c>
      <c r="B841" s="74" t="s">
        <v>6112</v>
      </c>
      <c r="C841" s="74">
        <v>996235876</v>
      </c>
      <c r="D841" s="78" t="str">
        <f t="shared" si="25"/>
        <v>https://portal.dnb.de/opac.htm?method=simpleSearch&amp;cqlMode=true&amp;query=idn%3D996235876</v>
      </c>
      <c r="E841" s="74" t="s">
        <v>8883</v>
      </c>
      <c r="F841" s="74"/>
      <c r="G841" s="76" t="s">
        <v>8515</v>
      </c>
      <c r="H841" s="77" t="s">
        <v>5</v>
      </c>
      <c r="I841" s="76" t="s">
        <v>53</v>
      </c>
      <c r="J841" s="77" t="s">
        <v>8516</v>
      </c>
      <c r="K841" s="77" t="s">
        <v>84</v>
      </c>
      <c r="L841" s="76"/>
      <c r="M841" s="76"/>
      <c r="N841" s="76"/>
      <c r="O841" s="76">
        <v>1</v>
      </c>
      <c r="P841" s="76"/>
      <c r="Q841" s="76"/>
      <c r="R841" s="76"/>
      <c r="S841" s="76"/>
      <c r="BD841" s="99">
        <f t="shared" si="26"/>
        <v>0</v>
      </c>
      <c r="CC841" s="99"/>
      <c r="CV841" s="99"/>
      <c r="CW841" s="63"/>
    </row>
    <row r="842" spans="1:101" x14ac:dyDescent="0.15">
      <c r="A842" s="76">
        <v>763</v>
      </c>
      <c r="B842" s="74" t="s">
        <v>6113</v>
      </c>
      <c r="C842" s="74">
        <v>995984972</v>
      </c>
      <c r="D842" s="78" t="str">
        <f t="shared" si="25"/>
        <v>https://portal.dnb.de/opac.htm?method=simpleSearch&amp;cqlMode=true&amp;query=idn%3D995984972</v>
      </c>
      <c r="E842" s="74" t="s">
        <v>8884</v>
      </c>
      <c r="F842" s="74"/>
      <c r="G842" s="76" t="s">
        <v>8515</v>
      </c>
      <c r="H842" s="77" t="s">
        <v>5</v>
      </c>
      <c r="I842" s="76" t="s">
        <v>53</v>
      </c>
      <c r="J842" s="77" t="s">
        <v>8516</v>
      </c>
      <c r="K842" s="77" t="s">
        <v>84</v>
      </c>
      <c r="L842" s="76"/>
      <c r="M842" s="76"/>
      <c r="N842" s="76"/>
      <c r="O842" s="76">
        <v>1</v>
      </c>
      <c r="P842" s="76"/>
      <c r="Q842" s="76"/>
      <c r="R842" s="76"/>
      <c r="S842" s="76"/>
      <c r="BD842" s="99">
        <f t="shared" si="26"/>
        <v>0</v>
      </c>
      <c r="CC842" s="99"/>
      <c r="CV842" s="99"/>
      <c r="CW842" s="63"/>
    </row>
    <row r="843" spans="1:101" x14ac:dyDescent="0.15">
      <c r="A843" s="76">
        <v>764</v>
      </c>
      <c r="B843" s="74" t="s">
        <v>6114</v>
      </c>
      <c r="C843" s="74">
        <v>996236384</v>
      </c>
      <c r="D843" s="78" t="str">
        <f t="shared" si="25"/>
        <v>https://portal.dnb.de/opac.htm?method=simpleSearch&amp;cqlMode=true&amp;query=idn%3D996236384</v>
      </c>
      <c r="E843" s="74" t="s">
        <v>8885</v>
      </c>
      <c r="F843" s="74"/>
      <c r="G843" s="76" t="s">
        <v>8515</v>
      </c>
      <c r="H843" s="77" t="s">
        <v>5</v>
      </c>
      <c r="I843" s="76" t="s">
        <v>53</v>
      </c>
      <c r="J843" s="77" t="s">
        <v>8516</v>
      </c>
      <c r="K843" s="77" t="s">
        <v>84</v>
      </c>
      <c r="L843" s="76"/>
      <c r="M843" s="76"/>
      <c r="N843" s="76"/>
      <c r="O843" s="76">
        <v>2</v>
      </c>
      <c r="P843" s="76"/>
      <c r="Q843" s="76"/>
      <c r="R843" s="76"/>
      <c r="S843" s="76"/>
      <c r="BD843" s="99">
        <f t="shared" si="26"/>
        <v>0</v>
      </c>
      <c r="CC843" s="99"/>
      <c r="CV843" s="99"/>
      <c r="CW843" s="63"/>
    </row>
    <row r="844" spans="1:101" x14ac:dyDescent="0.15">
      <c r="A844" s="76">
        <v>765</v>
      </c>
      <c r="B844" s="74" t="s">
        <v>6115</v>
      </c>
      <c r="C844" s="74">
        <v>996236872</v>
      </c>
      <c r="D844" s="78" t="str">
        <f t="shared" si="25"/>
        <v>https://portal.dnb.de/opac.htm?method=simpleSearch&amp;cqlMode=true&amp;query=idn%3D996236872</v>
      </c>
      <c r="E844" s="74" t="s">
        <v>8886</v>
      </c>
      <c r="F844" s="74"/>
      <c r="G844" s="76" t="s">
        <v>8515</v>
      </c>
      <c r="H844" s="77" t="s">
        <v>5</v>
      </c>
      <c r="I844" s="76" t="s">
        <v>53</v>
      </c>
      <c r="J844" s="77" t="s">
        <v>8516</v>
      </c>
      <c r="K844" s="77" t="s">
        <v>84</v>
      </c>
      <c r="L844" s="76"/>
      <c r="M844" s="76"/>
      <c r="N844" s="76"/>
      <c r="O844" s="76">
        <v>1</v>
      </c>
      <c r="P844" s="76"/>
      <c r="Q844" s="76"/>
      <c r="R844" s="76"/>
      <c r="S844" s="76"/>
      <c r="BD844" s="99">
        <f t="shared" si="26"/>
        <v>0</v>
      </c>
      <c r="CC844" s="99"/>
      <c r="CV844" s="99"/>
      <c r="CW844" s="63"/>
    </row>
    <row r="845" spans="1:101" x14ac:dyDescent="0.15">
      <c r="A845" s="76">
        <v>766</v>
      </c>
      <c r="B845" s="74" t="s">
        <v>6116</v>
      </c>
      <c r="C845" s="74">
        <v>996237143</v>
      </c>
      <c r="D845" s="78" t="str">
        <f t="shared" si="25"/>
        <v>https://portal.dnb.de/opac.htm?method=simpleSearch&amp;cqlMode=true&amp;query=idn%3D996237143</v>
      </c>
      <c r="E845" s="74" t="s">
        <v>8887</v>
      </c>
      <c r="F845" s="74"/>
      <c r="G845" s="76" t="s">
        <v>8515</v>
      </c>
      <c r="H845" s="77" t="s">
        <v>5</v>
      </c>
      <c r="I845" s="76" t="s">
        <v>53</v>
      </c>
      <c r="J845" s="77" t="s">
        <v>8516</v>
      </c>
      <c r="K845" s="77" t="s">
        <v>84</v>
      </c>
      <c r="L845" s="76"/>
      <c r="M845" s="76"/>
      <c r="N845" s="76"/>
      <c r="O845" s="76">
        <v>1</v>
      </c>
      <c r="P845" s="76"/>
      <c r="Q845" s="76"/>
      <c r="R845" s="76"/>
      <c r="S845" s="76"/>
      <c r="BD845" s="99">
        <f t="shared" si="26"/>
        <v>0</v>
      </c>
      <c r="CC845" s="99"/>
      <c r="CV845" s="99"/>
      <c r="CW845" s="63"/>
    </row>
    <row r="846" spans="1:101" x14ac:dyDescent="0.15">
      <c r="A846" s="76">
        <v>767</v>
      </c>
      <c r="B846" s="74" t="s">
        <v>6117</v>
      </c>
      <c r="C846" s="74">
        <v>995985049</v>
      </c>
      <c r="D846" s="78" t="str">
        <f t="shared" si="25"/>
        <v>https://portal.dnb.de/opac.htm?method=simpleSearch&amp;cqlMode=true&amp;query=idn%3D995985049</v>
      </c>
      <c r="E846" s="74" t="s">
        <v>8884</v>
      </c>
      <c r="F846" s="74"/>
      <c r="G846" s="76" t="s">
        <v>8515</v>
      </c>
      <c r="H846" s="77" t="s">
        <v>5</v>
      </c>
      <c r="I846" s="76" t="s">
        <v>53</v>
      </c>
      <c r="J846" s="77" t="s">
        <v>8516</v>
      </c>
      <c r="K846" s="77" t="s">
        <v>84</v>
      </c>
      <c r="L846" s="76"/>
      <c r="M846" s="76"/>
      <c r="N846" s="76"/>
      <c r="O846" s="76">
        <v>1</v>
      </c>
      <c r="P846" s="76"/>
      <c r="Q846" s="76"/>
      <c r="R846" s="76" t="s">
        <v>8890</v>
      </c>
      <c r="S846" s="76"/>
      <c r="BD846" s="99">
        <f t="shared" si="26"/>
        <v>0</v>
      </c>
      <c r="CC846" s="99"/>
      <c r="CV846" s="99"/>
      <c r="CW846" s="63"/>
    </row>
    <row r="847" spans="1:101" x14ac:dyDescent="0.15">
      <c r="A847" s="76">
        <v>768</v>
      </c>
      <c r="B847" s="74" t="s">
        <v>6118</v>
      </c>
      <c r="C847" s="74">
        <v>997934468</v>
      </c>
      <c r="D847" s="78" t="str">
        <f t="shared" si="25"/>
        <v>https://portal.dnb.de/opac.htm?method=simpleSearch&amp;cqlMode=true&amp;query=idn%3D997934468</v>
      </c>
      <c r="E847" s="74" t="s">
        <v>6119</v>
      </c>
      <c r="F847" s="74"/>
      <c r="G847" s="76"/>
      <c r="H847" s="77" t="s">
        <v>5</v>
      </c>
      <c r="I847" s="76" t="s">
        <v>53</v>
      </c>
      <c r="J847" s="77" t="s">
        <v>8516</v>
      </c>
      <c r="K847" s="77" t="s">
        <v>84</v>
      </c>
      <c r="L847" s="76"/>
      <c r="M847" s="76" t="s">
        <v>36</v>
      </c>
      <c r="N847" s="76" t="s">
        <v>39</v>
      </c>
      <c r="O847" s="76">
        <v>0</v>
      </c>
      <c r="P847" s="76"/>
      <c r="Q847" s="76"/>
      <c r="R847" s="76"/>
      <c r="S847" s="76"/>
      <c r="BD847" s="99">
        <f t="shared" si="26"/>
        <v>0</v>
      </c>
      <c r="CC847" s="99"/>
      <c r="CV847" s="99"/>
      <c r="CW847" s="63"/>
    </row>
    <row r="848" spans="1:101" x14ac:dyDescent="0.15">
      <c r="A848" s="76">
        <v>769</v>
      </c>
      <c r="B848" s="74" t="s">
        <v>6120</v>
      </c>
      <c r="C848" s="74">
        <v>997934484</v>
      </c>
      <c r="D848" s="78" t="str">
        <f t="shared" si="25"/>
        <v>https://portal.dnb.de/opac.htm?method=simpleSearch&amp;cqlMode=true&amp;query=idn%3D997934484</v>
      </c>
      <c r="E848" s="74" t="s">
        <v>6119</v>
      </c>
      <c r="F848" s="74"/>
      <c r="G848" s="76"/>
      <c r="H848" s="77"/>
      <c r="I848" s="76"/>
      <c r="J848" s="77"/>
      <c r="K848" s="77"/>
      <c r="L848" s="76"/>
      <c r="M848" s="76"/>
      <c r="N848" s="76"/>
      <c r="O848" s="76"/>
      <c r="P848" s="76"/>
      <c r="Q848" s="76"/>
      <c r="R848" s="76"/>
      <c r="S848" s="76"/>
      <c r="BD848" s="99">
        <f t="shared" si="26"/>
        <v>0</v>
      </c>
      <c r="CC848" s="99"/>
      <c r="CV848" s="99"/>
      <c r="CW848" s="63"/>
    </row>
    <row r="849" spans="1:101" x14ac:dyDescent="0.15">
      <c r="A849" s="76">
        <v>770</v>
      </c>
      <c r="B849" s="74" t="s">
        <v>6171</v>
      </c>
      <c r="C849" s="74">
        <v>1002183103</v>
      </c>
      <c r="D849" s="78" t="str">
        <f t="shared" si="25"/>
        <v>https://portal.dnb.de/opac.htm?method=simpleSearch&amp;cqlMode=true&amp;query=idn%3D1002183103</v>
      </c>
      <c r="E849" s="74" t="s">
        <v>6172</v>
      </c>
      <c r="F849" s="74"/>
      <c r="G849" s="76"/>
      <c r="H849" s="77" t="s">
        <v>17</v>
      </c>
      <c r="I849" s="76" t="s">
        <v>53</v>
      </c>
      <c r="J849" s="77" t="s">
        <v>58</v>
      </c>
      <c r="K849" s="77" t="s">
        <v>72</v>
      </c>
      <c r="L849" s="76"/>
      <c r="M849" s="76"/>
      <c r="N849" s="76"/>
      <c r="O849" s="76"/>
      <c r="P849" s="76"/>
      <c r="Q849" s="76"/>
      <c r="R849" s="76"/>
      <c r="S849" s="76"/>
      <c r="BD849" s="99">
        <f t="shared" si="26"/>
        <v>0</v>
      </c>
      <c r="CC849" s="99"/>
      <c r="CV849" s="99"/>
      <c r="CW849" s="63"/>
    </row>
    <row r="850" spans="1:101" x14ac:dyDescent="0.15">
      <c r="A850" s="76">
        <v>771</v>
      </c>
      <c r="B850" s="74" t="s">
        <v>6173</v>
      </c>
      <c r="C850" s="74">
        <v>995770662</v>
      </c>
      <c r="D850" s="78" t="str">
        <f t="shared" si="25"/>
        <v>https://portal.dnb.de/opac.htm?method=simpleSearch&amp;cqlMode=true&amp;query=idn%3D995770662</v>
      </c>
      <c r="E850" s="74" t="s">
        <v>6174</v>
      </c>
      <c r="F850" s="74"/>
      <c r="G850" s="76"/>
      <c r="H850" s="77" t="s">
        <v>17</v>
      </c>
      <c r="I850" s="76" t="s">
        <v>53</v>
      </c>
      <c r="J850" s="77" t="s">
        <v>58</v>
      </c>
      <c r="K850" s="77"/>
      <c r="L850" s="76"/>
      <c r="M850" s="76"/>
      <c r="N850" s="76"/>
      <c r="O850" s="76">
        <v>0</v>
      </c>
      <c r="P850" s="76"/>
      <c r="Q850" s="76"/>
      <c r="R850" s="76"/>
      <c r="S850" s="76"/>
      <c r="BD850" s="99">
        <f t="shared" si="26"/>
        <v>0</v>
      </c>
      <c r="CC850" s="99"/>
      <c r="CV850" s="99"/>
      <c r="CW850" s="63"/>
    </row>
    <row r="851" spans="1:101" ht="22.5" x14ac:dyDescent="0.15">
      <c r="A851" s="76">
        <v>772</v>
      </c>
      <c r="B851" s="74" t="s">
        <v>6225</v>
      </c>
      <c r="C851" s="74">
        <v>1066792496</v>
      </c>
      <c r="D851" s="78" t="str">
        <f t="shared" si="25"/>
        <v>https://portal.dnb.de/opac.htm?method=simpleSearch&amp;cqlMode=true&amp;query=idn%3D1066792496</v>
      </c>
      <c r="E851" s="74" t="s">
        <v>6226</v>
      </c>
      <c r="F851" s="74"/>
      <c r="G851" s="76"/>
      <c r="H851" s="77" t="s">
        <v>18</v>
      </c>
      <c r="I851" s="76" t="s">
        <v>53</v>
      </c>
      <c r="J851" s="77" t="s">
        <v>8516</v>
      </c>
      <c r="K851" s="77" t="s">
        <v>84</v>
      </c>
      <c r="L851" s="76"/>
      <c r="M851" s="76"/>
      <c r="N851" s="76"/>
      <c r="O851" s="76">
        <v>0</v>
      </c>
      <c r="P851" s="76"/>
      <c r="Q851" s="76" t="s">
        <v>9040</v>
      </c>
      <c r="R851" s="76"/>
      <c r="S851" s="76"/>
      <c r="Y851" s="95" t="s">
        <v>9725</v>
      </c>
      <c r="AC851" s="95" t="s">
        <v>9739</v>
      </c>
      <c r="AI851" s="95" t="s">
        <v>9725</v>
      </c>
      <c r="AW851" s="95">
        <v>110</v>
      </c>
      <c r="BC851" s="96" t="s">
        <v>9726</v>
      </c>
      <c r="BD851" s="99">
        <f t="shared" si="26"/>
        <v>1</v>
      </c>
      <c r="BL851" s="70" t="s">
        <v>10046</v>
      </c>
      <c r="BP851" s="69" t="s">
        <v>8541</v>
      </c>
      <c r="BR851" s="95" t="s">
        <v>8541</v>
      </c>
      <c r="CC851" s="99">
        <v>1</v>
      </c>
      <c r="CF851" s="95" t="s">
        <v>8541</v>
      </c>
      <c r="CV851" s="99"/>
      <c r="CW851" s="63"/>
    </row>
    <row r="852" spans="1:101" x14ac:dyDescent="0.15">
      <c r="A852" s="76">
        <v>773</v>
      </c>
      <c r="B852" s="74" t="s">
        <v>6268</v>
      </c>
      <c r="C852" s="74">
        <v>997213353</v>
      </c>
      <c r="D852" s="78" t="str">
        <f t="shared" si="25"/>
        <v>https://portal.dnb.de/opac.htm?method=simpleSearch&amp;cqlMode=true&amp;query=idn%3D997213353</v>
      </c>
      <c r="E852" s="74" t="s">
        <v>6269</v>
      </c>
      <c r="F852" s="74"/>
      <c r="G852" s="76"/>
      <c r="H852" s="77" t="s">
        <v>17</v>
      </c>
      <c r="I852" s="76" t="s">
        <v>53</v>
      </c>
      <c r="J852" s="77" t="s">
        <v>8516</v>
      </c>
      <c r="K852" s="77" t="s">
        <v>84</v>
      </c>
      <c r="L852" s="76"/>
      <c r="M852" s="76" t="s">
        <v>38</v>
      </c>
      <c r="N852" s="76" t="s">
        <v>40</v>
      </c>
      <c r="O852" s="76">
        <v>0</v>
      </c>
      <c r="P852" s="76"/>
      <c r="Q852" s="76"/>
      <c r="R852" s="76"/>
      <c r="S852" s="76"/>
      <c r="BD852" s="99">
        <f t="shared" si="26"/>
        <v>0</v>
      </c>
      <c r="CC852" s="99"/>
      <c r="CV852" s="99"/>
      <c r="CW852" s="63"/>
    </row>
    <row r="853" spans="1:101" x14ac:dyDescent="0.15">
      <c r="A853" s="76">
        <v>774</v>
      </c>
      <c r="B853" s="74" t="s">
        <v>6270</v>
      </c>
      <c r="C853" s="74">
        <v>1066781370</v>
      </c>
      <c r="D853" s="78" t="str">
        <f t="shared" si="25"/>
        <v>https://portal.dnb.de/opac.htm?method=simpleSearch&amp;cqlMode=true&amp;query=idn%3D1066781370</v>
      </c>
      <c r="E853" s="74" t="s">
        <v>6269</v>
      </c>
      <c r="F853" s="74"/>
      <c r="G853" s="76"/>
      <c r="H853" s="77"/>
      <c r="I853" s="76"/>
      <c r="J853" s="77"/>
      <c r="K853" s="77"/>
      <c r="L853" s="76"/>
      <c r="M853" s="76"/>
      <c r="N853" s="76"/>
      <c r="O853" s="76"/>
      <c r="P853" s="76"/>
      <c r="Q853" s="76"/>
      <c r="R853" s="76"/>
      <c r="S853" s="76"/>
      <c r="BD853" s="99">
        <f t="shared" si="26"/>
        <v>0</v>
      </c>
      <c r="CC853" s="99"/>
      <c r="CV853" s="99"/>
      <c r="CW853" s="63"/>
    </row>
    <row r="854" spans="1:101" ht="22.5" x14ac:dyDescent="0.15">
      <c r="A854" s="76">
        <v>775</v>
      </c>
      <c r="B854" s="74" t="s">
        <v>6432</v>
      </c>
      <c r="C854" s="74">
        <v>1066936536</v>
      </c>
      <c r="D854" s="78" t="str">
        <f t="shared" si="25"/>
        <v>https://portal.dnb.de/opac.htm?method=simpleSearch&amp;cqlMode=true&amp;query=idn%3D1066936536</v>
      </c>
      <c r="E854" s="74" t="s">
        <v>6433</v>
      </c>
      <c r="F854" s="74"/>
      <c r="G854" s="76"/>
      <c r="H854" s="77" t="s">
        <v>5</v>
      </c>
      <c r="I854" s="76" t="s">
        <v>53</v>
      </c>
      <c r="J854" s="77" t="s">
        <v>8516</v>
      </c>
      <c r="K854" s="77" t="s">
        <v>8565</v>
      </c>
      <c r="L854" s="76"/>
      <c r="M854" s="76" t="s">
        <v>32</v>
      </c>
      <c r="N854" s="76"/>
      <c r="O854" s="76">
        <v>0</v>
      </c>
      <c r="P854" s="76"/>
      <c r="Q854" s="76"/>
      <c r="R854" s="76"/>
      <c r="S854" s="76"/>
      <c r="BD854" s="99">
        <f t="shared" si="26"/>
        <v>0</v>
      </c>
      <c r="CC854" s="99"/>
      <c r="CV854" s="99"/>
      <c r="CW854" s="63"/>
    </row>
    <row r="855" spans="1:101" ht="33.75" x14ac:dyDescent="0.15">
      <c r="A855" s="76">
        <v>776</v>
      </c>
      <c r="B855" s="74" t="s">
        <v>6481</v>
      </c>
      <c r="C855" s="74">
        <v>993972446</v>
      </c>
      <c r="D855" s="78" t="str">
        <f t="shared" si="25"/>
        <v>https://portal.dnb.de/opac.htm?method=simpleSearch&amp;cqlMode=true&amp;query=idn%3D993972446</v>
      </c>
      <c r="E855" s="74" t="s">
        <v>10047</v>
      </c>
      <c r="F855" s="74"/>
      <c r="G855" s="76"/>
      <c r="H855" s="77" t="s">
        <v>5</v>
      </c>
      <c r="I855" s="76" t="s">
        <v>53</v>
      </c>
      <c r="J855" s="77" t="s">
        <v>58</v>
      </c>
      <c r="K855" s="77" t="s">
        <v>84</v>
      </c>
      <c r="L855" s="76"/>
      <c r="M855" s="76" t="s">
        <v>32</v>
      </c>
      <c r="N855" s="76" t="s">
        <v>40</v>
      </c>
      <c r="O855" s="76">
        <v>0</v>
      </c>
      <c r="P855" s="76"/>
      <c r="Q855" s="76"/>
      <c r="R855" s="76"/>
      <c r="S855" s="76"/>
      <c r="Y855" s="95" t="s">
        <v>9723</v>
      </c>
      <c r="AB855" s="95" t="s">
        <v>8541</v>
      </c>
      <c r="AC855" s="95" t="s">
        <v>9724</v>
      </c>
      <c r="AI855" s="95" t="s">
        <v>9725</v>
      </c>
      <c r="AW855" s="95">
        <v>45</v>
      </c>
      <c r="BC855" s="96" t="s">
        <v>9726</v>
      </c>
      <c r="BD855" s="99">
        <f t="shared" si="26"/>
        <v>2.5</v>
      </c>
      <c r="BF855" s="95" t="s">
        <v>10005</v>
      </c>
      <c r="BP855" s="69" t="s">
        <v>8541</v>
      </c>
      <c r="BQ855" s="95" t="s">
        <v>8541</v>
      </c>
      <c r="BR855" s="95" t="s">
        <v>8541</v>
      </c>
      <c r="CB855" s="95" t="s">
        <v>9882</v>
      </c>
      <c r="CC855" s="99">
        <v>2.5</v>
      </c>
      <c r="CD855" s="90" t="s">
        <v>10051</v>
      </c>
      <c r="CV855" s="99"/>
      <c r="CW855" s="63"/>
    </row>
    <row r="856" spans="1:101" ht="45" x14ac:dyDescent="0.15">
      <c r="A856" s="76">
        <v>777</v>
      </c>
      <c r="B856" s="74" t="s">
        <v>6482</v>
      </c>
      <c r="C856" s="74">
        <v>993972454</v>
      </c>
      <c r="D856" s="78" t="str">
        <f t="shared" si="25"/>
        <v>https://portal.dnb.de/opac.htm?method=simpleSearch&amp;cqlMode=true&amp;query=idn%3D993972454</v>
      </c>
      <c r="E856" s="74" t="s">
        <v>10048</v>
      </c>
      <c r="F856" s="74"/>
      <c r="G856" s="76"/>
      <c r="H856" s="77" t="s">
        <v>5</v>
      </c>
      <c r="I856" s="76" t="s">
        <v>53</v>
      </c>
      <c r="J856" s="77" t="s">
        <v>58</v>
      </c>
      <c r="K856" s="77" t="s">
        <v>84</v>
      </c>
      <c r="L856" s="76"/>
      <c r="M856" s="76" t="s">
        <v>32</v>
      </c>
      <c r="N856" s="76" t="s">
        <v>40</v>
      </c>
      <c r="O856" s="76">
        <v>0</v>
      </c>
      <c r="P856" s="76"/>
      <c r="Q856" s="76"/>
      <c r="R856" s="76"/>
      <c r="S856" s="76"/>
      <c r="Y856" s="95" t="s">
        <v>9723</v>
      </c>
      <c r="AC856" s="95" t="s">
        <v>9724</v>
      </c>
      <c r="AI856" s="95" t="s">
        <v>9725</v>
      </c>
      <c r="AW856" s="95">
        <v>45</v>
      </c>
      <c r="BC856" s="96" t="s">
        <v>9726</v>
      </c>
      <c r="BD856" s="99">
        <f t="shared" si="26"/>
        <v>3</v>
      </c>
      <c r="BF856" s="95" t="s">
        <v>10005</v>
      </c>
      <c r="BP856" s="69" t="s">
        <v>8541</v>
      </c>
      <c r="BQ856" s="95" t="s">
        <v>8541</v>
      </c>
      <c r="BR856" s="95" t="s">
        <v>8541</v>
      </c>
      <c r="BT856" s="95" t="s">
        <v>9772</v>
      </c>
      <c r="BU856" s="95">
        <v>1</v>
      </c>
      <c r="CB856" s="95" t="s">
        <v>9818</v>
      </c>
      <c r="CC856" s="99">
        <v>3</v>
      </c>
      <c r="CD856" s="90" t="s">
        <v>10052</v>
      </c>
      <c r="CV856" s="99"/>
      <c r="CW856" s="63"/>
    </row>
    <row r="857" spans="1:101" ht="45" x14ac:dyDescent="0.15">
      <c r="A857" s="76">
        <v>778</v>
      </c>
      <c r="B857" s="74" t="s">
        <v>6483</v>
      </c>
      <c r="C857" s="74">
        <v>993972462</v>
      </c>
      <c r="D857" s="78" t="str">
        <f t="shared" si="25"/>
        <v>https://portal.dnb.de/opac.htm?method=simpleSearch&amp;cqlMode=true&amp;query=idn%3D993972462</v>
      </c>
      <c r="E857" s="74" t="s">
        <v>10049</v>
      </c>
      <c r="F857" s="74"/>
      <c r="G857" s="76"/>
      <c r="H857" s="77" t="s">
        <v>5</v>
      </c>
      <c r="I857" s="76" t="s">
        <v>53</v>
      </c>
      <c r="J857" s="77" t="s">
        <v>58</v>
      </c>
      <c r="K857" s="77" t="s">
        <v>84</v>
      </c>
      <c r="L857" s="76"/>
      <c r="M857" s="76" t="s">
        <v>32</v>
      </c>
      <c r="N857" s="76" t="s">
        <v>40</v>
      </c>
      <c r="O857" s="76">
        <v>0</v>
      </c>
      <c r="P857" s="76"/>
      <c r="Q857" s="76"/>
      <c r="R857" s="76"/>
      <c r="S857" s="76"/>
      <c r="Y857" s="95" t="s">
        <v>9723</v>
      </c>
      <c r="AC857" s="95" t="s">
        <v>9724</v>
      </c>
      <c r="AI857" s="95" t="s">
        <v>9725</v>
      </c>
      <c r="AW857" s="95">
        <v>45</v>
      </c>
      <c r="BC857" s="96" t="s">
        <v>9726</v>
      </c>
      <c r="BD857" s="99">
        <f t="shared" si="26"/>
        <v>1.5</v>
      </c>
      <c r="BF857" s="95" t="s">
        <v>10005</v>
      </c>
      <c r="BP857" s="69" t="s">
        <v>8541</v>
      </c>
      <c r="BQ857" s="95" t="s">
        <v>8541</v>
      </c>
      <c r="BR857" s="95" t="s">
        <v>8541</v>
      </c>
      <c r="BT857" s="95" t="s">
        <v>9772</v>
      </c>
      <c r="BU857" s="95">
        <v>1</v>
      </c>
      <c r="CC857" s="99">
        <v>1.5</v>
      </c>
      <c r="CD857" s="90" t="s">
        <v>10053</v>
      </c>
      <c r="CV857" s="99"/>
      <c r="CW857" s="63"/>
    </row>
    <row r="858" spans="1:101" ht="22.5" x14ac:dyDescent="0.15">
      <c r="A858" s="76">
        <v>779</v>
      </c>
      <c r="B858" s="74" t="s">
        <v>6484</v>
      </c>
      <c r="C858" s="74">
        <v>993972470</v>
      </c>
      <c r="D858" s="78" t="str">
        <f t="shared" si="25"/>
        <v>https://portal.dnb.de/opac.htm?method=simpleSearch&amp;cqlMode=true&amp;query=idn%3D993972470</v>
      </c>
      <c r="E858" s="74" t="s">
        <v>10050</v>
      </c>
      <c r="F858" s="74"/>
      <c r="G858" s="76"/>
      <c r="H858" s="77" t="s">
        <v>5</v>
      </c>
      <c r="I858" s="76" t="s">
        <v>53</v>
      </c>
      <c r="J858" s="77" t="s">
        <v>58</v>
      </c>
      <c r="K858" s="77" t="s">
        <v>8520</v>
      </c>
      <c r="L858" s="76"/>
      <c r="M858" s="76" t="s">
        <v>32</v>
      </c>
      <c r="N858" s="76" t="s">
        <v>40</v>
      </c>
      <c r="O858" s="76">
        <v>0</v>
      </c>
      <c r="P858" s="76"/>
      <c r="Q858" s="76"/>
      <c r="R858" s="76"/>
      <c r="S858" s="76"/>
      <c r="Y858" s="95" t="s">
        <v>9723</v>
      </c>
      <c r="AC858" s="95" t="s">
        <v>9724</v>
      </c>
      <c r="AI858" s="95" t="s">
        <v>9725</v>
      </c>
      <c r="AW858" s="95">
        <v>45</v>
      </c>
      <c r="BC858" s="96" t="s">
        <v>9726</v>
      </c>
      <c r="BD858" s="99">
        <f t="shared" si="26"/>
        <v>2</v>
      </c>
      <c r="BF858" s="95" t="s">
        <v>10005</v>
      </c>
      <c r="BP858" s="69" t="s">
        <v>8541</v>
      </c>
      <c r="BQ858" s="95" t="s">
        <v>8541</v>
      </c>
      <c r="BR858" s="95" t="s">
        <v>8541</v>
      </c>
      <c r="BT858" s="95" t="s">
        <v>9775</v>
      </c>
      <c r="CB858" s="95" t="s">
        <v>9818</v>
      </c>
      <c r="CC858" s="99">
        <v>2</v>
      </c>
      <c r="CD858" s="90" t="s">
        <v>10054</v>
      </c>
      <c r="CV858" s="99"/>
      <c r="CW858" s="63"/>
    </row>
    <row r="859" spans="1:101" x14ac:dyDescent="0.15">
      <c r="A859" s="76">
        <v>780</v>
      </c>
      <c r="B859" s="74" t="s">
        <v>6485</v>
      </c>
      <c r="C859" s="74">
        <v>1002739179</v>
      </c>
      <c r="D859" s="78" t="str">
        <f t="shared" si="25"/>
        <v>https://portal.dnb.de/opac.htm?method=simpleSearch&amp;cqlMode=true&amp;query=idn%3D1002739179</v>
      </c>
      <c r="E859" s="74" t="s">
        <v>6486</v>
      </c>
      <c r="F859" s="74"/>
      <c r="G859" s="76"/>
      <c r="H859" s="77"/>
      <c r="I859" s="76"/>
      <c r="J859" s="77"/>
      <c r="K859" s="77"/>
      <c r="L859" s="76"/>
      <c r="M859" s="76"/>
      <c r="N859" s="76"/>
      <c r="O859" s="76"/>
      <c r="P859" s="76"/>
      <c r="Q859" s="76"/>
      <c r="R859" s="76"/>
      <c r="S859" s="76"/>
      <c r="BD859" s="99">
        <f t="shared" si="26"/>
        <v>0</v>
      </c>
      <c r="CC859" s="99"/>
      <c r="CV859" s="99"/>
      <c r="CW859" s="63"/>
    </row>
    <row r="860" spans="1:101" x14ac:dyDescent="0.15">
      <c r="A860" s="76">
        <v>781</v>
      </c>
      <c r="B860" s="74" t="s">
        <v>6487</v>
      </c>
      <c r="C860" s="74">
        <v>1002390613</v>
      </c>
      <c r="D860" s="78" t="str">
        <f t="shared" si="25"/>
        <v>https://portal.dnb.de/opac.htm?method=simpleSearch&amp;cqlMode=true&amp;query=idn%3D1002390613</v>
      </c>
      <c r="E860" s="74" t="s">
        <v>6488</v>
      </c>
      <c r="F860" s="74"/>
      <c r="G860" s="76"/>
      <c r="H860" s="77" t="s">
        <v>5</v>
      </c>
      <c r="I860" s="76" t="s">
        <v>53</v>
      </c>
      <c r="J860" s="77" t="s">
        <v>8516</v>
      </c>
      <c r="K860" s="77" t="s">
        <v>8520</v>
      </c>
      <c r="L860" s="76"/>
      <c r="M860" s="76" t="s">
        <v>36</v>
      </c>
      <c r="N860" s="76" t="s">
        <v>39</v>
      </c>
      <c r="O860" s="76">
        <v>0</v>
      </c>
      <c r="P860" s="76"/>
      <c r="Q860" s="76"/>
      <c r="R860" s="76"/>
      <c r="S860" s="76"/>
      <c r="BD860" s="99">
        <f t="shared" si="26"/>
        <v>0</v>
      </c>
      <c r="CC860" s="99"/>
      <c r="CV860" s="99"/>
      <c r="CW860" s="63"/>
    </row>
    <row r="861" spans="1:101" x14ac:dyDescent="0.15">
      <c r="A861" s="76">
        <v>782</v>
      </c>
      <c r="B861" s="74" t="s">
        <v>6489</v>
      </c>
      <c r="C861" s="74">
        <v>994469934</v>
      </c>
      <c r="D861" s="78" t="str">
        <f t="shared" si="25"/>
        <v>https://portal.dnb.de/opac.htm?method=simpleSearch&amp;cqlMode=true&amp;query=idn%3D994469934</v>
      </c>
      <c r="E861" s="74" t="s">
        <v>6488</v>
      </c>
      <c r="F861" s="74"/>
      <c r="G861" s="76"/>
      <c r="H861" s="77"/>
      <c r="I861" s="76"/>
      <c r="J861" s="77"/>
      <c r="K861" s="77"/>
      <c r="L861" s="76"/>
      <c r="M861" s="76"/>
      <c r="N861" s="76"/>
      <c r="O861" s="76"/>
      <c r="P861" s="76"/>
      <c r="Q861" s="76"/>
      <c r="R861" s="76"/>
      <c r="S861" s="76"/>
      <c r="BD861" s="99">
        <f t="shared" si="26"/>
        <v>0</v>
      </c>
      <c r="CC861" s="99"/>
      <c r="CV861" s="99"/>
      <c r="CW861" s="63"/>
    </row>
    <row r="862" spans="1:101" x14ac:dyDescent="0.15">
      <c r="A862" s="76">
        <v>783</v>
      </c>
      <c r="B862" s="74" t="s">
        <v>6490</v>
      </c>
      <c r="C862" s="74">
        <v>1000171744</v>
      </c>
      <c r="D862" s="78" t="str">
        <f t="shared" si="25"/>
        <v>https://portal.dnb.de/opac.htm?method=simpleSearch&amp;cqlMode=true&amp;query=idn%3D1000171744</v>
      </c>
      <c r="E862" s="74" t="s">
        <v>6488</v>
      </c>
      <c r="F862" s="74"/>
      <c r="G862" s="76"/>
      <c r="H862" s="77"/>
      <c r="I862" s="76"/>
      <c r="J862" s="77"/>
      <c r="K862" s="77"/>
      <c r="L862" s="76"/>
      <c r="M862" s="76"/>
      <c r="N862" s="76"/>
      <c r="O862" s="76"/>
      <c r="P862" s="76"/>
      <c r="Q862" s="76"/>
      <c r="R862" s="76"/>
      <c r="S862" s="76"/>
      <c r="BD862" s="99">
        <f t="shared" si="26"/>
        <v>0</v>
      </c>
      <c r="CC862" s="99"/>
      <c r="CV862" s="99"/>
      <c r="CW862" s="63"/>
    </row>
    <row r="863" spans="1:101" ht="22.5" x14ac:dyDescent="0.15">
      <c r="A863" s="76">
        <v>784</v>
      </c>
      <c r="B863" s="74" t="s">
        <v>6612</v>
      </c>
      <c r="C863" s="74">
        <v>998958328</v>
      </c>
      <c r="D863" s="78" t="str">
        <f t="shared" si="25"/>
        <v>https://portal.dnb.de/opac.htm?method=simpleSearch&amp;cqlMode=true&amp;query=idn%3D998958328</v>
      </c>
      <c r="E863" s="74" t="s">
        <v>6613</v>
      </c>
      <c r="F863" s="79" t="s">
        <v>10518</v>
      </c>
      <c r="G863" s="76"/>
      <c r="H863" s="77"/>
      <c r="I863" s="76"/>
      <c r="J863" s="77"/>
      <c r="K863" s="77"/>
      <c r="L863" s="76"/>
      <c r="M863" s="76"/>
      <c r="N863" s="76"/>
      <c r="O863" s="76"/>
      <c r="P863" s="76"/>
      <c r="Q863" s="76"/>
      <c r="R863" s="76"/>
      <c r="S863" s="76"/>
      <c r="BD863" s="99">
        <f t="shared" si="26"/>
        <v>0</v>
      </c>
      <c r="CC863" s="99"/>
      <c r="CV863" s="99"/>
      <c r="CW863" s="63"/>
    </row>
    <row r="864" spans="1:101" ht="33.75" x14ac:dyDescent="0.15">
      <c r="A864" s="76">
        <v>785</v>
      </c>
      <c r="B864" s="74" t="s">
        <v>6614</v>
      </c>
      <c r="C864" s="74" t="s">
        <v>6615</v>
      </c>
      <c r="D864" s="78" t="str">
        <f t="shared" si="25"/>
        <v>https://portal.dnb.de/opac.htm?method=simpleSearch&amp;cqlMode=true&amp;query=idn%3D106683752X</v>
      </c>
      <c r="E864" s="74" t="s">
        <v>6613</v>
      </c>
      <c r="F864" s="74"/>
      <c r="G864" s="76" t="s">
        <v>8515</v>
      </c>
      <c r="H864" s="77" t="s">
        <v>8673</v>
      </c>
      <c r="I864" s="76" t="s">
        <v>55</v>
      </c>
      <c r="J864" s="77" t="s">
        <v>8516</v>
      </c>
      <c r="K864" s="77" t="s">
        <v>9622</v>
      </c>
      <c r="L864" s="76"/>
      <c r="M864" s="76" t="s">
        <v>37</v>
      </c>
      <c r="N864" s="76" t="s">
        <v>40</v>
      </c>
      <c r="O864" s="76">
        <v>2</v>
      </c>
      <c r="P864" s="76"/>
      <c r="Q864" s="76"/>
      <c r="R864" s="76"/>
      <c r="S864" s="76"/>
      <c r="Y864" s="95" t="s">
        <v>9729</v>
      </c>
      <c r="AA864" s="95" t="s">
        <v>8541</v>
      </c>
      <c r="AC864" s="95" t="s">
        <v>9739</v>
      </c>
      <c r="AI864" s="95" t="s">
        <v>9725</v>
      </c>
      <c r="AP864" s="96" t="s">
        <v>10252</v>
      </c>
      <c r="AW864" s="95" t="s">
        <v>9733</v>
      </c>
      <c r="BC864" s="96" t="s">
        <v>9796</v>
      </c>
      <c r="BD864" s="99">
        <f t="shared" si="26"/>
        <v>1</v>
      </c>
      <c r="BH864" s="95" t="s">
        <v>8541</v>
      </c>
      <c r="BL864" s="70" t="s">
        <v>10364</v>
      </c>
      <c r="BP864" s="69" t="s">
        <v>8541</v>
      </c>
      <c r="BQ864" s="95" t="s">
        <v>8541</v>
      </c>
      <c r="BT864" s="95" t="s">
        <v>9775</v>
      </c>
      <c r="CC864" s="99">
        <v>1</v>
      </c>
      <c r="CD864" s="90" t="s">
        <v>10365</v>
      </c>
      <c r="CV864" s="99"/>
      <c r="CW864" s="63"/>
    </row>
    <row r="865" spans="1:101" x14ac:dyDescent="0.15">
      <c r="A865" s="76">
        <v>786</v>
      </c>
      <c r="B865" s="74" t="s">
        <v>6616</v>
      </c>
      <c r="C865" s="74">
        <v>1002507812</v>
      </c>
      <c r="D865" s="78" t="str">
        <f t="shared" si="25"/>
        <v>https://portal.dnb.de/opac.htm?method=simpleSearch&amp;cqlMode=true&amp;query=idn%3D1002507812</v>
      </c>
      <c r="E865" s="74" t="s">
        <v>6617</v>
      </c>
      <c r="F865" s="74"/>
      <c r="G865" s="76"/>
      <c r="H865" s="77"/>
      <c r="I865" s="76"/>
      <c r="J865" s="77"/>
      <c r="K865" s="77"/>
      <c r="L865" s="76"/>
      <c r="M865" s="76"/>
      <c r="N865" s="76"/>
      <c r="O865" s="76"/>
      <c r="P865" s="76"/>
      <c r="Q865" s="76"/>
      <c r="R865" s="76"/>
      <c r="S865" s="76"/>
      <c r="BD865" s="99">
        <f t="shared" si="26"/>
        <v>0</v>
      </c>
      <c r="CC865" s="99"/>
      <c r="CV865" s="99"/>
      <c r="CW865" s="63"/>
    </row>
    <row r="866" spans="1:101" x14ac:dyDescent="0.15">
      <c r="A866" s="76">
        <v>787</v>
      </c>
      <c r="B866" s="74" t="s">
        <v>6618</v>
      </c>
      <c r="C866" s="74">
        <v>999564757</v>
      </c>
      <c r="D866" s="78" t="str">
        <f t="shared" si="25"/>
        <v>https://portal.dnb.de/opac.htm?method=simpleSearch&amp;cqlMode=true&amp;query=idn%3D999564757</v>
      </c>
      <c r="E866" s="74" t="s">
        <v>6619</v>
      </c>
      <c r="F866" s="74"/>
      <c r="G866" s="76"/>
      <c r="H866" s="77" t="s">
        <v>5</v>
      </c>
      <c r="I866" s="76" t="s">
        <v>53</v>
      </c>
      <c r="J866" s="77" t="s">
        <v>8516</v>
      </c>
      <c r="K866" s="77" t="s">
        <v>72</v>
      </c>
      <c r="L866" s="76"/>
      <c r="M866" s="76" t="s">
        <v>38</v>
      </c>
      <c r="N866" s="76" t="s">
        <v>40</v>
      </c>
      <c r="O866" s="76">
        <v>0</v>
      </c>
      <c r="P866" s="76"/>
      <c r="Q866" s="76"/>
      <c r="R866" s="76"/>
      <c r="S866" s="76"/>
      <c r="BD866" s="99">
        <f t="shared" si="26"/>
        <v>0</v>
      </c>
      <c r="CC866" s="99"/>
      <c r="CV866" s="99"/>
      <c r="CW866" s="63"/>
    </row>
    <row r="867" spans="1:101" x14ac:dyDescent="0.15">
      <c r="A867" s="76">
        <v>788</v>
      </c>
      <c r="B867" s="74" t="s">
        <v>6620</v>
      </c>
      <c r="C867" s="74">
        <v>1185826602</v>
      </c>
      <c r="D867" s="78" t="str">
        <f t="shared" si="25"/>
        <v>https://portal.dnb.de/opac.htm?method=simpleSearch&amp;cqlMode=true&amp;query=idn%3D1185826602</v>
      </c>
      <c r="E867" s="74" t="s">
        <v>6621</v>
      </c>
      <c r="F867" s="74"/>
      <c r="G867" s="76"/>
      <c r="H867" s="77"/>
      <c r="I867" s="76"/>
      <c r="J867" s="77"/>
      <c r="K867" s="77"/>
      <c r="L867" s="76"/>
      <c r="M867" s="76"/>
      <c r="N867" s="76"/>
      <c r="O867" s="76"/>
      <c r="P867" s="76"/>
      <c r="Q867" s="76"/>
      <c r="R867" s="76"/>
      <c r="S867" s="76"/>
      <c r="BD867" s="99">
        <f t="shared" si="26"/>
        <v>0</v>
      </c>
      <c r="CC867" s="99"/>
      <c r="CV867" s="99"/>
      <c r="CW867" s="63"/>
    </row>
    <row r="868" spans="1:101" ht="33.75" x14ac:dyDescent="0.15">
      <c r="A868" s="76"/>
      <c r="B868" s="74"/>
      <c r="C868" s="74"/>
      <c r="D868" s="78"/>
      <c r="E868" s="74" t="s">
        <v>8853</v>
      </c>
      <c r="F868" s="74"/>
      <c r="G868" s="76"/>
      <c r="H868" s="77" t="s">
        <v>8546</v>
      </c>
      <c r="I868" s="76" t="s">
        <v>53</v>
      </c>
      <c r="J868" s="77" t="s">
        <v>8516</v>
      </c>
      <c r="K868" s="77"/>
      <c r="L868" s="76"/>
      <c r="M868" s="76"/>
      <c r="N868" s="76"/>
      <c r="O868" s="76"/>
      <c r="P868" s="76"/>
      <c r="Q868" s="76"/>
      <c r="R868" s="76"/>
      <c r="S868" s="76"/>
      <c r="BD868" s="99">
        <f t="shared" si="26"/>
        <v>0</v>
      </c>
      <c r="CC868" s="99"/>
      <c r="CV868" s="99"/>
      <c r="CW868" s="63"/>
    </row>
    <row r="869" spans="1:101" x14ac:dyDescent="0.15">
      <c r="A869" s="76">
        <v>789</v>
      </c>
      <c r="B869" s="74" t="s">
        <v>6815</v>
      </c>
      <c r="C869" s="74">
        <v>997214619</v>
      </c>
      <c r="D869" s="78" t="str">
        <f t="shared" si="25"/>
        <v>https://portal.dnb.de/opac.htm?method=simpleSearch&amp;cqlMode=true&amp;query=idn%3D997214619</v>
      </c>
      <c r="E869" s="74" t="s">
        <v>6816</v>
      </c>
      <c r="F869" s="74"/>
      <c r="G869" s="76"/>
      <c r="H869" s="77"/>
      <c r="I869" s="76"/>
      <c r="J869" s="77"/>
      <c r="K869" s="77"/>
      <c r="L869" s="76"/>
      <c r="M869" s="76"/>
      <c r="N869" s="76"/>
      <c r="O869" s="76">
        <v>0</v>
      </c>
      <c r="P869" s="76"/>
      <c r="Q869" s="76"/>
      <c r="R869" s="76"/>
      <c r="S869" s="76"/>
      <c r="BD869" s="99">
        <f t="shared" si="26"/>
        <v>0</v>
      </c>
      <c r="CC869" s="99"/>
      <c r="CV869" s="99"/>
      <c r="CW869" s="63"/>
    </row>
    <row r="870" spans="1:101" x14ac:dyDescent="0.15">
      <c r="A870" s="76">
        <v>790</v>
      </c>
      <c r="B870" s="74" t="s">
        <v>6856</v>
      </c>
      <c r="C870" s="74">
        <v>995698325</v>
      </c>
      <c r="D870" s="78" t="str">
        <f t="shared" si="25"/>
        <v>https://portal.dnb.de/opac.htm?method=simpleSearch&amp;cqlMode=true&amp;query=idn%3D995698325</v>
      </c>
      <c r="E870" s="74" t="s">
        <v>6857</v>
      </c>
      <c r="F870" s="74"/>
      <c r="G870" s="76"/>
      <c r="H870" s="77" t="s">
        <v>48</v>
      </c>
      <c r="I870" s="76" t="s">
        <v>53</v>
      </c>
      <c r="J870" s="77" t="s">
        <v>58</v>
      </c>
      <c r="K870" s="77"/>
      <c r="L870" s="76"/>
      <c r="M870" s="76" t="s">
        <v>35</v>
      </c>
      <c r="N870" s="76" t="s">
        <v>40</v>
      </c>
      <c r="O870" s="76">
        <v>0</v>
      </c>
      <c r="P870" s="76"/>
      <c r="Q870" s="76"/>
      <c r="R870" s="76"/>
      <c r="S870" s="76"/>
      <c r="BD870" s="99">
        <f t="shared" si="26"/>
        <v>0</v>
      </c>
      <c r="CC870" s="99"/>
      <c r="CV870" s="99"/>
      <c r="CW870" s="63"/>
    </row>
    <row r="871" spans="1:101" x14ac:dyDescent="0.15">
      <c r="A871" s="76">
        <v>791</v>
      </c>
      <c r="B871" s="74" t="s">
        <v>7075</v>
      </c>
      <c r="C871" s="74" t="s">
        <v>7076</v>
      </c>
      <c r="D871" s="78" t="str">
        <f t="shared" si="25"/>
        <v>https://portal.dnb.de/opac.htm?method=simpleSearch&amp;cqlMode=true&amp;query=idn%3D99406053X</v>
      </c>
      <c r="E871" s="74" t="s">
        <v>7077</v>
      </c>
      <c r="F871" s="74"/>
      <c r="G871" s="76"/>
      <c r="H871" s="77"/>
      <c r="I871" s="76"/>
      <c r="J871" s="77"/>
      <c r="K871" s="77"/>
      <c r="L871" s="76"/>
      <c r="M871" s="76"/>
      <c r="N871" s="76"/>
      <c r="O871" s="76"/>
      <c r="P871" s="76"/>
      <c r="Q871" s="76"/>
      <c r="R871" s="76"/>
      <c r="S871" s="76"/>
      <c r="BD871" s="99">
        <f t="shared" si="26"/>
        <v>0</v>
      </c>
      <c r="CC871" s="99"/>
      <c r="CV871" s="99"/>
      <c r="CW871" s="63"/>
    </row>
    <row r="872" spans="1:101" ht="33.75" x14ac:dyDescent="0.15">
      <c r="A872" s="76">
        <v>792</v>
      </c>
      <c r="B872" s="74" t="s">
        <v>7223</v>
      </c>
      <c r="C872" s="74">
        <v>1001911288</v>
      </c>
      <c r="D872" s="78" t="str">
        <f t="shared" si="25"/>
        <v>https://portal.dnb.de/opac.htm?method=simpleSearch&amp;cqlMode=true&amp;query=idn%3D1001911288</v>
      </c>
      <c r="E872" s="74" t="s">
        <v>7224</v>
      </c>
      <c r="F872" s="74"/>
      <c r="G872" s="76"/>
      <c r="H872" s="77" t="s">
        <v>8546</v>
      </c>
      <c r="I872" s="76" t="s">
        <v>54</v>
      </c>
      <c r="J872" s="77" t="s">
        <v>58</v>
      </c>
      <c r="K872" s="77" t="s">
        <v>84</v>
      </c>
      <c r="L872" s="76"/>
      <c r="M872" s="76" t="s">
        <v>37</v>
      </c>
      <c r="N872" s="76" t="s">
        <v>40</v>
      </c>
      <c r="O872" s="76">
        <v>0</v>
      </c>
      <c r="P872" s="76"/>
      <c r="Q872" s="76"/>
      <c r="R872" s="76"/>
      <c r="S872" s="76"/>
      <c r="BD872" s="99">
        <f t="shared" si="26"/>
        <v>0</v>
      </c>
      <c r="CC872" s="99"/>
      <c r="CV872" s="99"/>
      <c r="CW872" s="63"/>
    </row>
    <row r="873" spans="1:101" ht="33.75" x14ac:dyDescent="0.15">
      <c r="A873" s="76">
        <v>793</v>
      </c>
      <c r="B873" s="74" t="s">
        <v>7382</v>
      </c>
      <c r="C873" s="74" t="s">
        <v>7383</v>
      </c>
      <c r="D873" s="78" t="str">
        <f t="shared" si="25"/>
        <v>https://portal.dnb.de/opac.htm?method=simpleSearch&amp;cqlMode=true&amp;query=idn%3D99431891X</v>
      </c>
      <c r="E873" s="74" t="s">
        <v>7384</v>
      </c>
      <c r="F873" s="74"/>
      <c r="G873" s="76" t="s">
        <v>8515</v>
      </c>
      <c r="H873" s="77" t="s">
        <v>8674</v>
      </c>
      <c r="I873" s="76" t="s">
        <v>53</v>
      </c>
      <c r="J873" s="77" t="s">
        <v>58</v>
      </c>
      <c r="K873" s="77" t="s">
        <v>84</v>
      </c>
      <c r="L873" s="76"/>
      <c r="M873" s="76" t="s">
        <v>37</v>
      </c>
      <c r="N873" s="76" t="s">
        <v>40</v>
      </c>
      <c r="O873" s="76">
        <v>2</v>
      </c>
      <c r="P873" s="76"/>
      <c r="Q873" s="76"/>
      <c r="R873" s="76"/>
      <c r="S873" s="76"/>
      <c r="BD873" s="99">
        <f t="shared" si="26"/>
        <v>0</v>
      </c>
      <c r="CC873" s="99"/>
      <c r="CV873" s="99"/>
      <c r="CW873" s="63"/>
    </row>
    <row r="874" spans="1:101" x14ac:dyDescent="0.15">
      <c r="A874" s="76">
        <v>794</v>
      </c>
      <c r="B874" s="74" t="s">
        <v>7385</v>
      </c>
      <c r="C874" s="74" t="s">
        <v>7386</v>
      </c>
      <c r="D874" s="78" t="str">
        <f t="shared" si="25"/>
        <v>https://portal.dnb.de/opac.htm?method=simpleSearch&amp;cqlMode=true&amp;query=idn%3D99431910X</v>
      </c>
      <c r="E874" s="74" t="s">
        <v>7387</v>
      </c>
      <c r="F874" s="74"/>
      <c r="G874" s="76"/>
      <c r="H874" s="77"/>
      <c r="I874" s="76"/>
      <c r="J874" s="77"/>
      <c r="K874" s="77"/>
      <c r="L874" s="76"/>
      <c r="M874" s="76"/>
      <c r="N874" s="76"/>
      <c r="O874" s="76"/>
      <c r="P874" s="76"/>
      <c r="Q874" s="76"/>
      <c r="R874" s="76" t="s">
        <v>8854</v>
      </c>
      <c r="S874" s="76"/>
      <c r="BD874" s="99">
        <f t="shared" si="26"/>
        <v>0</v>
      </c>
      <c r="CC874" s="99"/>
      <c r="CV874" s="99"/>
      <c r="CW874" s="63"/>
    </row>
    <row r="875" spans="1:101" ht="22.5" x14ac:dyDescent="0.15">
      <c r="A875" s="76">
        <v>795</v>
      </c>
      <c r="B875" s="74" t="s">
        <v>7388</v>
      </c>
      <c r="C875" s="74" t="s">
        <v>7389</v>
      </c>
      <c r="D875" s="78" t="str">
        <f t="shared" ref="D875:D943" si="27">HYPERLINK(CONCATENATE("https://portal.dnb.de/opac.htm?method=simpleSearch&amp;cqlMode=true&amp;query=idn%3D",C875))</f>
        <v>https://portal.dnb.de/opac.htm?method=simpleSearch&amp;cqlMode=true&amp;query=idn%3D106679961X</v>
      </c>
      <c r="E875" s="74" t="s">
        <v>7387</v>
      </c>
      <c r="F875" s="74"/>
      <c r="G875" s="76" t="s">
        <v>8515</v>
      </c>
      <c r="H875" s="77" t="s">
        <v>18</v>
      </c>
      <c r="I875" s="76" t="s">
        <v>53</v>
      </c>
      <c r="J875" s="77" t="s">
        <v>8516</v>
      </c>
      <c r="K875" s="77" t="s">
        <v>87</v>
      </c>
      <c r="L875" s="76"/>
      <c r="M875" s="76"/>
      <c r="N875" s="76"/>
      <c r="O875" s="76">
        <v>2</v>
      </c>
      <c r="P875" s="76"/>
      <c r="Q875" s="76" t="s">
        <v>9040</v>
      </c>
      <c r="R875" s="76" t="s">
        <v>8854</v>
      </c>
      <c r="S875" s="76"/>
      <c r="BD875" s="99">
        <f t="shared" si="26"/>
        <v>0</v>
      </c>
      <c r="CC875" s="99"/>
      <c r="CV875" s="99"/>
      <c r="CW875" s="63"/>
    </row>
    <row r="876" spans="1:101" x14ac:dyDescent="0.15">
      <c r="A876" s="76">
        <v>796</v>
      </c>
      <c r="B876" s="74" t="s">
        <v>7454</v>
      </c>
      <c r="C876" s="74">
        <v>1000282880</v>
      </c>
      <c r="D876" s="78" t="str">
        <f t="shared" si="27"/>
        <v>https://portal.dnb.de/opac.htm?method=simpleSearch&amp;cqlMode=true&amp;query=idn%3D1000282880</v>
      </c>
      <c r="E876" s="74" t="s">
        <v>7455</v>
      </c>
      <c r="F876" s="74"/>
      <c r="G876" s="76"/>
      <c r="H876" s="77"/>
      <c r="I876" s="76"/>
      <c r="J876" s="77"/>
      <c r="K876" s="77"/>
      <c r="L876" s="76"/>
      <c r="M876" s="76"/>
      <c r="N876" s="76"/>
      <c r="O876" s="76"/>
      <c r="P876" s="76"/>
      <c r="Q876" s="76"/>
      <c r="R876" s="76" t="s">
        <v>8854</v>
      </c>
      <c r="S876" s="76"/>
      <c r="BD876" s="99">
        <f t="shared" si="26"/>
        <v>0</v>
      </c>
      <c r="CC876" s="99"/>
      <c r="CV876" s="99"/>
      <c r="CW876" s="63"/>
    </row>
    <row r="877" spans="1:101" ht="22.5" x14ac:dyDescent="0.15">
      <c r="A877" s="76">
        <v>797</v>
      </c>
      <c r="B877" s="74" t="s">
        <v>7456</v>
      </c>
      <c r="C877" s="74">
        <v>1066869820</v>
      </c>
      <c r="D877" s="78" t="str">
        <f t="shared" si="27"/>
        <v>https://portal.dnb.de/opac.htm?method=simpleSearch&amp;cqlMode=true&amp;query=idn%3D1066869820</v>
      </c>
      <c r="E877" s="74" t="s">
        <v>7455</v>
      </c>
      <c r="F877" s="74"/>
      <c r="G877" s="76"/>
      <c r="H877" s="77" t="s">
        <v>8547</v>
      </c>
      <c r="I877" s="76" t="s">
        <v>53</v>
      </c>
      <c r="J877" s="77" t="s">
        <v>8516</v>
      </c>
      <c r="K877" s="77" t="s">
        <v>8552</v>
      </c>
      <c r="L877" s="76"/>
      <c r="M877" s="76"/>
      <c r="N877" s="76" t="s">
        <v>8660</v>
      </c>
      <c r="O877" s="76">
        <v>1</v>
      </c>
      <c r="P877" s="76"/>
      <c r="Q877" s="76"/>
      <c r="R877" s="76" t="s">
        <v>8854</v>
      </c>
      <c r="S877" s="76"/>
      <c r="BD877" s="99">
        <f t="shared" si="26"/>
        <v>0</v>
      </c>
      <c r="CC877" s="99"/>
      <c r="CV877" s="99"/>
      <c r="CW877" s="63"/>
    </row>
    <row r="878" spans="1:101" ht="22.5" x14ac:dyDescent="0.15">
      <c r="A878" s="76">
        <v>798</v>
      </c>
      <c r="B878" s="74" t="s">
        <v>7457</v>
      </c>
      <c r="C878" s="74">
        <v>1000168581</v>
      </c>
      <c r="D878" s="78" t="str">
        <f t="shared" si="27"/>
        <v>https://portal.dnb.de/opac.htm?method=simpleSearch&amp;cqlMode=true&amp;query=idn%3D1000168581</v>
      </c>
      <c r="E878" s="74" t="s">
        <v>7458</v>
      </c>
      <c r="F878" s="74"/>
      <c r="G878" s="76" t="s">
        <v>8515</v>
      </c>
      <c r="H878" s="77" t="s">
        <v>5</v>
      </c>
      <c r="I878" s="76" t="s">
        <v>54</v>
      </c>
      <c r="J878" s="77" t="s">
        <v>58</v>
      </c>
      <c r="K878" s="77" t="s">
        <v>8539</v>
      </c>
      <c r="L878" s="76"/>
      <c r="M878" s="76" t="s">
        <v>32</v>
      </c>
      <c r="N878" s="76"/>
      <c r="O878" s="76">
        <v>0</v>
      </c>
      <c r="P878" s="76"/>
      <c r="Q878" s="76"/>
      <c r="R878" s="76"/>
      <c r="S878" s="76"/>
      <c r="BD878" s="99">
        <f t="shared" si="26"/>
        <v>0</v>
      </c>
      <c r="CC878" s="99"/>
      <c r="CV878" s="99"/>
      <c r="CW878" s="63"/>
    </row>
    <row r="879" spans="1:101" ht="22.5" x14ac:dyDescent="0.15">
      <c r="A879" s="76">
        <v>799</v>
      </c>
      <c r="B879" s="74" t="s">
        <v>7503</v>
      </c>
      <c r="C879" s="74">
        <v>997062282</v>
      </c>
      <c r="D879" s="78" t="str">
        <f t="shared" si="27"/>
        <v>https://portal.dnb.de/opac.htm?method=simpleSearch&amp;cqlMode=true&amp;query=idn%3D997062282</v>
      </c>
      <c r="E879" s="74" t="s">
        <v>7504</v>
      </c>
      <c r="F879" s="74"/>
      <c r="G879" s="76"/>
      <c r="H879" s="77" t="s">
        <v>18</v>
      </c>
      <c r="I879" s="76" t="s">
        <v>53</v>
      </c>
      <c r="J879" s="77" t="s">
        <v>58</v>
      </c>
      <c r="K879" s="77" t="s">
        <v>8785</v>
      </c>
      <c r="L879" s="76"/>
      <c r="M879" s="76"/>
      <c r="N879" s="76"/>
      <c r="O879" s="76">
        <v>0</v>
      </c>
      <c r="P879" s="76"/>
      <c r="Q879" s="76"/>
      <c r="R879" s="76"/>
      <c r="S879" s="76"/>
      <c r="BD879" s="99">
        <f t="shared" si="26"/>
        <v>0</v>
      </c>
      <c r="CC879" s="99"/>
      <c r="CV879" s="99"/>
      <c r="CW879" s="63"/>
    </row>
    <row r="880" spans="1:101" x14ac:dyDescent="0.15">
      <c r="A880" s="76">
        <v>800</v>
      </c>
      <c r="B880" s="74" t="s">
        <v>7459</v>
      </c>
      <c r="C880" s="74">
        <v>1000794245</v>
      </c>
      <c r="D880" s="78" t="str">
        <f t="shared" si="27"/>
        <v>https://portal.dnb.de/opac.htm?method=simpleSearch&amp;cqlMode=true&amp;query=idn%3D1000794245</v>
      </c>
      <c r="E880" s="74" t="s">
        <v>7460</v>
      </c>
      <c r="F880" s="74"/>
      <c r="G880" s="76"/>
      <c r="H880" s="77"/>
      <c r="I880" s="76"/>
      <c r="J880" s="77"/>
      <c r="K880" s="77"/>
      <c r="L880" s="76"/>
      <c r="M880" s="76"/>
      <c r="N880" s="76"/>
      <c r="O880" s="76"/>
      <c r="P880" s="76"/>
      <c r="Q880" s="76"/>
      <c r="R880" s="76" t="s">
        <v>8854</v>
      </c>
      <c r="S880" s="76"/>
      <c r="BD880" s="99">
        <f t="shared" si="26"/>
        <v>0</v>
      </c>
      <c r="CC880" s="99"/>
      <c r="CV880" s="99"/>
      <c r="CW880" s="63"/>
    </row>
    <row r="881" spans="1:101" x14ac:dyDescent="0.15">
      <c r="A881" s="76">
        <v>801</v>
      </c>
      <c r="B881" s="74" t="s">
        <v>7461</v>
      </c>
      <c r="C881" s="74">
        <v>1066936617</v>
      </c>
      <c r="D881" s="78" t="str">
        <f t="shared" si="27"/>
        <v>https://portal.dnb.de/opac.htm?method=simpleSearch&amp;cqlMode=true&amp;query=idn%3D1066936617</v>
      </c>
      <c r="E881" s="74" t="s">
        <v>7460</v>
      </c>
      <c r="F881" s="74"/>
      <c r="G881" s="76" t="s">
        <v>8541</v>
      </c>
      <c r="H881" s="77" t="s">
        <v>17</v>
      </c>
      <c r="I881" s="76" t="s">
        <v>53</v>
      </c>
      <c r="J881" s="77" t="s">
        <v>58</v>
      </c>
      <c r="K881" s="77"/>
      <c r="L881" s="76"/>
      <c r="M881" s="76"/>
      <c r="N881" s="76"/>
      <c r="O881" s="76">
        <v>1</v>
      </c>
      <c r="P881" s="76"/>
      <c r="Q881" s="76"/>
      <c r="R881" s="76" t="s">
        <v>8854</v>
      </c>
      <c r="S881" s="76"/>
      <c r="BD881" s="99">
        <f t="shared" si="26"/>
        <v>0</v>
      </c>
      <c r="CC881" s="99"/>
      <c r="CV881" s="99"/>
      <c r="CW881" s="63"/>
    </row>
    <row r="882" spans="1:101" x14ac:dyDescent="0.15">
      <c r="A882" s="76">
        <v>802</v>
      </c>
      <c r="B882" s="74" t="s">
        <v>7471</v>
      </c>
      <c r="C882" s="74">
        <v>1000794148</v>
      </c>
      <c r="D882" s="78" t="str">
        <f t="shared" si="27"/>
        <v>https://portal.dnb.de/opac.htm?method=simpleSearch&amp;cqlMode=true&amp;query=idn%3D1000794148</v>
      </c>
      <c r="E882" s="74" t="s">
        <v>7472</v>
      </c>
      <c r="F882" s="74"/>
      <c r="G882" s="76"/>
      <c r="H882" s="77" t="s">
        <v>5</v>
      </c>
      <c r="I882" s="76" t="s">
        <v>53</v>
      </c>
      <c r="J882" s="77" t="s">
        <v>58</v>
      </c>
      <c r="K882" s="77"/>
      <c r="L882" s="76"/>
      <c r="M882" s="76"/>
      <c r="N882" s="76"/>
      <c r="O882" s="76">
        <v>2</v>
      </c>
      <c r="P882" s="76"/>
      <c r="Q882" s="76"/>
      <c r="R882" s="76"/>
      <c r="S882" s="76"/>
      <c r="BD882" s="99">
        <f t="shared" si="26"/>
        <v>0</v>
      </c>
      <c r="CC882" s="99"/>
      <c r="CV882" s="99"/>
      <c r="CW882" s="63"/>
    </row>
    <row r="883" spans="1:101" x14ac:dyDescent="0.15">
      <c r="A883" s="76">
        <v>803</v>
      </c>
      <c r="B883" s="74" t="s">
        <v>7473</v>
      </c>
      <c r="C883" s="74">
        <v>996208305</v>
      </c>
      <c r="D883" s="78" t="str">
        <f t="shared" si="27"/>
        <v>https://portal.dnb.de/opac.htm?method=simpleSearch&amp;cqlMode=true&amp;query=idn%3D996208305</v>
      </c>
      <c r="E883" s="74" t="s">
        <v>7474</v>
      </c>
      <c r="F883" s="74"/>
      <c r="G883" s="76"/>
      <c r="H883" s="77" t="s">
        <v>48</v>
      </c>
      <c r="I883" s="76" t="s">
        <v>53</v>
      </c>
      <c r="J883" s="77" t="s">
        <v>8516</v>
      </c>
      <c r="K883" s="77" t="s">
        <v>72</v>
      </c>
      <c r="L883" s="76"/>
      <c r="M883" s="76" t="s">
        <v>38</v>
      </c>
      <c r="N883" s="76" t="s">
        <v>40</v>
      </c>
      <c r="O883" s="76">
        <v>0</v>
      </c>
      <c r="P883" s="76"/>
      <c r="Q883" s="76"/>
      <c r="R883" s="76"/>
      <c r="S883" s="76"/>
      <c r="BD883" s="99">
        <f t="shared" si="26"/>
        <v>0</v>
      </c>
      <c r="CC883" s="99"/>
      <c r="CV883" s="99"/>
      <c r="CW883" s="63"/>
    </row>
    <row r="884" spans="1:101" x14ac:dyDescent="0.15">
      <c r="A884" s="76">
        <v>804</v>
      </c>
      <c r="B884" s="74" t="s">
        <v>7475</v>
      </c>
      <c r="C884" s="74">
        <v>997403519</v>
      </c>
      <c r="D884" s="78" t="str">
        <f t="shared" si="27"/>
        <v>https://portal.dnb.de/opac.htm?method=simpleSearch&amp;cqlMode=true&amp;query=idn%3D997403519</v>
      </c>
      <c r="E884" s="74" t="s">
        <v>7476</v>
      </c>
      <c r="F884" s="74"/>
      <c r="G884" s="76"/>
      <c r="H884" s="77"/>
      <c r="I884" s="76"/>
      <c r="J884" s="77"/>
      <c r="K884" s="77"/>
      <c r="L884" s="76"/>
      <c r="M884" s="76"/>
      <c r="N884" s="76"/>
      <c r="O884" s="76"/>
      <c r="P884" s="76"/>
      <c r="Q884" s="76"/>
      <c r="R884" s="76" t="s">
        <v>8855</v>
      </c>
      <c r="S884" s="76"/>
      <c r="BD884" s="99">
        <f t="shared" si="26"/>
        <v>0</v>
      </c>
      <c r="CC884" s="99"/>
      <c r="CV884" s="99"/>
      <c r="CW884" s="63"/>
    </row>
    <row r="885" spans="1:101" x14ac:dyDescent="0.15">
      <c r="A885" s="76">
        <v>805</v>
      </c>
      <c r="B885" s="74" t="s">
        <v>7477</v>
      </c>
      <c r="C885" s="74">
        <v>997403551</v>
      </c>
      <c r="D885" s="78" t="str">
        <f t="shared" si="27"/>
        <v>https://portal.dnb.de/opac.htm?method=simpleSearch&amp;cqlMode=true&amp;query=idn%3D997403551</v>
      </c>
      <c r="E885" s="74" t="s">
        <v>7476</v>
      </c>
      <c r="F885" s="74"/>
      <c r="G885" s="76"/>
      <c r="H885" s="77"/>
      <c r="I885" s="76"/>
      <c r="J885" s="77"/>
      <c r="K885" s="77"/>
      <c r="L885" s="76"/>
      <c r="M885" s="76"/>
      <c r="N885" s="76"/>
      <c r="O885" s="76"/>
      <c r="P885" s="76"/>
      <c r="Q885" s="76"/>
      <c r="R885" s="76" t="s">
        <v>8855</v>
      </c>
      <c r="S885" s="76"/>
      <c r="BD885" s="99">
        <f t="shared" si="26"/>
        <v>0</v>
      </c>
      <c r="CC885" s="99"/>
      <c r="CV885" s="99"/>
      <c r="CW885" s="63"/>
    </row>
    <row r="886" spans="1:101" x14ac:dyDescent="0.15">
      <c r="A886" s="76">
        <v>806</v>
      </c>
      <c r="B886" s="74" t="s">
        <v>7478</v>
      </c>
      <c r="C886" s="74">
        <v>997403632</v>
      </c>
      <c r="D886" s="78" t="str">
        <f t="shared" si="27"/>
        <v>https://portal.dnb.de/opac.htm?method=simpleSearch&amp;cqlMode=true&amp;query=idn%3D997403632</v>
      </c>
      <c r="E886" s="74" t="s">
        <v>7476</v>
      </c>
      <c r="F886" s="74"/>
      <c r="G886" s="76"/>
      <c r="H886" s="77"/>
      <c r="I886" s="76"/>
      <c r="J886" s="77"/>
      <c r="K886" s="77"/>
      <c r="L886" s="76"/>
      <c r="M886" s="76"/>
      <c r="N886" s="76"/>
      <c r="O886" s="76"/>
      <c r="P886" s="76"/>
      <c r="Q886" s="76"/>
      <c r="R886" s="76" t="s">
        <v>8855</v>
      </c>
      <c r="S886" s="76"/>
      <c r="BD886" s="99">
        <f t="shared" si="26"/>
        <v>0</v>
      </c>
      <c r="CC886" s="99"/>
      <c r="CV886" s="99"/>
      <c r="CW886" s="63"/>
    </row>
    <row r="887" spans="1:101" x14ac:dyDescent="0.15">
      <c r="A887" s="76">
        <v>807</v>
      </c>
      <c r="B887" s="74" t="s">
        <v>7479</v>
      </c>
      <c r="C887" s="74">
        <v>997403640</v>
      </c>
      <c r="D887" s="78" t="str">
        <f t="shared" si="27"/>
        <v>https://portal.dnb.de/opac.htm?method=simpleSearch&amp;cqlMode=true&amp;query=idn%3D997403640</v>
      </c>
      <c r="E887" s="74" t="s">
        <v>7476</v>
      </c>
      <c r="F887" s="74"/>
      <c r="G887" s="76"/>
      <c r="H887" s="77"/>
      <c r="I887" s="76"/>
      <c r="J887" s="77"/>
      <c r="K887" s="77"/>
      <c r="L887" s="76"/>
      <c r="M887" s="76"/>
      <c r="N887" s="76"/>
      <c r="O887" s="76"/>
      <c r="P887" s="76"/>
      <c r="Q887" s="76"/>
      <c r="R887" s="76" t="s">
        <v>8855</v>
      </c>
      <c r="S887" s="76"/>
      <c r="BD887" s="99">
        <f t="shared" si="26"/>
        <v>0</v>
      </c>
      <c r="CC887" s="99"/>
      <c r="CV887" s="99"/>
      <c r="CW887" s="63"/>
    </row>
    <row r="888" spans="1:101" x14ac:dyDescent="0.15">
      <c r="A888" s="76">
        <v>808</v>
      </c>
      <c r="B888" s="74" t="s">
        <v>7480</v>
      </c>
      <c r="C888" s="74">
        <v>997403454</v>
      </c>
      <c r="D888" s="78" t="str">
        <f t="shared" si="27"/>
        <v>https://portal.dnb.de/opac.htm?method=simpleSearch&amp;cqlMode=true&amp;query=idn%3D997403454</v>
      </c>
      <c r="E888" s="74" t="s">
        <v>7476</v>
      </c>
      <c r="F888" s="74"/>
      <c r="G888" s="76" t="s">
        <v>8515</v>
      </c>
      <c r="H888" s="77" t="s">
        <v>4</v>
      </c>
      <c r="I888" s="76" t="s">
        <v>53</v>
      </c>
      <c r="J888" s="77" t="s">
        <v>58</v>
      </c>
      <c r="K888" s="77"/>
      <c r="L888" s="76"/>
      <c r="M888" s="76" t="s">
        <v>38</v>
      </c>
      <c r="N888" s="76" t="s">
        <v>40</v>
      </c>
      <c r="O888" s="76">
        <v>0</v>
      </c>
      <c r="P888" s="76"/>
      <c r="Q888" s="76"/>
      <c r="R888" s="76" t="s">
        <v>8855</v>
      </c>
      <c r="S888" s="76"/>
      <c r="BD888" s="99">
        <f t="shared" si="26"/>
        <v>0</v>
      </c>
      <c r="CC888" s="99"/>
      <c r="CV888" s="99"/>
      <c r="CW888" s="63"/>
    </row>
    <row r="889" spans="1:101" x14ac:dyDescent="0.15">
      <c r="A889" s="76">
        <v>809</v>
      </c>
      <c r="B889" s="74" t="s">
        <v>7481</v>
      </c>
      <c r="C889" s="74">
        <v>1003604900</v>
      </c>
      <c r="D889" s="78" t="str">
        <f t="shared" si="27"/>
        <v>https://portal.dnb.de/opac.htm?method=simpleSearch&amp;cqlMode=true&amp;query=idn%3D1003604900</v>
      </c>
      <c r="E889" s="74" t="s">
        <v>7482</v>
      </c>
      <c r="F889" s="74"/>
      <c r="G889" s="76"/>
      <c r="H889" s="77" t="s">
        <v>4</v>
      </c>
      <c r="I889" s="76" t="s">
        <v>53</v>
      </c>
      <c r="J889" s="77" t="s">
        <v>8516</v>
      </c>
      <c r="K889" s="77"/>
      <c r="L889" s="76"/>
      <c r="M889" s="76"/>
      <c r="N889" s="76"/>
      <c r="O889" s="76">
        <v>2</v>
      </c>
      <c r="P889" s="76"/>
      <c r="Q889" s="76"/>
      <c r="R889" s="76"/>
      <c r="S889" s="76"/>
      <c r="BD889" s="99">
        <f t="shared" si="26"/>
        <v>0</v>
      </c>
      <c r="CC889" s="99"/>
      <c r="CV889" s="99"/>
      <c r="CW889" s="63"/>
    </row>
    <row r="890" spans="1:101" x14ac:dyDescent="0.15">
      <c r="A890" s="76">
        <v>810</v>
      </c>
      <c r="B890" s="74" t="s">
        <v>7487</v>
      </c>
      <c r="C890" s="74">
        <v>1002600790</v>
      </c>
      <c r="D890" s="78" t="str">
        <f t="shared" si="27"/>
        <v>https://portal.dnb.de/opac.htm?method=simpleSearch&amp;cqlMode=true&amp;query=idn%3D1002600790</v>
      </c>
      <c r="E890" s="74" t="s">
        <v>7488</v>
      </c>
      <c r="F890" s="74"/>
      <c r="G890" s="76"/>
      <c r="H890" s="77" t="s">
        <v>5</v>
      </c>
      <c r="I890" s="76" t="s">
        <v>53</v>
      </c>
      <c r="J890" s="77" t="s">
        <v>58</v>
      </c>
      <c r="K890" s="77"/>
      <c r="L890" s="76"/>
      <c r="M890" s="76" t="s">
        <v>38</v>
      </c>
      <c r="N890" s="76" t="s">
        <v>40</v>
      </c>
      <c r="O890" s="76">
        <v>1</v>
      </c>
      <c r="P890" s="76"/>
      <c r="Q890" s="76"/>
      <c r="R890" s="76"/>
      <c r="S890" s="76"/>
      <c r="BD890" s="99">
        <f t="shared" si="26"/>
        <v>0</v>
      </c>
      <c r="CC890" s="99"/>
      <c r="CV890" s="99"/>
      <c r="CW890" s="63"/>
    </row>
    <row r="891" spans="1:101" ht="22.5" x14ac:dyDescent="0.15">
      <c r="A891" s="76"/>
      <c r="B891" s="74"/>
      <c r="C891" s="74"/>
      <c r="D891" s="78"/>
      <c r="E891" s="74" t="s">
        <v>9623</v>
      </c>
      <c r="F891" s="74"/>
      <c r="G891" s="76"/>
      <c r="H891" s="77" t="s">
        <v>49</v>
      </c>
      <c r="I891" s="76" t="s">
        <v>55</v>
      </c>
      <c r="J891" s="77" t="s">
        <v>58</v>
      </c>
      <c r="K891" s="77" t="s">
        <v>8771</v>
      </c>
      <c r="L891" s="76"/>
      <c r="M891" s="76" t="s">
        <v>38</v>
      </c>
      <c r="N891" s="76" t="s">
        <v>40</v>
      </c>
      <c r="O891" s="76">
        <v>0</v>
      </c>
      <c r="P891" s="76"/>
      <c r="Q891" s="76"/>
      <c r="R891" s="76"/>
      <c r="S891" s="76"/>
      <c r="BD891" s="99">
        <f t="shared" si="26"/>
        <v>0</v>
      </c>
      <c r="CC891" s="99"/>
      <c r="CV891" s="99"/>
      <c r="CW891" s="63"/>
    </row>
    <row r="892" spans="1:101" x14ac:dyDescent="0.15">
      <c r="A892" s="76">
        <v>811</v>
      </c>
      <c r="B892" s="74" t="s">
        <v>7489</v>
      </c>
      <c r="C892" s="74">
        <v>1003603726</v>
      </c>
      <c r="D892" s="78" t="str">
        <f t="shared" si="27"/>
        <v>https://portal.dnb.de/opac.htm?method=simpleSearch&amp;cqlMode=true&amp;query=idn%3D1003603726</v>
      </c>
      <c r="E892" s="74" t="s">
        <v>8857</v>
      </c>
      <c r="F892" s="74"/>
      <c r="G892" s="76"/>
      <c r="H892" s="77" t="s">
        <v>4</v>
      </c>
      <c r="I892" s="76" t="s">
        <v>53</v>
      </c>
      <c r="J892" s="77" t="s">
        <v>58</v>
      </c>
      <c r="K892" s="77"/>
      <c r="L892" s="76"/>
      <c r="M892" s="76" t="s">
        <v>38</v>
      </c>
      <c r="N892" s="76" t="s">
        <v>40</v>
      </c>
      <c r="O892" s="76">
        <v>0</v>
      </c>
      <c r="P892" s="76"/>
      <c r="Q892" s="76"/>
      <c r="R892" s="76" t="s">
        <v>8858</v>
      </c>
      <c r="S892" s="76"/>
      <c r="BD892" s="99">
        <f t="shared" si="26"/>
        <v>0</v>
      </c>
      <c r="CC892" s="99"/>
      <c r="CV892" s="99"/>
      <c r="CW892" s="63"/>
    </row>
    <row r="893" spans="1:101" x14ac:dyDescent="0.15">
      <c r="A893" s="76">
        <v>812</v>
      </c>
      <c r="B893" s="74" t="s">
        <v>7490</v>
      </c>
      <c r="C893" s="74">
        <v>1003603750</v>
      </c>
      <c r="D893" s="78" t="str">
        <f t="shared" si="27"/>
        <v>https://portal.dnb.de/opac.htm?method=simpleSearch&amp;cqlMode=true&amp;query=idn%3D1003603750</v>
      </c>
      <c r="E893" s="74" t="s">
        <v>8859</v>
      </c>
      <c r="F893" s="74"/>
      <c r="G893" s="76"/>
      <c r="H893" s="77" t="s">
        <v>4</v>
      </c>
      <c r="I893" s="76" t="s">
        <v>53</v>
      </c>
      <c r="J893" s="77" t="s">
        <v>58</v>
      </c>
      <c r="K893" s="77"/>
      <c r="L893" s="76"/>
      <c r="M893" s="76" t="s">
        <v>38</v>
      </c>
      <c r="N893" s="76" t="s">
        <v>40</v>
      </c>
      <c r="O893" s="76">
        <v>0</v>
      </c>
      <c r="P893" s="76"/>
      <c r="Q893" s="76"/>
      <c r="R893" s="76" t="s">
        <v>8858</v>
      </c>
      <c r="S893" s="76"/>
      <c r="BD893" s="99">
        <f t="shared" si="26"/>
        <v>0</v>
      </c>
      <c r="CC893" s="99"/>
      <c r="CV893" s="99"/>
      <c r="CW893" s="63"/>
    </row>
    <row r="894" spans="1:101" x14ac:dyDescent="0.15">
      <c r="A894" s="76">
        <v>813</v>
      </c>
      <c r="B894" s="74" t="s">
        <v>7491</v>
      </c>
      <c r="C894" s="74">
        <v>996098712</v>
      </c>
      <c r="D894" s="78" t="str">
        <f t="shared" si="27"/>
        <v>https://portal.dnb.de/opac.htm?method=simpleSearch&amp;cqlMode=true&amp;query=idn%3D996098712</v>
      </c>
      <c r="E894" s="74" t="s">
        <v>7492</v>
      </c>
      <c r="F894" s="74"/>
      <c r="G894" s="76"/>
      <c r="H894" s="77" t="s">
        <v>5</v>
      </c>
      <c r="I894" s="76" t="s">
        <v>53</v>
      </c>
      <c r="J894" s="77" t="s">
        <v>58</v>
      </c>
      <c r="K894" s="77"/>
      <c r="L894" s="76"/>
      <c r="M894" s="76" t="s">
        <v>36</v>
      </c>
      <c r="N894" s="76" t="s">
        <v>39</v>
      </c>
      <c r="O894" s="76">
        <v>0</v>
      </c>
      <c r="P894" s="76"/>
      <c r="Q894" s="76"/>
      <c r="R894" s="76"/>
      <c r="S894" s="76"/>
      <c r="BD894" s="99">
        <f t="shared" si="26"/>
        <v>0</v>
      </c>
      <c r="CC894" s="99"/>
      <c r="CV894" s="99"/>
      <c r="CW894" s="63"/>
    </row>
    <row r="895" spans="1:101" x14ac:dyDescent="0.15">
      <c r="A895" s="76">
        <v>814</v>
      </c>
      <c r="B895" s="74" t="s">
        <v>7493</v>
      </c>
      <c r="C895" s="74">
        <v>996099298</v>
      </c>
      <c r="D895" s="78" t="str">
        <f t="shared" si="27"/>
        <v>https://portal.dnb.de/opac.htm?method=simpleSearch&amp;cqlMode=true&amp;query=idn%3D996099298</v>
      </c>
      <c r="E895" s="74" t="s">
        <v>7492</v>
      </c>
      <c r="F895" s="74"/>
      <c r="G895" s="76"/>
      <c r="H895" s="77"/>
      <c r="I895" s="76"/>
      <c r="J895" s="77"/>
      <c r="K895" s="77"/>
      <c r="L895" s="76"/>
      <c r="M895" s="76"/>
      <c r="N895" s="76"/>
      <c r="O895" s="76"/>
      <c r="P895" s="76"/>
      <c r="Q895" s="76"/>
      <c r="R895" s="76"/>
      <c r="S895" s="76"/>
      <c r="BD895" s="99">
        <f t="shared" si="26"/>
        <v>0</v>
      </c>
      <c r="CC895" s="99"/>
      <c r="CV895" s="99"/>
      <c r="CW895" s="63"/>
    </row>
    <row r="896" spans="1:101" x14ac:dyDescent="0.15">
      <c r="A896" s="76">
        <v>815</v>
      </c>
      <c r="B896" s="74" t="s">
        <v>7494</v>
      </c>
      <c r="C896" s="74">
        <v>994418612</v>
      </c>
      <c r="D896" s="78" t="str">
        <f t="shared" si="27"/>
        <v>https://portal.dnb.de/opac.htm?method=simpleSearch&amp;cqlMode=true&amp;query=idn%3D994418612</v>
      </c>
      <c r="E896" s="74" t="s">
        <v>7492</v>
      </c>
      <c r="F896" s="74"/>
      <c r="G896" s="76"/>
      <c r="H896" s="77"/>
      <c r="I896" s="76"/>
      <c r="J896" s="77"/>
      <c r="K896" s="77"/>
      <c r="L896" s="76"/>
      <c r="M896" s="76"/>
      <c r="N896" s="76"/>
      <c r="O896" s="76"/>
      <c r="P896" s="76"/>
      <c r="Q896" s="76"/>
      <c r="R896" s="76"/>
      <c r="S896" s="76"/>
      <c r="BD896" s="99">
        <f t="shared" si="26"/>
        <v>0</v>
      </c>
      <c r="CC896" s="99"/>
      <c r="CV896" s="99"/>
      <c r="CW896" s="63"/>
    </row>
    <row r="897" spans="1:101" x14ac:dyDescent="0.15">
      <c r="A897" s="76">
        <v>816</v>
      </c>
      <c r="B897" s="74" t="s">
        <v>7501</v>
      </c>
      <c r="C897" s="74">
        <v>994418418</v>
      </c>
      <c r="D897" s="78" t="str">
        <f t="shared" si="27"/>
        <v>https://portal.dnb.de/opac.htm?method=simpleSearch&amp;cqlMode=true&amp;query=idn%3D994418418</v>
      </c>
      <c r="E897" s="74" t="s">
        <v>7502</v>
      </c>
      <c r="F897" s="74"/>
      <c r="G897" s="76"/>
      <c r="H897" s="77" t="s">
        <v>17</v>
      </c>
      <c r="I897" s="76" t="s">
        <v>53</v>
      </c>
      <c r="J897" s="77" t="s">
        <v>8516</v>
      </c>
      <c r="K897" s="77" t="s">
        <v>8785</v>
      </c>
      <c r="L897" s="76"/>
      <c r="M897" s="76"/>
      <c r="N897" s="76"/>
      <c r="O897" s="76">
        <v>0</v>
      </c>
      <c r="P897" s="76"/>
      <c r="Q897" s="76"/>
      <c r="R897" s="76"/>
      <c r="S897" s="76"/>
      <c r="BD897" s="99">
        <f t="shared" si="26"/>
        <v>0</v>
      </c>
      <c r="CC897" s="99"/>
      <c r="CV897" s="99"/>
      <c r="CW897" s="63"/>
    </row>
    <row r="898" spans="1:101" ht="22.5" x14ac:dyDescent="0.15">
      <c r="A898" s="76">
        <v>817</v>
      </c>
      <c r="B898" s="74" t="s">
        <v>7462</v>
      </c>
      <c r="C898" s="74">
        <v>999823027</v>
      </c>
      <c r="D898" s="78" t="str">
        <f t="shared" si="27"/>
        <v>https://portal.dnb.de/opac.htm?method=simpleSearch&amp;cqlMode=true&amp;query=idn%3D999823027</v>
      </c>
      <c r="E898" s="74" t="s">
        <v>7463</v>
      </c>
      <c r="F898" s="74"/>
      <c r="G898" s="76"/>
      <c r="H898" s="77" t="s">
        <v>18</v>
      </c>
      <c r="I898" s="76" t="s">
        <v>53</v>
      </c>
      <c r="J898" s="77" t="s">
        <v>58</v>
      </c>
      <c r="K898" s="77"/>
      <c r="L898" s="76"/>
      <c r="M898" s="76" t="s">
        <v>36</v>
      </c>
      <c r="N898" s="76"/>
      <c r="O898" s="76">
        <v>0</v>
      </c>
      <c r="P898" s="76"/>
      <c r="Q898" s="76"/>
      <c r="R898" s="76"/>
      <c r="S898" s="76"/>
      <c r="BD898" s="99">
        <f t="shared" si="26"/>
        <v>0</v>
      </c>
      <c r="CC898" s="99"/>
      <c r="CV898" s="99"/>
      <c r="CW898" s="63"/>
    </row>
    <row r="899" spans="1:101" ht="22.5" x14ac:dyDescent="0.15">
      <c r="A899" s="76">
        <v>818</v>
      </c>
      <c r="B899" s="74" t="s">
        <v>7464</v>
      </c>
      <c r="C899" s="74">
        <v>996571221</v>
      </c>
      <c r="D899" s="78" t="str">
        <f t="shared" si="27"/>
        <v>https://portal.dnb.de/opac.htm?method=simpleSearch&amp;cqlMode=true&amp;query=idn%3D996571221</v>
      </c>
      <c r="E899" s="74" t="s">
        <v>7465</v>
      </c>
      <c r="F899" s="74"/>
      <c r="G899" s="76"/>
      <c r="H899" s="77" t="s">
        <v>18</v>
      </c>
      <c r="I899" s="76" t="s">
        <v>53</v>
      </c>
      <c r="J899" s="77" t="s">
        <v>8516</v>
      </c>
      <c r="K899" s="77"/>
      <c r="L899" s="76"/>
      <c r="M899" s="76"/>
      <c r="N899" s="76" t="s">
        <v>8660</v>
      </c>
      <c r="O899" s="76">
        <v>0</v>
      </c>
      <c r="P899" s="76"/>
      <c r="Q899" s="76"/>
      <c r="R899" s="76"/>
      <c r="S899" s="76"/>
      <c r="Y899" s="95" t="s">
        <v>9725</v>
      </c>
      <c r="AC899" s="95" t="s">
        <v>9739</v>
      </c>
      <c r="AI899" s="95" t="s">
        <v>9725</v>
      </c>
      <c r="AW899" s="95">
        <v>110</v>
      </c>
      <c r="BC899" s="96" t="s">
        <v>9726</v>
      </c>
      <c r="BD899" s="99">
        <f t="shared" ref="BD899:BD962" si="28">CC899+CV899</f>
        <v>1</v>
      </c>
      <c r="BM899" s="69" t="s">
        <v>10007</v>
      </c>
      <c r="BP899" s="69" t="s">
        <v>8541</v>
      </c>
      <c r="BR899" s="95" t="s">
        <v>8541</v>
      </c>
      <c r="CC899" s="99">
        <v>1</v>
      </c>
      <c r="CV899" s="99"/>
      <c r="CW899" s="63"/>
    </row>
    <row r="900" spans="1:101" x14ac:dyDescent="0.15">
      <c r="A900" s="76">
        <v>819</v>
      </c>
      <c r="B900" s="74" t="s">
        <v>7466</v>
      </c>
      <c r="C900" s="74" t="s">
        <v>7467</v>
      </c>
      <c r="D900" s="78" t="str">
        <f t="shared" si="27"/>
        <v>https://portal.dnb.de/opac.htm?method=simpleSearch&amp;cqlMode=true&amp;query=idn%3D102122748X</v>
      </c>
      <c r="E900" s="74" t="s">
        <v>7468</v>
      </c>
      <c r="F900" s="74"/>
      <c r="G900" s="76"/>
      <c r="H900" s="77"/>
      <c r="I900" s="76"/>
      <c r="J900" s="77"/>
      <c r="K900" s="77"/>
      <c r="L900" s="76"/>
      <c r="M900" s="76"/>
      <c r="N900" s="76"/>
      <c r="O900" s="76"/>
      <c r="P900" s="76"/>
      <c r="Q900" s="76"/>
      <c r="R900" s="76"/>
      <c r="S900" s="76"/>
      <c r="BD900" s="99">
        <f t="shared" si="28"/>
        <v>0</v>
      </c>
      <c r="CC900" s="99"/>
      <c r="CV900" s="99"/>
      <c r="CW900" s="63"/>
    </row>
    <row r="901" spans="1:101" x14ac:dyDescent="0.15">
      <c r="A901" s="76">
        <v>820</v>
      </c>
      <c r="B901" s="74" t="s">
        <v>7469</v>
      </c>
      <c r="C901" s="74">
        <v>1038075645</v>
      </c>
      <c r="D901" s="78" t="str">
        <f t="shared" si="27"/>
        <v>https://portal.dnb.de/opac.htm?method=simpleSearch&amp;cqlMode=true&amp;query=idn%3D1038075645</v>
      </c>
      <c r="E901" s="74" t="s">
        <v>7468</v>
      </c>
      <c r="F901" s="74"/>
      <c r="G901" s="76"/>
      <c r="H901" s="77"/>
      <c r="I901" s="76"/>
      <c r="J901" s="77"/>
      <c r="K901" s="77"/>
      <c r="L901" s="76"/>
      <c r="M901" s="76"/>
      <c r="N901" s="76"/>
      <c r="O901" s="76"/>
      <c r="P901" s="76"/>
      <c r="Q901" s="76"/>
      <c r="R901" s="76"/>
      <c r="S901" s="76"/>
      <c r="BD901" s="99">
        <f t="shared" si="28"/>
        <v>0</v>
      </c>
      <c r="CC901" s="99"/>
      <c r="CV901" s="99"/>
      <c r="CW901" s="63"/>
    </row>
    <row r="902" spans="1:101" x14ac:dyDescent="0.15">
      <c r="A902" s="76">
        <v>821</v>
      </c>
      <c r="B902" s="74" t="s">
        <v>7470</v>
      </c>
      <c r="C902" s="74">
        <v>1021227927</v>
      </c>
      <c r="D902" s="78" t="str">
        <f t="shared" si="27"/>
        <v>https://portal.dnb.de/opac.htm?method=simpleSearch&amp;cqlMode=true&amp;query=idn%3D1021227927</v>
      </c>
      <c r="E902" s="74" t="s">
        <v>7468</v>
      </c>
      <c r="F902" s="74"/>
      <c r="G902" s="76"/>
      <c r="H902" s="77"/>
      <c r="I902" s="76"/>
      <c r="J902" s="77"/>
      <c r="K902" s="77"/>
      <c r="L902" s="76"/>
      <c r="M902" s="76"/>
      <c r="N902" s="76"/>
      <c r="O902" s="76"/>
      <c r="P902" s="76"/>
      <c r="Q902" s="76"/>
      <c r="R902" s="76"/>
      <c r="S902" s="76"/>
      <c r="BD902" s="99">
        <f t="shared" si="28"/>
        <v>0</v>
      </c>
      <c r="CC902" s="99"/>
      <c r="CV902" s="99"/>
      <c r="CW902" s="63"/>
    </row>
    <row r="903" spans="1:101" x14ac:dyDescent="0.15">
      <c r="A903" s="76">
        <v>822</v>
      </c>
      <c r="B903" s="74" t="s">
        <v>7483</v>
      </c>
      <c r="C903" s="74">
        <v>994516134</v>
      </c>
      <c r="D903" s="78" t="str">
        <f t="shared" si="27"/>
        <v>https://portal.dnb.de/opac.htm?method=simpleSearch&amp;cqlMode=true&amp;query=idn%3D994516134</v>
      </c>
      <c r="E903" s="74" t="s">
        <v>7484</v>
      </c>
      <c r="F903" s="74"/>
      <c r="G903" s="76"/>
      <c r="H903" s="77" t="s">
        <v>4</v>
      </c>
      <c r="I903" s="76" t="s">
        <v>53</v>
      </c>
      <c r="J903" s="77" t="s">
        <v>8516</v>
      </c>
      <c r="K903" s="77"/>
      <c r="L903" s="76"/>
      <c r="M903" s="76"/>
      <c r="N903" s="76"/>
      <c r="O903" s="76">
        <v>2</v>
      </c>
      <c r="P903" s="76"/>
      <c r="Q903" s="76"/>
      <c r="R903" s="76" t="s">
        <v>8856</v>
      </c>
      <c r="S903" s="76"/>
      <c r="Y903" s="95" t="s">
        <v>9729</v>
      </c>
      <c r="AC903" s="95" t="s">
        <v>9724</v>
      </c>
      <c r="AI903" s="95" t="s">
        <v>9725</v>
      </c>
      <c r="AW903" s="95">
        <v>60</v>
      </c>
      <c r="BC903" s="96" t="s">
        <v>9726</v>
      </c>
      <c r="BD903" s="99">
        <f t="shared" si="28"/>
        <v>0.5</v>
      </c>
      <c r="BP903" s="69" t="s">
        <v>8541</v>
      </c>
      <c r="BQ903" s="95" t="s">
        <v>8541</v>
      </c>
      <c r="BR903" s="95" t="s">
        <v>8541</v>
      </c>
      <c r="CC903" s="99">
        <v>0.5</v>
      </c>
      <c r="CV903" s="99"/>
      <c r="CW903" s="63"/>
    </row>
    <row r="904" spans="1:101" x14ac:dyDescent="0.15">
      <c r="A904" s="76">
        <v>823</v>
      </c>
      <c r="B904" s="74" t="s">
        <v>7485</v>
      </c>
      <c r="C904" s="74">
        <v>994516142</v>
      </c>
      <c r="D904" s="78" t="str">
        <f t="shared" si="27"/>
        <v>https://portal.dnb.de/opac.htm?method=simpleSearch&amp;cqlMode=true&amp;query=idn%3D994516142</v>
      </c>
      <c r="E904" s="74" t="s">
        <v>10058</v>
      </c>
      <c r="F904" s="74"/>
      <c r="G904" s="76"/>
      <c r="H904" s="77"/>
      <c r="I904" s="76"/>
      <c r="J904" s="77"/>
      <c r="K904" s="77"/>
      <c r="L904" s="76"/>
      <c r="M904" s="76"/>
      <c r="N904" s="76"/>
      <c r="O904" s="76"/>
      <c r="P904" s="76"/>
      <c r="Q904" s="76"/>
      <c r="R904" s="76" t="s">
        <v>8856</v>
      </c>
      <c r="S904" s="76"/>
      <c r="BD904" s="99">
        <f t="shared" si="28"/>
        <v>0</v>
      </c>
      <c r="CC904" s="99"/>
      <c r="CV904" s="99"/>
      <c r="CW904" s="63"/>
    </row>
    <row r="905" spans="1:101" x14ac:dyDescent="0.15">
      <c r="A905" s="76">
        <v>824</v>
      </c>
      <c r="B905" s="74" t="s">
        <v>7486</v>
      </c>
      <c r="C905" s="74">
        <v>1000008479</v>
      </c>
      <c r="D905" s="78" t="str">
        <f t="shared" si="27"/>
        <v>https://portal.dnb.de/opac.htm?method=simpleSearch&amp;cqlMode=true&amp;query=idn%3D1000008479</v>
      </c>
      <c r="E905" s="74" t="s">
        <v>10058</v>
      </c>
      <c r="F905" s="74"/>
      <c r="G905" s="76"/>
      <c r="H905" s="77"/>
      <c r="I905" s="76"/>
      <c r="J905" s="77"/>
      <c r="K905" s="77"/>
      <c r="L905" s="76"/>
      <c r="M905" s="76"/>
      <c r="N905" s="76"/>
      <c r="O905" s="76"/>
      <c r="P905" s="76"/>
      <c r="Q905" s="76"/>
      <c r="R905" s="76"/>
      <c r="S905" s="76"/>
      <c r="BD905" s="99">
        <f t="shared" si="28"/>
        <v>0</v>
      </c>
      <c r="CC905" s="99"/>
      <c r="CV905" s="99"/>
      <c r="CW905" s="63"/>
    </row>
    <row r="906" spans="1:101" x14ac:dyDescent="0.15">
      <c r="A906" s="76">
        <v>825</v>
      </c>
      <c r="B906" s="74" t="s">
        <v>7495</v>
      </c>
      <c r="C906" s="74">
        <v>999727052</v>
      </c>
      <c r="D906" s="78" t="str">
        <f t="shared" si="27"/>
        <v>https://portal.dnb.de/opac.htm?method=simpleSearch&amp;cqlMode=true&amp;query=idn%3D999727052</v>
      </c>
      <c r="E906" s="74" t="s">
        <v>7496</v>
      </c>
      <c r="F906" s="74"/>
      <c r="G906" s="76"/>
      <c r="H906" s="77"/>
      <c r="I906" s="76"/>
      <c r="J906" s="77"/>
      <c r="K906" s="77"/>
      <c r="L906" s="76"/>
      <c r="M906" s="76"/>
      <c r="N906" s="76"/>
      <c r="O906" s="76"/>
      <c r="P906" s="76"/>
      <c r="Q906" s="76"/>
      <c r="R906" s="76"/>
      <c r="S906" s="76"/>
      <c r="BD906" s="99">
        <f t="shared" si="28"/>
        <v>0</v>
      </c>
      <c r="CC906" s="99"/>
      <c r="CV906" s="99"/>
      <c r="CW906" s="63"/>
    </row>
    <row r="907" spans="1:101" ht="22.5" x14ac:dyDescent="0.15">
      <c r="A907" s="76">
        <v>826</v>
      </c>
      <c r="B907" s="74" t="s">
        <v>7497</v>
      </c>
      <c r="C907" s="74">
        <v>994578598</v>
      </c>
      <c r="D907" s="78" t="str">
        <f t="shared" si="27"/>
        <v>https://portal.dnb.de/opac.htm?method=simpleSearch&amp;cqlMode=true&amp;query=idn%3D994578598</v>
      </c>
      <c r="E907" s="74" t="s">
        <v>7498</v>
      </c>
      <c r="F907" s="74"/>
      <c r="G907" s="76"/>
      <c r="H907" s="77" t="s">
        <v>18</v>
      </c>
      <c r="I907" s="76" t="s">
        <v>53</v>
      </c>
      <c r="J907" s="77" t="s">
        <v>58</v>
      </c>
      <c r="K907" s="77" t="s">
        <v>8554</v>
      </c>
      <c r="L907" s="76"/>
      <c r="M907" s="76" t="s">
        <v>36</v>
      </c>
      <c r="N907" s="76" t="s">
        <v>39</v>
      </c>
      <c r="O907" s="76">
        <v>2</v>
      </c>
      <c r="P907" s="76"/>
      <c r="Q907" s="76"/>
      <c r="R907" s="76"/>
      <c r="S907" s="76"/>
      <c r="BD907" s="99">
        <f t="shared" si="28"/>
        <v>0</v>
      </c>
      <c r="CC907" s="99"/>
      <c r="CV907" s="99"/>
      <c r="CW907" s="63"/>
    </row>
    <row r="908" spans="1:101" x14ac:dyDescent="0.15">
      <c r="A908" s="76">
        <v>827</v>
      </c>
      <c r="B908" s="74" t="s">
        <v>7499</v>
      </c>
      <c r="C908" s="74">
        <v>995700729</v>
      </c>
      <c r="D908" s="78" t="str">
        <f t="shared" si="27"/>
        <v>https://portal.dnb.de/opac.htm?method=simpleSearch&amp;cqlMode=true&amp;query=idn%3D995700729</v>
      </c>
      <c r="E908" s="74" t="s">
        <v>7500</v>
      </c>
      <c r="F908" s="74"/>
      <c r="G908" s="76"/>
      <c r="H908" s="77"/>
      <c r="I908" s="76"/>
      <c r="J908" s="77"/>
      <c r="K908" s="77"/>
      <c r="L908" s="76"/>
      <c r="M908" s="76"/>
      <c r="N908" s="76"/>
      <c r="O908" s="76"/>
      <c r="P908" s="76"/>
      <c r="Q908" s="76"/>
      <c r="R908" s="76"/>
      <c r="S908" s="76"/>
      <c r="BD908" s="99">
        <f t="shared" si="28"/>
        <v>0</v>
      </c>
      <c r="CC908" s="99"/>
      <c r="CV908" s="99"/>
      <c r="CW908" s="63"/>
    </row>
    <row r="909" spans="1:101" x14ac:dyDescent="0.15">
      <c r="A909" s="76">
        <v>828</v>
      </c>
      <c r="B909" s="74" t="s">
        <v>7505</v>
      </c>
      <c r="C909" s="74">
        <v>19775253</v>
      </c>
      <c r="D909" s="78" t="str">
        <f t="shared" si="27"/>
        <v>https://portal.dnb.de/opac.htm?method=simpleSearch&amp;cqlMode=true&amp;query=idn%3D19775253</v>
      </c>
      <c r="E909" s="74" t="s">
        <v>8864</v>
      </c>
      <c r="F909" s="74"/>
      <c r="G909" s="76"/>
      <c r="H909" s="77" t="s">
        <v>4</v>
      </c>
      <c r="I909" s="76" t="s">
        <v>53</v>
      </c>
      <c r="J909" s="77" t="s">
        <v>8516</v>
      </c>
      <c r="K909" s="77" t="s">
        <v>8520</v>
      </c>
      <c r="L909" s="76"/>
      <c r="M909" s="76"/>
      <c r="N909" s="76" t="s">
        <v>8660</v>
      </c>
      <c r="O909" s="76">
        <v>1</v>
      </c>
      <c r="P909" s="76"/>
      <c r="Q909" s="76"/>
      <c r="R909" s="76"/>
      <c r="S909" s="76"/>
      <c r="BD909" s="99">
        <f t="shared" si="28"/>
        <v>0</v>
      </c>
      <c r="CC909" s="99"/>
      <c r="CV909" s="99"/>
      <c r="CW909" s="63"/>
    </row>
    <row r="910" spans="1:101" x14ac:dyDescent="0.15">
      <c r="A910" s="76"/>
      <c r="B910" s="74"/>
      <c r="C910" s="74"/>
      <c r="D910" s="78"/>
      <c r="E910" s="74" t="s">
        <v>8865</v>
      </c>
      <c r="F910" s="74"/>
      <c r="G910" s="76"/>
      <c r="H910" s="77" t="s">
        <v>4</v>
      </c>
      <c r="I910" s="76" t="s">
        <v>53</v>
      </c>
      <c r="J910" s="77" t="s">
        <v>8516</v>
      </c>
      <c r="K910" s="77" t="s">
        <v>84</v>
      </c>
      <c r="L910" s="76"/>
      <c r="M910" s="76"/>
      <c r="N910" s="76" t="s">
        <v>8660</v>
      </c>
      <c r="O910" s="76">
        <v>1</v>
      </c>
      <c r="P910" s="76"/>
      <c r="Q910" s="76"/>
      <c r="R910" s="76"/>
      <c r="S910" s="76"/>
      <c r="BD910" s="99">
        <f t="shared" si="28"/>
        <v>0</v>
      </c>
      <c r="CC910" s="99"/>
      <c r="CV910" s="99"/>
      <c r="CW910" s="63"/>
    </row>
    <row r="911" spans="1:101" x14ac:dyDescent="0.15">
      <c r="A911" s="76"/>
      <c r="B911" s="74"/>
      <c r="C911" s="74"/>
      <c r="D911" s="78"/>
      <c r="E911" s="74" t="s">
        <v>8866</v>
      </c>
      <c r="F911" s="74"/>
      <c r="G911" s="76"/>
      <c r="H911" s="77" t="s">
        <v>4</v>
      </c>
      <c r="I911" s="76" t="s">
        <v>53</v>
      </c>
      <c r="J911" s="77" t="s">
        <v>8516</v>
      </c>
      <c r="K911" s="77" t="s">
        <v>8520</v>
      </c>
      <c r="L911" s="76"/>
      <c r="M911" s="76"/>
      <c r="N911" s="76" t="s">
        <v>8660</v>
      </c>
      <c r="O911" s="76">
        <v>1</v>
      </c>
      <c r="P911" s="76"/>
      <c r="Q911" s="76"/>
      <c r="R911" s="76"/>
      <c r="S911" s="76"/>
      <c r="BD911" s="99">
        <f t="shared" si="28"/>
        <v>0</v>
      </c>
      <c r="CC911" s="99"/>
      <c r="CV911" s="99"/>
      <c r="CW911" s="63"/>
    </row>
    <row r="912" spans="1:101" x14ac:dyDescent="0.15">
      <c r="A912" s="76"/>
      <c r="B912" s="74"/>
      <c r="C912" s="74"/>
      <c r="D912" s="78"/>
      <c r="E912" s="74" t="s">
        <v>8867</v>
      </c>
      <c r="F912" s="74"/>
      <c r="G912" s="76"/>
      <c r="H912" s="77" t="s">
        <v>4</v>
      </c>
      <c r="I912" s="76" t="s">
        <v>53</v>
      </c>
      <c r="J912" s="77" t="s">
        <v>8516</v>
      </c>
      <c r="K912" s="77" t="s">
        <v>8520</v>
      </c>
      <c r="L912" s="76"/>
      <c r="M912" s="76"/>
      <c r="N912" s="76" t="s">
        <v>8660</v>
      </c>
      <c r="O912" s="76">
        <v>1</v>
      </c>
      <c r="P912" s="76"/>
      <c r="Q912" s="76"/>
      <c r="R912" s="76"/>
      <c r="S912" s="76"/>
      <c r="BD912" s="99">
        <f t="shared" si="28"/>
        <v>0</v>
      </c>
      <c r="CC912" s="99"/>
      <c r="CV912" s="99"/>
      <c r="CW912" s="63"/>
    </row>
    <row r="913" spans="1:101" x14ac:dyDescent="0.15">
      <c r="A913" s="76"/>
      <c r="B913" s="74"/>
      <c r="C913" s="74"/>
      <c r="D913" s="78"/>
      <c r="E913" s="74" t="s">
        <v>8868</v>
      </c>
      <c r="F913" s="74"/>
      <c r="G913" s="76"/>
      <c r="H913" s="77" t="s">
        <v>4</v>
      </c>
      <c r="I913" s="76" t="s">
        <v>53</v>
      </c>
      <c r="J913" s="77" t="s">
        <v>8516</v>
      </c>
      <c r="K913" s="77" t="s">
        <v>8520</v>
      </c>
      <c r="L913" s="76"/>
      <c r="M913" s="76"/>
      <c r="N913" s="76"/>
      <c r="O913" s="76"/>
      <c r="P913" s="76"/>
      <c r="Q913" s="76"/>
      <c r="R913" s="76"/>
      <c r="S913" s="76"/>
      <c r="BD913" s="99">
        <f t="shared" si="28"/>
        <v>0</v>
      </c>
      <c r="CC913" s="99"/>
      <c r="CV913" s="99"/>
      <c r="CW913" s="63"/>
    </row>
    <row r="914" spans="1:101" x14ac:dyDescent="0.15">
      <c r="A914" s="76">
        <v>829</v>
      </c>
      <c r="B914" s="74" t="s">
        <v>7506</v>
      </c>
      <c r="C914" s="74">
        <v>994406592</v>
      </c>
      <c r="D914" s="78" t="str">
        <f t="shared" si="27"/>
        <v>https://portal.dnb.de/opac.htm?method=simpleSearch&amp;cqlMode=true&amp;query=idn%3D994406592</v>
      </c>
      <c r="E914" s="74" t="s">
        <v>7507</v>
      </c>
      <c r="F914" s="74"/>
      <c r="G914" s="76"/>
      <c r="H914" s="77"/>
      <c r="I914" s="76"/>
      <c r="J914" s="77"/>
      <c r="K914" s="77"/>
      <c r="L914" s="76"/>
      <c r="M914" s="76"/>
      <c r="N914" s="76"/>
      <c r="O914" s="76"/>
      <c r="P914" s="76"/>
      <c r="Q914" s="76"/>
      <c r="R914" s="76"/>
      <c r="S914" s="76"/>
      <c r="BD914" s="99">
        <f t="shared" si="28"/>
        <v>0</v>
      </c>
      <c r="CC914" s="99"/>
      <c r="CV914" s="99"/>
      <c r="CW914" s="63"/>
    </row>
    <row r="915" spans="1:101" x14ac:dyDescent="0.15">
      <c r="A915" s="76">
        <v>830</v>
      </c>
      <c r="B915" s="74" t="s">
        <v>7508</v>
      </c>
      <c r="C915" s="74">
        <v>1002495741</v>
      </c>
      <c r="D915" s="78" t="str">
        <f t="shared" si="27"/>
        <v>https://portal.dnb.de/opac.htm?method=simpleSearch&amp;cqlMode=true&amp;query=idn%3D1002495741</v>
      </c>
      <c r="E915" s="74" t="s">
        <v>7509</v>
      </c>
      <c r="F915" s="74"/>
      <c r="G915" s="76"/>
      <c r="H915" s="77"/>
      <c r="I915" s="76"/>
      <c r="J915" s="77"/>
      <c r="K915" s="77"/>
      <c r="L915" s="76"/>
      <c r="M915" s="76"/>
      <c r="N915" s="76"/>
      <c r="O915" s="76"/>
      <c r="P915" s="76"/>
      <c r="Q915" s="76"/>
      <c r="R915" s="76"/>
      <c r="S915" s="76"/>
      <c r="BD915" s="99">
        <f t="shared" si="28"/>
        <v>0</v>
      </c>
      <c r="CC915" s="99"/>
      <c r="CV915" s="99"/>
      <c r="CW915" s="63"/>
    </row>
    <row r="916" spans="1:101" x14ac:dyDescent="0.15">
      <c r="A916" s="76">
        <v>831</v>
      </c>
      <c r="B916" s="74" t="s">
        <v>7510</v>
      </c>
      <c r="C916" s="74" t="s">
        <v>7511</v>
      </c>
      <c r="D916" s="78" t="str">
        <f t="shared" si="27"/>
        <v>https://portal.dnb.de/opac.htm?method=simpleSearch&amp;cqlMode=true&amp;query=idn%3D100249558X</v>
      </c>
      <c r="E916" s="74" t="s">
        <v>7509</v>
      </c>
      <c r="F916" s="74"/>
      <c r="G916" s="76"/>
      <c r="H916" s="77"/>
      <c r="I916" s="76"/>
      <c r="J916" s="77"/>
      <c r="K916" s="77"/>
      <c r="L916" s="76"/>
      <c r="M916" s="76"/>
      <c r="N916" s="76"/>
      <c r="O916" s="76"/>
      <c r="P916" s="76"/>
      <c r="Q916" s="76"/>
      <c r="R916" s="76"/>
      <c r="S916" s="76"/>
      <c r="BD916" s="99">
        <f t="shared" si="28"/>
        <v>0</v>
      </c>
      <c r="CC916" s="99"/>
      <c r="CV916" s="99"/>
      <c r="CW916" s="63"/>
    </row>
    <row r="917" spans="1:101" x14ac:dyDescent="0.15">
      <c r="A917" s="76">
        <v>832</v>
      </c>
      <c r="B917" s="74" t="s">
        <v>7512</v>
      </c>
      <c r="C917" s="74">
        <v>1002495636</v>
      </c>
      <c r="D917" s="78" t="str">
        <f t="shared" si="27"/>
        <v>https://portal.dnb.de/opac.htm?method=simpleSearch&amp;cqlMode=true&amp;query=idn%3D1002495636</v>
      </c>
      <c r="E917" s="74" t="s">
        <v>7509</v>
      </c>
      <c r="F917" s="74"/>
      <c r="G917" s="76"/>
      <c r="H917" s="77"/>
      <c r="I917" s="76"/>
      <c r="J917" s="77"/>
      <c r="K917" s="77"/>
      <c r="L917" s="76"/>
      <c r="M917" s="76"/>
      <c r="N917" s="76"/>
      <c r="O917" s="76"/>
      <c r="P917" s="76"/>
      <c r="Q917" s="76"/>
      <c r="R917" s="76"/>
      <c r="S917" s="76"/>
      <c r="BD917" s="99">
        <f t="shared" si="28"/>
        <v>0</v>
      </c>
      <c r="CC917" s="99"/>
      <c r="CV917" s="99"/>
      <c r="CW917" s="63"/>
    </row>
    <row r="918" spans="1:101" x14ac:dyDescent="0.15">
      <c r="A918" s="76">
        <v>833</v>
      </c>
      <c r="B918" s="74" t="s">
        <v>7513</v>
      </c>
      <c r="C918" s="74">
        <v>1002495709</v>
      </c>
      <c r="D918" s="78" t="str">
        <f t="shared" si="27"/>
        <v>https://portal.dnb.de/opac.htm?method=simpleSearch&amp;cqlMode=true&amp;query=idn%3D1002495709</v>
      </c>
      <c r="E918" s="74" t="s">
        <v>7509</v>
      </c>
      <c r="F918" s="74"/>
      <c r="G918" s="76"/>
      <c r="H918" s="77"/>
      <c r="I918" s="76"/>
      <c r="J918" s="77"/>
      <c r="K918" s="77"/>
      <c r="L918" s="76"/>
      <c r="M918" s="76"/>
      <c r="N918" s="76"/>
      <c r="O918" s="76"/>
      <c r="P918" s="76"/>
      <c r="Q918" s="76"/>
      <c r="R918" s="76"/>
      <c r="S918" s="76"/>
      <c r="BD918" s="99">
        <f t="shared" si="28"/>
        <v>0</v>
      </c>
      <c r="CC918" s="99"/>
      <c r="CV918" s="99"/>
      <c r="CW918" s="63"/>
    </row>
    <row r="919" spans="1:101" ht="33.75" x14ac:dyDescent="0.15">
      <c r="A919" s="76">
        <v>834</v>
      </c>
      <c r="B919" s="74" t="s">
        <v>7514</v>
      </c>
      <c r="C919" s="74">
        <v>997062673</v>
      </c>
      <c r="D919" s="78" t="str">
        <f t="shared" si="27"/>
        <v>https://portal.dnb.de/opac.htm?method=simpleSearch&amp;cqlMode=true&amp;query=idn%3D997062673</v>
      </c>
      <c r="E919" s="74" t="s">
        <v>7515</v>
      </c>
      <c r="F919" s="74"/>
      <c r="G919" s="76"/>
      <c r="H919" s="77" t="s">
        <v>8546</v>
      </c>
      <c r="I919" s="76" t="s">
        <v>53</v>
      </c>
      <c r="J919" s="77" t="s">
        <v>89</v>
      </c>
      <c r="K919" s="77" t="s">
        <v>84</v>
      </c>
      <c r="L919" s="76"/>
      <c r="M919" s="76" t="s">
        <v>32</v>
      </c>
      <c r="N919" s="76" t="s">
        <v>40</v>
      </c>
      <c r="O919" s="76">
        <v>0</v>
      </c>
      <c r="P919" s="76"/>
      <c r="Q919" s="76"/>
      <c r="R919" s="76"/>
      <c r="S919" s="76"/>
      <c r="X919" s="95" t="s">
        <v>8541</v>
      </c>
      <c r="Y919" s="95" t="s">
        <v>9736</v>
      </c>
      <c r="AC919" s="95" t="s">
        <v>9737</v>
      </c>
      <c r="AI919" s="95" t="s">
        <v>9725</v>
      </c>
      <c r="AU919" s="95">
        <v>2</v>
      </c>
      <c r="AV919" s="95" t="s">
        <v>8541</v>
      </c>
      <c r="AW919" s="95">
        <v>60</v>
      </c>
      <c r="BC919" s="96" t="s">
        <v>9726</v>
      </c>
      <c r="BD919" s="99">
        <f t="shared" si="28"/>
        <v>2</v>
      </c>
      <c r="BF919" s="95" t="s">
        <v>10005</v>
      </c>
      <c r="BP919" s="69" t="s">
        <v>8541</v>
      </c>
      <c r="BR919" s="95" t="s">
        <v>8541</v>
      </c>
      <c r="BT919" s="95" t="s">
        <v>9775</v>
      </c>
      <c r="CC919" s="99">
        <v>2</v>
      </c>
      <c r="CD919" s="90" t="s">
        <v>10059</v>
      </c>
      <c r="CV919" s="99"/>
      <c r="CW919" s="63"/>
    </row>
    <row r="920" spans="1:101" x14ac:dyDescent="0.15">
      <c r="A920" s="76">
        <v>835</v>
      </c>
      <c r="B920" s="74" t="s">
        <v>7534</v>
      </c>
      <c r="C920" s="74" t="s">
        <v>7535</v>
      </c>
      <c r="D920" s="78" t="str">
        <f t="shared" si="27"/>
        <v>https://portal.dnb.de/opac.htm?method=simpleSearch&amp;cqlMode=true&amp;query=idn%3D99924700X</v>
      </c>
      <c r="E920" s="74" t="s">
        <v>7536</v>
      </c>
      <c r="F920" s="74"/>
      <c r="G920" s="76"/>
      <c r="H920" s="77" t="s">
        <v>48</v>
      </c>
      <c r="I920" s="76" t="s">
        <v>53</v>
      </c>
      <c r="J920" s="77" t="s">
        <v>8516</v>
      </c>
      <c r="K920" s="77" t="s">
        <v>84</v>
      </c>
      <c r="L920" s="76"/>
      <c r="M920" s="76" t="s">
        <v>32</v>
      </c>
      <c r="N920" s="76" t="s">
        <v>40</v>
      </c>
      <c r="O920" s="76">
        <v>0</v>
      </c>
      <c r="P920" s="76"/>
      <c r="Q920" s="76"/>
      <c r="R920" s="76"/>
      <c r="S920" s="76"/>
      <c r="BD920" s="99">
        <f t="shared" si="28"/>
        <v>0</v>
      </c>
      <c r="CC920" s="99"/>
      <c r="CV920" s="99"/>
      <c r="CW920" s="63"/>
    </row>
    <row r="921" spans="1:101" ht="33.75" x14ac:dyDescent="0.15">
      <c r="A921" s="76">
        <v>836</v>
      </c>
      <c r="B921" s="74" t="s">
        <v>7537</v>
      </c>
      <c r="C921" s="74">
        <v>999475282</v>
      </c>
      <c r="D921" s="78" t="str">
        <f t="shared" si="27"/>
        <v>https://portal.dnb.de/opac.htm?method=simpleSearch&amp;cqlMode=true&amp;query=idn%3D999475282</v>
      </c>
      <c r="E921" s="74" t="s">
        <v>7538</v>
      </c>
      <c r="F921" s="74"/>
      <c r="G921" s="76"/>
      <c r="H921" s="77" t="s">
        <v>8674</v>
      </c>
      <c r="I921" s="76" t="s">
        <v>53</v>
      </c>
      <c r="J921" s="77" t="s">
        <v>8516</v>
      </c>
      <c r="K921" s="77" t="s">
        <v>84</v>
      </c>
      <c r="L921" s="76"/>
      <c r="M921" s="76" t="s">
        <v>37</v>
      </c>
      <c r="N921" s="76" t="s">
        <v>40</v>
      </c>
      <c r="O921" s="76">
        <v>0</v>
      </c>
      <c r="P921" s="76"/>
      <c r="Q921" s="76"/>
      <c r="R921" s="76"/>
      <c r="S921" s="76"/>
      <c r="BD921" s="99">
        <f t="shared" si="28"/>
        <v>0</v>
      </c>
      <c r="CC921" s="99"/>
      <c r="CV921" s="99"/>
      <c r="CW921" s="63"/>
    </row>
    <row r="922" spans="1:101" x14ac:dyDescent="0.15">
      <c r="A922" s="76">
        <v>837</v>
      </c>
      <c r="B922" s="74" t="s">
        <v>7539</v>
      </c>
      <c r="C922" s="74">
        <v>999042580</v>
      </c>
      <c r="D922" s="78" t="str">
        <f t="shared" si="27"/>
        <v>https://portal.dnb.de/opac.htm?method=simpleSearch&amp;cqlMode=true&amp;query=idn%3D999042580</v>
      </c>
      <c r="E922" s="74" t="s">
        <v>7540</v>
      </c>
      <c r="F922" s="74"/>
      <c r="G922" s="76"/>
      <c r="H922" s="77" t="s">
        <v>6</v>
      </c>
      <c r="I922" s="76" t="s">
        <v>53</v>
      </c>
      <c r="J922" s="77" t="s">
        <v>89</v>
      </c>
      <c r="K922" s="77" t="s">
        <v>84</v>
      </c>
      <c r="L922" s="76"/>
      <c r="M922" s="76"/>
      <c r="N922" s="76"/>
      <c r="O922" s="76">
        <v>0</v>
      </c>
      <c r="P922" s="76"/>
      <c r="Q922" s="76"/>
      <c r="R922" s="76"/>
      <c r="S922" s="76"/>
      <c r="BD922" s="99">
        <f t="shared" si="28"/>
        <v>0</v>
      </c>
      <c r="CC922" s="99"/>
      <c r="CV922" s="99"/>
      <c r="CW922" s="63"/>
    </row>
    <row r="923" spans="1:101" x14ac:dyDescent="0.15">
      <c r="A923" s="76">
        <v>838</v>
      </c>
      <c r="B923" s="74" t="s">
        <v>7541</v>
      </c>
      <c r="C923" s="74">
        <v>1066753865</v>
      </c>
      <c r="D923" s="78" t="str">
        <f t="shared" si="27"/>
        <v>https://portal.dnb.de/opac.htm?method=simpleSearch&amp;cqlMode=true&amp;query=idn%3D1066753865</v>
      </c>
      <c r="E923" s="74" t="s">
        <v>7540</v>
      </c>
      <c r="F923" s="74"/>
      <c r="G923" s="76"/>
      <c r="H923" s="77"/>
      <c r="I923" s="76"/>
      <c r="J923" s="77"/>
      <c r="K923" s="77"/>
      <c r="L923" s="76"/>
      <c r="M923" s="76"/>
      <c r="N923" s="76"/>
      <c r="O923" s="76"/>
      <c r="P923" s="76"/>
      <c r="Q923" s="76"/>
      <c r="R923" s="76"/>
      <c r="S923" s="76"/>
      <c r="BD923" s="99">
        <f t="shared" si="28"/>
        <v>0</v>
      </c>
      <c r="CC923" s="99"/>
      <c r="CV923" s="99"/>
      <c r="CW923" s="63"/>
    </row>
    <row r="924" spans="1:101" ht="22.5" x14ac:dyDescent="0.15">
      <c r="A924" s="76">
        <v>839</v>
      </c>
      <c r="B924" s="74" t="s">
        <v>7542</v>
      </c>
      <c r="C924" s="74">
        <v>1066836043</v>
      </c>
      <c r="D924" s="78" t="str">
        <f t="shared" si="27"/>
        <v>https://portal.dnb.de/opac.htm?method=simpleSearch&amp;cqlMode=true&amp;query=idn%3D1066836043</v>
      </c>
      <c r="E924" s="74" t="s">
        <v>7543</v>
      </c>
      <c r="F924" s="74"/>
      <c r="G924" s="76"/>
      <c r="H924" s="77" t="s">
        <v>6</v>
      </c>
      <c r="I924" s="76" t="s">
        <v>53</v>
      </c>
      <c r="J924" s="77" t="s">
        <v>89</v>
      </c>
      <c r="K924" s="77" t="s">
        <v>8565</v>
      </c>
      <c r="L924" s="76"/>
      <c r="M924" s="76"/>
      <c r="N924" s="76"/>
      <c r="O924" s="76">
        <v>0</v>
      </c>
      <c r="P924" s="76"/>
      <c r="Q924" s="76"/>
      <c r="R924" s="76"/>
      <c r="S924" s="76"/>
      <c r="BD924" s="99">
        <f t="shared" si="28"/>
        <v>0</v>
      </c>
      <c r="CC924" s="99"/>
      <c r="CV924" s="99"/>
      <c r="CW924" s="63"/>
    </row>
    <row r="925" spans="1:101" x14ac:dyDescent="0.15">
      <c r="A925" s="76">
        <v>840</v>
      </c>
      <c r="B925" s="74" t="s">
        <v>7544</v>
      </c>
      <c r="C925" s="74">
        <v>1002282772</v>
      </c>
      <c r="D925" s="78" t="str">
        <f t="shared" si="27"/>
        <v>https://portal.dnb.de/opac.htm?method=simpleSearch&amp;cqlMode=true&amp;query=idn%3D1002282772</v>
      </c>
      <c r="E925" s="74" t="s">
        <v>7543</v>
      </c>
      <c r="F925" s="74"/>
      <c r="G925" s="76"/>
      <c r="H925" s="77"/>
      <c r="I925" s="76"/>
      <c r="J925" s="77"/>
      <c r="K925" s="77"/>
      <c r="L925" s="76"/>
      <c r="M925" s="76"/>
      <c r="N925" s="76"/>
      <c r="O925" s="76"/>
      <c r="P925" s="76"/>
      <c r="Q925" s="76"/>
      <c r="R925" s="76"/>
      <c r="S925" s="76"/>
      <c r="BD925" s="99">
        <f t="shared" si="28"/>
        <v>0</v>
      </c>
      <c r="CC925" s="99"/>
      <c r="CV925" s="99"/>
      <c r="CW925" s="63"/>
    </row>
    <row r="926" spans="1:101" x14ac:dyDescent="0.15">
      <c r="A926" s="76">
        <v>841</v>
      </c>
      <c r="B926" s="74" t="s">
        <v>7545</v>
      </c>
      <c r="C926" s="74">
        <v>1066936684</v>
      </c>
      <c r="D926" s="78" t="str">
        <f t="shared" si="27"/>
        <v>https://portal.dnb.de/opac.htm?method=simpleSearch&amp;cqlMode=true&amp;query=idn%3D1066936684</v>
      </c>
      <c r="E926" s="74" t="s">
        <v>7546</v>
      </c>
      <c r="F926" s="74"/>
      <c r="G926" s="76"/>
      <c r="H926" s="77"/>
      <c r="I926" s="76" t="s">
        <v>53</v>
      </c>
      <c r="J926" s="77"/>
      <c r="K926" s="77"/>
      <c r="L926" s="76"/>
      <c r="M926" s="76"/>
      <c r="N926" s="76"/>
      <c r="O926" s="76"/>
      <c r="P926" s="76"/>
      <c r="Q926" s="76"/>
      <c r="R926" s="76"/>
      <c r="S926" s="76"/>
      <c r="Y926" s="95" t="s">
        <v>9736</v>
      </c>
      <c r="AC926" s="95" t="s">
        <v>9737</v>
      </c>
      <c r="AI926" s="95" t="s">
        <v>9725</v>
      </c>
      <c r="AW926" s="95">
        <v>45</v>
      </c>
      <c r="BC926" s="96" t="s">
        <v>9726</v>
      </c>
      <c r="BD926" s="99">
        <f t="shared" si="28"/>
        <v>0.5</v>
      </c>
      <c r="BP926" s="69" t="s">
        <v>8541</v>
      </c>
      <c r="BQ926" s="95" t="s">
        <v>8541</v>
      </c>
      <c r="BR926" s="95" t="s">
        <v>8541</v>
      </c>
      <c r="CC926" s="99">
        <v>0.5</v>
      </c>
      <c r="CV926" s="99"/>
      <c r="CW926" s="63"/>
    </row>
    <row r="927" spans="1:101" x14ac:dyDescent="0.15">
      <c r="A927" s="76">
        <v>842</v>
      </c>
      <c r="B927" s="74" t="s">
        <v>7549</v>
      </c>
      <c r="C927" s="74">
        <v>12808628</v>
      </c>
      <c r="D927" s="78" t="str">
        <f t="shared" si="27"/>
        <v>https://portal.dnb.de/opac.htm?method=simpleSearch&amp;cqlMode=true&amp;query=idn%3D12808628</v>
      </c>
      <c r="E927" s="74" t="s">
        <v>7550</v>
      </c>
      <c r="F927" s="74"/>
      <c r="G927" s="76"/>
      <c r="H927" s="77"/>
      <c r="I927" s="76"/>
      <c r="J927" s="77"/>
      <c r="K927" s="77"/>
      <c r="L927" s="76"/>
      <c r="M927" s="76"/>
      <c r="N927" s="76"/>
      <c r="O927" s="76"/>
      <c r="P927" s="76"/>
      <c r="Q927" s="76"/>
      <c r="R927" s="76"/>
      <c r="S927" s="76"/>
      <c r="BD927" s="99">
        <f t="shared" si="28"/>
        <v>0</v>
      </c>
      <c r="CC927" s="99"/>
      <c r="CV927" s="99"/>
      <c r="CW927" s="63"/>
    </row>
    <row r="928" spans="1:101" x14ac:dyDescent="0.15">
      <c r="A928" s="76">
        <v>843</v>
      </c>
      <c r="B928" s="74" t="s">
        <v>7551</v>
      </c>
      <c r="C928" s="74">
        <v>1013707362</v>
      </c>
      <c r="D928" s="78" t="str">
        <f t="shared" si="27"/>
        <v>https://portal.dnb.de/opac.htm?method=simpleSearch&amp;cqlMode=true&amp;query=idn%3D1013707362</v>
      </c>
      <c r="E928" s="74" t="s">
        <v>7552</v>
      </c>
      <c r="F928" s="74"/>
      <c r="G928" s="76"/>
      <c r="H928" s="77" t="s">
        <v>8668</v>
      </c>
      <c r="I928" s="76" t="s">
        <v>53</v>
      </c>
      <c r="J928" s="77"/>
      <c r="K928" s="77"/>
      <c r="L928" s="76"/>
      <c r="M928" s="76" t="s">
        <v>33</v>
      </c>
      <c r="N928" s="76" t="s">
        <v>40</v>
      </c>
      <c r="O928" s="76">
        <v>0</v>
      </c>
      <c r="P928" s="76"/>
      <c r="Q928" s="76"/>
      <c r="R928" s="76"/>
      <c r="S928" s="76"/>
      <c r="BD928" s="99">
        <f t="shared" si="28"/>
        <v>0</v>
      </c>
      <c r="CC928" s="99"/>
      <c r="CV928" s="99"/>
      <c r="CW928" s="63"/>
    </row>
    <row r="929" spans="1:101" x14ac:dyDescent="0.15">
      <c r="A929" s="76">
        <v>844</v>
      </c>
      <c r="B929" s="74" t="s">
        <v>7547</v>
      </c>
      <c r="C929" s="74">
        <v>1211363902</v>
      </c>
      <c r="D929" s="78" t="str">
        <f t="shared" si="27"/>
        <v>https://portal.dnb.de/opac.htm?method=simpleSearch&amp;cqlMode=true&amp;query=idn%3D1211363902</v>
      </c>
      <c r="E929" s="74" t="s">
        <v>7548</v>
      </c>
      <c r="F929" s="74"/>
      <c r="G929" s="76"/>
      <c r="H929" s="77"/>
      <c r="I929" s="76"/>
      <c r="J929" s="77"/>
      <c r="K929" s="77"/>
      <c r="L929" s="76"/>
      <c r="M929" s="76"/>
      <c r="N929" s="76"/>
      <c r="O929" s="76"/>
      <c r="P929" s="76"/>
      <c r="Q929" s="76"/>
      <c r="R929" s="76"/>
      <c r="S929" s="76"/>
      <c r="BD929" s="99">
        <f t="shared" si="28"/>
        <v>0</v>
      </c>
      <c r="CC929" s="99"/>
      <c r="CV929" s="99"/>
      <c r="CW929" s="63"/>
    </row>
    <row r="930" spans="1:101" x14ac:dyDescent="0.15">
      <c r="A930" s="76">
        <v>845</v>
      </c>
      <c r="B930" s="74" t="s">
        <v>7578</v>
      </c>
      <c r="C930" s="74">
        <v>997277386</v>
      </c>
      <c r="D930" s="78" t="str">
        <f t="shared" si="27"/>
        <v>https://portal.dnb.de/opac.htm?method=simpleSearch&amp;cqlMode=true&amp;query=idn%3D997277386</v>
      </c>
      <c r="E930" s="74" t="s">
        <v>7579</v>
      </c>
      <c r="F930" s="74"/>
      <c r="G930" s="76"/>
      <c r="H930" s="77"/>
      <c r="I930" s="76"/>
      <c r="J930" s="77"/>
      <c r="K930" s="77"/>
      <c r="L930" s="76"/>
      <c r="M930" s="76"/>
      <c r="N930" s="76"/>
      <c r="O930" s="76"/>
      <c r="P930" s="76"/>
      <c r="Q930" s="76"/>
      <c r="R930" s="76"/>
      <c r="S930" s="76"/>
      <c r="BD930" s="99">
        <f t="shared" si="28"/>
        <v>0</v>
      </c>
      <c r="CC930" s="99"/>
      <c r="CV930" s="99"/>
      <c r="CW930" s="63"/>
    </row>
    <row r="931" spans="1:101" x14ac:dyDescent="0.15">
      <c r="A931" s="76">
        <v>846</v>
      </c>
      <c r="B931" s="74" t="s">
        <v>7553</v>
      </c>
      <c r="C931" s="74">
        <v>1000191702</v>
      </c>
      <c r="D931" s="78" t="str">
        <f t="shared" si="27"/>
        <v>https://portal.dnb.de/opac.htm?method=simpleSearch&amp;cqlMode=true&amp;query=idn%3D1000191702</v>
      </c>
      <c r="E931" s="74" t="s">
        <v>7554</v>
      </c>
      <c r="F931" s="74"/>
      <c r="G931" s="76"/>
      <c r="H931" s="77" t="s">
        <v>17</v>
      </c>
      <c r="I931" s="76" t="s">
        <v>53</v>
      </c>
      <c r="J931" s="77" t="s">
        <v>8516</v>
      </c>
      <c r="K931" s="77"/>
      <c r="L931" s="76"/>
      <c r="M931" s="76"/>
      <c r="N931" s="76" t="s">
        <v>8660</v>
      </c>
      <c r="O931" s="76">
        <v>0</v>
      </c>
      <c r="P931" s="76"/>
      <c r="Q931" s="76"/>
      <c r="R931" s="76"/>
      <c r="S931" s="76"/>
      <c r="BD931" s="99">
        <f t="shared" si="28"/>
        <v>0</v>
      </c>
      <c r="CC931" s="99"/>
      <c r="CV931" s="99"/>
      <c r="CW931" s="63"/>
    </row>
    <row r="932" spans="1:101" x14ac:dyDescent="0.15">
      <c r="A932" s="76">
        <v>847</v>
      </c>
      <c r="B932" s="74" t="s">
        <v>7616</v>
      </c>
      <c r="C932" s="74">
        <v>1066868840</v>
      </c>
      <c r="D932" s="78" t="str">
        <f t="shared" si="27"/>
        <v>https://portal.dnb.de/opac.htm?method=simpleSearch&amp;cqlMode=true&amp;query=idn%3D1066868840</v>
      </c>
      <c r="E932" s="74" t="s">
        <v>7554</v>
      </c>
      <c r="F932" s="74"/>
      <c r="G932" s="76"/>
      <c r="H932" s="77"/>
      <c r="I932" s="76"/>
      <c r="J932" s="77"/>
      <c r="K932" s="77"/>
      <c r="L932" s="76"/>
      <c r="M932" s="76"/>
      <c r="N932" s="76"/>
      <c r="O932" s="76"/>
      <c r="P932" s="76"/>
      <c r="Q932" s="76"/>
      <c r="R932" s="76"/>
      <c r="S932" s="76"/>
      <c r="BD932" s="99">
        <f t="shared" si="28"/>
        <v>0</v>
      </c>
      <c r="CC932" s="99"/>
      <c r="CV932" s="99"/>
      <c r="CW932" s="63"/>
    </row>
    <row r="933" spans="1:101" x14ac:dyDescent="0.15">
      <c r="A933" s="76">
        <v>848</v>
      </c>
      <c r="B933" s="74" t="s">
        <v>7568</v>
      </c>
      <c r="C933" s="74">
        <v>994050704</v>
      </c>
      <c r="D933" s="78" t="str">
        <f t="shared" si="27"/>
        <v>https://portal.dnb.de/opac.htm?method=simpleSearch&amp;cqlMode=true&amp;query=idn%3D994050704</v>
      </c>
      <c r="E933" s="74" t="s">
        <v>7569</v>
      </c>
      <c r="F933" s="74"/>
      <c r="G933" s="76"/>
      <c r="H933" s="77" t="s">
        <v>47</v>
      </c>
      <c r="I933" s="76" t="s">
        <v>54</v>
      </c>
      <c r="J933" s="77" t="s">
        <v>8516</v>
      </c>
      <c r="K933" s="77"/>
      <c r="L933" s="76"/>
      <c r="M933" s="76"/>
      <c r="N933" s="76"/>
      <c r="O933" s="76">
        <v>0</v>
      </c>
      <c r="P933" s="76"/>
      <c r="Q933" s="76"/>
      <c r="R933" s="76"/>
      <c r="S933" s="76"/>
      <c r="Y933" s="95" t="s">
        <v>9731</v>
      </c>
      <c r="AC933" s="95" t="s">
        <v>9730</v>
      </c>
      <c r="AI933" s="95" t="s">
        <v>9725</v>
      </c>
      <c r="AS933" s="95" t="s">
        <v>9788</v>
      </c>
      <c r="AT933" s="95" t="s">
        <v>8541</v>
      </c>
      <c r="AW933" s="95" t="s">
        <v>9733</v>
      </c>
      <c r="BC933" s="96" t="s">
        <v>9734</v>
      </c>
      <c r="BD933" s="99">
        <f t="shared" si="28"/>
        <v>0</v>
      </c>
      <c r="BL933" s="70" t="s">
        <v>10015</v>
      </c>
      <c r="CC933" s="99"/>
      <c r="CV933" s="99"/>
      <c r="CW933" s="63"/>
    </row>
    <row r="934" spans="1:101" x14ac:dyDescent="0.15">
      <c r="A934" s="76">
        <v>849</v>
      </c>
      <c r="B934" s="74" t="s">
        <v>7570</v>
      </c>
      <c r="C934" s="74">
        <v>994050585</v>
      </c>
      <c r="D934" s="78" t="str">
        <f t="shared" si="27"/>
        <v>https://portal.dnb.de/opac.htm?method=simpleSearch&amp;cqlMode=true&amp;query=idn%3D994050585</v>
      </c>
      <c r="E934" s="74" t="s">
        <v>7571</v>
      </c>
      <c r="F934" s="74"/>
      <c r="G934" s="76" t="s">
        <v>8515</v>
      </c>
      <c r="H934" s="77" t="s">
        <v>17</v>
      </c>
      <c r="I934" s="76" t="s">
        <v>56</v>
      </c>
      <c r="J934" s="77" t="s">
        <v>58</v>
      </c>
      <c r="K934" s="77" t="s">
        <v>84</v>
      </c>
      <c r="L934" s="76"/>
      <c r="M934" s="76" t="s">
        <v>33</v>
      </c>
      <c r="N934" s="76" t="s">
        <v>40</v>
      </c>
      <c r="O934" s="76">
        <v>0</v>
      </c>
      <c r="P934" s="76"/>
      <c r="Q934" s="76"/>
      <c r="R934" s="76"/>
      <c r="S934" s="76"/>
      <c r="BD934" s="99">
        <f t="shared" si="28"/>
        <v>0</v>
      </c>
      <c r="CC934" s="99"/>
      <c r="CV934" s="99"/>
      <c r="CW934" s="63"/>
    </row>
    <row r="935" spans="1:101" x14ac:dyDescent="0.15">
      <c r="A935" s="76">
        <v>850</v>
      </c>
      <c r="B935" s="74" t="s">
        <v>7572</v>
      </c>
      <c r="C935" s="74" t="s">
        <v>7573</v>
      </c>
      <c r="D935" s="78" t="str">
        <f t="shared" si="27"/>
        <v>https://portal.dnb.de/opac.htm?method=simpleSearch&amp;cqlMode=true&amp;query=idn%3D01631526X</v>
      </c>
      <c r="E935" s="74" t="s">
        <v>7574</v>
      </c>
      <c r="F935" s="74"/>
      <c r="G935" s="76"/>
      <c r="H935" s="77"/>
      <c r="I935" s="76"/>
      <c r="J935" s="77"/>
      <c r="K935" s="77"/>
      <c r="L935" s="76"/>
      <c r="M935" s="76"/>
      <c r="N935" s="76"/>
      <c r="O935" s="76"/>
      <c r="P935" s="76"/>
      <c r="Q935" s="76"/>
      <c r="R935" s="76"/>
      <c r="S935" s="76"/>
      <c r="BD935" s="99">
        <f t="shared" si="28"/>
        <v>0</v>
      </c>
      <c r="CC935" s="99"/>
      <c r="CV935" s="99"/>
      <c r="CW935" s="63"/>
    </row>
    <row r="936" spans="1:101" ht="22.5" x14ac:dyDescent="0.15">
      <c r="A936" s="76">
        <v>851</v>
      </c>
      <c r="B936" s="74" t="s">
        <v>7575</v>
      </c>
      <c r="C936" s="74" t="s">
        <v>7576</v>
      </c>
      <c r="D936" s="78" t="str">
        <f t="shared" si="27"/>
        <v>https://portal.dnb.de/opac.htm?method=simpleSearch&amp;cqlMode=true&amp;query=idn%3D99727767X</v>
      </c>
      <c r="E936" s="74" t="s">
        <v>7577</v>
      </c>
      <c r="F936" s="74"/>
      <c r="G936" s="76" t="s">
        <v>8541</v>
      </c>
      <c r="H936" s="77" t="s">
        <v>48</v>
      </c>
      <c r="I936" s="76" t="s">
        <v>53</v>
      </c>
      <c r="J936" s="77" t="s">
        <v>8516</v>
      </c>
      <c r="K936" s="77" t="s">
        <v>8565</v>
      </c>
      <c r="L936" s="76"/>
      <c r="M936" s="76" t="s">
        <v>33</v>
      </c>
      <c r="N936" s="76" t="s">
        <v>39</v>
      </c>
      <c r="O936" s="76">
        <v>0</v>
      </c>
      <c r="P936" s="76"/>
      <c r="Q936" s="76"/>
      <c r="R936" s="76"/>
      <c r="S936" s="76"/>
      <c r="BD936" s="99">
        <f t="shared" si="28"/>
        <v>0</v>
      </c>
      <c r="CC936" s="99"/>
      <c r="CV936" s="99"/>
      <c r="CW936" s="63"/>
    </row>
    <row r="937" spans="1:101" x14ac:dyDescent="0.15">
      <c r="A937" s="76">
        <v>852</v>
      </c>
      <c r="B937" s="74" t="s">
        <v>7588</v>
      </c>
      <c r="C937" s="74">
        <v>994404840</v>
      </c>
      <c r="D937" s="78" t="str">
        <f t="shared" si="27"/>
        <v>https://portal.dnb.de/opac.htm?method=simpleSearch&amp;cqlMode=true&amp;query=idn%3D994404840</v>
      </c>
      <c r="E937" s="74" t="s">
        <v>7589</v>
      </c>
      <c r="F937" s="74"/>
      <c r="G937" s="76"/>
      <c r="H937" s="77"/>
      <c r="I937" s="76"/>
      <c r="J937" s="77"/>
      <c r="K937" s="77"/>
      <c r="L937" s="76"/>
      <c r="M937" s="76"/>
      <c r="N937" s="76"/>
      <c r="O937" s="76"/>
      <c r="P937" s="76"/>
      <c r="Q937" s="76"/>
      <c r="R937" s="76"/>
      <c r="S937" s="76"/>
      <c r="BD937" s="99">
        <f t="shared" si="28"/>
        <v>0</v>
      </c>
      <c r="CC937" s="99"/>
      <c r="CV937" s="99"/>
      <c r="CW937" s="63"/>
    </row>
    <row r="938" spans="1:101" ht="22.5" x14ac:dyDescent="0.15">
      <c r="A938" s="76">
        <v>853</v>
      </c>
      <c r="B938" s="74" t="s">
        <v>7590</v>
      </c>
      <c r="C938" s="74">
        <v>997271973</v>
      </c>
      <c r="D938" s="78" t="str">
        <f t="shared" si="27"/>
        <v>https://portal.dnb.de/opac.htm?method=simpleSearch&amp;cqlMode=true&amp;query=idn%3D997271973</v>
      </c>
      <c r="E938" s="74" t="s">
        <v>7591</v>
      </c>
      <c r="F938" s="74"/>
      <c r="G938" s="76"/>
      <c r="H938" s="77" t="s">
        <v>17</v>
      </c>
      <c r="I938" s="76" t="s">
        <v>53</v>
      </c>
      <c r="J938" s="77" t="s">
        <v>89</v>
      </c>
      <c r="K938" s="77" t="s">
        <v>8565</v>
      </c>
      <c r="L938" s="76"/>
      <c r="M938" s="76" t="s">
        <v>38</v>
      </c>
      <c r="N938" s="76" t="s">
        <v>40</v>
      </c>
      <c r="O938" s="76">
        <v>0</v>
      </c>
      <c r="P938" s="76"/>
      <c r="Q938" s="76" t="s">
        <v>9341</v>
      </c>
      <c r="R938" s="76"/>
      <c r="S938" s="76"/>
      <c r="BD938" s="99">
        <f t="shared" si="28"/>
        <v>0</v>
      </c>
      <c r="CC938" s="99"/>
      <c r="CV938" s="99"/>
      <c r="CW938" s="63"/>
    </row>
    <row r="939" spans="1:101" x14ac:dyDescent="0.15">
      <c r="A939" s="76">
        <v>854</v>
      </c>
      <c r="B939" s="74" t="s">
        <v>7592</v>
      </c>
      <c r="C939" s="74" t="s">
        <v>7593</v>
      </c>
      <c r="D939" s="78" t="str">
        <f t="shared" si="27"/>
        <v>https://portal.dnb.de/opac.htm?method=simpleSearch&amp;cqlMode=true&amp;query=idn%3D99440526X</v>
      </c>
      <c r="E939" s="74" t="s">
        <v>7591</v>
      </c>
      <c r="F939" s="74"/>
      <c r="G939" s="76"/>
      <c r="H939" s="77"/>
      <c r="I939" s="76"/>
      <c r="J939" s="77"/>
      <c r="K939" s="77"/>
      <c r="L939" s="76"/>
      <c r="M939" s="76"/>
      <c r="N939" s="76"/>
      <c r="O939" s="76"/>
      <c r="P939" s="76"/>
      <c r="Q939" s="76"/>
      <c r="R939" s="76"/>
      <c r="S939" s="76"/>
      <c r="BD939" s="99">
        <f t="shared" si="28"/>
        <v>0</v>
      </c>
      <c r="CC939" s="99"/>
      <c r="CV939" s="99"/>
      <c r="CW939" s="63"/>
    </row>
    <row r="940" spans="1:101" x14ac:dyDescent="0.15">
      <c r="A940" s="76">
        <v>855</v>
      </c>
      <c r="B940" s="74" t="s">
        <v>7603</v>
      </c>
      <c r="C940" s="74">
        <v>996834222</v>
      </c>
      <c r="D940" s="78" t="str">
        <f t="shared" si="27"/>
        <v>https://portal.dnb.de/opac.htm?method=simpleSearch&amp;cqlMode=true&amp;query=idn%3D996834222</v>
      </c>
      <c r="E940" s="74" t="s">
        <v>7604</v>
      </c>
      <c r="F940" s="74"/>
      <c r="G940" s="76"/>
      <c r="H940" s="77"/>
      <c r="I940" s="76"/>
      <c r="J940" s="77"/>
      <c r="K940" s="77"/>
      <c r="L940" s="76"/>
      <c r="M940" s="76"/>
      <c r="N940" s="76"/>
      <c r="O940" s="76"/>
      <c r="P940" s="76"/>
      <c r="Q940" s="76"/>
      <c r="R940" s="76"/>
      <c r="S940" s="76"/>
      <c r="BD940" s="99">
        <f t="shared" si="28"/>
        <v>0</v>
      </c>
      <c r="CC940" s="99"/>
      <c r="CV940" s="99"/>
      <c r="CW940" s="63"/>
    </row>
    <row r="941" spans="1:101" x14ac:dyDescent="0.15">
      <c r="A941" s="76">
        <v>856</v>
      </c>
      <c r="B941" s="74" t="s">
        <v>7607</v>
      </c>
      <c r="C941" s="74">
        <v>1003211550</v>
      </c>
      <c r="D941" s="78" t="str">
        <f t="shared" si="27"/>
        <v>https://portal.dnb.de/opac.htm?method=simpleSearch&amp;cqlMode=true&amp;query=idn%3D1003211550</v>
      </c>
      <c r="E941" s="74" t="s">
        <v>7608</v>
      </c>
      <c r="F941" s="74"/>
      <c r="G941" s="76"/>
      <c r="H941" s="77"/>
      <c r="I941" s="76"/>
      <c r="J941" s="77"/>
      <c r="K941" s="77"/>
      <c r="L941" s="76"/>
      <c r="M941" s="76"/>
      <c r="N941" s="76"/>
      <c r="O941" s="76"/>
      <c r="P941" s="76"/>
      <c r="Q941" s="76"/>
      <c r="R941" s="76"/>
      <c r="S941" s="76"/>
      <c r="BD941" s="99">
        <f t="shared" si="28"/>
        <v>0</v>
      </c>
      <c r="CC941" s="99"/>
      <c r="CV941" s="99"/>
      <c r="CW941" s="63"/>
    </row>
    <row r="942" spans="1:101" x14ac:dyDescent="0.15">
      <c r="A942" s="76">
        <v>857</v>
      </c>
      <c r="B942" s="74" t="s">
        <v>7609</v>
      </c>
      <c r="C942" s="74">
        <v>999499777</v>
      </c>
      <c r="D942" s="78" t="str">
        <f t="shared" si="27"/>
        <v>https://portal.dnb.de/opac.htm?method=simpleSearch&amp;cqlMode=true&amp;query=idn%3D999499777</v>
      </c>
      <c r="E942" s="74" t="s">
        <v>7608</v>
      </c>
      <c r="F942" s="74"/>
      <c r="G942" s="76"/>
      <c r="H942" s="77"/>
      <c r="I942" s="76"/>
      <c r="J942" s="77"/>
      <c r="K942" s="77"/>
      <c r="L942" s="76"/>
      <c r="M942" s="76"/>
      <c r="N942" s="76"/>
      <c r="O942" s="76"/>
      <c r="P942" s="76"/>
      <c r="Q942" s="76"/>
      <c r="R942" s="76"/>
      <c r="S942" s="76"/>
      <c r="BD942" s="99">
        <f t="shared" si="28"/>
        <v>0</v>
      </c>
      <c r="CC942" s="99"/>
      <c r="CV942" s="99"/>
      <c r="CW942" s="63"/>
    </row>
    <row r="943" spans="1:101" x14ac:dyDescent="0.15">
      <c r="A943" s="76">
        <v>858</v>
      </c>
      <c r="B943" s="74" t="s">
        <v>7610</v>
      </c>
      <c r="C943" s="74">
        <v>995806330</v>
      </c>
      <c r="D943" s="78" t="str">
        <f t="shared" si="27"/>
        <v>https://portal.dnb.de/opac.htm?method=simpleSearch&amp;cqlMode=true&amp;query=idn%3D995806330</v>
      </c>
      <c r="E943" s="74" t="s">
        <v>7608</v>
      </c>
      <c r="F943" s="74"/>
      <c r="G943" s="76"/>
      <c r="H943" s="77"/>
      <c r="I943" s="76"/>
      <c r="J943" s="77"/>
      <c r="K943" s="77"/>
      <c r="L943" s="76"/>
      <c r="M943" s="76"/>
      <c r="N943" s="76"/>
      <c r="O943" s="76"/>
      <c r="P943" s="76"/>
      <c r="Q943" s="76"/>
      <c r="R943" s="76"/>
      <c r="S943" s="76"/>
      <c r="BD943" s="99">
        <f t="shared" si="28"/>
        <v>0</v>
      </c>
      <c r="CC943" s="99"/>
      <c r="CV943" s="99"/>
      <c r="CW943" s="63"/>
    </row>
    <row r="944" spans="1:101" x14ac:dyDescent="0.15">
      <c r="A944" s="76">
        <v>859</v>
      </c>
      <c r="B944" s="74" t="s">
        <v>7611</v>
      </c>
      <c r="C944" s="74">
        <v>995806403</v>
      </c>
      <c r="D944" s="78" t="str">
        <f t="shared" ref="D944:D1007" si="29">HYPERLINK(CONCATENATE("https://portal.dnb.de/opac.htm?method=simpleSearch&amp;cqlMode=true&amp;query=idn%3D",C944))</f>
        <v>https://portal.dnb.de/opac.htm?method=simpleSearch&amp;cqlMode=true&amp;query=idn%3D995806403</v>
      </c>
      <c r="E944" s="74" t="s">
        <v>7608</v>
      </c>
      <c r="F944" s="74"/>
      <c r="G944" s="76"/>
      <c r="H944" s="77"/>
      <c r="I944" s="76"/>
      <c r="J944" s="77"/>
      <c r="K944" s="77"/>
      <c r="L944" s="76"/>
      <c r="M944" s="76"/>
      <c r="N944" s="76"/>
      <c r="O944" s="76"/>
      <c r="P944" s="76"/>
      <c r="Q944" s="76"/>
      <c r="R944" s="76"/>
      <c r="S944" s="76"/>
      <c r="BD944" s="99">
        <f t="shared" si="28"/>
        <v>0</v>
      </c>
      <c r="CC944" s="99"/>
      <c r="CV944" s="99"/>
      <c r="CW944" s="63"/>
    </row>
    <row r="945" spans="1:101" x14ac:dyDescent="0.15">
      <c r="A945" s="76">
        <v>860</v>
      </c>
      <c r="B945" s="74" t="s">
        <v>7612</v>
      </c>
      <c r="C945" s="74">
        <v>995806063</v>
      </c>
      <c r="D945" s="78" t="str">
        <f t="shared" si="29"/>
        <v>https://portal.dnb.de/opac.htm?method=simpleSearch&amp;cqlMode=true&amp;query=idn%3D995806063</v>
      </c>
      <c r="E945" s="74" t="s">
        <v>7608</v>
      </c>
      <c r="F945" s="74"/>
      <c r="G945" s="76"/>
      <c r="H945" s="77"/>
      <c r="I945" s="76"/>
      <c r="J945" s="77"/>
      <c r="K945" s="77"/>
      <c r="L945" s="76"/>
      <c r="M945" s="76"/>
      <c r="N945" s="76"/>
      <c r="O945" s="76"/>
      <c r="P945" s="76"/>
      <c r="Q945" s="76"/>
      <c r="R945" s="76"/>
      <c r="S945" s="76"/>
      <c r="BD945" s="99">
        <f t="shared" si="28"/>
        <v>0</v>
      </c>
      <c r="CC945" s="99"/>
      <c r="CV945" s="99"/>
      <c r="CW945" s="63"/>
    </row>
    <row r="946" spans="1:101" x14ac:dyDescent="0.15">
      <c r="A946" s="76">
        <v>861</v>
      </c>
      <c r="B946" s="74" t="s">
        <v>7613</v>
      </c>
      <c r="C946" s="74">
        <v>995805938</v>
      </c>
      <c r="D946" s="78" t="str">
        <f t="shared" si="29"/>
        <v>https://portal.dnb.de/opac.htm?method=simpleSearch&amp;cqlMode=true&amp;query=idn%3D995805938</v>
      </c>
      <c r="E946" s="74" t="s">
        <v>7608</v>
      </c>
      <c r="F946" s="74"/>
      <c r="G946" s="76"/>
      <c r="H946" s="77"/>
      <c r="I946" s="76"/>
      <c r="J946" s="77"/>
      <c r="K946" s="77"/>
      <c r="L946" s="76"/>
      <c r="M946" s="76"/>
      <c r="N946" s="76"/>
      <c r="O946" s="76"/>
      <c r="P946" s="76"/>
      <c r="Q946" s="76"/>
      <c r="R946" s="76"/>
      <c r="S946" s="76"/>
      <c r="BD946" s="99">
        <f t="shared" si="28"/>
        <v>0</v>
      </c>
      <c r="CC946" s="99"/>
      <c r="CV946" s="99"/>
      <c r="CW946" s="63"/>
    </row>
    <row r="947" spans="1:101" x14ac:dyDescent="0.15">
      <c r="A947" s="76">
        <v>862</v>
      </c>
      <c r="B947" s="74" t="s">
        <v>7614</v>
      </c>
      <c r="C947" s="74">
        <v>995805792</v>
      </c>
      <c r="D947" s="78" t="str">
        <f t="shared" si="29"/>
        <v>https://portal.dnb.de/opac.htm?method=simpleSearch&amp;cqlMode=true&amp;query=idn%3D995805792</v>
      </c>
      <c r="E947" s="74" t="s">
        <v>7608</v>
      </c>
      <c r="F947" s="74"/>
      <c r="G947" s="76"/>
      <c r="H947" s="77"/>
      <c r="I947" s="76"/>
      <c r="J947" s="77"/>
      <c r="K947" s="77"/>
      <c r="L947" s="76"/>
      <c r="M947" s="76"/>
      <c r="N947" s="76"/>
      <c r="O947" s="76"/>
      <c r="P947" s="76"/>
      <c r="Q947" s="76"/>
      <c r="R947" s="76"/>
      <c r="S947" s="76"/>
      <c r="BD947" s="99">
        <f t="shared" si="28"/>
        <v>0</v>
      </c>
      <c r="CC947" s="99"/>
      <c r="CV947" s="99"/>
      <c r="CW947" s="63"/>
    </row>
    <row r="948" spans="1:101" x14ac:dyDescent="0.15">
      <c r="A948" s="76">
        <v>863</v>
      </c>
      <c r="B948" s="74" t="s">
        <v>7615</v>
      </c>
      <c r="C948" s="74">
        <v>995806179</v>
      </c>
      <c r="D948" s="78" t="str">
        <f t="shared" si="29"/>
        <v>https://portal.dnb.de/opac.htm?method=simpleSearch&amp;cqlMode=true&amp;query=idn%3D995806179</v>
      </c>
      <c r="E948" s="74" t="s">
        <v>7608</v>
      </c>
      <c r="F948" s="74"/>
      <c r="G948" s="76"/>
      <c r="H948" s="77"/>
      <c r="I948" s="76"/>
      <c r="J948" s="77"/>
      <c r="K948" s="77"/>
      <c r="L948" s="76"/>
      <c r="M948" s="76"/>
      <c r="N948" s="76"/>
      <c r="O948" s="76"/>
      <c r="P948" s="76"/>
      <c r="Q948" s="76"/>
      <c r="R948" s="76"/>
      <c r="S948" s="76"/>
      <c r="BD948" s="99">
        <f t="shared" si="28"/>
        <v>0</v>
      </c>
      <c r="CC948" s="99"/>
      <c r="CV948" s="99"/>
      <c r="CW948" s="63"/>
    </row>
    <row r="949" spans="1:101" ht="22.5" x14ac:dyDescent="0.15">
      <c r="A949" s="76">
        <v>864</v>
      </c>
      <c r="B949" s="74" t="s">
        <v>7555</v>
      </c>
      <c r="C949" s="74" t="s">
        <v>7556</v>
      </c>
      <c r="D949" s="78" t="str">
        <f t="shared" si="29"/>
        <v>https://portal.dnb.de/opac.htm?method=simpleSearch&amp;cqlMode=true&amp;query=idn%3D99767301X</v>
      </c>
      <c r="E949" s="74" t="s">
        <v>7557</v>
      </c>
      <c r="F949" s="74"/>
      <c r="G949" s="76" t="s">
        <v>8515</v>
      </c>
      <c r="H949" s="77" t="s">
        <v>18</v>
      </c>
      <c r="I949" s="76" t="s">
        <v>53</v>
      </c>
      <c r="J949" s="77" t="s">
        <v>58</v>
      </c>
      <c r="K949" s="77" t="s">
        <v>84</v>
      </c>
      <c r="L949" s="76"/>
      <c r="M949" s="76"/>
      <c r="N949" s="76"/>
      <c r="O949" s="76">
        <v>0</v>
      </c>
      <c r="P949" s="76"/>
      <c r="Q949" s="76"/>
      <c r="R949" s="76"/>
      <c r="S949" s="76"/>
      <c r="BD949" s="99">
        <f t="shared" si="28"/>
        <v>0</v>
      </c>
      <c r="CC949" s="99"/>
      <c r="CV949" s="99"/>
      <c r="CW949" s="63"/>
    </row>
    <row r="950" spans="1:101" x14ac:dyDescent="0.15">
      <c r="A950" s="76">
        <v>865</v>
      </c>
      <c r="B950" s="74" t="s">
        <v>7558</v>
      </c>
      <c r="C950" s="74">
        <v>998790818</v>
      </c>
      <c r="D950" s="78" t="str">
        <f t="shared" si="29"/>
        <v>https://portal.dnb.de/opac.htm?method=simpleSearch&amp;cqlMode=true&amp;query=idn%3D998790818</v>
      </c>
      <c r="E950" s="74" t="s">
        <v>7559</v>
      </c>
      <c r="F950" s="74"/>
      <c r="G950" s="76"/>
      <c r="H950" s="77"/>
      <c r="I950" s="76"/>
      <c r="J950" s="77"/>
      <c r="K950" s="77"/>
      <c r="L950" s="76"/>
      <c r="M950" s="76"/>
      <c r="N950" s="76"/>
      <c r="O950" s="76"/>
      <c r="P950" s="76"/>
      <c r="Q950" s="76"/>
      <c r="R950" s="76"/>
      <c r="S950" s="76"/>
      <c r="BD950" s="99">
        <f t="shared" si="28"/>
        <v>0</v>
      </c>
      <c r="CC950" s="99"/>
      <c r="CV950" s="99"/>
      <c r="CW950" s="63"/>
    </row>
    <row r="951" spans="1:101" x14ac:dyDescent="0.15">
      <c r="A951" s="76">
        <v>866</v>
      </c>
      <c r="B951" s="74" t="s">
        <v>7560</v>
      </c>
      <c r="C951" s="74">
        <v>998790680</v>
      </c>
      <c r="D951" s="78" t="str">
        <f t="shared" si="29"/>
        <v>https://portal.dnb.de/opac.htm?method=simpleSearch&amp;cqlMode=true&amp;query=idn%3D998790680</v>
      </c>
      <c r="E951" s="74" t="s">
        <v>7559</v>
      </c>
      <c r="F951" s="74"/>
      <c r="G951" s="76"/>
      <c r="H951" s="77"/>
      <c r="I951" s="76"/>
      <c r="J951" s="77"/>
      <c r="K951" s="77"/>
      <c r="L951" s="76"/>
      <c r="M951" s="76"/>
      <c r="N951" s="76"/>
      <c r="O951" s="76"/>
      <c r="P951" s="76"/>
      <c r="Q951" s="76"/>
      <c r="R951" s="76"/>
      <c r="S951" s="76"/>
      <c r="BD951" s="99">
        <f t="shared" si="28"/>
        <v>0</v>
      </c>
      <c r="CC951" s="99"/>
      <c r="CV951" s="99"/>
      <c r="CW951" s="63"/>
    </row>
    <row r="952" spans="1:101" x14ac:dyDescent="0.15">
      <c r="A952" s="76">
        <v>867</v>
      </c>
      <c r="B952" s="74" t="s">
        <v>7561</v>
      </c>
      <c r="C952" s="74">
        <v>998790427</v>
      </c>
      <c r="D952" s="78" t="str">
        <f t="shared" si="29"/>
        <v>https://portal.dnb.de/opac.htm?method=simpleSearch&amp;cqlMode=true&amp;query=idn%3D998790427</v>
      </c>
      <c r="E952" s="74" t="s">
        <v>7559</v>
      </c>
      <c r="F952" s="74"/>
      <c r="G952" s="76"/>
      <c r="H952" s="77"/>
      <c r="I952" s="76"/>
      <c r="J952" s="77"/>
      <c r="K952" s="77"/>
      <c r="L952" s="76"/>
      <c r="M952" s="76"/>
      <c r="N952" s="76"/>
      <c r="O952" s="76"/>
      <c r="P952" s="76"/>
      <c r="Q952" s="76"/>
      <c r="R952" s="76"/>
      <c r="S952" s="76"/>
      <c r="BD952" s="99">
        <f t="shared" si="28"/>
        <v>0</v>
      </c>
      <c r="CC952" s="99"/>
      <c r="CV952" s="99"/>
      <c r="CW952" s="63"/>
    </row>
    <row r="953" spans="1:101" x14ac:dyDescent="0.15">
      <c r="A953" s="76">
        <v>868</v>
      </c>
      <c r="B953" s="74" t="s">
        <v>7562</v>
      </c>
      <c r="C953" s="74" t="s">
        <v>7563</v>
      </c>
      <c r="D953" s="78" t="str">
        <f t="shared" si="29"/>
        <v>https://portal.dnb.de/opac.htm?method=simpleSearch&amp;cqlMode=true&amp;query=idn%3D99879001X</v>
      </c>
      <c r="E953" s="74" t="s">
        <v>7559</v>
      </c>
      <c r="F953" s="74"/>
      <c r="G953" s="76"/>
      <c r="H953" s="77"/>
      <c r="I953" s="76"/>
      <c r="J953" s="77"/>
      <c r="K953" s="77"/>
      <c r="L953" s="76"/>
      <c r="M953" s="76"/>
      <c r="N953" s="76"/>
      <c r="O953" s="76"/>
      <c r="P953" s="76"/>
      <c r="Q953" s="76"/>
      <c r="R953" s="76"/>
      <c r="S953" s="76"/>
      <c r="BD953" s="99">
        <f t="shared" si="28"/>
        <v>0</v>
      </c>
      <c r="CC953" s="99"/>
      <c r="CV953" s="99"/>
      <c r="CW953" s="63"/>
    </row>
    <row r="954" spans="1:101" x14ac:dyDescent="0.15">
      <c r="A954" s="76">
        <v>869</v>
      </c>
      <c r="B954" s="74" t="s">
        <v>7564</v>
      </c>
      <c r="C954" s="74">
        <v>998789798</v>
      </c>
      <c r="D954" s="78" t="str">
        <f t="shared" si="29"/>
        <v>https://portal.dnb.de/opac.htm?method=simpleSearch&amp;cqlMode=true&amp;query=idn%3D998789798</v>
      </c>
      <c r="E954" s="74" t="s">
        <v>7559</v>
      </c>
      <c r="F954" s="74"/>
      <c r="G954" s="76"/>
      <c r="H954" s="77"/>
      <c r="I954" s="76"/>
      <c r="J954" s="77"/>
      <c r="K954" s="77"/>
      <c r="L954" s="76"/>
      <c r="M954" s="76"/>
      <c r="N954" s="76"/>
      <c r="O954" s="76"/>
      <c r="P954" s="76"/>
      <c r="Q954" s="76"/>
      <c r="R954" s="76"/>
      <c r="S954" s="76"/>
      <c r="BD954" s="99">
        <f t="shared" si="28"/>
        <v>0</v>
      </c>
      <c r="CC954" s="99"/>
      <c r="CV954" s="99"/>
      <c r="CW954" s="63"/>
    </row>
    <row r="955" spans="1:101" ht="22.5" x14ac:dyDescent="0.15">
      <c r="A955" s="76">
        <v>870</v>
      </c>
      <c r="B955" s="74" t="s">
        <v>7565</v>
      </c>
      <c r="C955" s="74">
        <v>998791288</v>
      </c>
      <c r="D955" s="78" t="str">
        <f t="shared" si="29"/>
        <v>https://portal.dnb.de/opac.htm?method=simpleSearch&amp;cqlMode=true&amp;query=idn%3D998791288</v>
      </c>
      <c r="E955" s="74" t="s">
        <v>7559</v>
      </c>
      <c r="F955" s="74"/>
      <c r="G955" s="76" t="s">
        <v>8515</v>
      </c>
      <c r="H955" s="77" t="s">
        <v>48</v>
      </c>
      <c r="I955" s="76" t="s">
        <v>53</v>
      </c>
      <c r="J955" s="77" t="s">
        <v>8516</v>
      </c>
      <c r="K955" s="77" t="s">
        <v>8539</v>
      </c>
      <c r="L955" s="76"/>
      <c r="M955" s="76"/>
      <c r="N955" s="76" t="s">
        <v>8660</v>
      </c>
      <c r="O955" s="76">
        <v>0</v>
      </c>
      <c r="P955" s="76"/>
      <c r="Q955" s="76"/>
      <c r="R955" s="76"/>
      <c r="S955" s="76"/>
      <c r="BD955" s="99">
        <f t="shared" si="28"/>
        <v>0</v>
      </c>
      <c r="CC955" s="99"/>
      <c r="CV955" s="99"/>
      <c r="CW955" s="63"/>
    </row>
    <row r="956" spans="1:101" ht="22.5" x14ac:dyDescent="0.15">
      <c r="A956" s="76">
        <v>871</v>
      </c>
      <c r="B956" s="74" t="s">
        <v>7566</v>
      </c>
      <c r="C956" s="74">
        <v>1002031052</v>
      </c>
      <c r="D956" s="78" t="str">
        <f t="shared" si="29"/>
        <v>https://portal.dnb.de/opac.htm?method=simpleSearch&amp;cqlMode=true&amp;query=idn%3D1002031052</v>
      </c>
      <c r="E956" s="74" t="s">
        <v>7567</v>
      </c>
      <c r="F956" s="74"/>
      <c r="G956" s="76" t="s">
        <v>8515</v>
      </c>
      <c r="H956" s="77" t="s">
        <v>18</v>
      </c>
      <c r="I956" s="76" t="s">
        <v>53</v>
      </c>
      <c r="J956" s="77" t="s">
        <v>58</v>
      </c>
      <c r="K956" s="77" t="s">
        <v>84</v>
      </c>
      <c r="L956" s="76"/>
      <c r="M956" s="76" t="s">
        <v>36</v>
      </c>
      <c r="N956" s="76" t="s">
        <v>39</v>
      </c>
      <c r="O956" s="76">
        <v>0</v>
      </c>
      <c r="P956" s="76"/>
      <c r="Q956" s="76"/>
      <c r="R956" s="76"/>
      <c r="S956" s="76"/>
      <c r="BD956" s="99">
        <f t="shared" si="28"/>
        <v>0</v>
      </c>
      <c r="CC956" s="99"/>
      <c r="CV956" s="99"/>
      <c r="CW956" s="63"/>
    </row>
    <row r="957" spans="1:101" ht="22.5" x14ac:dyDescent="0.15">
      <c r="A957" s="76">
        <v>872</v>
      </c>
      <c r="B957" s="74" t="s">
        <v>7605</v>
      </c>
      <c r="C957" s="74">
        <v>996834729</v>
      </c>
      <c r="D957" s="78" t="str">
        <f t="shared" si="29"/>
        <v>https://portal.dnb.de/opac.htm?method=simpleSearch&amp;cqlMode=true&amp;query=idn%3D996834729</v>
      </c>
      <c r="E957" s="74" t="s">
        <v>7606</v>
      </c>
      <c r="F957" s="74"/>
      <c r="G957" s="76"/>
      <c r="H957" s="77" t="s">
        <v>4</v>
      </c>
      <c r="I957" s="76" t="s">
        <v>53</v>
      </c>
      <c r="J957" s="77" t="s">
        <v>89</v>
      </c>
      <c r="K957" s="77" t="s">
        <v>8565</v>
      </c>
      <c r="L957" s="76"/>
      <c r="M957" s="76"/>
      <c r="N957" s="76"/>
      <c r="O957" s="76">
        <v>0</v>
      </c>
      <c r="P957" s="76"/>
      <c r="Q957" s="76"/>
      <c r="R957" s="76"/>
      <c r="S957" s="76"/>
      <c r="BD957" s="99">
        <f t="shared" si="28"/>
        <v>0</v>
      </c>
      <c r="CC957" s="99"/>
      <c r="CV957" s="99"/>
      <c r="CW957" s="63"/>
    </row>
    <row r="958" spans="1:101" ht="33.75" x14ac:dyDescent="0.15">
      <c r="A958" s="76">
        <v>873</v>
      </c>
      <c r="B958" s="74" t="s">
        <v>7580</v>
      </c>
      <c r="C958" s="74" t="s">
        <v>7581</v>
      </c>
      <c r="D958" s="78" t="str">
        <f t="shared" si="29"/>
        <v>https://portal.dnb.de/opac.htm?method=simpleSearch&amp;cqlMode=true&amp;query=idn%3D99727655X</v>
      </c>
      <c r="E958" s="74" t="s">
        <v>7582</v>
      </c>
      <c r="F958" s="74"/>
      <c r="G958" s="76" t="s">
        <v>8541</v>
      </c>
      <c r="H958" s="77" t="s">
        <v>48</v>
      </c>
      <c r="I958" s="76" t="s">
        <v>53</v>
      </c>
      <c r="J958" s="77" t="s">
        <v>89</v>
      </c>
      <c r="K958" s="77" t="s">
        <v>8540</v>
      </c>
      <c r="L958" s="76"/>
      <c r="M958" s="76" t="s">
        <v>38</v>
      </c>
      <c r="N958" s="76" t="s">
        <v>40</v>
      </c>
      <c r="O958" s="76">
        <v>0</v>
      </c>
      <c r="P958" s="76"/>
      <c r="Q958" s="76"/>
      <c r="R958" s="76"/>
      <c r="S958" s="76"/>
      <c r="BD958" s="99">
        <f t="shared" si="28"/>
        <v>0</v>
      </c>
      <c r="CC958" s="99"/>
      <c r="CV958" s="99"/>
      <c r="CW958" s="63"/>
    </row>
    <row r="959" spans="1:101" x14ac:dyDescent="0.15">
      <c r="A959" s="76">
        <v>874</v>
      </c>
      <c r="B959" s="74" t="s">
        <v>7583</v>
      </c>
      <c r="C959" s="74">
        <v>1001509986</v>
      </c>
      <c r="D959" s="78" t="str">
        <f t="shared" si="29"/>
        <v>https://portal.dnb.de/opac.htm?method=simpleSearch&amp;cqlMode=true&amp;query=idn%3D1001509986</v>
      </c>
      <c r="E959" s="74" t="s">
        <v>7584</v>
      </c>
      <c r="F959" s="74"/>
      <c r="G959" s="76"/>
      <c r="H959" s="77"/>
      <c r="I959" s="76"/>
      <c r="J959" s="77"/>
      <c r="K959" s="77"/>
      <c r="L959" s="76"/>
      <c r="M959" s="76"/>
      <c r="N959" s="76"/>
      <c r="O959" s="76"/>
      <c r="P959" s="76"/>
      <c r="Q959" s="76"/>
      <c r="R959" s="76"/>
      <c r="S959" s="76"/>
      <c r="BD959" s="99">
        <f t="shared" si="28"/>
        <v>0</v>
      </c>
      <c r="CC959" s="99"/>
      <c r="CV959" s="99"/>
      <c r="CW959" s="63"/>
    </row>
    <row r="960" spans="1:101" x14ac:dyDescent="0.15">
      <c r="A960" s="76">
        <v>875</v>
      </c>
      <c r="B960" s="74" t="s">
        <v>7585</v>
      </c>
      <c r="C960" s="74" t="s">
        <v>7586</v>
      </c>
      <c r="D960" s="78" t="str">
        <f t="shared" si="29"/>
        <v>https://portal.dnb.de/opac.htm?method=simpleSearch&amp;cqlMode=true&amp;query=idn%3D100285511X</v>
      </c>
      <c r="E960" s="74" t="s">
        <v>7584</v>
      </c>
      <c r="F960" s="74"/>
      <c r="G960" s="76"/>
      <c r="H960" s="77"/>
      <c r="I960" s="76"/>
      <c r="J960" s="77"/>
      <c r="K960" s="77"/>
      <c r="L960" s="76"/>
      <c r="M960" s="76"/>
      <c r="N960" s="76"/>
      <c r="O960" s="76"/>
      <c r="P960" s="76"/>
      <c r="Q960" s="76"/>
      <c r="R960" s="76"/>
      <c r="S960" s="76"/>
      <c r="BD960" s="99">
        <f t="shared" si="28"/>
        <v>0</v>
      </c>
      <c r="CC960" s="99"/>
      <c r="CV960" s="99"/>
      <c r="CW960" s="63"/>
    </row>
    <row r="961" spans="1:101" x14ac:dyDescent="0.15">
      <c r="A961" s="76">
        <v>876</v>
      </c>
      <c r="B961" s="74" t="s">
        <v>7587</v>
      </c>
      <c r="C961" s="74">
        <v>994314051</v>
      </c>
      <c r="D961" s="78" t="str">
        <f t="shared" si="29"/>
        <v>https://portal.dnb.de/opac.htm?method=simpleSearch&amp;cqlMode=true&amp;query=idn%3D994314051</v>
      </c>
      <c r="E961" s="74" t="s">
        <v>7584</v>
      </c>
      <c r="F961" s="74"/>
      <c r="G961" s="76"/>
      <c r="H961" s="77"/>
      <c r="I961" s="76"/>
      <c r="J961" s="77"/>
      <c r="K961" s="77"/>
      <c r="L961" s="76"/>
      <c r="M961" s="76"/>
      <c r="N961" s="76"/>
      <c r="O961" s="76"/>
      <c r="P961" s="76"/>
      <c r="Q961" s="76"/>
      <c r="R961" s="76"/>
      <c r="S961" s="76"/>
      <c r="BD961" s="99">
        <f t="shared" si="28"/>
        <v>0</v>
      </c>
      <c r="CC961" s="99"/>
      <c r="CV961" s="99"/>
      <c r="CW961" s="63"/>
    </row>
    <row r="962" spans="1:101" x14ac:dyDescent="0.15">
      <c r="A962" s="76">
        <v>877</v>
      </c>
      <c r="B962" s="74" t="s">
        <v>7594</v>
      </c>
      <c r="C962" s="74">
        <v>995582181</v>
      </c>
      <c r="D962" s="78" t="str">
        <f t="shared" si="29"/>
        <v>https://portal.dnb.de/opac.htm?method=simpleSearch&amp;cqlMode=true&amp;query=idn%3D995582181</v>
      </c>
      <c r="E962" s="74" t="s">
        <v>7595</v>
      </c>
      <c r="F962" s="74"/>
      <c r="G962" s="76"/>
      <c r="H962" s="77"/>
      <c r="I962" s="76"/>
      <c r="J962" s="77"/>
      <c r="K962" s="77"/>
      <c r="L962" s="76"/>
      <c r="M962" s="76"/>
      <c r="N962" s="76"/>
      <c r="O962" s="76"/>
      <c r="P962" s="76"/>
      <c r="Q962" s="76"/>
      <c r="R962" s="76"/>
      <c r="S962" s="76"/>
      <c r="BD962" s="99">
        <f t="shared" si="28"/>
        <v>0</v>
      </c>
      <c r="CC962" s="99"/>
      <c r="CV962" s="99"/>
      <c r="CW962" s="63"/>
    </row>
    <row r="963" spans="1:101" x14ac:dyDescent="0.15">
      <c r="A963" s="76">
        <v>878</v>
      </c>
      <c r="B963" s="74" t="s">
        <v>7596</v>
      </c>
      <c r="C963" s="74">
        <v>994778481</v>
      </c>
      <c r="D963" s="78" t="str">
        <f t="shared" si="29"/>
        <v>https://portal.dnb.de/opac.htm?method=simpleSearch&amp;cqlMode=true&amp;query=idn%3D994778481</v>
      </c>
      <c r="E963" s="74" t="s">
        <v>7597</v>
      </c>
      <c r="F963" s="74"/>
      <c r="G963" s="76"/>
      <c r="H963" s="77"/>
      <c r="I963" s="76"/>
      <c r="J963" s="77"/>
      <c r="K963" s="77"/>
      <c r="L963" s="76"/>
      <c r="M963" s="76"/>
      <c r="N963" s="76"/>
      <c r="O963" s="76"/>
      <c r="P963" s="76"/>
      <c r="Q963" s="76"/>
      <c r="R963" s="76"/>
      <c r="S963" s="76"/>
      <c r="BD963" s="99">
        <f t="shared" ref="BD963:BD1026" si="30">CC963+CV963</f>
        <v>0</v>
      </c>
      <c r="CC963" s="99"/>
      <c r="CV963" s="99"/>
      <c r="CW963" s="63"/>
    </row>
    <row r="964" spans="1:101" ht="22.5" x14ac:dyDescent="0.15">
      <c r="A964" s="76">
        <v>879</v>
      </c>
      <c r="B964" s="74" t="s">
        <v>7598</v>
      </c>
      <c r="C964" s="74">
        <v>999754866</v>
      </c>
      <c r="D964" s="78" t="str">
        <f t="shared" si="29"/>
        <v>https://portal.dnb.de/opac.htm?method=simpleSearch&amp;cqlMode=true&amp;query=idn%3D999754866</v>
      </c>
      <c r="E964" s="74" t="s">
        <v>7599</v>
      </c>
      <c r="F964" s="74"/>
      <c r="G964" s="76"/>
      <c r="H964" s="77" t="s">
        <v>18</v>
      </c>
      <c r="I964" s="76" t="s">
        <v>53</v>
      </c>
      <c r="J964" s="77" t="s">
        <v>58</v>
      </c>
      <c r="K964" s="77" t="s">
        <v>84</v>
      </c>
      <c r="L964" s="76"/>
      <c r="M964" s="76" t="s">
        <v>33</v>
      </c>
      <c r="N964" s="76" t="s">
        <v>39</v>
      </c>
      <c r="O964" s="76">
        <v>0</v>
      </c>
      <c r="P964" s="76"/>
      <c r="Q964" s="76"/>
      <c r="R964" s="76"/>
      <c r="S964" s="76"/>
      <c r="BD964" s="99">
        <f t="shared" si="30"/>
        <v>0</v>
      </c>
      <c r="CC964" s="99"/>
      <c r="CV964" s="99"/>
      <c r="CW964" s="63"/>
    </row>
    <row r="965" spans="1:101" x14ac:dyDescent="0.15">
      <c r="A965" s="76">
        <v>880</v>
      </c>
      <c r="B965" s="74" t="s">
        <v>7600</v>
      </c>
      <c r="C965" s="74">
        <v>994558260</v>
      </c>
      <c r="D965" s="78" t="str">
        <f t="shared" si="29"/>
        <v>https://portal.dnb.de/opac.htm?method=simpleSearch&amp;cqlMode=true&amp;query=idn%3D994558260</v>
      </c>
      <c r="E965" s="74" t="s">
        <v>7599</v>
      </c>
      <c r="F965" s="74"/>
      <c r="G965" s="76"/>
      <c r="H965" s="77"/>
      <c r="I965" s="76"/>
      <c r="J965" s="77"/>
      <c r="K965" s="77"/>
      <c r="L965" s="76"/>
      <c r="M965" s="76"/>
      <c r="N965" s="76"/>
      <c r="O965" s="76"/>
      <c r="P965" s="76"/>
      <c r="Q965" s="76"/>
      <c r="R965" s="76"/>
      <c r="S965" s="76"/>
      <c r="BD965" s="99">
        <f t="shared" si="30"/>
        <v>0</v>
      </c>
      <c r="CC965" s="99"/>
      <c r="CV965" s="99"/>
      <c r="CW965" s="63"/>
    </row>
    <row r="966" spans="1:101" x14ac:dyDescent="0.15">
      <c r="A966" s="76">
        <v>881</v>
      </c>
      <c r="B966" s="74" t="s">
        <v>7601</v>
      </c>
      <c r="C966" s="74">
        <v>994337221</v>
      </c>
      <c r="D966" s="78" t="str">
        <f t="shared" si="29"/>
        <v>https://portal.dnb.de/opac.htm?method=simpleSearch&amp;cqlMode=true&amp;query=idn%3D994337221</v>
      </c>
      <c r="E966" s="74" t="s">
        <v>7602</v>
      </c>
      <c r="F966" s="74"/>
      <c r="G966" s="76"/>
      <c r="H966" s="77" t="s">
        <v>4</v>
      </c>
      <c r="I966" s="76" t="s">
        <v>53</v>
      </c>
      <c r="J966" s="77" t="s">
        <v>8516</v>
      </c>
      <c r="K966" s="77" t="s">
        <v>8520</v>
      </c>
      <c r="L966" s="76"/>
      <c r="M966" s="76" t="s">
        <v>36</v>
      </c>
      <c r="N966" s="76" t="s">
        <v>39</v>
      </c>
      <c r="O966" s="76">
        <v>0</v>
      </c>
      <c r="P966" s="76"/>
      <c r="Q966" s="76"/>
      <c r="R966" s="76"/>
      <c r="S966" s="76"/>
      <c r="BD966" s="99">
        <f t="shared" si="30"/>
        <v>0</v>
      </c>
      <c r="CC966" s="99"/>
      <c r="CV966" s="99"/>
      <c r="CW966" s="63"/>
    </row>
    <row r="967" spans="1:101" x14ac:dyDescent="0.15">
      <c r="A967" s="76">
        <v>882</v>
      </c>
      <c r="B967" s="74" t="s">
        <v>7623</v>
      </c>
      <c r="C967" s="74">
        <v>996808795</v>
      </c>
      <c r="D967" s="78" t="str">
        <f t="shared" si="29"/>
        <v>https://portal.dnb.de/opac.htm?method=simpleSearch&amp;cqlMode=true&amp;query=idn%3D996808795</v>
      </c>
      <c r="E967" s="74" t="s">
        <v>7624</v>
      </c>
      <c r="F967" s="74"/>
      <c r="G967" s="76" t="s">
        <v>8515</v>
      </c>
      <c r="H967" s="77" t="s">
        <v>48</v>
      </c>
      <c r="I967" s="76" t="s">
        <v>53</v>
      </c>
      <c r="J967" s="77" t="s">
        <v>8516</v>
      </c>
      <c r="K967" s="77" t="s">
        <v>84</v>
      </c>
      <c r="L967" s="76"/>
      <c r="M967" s="76"/>
      <c r="N967" s="76"/>
      <c r="O967" s="76">
        <v>0</v>
      </c>
      <c r="P967" s="76"/>
      <c r="Q967" s="76"/>
      <c r="R967" s="76"/>
      <c r="S967" s="76"/>
      <c r="BD967" s="99">
        <f t="shared" si="30"/>
        <v>0</v>
      </c>
      <c r="CC967" s="99"/>
      <c r="CV967" s="99"/>
      <c r="CW967" s="63"/>
    </row>
    <row r="968" spans="1:101" x14ac:dyDescent="0.15">
      <c r="A968" s="76">
        <v>883</v>
      </c>
      <c r="B968" s="74" t="s">
        <v>7617</v>
      </c>
      <c r="C968" s="74" t="s">
        <v>7618</v>
      </c>
      <c r="D968" s="78" t="str">
        <f t="shared" si="29"/>
        <v>https://portal.dnb.de/opac.htm?method=simpleSearch&amp;cqlMode=true&amp;query=idn%3D99975193X</v>
      </c>
      <c r="E968" s="74" t="s">
        <v>7619</v>
      </c>
      <c r="F968" s="74"/>
      <c r="G968" s="76"/>
      <c r="H968" s="77" t="s">
        <v>6</v>
      </c>
      <c r="I968" s="76" t="s">
        <v>53</v>
      </c>
      <c r="J968" s="77" t="s">
        <v>58</v>
      </c>
      <c r="K968" s="77" t="s">
        <v>84</v>
      </c>
      <c r="L968" s="76"/>
      <c r="M968" s="76" t="s">
        <v>38</v>
      </c>
      <c r="N968" s="76" t="s">
        <v>8695</v>
      </c>
      <c r="O968" s="76">
        <v>0</v>
      </c>
      <c r="P968" s="76"/>
      <c r="Q968" s="76"/>
      <c r="R968" s="76"/>
      <c r="S968" s="76"/>
      <c r="BD968" s="99">
        <f t="shared" si="30"/>
        <v>0</v>
      </c>
      <c r="CC968" s="99"/>
      <c r="CV968" s="99"/>
      <c r="CW968" s="63"/>
    </row>
    <row r="969" spans="1:101" x14ac:dyDescent="0.15">
      <c r="A969" s="76">
        <v>884</v>
      </c>
      <c r="B969" s="74" t="s">
        <v>7620</v>
      </c>
      <c r="C969" s="74">
        <v>1066935181</v>
      </c>
      <c r="D969" s="78" t="str">
        <f t="shared" si="29"/>
        <v>https://portal.dnb.de/opac.htm?method=simpleSearch&amp;cqlMode=true&amp;query=idn%3D1066935181</v>
      </c>
      <c r="E969" s="74" t="s">
        <v>7619</v>
      </c>
      <c r="F969" s="74"/>
      <c r="G969" s="76"/>
      <c r="H969" s="77"/>
      <c r="I969" s="76"/>
      <c r="J969" s="77"/>
      <c r="K969" s="77"/>
      <c r="L969" s="76"/>
      <c r="M969" s="76"/>
      <c r="N969" s="76"/>
      <c r="O969" s="76"/>
      <c r="P969" s="76"/>
      <c r="Q969" s="76"/>
      <c r="R969" s="76"/>
      <c r="S969" s="76"/>
      <c r="BD969" s="99">
        <f t="shared" si="30"/>
        <v>0</v>
      </c>
      <c r="CC969" s="99"/>
      <c r="CV969" s="99"/>
      <c r="CW969" s="63"/>
    </row>
    <row r="970" spans="1:101" ht="33.75" x14ac:dyDescent="0.15">
      <c r="A970" s="76">
        <v>885</v>
      </c>
      <c r="B970" s="74" t="s">
        <v>7621</v>
      </c>
      <c r="C970" s="74">
        <v>999751816</v>
      </c>
      <c r="D970" s="78" t="str">
        <f t="shared" si="29"/>
        <v>https://portal.dnb.de/opac.htm?method=simpleSearch&amp;cqlMode=true&amp;query=idn%3D999751816</v>
      </c>
      <c r="E970" s="74" t="s">
        <v>7622</v>
      </c>
      <c r="F970" s="74"/>
      <c r="G970" s="76" t="s">
        <v>8515</v>
      </c>
      <c r="H970" s="77" t="s">
        <v>8546</v>
      </c>
      <c r="I970" s="76" t="s">
        <v>53</v>
      </c>
      <c r="J970" s="77" t="s">
        <v>58</v>
      </c>
      <c r="K970" s="77" t="s">
        <v>84</v>
      </c>
      <c r="L970" s="76"/>
      <c r="M970" s="76" t="s">
        <v>37</v>
      </c>
      <c r="N970" s="76" t="s">
        <v>40</v>
      </c>
      <c r="O970" s="76">
        <v>0</v>
      </c>
      <c r="P970" s="76"/>
      <c r="Q970" s="76"/>
      <c r="R970" s="76"/>
      <c r="S970" s="76"/>
      <c r="BD970" s="99">
        <f t="shared" si="30"/>
        <v>0</v>
      </c>
      <c r="CC970" s="99"/>
      <c r="CV970" s="99"/>
      <c r="CW970" s="63"/>
    </row>
    <row r="971" spans="1:101" x14ac:dyDescent="0.15">
      <c r="A971" s="76">
        <v>886</v>
      </c>
      <c r="B971" s="74" t="s">
        <v>7625</v>
      </c>
      <c r="C971" s="74">
        <v>999751131</v>
      </c>
      <c r="D971" s="78" t="str">
        <f t="shared" si="29"/>
        <v>https://portal.dnb.de/opac.htm?method=simpleSearch&amp;cqlMode=true&amp;query=idn%3D999751131</v>
      </c>
      <c r="E971" s="74" t="s">
        <v>7626</v>
      </c>
      <c r="F971" s="74"/>
      <c r="G971" s="76"/>
      <c r="H971" s="77"/>
      <c r="I971" s="76"/>
      <c r="J971" s="77"/>
      <c r="K971" s="77"/>
      <c r="L971" s="76"/>
      <c r="M971" s="76"/>
      <c r="N971" s="76"/>
      <c r="O971" s="76"/>
      <c r="P971" s="76"/>
      <c r="Q971" s="76"/>
      <c r="R971" s="76"/>
      <c r="S971" s="76"/>
      <c r="BD971" s="99">
        <f t="shared" si="30"/>
        <v>0</v>
      </c>
      <c r="CC971" s="99"/>
      <c r="CV971" s="99"/>
      <c r="CW971" s="63"/>
    </row>
    <row r="972" spans="1:101" x14ac:dyDescent="0.15">
      <c r="A972" s="76">
        <v>887</v>
      </c>
      <c r="B972" s="74" t="s">
        <v>7627</v>
      </c>
      <c r="C972" s="74">
        <v>1066798389</v>
      </c>
      <c r="D972" s="78" t="str">
        <f t="shared" si="29"/>
        <v>https://portal.dnb.de/opac.htm?method=simpleSearch&amp;cqlMode=true&amp;query=idn%3D1066798389</v>
      </c>
      <c r="E972" s="74" t="s">
        <v>7626</v>
      </c>
      <c r="F972" s="74"/>
      <c r="G972" s="76"/>
      <c r="H972" s="77" t="s">
        <v>6</v>
      </c>
      <c r="I972" s="76" t="s">
        <v>53</v>
      </c>
      <c r="J972" s="77" t="s">
        <v>8516</v>
      </c>
      <c r="K972" s="77" t="s">
        <v>84</v>
      </c>
      <c r="L972" s="76"/>
      <c r="M972" s="76" t="s">
        <v>38</v>
      </c>
      <c r="N972" s="76" t="s">
        <v>40</v>
      </c>
      <c r="O972" s="76">
        <v>0</v>
      </c>
      <c r="P972" s="76"/>
      <c r="Q972" s="76"/>
      <c r="R972" s="76"/>
      <c r="S972" s="76"/>
      <c r="BD972" s="99">
        <f t="shared" si="30"/>
        <v>0</v>
      </c>
      <c r="CC972" s="99"/>
      <c r="CV972" s="99"/>
      <c r="CW972" s="63"/>
    </row>
    <row r="973" spans="1:101" ht="45" x14ac:dyDescent="0.15">
      <c r="A973" s="76">
        <v>888</v>
      </c>
      <c r="B973" s="74" t="s">
        <v>7628</v>
      </c>
      <c r="C973" s="74">
        <v>1066844208</v>
      </c>
      <c r="D973" s="78" t="str">
        <f t="shared" si="29"/>
        <v>https://portal.dnb.de/opac.htm?method=simpleSearch&amp;cqlMode=true&amp;query=idn%3D1066844208</v>
      </c>
      <c r="E973" s="74" t="s">
        <v>7629</v>
      </c>
      <c r="F973" s="74"/>
      <c r="G973" s="76" t="s">
        <v>8515</v>
      </c>
      <c r="H973" s="77" t="s">
        <v>4</v>
      </c>
      <c r="I973" s="76" t="s">
        <v>54</v>
      </c>
      <c r="J973" s="77" t="s">
        <v>8516</v>
      </c>
      <c r="K973" s="77" t="s">
        <v>84</v>
      </c>
      <c r="L973" s="76"/>
      <c r="M973" s="76"/>
      <c r="N973" s="76" t="s">
        <v>40</v>
      </c>
      <c r="O973" s="76">
        <v>1</v>
      </c>
      <c r="P973" s="76"/>
      <c r="Q973" s="76"/>
      <c r="R973" s="76"/>
      <c r="S973" s="76"/>
      <c r="Y973" s="95" t="s">
        <v>9729</v>
      </c>
      <c r="AA973" s="95" t="s">
        <v>8541</v>
      </c>
      <c r="AC973" s="95" t="s">
        <v>9739</v>
      </c>
      <c r="AI973" s="95" t="s">
        <v>9725</v>
      </c>
      <c r="AW973" s="95" t="s">
        <v>9733</v>
      </c>
      <c r="AY973" s="95" t="s">
        <v>8541</v>
      </c>
      <c r="BC973" s="96" t="s">
        <v>9796</v>
      </c>
      <c r="BD973" s="99">
        <f t="shared" si="30"/>
        <v>4</v>
      </c>
      <c r="BL973" s="70" t="s">
        <v>10060</v>
      </c>
      <c r="BP973" s="69" t="s">
        <v>8541</v>
      </c>
      <c r="BQ973" s="95" t="s">
        <v>8541</v>
      </c>
      <c r="BT973" s="95" t="s">
        <v>9772</v>
      </c>
      <c r="BV973" s="95" t="s">
        <v>8541</v>
      </c>
      <c r="CC973" s="99">
        <v>4</v>
      </c>
      <c r="CD973" s="90" t="s">
        <v>10061</v>
      </c>
      <c r="CV973" s="99"/>
      <c r="CW973" s="63"/>
    </row>
    <row r="974" spans="1:101" ht="78.75" x14ac:dyDescent="0.15">
      <c r="A974" s="76">
        <v>889</v>
      </c>
      <c r="B974" s="74" t="s">
        <v>7630</v>
      </c>
      <c r="C974" s="74">
        <v>1001068521</v>
      </c>
      <c r="D974" s="78" t="str">
        <f t="shared" si="29"/>
        <v>https://portal.dnb.de/opac.htm?method=simpleSearch&amp;cqlMode=true&amp;query=idn%3D1001068521</v>
      </c>
      <c r="E974" s="74" t="s">
        <v>7629</v>
      </c>
      <c r="F974" s="79" t="s">
        <v>10519</v>
      </c>
      <c r="G974" s="76"/>
      <c r="H974" s="77"/>
      <c r="I974" s="76"/>
      <c r="J974" s="77"/>
      <c r="K974" s="77"/>
      <c r="L974" s="76"/>
      <c r="M974" s="76"/>
      <c r="N974" s="76"/>
      <c r="O974" s="76"/>
      <c r="P974" s="76"/>
      <c r="Q974" s="76"/>
      <c r="R974" s="76"/>
      <c r="S974" s="76"/>
      <c r="BD974" s="99">
        <f t="shared" si="30"/>
        <v>0</v>
      </c>
      <c r="CC974" s="99"/>
      <c r="CV974" s="99"/>
      <c r="CW974" s="63"/>
    </row>
    <row r="975" spans="1:101" ht="22.5" x14ac:dyDescent="0.15">
      <c r="A975" s="76">
        <v>890</v>
      </c>
      <c r="B975" s="74" t="s">
        <v>7631</v>
      </c>
      <c r="C975" s="74">
        <v>999940856</v>
      </c>
      <c r="D975" s="78" t="str">
        <f t="shared" si="29"/>
        <v>https://portal.dnb.de/opac.htm?method=simpleSearch&amp;cqlMode=true&amp;query=idn%3D999940856</v>
      </c>
      <c r="E975" s="74" t="s">
        <v>7632</v>
      </c>
      <c r="F975" s="74"/>
      <c r="G975" s="76" t="s">
        <v>8515</v>
      </c>
      <c r="H975" s="77" t="s">
        <v>6</v>
      </c>
      <c r="I975" s="76" t="s">
        <v>53</v>
      </c>
      <c r="J975" s="77" t="s">
        <v>8516</v>
      </c>
      <c r="K975" s="77" t="s">
        <v>8565</v>
      </c>
      <c r="L975" s="76"/>
      <c r="M975" s="76"/>
      <c r="N975" s="76"/>
      <c r="O975" s="76">
        <v>0</v>
      </c>
      <c r="P975" s="76"/>
      <c r="Q975" s="76"/>
      <c r="R975" s="76"/>
      <c r="S975" s="76"/>
      <c r="BD975" s="99">
        <f t="shared" si="30"/>
        <v>0</v>
      </c>
      <c r="CC975" s="99"/>
      <c r="CV975" s="99"/>
      <c r="CW975" s="63"/>
    </row>
    <row r="976" spans="1:101" x14ac:dyDescent="0.15">
      <c r="A976" s="76">
        <v>891</v>
      </c>
      <c r="B976" s="74" t="s">
        <v>7633</v>
      </c>
      <c r="C976" s="74">
        <v>1002653533</v>
      </c>
      <c r="D976" s="78" t="str">
        <f t="shared" si="29"/>
        <v>https://portal.dnb.de/opac.htm?method=simpleSearch&amp;cqlMode=true&amp;query=idn%3D1002653533</v>
      </c>
      <c r="E976" s="74" t="s">
        <v>7634</v>
      </c>
      <c r="F976" s="74"/>
      <c r="G976" s="76"/>
      <c r="H976" s="77" t="s">
        <v>5</v>
      </c>
      <c r="I976" s="76" t="s">
        <v>55</v>
      </c>
      <c r="J976" s="77" t="s">
        <v>58</v>
      </c>
      <c r="K976" s="77" t="s">
        <v>8520</v>
      </c>
      <c r="L976" s="76"/>
      <c r="M976" s="76"/>
      <c r="N976" s="76"/>
      <c r="O976" s="76">
        <v>0</v>
      </c>
      <c r="P976" s="76"/>
      <c r="Q976" s="76"/>
      <c r="R976" s="76"/>
      <c r="S976" s="76"/>
      <c r="BD976" s="99">
        <f t="shared" si="30"/>
        <v>0</v>
      </c>
      <c r="CC976" s="99"/>
      <c r="CV976" s="99"/>
      <c r="CW976" s="63"/>
    </row>
    <row r="977" spans="1:101" x14ac:dyDescent="0.15">
      <c r="A977" s="76">
        <v>892</v>
      </c>
      <c r="B977" s="74" t="s">
        <v>7635</v>
      </c>
      <c r="C977" s="74">
        <v>1001604369</v>
      </c>
      <c r="D977" s="78" t="str">
        <f t="shared" si="29"/>
        <v>https://portal.dnb.de/opac.htm?method=simpleSearch&amp;cqlMode=true&amp;query=idn%3D1001604369</v>
      </c>
      <c r="E977" s="74" t="s">
        <v>7634</v>
      </c>
      <c r="F977" s="74"/>
      <c r="G977" s="76"/>
      <c r="H977" s="77"/>
      <c r="I977" s="76"/>
      <c r="J977" s="77"/>
      <c r="K977" s="77"/>
      <c r="L977" s="76"/>
      <c r="M977" s="76"/>
      <c r="N977" s="76"/>
      <c r="O977" s="76"/>
      <c r="P977" s="76"/>
      <c r="Q977" s="76"/>
      <c r="R977" s="76"/>
      <c r="S977" s="76"/>
      <c r="BD977" s="99">
        <f t="shared" si="30"/>
        <v>0</v>
      </c>
      <c r="CC977" s="99"/>
      <c r="CV977" s="99"/>
      <c r="CW977" s="63"/>
    </row>
    <row r="978" spans="1:101" ht="22.5" x14ac:dyDescent="0.15">
      <c r="A978" s="76">
        <v>893</v>
      </c>
      <c r="B978" s="74" t="s">
        <v>7636</v>
      </c>
      <c r="C978" s="74">
        <v>994495021</v>
      </c>
      <c r="D978" s="78" t="str">
        <f t="shared" si="29"/>
        <v>https://portal.dnb.de/opac.htm?method=simpleSearch&amp;cqlMode=true&amp;query=idn%3D994495021</v>
      </c>
      <c r="E978" s="74" t="s">
        <v>7637</v>
      </c>
      <c r="F978" s="74"/>
      <c r="G978" s="76"/>
      <c r="H978" s="77" t="s">
        <v>5</v>
      </c>
      <c r="I978" s="76" t="s">
        <v>53</v>
      </c>
      <c r="J978" s="77" t="s">
        <v>58</v>
      </c>
      <c r="K978" s="77" t="s">
        <v>8647</v>
      </c>
      <c r="L978" s="76"/>
      <c r="M978" s="76" t="s">
        <v>38</v>
      </c>
      <c r="N978" s="76" t="s">
        <v>40</v>
      </c>
      <c r="O978" s="76">
        <v>0</v>
      </c>
      <c r="P978" s="76"/>
      <c r="Q978" s="76"/>
      <c r="R978" s="76"/>
      <c r="S978" s="76"/>
      <c r="BD978" s="99">
        <f t="shared" si="30"/>
        <v>0</v>
      </c>
      <c r="CC978" s="99"/>
      <c r="CV978" s="99"/>
      <c r="CW978" s="63"/>
    </row>
    <row r="979" spans="1:101" x14ac:dyDescent="0.15">
      <c r="A979" s="76">
        <v>894</v>
      </c>
      <c r="B979" s="74" t="s">
        <v>7638</v>
      </c>
      <c r="C979" s="74">
        <v>998100145</v>
      </c>
      <c r="D979" s="82" t="str">
        <f>HYPERLINK(CONCATENATE("https://portal.dnb.de/opac.htm?method=simpleSearch&amp;cqlMode=true&amp;query=idn%3D",C979))</f>
        <v>https://portal.dnb.de/opac.htm?method=simpleSearch&amp;cqlMode=true&amp;query=idn%3D998100145</v>
      </c>
      <c r="E979" s="74" t="s">
        <v>8871</v>
      </c>
      <c r="F979" s="74"/>
      <c r="G979" s="76"/>
      <c r="H979" s="77" t="s">
        <v>5</v>
      </c>
      <c r="I979" s="76" t="s">
        <v>53</v>
      </c>
      <c r="J979" s="77" t="s">
        <v>8516</v>
      </c>
      <c r="K979" s="77" t="s">
        <v>8520</v>
      </c>
      <c r="L979" s="76"/>
      <c r="M979" s="76" t="s">
        <v>32</v>
      </c>
      <c r="N979" s="76" t="s">
        <v>40</v>
      </c>
      <c r="O979" s="76">
        <v>0</v>
      </c>
      <c r="P979" s="76"/>
      <c r="Q979" s="76"/>
      <c r="R979" s="76"/>
      <c r="S979" s="76"/>
      <c r="Y979" s="95" t="s">
        <v>9723</v>
      </c>
      <c r="AB979" s="95" t="s">
        <v>8541</v>
      </c>
      <c r="AC979" s="95" t="s">
        <v>9724</v>
      </c>
      <c r="AI979" s="95" t="s">
        <v>9725</v>
      </c>
      <c r="AW979" s="95">
        <v>45</v>
      </c>
      <c r="BC979" s="96" t="s">
        <v>9726</v>
      </c>
      <c r="BD979" s="99">
        <f t="shared" si="30"/>
        <v>0.5</v>
      </c>
      <c r="BG979" s="95" t="s">
        <v>8541</v>
      </c>
      <c r="BP979" s="69" t="s">
        <v>8541</v>
      </c>
      <c r="BQ979" s="95" t="s">
        <v>8541</v>
      </c>
      <c r="BR979" s="95" t="s">
        <v>8541</v>
      </c>
      <c r="BT979" s="95" t="s">
        <v>9775</v>
      </c>
      <c r="CC979" s="99">
        <v>0.5</v>
      </c>
      <c r="CD979" s="90" t="s">
        <v>10062</v>
      </c>
      <c r="CV979" s="99"/>
      <c r="CW979" s="63"/>
    </row>
    <row r="980" spans="1:101" ht="22.5" x14ac:dyDescent="0.15">
      <c r="A980" s="76">
        <v>895</v>
      </c>
      <c r="B980" s="74" t="s">
        <v>7639</v>
      </c>
      <c r="C980" s="74">
        <v>998100358</v>
      </c>
      <c r="D980" s="82" t="str">
        <f>HYPERLINK(CONCATENATE("https://portal.dnb.de/opac.htm?method=simpleSearch&amp;cqlMode=true&amp;query=idn%3D",C980))</f>
        <v>https://portal.dnb.de/opac.htm?method=simpleSearch&amp;cqlMode=true&amp;query=idn%3D998100358</v>
      </c>
      <c r="E980" s="74" t="s">
        <v>8869</v>
      </c>
      <c r="F980" s="74"/>
      <c r="G980" s="76"/>
      <c r="H980" s="77" t="s">
        <v>5</v>
      </c>
      <c r="I980" s="76" t="s">
        <v>53</v>
      </c>
      <c r="J980" s="77" t="s">
        <v>8516</v>
      </c>
      <c r="K980" s="77" t="s">
        <v>8617</v>
      </c>
      <c r="L980" s="76"/>
      <c r="M980" s="76" t="s">
        <v>32</v>
      </c>
      <c r="N980" s="76" t="s">
        <v>40</v>
      </c>
      <c r="O980" s="76">
        <v>1</v>
      </c>
      <c r="P980" s="76"/>
      <c r="Q980" s="76"/>
      <c r="R980" s="76"/>
      <c r="S980" s="76"/>
      <c r="Y980" s="95" t="s">
        <v>9723</v>
      </c>
      <c r="AB980" s="95" t="s">
        <v>8541</v>
      </c>
      <c r="AC980" s="95" t="s">
        <v>9724</v>
      </c>
      <c r="AI980" s="95" t="s">
        <v>9725</v>
      </c>
      <c r="AW980" s="95">
        <v>45</v>
      </c>
      <c r="BC980" s="96" t="s">
        <v>9726</v>
      </c>
      <c r="BD980" s="99">
        <f t="shared" si="30"/>
        <v>1.5</v>
      </c>
      <c r="BG980" s="95" t="s">
        <v>8541</v>
      </c>
      <c r="BP980" s="69" t="s">
        <v>8541</v>
      </c>
      <c r="BQ980" s="95" t="s">
        <v>8541</v>
      </c>
      <c r="BR980" s="95" t="s">
        <v>8541</v>
      </c>
      <c r="BT980" s="95" t="s">
        <v>9775</v>
      </c>
      <c r="BU980" s="95">
        <v>1</v>
      </c>
      <c r="CC980" s="99">
        <v>1.5</v>
      </c>
      <c r="CD980" s="90" t="s">
        <v>10063</v>
      </c>
      <c r="CV980" s="99"/>
      <c r="CW980" s="63"/>
    </row>
    <row r="981" spans="1:101" ht="22.5" x14ac:dyDescent="0.15">
      <c r="A981" s="76">
        <v>896</v>
      </c>
      <c r="B981" s="74" t="s">
        <v>7640</v>
      </c>
      <c r="C981" s="74">
        <v>998100374</v>
      </c>
      <c r="D981" s="78" t="str">
        <f t="shared" si="29"/>
        <v>https://portal.dnb.de/opac.htm?method=simpleSearch&amp;cqlMode=true&amp;query=idn%3D998100374</v>
      </c>
      <c r="E981" s="74" t="s">
        <v>8870</v>
      </c>
      <c r="F981" s="74"/>
      <c r="G981" s="76"/>
      <c r="H981" s="77" t="s">
        <v>5</v>
      </c>
      <c r="I981" s="76" t="s">
        <v>53</v>
      </c>
      <c r="J981" s="77" t="s">
        <v>8516</v>
      </c>
      <c r="K981" s="77" t="s">
        <v>8617</v>
      </c>
      <c r="L981" s="76"/>
      <c r="M981" s="76" t="s">
        <v>32</v>
      </c>
      <c r="N981" s="76" t="s">
        <v>40</v>
      </c>
      <c r="O981" s="76">
        <v>1</v>
      </c>
      <c r="P981" s="76"/>
      <c r="Q981" s="76"/>
      <c r="R981" s="76"/>
      <c r="S981" s="76"/>
      <c r="Y981" s="95" t="s">
        <v>9723</v>
      </c>
      <c r="AB981" s="95" t="s">
        <v>8541</v>
      </c>
      <c r="AC981" s="95" t="s">
        <v>9724</v>
      </c>
      <c r="AI981" s="95" t="s">
        <v>9725</v>
      </c>
      <c r="AW981" s="95">
        <v>45</v>
      </c>
      <c r="BC981" s="96" t="s">
        <v>9726</v>
      </c>
      <c r="BD981" s="99">
        <f t="shared" si="30"/>
        <v>2</v>
      </c>
      <c r="BG981" s="95" t="s">
        <v>8541</v>
      </c>
      <c r="BP981" s="69" t="s">
        <v>8541</v>
      </c>
      <c r="BQ981" s="95" t="s">
        <v>8541</v>
      </c>
      <c r="BR981" s="95" t="s">
        <v>8541</v>
      </c>
      <c r="BT981" s="95" t="s">
        <v>9772</v>
      </c>
      <c r="BU981" s="95">
        <v>2</v>
      </c>
      <c r="CC981" s="99">
        <v>2</v>
      </c>
      <c r="CD981" s="90" t="s">
        <v>10064</v>
      </c>
      <c r="CV981" s="99"/>
      <c r="CW981" s="63"/>
    </row>
    <row r="982" spans="1:101" x14ac:dyDescent="0.15">
      <c r="A982" s="76">
        <v>897</v>
      </c>
      <c r="B982" s="74" t="s">
        <v>7641</v>
      </c>
      <c r="C982" s="74">
        <v>1000266125</v>
      </c>
      <c r="D982" s="78" t="str">
        <f t="shared" si="29"/>
        <v>https://portal.dnb.de/opac.htm?method=simpleSearch&amp;cqlMode=true&amp;query=idn%3D1000266125</v>
      </c>
      <c r="E982" s="74" t="s">
        <v>8873</v>
      </c>
      <c r="F982" s="74"/>
      <c r="G982" s="76"/>
      <c r="H982" s="77"/>
      <c r="I982" s="76"/>
      <c r="J982" s="77"/>
      <c r="K982" s="77"/>
      <c r="L982" s="76"/>
      <c r="M982" s="76"/>
      <c r="N982" s="76"/>
      <c r="O982" s="76"/>
      <c r="P982" s="76"/>
      <c r="Q982" s="76"/>
      <c r="R982" s="76"/>
      <c r="S982" s="76"/>
      <c r="BD982" s="99">
        <f t="shared" si="30"/>
        <v>0</v>
      </c>
      <c r="CC982" s="99"/>
      <c r="CV982" s="99"/>
      <c r="CW982" s="63"/>
    </row>
    <row r="983" spans="1:101" ht="22.5" x14ac:dyDescent="0.15">
      <c r="A983" s="76">
        <v>898</v>
      </c>
      <c r="B983" s="74" t="s">
        <v>7642</v>
      </c>
      <c r="C983" s="74">
        <v>1000266052</v>
      </c>
      <c r="D983" s="78" t="str">
        <f t="shared" si="29"/>
        <v>https://portal.dnb.de/opac.htm?method=simpleSearch&amp;cqlMode=true&amp;query=idn%3D1000266052</v>
      </c>
      <c r="E983" s="74" t="s">
        <v>8872</v>
      </c>
      <c r="F983" s="74"/>
      <c r="G983" s="76" t="s">
        <v>8515</v>
      </c>
      <c r="H983" s="77" t="s">
        <v>48</v>
      </c>
      <c r="I983" s="76" t="s">
        <v>53</v>
      </c>
      <c r="J983" s="77" t="s">
        <v>8516</v>
      </c>
      <c r="K983" s="77" t="s">
        <v>8539</v>
      </c>
      <c r="L983" s="76"/>
      <c r="M983" s="76"/>
      <c r="N983" s="76" t="s">
        <v>8660</v>
      </c>
      <c r="O983" s="76">
        <v>0</v>
      </c>
      <c r="P983" s="76" t="s">
        <v>46</v>
      </c>
      <c r="Q983" s="76"/>
      <c r="R983" s="76"/>
      <c r="S983" s="76"/>
      <c r="BD983" s="99">
        <f t="shared" si="30"/>
        <v>0</v>
      </c>
      <c r="CC983" s="99"/>
      <c r="CV983" s="99"/>
      <c r="CW983" s="63"/>
    </row>
    <row r="984" spans="1:101" ht="22.5" x14ac:dyDescent="0.15">
      <c r="A984" s="76">
        <v>899</v>
      </c>
      <c r="B984" s="74" t="s">
        <v>7643</v>
      </c>
      <c r="C984" s="74">
        <v>994316968</v>
      </c>
      <c r="D984" s="78" t="str">
        <f t="shared" si="29"/>
        <v>https://portal.dnb.de/opac.htm?method=simpleSearch&amp;cqlMode=true&amp;query=idn%3D994316968</v>
      </c>
      <c r="E984" s="74" t="s">
        <v>7644</v>
      </c>
      <c r="F984" s="74"/>
      <c r="G984" s="76"/>
      <c r="H984" s="77" t="s">
        <v>48</v>
      </c>
      <c r="I984" s="76" t="s">
        <v>53</v>
      </c>
      <c r="J984" s="77" t="s">
        <v>8516</v>
      </c>
      <c r="K984" s="77" t="s">
        <v>8552</v>
      </c>
      <c r="L984" s="76"/>
      <c r="M984" s="76"/>
      <c r="N984" s="76"/>
      <c r="O984" s="76">
        <v>0</v>
      </c>
      <c r="P984" s="76"/>
      <c r="Q984" s="76"/>
      <c r="R984" s="76"/>
      <c r="S984" s="76"/>
      <c r="BD984" s="99">
        <f t="shared" si="30"/>
        <v>0</v>
      </c>
      <c r="CC984" s="99"/>
      <c r="CV984" s="99"/>
      <c r="CW984" s="63"/>
    </row>
    <row r="985" spans="1:101" x14ac:dyDescent="0.15">
      <c r="A985" s="76">
        <v>900</v>
      </c>
      <c r="B985" s="74" t="s">
        <v>7645</v>
      </c>
      <c r="C985" s="74">
        <v>995725403</v>
      </c>
      <c r="D985" s="78" t="str">
        <f t="shared" si="29"/>
        <v>https://portal.dnb.de/opac.htm?method=simpleSearch&amp;cqlMode=true&amp;query=idn%3D995725403</v>
      </c>
      <c r="E985" s="74" t="s">
        <v>7646</v>
      </c>
      <c r="F985" s="74"/>
      <c r="G985" s="76"/>
      <c r="H985" s="77" t="s">
        <v>5</v>
      </c>
      <c r="I985" s="76" t="s">
        <v>54</v>
      </c>
      <c r="J985" s="77" t="s">
        <v>8516</v>
      </c>
      <c r="K985" s="77" t="s">
        <v>8520</v>
      </c>
      <c r="L985" s="76"/>
      <c r="M985" s="76"/>
      <c r="N985" s="76" t="s">
        <v>8660</v>
      </c>
      <c r="O985" s="76">
        <v>0</v>
      </c>
      <c r="P985" s="76"/>
      <c r="Q985" s="76"/>
      <c r="R985" s="76"/>
      <c r="S985" s="76"/>
      <c r="BD985" s="99">
        <f t="shared" si="30"/>
        <v>0</v>
      </c>
      <c r="CC985" s="99"/>
      <c r="CV985" s="99"/>
      <c r="CW985" s="63"/>
    </row>
    <row r="986" spans="1:101" ht="33.75" x14ac:dyDescent="0.15">
      <c r="A986" s="76">
        <v>901</v>
      </c>
      <c r="B986" s="74" t="s">
        <v>7647</v>
      </c>
      <c r="C986" s="74">
        <v>1100198229</v>
      </c>
      <c r="D986" s="78" t="str">
        <f t="shared" si="29"/>
        <v>https://portal.dnb.de/opac.htm?method=simpleSearch&amp;cqlMode=true&amp;query=idn%3D1100198229</v>
      </c>
      <c r="E986" s="74" t="s">
        <v>7648</v>
      </c>
      <c r="F986" s="74"/>
      <c r="G986" s="76" t="s">
        <v>8515</v>
      </c>
      <c r="H986" s="77" t="s">
        <v>5</v>
      </c>
      <c r="I986" s="76" t="s">
        <v>54</v>
      </c>
      <c r="J986" s="77" t="s">
        <v>58</v>
      </c>
      <c r="K986" s="77" t="s">
        <v>9624</v>
      </c>
      <c r="L986" s="76"/>
      <c r="M986" s="76"/>
      <c r="N986" s="76"/>
      <c r="O986" s="76">
        <v>1</v>
      </c>
      <c r="P986" s="76"/>
      <c r="Q986" s="76"/>
      <c r="R986" s="76"/>
      <c r="S986" s="76"/>
      <c r="Y986" s="95" t="s">
        <v>9723</v>
      </c>
      <c r="AB986" s="95" t="s">
        <v>8541</v>
      </c>
      <c r="AC986" s="95" t="s">
        <v>9724</v>
      </c>
      <c r="AI986" s="95" t="s">
        <v>9725</v>
      </c>
      <c r="AP986" s="95" t="s">
        <v>8541</v>
      </c>
      <c r="AW986" s="95" t="s">
        <v>9764</v>
      </c>
      <c r="BC986" s="96" t="s">
        <v>9734</v>
      </c>
      <c r="BD986" s="99">
        <f t="shared" si="30"/>
        <v>0</v>
      </c>
      <c r="CC986" s="99"/>
      <c r="CV986" s="99"/>
      <c r="CW986" s="63"/>
    </row>
    <row r="987" spans="1:101" x14ac:dyDescent="0.15">
      <c r="A987" s="76">
        <v>902</v>
      </c>
      <c r="B987" s="74" t="s">
        <v>7649</v>
      </c>
      <c r="C987" s="74">
        <v>1003309836</v>
      </c>
      <c r="D987" s="78" t="str">
        <f t="shared" si="29"/>
        <v>https://portal.dnb.de/opac.htm?method=simpleSearch&amp;cqlMode=true&amp;query=idn%3D1003309836</v>
      </c>
      <c r="E987" s="74" t="s">
        <v>7650</v>
      </c>
      <c r="F987" s="74"/>
      <c r="G987" s="76"/>
      <c r="H987" s="77"/>
      <c r="I987" s="76"/>
      <c r="J987" s="77"/>
      <c r="K987" s="77"/>
      <c r="L987" s="76"/>
      <c r="M987" s="76"/>
      <c r="N987" s="76"/>
      <c r="O987" s="76"/>
      <c r="P987" s="76"/>
      <c r="Q987" s="76"/>
      <c r="R987" s="76"/>
      <c r="S987" s="76"/>
      <c r="BD987" s="99">
        <f t="shared" si="30"/>
        <v>0</v>
      </c>
      <c r="CC987" s="99"/>
      <c r="CV987" s="99"/>
      <c r="CW987" s="63"/>
    </row>
    <row r="988" spans="1:101" ht="33.75" x14ac:dyDescent="0.15">
      <c r="A988" s="76">
        <v>903</v>
      </c>
      <c r="B988" s="74" t="s">
        <v>7651</v>
      </c>
      <c r="C988" s="74">
        <v>1066879273</v>
      </c>
      <c r="D988" s="78" t="str">
        <f t="shared" si="29"/>
        <v>https://portal.dnb.de/opac.htm?method=simpleSearch&amp;cqlMode=true&amp;query=idn%3D1066879273</v>
      </c>
      <c r="E988" s="74" t="s">
        <v>7650</v>
      </c>
      <c r="F988" s="74"/>
      <c r="G988" s="76" t="s">
        <v>8515</v>
      </c>
      <c r="H988" s="77" t="s">
        <v>8674</v>
      </c>
      <c r="I988" s="76" t="s">
        <v>53</v>
      </c>
      <c r="J988" s="77" t="s">
        <v>8516</v>
      </c>
      <c r="K988" s="77" t="s">
        <v>84</v>
      </c>
      <c r="L988" s="76"/>
      <c r="M988" s="76" t="s">
        <v>37</v>
      </c>
      <c r="N988" s="76" t="s">
        <v>40</v>
      </c>
      <c r="O988" s="76">
        <v>0</v>
      </c>
      <c r="P988" s="76"/>
      <c r="Q988" s="76"/>
      <c r="R988" s="76"/>
      <c r="S988" s="76"/>
      <c r="BD988" s="99">
        <f t="shared" si="30"/>
        <v>0</v>
      </c>
      <c r="CC988" s="99"/>
      <c r="CV988" s="99"/>
      <c r="CW988" s="63"/>
    </row>
    <row r="989" spans="1:101" x14ac:dyDescent="0.15">
      <c r="A989" s="76">
        <v>904</v>
      </c>
      <c r="B989" s="74" t="s">
        <v>7652</v>
      </c>
      <c r="C989" s="74">
        <v>1066935033</v>
      </c>
      <c r="D989" s="78" t="str">
        <f t="shared" si="29"/>
        <v>https://portal.dnb.de/opac.htm?method=simpleSearch&amp;cqlMode=true&amp;query=idn%3D1066935033</v>
      </c>
      <c r="E989" s="74" t="s">
        <v>7653</v>
      </c>
      <c r="F989" s="74"/>
      <c r="G989" s="76" t="s">
        <v>8515</v>
      </c>
      <c r="H989" s="77" t="s">
        <v>17</v>
      </c>
      <c r="I989" s="76" t="s">
        <v>53</v>
      </c>
      <c r="J989" s="77" t="s">
        <v>8516</v>
      </c>
      <c r="K989" s="77" t="s">
        <v>84</v>
      </c>
      <c r="L989" s="76"/>
      <c r="M989" s="76"/>
      <c r="N989" s="76"/>
      <c r="O989" s="76">
        <v>0</v>
      </c>
      <c r="P989" s="76"/>
      <c r="Q989" s="76"/>
      <c r="R989" s="76"/>
      <c r="S989" s="76"/>
      <c r="BD989" s="99">
        <f t="shared" si="30"/>
        <v>0</v>
      </c>
      <c r="CC989" s="99"/>
      <c r="CV989" s="99"/>
      <c r="CW989" s="63"/>
    </row>
    <row r="990" spans="1:101" x14ac:dyDescent="0.15">
      <c r="A990" s="76">
        <v>905</v>
      </c>
      <c r="B990" s="74" t="s">
        <v>7654</v>
      </c>
      <c r="C990" s="74">
        <v>997451688</v>
      </c>
      <c r="D990" s="78" t="str">
        <f t="shared" si="29"/>
        <v>https://portal.dnb.de/opac.htm?method=simpleSearch&amp;cqlMode=true&amp;query=idn%3D997451688</v>
      </c>
      <c r="E990" s="74" t="s">
        <v>7653</v>
      </c>
      <c r="F990" s="74"/>
      <c r="G990" s="76"/>
      <c r="H990" s="77"/>
      <c r="I990" s="76"/>
      <c r="J990" s="77"/>
      <c r="K990" s="77"/>
      <c r="L990" s="76"/>
      <c r="M990" s="76"/>
      <c r="N990" s="76"/>
      <c r="O990" s="76"/>
      <c r="P990" s="76"/>
      <c r="Q990" s="76"/>
      <c r="R990" s="76"/>
      <c r="S990" s="76"/>
      <c r="BD990" s="99">
        <f t="shared" si="30"/>
        <v>0</v>
      </c>
      <c r="CC990" s="99"/>
      <c r="CV990" s="99"/>
      <c r="CW990" s="63"/>
    </row>
    <row r="991" spans="1:101" ht="33.75" x14ac:dyDescent="0.15">
      <c r="A991" s="76">
        <v>906</v>
      </c>
      <c r="B991" s="74" t="s">
        <v>7655</v>
      </c>
      <c r="C991" s="74">
        <v>1066786712</v>
      </c>
      <c r="D991" s="78" t="str">
        <f t="shared" si="29"/>
        <v>https://portal.dnb.de/opac.htm?method=simpleSearch&amp;cqlMode=true&amp;query=idn%3D1066786712</v>
      </c>
      <c r="E991" s="74" t="s">
        <v>7656</v>
      </c>
      <c r="F991" s="74"/>
      <c r="G991" s="76" t="s">
        <v>8515</v>
      </c>
      <c r="H991" s="77" t="s">
        <v>5</v>
      </c>
      <c r="I991" s="76" t="s">
        <v>55</v>
      </c>
      <c r="J991" s="77" t="s">
        <v>8516</v>
      </c>
      <c r="K991" s="77" t="s">
        <v>8928</v>
      </c>
      <c r="L991" s="76"/>
      <c r="M991" s="76"/>
      <c r="N991" s="76" t="s">
        <v>8660</v>
      </c>
      <c r="O991" s="76">
        <v>1</v>
      </c>
      <c r="P991" s="76"/>
      <c r="Q991" s="76"/>
      <c r="R991" s="76"/>
      <c r="S991" s="76"/>
      <c r="Y991" s="95" t="s">
        <v>9723</v>
      </c>
      <c r="AC991" s="95" t="s">
        <v>9730</v>
      </c>
      <c r="AI991" s="95" t="s">
        <v>9725</v>
      </c>
      <c r="AW991" s="95">
        <v>60</v>
      </c>
      <c r="BC991" s="96" t="s">
        <v>9734</v>
      </c>
      <c r="BD991" s="99">
        <f t="shared" si="30"/>
        <v>0</v>
      </c>
      <c r="BL991" s="70" t="s">
        <v>10015</v>
      </c>
      <c r="CC991" s="99"/>
      <c r="CV991" s="99"/>
      <c r="CW991" s="63"/>
    </row>
    <row r="992" spans="1:101" x14ac:dyDescent="0.15">
      <c r="A992" s="76">
        <v>907</v>
      </c>
      <c r="B992" s="74" t="s">
        <v>7659</v>
      </c>
      <c r="C992" s="74">
        <v>1066755752</v>
      </c>
      <c r="D992" s="78" t="str">
        <f t="shared" si="29"/>
        <v>https://portal.dnb.de/opac.htm?method=simpleSearch&amp;cqlMode=true&amp;query=idn%3D1066755752</v>
      </c>
      <c r="E992" s="74" t="s">
        <v>7660</v>
      </c>
      <c r="F992" s="74"/>
      <c r="G992" s="76"/>
      <c r="H992" s="77"/>
      <c r="I992" s="76"/>
      <c r="J992" s="77"/>
      <c r="K992" s="77"/>
      <c r="L992" s="76"/>
      <c r="M992" s="76"/>
      <c r="N992" s="76"/>
      <c r="O992" s="76"/>
      <c r="P992" s="76"/>
      <c r="Q992" s="76"/>
      <c r="R992" s="76"/>
      <c r="S992" s="76"/>
      <c r="BD992" s="99">
        <f t="shared" si="30"/>
        <v>0</v>
      </c>
      <c r="CC992" s="99"/>
      <c r="CV992" s="99"/>
      <c r="CW992" s="63"/>
    </row>
    <row r="993" spans="1:101" x14ac:dyDescent="0.15">
      <c r="A993" s="76">
        <v>908</v>
      </c>
      <c r="B993" s="74" t="s">
        <v>7661</v>
      </c>
      <c r="C993" s="74">
        <v>993863124</v>
      </c>
      <c r="D993" s="78" t="str">
        <f t="shared" si="29"/>
        <v>https://portal.dnb.de/opac.htm?method=simpleSearch&amp;cqlMode=true&amp;query=idn%3D993863124</v>
      </c>
      <c r="E993" s="74" t="s">
        <v>7662</v>
      </c>
      <c r="F993" s="74"/>
      <c r="G993" s="76"/>
      <c r="H993" s="77"/>
      <c r="I993" s="76"/>
      <c r="J993" s="77"/>
      <c r="K993" s="77"/>
      <c r="L993" s="76"/>
      <c r="M993" s="76"/>
      <c r="N993" s="76"/>
      <c r="O993" s="76"/>
      <c r="P993" s="76"/>
      <c r="Q993" s="76"/>
      <c r="R993" s="76"/>
      <c r="S993" s="76"/>
      <c r="BD993" s="99">
        <f t="shared" si="30"/>
        <v>0</v>
      </c>
      <c r="CC993" s="99"/>
      <c r="CV993" s="99"/>
      <c r="CW993" s="63"/>
    </row>
    <row r="994" spans="1:101" x14ac:dyDescent="0.15">
      <c r="A994" s="76">
        <v>909</v>
      </c>
      <c r="B994" s="74" t="s">
        <v>7663</v>
      </c>
      <c r="C994" s="74">
        <v>1001275624</v>
      </c>
      <c r="D994" s="78" t="str">
        <f t="shared" si="29"/>
        <v>https://portal.dnb.de/opac.htm?method=simpleSearch&amp;cqlMode=true&amp;query=idn%3D1001275624</v>
      </c>
      <c r="E994" s="74" t="s">
        <v>7664</v>
      </c>
      <c r="F994" s="74"/>
      <c r="G994" s="76"/>
      <c r="H994" s="77"/>
      <c r="I994" s="76"/>
      <c r="J994" s="77"/>
      <c r="K994" s="77"/>
      <c r="L994" s="76"/>
      <c r="M994" s="76"/>
      <c r="N994" s="76"/>
      <c r="O994" s="76"/>
      <c r="P994" s="76"/>
      <c r="Q994" s="76"/>
      <c r="R994" s="76"/>
      <c r="S994" s="76"/>
      <c r="BD994" s="99">
        <f t="shared" si="30"/>
        <v>0</v>
      </c>
      <c r="CC994" s="99"/>
      <c r="CV994" s="99"/>
      <c r="CW994" s="63"/>
    </row>
    <row r="995" spans="1:101" x14ac:dyDescent="0.15">
      <c r="A995" s="76">
        <v>910</v>
      </c>
      <c r="B995" s="74" t="s">
        <v>7657</v>
      </c>
      <c r="C995" s="74">
        <v>1209234238</v>
      </c>
      <c r="D995" s="78" t="str">
        <f t="shared" si="29"/>
        <v>https://portal.dnb.de/opac.htm?method=simpleSearch&amp;cqlMode=true&amp;query=idn%3D1209234238</v>
      </c>
      <c r="E995" s="74" t="s">
        <v>7658</v>
      </c>
      <c r="F995" s="74"/>
      <c r="G995" s="76"/>
      <c r="H995" s="77"/>
      <c r="I995" s="76"/>
      <c r="J995" s="77"/>
      <c r="K995" s="77"/>
      <c r="L995" s="76"/>
      <c r="M995" s="76"/>
      <c r="N995" s="76"/>
      <c r="O995" s="76"/>
      <c r="P995" s="76"/>
      <c r="Q995" s="76"/>
      <c r="R995" s="76"/>
      <c r="S995" s="76"/>
      <c r="BD995" s="99">
        <f t="shared" si="30"/>
        <v>0</v>
      </c>
      <c r="CC995" s="99"/>
      <c r="CV995" s="99"/>
      <c r="CW995" s="63"/>
    </row>
    <row r="996" spans="1:101" x14ac:dyDescent="0.15">
      <c r="A996" s="76">
        <v>911</v>
      </c>
      <c r="B996" s="74" t="s">
        <v>7665</v>
      </c>
      <c r="C996" s="74">
        <v>993966470</v>
      </c>
      <c r="D996" s="78" t="str">
        <f t="shared" si="29"/>
        <v>https://portal.dnb.de/opac.htm?method=simpleSearch&amp;cqlMode=true&amp;query=idn%3D993966470</v>
      </c>
      <c r="E996" s="74" t="s">
        <v>7666</v>
      </c>
      <c r="F996" s="74"/>
      <c r="G996" s="76"/>
      <c r="H996" s="77"/>
      <c r="I996" s="76"/>
      <c r="J996" s="77"/>
      <c r="K996" s="77"/>
      <c r="L996" s="76"/>
      <c r="M996" s="76"/>
      <c r="N996" s="76"/>
      <c r="O996" s="76"/>
      <c r="P996" s="76"/>
      <c r="Q996" s="76"/>
      <c r="R996" s="76"/>
      <c r="S996" s="76"/>
      <c r="BD996" s="99">
        <f t="shared" si="30"/>
        <v>0</v>
      </c>
      <c r="CC996" s="99"/>
      <c r="CV996" s="99"/>
      <c r="CW996" s="63"/>
    </row>
    <row r="997" spans="1:101" x14ac:dyDescent="0.15">
      <c r="A997" s="76">
        <v>912</v>
      </c>
      <c r="B997" s="74" t="s">
        <v>7667</v>
      </c>
      <c r="C997" s="74">
        <v>19676980</v>
      </c>
      <c r="D997" s="78" t="str">
        <f t="shared" si="29"/>
        <v>https://portal.dnb.de/opac.htm?method=simpleSearch&amp;cqlMode=true&amp;query=idn%3D19676980</v>
      </c>
      <c r="E997" s="74" t="s">
        <v>7668</v>
      </c>
      <c r="F997" s="74"/>
      <c r="G997" s="76"/>
      <c r="H997" s="77"/>
      <c r="I997" s="76"/>
      <c r="J997" s="77"/>
      <c r="K997" s="77"/>
      <c r="L997" s="76"/>
      <c r="M997" s="76"/>
      <c r="N997" s="76"/>
      <c r="O997" s="76"/>
      <c r="P997" s="76"/>
      <c r="Q997" s="76"/>
      <c r="R997" s="76"/>
      <c r="S997" s="76"/>
      <c r="BD997" s="99">
        <f t="shared" si="30"/>
        <v>0</v>
      </c>
      <c r="CC997" s="99"/>
      <c r="CV997" s="99"/>
      <c r="CW997" s="63"/>
    </row>
    <row r="998" spans="1:101" x14ac:dyDescent="0.15">
      <c r="A998" s="76">
        <v>913</v>
      </c>
      <c r="B998" s="74" t="s">
        <v>7669</v>
      </c>
      <c r="C998" s="74">
        <v>1001539443</v>
      </c>
      <c r="D998" s="78" t="str">
        <f t="shared" si="29"/>
        <v>https://portal.dnb.de/opac.htm?method=simpleSearch&amp;cqlMode=true&amp;query=idn%3D1001539443</v>
      </c>
      <c r="E998" s="74" t="s">
        <v>7670</v>
      </c>
      <c r="F998" s="74"/>
      <c r="G998" s="76" t="s">
        <v>8515</v>
      </c>
      <c r="H998" s="77" t="s">
        <v>47</v>
      </c>
      <c r="I998" s="76" t="s">
        <v>53</v>
      </c>
      <c r="J998" s="77" t="s">
        <v>58</v>
      </c>
      <c r="K998" s="77"/>
      <c r="L998" s="76"/>
      <c r="M998" s="76"/>
      <c r="N998" s="76" t="s">
        <v>8660</v>
      </c>
      <c r="O998" s="76">
        <v>0</v>
      </c>
      <c r="P998" s="76"/>
      <c r="Q998" s="76"/>
      <c r="R998" s="76"/>
      <c r="S998" s="76"/>
      <c r="BD998" s="99">
        <f t="shared" si="30"/>
        <v>0</v>
      </c>
      <c r="CC998" s="99"/>
      <c r="CV998" s="99"/>
      <c r="CW998" s="63"/>
    </row>
    <row r="999" spans="1:101" x14ac:dyDescent="0.15">
      <c r="A999" s="76">
        <v>914</v>
      </c>
      <c r="B999" s="74" t="s">
        <v>7671</v>
      </c>
      <c r="C999" s="74">
        <v>993881920</v>
      </c>
      <c r="D999" s="82" t="str">
        <f t="shared" ref="D999:D1005" si="31">HYPERLINK(CONCATENATE("https://portal.dnb.de/opac.htm?method=simpleSearch&amp;cqlMode=true&amp;query=idn%3D",C999))</f>
        <v>https://portal.dnb.de/opac.htm?method=simpleSearch&amp;cqlMode=true&amp;query=idn%3D993881920</v>
      </c>
      <c r="E999" s="74" t="s">
        <v>7672</v>
      </c>
      <c r="F999" s="74"/>
      <c r="G999" s="76"/>
      <c r="H999" s="77"/>
      <c r="I999" s="76"/>
      <c r="J999" s="77"/>
      <c r="K999" s="77"/>
      <c r="L999" s="76"/>
      <c r="M999" s="76"/>
      <c r="N999" s="76"/>
      <c r="O999" s="76"/>
      <c r="P999" s="76"/>
      <c r="Q999" s="76"/>
      <c r="R999" s="76"/>
      <c r="S999" s="76"/>
      <c r="BD999" s="99">
        <f t="shared" si="30"/>
        <v>0</v>
      </c>
      <c r="CC999" s="99"/>
      <c r="CV999" s="99"/>
      <c r="CW999" s="63"/>
    </row>
    <row r="1000" spans="1:101" ht="22.5" x14ac:dyDescent="0.15">
      <c r="A1000" s="76">
        <v>915</v>
      </c>
      <c r="B1000" s="74" t="s">
        <v>7673</v>
      </c>
      <c r="C1000" s="74">
        <v>993881912</v>
      </c>
      <c r="D1000" s="82" t="str">
        <f t="shared" si="31"/>
        <v>https://portal.dnb.de/opac.htm?method=simpleSearch&amp;cqlMode=true&amp;query=idn%3D993881912</v>
      </c>
      <c r="E1000" s="74" t="s">
        <v>7672</v>
      </c>
      <c r="F1000" s="74"/>
      <c r="G1000" s="76" t="s">
        <v>8515</v>
      </c>
      <c r="H1000" s="77" t="s">
        <v>8547</v>
      </c>
      <c r="I1000" s="76" t="s">
        <v>53</v>
      </c>
      <c r="J1000" s="77" t="s">
        <v>8516</v>
      </c>
      <c r="K1000" s="77" t="s">
        <v>8565</v>
      </c>
      <c r="L1000" s="76"/>
      <c r="M1000" s="76" t="s">
        <v>37</v>
      </c>
      <c r="N1000" s="76" t="s">
        <v>40</v>
      </c>
      <c r="O1000" s="76">
        <v>1</v>
      </c>
      <c r="P1000" s="76"/>
      <c r="Q1000" s="76"/>
      <c r="R1000" s="76"/>
      <c r="S1000" s="76"/>
      <c r="BD1000" s="99">
        <f t="shared" si="30"/>
        <v>0</v>
      </c>
      <c r="CC1000" s="99"/>
      <c r="CV1000" s="99"/>
      <c r="CW1000" s="63"/>
    </row>
    <row r="1001" spans="1:101" x14ac:dyDescent="0.15">
      <c r="A1001" s="76">
        <v>916</v>
      </c>
      <c r="B1001" s="74" t="s">
        <v>7674</v>
      </c>
      <c r="C1001" s="74">
        <v>999113445</v>
      </c>
      <c r="D1001" s="82" t="str">
        <f t="shared" si="31"/>
        <v>https://portal.dnb.de/opac.htm?method=simpleSearch&amp;cqlMode=true&amp;query=idn%3D999113445</v>
      </c>
      <c r="E1001" s="74" t="s">
        <v>7672</v>
      </c>
      <c r="F1001" s="74"/>
      <c r="G1001" s="76"/>
      <c r="H1001" s="77"/>
      <c r="I1001" s="76"/>
      <c r="J1001" s="77"/>
      <c r="K1001" s="77"/>
      <c r="L1001" s="76"/>
      <c r="M1001" s="76"/>
      <c r="N1001" s="76"/>
      <c r="O1001" s="76"/>
      <c r="P1001" s="76"/>
      <c r="Q1001" s="76"/>
      <c r="R1001" s="76"/>
      <c r="S1001" s="76"/>
      <c r="BD1001" s="99">
        <f t="shared" si="30"/>
        <v>0</v>
      </c>
      <c r="CC1001" s="99"/>
      <c r="CV1001" s="99"/>
      <c r="CW1001" s="63"/>
    </row>
    <row r="1002" spans="1:101" ht="33.75" x14ac:dyDescent="0.15">
      <c r="A1002" s="76">
        <v>917</v>
      </c>
      <c r="B1002" s="74" t="s">
        <v>7675</v>
      </c>
      <c r="C1002" s="74">
        <v>1066870179</v>
      </c>
      <c r="D1002" s="82" t="str">
        <f t="shared" si="31"/>
        <v>https://portal.dnb.de/opac.htm?method=simpleSearch&amp;cqlMode=true&amp;query=idn%3D1066870179</v>
      </c>
      <c r="E1002" s="74" t="s">
        <v>7676</v>
      </c>
      <c r="F1002" s="74"/>
      <c r="G1002" s="76" t="s">
        <v>8515</v>
      </c>
      <c r="H1002" s="77" t="s">
        <v>8546</v>
      </c>
      <c r="I1002" s="76" t="s">
        <v>53</v>
      </c>
      <c r="J1002" s="77" t="s">
        <v>8516</v>
      </c>
      <c r="K1002" s="77" t="s">
        <v>8577</v>
      </c>
      <c r="L1002" s="76"/>
      <c r="M1002" s="76"/>
      <c r="N1002" s="76"/>
      <c r="O1002" s="76">
        <v>0</v>
      </c>
      <c r="P1002" s="76"/>
      <c r="Q1002" s="76"/>
      <c r="R1002" s="76"/>
      <c r="S1002" s="76"/>
      <c r="BD1002" s="99">
        <f t="shared" si="30"/>
        <v>0</v>
      </c>
      <c r="CC1002" s="99"/>
      <c r="CV1002" s="99"/>
      <c r="CW1002" s="63"/>
    </row>
    <row r="1003" spans="1:101" x14ac:dyDescent="0.15">
      <c r="A1003" s="76">
        <v>918</v>
      </c>
      <c r="B1003" s="74" t="s">
        <v>7677</v>
      </c>
      <c r="C1003" s="74">
        <v>1000332535</v>
      </c>
      <c r="D1003" s="82" t="str">
        <f t="shared" si="31"/>
        <v>https://portal.dnb.de/opac.htm?method=simpleSearch&amp;cqlMode=true&amp;query=idn%3D1000332535</v>
      </c>
      <c r="E1003" s="74" t="s">
        <v>7676</v>
      </c>
      <c r="F1003" s="74"/>
      <c r="G1003" s="76"/>
      <c r="H1003" s="77"/>
      <c r="I1003" s="76"/>
      <c r="J1003" s="77"/>
      <c r="K1003" s="77"/>
      <c r="L1003" s="76"/>
      <c r="M1003" s="76"/>
      <c r="N1003" s="76"/>
      <c r="O1003" s="76"/>
      <c r="P1003" s="76"/>
      <c r="Q1003" s="76"/>
      <c r="R1003" s="76"/>
      <c r="S1003" s="76"/>
      <c r="BD1003" s="99">
        <f t="shared" si="30"/>
        <v>0</v>
      </c>
      <c r="CC1003" s="99"/>
      <c r="CV1003" s="99"/>
      <c r="CW1003" s="63"/>
    </row>
    <row r="1004" spans="1:101" x14ac:dyDescent="0.15">
      <c r="A1004" s="76">
        <v>919</v>
      </c>
      <c r="B1004" s="74" t="s">
        <v>7678</v>
      </c>
      <c r="C1004" s="74">
        <v>1211524752</v>
      </c>
      <c r="D1004" s="82" t="str">
        <f t="shared" si="31"/>
        <v>https://portal.dnb.de/opac.htm?method=simpleSearch&amp;cqlMode=true&amp;query=idn%3D1211524752</v>
      </c>
      <c r="E1004" s="74" t="s">
        <v>7679</v>
      </c>
      <c r="F1004" s="74"/>
      <c r="G1004" s="76"/>
      <c r="H1004" s="77"/>
      <c r="I1004" s="76"/>
      <c r="J1004" s="77"/>
      <c r="K1004" s="77"/>
      <c r="L1004" s="76"/>
      <c r="M1004" s="76"/>
      <c r="N1004" s="76"/>
      <c r="O1004" s="76"/>
      <c r="P1004" s="76"/>
      <c r="Q1004" s="76"/>
      <c r="R1004" s="76"/>
      <c r="S1004" s="76"/>
      <c r="BD1004" s="99">
        <f t="shared" si="30"/>
        <v>0</v>
      </c>
      <c r="CC1004" s="99"/>
      <c r="CV1004" s="99"/>
      <c r="CW1004" s="63"/>
    </row>
    <row r="1005" spans="1:101" x14ac:dyDescent="0.15">
      <c r="A1005" s="76">
        <v>920</v>
      </c>
      <c r="B1005" s="74" t="s">
        <v>7680</v>
      </c>
      <c r="C1005" s="74">
        <v>1211524639</v>
      </c>
      <c r="D1005" s="82" t="str">
        <f t="shared" si="31"/>
        <v>https://portal.dnb.de/opac.htm?method=simpleSearch&amp;cqlMode=true&amp;query=idn%3D1211524639</v>
      </c>
      <c r="E1005" s="74" t="s">
        <v>7681</v>
      </c>
      <c r="F1005" s="74"/>
      <c r="G1005" s="76"/>
      <c r="H1005" s="77"/>
      <c r="I1005" s="76"/>
      <c r="J1005" s="77"/>
      <c r="K1005" s="77"/>
      <c r="L1005" s="76"/>
      <c r="M1005" s="76"/>
      <c r="N1005" s="76"/>
      <c r="O1005" s="76"/>
      <c r="P1005" s="76"/>
      <c r="Q1005" s="76"/>
      <c r="R1005" s="76"/>
      <c r="S1005" s="76"/>
      <c r="BD1005" s="99">
        <f t="shared" si="30"/>
        <v>0</v>
      </c>
      <c r="CC1005" s="99"/>
      <c r="CV1005" s="99"/>
      <c r="CW1005" s="63"/>
    </row>
    <row r="1006" spans="1:101" ht="33.75" x14ac:dyDescent="0.15">
      <c r="A1006" s="76">
        <v>921</v>
      </c>
      <c r="B1006" s="74" t="s">
        <v>7710</v>
      </c>
      <c r="C1006" s="74">
        <v>1001533879</v>
      </c>
      <c r="D1006" s="78" t="str">
        <f t="shared" si="29"/>
        <v>https://portal.dnb.de/opac.htm?method=simpleSearch&amp;cqlMode=true&amp;query=idn%3D1001533879</v>
      </c>
      <c r="E1006" s="74" t="s">
        <v>7711</v>
      </c>
      <c r="F1006" s="74"/>
      <c r="G1006" s="76" t="s">
        <v>8515</v>
      </c>
      <c r="H1006" s="77" t="s">
        <v>8674</v>
      </c>
      <c r="I1006" s="76" t="s">
        <v>53</v>
      </c>
      <c r="J1006" s="77" t="s">
        <v>8516</v>
      </c>
      <c r="K1006" s="77" t="s">
        <v>8874</v>
      </c>
      <c r="L1006" s="76"/>
      <c r="M1006" s="76" t="s">
        <v>37</v>
      </c>
      <c r="N1006" s="76" t="s">
        <v>40</v>
      </c>
      <c r="O1006" s="76">
        <v>1</v>
      </c>
      <c r="P1006" s="76"/>
      <c r="Q1006" s="76"/>
      <c r="R1006" s="76"/>
      <c r="S1006" s="76"/>
      <c r="BD1006" s="99">
        <f t="shared" si="30"/>
        <v>0</v>
      </c>
      <c r="CC1006" s="99"/>
      <c r="CV1006" s="99"/>
      <c r="CW1006" s="63"/>
    </row>
    <row r="1007" spans="1:101" x14ac:dyDescent="0.15">
      <c r="A1007" s="76">
        <v>922</v>
      </c>
      <c r="B1007" s="74" t="s">
        <v>7712</v>
      </c>
      <c r="C1007" s="74">
        <v>995543836</v>
      </c>
      <c r="D1007" s="78" t="str">
        <f t="shared" si="29"/>
        <v>https://portal.dnb.de/opac.htm?method=simpleSearch&amp;cqlMode=true&amp;query=idn%3D995543836</v>
      </c>
      <c r="E1007" s="74" t="s">
        <v>7713</v>
      </c>
      <c r="F1007" s="74"/>
      <c r="G1007" s="76" t="s">
        <v>8515</v>
      </c>
      <c r="H1007" s="77" t="s">
        <v>5</v>
      </c>
      <c r="I1007" s="76" t="s">
        <v>53</v>
      </c>
      <c r="J1007" s="77" t="s">
        <v>8516</v>
      </c>
      <c r="K1007" s="77"/>
      <c r="L1007" s="76"/>
      <c r="M1007" s="76" t="s">
        <v>36</v>
      </c>
      <c r="N1007" s="76" t="s">
        <v>39</v>
      </c>
      <c r="O1007" s="76">
        <v>0</v>
      </c>
      <c r="P1007" s="76"/>
      <c r="Q1007" s="76" t="s">
        <v>9040</v>
      </c>
      <c r="R1007" s="76"/>
      <c r="S1007" s="76"/>
      <c r="BD1007" s="99">
        <f t="shared" si="30"/>
        <v>0</v>
      </c>
      <c r="CC1007" s="99"/>
      <c r="CV1007" s="99"/>
      <c r="CW1007" s="63"/>
    </row>
    <row r="1008" spans="1:101" x14ac:dyDescent="0.15">
      <c r="A1008" s="76">
        <v>923</v>
      </c>
      <c r="B1008" s="74" t="s">
        <v>7714</v>
      </c>
      <c r="C1008" s="74">
        <v>1003008585</v>
      </c>
      <c r="D1008" s="78" t="str">
        <f t="shared" ref="D1008:D1070" si="32">HYPERLINK(CONCATENATE("https://portal.dnb.de/opac.htm?method=simpleSearch&amp;cqlMode=true&amp;query=idn%3D",C1008))</f>
        <v>https://portal.dnb.de/opac.htm?method=simpleSearch&amp;cqlMode=true&amp;query=idn%3D1003008585</v>
      </c>
      <c r="E1008" s="74" t="s">
        <v>7715</v>
      </c>
      <c r="F1008" s="74"/>
      <c r="G1008" s="76"/>
      <c r="H1008" s="77"/>
      <c r="I1008" s="76"/>
      <c r="J1008" s="77"/>
      <c r="K1008" s="77"/>
      <c r="L1008" s="76"/>
      <c r="M1008" s="76"/>
      <c r="N1008" s="76"/>
      <c r="O1008" s="76"/>
      <c r="P1008" s="76"/>
      <c r="Q1008" s="76"/>
      <c r="R1008" s="76"/>
      <c r="S1008" s="76"/>
      <c r="BD1008" s="99">
        <f t="shared" si="30"/>
        <v>0</v>
      </c>
      <c r="CC1008" s="99"/>
      <c r="CV1008" s="99"/>
      <c r="CW1008" s="63"/>
    </row>
    <row r="1009" spans="1:101" ht="22.5" x14ac:dyDescent="0.15">
      <c r="A1009" s="76">
        <v>924</v>
      </c>
      <c r="B1009" s="74" t="s">
        <v>7716</v>
      </c>
      <c r="C1009" s="74">
        <v>1066938393</v>
      </c>
      <c r="D1009" s="78" t="str">
        <f t="shared" si="32"/>
        <v>https://portal.dnb.de/opac.htm?method=simpleSearch&amp;cqlMode=true&amp;query=idn%3D1066938393</v>
      </c>
      <c r="E1009" s="74" t="s">
        <v>7717</v>
      </c>
      <c r="F1009" s="74"/>
      <c r="G1009" s="76" t="s">
        <v>8515</v>
      </c>
      <c r="H1009" s="77" t="s">
        <v>49</v>
      </c>
      <c r="I1009" s="76" t="s">
        <v>53</v>
      </c>
      <c r="J1009" s="77" t="s">
        <v>8516</v>
      </c>
      <c r="K1009" s="77" t="s">
        <v>8565</v>
      </c>
      <c r="L1009" s="76"/>
      <c r="M1009" s="76"/>
      <c r="N1009" s="76"/>
      <c r="O1009" s="76">
        <v>0</v>
      </c>
      <c r="P1009" s="76"/>
      <c r="Q1009" s="76"/>
      <c r="R1009" s="76"/>
      <c r="S1009" s="76"/>
      <c r="BD1009" s="99">
        <f t="shared" si="30"/>
        <v>0</v>
      </c>
      <c r="CC1009" s="99"/>
      <c r="CV1009" s="99"/>
      <c r="CW1009" s="63"/>
    </row>
    <row r="1010" spans="1:101" x14ac:dyDescent="0.15">
      <c r="A1010" s="76">
        <v>925</v>
      </c>
      <c r="B1010" s="74" t="s">
        <v>7718</v>
      </c>
      <c r="C1010" s="74">
        <v>1066935955</v>
      </c>
      <c r="D1010" s="78" t="str">
        <f t="shared" si="32"/>
        <v>https://portal.dnb.de/opac.htm?method=simpleSearch&amp;cqlMode=true&amp;query=idn%3D1066935955</v>
      </c>
      <c r="E1010" s="74" t="s">
        <v>7719</v>
      </c>
      <c r="F1010" s="74"/>
      <c r="G1010" s="76"/>
      <c r="H1010" s="77" t="s">
        <v>6</v>
      </c>
      <c r="I1010" s="76" t="s">
        <v>53</v>
      </c>
      <c r="J1010" s="77" t="s">
        <v>8516</v>
      </c>
      <c r="K1010" s="77" t="s">
        <v>84</v>
      </c>
      <c r="L1010" s="76"/>
      <c r="M1010" s="76"/>
      <c r="N1010" s="76"/>
      <c r="O1010" s="76">
        <v>1</v>
      </c>
      <c r="P1010" s="76"/>
      <c r="Q1010" s="76"/>
      <c r="R1010" s="76"/>
      <c r="S1010" s="76"/>
      <c r="BD1010" s="99">
        <f t="shared" si="30"/>
        <v>0</v>
      </c>
      <c r="CC1010" s="99"/>
      <c r="CV1010" s="99"/>
      <c r="CW1010" s="63"/>
    </row>
    <row r="1011" spans="1:101" x14ac:dyDescent="0.15">
      <c r="A1011" s="76">
        <v>926</v>
      </c>
      <c r="B1011" s="74" t="s">
        <v>7720</v>
      </c>
      <c r="C1011" s="74">
        <v>994505566</v>
      </c>
      <c r="D1011" s="78" t="str">
        <f t="shared" si="32"/>
        <v>https://portal.dnb.de/opac.htm?method=simpleSearch&amp;cqlMode=true&amp;query=idn%3D994505566</v>
      </c>
      <c r="E1011" s="74" t="s">
        <v>7721</v>
      </c>
      <c r="F1011" s="74"/>
      <c r="G1011" s="76"/>
      <c r="H1011" s="77" t="s">
        <v>4</v>
      </c>
      <c r="I1011" s="76" t="s">
        <v>53</v>
      </c>
      <c r="J1011" s="77" t="s">
        <v>8516</v>
      </c>
      <c r="K1011" s="77" t="s">
        <v>84</v>
      </c>
      <c r="L1011" s="76"/>
      <c r="M1011" s="76"/>
      <c r="N1011" s="76"/>
      <c r="O1011" s="76">
        <v>0</v>
      </c>
      <c r="P1011" s="76"/>
      <c r="Q1011" s="76"/>
      <c r="R1011" s="76"/>
      <c r="S1011" s="76"/>
      <c r="BD1011" s="99">
        <f t="shared" si="30"/>
        <v>0</v>
      </c>
      <c r="CC1011" s="99"/>
      <c r="CV1011" s="99"/>
      <c r="CW1011" s="63"/>
    </row>
    <row r="1012" spans="1:101" x14ac:dyDescent="0.15">
      <c r="A1012" s="76">
        <v>927</v>
      </c>
      <c r="B1012" s="74" t="s">
        <v>7722</v>
      </c>
      <c r="C1012" s="74">
        <v>1020392460</v>
      </c>
      <c r="D1012" s="78" t="str">
        <f t="shared" si="32"/>
        <v>https://portal.dnb.de/opac.htm?method=simpleSearch&amp;cqlMode=true&amp;query=idn%3D1020392460</v>
      </c>
      <c r="E1012" s="74" t="s">
        <v>7723</v>
      </c>
      <c r="F1012" s="74"/>
      <c r="G1012" s="76"/>
      <c r="H1012" s="77" t="s">
        <v>5</v>
      </c>
      <c r="I1012" s="76" t="s">
        <v>53</v>
      </c>
      <c r="J1012" s="77" t="s">
        <v>8516</v>
      </c>
      <c r="K1012" s="77" t="s">
        <v>8557</v>
      </c>
      <c r="L1012" s="76"/>
      <c r="M1012" s="76"/>
      <c r="N1012" s="76"/>
      <c r="O1012" s="76">
        <v>0</v>
      </c>
      <c r="P1012" s="76"/>
      <c r="Q1012" s="76"/>
      <c r="R1012" s="76"/>
      <c r="S1012" s="76"/>
      <c r="BD1012" s="99">
        <f t="shared" si="30"/>
        <v>0</v>
      </c>
      <c r="CC1012" s="99"/>
      <c r="CV1012" s="99"/>
      <c r="CW1012" s="63"/>
    </row>
    <row r="1013" spans="1:101" x14ac:dyDescent="0.15">
      <c r="A1013" s="76">
        <v>928</v>
      </c>
      <c r="B1013" s="74" t="s">
        <v>7724</v>
      </c>
      <c r="C1013" s="74">
        <v>1132641152</v>
      </c>
      <c r="D1013" s="78" t="str">
        <f t="shared" si="32"/>
        <v>https://portal.dnb.de/opac.htm?method=simpleSearch&amp;cqlMode=true&amp;query=idn%3D1132641152</v>
      </c>
      <c r="E1013" s="74" t="s">
        <v>7725</v>
      </c>
      <c r="F1013" s="74"/>
      <c r="G1013" s="76"/>
      <c r="H1013" s="77"/>
      <c r="I1013" s="76"/>
      <c r="J1013" s="77"/>
      <c r="K1013" s="77"/>
      <c r="L1013" s="76"/>
      <c r="M1013" s="76"/>
      <c r="N1013" s="76"/>
      <c r="O1013" s="76"/>
      <c r="P1013" s="76"/>
      <c r="Q1013" s="76"/>
      <c r="R1013" s="76"/>
      <c r="S1013" s="76"/>
      <c r="BD1013" s="99">
        <f t="shared" si="30"/>
        <v>0</v>
      </c>
      <c r="CC1013" s="99"/>
      <c r="CV1013" s="99"/>
      <c r="CW1013" s="63"/>
    </row>
    <row r="1014" spans="1:101" x14ac:dyDescent="0.15">
      <c r="A1014" s="76">
        <v>929</v>
      </c>
      <c r="B1014" s="74" t="s">
        <v>7726</v>
      </c>
      <c r="C1014" s="74">
        <v>1132641144</v>
      </c>
      <c r="D1014" s="78" t="str">
        <f t="shared" si="32"/>
        <v>https://portal.dnb.de/opac.htm?method=simpleSearch&amp;cqlMode=true&amp;query=idn%3D1132641144</v>
      </c>
      <c r="E1014" s="74" t="s">
        <v>7725</v>
      </c>
      <c r="F1014" s="74"/>
      <c r="G1014" s="76"/>
      <c r="H1014" s="77"/>
      <c r="I1014" s="76"/>
      <c r="J1014" s="77"/>
      <c r="K1014" s="77"/>
      <c r="L1014" s="76"/>
      <c r="M1014" s="76"/>
      <c r="N1014" s="76"/>
      <c r="O1014" s="76"/>
      <c r="P1014" s="76"/>
      <c r="Q1014" s="76"/>
      <c r="R1014" s="76"/>
      <c r="S1014" s="76"/>
      <c r="BD1014" s="99">
        <f t="shared" si="30"/>
        <v>0</v>
      </c>
      <c r="CC1014" s="99"/>
      <c r="CV1014" s="99"/>
      <c r="CW1014" s="63"/>
    </row>
    <row r="1015" spans="1:101" x14ac:dyDescent="0.15">
      <c r="A1015" s="76">
        <v>930</v>
      </c>
      <c r="B1015" s="74" t="s">
        <v>7727</v>
      </c>
      <c r="C1015" s="74">
        <v>1132641136</v>
      </c>
      <c r="D1015" s="78" t="str">
        <f t="shared" si="32"/>
        <v>https://portal.dnb.de/opac.htm?method=simpleSearch&amp;cqlMode=true&amp;query=idn%3D1132641136</v>
      </c>
      <c r="E1015" s="74" t="s">
        <v>7725</v>
      </c>
      <c r="F1015" s="74"/>
      <c r="G1015" s="76"/>
      <c r="H1015" s="77"/>
      <c r="I1015" s="76"/>
      <c r="J1015" s="77"/>
      <c r="K1015" s="77"/>
      <c r="L1015" s="76"/>
      <c r="M1015" s="76"/>
      <c r="N1015" s="76"/>
      <c r="O1015" s="76"/>
      <c r="P1015" s="76"/>
      <c r="Q1015" s="76"/>
      <c r="R1015" s="76"/>
      <c r="S1015" s="76"/>
      <c r="BD1015" s="99">
        <f t="shared" si="30"/>
        <v>0</v>
      </c>
      <c r="CC1015" s="99"/>
      <c r="CV1015" s="99"/>
      <c r="CW1015" s="63"/>
    </row>
    <row r="1016" spans="1:101" x14ac:dyDescent="0.15">
      <c r="A1016" s="76">
        <v>931</v>
      </c>
      <c r="B1016" s="74" t="s">
        <v>7728</v>
      </c>
      <c r="C1016" s="74">
        <v>1132641128</v>
      </c>
      <c r="D1016" s="78" t="str">
        <f t="shared" si="32"/>
        <v>https://portal.dnb.de/opac.htm?method=simpleSearch&amp;cqlMode=true&amp;query=idn%3D1132641128</v>
      </c>
      <c r="E1016" s="74" t="s">
        <v>7725</v>
      </c>
      <c r="F1016" s="74"/>
      <c r="G1016" s="76"/>
      <c r="H1016" s="77"/>
      <c r="I1016" s="76"/>
      <c r="J1016" s="77"/>
      <c r="K1016" s="77"/>
      <c r="L1016" s="76"/>
      <c r="M1016" s="76"/>
      <c r="N1016" s="76"/>
      <c r="O1016" s="76"/>
      <c r="P1016" s="76"/>
      <c r="Q1016" s="76"/>
      <c r="R1016" s="76"/>
      <c r="S1016" s="76"/>
      <c r="BD1016" s="99">
        <f t="shared" si="30"/>
        <v>0</v>
      </c>
      <c r="CC1016" s="99"/>
      <c r="CV1016" s="99"/>
      <c r="CW1016" s="63"/>
    </row>
    <row r="1017" spans="1:101" x14ac:dyDescent="0.15">
      <c r="A1017" s="76">
        <v>932</v>
      </c>
      <c r="B1017" s="74" t="s">
        <v>7729</v>
      </c>
      <c r="C1017" s="74">
        <v>1066755728</v>
      </c>
      <c r="D1017" s="78" t="str">
        <f t="shared" si="32"/>
        <v>https://portal.dnb.de/opac.htm?method=simpleSearch&amp;cqlMode=true&amp;query=idn%3D1066755728</v>
      </c>
      <c r="E1017" s="74" t="s">
        <v>7730</v>
      </c>
      <c r="F1017" s="74"/>
      <c r="G1017" s="76"/>
      <c r="H1017" s="77"/>
      <c r="I1017" s="76"/>
      <c r="J1017" s="77"/>
      <c r="K1017" s="77"/>
      <c r="L1017" s="76"/>
      <c r="M1017" s="76"/>
      <c r="N1017" s="76"/>
      <c r="O1017" s="76"/>
      <c r="P1017" s="76"/>
      <c r="Q1017" s="76"/>
      <c r="R1017" s="76"/>
      <c r="S1017" s="76"/>
      <c r="BD1017" s="99">
        <f t="shared" si="30"/>
        <v>0</v>
      </c>
      <c r="CC1017" s="99"/>
      <c r="CV1017" s="99"/>
      <c r="CW1017" s="63"/>
    </row>
    <row r="1018" spans="1:101" x14ac:dyDescent="0.15">
      <c r="A1018" s="76">
        <v>933</v>
      </c>
      <c r="B1018" s="74" t="s">
        <v>7731</v>
      </c>
      <c r="C1018" s="74">
        <v>1066849609</v>
      </c>
      <c r="D1018" s="78" t="str">
        <f t="shared" si="32"/>
        <v>https://portal.dnb.de/opac.htm?method=simpleSearch&amp;cqlMode=true&amp;query=idn%3D1066849609</v>
      </c>
      <c r="E1018" s="74" t="s">
        <v>7732</v>
      </c>
      <c r="F1018" s="74"/>
      <c r="G1018" s="76"/>
      <c r="H1018" s="77"/>
      <c r="I1018" s="76"/>
      <c r="J1018" s="77"/>
      <c r="K1018" s="77"/>
      <c r="L1018" s="76"/>
      <c r="M1018" s="76"/>
      <c r="N1018" s="76"/>
      <c r="O1018" s="76"/>
      <c r="P1018" s="76"/>
      <c r="Q1018" s="76"/>
      <c r="R1018" s="76"/>
      <c r="S1018" s="76"/>
      <c r="BD1018" s="99">
        <f t="shared" si="30"/>
        <v>0</v>
      </c>
      <c r="CC1018" s="99"/>
      <c r="CV1018" s="99"/>
      <c r="CW1018" s="63"/>
    </row>
    <row r="1019" spans="1:101" x14ac:dyDescent="0.15">
      <c r="A1019" s="76">
        <v>934</v>
      </c>
      <c r="B1019" s="74" t="s">
        <v>7733</v>
      </c>
      <c r="C1019" s="74">
        <v>1066754667</v>
      </c>
      <c r="D1019" s="78" t="str">
        <f t="shared" si="32"/>
        <v>https://portal.dnb.de/opac.htm?method=simpleSearch&amp;cqlMode=true&amp;query=idn%3D1066754667</v>
      </c>
      <c r="E1019" s="74" t="s">
        <v>7734</v>
      </c>
      <c r="F1019" s="74"/>
      <c r="G1019" s="76"/>
      <c r="H1019" s="77"/>
      <c r="I1019" s="76"/>
      <c r="J1019" s="77"/>
      <c r="K1019" s="77"/>
      <c r="L1019" s="76"/>
      <c r="M1019" s="76"/>
      <c r="N1019" s="76"/>
      <c r="O1019" s="76"/>
      <c r="P1019" s="76"/>
      <c r="Q1019" s="76"/>
      <c r="R1019" s="76"/>
      <c r="S1019" s="76"/>
      <c r="BD1019" s="99">
        <f t="shared" si="30"/>
        <v>0</v>
      </c>
      <c r="CC1019" s="99"/>
      <c r="CV1019" s="99"/>
      <c r="CW1019" s="63"/>
    </row>
    <row r="1020" spans="1:101" x14ac:dyDescent="0.15">
      <c r="A1020" s="76">
        <v>935</v>
      </c>
      <c r="B1020" s="74" t="s">
        <v>7735</v>
      </c>
      <c r="C1020" s="74" t="s">
        <v>7736</v>
      </c>
      <c r="D1020" s="78" t="str">
        <f t="shared" si="32"/>
        <v>https://portal.dnb.de/opac.htm?method=simpleSearch&amp;cqlMode=true&amp;query=idn%3D106687641X</v>
      </c>
      <c r="E1020" s="74" t="s">
        <v>7737</v>
      </c>
      <c r="F1020" s="74"/>
      <c r="G1020" s="76"/>
      <c r="H1020" s="77"/>
      <c r="I1020" s="76"/>
      <c r="J1020" s="77"/>
      <c r="K1020" s="77"/>
      <c r="L1020" s="76"/>
      <c r="M1020" s="76"/>
      <c r="N1020" s="76"/>
      <c r="O1020" s="76"/>
      <c r="P1020" s="76"/>
      <c r="Q1020" s="76"/>
      <c r="R1020" s="76"/>
      <c r="S1020" s="76"/>
      <c r="BD1020" s="99">
        <f t="shared" si="30"/>
        <v>0</v>
      </c>
      <c r="CC1020" s="99"/>
      <c r="CV1020" s="99"/>
      <c r="CW1020" s="63"/>
    </row>
    <row r="1021" spans="1:101" x14ac:dyDescent="0.15">
      <c r="A1021" s="76">
        <v>936</v>
      </c>
      <c r="B1021" s="74" t="s">
        <v>7738</v>
      </c>
      <c r="C1021" s="74">
        <v>1066937591</v>
      </c>
      <c r="D1021" s="78" t="str">
        <f t="shared" si="32"/>
        <v>https://portal.dnb.de/opac.htm?method=simpleSearch&amp;cqlMode=true&amp;query=idn%3D1066937591</v>
      </c>
      <c r="E1021" s="74" t="s">
        <v>7739</v>
      </c>
      <c r="F1021" s="74"/>
      <c r="G1021" s="76"/>
      <c r="H1021" s="77"/>
      <c r="I1021" s="76"/>
      <c r="J1021" s="77"/>
      <c r="K1021" s="77"/>
      <c r="L1021" s="76"/>
      <c r="M1021" s="76"/>
      <c r="N1021" s="76"/>
      <c r="O1021" s="76"/>
      <c r="P1021" s="76"/>
      <c r="Q1021" s="76"/>
      <c r="R1021" s="76"/>
      <c r="S1021" s="76"/>
      <c r="BD1021" s="99">
        <f t="shared" si="30"/>
        <v>0</v>
      </c>
      <c r="CC1021" s="99"/>
      <c r="CV1021" s="99"/>
      <c r="CW1021" s="63"/>
    </row>
    <row r="1022" spans="1:101" x14ac:dyDescent="0.15">
      <c r="A1022" s="76">
        <v>937</v>
      </c>
      <c r="B1022" s="74" t="s">
        <v>7740</v>
      </c>
      <c r="C1022" s="74">
        <v>1066779686</v>
      </c>
      <c r="D1022" s="78" t="str">
        <f t="shared" si="32"/>
        <v>https://portal.dnb.de/opac.htm?method=simpleSearch&amp;cqlMode=true&amp;query=idn%3D1066779686</v>
      </c>
      <c r="E1022" s="74" t="s">
        <v>7741</v>
      </c>
      <c r="F1022" s="74"/>
      <c r="G1022" s="76"/>
      <c r="H1022" s="77"/>
      <c r="I1022" s="76"/>
      <c r="J1022" s="77"/>
      <c r="K1022" s="77"/>
      <c r="L1022" s="76"/>
      <c r="M1022" s="76"/>
      <c r="N1022" s="76"/>
      <c r="O1022" s="76"/>
      <c r="P1022" s="76"/>
      <c r="Q1022" s="76"/>
      <c r="R1022" s="76"/>
      <c r="S1022" s="76"/>
      <c r="BD1022" s="99">
        <f t="shared" si="30"/>
        <v>0</v>
      </c>
      <c r="CC1022" s="99"/>
      <c r="CV1022" s="99"/>
      <c r="CW1022" s="63"/>
    </row>
    <row r="1023" spans="1:101" x14ac:dyDescent="0.15">
      <c r="A1023" s="76">
        <v>938</v>
      </c>
      <c r="B1023" s="74" t="s">
        <v>7742</v>
      </c>
      <c r="C1023" s="74">
        <v>1066943079</v>
      </c>
      <c r="D1023" s="78" t="str">
        <f t="shared" si="32"/>
        <v>https://portal.dnb.de/opac.htm?method=simpleSearch&amp;cqlMode=true&amp;query=idn%3D1066943079</v>
      </c>
      <c r="E1023" s="74" t="s">
        <v>7743</v>
      </c>
      <c r="F1023" s="74"/>
      <c r="G1023" s="76"/>
      <c r="H1023" s="77"/>
      <c r="I1023" s="76"/>
      <c r="J1023" s="77"/>
      <c r="K1023" s="77"/>
      <c r="L1023" s="76"/>
      <c r="M1023" s="76"/>
      <c r="N1023" s="76"/>
      <c r="O1023" s="76"/>
      <c r="P1023" s="76"/>
      <c r="Q1023" s="76"/>
      <c r="R1023" s="76"/>
      <c r="S1023" s="76"/>
      <c r="BD1023" s="99">
        <f t="shared" si="30"/>
        <v>0</v>
      </c>
      <c r="CC1023" s="99"/>
      <c r="CV1023" s="99"/>
      <c r="CW1023" s="63"/>
    </row>
    <row r="1024" spans="1:101" x14ac:dyDescent="0.15">
      <c r="A1024" s="76">
        <v>939</v>
      </c>
      <c r="B1024" s="74" t="s">
        <v>7744</v>
      </c>
      <c r="C1024" s="74">
        <v>995406421</v>
      </c>
      <c r="D1024" s="78" t="str">
        <f t="shared" si="32"/>
        <v>https://portal.dnb.de/opac.htm?method=simpleSearch&amp;cqlMode=true&amp;query=idn%3D995406421</v>
      </c>
      <c r="E1024" s="74" t="s">
        <v>7745</v>
      </c>
      <c r="F1024" s="74"/>
      <c r="G1024" s="76"/>
      <c r="H1024" s="77"/>
      <c r="I1024" s="76"/>
      <c r="J1024" s="77"/>
      <c r="K1024" s="77"/>
      <c r="L1024" s="76"/>
      <c r="M1024" s="76"/>
      <c r="N1024" s="76"/>
      <c r="O1024" s="76"/>
      <c r="P1024" s="76"/>
      <c r="Q1024" s="76"/>
      <c r="R1024" s="76"/>
      <c r="S1024" s="76"/>
      <c r="BD1024" s="99">
        <f t="shared" si="30"/>
        <v>0</v>
      </c>
      <c r="CC1024" s="99"/>
      <c r="CV1024" s="99"/>
      <c r="CW1024" s="63"/>
    </row>
    <row r="1025" spans="1:101" x14ac:dyDescent="0.15">
      <c r="A1025" s="76">
        <v>940</v>
      </c>
      <c r="B1025" s="74" t="s">
        <v>7746</v>
      </c>
      <c r="C1025" s="74">
        <v>1066931992</v>
      </c>
      <c r="D1025" s="78" t="str">
        <f t="shared" si="32"/>
        <v>https://portal.dnb.de/opac.htm?method=simpleSearch&amp;cqlMode=true&amp;query=idn%3D1066931992</v>
      </c>
      <c r="E1025" s="74" t="s">
        <v>7747</v>
      </c>
      <c r="F1025" s="74"/>
      <c r="G1025" s="76"/>
      <c r="H1025" s="77"/>
      <c r="I1025" s="76"/>
      <c r="J1025" s="77"/>
      <c r="K1025" s="77"/>
      <c r="L1025" s="76"/>
      <c r="M1025" s="76"/>
      <c r="N1025" s="76"/>
      <c r="O1025" s="76"/>
      <c r="P1025" s="76"/>
      <c r="Q1025" s="76"/>
      <c r="R1025" s="76"/>
      <c r="S1025" s="76"/>
      <c r="BD1025" s="99">
        <f t="shared" si="30"/>
        <v>0</v>
      </c>
      <c r="CC1025" s="99"/>
      <c r="CV1025" s="99"/>
      <c r="CW1025" s="63"/>
    </row>
    <row r="1026" spans="1:101" x14ac:dyDescent="0.15">
      <c r="A1026" s="76">
        <v>941</v>
      </c>
      <c r="B1026" s="74" t="s">
        <v>7748</v>
      </c>
      <c r="C1026" s="74">
        <v>1066875472</v>
      </c>
      <c r="D1026" s="78" t="str">
        <f t="shared" si="32"/>
        <v>https://portal.dnb.de/opac.htm?method=simpleSearch&amp;cqlMode=true&amp;query=idn%3D1066875472</v>
      </c>
      <c r="E1026" s="74" t="s">
        <v>7749</v>
      </c>
      <c r="F1026" s="74"/>
      <c r="G1026" s="76"/>
      <c r="H1026" s="77"/>
      <c r="I1026" s="76"/>
      <c r="J1026" s="77"/>
      <c r="K1026" s="77"/>
      <c r="L1026" s="76"/>
      <c r="M1026" s="76"/>
      <c r="N1026" s="76"/>
      <c r="O1026" s="76"/>
      <c r="P1026" s="76"/>
      <c r="Q1026" s="76"/>
      <c r="R1026" s="76"/>
      <c r="S1026" s="76"/>
      <c r="BD1026" s="99">
        <f t="shared" si="30"/>
        <v>0</v>
      </c>
      <c r="CC1026" s="99"/>
      <c r="CV1026" s="99"/>
      <c r="CW1026" s="63"/>
    </row>
    <row r="1027" spans="1:101" x14ac:dyDescent="0.15">
      <c r="A1027" s="76">
        <v>942</v>
      </c>
      <c r="B1027" s="74" t="s">
        <v>7750</v>
      </c>
      <c r="C1027" s="74">
        <v>1132652049</v>
      </c>
      <c r="D1027" s="78" t="str">
        <f t="shared" si="32"/>
        <v>https://portal.dnb.de/opac.htm?method=simpleSearch&amp;cqlMode=true&amp;query=idn%3D1132652049</v>
      </c>
      <c r="E1027" s="74" t="s">
        <v>7751</v>
      </c>
      <c r="F1027" s="74"/>
      <c r="G1027" s="76"/>
      <c r="H1027" s="77"/>
      <c r="I1027" s="76"/>
      <c r="J1027" s="77"/>
      <c r="K1027" s="77"/>
      <c r="L1027" s="76"/>
      <c r="M1027" s="76"/>
      <c r="N1027" s="76"/>
      <c r="O1027" s="76"/>
      <c r="P1027" s="76"/>
      <c r="Q1027" s="76"/>
      <c r="R1027" s="76"/>
      <c r="S1027" s="76"/>
      <c r="BD1027" s="99">
        <f t="shared" ref="BD1027:BD1090" si="33">CC1027+CV1027</f>
        <v>0</v>
      </c>
      <c r="CC1027" s="99"/>
      <c r="CV1027" s="99"/>
      <c r="CW1027" s="63"/>
    </row>
    <row r="1028" spans="1:101" x14ac:dyDescent="0.15">
      <c r="A1028" s="76">
        <v>943</v>
      </c>
      <c r="B1028" s="74" t="s">
        <v>7752</v>
      </c>
      <c r="C1028" s="74">
        <v>1132652030</v>
      </c>
      <c r="D1028" s="78" t="str">
        <f t="shared" si="32"/>
        <v>https://portal.dnb.de/opac.htm?method=simpleSearch&amp;cqlMode=true&amp;query=idn%3D1132652030</v>
      </c>
      <c r="E1028" s="74" t="s">
        <v>7751</v>
      </c>
      <c r="F1028" s="74"/>
      <c r="G1028" s="76"/>
      <c r="H1028" s="77"/>
      <c r="I1028" s="76"/>
      <c r="J1028" s="77"/>
      <c r="K1028" s="77"/>
      <c r="L1028" s="76"/>
      <c r="M1028" s="76"/>
      <c r="N1028" s="76"/>
      <c r="O1028" s="76"/>
      <c r="P1028" s="76"/>
      <c r="Q1028" s="76"/>
      <c r="R1028" s="76"/>
      <c r="S1028" s="76"/>
      <c r="BD1028" s="99">
        <f t="shared" si="33"/>
        <v>0</v>
      </c>
      <c r="CC1028" s="99"/>
      <c r="CV1028" s="99"/>
      <c r="CW1028" s="63"/>
    </row>
    <row r="1029" spans="1:101" x14ac:dyDescent="0.15">
      <c r="A1029" s="76">
        <v>944</v>
      </c>
      <c r="B1029" s="74" t="s">
        <v>7762</v>
      </c>
      <c r="C1029" s="74">
        <v>1066937257</v>
      </c>
      <c r="D1029" s="78" t="str">
        <f t="shared" si="32"/>
        <v>https://portal.dnb.de/opac.htm?method=simpleSearch&amp;cqlMode=true&amp;query=idn%3D1066937257</v>
      </c>
      <c r="E1029" s="74" t="s">
        <v>7763</v>
      </c>
      <c r="F1029" s="74"/>
      <c r="G1029" s="76"/>
      <c r="H1029" s="77"/>
      <c r="I1029" s="76"/>
      <c r="J1029" s="77"/>
      <c r="K1029" s="77"/>
      <c r="L1029" s="76"/>
      <c r="M1029" s="76"/>
      <c r="N1029" s="76"/>
      <c r="O1029" s="76"/>
      <c r="P1029" s="76"/>
      <c r="Q1029" s="76"/>
      <c r="R1029" s="76"/>
      <c r="S1029" s="76"/>
      <c r="BD1029" s="99">
        <f t="shared" si="33"/>
        <v>0</v>
      </c>
      <c r="CC1029" s="99"/>
      <c r="CV1029" s="99"/>
      <c r="CW1029" s="63"/>
    </row>
    <row r="1030" spans="1:101" x14ac:dyDescent="0.15">
      <c r="A1030" s="76">
        <v>945</v>
      </c>
      <c r="B1030" s="74" t="s">
        <v>7764</v>
      </c>
      <c r="C1030" s="74">
        <v>1132645220</v>
      </c>
      <c r="D1030" s="78" t="str">
        <f t="shared" si="32"/>
        <v>https://portal.dnb.de/opac.htm?method=simpleSearch&amp;cqlMode=true&amp;query=idn%3D1132645220</v>
      </c>
      <c r="E1030" s="74" t="s">
        <v>7765</v>
      </c>
      <c r="F1030" s="74"/>
      <c r="G1030" s="76"/>
      <c r="H1030" s="77"/>
      <c r="I1030" s="76"/>
      <c r="J1030" s="77"/>
      <c r="K1030" s="77"/>
      <c r="L1030" s="76"/>
      <c r="M1030" s="76"/>
      <c r="N1030" s="76"/>
      <c r="O1030" s="76"/>
      <c r="P1030" s="76"/>
      <c r="Q1030" s="76"/>
      <c r="R1030" s="76"/>
      <c r="S1030" s="76"/>
      <c r="BD1030" s="99">
        <f t="shared" si="33"/>
        <v>0</v>
      </c>
      <c r="CC1030" s="99"/>
      <c r="CV1030" s="99"/>
      <c r="CW1030" s="63"/>
    </row>
    <row r="1031" spans="1:101" x14ac:dyDescent="0.15">
      <c r="A1031" s="76">
        <v>946</v>
      </c>
      <c r="B1031" s="74" t="s">
        <v>7766</v>
      </c>
      <c r="C1031" s="74">
        <v>1066938210</v>
      </c>
      <c r="D1031" s="78" t="str">
        <f t="shared" si="32"/>
        <v>https://portal.dnb.de/opac.htm?method=simpleSearch&amp;cqlMode=true&amp;query=idn%3D1066938210</v>
      </c>
      <c r="E1031" s="74" t="s">
        <v>7767</v>
      </c>
      <c r="F1031" s="74"/>
      <c r="G1031" s="76"/>
      <c r="H1031" s="77"/>
      <c r="I1031" s="76"/>
      <c r="J1031" s="77"/>
      <c r="K1031" s="77"/>
      <c r="L1031" s="76"/>
      <c r="M1031" s="76"/>
      <c r="N1031" s="76"/>
      <c r="O1031" s="76"/>
      <c r="P1031" s="76"/>
      <c r="Q1031" s="76"/>
      <c r="R1031" s="76"/>
      <c r="S1031" s="76"/>
      <c r="BD1031" s="99">
        <f t="shared" si="33"/>
        <v>0</v>
      </c>
      <c r="CC1031" s="99"/>
      <c r="CV1031" s="99"/>
      <c r="CW1031" s="63"/>
    </row>
    <row r="1032" spans="1:101" ht="22.5" x14ac:dyDescent="0.15">
      <c r="A1032" s="76">
        <v>947</v>
      </c>
      <c r="B1032" s="74" t="s">
        <v>7768</v>
      </c>
      <c r="C1032" s="74">
        <v>1066848459</v>
      </c>
      <c r="D1032" s="78" t="str">
        <f t="shared" si="32"/>
        <v>https://portal.dnb.de/opac.htm?method=simpleSearch&amp;cqlMode=true&amp;query=idn%3D1066848459</v>
      </c>
      <c r="E1032" s="74" t="s">
        <v>7769</v>
      </c>
      <c r="F1032" s="74"/>
      <c r="G1032" s="76" t="s">
        <v>8515</v>
      </c>
      <c r="H1032" s="77" t="s">
        <v>18</v>
      </c>
      <c r="I1032" s="76" t="s">
        <v>53</v>
      </c>
      <c r="J1032" s="77" t="s">
        <v>8516</v>
      </c>
      <c r="K1032" s="77" t="s">
        <v>84</v>
      </c>
      <c r="L1032" s="76"/>
      <c r="M1032" s="76"/>
      <c r="N1032" s="76"/>
      <c r="O1032" s="76">
        <v>0</v>
      </c>
      <c r="P1032" s="76"/>
      <c r="Q1032" s="76"/>
      <c r="R1032" s="76"/>
      <c r="S1032" s="76"/>
      <c r="BD1032" s="99">
        <f t="shared" si="33"/>
        <v>0</v>
      </c>
      <c r="CC1032" s="99"/>
      <c r="CV1032" s="99"/>
      <c r="CW1032" s="63"/>
    </row>
    <row r="1033" spans="1:101" x14ac:dyDescent="0.15">
      <c r="A1033" s="76">
        <v>948</v>
      </c>
      <c r="B1033" s="74" t="s">
        <v>7770</v>
      </c>
      <c r="C1033" s="74">
        <v>1132641845</v>
      </c>
      <c r="D1033" s="78" t="str">
        <f t="shared" si="32"/>
        <v>https://portal.dnb.de/opac.htm?method=simpleSearch&amp;cqlMode=true&amp;query=idn%3D1132641845</v>
      </c>
      <c r="E1033" s="74" t="s">
        <v>8876</v>
      </c>
      <c r="F1033" s="74"/>
      <c r="G1033" s="76" t="s">
        <v>8515</v>
      </c>
      <c r="H1033" s="77" t="s">
        <v>5</v>
      </c>
      <c r="I1033" s="76" t="s">
        <v>53</v>
      </c>
      <c r="J1033" s="77" t="s">
        <v>8516</v>
      </c>
      <c r="K1033" s="77" t="s">
        <v>8520</v>
      </c>
      <c r="L1033" s="76"/>
      <c r="M1033" s="76"/>
      <c r="N1033" s="76"/>
      <c r="O1033" s="76">
        <v>1</v>
      </c>
      <c r="P1033" s="76"/>
      <c r="Q1033" s="76"/>
      <c r="R1033" s="76"/>
      <c r="S1033" s="76"/>
      <c r="BD1033" s="99">
        <f t="shared" si="33"/>
        <v>0</v>
      </c>
      <c r="CC1033" s="99"/>
      <c r="CV1033" s="99"/>
      <c r="CW1033" s="63"/>
    </row>
    <row r="1034" spans="1:101" x14ac:dyDescent="0.15">
      <c r="A1034" s="76">
        <v>949</v>
      </c>
      <c r="B1034" s="74" t="s">
        <v>7771</v>
      </c>
      <c r="C1034" s="74">
        <v>1132641837</v>
      </c>
      <c r="D1034" s="82" t="str">
        <f>HYPERLINK(CONCATENATE("https://portal.dnb.de/opac.htm?method=simpleSearch&amp;cqlMode=true&amp;query=idn%3D",C1034))</f>
        <v>https://portal.dnb.de/opac.htm?method=simpleSearch&amp;cqlMode=true&amp;query=idn%3D1132641837</v>
      </c>
      <c r="E1034" s="74" t="s">
        <v>8877</v>
      </c>
      <c r="F1034" s="74"/>
      <c r="G1034" s="76" t="s">
        <v>8515</v>
      </c>
      <c r="H1034" s="77" t="s">
        <v>5</v>
      </c>
      <c r="I1034" s="76" t="s">
        <v>53</v>
      </c>
      <c r="J1034" s="77" t="s">
        <v>8516</v>
      </c>
      <c r="K1034" s="77" t="s">
        <v>8520</v>
      </c>
      <c r="L1034" s="76"/>
      <c r="M1034" s="76"/>
      <c r="N1034" s="76"/>
      <c r="O1034" s="76">
        <v>1</v>
      </c>
      <c r="P1034" s="76"/>
      <c r="Q1034" s="76"/>
      <c r="R1034" s="76"/>
      <c r="S1034" s="76"/>
      <c r="BD1034" s="99">
        <f t="shared" si="33"/>
        <v>0</v>
      </c>
      <c r="CC1034" s="99"/>
      <c r="CV1034" s="99"/>
      <c r="CW1034" s="63"/>
    </row>
    <row r="1035" spans="1:101" x14ac:dyDescent="0.15">
      <c r="A1035" s="76">
        <v>950</v>
      </c>
      <c r="B1035" s="74" t="s">
        <v>7772</v>
      </c>
      <c r="C1035" s="74">
        <v>1001267532</v>
      </c>
      <c r="D1035" s="78" t="str">
        <f t="shared" si="32"/>
        <v>https://portal.dnb.de/opac.htm?method=simpleSearch&amp;cqlMode=true&amp;query=idn%3D1001267532</v>
      </c>
      <c r="E1035" s="74" t="s">
        <v>7773</v>
      </c>
      <c r="F1035" s="74"/>
      <c r="G1035" s="76" t="s">
        <v>8515</v>
      </c>
      <c r="H1035" s="77" t="s">
        <v>5</v>
      </c>
      <c r="I1035" s="76" t="s">
        <v>53</v>
      </c>
      <c r="J1035" s="77" t="s">
        <v>8516</v>
      </c>
      <c r="K1035" s="77" t="s">
        <v>72</v>
      </c>
      <c r="L1035" s="76"/>
      <c r="M1035" s="76" t="s">
        <v>36</v>
      </c>
      <c r="N1035" s="76" t="s">
        <v>39</v>
      </c>
      <c r="O1035" s="76">
        <v>0</v>
      </c>
      <c r="P1035" s="76"/>
      <c r="Q1035" s="76"/>
      <c r="R1035" s="76"/>
      <c r="S1035" s="76"/>
      <c r="BD1035" s="99">
        <f t="shared" si="33"/>
        <v>0</v>
      </c>
      <c r="CC1035" s="99"/>
      <c r="CV1035" s="99"/>
      <c r="CW1035" s="63"/>
    </row>
    <row r="1036" spans="1:101" x14ac:dyDescent="0.15">
      <c r="A1036" s="76">
        <v>951</v>
      </c>
      <c r="B1036" s="74" t="s">
        <v>7774</v>
      </c>
      <c r="C1036" s="74">
        <v>11954639</v>
      </c>
      <c r="D1036" s="78" t="str">
        <f t="shared" si="32"/>
        <v>https://portal.dnb.de/opac.htm?method=simpleSearch&amp;cqlMode=true&amp;query=idn%3D11954639</v>
      </c>
      <c r="E1036" s="74" t="s">
        <v>7775</v>
      </c>
      <c r="F1036" s="74"/>
      <c r="G1036" s="76"/>
      <c r="H1036" s="77" t="s">
        <v>5</v>
      </c>
      <c r="I1036" s="76" t="s">
        <v>53</v>
      </c>
      <c r="J1036" s="77" t="s">
        <v>8516</v>
      </c>
      <c r="K1036" s="77" t="s">
        <v>84</v>
      </c>
      <c r="L1036" s="76"/>
      <c r="M1036" s="76" t="s">
        <v>36</v>
      </c>
      <c r="N1036" s="76" t="s">
        <v>39</v>
      </c>
      <c r="O1036" s="76">
        <v>0</v>
      </c>
      <c r="P1036" s="76"/>
      <c r="Q1036" s="76"/>
      <c r="R1036" s="76"/>
      <c r="S1036" s="76"/>
      <c r="BD1036" s="99">
        <f t="shared" si="33"/>
        <v>0</v>
      </c>
      <c r="CC1036" s="99"/>
      <c r="CV1036" s="99"/>
      <c r="CW1036" s="63"/>
    </row>
    <row r="1037" spans="1:101" ht="22.5" x14ac:dyDescent="0.15">
      <c r="A1037" s="76">
        <v>952</v>
      </c>
      <c r="B1037" s="74" t="s">
        <v>7776</v>
      </c>
      <c r="C1037" s="74">
        <v>19345429</v>
      </c>
      <c r="D1037" s="78" t="str">
        <f t="shared" si="32"/>
        <v>https://portal.dnb.de/opac.htm?method=simpleSearch&amp;cqlMode=true&amp;query=idn%3D19345429</v>
      </c>
      <c r="E1037" s="74" t="s">
        <v>7777</v>
      </c>
      <c r="F1037" s="74"/>
      <c r="G1037" s="76"/>
      <c r="H1037" s="77" t="s">
        <v>18</v>
      </c>
      <c r="I1037" s="76" t="s">
        <v>53</v>
      </c>
      <c r="J1037" s="77" t="s">
        <v>8516</v>
      </c>
      <c r="K1037" s="77" t="s">
        <v>84</v>
      </c>
      <c r="L1037" s="76"/>
      <c r="M1037" s="76" t="s">
        <v>36</v>
      </c>
      <c r="N1037" s="76" t="s">
        <v>39</v>
      </c>
      <c r="O1037" s="76">
        <v>1</v>
      </c>
      <c r="P1037" s="76"/>
      <c r="Q1037" s="76"/>
      <c r="R1037" s="76"/>
      <c r="S1037" s="76"/>
      <c r="BD1037" s="99">
        <f t="shared" si="33"/>
        <v>0</v>
      </c>
      <c r="CC1037" s="99"/>
      <c r="CV1037" s="99"/>
      <c r="CW1037" s="63"/>
    </row>
    <row r="1038" spans="1:101" x14ac:dyDescent="0.15">
      <c r="A1038" s="76">
        <v>953</v>
      </c>
      <c r="B1038" s="74" t="s">
        <v>7778</v>
      </c>
      <c r="C1038" s="74">
        <v>997517085</v>
      </c>
      <c r="D1038" s="78" t="str">
        <f t="shared" si="32"/>
        <v>https://portal.dnb.de/opac.htm?method=simpleSearch&amp;cqlMode=true&amp;query=idn%3D997517085</v>
      </c>
      <c r="E1038" s="74" t="s">
        <v>7777</v>
      </c>
      <c r="F1038" s="74"/>
      <c r="G1038" s="76"/>
      <c r="H1038" s="77"/>
      <c r="I1038" s="76"/>
      <c r="J1038" s="77"/>
      <c r="K1038" s="77"/>
      <c r="L1038" s="76"/>
      <c r="M1038" s="76"/>
      <c r="N1038" s="76"/>
      <c r="O1038" s="76"/>
      <c r="P1038" s="76"/>
      <c r="Q1038" s="76"/>
      <c r="R1038" s="76"/>
      <c r="S1038" s="76"/>
      <c r="BD1038" s="99">
        <f t="shared" si="33"/>
        <v>0</v>
      </c>
      <c r="CC1038" s="99"/>
      <c r="CV1038" s="99"/>
      <c r="CW1038" s="63"/>
    </row>
    <row r="1039" spans="1:101" ht="33.75" x14ac:dyDescent="0.15">
      <c r="A1039" s="76">
        <v>954</v>
      </c>
      <c r="B1039" s="74" t="s">
        <v>7779</v>
      </c>
      <c r="C1039" s="74">
        <v>1066938539</v>
      </c>
      <c r="D1039" s="78" t="str">
        <f t="shared" si="32"/>
        <v>https://portal.dnb.de/opac.htm?method=simpleSearch&amp;cqlMode=true&amp;query=idn%3D1066938539</v>
      </c>
      <c r="E1039" s="74" t="s">
        <v>7780</v>
      </c>
      <c r="F1039" s="74"/>
      <c r="G1039" s="76" t="s">
        <v>8515</v>
      </c>
      <c r="H1039" s="77" t="s">
        <v>8674</v>
      </c>
      <c r="I1039" s="76" t="s">
        <v>53</v>
      </c>
      <c r="J1039" s="77" t="s">
        <v>8516</v>
      </c>
      <c r="K1039" s="77" t="s">
        <v>84</v>
      </c>
      <c r="L1039" s="76"/>
      <c r="M1039" s="76" t="s">
        <v>37</v>
      </c>
      <c r="N1039" s="76" t="s">
        <v>40</v>
      </c>
      <c r="O1039" s="76">
        <v>0</v>
      </c>
      <c r="P1039" s="76"/>
      <c r="Q1039" s="76"/>
      <c r="R1039" s="76"/>
      <c r="S1039" s="76"/>
      <c r="BD1039" s="99">
        <f t="shared" si="33"/>
        <v>0</v>
      </c>
      <c r="CC1039" s="99"/>
      <c r="CV1039" s="99"/>
      <c r="CW1039" s="63"/>
    </row>
    <row r="1040" spans="1:101" ht="22.5" x14ac:dyDescent="0.15">
      <c r="A1040" s="76">
        <v>955</v>
      </c>
      <c r="B1040" s="74" t="s">
        <v>7781</v>
      </c>
      <c r="C1040" s="74">
        <v>993991866</v>
      </c>
      <c r="D1040" s="78" t="str">
        <f t="shared" si="32"/>
        <v>https://portal.dnb.de/opac.htm?method=simpleSearch&amp;cqlMode=true&amp;query=idn%3D993991866</v>
      </c>
      <c r="E1040" s="74" t="s">
        <v>7782</v>
      </c>
      <c r="F1040" s="74"/>
      <c r="G1040" s="76" t="s">
        <v>8515</v>
      </c>
      <c r="H1040" s="77" t="s">
        <v>8547</v>
      </c>
      <c r="I1040" s="76" t="s">
        <v>53</v>
      </c>
      <c r="J1040" s="77" t="s">
        <v>8516</v>
      </c>
      <c r="K1040" s="77" t="s">
        <v>8520</v>
      </c>
      <c r="L1040" s="76"/>
      <c r="M1040" s="76" t="s">
        <v>37</v>
      </c>
      <c r="N1040" s="76" t="s">
        <v>40</v>
      </c>
      <c r="O1040" s="76">
        <v>0</v>
      </c>
      <c r="P1040" s="76"/>
      <c r="Q1040" s="76"/>
      <c r="R1040" s="76"/>
      <c r="S1040" s="76"/>
      <c r="BD1040" s="99">
        <f t="shared" si="33"/>
        <v>0</v>
      </c>
      <c r="CC1040" s="99"/>
      <c r="CV1040" s="99"/>
      <c r="CW1040" s="63"/>
    </row>
    <row r="1041" spans="1:101" ht="22.5" x14ac:dyDescent="0.15">
      <c r="A1041" s="76">
        <v>956</v>
      </c>
      <c r="B1041" s="74" t="s">
        <v>7805</v>
      </c>
      <c r="C1041" s="74" t="s">
        <v>7806</v>
      </c>
      <c r="D1041" s="78" t="str">
        <f t="shared" si="32"/>
        <v>https://portal.dnb.de/opac.htm?method=simpleSearch&amp;cqlMode=true&amp;query=idn%3D106679569X</v>
      </c>
      <c r="E1041" s="74" t="s">
        <v>7807</v>
      </c>
      <c r="F1041" s="74"/>
      <c r="G1041" s="76" t="s">
        <v>8515</v>
      </c>
      <c r="H1041" s="77" t="s">
        <v>48</v>
      </c>
      <c r="I1041" s="76" t="s">
        <v>53</v>
      </c>
      <c r="J1041" s="77" t="s">
        <v>8516</v>
      </c>
      <c r="K1041" s="77" t="s">
        <v>8564</v>
      </c>
      <c r="L1041" s="76"/>
      <c r="M1041" s="76" t="s">
        <v>38</v>
      </c>
      <c r="N1041" s="76" t="s">
        <v>40</v>
      </c>
      <c r="O1041" s="76">
        <v>0</v>
      </c>
      <c r="P1041" s="76"/>
      <c r="Q1041" s="76"/>
      <c r="R1041" s="76"/>
      <c r="S1041" s="76"/>
      <c r="BD1041" s="99">
        <f t="shared" si="33"/>
        <v>0</v>
      </c>
      <c r="CC1041" s="99"/>
      <c r="CV1041" s="99"/>
      <c r="CW1041" s="63"/>
    </row>
    <row r="1042" spans="1:101" ht="22.5" x14ac:dyDescent="0.15">
      <c r="A1042" s="76">
        <v>957</v>
      </c>
      <c r="B1042" s="74" t="s">
        <v>7830</v>
      </c>
      <c r="C1042" s="74" t="s">
        <v>7831</v>
      </c>
      <c r="D1042" s="78" t="str">
        <f t="shared" si="32"/>
        <v>https://portal.dnb.de/opac.htm?method=simpleSearch&amp;cqlMode=true&amp;query=idn%3D106684786X</v>
      </c>
      <c r="E1042" s="74" t="s">
        <v>7832</v>
      </c>
      <c r="F1042" s="74"/>
      <c r="G1042" s="76" t="s">
        <v>8515</v>
      </c>
      <c r="H1042" s="77" t="s">
        <v>8547</v>
      </c>
      <c r="I1042" s="76" t="s">
        <v>53</v>
      </c>
      <c r="J1042" s="77" t="s">
        <v>8516</v>
      </c>
      <c r="K1042" s="77" t="s">
        <v>8617</v>
      </c>
      <c r="L1042" s="76"/>
      <c r="M1042" s="76" t="s">
        <v>37</v>
      </c>
      <c r="N1042" s="76" t="s">
        <v>40</v>
      </c>
      <c r="O1042" s="76">
        <v>1</v>
      </c>
      <c r="P1042" s="76"/>
      <c r="Q1042" s="76"/>
      <c r="R1042" s="76"/>
      <c r="S1042" s="76"/>
      <c r="X1042" s="95" t="s">
        <v>8541</v>
      </c>
      <c r="BD1042" s="99">
        <f t="shared" si="33"/>
        <v>0</v>
      </c>
      <c r="CC1042" s="99"/>
      <c r="CV1042" s="99"/>
      <c r="CW1042" s="63"/>
    </row>
    <row r="1043" spans="1:101" ht="56.25" x14ac:dyDescent="0.15">
      <c r="A1043" s="76">
        <v>958</v>
      </c>
      <c r="B1043" s="74" t="s">
        <v>7835</v>
      </c>
      <c r="C1043" s="74">
        <v>1066796661</v>
      </c>
      <c r="D1043" s="78" t="str">
        <f t="shared" si="32"/>
        <v>https://portal.dnb.de/opac.htm?method=simpleSearch&amp;cqlMode=true&amp;query=idn%3D1066796661</v>
      </c>
      <c r="E1043" s="74" t="s">
        <v>7836</v>
      </c>
      <c r="F1043" s="74"/>
      <c r="G1043" s="76" t="s">
        <v>8515</v>
      </c>
      <c r="H1043" s="77" t="s">
        <v>8673</v>
      </c>
      <c r="I1043" s="76" t="s">
        <v>55</v>
      </c>
      <c r="J1043" s="77" t="s">
        <v>8516</v>
      </c>
      <c r="K1043" s="77" t="s">
        <v>8577</v>
      </c>
      <c r="L1043" s="76"/>
      <c r="M1043" s="76" t="s">
        <v>37</v>
      </c>
      <c r="N1043" s="76" t="s">
        <v>40</v>
      </c>
      <c r="O1043" s="76">
        <v>3</v>
      </c>
      <c r="P1043" s="76"/>
      <c r="Q1043" s="76"/>
      <c r="R1043" s="76"/>
      <c r="S1043" s="76"/>
      <c r="W1043" s="95" t="s">
        <v>8541</v>
      </c>
      <c r="Y1043" s="95" t="s">
        <v>9763</v>
      </c>
      <c r="AA1043" s="95" t="s">
        <v>8541</v>
      </c>
      <c r="AC1043" s="95" t="s">
        <v>9739</v>
      </c>
      <c r="AI1043" s="95" t="s">
        <v>9725</v>
      </c>
      <c r="AW1043" s="95" t="s">
        <v>9733</v>
      </c>
      <c r="AY1043" s="95" t="s">
        <v>8541</v>
      </c>
      <c r="BC1043" s="96" t="s">
        <v>9774</v>
      </c>
      <c r="BD1043" s="99">
        <f t="shared" si="33"/>
        <v>3</v>
      </c>
      <c r="BH1043" s="95" t="s">
        <v>8541</v>
      </c>
      <c r="BL1043" s="70" t="s">
        <v>10366</v>
      </c>
      <c r="BP1043" s="69" t="s">
        <v>8541</v>
      </c>
      <c r="BQ1043" s="95" t="s">
        <v>8541</v>
      </c>
      <c r="BR1043" s="95" t="s">
        <v>8541</v>
      </c>
      <c r="BT1043" s="95" t="s">
        <v>9772</v>
      </c>
      <c r="BU1043" s="95">
        <v>2</v>
      </c>
      <c r="BV1043" s="95" t="s">
        <v>8541</v>
      </c>
      <c r="CC1043" s="99">
        <v>3</v>
      </c>
      <c r="CD1043" s="90" t="s">
        <v>10367</v>
      </c>
      <c r="CV1043" s="99"/>
      <c r="CW1043" s="63"/>
    </row>
    <row r="1044" spans="1:101" ht="45" x14ac:dyDescent="0.15">
      <c r="A1044" s="76">
        <v>959</v>
      </c>
      <c r="B1044" s="74" t="s">
        <v>7837</v>
      </c>
      <c r="C1044" s="74">
        <v>1066846898</v>
      </c>
      <c r="D1044" s="78" t="str">
        <f t="shared" si="32"/>
        <v>https://portal.dnb.de/opac.htm?method=simpleSearch&amp;cqlMode=true&amp;query=idn%3D1066846898</v>
      </c>
      <c r="E1044" s="74" t="s">
        <v>7838</v>
      </c>
      <c r="F1044" s="74"/>
      <c r="G1044" s="76" t="s">
        <v>8515</v>
      </c>
      <c r="H1044" s="77" t="s">
        <v>8547</v>
      </c>
      <c r="I1044" s="76" t="s">
        <v>54</v>
      </c>
      <c r="J1044" s="77" t="s">
        <v>8516</v>
      </c>
      <c r="K1044" s="77" t="s">
        <v>9625</v>
      </c>
      <c r="L1044" s="76"/>
      <c r="M1044" s="76" t="s">
        <v>37</v>
      </c>
      <c r="N1044" s="76" t="s">
        <v>8695</v>
      </c>
      <c r="O1044" s="76">
        <v>3</v>
      </c>
      <c r="P1044" s="76"/>
      <c r="Q1044" s="76"/>
      <c r="R1044" s="76"/>
      <c r="S1044" s="76"/>
      <c r="Y1044" s="95" t="s">
        <v>9763</v>
      </c>
      <c r="AA1044" s="95" t="s">
        <v>8541</v>
      </c>
      <c r="AC1044" s="95" t="s">
        <v>9724</v>
      </c>
      <c r="AI1044" s="95" t="s">
        <v>9725</v>
      </c>
      <c r="AW1044" s="95">
        <v>60</v>
      </c>
      <c r="BC1044" s="96" t="s">
        <v>9726</v>
      </c>
      <c r="BD1044" s="99">
        <f t="shared" si="33"/>
        <v>8</v>
      </c>
      <c r="BH1044" s="95" t="s">
        <v>8541</v>
      </c>
      <c r="BP1044" s="69" t="s">
        <v>8541</v>
      </c>
      <c r="BQ1044" s="95" t="s">
        <v>8541</v>
      </c>
      <c r="BR1044" s="95" t="s">
        <v>8541</v>
      </c>
      <c r="BT1044" s="95" t="s">
        <v>9772</v>
      </c>
      <c r="CC1044" s="99">
        <v>7</v>
      </c>
      <c r="CD1044" s="90" t="s">
        <v>10368</v>
      </c>
      <c r="CL1044" s="95" t="s">
        <v>8541</v>
      </c>
      <c r="CV1044" s="99">
        <v>1</v>
      </c>
      <c r="CW1044" s="90" t="s">
        <v>10369</v>
      </c>
    </row>
    <row r="1045" spans="1:101" x14ac:dyDescent="0.15">
      <c r="A1045" s="76">
        <v>960</v>
      </c>
      <c r="B1045" s="74" t="s">
        <v>7846</v>
      </c>
      <c r="C1045" s="74">
        <v>993874746</v>
      </c>
      <c r="D1045" s="78" t="str">
        <f t="shared" si="32"/>
        <v>https://portal.dnb.de/opac.htm?method=simpleSearch&amp;cqlMode=true&amp;query=idn%3D993874746</v>
      </c>
      <c r="E1045" s="74" t="s">
        <v>7847</v>
      </c>
      <c r="F1045" s="74"/>
      <c r="G1045" s="76"/>
      <c r="H1045" s="77"/>
      <c r="I1045" s="76" t="s">
        <v>54</v>
      </c>
      <c r="J1045" s="77"/>
      <c r="K1045" s="77"/>
      <c r="L1045" s="76"/>
      <c r="M1045" s="76"/>
      <c r="N1045" s="76"/>
      <c r="O1045" s="76"/>
      <c r="P1045" s="76"/>
      <c r="Q1045" s="76"/>
      <c r="R1045" s="76"/>
      <c r="S1045" s="76"/>
      <c r="Y1045" s="95" t="s">
        <v>9723</v>
      </c>
      <c r="AA1045" s="95" t="s">
        <v>8541</v>
      </c>
      <c r="AC1045" s="95" t="s">
        <v>9724</v>
      </c>
      <c r="AI1045" s="95" t="s">
        <v>9725</v>
      </c>
      <c r="AW1045" s="95">
        <v>45</v>
      </c>
      <c r="BC1045" s="96" t="s">
        <v>9734</v>
      </c>
      <c r="BD1045" s="99">
        <f t="shared" si="33"/>
        <v>0</v>
      </c>
      <c r="BH1045" s="95" t="s">
        <v>8541</v>
      </c>
      <c r="BL1045" s="70" t="s">
        <v>10015</v>
      </c>
      <c r="CC1045" s="99"/>
      <c r="CV1045" s="99"/>
      <c r="CW1045" s="63"/>
    </row>
    <row r="1046" spans="1:101" ht="22.5" x14ac:dyDescent="0.15">
      <c r="A1046" s="76">
        <v>961</v>
      </c>
      <c r="B1046" s="74" t="s">
        <v>7848</v>
      </c>
      <c r="C1046" s="74">
        <v>1066960569</v>
      </c>
      <c r="D1046" s="78" t="str">
        <f t="shared" si="32"/>
        <v>https://portal.dnb.de/opac.htm?method=simpleSearch&amp;cqlMode=true&amp;query=idn%3D1066960569</v>
      </c>
      <c r="E1046" s="74" t="s">
        <v>7849</v>
      </c>
      <c r="F1046" s="74"/>
      <c r="G1046" s="76" t="s">
        <v>8515</v>
      </c>
      <c r="H1046" s="77" t="s">
        <v>8547</v>
      </c>
      <c r="I1046" s="76" t="s">
        <v>53</v>
      </c>
      <c r="J1046" s="77" t="s">
        <v>8516</v>
      </c>
      <c r="K1046" s="77" t="s">
        <v>8520</v>
      </c>
      <c r="L1046" s="76"/>
      <c r="M1046" s="76"/>
      <c r="N1046" s="76"/>
      <c r="O1046" s="76">
        <v>0</v>
      </c>
      <c r="P1046" s="76"/>
      <c r="Q1046" s="76"/>
      <c r="R1046" s="76"/>
      <c r="S1046" s="76"/>
      <c r="BD1046" s="99">
        <f t="shared" si="33"/>
        <v>0</v>
      </c>
      <c r="CC1046" s="99"/>
      <c r="CV1046" s="99"/>
      <c r="CW1046" s="63"/>
    </row>
    <row r="1047" spans="1:101" ht="22.5" x14ac:dyDescent="0.15">
      <c r="A1047" s="76">
        <v>962</v>
      </c>
      <c r="B1047" s="74" t="s">
        <v>7850</v>
      </c>
      <c r="C1047" s="74">
        <v>1066865884</v>
      </c>
      <c r="D1047" s="78" t="str">
        <f t="shared" si="32"/>
        <v>https://portal.dnb.de/opac.htm?method=simpleSearch&amp;cqlMode=true&amp;query=idn%3D1066865884</v>
      </c>
      <c r="E1047" s="74" t="s">
        <v>7851</v>
      </c>
      <c r="F1047" s="74"/>
      <c r="G1047" s="76" t="s">
        <v>8515</v>
      </c>
      <c r="H1047" s="77" t="s">
        <v>8547</v>
      </c>
      <c r="I1047" s="76" t="s">
        <v>53</v>
      </c>
      <c r="J1047" s="77" t="s">
        <v>89</v>
      </c>
      <c r="K1047" s="77" t="s">
        <v>8520</v>
      </c>
      <c r="L1047" s="76"/>
      <c r="M1047" s="76" t="s">
        <v>37</v>
      </c>
      <c r="N1047" s="76" t="s">
        <v>40</v>
      </c>
      <c r="O1047" s="76">
        <v>0</v>
      </c>
      <c r="P1047" s="76"/>
      <c r="Q1047" s="76"/>
      <c r="R1047" s="76"/>
      <c r="S1047" s="76"/>
      <c r="BD1047" s="99">
        <f t="shared" si="33"/>
        <v>0</v>
      </c>
      <c r="CC1047" s="99"/>
      <c r="CV1047" s="99"/>
      <c r="CW1047" s="63"/>
    </row>
    <row r="1048" spans="1:101" x14ac:dyDescent="0.15">
      <c r="A1048" s="76">
        <v>963</v>
      </c>
      <c r="B1048" s="74" t="s">
        <v>7852</v>
      </c>
      <c r="C1048" s="74">
        <v>1066960488</v>
      </c>
      <c r="D1048" s="78" t="str">
        <f t="shared" si="32"/>
        <v>https://portal.dnb.de/opac.htm?method=simpleSearch&amp;cqlMode=true&amp;query=idn%3D1066960488</v>
      </c>
      <c r="E1048" s="74" t="s">
        <v>7853</v>
      </c>
      <c r="F1048" s="74"/>
      <c r="G1048" s="76"/>
      <c r="H1048" s="77"/>
      <c r="I1048" s="76"/>
      <c r="J1048" s="77"/>
      <c r="K1048" s="77"/>
      <c r="L1048" s="76"/>
      <c r="M1048" s="76"/>
      <c r="N1048" s="76"/>
      <c r="O1048" s="76"/>
      <c r="P1048" s="76"/>
      <c r="Q1048" s="76"/>
      <c r="R1048" s="76"/>
      <c r="S1048" s="76"/>
      <c r="BD1048" s="99">
        <f t="shared" si="33"/>
        <v>0</v>
      </c>
      <c r="CC1048" s="99"/>
      <c r="CV1048" s="99"/>
      <c r="CW1048" s="63"/>
    </row>
    <row r="1049" spans="1:101" x14ac:dyDescent="0.15">
      <c r="A1049" s="76">
        <v>964</v>
      </c>
      <c r="B1049" s="74" t="s">
        <v>7783</v>
      </c>
      <c r="C1049" s="74">
        <v>1066960542</v>
      </c>
      <c r="D1049" s="78" t="str">
        <f t="shared" si="32"/>
        <v>https://portal.dnb.de/opac.htm?method=simpleSearch&amp;cqlMode=true&amp;query=idn%3D1066960542</v>
      </c>
      <c r="E1049" s="74" t="s">
        <v>7784</v>
      </c>
      <c r="F1049" s="74"/>
      <c r="G1049" s="76" t="s">
        <v>8515</v>
      </c>
      <c r="H1049" s="77" t="s">
        <v>6</v>
      </c>
      <c r="I1049" s="76" t="s">
        <v>53</v>
      </c>
      <c r="J1049" s="77" t="s">
        <v>8516</v>
      </c>
      <c r="K1049" s="77" t="s">
        <v>84</v>
      </c>
      <c r="L1049" s="76"/>
      <c r="M1049" s="76"/>
      <c r="N1049" s="76"/>
      <c r="O1049" s="76">
        <v>0</v>
      </c>
      <c r="P1049" s="76"/>
      <c r="Q1049" s="76"/>
      <c r="R1049" s="76"/>
      <c r="S1049" s="76"/>
      <c r="BD1049" s="99">
        <f t="shared" si="33"/>
        <v>0</v>
      </c>
      <c r="CC1049" s="99"/>
      <c r="CV1049" s="99"/>
      <c r="CW1049" s="63"/>
    </row>
    <row r="1050" spans="1:101" ht="22.5" x14ac:dyDescent="0.15">
      <c r="A1050" s="76">
        <v>965</v>
      </c>
      <c r="B1050" s="74" t="s">
        <v>7785</v>
      </c>
      <c r="C1050" s="74">
        <v>1066962170</v>
      </c>
      <c r="D1050" s="78" t="str">
        <f t="shared" si="32"/>
        <v>https://portal.dnb.de/opac.htm?method=simpleSearch&amp;cqlMode=true&amp;query=idn%3D1066962170</v>
      </c>
      <c r="E1050" s="74" t="s">
        <v>7786</v>
      </c>
      <c r="F1050" s="74"/>
      <c r="G1050" s="76" t="s">
        <v>8515</v>
      </c>
      <c r="H1050" s="77" t="s">
        <v>49</v>
      </c>
      <c r="I1050" s="76" t="s">
        <v>53</v>
      </c>
      <c r="J1050" s="77" t="s">
        <v>8516</v>
      </c>
      <c r="K1050" s="77" t="s">
        <v>8565</v>
      </c>
      <c r="L1050" s="76"/>
      <c r="M1050" s="76"/>
      <c r="N1050" s="76"/>
      <c r="O1050" s="76">
        <v>0</v>
      </c>
      <c r="P1050" s="76"/>
      <c r="Q1050" s="76"/>
      <c r="R1050" s="76"/>
      <c r="S1050" s="76"/>
      <c r="BD1050" s="99">
        <f t="shared" si="33"/>
        <v>0</v>
      </c>
      <c r="CC1050" s="99"/>
      <c r="CV1050" s="99"/>
      <c r="CW1050" s="63"/>
    </row>
    <row r="1051" spans="1:101" x14ac:dyDescent="0.15">
      <c r="A1051" s="76">
        <v>966</v>
      </c>
      <c r="B1051" s="74" t="s">
        <v>7787</v>
      </c>
      <c r="C1051" s="74">
        <v>1066959889</v>
      </c>
      <c r="D1051" s="78" t="str">
        <f t="shared" si="32"/>
        <v>https://portal.dnb.de/opac.htm?method=simpleSearch&amp;cqlMode=true&amp;query=idn%3D1066959889</v>
      </c>
      <c r="E1051" s="74" t="s">
        <v>7788</v>
      </c>
      <c r="F1051" s="74"/>
      <c r="G1051" s="76"/>
      <c r="H1051" s="77"/>
      <c r="I1051" s="76"/>
      <c r="J1051" s="77"/>
      <c r="K1051" s="77"/>
      <c r="L1051" s="76"/>
      <c r="M1051" s="76"/>
      <c r="N1051" s="76"/>
      <c r="O1051" s="76"/>
      <c r="P1051" s="76"/>
      <c r="Q1051" s="76"/>
      <c r="R1051" s="76"/>
      <c r="S1051" s="76"/>
      <c r="BD1051" s="99">
        <f t="shared" si="33"/>
        <v>0</v>
      </c>
      <c r="CC1051" s="99"/>
      <c r="CV1051" s="99"/>
      <c r="CW1051" s="63"/>
    </row>
    <row r="1052" spans="1:101" ht="33.75" x14ac:dyDescent="0.15">
      <c r="A1052" s="76">
        <v>967</v>
      </c>
      <c r="B1052" s="74" t="s">
        <v>7789</v>
      </c>
      <c r="C1052" s="74">
        <v>1000055949</v>
      </c>
      <c r="D1052" s="78" t="str">
        <f t="shared" si="32"/>
        <v>https://portal.dnb.de/opac.htm?method=simpleSearch&amp;cqlMode=true&amp;query=idn%3D1000055949</v>
      </c>
      <c r="E1052" s="74" t="s">
        <v>7790</v>
      </c>
      <c r="F1052" s="74"/>
      <c r="G1052" s="76" t="s">
        <v>8515</v>
      </c>
      <c r="H1052" s="77" t="s">
        <v>8546</v>
      </c>
      <c r="I1052" s="76" t="s">
        <v>55</v>
      </c>
      <c r="J1052" s="77" t="s">
        <v>58</v>
      </c>
      <c r="K1052" s="77" t="s">
        <v>62</v>
      </c>
      <c r="L1052" s="76"/>
      <c r="M1052" s="76" t="s">
        <v>37</v>
      </c>
      <c r="N1052" s="76" t="s">
        <v>40</v>
      </c>
      <c r="O1052" s="76">
        <v>2</v>
      </c>
      <c r="P1052" s="76"/>
      <c r="Q1052" s="76"/>
      <c r="R1052" s="76"/>
      <c r="S1052" s="76"/>
      <c r="BD1052" s="99">
        <f t="shared" si="33"/>
        <v>0</v>
      </c>
      <c r="CC1052" s="99"/>
      <c r="CV1052" s="99"/>
      <c r="CW1052" s="63"/>
    </row>
    <row r="1053" spans="1:101" x14ac:dyDescent="0.15">
      <c r="A1053" s="76">
        <v>968</v>
      </c>
      <c r="B1053" s="74" t="s">
        <v>7791</v>
      </c>
      <c r="C1053" s="74">
        <v>999124730</v>
      </c>
      <c r="D1053" s="78" t="str">
        <f t="shared" si="32"/>
        <v>https://portal.dnb.de/opac.htm?method=simpleSearch&amp;cqlMode=true&amp;query=idn%3D999124730</v>
      </c>
      <c r="E1053" s="74" t="s">
        <v>7792</v>
      </c>
      <c r="F1053" s="74"/>
      <c r="G1053" s="76"/>
      <c r="H1053" s="77"/>
      <c r="I1053" s="76"/>
      <c r="J1053" s="77"/>
      <c r="K1053" s="77"/>
      <c r="L1053" s="76"/>
      <c r="M1053" s="76"/>
      <c r="N1053" s="76"/>
      <c r="O1053" s="76"/>
      <c r="P1053" s="76"/>
      <c r="Q1053" s="76"/>
      <c r="R1053" s="76"/>
      <c r="S1053" s="76"/>
      <c r="BD1053" s="99">
        <f t="shared" si="33"/>
        <v>0</v>
      </c>
      <c r="CC1053" s="99"/>
      <c r="CV1053" s="99"/>
      <c r="CW1053" s="63"/>
    </row>
    <row r="1054" spans="1:101" x14ac:dyDescent="0.15">
      <c r="A1054" s="76">
        <v>969</v>
      </c>
      <c r="B1054" s="74" t="s">
        <v>7793</v>
      </c>
      <c r="C1054" s="74">
        <v>999180231</v>
      </c>
      <c r="D1054" s="78" t="str">
        <f t="shared" si="32"/>
        <v>https://portal.dnb.de/opac.htm?method=simpleSearch&amp;cqlMode=true&amp;query=idn%3D999180231</v>
      </c>
      <c r="E1054" s="74" t="s">
        <v>7794</v>
      </c>
      <c r="F1054" s="74"/>
      <c r="G1054" s="76"/>
      <c r="H1054" s="77"/>
      <c r="I1054" s="76"/>
      <c r="J1054" s="77"/>
      <c r="K1054" s="77"/>
      <c r="L1054" s="76"/>
      <c r="M1054" s="76"/>
      <c r="N1054" s="76"/>
      <c r="O1054" s="76"/>
      <c r="P1054" s="76"/>
      <c r="Q1054" s="76"/>
      <c r="R1054" s="76"/>
      <c r="S1054" s="76"/>
      <c r="BD1054" s="99">
        <f t="shared" si="33"/>
        <v>0</v>
      </c>
      <c r="CC1054" s="99"/>
      <c r="CV1054" s="99"/>
      <c r="CW1054" s="63"/>
    </row>
    <row r="1055" spans="1:101" ht="33.75" x14ac:dyDescent="0.15">
      <c r="A1055" s="76">
        <v>970</v>
      </c>
      <c r="B1055" s="74" t="s">
        <v>7795</v>
      </c>
      <c r="C1055" s="74">
        <v>999180207</v>
      </c>
      <c r="D1055" s="78" t="str">
        <f t="shared" si="32"/>
        <v>https://portal.dnb.de/opac.htm?method=simpleSearch&amp;cqlMode=true&amp;query=idn%3D999180207</v>
      </c>
      <c r="E1055" s="74" t="s">
        <v>7794</v>
      </c>
      <c r="F1055" s="74"/>
      <c r="G1055" s="76"/>
      <c r="H1055" s="77" t="s">
        <v>8549</v>
      </c>
      <c r="I1055" s="76" t="s">
        <v>55</v>
      </c>
      <c r="J1055" s="77" t="s">
        <v>8516</v>
      </c>
      <c r="K1055" s="77" t="s">
        <v>62</v>
      </c>
      <c r="L1055" s="76"/>
      <c r="M1055" s="76" t="s">
        <v>38</v>
      </c>
      <c r="N1055" s="76" t="s">
        <v>8519</v>
      </c>
      <c r="O1055" s="76">
        <v>2</v>
      </c>
      <c r="P1055" s="76"/>
      <c r="Q1055" s="76"/>
      <c r="R1055" s="76"/>
      <c r="S1055" s="76"/>
      <c r="BD1055" s="99">
        <f t="shared" si="33"/>
        <v>0</v>
      </c>
      <c r="CC1055" s="99"/>
      <c r="CV1055" s="99"/>
      <c r="CW1055" s="63"/>
    </row>
    <row r="1056" spans="1:101" ht="22.5" x14ac:dyDescent="0.15">
      <c r="A1056" s="76">
        <v>971</v>
      </c>
      <c r="B1056" s="74" t="s">
        <v>7796</v>
      </c>
      <c r="C1056" s="74">
        <v>994230885</v>
      </c>
      <c r="D1056" s="78" t="str">
        <f t="shared" si="32"/>
        <v>https://portal.dnb.de/opac.htm?method=simpleSearch&amp;cqlMode=true&amp;query=idn%3D994230885</v>
      </c>
      <c r="E1056" s="74" t="s">
        <v>7797</v>
      </c>
      <c r="F1056" s="74"/>
      <c r="G1056" s="76" t="s">
        <v>8515</v>
      </c>
      <c r="H1056" s="77" t="s">
        <v>48</v>
      </c>
      <c r="I1056" s="76" t="s">
        <v>55</v>
      </c>
      <c r="J1056" s="77" t="s">
        <v>8516</v>
      </c>
      <c r="K1056" s="77" t="s">
        <v>8924</v>
      </c>
      <c r="L1056" s="76"/>
      <c r="M1056" s="76"/>
      <c r="N1056" s="76" t="s">
        <v>8660</v>
      </c>
      <c r="O1056" s="76">
        <v>2</v>
      </c>
      <c r="P1056" s="76"/>
      <c r="Q1056" s="76"/>
      <c r="R1056" s="76"/>
      <c r="S1056" s="76"/>
      <c r="BD1056" s="99">
        <f t="shared" si="33"/>
        <v>0</v>
      </c>
      <c r="CC1056" s="99"/>
      <c r="CV1056" s="99"/>
      <c r="CW1056" s="63"/>
    </row>
    <row r="1057" spans="1:101" x14ac:dyDescent="0.15">
      <c r="A1057" s="76">
        <v>972</v>
      </c>
      <c r="B1057" s="74" t="s">
        <v>7798</v>
      </c>
      <c r="C1057" s="74" t="s">
        <v>7799</v>
      </c>
      <c r="D1057" s="78" t="str">
        <f t="shared" si="32"/>
        <v>https://portal.dnb.de/opac.htm?method=simpleSearch&amp;cqlMode=true&amp;query=idn%3D100367867X</v>
      </c>
      <c r="E1057" s="74" t="s">
        <v>7800</v>
      </c>
      <c r="F1057" s="74"/>
      <c r="G1057" s="76"/>
      <c r="H1057" s="77" t="s">
        <v>17</v>
      </c>
      <c r="I1057" s="76" t="s">
        <v>53</v>
      </c>
      <c r="J1057" s="77" t="s">
        <v>58</v>
      </c>
      <c r="K1057" s="77"/>
      <c r="L1057" s="76"/>
      <c r="M1057" s="76"/>
      <c r="N1057" s="76"/>
      <c r="O1057" s="76"/>
      <c r="P1057" s="76"/>
      <c r="Q1057" s="76"/>
      <c r="R1057" s="76"/>
      <c r="S1057" s="76"/>
      <c r="BD1057" s="99">
        <f t="shared" si="33"/>
        <v>0</v>
      </c>
      <c r="CC1057" s="99"/>
      <c r="CV1057" s="99"/>
      <c r="CW1057" s="63"/>
    </row>
    <row r="1058" spans="1:101" x14ac:dyDescent="0.15">
      <c r="A1058" s="76">
        <v>973</v>
      </c>
      <c r="B1058" s="74" t="s">
        <v>7801</v>
      </c>
      <c r="C1058" s="74">
        <v>998826693</v>
      </c>
      <c r="D1058" s="78" t="str">
        <f t="shared" si="32"/>
        <v>https://portal.dnb.de/opac.htm?method=simpleSearch&amp;cqlMode=true&amp;query=idn%3D998826693</v>
      </c>
      <c r="E1058" s="74" t="s">
        <v>7802</v>
      </c>
      <c r="F1058" s="74"/>
      <c r="G1058" s="76" t="s">
        <v>8515</v>
      </c>
      <c r="H1058" s="77" t="s">
        <v>49</v>
      </c>
      <c r="I1058" s="76" t="s">
        <v>53</v>
      </c>
      <c r="J1058" s="77" t="s">
        <v>8516</v>
      </c>
      <c r="K1058" s="77"/>
      <c r="L1058" s="76"/>
      <c r="M1058" s="76"/>
      <c r="N1058" s="76"/>
      <c r="O1058" s="76">
        <v>0</v>
      </c>
      <c r="P1058" s="76"/>
      <c r="Q1058" s="76"/>
      <c r="R1058" s="76"/>
      <c r="S1058" s="76"/>
      <c r="BD1058" s="99">
        <f t="shared" si="33"/>
        <v>0</v>
      </c>
      <c r="CC1058" s="99"/>
      <c r="CV1058" s="99"/>
      <c r="CW1058" s="63"/>
    </row>
    <row r="1059" spans="1:101" ht="33.75" x14ac:dyDescent="0.15">
      <c r="A1059" s="76">
        <v>974</v>
      </c>
      <c r="B1059" s="74" t="s">
        <v>7803</v>
      </c>
      <c r="C1059" s="74">
        <v>1002368790</v>
      </c>
      <c r="D1059" s="78" t="str">
        <f t="shared" si="32"/>
        <v>https://portal.dnb.de/opac.htm?method=simpleSearch&amp;cqlMode=true&amp;query=idn%3D1002368790</v>
      </c>
      <c r="E1059" s="74" t="s">
        <v>7804</v>
      </c>
      <c r="F1059" s="74"/>
      <c r="G1059" s="76"/>
      <c r="H1059" s="77" t="s">
        <v>8546</v>
      </c>
      <c r="I1059" s="76" t="s">
        <v>53</v>
      </c>
      <c r="J1059" s="77" t="s">
        <v>8516</v>
      </c>
      <c r="K1059" s="77" t="s">
        <v>84</v>
      </c>
      <c r="L1059" s="76"/>
      <c r="M1059" s="76" t="s">
        <v>38</v>
      </c>
      <c r="N1059" s="76" t="s">
        <v>40</v>
      </c>
      <c r="O1059" s="76">
        <v>0</v>
      </c>
      <c r="P1059" s="76"/>
      <c r="Q1059" s="76"/>
      <c r="R1059" s="76"/>
      <c r="S1059" s="76"/>
      <c r="BD1059" s="99">
        <f t="shared" si="33"/>
        <v>0</v>
      </c>
      <c r="CC1059" s="99"/>
      <c r="CV1059" s="99"/>
      <c r="CW1059" s="63"/>
    </row>
    <row r="1060" spans="1:101" x14ac:dyDescent="0.15">
      <c r="A1060" s="76">
        <v>975</v>
      </c>
      <c r="B1060" s="74" t="s">
        <v>7808</v>
      </c>
      <c r="C1060" s="74">
        <v>994954530</v>
      </c>
      <c r="D1060" s="78" t="str">
        <f t="shared" si="32"/>
        <v>https://portal.dnb.de/opac.htm?method=simpleSearch&amp;cqlMode=true&amp;query=idn%3D994954530</v>
      </c>
      <c r="E1060" s="74" t="s">
        <v>7809</v>
      </c>
      <c r="F1060" s="74"/>
      <c r="G1060" s="76" t="s">
        <v>8515</v>
      </c>
      <c r="H1060" s="77" t="s">
        <v>5</v>
      </c>
      <c r="I1060" s="76" t="s">
        <v>53</v>
      </c>
      <c r="J1060" s="77" t="s">
        <v>8516</v>
      </c>
      <c r="K1060" s="77"/>
      <c r="L1060" s="76"/>
      <c r="M1060" s="76" t="s">
        <v>36</v>
      </c>
      <c r="N1060" s="76" t="s">
        <v>39</v>
      </c>
      <c r="O1060" s="76">
        <v>1</v>
      </c>
      <c r="P1060" s="76"/>
      <c r="Q1060" s="76"/>
      <c r="R1060" s="76"/>
      <c r="S1060" s="76"/>
      <c r="BD1060" s="99">
        <f t="shared" si="33"/>
        <v>0</v>
      </c>
      <c r="CC1060" s="99"/>
      <c r="CV1060" s="99"/>
      <c r="CW1060" s="63"/>
    </row>
    <row r="1061" spans="1:101" ht="22.5" x14ac:dyDescent="0.15">
      <c r="A1061" s="76">
        <v>976</v>
      </c>
      <c r="B1061" s="74" t="s">
        <v>7810</v>
      </c>
      <c r="C1061" s="74">
        <v>999889737</v>
      </c>
      <c r="D1061" s="78" t="str">
        <f t="shared" si="32"/>
        <v>https://portal.dnb.de/opac.htm?method=simpleSearch&amp;cqlMode=true&amp;query=idn%3D999889737</v>
      </c>
      <c r="E1061" s="74" t="s">
        <v>7811</v>
      </c>
      <c r="F1061" s="74"/>
      <c r="G1061" s="76"/>
      <c r="H1061" s="77" t="s">
        <v>18</v>
      </c>
      <c r="I1061" s="76" t="s">
        <v>53</v>
      </c>
      <c r="J1061" s="77" t="s">
        <v>8516</v>
      </c>
      <c r="K1061" s="77" t="s">
        <v>84</v>
      </c>
      <c r="L1061" s="76"/>
      <c r="M1061" s="76"/>
      <c r="N1061" s="76"/>
      <c r="O1061" s="76">
        <v>0</v>
      </c>
      <c r="P1061" s="76"/>
      <c r="Q1061" s="76"/>
      <c r="R1061" s="76"/>
      <c r="S1061" s="76"/>
      <c r="BD1061" s="99">
        <f t="shared" si="33"/>
        <v>0</v>
      </c>
      <c r="CC1061" s="99"/>
      <c r="CV1061" s="99"/>
      <c r="CW1061" s="63"/>
    </row>
    <row r="1062" spans="1:101" ht="22.5" x14ac:dyDescent="0.15">
      <c r="A1062" s="76">
        <v>977</v>
      </c>
      <c r="B1062" s="74" t="s">
        <v>7812</v>
      </c>
      <c r="C1062" s="74">
        <v>999090577</v>
      </c>
      <c r="D1062" s="78" t="str">
        <f t="shared" si="32"/>
        <v>https://portal.dnb.de/opac.htm?method=simpleSearch&amp;cqlMode=true&amp;query=idn%3D999090577</v>
      </c>
      <c r="E1062" s="74" t="s">
        <v>7813</v>
      </c>
      <c r="F1062" s="74"/>
      <c r="G1062" s="76" t="s">
        <v>8515</v>
      </c>
      <c r="H1062" s="77" t="s">
        <v>5</v>
      </c>
      <c r="I1062" s="76" t="s">
        <v>53</v>
      </c>
      <c r="J1062" s="77" t="s">
        <v>8516</v>
      </c>
      <c r="K1062" s="77" t="s">
        <v>8656</v>
      </c>
      <c r="L1062" s="76"/>
      <c r="M1062" s="76" t="s">
        <v>38</v>
      </c>
      <c r="N1062" s="76" t="s">
        <v>40</v>
      </c>
      <c r="O1062" s="76">
        <v>1</v>
      </c>
      <c r="P1062" s="76"/>
      <c r="Q1062" s="76"/>
      <c r="R1062" s="76"/>
      <c r="S1062" s="76"/>
      <c r="BD1062" s="99">
        <f t="shared" si="33"/>
        <v>0</v>
      </c>
      <c r="CC1062" s="99"/>
      <c r="CV1062" s="99"/>
      <c r="CW1062" s="63"/>
    </row>
    <row r="1063" spans="1:101" x14ac:dyDescent="0.15">
      <c r="A1063" s="76">
        <v>978</v>
      </c>
      <c r="B1063" s="74" t="s">
        <v>7814</v>
      </c>
      <c r="C1063" s="74">
        <v>994519362</v>
      </c>
      <c r="D1063" s="82" t="str">
        <f>HYPERLINK(CONCATENATE("https://portal.dnb.de/opac.htm?method=simpleSearch&amp;cqlMode=true&amp;query=idn%3D",C1063))</f>
        <v>https://portal.dnb.de/opac.htm?method=simpleSearch&amp;cqlMode=true&amp;query=idn%3D994519362</v>
      </c>
      <c r="E1063" s="74" t="s">
        <v>7815</v>
      </c>
      <c r="F1063" s="74"/>
      <c r="G1063" s="76"/>
      <c r="H1063" s="77" t="s">
        <v>48</v>
      </c>
      <c r="I1063" s="76" t="s">
        <v>55</v>
      </c>
      <c r="J1063" s="77" t="s">
        <v>58</v>
      </c>
      <c r="K1063" s="77" t="s">
        <v>84</v>
      </c>
      <c r="L1063" s="76"/>
      <c r="M1063" s="76"/>
      <c r="N1063" s="76" t="s">
        <v>8660</v>
      </c>
      <c r="O1063" s="76">
        <v>1</v>
      </c>
      <c r="P1063" s="76"/>
      <c r="Q1063" s="76" t="s">
        <v>9040</v>
      </c>
      <c r="R1063" s="76"/>
      <c r="S1063" s="76"/>
      <c r="BD1063" s="99">
        <f t="shared" si="33"/>
        <v>0</v>
      </c>
      <c r="CC1063" s="99"/>
      <c r="CV1063" s="99"/>
      <c r="CW1063" s="63"/>
    </row>
    <row r="1064" spans="1:101" ht="33.75" x14ac:dyDescent="0.15">
      <c r="A1064" s="76">
        <v>979</v>
      </c>
      <c r="B1064" s="74" t="s">
        <v>7816</v>
      </c>
      <c r="C1064" s="74">
        <v>1002746973</v>
      </c>
      <c r="D1064" s="78" t="str">
        <f t="shared" si="32"/>
        <v>https://portal.dnb.de/opac.htm?method=simpleSearch&amp;cqlMode=true&amp;query=idn%3D1002746973</v>
      </c>
      <c r="E1064" s="74" t="s">
        <v>7817</v>
      </c>
      <c r="F1064" s="74"/>
      <c r="G1064" s="76"/>
      <c r="H1064" s="77" t="s">
        <v>8546</v>
      </c>
      <c r="I1064" s="76" t="s">
        <v>54</v>
      </c>
      <c r="J1064" s="77" t="s">
        <v>8516</v>
      </c>
      <c r="K1064" s="77" t="s">
        <v>8564</v>
      </c>
      <c r="L1064" s="76"/>
      <c r="M1064" s="76" t="s">
        <v>38</v>
      </c>
      <c r="N1064" s="76" t="s">
        <v>40</v>
      </c>
      <c r="O1064" s="76">
        <v>0</v>
      </c>
      <c r="P1064" s="76"/>
      <c r="Q1064" s="76"/>
      <c r="R1064" s="76"/>
      <c r="S1064" s="76"/>
      <c r="BD1064" s="99">
        <f t="shared" si="33"/>
        <v>0</v>
      </c>
      <c r="CC1064" s="99"/>
      <c r="CV1064" s="99"/>
      <c r="CW1064" s="63"/>
    </row>
    <row r="1065" spans="1:101" x14ac:dyDescent="0.15">
      <c r="A1065" s="76">
        <v>980</v>
      </c>
      <c r="B1065" s="74" t="s">
        <v>7818</v>
      </c>
      <c r="C1065" s="74">
        <v>1002749670</v>
      </c>
      <c r="D1065" s="78" t="str">
        <f t="shared" si="32"/>
        <v>https://portal.dnb.de/opac.htm?method=simpleSearch&amp;cqlMode=true&amp;query=idn%3D1002749670</v>
      </c>
      <c r="E1065" s="74" t="s">
        <v>7817</v>
      </c>
      <c r="F1065" s="74"/>
      <c r="G1065" s="76"/>
      <c r="H1065" s="77"/>
      <c r="I1065" s="76"/>
      <c r="J1065" s="77"/>
      <c r="K1065" s="77"/>
      <c r="L1065" s="76"/>
      <c r="M1065" s="76"/>
      <c r="N1065" s="76"/>
      <c r="O1065" s="76"/>
      <c r="P1065" s="76"/>
      <c r="Q1065" s="76"/>
      <c r="R1065" s="76"/>
      <c r="S1065" s="76"/>
      <c r="BD1065" s="99">
        <f t="shared" si="33"/>
        <v>0</v>
      </c>
      <c r="CC1065" s="99"/>
      <c r="CV1065" s="99"/>
      <c r="CW1065" s="63"/>
    </row>
    <row r="1066" spans="1:101" x14ac:dyDescent="0.15">
      <c r="A1066" s="76">
        <v>981</v>
      </c>
      <c r="B1066" s="74" t="s">
        <v>7819</v>
      </c>
      <c r="C1066" s="74">
        <v>996373608</v>
      </c>
      <c r="D1066" s="82" t="str">
        <f>HYPERLINK(CONCATENATE("https://portal.dnb.de/opac.htm?method=simpleSearch&amp;cqlMode=true&amp;query=idn%3D",C1066))</f>
        <v>https://portal.dnb.de/opac.htm?method=simpleSearch&amp;cqlMode=true&amp;query=idn%3D996373608</v>
      </c>
      <c r="E1066" s="74" t="s">
        <v>7820</v>
      </c>
      <c r="F1066" s="74"/>
      <c r="G1066" s="76"/>
      <c r="H1066" s="77"/>
      <c r="I1066" s="76"/>
      <c r="J1066" s="77"/>
      <c r="K1066" s="77"/>
      <c r="L1066" s="76"/>
      <c r="M1066" s="76"/>
      <c r="N1066" s="76"/>
      <c r="O1066" s="76"/>
      <c r="P1066" s="76"/>
      <c r="Q1066" s="76"/>
      <c r="R1066" s="76"/>
      <c r="S1066" s="76"/>
      <c r="BD1066" s="99">
        <f t="shared" si="33"/>
        <v>0</v>
      </c>
      <c r="CC1066" s="99"/>
      <c r="CV1066" s="99"/>
      <c r="CW1066" s="63"/>
    </row>
    <row r="1067" spans="1:101" x14ac:dyDescent="0.15">
      <c r="A1067" s="76">
        <v>982</v>
      </c>
      <c r="B1067" s="74" t="s">
        <v>7821</v>
      </c>
      <c r="C1067" s="74" t="s">
        <v>7822</v>
      </c>
      <c r="D1067" s="82" t="str">
        <f>HYPERLINK(CONCATENATE("https://portal.dnb.de/opac.htm?method=simpleSearch&amp;cqlMode=true&amp;query=idn%3D",C1067))</f>
        <v>https://portal.dnb.de/opac.htm?method=simpleSearch&amp;cqlMode=true&amp;query=idn%3D99920890X</v>
      </c>
      <c r="E1067" s="74" t="s">
        <v>7820</v>
      </c>
      <c r="F1067" s="74"/>
      <c r="G1067" s="76"/>
      <c r="H1067" s="77" t="s">
        <v>4</v>
      </c>
      <c r="I1067" s="76" t="s">
        <v>53</v>
      </c>
      <c r="J1067" s="77" t="s">
        <v>8516</v>
      </c>
      <c r="K1067" s="77" t="s">
        <v>8520</v>
      </c>
      <c r="L1067" s="76"/>
      <c r="M1067" s="76" t="s">
        <v>36</v>
      </c>
      <c r="N1067" s="76" t="s">
        <v>39</v>
      </c>
      <c r="O1067" s="76">
        <v>1</v>
      </c>
      <c r="P1067" s="76"/>
      <c r="Q1067" s="76"/>
      <c r="R1067" s="76"/>
      <c r="S1067" s="76" t="s">
        <v>8880</v>
      </c>
      <c r="BD1067" s="99">
        <f t="shared" si="33"/>
        <v>0</v>
      </c>
      <c r="CC1067" s="99"/>
      <c r="CV1067" s="99"/>
      <c r="CW1067" s="63"/>
    </row>
    <row r="1068" spans="1:101" x14ac:dyDescent="0.15">
      <c r="A1068" s="76">
        <v>983</v>
      </c>
      <c r="B1068" s="74" t="s">
        <v>7823</v>
      </c>
      <c r="C1068" s="74">
        <v>15178161</v>
      </c>
      <c r="D1068" s="82" t="str">
        <f>HYPERLINK(CONCATENATE("https://portal.dnb.de/opac.htm?method=simpleSearch&amp;cqlMode=true&amp;query=idn%3D",C1068))</f>
        <v>https://portal.dnb.de/opac.htm?method=simpleSearch&amp;cqlMode=true&amp;query=idn%3D15178161</v>
      </c>
      <c r="E1068" s="74" t="s">
        <v>7820</v>
      </c>
      <c r="F1068" s="74"/>
      <c r="G1068" s="76"/>
      <c r="H1068" s="77"/>
      <c r="I1068" s="76"/>
      <c r="J1068" s="77"/>
      <c r="K1068" s="77"/>
      <c r="L1068" s="76"/>
      <c r="M1068" s="76"/>
      <c r="N1068" s="76"/>
      <c r="O1068" s="76"/>
      <c r="P1068" s="76"/>
      <c r="Q1068" s="76"/>
      <c r="R1068" s="76"/>
      <c r="S1068" s="76"/>
      <c r="BD1068" s="99">
        <f t="shared" si="33"/>
        <v>0</v>
      </c>
      <c r="CC1068" s="99"/>
      <c r="CV1068" s="99"/>
      <c r="CW1068" s="63"/>
    </row>
    <row r="1069" spans="1:101" ht="22.5" x14ac:dyDescent="0.15">
      <c r="A1069" s="76">
        <v>984</v>
      </c>
      <c r="B1069" s="74" t="s">
        <v>7824</v>
      </c>
      <c r="C1069" s="74">
        <v>999549715</v>
      </c>
      <c r="D1069" s="78" t="str">
        <f t="shared" si="32"/>
        <v>https://portal.dnb.de/opac.htm?method=simpleSearch&amp;cqlMode=true&amp;query=idn%3D999549715</v>
      </c>
      <c r="E1069" s="74" t="s">
        <v>7825</v>
      </c>
      <c r="F1069" s="74"/>
      <c r="G1069" s="76"/>
      <c r="H1069" s="77" t="s">
        <v>48</v>
      </c>
      <c r="I1069" s="76" t="s">
        <v>53</v>
      </c>
      <c r="J1069" s="77" t="s">
        <v>8516</v>
      </c>
      <c r="K1069" s="77" t="s">
        <v>8565</v>
      </c>
      <c r="L1069" s="76"/>
      <c r="M1069" s="76" t="s">
        <v>38</v>
      </c>
      <c r="N1069" s="76" t="s">
        <v>40</v>
      </c>
      <c r="O1069" s="76">
        <v>0</v>
      </c>
      <c r="P1069" s="76"/>
      <c r="Q1069" s="76"/>
      <c r="R1069" s="76"/>
      <c r="S1069" s="76"/>
      <c r="BD1069" s="99">
        <f t="shared" si="33"/>
        <v>0</v>
      </c>
      <c r="CC1069" s="99"/>
      <c r="CV1069" s="99"/>
      <c r="CW1069" s="63"/>
    </row>
    <row r="1070" spans="1:101" ht="22.5" x14ac:dyDescent="0.15">
      <c r="A1070" s="76">
        <v>985</v>
      </c>
      <c r="B1070" s="74" t="s">
        <v>7826</v>
      </c>
      <c r="C1070" s="74">
        <v>994216114</v>
      </c>
      <c r="D1070" s="78" t="str">
        <f t="shared" si="32"/>
        <v>https://portal.dnb.de/opac.htm?method=simpleSearch&amp;cqlMode=true&amp;query=idn%3D994216114</v>
      </c>
      <c r="E1070" s="74" t="s">
        <v>7827</v>
      </c>
      <c r="F1070" s="74"/>
      <c r="G1070" s="76" t="s">
        <v>8515</v>
      </c>
      <c r="H1070" s="77" t="s">
        <v>5</v>
      </c>
      <c r="I1070" s="76" t="s">
        <v>53</v>
      </c>
      <c r="J1070" s="77" t="s">
        <v>8516</v>
      </c>
      <c r="K1070" s="77" t="s">
        <v>8565</v>
      </c>
      <c r="L1070" s="76"/>
      <c r="M1070" s="76" t="s">
        <v>36</v>
      </c>
      <c r="N1070" s="76" t="s">
        <v>39</v>
      </c>
      <c r="O1070" s="76">
        <v>1</v>
      </c>
      <c r="P1070" s="76"/>
      <c r="Q1070" s="76"/>
      <c r="R1070" s="76"/>
      <c r="S1070" s="76"/>
      <c r="BD1070" s="99">
        <f t="shared" si="33"/>
        <v>0</v>
      </c>
      <c r="CC1070" s="99"/>
      <c r="CV1070" s="99"/>
      <c r="CW1070" s="63"/>
    </row>
    <row r="1071" spans="1:101" ht="22.5" x14ac:dyDescent="0.15">
      <c r="A1071" s="76">
        <v>986</v>
      </c>
      <c r="B1071" s="74" t="s">
        <v>7828</v>
      </c>
      <c r="C1071" s="74">
        <v>1008045705</v>
      </c>
      <c r="D1071" s="82" t="str">
        <f>HYPERLINK(CONCATENATE("https://portal.dnb.de/opac.htm?method=simpleSearch&amp;cqlMode=true&amp;query=idn%3D",C1071))</f>
        <v>https://portal.dnb.de/opac.htm?method=simpleSearch&amp;cqlMode=true&amp;query=idn%3D1008045705</v>
      </c>
      <c r="E1071" s="74" t="s">
        <v>7829</v>
      </c>
      <c r="F1071" s="74"/>
      <c r="G1071" s="76" t="s">
        <v>8515</v>
      </c>
      <c r="H1071" s="77" t="s">
        <v>18</v>
      </c>
      <c r="I1071" s="76" t="s">
        <v>53</v>
      </c>
      <c r="J1071" s="77" t="s">
        <v>8516</v>
      </c>
      <c r="K1071" s="77" t="s">
        <v>84</v>
      </c>
      <c r="L1071" s="76"/>
      <c r="M1071" s="76" t="s">
        <v>36</v>
      </c>
      <c r="N1071" s="76" t="s">
        <v>39</v>
      </c>
      <c r="O1071" s="76">
        <v>0</v>
      </c>
      <c r="P1071" s="76"/>
      <c r="Q1071" s="76"/>
      <c r="R1071" s="76"/>
      <c r="S1071" s="76"/>
      <c r="BD1071" s="99">
        <f t="shared" si="33"/>
        <v>0</v>
      </c>
      <c r="CC1071" s="99"/>
      <c r="CV1071" s="99"/>
      <c r="CW1071" s="63"/>
    </row>
    <row r="1072" spans="1:101" x14ac:dyDescent="0.15">
      <c r="A1072" s="76">
        <v>987</v>
      </c>
      <c r="B1072" s="74" t="s">
        <v>7833</v>
      </c>
      <c r="C1072" s="74">
        <v>1208740598</v>
      </c>
      <c r="D1072" s="78" t="str">
        <f t="shared" ref="D1072:D1135" si="34">HYPERLINK(CONCATENATE("https://portal.dnb.de/opac.htm?method=simpleSearch&amp;cqlMode=true&amp;query=idn%3D",C1072))</f>
        <v>https://portal.dnb.de/opac.htm?method=simpleSearch&amp;cqlMode=true&amp;query=idn%3D1208740598</v>
      </c>
      <c r="E1072" s="74" t="s">
        <v>7834</v>
      </c>
      <c r="F1072" s="74"/>
      <c r="G1072" s="76"/>
      <c r="H1072" s="77"/>
      <c r="I1072" s="76"/>
      <c r="J1072" s="77"/>
      <c r="K1072" s="77"/>
      <c r="L1072" s="76"/>
      <c r="M1072" s="76"/>
      <c r="N1072" s="76"/>
      <c r="O1072" s="76"/>
      <c r="P1072" s="76"/>
      <c r="Q1072" s="76"/>
      <c r="R1072" s="76"/>
      <c r="S1072" s="76"/>
      <c r="BD1072" s="99">
        <f t="shared" si="33"/>
        <v>0</v>
      </c>
      <c r="CC1072" s="99"/>
      <c r="CV1072" s="99"/>
      <c r="CW1072" s="63"/>
    </row>
    <row r="1073" spans="1:101" x14ac:dyDescent="0.15">
      <c r="A1073" s="76">
        <v>988</v>
      </c>
      <c r="B1073" s="74" t="s">
        <v>7839</v>
      </c>
      <c r="C1073" s="74" t="s">
        <v>7840</v>
      </c>
      <c r="D1073" s="78" t="str">
        <f t="shared" si="34"/>
        <v>https://portal.dnb.de/opac.htm?method=simpleSearch&amp;cqlMode=true&amp;query=idn%3D100185991X</v>
      </c>
      <c r="E1073" s="74" t="s">
        <v>7841</v>
      </c>
      <c r="F1073" s="74"/>
      <c r="G1073" s="76"/>
      <c r="H1073" s="77"/>
      <c r="I1073" s="76"/>
      <c r="J1073" s="77"/>
      <c r="K1073" s="77"/>
      <c r="L1073" s="76"/>
      <c r="M1073" s="76"/>
      <c r="N1073" s="76"/>
      <c r="O1073" s="76"/>
      <c r="P1073" s="76"/>
      <c r="Q1073" s="76"/>
      <c r="R1073" s="76"/>
      <c r="S1073" s="76"/>
      <c r="BD1073" s="99">
        <f t="shared" si="33"/>
        <v>0</v>
      </c>
      <c r="CC1073" s="99"/>
      <c r="CV1073" s="99"/>
      <c r="CW1073" s="63"/>
    </row>
    <row r="1074" spans="1:101" x14ac:dyDescent="0.15">
      <c r="A1074" s="76">
        <v>989</v>
      </c>
      <c r="B1074" s="74" t="s">
        <v>7842</v>
      </c>
      <c r="C1074" s="74">
        <v>1002915805</v>
      </c>
      <c r="D1074" s="78" t="str">
        <f t="shared" si="34"/>
        <v>https://portal.dnb.de/opac.htm?method=simpleSearch&amp;cqlMode=true&amp;query=idn%3D1002915805</v>
      </c>
      <c r="E1074" s="74" t="s">
        <v>7843</v>
      </c>
      <c r="F1074" s="74"/>
      <c r="G1074" s="76"/>
      <c r="H1074" s="77" t="s">
        <v>6</v>
      </c>
      <c r="I1074" s="76" t="s">
        <v>53</v>
      </c>
      <c r="J1074" s="77" t="s">
        <v>58</v>
      </c>
      <c r="K1074" s="77" t="s">
        <v>84</v>
      </c>
      <c r="L1074" s="76"/>
      <c r="M1074" s="76" t="s">
        <v>36</v>
      </c>
      <c r="N1074" s="76" t="s">
        <v>40</v>
      </c>
      <c r="O1074" s="76">
        <v>0</v>
      </c>
      <c r="P1074" s="76"/>
      <c r="Q1074" s="76"/>
      <c r="R1074" s="76"/>
      <c r="S1074" s="76"/>
      <c r="BD1074" s="99">
        <f t="shared" si="33"/>
        <v>0</v>
      </c>
      <c r="CC1074" s="99"/>
      <c r="CV1074" s="99"/>
      <c r="CW1074" s="63"/>
    </row>
    <row r="1075" spans="1:101" x14ac:dyDescent="0.15">
      <c r="A1075" s="76">
        <v>990</v>
      </c>
      <c r="B1075" s="74" t="s">
        <v>7844</v>
      </c>
      <c r="C1075" s="74">
        <v>994564546</v>
      </c>
      <c r="D1075" s="78" t="str">
        <f t="shared" si="34"/>
        <v>https://portal.dnb.de/opac.htm?method=simpleSearch&amp;cqlMode=true&amp;query=idn%3D994564546</v>
      </c>
      <c r="E1075" s="74" t="s">
        <v>7845</v>
      </c>
      <c r="F1075" s="74"/>
      <c r="G1075" s="76"/>
      <c r="H1075" s="77"/>
      <c r="I1075" s="76"/>
      <c r="J1075" s="77"/>
      <c r="K1075" s="77"/>
      <c r="L1075" s="76"/>
      <c r="M1075" s="76"/>
      <c r="N1075" s="76"/>
      <c r="O1075" s="76"/>
      <c r="P1075" s="76"/>
      <c r="Q1075" s="76"/>
      <c r="R1075" s="76"/>
      <c r="S1075" s="76"/>
      <c r="BD1075" s="99">
        <f t="shared" si="33"/>
        <v>0</v>
      </c>
      <c r="CC1075" s="99"/>
      <c r="CV1075" s="99"/>
      <c r="CW1075" s="63"/>
    </row>
    <row r="1076" spans="1:101" ht="22.5" x14ac:dyDescent="0.15">
      <c r="A1076" s="76">
        <v>991</v>
      </c>
      <c r="B1076" s="74" t="s">
        <v>7854</v>
      </c>
      <c r="C1076" s="74">
        <v>993916333</v>
      </c>
      <c r="D1076" s="82" t="str">
        <f>HYPERLINK(CONCATENATE("https://portal.dnb.de/opac.htm?method=simpleSearch&amp;cqlMode=true&amp;query=idn%3D",C1076))</f>
        <v>https://portal.dnb.de/opac.htm?method=simpleSearch&amp;cqlMode=true&amp;query=idn%3D993916333</v>
      </c>
      <c r="E1076" s="74" t="s">
        <v>7855</v>
      </c>
      <c r="F1076" s="74"/>
      <c r="G1076" s="76" t="s">
        <v>8515</v>
      </c>
      <c r="H1076" s="77" t="s">
        <v>8878</v>
      </c>
      <c r="I1076" s="76" t="s">
        <v>53</v>
      </c>
      <c r="J1076" s="77" t="s">
        <v>8516</v>
      </c>
      <c r="K1076" s="77" t="s">
        <v>8565</v>
      </c>
      <c r="L1076" s="76"/>
      <c r="M1076" s="76"/>
      <c r="N1076" s="76"/>
      <c r="O1076" s="76">
        <v>0</v>
      </c>
      <c r="P1076" s="76"/>
      <c r="Q1076" s="76"/>
      <c r="R1076" s="76"/>
      <c r="S1076" s="76"/>
      <c r="BD1076" s="99">
        <f t="shared" si="33"/>
        <v>0</v>
      </c>
      <c r="CC1076" s="99"/>
      <c r="CV1076" s="99"/>
      <c r="CW1076" s="63"/>
    </row>
    <row r="1077" spans="1:101" x14ac:dyDescent="0.15">
      <c r="A1077" s="76">
        <v>992</v>
      </c>
      <c r="B1077" s="74" t="s">
        <v>7856</v>
      </c>
      <c r="C1077" s="74">
        <v>1132647606</v>
      </c>
      <c r="D1077" s="82" t="str">
        <f>HYPERLINK(CONCATENATE("https://portal.dnb.de/opac.htm?method=simpleSearch&amp;cqlMode=true&amp;query=idn%3D",C1077))</f>
        <v>https://portal.dnb.de/opac.htm?method=simpleSearch&amp;cqlMode=true&amp;query=idn%3D1132647606</v>
      </c>
      <c r="E1077" s="74" t="s">
        <v>7857</v>
      </c>
      <c r="F1077" s="74"/>
      <c r="G1077" s="76" t="s">
        <v>8515</v>
      </c>
      <c r="H1077" s="77" t="s">
        <v>5</v>
      </c>
      <c r="I1077" s="76"/>
      <c r="J1077" s="77" t="s">
        <v>89</v>
      </c>
      <c r="K1077" s="77" t="s">
        <v>72</v>
      </c>
      <c r="L1077" s="76"/>
      <c r="M1077" s="76" t="s">
        <v>38</v>
      </c>
      <c r="N1077" s="76" t="s">
        <v>40</v>
      </c>
      <c r="O1077" s="76">
        <v>0</v>
      </c>
      <c r="P1077" s="76"/>
      <c r="Q1077" s="76"/>
      <c r="R1077" s="76"/>
      <c r="S1077" s="76"/>
      <c r="BD1077" s="99">
        <f t="shared" si="33"/>
        <v>0</v>
      </c>
      <c r="CC1077" s="99"/>
      <c r="CV1077" s="99"/>
      <c r="CW1077" s="63"/>
    </row>
    <row r="1078" spans="1:101" x14ac:dyDescent="0.15">
      <c r="A1078" s="76">
        <v>993</v>
      </c>
      <c r="B1078" s="74" t="s">
        <v>7858</v>
      </c>
      <c r="C1078" s="74">
        <v>1132647622</v>
      </c>
      <c r="D1078" s="82" t="str">
        <f>HYPERLINK(CONCATENATE("https://portal.dnb.de/opac.htm?method=simpleSearch&amp;cqlMode=true&amp;query=idn%3D",C1078))</f>
        <v>https://portal.dnb.de/opac.htm?method=simpleSearch&amp;cqlMode=true&amp;query=idn%3D1132647622</v>
      </c>
      <c r="E1078" s="74" t="s">
        <v>7857</v>
      </c>
      <c r="F1078" s="74"/>
      <c r="G1078" s="76"/>
      <c r="H1078" s="77"/>
      <c r="I1078" s="76"/>
      <c r="J1078" s="77"/>
      <c r="K1078" s="77"/>
      <c r="L1078" s="76"/>
      <c r="M1078" s="76"/>
      <c r="N1078" s="76"/>
      <c r="O1078" s="76"/>
      <c r="P1078" s="76"/>
      <c r="Q1078" s="76"/>
      <c r="R1078" s="76"/>
      <c r="S1078" s="76"/>
      <c r="BD1078" s="99">
        <f t="shared" si="33"/>
        <v>0</v>
      </c>
      <c r="CC1078" s="99"/>
      <c r="CV1078" s="99"/>
      <c r="CW1078" s="63"/>
    </row>
    <row r="1079" spans="1:101" x14ac:dyDescent="0.15">
      <c r="A1079" s="76">
        <v>994</v>
      </c>
      <c r="B1079" s="74" t="s">
        <v>7859</v>
      </c>
      <c r="C1079" s="74">
        <v>1132647614</v>
      </c>
      <c r="D1079" s="82" t="str">
        <f>HYPERLINK(CONCATENATE("https://portal.dnb.de/opac.htm?method=simpleSearch&amp;cqlMode=true&amp;query=idn%3D",C1079))</f>
        <v>https://portal.dnb.de/opac.htm?method=simpleSearch&amp;cqlMode=true&amp;query=idn%3D1132647614</v>
      </c>
      <c r="E1079" s="74" t="s">
        <v>7857</v>
      </c>
      <c r="F1079" s="74"/>
      <c r="G1079" s="76"/>
      <c r="H1079" s="77"/>
      <c r="I1079" s="76"/>
      <c r="J1079" s="77"/>
      <c r="K1079" s="77"/>
      <c r="L1079" s="76"/>
      <c r="M1079" s="76"/>
      <c r="N1079" s="76"/>
      <c r="O1079" s="76"/>
      <c r="P1079" s="76"/>
      <c r="Q1079" s="76"/>
      <c r="R1079" s="76"/>
      <c r="S1079" s="76"/>
      <c r="BD1079" s="99">
        <f t="shared" si="33"/>
        <v>0</v>
      </c>
      <c r="CC1079" s="99"/>
      <c r="CV1079" s="99"/>
      <c r="CW1079" s="63"/>
    </row>
    <row r="1080" spans="1:101" ht="22.5" x14ac:dyDescent="0.15">
      <c r="A1080" s="76">
        <v>995</v>
      </c>
      <c r="B1080" s="74" t="s">
        <v>7860</v>
      </c>
      <c r="C1080" s="74" t="s">
        <v>7861</v>
      </c>
      <c r="D1080" s="82" t="str">
        <f>HYPERLINK(CONCATENATE("https://portal.dnb.de/opac.htm?method=simpleSearch&amp;cqlMode=true&amp;query=idn%3D",C1080))</f>
        <v>https://portal.dnb.de/opac.htm?method=simpleSearch&amp;cqlMode=true&amp;query=idn%3D106677871X</v>
      </c>
      <c r="E1080" s="74" t="s">
        <v>7862</v>
      </c>
      <c r="F1080" s="74"/>
      <c r="G1080" s="76"/>
      <c r="H1080" s="77" t="s">
        <v>5</v>
      </c>
      <c r="I1080" s="76" t="s">
        <v>54</v>
      </c>
      <c r="J1080" s="77" t="s">
        <v>8516</v>
      </c>
      <c r="K1080" s="77" t="s">
        <v>8615</v>
      </c>
      <c r="L1080" s="76"/>
      <c r="M1080" s="76"/>
      <c r="N1080" s="76" t="s">
        <v>8660</v>
      </c>
      <c r="O1080" s="76">
        <v>0</v>
      </c>
      <c r="P1080" s="76"/>
      <c r="Q1080" s="76"/>
      <c r="R1080" s="76"/>
      <c r="S1080" s="76"/>
      <c r="BD1080" s="99">
        <f t="shared" si="33"/>
        <v>0</v>
      </c>
      <c r="CC1080" s="99"/>
      <c r="CV1080" s="99"/>
      <c r="CW1080" s="63"/>
    </row>
    <row r="1081" spans="1:101" x14ac:dyDescent="0.15">
      <c r="A1081" s="76">
        <v>996</v>
      </c>
      <c r="B1081" s="74" t="s">
        <v>7863</v>
      </c>
      <c r="C1081" s="74">
        <v>1066936900</v>
      </c>
      <c r="D1081" s="78" t="str">
        <f t="shared" si="34"/>
        <v>https://portal.dnb.de/opac.htm?method=simpleSearch&amp;cqlMode=true&amp;query=idn%3D1066936900</v>
      </c>
      <c r="E1081" s="74" t="s">
        <v>7864</v>
      </c>
      <c r="F1081" s="74"/>
      <c r="G1081" s="76" t="s">
        <v>8515</v>
      </c>
      <c r="H1081" s="77" t="s">
        <v>47</v>
      </c>
      <c r="I1081" s="76" t="s">
        <v>53</v>
      </c>
      <c r="J1081" s="77" t="s">
        <v>8516</v>
      </c>
      <c r="K1081" s="77"/>
      <c r="L1081" s="76"/>
      <c r="M1081" s="76"/>
      <c r="N1081" s="76"/>
      <c r="O1081" s="76">
        <v>2</v>
      </c>
      <c r="P1081" s="76"/>
      <c r="Q1081" s="76"/>
      <c r="R1081" s="76"/>
      <c r="S1081" s="76"/>
      <c r="BD1081" s="99">
        <f t="shared" si="33"/>
        <v>0</v>
      </c>
      <c r="CC1081" s="99"/>
      <c r="CV1081" s="99"/>
      <c r="CW1081" s="63"/>
    </row>
    <row r="1082" spans="1:101" x14ac:dyDescent="0.15">
      <c r="A1082" s="76">
        <v>997</v>
      </c>
      <c r="B1082" s="74" t="s">
        <v>7869</v>
      </c>
      <c r="C1082" s="74">
        <v>1066938342</v>
      </c>
      <c r="D1082" s="78" t="str">
        <f t="shared" si="34"/>
        <v>https://portal.dnb.de/opac.htm?method=simpleSearch&amp;cqlMode=true&amp;query=idn%3D1066938342</v>
      </c>
      <c r="E1082" s="74" t="s">
        <v>7870</v>
      </c>
      <c r="F1082" s="74"/>
      <c r="G1082" s="76" t="s">
        <v>8515</v>
      </c>
      <c r="H1082" s="77" t="s">
        <v>48</v>
      </c>
      <c r="I1082" s="76" t="s">
        <v>53</v>
      </c>
      <c r="J1082" s="77" t="s">
        <v>58</v>
      </c>
      <c r="K1082" s="77" t="s">
        <v>62</v>
      </c>
      <c r="L1082" s="76"/>
      <c r="M1082" s="76"/>
      <c r="N1082" s="76"/>
      <c r="O1082" s="76">
        <v>2</v>
      </c>
      <c r="P1082" s="76"/>
      <c r="Q1082" s="76" t="s">
        <v>9040</v>
      </c>
      <c r="R1082" s="76"/>
      <c r="S1082" s="76"/>
      <c r="BD1082" s="99">
        <f t="shared" si="33"/>
        <v>0</v>
      </c>
      <c r="CC1082" s="99"/>
      <c r="CV1082" s="99"/>
      <c r="CW1082" s="63"/>
    </row>
    <row r="1083" spans="1:101" x14ac:dyDescent="0.15">
      <c r="A1083" s="76">
        <v>998</v>
      </c>
      <c r="B1083" s="74" t="s">
        <v>7871</v>
      </c>
      <c r="C1083" s="74">
        <v>994578458</v>
      </c>
      <c r="D1083" s="78" t="str">
        <f t="shared" si="34"/>
        <v>https://portal.dnb.de/opac.htm?method=simpleSearch&amp;cqlMode=true&amp;query=idn%3D994578458</v>
      </c>
      <c r="E1083" s="74" t="s">
        <v>7872</v>
      </c>
      <c r="F1083" s="74"/>
      <c r="G1083" s="76"/>
      <c r="H1083" s="77"/>
      <c r="I1083" s="76"/>
      <c r="J1083" s="77"/>
      <c r="K1083" s="77"/>
      <c r="L1083" s="76"/>
      <c r="M1083" s="76"/>
      <c r="N1083" s="76"/>
      <c r="O1083" s="76"/>
      <c r="P1083" s="76"/>
      <c r="Q1083" s="76"/>
      <c r="R1083" s="76"/>
      <c r="S1083" s="76"/>
      <c r="BD1083" s="99">
        <f t="shared" si="33"/>
        <v>0</v>
      </c>
      <c r="CC1083" s="99"/>
      <c r="CV1083" s="99"/>
      <c r="CW1083" s="63"/>
    </row>
    <row r="1084" spans="1:101" ht="33.75" x14ac:dyDescent="0.15">
      <c r="A1084" s="76">
        <v>999</v>
      </c>
      <c r="B1084" s="74" t="s">
        <v>7873</v>
      </c>
      <c r="C1084" s="74">
        <v>1066925305</v>
      </c>
      <c r="D1084" s="78" t="str">
        <f t="shared" si="34"/>
        <v>https://portal.dnb.de/opac.htm?method=simpleSearch&amp;cqlMode=true&amp;query=idn%3D1066925305</v>
      </c>
      <c r="E1084" s="74" t="s">
        <v>7874</v>
      </c>
      <c r="F1084" s="74"/>
      <c r="G1084" s="76"/>
      <c r="H1084" s="77" t="s">
        <v>8673</v>
      </c>
      <c r="I1084" s="76" t="s">
        <v>55</v>
      </c>
      <c r="J1084" s="77" t="s">
        <v>8516</v>
      </c>
      <c r="K1084" s="77" t="s">
        <v>8900</v>
      </c>
      <c r="L1084" s="76"/>
      <c r="M1084" s="76"/>
      <c r="N1084" s="76"/>
      <c r="O1084" s="76">
        <v>0</v>
      </c>
      <c r="P1084" s="76"/>
      <c r="Q1084" s="76"/>
      <c r="R1084" s="76"/>
      <c r="S1084" s="76"/>
      <c r="Y1084" s="95" t="s">
        <v>9729</v>
      </c>
      <c r="AA1084" s="95" t="s">
        <v>8541</v>
      </c>
      <c r="AB1084" s="95" t="s">
        <v>8541</v>
      </c>
      <c r="AC1084" s="95" t="s">
        <v>9730</v>
      </c>
      <c r="AI1084" s="95" t="s">
        <v>9725</v>
      </c>
      <c r="AN1084" s="95" t="s">
        <v>8541</v>
      </c>
      <c r="AP1084" s="95" t="s">
        <v>8541</v>
      </c>
      <c r="AQ1084" s="96" t="s">
        <v>9767</v>
      </c>
      <c r="AW1084" s="95" t="s">
        <v>9760</v>
      </c>
      <c r="BC1084" s="96" t="s">
        <v>9734</v>
      </c>
      <c r="BD1084" s="99">
        <f t="shared" si="33"/>
        <v>0</v>
      </c>
      <c r="CC1084" s="99"/>
      <c r="CV1084" s="99"/>
      <c r="CW1084" s="63"/>
    </row>
    <row r="1085" spans="1:101" x14ac:dyDescent="0.15">
      <c r="A1085" s="76">
        <v>1000</v>
      </c>
      <c r="B1085" s="74" t="s">
        <v>7875</v>
      </c>
      <c r="C1085" s="74">
        <v>993909159</v>
      </c>
      <c r="D1085" s="78" t="str">
        <f t="shared" si="34"/>
        <v>https://portal.dnb.de/opac.htm?method=simpleSearch&amp;cqlMode=true&amp;query=idn%3D993909159</v>
      </c>
      <c r="E1085" s="74" t="s">
        <v>7876</v>
      </c>
      <c r="F1085" s="74"/>
      <c r="G1085" s="76" t="s">
        <v>8515</v>
      </c>
      <c r="H1085" s="77" t="s">
        <v>5</v>
      </c>
      <c r="I1085" s="76" t="s">
        <v>53</v>
      </c>
      <c r="J1085" s="77" t="s">
        <v>58</v>
      </c>
      <c r="K1085" s="77" t="s">
        <v>8520</v>
      </c>
      <c r="L1085" s="76"/>
      <c r="M1085" s="76"/>
      <c r="N1085" s="76"/>
      <c r="O1085" s="76">
        <v>2</v>
      </c>
      <c r="P1085" s="76"/>
      <c r="Q1085" s="76"/>
      <c r="R1085" s="76"/>
      <c r="S1085" s="76"/>
      <c r="BD1085" s="99">
        <f t="shared" si="33"/>
        <v>0</v>
      </c>
      <c r="CC1085" s="99"/>
      <c r="CV1085" s="99"/>
      <c r="CW1085" s="63"/>
    </row>
    <row r="1086" spans="1:101" x14ac:dyDescent="0.15">
      <c r="A1086" s="76">
        <v>1001</v>
      </c>
      <c r="B1086" s="74" t="s">
        <v>8241</v>
      </c>
      <c r="C1086" s="74">
        <v>1066934053</v>
      </c>
      <c r="D1086" s="78" t="str">
        <f t="shared" si="34"/>
        <v>https://portal.dnb.de/opac.htm?method=simpleSearch&amp;cqlMode=true&amp;query=idn%3D1066934053</v>
      </c>
      <c r="E1086" s="74" t="s">
        <v>8242</v>
      </c>
      <c r="F1086" s="74"/>
      <c r="G1086" s="76" t="s">
        <v>8515</v>
      </c>
      <c r="H1086" s="77" t="s">
        <v>17</v>
      </c>
      <c r="I1086" s="76" t="s">
        <v>53</v>
      </c>
      <c r="J1086" s="77" t="s">
        <v>8516</v>
      </c>
      <c r="K1086" s="77" t="s">
        <v>84</v>
      </c>
      <c r="L1086" s="76"/>
      <c r="M1086" s="76"/>
      <c r="N1086" s="76"/>
      <c r="O1086" s="76">
        <v>0</v>
      </c>
      <c r="P1086" s="76"/>
      <c r="Q1086" s="76"/>
      <c r="R1086" s="76"/>
      <c r="S1086" s="76"/>
      <c r="BD1086" s="99">
        <f t="shared" si="33"/>
        <v>0</v>
      </c>
      <c r="CC1086" s="99"/>
      <c r="CV1086" s="99"/>
      <c r="CW1086" s="63"/>
    </row>
    <row r="1087" spans="1:101" ht="22.5" x14ac:dyDescent="0.15">
      <c r="A1087" s="76">
        <v>1002</v>
      </c>
      <c r="B1087" s="74" t="s">
        <v>8249</v>
      </c>
      <c r="C1087" s="74">
        <v>1000187551</v>
      </c>
      <c r="D1087" s="78" t="str">
        <f t="shared" si="34"/>
        <v>https://portal.dnb.de/opac.htm?method=simpleSearch&amp;cqlMode=true&amp;query=idn%3D1000187551</v>
      </c>
      <c r="E1087" s="74" t="s">
        <v>8250</v>
      </c>
      <c r="F1087" s="74"/>
      <c r="G1087" s="76"/>
      <c r="H1087" s="77" t="s">
        <v>6</v>
      </c>
      <c r="I1087" s="76" t="s">
        <v>53</v>
      </c>
      <c r="J1087" s="77" t="s">
        <v>89</v>
      </c>
      <c r="K1087" s="77" t="s">
        <v>8565</v>
      </c>
      <c r="L1087" s="76"/>
      <c r="M1087" s="76" t="s">
        <v>38</v>
      </c>
      <c r="N1087" s="76" t="s">
        <v>40</v>
      </c>
      <c r="O1087" s="76">
        <v>1</v>
      </c>
      <c r="P1087" s="76"/>
      <c r="Q1087" s="76"/>
      <c r="R1087" s="76"/>
      <c r="S1087" s="76"/>
      <c r="BD1087" s="99">
        <f t="shared" si="33"/>
        <v>0</v>
      </c>
      <c r="CC1087" s="99"/>
      <c r="CV1087" s="99"/>
      <c r="CW1087" s="63"/>
    </row>
    <row r="1088" spans="1:101" ht="33.75" x14ac:dyDescent="0.15">
      <c r="A1088" s="76">
        <v>1003</v>
      </c>
      <c r="B1088" s="74" t="s">
        <v>8243</v>
      </c>
      <c r="C1088" s="74">
        <v>1066962588</v>
      </c>
      <c r="D1088" s="82" t="str">
        <f>HYPERLINK(CONCATENATE("https://portal.dnb.de/opac.htm?method=simpleSearch&amp;cqlMode=true&amp;query=idn%3D",C1088))</f>
        <v>https://portal.dnb.de/opac.htm?method=simpleSearch&amp;cqlMode=true&amp;query=idn%3D1066962588</v>
      </c>
      <c r="E1088" s="74" t="s">
        <v>8244</v>
      </c>
      <c r="F1088" s="74"/>
      <c r="G1088" s="76" t="s">
        <v>8515</v>
      </c>
      <c r="H1088" s="77" t="s">
        <v>8673</v>
      </c>
      <c r="I1088" s="76" t="s">
        <v>53</v>
      </c>
      <c r="J1088" s="77" t="s">
        <v>8516</v>
      </c>
      <c r="K1088" s="77" t="s">
        <v>84</v>
      </c>
      <c r="L1088" s="76"/>
      <c r="M1088" s="76" t="s">
        <v>37</v>
      </c>
      <c r="N1088" s="76" t="s">
        <v>40</v>
      </c>
      <c r="O1088" s="76">
        <v>0</v>
      </c>
      <c r="P1088" s="76"/>
      <c r="Q1088" s="76"/>
      <c r="R1088" s="76"/>
      <c r="S1088" s="76"/>
      <c r="BD1088" s="99">
        <f t="shared" si="33"/>
        <v>0</v>
      </c>
      <c r="CC1088" s="99"/>
      <c r="CV1088" s="99"/>
      <c r="CW1088" s="63"/>
    </row>
    <row r="1089" spans="1:101" ht="33.75" x14ac:dyDescent="0.15">
      <c r="A1089" s="76">
        <v>1004</v>
      </c>
      <c r="B1089" s="74" t="s">
        <v>8245</v>
      </c>
      <c r="C1089" s="74">
        <v>1066758603</v>
      </c>
      <c r="D1089" s="78" t="str">
        <f t="shared" si="34"/>
        <v>https://portal.dnb.de/opac.htm?method=simpleSearch&amp;cqlMode=true&amp;query=idn%3D1066758603</v>
      </c>
      <c r="E1089" s="74" t="s">
        <v>8246</v>
      </c>
      <c r="F1089" s="74"/>
      <c r="G1089" s="76" t="s">
        <v>8515</v>
      </c>
      <c r="H1089" s="77" t="s">
        <v>8674</v>
      </c>
      <c r="I1089" s="76" t="s">
        <v>53</v>
      </c>
      <c r="J1089" s="77" t="s">
        <v>8516</v>
      </c>
      <c r="K1089" s="77" t="s">
        <v>8565</v>
      </c>
      <c r="L1089" s="76"/>
      <c r="M1089" s="76" t="s">
        <v>37</v>
      </c>
      <c r="N1089" s="76" t="s">
        <v>40</v>
      </c>
      <c r="O1089" s="76">
        <v>1</v>
      </c>
      <c r="P1089" s="76"/>
      <c r="Q1089" s="76"/>
      <c r="R1089" s="76"/>
      <c r="S1089" s="76" t="s">
        <v>8879</v>
      </c>
      <c r="BD1089" s="99">
        <f t="shared" si="33"/>
        <v>0</v>
      </c>
      <c r="CC1089" s="99"/>
      <c r="CV1089" s="99"/>
      <c r="CW1089" s="63"/>
    </row>
    <row r="1090" spans="1:101" ht="33.75" x14ac:dyDescent="0.15">
      <c r="A1090" s="76">
        <v>1005</v>
      </c>
      <c r="B1090" s="74" t="s">
        <v>8253</v>
      </c>
      <c r="C1090" s="74">
        <v>1066837740</v>
      </c>
      <c r="D1090" s="78" t="str">
        <f t="shared" si="34"/>
        <v>https://portal.dnb.de/opac.htm?method=simpleSearch&amp;cqlMode=true&amp;query=idn%3D1066837740</v>
      </c>
      <c r="E1090" s="74" t="s">
        <v>8254</v>
      </c>
      <c r="F1090" s="74"/>
      <c r="G1090" s="76" t="s">
        <v>8515</v>
      </c>
      <c r="H1090" s="77" t="s">
        <v>8546</v>
      </c>
      <c r="I1090" s="76" t="s">
        <v>53</v>
      </c>
      <c r="J1090" s="77" t="s">
        <v>89</v>
      </c>
      <c r="K1090" s="77" t="s">
        <v>8565</v>
      </c>
      <c r="L1090" s="76"/>
      <c r="M1090" s="76" t="s">
        <v>37</v>
      </c>
      <c r="N1090" s="76" t="s">
        <v>40</v>
      </c>
      <c r="O1090" s="76">
        <v>0</v>
      </c>
      <c r="P1090" s="76"/>
      <c r="Q1090" s="76"/>
      <c r="R1090" s="76"/>
      <c r="S1090" s="76"/>
      <c r="BD1090" s="99">
        <f t="shared" si="33"/>
        <v>0</v>
      </c>
      <c r="CC1090" s="99"/>
      <c r="CV1090" s="99"/>
      <c r="CW1090" s="63"/>
    </row>
    <row r="1091" spans="1:101" x14ac:dyDescent="0.15">
      <c r="A1091" s="76">
        <v>1006</v>
      </c>
      <c r="B1091" s="74" t="s">
        <v>8255</v>
      </c>
      <c r="C1091" s="74">
        <v>1066775850</v>
      </c>
      <c r="D1091" s="78" t="str">
        <f t="shared" si="34"/>
        <v>https://portal.dnb.de/opac.htm?method=simpleSearch&amp;cqlMode=true&amp;query=idn%3D1066775850</v>
      </c>
      <c r="E1091" s="74" t="s">
        <v>8256</v>
      </c>
      <c r="F1091" s="74"/>
      <c r="G1091" s="76" t="s">
        <v>8515</v>
      </c>
      <c r="H1091" s="77" t="s">
        <v>48</v>
      </c>
      <c r="I1091" s="76" t="s">
        <v>53</v>
      </c>
      <c r="J1091" s="77" t="s">
        <v>8516</v>
      </c>
      <c r="K1091" s="77" t="s">
        <v>84</v>
      </c>
      <c r="L1091" s="76"/>
      <c r="M1091" s="76"/>
      <c r="N1091" s="76"/>
      <c r="O1091" s="76">
        <v>0</v>
      </c>
      <c r="P1091" s="76"/>
      <c r="Q1091" s="76"/>
      <c r="R1091" s="76"/>
      <c r="S1091" s="76"/>
      <c r="BD1091" s="99">
        <f t="shared" ref="BD1091:BD1154" si="35">CC1091+CV1091</f>
        <v>0</v>
      </c>
      <c r="CC1091" s="99"/>
      <c r="CV1091" s="99"/>
      <c r="CW1091" s="63"/>
    </row>
    <row r="1092" spans="1:101" x14ac:dyDescent="0.15">
      <c r="A1092" s="76">
        <v>1007</v>
      </c>
      <c r="B1092" s="74" t="s">
        <v>8257</v>
      </c>
      <c r="C1092" s="74">
        <v>993881807</v>
      </c>
      <c r="D1092" s="78" t="str">
        <f t="shared" si="34"/>
        <v>https://portal.dnb.de/opac.htm?method=simpleSearch&amp;cqlMode=true&amp;query=idn%3D993881807</v>
      </c>
      <c r="E1092" s="74" t="s">
        <v>8258</v>
      </c>
      <c r="F1092" s="74"/>
      <c r="G1092" s="76"/>
      <c r="H1092" s="77"/>
      <c r="I1092" s="76"/>
      <c r="J1092" s="77"/>
      <c r="K1092" s="77"/>
      <c r="L1092" s="76"/>
      <c r="M1092" s="76"/>
      <c r="N1092" s="76"/>
      <c r="O1092" s="76"/>
      <c r="P1092" s="76"/>
      <c r="Q1092" s="76"/>
      <c r="R1092" s="76"/>
      <c r="S1092" s="76"/>
      <c r="BD1092" s="99">
        <f t="shared" si="35"/>
        <v>0</v>
      </c>
      <c r="CC1092" s="99"/>
      <c r="CV1092" s="99"/>
      <c r="CW1092" s="63"/>
    </row>
    <row r="1093" spans="1:101" x14ac:dyDescent="0.15">
      <c r="A1093" s="76">
        <v>1008</v>
      </c>
      <c r="B1093" s="74" t="s">
        <v>8259</v>
      </c>
      <c r="C1093" s="74">
        <v>993881750</v>
      </c>
      <c r="D1093" s="78" t="str">
        <f t="shared" si="34"/>
        <v>https://portal.dnb.de/opac.htm?method=simpleSearch&amp;cqlMode=true&amp;query=idn%3D993881750</v>
      </c>
      <c r="E1093" s="74" t="s">
        <v>8258</v>
      </c>
      <c r="F1093" s="74"/>
      <c r="G1093" s="76"/>
      <c r="H1093" s="77"/>
      <c r="I1093" s="76"/>
      <c r="J1093" s="77"/>
      <c r="K1093" s="77"/>
      <c r="L1093" s="76"/>
      <c r="M1093" s="76"/>
      <c r="N1093" s="76"/>
      <c r="O1093" s="76"/>
      <c r="P1093" s="76"/>
      <c r="Q1093" s="76"/>
      <c r="R1093" s="76"/>
      <c r="S1093" s="76"/>
      <c r="BD1093" s="99">
        <f t="shared" si="35"/>
        <v>0</v>
      </c>
      <c r="CC1093" s="99"/>
      <c r="CV1093" s="99"/>
      <c r="CW1093" s="63"/>
    </row>
    <row r="1094" spans="1:101" x14ac:dyDescent="0.15">
      <c r="A1094" s="76">
        <v>1009</v>
      </c>
      <c r="B1094" s="74" t="s">
        <v>8260</v>
      </c>
      <c r="C1094" s="74">
        <v>993881645</v>
      </c>
      <c r="D1094" s="78" t="str">
        <f t="shared" si="34"/>
        <v>https://portal.dnb.de/opac.htm?method=simpleSearch&amp;cqlMode=true&amp;query=idn%3D993881645</v>
      </c>
      <c r="E1094" s="74" t="s">
        <v>8258</v>
      </c>
      <c r="F1094" s="74"/>
      <c r="G1094" s="76"/>
      <c r="H1094" s="77"/>
      <c r="I1094" s="76"/>
      <c r="J1094" s="77"/>
      <c r="K1094" s="77"/>
      <c r="L1094" s="76"/>
      <c r="M1094" s="76"/>
      <c r="N1094" s="76"/>
      <c r="O1094" s="76"/>
      <c r="P1094" s="76"/>
      <c r="Q1094" s="76"/>
      <c r="R1094" s="76"/>
      <c r="S1094" s="76"/>
      <c r="BD1094" s="99">
        <f t="shared" si="35"/>
        <v>0</v>
      </c>
      <c r="CC1094" s="99"/>
      <c r="CV1094" s="99"/>
      <c r="CW1094" s="63"/>
    </row>
    <row r="1095" spans="1:101" x14ac:dyDescent="0.15">
      <c r="A1095" s="76">
        <v>1010</v>
      </c>
      <c r="B1095" s="74" t="s">
        <v>8247</v>
      </c>
      <c r="C1095" s="74">
        <v>1209709511</v>
      </c>
      <c r="D1095" s="78" t="str">
        <f t="shared" si="34"/>
        <v>https://portal.dnb.de/opac.htm?method=simpleSearch&amp;cqlMode=true&amp;query=idn%3D1209709511</v>
      </c>
      <c r="E1095" s="74" t="s">
        <v>8248</v>
      </c>
      <c r="F1095" s="74"/>
      <c r="G1095" s="76"/>
      <c r="H1095" s="77"/>
      <c r="I1095" s="76"/>
      <c r="J1095" s="77"/>
      <c r="K1095" s="77"/>
      <c r="L1095" s="76"/>
      <c r="M1095" s="76"/>
      <c r="N1095" s="76"/>
      <c r="O1095" s="76"/>
      <c r="P1095" s="76"/>
      <c r="Q1095" s="76"/>
      <c r="R1095" s="76"/>
      <c r="S1095" s="76"/>
      <c r="BD1095" s="99">
        <f t="shared" si="35"/>
        <v>0</v>
      </c>
      <c r="CC1095" s="99"/>
      <c r="CV1095" s="99"/>
      <c r="CW1095" s="63"/>
    </row>
    <row r="1096" spans="1:101" x14ac:dyDescent="0.15">
      <c r="A1096" s="76">
        <v>1011</v>
      </c>
      <c r="B1096" s="74" t="s">
        <v>8251</v>
      </c>
      <c r="C1096" s="74">
        <v>998899267</v>
      </c>
      <c r="D1096" s="78" t="str">
        <f t="shared" si="34"/>
        <v>https://portal.dnb.de/opac.htm?method=simpleSearch&amp;cqlMode=true&amp;query=idn%3D998899267</v>
      </c>
      <c r="E1096" s="74" t="s">
        <v>8252</v>
      </c>
      <c r="F1096" s="74"/>
      <c r="G1096" s="76"/>
      <c r="H1096" s="77"/>
      <c r="I1096" s="76"/>
      <c r="J1096" s="77"/>
      <c r="K1096" s="77"/>
      <c r="L1096" s="76"/>
      <c r="M1096" s="76"/>
      <c r="N1096" s="76"/>
      <c r="O1096" s="76"/>
      <c r="P1096" s="76"/>
      <c r="Q1096" s="76"/>
      <c r="R1096" s="76"/>
      <c r="S1096" s="76"/>
      <c r="BD1096" s="99">
        <f t="shared" si="35"/>
        <v>0</v>
      </c>
      <c r="CC1096" s="99"/>
      <c r="CV1096" s="99"/>
      <c r="CW1096" s="63"/>
    </row>
    <row r="1097" spans="1:101" x14ac:dyDescent="0.15">
      <c r="A1097" s="76">
        <v>1012</v>
      </c>
      <c r="B1097" s="74" t="s">
        <v>8271</v>
      </c>
      <c r="C1097" s="74">
        <v>1066935416</v>
      </c>
      <c r="D1097" s="78" t="str">
        <f t="shared" si="34"/>
        <v>https://portal.dnb.de/opac.htm?method=simpleSearch&amp;cqlMode=true&amp;query=idn%3D1066935416</v>
      </c>
      <c r="E1097" s="74" t="s">
        <v>8272</v>
      </c>
      <c r="F1097" s="74"/>
      <c r="G1097" s="76"/>
      <c r="H1097" s="77"/>
      <c r="I1097" s="76"/>
      <c r="J1097" s="77"/>
      <c r="K1097" s="77"/>
      <c r="L1097" s="76"/>
      <c r="M1097" s="76"/>
      <c r="N1097" s="76"/>
      <c r="O1097" s="76"/>
      <c r="P1097" s="76"/>
      <c r="Q1097" s="76"/>
      <c r="R1097" s="76"/>
      <c r="S1097" s="76"/>
      <c r="BD1097" s="99">
        <f t="shared" si="35"/>
        <v>0</v>
      </c>
      <c r="CC1097" s="99"/>
      <c r="CV1097" s="99"/>
      <c r="CW1097" s="63"/>
    </row>
    <row r="1098" spans="1:101" x14ac:dyDescent="0.15">
      <c r="A1098" s="76">
        <v>1013</v>
      </c>
      <c r="B1098" s="74" t="s">
        <v>8273</v>
      </c>
      <c r="C1098" s="74">
        <v>1066870977</v>
      </c>
      <c r="D1098" s="78" t="str">
        <f t="shared" si="34"/>
        <v>https://portal.dnb.de/opac.htm?method=simpleSearch&amp;cqlMode=true&amp;query=idn%3D1066870977</v>
      </c>
      <c r="E1098" s="74" t="s">
        <v>8274</v>
      </c>
      <c r="F1098" s="74"/>
      <c r="G1098" s="76"/>
      <c r="H1098" s="77"/>
      <c r="I1098" s="76"/>
      <c r="J1098" s="77"/>
      <c r="K1098" s="77"/>
      <c r="L1098" s="76"/>
      <c r="M1098" s="76"/>
      <c r="N1098" s="76"/>
      <c r="O1098" s="76"/>
      <c r="P1098" s="76"/>
      <c r="Q1098" s="76"/>
      <c r="R1098" s="76"/>
      <c r="S1098" s="76"/>
      <c r="BD1098" s="99">
        <f t="shared" si="35"/>
        <v>0</v>
      </c>
      <c r="CC1098" s="99"/>
      <c r="CV1098" s="99"/>
      <c r="CW1098" s="63"/>
    </row>
    <row r="1099" spans="1:101" x14ac:dyDescent="0.15">
      <c r="A1099" s="76">
        <v>1014</v>
      </c>
      <c r="B1099" s="74" t="s">
        <v>8275</v>
      </c>
      <c r="C1099" s="74">
        <v>1066935858</v>
      </c>
      <c r="D1099" s="78" t="str">
        <f t="shared" si="34"/>
        <v>https://portal.dnb.de/opac.htm?method=simpleSearch&amp;cqlMode=true&amp;query=idn%3D1066935858</v>
      </c>
      <c r="E1099" s="74" t="s">
        <v>8276</v>
      </c>
      <c r="F1099" s="74"/>
      <c r="G1099" s="76"/>
      <c r="H1099" s="77"/>
      <c r="I1099" s="76"/>
      <c r="J1099" s="77"/>
      <c r="K1099" s="77"/>
      <c r="L1099" s="76"/>
      <c r="M1099" s="76"/>
      <c r="N1099" s="76"/>
      <c r="O1099" s="76"/>
      <c r="P1099" s="76"/>
      <c r="Q1099" s="76"/>
      <c r="R1099" s="76"/>
      <c r="S1099" s="76"/>
      <c r="BD1099" s="99">
        <f t="shared" si="35"/>
        <v>0</v>
      </c>
      <c r="CC1099" s="99"/>
      <c r="CV1099" s="99"/>
      <c r="CW1099" s="63"/>
    </row>
    <row r="1100" spans="1:101" x14ac:dyDescent="0.15">
      <c r="A1100" s="76">
        <v>1015</v>
      </c>
      <c r="B1100" s="74" t="s">
        <v>8277</v>
      </c>
      <c r="C1100" s="74">
        <v>1066869162</v>
      </c>
      <c r="D1100" s="78" t="str">
        <f t="shared" si="34"/>
        <v>https://portal.dnb.de/opac.htm?method=simpleSearch&amp;cqlMode=true&amp;query=idn%3D1066869162</v>
      </c>
      <c r="E1100" s="74" t="s">
        <v>8278</v>
      </c>
      <c r="F1100" s="74"/>
      <c r="G1100" s="76"/>
      <c r="H1100" s="77"/>
      <c r="I1100" s="76"/>
      <c r="J1100" s="77"/>
      <c r="K1100" s="77"/>
      <c r="L1100" s="76"/>
      <c r="M1100" s="76"/>
      <c r="N1100" s="76"/>
      <c r="O1100" s="76"/>
      <c r="P1100" s="76"/>
      <c r="Q1100" s="76"/>
      <c r="R1100" s="76"/>
      <c r="S1100" s="76"/>
      <c r="BD1100" s="99">
        <f t="shared" si="35"/>
        <v>0</v>
      </c>
      <c r="CC1100" s="99"/>
      <c r="CV1100" s="99"/>
      <c r="CW1100" s="63"/>
    </row>
    <row r="1101" spans="1:101" x14ac:dyDescent="0.15">
      <c r="A1101" s="76">
        <v>1016</v>
      </c>
      <c r="B1101" s="74" t="s">
        <v>8279</v>
      </c>
      <c r="C1101" s="74">
        <v>1066961719</v>
      </c>
      <c r="D1101" s="78" t="str">
        <f t="shared" si="34"/>
        <v>https://portal.dnb.de/opac.htm?method=simpleSearch&amp;cqlMode=true&amp;query=idn%3D1066961719</v>
      </c>
      <c r="E1101" s="74" t="s">
        <v>8280</v>
      </c>
      <c r="F1101" s="74"/>
      <c r="G1101" s="76"/>
      <c r="H1101" s="77"/>
      <c r="I1101" s="76"/>
      <c r="J1101" s="77"/>
      <c r="K1101" s="77"/>
      <c r="L1101" s="76"/>
      <c r="M1101" s="76"/>
      <c r="N1101" s="76"/>
      <c r="O1101" s="76"/>
      <c r="P1101" s="76"/>
      <c r="Q1101" s="76"/>
      <c r="R1101" s="76"/>
      <c r="S1101" s="76"/>
      <c r="BD1101" s="99">
        <f t="shared" si="35"/>
        <v>0</v>
      </c>
      <c r="CC1101" s="99"/>
      <c r="CV1101" s="99"/>
      <c r="CW1101" s="63"/>
    </row>
    <row r="1102" spans="1:101" x14ac:dyDescent="0.15">
      <c r="A1102" s="76">
        <v>1017</v>
      </c>
      <c r="B1102" s="74" t="s">
        <v>8281</v>
      </c>
      <c r="C1102" s="74" t="s">
        <v>8282</v>
      </c>
      <c r="D1102" s="78" t="str">
        <f t="shared" si="34"/>
        <v>https://portal.dnb.de/opac.htm?method=simpleSearch&amp;cqlMode=true&amp;query=idn%3D99522580X</v>
      </c>
      <c r="E1102" s="74" t="s">
        <v>8283</v>
      </c>
      <c r="F1102" s="74"/>
      <c r="G1102" s="76"/>
      <c r="H1102" s="77"/>
      <c r="I1102" s="76"/>
      <c r="J1102" s="77"/>
      <c r="K1102" s="77"/>
      <c r="L1102" s="76"/>
      <c r="M1102" s="76"/>
      <c r="N1102" s="76"/>
      <c r="O1102" s="76"/>
      <c r="P1102" s="76"/>
      <c r="Q1102" s="76"/>
      <c r="R1102" s="76"/>
      <c r="S1102" s="76"/>
      <c r="BD1102" s="99">
        <f t="shared" si="35"/>
        <v>0</v>
      </c>
      <c r="CC1102" s="99"/>
      <c r="CV1102" s="99"/>
      <c r="CW1102" s="63"/>
    </row>
    <row r="1103" spans="1:101" x14ac:dyDescent="0.15">
      <c r="A1103" s="76">
        <v>1018</v>
      </c>
      <c r="B1103" s="74" t="s">
        <v>8284</v>
      </c>
      <c r="C1103" s="74">
        <v>994116888</v>
      </c>
      <c r="D1103" s="78" t="str">
        <f t="shared" si="34"/>
        <v>https://portal.dnb.de/opac.htm?method=simpleSearch&amp;cqlMode=true&amp;query=idn%3D994116888</v>
      </c>
      <c r="E1103" s="74" t="s">
        <v>8285</v>
      </c>
      <c r="F1103" s="74"/>
      <c r="G1103" s="76"/>
      <c r="H1103" s="77"/>
      <c r="I1103" s="76"/>
      <c r="J1103" s="77"/>
      <c r="K1103" s="77"/>
      <c r="L1103" s="76"/>
      <c r="M1103" s="76"/>
      <c r="N1103" s="76"/>
      <c r="O1103" s="76"/>
      <c r="P1103" s="76"/>
      <c r="Q1103" s="76"/>
      <c r="R1103" s="76"/>
      <c r="S1103" s="76"/>
      <c r="BD1103" s="99">
        <f t="shared" si="35"/>
        <v>0</v>
      </c>
      <c r="CC1103" s="99"/>
      <c r="CV1103" s="99"/>
      <c r="CW1103" s="63"/>
    </row>
    <row r="1104" spans="1:101" x14ac:dyDescent="0.15">
      <c r="A1104" s="76">
        <v>1019</v>
      </c>
      <c r="B1104" s="74" t="s">
        <v>8286</v>
      </c>
      <c r="C1104" s="74">
        <v>1066798125</v>
      </c>
      <c r="D1104" s="78" t="str">
        <f t="shared" si="34"/>
        <v>https://portal.dnb.de/opac.htm?method=simpleSearch&amp;cqlMode=true&amp;query=idn%3D1066798125</v>
      </c>
      <c r="E1104" s="74" t="s">
        <v>8287</v>
      </c>
      <c r="F1104" s="74"/>
      <c r="G1104" s="76"/>
      <c r="H1104" s="77"/>
      <c r="I1104" s="76"/>
      <c r="J1104" s="77"/>
      <c r="K1104" s="77"/>
      <c r="L1104" s="76"/>
      <c r="M1104" s="76"/>
      <c r="N1104" s="76"/>
      <c r="O1104" s="76"/>
      <c r="P1104" s="76"/>
      <c r="Q1104" s="76"/>
      <c r="R1104" s="76"/>
      <c r="S1104" s="76"/>
      <c r="BD1104" s="99">
        <f t="shared" si="35"/>
        <v>0</v>
      </c>
      <c r="CC1104" s="99"/>
      <c r="CV1104" s="99"/>
      <c r="CW1104" s="63"/>
    </row>
    <row r="1105" spans="1:101" x14ac:dyDescent="0.15">
      <c r="A1105" s="76">
        <v>1020</v>
      </c>
      <c r="B1105" s="74" t="s">
        <v>8288</v>
      </c>
      <c r="C1105" s="74">
        <v>1066768927</v>
      </c>
      <c r="D1105" s="78" t="str">
        <f t="shared" si="34"/>
        <v>https://portal.dnb.de/opac.htm?method=simpleSearch&amp;cqlMode=true&amp;query=idn%3D1066768927</v>
      </c>
      <c r="E1105" s="74" t="s">
        <v>8289</v>
      </c>
      <c r="F1105" s="74"/>
      <c r="G1105" s="76"/>
      <c r="H1105" s="77"/>
      <c r="I1105" s="76"/>
      <c r="J1105" s="77"/>
      <c r="K1105" s="77"/>
      <c r="L1105" s="76"/>
      <c r="M1105" s="76"/>
      <c r="N1105" s="76"/>
      <c r="O1105" s="76"/>
      <c r="P1105" s="76"/>
      <c r="Q1105" s="76"/>
      <c r="R1105" s="76"/>
      <c r="S1105" s="76"/>
      <c r="BD1105" s="99">
        <f t="shared" si="35"/>
        <v>0</v>
      </c>
      <c r="CC1105" s="99"/>
      <c r="CV1105" s="99"/>
      <c r="CW1105" s="63"/>
    </row>
    <row r="1106" spans="1:101" x14ac:dyDescent="0.15">
      <c r="A1106" s="76">
        <v>1021</v>
      </c>
      <c r="B1106" s="74" t="s">
        <v>8290</v>
      </c>
      <c r="C1106" s="74">
        <v>1208736329</v>
      </c>
      <c r="D1106" s="78" t="str">
        <f t="shared" si="34"/>
        <v>https://portal.dnb.de/opac.htm?method=simpleSearch&amp;cqlMode=true&amp;query=idn%3D1208736329</v>
      </c>
      <c r="E1106" s="74" t="s">
        <v>8291</v>
      </c>
      <c r="F1106" s="74"/>
      <c r="G1106" s="76"/>
      <c r="H1106" s="77"/>
      <c r="I1106" s="76"/>
      <c r="J1106" s="77"/>
      <c r="K1106" s="77"/>
      <c r="L1106" s="76"/>
      <c r="M1106" s="76"/>
      <c r="N1106" s="76"/>
      <c r="O1106" s="76"/>
      <c r="P1106" s="76"/>
      <c r="Q1106" s="76"/>
      <c r="R1106" s="76"/>
      <c r="S1106" s="76"/>
      <c r="BD1106" s="99">
        <f t="shared" si="35"/>
        <v>0</v>
      </c>
      <c r="CC1106" s="99"/>
      <c r="CV1106" s="99"/>
      <c r="CW1106" s="63"/>
    </row>
    <row r="1107" spans="1:101" x14ac:dyDescent="0.15">
      <c r="A1107" s="76">
        <v>1022</v>
      </c>
      <c r="B1107" s="74" t="s">
        <v>8292</v>
      </c>
      <c r="C1107" s="74">
        <v>1066834237</v>
      </c>
      <c r="D1107" s="78" t="str">
        <f t="shared" si="34"/>
        <v>https://portal.dnb.de/opac.htm?method=simpleSearch&amp;cqlMode=true&amp;query=idn%3D1066834237</v>
      </c>
      <c r="E1107" s="74" t="s">
        <v>8293</v>
      </c>
      <c r="F1107" s="74"/>
      <c r="G1107" s="76"/>
      <c r="H1107" s="77"/>
      <c r="I1107" s="76"/>
      <c r="J1107" s="77"/>
      <c r="K1107" s="77"/>
      <c r="L1107" s="76"/>
      <c r="M1107" s="76"/>
      <c r="N1107" s="76"/>
      <c r="O1107" s="76"/>
      <c r="P1107" s="76"/>
      <c r="Q1107" s="76"/>
      <c r="R1107" s="76"/>
      <c r="S1107" s="76"/>
      <c r="BD1107" s="99">
        <f t="shared" si="35"/>
        <v>0</v>
      </c>
      <c r="CC1107" s="99"/>
      <c r="CV1107" s="99"/>
      <c r="CW1107" s="63"/>
    </row>
    <row r="1108" spans="1:101" x14ac:dyDescent="0.15">
      <c r="A1108" s="76">
        <v>1023</v>
      </c>
      <c r="B1108" s="74" t="s">
        <v>8294</v>
      </c>
      <c r="C1108" s="74">
        <v>1066938725</v>
      </c>
      <c r="D1108" s="78" t="str">
        <f t="shared" si="34"/>
        <v>https://portal.dnb.de/opac.htm?method=simpleSearch&amp;cqlMode=true&amp;query=idn%3D1066938725</v>
      </c>
      <c r="E1108" s="74" t="s">
        <v>8295</v>
      </c>
      <c r="F1108" s="74"/>
      <c r="G1108" s="76"/>
      <c r="H1108" s="77"/>
      <c r="I1108" s="76"/>
      <c r="J1108" s="77"/>
      <c r="K1108" s="77"/>
      <c r="L1108" s="76"/>
      <c r="M1108" s="76"/>
      <c r="N1108" s="76"/>
      <c r="O1108" s="76"/>
      <c r="P1108" s="76"/>
      <c r="Q1108" s="76"/>
      <c r="R1108" s="76"/>
      <c r="S1108" s="76"/>
      <c r="BD1108" s="99">
        <f t="shared" si="35"/>
        <v>0</v>
      </c>
      <c r="CC1108" s="99"/>
      <c r="CV1108" s="99"/>
      <c r="CW1108" s="63"/>
    </row>
    <row r="1109" spans="1:101" x14ac:dyDescent="0.15">
      <c r="A1109" s="76">
        <v>1024</v>
      </c>
      <c r="B1109" s="74" t="s">
        <v>8296</v>
      </c>
      <c r="C1109" s="74">
        <v>1066937575</v>
      </c>
      <c r="D1109" s="78" t="str">
        <f t="shared" si="34"/>
        <v>https://portal.dnb.de/opac.htm?method=simpleSearch&amp;cqlMode=true&amp;query=idn%3D1066937575</v>
      </c>
      <c r="E1109" s="74" t="s">
        <v>8297</v>
      </c>
      <c r="F1109" s="74"/>
      <c r="G1109" s="76"/>
      <c r="H1109" s="77"/>
      <c r="I1109" s="76"/>
      <c r="J1109" s="77"/>
      <c r="K1109" s="77"/>
      <c r="L1109" s="76"/>
      <c r="M1109" s="76"/>
      <c r="N1109" s="76"/>
      <c r="O1109" s="76"/>
      <c r="P1109" s="76"/>
      <c r="Q1109" s="76"/>
      <c r="R1109" s="76"/>
      <c r="S1109" s="76"/>
      <c r="BD1109" s="99">
        <f t="shared" si="35"/>
        <v>0</v>
      </c>
      <c r="CC1109" s="99"/>
      <c r="CV1109" s="99"/>
      <c r="CW1109" s="63"/>
    </row>
    <row r="1110" spans="1:101" x14ac:dyDescent="0.15">
      <c r="A1110" s="76">
        <v>1025</v>
      </c>
      <c r="B1110" s="74" t="s">
        <v>8300</v>
      </c>
      <c r="C1110" s="74">
        <v>1066874670</v>
      </c>
      <c r="D1110" s="78" t="str">
        <f t="shared" si="34"/>
        <v>https://portal.dnb.de/opac.htm?method=simpleSearch&amp;cqlMode=true&amp;query=idn%3D1066874670</v>
      </c>
      <c r="E1110" s="74" t="s">
        <v>8301</v>
      </c>
      <c r="F1110" s="74"/>
      <c r="G1110" s="76"/>
      <c r="H1110" s="77"/>
      <c r="I1110" s="76"/>
      <c r="J1110" s="77"/>
      <c r="K1110" s="77"/>
      <c r="L1110" s="76"/>
      <c r="M1110" s="76"/>
      <c r="N1110" s="76"/>
      <c r="O1110" s="76"/>
      <c r="P1110" s="76"/>
      <c r="Q1110" s="76"/>
      <c r="R1110" s="76"/>
      <c r="S1110" s="76"/>
      <c r="BD1110" s="99">
        <f t="shared" si="35"/>
        <v>0</v>
      </c>
      <c r="CC1110" s="99"/>
      <c r="CV1110" s="99"/>
      <c r="CW1110" s="63"/>
    </row>
    <row r="1111" spans="1:101" x14ac:dyDescent="0.15">
      <c r="A1111" s="76">
        <v>1026</v>
      </c>
      <c r="B1111" s="74" t="s">
        <v>8298</v>
      </c>
      <c r="C1111" s="74">
        <v>1211359182</v>
      </c>
      <c r="D1111" s="78" t="str">
        <f t="shared" si="34"/>
        <v>https://portal.dnb.de/opac.htm?method=simpleSearch&amp;cqlMode=true&amp;query=idn%3D1211359182</v>
      </c>
      <c r="E1111" s="74" t="s">
        <v>8299</v>
      </c>
      <c r="F1111" s="74"/>
      <c r="G1111" s="76"/>
      <c r="H1111" s="77"/>
      <c r="I1111" s="76"/>
      <c r="J1111" s="77"/>
      <c r="K1111" s="77"/>
      <c r="L1111" s="76"/>
      <c r="M1111" s="76"/>
      <c r="N1111" s="76"/>
      <c r="O1111" s="76"/>
      <c r="P1111" s="76"/>
      <c r="Q1111" s="76"/>
      <c r="R1111" s="76"/>
      <c r="S1111" s="76"/>
      <c r="BD1111" s="99">
        <f t="shared" si="35"/>
        <v>0</v>
      </c>
      <c r="CC1111" s="99"/>
      <c r="CV1111" s="99"/>
      <c r="CW1111" s="63"/>
    </row>
    <row r="1112" spans="1:101" x14ac:dyDescent="0.15">
      <c r="A1112" s="76">
        <v>1027</v>
      </c>
      <c r="B1112" s="74" t="s">
        <v>8302</v>
      </c>
      <c r="C1112" s="74">
        <v>1066940290</v>
      </c>
      <c r="D1112" s="78" t="str">
        <f t="shared" si="34"/>
        <v>https://portal.dnb.de/opac.htm?method=simpleSearch&amp;cqlMode=true&amp;query=idn%3D1066940290</v>
      </c>
      <c r="E1112" s="74" t="s">
        <v>8303</v>
      </c>
      <c r="F1112" s="74"/>
      <c r="G1112" s="76"/>
      <c r="H1112" s="77"/>
      <c r="I1112" s="76"/>
      <c r="J1112" s="77"/>
      <c r="K1112" s="77"/>
      <c r="L1112" s="76"/>
      <c r="M1112" s="76"/>
      <c r="N1112" s="76"/>
      <c r="O1112" s="76"/>
      <c r="P1112" s="76"/>
      <c r="Q1112" s="76"/>
      <c r="R1112" s="76"/>
      <c r="S1112" s="76"/>
      <c r="BD1112" s="99">
        <f t="shared" si="35"/>
        <v>0</v>
      </c>
      <c r="CC1112" s="99"/>
      <c r="CV1112" s="99"/>
      <c r="CW1112" s="63"/>
    </row>
    <row r="1113" spans="1:101" x14ac:dyDescent="0.15">
      <c r="A1113" s="76">
        <v>1028</v>
      </c>
      <c r="B1113" s="74" t="s">
        <v>8332</v>
      </c>
      <c r="C1113" s="74">
        <v>995786046</v>
      </c>
      <c r="D1113" s="78" t="str">
        <f t="shared" si="34"/>
        <v>https://portal.dnb.de/opac.htm?method=simpleSearch&amp;cqlMode=true&amp;query=idn%3D995786046</v>
      </c>
      <c r="E1113" s="74" t="s">
        <v>8333</v>
      </c>
      <c r="F1113" s="74"/>
      <c r="G1113" s="76"/>
      <c r="H1113" s="77"/>
      <c r="I1113" s="76"/>
      <c r="J1113" s="77"/>
      <c r="K1113" s="77"/>
      <c r="L1113" s="76"/>
      <c r="M1113" s="76"/>
      <c r="N1113" s="76"/>
      <c r="O1113" s="76"/>
      <c r="P1113" s="76"/>
      <c r="Q1113" s="76"/>
      <c r="R1113" s="76"/>
      <c r="S1113" s="76"/>
      <c r="BD1113" s="99">
        <f t="shared" si="35"/>
        <v>0</v>
      </c>
      <c r="CC1113" s="99"/>
      <c r="CV1113" s="99"/>
      <c r="CW1113" s="63"/>
    </row>
    <row r="1114" spans="1:101" x14ac:dyDescent="0.15">
      <c r="A1114" s="76">
        <v>1029</v>
      </c>
      <c r="B1114" s="74" t="s">
        <v>8368</v>
      </c>
      <c r="C1114" s="74">
        <v>1000573540</v>
      </c>
      <c r="D1114" s="78" t="str">
        <f t="shared" si="34"/>
        <v>https://portal.dnb.de/opac.htm?method=simpleSearch&amp;cqlMode=true&amp;query=idn%3D1000573540</v>
      </c>
      <c r="E1114" s="74" t="s">
        <v>8369</v>
      </c>
      <c r="F1114" s="74"/>
      <c r="G1114" s="76"/>
      <c r="H1114" s="77"/>
      <c r="I1114" s="76"/>
      <c r="J1114" s="77"/>
      <c r="K1114" s="77"/>
      <c r="L1114" s="76"/>
      <c r="M1114" s="76"/>
      <c r="N1114" s="76"/>
      <c r="O1114" s="76"/>
      <c r="P1114" s="76"/>
      <c r="Q1114" s="76"/>
      <c r="R1114" s="76"/>
      <c r="S1114" s="76"/>
      <c r="BD1114" s="99">
        <f t="shared" si="35"/>
        <v>0</v>
      </c>
      <c r="CC1114" s="99"/>
      <c r="CV1114" s="99"/>
      <c r="CW1114" s="63"/>
    </row>
    <row r="1115" spans="1:101" x14ac:dyDescent="0.15">
      <c r="A1115" s="76">
        <v>1030</v>
      </c>
      <c r="B1115" s="74" t="s">
        <v>8306</v>
      </c>
      <c r="C1115" s="74">
        <v>1066469016</v>
      </c>
      <c r="D1115" s="78" t="str">
        <f t="shared" si="34"/>
        <v>https://portal.dnb.de/opac.htm?method=simpleSearch&amp;cqlMode=true&amp;query=idn%3D1066469016</v>
      </c>
      <c r="E1115" s="74" t="s">
        <v>8307</v>
      </c>
      <c r="F1115" s="74"/>
      <c r="G1115" s="76"/>
      <c r="H1115" s="77"/>
      <c r="I1115" s="76"/>
      <c r="J1115" s="77"/>
      <c r="K1115" s="77"/>
      <c r="L1115" s="76"/>
      <c r="M1115" s="76"/>
      <c r="N1115" s="76"/>
      <c r="O1115" s="76"/>
      <c r="P1115" s="76"/>
      <c r="Q1115" s="76"/>
      <c r="R1115" s="76"/>
      <c r="S1115" s="76"/>
      <c r="BD1115" s="99">
        <f t="shared" si="35"/>
        <v>0</v>
      </c>
      <c r="CC1115" s="99"/>
      <c r="CV1115" s="99"/>
      <c r="CW1115" s="63"/>
    </row>
    <row r="1116" spans="1:101" x14ac:dyDescent="0.15">
      <c r="A1116" s="76">
        <v>1031</v>
      </c>
      <c r="B1116" s="74" t="s">
        <v>8366</v>
      </c>
      <c r="C1116" s="74">
        <v>1066959471</v>
      </c>
      <c r="D1116" s="78" t="str">
        <f t="shared" si="34"/>
        <v>https://portal.dnb.de/opac.htm?method=simpleSearch&amp;cqlMode=true&amp;query=idn%3D1066959471</v>
      </c>
      <c r="E1116" s="74" t="s">
        <v>8367</v>
      </c>
      <c r="F1116" s="74"/>
      <c r="G1116" s="76"/>
      <c r="H1116" s="77"/>
      <c r="I1116" s="76"/>
      <c r="J1116" s="77"/>
      <c r="K1116" s="77"/>
      <c r="L1116" s="76"/>
      <c r="M1116" s="76"/>
      <c r="N1116" s="76"/>
      <c r="O1116" s="76"/>
      <c r="P1116" s="76"/>
      <c r="Q1116" s="76"/>
      <c r="R1116" s="76"/>
      <c r="S1116" s="76"/>
      <c r="BD1116" s="99">
        <f t="shared" si="35"/>
        <v>0</v>
      </c>
      <c r="CC1116" s="99"/>
      <c r="CV1116" s="99"/>
      <c r="CW1116" s="63"/>
    </row>
    <row r="1117" spans="1:101" x14ac:dyDescent="0.15">
      <c r="A1117" s="76">
        <v>1032</v>
      </c>
      <c r="B1117" s="74" t="s">
        <v>8404</v>
      </c>
      <c r="C1117" s="74">
        <v>998037753</v>
      </c>
      <c r="D1117" s="78" t="str">
        <f t="shared" si="34"/>
        <v>https://portal.dnb.de/opac.htm?method=simpleSearch&amp;cqlMode=true&amp;query=idn%3D998037753</v>
      </c>
      <c r="E1117" s="74" t="s">
        <v>8405</v>
      </c>
      <c r="F1117" s="74"/>
      <c r="G1117" s="76"/>
      <c r="H1117" s="77"/>
      <c r="I1117" s="76"/>
      <c r="J1117" s="77"/>
      <c r="K1117" s="77"/>
      <c r="L1117" s="76"/>
      <c r="M1117" s="76"/>
      <c r="N1117" s="76"/>
      <c r="O1117" s="76"/>
      <c r="P1117" s="76"/>
      <c r="Q1117" s="76"/>
      <c r="R1117" s="76"/>
      <c r="S1117" s="76"/>
      <c r="BD1117" s="99">
        <f t="shared" si="35"/>
        <v>0</v>
      </c>
      <c r="CC1117" s="99"/>
      <c r="CV1117" s="99"/>
      <c r="CW1117" s="63"/>
    </row>
    <row r="1118" spans="1:101" x14ac:dyDescent="0.15">
      <c r="A1118" s="76">
        <v>1033</v>
      </c>
      <c r="B1118" s="74" t="s">
        <v>8406</v>
      </c>
      <c r="C1118" s="74">
        <v>994027753</v>
      </c>
      <c r="D1118" s="78" t="str">
        <f t="shared" si="34"/>
        <v>https://portal.dnb.de/opac.htm?method=simpleSearch&amp;cqlMode=true&amp;query=idn%3D994027753</v>
      </c>
      <c r="E1118" s="74" t="s">
        <v>8405</v>
      </c>
      <c r="F1118" s="74"/>
      <c r="G1118" s="76"/>
      <c r="H1118" s="77"/>
      <c r="I1118" s="76"/>
      <c r="J1118" s="77"/>
      <c r="K1118" s="77"/>
      <c r="L1118" s="76"/>
      <c r="M1118" s="76"/>
      <c r="N1118" s="76"/>
      <c r="O1118" s="76"/>
      <c r="P1118" s="76"/>
      <c r="Q1118" s="76"/>
      <c r="R1118" s="76"/>
      <c r="S1118" s="76"/>
      <c r="BD1118" s="99">
        <f t="shared" si="35"/>
        <v>0</v>
      </c>
      <c r="CC1118" s="99"/>
      <c r="CV1118" s="99"/>
      <c r="CW1118" s="63"/>
    </row>
    <row r="1119" spans="1:101" x14ac:dyDescent="0.15">
      <c r="A1119" s="76">
        <v>1034</v>
      </c>
      <c r="B1119" s="74" t="s">
        <v>8407</v>
      </c>
      <c r="C1119" s="74">
        <v>994026277</v>
      </c>
      <c r="D1119" s="78" t="str">
        <f t="shared" si="34"/>
        <v>https://portal.dnb.de/opac.htm?method=simpleSearch&amp;cqlMode=true&amp;query=idn%3D994026277</v>
      </c>
      <c r="E1119" s="74" t="s">
        <v>8405</v>
      </c>
      <c r="F1119" s="74"/>
      <c r="G1119" s="76"/>
      <c r="H1119" s="77"/>
      <c r="I1119" s="76"/>
      <c r="J1119" s="77"/>
      <c r="K1119" s="77"/>
      <c r="L1119" s="76"/>
      <c r="M1119" s="76"/>
      <c r="N1119" s="76"/>
      <c r="O1119" s="76"/>
      <c r="P1119" s="76"/>
      <c r="Q1119" s="76"/>
      <c r="R1119" s="76"/>
      <c r="S1119" s="76"/>
      <c r="BD1119" s="99">
        <f t="shared" si="35"/>
        <v>0</v>
      </c>
      <c r="CC1119" s="99"/>
      <c r="CV1119" s="99"/>
      <c r="CW1119" s="63"/>
    </row>
    <row r="1120" spans="1:101" x14ac:dyDescent="0.15">
      <c r="A1120" s="76">
        <v>1035</v>
      </c>
      <c r="B1120" s="74" t="s">
        <v>8440</v>
      </c>
      <c r="C1120" s="74">
        <v>994026358</v>
      </c>
      <c r="D1120" s="78" t="str">
        <f t="shared" si="34"/>
        <v>https://portal.dnb.de/opac.htm?method=simpleSearch&amp;cqlMode=true&amp;query=idn%3D994026358</v>
      </c>
      <c r="E1120" s="74" t="s">
        <v>8441</v>
      </c>
      <c r="F1120" s="74"/>
      <c r="G1120" s="76"/>
      <c r="H1120" s="77"/>
      <c r="I1120" s="76"/>
      <c r="J1120" s="77"/>
      <c r="K1120" s="77"/>
      <c r="L1120" s="76"/>
      <c r="M1120" s="76"/>
      <c r="N1120" s="76"/>
      <c r="O1120" s="76"/>
      <c r="P1120" s="76"/>
      <c r="Q1120" s="76"/>
      <c r="R1120" s="76"/>
      <c r="S1120" s="76"/>
      <c r="BD1120" s="99">
        <f t="shared" si="35"/>
        <v>0</v>
      </c>
      <c r="CC1120" s="99"/>
      <c r="CV1120" s="99"/>
      <c r="CW1120" s="63"/>
    </row>
    <row r="1121" spans="1:101" x14ac:dyDescent="0.15">
      <c r="A1121" s="76">
        <v>1036</v>
      </c>
      <c r="B1121" s="74" t="s">
        <v>8442</v>
      </c>
      <c r="C1121" s="74">
        <v>994029349</v>
      </c>
      <c r="D1121" s="78" t="str">
        <f t="shared" si="34"/>
        <v>https://portal.dnb.de/opac.htm?method=simpleSearch&amp;cqlMode=true&amp;query=idn%3D994029349</v>
      </c>
      <c r="E1121" s="74" t="s">
        <v>8441</v>
      </c>
      <c r="F1121" s="74"/>
      <c r="G1121" s="76"/>
      <c r="H1121" s="77"/>
      <c r="I1121" s="76"/>
      <c r="J1121" s="77"/>
      <c r="K1121" s="77"/>
      <c r="L1121" s="76"/>
      <c r="M1121" s="76"/>
      <c r="N1121" s="76"/>
      <c r="O1121" s="76"/>
      <c r="P1121" s="76"/>
      <c r="Q1121" s="76"/>
      <c r="R1121" s="76"/>
      <c r="S1121" s="76"/>
      <c r="BD1121" s="99">
        <f t="shared" si="35"/>
        <v>0</v>
      </c>
      <c r="CC1121" s="99"/>
      <c r="CV1121" s="99"/>
      <c r="CW1121" s="63"/>
    </row>
    <row r="1122" spans="1:101" x14ac:dyDescent="0.15">
      <c r="A1122" s="76">
        <v>1037</v>
      </c>
      <c r="B1122" s="74" t="s">
        <v>8443</v>
      </c>
      <c r="C1122" s="74">
        <v>12836982</v>
      </c>
      <c r="D1122" s="78" t="str">
        <f t="shared" si="34"/>
        <v>https://portal.dnb.de/opac.htm?method=simpleSearch&amp;cqlMode=true&amp;query=idn%3D12836982</v>
      </c>
      <c r="E1122" s="74" t="s">
        <v>8441</v>
      </c>
      <c r="F1122" s="74"/>
      <c r="G1122" s="76"/>
      <c r="H1122" s="77"/>
      <c r="I1122" s="76"/>
      <c r="J1122" s="77"/>
      <c r="K1122" s="77"/>
      <c r="L1122" s="76"/>
      <c r="M1122" s="76"/>
      <c r="N1122" s="76"/>
      <c r="O1122" s="76"/>
      <c r="P1122" s="76"/>
      <c r="Q1122" s="76"/>
      <c r="R1122" s="76"/>
      <c r="S1122" s="76"/>
      <c r="BD1122" s="99">
        <f t="shared" si="35"/>
        <v>0</v>
      </c>
      <c r="CC1122" s="99"/>
      <c r="CV1122" s="99"/>
      <c r="CW1122" s="63"/>
    </row>
    <row r="1123" spans="1:101" x14ac:dyDescent="0.15">
      <c r="A1123" s="76">
        <v>1038</v>
      </c>
      <c r="B1123" s="74" t="s">
        <v>8450</v>
      </c>
      <c r="C1123" s="74">
        <v>993888046</v>
      </c>
      <c r="D1123" s="78" t="str">
        <f t="shared" si="34"/>
        <v>https://portal.dnb.de/opac.htm?method=simpleSearch&amp;cqlMode=true&amp;query=idn%3D993888046</v>
      </c>
      <c r="E1123" s="74" t="s">
        <v>8451</v>
      </c>
      <c r="F1123" s="74"/>
      <c r="G1123" s="76"/>
      <c r="H1123" s="77"/>
      <c r="I1123" s="76"/>
      <c r="J1123" s="77"/>
      <c r="K1123" s="77"/>
      <c r="L1123" s="76"/>
      <c r="M1123" s="76"/>
      <c r="N1123" s="76"/>
      <c r="O1123" s="76"/>
      <c r="P1123" s="76"/>
      <c r="Q1123" s="76"/>
      <c r="R1123" s="76"/>
      <c r="S1123" s="76"/>
      <c r="BD1123" s="99">
        <f t="shared" si="35"/>
        <v>0</v>
      </c>
      <c r="CC1123" s="99"/>
      <c r="CV1123" s="99"/>
      <c r="CW1123" s="63"/>
    </row>
    <row r="1124" spans="1:101" x14ac:dyDescent="0.15">
      <c r="A1124" s="76">
        <v>1039</v>
      </c>
      <c r="B1124" s="74" t="s">
        <v>8452</v>
      </c>
      <c r="C1124" s="74">
        <v>1066963436</v>
      </c>
      <c r="D1124" s="78" t="str">
        <f t="shared" si="34"/>
        <v>https://portal.dnb.de/opac.htm?method=simpleSearch&amp;cqlMode=true&amp;query=idn%3D1066963436</v>
      </c>
      <c r="E1124" s="74" t="s">
        <v>8453</v>
      </c>
      <c r="F1124" s="74"/>
      <c r="G1124" s="76"/>
      <c r="H1124" s="77"/>
      <c r="I1124" s="76"/>
      <c r="J1124" s="77"/>
      <c r="K1124" s="77"/>
      <c r="L1124" s="76"/>
      <c r="M1124" s="76"/>
      <c r="N1124" s="76"/>
      <c r="O1124" s="76"/>
      <c r="P1124" s="76"/>
      <c r="Q1124" s="76"/>
      <c r="R1124" s="76"/>
      <c r="S1124" s="76"/>
      <c r="BD1124" s="99">
        <f t="shared" si="35"/>
        <v>0</v>
      </c>
      <c r="CC1124" s="99"/>
      <c r="CV1124" s="99"/>
      <c r="CW1124" s="63"/>
    </row>
    <row r="1125" spans="1:101" x14ac:dyDescent="0.15">
      <c r="A1125" s="76">
        <v>1040</v>
      </c>
      <c r="B1125" s="74" t="s">
        <v>8454</v>
      </c>
      <c r="C1125" s="74">
        <v>1066942080</v>
      </c>
      <c r="D1125" s="78" t="str">
        <f t="shared" si="34"/>
        <v>https://portal.dnb.de/opac.htm?method=simpleSearch&amp;cqlMode=true&amp;query=idn%3D1066942080</v>
      </c>
      <c r="E1125" s="74" t="s">
        <v>8455</v>
      </c>
      <c r="F1125" s="74"/>
      <c r="G1125" s="76"/>
      <c r="H1125" s="77"/>
      <c r="I1125" s="76" t="s">
        <v>53</v>
      </c>
      <c r="J1125" s="77"/>
      <c r="K1125" s="77"/>
      <c r="L1125" s="76"/>
      <c r="M1125" s="76"/>
      <c r="N1125" s="76"/>
      <c r="O1125" s="76"/>
      <c r="P1125" s="76"/>
      <c r="Q1125" s="76"/>
      <c r="R1125" s="76"/>
      <c r="S1125" s="76"/>
      <c r="Y1125" s="95" t="s">
        <v>9725</v>
      </c>
      <c r="AC1125" s="95" t="s">
        <v>9739</v>
      </c>
      <c r="AI1125" s="95" t="s">
        <v>9725</v>
      </c>
      <c r="AW1125" s="95">
        <v>110</v>
      </c>
      <c r="BC1125" s="96" t="s">
        <v>9726</v>
      </c>
      <c r="BD1125" s="99">
        <f t="shared" si="35"/>
        <v>2</v>
      </c>
      <c r="BH1125" s="95" t="s">
        <v>8541</v>
      </c>
      <c r="BP1125" s="69" t="s">
        <v>8541</v>
      </c>
      <c r="BR1125" s="95" t="s">
        <v>8541</v>
      </c>
      <c r="BY1125" s="95" t="s">
        <v>8541</v>
      </c>
      <c r="CC1125" s="99">
        <v>2</v>
      </c>
      <c r="CD1125" s="90" t="s">
        <v>10082</v>
      </c>
      <c r="CV1125" s="99"/>
      <c r="CW1125" s="63"/>
    </row>
    <row r="1126" spans="1:101" ht="22.5" x14ac:dyDescent="0.15">
      <c r="A1126" s="76">
        <v>1041</v>
      </c>
      <c r="B1126" s="74" t="s">
        <v>8456</v>
      </c>
      <c r="C1126" s="74" t="s">
        <v>8457</v>
      </c>
      <c r="D1126" s="78" t="str">
        <f t="shared" si="34"/>
        <v>https://portal.dnb.de/opac.htm?method=simpleSearch&amp;cqlMode=true&amp;query=idn%3D99388699X</v>
      </c>
      <c r="E1126" s="74" t="s">
        <v>8458</v>
      </c>
      <c r="F1126" s="74"/>
      <c r="G1126" s="76" t="s">
        <v>8515</v>
      </c>
      <c r="H1126" s="77" t="s">
        <v>48</v>
      </c>
      <c r="I1126" s="76" t="s">
        <v>54</v>
      </c>
      <c r="J1126" s="77" t="s">
        <v>8516</v>
      </c>
      <c r="K1126" s="77" t="s">
        <v>8539</v>
      </c>
      <c r="L1126" s="76"/>
      <c r="M1126" s="76" t="s">
        <v>36</v>
      </c>
      <c r="N1126" s="76" t="s">
        <v>39</v>
      </c>
      <c r="O1126" s="76">
        <v>2</v>
      </c>
      <c r="P1126" s="76"/>
      <c r="Q1126" s="76"/>
      <c r="R1126" s="76"/>
      <c r="S1126" s="76"/>
      <c r="BD1126" s="99">
        <f t="shared" si="35"/>
        <v>0</v>
      </c>
      <c r="CC1126" s="99"/>
      <c r="CV1126" s="99"/>
      <c r="CW1126" s="63"/>
    </row>
    <row r="1127" spans="1:101" x14ac:dyDescent="0.15">
      <c r="A1127" s="76">
        <v>1042</v>
      </c>
      <c r="B1127" s="74" t="s">
        <v>8459</v>
      </c>
      <c r="C1127" s="74">
        <v>993887120</v>
      </c>
      <c r="D1127" s="78" t="str">
        <f t="shared" si="34"/>
        <v>https://portal.dnb.de/opac.htm?method=simpleSearch&amp;cqlMode=true&amp;query=idn%3D993887120</v>
      </c>
      <c r="E1127" s="74" t="s">
        <v>8458</v>
      </c>
      <c r="F1127" s="74"/>
      <c r="G1127" s="76"/>
      <c r="H1127" s="77"/>
      <c r="I1127" s="76"/>
      <c r="J1127" s="77"/>
      <c r="K1127" s="77"/>
      <c r="L1127" s="76"/>
      <c r="M1127" s="76"/>
      <c r="N1127" s="76"/>
      <c r="O1127" s="76"/>
      <c r="P1127" s="76"/>
      <c r="Q1127" s="76"/>
      <c r="R1127" s="76"/>
      <c r="S1127" s="76"/>
      <c r="BD1127" s="99">
        <f t="shared" si="35"/>
        <v>0</v>
      </c>
      <c r="CC1127" s="99"/>
      <c r="CV1127" s="99"/>
      <c r="CW1127" s="63"/>
    </row>
    <row r="1128" spans="1:101" ht="33.75" x14ac:dyDescent="0.15">
      <c r="A1128" s="76">
        <v>1043</v>
      </c>
      <c r="B1128" s="74" t="s">
        <v>8460</v>
      </c>
      <c r="C1128" s="74">
        <v>1066938067</v>
      </c>
      <c r="D1128" s="78" t="str">
        <f t="shared" si="34"/>
        <v>https://portal.dnb.de/opac.htm?method=simpleSearch&amp;cqlMode=true&amp;query=idn%3D1066938067</v>
      </c>
      <c r="E1128" s="74" t="s">
        <v>8461</v>
      </c>
      <c r="F1128" s="74"/>
      <c r="G1128" s="76" t="s">
        <v>8515</v>
      </c>
      <c r="H1128" s="77" t="s">
        <v>8673</v>
      </c>
      <c r="I1128" s="76" t="s">
        <v>53</v>
      </c>
      <c r="J1128" s="77" t="s">
        <v>8516</v>
      </c>
      <c r="K1128" s="77" t="s">
        <v>8565</v>
      </c>
      <c r="L1128" s="76"/>
      <c r="M1128" s="76" t="s">
        <v>37</v>
      </c>
      <c r="N1128" s="76" t="s">
        <v>40</v>
      </c>
      <c r="O1128" s="76">
        <v>0</v>
      </c>
      <c r="P1128" s="76"/>
      <c r="Q1128" s="76"/>
      <c r="R1128" s="76"/>
      <c r="S1128" s="76"/>
      <c r="BD1128" s="99">
        <f t="shared" si="35"/>
        <v>0</v>
      </c>
      <c r="CC1128" s="99"/>
      <c r="CV1128" s="99"/>
      <c r="CW1128" s="63"/>
    </row>
    <row r="1129" spans="1:101" ht="33.75" x14ac:dyDescent="0.15">
      <c r="A1129" s="76">
        <v>1044</v>
      </c>
      <c r="B1129" s="74" t="s">
        <v>8319</v>
      </c>
      <c r="C1129" s="74">
        <v>1066778868</v>
      </c>
      <c r="D1129" s="78" t="str">
        <f t="shared" si="34"/>
        <v>https://portal.dnb.de/opac.htm?method=simpleSearch&amp;cqlMode=true&amp;query=idn%3D1066778868</v>
      </c>
      <c r="E1129" s="74" t="s">
        <v>8320</v>
      </c>
      <c r="F1129" s="74"/>
      <c r="G1129" s="76" t="s">
        <v>8515</v>
      </c>
      <c r="H1129" s="77" t="s">
        <v>8674</v>
      </c>
      <c r="I1129" s="76" t="s">
        <v>54</v>
      </c>
      <c r="J1129" s="77" t="s">
        <v>8516</v>
      </c>
      <c r="K1129" s="77" t="s">
        <v>84</v>
      </c>
      <c r="L1129" s="76"/>
      <c r="M1129" s="76"/>
      <c r="N1129" s="76" t="s">
        <v>8660</v>
      </c>
      <c r="O1129" s="76">
        <v>0</v>
      </c>
      <c r="P1129" s="76"/>
      <c r="Q1129" s="76"/>
      <c r="R1129" s="76"/>
      <c r="S1129" s="76"/>
      <c r="BD1129" s="99">
        <f t="shared" si="35"/>
        <v>0</v>
      </c>
      <c r="CC1129" s="99"/>
      <c r="CV1129" s="99"/>
      <c r="CW1129" s="63"/>
    </row>
    <row r="1130" spans="1:101" x14ac:dyDescent="0.15">
      <c r="A1130" s="76">
        <v>1045</v>
      </c>
      <c r="B1130" s="74" t="s">
        <v>8323</v>
      </c>
      <c r="C1130" s="74">
        <v>1066933723</v>
      </c>
      <c r="D1130" s="78" t="str">
        <f t="shared" si="34"/>
        <v>https://portal.dnb.de/opac.htm?method=simpleSearch&amp;cqlMode=true&amp;query=idn%3D1066933723</v>
      </c>
      <c r="E1130" s="74" t="s">
        <v>8324</v>
      </c>
      <c r="F1130" s="74"/>
      <c r="G1130" s="76"/>
      <c r="H1130" s="77"/>
      <c r="I1130" s="76"/>
      <c r="J1130" s="77"/>
      <c r="K1130" s="77"/>
      <c r="L1130" s="76"/>
      <c r="M1130" s="76"/>
      <c r="N1130" s="76"/>
      <c r="O1130" s="76"/>
      <c r="P1130" s="76"/>
      <c r="Q1130" s="76"/>
      <c r="R1130" s="76"/>
      <c r="S1130" s="76"/>
      <c r="BD1130" s="99">
        <f t="shared" si="35"/>
        <v>0</v>
      </c>
      <c r="CC1130" s="99"/>
      <c r="CV1130" s="99"/>
      <c r="CW1130" s="63"/>
    </row>
    <row r="1131" spans="1:101" x14ac:dyDescent="0.15">
      <c r="A1131" s="76">
        <v>1046</v>
      </c>
      <c r="B1131" s="74" t="s">
        <v>8328</v>
      </c>
      <c r="C1131" s="74">
        <v>993887546</v>
      </c>
      <c r="D1131" s="78" t="str">
        <f t="shared" si="34"/>
        <v>https://portal.dnb.de/opac.htm?method=simpleSearch&amp;cqlMode=true&amp;query=idn%3D993887546</v>
      </c>
      <c r="E1131" s="74" t="s">
        <v>8329</v>
      </c>
      <c r="F1131" s="74"/>
      <c r="G1131" s="76"/>
      <c r="H1131" s="77"/>
      <c r="I1131" s="76"/>
      <c r="J1131" s="77"/>
      <c r="K1131" s="77"/>
      <c r="L1131" s="76"/>
      <c r="M1131" s="76"/>
      <c r="N1131" s="76"/>
      <c r="O1131" s="76"/>
      <c r="P1131" s="76"/>
      <c r="Q1131" s="76"/>
      <c r="R1131" s="76"/>
      <c r="S1131" s="76"/>
      <c r="BD1131" s="99">
        <f t="shared" si="35"/>
        <v>0</v>
      </c>
      <c r="CC1131" s="99"/>
      <c r="CV1131" s="99"/>
      <c r="CW1131" s="63"/>
    </row>
    <row r="1132" spans="1:101" x14ac:dyDescent="0.15">
      <c r="A1132" s="76">
        <v>1047</v>
      </c>
      <c r="B1132" s="74" t="s">
        <v>8330</v>
      </c>
      <c r="C1132" s="74">
        <v>993887376</v>
      </c>
      <c r="D1132" s="78" t="str">
        <f t="shared" si="34"/>
        <v>https://portal.dnb.de/opac.htm?method=simpleSearch&amp;cqlMode=true&amp;query=idn%3D993887376</v>
      </c>
      <c r="E1132" s="74" t="s">
        <v>8329</v>
      </c>
      <c r="F1132" s="74"/>
      <c r="G1132" s="76"/>
      <c r="H1132" s="77"/>
      <c r="I1132" s="76"/>
      <c r="J1132" s="77"/>
      <c r="K1132" s="77"/>
      <c r="L1132" s="76"/>
      <c r="M1132" s="76"/>
      <c r="N1132" s="76"/>
      <c r="O1132" s="76"/>
      <c r="P1132" s="76"/>
      <c r="Q1132" s="76"/>
      <c r="R1132" s="76"/>
      <c r="S1132" s="76"/>
      <c r="BD1132" s="99">
        <f t="shared" si="35"/>
        <v>0</v>
      </c>
      <c r="CC1132" s="99"/>
      <c r="CV1132" s="99"/>
      <c r="CW1132" s="63"/>
    </row>
    <row r="1133" spans="1:101" x14ac:dyDescent="0.15">
      <c r="A1133" s="76">
        <v>1048</v>
      </c>
      <c r="B1133" s="74" t="s">
        <v>8331</v>
      </c>
      <c r="C1133" s="74">
        <v>993886574</v>
      </c>
      <c r="D1133" s="78" t="str">
        <f t="shared" si="34"/>
        <v>https://portal.dnb.de/opac.htm?method=simpleSearch&amp;cqlMode=true&amp;query=idn%3D993886574</v>
      </c>
      <c r="E1133" s="74" t="s">
        <v>8329</v>
      </c>
      <c r="F1133" s="74"/>
      <c r="G1133" s="76"/>
      <c r="H1133" s="77"/>
      <c r="I1133" s="76"/>
      <c r="J1133" s="77"/>
      <c r="K1133" s="77"/>
      <c r="L1133" s="76"/>
      <c r="M1133" s="76"/>
      <c r="N1133" s="76"/>
      <c r="O1133" s="76"/>
      <c r="P1133" s="76"/>
      <c r="Q1133" s="76"/>
      <c r="R1133" s="76"/>
      <c r="S1133" s="76"/>
      <c r="BD1133" s="99">
        <f t="shared" si="35"/>
        <v>0</v>
      </c>
      <c r="CC1133" s="99"/>
      <c r="CV1133" s="99"/>
      <c r="CW1133" s="63"/>
    </row>
    <row r="1134" spans="1:101" x14ac:dyDescent="0.15">
      <c r="A1134" s="76">
        <v>1049</v>
      </c>
      <c r="B1134" s="74" t="s">
        <v>8336</v>
      </c>
      <c r="C1134" s="74">
        <v>998427136</v>
      </c>
      <c r="D1134" s="78" t="str">
        <f t="shared" si="34"/>
        <v>https://portal.dnb.de/opac.htm?method=simpleSearch&amp;cqlMode=true&amp;query=idn%3D998427136</v>
      </c>
      <c r="E1134" s="74" t="s">
        <v>8337</v>
      </c>
      <c r="F1134" s="74"/>
      <c r="G1134" s="76"/>
      <c r="H1134" s="77"/>
      <c r="I1134" s="76"/>
      <c r="J1134" s="77"/>
      <c r="K1134" s="77"/>
      <c r="L1134" s="76"/>
      <c r="M1134" s="76"/>
      <c r="N1134" s="76"/>
      <c r="O1134" s="76"/>
      <c r="P1134" s="76"/>
      <c r="Q1134" s="76"/>
      <c r="R1134" s="76"/>
      <c r="S1134" s="76"/>
      <c r="BD1134" s="99">
        <f t="shared" si="35"/>
        <v>0</v>
      </c>
      <c r="CC1134" s="99"/>
      <c r="CV1134" s="99"/>
      <c r="CW1134" s="63"/>
    </row>
    <row r="1135" spans="1:101" x14ac:dyDescent="0.15">
      <c r="A1135" s="76">
        <v>1050</v>
      </c>
      <c r="B1135" s="74" t="s">
        <v>8338</v>
      </c>
      <c r="C1135" s="74">
        <v>994191820</v>
      </c>
      <c r="D1135" s="78" t="str">
        <f t="shared" si="34"/>
        <v>https://portal.dnb.de/opac.htm?method=simpleSearch&amp;cqlMode=true&amp;query=idn%3D994191820</v>
      </c>
      <c r="E1135" s="74" t="s">
        <v>8339</v>
      </c>
      <c r="F1135" s="74"/>
      <c r="G1135" s="76"/>
      <c r="H1135" s="77"/>
      <c r="I1135" s="76"/>
      <c r="J1135" s="77"/>
      <c r="K1135" s="77"/>
      <c r="L1135" s="76"/>
      <c r="M1135" s="76"/>
      <c r="N1135" s="76"/>
      <c r="O1135" s="76"/>
      <c r="P1135" s="76"/>
      <c r="Q1135" s="76"/>
      <c r="R1135" s="76"/>
      <c r="S1135" s="76"/>
      <c r="BD1135" s="99">
        <f t="shared" si="35"/>
        <v>0</v>
      </c>
      <c r="CC1135" s="99"/>
      <c r="CV1135" s="99"/>
      <c r="CW1135" s="63"/>
    </row>
    <row r="1136" spans="1:101" x14ac:dyDescent="0.15">
      <c r="A1136" s="76">
        <v>1051</v>
      </c>
      <c r="B1136" s="74" t="s">
        <v>8346</v>
      </c>
      <c r="C1136" s="74">
        <v>12650064</v>
      </c>
      <c r="D1136" s="78" t="str">
        <f t="shared" ref="D1136:D1200" si="36">HYPERLINK(CONCATENATE("https://portal.dnb.de/opac.htm?method=simpleSearch&amp;cqlMode=true&amp;query=idn%3D",C1136))</f>
        <v>https://portal.dnb.de/opac.htm?method=simpleSearch&amp;cqlMode=true&amp;query=idn%3D12650064</v>
      </c>
      <c r="E1136" s="74" t="s">
        <v>8347</v>
      </c>
      <c r="F1136" s="74"/>
      <c r="G1136" s="76"/>
      <c r="H1136" s="77"/>
      <c r="I1136" s="76"/>
      <c r="J1136" s="77"/>
      <c r="K1136" s="77"/>
      <c r="L1136" s="76"/>
      <c r="M1136" s="76"/>
      <c r="N1136" s="76"/>
      <c r="O1136" s="76"/>
      <c r="P1136" s="76"/>
      <c r="Q1136" s="76"/>
      <c r="R1136" s="76"/>
      <c r="S1136" s="76"/>
      <c r="BD1136" s="99">
        <f t="shared" si="35"/>
        <v>0</v>
      </c>
      <c r="CC1136" s="99"/>
      <c r="CV1136" s="99"/>
      <c r="CW1136" s="63"/>
    </row>
    <row r="1137" spans="1:101" x14ac:dyDescent="0.15">
      <c r="A1137" s="76">
        <v>1052</v>
      </c>
      <c r="B1137" s="74" t="s">
        <v>8357</v>
      </c>
      <c r="C1137" s="74">
        <v>995830606</v>
      </c>
      <c r="D1137" s="78" t="str">
        <f t="shared" si="36"/>
        <v>https://portal.dnb.de/opac.htm?method=simpleSearch&amp;cqlMode=true&amp;query=idn%3D995830606</v>
      </c>
      <c r="E1137" s="74" t="s">
        <v>8358</v>
      </c>
      <c r="F1137" s="74"/>
      <c r="G1137" s="76"/>
      <c r="H1137" s="77"/>
      <c r="I1137" s="76"/>
      <c r="J1137" s="77"/>
      <c r="K1137" s="77"/>
      <c r="L1137" s="76"/>
      <c r="M1137" s="76"/>
      <c r="N1137" s="76"/>
      <c r="O1137" s="76"/>
      <c r="P1137" s="76"/>
      <c r="Q1137" s="76"/>
      <c r="R1137" s="76"/>
      <c r="S1137" s="76"/>
      <c r="BD1137" s="99">
        <f t="shared" si="35"/>
        <v>0</v>
      </c>
      <c r="CC1137" s="99"/>
      <c r="CV1137" s="99"/>
      <c r="CW1137" s="63"/>
    </row>
    <row r="1138" spans="1:101" x14ac:dyDescent="0.15">
      <c r="A1138" s="76">
        <v>1053</v>
      </c>
      <c r="B1138" s="74" t="s">
        <v>8359</v>
      </c>
      <c r="C1138" s="74">
        <v>997566221</v>
      </c>
      <c r="D1138" s="78" t="str">
        <f t="shared" si="36"/>
        <v>https://portal.dnb.de/opac.htm?method=simpleSearch&amp;cqlMode=true&amp;query=idn%3D997566221</v>
      </c>
      <c r="E1138" s="74" t="s">
        <v>8358</v>
      </c>
      <c r="F1138" s="74"/>
      <c r="G1138" s="76"/>
      <c r="H1138" s="77"/>
      <c r="I1138" s="76"/>
      <c r="J1138" s="77"/>
      <c r="K1138" s="77"/>
      <c r="L1138" s="76"/>
      <c r="M1138" s="76"/>
      <c r="N1138" s="76"/>
      <c r="O1138" s="76"/>
      <c r="P1138" s="76"/>
      <c r="Q1138" s="76"/>
      <c r="R1138" s="76"/>
      <c r="S1138" s="76"/>
      <c r="BD1138" s="99">
        <f t="shared" si="35"/>
        <v>0</v>
      </c>
      <c r="CC1138" s="99"/>
      <c r="CV1138" s="99"/>
      <c r="CW1138" s="63"/>
    </row>
    <row r="1139" spans="1:101" x14ac:dyDescent="0.15">
      <c r="A1139" s="76">
        <v>1054</v>
      </c>
      <c r="B1139" s="74" t="s">
        <v>8360</v>
      </c>
      <c r="C1139" s="74">
        <v>997033959</v>
      </c>
      <c r="D1139" s="78" t="str">
        <f t="shared" si="36"/>
        <v>https://portal.dnb.de/opac.htm?method=simpleSearch&amp;cqlMode=true&amp;query=idn%3D997033959</v>
      </c>
      <c r="E1139" s="74" t="s">
        <v>8361</v>
      </c>
      <c r="F1139" s="74"/>
      <c r="G1139" s="76"/>
      <c r="H1139" s="77"/>
      <c r="I1139" s="76"/>
      <c r="J1139" s="77"/>
      <c r="K1139" s="77"/>
      <c r="L1139" s="76"/>
      <c r="M1139" s="76"/>
      <c r="N1139" s="76"/>
      <c r="O1139" s="76"/>
      <c r="P1139" s="76"/>
      <c r="Q1139" s="76"/>
      <c r="R1139" s="76"/>
      <c r="S1139" s="76"/>
      <c r="BD1139" s="99">
        <f t="shared" si="35"/>
        <v>0</v>
      </c>
      <c r="CC1139" s="99"/>
      <c r="CV1139" s="99"/>
      <c r="CW1139" s="63"/>
    </row>
    <row r="1140" spans="1:101" x14ac:dyDescent="0.15">
      <c r="A1140" s="76">
        <v>1055</v>
      </c>
      <c r="B1140" s="74" t="s">
        <v>8362</v>
      </c>
      <c r="C1140" s="74">
        <v>998427624</v>
      </c>
      <c r="D1140" s="78" t="str">
        <f t="shared" si="36"/>
        <v>https://portal.dnb.de/opac.htm?method=simpleSearch&amp;cqlMode=true&amp;query=idn%3D998427624</v>
      </c>
      <c r="E1140" s="74" t="s">
        <v>8363</v>
      </c>
      <c r="F1140" s="74"/>
      <c r="G1140" s="76"/>
      <c r="H1140" s="77"/>
      <c r="I1140" s="76"/>
      <c r="J1140" s="77"/>
      <c r="K1140" s="77"/>
      <c r="L1140" s="76"/>
      <c r="M1140" s="76"/>
      <c r="N1140" s="76"/>
      <c r="O1140" s="76"/>
      <c r="P1140" s="76"/>
      <c r="Q1140" s="76"/>
      <c r="R1140" s="76"/>
      <c r="S1140" s="76"/>
      <c r="BD1140" s="99">
        <f t="shared" si="35"/>
        <v>0</v>
      </c>
      <c r="CC1140" s="99"/>
      <c r="CV1140" s="99"/>
      <c r="CW1140" s="63"/>
    </row>
    <row r="1141" spans="1:101" x14ac:dyDescent="0.15">
      <c r="A1141" s="76">
        <v>1056</v>
      </c>
      <c r="B1141" s="74" t="s">
        <v>8364</v>
      </c>
      <c r="C1141" s="74">
        <v>997882964</v>
      </c>
      <c r="D1141" s="78" t="str">
        <f t="shared" si="36"/>
        <v>https://portal.dnb.de/opac.htm?method=simpleSearch&amp;cqlMode=true&amp;query=idn%3D997882964</v>
      </c>
      <c r="E1141" s="74" t="s">
        <v>8365</v>
      </c>
      <c r="F1141" s="74"/>
      <c r="G1141" s="76"/>
      <c r="H1141" s="77"/>
      <c r="I1141" s="76"/>
      <c r="J1141" s="77"/>
      <c r="K1141" s="77"/>
      <c r="L1141" s="76"/>
      <c r="M1141" s="76"/>
      <c r="N1141" s="76"/>
      <c r="O1141" s="76"/>
      <c r="P1141" s="76"/>
      <c r="Q1141" s="76"/>
      <c r="R1141" s="76"/>
      <c r="S1141" s="76"/>
      <c r="BD1141" s="99">
        <f t="shared" si="35"/>
        <v>0</v>
      </c>
      <c r="CC1141" s="99"/>
      <c r="CV1141" s="99"/>
      <c r="CW1141" s="63"/>
    </row>
    <row r="1142" spans="1:101" x14ac:dyDescent="0.15">
      <c r="A1142" s="76">
        <v>1057</v>
      </c>
      <c r="B1142" s="74" t="s">
        <v>8370</v>
      </c>
      <c r="C1142" s="74">
        <v>999460153</v>
      </c>
      <c r="D1142" s="78" t="str">
        <f t="shared" si="36"/>
        <v>https://portal.dnb.de/opac.htm?method=simpleSearch&amp;cqlMode=true&amp;query=idn%3D999460153</v>
      </c>
      <c r="E1142" s="74" t="s">
        <v>8371</v>
      </c>
      <c r="F1142" s="74"/>
      <c r="G1142" s="76"/>
      <c r="H1142" s="77"/>
      <c r="I1142" s="76"/>
      <c r="J1142" s="77"/>
      <c r="K1142" s="77"/>
      <c r="L1142" s="76"/>
      <c r="M1142" s="76"/>
      <c r="N1142" s="76"/>
      <c r="O1142" s="76"/>
      <c r="P1142" s="76"/>
      <c r="Q1142" s="76"/>
      <c r="R1142" s="76"/>
      <c r="S1142" s="76"/>
      <c r="BD1142" s="99">
        <f t="shared" si="35"/>
        <v>0</v>
      </c>
      <c r="CC1142" s="99"/>
      <c r="CV1142" s="99"/>
      <c r="CW1142" s="63"/>
    </row>
    <row r="1143" spans="1:101" x14ac:dyDescent="0.15">
      <c r="A1143" s="76">
        <v>1058</v>
      </c>
      <c r="B1143" s="74" t="s">
        <v>8372</v>
      </c>
      <c r="C1143" s="74" t="s">
        <v>8373</v>
      </c>
      <c r="D1143" s="78" t="str">
        <f t="shared" si="36"/>
        <v>https://portal.dnb.de/opac.htm?method=simpleSearch&amp;cqlMode=true&amp;query=idn%3D99945983X</v>
      </c>
      <c r="E1143" s="74" t="s">
        <v>8371</v>
      </c>
      <c r="F1143" s="74"/>
      <c r="G1143" s="76"/>
      <c r="H1143" s="77"/>
      <c r="I1143" s="76"/>
      <c r="J1143" s="77"/>
      <c r="K1143" s="77"/>
      <c r="L1143" s="76"/>
      <c r="M1143" s="76"/>
      <c r="N1143" s="76"/>
      <c r="O1143" s="76"/>
      <c r="P1143" s="76"/>
      <c r="Q1143" s="76"/>
      <c r="R1143" s="76"/>
      <c r="S1143" s="76"/>
      <c r="BD1143" s="99">
        <f t="shared" si="35"/>
        <v>0</v>
      </c>
      <c r="CC1143" s="99"/>
      <c r="CV1143" s="99"/>
      <c r="CW1143" s="63"/>
    </row>
    <row r="1144" spans="1:101" x14ac:dyDescent="0.15">
      <c r="A1144" s="76">
        <v>1059</v>
      </c>
      <c r="B1144" s="74" t="s">
        <v>8376</v>
      </c>
      <c r="C1144" s="74">
        <v>932299709</v>
      </c>
      <c r="D1144" s="78" t="str">
        <f t="shared" si="36"/>
        <v>https://portal.dnb.de/opac.htm?method=simpleSearch&amp;cqlMode=true&amp;query=idn%3D932299709</v>
      </c>
      <c r="E1144" s="74" t="s">
        <v>8377</v>
      </c>
      <c r="F1144" s="74"/>
      <c r="G1144" s="76"/>
      <c r="H1144" s="77"/>
      <c r="I1144" s="76"/>
      <c r="J1144" s="77"/>
      <c r="K1144" s="77"/>
      <c r="L1144" s="76"/>
      <c r="M1144" s="76"/>
      <c r="N1144" s="76"/>
      <c r="O1144" s="76"/>
      <c r="P1144" s="76"/>
      <c r="Q1144" s="76"/>
      <c r="R1144" s="76"/>
      <c r="S1144" s="76"/>
      <c r="BD1144" s="99">
        <f t="shared" si="35"/>
        <v>0</v>
      </c>
      <c r="CC1144" s="99"/>
      <c r="CV1144" s="99"/>
      <c r="CW1144" s="63"/>
    </row>
    <row r="1145" spans="1:101" ht="22.5" x14ac:dyDescent="0.15">
      <c r="A1145" s="76">
        <v>1060</v>
      </c>
      <c r="B1145" s="74" t="s">
        <v>8378</v>
      </c>
      <c r="C1145" s="74">
        <v>1003587755</v>
      </c>
      <c r="D1145" s="78" t="str">
        <f t="shared" si="36"/>
        <v>https://portal.dnb.de/opac.htm?method=simpleSearch&amp;cqlMode=true&amp;query=idn%3D1003587755</v>
      </c>
      <c r="E1145" s="74" t="s">
        <v>8379</v>
      </c>
      <c r="F1145" s="74"/>
      <c r="G1145" s="76"/>
      <c r="H1145" s="77" t="s">
        <v>9632</v>
      </c>
      <c r="I1145" s="76" t="s">
        <v>54</v>
      </c>
      <c r="J1145" s="77" t="s">
        <v>58</v>
      </c>
      <c r="K1145" s="77"/>
      <c r="L1145" s="76"/>
      <c r="M1145" s="76"/>
      <c r="N1145" s="76"/>
      <c r="O1145" s="76">
        <v>0</v>
      </c>
      <c r="P1145" s="76"/>
      <c r="Q1145" s="76"/>
      <c r="R1145" s="76"/>
      <c r="S1145" s="76"/>
      <c r="BD1145" s="99">
        <f t="shared" si="35"/>
        <v>0</v>
      </c>
      <c r="CC1145" s="99"/>
      <c r="CV1145" s="99"/>
      <c r="CW1145" s="63"/>
    </row>
    <row r="1146" spans="1:101" x14ac:dyDescent="0.15">
      <c r="A1146" s="76">
        <v>1061</v>
      </c>
      <c r="B1146" s="74" t="s">
        <v>8380</v>
      </c>
      <c r="C1146" s="74">
        <v>1001907868</v>
      </c>
      <c r="D1146" s="78" t="str">
        <f t="shared" si="36"/>
        <v>https://portal.dnb.de/opac.htm?method=simpleSearch&amp;cqlMode=true&amp;query=idn%3D1001907868</v>
      </c>
      <c r="E1146" s="74" t="s">
        <v>8381</v>
      </c>
      <c r="F1146" s="74"/>
      <c r="G1146" s="76"/>
      <c r="H1146" s="77"/>
      <c r="I1146" s="76"/>
      <c r="J1146" s="77"/>
      <c r="K1146" s="77"/>
      <c r="L1146" s="76"/>
      <c r="M1146" s="76"/>
      <c r="N1146" s="76"/>
      <c r="O1146" s="76"/>
      <c r="P1146" s="76"/>
      <c r="Q1146" s="76"/>
      <c r="R1146" s="76"/>
      <c r="S1146" s="76"/>
      <c r="BD1146" s="99">
        <f t="shared" si="35"/>
        <v>0</v>
      </c>
      <c r="CC1146" s="99"/>
      <c r="CV1146" s="99"/>
      <c r="CW1146" s="63"/>
    </row>
    <row r="1147" spans="1:101" x14ac:dyDescent="0.15">
      <c r="A1147" s="76">
        <v>1062</v>
      </c>
      <c r="B1147" s="74" t="s">
        <v>8384</v>
      </c>
      <c r="C1147" s="74">
        <v>998786772</v>
      </c>
      <c r="D1147" s="78" t="str">
        <f t="shared" si="36"/>
        <v>https://portal.dnb.de/opac.htm?method=simpleSearch&amp;cqlMode=true&amp;query=idn%3D998786772</v>
      </c>
      <c r="E1147" s="74" t="s">
        <v>8385</v>
      </c>
      <c r="F1147" s="74"/>
      <c r="G1147" s="76"/>
      <c r="H1147" s="77"/>
      <c r="I1147" s="76"/>
      <c r="J1147" s="77"/>
      <c r="K1147" s="77"/>
      <c r="L1147" s="76"/>
      <c r="M1147" s="76"/>
      <c r="N1147" s="76"/>
      <c r="O1147" s="76"/>
      <c r="P1147" s="76"/>
      <c r="Q1147" s="76"/>
      <c r="R1147" s="76"/>
      <c r="S1147" s="76"/>
      <c r="BD1147" s="99">
        <f t="shared" si="35"/>
        <v>0</v>
      </c>
      <c r="CC1147" s="99"/>
      <c r="CV1147" s="99"/>
      <c r="CW1147" s="63"/>
    </row>
    <row r="1148" spans="1:101" x14ac:dyDescent="0.15">
      <c r="A1148" s="76">
        <v>1063</v>
      </c>
      <c r="B1148" s="74" t="s">
        <v>8386</v>
      </c>
      <c r="C1148" s="74">
        <v>1002992656</v>
      </c>
      <c r="D1148" s="78" t="str">
        <f t="shared" si="36"/>
        <v>https://portal.dnb.de/opac.htm?method=simpleSearch&amp;cqlMode=true&amp;query=idn%3D1002992656</v>
      </c>
      <c r="E1148" s="74" t="s">
        <v>8387</v>
      </c>
      <c r="F1148" s="74"/>
      <c r="G1148" s="76"/>
      <c r="H1148" s="77"/>
      <c r="I1148" s="76"/>
      <c r="J1148" s="77"/>
      <c r="K1148" s="77"/>
      <c r="L1148" s="76"/>
      <c r="M1148" s="76"/>
      <c r="N1148" s="76"/>
      <c r="O1148" s="76"/>
      <c r="P1148" s="76"/>
      <c r="Q1148" s="76"/>
      <c r="R1148" s="76"/>
      <c r="S1148" s="76"/>
      <c r="BD1148" s="99">
        <f t="shared" si="35"/>
        <v>0</v>
      </c>
      <c r="CC1148" s="99"/>
      <c r="CV1148" s="99"/>
      <c r="CW1148" s="63"/>
    </row>
    <row r="1149" spans="1:101" x14ac:dyDescent="0.15">
      <c r="A1149" s="76">
        <v>1064</v>
      </c>
      <c r="B1149" s="74" t="s">
        <v>8388</v>
      </c>
      <c r="C1149" s="74">
        <v>993920241</v>
      </c>
      <c r="D1149" s="78" t="str">
        <f t="shared" si="36"/>
        <v>https://portal.dnb.de/opac.htm?method=simpleSearch&amp;cqlMode=true&amp;query=idn%3D993920241</v>
      </c>
      <c r="E1149" s="74" t="s">
        <v>8389</v>
      </c>
      <c r="F1149" s="74"/>
      <c r="G1149" s="76"/>
      <c r="H1149" s="77"/>
      <c r="I1149" s="76"/>
      <c r="J1149" s="77"/>
      <c r="K1149" s="77"/>
      <c r="L1149" s="76"/>
      <c r="M1149" s="76"/>
      <c r="N1149" s="76"/>
      <c r="O1149" s="76"/>
      <c r="P1149" s="76"/>
      <c r="Q1149" s="76"/>
      <c r="R1149" s="76"/>
      <c r="S1149" s="76"/>
      <c r="BD1149" s="99">
        <f t="shared" si="35"/>
        <v>0</v>
      </c>
      <c r="CC1149" s="99"/>
      <c r="CV1149" s="99"/>
      <c r="CW1149" s="63"/>
    </row>
    <row r="1150" spans="1:101" x14ac:dyDescent="0.15">
      <c r="A1150" s="76">
        <v>1065</v>
      </c>
      <c r="B1150" s="74" t="s">
        <v>8392</v>
      </c>
      <c r="C1150" s="74">
        <v>1003393683</v>
      </c>
      <c r="D1150" s="78" t="str">
        <f t="shared" si="36"/>
        <v>https://portal.dnb.de/opac.htm?method=simpleSearch&amp;cqlMode=true&amp;query=idn%3D1003393683</v>
      </c>
      <c r="E1150" s="74" t="s">
        <v>8393</v>
      </c>
      <c r="F1150" s="74"/>
      <c r="G1150" s="76"/>
      <c r="H1150" s="77"/>
      <c r="I1150" s="76"/>
      <c r="J1150" s="77"/>
      <c r="K1150" s="77"/>
      <c r="L1150" s="76"/>
      <c r="M1150" s="76"/>
      <c r="N1150" s="76"/>
      <c r="O1150" s="76"/>
      <c r="P1150" s="76"/>
      <c r="Q1150" s="76"/>
      <c r="R1150" s="76"/>
      <c r="S1150" s="76"/>
      <c r="BD1150" s="99">
        <f t="shared" si="35"/>
        <v>0</v>
      </c>
      <c r="CC1150" s="99"/>
      <c r="CV1150" s="99"/>
      <c r="CW1150" s="63"/>
    </row>
    <row r="1151" spans="1:101" ht="45" x14ac:dyDescent="0.15">
      <c r="A1151" s="76">
        <v>1066</v>
      </c>
      <c r="B1151" s="74" t="s">
        <v>8394</v>
      </c>
      <c r="C1151" s="74">
        <v>999043137</v>
      </c>
      <c r="D1151" s="78" t="str">
        <f t="shared" si="36"/>
        <v>https://portal.dnb.de/opac.htm?method=simpleSearch&amp;cqlMode=true&amp;query=idn%3D999043137</v>
      </c>
      <c r="E1151" s="74" t="s">
        <v>8395</v>
      </c>
      <c r="F1151" s="74"/>
      <c r="G1151" s="76"/>
      <c r="H1151" s="77" t="s">
        <v>5</v>
      </c>
      <c r="I1151" s="76" t="s">
        <v>53</v>
      </c>
      <c r="J1151" s="77" t="s">
        <v>58</v>
      </c>
      <c r="K1151" s="77" t="s">
        <v>84</v>
      </c>
      <c r="L1151" s="76"/>
      <c r="M1151" s="76" t="s">
        <v>36</v>
      </c>
      <c r="N1151" s="76" t="s">
        <v>39</v>
      </c>
      <c r="O1151" s="76">
        <v>3</v>
      </c>
      <c r="P1151" s="76" t="s">
        <v>9</v>
      </c>
      <c r="Q1151" s="76"/>
      <c r="R1151" s="76"/>
      <c r="S1151" s="76"/>
      <c r="Y1151" s="95" t="s">
        <v>9723</v>
      </c>
      <c r="AC1151" s="95" t="s">
        <v>9724</v>
      </c>
      <c r="AI1151" s="95" t="s">
        <v>9725</v>
      </c>
      <c r="AW1151" s="95" t="s">
        <v>9733</v>
      </c>
      <c r="BC1151" s="96" t="s">
        <v>9726</v>
      </c>
      <c r="BD1151" s="99">
        <f t="shared" si="35"/>
        <v>0.5</v>
      </c>
      <c r="BJ1151" s="95" t="s">
        <v>9741</v>
      </c>
      <c r="BK1151" s="95" t="s">
        <v>8541</v>
      </c>
      <c r="BL1151" s="70" t="s">
        <v>10083</v>
      </c>
      <c r="BM1151" s="69" t="s">
        <v>10007</v>
      </c>
      <c r="BO1151" s="70" t="s">
        <v>10085</v>
      </c>
      <c r="BP1151" s="69" t="s">
        <v>8541</v>
      </c>
      <c r="BR1151" s="95" t="s">
        <v>8541</v>
      </c>
      <c r="BT1151" s="95" t="s">
        <v>9775</v>
      </c>
      <c r="BU1151" s="95">
        <v>3</v>
      </c>
      <c r="CA1151" s="95" t="s">
        <v>9911</v>
      </c>
      <c r="CC1151" s="99">
        <v>0.5</v>
      </c>
      <c r="CD1151" s="90" t="s">
        <v>10084</v>
      </c>
      <c r="CV1151" s="99"/>
      <c r="CW1151" s="63"/>
    </row>
    <row r="1152" spans="1:101" x14ac:dyDescent="0.15">
      <c r="A1152" s="76">
        <v>1067</v>
      </c>
      <c r="B1152" s="74" t="s">
        <v>8402</v>
      </c>
      <c r="C1152" s="74">
        <v>998427381</v>
      </c>
      <c r="D1152" s="78" t="str">
        <f t="shared" si="36"/>
        <v>https://portal.dnb.de/opac.htm?method=simpleSearch&amp;cqlMode=true&amp;query=idn%3D998427381</v>
      </c>
      <c r="E1152" s="74" t="s">
        <v>8403</v>
      </c>
      <c r="F1152" s="74"/>
      <c r="G1152" s="76"/>
      <c r="H1152" s="77" t="s">
        <v>17</v>
      </c>
      <c r="I1152" s="76" t="s">
        <v>53</v>
      </c>
      <c r="J1152" s="77" t="s">
        <v>58</v>
      </c>
      <c r="K1152" s="77"/>
      <c r="L1152" s="76"/>
      <c r="M1152" s="76"/>
      <c r="N1152" s="76"/>
      <c r="O1152" s="76">
        <v>0</v>
      </c>
      <c r="P1152" s="76"/>
      <c r="Q1152" s="76"/>
      <c r="R1152" s="76"/>
      <c r="S1152" s="76"/>
      <c r="BD1152" s="99">
        <f t="shared" si="35"/>
        <v>0</v>
      </c>
      <c r="CC1152" s="99"/>
      <c r="CV1152" s="99"/>
      <c r="CW1152" s="63"/>
    </row>
    <row r="1153" spans="1:101" ht="33.75" x14ac:dyDescent="0.15">
      <c r="A1153" s="76">
        <v>1068</v>
      </c>
      <c r="B1153" s="74" t="s">
        <v>8408</v>
      </c>
      <c r="C1153" s="74">
        <v>995832862</v>
      </c>
      <c r="D1153" s="78" t="str">
        <f t="shared" si="36"/>
        <v>https://portal.dnb.de/opac.htm?method=simpleSearch&amp;cqlMode=true&amp;query=idn%3D995832862</v>
      </c>
      <c r="E1153" s="74" t="s">
        <v>8409</v>
      </c>
      <c r="F1153" s="74"/>
      <c r="G1153" s="76"/>
      <c r="H1153" s="77" t="s">
        <v>47</v>
      </c>
      <c r="I1153" s="76" t="s">
        <v>55</v>
      </c>
      <c r="J1153" s="77" t="s">
        <v>58</v>
      </c>
      <c r="K1153" s="77"/>
      <c r="L1153" s="76"/>
      <c r="M1153" s="76" t="s">
        <v>34</v>
      </c>
      <c r="N1153" s="76" t="s">
        <v>39</v>
      </c>
      <c r="O1153" s="76">
        <v>0</v>
      </c>
      <c r="P1153" s="76"/>
      <c r="Q1153" s="76"/>
      <c r="R1153" s="76"/>
      <c r="S1153" s="76"/>
      <c r="Y1153" s="95" t="s">
        <v>9753</v>
      </c>
      <c r="AI1153" s="95" t="s">
        <v>9725</v>
      </c>
      <c r="AW1153" s="95">
        <v>180</v>
      </c>
      <c r="BC1153" s="96" t="s">
        <v>9734</v>
      </c>
      <c r="BD1153" s="99">
        <f t="shared" si="35"/>
        <v>0</v>
      </c>
      <c r="BI1153" s="95" t="s">
        <v>9741</v>
      </c>
      <c r="BK1153" s="95" t="s">
        <v>8541</v>
      </c>
      <c r="BO1153" s="70" t="s">
        <v>10371</v>
      </c>
      <c r="CC1153" s="99"/>
      <c r="CV1153" s="99"/>
      <c r="CW1153" s="63"/>
    </row>
    <row r="1154" spans="1:101" x14ac:dyDescent="0.15">
      <c r="A1154" s="76">
        <v>1069</v>
      </c>
      <c r="B1154" s="74" t="s">
        <v>8410</v>
      </c>
      <c r="C1154" s="74">
        <v>1004194625</v>
      </c>
      <c r="D1154" s="78" t="str">
        <f t="shared" si="36"/>
        <v>https://portal.dnb.de/opac.htm?method=simpleSearch&amp;cqlMode=true&amp;query=idn%3D1004194625</v>
      </c>
      <c r="E1154" s="74" t="s">
        <v>8411</v>
      </c>
      <c r="F1154" s="74"/>
      <c r="G1154" s="76"/>
      <c r="H1154" s="77" t="s">
        <v>8668</v>
      </c>
      <c r="I1154" s="76" t="s">
        <v>55</v>
      </c>
      <c r="J1154" s="77"/>
      <c r="K1154" s="77"/>
      <c r="L1154" s="76"/>
      <c r="M1154" s="76" t="s">
        <v>34</v>
      </c>
      <c r="N1154" s="76"/>
      <c r="O1154" s="76">
        <v>0</v>
      </c>
      <c r="P1154" s="76"/>
      <c r="Q1154" s="76"/>
      <c r="R1154" s="76"/>
      <c r="S1154" s="76"/>
      <c r="BD1154" s="99">
        <f t="shared" si="35"/>
        <v>0</v>
      </c>
      <c r="CC1154" s="99"/>
      <c r="CV1154" s="99"/>
      <c r="CW1154" s="63"/>
    </row>
    <row r="1155" spans="1:101" x14ac:dyDescent="0.15">
      <c r="A1155" s="76">
        <v>1070</v>
      </c>
      <c r="B1155" s="74" t="s">
        <v>8412</v>
      </c>
      <c r="C1155" s="74">
        <v>996218769</v>
      </c>
      <c r="D1155" s="78" t="str">
        <f t="shared" si="36"/>
        <v>https://portal.dnb.de/opac.htm?method=simpleSearch&amp;cqlMode=true&amp;query=idn%3D996218769</v>
      </c>
      <c r="E1155" s="74" t="s">
        <v>8413</v>
      </c>
      <c r="F1155" s="74"/>
      <c r="G1155" s="76"/>
      <c r="H1155" s="77" t="s">
        <v>5</v>
      </c>
      <c r="I1155" s="76" t="s">
        <v>53</v>
      </c>
      <c r="J1155" s="77" t="s">
        <v>8516</v>
      </c>
      <c r="K1155" s="77" t="s">
        <v>72</v>
      </c>
      <c r="L1155" s="76"/>
      <c r="M1155" s="76"/>
      <c r="N1155" s="76" t="s">
        <v>8660</v>
      </c>
      <c r="O1155" s="76">
        <v>0</v>
      </c>
      <c r="P1155" s="76"/>
      <c r="Q1155" s="76"/>
      <c r="R1155" s="76"/>
      <c r="S1155" s="76"/>
      <c r="BD1155" s="99">
        <f t="shared" ref="BD1155:BD1218" si="37">CC1155+CV1155</f>
        <v>0</v>
      </c>
      <c r="CC1155" s="99"/>
      <c r="CV1155" s="99"/>
      <c r="CW1155" s="63"/>
    </row>
    <row r="1156" spans="1:101" ht="22.5" x14ac:dyDescent="0.15">
      <c r="A1156" s="76">
        <v>1071</v>
      </c>
      <c r="B1156" s="74" t="s">
        <v>8416</v>
      </c>
      <c r="C1156" s="74">
        <v>996793003</v>
      </c>
      <c r="D1156" s="78" t="str">
        <f t="shared" si="36"/>
        <v>https://portal.dnb.de/opac.htm?method=simpleSearch&amp;cqlMode=true&amp;query=idn%3D996793003</v>
      </c>
      <c r="E1156" s="74" t="s">
        <v>8417</v>
      </c>
      <c r="F1156" s="74"/>
      <c r="G1156" s="76"/>
      <c r="H1156" s="77" t="s">
        <v>48</v>
      </c>
      <c r="I1156" s="76" t="s">
        <v>53</v>
      </c>
      <c r="J1156" s="77" t="s">
        <v>89</v>
      </c>
      <c r="K1156" s="77" t="s">
        <v>8539</v>
      </c>
      <c r="L1156" s="76"/>
      <c r="M1156" s="76"/>
      <c r="N1156" s="76"/>
      <c r="O1156" s="76">
        <v>0</v>
      </c>
      <c r="P1156" s="76"/>
      <c r="Q1156" s="76"/>
      <c r="R1156" s="76"/>
      <c r="S1156" s="76"/>
      <c r="BD1156" s="99">
        <f t="shared" si="37"/>
        <v>0</v>
      </c>
      <c r="CC1156" s="99"/>
      <c r="CV1156" s="99"/>
      <c r="CW1156" s="63"/>
    </row>
    <row r="1157" spans="1:101" x14ac:dyDescent="0.15">
      <c r="A1157" s="76">
        <v>1072</v>
      </c>
      <c r="B1157" s="74" t="s">
        <v>8418</v>
      </c>
      <c r="C1157" s="74">
        <v>998777889</v>
      </c>
      <c r="D1157" s="78" t="str">
        <f t="shared" si="36"/>
        <v>https://portal.dnb.de/opac.htm?method=simpleSearch&amp;cqlMode=true&amp;query=idn%3D998777889</v>
      </c>
      <c r="E1157" s="74" t="s">
        <v>8419</v>
      </c>
      <c r="F1157" s="74"/>
      <c r="G1157" s="76"/>
      <c r="H1157" s="77"/>
      <c r="I1157" s="76"/>
      <c r="J1157" s="77"/>
      <c r="K1157" s="77" t="s">
        <v>72</v>
      </c>
      <c r="L1157" s="76"/>
      <c r="M1157" s="76"/>
      <c r="N1157" s="76" t="s">
        <v>8660</v>
      </c>
      <c r="O1157" s="76">
        <v>0</v>
      </c>
      <c r="P1157" s="76"/>
      <c r="Q1157" s="76"/>
      <c r="R1157" s="76"/>
      <c r="S1157" s="76"/>
      <c r="BD1157" s="99">
        <f t="shared" si="37"/>
        <v>0</v>
      </c>
      <c r="CC1157" s="99"/>
      <c r="CV1157" s="99"/>
      <c r="CW1157" s="63"/>
    </row>
    <row r="1158" spans="1:101" ht="22.5" x14ac:dyDescent="0.15">
      <c r="A1158" s="76">
        <v>1073</v>
      </c>
      <c r="B1158" s="74" t="s">
        <v>8420</v>
      </c>
      <c r="C1158" s="74" t="s">
        <v>8421</v>
      </c>
      <c r="D1158" s="78" t="str">
        <f t="shared" si="36"/>
        <v>https://portal.dnb.de/opac.htm?method=simpleSearch&amp;cqlMode=true&amp;query=idn%3D99877782X</v>
      </c>
      <c r="E1158" s="74" t="s">
        <v>8419</v>
      </c>
      <c r="F1158" s="74"/>
      <c r="G1158" s="76" t="s">
        <v>8515</v>
      </c>
      <c r="H1158" s="77" t="s">
        <v>18</v>
      </c>
      <c r="I1158" s="76" t="s">
        <v>53</v>
      </c>
      <c r="J1158" s="77" t="s">
        <v>89</v>
      </c>
      <c r="K1158" s="77"/>
      <c r="L1158" s="76"/>
      <c r="M1158" s="76"/>
      <c r="N1158" s="76"/>
      <c r="O1158" s="76"/>
      <c r="P1158" s="76"/>
      <c r="Q1158" s="76"/>
      <c r="R1158" s="76"/>
      <c r="S1158" s="76"/>
      <c r="BD1158" s="99">
        <f t="shared" si="37"/>
        <v>0</v>
      </c>
      <c r="CC1158" s="99"/>
      <c r="CV1158" s="99"/>
      <c r="CW1158" s="63"/>
    </row>
    <row r="1159" spans="1:101" ht="22.5" x14ac:dyDescent="0.15">
      <c r="A1159" s="76">
        <v>1074</v>
      </c>
      <c r="B1159" s="74" t="s">
        <v>8425</v>
      </c>
      <c r="C1159" s="74">
        <v>1000618250</v>
      </c>
      <c r="D1159" s="78" t="str">
        <f t="shared" si="36"/>
        <v>https://portal.dnb.de/opac.htm?method=simpleSearch&amp;cqlMode=true&amp;query=idn%3D1000618250</v>
      </c>
      <c r="E1159" s="74" t="s">
        <v>8426</v>
      </c>
      <c r="F1159" s="74"/>
      <c r="G1159" s="76" t="s">
        <v>8515</v>
      </c>
      <c r="H1159" s="77" t="s">
        <v>18</v>
      </c>
      <c r="I1159" s="76" t="s">
        <v>53</v>
      </c>
      <c r="J1159" s="77" t="s">
        <v>58</v>
      </c>
      <c r="K1159" s="77"/>
      <c r="L1159" s="76"/>
      <c r="M1159" s="76"/>
      <c r="N1159" s="76"/>
      <c r="O1159" s="76">
        <v>0</v>
      </c>
      <c r="P1159" s="76"/>
      <c r="Q1159" s="76"/>
      <c r="R1159" s="76"/>
      <c r="S1159" s="76"/>
      <c r="BD1159" s="99">
        <f t="shared" si="37"/>
        <v>0</v>
      </c>
      <c r="CC1159" s="99"/>
      <c r="CV1159" s="99"/>
      <c r="CW1159" s="63"/>
    </row>
    <row r="1160" spans="1:101" ht="22.5" x14ac:dyDescent="0.15">
      <c r="A1160" s="76">
        <v>1075</v>
      </c>
      <c r="B1160" s="74" t="s">
        <v>8427</v>
      </c>
      <c r="C1160" s="74">
        <v>994379161</v>
      </c>
      <c r="D1160" s="78" t="str">
        <f t="shared" si="36"/>
        <v>https://portal.dnb.de/opac.htm?method=simpleSearch&amp;cqlMode=true&amp;query=idn%3D994379161</v>
      </c>
      <c r="E1160" s="74" t="s">
        <v>8428</v>
      </c>
      <c r="F1160" s="74"/>
      <c r="G1160" s="76" t="s">
        <v>8515</v>
      </c>
      <c r="H1160" s="77" t="s">
        <v>48</v>
      </c>
      <c r="I1160" s="76" t="s">
        <v>53</v>
      </c>
      <c r="J1160" s="77" t="s">
        <v>8516</v>
      </c>
      <c r="K1160" s="77" t="s">
        <v>8891</v>
      </c>
      <c r="L1160" s="76"/>
      <c r="M1160" s="76"/>
      <c r="N1160" s="76"/>
      <c r="O1160" s="76">
        <v>0</v>
      </c>
      <c r="P1160" s="76"/>
      <c r="Q1160" s="76"/>
      <c r="R1160" s="76"/>
      <c r="S1160" s="76"/>
      <c r="BD1160" s="99">
        <f t="shared" si="37"/>
        <v>0</v>
      </c>
      <c r="CC1160" s="99"/>
      <c r="CV1160" s="99"/>
      <c r="CW1160" s="63"/>
    </row>
    <row r="1161" spans="1:101" x14ac:dyDescent="0.15">
      <c r="A1161" s="76">
        <v>1076</v>
      </c>
      <c r="B1161" s="74" t="s">
        <v>8429</v>
      </c>
      <c r="C1161" s="74">
        <v>994046707</v>
      </c>
      <c r="D1161" s="78" t="str">
        <f t="shared" si="36"/>
        <v>https://portal.dnb.de/opac.htm?method=simpleSearch&amp;cqlMode=true&amp;query=idn%3D994046707</v>
      </c>
      <c r="E1161" s="74" t="s">
        <v>8430</v>
      </c>
      <c r="F1161" s="74"/>
      <c r="G1161" s="76" t="s">
        <v>8515</v>
      </c>
      <c r="H1161" s="77" t="s">
        <v>4</v>
      </c>
      <c r="I1161" s="76" t="s">
        <v>53</v>
      </c>
      <c r="J1161" s="77" t="s">
        <v>8516</v>
      </c>
      <c r="K1161" s="77" t="s">
        <v>72</v>
      </c>
      <c r="L1161" s="76"/>
      <c r="M1161" s="76" t="s">
        <v>36</v>
      </c>
      <c r="N1161" s="76" t="s">
        <v>39</v>
      </c>
      <c r="O1161" s="76">
        <v>0</v>
      </c>
      <c r="P1161" s="76"/>
      <c r="Q1161" s="76"/>
      <c r="R1161" s="76"/>
      <c r="S1161" s="76"/>
      <c r="BD1161" s="99">
        <f t="shared" si="37"/>
        <v>0</v>
      </c>
      <c r="CC1161" s="99"/>
      <c r="CV1161" s="99"/>
      <c r="CW1161" s="63"/>
    </row>
    <row r="1162" spans="1:101" x14ac:dyDescent="0.15">
      <c r="A1162" s="76">
        <v>1077</v>
      </c>
      <c r="B1162" s="74" t="s">
        <v>8436</v>
      </c>
      <c r="C1162" s="74">
        <v>1001268385</v>
      </c>
      <c r="D1162" s="78" t="str">
        <f t="shared" si="36"/>
        <v>https://portal.dnb.de/opac.htm?method=simpleSearch&amp;cqlMode=true&amp;query=idn%3D1001268385</v>
      </c>
      <c r="E1162" s="74" t="s">
        <v>8437</v>
      </c>
      <c r="F1162" s="74"/>
      <c r="G1162" s="76"/>
      <c r="H1162" s="77" t="s">
        <v>5</v>
      </c>
      <c r="I1162" s="76" t="s">
        <v>53</v>
      </c>
      <c r="J1162" s="77" t="s">
        <v>8516</v>
      </c>
      <c r="K1162" s="77" t="s">
        <v>72</v>
      </c>
      <c r="L1162" s="76"/>
      <c r="M1162" s="76"/>
      <c r="N1162" s="76" t="s">
        <v>8660</v>
      </c>
      <c r="O1162" s="76">
        <v>0</v>
      </c>
      <c r="P1162" s="76"/>
      <c r="Q1162" s="76"/>
      <c r="R1162" s="76"/>
      <c r="S1162" s="76"/>
      <c r="BD1162" s="99">
        <f t="shared" si="37"/>
        <v>0</v>
      </c>
      <c r="CC1162" s="99"/>
      <c r="CV1162" s="99"/>
      <c r="CW1162" s="63"/>
    </row>
    <row r="1163" spans="1:101" x14ac:dyDescent="0.15">
      <c r="A1163" s="76">
        <v>1078</v>
      </c>
      <c r="B1163" s="74" t="s">
        <v>8438</v>
      </c>
      <c r="C1163" s="74">
        <v>1001415841</v>
      </c>
      <c r="D1163" s="78" t="str">
        <f t="shared" si="36"/>
        <v>https://portal.dnb.de/opac.htm?method=simpleSearch&amp;cqlMode=true&amp;query=idn%3D1001415841</v>
      </c>
      <c r="E1163" s="74" t="s">
        <v>8439</v>
      </c>
      <c r="F1163" s="74"/>
      <c r="G1163" s="76"/>
      <c r="H1163" s="77" t="s">
        <v>48</v>
      </c>
      <c r="I1163" s="76" t="s">
        <v>53</v>
      </c>
      <c r="J1163" s="77" t="s">
        <v>8516</v>
      </c>
      <c r="K1163" s="77"/>
      <c r="L1163" s="76"/>
      <c r="M1163" s="76" t="s">
        <v>38</v>
      </c>
      <c r="N1163" s="76" t="s">
        <v>40</v>
      </c>
      <c r="O1163" s="76">
        <v>0</v>
      </c>
      <c r="P1163" s="76"/>
      <c r="Q1163" s="76"/>
      <c r="R1163" s="76"/>
      <c r="S1163" s="76"/>
      <c r="BD1163" s="99">
        <f t="shared" si="37"/>
        <v>0</v>
      </c>
      <c r="CC1163" s="99"/>
      <c r="CV1163" s="99"/>
      <c r="CW1163" s="63"/>
    </row>
    <row r="1164" spans="1:101" x14ac:dyDescent="0.15">
      <c r="A1164" s="76">
        <v>1079</v>
      </c>
      <c r="B1164" s="74" t="s">
        <v>8444</v>
      </c>
      <c r="C1164" s="74">
        <v>12650080</v>
      </c>
      <c r="D1164" s="78" t="str">
        <f t="shared" si="36"/>
        <v>https://portal.dnb.de/opac.htm?method=simpleSearch&amp;cqlMode=true&amp;query=idn%3D12650080</v>
      </c>
      <c r="E1164" s="74" t="s">
        <v>8445</v>
      </c>
      <c r="F1164" s="74"/>
      <c r="G1164" s="76"/>
      <c r="H1164" s="77" t="s">
        <v>8668</v>
      </c>
      <c r="I1164" s="76" t="s">
        <v>53</v>
      </c>
      <c r="J1164" s="77" t="s">
        <v>58</v>
      </c>
      <c r="K1164" s="77"/>
      <c r="L1164" s="76"/>
      <c r="M1164" s="76" t="s">
        <v>34</v>
      </c>
      <c r="N1164" s="76"/>
      <c r="O1164" s="76">
        <v>0</v>
      </c>
      <c r="P1164" s="76"/>
      <c r="Q1164" s="76"/>
      <c r="R1164" s="76"/>
      <c r="S1164" s="76"/>
      <c r="BD1164" s="99">
        <f t="shared" si="37"/>
        <v>0</v>
      </c>
      <c r="CC1164" s="99"/>
      <c r="CV1164" s="99"/>
      <c r="CW1164" s="63"/>
    </row>
    <row r="1165" spans="1:101" x14ac:dyDescent="0.15">
      <c r="A1165" s="76">
        <v>1080</v>
      </c>
      <c r="B1165" s="74" t="s">
        <v>8446</v>
      </c>
      <c r="C1165" s="74">
        <v>1008038768</v>
      </c>
      <c r="D1165" s="78" t="str">
        <f t="shared" si="36"/>
        <v>https://portal.dnb.de/opac.htm?method=simpleSearch&amp;cqlMode=true&amp;query=idn%3D1008038768</v>
      </c>
      <c r="E1165" s="74" t="s">
        <v>8447</v>
      </c>
      <c r="F1165" s="74"/>
      <c r="G1165" s="76"/>
      <c r="H1165" s="77" t="s">
        <v>8668</v>
      </c>
      <c r="I1165" s="76" t="s">
        <v>53</v>
      </c>
      <c r="J1165" s="77" t="s">
        <v>58</v>
      </c>
      <c r="K1165" s="77" t="s">
        <v>84</v>
      </c>
      <c r="L1165" s="76"/>
      <c r="M1165" s="76" t="s">
        <v>36</v>
      </c>
      <c r="N1165" s="76" t="s">
        <v>39</v>
      </c>
      <c r="O1165" s="76">
        <v>1</v>
      </c>
      <c r="P1165" s="76"/>
      <c r="Q1165" s="76"/>
      <c r="R1165" s="76"/>
      <c r="S1165" s="76"/>
      <c r="BD1165" s="99">
        <f t="shared" si="37"/>
        <v>0</v>
      </c>
      <c r="CC1165" s="99"/>
      <c r="CV1165" s="99"/>
      <c r="CW1165" s="63"/>
    </row>
    <row r="1166" spans="1:101" ht="22.5" x14ac:dyDescent="0.15">
      <c r="A1166" s="76">
        <v>1081</v>
      </c>
      <c r="B1166" s="74" t="s">
        <v>8448</v>
      </c>
      <c r="C1166" s="74">
        <v>25045466</v>
      </c>
      <c r="D1166" s="78" t="str">
        <f t="shared" si="36"/>
        <v>https://portal.dnb.de/opac.htm?method=simpleSearch&amp;cqlMode=true&amp;query=idn%3D25045466</v>
      </c>
      <c r="E1166" s="74" t="s">
        <v>8449</v>
      </c>
      <c r="F1166" s="74"/>
      <c r="G1166" s="76"/>
      <c r="H1166" s="77" t="s">
        <v>18</v>
      </c>
      <c r="I1166" s="76" t="s">
        <v>53</v>
      </c>
      <c r="J1166" s="77" t="s">
        <v>58</v>
      </c>
      <c r="K1166" s="77"/>
      <c r="L1166" s="76"/>
      <c r="M1166" s="76" t="s">
        <v>33</v>
      </c>
      <c r="N1166" s="76"/>
      <c r="O1166" s="76">
        <v>2</v>
      </c>
      <c r="P1166" s="76"/>
      <c r="Q1166" s="76"/>
      <c r="R1166" s="76"/>
      <c r="S1166" s="76"/>
      <c r="BD1166" s="99">
        <f t="shared" si="37"/>
        <v>0</v>
      </c>
      <c r="CC1166" s="99"/>
      <c r="CV1166" s="99"/>
      <c r="CW1166" s="63"/>
    </row>
    <row r="1167" spans="1:101" x14ac:dyDescent="0.15">
      <c r="A1167" s="76">
        <v>1082</v>
      </c>
      <c r="B1167" s="74" t="s">
        <v>8308</v>
      </c>
      <c r="C1167" s="74" t="s">
        <v>8309</v>
      </c>
      <c r="D1167" s="78" t="str">
        <f t="shared" si="36"/>
        <v>https://portal.dnb.de/opac.htm?method=simpleSearch&amp;cqlMode=true&amp;query=idn%3D120834918X</v>
      </c>
      <c r="E1167" s="74" t="s">
        <v>8310</v>
      </c>
      <c r="F1167" s="74"/>
      <c r="G1167" s="76"/>
      <c r="H1167" s="77"/>
      <c r="I1167" s="76"/>
      <c r="J1167" s="77"/>
      <c r="K1167" s="77"/>
      <c r="L1167" s="76"/>
      <c r="M1167" s="76"/>
      <c r="N1167" s="76"/>
      <c r="O1167" s="76"/>
      <c r="P1167" s="76"/>
      <c r="Q1167" s="76"/>
      <c r="R1167" s="76"/>
      <c r="S1167" s="76"/>
      <c r="BD1167" s="99">
        <f t="shared" si="37"/>
        <v>0</v>
      </c>
      <c r="CC1167" s="99"/>
      <c r="CV1167" s="99"/>
      <c r="CW1167" s="63"/>
    </row>
    <row r="1168" spans="1:101" x14ac:dyDescent="0.15">
      <c r="A1168" s="76">
        <v>1083</v>
      </c>
      <c r="B1168" s="74" t="s">
        <v>8311</v>
      </c>
      <c r="C1168" s="74">
        <v>1208343246</v>
      </c>
      <c r="D1168" s="78" t="str">
        <f t="shared" si="36"/>
        <v>https://portal.dnb.de/opac.htm?method=simpleSearch&amp;cqlMode=true&amp;query=idn%3D1208343246</v>
      </c>
      <c r="E1168" s="74" t="s">
        <v>8312</v>
      </c>
      <c r="F1168" s="74"/>
      <c r="G1168" s="76"/>
      <c r="H1168" s="77"/>
      <c r="I1168" s="76"/>
      <c r="J1168" s="77"/>
      <c r="K1168" s="77"/>
      <c r="L1168" s="76"/>
      <c r="M1168" s="76"/>
      <c r="N1168" s="76"/>
      <c r="O1168" s="76"/>
      <c r="P1168" s="76"/>
      <c r="Q1168" s="76"/>
      <c r="R1168" s="76"/>
      <c r="S1168" s="76"/>
      <c r="BD1168" s="99">
        <f t="shared" si="37"/>
        <v>0</v>
      </c>
      <c r="CC1168" s="99"/>
      <c r="CV1168" s="99"/>
      <c r="CW1168" s="63"/>
    </row>
    <row r="1169" spans="1:101" x14ac:dyDescent="0.15">
      <c r="A1169" s="76">
        <v>1084</v>
      </c>
      <c r="B1169" s="74" t="s">
        <v>8313</v>
      </c>
      <c r="C1169" s="74">
        <v>1208349880</v>
      </c>
      <c r="D1169" s="78" t="str">
        <f t="shared" si="36"/>
        <v>https://portal.dnb.de/opac.htm?method=simpleSearch&amp;cqlMode=true&amp;query=idn%3D1208349880</v>
      </c>
      <c r="E1169" s="74" t="s">
        <v>8314</v>
      </c>
      <c r="F1169" s="74"/>
      <c r="G1169" s="76"/>
      <c r="H1169" s="77"/>
      <c r="I1169" s="76"/>
      <c r="J1169" s="77"/>
      <c r="K1169" s="77"/>
      <c r="L1169" s="76"/>
      <c r="M1169" s="76"/>
      <c r="N1169" s="76"/>
      <c r="O1169" s="76"/>
      <c r="P1169" s="76"/>
      <c r="Q1169" s="76"/>
      <c r="R1169" s="76"/>
      <c r="S1169" s="76"/>
      <c r="BD1169" s="99">
        <f t="shared" si="37"/>
        <v>0</v>
      </c>
      <c r="CC1169" s="99"/>
      <c r="CV1169" s="99"/>
      <c r="CW1169" s="63"/>
    </row>
    <row r="1170" spans="1:101" x14ac:dyDescent="0.15">
      <c r="A1170" s="76">
        <v>1085</v>
      </c>
      <c r="B1170" s="74" t="s">
        <v>8315</v>
      </c>
      <c r="C1170" s="74">
        <v>1208348922</v>
      </c>
      <c r="D1170" s="78" t="str">
        <f t="shared" si="36"/>
        <v>https://portal.dnb.de/opac.htm?method=simpleSearch&amp;cqlMode=true&amp;query=idn%3D1208348922</v>
      </c>
      <c r="E1170" s="74" t="s">
        <v>8316</v>
      </c>
      <c r="F1170" s="74"/>
      <c r="G1170" s="76"/>
      <c r="H1170" s="77"/>
      <c r="I1170" s="76"/>
      <c r="J1170" s="77"/>
      <c r="K1170" s="77"/>
      <c r="L1170" s="76"/>
      <c r="M1170" s="76"/>
      <c r="N1170" s="76"/>
      <c r="O1170" s="76"/>
      <c r="P1170" s="76"/>
      <c r="Q1170" s="76"/>
      <c r="R1170" s="76"/>
      <c r="S1170" s="76"/>
      <c r="BD1170" s="99">
        <f t="shared" si="37"/>
        <v>0</v>
      </c>
      <c r="CC1170" s="99"/>
      <c r="CV1170" s="99"/>
      <c r="CW1170" s="63"/>
    </row>
    <row r="1171" spans="1:101" x14ac:dyDescent="0.15">
      <c r="A1171" s="76">
        <v>1086</v>
      </c>
      <c r="B1171" s="74" t="s">
        <v>8317</v>
      </c>
      <c r="C1171" s="74">
        <v>1207350257</v>
      </c>
      <c r="D1171" s="78" t="str">
        <f t="shared" si="36"/>
        <v>https://portal.dnb.de/opac.htm?method=simpleSearch&amp;cqlMode=true&amp;query=idn%3D1207350257</v>
      </c>
      <c r="E1171" s="74" t="s">
        <v>8318</v>
      </c>
      <c r="F1171" s="74"/>
      <c r="G1171" s="76"/>
      <c r="H1171" s="77"/>
      <c r="I1171" s="76"/>
      <c r="J1171" s="77"/>
      <c r="K1171" s="77"/>
      <c r="L1171" s="76"/>
      <c r="M1171" s="76"/>
      <c r="N1171" s="76"/>
      <c r="O1171" s="76"/>
      <c r="P1171" s="76"/>
      <c r="Q1171" s="76"/>
      <c r="R1171" s="76"/>
      <c r="S1171" s="76"/>
      <c r="BD1171" s="99">
        <f t="shared" si="37"/>
        <v>0</v>
      </c>
      <c r="CC1171" s="99"/>
      <c r="CV1171" s="99"/>
      <c r="CW1171" s="63"/>
    </row>
    <row r="1172" spans="1:101" x14ac:dyDescent="0.15">
      <c r="A1172" s="76">
        <v>1087</v>
      </c>
      <c r="B1172" s="74" t="s">
        <v>8321</v>
      </c>
      <c r="C1172" s="74">
        <v>1210217198</v>
      </c>
      <c r="D1172" s="78" t="str">
        <f t="shared" si="36"/>
        <v>https://portal.dnb.de/opac.htm?method=simpleSearch&amp;cqlMode=true&amp;query=idn%3D1210217198</v>
      </c>
      <c r="E1172" s="74" t="s">
        <v>8322</v>
      </c>
      <c r="F1172" s="74"/>
      <c r="G1172" s="76"/>
      <c r="H1172" s="77"/>
      <c r="I1172" s="76"/>
      <c r="J1172" s="77"/>
      <c r="K1172" s="77"/>
      <c r="L1172" s="76"/>
      <c r="M1172" s="76"/>
      <c r="N1172" s="76"/>
      <c r="O1172" s="76"/>
      <c r="P1172" s="76"/>
      <c r="Q1172" s="76"/>
      <c r="R1172" s="76"/>
      <c r="S1172" s="76"/>
      <c r="BD1172" s="99">
        <f t="shared" si="37"/>
        <v>0</v>
      </c>
      <c r="CC1172" s="99"/>
      <c r="CV1172" s="99"/>
      <c r="CW1172" s="63"/>
    </row>
    <row r="1173" spans="1:101" x14ac:dyDescent="0.15">
      <c r="A1173" s="76">
        <v>1088</v>
      </c>
      <c r="B1173" s="74" t="s">
        <v>8325</v>
      </c>
      <c r="C1173" s="74" t="s">
        <v>8326</v>
      </c>
      <c r="D1173" s="78" t="str">
        <f t="shared" si="36"/>
        <v>https://portal.dnb.de/opac.htm?method=simpleSearch&amp;cqlMode=true&amp;query=idn%3D120853100X</v>
      </c>
      <c r="E1173" s="74" t="s">
        <v>8327</v>
      </c>
      <c r="F1173" s="74"/>
      <c r="G1173" s="76"/>
      <c r="H1173" s="77"/>
      <c r="I1173" s="76"/>
      <c r="J1173" s="77"/>
      <c r="K1173" s="77"/>
      <c r="L1173" s="76"/>
      <c r="M1173" s="76"/>
      <c r="N1173" s="76"/>
      <c r="O1173" s="76"/>
      <c r="P1173" s="76"/>
      <c r="Q1173" s="76"/>
      <c r="R1173" s="76"/>
      <c r="S1173" s="76"/>
      <c r="BD1173" s="99">
        <f t="shared" si="37"/>
        <v>0</v>
      </c>
      <c r="CC1173" s="99"/>
      <c r="CV1173" s="99"/>
      <c r="CW1173" s="63"/>
    </row>
    <row r="1174" spans="1:101" x14ac:dyDescent="0.15">
      <c r="A1174" s="76">
        <v>1089</v>
      </c>
      <c r="B1174" s="74" t="s">
        <v>8334</v>
      </c>
      <c r="C1174" s="74">
        <v>995786887</v>
      </c>
      <c r="D1174" s="78" t="str">
        <f t="shared" si="36"/>
        <v>https://portal.dnb.de/opac.htm?method=simpleSearch&amp;cqlMode=true&amp;query=idn%3D995786887</v>
      </c>
      <c r="E1174" s="74" t="s">
        <v>8335</v>
      </c>
      <c r="F1174" s="74"/>
      <c r="G1174" s="76"/>
      <c r="H1174" s="77"/>
      <c r="I1174" s="76"/>
      <c r="J1174" s="77"/>
      <c r="K1174" s="77"/>
      <c r="L1174" s="76"/>
      <c r="M1174" s="76"/>
      <c r="N1174" s="76"/>
      <c r="O1174" s="76"/>
      <c r="P1174" s="76"/>
      <c r="Q1174" s="76"/>
      <c r="R1174" s="76"/>
      <c r="S1174" s="76"/>
      <c r="BD1174" s="99">
        <f t="shared" si="37"/>
        <v>0</v>
      </c>
      <c r="CC1174" s="99"/>
      <c r="CV1174" s="99"/>
      <c r="CW1174" s="63"/>
    </row>
    <row r="1175" spans="1:101" x14ac:dyDescent="0.15">
      <c r="A1175" s="76">
        <v>1090</v>
      </c>
      <c r="B1175" s="74" t="s">
        <v>8340</v>
      </c>
      <c r="C1175" s="74">
        <v>1000526968</v>
      </c>
      <c r="D1175" s="78" t="str">
        <f t="shared" si="36"/>
        <v>https://portal.dnb.de/opac.htm?method=simpleSearch&amp;cqlMode=true&amp;query=idn%3D1000526968</v>
      </c>
      <c r="E1175" s="74" t="s">
        <v>8341</v>
      </c>
      <c r="F1175" s="74"/>
      <c r="G1175" s="76"/>
      <c r="H1175" s="77"/>
      <c r="I1175" s="76"/>
      <c r="J1175" s="77"/>
      <c r="K1175" s="77"/>
      <c r="L1175" s="76"/>
      <c r="M1175" s="76"/>
      <c r="N1175" s="76"/>
      <c r="O1175" s="76"/>
      <c r="P1175" s="76"/>
      <c r="Q1175" s="76"/>
      <c r="R1175" s="76"/>
      <c r="S1175" s="76"/>
      <c r="BD1175" s="99">
        <f t="shared" si="37"/>
        <v>0</v>
      </c>
      <c r="CC1175" s="99"/>
      <c r="CV1175" s="99"/>
      <c r="CW1175" s="63"/>
    </row>
    <row r="1176" spans="1:101" x14ac:dyDescent="0.15">
      <c r="A1176" s="76">
        <v>1091</v>
      </c>
      <c r="B1176" s="74" t="s">
        <v>8342</v>
      </c>
      <c r="C1176" s="74">
        <v>1000792471</v>
      </c>
      <c r="D1176" s="78" t="str">
        <f t="shared" si="36"/>
        <v>https://portal.dnb.de/opac.htm?method=simpleSearch&amp;cqlMode=true&amp;query=idn%3D1000792471</v>
      </c>
      <c r="E1176" s="74" t="s">
        <v>8341</v>
      </c>
      <c r="F1176" s="74"/>
      <c r="G1176" s="76"/>
      <c r="H1176" s="77"/>
      <c r="I1176" s="76"/>
      <c r="J1176" s="77"/>
      <c r="K1176" s="77"/>
      <c r="L1176" s="76"/>
      <c r="M1176" s="76"/>
      <c r="N1176" s="76"/>
      <c r="O1176" s="76"/>
      <c r="P1176" s="76"/>
      <c r="Q1176" s="76"/>
      <c r="R1176" s="76"/>
      <c r="S1176" s="76"/>
      <c r="BD1176" s="99">
        <f t="shared" si="37"/>
        <v>0</v>
      </c>
      <c r="CC1176" s="99"/>
      <c r="CV1176" s="99"/>
      <c r="CW1176" s="63"/>
    </row>
    <row r="1177" spans="1:101" x14ac:dyDescent="0.15">
      <c r="A1177" s="76">
        <v>1092</v>
      </c>
      <c r="B1177" s="74" t="s">
        <v>8343</v>
      </c>
      <c r="C1177" s="74">
        <v>1000071480</v>
      </c>
      <c r="D1177" s="78" t="str">
        <f t="shared" si="36"/>
        <v>https://portal.dnb.de/opac.htm?method=simpleSearch&amp;cqlMode=true&amp;query=idn%3D1000071480</v>
      </c>
      <c r="E1177" s="74" t="s">
        <v>8344</v>
      </c>
      <c r="F1177" s="74"/>
      <c r="G1177" s="76"/>
      <c r="H1177" s="77"/>
      <c r="I1177" s="76"/>
      <c r="J1177" s="77"/>
      <c r="K1177" s="77"/>
      <c r="L1177" s="76"/>
      <c r="M1177" s="76"/>
      <c r="N1177" s="76"/>
      <c r="O1177" s="76"/>
      <c r="P1177" s="76"/>
      <c r="Q1177" s="76"/>
      <c r="R1177" s="76"/>
      <c r="S1177" s="76"/>
      <c r="BD1177" s="99">
        <f t="shared" si="37"/>
        <v>0</v>
      </c>
      <c r="CC1177" s="99"/>
      <c r="CV1177" s="99"/>
      <c r="CW1177" s="63"/>
    </row>
    <row r="1178" spans="1:101" x14ac:dyDescent="0.15">
      <c r="A1178" s="76">
        <v>1093</v>
      </c>
      <c r="B1178" s="74" t="s">
        <v>8345</v>
      </c>
      <c r="C1178" s="74">
        <v>1002332443</v>
      </c>
      <c r="D1178" s="78" t="str">
        <f t="shared" si="36"/>
        <v>https://portal.dnb.de/opac.htm?method=simpleSearch&amp;cqlMode=true&amp;query=idn%3D1002332443</v>
      </c>
      <c r="E1178" s="74" t="s">
        <v>8344</v>
      </c>
      <c r="F1178" s="74"/>
      <c r="G1178" s="76"/>
      <c r="H1178" s="77"/>
      <c r="I1178" s="76"/>
      <c r="J1178" s="77"/>
      <c r="K1178" s="77"/>
      <c r="L1178" s="76"/>
      <c r="M1178" s="76"/>
      <c r="N1178" s="76"/>
      <c r="O1178" s="76"/>
      <c r="P1178" s="76"/>
      <c r="Q1178" s="76"/>
      <c r="R1178" s="76"/>
      <c r="S1178" s="76"/>
      <c r="BD1178" s="99">
        <f t="shared" si="37"/>
        <v>0</v>
      </c>
      <c r="CC1178" s="99"/>
      <c r="CV1178" s="99"/>
      <c r="CW1178" s="63"/>
    </row>
    <row r="1179" spans="1:101" x14ac:dyDescent="0.15">
      <c r="A1179" s="76">
        <v>1094</v>
      </c>
      <c r="B1179" s="74" t="s">
        <v>8348</v>
      </c>
      <c r="C1179" s="74">
        <v>12650064</v>
      </c>
      <c r="D1179" s="78" t="str">
        <f t="shared" si="36"/>
        <v>https://portal.dnb.de/opac.htm?method=simpleSearch&amp;cqlMode=true&amp;query=idn%3D12650064</v>
      </c>
      <c r="E1179" s="74" t="s">
        <v>8349</v>
      </c>
      <c r="F1179" s="74"/>
      <c r="G1179" s="76"/>
      <c r="H1179" s="77"/>
      <c r="I1179" s="76"/>
      <c r="J1179" s="77"/>
      <c r="K1179" s="77"/>
      <c r="L1179" s="76"/>
      <c r="M1179" s="76"/>
      <c r="N1179" s="76"/>
      <c r="O1179" s="76"/>
      <c r="P1179" s="76"/>
      <c r="Q1179" s="76"/>
      <c r="R1179" s="76"/>
      <c r="S1179" s="76"/>
      <c r="BD1179" s="99">
        <f t="shared" si="37"/>
        <v>0</v>
      </c>
      <c r="CC1179" s="99"/>
      <c r="CV1179" s="99"/>
      <c r="CW1179" s="63"/>
    </row>
    <row r="1180" spans="1:101" x14ac:dyDescent="0.15">
      <c r="A1180" s="76">
        <v>1095</v>
      </c>
      <c r="B1180" s="74" t="s">
        <v>8350</v>
      </c>
      <c r="C1180" s="74">
        <v>994305729</v>
      </c>
      <c r="D1180" s="78" t="str">
        <f t="shared" si="36"/>
        <v>https://portal.dnb.de/opac.htm?method=simpleSearch&amp;cqlMode=true&amp;query=idn%3D994305729</v>
      </c>
      <c r="E1180" s="74" t="s">
        <v>8351</v>
      </c>
      <c r="F1180" s="74"/>
      <c r="G1180" s="76"/>
      <c r="H1180" s="77"/>
      <c r="I1180" s="76"/>
      <c r="J1180" s="77"/>
      <c r="K1180" s="77"/>
      <c r="L1180" s="76"/>
      <c r="M1180" s="76"/>
      <c r="N1180" s="76"/>
      <c r="O1180" s="76"/>
      <c r="P1180" s="76"/>
      <c r="Q1180" s="76"/>
      <c r="R1180" s="76"/>
      <c r="S1180" s="76"/>
      <c r="BD1180" s="99">
        <f t="shared" si="37"/>
        <v>0</v>
      </c>
      <c r="CC1180" s="99"/>
      <c r="CV1180" s="99"/>
      <c r="CW1180" s="63"/>
    </row>
    <row r="1181" spans="1:101" x14ac:dyDescent="0.15">
      <c r="A1181" s="76">
        <v>1096</v>
      </c>
      <c r="B1181" s="74" t="s">
        <v>8352</v>
      </c>
      <c r="C1181" s="74">
        <v>1003446620</v>
      </c>
      <c r="D1181" s="78" t="str">
        <f t="shared" si="36"/>
        <v>https://portal.dnb.de/opac.htm?method=simpleSearch&amp;cqlMode=true&amp;query=idn%3D1003446620</v>
      </c>
      <c r="E1181" s="74" t="s">
        <v>8353</v>
      </c>
      <c r="F1181" s="74"/>
      <c r="G1181" s="76"/>
      <c r="H1181" s="77"/>
      <c r="I1181" s="76"/>
      <c r="J1181" s="77"/>
      <c r="K1181" s="77"/>
      <c r="L1181" s="76"/>
      <c r="M1181" s="76"/>
      <c r="N1181" s="76"/>
      <c r="O1181" s="76"/>
      <c r="P1181" s="76"/>
      <c r="Q1181" s="76"/>
      <c r="R1181" s="76"/>
      <c r="S1181" s="76"/>
      <c r="BD1181" s="99">
        <f t="shared" si="37"/>
        <v>0</v>
      </c>
      <c r="CC1181" s="99"/>
      <c r="CV1181" s="99"/>
      <c r="CW1181" s="63"/>
    </row>
    <row r="1182" spans="1:101" x14ac:dyDescent="0.15">
      <c r="A1182" s="76">
        <v>1097</v>
      </c>
      <c r="B1182" s="74" t="s">
        <v>8354</v>
      </c>
      <c r="C1182" s="74">
        <v>1003446582</v>
      </c>
      <c r="D1182" s="78" t="str">
        <f t="shared" si="36"/>
        <v>https://portal.dnb.de/opac.htm?method=simpleSearch&amp;cqlMode=true&amp;query=idn%3D1003446582</v>
      </c>
      <c r="E1182" s="74" t="s">
        <v>8353</v>
      </c>
      <c r="F1182" s="74"/>
      <c r="G1182" s="76"/>
      <c r="H1182" s="77"/>
      <c r="I1182" s="76"/>
      <c r="J1182" s="77"/>
      <c r="K1182" s="77"/>
      <c r="L1182" s="76"/>
      <c r="M1182" s="76"/>
      <c r="N1182" s="76"/>
      <c r="O1182" s="76"/>
      <c r="P1182" s="76"/>
      <c r="Q1182" s="76"/>
      <c r="R1182" s="76"/>
      <c r="S1182" s="76"/>
      <c r="BD1182" s="99">
        <f t="shared" si="37"/>
        <v>0</v>
      </c>
      <c r="CC1182" s="99"/>
      <c r="CV1182" s="99"/>
      <c r="CW1182" s="63"/>
    </row>
    <row r="1183" spans="1:101" x14ac:dyDescent="0.15">
      <c r="A1183" s="76">
        <v>1098</v>
      </c>
      <c r="B1183" s="74" t="s">
        <v>8355</v>
      </c>
      <c r="C1183" s="74">
        <v>994151497</v>
      </c>
      <c r="D1183" s="78" t="str">
        <f t="shared" si="36"/>
        <v>https://portal.dnb.de/opac.htm?method=simpleSearch&amp;cqlMode=true&amp;query=idn%3D994151497</v>
      </c>
      <c r="E1183" s="74" t="s">
        <v>8356</v>
      </c>
      <c r="F1183" s="74"/>
      <c r="G1183" s="76"/>
      <c r="H1183" s="77"/>
      <c r="I1183" s="76"/>
      <c r="J1183" s="77"/>
      <c r="K1183" s="77"/>
      <c r="L1183" s="76"/>
      <c r="M1183" s="76"/>
      <c r="N1183" s="76"/>
      <c r="O1183" s="76"/>
      <c r="P1183" s="76"/>
      <c r="Q1183" s="76"/>
      <c r="R1183" s="76"/>
      <c r="S1183" s="76"/>
      <c r="BD1183" s="99">
        <f t="shared" si="37"/>
        <v>0</v>
      </c>
      <c r="CC1183" s="99"/>
      <c r="CV1183" s="99"/>
      <c r="CW1183" s="63"/>
    </row>
    <row r="1184" spans="1:101" x14ac:dyDescent="0.15">
      <c r="A1184" s="76">
        <v>1099</v>
      </c>
      <c r="B1184" s="74" t="s">
        <v>8374</v>
      </c>
      <c r="C1184" s="74">
        <v>1003230261</v>
      </c>
      <c r="D1184" s="78" t="str">
        <f t="shared" si="36"/>
        <v>https://portal.dnb.de/opac.htm?method=simpleSearch&amp;cqlMode=true&amp;query=idn%3D1003230261</v>
      </c>
      <c r="E1184" s="74" t="s">
        <v>8375</v>
      </c>
      <c r="F1184" s="74"/>
      <c r="G1184" s="76"/>
      <c r="H1184" s="77"/>
      <c r="I1184" s="76"/>
      <c r="J1184" s="77"/>
      <c r="K1184" s="77"/>
      <c r="L1184" s="76"/>
      <c r="M1184" s="76"/>
      <c r="N1184" s="76"/>
      <c r="O1184" s="76"/>
      <c r="P1184" s="76"/>
      <c r="Q1184" s="76"/>
      <c r="R1184" s="76"/>
      <c r="S1184" s="76"/>
      <c r="BD1184" s="99">
        <f t="shared" si="37"/>
        <v>0</v>
      </c>
      <c r="CC1184" s="99"/>
      <c r="CV1184" s="99"/>
      <c r="CW1184" s="63"/>
    </row>
    <row r="1185" spans="1:101" x14ac:dyDescent="0.15">
      <c r="A1185" s="76">
        <v>1100</v>
      </c>
      <c r="B1185" s="74" t="s">
        <v>8382</v>
      </c>
      <c r="C1185" s="74">
        <v>994566816</v>
      </c>
      <c r="D1185" s="78" t="str">
        <f t="shared" si="36"/>
        <v>https://portal.dnb.de/opac.htm?method=simpleSearch&amp;cqlMode=true&amp;query=idn%3D994566816</v>
      </c>
      <c r="E1185" s="74" t="s">
        <v>8383</v>
      </c>
      <c r="F1185" s="74"/>
      <c r="G1185" s="76"/>
      <c r="H1185" s="77"/>
      <c r="I1185" s="76"/>
      <c r="J1185" s="77"/>
      <c r="K1185" s="77"/>
      <c r="L1185" s="76"/>
      <c r="M1185" s="76"/>
      <c r="N1185" s="76"/>
      <c r="O1185" s="76"/>
      <c r="P1185" s="76"/>
      <c r="Q1185" s="76"/>
      <c r="R1185" s="76"/>
      <c r="S1185" s="76"/>
      <c r="BD1185" s="99">
        <f t="shared" si="37"/>
        <v>0</v>
      </c>
      <c r="CC1185" s="99"/>
      <c r="CV1185" s="99"/>
      <c r="CW1185" s="63"/>
    </row>
    <row r="1186" spans="1:101" x14ac:dyDescent="0.15">
      <c r="A1186" s="76">
        <v>1101</v>
      </c>
      <c r="B1186" s="74" t="s">
        <v>8390</v>
      </c>
      <c r="C1186" s="74">
        <v>999063146</v>
      </c>
      <c r="D1186" s="78" t="str">
        <f t="shared" si="36"/>
        <v>https://portal.dnb.de/opac.htm?method=simpleSearch&amp;cqlMode=true&amp;query=idn%3D999063146</v>
      </c>
      <c r="E1186" s="74" t="s">
        <v>8391</v>
      </c>
      <c r="F1186" s="74"/>
      <c r="G1186" s="76"/>
      <c r="H1186" s="77"/>
      <c r="I1186" s="76"/>
      <c r="J1186" s="77"/>
      <c r="K1186" s="77"/>
      <c r="L1186" s="76"/>
      <c r="M1186" s="76"/>
      <c r="N1186" s="76"/>
      <c r="O1186" s="76"/>
      <c r="P1186" s="76"/>
      <c r="Q1186" s="76"/>
      <c r="R1186" s="76"/>
      <c r="S1186" s="76"/>
      <c r="BD1186" s="99">
        <f t="shared" si="37"/>
        <v>0</v>
      </c>
      <c r="CC1186" s="99"/>
      <c r="CV1186" s="99"/>
      <c r="CW1186" s="63"/>
    </row>
    <row r="1187" spans="1:101" ht="22.5" x14ac:dyDescent="0.15">
      <c r="A1187" s="76">
        <v>1102</v>
      </c>
      <c r="B1187" s="74" t="s">
        <v>8396</v>
      </c>
      <c r="C1187" s="74">
        <v>11921900</v>
      </c>
      <c r="D1187" s="78" t="str">
        <f t="shared" si="36"/>
        <v>https://portal.dnb.de/opac.htm?method=simpleSearch&amp;cqlMode=true&amp;query=idn%3D11921900</v>
      </c>
      <c r="E1187" s="74" t="s">
        <v>8397</v>
      </c>
      <c r="F1187" s="74"/>
      <c r="G1187" s="76" t="s">
        <v>8515</v>
      </c>
      <c r="H1187" s="77" t="s">
        <v>18</v>
      </c>
      <c r="I1187" s="76" t="s">
        <v>53</v>
      </c>
      <c r="J1187" s="77" t="s">
        <v>8516</v>
      </c>
      <c r="K1187" s="77" t="s">
        <v>87</v>
      </c>
      <c r="L1187" s="76"/>
      <c r="M1187" s="76" t="s">
        <v>36</v>
      </c>
      <c r="N1187" s="76" t="s">
        <v>39</v>
      </c>
      <c r="O1187" s="76">
        <v>0</v>
      </c>
      <c r="P1187" s="76"/>
      <c r="Q1187" s="76"/>
      <c r="R1187" s="76"/>
      <c r="S1187" s="76"/>
      <c r="BD1187" s="99">
        <f t="shared" si="37"/>
        <v>0</v>
      </c>
      <c r="CC1187" s="99"/>
      <c r="CV1187" s="99"/>
      <c r="CW1187" s="63"/>
    </row>
    <row r="1188" spans="1:101" x14ac:dyDescent="0.15">
      <c r="A1188" s="76">
        <v>1103</v>
      </c>
      <c r="B1188" s="74" t="s">
        <v>8398</v>
      </c>
      <c r="C1188" s="74" t="s">
        <v>8399</v>
      </c>
      <c r="D1188" s="78" t="str">
        <f t="shared" si="36"/>
        <v>https://portal.dnb.de/opac.htm?method=simpleSearch&amp;cqlMode=true&amp;query=idn%3D99419241X</v>
      </c>
      <c r="E1188" s="74" t="s">
        <v>8400</v>
      </c>
      <c r="F1188" s="74"/>
      <c r="G1188" s="76"/>
      <c r="H1188" s="77" t="s">
        <v>49</v>
      </c>
      <c r="I1188" s="76" t="s">
        <v>55</v>
      </c>
      <c r="J1188" s="77" t="s">
        <v>8516</v>
      </c>
      <c r="K1188" s="77" t="s">
        <v>8577</v>
      </c>
      <c r="L1188" s="76"/>
      <c r="M1188" s="76" t="s">
        <v>36</v>
      </c>
      <c r="N1188" s="76" t="s">
        <v>8790</v>
      </c>
      <c r="O1188" s="76">
        <v>1</v>
      </c>
      <c r="P1188" s="76"/>
      <c r="Q1188" s="76"/>
      <c r="R1188" s="76"/>
      <c r="S1188" s="76"/>
      <c r="BD1188" s="99">
        <f t="shared" si="37"/>
        <v>0</v>
      </c>
      <c r="CC1188" s="99"/>
      <c r="CV1188" s="99"/>
      <c r="CW1188" s="63"/>
    </row>
    <row r="1189" spans="1:101" x14ac:dyDescent="0.15">
      <c r="A1189" s="76">
        <v>1104</v>
      </c>
      <c r="B1189" s="74" t="s">
        <v>8401</v>
      </c>
      <c r="C1189" s="74">
        <v>994192460</v>
      </c>
      <c r="D1189" s="78" t="str">
        <f t="shared" si="36"/>
        <v>https://portal.dnb.de/opac.htm?method=simpleSearch&amp;cqlMode=true&amp;query=idn%3D994192460</v>
      </c>
      <c r="E1189" s="74" t="s">
        <v>8400</v>
      </c>
      <c r="F1189" s="74"/>
      <c r="G1189" s="76"/>
      <c r="H1189" s="77"/>
      <c r="I1189" s="76"/>
      <c r="J1189" s="77"/>
      <c r="K1189" s="77"/>
      <c r="L1189" s="76"/>
      <c r="M1189" s="76"/>
      <c r="N1189" s="76"/>
      <c r="O1189" s="76"/>
      <c r="P1189" s="76"/>
      <c r="Q1189" s="76"/>
      <c r="R1189" s="76"/>
      <c r="S1189" s="76"/>
      <c r="BD1189" s="99">
        <f t="shared" si="37"/>
        <v>0</v>
      </c>
      <c r="CC1189" s="99"/>
      <c r="CV1189" s="99"/>
      <c r="CW1189" s="63"/>
    </row>
    <row r="1190" spans="1:101" x14ac:dyDescent="0.15">
      <c r="A1190" s="76">
        <v>1105</v>
      </c>
      <c r="B1190" s="74" t="s">
        <v>8414</v>
      </c>
      <c r="C1190" s="74">
        <v>995834482</v>
      </c>
      <c r="D1190" s="78" t="str">
        <f t="shared" si="36"/>
        <v>https://portal.dnb.de/opac.htm?method=simpleSearch&amp;cqlMode=true&amp;query=idn%3D995834482</v>
      </c>
      <c r="E1190" s="74" t="s">
        <v>8415</v>
      </c>
      <c r="F1190" s="74"/>
      <c r="G1190" s="76"/>
      <c r="H1190" s="77" t="s">
        <v>8668</v>
      </c>
      <c r="I1190" s="76" t="s">
        <v>54</v>
      </c>
      <c r="J1190" s="77" t="s">
        <v>58</v>
      </c>
      <c r="K1190" s="77"/>
      <c r="L1190" s="76"/>
      <c r="M1190" s="76" t="s">
        <v>38</v>
      </c>
      <c r="N1190" s="76"/>
      <c r="O1190" s="76">
        <v>0</v>
      </c>
      <c r="P1190" s="76"/>
      <c r="Q1190" s="76"/>
      <c r="R1190" s="76"/>
      <c r="S1190" s="76"/>
      <c r="BD1190" s="99">
        <f t="shared" si="37"/>
        <v>0</v>
      </c>
      <c r="CC1190" s="99"/>
      <c r="CV1190" s="99"/>
      <c r="CW1190" s="63"/>
    </row>
    <row r="1191" spans="1:101" x14ac:dyDescent="0.15">
      <c r="A1191" s="76">
        <v>1106</v>
      </c>
      <c r="B1191" s="74" t="s">
        <v>8422</v>
      </c>
      <c r="C1191" s="74" t="s">
        <v>8423</v>
      </c>
      <c r="D1191" s="78" t="str">
        <f t="shared" si="36"/>
        <v>https://portal.dnb.de/opac.htm?method=simpleSearch&amp;cqlMode=true&amp;query=idn%3D99904267X</v>
      </c>
      <c r="E1191" s="74" t="s">
        <v>8424</v>
      </c>
      <c r="F1191" s="74"/>
      <c r="G1191" s="76" t="s">
        <v>8541</v>
      </c>
      <c r="H1191" s="77" t="s">
        <v>5</v>
      </c>
      <c r="I1191" s="76" t="s">
        <v>53</v>
      </c>
      <c r="J1191" s="77" t="s">
        <v>8516</v>
      </c>
      <c r="K1191" s="77" t="s">
        <v>72</v>
      </c>
      <c r="L1191" s="76"/>
      <c r="M1191" s="76" t="s">
        <v>36</v>
      </c>
      <c r="N1191" s="76" t="s">
        <v>39</v>
      </c>
      <c r="O1191" s="76">
        <v>0</v>
      </c>
      <c r="P1191" s="76"/>
      <c r="Q1191" s="76"/>
      <c r="R1191" s="76"/>
      <c r="S1191" s="76"/>
      <c r="BD1191" s="99">
        <f t="shared" si="37"/>
        <v>0</v>
      </c>
      <c r="CC1191" s="99"/>
      <c r="CV1191" s="99"/>
      <c r="CW1191" s="63"/>
    </row>
    <row r="1192" spans="1:101" x14ac:dyDescent="0.15">
      <c r="A1192" s="76">
        <v>1107</v>
      </c>
      <c r="B1192" s="74" t="s">
        <v>8431</v>
      </c>
      <c r="C1192" s="74">
        <v>999990136</v>
      </c>
      <c r="D1192" s="78" t="str">
        <f t="shared" si="36"/>
        <v>https://portal.dnb.de/opac.htm?method=simpleSearch&amp;cqlMode=true&amp;query=idn%3D999990136</v>
      </c>
      <c r="E1192" s="74" t="s">
        <v>8432</v>
      </c>
      <c r="F1192" s="74"/>
      <c r="G1192" s="76"/>
      <c r="H1192" s="77"/>
      <c r="I1192" s="76"/>
      <c r="J1192" s="77"/>
      <c r="K1192" s="77"/>
      <c r="L1192" s="76"/>
      <c r="M1192" s="76"/>
      <c r="N1192" s="76"/>
      <c r="O1192" s="76"/>
      <c r="P1192" s="76"/>
      <c r="Q1192" s="76"/>
      <c r="R1192" s="76"/>
      <c r="S1192" s="76"/>
      <c r="BD1192" s="99">
        <f t="shared" si="37"/>
        <v>0</v>
      </c>
      <c r="CC1192" s="99"/>
      <c r="CV1192" s="99"/>
      <c r="CW1192" s="63"/>
    </row>
    <row r="1193" spans="1:101" ht="22.5" x14ac:dyDescent="0.15">
      <c r="A1193" s="76">
        <v>1108</v>
      </c>
      <c r="B1193" s="74" t="s">
        <v>8433</v>
      </c>
      <c r="C1193" s="74">
        <v>999989782</v>
      </c>
      <c r="D1193" s="78" t="str">
        <f t="shared" si="36"/>
        <v>https://portal.dnb.de/opac.htm?method=simpleSearch&amp;cqlMode=true&amp;query=idn%3D999989782</v>
      </c>
      <c r="E1193" s="74" t="s">
        <v>8432</v>
      </c>
      <c r="F1193" s="74"/>
      <c r="G1193" s="76"/>
      <c r="H1193" s="77" t="s">
        <v>48</v>
      </c>
      <c r="I1193" s="76" t="s">
        <v>53</v>
      </c>
      <c r="J1193" s="77" t="s">
        <v>8516</v>
      </c>
      <c r="K1193" s="77" t="s">
        <v>8539</v>
      </c>
      <c r="L1193" s="76"/>
      <c r="M1193" s="76"/>
      <c r="N1193" s="76" t="s">
        <v>8660</v>
      </c>
      <c r="O1193" s="76">
        <v>0</v>
      </c>
      <c r="P1193" s="76"/>
      <c r="Q1193" s="76"/>
      <c r="R1193" s="76"/>
      <c r="S1193" s="76"/>
      <c r="BD1193" s="99">
        <f t="shared" si="37"/>
        <v>0</v>
      </c>
      <c r="CC1193" s="99"/>
      <c r="CV1193" s="99"/>
      <c r="CW1193" s="63"/>
    </row>
    <row r="1194" spans="1:101" x14ac:dyDescent="0.15">
      <c r="A1194" s="76">
        <v>1109</v>
      </c>
      <c r="B1194" s="74" t="s">
        <v>8434</v>
      </c>
      <c r="C1194" s="74" t="s">
        <v>8435</v>
      </c>
      <c r="D1194" s="78" t="str">
        <f t="shared" si="36"/>
        <v>https://portal.dnb.de/opac.htm?method=simpleSearch&amp;cqlMode=true&amp;query=idn%3D99999025X</v>
      </c>
      <c r="E1194" s="74" t="s">
        <v>8432</v>
      </c>
      <c r="F1194" s="74"/>
      <c r="G1194" s="76"/>
      <c r="H1194" s="77"/>
      <c r="I1194" s="76"/>
      <c r="J1194" s="77"/>
      <c r="K1194" s="77"/>
      <c r="L1194" s="76"/>
      <c r="M1194" s="76"/>
      <c r="N1194" s="76"/>
      <c r="O1194" s="76"/>
      <c r="P1194" s="76"/>
      <c r="Q1194" s="76"/>
      <c r="R1194" s="76"/>
      <c r="S1194" s="76"/>
      <c r="BD1194" s="99">
        <f t="shared" si="37"/>
        <v>0</v>
      </c>
      <c r="CC1194" s="99"/>
      <c r="CV1194" s="99"/>
      <c r="CW1194" s="63"/>
    </row>
    <row r="1195" spans="1:101" ht="22.5" x14ac:dyDescent="0.15">
      <c r="A1195" s="76">
        <v>1110</v>
      </c>
      <c r="B1195" s="74" t="s">
        <v>8462</v>
      </c>
      <c r="C1195" s="74">
        <v>1066786704</v>
      </c>
      <c r="D1195" s="78" t="str">
        <f t="shared" si="36"/>
        <v>https://portal.dnb.de/opac.htm?method=simpleSearch&amp;cqlMode=true&amp;query=idn%3D1066786704</v>
      </c>
      <c r="E1195" s="74" t="s">
        <v>8463</v>
      </c>
      <c r="F1195" s="74"/>
      <c r="G1195" s="76"/>
      <c r="H1195" s="77" t="s">
        <v>18</v>
      </c>
      <c r="I1195" s="76" t="s">
        <v>53</v>
      </c>
      <c r="J1195" s="77" t="s">
        <v>8516</v>
      </c>
      <c r="K1195" s="77" t="s">
        <v>84</v>
      </c>
      <c r="L1195" s="76"/>
      <c r="M1195" s="76"/>
      <c r="N1195" s="76"/>
      <c r="O1195" s="76">
        <v>0</v>
      </c>
      <c r="P1195" s="76"/>
      <c r="Q1195" s="76"/>
      <c r="R1195" s="76"/>
      <c r="S1195" s="76"/>
      <c r="BD1195" s="99">
        <f t="shared" si="37"/>
        <v>0</v>
      </c>
      <c r="CC1195" s="99"/>
      <c r="CV1195" s="99"/>
      <c r="CW1195" s="63"/>
    </row>
    <row r="1196" spans="1:101" ht="22.5" x14ac:dyDescent="0.15">
      <c r="A1196" s="76">
        <v>1111</v>
      </c>
      <c r="B1196" s="74" t="s">
        <v>8464</v>
      </c>
      <c r="C1196" s="74">
        <v>1066768757</v>
      </c>
      <c r="D1196" s="78" t="str">
        <f t="shared" si="36"/>
        <v>https://portal.dnb.de/opac.htm?method=simpleSearch&amp;cqlMode=true&amp;query=idn%3D1066768757</v>
      </c>
      <c r="E1196" s="74" t="s">
        <v>8465</v>
      </c>
      <c r="F1196" s="74"/>
      <c r="G1196" s="76" t="s">
        <v>8515</v>
      </c>
      <c r="H1196" s="77" t="s">
        <v>48</v>
      </c>
      <c r="I1196" s="76" t="s">
        <v>53</v>
      </c>
      <c r="J1196" s="77" t="s">
        <v>58</v>
      </c>
      <c r="K1196" s="77" t="s">
        <v>8564</v>
      </c>
      <c r="L1196" s="76"/>
      <c r="M1196" s="76"/>
      <c r="N1196" s="76"/>
      <c r="O1196" s="76">
        <v>1</v>
      </c>
      <c r="P1196" s="76"/>
      <c r="Q1196" s="76" t="s">
        <v>9040</v>
      </c>
      <c r="R1196" s="76"/>
      <c r="S1196" s="76"/>
      <c r="BD1196" s="99">
        <f t="shared" si="37"/>
        <v>0</v>
      </c>
      <c r="CC1196" s="99"/>
      <c r="CV1196" s="99"/>
      <c r="CW1196" s="63"/>
    </row>
    <row r="1197" spans="1:101" x14ac:dyDescent="0.15">
      <c r="A1197" s="76">
        <v>1112</v>
      </c>
      <c r="B1197" s="74" t="s">
        <v>8466</v>
      </c>
      <c r="C1197" s="74">
        <v>1066778434</v>
      </c>
      <c r="D1197" s="78" t="str">
        <f t="shared" si="36"/>
        <v>https://portal.dnb.de/opac.htm?method=simpleSearch&amp;cqlMode=true&amp;query=idn%3D1066778434</v>
      </c>
      <c r="E1197" s="74" t="s">
        <v>8467</v>
      </c>
      <c r="F1197" s="74"/>
      <c r="G1197" s="76" t="s">
        <v>8515</v>
      </c>
      <c r="H1197" s="77" t="s">
        <v>4</v>
      </c>
      <c r="I1197" s="76" t="s">
        <v>53</v>
      </c>
      <c r="J1197" s="77" t="s">
        <v>8516</v>
      </c>
      <c r="K1197" s="77" t="s">
        <v>84</v>
      </c>
      <c r="L1197" s="76"/>
      <c r="M1197" s="76"/>
      <c r="N1197" s="76" t="s">
        <v>8660</v>
      </c>
      <c r="O1197" s="76">
        <v>2</v>
      </c>
      <c r="P1197" s="76"/>
      <c r="Q1197" s="76"/>
      <c r="R1197" s="76"/>
      <c r="S1197" s="76"/>
      <c r="BD1197" s="99">
        <f t="shared" si="37"/>
        <v>0</v>
      </c>
      <c r="CC1197" s="99"/>
      <c r="CV1197" s="99"/>
      <c r="CW1197" s="63"/>
    </row>
    <row r="1198" spans="1:101" ht="22.5" x14ac:dyDescent="0.15">
      <c r="A1198" s="76">
        <v>1113</v>
      </c>
      <c r="B1198" s="74" t="s">
        <v>8468</v>
      </c>
      <c r="C1198" s="74">
        <v>1066757488</v>
      </c>
      <c r="D1198" s="78" t="str">
        <f t="shared" si="36"/>
        <v>https://portal.dnb.de/opac.htm?method=simpleSearch&amp;cqlMode=true&amp;query=idn%3D1066757488</v>
      </c>
      <c r="E1198" s="74" t="s">
        <v>8469</v>
      </c>
      <c r="F1198" s="74"/>
      <c r="G1198" s="76" t="s">
        <v>8515</v>
      </c>
      <c r="H1198" s="77" t="s">
        <v>4</v>
      </c>
      <c r="I1198" s="76" t="s">
        <v>54</v>
      </c>
      <c r="J1198" s="77" t="s">
        <v>58</v>
      </c>
      <c r="K1198" s="77" t="s">
        <v>8557</v>
      </c>
      <c r="L1198" s="76"/>
      <c r="M1198" s="76"/>
      <c r="N1198" s="76" t="s">
        <v>8660</v>
      </c>
      <c r="O1198" s="76">
        <v>3</v>
      </c>
      <c r="P1198" s="76"/>
      <c r="Q1198" s="76"/>
      <c r="R1198" s="76"/>
      <c r="S1198" s="76"/>
      <c r="Y1198" s="95" t="s">
        <v>9723</v>
      </c>
      <c r="AC1198" s="95" t="s">
        <v>9737</v>
      </c>
      <c r="AI1198" s="95" t="s">
        <v>9725</v>
      </c>
      <c r="AW1198" s="95">
        <v>110</v>
      </c>
      <c r="BC1198" s="96" t="s">
        <v>9726</v>
      </c>
      <c r="BD1198" s="99">
        <f t="shared" si="37"/>
        <v>1</v>
      </c>
      <c r="BP1198" s="69" t="s">
        <v>8541</v>
      </c>
      <c r="BQ1198" s="95" t="s">
        <v>8541</v>
      </c>
      <c r="BR1198" s="95" t="s">
        <v>8541</v>
      </c>
      <c r="BT1198" s="95" t="s">
        <v>9775</v>
      </c>
      <c r="CC1198" s="99">
        <v>1</v>
      </c>
      <c r="CD1198" s="90" t="s">
        <v>10086</v>
      </c>
      <c r="CV1198" s="99"/>
      <c r="CW1198" s="63"/>
    </row>
    <row r="1199" spans="1:101" x14ac:dyDescent="0.15">
      <c r="A1199" s="76"/>
      <c r="B1199" s="74"/>
      <c r="C1199" s="74"/>
      <c r="D1199" s="78"/>
      <c r="E1199" s="74" t="s">
        <v>8892</v>
      </c>
      <c r="F1199" s="74"/>
      <c r="G1199" s="76" t="s">
        <v>8515</v>
      </c>
      <c r="H1199" s="77" t="s">
        <v>6</v>
      </c>
      <c r="I1199" s="76" t="s">
        <v>53</v>
      </c>
      <c r="J1199" s="77" t="s">
        <v>8516</v>
      </c>
      <c r="K1199" s="77" t="s">
        <v>84</v>
      </c>
      <c r="L1199" s="76"/>
      <c r="M1199" s="76"/>
      <c r="N1199" s="76"/>
      <c r="O1199" s="76">
        <v>0</v>
      </c>
      <c r="P1199" s="76"/>
      <c r="Q1199" s="76"/>
      <c r="R1199" s="76"/>
      <c r="S1199" s="76"/>
      <c r="BD1199" s="99">
        <f t="shared" si="37"/>
        <v>0</v>
      </c>
      <c r="CC1199" s="99"/>
      <c r="CV1199" s="99"/>
      <c r="CW1199" s="63"/>
    </row>
    <row r="1200" spans="1:101" ht="22.5" x14ac:dyDescent="0.15">
      <c r="A1200" s="76">
        <v>1114</v>
      </c>
      <c r="B1200" s="74" t="s">
        <v>8470</v>
      </c>
      <c r="C1200" s="74">
        <v>1066964459</v>
      </c>
      <c r="D1200" s="78" t="str">
        <f t="shared" si="36"/>
        <v>https://portal.dnb.de/opac.htm?method=simpleSearch&amp;cqlMode=true&amp;query=idn%3D1066964459</v>
      </c>
      <c r="E1200" s="74" t="s">
        <v>8471</v>
      </c>
      <c r="F1200" s="74"/>
      <c r="G1200" s="76" t="s">
        <v>8515</v>
      </c>
      <c r="H1200" s="77" t="s">
        <v>8547</v>
      </c>
      <c r="I1200" s="76" t="s">
        <v>53</v>
      </c>
      <c r="J1200" s="77" t="s">
        <v>8516</v>
      </c>
      <c r="K1200" s="77" t="s">
        <v>84</v>
      </c>
      <c r="L1200" s="76"/>
      <c r="M1200" s="76" t="s">
        <v>37</v>
      </c>
      <c r="N1200" s="76" t="s">
        <v>40</v>
      </c>
      <c r="O1200" s="76">
        <v>0</v>
      </c>
      <c r="P1200" s="76"/>
      <c r="Q1200" s="76"/>
      <c r="R1200" s="76"/>
      <c r="S1200" s="76"/>
      <c r="BD1200" s="99">
        <f t="shared" si="37"/>
        <v>0</v>
      </c>
      <c r="CC1200" s="99"/>
      <c r="CV1200" s="99"/>
      <c r="CW1200" s="63"/>
    </row>
    <row r="1201" spans="1:101" ht="33.75" x14ac:dyDescent="0.15">
      <c r="A1201" s="76">
        <v>1115</v>
      </c>
      <c r="B1201" s="74" t="s">
        <v>8472</v>
      </c>
      <c r="C1201" s="74">
        <v>1066779228</v>
      </c>
      <c r="D1201" s="78" t="str">
        <f t="shared" ref="D1201:D1264" si="38">HYPERLINK(CONCATENATE("https://portal.dnb.de/opac.htm?method=simpleSearch&amp;cqlMode=true&amp;query=idn%3D",C1201))</f>
        <v>https://portal.dnb.de/opac.htm?method=simpleSearch&amp;cqlMode=true&amp;query=idn%3D1066779228</v>
      </c>
      <c r="E1201" s="74" t="s">
        <v>8473</v>
      </c>
      <c r="F1201" s="74"/>
      <c r="G1201" s="76" t="s">
        <v>8541</v>
      </c>
      <c r="H1201" s="77" t="s">
        <v>8673</v>
      </c>
      <c r="I1201" s="76" t="s">
        <v>54</v>
      </c>
      <c r="J1201" s="77" t="s">
        <v>8516</v>
      </c>
      <c r="K1201" s="77" t="s">
        <v>84</v>
      </c>
      <c r="L1201" s="76"/>
      <c r="M1201" s="76" t="s">
        <v>37</v>
      </c>
      <c r="N1201" s="76" t="s">
        <v>40</v>
      </c>
      <c r="O1201" s="76">
        <v>1</v>
      </c>
      <c r="P1201" s="76"/>
      <c r="Q1201" s="76"/>
      <c r="R1201" s="76"/>
      <c r="S1201" s="76"/>
      <c r="BD1201" s="99">
        <f t="shared" si="37"/>
        <v>0</v>
      </c>
      <c r="CC1201" s="99"/>
      <c r="CV1201" s="99"/>
      <c r="CW1201" s="63"/>
    </row>
    <row r="1202" spans="1:101" x14ac:dyDescent="0.15">
      <c r="A1202" s="76">
        <v>1116</v>
      </c>
      <c r="B1202" s="74" t="s">
        <v>8474</v>
      </c>
      <c r="C1202" s="74">
        <v>1066962081</v>
      </c>
      <c r="D1202" s="78" t="str">
        <f t="shared" si="38"/>
        <v>https://portal.dnb.de/opac.htm?method=simpleSearch&amp;cqlMode=true&amp;query=idn%3D1066962081</v>
      </c>
      <c r="E1202" s="74" t="s">
        <v>8475</v>
      </c>
      <c r="F1202" s="74"/>
      <c r="G1202" s="76" t="s">
        <v>8515</v>
      </c>
      <c r="H1202" s="77" t="s">
        <v>4</v>
      </c>
      <c r="I1202" s="76" t="s">
        <v>53</v>
      </c>
      <c r="J1202" s="77" t="s">
        <v>8516</v>
      </c>
      <c r="K1202" s="77" t="s">
        <v>84</v>
      </c>
      <c r="L1202" s="76"/>
      <c r="M1202" s="76"/>
      <c r="N1202" s="76"/>
      <c r="O1202" s="76">
        <v>1</v>
      </c>
      <c r="P1202" s="76"/>
      <c r="Q1202" s="76"/>
      <c r="R1202" s="76"/>
      <c r="S1202" s="76"/>
      <c r="BD1202" s="99">
        <f t="shared" si="37"/>
        <v>0</v>
      </c>
      <c r="CC1202" s="99"/>
      <c r="CV1202" s="99"/>
      <c r="CW1202" s="63"/>
    </row>
    <row r="1203" spans="1:101" x14ac:dyDescent="0.15">
      <c r="A1203" s="76">
        <v>1117</v>
      </c>
      <c r="B1203" s="74" t="s">
        <v>8483</v>
      </c>
      <c r="C1203" s="74">
        <v>1066880808</v>
      </c>
      <c r="D1203" s="78" t="str">
        <f t="shared" si="38"/>
        <v>https://portal.dnb.de/opac.htm?method=simpleSearch&amp;cqlMode=true&amp;query=idn%3D1066880808</v>
      </c>
      <c r="E1203" s="74" t="s">
        <v>8484</v>
      </c>
      <c r="F1203" s="74"/>
      <c r="G1203" s="76" t="s">
        <v>8515</v>
      </c>
      <c r="H1203" s="77" t="s">
        <v>4</v>
      </c>
      <c r="I1203" s="76" t="s">
        <v>53</v>
      </c>
      <c r="J1203" s="77" t="s">
        <v>8516</v>
      </c>
      <c r="K1203" s="77" t="s">
        <v>84</v>
      </c>
      <c r="L1203" s="76"/>
      <c r="M1203" s="76"/>
      <c r="N1203" s="76"/>
      <c r="O1203" s="76">
        <v>2</v>
      </c>
      <c r="P1203" s="76"/>
      <c r="Q1203" s="76"/>
      <c r="R1203" s="76"/>
      <c r="S1203" s="76"/>
      <c r="BD1203" s="99">
        <f t="shared" si="37"/>
        <v>0</v>
      </c>
      <c r="CC1203" s="99"/>
      <c r="CV1203" s="99"/>
      <c r="CW1203" s="63"/>
    </row>
    <row r="1204" spans="1:101" ht="22.5" x14ac:dyDescent="0.15">
      <c r="A1204" s="76">
        <v>1118</v>
      </c>
      <c r="B1204" s="74" t="s">
        <v>8485</v>
      </c>
      <c r="C1204" s="74">
        <v>1066847770</v>
      </c>
      <c r="D1204" s="78" t="str">
        <f t="shared" si="38"/>
        <v>https://portal.dnb.de/opac.htm?method=simpleSearch&amp;cqlMode=true&amp;query=idn%3D1066847770</v>
      </c>
      <c r="E1204" s="74" t="s">
        <v>8486</v>
      </c>
      <c r="F1204" s="74"/>
      <c r="G1204" s="76" t="s">
        <v>8515</v>
      </c>
      <c r="H1204" s="77" t="s">
        <v>5</v>
      </c>
      <c r="I1204" s="76" t="s">
        <v>53</v>
      </c>
      <c r="J1204" s="77" t="s">
        <v>8516</v>
      </c>
      <c r="K1204" s="77" t="s">
        <v>8565</v>
      </c>
      <c r="L1204" s="76"/>
      <c r="M1204" s="76"/>
      <c r="N1204" s="76"/>
      <c r="O1204" s="76">
        <v>2</v>
      </c>
      <c r="P1204" s="76"/>
      <c r="Q1204" s="76"/>
      <c r="R1204" s="76"/>
      <c r="S1204" s="76"/>
      <c r="BD1204" s="99">
        <f t="shared" si="37"/>
        <v>0</v>
      </c>
      <c r="CC1204" s="99"/>
      <c r="CV1204" s="99"/>
      <c r="CW1204" s="63"/>
    </row>
    <row r="1205" spans="1:101" ht="22.5" x14ac:dyDescent="0.15">
      <c r="A1205" s="76">
        <v>1119</v>
      </c>
      <c r="B1205" s="74" t="s">
        <v>8487</v>
      </c>
      <c r="C1205" s="74">
        <v>1066870918</v>
      </c>
      <c r="D1205" s="78" t="str">
        <f t="shared" si="38"/>
        <v>https://portal.dnb.de/opac.htm?method=simpleSearch&amp;cqlMode=true&amp;query=idn%3D1066870918</v>
      </c>
      <c r="E1205" s="74" t="s">
        <v>8488</v>
      </c>
      <c r="F1205" s="74"/>
      <c r="G1205" s="76"/>
      <c r="H1205" s="77" t="s">
        <v>8893</v>
      </c>
      <c r="I1205" s="76" t="s">
        <v>53</v>
      </c>
      <c r="J1205" s="77" t="s">
        <v>58</v>
      </c>
      <c r="K1205" s="77"/>
      <c r="L1205" s="76"/>
      <c r="M1205" s="76"/>
      <c r="N1205" s="76" t="s">
        <v>8660</v>
      </c>
      <c r="O1205" s="76">
        <v>0</v>
      </c>
      <c r="P1205" s="76"/>
      <c r="Q1205" s="76"/>
      <c r="R1205" s="76"/>
      <c r="S1205" s="76"/>
      <c r="BD1205" s="99">
        <f t="shared" si="37"/>
        <v>0</v>
      </c>
      <c r="CC1205" s="99"/>
      <c r="CV1205" s="99"/>
      <c r="CW1205" s="63"/>
    </row>
    <row r="1206" spans="1:101" x14ac:dyDescent="0.15">
      <c r="A1206" s="76">
        <v>1120</v>
      </c>
      <c r="B1206" s="74" t="s">
        <v>8491</v>
      </c>
      <c r="C1206" s="74">
        <v>998924806</v>
      </c>
      <c r="D1206" s="78" t="str">
        <f t="shared" si="38"/>
        <v>https://portal.dnb.de/opac.htm?method=simpleSearch&amp;cqlMode=true&amp;query=idn%3D998924806</v>
      </c>
      <c r="E1206" s="74" t="s">
        <v>8492</v>
      </c>
      <c r="F1206" s="74"/>
      <c r="G1206" s="76"/>
      <c r="H1206" s="77"/>
      <c r="I1206" s="76"/>
      <c r="J1206" s="77"/>
      <c r="K1206" s="77"/>
      <c r="L1206" s="76"/>
      <c r="M1206" s="76"/>
      <c r="N1206" s="76"/>
      <c r="O1206" s="76"/>
      <c r="P1206" s="76"/>
      <c r="Q1206" s="76"/>
      <c r="R1206" s="76"/>
      <c r="S1206" s="76"/>
      <c r="BD1206" s="99">
        <f t="shared" si="37"/>
        <v>0</v>
      </c>
      <c r="CC1206" s="99"/>
      <c r="CV1206" s="99"/>
      <c r="CW1206" s="63"/>
    </row>
    <row r="1207" spans="1:101" x14ac:dyDescent="0.15">
      <c r="A1207" s="76">
        <v>1121</v>
      </c>
      <c r="B1207" s="74" t="s">
        <v>8493</v>
      </c>
      <c r="C1207" s="74">
        <v>997437324</v>
      </c>
      <c r="D1207" s="78" t="str">
        <f t="shared" si="38"/>
        <v>https://portal.dnb.de/opac.htm?method=simpleSearch&amp;cqlMode=true&amp;query=idn%3D997437324</v>
      </c>
      <c r="E1207" s="74" t="s">
        <v>8492</v>
      </c>
      <c r="F1207" s="74"/>
      <c r="G1207" s="76"/>
      <c r="H1207" s="77" t="s">
        <v>48</v>
      </c>
      <c r="I1207" s="76" t="s">
        <v>54</v>
      </c>
      <c r="J1207" s="77" t="s">
        <v>8516</v>
      </c>
      <c r="K1207" s="77"/>
      <c r="L1207" s="76"/>
      <c r="M1207" s="76" t="s">
        <v>37</v>
      </c>
      <c r="N1207" s="76" t="s">
        <v>8660</v>
      </c>
      <c r="O1207" s="76">
        <v>0</v>
      </c>
      <c r="P1207" s="76"/>
      <c r="Q1207" s="76"/>
      <c r="R1207" s="76"/>
      <c r="S1207" s="76"/>
      <c r="BD1207" s="99">
        <f t="shared" si="37"/>
        <v>0</v>
      </c>
      <c r="CC1207" s="99"/>
      <c r="CV1207" s="99"/>
      <c r="CW1207" s="63"/>
    </row>
    <row r="1208" spans="1:101" ht="33.75" x14ac:dyDescent="0.15">
      <c r="A1208" s="76">
        <v>1122</v>
      </c>
      <c r="B1208" s="74" t="s">
        <v>8489</v>
      </c>
      <c r="C1208" s="74">
        <v>1066962383</v>
      </c>
      <c r="D1208" s="78" t="str">
        <f t="shared" si="38"/>
        <v>https://portal.dnb.de/opac.htm?method=simpleSearch&amp;cqlMode=true&amp;query=idn%3D1066962383</v>
      </c>
      <c r="E1208" s="74" t="s">
        <v>8490</v>
      </c>
      <c r="F1208" s="74"/>
      <c r="G1208" s="76"/>
      <c r="H1208" s="77" t="s">
        <v>8674</v>
      </c>
      <c r="I1208" s="76" t="s">
        <v>53</v>
      </c>
      <c r="J1208" s="77" t="s">
        <v>58</v>
      </c>
      <c r="K1208" s="77" t="s">
        <v>84</v>
      </c>
      <c r="L1208" s="76"/>
      <c r="M1208" s="76" t="s">
        <v>37</v>
      </c>
      <c r="N1208" s="76"/>
      <c r="O1208" s="76">
        <v>0</v>
      </c>
      <c r="P1208" s="76"/>
      <c r="Q1208" s="76"/>
      <c r="R1208" s="76"/>
      <c r="S1208" s="76"/>
      <c r="BD1208" s="99">
        <f t="shared" si="37"/>
        <v>0</v>
      </c>
      <c r="CC1208" s="99"/>
      <c r="CV1208" s="99"/>
      <c r="CW1208" s="63"/>
    </row>
    <row r="1209" spans="1:101" ht="33.75" x14ac:dyDescent="0.15">
      <c r="A1209" s="76">
        <v>1123</v>
      </c>
      <c r="B1209" s="74" t="s">
        <v>8494</v>
      </c>
      <c r="C1209" s="74">
        <v>993906877</v>
      </c>
      <c r="D1209" s="78" t="str">
        <f t="shared" si="38"/>
        <v>https://portal.dnb.de/opac.htm?method=simpleSearch&amp;cqlMode=true&amp;query=idn%3D993906877</v>
      </c>
      <c r="E1209" s="74" t="s">
        <v>8495</v>
      </c>
      <c r="F1209" s="74"/>
      <c r="G1209" s="76"/>
      <c r="H1209" s="77" t="s">
        <v>8894</v>
      </c>
      <c r="I1209" s="76" t="s">
        <v>54</v>
      </c>
      <c r="J1209" s="77" t="s">
        <v>8516</v>
      </c>
      <c r="K1209" s="77" t="s">
        <v>8601</v>
      </c>
      <c r="L1209" s="76"/>
      <c r="M1209" s="76" t="s">
        <v>37</v>
      </c>
      <c r="N1209" s="76" t="s">
        <v>8660</v>
      </c>
      <c r="O1209" s="76">
        <v>1</v>
      </c>
      <c r="P1209" s="76"/>
      <c r="Q1209" s="76"/>
      <c r="R1209" s="76"/>
      <c r="S1209" s="76"/>
      <c r="BD1209" s="99">
        <f t="shared" si="37"/>
        <v>0</v>
      </c>
      <c r="CC1209" s="99"/>
      <c r="CV1209" s="99"/>
      <c r="CW1209" s="63"/>
    </row>
    <row r="1210" spans="1:101" ht="22.5" x14ac:dyDescent="0.15">
      <c r="A1210" s="76">
        <v>1124</v>
      </c>
      <c r="B1210" s="74" t="s">
        <v>8496</v>
      </c>
      <c r="C1210" s="74">
        <v>1066959528</v>
      </c>
      <c r="D1210" s="78" t="str">
        <f t="shared" si="38"/>
        <v>https://portal.dnb.de/opac.htm?method=simpleSearch&amp;cqlMode=true&amp;query=idn%3D1066959528</v>
      </c>
      <c r="E1210" s="74" t="s">
        <v>8497</v>
      </c>
      <c r="F1210" s="74"/>
      <c r="G1210" s="76"/>
      <c r="H1210" s="77" t="s">
        <v>49</v>
      </c>
      <c r="I1210" s="76" t="s">
        <v>54</v>
      </c>
      <c r="J1210" s="77" t="s">
        <v>89</v>
      </c>
      <c r="K1210" s="77" t="s">
        <v>8973</v>
      </c>
      <c r="L1210" s="76"/>
      <c r="M1210" s="76"/>
      <c r="N1210" s="76"/>
      <c r="O1210" s="76">
        <v>0</v>
      </c>
      <c r="P1210" s="76"/>
      <c r="Q1210" s="76"/>
      <c r="R1210" s="76"/>
      <c r="S1210" s="76"/>
      <c r="BD1210" s="99">
        <f t="shared" si="37"/>
        <v>0</v>
      </c>
      <c r="CC1210" s="99"/>
      <c r="CV1210" s="99"/>
      <c r="CW1210" s="63"/>
    </row>
    <row r="1211" spans="1:101" ht="22.5" x14ac:dyDescent="0.15">
      <c r="A1211" s="76">
        <v>1125</v>
      </c>
      <c r="B1211" s="74" t="s">
        <v>8500</v>
      </c>
      <c r="C1211" s="74">
        <v>1066458103</v>
      </c>
      <c r="D1211" s="78" t="str">
        <f t="shared" si="38"/>
        <v>https://portal.dnb.de/opac.htm?method=simpleSearch&amp;cqlMode=true&amp;query=idn%3D1066458103</v>
      </c>
      <c r="E1211" s="74" t="s">
        <v>8501</v>
      </c>
      <c r="F1211" s="74"/>
      <c r="G1211" s="76" t="s">
        <v>8541</v>
      </c>
      <c r="H1211" s="77" t="s">
        <v>8547</v>
      </c>
      <c r="I1211" s="76" t="s">
        <v>53</v>
      </c>
      <c r="J1211" s="77" t="s">
        <v>89</v>
      </c>
      <c r="K1211" s="77" t="s">
        <v>72</v>
      </c>
      <c r="L1211" s="76"/>
      <c r="M1211" s="76" t="s">
        <v>37</v>
      </c>
      <c r="N1211" s="76"/>
      <c r="O1211" s="76">
        <v>0</v>
      </c>
      <c r="P1211" s="76"/>
      <c r="Q1211" s="76"/>
      <c r="R1211" s="76"/>
      <c r="S1211" s="76"/>
      <c r="BD1211" s="99">
        <f t="shared" si="37"/>
        <v>0</v>
      </c>
      <c r="CC1211" s="99"/>
      <c r="CV1211" s="99"/>
      <c r="CW1211" s="63"/>
    </row>
    <row r="1212" spans="1:101" ht="22.5" x14ac:dyDescent="0.15">
      <c r="A1212" s="76">
        <v>1126</v>
      </c>
      <c r="B1212" s="74" t="s">
        <v>8502</v>
      </c>
      <c r="C1212" s="74">
        <v>997615915</v>
      </c>
      <c r="D1212" s="78" t="str">
        <f t="shared" si="38"/>
        <v>https://portal.dnb.de/opac.htm?method=simpleSearch&amp;cqlMode=true&amp;query=idn%3D997615915</v>
      </c>
      <c r="E1212" s="74" t="s">
        <v>8503</v>
      </c>
      <c r="F1212" s="74"/>
      <c r="G1212" s="76"/>
      <c r="H1212" s="77" t="s">
        <v>18</v>
      </c>
      <c r="I1212" s="76" t="s">
        <v>54</v>
      </c>
      <c r="J1212" s="77" t="s">
        <v>8516</v>
      </c>
      <c r="K1212" s="77" t="s">
        <v>8771</v>
      </c>
      <c r="L1212" s="76"/>
      <c r="M1212" s="76" t="s">
        <v>36</v>
      </c>
      <c r="N1212" s="76" t="s">
        <v>39</v>
      </c>
      <c r="O1212" s="76">
        <v>0</v>
      </c>
      <c r="P1212" s="76"/>
      <c r="Q1212" s="76"/>
      <c r="R1212" s="76"/>
      <c r="S1212" s="76"/>
      <c r="BD1212" s="99">
        <f t="shared" si="37"/>
        <v>0</v>
      </c>
      <c r="CC1212" s="99"/>
      <c r="CV1212" s="99"/>
      <c r="CW1212" s="63"/>
    </row>
    <row r="1213" spans="1:101" x14ac:dyDescent="0.15">
      <c r="A1213" s="76">
        <v>1127</v>
      </c>
      <c r="B1213" s="74" t="s">
        <v>8498</v>
      </c>
      <c r="C1213" s="74">
        <v>999514385</v>
      </c>
      <c r="D1213" s="78" t="str">
        <f t="shared" si="38"/>
        <v>https://portal.dnb.de/opac.htm?method=simpleSearch&amp;cqlMode=true&amp;query=idn%3D999514385</v>
      </c>
      <c r="E1213" s="74" t="s">
        <v>8499</v>
      </c>
      <c r="F1213" s="74"/>
      <c r="G1213" s="76"/>
      <c r="H1213" s="77" t="s">
        <v>4</v>
      </c>
      <c r="I1213" s="76" t="s">
        <v>53</v>
      </c>
      <c r="J1213" s="77" t="s">
        <v>8516</v>
      </c>
      <c r="K1213" s="77" t="s">
        <v>8520</v>
      </c>
      <c r="L1213" s="76"/>
      <c r="M1213" s="76"/>
      <c r="N1213" s="76" t="s">
        <v>8660</v>
      </c>
      <c r="O1213" s="76">
        <v>0</v>
      </c>
      <c r="P1213" s="76"/>
      <c r="Q1213" s="76"/>
      <c r="R1213" s="76"/>
      <c r="S1213" s="76"/>
      <c r="BD1213" s="99">
        <f t="shared" si="37"/>
        <v>0</v>
      </c>
      <c r="CC1213" s="99"/>
      <c r="CV1213" s="99"/>
      <c r="CW1213" s="63"/>
    </row>
    <row r="1214" spans="1:101" x14ac:dyDescent="0.15">
      <c r="A1214" s="76">
        <v>1128</v>
      </c>
      <c r="B1214" s="74" t="s">
        <v>118</v>
      </c>
      <c r="C1214" s="74">
        <v>19304218</v>
      </c>
      <c r="D1214" s="78" t="str">
        <f t="shared" si="38"/>
        <v>https://portal.dnb.de/opac.htm?method=simpleSearch&amp;cqlMode=true&amp;query=idn%3D19304218</v>
      </c>
      <c r="E1214" s="74" t="s">
        <v>119</v>
      </c>
      <c r="F1214" s="74"/>
      <c r="G1214" s="76"/>
      <c r="H1214" s="77" t="s">
        <v>8668</v>
      </c>
      <c r="I1214" s="76" t="s">
        <v>53</v>
      </c>
      <c r="J1214" s="77" t="s">
        <v>58</v>
      </c>
      <c r="K1214" s="77" t="s">
        <v>87</v>
      </c>
      <c r="L1214" s="76"/>
      <c r="M1214" s="76" t="s">
        <v>38</v>
      </c>
      <c r="N1214" s="76" t="s">
        <v>40</v>
      </c>
      <c r="O1214" s="76">
        <v>0</v>
      </c>
      <c r="P1214" s="76"/>
      <c r="Q1214" s="76"/>
      <c r="R1214" s="76"/>
      <c r="S1214" s="76"/>
      <c r="BD1214" s="99">
        <f t="shared" si="37"/>
        <v>0</v>
      </c>
      <c r="CC1214" s="99"/>
      <c r="CV1214" s="99"/>
      <c r="CW1214" s="63"/>
    </row>
    <row r="1215" spans="1:101" x14ac:dyDescent="0.15">
      <c r="A1215" s="76">
        <v>1129</v>
      </c>
      <c r="B1215" s="74" t="s">
        <v>129</v>
      </c>
      <c r="C1215" s="74">
        <v>1000527956</v>
      </c>
      <c r="D1215" s="78" t="str">
        <f t="shared" si="38"/>
        <v>https://portal.dnb.de/opac.htm?method=simpleSearch&amp;cqlMode=true&amp;query=idn%3D1000527956</v>
      </c>
      <c r="E1215" s="74" t="s">
        <v>130</v>
      </c>
      <c r="F1215" s="74"/>
      <c r="G1215" s="76"/>
      <c r="H1215" s="77"/>
      <c r="I1215" s="76"/>
      <c r="J1215" s="77"/>
      <c r="K1215" s="77"/>
      <c r="L1215" s="76"/>
      <c r="M1215" s="76"/>
      <c r="N1215" s="76"/>
      <c r="O1215" s="76"/>
      <c r="P1215" s="76"/>
      <c r="Q1215" s="76"/>
      <c r="R1215" s="76"/>
      <c r="S1215" s="76"/>
      <c r="BD1215" s="99">
        <f t="shared" si="37"/>
        <v>0</v>
      </c>
      <c r="CC1215" s="99"/>
      <c r="CV1215" s="99"/>
      <c r="CW1215" s="63"/>
    </row>
    <row r="1216" spans="1:101" ht="22.5" x14ac:dyDescent="0.15">
      <c r="A1216" s="76">
        <v>1130</v>
      </c>
      <c r="B1216" s="74" t="s">
        <v>110</v>
      </c>
      <c r="C1216" s="74">
        <v>1066962375</v>
      </c>
      <c r="D1216" s="78" t="str">
        <f t="shared" si="38"/>
        <v>https://portal.dnb.de/opac.htm?method=simpleSearch&amp;cqlMode=true&amp;query=idn%3D1066962375</v>
      </c>
      <c r="E1216" s="74" t="s">
        <v>111</v>
      </c>
      <c r="F1216" s="74"/>
      <c r="G1216" s="76" t="s">
        <v>8541</v>
      </c>
      <c r="H1216" s="77" t="s">
        <v>6</v>
      </c>
      <c r="I1216" s="76" t="s">
        <v>53</v>
      </c>
      <c r="J1216" s="77" t="s">
        <v>8516</v>
      </c>
      <c r="K1216" s="77" t="s">
        <v>8552</v>
      </c>
      <c r="L1216" s="76"/>
      <c r="M1216" s="76"/>
      <c r="N1216" s="76"/>
      <c r="O1216" s="76">
        <v>0</v>
      </c>
      <c r="P1216" s="76"/>
      <c r="Q1216" s="76"/>
      <c r="R1216" s="76"/>
      <c r="S1216" s="76"/>
      <c r="BD1216" s="99">
        <f t="shared" si="37"/>
        <v>0</v>
      </c>
      <c r="CC1216" s="99"/>
      <c r="CV1216" s="99"/>
      <c r="CW1216" s="63"/>
    </row>
    <row r="1217" spans="1:101" x14ac:dyDescent="0.15">
      <c r="A1217" s="76">
        <v>1131</v>
      </c>
      <c r="B1217" s="74" t="s">
        <v>120</v>
      </c>
      <c r="C1217" s="74">
        <v>994816553</v>
      </c>
      <c r="D1217" s="78" t="str">
        <f t="shared" si="38"/>
        <v>https://portal.dnb.de/opac.htm?method=simpleSearch&amp;cqlMode=true&amp;query=idn%3D994816553</v>
      </c>
      <c r="E1217" s="74" t="s">
        <v>121</v>
      </c>
      <c r="F1217" s="74"/>
      <c r="G1217" s="76"/>
      <c r="H1217" s="77"/>
      <c r="I1217" s="76"/>
      <c r="J1217" s="77"/>
      <c r="K1217" s="77"/>
      <c r="L1217" s="76"/>
      <c r="M1217" s="76"/>
      <c r="N1217" s="76"/>
      <c r="O1217" s="76"/>
      <c r="P1217" s="76"/>
      <c r="Q1217" s="76"/>
      <c r="R1217" s="76"/>
      <c r="S1217" s="76"/>
      <c r="BD1217" s="99">
        <f t="shared" si="37"/>
        <v>0</v>
      </c>
      <c r="CC1217" s="99"/>
      <c r="CV1217" s="99"/>
      <c r="CW1217" s="63"/>
    </row>
    <row r="1218" spans="1:101" x14ac:dyDescent="0.15">
      <c r="A1218" s="76">
        <v>1132</v>
      </c>
      <c r="B1218" s="74" t="s">
        <v>122</v>
      </c>
      <c r="C1218" s="74">
        <v>1000527794</v>
      </c>
      <c r="D1218" s="78" t="str">
        <f t="shared" si="38"/>
        <v>https://portal.dnb.de/opac.htm?method=simpleSearch&amp;cqlMode=true&amp;query=idn%3D1000527794</v>
      </c>
      <c r="E1218" s="74" t="s">
        <v>121</v>
      </c>
      <c r="F1218" s="74"/>
      <c r="G1218" s="76"/>
      <c r="H1218" s="77"/>
      <c r="I1218" s="76"/>
      <c r="J1218" s="77"/>
      <c r="K1218" s="77"/>
      <c r="L1218" s="76"/>
      <c r="M1218" s="76"/>
      <c r="N1218" s="76"/>
      <c r="O1218" s="76"/>
      <c r="P1218" s="76"/>
      <c r="Q1218" s="76"/>
      <c r="R1218" s="76"/>
      <c r="S1218" s="76"/>
      <c r="BD1218" s="99">
        <f t="shared" si="37"/>
        <v>0</v>
      </c>
      <c r="CC1218" s="99"/>
      <c r="CV1218" s="99"/>
      <c r="CW1218" s="63"/>
    </row>
    <row r="1219" spans="1:101" x14ac:dyDescent="0.15">
      <c r="A1219" s="76">
        <v>1133</v>
      </c>
      <c r="B1219" s="74" t="s">
        <v>123</v>
      </c>
      <c r="C1219" s="74">
        <v>1001062124</v>
      </c>
      <c r="D1219" s="78" t="str">
        <f t="shared" si="38"/>
        <v>https://portal.dnb.de/opac.htm?method=simpleSearch&amp;cqlMode=true&amp;query=idn%3D1001062124</v>
      </c>
      <c r="E1219" s="74" t="s">
        <v>121</v>
      </c>
      <c r="F1219" s="74"/>
      <c r="G1219" s="76"/>
      <c r="H1219" s="77"/>
      <c r="I1219" s="76"/>
      <c r="J1219" s="77"/>
      <c r="K1219" s="77"/>
      <c r="L1219" s="76"/>
      <c r="M1219" s="76"/>
      <c r="N1219" s="76"/>
      <c r="O1219" s="76"/>
      <c r="P1219" s="76"/>
      <c r="Q1219" s="76"/>
      <c r="R1219" s="76"/>
      <c r="S1219" s="76"/>
      <c r="BD1219" s="99">
        <f t="shared" ref="BD1219:BD1282" si="39">CC1219+CV1219</f>
        <v>0</v>
      </c>
      <c r="CC1219" s="99"/>
      <c r="CV1219" s="99"/>
      <c r="CW1219" s="63"/>
    </row>
    <row r="1220" spans="1:101" x14ac:dyDescent="0.15">
      <c r="A1220" s="76">
        <v>1134</v>
      </c>
      <c r="B1220" s="74" t="s">
        <v>124</v>
      </c>
      <c r="C1220" s="74">
        <v>994402279</v>
      </c>
      <c r="D1220" s="78" t="str">
        <f t="shared" si="38"/>
        <v>https://portal.dnb.de/opac.htm?method=simpleSearch&amp;cqlMode=true&amp;query=idn%3D994402279</v>
      </c>
      <c r="E1220" s="74" t="s">
        <v>121</v>
      </c>
      <c r="F1220" s="74"/>
      <c r="G1220" s="76"/>
      <c r="H1220" s="77"/>
      <c r="I1220" s="76"/>
      <c r="J1220" s="77"/>
      <c r="K1220" s="77"/>
      <c r="L1220" s="76"/>
      <c r="M1220" s="76"/>
      <c r="N1220" s="76"/>
      <c r="O1220" s="76"/>
      <c r="P1220" s="76"/>
      <c r="Q1220" s="76"/>
      <c r="R1220" s="76"/>
      <c r="S1220" s="76"/>
      <c r="BD1220" s="99">
        <f t="shared" si="39"/>
        <v>0</v>
      </c>
      <c r="CC1220" s="99"/>
      <c r="CV1220" s="99"/>
      <c r="CW1220" s="63"/>
    </row>
    <row r="1221" spans="1:101" x14ac:dyDescent="0.15">
      <c r="A1221" s="76">
        <v>1135</v>
      </c>
      <c r="B1221" s="74" t="s">
        <v>125</v>
      </c>
      <c r="C1221" s="74">
        <v>994402376</v>
      </c>
      <c r="D1221" s="78" t="str">
        <f t="shared" si="38"/>
        <v>https://portal.dnb.de/opac.htm?method=simpleSearch&amp;cqlMode=true&amp;query=idn%3D994402376</v>
      </c>
      <c r="E1221" s="74" t="s">
        <v>121</v>
      </c>
      <c r="F1221" s="74"/>
      <c r="G1221" s="76"/>
      <c r="H1221" s="77"/>
      <c r="I1221" s="76"/>
      <c r="J1221" s="77"/>
      <c r="K1221" s="77"/>
      <c r="L1221" s="76"/>
      <c r="M1221" s="76"/>
      <c r="N1221" s="76"/>
      <c r="O1221" s="76"/>
      <c r="P1221" s="76"/>
      <c r="Q1221" s="76"/>
      <c r="R1221" s="76"/>
      <c r="S1221" s="76"/>
      <c r="BD1221" s="99">
        <f t="shared" si="39"/>
        <v>0</v>
      </c>
      <c r="CC1221" s="99"/>
      <c r="CV1221" s="99"/>
      <c r="CW1221" s="63"/>
    </row>
    <row r="1222" spans="1:101" x14ac:dyDescent="0.15">
      <c r="A1222" s="76">
        <v>1136</v>
      </c>
      <c r="B1222" s="74" t="s">
        <v>126</v>
      </c>
      <c r="C1222" s="74">
        <v>994402309</v>
      </c>
      <c r="D1222" s="78" t="str">
        <f t="shared" si="38"/>
        <v>https://portal.dnb.de/opac.htm?method=simpleSearch&amp;cqlMode=true&amp;query=idn%3D994402309</v>
      </c>
      <c r="E1222" s="74" t="s">
        <v>121</v>
      </c>
      <c r="F1222" s="74"/>
      <c r="G1222" s="76"/>
      <c r="H1222" s="77"/>
      <c r="I1222" s="76"/>
      <c r="J1222" s="77"/>
      <c r="K1222" s="77"/>
      <c r="L1222" s="76"/>
      <c r="M1222" s="76"/>
      <c r="N1222" s="76"/>
      <c r="O1222" s="76"/>
      <c r="P1222" s="76"/>
      <c r="Q1222" s="76"/>
      <c r="R1222" s="76"/>
      <c r="S1222" s="76"/>
      <c r="BD1222" s="99">
        <f t="shared" si="39"/>
        <v>0</v>
      </c>
      <c r="CC1222" s="99"/>
      <c r="CV1222" s="99"/>
      <c r="CW1222" s="63"/>
    </row>
    <row r="1223" spans="1:101" x14ac:dyDescent="0.15">
      <c r="A1223" s="76">
        <v>1137</v>
      </c>
      <c r="B1223" s="74" t="s">
        <v>127</v>
      </c>
      <c r="C1223" s="74">
        <v>994402252</v>
      </c>
      <c r="D1223" s="78" t="str">
        <f t="shared" si="38"/>
        <v>https://portal.dnb.de/opac.htm?method=simpleSearch&amp;cqlMode=true&amp;query=idn%3D994402252</v>
      </c>
      <c r="E1223" s="74" t="s">
        <v>121</v>
      </c>
      <c r="F1223" s="74"/>
      <c r="G1223" s="76"/>
      <c r="H1223" s="77"/>
      <c r="I1223" s="76"/>
      <c r="J1223" s="77"/>
      <c r="K1223" s="77"/>
      <c r="L1223" s="76"/>
      <c r="M1223" s="76"/>
      <c r="N1223" s="76"/>
      <c r="O1223" s="76"/>
      <c r="P1223" s="76"/>
      <c r="Q1223" s="76"/>
      <c r="R1223" s="76"/>
      <c r="S1223" s="76"/>
      <c r="BD1223" s="99">
        <f t="shared" si="39"/>
        <v>0</v>
      </c>
      <c r="CC1223" s="99"/>
      <c r="CV1223" s="99"/>
      <c r="CW1223" s="63"/>
    </row>
    <row r="1224" spans="1:101" x14ac:dyDescent="0.15">
      <c r="A1224" s="76">
        <v>1138</v>
      </c>
      <c r="B1224" s="74" t="s">
        <v>128</v>
      </c>
      <c r="C1224" s="74">
        <v>994402333</v>
      </c>
      <c r="D1224" s="78" t="str">
        <f t="shared" si="38"/>
        <v>https://portal.dnb.de/opac.htm?method=simpleSearch&amp;cqlMode=true&amp;query=idn%3D994402333</v>
      </c>
      <c r="E1224" s="74" t="s">
        <v>121</v>
      </c>
      <c r="F1224" s="74"/>
      <c r="G1224" s="76"/>
      <c r="H1224" s="77"/>
      <c r="I1224" s="76"/>
      <c r="J1224" s="77"/>
      <c r="K1224" s="77"/>
      <c r="L1224" s="76"/>
      <c r="M1224" s="76"/>
      <c r="N1224" s="76"/>
      <c r="O1224" s="76"/>
      <c r="P1224" s="76"/>
      <c r="Q1224" s="76"/>
      <c r="R1224" s="76"/>
      <c r="S1224" s="76"/>
      <c r="BD1224" s="99">
        <f t="shared" si="39"/>
        <v>0</v>
      </c>
      <c r="CC1224" s="99"/>
      <c r="CV1224" s="99"/>
      <c r="CW1224" s="63"/>
    </row>
    <row r="1225" spans="1:101" x14ac:dyDescent="0.15">
      <c r="A1225" s="76">
        <v>1139</v>
      </c>
      <c r="B1225" s="74" t="s">
        <v>145</v>
      </c>
      <c r="C1225" s="74">
        <v>999495763</v>
      </c>
      <c r="D1225" s="78" t="str">
        <f t="shared" si="38"/>
        <v>https://portal.dnb.de/opac.htm?method=simpleSearch&amp;cqlMode=true&amp;query=idn%3D999495763</v>
      </c>
      <c r="E1225" s="74" t="s">
        <v>146</v>
      </c>
      <c r="F1225" s="74"/>
      <c r="G1225" s="76"/>
      <c r="H1225" s="77" t="s">
        <v>5</v>
      </c>
      <c r="I1225" s="76" t="s">
        <v>53</v>
      </c>
      <c r="J1225" s="77" t="s">
        <v>8516</v>
      </c>
      <c r="K1225" s="77" t="s">
        <v>72</v>
      </c>
      <c r="L1225" s="76"/>
      <c r="M1225" s="76"/>
      <c r="N1225" s="76" t="s">
        <v>8660</v>
      </c>
      <c r="O1225" s="76">
        <v>0</v>
      </c>
      <c r="P1225" s="76"/>
      <c r="Q1225" s="76"/>
      <c r="R1225" s="76"/>
      <c r="S1225" s="76"/>
      <c r="BD1225" s="99">
        <f t="shared" si="39"/>
        <v>0</v>
      </c>
      <c r="CC1225" s="99"/>
      <c r="CV1225" s="99"/>
      <c r="CW1225" s="63"/>
    </row>
    <row r="1226" spans="1:101" x14ac:dyDescent="0.15">
      <c r="A1226" s="76">
        <v>1140</v>
      </c>
      <c r="B1226" s="74" t="s">
        <v>147</v>
      </c>
      <c r="C1226" s="74">
        <v>999489496</v>
      </c>
      <c r="D1226" s="78" t="str">
        <f t="shared" si="38"/>
        <v>https://portal.dnb.de/opac.htm?method=simpleSearch&amp;cqlMode=true&amp;query=idn%3D999489496</v>
      </c>
      <c r="E1226" s="74" t="s">
        <v>146</v>
      </c>
      <c r="F1226" s="74"/>
      <c r="G1226" s="76"/>
      <c r="H1226" s="77"/>
      <c r="I1226" s="76"/>
      <c r="J1226" s="77"/>
      <c r="K1226" s="77"/>
      <c r="L1226" s="76"/>
      <c r="M1226" s="76"/>
      <c r="N1226" s="76"/>
      <c r="O1226" s="76"/>
      <c r="P1226" s="76"/>
      <c r="Q1226" s="76"/>
      <c r="R1226" s="76"/>
      <c r="S1226" s="76"/>
      <c r="BD1226" s="99">
        <f t="shared" si="39"/>
        <v>0</v>
      </c>
      <c r="CC1226" s="99"/>
      <c r="CV1226" s="99"/>
      <c r="CW1226" s="63"/>
    </row>
    <row r="1227" spans="1:101" x14ac:dyDescent="0.15">
      <c r="A1227" s="76">
        <v>1141</v>
      </c>
      <c r="B1227" s="74" t="s">
        <v>148</v>
      </c>
      <c r="C1227" s="74">
        <v>1001750675</v>
      </c>
      <c r="D1227" s="78" t="str">
        <f t="shared" si="38"/>
        <v>https://portal.dnb.de/opac.htm?method=simpleSearch&amp;cqlMode=true&amp;query=idn%3D1001750675</v>
      </c>
      <c r="E1227" s="74" t="s">
        <v>149</v>
      </c>
      <c r="F1227" s="74"/>
      <c r="G1227" s="76"/>
      <c r="H1227" s="77" t="s">
        <v>49</v>
      </c>
      <c r="I1227" s="76" t="s">
        <v>53</v>
      </c>
      <c r="J1227" s="77" t="s">
        <v>8516</v>
      </c>
      <c r="K1227" s="77" t="s">
        <v>84</v>
      </c>
      <c r="L1227" s="76"/>
      <c r="M1227" s="76"/>
      <c r="N1227" s="76" t="s">
        <v>8660</v>
      </c>
      <c r="O1227" s="76">
        <v>0</v>
      </c>
      <c r="P1227" s="76"/>
      <c r="Q1227" s="76"/>
      <c r="R1227" s="76"/>
      <c r="S1227" s="76"/>
      <c r="BD1227" s="99">
        <f t="shared" si="39"/>
        <v>0</v>
      </c>
      <c r="CC1227" s="99"/>
      <c r="CV1227" s="99"/>
      <c r="CW1227" s="63"/>
    </row>
    <row r="1228" spans="1:101" ht="22.5" x14ac:dyDescent="0.15">
      <c r="A1228" s="76">
        <v>1142</v>
      </c>
      <c r="B1228" s="74" t="s">
        <v>150</v>
      </c>
      <c r="C1228" s="74">
        <v>1001748948</v>
      </c>
      <c r="D1228" s="78" t="str">
        <f t="shared" si="38"/>
        <v>https://portal.dnb.de/opac.htm?method=simpleSearch&amp;cqlMode=true&amp;query=idn%3D1001748948</v>
      </c>
      <c r="E1228" s="74" t="s">
        <v>151</v>
      </c>
      <c r="F1228" s="74"/>
      <c r="G1228" s="76"/>
      <c r="H1228" s="77" t="s">
        <v>8547</v>
      </c>
      <c r="I1228" s="76" t="s">
        <v>53</v>
      </c>
      <c r="J1228" s="77" t="s">
        <v>8516</v>
      </c>
      <c r="K1228" s="77" t="s">
        <v>72</v>
      </c>
      <c r="L1228" s="76"/>
      <c r="M1228" s="76" t="s">
        <v>36</v>
      </c>
      <c r="N1228" s="76" t="s">
        <v>39</v>
      </c>
      <c r="O1228" s="76">
        <v>0</v>
      </c>
      <c r="P1228" s="76"/>
      <c r="Q1228" s="76"/>
      <c r="R1228" s="76"/>
      <c r="S1228" s="76"/>
      <c r="BD1228" s="99">
        <f t="shared" si="39"/>
        <v>0</v>
      </c>
      <c r="CC1228" s="99"/>
      <c r="CV1228" s="99"/>
      <c r="CW1228" s="63"/>
    </row>
    <row r="1229" spans="1:101" x14ac:dyDescent="0.15">
      <c r="A1229" s="76">
        <v>1143</v>
      </c>
      <c r="B1229" s="74" t="s">
        <v>152</v>
      </c>
      <c r="C1229" s="74">
        <v>1001748743</v>
      </c>
      <c r="D1229" s="78" t="str">
        <f t="shared" si="38"/>
        <v>https://portal.dnb.de/opac.htm?method=simpleSearch&amp;cqlMode=true&amp;query=idn%3D1001748743</v>
      </c>
      <c r="E1229" s="74" t="s">
        <v>151</v>
      </c>
      <c r="F1229" s="74"/>
      <c r="G1229" s="76"/>
      <c r="H1229" s="77"/>
      <c r="I1229" s="76"/>
      <c r="J1229" s="77"/>
      <c r="K1229" s="77"/>
      <c r="L1229" s="76"/>
      <c r="M1229" s="76"/>
      <c r="N1229" s="76"/>
      <c r="O1229" s="76"/>
      <c r="P1229" s="76"/>
      <c r="Q1229" s="76"/>
      <c r="R1229" s="76"/>
      <c r="S1229" s="76"/>
      <c r="BD1229" s="99">
        <f t="shared" si="39"/>
        <v>0</v>
      </c>
      <c r="CC1229" s="99"/>
      <c r="CV1229" s="99"/>
      <c r="CW1229" s="63"/>
    </row>
    <row r="1230" spans="1:101" ht="33.75" x14ac:dyDescent="0.15">
      <c r="A1230" s="76">
        <v>1144</v>
      </c>
      <c r="B1230" s="74" t="s">
        <v>153</v>
      </c>
      <c r="C1230" s="74">
        <v>1001400593</v>
      </c>
      <c r="D1230" s="78" t="str">
        <f t="shared" si="38"/>
        <v>https://portal.dnb.de/opac.htm?method=simpleSearch&amp;cqlMode=true&amp;query=idn%3D1001400593</v>
      </c>
      <c r="E1230" s="74" t="s">
        <v>154</v>
      </c>
      <c r="F1230" s="74"/>
      <c r="G1230" s="76"/>
      <c r="H1230" s="77" t="s">
        <v>48</v>
      </c>
      <c r="I1230" s="76" t="s">
        <v>53</v>
      </c>
      <c r="J1230" s="77" t="s">
        <v>89</v>
      </c>
      <c r="K1230" s="77" t="s">
        <v>8566</v>
      </c>
      <c r="L1230" s="76"/>
      <c r="M1230" s="76"/>
      <c r="N1230" s="76"/>
      <c r="O1230" s="76">
        <v>0</v>
      </c>
      <c r="P1230" s="76"/>
      <c r="Q1230" s="76"/>
      <c r="R1230" s="76"/>
      <c r="S1230" s="76"/>
      <c r="BD1230" s="99">
        <f t="shared" si="39"/>
        <v>0</v>
      </c>
      <c r="CC1230" s="99"/>
      <c r="CV1230" s="99"/>
      <c r="CW1230" s="63"/>
    </row>
    <row r="1231" spans="1:101" ht="33.75" x14ac:dyDescent="0.15">
      <c r="A1231" s="76">
        <v>1145</v>
      </c>
      <c r="B1231" s="74" t="s">
        <v>155</v>
      </c>
      <c r="C1231" s="74">
        <v>1001447999</v>
      </c>
      <c r="D1231" s="78" t="str">
        <f t="shared" si="38"/>
        <v>https://portal.dnb.de/opac.htm?method=simpleSearch&amp;cqlMode=true&amp;query=idn%3D1001447999</v>
      </c>
      <c r="E1231" s="74" t="s">
        <v>156</v>
      </c>
      <c r="F1231" s="74"/>
      <c r="G1231" s="76"/>
      <c r="H1231" s="77" t="s">
        <v>48</v>
      </c>
      <c r="I1231" s="76" t="s">
        <v>53</v>
      </c>
      <c r="J1231" s="77" t="s">
        <v>8516</v>
      </c>
      <c r="K1231" s="77" t="s">
        <v>8895</v>
      </c>
      <c r="L1231" s="76"/>
      <c r="M1231" s="76" t="s">
        <v>38</v>
      </c>
      <c r="N1231" s="76" t="s">
        <v>40</v>
      </c>
      <c r="O1231" s="76">
        <v>0</v>
      </c>
      <c r="P1231" s="76"/>
      <c r="Q1231" s="76"/>
      <c r="R1231" s="76"/>
      <c r="S1231" s="76"/>
      <c r="BD1231" s="99">
        <f t="shared" si="39"/>
        <v>0</v>
      </c>
      <c r="CC1231" s="99"/>
      <c r="CV1231" s="99"/>
      <c r="CW1231" s="63"/>
    </row>
    <row r="1232" spans="1:101" x14ac:dyDescent="0.15">
      <c r="A1232" s="76">
        <v>1146</v>
      </c>
      <c r="B1232" s="74" t="s">
        <v>157</v>
      </c>
      <c r="C1232" s="74">
        <v>1001448081</v>
      </c>
      <c r="D1232" s="78" t="str">
        <f t="shared" si="38"/>
        <v>https://portal.dnb.de/opac.htm?method=simpleSearch&amp;cqlMode=true&amp;query=idn%3D1001448081</v>
      </c>
      <c r="E1232" s="74" t="s">
        <v>156</v>
      </c>
      <c r="F1232" s="74"/>
      <c r="G1232" s="76"/>
      <c r="H1232" s="77"/>
      <c r="I1232" s="76"/>
      <c r="J1232" s="77"/>
      <c r="K1232" s="77"/>
      <c r="L1232" s="76"/>
      <c r="M1232" s="76"/>
      <c r="N1232" s="76"/>
      <c r="O1232" s="76"/>
      <c r="P1232" s="76"/>
      <c r="Q1232" s="76"/>
      <c r="R1232" s="76"/>
      <c r="S1232" s="76"/>
      <c r="BD1232" s="99">
        <f t="shared" si="39"/>
        <v>0</v>
      </c>
      <c r="CC1232" s="99"/>
      <c r="CV1232" s="99"/>
      <c r="CW1232" s="63"/>
    </row>
    <row r="1233" spans="1:101" x14ac:dyDescent="0.15">
      <c r="A1233" s="76">
        <v>1147</v>
      </c>
      <c r="B1233" s="74" t="s">
        <v>158</v>
      </c>
      <c r="C1233" s="74" t="s">
        <v>159</v>
      </c>
      <c r="D1233" s="78" t="str">
        <f t="shared" si="38"/>
        <v>https://portal.dnb.de/opac.htm?method=simpleSearch&amp;cqlMode=true&amp;query=idn%3D100144809X</v>
      </c>
      <c r="E1233" s="74" t="s">
        <v>156</v>
      </c>
      <c r="F1233" s="74"/>
      <c r="G1233" s="76"/>
      <c r="H1233" s="77"/>
      <c r="I1233" s="76"/>
      <c r="J1233" s="77"/>
      <c r="K1233" s="77"/>
      <c r="L1233" s="76"/>
      <c r="M1233" s="76"/>
      <c r="N1233" s="76"/>
      <c r="O1233" s="76"/>
      <c r="P1233" s="76"/>
      <c r="Q1233" s="76"/>
      <c r="R1233" s="76"/>
      <c r="S1233" s="76"/>
      <c r="BD1233" s="99">
        <f t="shared" si="39"/>
        <v>0</v>
      </c>
      <c r="CC1233" s="99"/>
      <c r="CV1233" s="99"/>
      <c r="CW1233" s="63"/>
    </row>
    <row r="1234" spans="1:101" ht="22.5" x14ac:dyDescent="0.15">
      <c r="A1234" s="76">
        <v>1148</v>
      </c>
      <c r="B1234" s="74" t="s">
        <v>160</v>
      </c>
      <c r="C1234" s="74">
        <v>1001511212</v>
      </c>
      <c r="D1234" s="78" t="str">
        <f t="shared" si="38"/>
        <v>https://portal.dnb.de/opac.htm?method=simpleSearch&amp;cqlMode=true&amp;query=idn%3D1001511212</v>
      </c>
      <c r="E1234" s="74" t="s">
        <v>161</v>
      </c>
      <c r="F1234" s="74"/>
      <c r="G1234" s="76"/>
      <c r="H1234" s="77" t="s">
        <v>48</v>
      </c>
      <c r="I1234" s="76" t="s">
        <v>53</v>
      </c>
      <c r="J1234" s="77" t="s">
        <v>8516</v>
      </c>
      <c r="K1234" s="77" t="s">
        <v>8565</v>
      </c>
      <c r="L1234" s="76"/>
      <c r="M1234" s="76"/>
      <c r="N1234" s="76"/>
      <c r="O1234" s="76">
        <v>0</v>
      </c>
      <c r="P1234" s="76"/>
      <c r="Q1234" s="76"/>
      <c r="R1234" s="76"/>
      <c r="S1234" s="76"/>
      <c r="BD1234" s="99">
        <f t="shared" si="39"/>
        <v>0</v>
      </c>
      <c r="CC1234" s="99"/>
      <c r="CV1234" s="99"/>
      <c r="CW1234" s="63"/>
    </row>
    <row r="1235" spans="1:101" x14ac:dyDescent="0.15">
      <c r="A1235" s="76">
        <v>1149</v>
      </c>
      <c r="B1235" s="74" t="s">
        <v>162</v>
      </c>
      <c r="C1235" s="74">
        <v>1151139920</v>
      </c>
      <c r="D1235" s="78" t="str">
        <f t="shared" si="38"/>
        <v>https://portal.dnb.de/opac.htm?method=simpleSearch&amp;cqlMode=true&amp;query=idn%3D1151139920</v>
      </c>
      <c r="E1235" s="74" t="s">
        <v>163</v>
      </c>
      <c r="F1235" s="74"/>
      <c r="G1235" s="76"/>
      <c r="H1235" s="77" t="s">
        <v>49</v>
      </c>
      <c r="I1235" s="76" t="s">
        <v>53</v>
      </c>
      <c r="J1235" s="77" t="s">
        <v>8516</v>
      </c>
      <c r="K1235" s="77" t="s">
        <v>84</v>
      </c>
      <c r="L1235" s="76"/>
      <c r="M1235" s="76" t="s">
        <v>38</v>
      </c>
      <c r="N1235" s="76" t="s">
        <v>40</v>
      </c>
      <c r="O1235" s="76"/>
      <c r="P1235" s="76"/>
      <c r="Q1235" s="76"/>
      <c r="R1235" s="76"/>
      <c r="S1235" s="76"/>
      <c r="BD1235" s="99">
        <f t="shared" si="39"/>
        <v>0</v>
      </c>
      <c r="CC1235" s="99"/>
      <c r="CV1235" s="99"/>
      <c r="CW1235" s="63"/>
    </row>
    <row r="1236" spans="1:101" ht="22.5" x14ac:dyDescent="0.15">
      <c r="A1236" s="76">
        <v>1150</v>
      </c>
      <c r="B1236" s="74" t="s">
        <v>112</v>
      </c>
      <c r="C1236" s="74">
        <v>997309334</v>
      </c>
      <c r="D1236" s="78" t="str">
        <f t="shared" si="38"/>
        <v>https://portal.dnb.de/opac.htm?method=simpleSearch&amp;cqlMode=true&amp;query=idn%3D997309334</v>
      </c>
      <c r="E1236" s="74" t="s">
        <v>113</v>
      </c>
      <c r="F1236" s="74"/>
      <c r="G1236" s="76"/>
      <c r="H1236" s="77" t="s">
        <v>5</v>
      </c>
      <c r="I1236" s="76" t="s">
        <v>53</v>
      </c>
      <c r="J1236" s="77" t="s">
        <v>89</v>
      </c>
      <c r="K1236" s="77" t="s">
        <v>8615</v>
      </c>
      <c r="L1236" s="76"/>
      <c r="M1236" s="76" t="s">
        <v>38</v>
      </c>
      <c r="N1236" s="76" t="s">
        <v>40</v>
      </c>
      <c r="O1236" s="76">
        <v>0</v>
      </c>
      <c r="P1236" s="76"/>
      <c r="Q1236" s="76"/>
      <c r="R1236" s="76"/>
      <c r="S1236" s="76"/>
      <c r="BD1236" s="99">
        <f t="shared" si="39"/>
        <v>0</v>
      </c>
      <c r="CC1236" s="99"/>
      <c r="CV1236" s="99"/>
      <c r="CW1236" s="63"/>
    </row>
    <row r="1237" spans="1:101" x14ac:dyDescent="0.15">
      <c r="A1237" s="76">
        <v>1151</v>
      </c>
      <c r="B1237" s="74" t="s">
        <v>114</v>
      </c>
      <c r="C1237" s="74">
        <v>999906712</v>
      </c>
      <c r="D1237" s="78" t="str">
        <f t="shared" si="38"/>
        <v>https://portal.dnb.de/opac.htm?method=simpleSearch&amp;cqlMode=true&amp;query=idn%3D999906712</v>
      </c>
      <c r="E1237" s="74" t="s">
        <v>115</v>
      </c>
      <c r="F1237" s="74"/>
      <c r="G1237" s="76"/>
      <c r="H1237" s="77" t="s">
        <v>4</v>
      </c>
      <c r="I1237" s="76" t="s">
        <v>53</v>
      </c>
      <c r="J1237" s="77" t="s">
        <v>58</v>
      </c>
      <c r="K1237" s="77" t="s">
        <v>84</v>
      </c>
      <c r="L1237" s="76"/>
      <c r="M1237" s="76" t="s">
        <v>36</v>
      </c>
      <c r="N1237" s="76" t="s">
        <v>39</v>
      </c>
      <c r="O1237" s="76">
        <v>0</v>
      </c>
      <c r="P1237" s="76"/>
      <c r="Q1237" s="76"/>
      <c r="R1237" s="76"/>
      <c r="S1237" s="76"/>
      <c r="BD1237" s="99">
        <f t="shared" si="39"/>
        <v>0</v>
      </c>
      <c r="CC1237" s="99"/>
      <c r="CV1237" s="99"/>
      <c r="CW1237" s="63"/>
    </row>
    <row r="1238" spans="1:101" x14ac:dyDescent="0.15">
      <c r="A1238" s="76">
        <v>1152</v>
      </c>
      <c r="B1238" s="74" t="s">
        <v>116</v>
      </c>
      <c r="C1238" s="74">
        <v>19304218</v>
      </c>
      <c r="D1238" s="78" t="str">
        <f t="shared" si="38"/>
        <v>https://portal.dnb.de/opac.htm?method=simpleSearch&amp;cqlMode=true&amp;query=idn%3D19304218</v>
      </c>
      <c r="E1238" s="74" t="s">
        <v>117</v>
      </c>
      <c r="F1238" s="74"/>
      <c r="G1238" s="76"/>
      <c r="H1238" s="77" t="s">
        <v>5</v>
      </c>
      <c r="I1238" s="76" t="s">
        <v>53</v>
      </c>
      <c r="J1238" s="77" t="s">
        <v>58</v>
      </c>
      <c r="K1238" s="77" t="s">
        <v>84</v>
      </c>
      <c r="L1238" s="76"/>
      <c r="M1238" s="76" t="s">
        <v>38</v>
      </c>
      <c r="N1238" s="76" t="s">
        <v>40</v>
      </c>
      <c r="O1238" s="76">
        <v>0</v>
      </c>
      <c r="P1238" s="76"/>
      <c r="Q1238" s="76"/>
      <c r="R1238" s="76"/>
      <c r="S1238" s="76"/>
      <c r="BD1238" s="99">
        <f t="shared" si="39"/>
        <v>0</v>
      </c>
      <c r="CC1238" s="99"/>
      <c r="CV1238" s="99"/>
      <c r="CW1238" s="63"/>
    </row>
    <row r="1239" spans="1:101" x14ac:dyDescent="0.15">
      <c r="A1239" s="76">
        <v>1153</v>
      </c>
      <c r="B1239" s="74" t="s">
        <v>131</v>
      </c>
      <c r="C1239" s="74">
        <v>1001916212</v>
      </c>
      <c r="D1239" s="78" t="str">
        <f t="shared" si="38"/>
        <v>https://portal.dnb.de/opac.htm?method=simpleSearch&amp;cqlMode=true&amp;query=idn%3D1001916212</v>
      </c>
      <c r="E1239" s="74" t="s">
        <v>132</v>
      </c>
      <c r="F1239" s="74"/>
      <c r="G1239" s="76"/>
      <c r="H1239" s="77"/>
      <c r="I1239" s="76"/>
      <c r="J1239" s="77"/>
      <c r="K1239" s="77"/>
      <c r="L1239" s="76"/>
      <c r="M1239" s="76"/>
      <c r="N1239" s="76"/>
      <c r="O1239" s="76"/>
      <c r="P1239" s="76"/>
      <c r="Q1239" s="76"/>
      <c r="R1239" s="76"/>
      <c r="S1239" s="76"/>
      <c r="BD1239" s="99">
        <f t="shared" si="39"/>
        <v>0</v>
      </c>
      <c r="CC1239" s="99"/>
      <c r="CV1239" s="99"/>
      <c r="CW1239" s="63"/>
    </row>
    <row r="1240" spans="1:101" x14ac:dyDescent="0.15">
      <c r="A1240" s="76">
        <v>1154</v>
      </c>
      <c r="B1240" s="74" t="s">
        <v>133</v>
      </c>
      <c r="C1240" s="74">
        <v>993966799</v>
      </c>
      <c r="D1240" s="78" t="str">
        <f t="shared" si="38"/>
        <v>https://portal.dnb.de/opac.htm?method=simpleSearch&amp;cqlMode=true&amp;query=idn%3D993966799</v>
      </c>
      <c r="E1240" s="74" t="s">
        <v>132</v>
      </c>
      <c r="F1240" s="74"/>
      <c r="G1240" s="76"/>
      <c r="H1240" s="77"/>
      <c r="I1240" s="76"/>
      <c r="J1240" s="77"/>
      <c r="K1240" s="77"/>
      <c r="L1240" s="76"/>
      <c r="M1240" s="76"/>
      <c r="N1240" s="76"/>
      <c r="O1240" s="76"/>
      <c r="P1240" s="76"/>
      <c r="Q1240" s="76"/>
      <c r="R1240" s="76"/>
      <c r="S1240" s="76"/>
      <c r="BD1240" s="99">
        <f t="shared" si="39"/>
        <v>0</v>
      </c>
      <c r="CC1240" s="99"/>
      <c r="CV1240" s="99"/>
      <c r="CW1240" s="63"/>
    </row>
    <row r="1241" spans="1:101" x14ac:dyDescent="0.15">
      <c r="A1241" s="76">
        <v>1155</v>
      </c>
      <c r="B1241" s="74" t="s">
        <v>134</v>
      </c>
      <c r="C1241" s="74">
        <v>994402333</v>
      </c>
      <c r="D1241" s="78" t="str">
        <f t="shared" si="38"/>
        <v>https://portal.dnb.de/opac.htm?method=simpleSearch&amp;cqlMode=true&amp;query=idn%3D994402333</v>
      </c>
      <c r="E1241" s="74" t="s">
        <v>135</v>
      </c>
      <c r="F1241" s="74"/>
      <c r="G1241" s="76"/>
      <c r="H1241" s="77"/>
      <c r="I1241" s="76"/>
      <c r="J1241" s="77"/>
      <c r="K1241" s="77"/>
      <c r="L1241" s="76"/>
      <c r="M1241" s="76"/>
      <c r="N1241" s="76"/>
      <c r="O1241" s="76"/>
      <c r="P1241" s="76"/>
      <c r="Q1241" s="76"/>
      <c r="R1241" s="76"/>
      <c r="S1241" s="76"/>
      <c r="BD1241" s="99">
        <f t="shared" si="39"/>
        <v>0</v>
      </c>
      <c r="CC1241" s="99"/>
      <c r="CV1241" s="99"/>
      <c r="CW1241" s="63"/>
    </row>
    <row r="1242" spans="1:101" x14ac:dyDescent="0.15">
      <c r="A1242" s="76">
        <v>1156</v>
      </c>
      <c r="B1242" s="74" t="s">
        <v>136</v>
      </c>
      <c r="C1242" s="74">
        <v>994402538</v>
      </c>
      <c r="D1242" s="78" t="str">
        <f t="shared" si="38"/>
        <v>https://portal.dnb.de/opac.htm?method=simpleSearch&amp;cqlMode=true&amp;query=idn%3D994402538</v>
      </c>
      <c r="E1242" s="74" t="s">
        <v>135</v>
      </c>
      <c r="F1242" s="74"/>
      <c r="G1242" s="76"/>
      <c r="H1242" s="77"/>
      <c r="I1242" s="76"/>
      <c r="J1242" s="77"/>
      <c r="K1242" s="77"/>
      <c r="L1242" s="76"/>
      <c r="M1242" s="76"/>
      <c r="N1242" s="76"/>
      <c r="O1242" s="76"/>
      <c r="P1242" s="76"/>
      <c r="Q1242" s="76"/>
      <c r="R1242" s="76"/>
      <c r="S1242" s="76"/>
      <c r="BD1242" s="99">
        <f t="shared" si="39"/>
        <v>0</v>
      </c>
      <c r="CC1242" s="99"/>
      <c r="CV1242" s="99"/>
      <c r="CW1242" s="63"/>
    </row>
    <row r="1243" spans="1:101" x14ac:dyDescent="0.15">
      <c r="A1243" s="76">
        <v>1157</v>
      </c>
      <c r="B1243" s="74" t="s">
        <v>137</v>
      </c>
      <c r="C1243" s="74">
        <v>994402112</v>
      </c>
      <c r="D1243" s="78" t="str">
        <f t="shared" si="38"/>
        <v>https://portal.dnb.de/opac.htm?method=simpleSearch&amp;cqlMode=true&amp;query=idn%3D994402112</v>
      </c>
      <c r="E1243" s="74" t="s">
        <v>135</v>
      </c>
      <c r="F1243" s="74"/>
      <c r="G1243" s="76"/>
      <c r="H1243" s="77"/>
      <c r="I1243" s="76"/>
      <c r="J1243" s="77"/>
      <c r="K1243" s="77"/>
      <c r="L1243" s="76"/>
      <c r="M1243" s="76"/>
      <c r="N1243" s="76"/>
      <c r="O1243" s="76"/>
      <c r="P1243" s="76"/>
      <c r="Q1243" s="76"/>
      <c r="R1243" s="76"/>
      <c r="S1243" s="76"/>
      <c r="BD1243" s="99">
        <f t="shared" si="39"/>
        <v>0</v>
      </c>
      <c r="CC1243" s="99"/>
      <c r="CV1243" s="99"/>
      <c r="CW1243" s="63"/>
    </row>
    <row r="1244" spans="1:101" x14ac:dyDescent="0.15">
      <c r="A1244" s="76">
        <v>1158</v>
      </c>
      <c r="B1244" s="74" t="s">
        <v>138</v>
      </c>
      <c r="C1244" s="74">
        <v>1001062124</v>
      </c>
      <c r="D1244" s="78" t="str">
        <f t="shared" si="38"/>
        <v>https://portal.dnb.de/opac.htm?method=simpleSearch&amp;cqlMode=true&amp;query=idn%3D1001062124</v>
      </c>
      <c r="E1244" s="74" t="s">
        <v>135</v>
      </c>
      <c r="F1244" s="74"/>
      <c r="G1244" s="76"/>
      <c r="H1244" s="77"/>
      <c r="I1244" s="76"/>
      <c r="J1244" s="77"/>
      <c r="K1244" s="77"/>
      <c r="L1244" s="76"/>
      <c r="M1244" s="76"/>
      <c r="N1244" s="76"/>
      <c r="O1244" s="76"/>
      <c r="P1244" s="76"/>
      <c r="Q1244" s="76"/>
      <c r="R1244" s="76"/>
      <c r="S1244" s="76"/>
      <c r="BD1244" s="99">
        <f t="shared" si="39"/>
        <v>0</v>
      </c>
      <c r="CC1244" s="99"/>
      <c r="CV1244" s="99"/>
      <c r="CW1244" s="63"/>
    </row>
    <row r="1245" spans="1:101" x14ac:dyDescent="0.15">
      <c r="A1245" s="76">
        <v>1159</v>
      </c>
      <c r="B1245" s="74" t="s">
        <v>139</v>
      </c>
      <c r="C1245" s="74">
        <v>994402309</v>
      </c>
      <c r="D1245" s="78" t="str">
        <f t="shared" si="38"/>
        <v>https://portal.dnb.de/opac.htm?method=simpleSearch&amp;cqlMode=true&amp;query=idn%3D994402309</v>
      </c>
      <c r="E1245" s="74" t="s">
        <v>135</v>
      </c>
      <c r="F1245" s="74"/>
      <c r="G1245" s="76"/>
      <c r="H1245" s="77"/>
      <c r="I1245" s="76"/>
      <c r="J1245" s="77"/>
      <c r="K1245" s="77"/>
      <c r="L1245" s="76"/>
      <c r="M1245" s="76"/>
      <c r="N1245" s="76"/>
      <c r="O1245" s="76"/>
      <c r="P1245" s="76"/>
      <c r="Q1245" s="76"/>
      <c r="R1245" s="76"/>
      <c r="S1245" s="76"/>
      <c r="BD1245" s="99">
        <f t="shared" si="39"/>
        <v>0</v>
      </c>
      <c r="CC1245" s="99"/>
      <c r="CV1245" s="99"/>
      <c r="CW1245" s="63"/>
    </row>
    <row r="1246" spans="1:101" x14ac:dyDescent="0.15">
      <c r="A1246" s="76">
        <v>1160</v>
      </c>
      <c r="B1246" s="74" t="s">
        <v>140</v>
      </c>
      <c r="C1246" s="74">
        <v>994402279</v>
      </c>
      <c r="D1246" s="78" t="str">
        <f t="shared" si="38"/>
        <v>https://portal.dnb.de/opac.htm?method=simpleSearch&amp;cqlMode=true&amp;query=idn%3D994402279</v>
      </c>
      <c r="E1246" s="74" t="s">
        <v>135</v>
      </c>
      <c r="F1246" s="74"/>
      <c r="G1246" s="76"/>
      <c r="H1246" s="77"/>
      <c r="I1246" s="76"/>
      <c r="J1246" s="77"/>
      <c r="K1246" s="77"/>
      <c r="L1246" s="76"/>
      <c r="M1246" s="76"/>
      <c r="N1246" s="76"/>
      <c r="O1246" s="76"/>
      <c r="P1246" s="76"/>
      <c r="Q1246" s="76"/>
      <c r="R1246" s="76"/>
      <c r="S1246" s="76"/>
      <c r="BD1246" s="99">
        <f t="shared" si="39"/>
        <v>0</v>
      </c>
      <c r="CC1246" s="99"/>
      <c r="CV1246" s="99"/>
      <c r="CW1246" s="63"/>
    </row>
    <row r="1247" spans="1:101" x14ac:dyDescent="0.15">
      <c r="A1247" s="76">
        <v>1161</v>
      </c>
      <c r="B1247" s="74" t="s">
        <v>141</v>
      </c>
      <c r="C1247" s="74">
        <v>994402252</v>
      </c>
      <c r="D1247" s="78" t="str">
        <f t="shared" si="38"/>
        <v>https://portal.dnb.de/opac.htm?method=simpleSearch&amp;cqlMode=true&amp;query=idn%3D994402252</v>
      </c>
      <c r="E1247" s="74" t="s">
        <v>135</v>
      </c>
      <c r="F1247" s="74"/>
      <c r="G1247" s="76"/>
      <c r="H1247" s="77"/>
      <c r="I1247" s="76"/>
      <c r="J1247" s="77"/>
      <c r="K1247" s="77"/>
      <c r="L1247" s="76"/>
      <c r="M1247" s="76"/>
      <c r="N1247" s="76"/>
      <c r="O1247" s="76"/>
      <c r="P1247" s="76"/>
      <c r="Q1247" s="76"/>
      <c r="R1247" s="76"/>
      <c r="S1247" s="76"/>
      <c r="BD1247" s="99">
        <f t="shared" si="39"/>
        <v>0</v>
      </c>
      <c r="CC1247" s="99"/>
      <c r="CV1247" s="99"/>
      <c r="CW1247" s="63"/>
    </row>
    <row r="1248" spans="1:101" x14ac:dyDescent="0.15">
      <c r="A1248" s="76">
        <v>1162</v>
      </c>
      <c r="B1248" s="74" t="s">
        <v>142</v>
      </c>
      <c r="C1248" s="74">
        <v>994816553</v>
      </c>
      <c r="D1248" s="78" t="str">
        <f t="shared" si="38"/>
        <v>https://portal.dnb.de/opac.htm?method=simpleSearch&amp;cqlMode=true&amp;query=idn%3D994816553</v>
      </c>
      <c r="E1248" s="74" t="s">
        <v>135</v>
      </c>
      <c r="F1248" s="74"/>
      <c r="G1248" s="76"/>
      <c r="H1248" s="77"/>
      <c r="I1248" s="76"/>
      <c r="J1248" s="77"/>
      <c r="K1248" s="77"/>
      <c r="L1248" s="76"/>
      <c r="M1248" s="76"/>
      <c r="N1248" s="76"/>
      <c r="O1248" s="76"/>
      <c r="P1248" s="76"/>
      <c r="Q1248" s="76"/>
      <c r="R1248" s="76"/>
      <c r="S1248" s="76"/>
      <c r="BD1248" s="99">
        <f t="shared" si="39"/>
        <v>0</v>
      </c>
      <c r="CC1248" s="99"/>
      <c r="CV1248" s="99"/>
      <c r="CW1248" s="63"/>
    </row>
    <row r="1249" spans="1:101" x14ac:dyDescent="0.15">
      <c r="A1249" s="76">
        <v>1163</v>
      </c>
      <c r="B1249" s="74" t="s">
        <v>143</v>
      </c>
      <c r="C1249" s="74">
        <v>1002375959</v>
      </c>
      <c r="D1249" s="78" t="str">
        <f t="shared" si="38"/>
        <v>https://portal.dnb.de/opac.htm?method=simpleSearch&amp;cqlMode=true&amp;query=idn%3D1002375959</v>
      </c>
      <c r="E1249" s="74" t="s">
        <v>144</v>
      </c>
      <c r="F1249" s="74"/>
      <c r="G1249" s="76"/>
      <c r="H1249" s="77"/>
      <c r="I1249" s="76"/>
      <c r="J1249" s="77"/>
      <c r="K1249" s="77"/>
      <c r="L1249" s="76"/>
      <c r="M1249" s="76"/>
      <c r="N1249" s="76"/>
      <c r="O1249" s="76"/>
      <c r="P1249" s="76"/>
      <c r="Q1249" s="76"/>
      <c r="R1249" s="76"/>
      <c r="S1249" s="76"/>
      <c r="BD1249" s="99">
        <f t="shared" si="39"/>
        <v>0</v>
      </c>
      <c r="CC1249" s="99"/>
      <c r="CV1249" s="99"/>
      <c r="CW1249" s="63"/>
    </row>
    <row r="1250" spans="1:101" ht="45" x14ac:dyDescent="0.15">
      <c r="A1250" s="76">
        <v>1164</v>
      </c>
      <c r="B1250" s="74" t="s">
        <v>164</v>
      </c>
      <c r="C1250" s="74">
        <v>1066779244</v>
      </c>
      <c r="D1250" s="78" t="str">
        <f t="shared" si="38"/>
        <v>https://portal.dnb.de/opac.htm?method=simpleSearch&amp;cqlMode=true&amp;query=idn%3D1066779244</v>
      </c>
      <c r="E1250" s="74" t="s">
        <v>165</v>
      </c>
      <c r="F1250" s="74"/>
      <c r="G1250" s="76" t="s">
        <v>8515</v>
      </c>
      <c r="H1250" s="77" t="s">
        <v>5</v>
      </c>
      <c r="I1250" s="76" t="s">
        <v>54</v>
      </c>
      <c r="J1250" s="77" t="s">
        <v>8516</v>
      </c>
      <c r="K1250" s="77" t="s">
        <v>9633</v>
      </c>
      <c r="L1250" s="76"/>
      <c r="M1250" s="76"/>
      <c r="N1250" s="76"/>
      <c r="O1250" s="76">
        <v>3</v>
      </c>
      <c r="P1250" s="76"/>
      <c r="Q1250" s="76"/>
      <c r="R1250" s="76"/>
      <c r="S1250" s="76"/>
      <c r="Y1250" s="95" t="s">
        <v>9723</v>
      </c>
      <c r="AC1250" s="95" t="s">
        <v>9724</v>
      </c>
      <c r="AI1250" s="95" t="s">
        <v>9725</v>
      </c>
      <c r="AW1250" s="95">
        <v>60</v>
      </c>
      <c r="BC1250" s="96" t="s">
        <v>9726</v>
      </c>
      <c r="BD1250" s="99">
        <f t="shared" si="39"/>
        <v>2</v>
      </c>
      <c r="BP1250" s="69" t="s">
        <v>8541</v>
      </c>
      <c r="BQ1250" s="95" t="s">
        <v>8541</v>
      </c>
      <c r="BR1250" s="95" t="s">
        <v>8541</v>
      </c>
      <c r="CC1250" s="99">
        <v>2</v>
      </c>
      <c r="CD1250" s="90" t="s">
        <v>10384</v>
      </c>
      <c r="CV1250" s="99"/>
      <c r="CW1250" s="63"/>
    </row>
    <row r="1251" spans="1:101" x14ac:dyDescent="0.15">
      <c r="A1251" s="76">
        <v>1165</v>
      </c>
      <c r="B1251" s="74" t="s">
        <v>166</v>
      </c>
      <c r="C1251" s="74">
        <v>1066798990</v>
      </c>
      <c r="D1251" s="78" t="str">
        <f t="shared" si="38"/>
        <v>https://portal.dnb.de/opac.htm?method=simpleSearch&amp;cqlMode=true&amp;query=idn%3D1066798990</v>
      </c>
      <c r="E1251" s="74" t="s">
        <v>167</v>
      </c>
      <c r="F1251" s="74"/>
      <c r="G1251" s="76" t="s">
        <v>8515</v>
      </c>
      <c r="H1251" s="77" t="s">
        <v>5</v>
      </c>
      <c r="I1251" s="76" t="s">
        <v>53</v>
      </c>
      <c r="J1251" s="77" t="s">
        <v>58</v>
      </c>
      <c r="K1251" s="77" t="s">
        <v>8520</v>
      </c>
      <c r="L1251" s="76"/>
      <c r="M1251" s="76"/>
      <c r="N1251" s="76"/>
      <c r="O1251" s="76">
        <v>0</v>
      </c>
      <c r="P1251" s="76"/>
      <c r="Q1251" s="76"/>
      <c r="R1251" s="76"/>
      <c r="S1251" s="76"/>
      <c r="BD1251" s="99">
        <f t="shared" si="39"/>
        <v>0</v>
      </c>
      <c r="CC1251" s="99"/>
      <c r="CV1251" s="99"/>
      <c r="CW1251" s="63"/>
    </row>
    <row r="1252" spans="1:101" x14ac:dyDescent="0.15">
      <c r="A1252" s="76">
        <v>1166</v>
      </c>
      <c r="B1252" s="74" t="s">
        <v>168</v>
      </c>
      <c r="C1252" s="74">
        <v>1075293588</v>
      </c>
      <c r="D1252" s="78" t="str">
        <f t="shared" si="38"/>
        <v>https://portal.dnb.de/opac.htm?method=simpleSearch&amp;cqlMode=true&amp;query=idn%3D1075293588</v>
      </c>
      <c r="E1252" s="74" t="s">
        <v>169</v>
      </c>
      <c r="F1252" s="74"/>
      <c r="G1252" s="76"/>
      <c r="H1252" s="77"/>
      <c r="I1252" s="76"/>
      <c r="J1252" s="77"/>
      <c r="K1252" s="77"/>
      <c r="L1252" s="76"/>
      <c r="M1252" s="76"/>
      <c r="N1252" s="76"/>
      <c r="O1252" s="76"/>
      <c r="P1252" s="76"/>
      <c r="Q1252" s="76"/>
      <c r="R1252" s="76"/>
      <c r="S1252" s="76"/>
      <c r="BD1252" s="99">
        <f t="shared" si="39"/>
        <v>0</v>
      </c>
      <c r="CC1252" s="99"/>
      <c r="CV1252" s="99"/>
      <c r="CW1252" s="63"/>
    </row>
    <row r="1253" spans="1:101" ht="22.5" x14ac:dyDescent="0.15">
      <c r="A1253" s="76">
        <v>1167</v>
      </c>
      <c r="B1253" s="74" t="s">
        <v>170</v>
      </c>
      <c r="C1253" s="74">
        <v>1066870772</v>
      </c>
      <c r="D1253" s="78" t="str">
        <f t="shared" si="38"/>
        <v>https://portal.dnb.de/opac.htm?method=simpleSearch&amp;cqlMode=true&amp;query=idn%3D1066870772</v>
      </c>
      <c r="E1253" s="74" t="s">
        <v>171</v>
      </c>
      <c r="F1253" s="74"/>
      <c r="G1253" s="76" t="s">
        <v>8515</v>
      </c>
      <c r="H1253" s="77" t="s">
        <v>8547</v>
      </c>
      <c r="I1253" s="76" t="s">
        <v>54</v>
      </c>
      <c r="J1253" s="77" t="s">
        <v>8516</v>
      </c>
      <c r="K1253" s="77" t="s">
        <v>8520</v>
      </c>
      <c r="L1253" s="76"/>
      <c r="M1253" s="76" t="s">
        <v>37</v>
      </c>
      <c r="N1253" s="76" t="s">
        <v>40</v>
      </c>
      <c r="O1253" s="76">
        <v>1</v>
      </c>
      <c r="P1253" s="76"/>
      <c r="Q1253" s="76"/>
      <c r="R1253" s="76"/>
      <c r="S1253" s="76"/>
      <c r="BD1253" s="99">
        <f t="shared" si="39"/>
        <v>0</v>
      </c>
      <c r="CC1253" s="99"/>
      <c r="CV1253" s="99"/>
      <c r="CW1253" s="63"/>
    </row>
    <row r="1254" spans="1:101" x14ac:dyDescent="0.15">
      <c r="A1254" s="76">
        <v>1168</v>
      </c>
      <c r="B1254" s="74" t="s">
        <v>172</v>
      </c>
      <c r="C1254" s="74">
        <v>1066940800</v>
      </c>
      <c r="D1254" s="78" t="str">
        <f t="shared" si="38"/>
        <v>https://portal.dnb.de/opac.htm?method=simpleSearch&amp;cqlMode=true&amp;query=idn%3D1066940800</v>
      </c>
      <c r="E1254" s="74" t="s">
        <v>173</v>
      </c>
      <c r="F1254" s="74"/>
      <c r="G1254" s="76"/>
      <c r="H1254" s="77"/>
      <c r="I1254" s="76"/>
      <c r="J1254" s="77"/>
      <c r="K1254" s="77"/>
      <c r="L1254" s="76"/>
      <c r="M1254" s="76"/>
      <c r="N1254" s="76"/>
      <c r="O1254" s="76"/>
      <c r="P1254" s="76"/>
      <c r="Q1254" s="76"/>
      <c r="R1254" s="76"/>
      <c r="S1254" s="76"/>
      <c r="BD1254" s="99">
        <f t="shared" si="39"/>
        <v>0</v>
      </c>
      <c r="CC1254" s="99"/>
      <c r="CV1254" s="99"/>
      <c r="CW1254" s="63"/>
    </row>
    <row r="1255" spans="1:101" ht="90" x14ac:dyDescent="0.15">
      <c r="A1255" s="76">
        <v>1169</v>
      </c>
      <c r="B1255" s="74" t="s">
        <v>174</v>
      </c>
      <c r="C1255" s="74">
        <v>1066943192</v>
      </c>
      <c r="D1255" s="78" t="str">
        <f t="shared" si="38"/>
        <v>https://portal.dnb.de/opac.htm?method=simpleSearch&amp;cqlMode=true&amp;query=idn%3D1066943192</v>
      </c>
      <c r="E1255" s="74" t="s">
        <v>175</v>
      </c>
      <c r="F1255" s="74"/>
      <c r="G1255" s="76"/>
      <c r="H1255" s="77" t="s">
        <v>8547</v>
      </c>
      <c r="I1255" s="76" t="s">
        <v>54</v>
      </c>
      <c r="J1255" s="77" t="s">
        <v>8516</v>
      </c>
      <c r="K1255" s="77" t="s">
        <v>72</v>
      </c>
      <c r="L1255" s="76"/>
      <c r="M1255" s="76" t="s">
        <v>37</v>
      </c>
      <c r="N1255" s="76" t="s">
        <v>9183</v>
      </c>
      <c r="O1255" s="76">
        <v>2</v>
      </c>
      <c r="P1255" s="76"/>
      <c r="Q1255" s="76"/>
      <c r="R1255" s="76"/>
      <c r="S1255" s="76"/>
      <c r="Y1255" s="95" t="s">
        <v>9763</v>
      </c>
      <c r="AA1255" s="95" t="s">
        <v>8541</v>
      </c>
      <c r="AC1255" s="95" t="s">
        <v>9724</v>
      </c>
      <c r="AH1255" s="95" t="s">
        <v>8541</v>
      </c>
      <c r="AI1255" s="95" t="s">
        <v>9725</v>
      </c>
      <c r="AK1255" s="95" t="s">
        <v>8541</v>
      </c>
      <c r="AW1255" s="95">
        <v>60</v>
      </c>
      <c r="BC1255" s="96" t="s">
        <v>9726</v>
      </c>
      <c r="BD1255" s="99">
        <f t="shared" si="39"/>
        <v>11</v>
      </c>
      <c r="BH1255" s="95" t="s">
        <v>8541</v>
      </c>
      <c r="BP1255" s="69" t="s">
        <v>8541</v>
      </c>
      <c r="BQ1255" s="95" t="s">
        <v>8541</v>
      </c>
      <c r="BR1255" s="95" t="s">
        <v>8541</v>
      </c>
      <c r="CB1255" s="95" t="s">
        <v>9818</v>
      </c>
      <c r="CC1255" s="99">
        <v>3</v>
      </c>
      <c r="CD1255" s="90" t="s">
        <v>10385</v>
      </c>
      <c r="CN1255" s="95" t="s">
        <v>8541</v>
      </c>
      <c r="CS1255" s="95" t="s">
        <v>8541</v>
      </c>
      <c r="CT1255" s="95" t="s">
        <v>8541</v>
      </c>
      <c r="CV1255" s="99">
        <v>8</v>
      </c>
      <c r="CW1255" s="90" t="s">
        <v>10386</v>
      </c>
    </row>
    <row r="1256" spans="1:101" x14ac:dyDescent="0.15">
      <c r="A1256" s="76">
        <v>1170</v>
      </c>
      <c r="B1256" s="74" t="s">
        <v>176</v>
      </c>
      <c r="C1256" s="74">
        <v>1066938326</v>
      </c>
      <c r="D1256" s="78" t="str">
        <f t="shared" si="38"/>
        <v>https://portal.dnb.de/opac.htm?method=simpleSearch&amp;cqlMode=true&amp;query=idn%3D1066938326</v>
      </c>
      <c r="E1256" s="74" t="s">
        <v>177</v>
      </c>
      <c r="F1256" s="74"/>
      <c r="G1256" s="76" t="s">
        <v>8515</v>
      </c>
      <c r="H1256" s="77" t="s">
        <v>4</v>
      </c>
      <c r="I1256" s="76" t="s">
        <v>54</v>
      </c>
      <c r="J1256" s="77" t="s">
        <v>8516</v>
      </c>
      <c r="K1256" s="77" t="s">
        <v>84</v>
      </c>
      <c r="L1256" s="76"/>
      <c r="M1256" s="76"/>
      <c r="N1256" s="76"/>
      <c r="O1256" s="76">
        <v>1</v>
      </c>
      <c r="P1256" s="76"/>
      <c r="Q1256" s="76"/>
      <c r="R1256" s="76"/>
      <c r="S1256" s="76"/>
      <c r="BD1256" s="99">
        <f t="shared" si="39"/>
        <v>0</v>
      </c>
      <c r="CC1256" s="99"/>
      <c r="CV1256" s="99"/>
      <c r="CW1256" s="63"/>
    </row>
    <row r="1257" spans="1:101" x14ac:dyDescent="0.15">
      <c r="A1257" s="76">
        <v>1171</v>
      </c>
      <c r="B1257" s="74" t="s">
        <v>182</v>
      </c>
      <c r="C1257" s="74">
        <v>1066694559</v>
      </c>
      <c r="D1257" s="78" t="str">
        <f t="shared" si="38"/>
        <v>https://portal.dnb.de/opac.htm?method=simpleSearch&amp;cqlMode=true&amp;query=idn%3D1066694559</v>
      </c>
      <c r="E1257" s="74" t="s">
        <v>183</v>
      </c>
      <c r="F1257" s="74"/>
      <c r="G1257" s="76"/>
      <c r="H1257" s="77"/>
      <c r="I1257" s="76"/>
      <c r="J1257" s="77"/>
      <c r="K1257" s="77"/>
      <c r="L1257" s="76"/>
      <c r="M1257" s="76"/>
      <c r="N1257" s="76"/>
      <c r="O1257" s="76"/>
      <c r="P1257" s="76"/>
      <c r="Q1257" s="76"/>
      <c r="R1257" s="76"/>
      <c r="S1257" s="76"/>
      <c r="BD1257" s="99">
        <f t="shared" si="39"/>
        <v>0</v>
      </c>
      <c r="CC1257" s="99"/>
      <c r="CV1257" s="99"/>
      <c r="CW1257" s="63"/>
    </row>
    <row r="1258" spans="1:101" x14ac:dyDescent="0.15">
      <c r="A1258" s="76">
        <v>1172</v>
      </c>
      <c r="B1258" s="74" t="s">
        <v>184</v>
      </c>
      <c r="C1258" s="74">
        <v>1066835705</v>
      </c>
      <c r="D1258" s="78" t="str">
        <f t="shared" si="38"/>
        <v>https://portal.dnb.de/opac.htm?method=simpleSearch&amp;cqlMode=true&amp;query=idn%3D1066835705</v>
      </c>
      <c r="E1258" s="74" t="s">
        <v>185</v>
      </c>
      <c r="F1258" s="74"/>
      <c r="G1258" s="76"/>
      <c r="H1258" s="77"/>
      <c r="I1258" s="76"/>
      <c r="J1258" s="77"/>
      <c r="K1258" s="77"/>
      <c r="L1258" s="76"/>
      <c r="M1258" s="76"/>
      <c r="N1258" s="76"/>
      <c r="O1258" s="76"/>
      <c r="P1258" s="76"/>
      <c r="Q1258" s="76"/>
      <c r="R1258" s="76"/>
      <c r="S1258" s="76"/>
      <c r="BD1258" s="99">
        <f t="shared" si="39"/>
        <v>0</v>
      </c>
      <c r="CC1258" s="99"/>
      <c r="CV1258" s="99"/>
      <c r="CW1258" s="63"/>
    </row>
    <row r="1259" spans="1:101" x14ac:dyDescent="0.15">
      <c r="A1259" s="76">
        <v>1173</v>
      </c>
      <c r="B1259" s="74" t="s">
        <v>194</v>
      </c>
      <c r="C1259" s="74">
        <v>994260024</v>
      </c>
      <c r="D1259" s="78" t="str">
        <f t="shared" si="38"/>
        <v>https://portal.dnb.de/opac.htm?method=simpleSearch&amp;cqlMode=true&amp;query=idn%3D994260024</v>
      </c>
      <c r="E1259" s="74" t="s">
        <v>195</v>
      </c>
      <c r="F1259" s="74"/>
      <c r="G1259" s="76"/>
      <c r="H1259" s="77"/>
      <c r="I1259" s="76"/>
      <c r="J1259" s="77"/>
      <c r="K1259" s="77"/>
      <c r="L1259" s="76"/>
      <c r="M1259" s="76"/>
      <c r="N1259" s="76"/>
      <c r="O1259" s="76"/>
      <c r="P1259" s="76"/>
      <c r="Q1259" s="76"/>
      <c r="R1259" s="76"/>
      <c r="S1259" s="76"/>
      <c r="BD1259" s="99">
        <f t="shared" si="39"/>
        <v>0</v>
      </c>
      <c r="CC1259" s="99"/>
      <c r="CV1259" s="99"/>
      <c r="CW1259" s="63"/>
    </row>
    <row r="1260" spans="1:101" x14ac:dyDescent="0.15">
      <c r="A1260" s="76">
        <v>1174</v>
      </c>
      <c r="B1260" s="74" t="s">
        <v>191</v>
      </c>
      <c r="C1260" s="74" t="s">
        <v>192</v>
      </c>
      <c r="D1260" s="78" t="str">
        <f t="shared" si="38"/>
        <v>https://portal.dnb.de/opac.htm?method=simpleSearch&amp;cqlMode=true&amp;query=idn%3D106693519X</v>
      </c>
      <c r="E1260" s="74" t="s">
        <v>193</v>
      </c>
      <c r="F1260" s="74"/>
      <c r="G1260" s="76" t="s">
        <v>8515</v>
      </c>
      <c r="H1260" s="77" t="s">
        <v>6</v>
      </c>
      <c r="I1260" s="76" t="s">
        <v>53</v>
      </c>
      <c r="J1260" s="77" t="s">
        <v>8516</v>
      </c>
      <c r="K1260" s="77" t="s">
        <v>8520</v>
      </c>
      <c r="L1260" s="76"/>
      <c r="M1260" s="76"/>
      <c r="N1260" s="76" t="s">
        <v>8660</v>
      </c>
      <c r="O1260" s="76">
        <v>1</v>
      </c>
      <c r="P1260" s="76"/>
      <c r="Q1260" s="76"/>
      <c r="R1260" s="76"/>
      <c r="S1260" s="76"/>
      <c r="BD1260" s="99">
        <f t="shared" si="39"/>
        <v>0</v>
      </c>
      <c r="CC1260" s="99"/>
      <c r="CV1260" s="99"/>
      <c r="CW1260" s="63"/>
    </row>
    <row r="1261" spans="1:101" x14ac:dyDescent="0.15">
      <c r="A1261" s="76">
        <v>1175</v>
      </c>
      <c r="B1261" s="74" t="s">
        <v>200</v>
      </c>
      <c r="C1261" s="74">
        <v>1066867682</v>
      </c>
      <c r="D1261" s="78" t="str">
        <f t="shared" si="38"/>
        <v>https://portal.dnb.de/opac.htm?method=simpleSearch&amp;cqlMode=true&amp;query=idn%3D1066867682</v>
      </c>
      <c r="E1261" s="74" t="s">
        <v>201</v>
      </c>
      <c r="F1261" s="74"/>
      <c r="G1261" s="76" t="s">
        <v>8515</v>
      </c>
      <c r="H1261" s="77" t="s">
        <v>49</v>
      </c>
      <c r="I1261" s="76" t="s">
        <v>55</v>
      </c>
      <c r="J1261" s="77" t="s">
        <v>58</v>
      </c>
      <c r="K1261" s="77" t="s">
        <v>84</v>
      </c>
      <c r="L1261" s="76"/>
      <c r="M1261" s="76" t="s">
        <v>36</v>
      </c>
      <c r="N1261" s="76" t="s">
        <v>8790</v>
      </c>
      <c r="O1261" s="76">
        <v>0</v>
      </c>
      <c r="P1261" s="76"/>
      <c r="Q1261" s="76"/>
      <c r="R1261" s="76"/>
      <c r="S1261" s="76"/>
      <c r="BD1261" s="99">
        <f t="shared" si="39"/>
        <v>0</v>
      </c>
      <c r="CC1261" s="99"/>
      <c r="CV1261" s="99"/>
      <c r="CW1261" s="63"/>
    </row>
    <row r="1262" spans="1:101" ht="22.5" x14ac:dyDescent="0.15">
      <c r="A1262" s="76">
        <v>1176</v>
      </c>
      <c r="B1262" s="74" t="s">
        <v>202</v>
      </c>
      <c r="C1262" s="74">
        <v>1002730988</v>
      </c>
      <c r="D1262" s="78" t="str">
        <f t="shared" si="38"/>
        <v>https://portal.dnb.de/opac.htm?method=simpleSearch&amp;cqlMode=true&amp;query=idn%3D1002730988</v>
      </c>
      <c r="E1262" s="74" t="s">
        <v>203</v>
      </c>
      <c r="F1262" s="74"/>
      <c r="G1262" s="76"/>
      <c r="H1262" s="77" t="s">
        <v>18</v>
      </c>
      <c r="I1262" s="76" t="s">
        <v>53</v>
      </c>
      <c r="J1262" s="77" t="s">
        <v>58</v>
      </c>
      <c r="K1262" s="77" t="s">
        <v>8577</v>
      </c>
      <c r="L1262" s="76"/>
      <c r="M1262" s="76"/>
      <c r="N1262" s="76"/>
      <c r="O1262" s="76">
        <v>1</v>
      </c>
      <c r="P1262" s="76"/>
      <c r="Q1262" s="76"/>
      <c r="R1262" s="76"/>
      <c r="S1262" s="76"/>
      <c r="BD1262" s="99">
        <f t="shared" si="39"/>
        <v>0</v>
      </c>
      <c r="CC1262" s="99"/>
      <c r="CV1262" s="99"/>
      <c r="CW1262" s="63"/>
    </row>
    <row r="1263" spans="1:101" x14ac:dyDescent="0.15">
      <c r="A1263" s="76">
        <v>1177</v>
      </c>
      <c r="B1263" s="74" t="s">
        <v>206</v>
      </c>
      <c r="C1263" s="74">
        <v>1000933466</v>
      </c>
      <c r="D1263" s="78" t="str">
        <f t="shared" si="38"/>
        <v>https://portal.dnb.de/opac.htm?method=simpleSearch&amp;cqlMode=true&amp;query=idn%3D1000933466</v>
      </c>
      <c r="E1263" s="74" t="s">
        <v>207</v>
      </c>
      <c r="F1263" s="74"/>
      <c r="G1263" s="76" t="s">
        <v>8515</v>
      </c>
      <c r="H1263" s="77" t="s">
        <v>5</v>
      </c>
      <c r="I1263" s="76" t="s">
        <v>53</v>
      </c>
      <c r="J1263" s="77" t="s">
        <v>58</v>
      </c>
      <c r="K1263" s="77" t="s">
        <v>8520</v>
      </c>
      <c r="L1263" s="76"/>
      <c r="M1263" s="76" t="s">
        <v>36</v>
      </c>
      <c r="N1263" s="76" t="s">
        <v>39</v>
      </c>
      <c r="O1263" s="76">
        <v>0</v>
      </c>
      <c r="P1263" s="76"/>
      <c r="Q1263" s="76"/>
      <c r="R1263" s="76"/>
      <c r="S1263" s="76"/>
      <c r="BD1263" s="99">
        <f t="shared" si="39"/>
        <v>0</v>
      </c>
      <c r="CC1263" s="99"/>
      <c r="CV1263" s="99"/>
      <c r="CW1263" s="63"/>
    </row>
    <row r="1264" spans="1:101" x14ac:dyDescent="0.15">
      <c r="A1264" s="76">
        <v>1178</v>
      </c>
      <c r="B1264" s="74" t="s">
        <v>208</v>
      </c>
      <c r="C1264" s="74">
        <v>996412433</v>
      </c>
      <c r="D1264" s="78" t="str">
        <f t="shared" si="38"/>
        <v>https://portal.dnb.de/opac.htm?method=simpleSearch&amp;cqlMode=true&amp;query=idn%3D996412433</v>
      </c>
      <c r="E1264" s="74" t="s">
        <v>209</v>
      </c>
      <c r="F1264" s="74"/>
      <c r="G1264" s="76"/>
      <c r="H1264" s="77"/>
      <c r="I1264" s="76"/>
      <c r="J1264" s="77"/>
      <c r="K1264" s="77"/>
      <c r="L1264" s="76"/>
      <c r="M1264" s="76"/>
      <c r="N1264" s="76"/>
      <c r="O1264" s="76"/>
      <c r="P1264" s="76"/>
      <c r="Q1264" s="76"/>
      <c r="R1264" s="76"/>
      <c r="S1264" s="76"/>
      <c r="BD1264" s="99">
        <f t="shared" si="39"/>
        <v>0</v>
      </c>
      <c r="CC1264" s="99"/>
      <c r="CV1264" s="99"/>
      <c r="CW1264" s="63"/>
    </row>
    <row r="1265" spans="1:101" x14ac:dyDescent="0.15">
      <c r="A1265" s="76">
        <v>1179</v>
      </c>
      <c r="B1265" s="74" t="s">
        <v>210</v>
      </c>
      <c r="C1265" s="74">
        <v>1000040445</v>
      </c>
      <c r="D1265" s="78" t="str">
        <f t="shared" ref="D1265:D1326" si="40">HYPERLINK(CONCATENATE("https://portal.dnb.de/opac.htm?method=simpleSearch&amp;cqlMode=true&amp;query=idn%3D",C1265))</f>
        <v>https://portal.dnb.de/opac.htm?method=simpleSearch&amp;cqlMode=true&amp;query=idn%3D1000040445</v>
      </c>
      <c r="E1265" s="74" t="s">
        <v>211</v>
      </c>
      <c r="F1265" s="74"/>
      <c r="G1265" s="76"/>
      <c r="H1265" s="77"/>
      <c r="I1265" s="76"/>
      <c r="J1265" s="77"/>
      <c r="K1265" s="77"/>
      <c r="L1265" s="76"/>
      <c r="M1265" s="76"/>
      <c r="N1265" s="76"/>
      <c r="O1265" s="76"/>
      <c r="P1265" s="76"/>
      <c r="Q1265" s="76"/>
      <c r="R1265" s="76"/>
      <c r="S1265" s="76"/>
      <c r="BD1265" s="99">
        <f t="shared" si="39"/>
        <v>0</v>
      </c>
      <c r="CC1265" s="99"/>
      <c r="CV1265" s="99"/>
      <c r="CW1265" s="63"/>
    </row>
    <row r="1266" spans="1:101" x14ac:dyDescent="0.15">
      <c r="A1266" s="76">
        <v>1180</v>
      </c>
      <c r="B1266" s="74" t="s">
        <v>212</v>
      </c>
      <c r="C1266" s="74" t="s">
        <v>213</v>
      </c>
      <c r="D1266" s="78" t="str">
        <f t="shared" si="40"/>
        <v>https://portal.dnb.de/opac.htm?method=simpleSearch&amp;cqlMode=true&amp;query=idn%3D99453843X</v>
      </c>
      <c r="E1266" s="74" t="s">
        <v>211</v>
      </c>
      <c r="F1266" s="74"/>
      <c r="G1266" s="76"/>
      <c r="H1266" s="77" t="s">
        <v>17</v>
      </c>
      <c r="I1266" s="76" t="s">
        <v>54</v>
      </c>
      <c r="J1266" s="77" t="s">
        <v>58</v>
      </c>
      <c r="K1266" s="77" t="s">
        <v>84</v>
      </c>
      <c r="L1266" s="76"/>
      <c r="M1266" s="76"/>
      <c r="N1266" s="76"/>
      <c r="O1266" s="76">
        <v>0</v>
      </c>
      <c r="P1266" s="76"/>
      <c r="Q1266" s="76"/>
      <c r="R1266" s="76"/>
      <c r="S1266" s="76"/>
      <c r="BD1266" s="99">
        <f t="shared" si="39"/>
        <v>0</v>
      </c>
      <c r="CC1266" s="99"/>
      <c r="CV1266" s="99"/>
      <c r="CW1266" s="63"/>
    </row>
    <row r="1267" spans="1:101" x14ac:dyDescent="0.15">
      <c r="A1267" s="76">
        <v>1181</v>
      </c>
      <c r="B1267" s="74" t="s">
        <v>196</v>
      </c>
      <c r="C1267" s="74">
        <v>994559011</v>
      </c>
      <c r="D1267" s="78" t="str">
        <f t="shared" si="40"/>
        <v>https://portal.dnb.de/opac.htm?method=simpleSearch&amp;cqlMode=true&amp;query=idn%3D994559011</v>
      </c>
      <c r="E1267" s="74" t="s">
        <v>197</v>
      </c>
      <c r="F1267" s="74"/>
      <c r="G1267" s="76"/>
      <c r="H1267" s="77"/>
      <c r="I1267" s="76"/>
      <c r="J1267" s="77"/>
      <c r="K1267" s="77"/>
      <c r="L1267" s="76"/>
      <c r="M1267" s="76"/>
      <c r="N1267" s="76"/>
      <c r="O1267" s="76"/>
      <c r="P1267" s="76"/>
      <c r="Q1267" s="76"/>
      <c r="R1267" s="76"/>
      <c r="S1267" s="76"/>
      <c r="BD1267" s="99">
        <f t="shared" si="39"/>
        <v>0</v>
      </c>
      <c r="CC1267" s="99"/>
      <c r="CV1267" s="99"/>
      <c r="CW1267" s="63"/>
    </row>
    <row r="1268" spans="1:101" x14ac:dyDescent="0.15">
      <c r="A1268" s="76">
        <v>1182</v>
      </c>
      <c r="B1268" s="74" t="s">
        <v>198</v>
      </c>
      <c r="C1268" s="74">
        <v>1002236975</v>
      </c>
      <c r="D1268" s="78" t="str">
        <f t="shared" si="40"/>
        <v>https://portal.dnb.de/opac.htm?method=simpleSearch&amp;cqlMode=true&amp;query=idn%3D1002236975</v>
      </c>
      <c r="E1268" s="74" t="s">
        <v>199</v>
      </c>
      <c r="F1268" s="74"/>
      <c r="G1268" s="76" t="s">
        <v>8515</v>
      </c>
      <c r="H1268" s="77" t="s">
        <v>48</v>
      </c>
      <c r="I1268" s="76" t="s">
        <v>53</v>
      </c>
      <c r="J1268" s="77" t="s">
        <v>8516</v>
      </c>
      <c r="K1268" s="77" t="s">
        <v>84</v>
      </c>
      <c r="L1268" s="76"/>
      <c r="M1268" s="76"/>
      <c r="N1268" s="76" t="s">
        <v>8660</v>
      </c>
      <c r="O1268" s="76">
        <v>0</v>
      </c>
      <c r="P1268" s="76"/>
      <c r="Q1268" s="76"/>
      <c r="R1268" s="76"/>
      <c r="S1268" s="76"/>
      <c r="BD1268" s="99">
        <f t="shared" si="39"/>
        <v>0</v>
      </c>
      <c r="CC1268" s="99"/>
      <c r="CV1268" s="99"/>
      <c r="CW1268" s="63"/>
    </row>
    <row r="1269" spans="1:101" x14ac:dyDescent="0.15">
      <c r="A1269" s="76">
        <v>1183</v>
      </c>
      <c r="B1269" s="74" t="s">
        <v>204</v>
      </c>
      <c r="C1269" s="74">
        <v>1002730988</v>
      </c>
      <c r="D1269" s="78" t="str">
        <f t="shared" si="40"/>
        <v>https://portal.dnb.de/opac.htm?method=simpleSearch&amp;cqlMode=true&amp;query=idn%3D1002730988</v>
      </c>
      <c r="E1269" s="74" t="s">
        <v>205</v>
      </c>
      <c r="F1269" s="74"/>
      <c r="G1269" s="76"/>
      <c r="H1269" s="77"/>
      <c r="I1269" s="76"/>
      <c r="J1269" s="77"/>
      <c r="K1269" s="77"/>
      <c r="L1269" s="76"/>
      <c r="M1269" s="76"/>
      <c r="N1269" s="76"/>
      <c r="O1269" s="76"/>
      <c r="P1269" s="76"/>
      <c r="Q1269" s="76"/>
      <c r="R1269" s="76"/>
      <c r="S1269" s="76"/>
      <c r="BD1269" s="99">
        <f t="shared" si="39"/>
        <v>0</v>
      </c>
      <c r="CC1269" s="99"/>
      <c r="CV1269" s="99"/>
      <c r="CW1269" s="63"/>
    </row>
    <row r="1270" spans="1:101" x14ac:dyDescent="0.15">
      <c r="A1270" s="76">
        <v>1184</v>
      </c>
      <c r="B1270" s="74" t="s">
        <v>214</v>
      </c>
      <c r="C1270" s="74">
        <v>994198752</v>
      </c>
      <c r="D1270" s="78" t="str">
        <f t="shared" si="40"/>
        <v>https://portal.dnb.de/opac.htm?method=simpleSearch&amp;cqlMode=true&amp;query=idn%3D994198752</v>
      </c>
      <c r="E1270" s="74" t="s">
        <v>215</v>
      </c>
      <c r="F1270" s="74"/>
      <c r="G1270" s="76"/>
      <c r="H1270" s="77"/>
      <c r="I1270" s="76"/>
      <c r="J1270" s="77"/>
      <c r="K1270" s="77"/>
      <c r="L1270" s="76"/>
      <c r="M1270" s="76"/>
      <c r="N1270" s="76"/>
      <c r="O1270" s="76"/>
      <c r="P1270" s="76"/>
      <c r="Q1270" s="76"/>
      <c r="R1270" s="76"/>
      <c r="S1270" s="76"/>
      <c r="BD1270" s="99">
        <f t="shared" si="39"/>
        <v>0</v>
      </c>
      <c r="CC1270" s="99"/>
      <c r="CV1270" s="99"/>
      <c r="CW1270" s="63"/>
    </row>
    <row r="1271" spans="1:101" x14ac:dyDescent="0.15">
      <c r="A1271" s="76">
        <v>1185</v>
      </c>
      <c r="B1271" s="74" t="s">
        <v>220</v>
      </c>
      <c r="C1271" s="74">
        <v>1066941696</v>
      </c>
      <c r="D1271" s="78" t="str">
        <f t="shared" si="40"/>
        <v>https://portal.dnb.de/opac.htm?method=simpleSearch&amp;cqlMode=true&amp;query=idn%3D1066941696</v>
      </c>
      <c r="E1271" s="74" t="s">
        <v>221</v>
      </c>
      <c r="F1271" s="74"/>
      <c r="G1271" s="76"/>
      <c r="H1271" s="77"/>
      <c r="I1271" s="76"/>
      <c r="J1271" s="77"/>
      <c r="K1271" s="77"/>
      <c r="L1271" s="76"/>
      <c r="M1271" s="76"/>
      <c r="N1271" s="76"/>
      <c r="O1271" s="76"/>
      <c r="P1271" s="76"/>
      <c r="Q1271" s="76"/>
      <c r="R1271" s="76"/>
      <c r="S1271" s="76"/>
      <c r="BD1271" s="99">
        <f t="shared" si="39"/>
        <v>0</v>
      </c>
      <c r="CC1271" s="99"/>
      <c r="CV1271" s="99"/>
      <c r="CW1271" s="63"/>
    </row>
    <row r="1272" spans="1:101" x14ac:dyDescent="0.15">
      <c r="A1272" s="76">
        <v>1186</v>
      </c>
      <c r="B1272" s="74" t="s">
        <v>222</v>
      </c>
      <c r="C1272" s="74">
        <v>1066929688</v>
      </c>
      <c r="D1272" s="78" t="str">
        <f t="shared" si="40"/>
        <v>https://portal.dnb.de/opac.htm?method=simpleSearch&amp;cqlMode=true&amp;query=idn%3D1066929688</v>
      </c>
      <c r="E1272" s="74" t="s">
        <v>223</v>
      </c>
      <c r="F1272" s="74"/>
      <c r="G1272" s="76"/>
      <c r="H1272" s="77"/>
      <c r="I1272" s="76"/>
      <c r="J1272" s="77"/>
      <c r="K1272" s="77"/>
      <c r="L1272" s="76"/>
      <c r="M1272" s="76"/>
      <c r="N1272" s="76"/>
      <c r="O1272" s="76"/>
      <c r="P1272" s="76"/>
      <c r="Q1272" s="76"/>
      <c r="R1272" s="76"/>
      <c r="S1272" s="76"/>
      <c r="BD1272" s="99">
        <f t="shared" si="39"/>
        <v>0</v>
      </c>
      <c r="CC1272" s="99"/>
      <c r="CV1272" s="99"/>
      <c r="CW1272" s="63"/>
    </row>
    <row r="1273" spans="1:101" x14ac:dyDescent="0.15">
      <c r="A1273" s="76">
        <v>1187</v>
      </c>
      <c r="B1273" s="74" t="s">
        <v>224</v>
      </c>
      <c r="C1273" s="74">
        <v>1209073196</v>
      </c>
      <c r="D1273" s="78" t="str">
        <f t="shared" si="40"/>
        <v>https://portal.dnb.de/opac.htm?method=simpleSearch&amp;cqlMode=true&amp;query=idn%3D1209073196</v>
      </c>
      <c r="E1273" s="74" t="s">
        <v>225</v>
      </c>
      <c r="F1273" s="74"/>
      <c r="G1273" s="76"/>
      <c r="H1273" s="77"/>
      <c r="I1273" s="76"/>
      <c r="J1273" s="77"/>
      <c r="K1273" s="77"/>
      <c r="L1273" s="76"/>
      <c r="M1273" s="76"/>
      <c r="N1273" s="76"/>
      <c r="O1273" s="76"/>
      <c r="P1273" s="76"/>
      <c r="Q1273" s="76"/>
      <c r="R1273" s="76"/>
      <c r="S1273" s="76"/>
      <c r="BD1273" s="99">
        <f t="shared" si="39"/>
        <v>0</v>
      </c>
      <c r="CC1273" s="99"/>
      <c r="CV1273" s="99"/>
      <c r="CW1273" s="63"/>
    </row>
    <row r="1274" spans="1:101" ht="22.5" x14ac:dyDescent="0.15">
      <c r="A1274" s="76">
        <v>1188</v>
      </c>
      <c r="B1274" s="74" t="s">
        <v>226</v>
      </c>
      <c r="C1274" s="74">
        <v>1066959536</v>
      </c>
      <c r="D1274" s="78" t="str">
        <f t="shared" si="40"/>
        <v>https://portal.dnb.de/opac.htm?method=simpleSearch&amp;cqlMode=true&amp;query=idn%3D1066959536</v>
      </c>
      <c r="E1274" s="74" t="s">
        <v>227</v>
      </c>
      <c r="F1274" s="74"/>
      <c r="G1274" s="76" t="s">
        <v>8515</v>
      </c>
      <c r="H1274" s="77" t="s">
        <v>18</v>
      </c>
      <c r="I1274" s="76" t="s">
        <v>53</v>
      </c>
      <c r="J1274" s="77" t="s">
        <v>58</v>
      </c>
      <c r="K1274" s="77" t="s">
        <v>84</v>
      </c>
      <c r="L1274" s="76"/>
      <c r="M1274" s="76"/>
      <c r="N1274" s="76"/>
      <c r="O1274" s="76">
        <v>0</v>
      </c>
      <c r="P1274" s="76"/>
      <c r="Q1274" s="76"/>
      <c r="R1274" s="76"/>
      <c r="S1274" s="76"/>
      <c r="BD1274" s="99">
        <f t="shared" si="39"/>
        <v>0</v>
      </c>
      <c r="CC1274" s="99"/>
      <c r="CV1274" s="99"/>
      <c r="CW1274" s="63"/>
    </row>
    <row r="1275" spans="1:101" ht="22.5" x14ac:dyDescent="0.15">
      <c r="A1275" s="76">
        <v>1189</v>
      </c>
      <c r="B1275" s="74" t="s">
        <v>228</v>
      </c>
      <c r="C1275" s="74">
        <v>993709397</v>
      </c>
      <c r="D1275" s="78" t="str">
        <f t="shared" si="40"/>
        <v>https://portal.dnb.de/opac.htm?method=simpleSearch&amp;cqlMode=true&amp;query=idn%3D993709397</v>
      </c>
      <c r="E1275" s="74" t="s">
        <v>229</v>
      </c>
      <c r="F1275" s="74"/>
      <c r="G1275" s="76"/>
      <c r="H1275" s="77" t="s">
        <v>18</v>
      </c>
      <c r="I1275" s="76" t="s">
        <v>53</v>
      </c>
      <c r="J1275" s="77" t="s">
        <v>58</v>
      </c>
      <c r="K1275" s="77" t="s">
        <v>84</v>
      </c>
      <c r="L1275" s="76"/>
      <c r="M1275" s="76" t="s">
        <v>36</v>
      </c>
      <c r="N1275" s="76" t="s">
        <v>39</v>
      </c>
      <c r="O1275" s="76">
        <v>2</v>
      </c>
      <c r="P1275" s="76"/>
      <c r="Q1275" s="76"/>
      <c r="R1275" s="76"/>
      <c r="S1275" s="76"/>
      <c r="BD1275" s="99">
        <f t="shared" si="39"/>
        <v>0</v>
      </c>
      <c r="CC1275" s="99"/>
      <c r="CV1275" s="99"/>
      <c r="CW1275" s="63"/>
    </row>
    <row r="1276" spans="1:101" ht="22.5" x14ac:dyDescent="0.15">
      <c r="A1276" s="76">
        <v>1190</v>
      </c>
      <c r="B1276" s="74" t="s">
        <v>289</v>
      </c>
      <c r="C1276" s="74">
        <v>994194854</v>
      </c>
      <c r="D1276" s="78" t="str">
        <f t="shared" si="40"/>
        <v>https://portal.dnb.de/opac.htm?method=simpleSearch&amp;cqlMode=true&amp;query=idn%3D994194854</v>
      </c>
      <c r="E1276" s="74" t="s">
        <v>290</v>
      </c>
      <c r="F1276" s="74"/>
      <c r="G1276" s="76"/>
      <c r="H1276" s="77" t="s">
        <v>8547</v>
      </c>
      <c r="I1276" s="76" t="s">
        <v>55</v>
      </c>
      <c r="J1276" s="77" t="s">
        <v>89</v>
      </c>
      <c r="K1276" s="77" t="s">
        <v>72</v>
      </c>
      <c r="L1276" s="76"/>
      <c r="M1276" s="76" t="s">
        <v>38</v>
      </c>
      <c r="N1276" s="76" t="s">
        <v>40</v>
      </c>
      <c r="O1276" s="76">
        <v>0</v>
      </c>
      <c r="P1276" s="76"/>
      <c r="Q1276" s="76"/>
      <c r="R1276" s="76"/>
      <c r="S1276" s="76"/>
      <c r="BD1276" s="99">
        <f t="shared" si="39"/>
        <v>0</v>
      </c>
      <c r="CC1276" s="99"/>
      <c r="CV1276" s="99"/>
      <c r="CW1276" s="63"/>
    </row>
    <row r="1277" spans="1:101" x14ac:dyDescent="0.15">
      <c r="A1277" s="76">
        <v>1191</v>
      </c>
      <c r="B1277" s="74" t="s">
        <v>335</v>
      </c>
      <c r="C1277" s="74">
        <v>998781851</v>
      </c>
      <c r="D1277" s="78" t="str">
        <f t="shared" si="40"/>
        <v>https://portal.dnb.de/opac.htm?method=simpleSearch&amp;cqlMode=true&amp;query=idn%3D998781851</v>
      </c>
      <c r="E1277" s="74" t="s">
        <v>336</v>
      </c>
      <c r="F1277" s="74"/>
      <c r="G1277" s="76" t="s">
        <v>8515</v>
      </c>
      <c r="H1277" s="77" t="s">
        <v>48</v>
      </c>
      <c r="I1277" s="76" t="s">
        <v>55</v>
      </c>
      <c r="J1277" s="77" t="s">
        <v>8516</v>
      </c>
      <c r="K1277" s="77" t="s">
        <v>84</v>
      </c>
      <c r="L1277" s="76"/>
      <c r="M1277" s="76"/>
      <c r="N1277" s="76" t="s">
        <v>8660</v>
      </c>
      <c r="O1277" s="76">
        <v>0</v>
      </c>
      <c r="P1277" s="76"/>
      <c r="Q1277" s="76"/>
      <c r="R1277" s="76"/>
      <c r="S1277" s="76"/>
      <c r="BD1277" s="99">
        <f t="shared" si="39"/>
        <v>0</v>
      </c>
      <c r="CC1277" s="99"/>
      <c r="CV1277" s="99"/>
      <c r="CW1277" s="63"/>
    </row>
    <row r="1278" spans="1:101" ht="22.5" x14ac:dyDescent="0.15">
      <c r="A1278" s="76">
        <v>1192</v>
      </c>
      <c r="B1278" s="74" t="s">
        <v>445</v>
      </c>
      <c r="C1278" s="74">
        <v>998782378</v>
      </c>
      <c r="D1278" s="78" t="str">
        <f t="shared" si="40"/>
        <v>https://portal.dnb.de/opac.htm?method=simpleSearch&amp;cqlMode=true&amp;query=idn%3D998782378</v>
      </c>
      <c r="E1278" s="74" t="s">
        <v>446</v>
      </c>
      <c r="F1278" s="74"/>
      <c r="G1278" s="76"/>
      <c r="H1278" s="77" t="s">
        <v>8547</v>
      </c>
      <c r="I1278" s="76" t="s">
        <v>55</v>
      </c>
      <c r="J1278" s="77" t="s">
        <v>8516</v>
      </c>
      <c r="K1278" s="77" t="s">
        <v>8924</v>
      </c>
      <c r="L1278" s="76"/>
      <c r="M1278" s="76" t="s">
        <v>37</v>
      </c>
      <c r="N1278" s="76" t="s">
        <v>8660</v>
      </c>
      <c r="O1278" s="76">
        <v>1</v>
      </c>
      <c r="P1278" s="76"/>
      <c r="Q1278" s="76"/>
      <c r="R1278" s="76"/>
      <c r="S1278" s="76"/>
      <c r="BD1278" s="99">
        <f t="shared" si="39"/>
        <v>0</v>
      </c>
      <c r="CC1278" s="99"/>
      <c r="CV1278" s="99"/>
      <c r="CW1278" s="63"/>
    </row>
    <row r="1279" spans="1:101" x14ac:dyDescent="0.15">
      <c r="A1279" s="76">
        <v>1193</v>
      </c>
      <c r="B1279" s="74" t="s">
        <v>447</v>
      </c>
      <c r="C1279" s="74" t="s">
        <v>448</v>
      </c>
      <c r="D1279" s="78" t="str">
        <f t="shared" si="40"/>
        <v>https://portal.dnb.de/opac.htm?method=simpleSearch&amp;cqlMode=true&amp;query=idn%3D99878267X</v>
      </c>
      <c r="E1279" s="74" t="s">
        <v>446</v>
      </c>
      <c r="F1279" s="74"/>
      <c r="G1279" s="76"/>
      <c r="H1279" s="77"/>
      <c r="I1279" s="76"/>
      <c r="J1279" s="77"/>
      <c r="K1279" s="77"/>
      <c r="L1279" s="76"/>
      <c r="M1279" s="76"/>
      <c r="N1279" s="76"/>
      <c r="O1279" s="76"/>
      <c r="P1279" s="76"/>
      <c r="Q1279" s="76"/>
      <c r="R1279" s="76"/>
      <c r="S1279" s="76"/>
      <c r="BD1279" s="99">
        <f t="shared" si="39"/>
        <v>0</v>
      </c>
      <c r="CC1279" s="99"/>
      <c r="CV1279" s="99"/>
      <c r="CW1279" s="63"/>
    </row>
    <row r="1280" spans="1:101" x14ac:dyDescent="0.15">
      <c r="A1280" s="76">
        <v>1194</v>
      </c>
      <c r="B1280" s="74" t="s">
        <v>449</v>
      </c>
      <c r="C1280" s="74">
        <v>996427996</v>
      </c>
      <c r="D1280" s="78" t="str">
        <f t="shared" si="40"/>
        <v>https://portal.dnb.de/opac.htm?method=simpleSearch&amp;cqlMode=true&amp;query=idn%3D996427996</v>
      </c>
      <c r="E1280" s="74" t="s">
        <v>446</v>
      </c>
      <c r="F1280" s="74"/>
      <c r="G1280" s="76"/>
      <c r="H1280" s="77"/>
      <c r="I1280" s="76"/>
      <c r="J1280" s="77"/>
      <c r="K1280" s="77"/>
      <c r="L1280" s="76"/>
      <c r="M1280" s="76"/>
      <c r="N1280" s="76"/>
      <c r="O1280" s="76"/>
      <c r="P1280" s="76"/>
      <c r="Q1280" s="76"/>
      <c r="R1280" s="76"/>
      <c r="S1280" s="76"/>
      <c r="BD1280" s="99">
        <f t="shared" si="39"/>
        <v>0</v>
      </c>
      <c r="CC1280" s="99"/>
      <c r="CV1280" s="99"/>
      <c r="CW1280" s="63"/>
    </row>
    <row r="1281" spans="1:101" ht="33.75" x14ac:dyDescent="0.15">
      <c r="A1281" s="76">
        <v>1195</v>
      </c>
      <c r="B1281" s="74" t="s">
        <v>230</v>
      </c>
      <c r="C1281" s="74">
        <v>1066960631</v>
      </c>
      <c r="D1281" s="78" t="str">
        <f t="shared" si="40"/>
        <v>https://portal.dnb.de/opac.htm?method=simpleSearch&amp;cqlMode=true&amp;query=idn%3D1066960631</v>
      </c>
      <c r="E1281" s="74" t="s">
        <v>231</v>
      </c>
      <c r="F1281" s="74"/>
      <c r="G1281" s="76" t="s">
        <v>8515</v>
      </c>
      <c r="H1281" s="77" t="s">
        <v>8674</v>
      </c>
      <c r="I1281" s="76" t="s">
        <v>54</v>
      </c>
      <c r="J1281" s="77" t="s">
        <v>58</v>
      </c>
      <c r="K1281" s="77" t="s">
        <v>84</v>
      </c>
      <c r="L1281" s="76"/>
      <c r="M1281" s="76" t="s">
        <v>37</v>
      </c>
      <c r="N1281" s="76" t="s">
        <v>40</v>
      </c>
      <c r="O1281" s="76">
        <v>2</v>
      </c>
      <c r="P1281" s="76"/>
      <c r="Q1281" s="76"/>
      <c r="R1281" s="76"/>
      <c r="S1281" s="76"/>
      <c r="BD1281" s="99">
        <f t="shared" si="39"/>
        <v>0</v>
      </c>
      <c r="CC1281" s="99"/>
      <c r="CV1281" s="99"/>
      <c r="CW1281" s="63"/>
    </row>
    <row r="1282" spans="1:101" ht="33.75" x14ac:dyDescent="0.15">
      <c r="A1282" s="76">
        <v>1196</v>
      </c>
      <c r="B1282" s="74" t="s">
        <v>287</v>
      </c>
      <c r="C1282" s="74">
        <v>1066962820</v>
      </c>
      <c r="D1282" s="78" t="str">
        <f t="shared" si="40"/>
        <v>https://portal.dnb.de/opac.htm?method=simpleSearch&amp;cqlMode=true&amp;query=idn%3D1066962820</v>
      </c>
      <c r="E1282" s="74" t="s">
        <v>288</v>
      </c>
      <c r="F1282" s="74"/>
      <c r="G1282" s="76" t="s">
        <v>8515</v>
      </c>
      <c r="H1282" s="77" t="s">
        <v>8694</v>
      </c>
      <c r="I1282" s="76" t="s">
        <v>53</v>
      </c>
      <c r="J1282" s="77" t="s">
        <v>8516</v>
      </c>
      <c r="K1282" s="77" t="s">
        <v>8565</v>
      </c>
      <c r="L1282" s="76"/>
      <c r="M1282" s="76" t="s">
        <v>37</v>
      </c>
      <c r="N1282" s="76" t="s">
        <v>40</v>
      </c>
      <c r="O1282" s="76">
        <v>2</v>
      </c>
      <c r="P1282" s="76"/>
      <c r="Q1282" s="76"/>
      <c r="R1282" s="76"/>
      <c r="S1282" s="76"/>
      <c r="BD1282" s="99">
        <f t="shared" si="39"/>
        <v>0</v>
      </c>
      <c r="CC1282" s="99"/>
      <c r="CV1282" s="99"/>
      <c r="CW1282" s="63"/>
    </row>
    <row r="1283" spans="1:101" ht="22.5" x14ac:dyDescent="0.15">
      <c r="A1283" s="76">
        <v>1197</v>
      </c>
      <c r="B1283" s="74" t="s">
        <v>333</v>
      </c>
      <c r="C1283" s="74">
        <v>1066957231</v>
      </c>
      <c r="D1283" s="78" t="str">
        <f t="shared" si="40"/>
        <v>https://portal.dnb.de/opac.htm?method=simpleSearch&amp;cqlMode=true&amp;query=idn%3D1066957231</v>
      </c>
      <c r="E1283" s="74" t="s">
        <v>334</v>
      </c>
      <c r="F1283" s="74"/>
      <c r="G1283" s="76" t="s">
        <v>8515</v>
      </c>
      <c r="H1283" s="77" t="s">
        <v>18</v>
      </c>
      <c r="I1283" s="76" t="s">
        <v>54</v>
      </c>
      <c r="J1283" s="77" t="s">
        <v>58</v>
      </c>
      <c r="K1283" s="77" t="s">
        <v>84</v>
      </c>
      <c r="L1283" s="76"/>
      <c r="M1283" s="76" t="s">
        <v>37</v>
      </c>
      <c r="N1283" s="76"/>
      <c r="O1283" s="76"/>
      <c r="P1283" s="76"/>
      <c r="Q1283" s="76"/>
      <c r="R1283" s="76"/>
      <c r="S1283" s="76"/>
      <c r="BD1283" s="99">
        <f t="shared" ref="BD1283:BD1346" si="41">CC1283+CV1283</f>
        <v>0</v>
      </c>
      <c r="CC1283" s="99"/>
      <c r="CV1283" s="99"/>
      <c r="CW1283" s="63"/>
    </row>
    <row r="1284" spans="1:101" ht="33.75" x14ac:dyDescent="0.15">
      <c r="A1284" s="76">
        <v>1198</v>
      </c>
      <c r="B1284" s="74" t="s">
        <v>367</v>
      </c>
      <c r="C1284" s="74">
        <v>1066849471</v>
      </c>
      <c r="D1284" s="78" t="str">
        <f t="shared" si="40"/>
        <v>https://portal.dnb.de/opac.htm?method=simpleSearch&amp;cqlMode=true&amp;query=idn%3D1066849471</v>
      </c>
      <c r="E1284" s="74" t="s">
        <v>368</v>
      </c>
      <c r="F1284" s="74"/>
      <c r="G1284" s="76" t="s">
        <v>8541</v>
      </c>
      <c r="H1284" s="77" t="s">
        <v>8567</v>
      </c>
      <c r="I1284" s="76" t="s">
        <v>54</v>
      </c>
      <c r="J1284" s="77" t="s">
        <v>8516</v>
      </c>
      <c r="K1284" s="77" t="s">
        <v>8552</v>
      </c>
      <c r="L1284" s="76"/>
      <c r="M1284" s="76" t="s">
        <v>37</v>
      </c>
      <c r="N1284" s="76" t="s">
        <v>40</v>
      </c>
      <c r="O1284" s="76">
        <v>0</v>
      </c>
      <c r="P1284" s="76"/>
      <c r="Q1284" s="76"/>
      <c r="R1284" s="76"/>
      <c r="S1284" s="76"/>
      <c r="BD1284" s="99">
        <f t="shared" si="41"/>
        <v>0</v>
      </c>
      <c r="CC1284" s="99"/>
      <c r="CV1284" s="99"/>
      <c r="CW1284" s="63"/>
    </row>
    <row r="1285" spans="1:101" ht="33.75" x14ac:dyDescent="0.15">
      <c r="A1285" s="76">
        <v>1199</v>
      </c>
      <c r="B1285" s="74" t="s">
        <v>406</v>
      </c>
      <c r="C1285" s="74">
        <v>1066961875</v>
      </c>
      <c r="D1285" s="78" t="str">
        <f t="shared" si="40"/>
        <v>https://portal.dnb.de/opac.htm?method=simpleSearch&amp;cqlMode=true&amp;query=idn%3D1066961875</v>
      </c>
      <c r="E1285" s="74" t="s">
        <v>407</v>
      </c>
      <c r="F1285" s="74"/>
      <c r="G1285" s="76" t="s">
        <v>8515</v>
      </c>
      <c r="H1285" s="77" t="s">
        <v>8674</v>
      </c>
      <c r="I1285" s="76" t="s">
        <v>54</v>
      </c>
      <c r="J1285" s="77" t="s">
        <v>58</v>
      </c>
      <c r="K1285" s="77" t="s">
        <v>8552</v>
      </c>
      <c r="L1285" s="76"/>
      <c r="M1285" s="76" t="s">
        <v>37</v>
      </c>
      <c r="N1285" s="76" t="s">
        <v>8660</v>
      </c>
      <c r="O1285" s="76">
        <v>1</v>
      </c>
      <c r="P1285" s="76"/>
      <c r="Q1285" s="76"/>
      <c r="R1285" s="76"/>
      <c r="S1285" s="76"/>
      <c r="BD1285" s="99">
        <f t="shared" si="41"/>
        <v>0</v>
      </c>
      <c r="CC1285" s="99"/>
      <c r="CV1285" s="99"/>
      <c r="CW1285" s="63"/>
    </row>
    <row r="1286" spans="1:101" ht="33.75" x14ac:dyDescent="0.15">
      <c r="A1286" s="76">
        <v>1200</v>
      </c>
      <c r="B1286" s="74" t="s">
        <v>443</v>
      </c>
      <c r="C1286" s="74">
        <v>1066872546</v>
      </c>
      <c r="D1286" s="78" t="str">
        <f t="shared" si="40"/>
        <v>https://portal.dnb.de/opac.htm?method=simpleSearch&amp;cqlMode=true&amp;query=idn%3D1066872546</v>
      </c>
      <c r="E1286" s="74" t="s">
        <v>444</v>
      </c>
      <c r="F1286" s="74"/>
      <c r="G1286" s="76" t="s">
        <v>8515</v>
      </c>
      <c r="H1286" s="77" t="s">
        <v>8694</v>
      </c>
      <c r="I1286" s="76" t="s">
        <v>54</v>
      </c>
      <c r="J1286" s="77" t="s">
        <v>8516</v>
      </c>
      <c r="K1286" s="77" t="s">
        <v>84</v>
      </c>
      <c r="L1286" s="76"/>
      <c r="M1286" s="76" t="s">
        <v>37</v>
      </c>
      <c r="N1286" s="76" t="s">
        <v>40</v>
      </c>
      <c r="O1286" s="76">
        <v>1</v>
      </c>
      <c r="P1286" s="76"/>
      <c r="Q1286" s="76" t="s">
        <v>9040</v>
      </c>
      <c r="R1286" s="76"/>
      <c r="S1286" s="76"/>
      <c r="BD1286" s="99">
        <f t="shared" si="41"/>
        <v>0</v>
      </c>
      <c r="CC1286" s="99"/>
      <c r="CV1286" s="99"/>
      <c r="CW1286" s="63"/>
    </row>
    <row r="1287" spans="1:101" ht="33.75" x14ac:dyDescent="0.15">
      <c r="A1287" s="76">
        <v>1201</v>
      </c>
      <c r="B1287" s="74" t="s">
        <v>464</v>
      </c>
      <c r="C1287" s="74">
        <v>1066961778</v>
      </c>
      <c r="D1287" s="78" t="str">
        <f t="shared" si="40"/>
        <v>https://portal.dnb.de/opac.htm?method=simpleSearch&amp;cqlMode=true&amp;query=idn%3D1066961778</v>
      </c>
      <c r="E1287" s="74" t="s">
        <v>465</v>
      </c>
      <c r="F1287" s="74"/>
      <c r="G1287" s="76"/>
      <c r="H1287" s="77" t="s">
        <v>8547</v>
      </c>
      <c r="I1287" s="76" t="s">
        <v>54</v>
      </c>
      <c r="J1287" s="77" t="s">
        <v>8516</v>
      </c>
      <c r="K1287" s="77" t="s">
        <v>8928</v>
      </c>
      <c r="L1287" s="76"/>
      <c r="M1287" s="76" t="s">
        <v>37</v>
      </c>
      <c r="N1287" s="76" t="s">
        <v>8660</v>
      </c>
      <c r="O1287" s="76">
        <v>1</v>
      </c>
      <c r="P1287" s="76"/>
      <c r="Q1287" s="76" t="s">
        <v>9040</v>
      </c>
      <c r="R1287" s="76"/>
      <c r="S1287" s="76"/>
      <c r="BD1287" s="99">
        <f t="shared" si="41"/>
        <v>0</v>
      </c>
      <c r="CC1287" s="99"/>
      <c r="CV1287" s="99"/>
      <c r="CW1287" s="63"/>
    </row>
    <row r="1288" spans="1:101" ht="22.5" x14ac:dyDescent="0.15">
      <c r="A1288" s="76">
        <v>1202</v>
      </c>
      <c r="B1288" s="74" t="s">
        <v>468</v>
      </c>
      <c r="C1288" s="74">
        <v>993908357</v>
      </c>
      <c r="D1288" s="78" t="str">
        <f t="shared" si="40"/>
        <v>https://portal.dnb.de/opac.htm?method=simpleSearch&amp;cqlMode=true&amp;query=idn%3D993908357</v>
      </c>
      <c r="E1288" s="74" t="s">
        <v>469</v>
      </c>
      <c r="F1288" s="74"/>
      <c r="G1288" s="76" t="s">
        <v>8515</v>
      </c>
      <c r="H1288" s="77" t="s">
        <v>48</v>
      </c>
      <c r="I1288" s="76" t="s">
        <v>53</v>
      </c>
      <c r="J1288" s="77" t="s">
        <v>8516</v>
      </c>
      <c r="K1288" s="77" t="s">
        <v>8564</v>
      </c>
      <c r="L1288" s="76"/>
      <c r="M1288" s="76" t="s">
        <v>38</v>
      </c>
      <c r="N1288" s="76" t="s">
        <v>40</v>
      </c>
      <c r="O1288" s="76">
        <v>0</v>
      </c>
      <c r="P1288" s="76"/>
      <c r="Q1288" s="76"/>
      <c r="R1288" s="76"/>
      <c r="S1288" s="76"/>
      <c r="BD1288" s="99">
        <f t="shared" si="41"/>
        <v>0</v>
      </c>
      <c r="CC1288" s="99"/>
      <c r="CV1288" s="99"/>
      <c r="CW1288" s="63"/>
    </row>
    <row r="1289" spans="1:101" ht="33.75" x14ac:dyDescent="0.15">
      <c r="A1289" s="76">
        <v>1203</v>
      </c>
      <c r="B1289" s="74" t="s">
        <v>470</v>
      </c>
      <c r="C1289" s="74">
        <v>1066844100</v>
      </c>
      <c r="D1289" s="78" t="str">
        <f t="shared" si="40"/>
        <v>https://portal.dnb.de/opac.htm?method=simpleSearch&amp;cqlMode=true&amp;query=idn%3D1066844100</v>
      </c>
      <c r="E1289" s="74" t="s">
        <v>471</v>
      </c>
      <c r="F1289" s="74"/>
      <c r="G1289" s="76" t="s">
        <v>8515</v>
      </c>
      <c r="H1289" s="77" t="s">
        <v>8673</v>
      </c>
      <c r="I1289" s="76" t="s">
        <v>54</v>
      </c>
      <c r="J1289" s="77" t="s">
        <v>8516</v>
      </c>
      <c r="K1289" s="77" t="s">
        <v>84</v>
      </c>
      <c r="L1289" s="76"/>
      <c r="M1289" s="76" t="s">
        <v>37</v>
      </c>
      <c r="N1289" s="76" t="s">
        <v>40</v>
      </c>
      <c r="O1289" s="76">
        <v>0</v>
      </c>
      <c r="P1289" s="76"/>
      <c r="Q1289" s="76"/>
      <c r="R1289" s="76"/>
      <c r="S1289" s="76"/>
      <c r="BD1289" s="99">
        <f t="shared" si="41"/>
        <v>0</v>
      </c>
      <c r="CC1289" s="99"/>
      <c r="CV1289" s="99"/>
      <c r="CW1289" s="63"/>
    </row>
    <row r="1290" spans="1:101" ht="33.75" x14ac:dyDescent="0.15">
      <c r="A1290" s="76">
        <v>1204</v>
      </c>
      <c r="B1290" s="74" t="s">
        <v>232</v>
      </c>
      <c r="C1290" s="74">
        <v>1066940762</v>
      </c>
      <c r="D1290" s="78" t="str">
        <f t="shared" si="40"/>
        <v>https://portal.dnb.de/opac.htm?method=simpleSearch&amp;cqlMode=true&amp;query=idn%3D1066940762</v>
      </c>
      <c r="E1290" s="74" t="s">
        <v>233</v>
      </c>
      <c r="F1290" s="74"/>
      <c r="G1290" s="76" t="s">
        <v>8515</v>
      </c>
      <c r="H1290" s="77" t="s">
        <v>8546</v>
      </c>
      <c r="I1290" s="76" t="s">
        <v>54</v>
      </c>
      <c r="J1290" s="77" t="s">
        <v>8516</v>
      </c>
      <c r="K1290" s="77" t="s">
        <v>8552</v>
      </c>
      <c r="L1290" s="76"/>
      <c r="M1290" s="76"/>
      <c r="N1290" s="76" t="s">
        <v>8660</v>
      </c>
      <c r="O1290" s="76">
        <v>0</v>
      </c>
      <c r="P1290" s="76"/>
      <c r="Q1290" s="76"/>
      <c r="R1290" s="76"/>
      <c r="S1290" s="76"/>
      <c r="BD1290" s="99">
        <f t="shared" si="41"/>
        <v>0</v>
      </c>
      <c r="CC1290" s="99"/>
      <c r="CV1290" s="99"/>
      <c r="CW1290" s="63"/>
    </row>
    <row r="1291" spans="1:101" ht="22.5" x14ac:dyDescent="0.15">
      <c r="A1291" s="76">
        <v>1205</v>
      </c>
      <c r="B1291" s="74" t="s">
        <v>234</v>
      </c>
      <c r="C1291" s="74">
        <v>1003950051</v>
      </c>
      <c r="D1291" s="78" t="str">
        <f t="shared" si="40"/>
        <v>https://portal.dnb.de/opac.htm?method=simpleSearch&amp;cqlMode=true&amp;query=idn%3D1003950051</v>
      </c>
      <c r="E1291" s="74" t="s">
        <v>235</v>
      </c>
      <c r="F1291" s="74"/>
      <c r="G1291" s="76" t="s">
        <v>8515</v>
      </c>
      <c r="H1291" s="77" t="s">
        <v>48</v>
      </c>
      <c r="I1291" s="76" t="s">
        <v>54</v>
      </c>
      <c r="J1291" s="77" t="s">
        <v>58</v>
      </c>
      <c r="K1291" s="77" t="s">
        <v>8564</v>
      </c>
      <c r="L1291" s="76"/>
      <c r="M1291" s="76"/>
      <c r="N1291" s="76" t="s">
        <v>8660</v>
      </c>
      <c r="O1291" s="76">
        <v>2</v>
      </c>
      <c r="P1291" s="76"/>
      <c r="Q1291" s="76"/>
      <c r="R1291" s="76"/>
      <c r="S1291" s="76"/>
      <c r="BD1291" s="99">
        <f t="shared" si="41"/>
        <v>0</v>
      </c>
      <c r="CC1291" s="99"/>
      <c r="CV1291" s="99"/>
      <c r="CW1291" s="63"/>
    </row>
    <row r="1292" spans="1:101" ht="22.5" x14ac:dyDescent="0.15">
      <c r="A1292" s="76">
        <v>1206</v>
      </c>
      <c r="B1292" s="74" t="s">
        <v>236</v>
      </c>
      <c r="C1292" s="74">
        <v>1003947638</v>
      </c>
      <c r="D1292" s="78" t="str">
        <f t="shared" si="40"/>
        <v>https://portal.dnb.de/opac.htm?method=simpleSearch&amp;cqlMode=true&amp;query=idn%3D1003947638</v>
      </c>
      <c r="E1292" s="74" t="s">
        <v>237</v>
      </c>
      <c r="F1292" s="74"/>
      <c r="G1292" s="76" t="s">
        <v>8515</v>
      </c>
      <c r="H1292" s="77" t="s">
        <v>48</v>
      </c>
      <c r="I1292" s="76" t="s">
        <v>54</v>
      </c>
      <c r="J1292" s="77" t="s">
        <v>58</v>
      </c>
      <c r="K1292" s="77" t="s">
        <v>8564</v>
      </c>
      <c r="L1292" s="76"/>
      <c r="M1292" s="76"/>
      <c r="N1292" s="76" t="s">
        <v>8660</v>
      </c>
      <c r="O1292" s="76">
        <v>2</v>
      </c>
      <c r="P1292" s="76"/>
      <c r="Q1292" s="76"/>
      <c r="R1292" s="76"/>
      <c r="S1292" s="76"/>
      <c r="BD1292" s="99">
        <f t="shared" si="41"/>
        <v>0</v>
      </c>
      <c r="CC1292" s="99"/>
      <c r="CV1292" s="99"/>
      <c r="CW1292" s="63"/>
    </row>
    <row r="1293" spans="1:101" ht="22.5" x14ac:dyDescent="0.15">
      <c r="A1293" s="76">
        <v>1207</v>
      </c>
      <c r="B1293" s="74" t="s">
        <v>238</v>
      </c>
      <c r="C1293" s="74">
        <v>1066943974</v>
      </c>
      <c r="D1293" s="78" t="str">
        <f t="shared" si="40"/>
        <v>https://portal.dnb.de/opac.htm?method=simpleSearch&amp;cqlMode=true&amp;query=idn%3D1066943974</v>
      </c>
      <c r="E1293" s="74" t="s">
        <v>239</v>
      </c>
      <c r="F1293" s="74"/>
      <c r="G1293" s="76" t="s">
        <v>8541</v>
      </c>
      <c r="H1293" s="77" t="s">
        <v>48</v>
      </c>
      <c r="I1293" s="76" t="s">
        <v>54</v>
      </c>
      <c r="J1293" s="77" t="s">
        <v>58</v>
      </c>
      <c r="K1293" s="77" t="s">
        <v>8564</v>
      </c>
      <c r="L1293" s="76"/>
      <c r="M1293" s="76"/>
      <c r="N1293" s="76" t="s">
        <v>8660</v>
      </c>
      <c r="O1293" s="76">
        <v>2</v>
      </c>
      <c r="P1293" s="76"/>
      <c r="Q1293" s="76"/>
      <c r="R1293" s="76"/>
      <c r="S1293" s="76"/>
      <c r="BD1293" s="99">
        <f t="shared" si="41"/>
        <v>0</v>
      </c>
      <c r="CC1293" s="99"/>
      <c r="CV1293" s="99"/>
      <c r="CW1293" s="63"/>
    </row>
    <row r="1294" spans="1:101" ht="33.75" x14ac:dyDescent="0.15">
      <c r="A1294" s="76">
        <v>1208</v>
      </c>
      <c r="B1294" s="74" t="s">
        <v>249</v>
      </c>
      <c r="C1294" s="74">
        <v>993965733</v>
      </c>
      <c r="D1294" s="78" t="str">
        <f t="shared" si="40"/>
        <v>https://portal.dnb.de/opac.htm?method=simpleSearch&amp;cqlMode=true&amp;query=idn%3D993965733</v>
      </c>
      <c r="E1294" s="74" t="s">
        <v>250</v>
      </c>
      <c r="F1294" s="74"/>
      <c r="G1294" s="76" t="s">
        <v>8515</v>
      </c>
      <c r="H1294" s="77" t="s">
        <v>8547</v>
      </c>
      <c r="I1294" s="76" t="s">
        <v>55</v>
      </c>
      <c r="J1294" s="77" t="s">
        <v>89</v>
      </c>
      <c r="K1294" s="77" t="s">
        <v>9590</v>
      </c>
      <c r="L1294" s="76"/>
      <c r="M1294" s="76" t="s">
        <v>37</v>
      </c>
      <c r="N1294" s="76" t="s">
        <v>8660</v>
      </c>
      <c r="O1294" s="76">
        <v>0</v>
      </c>
      <c r="P1294" s="76"/>
      <c r="Q1294" s="76"/>
      <c r="R1294" s="76"/>
      <c r="S1294" s="76"/>
      <c r="BD1294" s="99">
        <f t="shared" si="41"/>
        <v>0</v>
      </c>
      <c r="CC1294" s="99"/>
      <c r="CV1294" s="99"/>
      <c r="CW1294" s="63"/>
    </row>
    <row r="1295" spans="1:101" x14ac:dyDescent="0.15">
      <c r="A1295" s="76">
        <v>1209</v>
      </c>
      <c r="B1295" s="74" t="s">
        <v>251</v>
      </c>
      <c r="C1295" s="74">
        <v>1066796343</v>
      </c>
      <c r="D1295" s="82" t="str">
        <f t="shared" ref="D1295:D1303" si="42">HYPERLINK(CONCATENATE("https://portal.dnb.de/opac.htm?method=simpleSearch&amp;cqlMode=true&amp;query=idn%3D",C1295))</f>
        <v>https://portal.dnb.de/opac.htm?method=simpleSearch&amp;cqlMode=true&amp;query=idn%3D1066796343</v>
      </c>
      <c r="E1295" s="74" t="s">
        <v>252</v>
      </c>
      <c r="F1295" s="74"/>
      <c r="G1295" s="76"/>
      <c r="H1295" s="77"/>
      <c r="I1295" s="76"/>
      <c r="J1295" s="77"/>
      <c r="K1295" s="77"/>
      <c r="L1295" s="76"/>
      <c r="M1295" s="76"/>
      <c r="N1295" s="76"/>
      <c r="O1295" s="76"/>
      <c r="P1295" s="76"/>
      <c r="Q1295" s="76"/>
      <c r="R1295" s="76"/>
      <c r="S1295" s="76"/>
      <c r="BD1295" s="99">
        <f t="shared" si="41"/>
        <v>0</v>
      </c>
      <c r="CC1295" s="99"/>
      <c r="CV1295" s="99"/>
      <c r="CW1295" s="63"/>
    </row>
    <row r="1296" spans="1:101" x14ac:dyDescent="0.15">
      <c r="A1296" s="76">
        <v>1210</v>
      </c>
      <c r="B1296" s="74" t="s">
        <v>253</v>
      </c>
      <c r="C1296" s="74">
        <v>1066796335</v>
      </c>
      <c r="D1296" s="82" t="str">
        <f t="shared" si="42"/>
        <v>https://portal.dnb.de/opac.htm?method=simpleSearch&amp;cqlMode=true&amp;query=idn%3D1066796335</v>
      </c>
      <c r="E1296" s="74" t="s">
        <v>252</v>
      </c>
      <c r="F1296" s="74"/>
      <c r="G1296" s="76"/>
      <c r="H1296" s="77"/>
      <c r="I1296" s="76"/>
      <c r="J1296" s="77"/>
      <c r="K1296" s="77"/>
      <c r="L1296" s="76"/>
      <c r="M1296" s="76"/>
      <c r="N1296" s="76"/>
      <c r="O1296" s="76"/>
      <c r="P1296" s="76"/>
      <c r="Q1296" s="76"/>
      <c r="R1296" s="76"/>
      <c r="S1296" s="76"/>
      <c r="BD1296" s="99">
        <f t="shared" si="41"/>
        <v>0</v>
      </c>
      <c r="CC1296" s="99"/>
      <c r="CV1296" s="99"/>
      <c r="CW1296" s="63"/>
    </row>
    <row r="1297" spans="1:101" x14ac:dyDescent="0.15">
      <c r="A1297" s="76">
        <v>1211</v>
      </c>
      <c r="B1297" s="74" t="s">
        <v>254</v>
      </c>
      <c r="C1297" s="74">
        <v>1066796289</v>
      </c>
      <c r="D1297" s="82" t="str">
        <f t="shared" si="42"/>
        <v>https://portal.dnb.de/opac.htm?method=simpleSearch&amp;cqlMode=true&amp;query=idn%3D1066796289</v>
      </c>
      <c r="E1297" s="74" t="s">
        <v>252</v>
      </c>
      <c r="F1297" s="74"/>
      <c r="G1297" s="76"/>
      <c r="H1297" s="77"/>
      <c r="I1297" s="76"/>
      <c r="J1297" s="77"/>
      <c r="K1297" s="77"/>
      <c r="L1297" s="76"/>
      <c r="M1297" s="76"/>
      <c r="N1297" s="76"/>
      <c r="O1297" s="76"/>
      <c r="P1297" s="76"/>
      <c r="Q1297" s="76"/>
      <c r="R1297" s="76"/>
      <c r="S1297" s="76"/>
      <c r="BD1297" s="99">
        <f t="shared" si="41"/>
        <v>0</v>
      </c>
      <c r="CC1297" s="99"/>
      <c r="CV1297" s="99"/>
      <c r="CW1297" s="63"/>
    </row>
    <row r="1298" spans="1:101" ht="22.5" x14ac:dyDescent="0.15">
      <c r="A1298" s="76">
        <v>1212</v>
      </c>
      <c r="B1298" s="74" t="s">
        <v>255</v>
      </c>
      <c r="C1298" s="74">
        <v>1066933367</v>
      </c>
      <c r="D1298" s="82" t="str">
        <f t="shared" si="42"/>
        <v>https://portal.dnb.de/opac.htm?method=simpleSearch&amp;cqlMode=true&amp;query=idn%3D1066933367</v>
      </c>
      <c r="E1298" s="74" t="s">
        <v>9688</v>
      </c>
      <c r="F1298" s="74"/>
      <c r="G1298" s="76"/>
      <c r="H1298" s="77" t="s">
        <v>5</v>
      </c>
      <c r="I1298" s="76" t="s">
        <v>54</v>
      </c>
      <c r="J1298" s="77" t="s">
        <v>8516</v>
      </c>
      <c r="K1298" s="77" t="s">
        <v>8688</v>
      </c>
      <c r="L1298" s="76"/>
      <c r="M1298" s="76" t="s">
        <v>32</v>
      </c>
      <c r="N1298" s="76" t="s">
        <v>40</v>
      </c>
      <c r="O1298" s="76">
        <v>0</v>
      </c>
      <c r="P1298" s="76"/>
      <c r="Q1298" s="76"/>
      <c r="R1298" s="76"/>
      <c r="S1298" s="76"/>
      <c r="BD1298" s="99">
        <f t="shared" si="41"/>
        <v>0</v>
      </c>
      <c r="CC1298" s="99"/>
      <c r="CV1298" s="99"/>
      <c r="CW1298" s="63"/>
    </row>
    <row r="1299" spans="1:101" x14ac:dyDescent="0.15">
      <c r="A1299" s="76">
        <v>1213</v>
      </c>
      <c r="B1299" s="74" t="s">
        <v>256</v>
      </c>
      <c r="C1299" s="74">
        <v>1066793719</v>
      </c>
      <c r="D1299" s="82" t="str">
        <f t="shared" si="42"/>
        <v>https://portal.dnb.de/opac.htm?method=simpleSearch&amp;cqlMode=true&amp;query=idn%3D1066793719</v>
      </c>
      <c r="E1299" s="74" t="s">
        <v>252</v>
      </c>
      <c r="F1299" s="74"/>
      <c r="G1299" s="76"/>
      <c r="H1299" s="77"/>
      <c r="I1299" s="76"/>
      <c r="J1299" s="77"/>
      <c r="K1299" s="77"/>
      <c r="L1299" s="76"/>
      <c r="M1299" s="76"/>
      <c r="N1299" s="76"/>
      <c r="O1299" s="76"/>
      <c r="P1299" s="76"/>
      <c r="Q1299" s="76"/>
      <c r="R1299" s="76"/>
      <c r="S1299" s="76"/>
      <c r="BD1299" s="99">
        <f t="shared" si="41"/>
        <v>0</v>
      </c>
      <c r="CC1299" s="99"/>
      <c r="CV1299" s="99"/>
      <c r="CW1299" s="63"/>
    </row>
    <row r="1300" spans="1:101" x14ac:dyDescent="0.15">
      <c r="A1300" s="76">
        <v>1214</v>
      </c>
      <c r="B1300" s="74" t="s">
        <v>257</v>
      </c>
      <c r="C1300" s="74">
        <v>1066796297</v>
      </c>
      <c r="D1300" s="82" t="str">
        <f t="shared" si="42"/>
        <v>https://portal.dnb.de/opac.htm?method=simpleSearch&amp;cqlMode=true&amp;query=idn%3D1066796297</v>
      </c>
      <c r="E1300" s="74" t="s">
        <v>252</v>
      </c>
      <c r="F1300" s="74"/>
      <c r="G1300" s="76"/>
      <c r="H1300" s="77"/>
      <c r="I1300" s="76"/>
      <c r="J1300" s="77"/>
      <c r="K1300" s="77"/>
      <c r="L1300" s="76"/>
      <c r="M1300" s="76"/>
      <c r="N1300" s="76"/>
      <c r="O1300" s="76"/>
      <c r="P1300" s="76"/>
      <c r="Q1300" s="76"/>
      <c r="R1300" s="76"/>
      <c r="S1300" s="76"/>
      <c r="BD1300" s="99">
        <f t="shared" si="41"/>
        <v>0</v>
      </c>
      <c r="CC1300" s="99"/>
      <c r="CV1300" s="99"/>
      <c r="CW1300" s="63"/>
    </row>
    <row r="1301" spans="1:101" ht="22.5" x14ac:dyDescent="0.15">
      <c r="A1301" s="76">
        <v>1215</v>
      </c>
      <c r="B1301" s="74" t="s">
        <v>258</v>
      </c>
      <c r="C1301" s="74">
        <v>1066937850</v>
      </c>
      <c r="D1301" s="82" t="str">
        <f t="shared" si="42"/>
        <v>https://portal.dnb.de/opac.htm?method=simpleSearch&amp;cqlMode=true&amp;query=idn%3D1066937850</v>
      </c>
      <c r="E1301" s="74" t="s">
        <v>9689</v>
      </c>
      <c r="F1301" s="74"/>
      <c r="G1301" s="76"/>
      <c r="H1301" s="77" t="s">
        <v>5</v>
      </c>
      <c r="I1301" s="76" t="s">
        <v>54</v>
      </c>
      <c r="J1301" s="77" t="s">
        <v>8516</v>
      </c>
      <c r="K1301" s="77" t="s">
        <v>8688</v>
      </c>
      <c r="L1301" s="76"/>
      <c r="M1301" s="76" t="s">
        <v>32</v>
      </c>
      <c r="N1301" s="76" t="s">
        <v>39</v>
      </c>
      <c r="O1301" s="76">
        <v>0</v>
      </c>
      <c r="P1301" s="76"/>
      <c r="Q1301" s="76"/>
      <c r="R1301" s="76"/>
      <c r="S1301" s="76"/>
      <c r="BD1301" s="99">
        <f t="shared" si="41"/>
        <v>0</v>
      </c>
      <c r="CC1301" s="99"/>
      <c r="CV1301" s="99"/>
      <c r="CW1301" s="63"/>
    </row>
    <row r="1302" spans="1:101" ht="22.5" x14ac:dyDescent="0.15">
      <c r="A1302" s="76">
        <v>1216</v>
      </c>
      <c r="B1302" s="74" t="s">
        <v>259</v>
      </c>
      <c r="C1302" s="74">
        <v>1066858535</v>
      </c>
      <c r="D1302" s="82" t="str">
        <f t="shared" si="42"/>
        <v>https://portal.dnb.de/opac.htm?method=simpleSearch&amp;cqlMode=true&amp;query=idn%3D1066858535</v>
      </c>
      <c r="E1302" s="74" t="s">
        <v>9686</v>
      </c>
      <c r="F1302" s="74"/>
      <c r="G1302" s="76"/>
      <c r="H1302" s="77" t="s">
        <v>5</v>
      </c>
      <c r="I1302" s="76" t="s">
        <v>54</v>
      </c>
      <c r="J1302" s="77" t="s">
        <v>8516</v>
      </c>
      <c r="K1302" s="77" t="s">
        <v>8688</v>
      </c>
      <c r="L1302" s="76"/>
      <c r="M1302" s="76" t="s">
        <v>32</v>
      </c>
      <c r="N1302" s="76" t="s">
        <v>39</v>
      </c>
      <c r="O1302" s="76">
        <v>0</v>
      </c>
      <c r="P1302" s="76"/>
      <c r="Q1302" s="76"/>
      <c r="R1302" s="76"/>
      <c r="S1302" s="76"/>
      <c r="BD1302" s="99">
        <f t="shared" si="41"/>
        <v>0</v>
      </c>
      <c r="CC1302" s="99"/>
      <c r="CV1302" s="99"/>
      <c r="CW1302" s="63"/>
    </row>
    <row r="1303" spans="1:101" x14ac:dyDescent="0.15">
      <c r="A1303" s="76">
        <v>1217</v>
      </c>
      <c r="B1303" s="74" t="s">
        <v>260</v>
      </c>
      <c r="C1303" s="74">
        <v>1066779112</v>
      </c>
      <c r="D1303" s="82" t="str">
        <f t="shared" si="42"/>
        <v>https://portal.dnb.de/opac.htm?method=simpleSearch&amp;cqlMode=true&amp;query=idn%3D1066779112</v>
      </c>
      <c r="E1303" s="74" t="s">
        <v>9687</v>
      </c>
      <c r="F1303" s="74"/>
      <c r="G1303" s="76"/>
      <c r="H1303" s="77"/>
      <c r="I1303" s="76"/>
      <c r="J1303" s="77"/>
      <c r="K1303" s="77"/>
      <c r="L1303" s="76"/>
      <c r="M1303" s="76"/>
      <c r="N1303" s="76"/>
      <c r="O1303" s="76"/>
      <c r="P1303" s="76"/>
      <c r="Q1303" s="76"/>
      <c r="R1303" s="76"/>
      <c r="S1303" s="76"/>
      <c r="BD1303" s="99">
        <f t="shared" si="41"/>
        <v>0</v>
      </c>
      <c r="CC1303" s="99"/>
      <c r="CV1303" s="99"/>
      <c r="CW1303" s="63"/>
    </row>
    <row r="1304" spans="1:101" x14ac:dyDescent="0.15">
      <c r="A1304" s="76">
        <v>1218</v>
      </c>
      <c r="B1304" s="74" t="s">
        <v>263</v>
      </c>
      <c r="C1304" s="74">
        <v>994199066</v>
      </c>
      <c r="D1304" s="78" t="str">
        <f t="shared" si="40"/>
        <v>https://portal.dnb.de/opac.htm?method=simpleSearch&amp;cqlMode=true&amp;query=idn%3D994199066</v>
      </c>
      <c r="E1304" s="74" t="s">
        <v>264</v>
      </c>
      <c r="F1304" s="74"/>
      <c r="G1304" s="76"/>
      <c r="H1304" s="77"/>
      <c r="I1304" s="76"/>
      <c r="J1304" s="77"/>
      <c r="K1304" s="77"/>
      <c r="L1304" s="76"/>
      <c r="M1304" s="76"/>
      <c r="N1304" s="76"/>
      <c r="O1304" s="76"/>
      <c r="P1304" s="76"/>
      <c r="Q1304" s="76"/>
      <c r="R1304" s="76"/>
      <c r="S1304" s="76"/>
      <c r="BD1304" s="99">
        <f t="shared" si="41"/>
        <v>0</v>
      </c>
      <c r="CC1304" s="99"/>
      <c r="CV1304" s="99"/>
      <c r="CW1304" s="63"/>
    </row>
    <row r="1305" spans="1:101" x14ac:dyDescent="0.15">
      <c r="A1305" s="76">
        <v>1219</v>
      </c>
      <c r="B1305" s="74" t="s">
        <v>265</v>
      </c>
      <c r="C1305" s="74">
        <v>994199112</v>
      </c>
      <c r="D1305" s="78" t="str">
        <f t="shared" si="40"/>
        <v>https://portal.dnb.de/opac.htm?method=simpleSearch&amp;cqlMode=true&amp;query=idn%3D994199112</v>
      </c>
      <c r="E1305" s="74" t="s">
        <v>264</v>
      </c>
      <c r="F1305" s="74"/>
      <c r="G1305" s="76"/>
      <c r="H1305" s="77"/>
      <c r="I1305" s="76"/>
      <c r="J1305" s="77"/>
      <c r="K1305" s="77"/>
      <c r="L1305" s="76"/>
      <c r="M1305" s="76"/>
      <c r="N1305" s="76"/>
      <c r="O1305" s="76"/>
      <c r="P1305" s="76"/>
      <c r="Q1305" s="76"/>
      <c r="R1305" s="76"/>
      <c r="S1305" s="76"/>
      <c r="BD1305" s="99">
        <f t="shared" si="41"/>
        <v>0</v>
      </c>
      <c r="CC1305" s="99"/>
      <c r="CV1305" s="99"/>
      <c r="CW1305" s="63"/>
    </row>
    <row r="1306" spans="1:101" ht="22.5" x14ac:dyDescent="0.15">
      <c r="A1306" s="76">
        <v>1220</v>
      </c>
      <c r="B1306" s="74" t="s">
        <v>266</v>
      </c>
      <c r="C1306" s="74" t="s">
        <v>267</v>
      </c>
      <c r="D1306" s="78" t="str">
        <f t="shared" si="40"/>
        <v>https://portal.dnb.de/opac.htm?method=simpleSearch&amp;cqlMode=true&amp;query=idn%3D99419904X</v>
      </c>
      <c r="E1306" s="74" t="s">
        <v>264</v>
      </c>
      <c r="F1306" s="74"/>
      <c r="G1306" s="76"/>
      <c r="H1306" s="77" t="s">
        <v>8547</v>
      </c>
      <c r="I1306" s="76" t="s">
        <v>54</v>
      </c>
      <c r="J1306" s="77" t="s">
        <v>8516</v>
      </c>
      <c r="K1306" s="77" t="s">
        <v>72</v>
      </c>
      <c r="L1306" s="76"/>
      <c r="M1306" s="76"/>
      <c r="N1306" s="76" t="s">
        <v>8660</v>
      </c>
      <c r="O1306" s="76">
        <v>0</v>
      </c>
      <c r="P1306" s="76"/>
      <c r="Q1306" s="76"/>
      <c r="R1306" s="76"/>
      <c r="S1306" s="76"/>
      <c r="BD1306" s="99">
        <f t="shared" si="41"/>
        <v>0</v>
      </c>
      <c r="CC1306" s="99"/>
      <c r="CV1306" s="99"/>
      <c r="CW1306" s="63"/>
    </row>
    <row r="1307" spans="1:101" x14ac:dyDescent="0.15">
      <c r="A1307" s="76">
        <v>1221</v>
      </c>
      <c r="B1307" s="74" t="s">
        <v>272</v>
      </c>
      <c r="C1307" s="74">
        <v>995763607</v>
      </c>
      <c r="D1307" s="78" t="str">
        <f t="shared" si="40"/>
        <v>https://portal.dnb.de/opac.htm?method=simpleSearch&amp;cqlMode=true&amp;query=idn%3D995763607</v>
      </c>
      <c r="E1307" s="74" t="s">
        <v>273</v>
      </c>
      <c r="F1307" s="74"/>
      <c r="G1307" s="76"/>
      <c r="H1307" s="77"/>
      <c r="I1307" s="76"/>
      <c r="J1307" s="77"/>
      <c r="K1307" s="77"/>
      <c r="L1307" s="76"/>
      <c r="M1307" s="76"/>
      <c r="N1307" s="76"/>
      <c r="O1307" s="76"/>
      <c r="P1307" s="76"/>
      <c r="Q1307" s="76"/>
      <c r="R1307" s="76"/>
      <c r="S1307" s="76"/>
      <c r="BD1307" s="99">
        <f t="shared" si="41"/>
        <v>0</v>
      </c>
      <c r="CC1307" s="99"/>
      <c r="CV1307" s="99"/>
      <c r="CW1307" s="63"/>
    </row>
    <row r="1308" spans="1:101" x14ac:dyDescent="0.15">
      <c r="A1308" s="76">
        <v>1222</v>
      </c>
      <c r="B1308" s="74" t="s">
        <v>274</v>
      </c>
      <c r="C1308" s="74">
        <v>995764026</v>
      </c>
      <c r="D1308" s="78" t="str">
        <f t="shared" si="40"/>
        <v>https://portal.dnb.de/opac.htm?method=simpleSearch&amp;cqlMode=true&amp;query=idn%3D995764026</v>
      </c>
      <c r="E1308" s="74" t="s">
        <v>273</v>
      </c>
      <c r="F1308" s="74"/>
      <c r="G1308" s="76"/>
      <c r="H1308" s="77"/>
      <c r="I1308" s="76"/>
      <c r="J1308" s="77"/>
      <c r="K1308" s="77"/>
      <c r="L1308" s="76"/>
      <c r="M1308" s="76"/>
      <c r="N1308" s="76"/>
      <c r="O1308" s="76"/>
      <c r="P1308" s="76"/>
      <c r="Q1308" s="76"/>
      <c r="R1308" s="76"/>
      <c r="S1308" s="76"/>
      <c r="BD1308" s="99">
        <f t="shared" si="41"/>
        <v>0</v>
      </c>
      <c r="CC1308" s="99"/>
      <c r="CV1308" s="99"/>
      <c r="CW1308" s="63"/>
    </row>
    <row r="1309" spans="1:101" x14ac:dyDescent="0.15">
      <c r="A1309" s="76">
        <v>1223</v>
      </c>
      <c r="B1309" s="74" t="s">
        <v>277</v>
      </c>
      <c r="C1309" s="74">
        <v>999997408</v>
      </c>
      <c r="D1309" s="78" t="str">
        <f t="shared" si="40"/>
        <v>https://portal.dnb.de/opac.htm?method=simpleSearch&amp;cqlMode=true&amp;query=idn%3D999997408</v>
      </c>
      <c r="E1309" s="74" t="s">
        <v>278</v>
      </c>
      <c r="F1309" s="74"/>
      <c r="G1309" s="76"/>
      <c r="H1309" s="77"/>
      <c r="I1309" s="76"/>
      <c r="J1309" s="77"/>
      <c r="K1309" s="77"/>
      <c r="L1309" s="76"/>
      <c r="M1309" s="76"/>
      <c r="N1309" s="76"/>
      <c r="O1309" s="76"/>
      <c r="P1309" s="76"/>
      <c r="Q1309" s="76"/>
      <c r="R1309" s="76"/>
      <c r="S1309" s="76"/>
      <c r="BD1309" s="99">
        <f t="shared" si="41"/>
        <v>0</v>
      </c>
      <c r="CC1309" s="99"/>
      <c r="CV1309" s="99"/>
      <c r="CW1309" s="63"/>
    </row>
    <row r="1310" spans="1:101" x14ac:dyDescent="0.15">
      <c r="A1310" s="76">
        <v>1224</v>
      </c>
      <c r="B1310" s="74" t="s">
        <v>279</v>
      </c>
      <c r="C1310" s="74">
        <v>999997416</v>
      </c>
      <c r="D1310" s="78" t="str">
        <f t="shared" si="40"/>
        <v>https://portal.dnb.de/opac.htm?method=simpleSearch&amp;cqlMode=true&amp;query=idn%3D999997416</v>
      </c>
      <c r="E1310" s="74" t="s">
        <v>278</v>
      </c>
      <c r="F1310" s="74"/>
      <c r="G1310" s="76"/>
      <c r="H1310" s="77"/>
      <c r="I1310" s="76"/>
      <c r="J1310" s="77"/>
      <c r="K1310" s="77"/>
      <c r="L1310" s="76"/>
      <c r="M1310" s="76"/>
      <c r="N1310" s="76"/>
      <c r="O1310" s="76"/>
      <c r="P1310" s="76"/>
      <c r="Q1310" s="76"/>
      <c r="R1310" s="76"/>
      <c r="S1310" s="76"/>
      <c r="BD1310" s="99">
        <f t="shared" si="41"/>
        <v>0</v>
      </c>
      <c r="CC1310" s="99"/>
      <c r="CV1310" s="99"/>
      <c r="CW1310" s="63"/>
    </row>
    <row r="1311" spans="1:101" x14ac:dyDescent="0.15">
      <c r="A1311" s="76">
        <v>1225</v>
      </c>
      <c r="B1311" s="74" t="s">
        <v>280</v>
      </c>
      <c r="C1311" s="74">
        <v>999997491</v>
      </c>
      <c r="D1311" s="78" t="str">
        <f t="shared" si="40"/>
        <v>https://portal.dnb.de/opac.htm?method=simpleSearch&amp;cqlMode=true&amp;query=idn%3D999997491</v>
      </c>
      <c r="E1311" s="74" t="s">
        <v>278</v>
      </c>
      <c r="F1311" s="74"/>
      <c r="G1311" s="76"/>
      <c r="H1311" s="77"/>
      <c r="I1311" s="76"/>
      <c r="J1311" s="77"/>
      <c r="K1311" s="77"/>
      <c r="L1311" s="76"/>
      <c r="M1311" s="76"/>
      <c r="N1311" s="76"/>
      <c r="O1311" s="76"/>
      <c r="P1311" s="76"/>
      <c r="Q1311" s="76"/>
      <c r="R1311" s="76"/>
      <c r="S1311" s="76"/>
      <c r="BD1311" s="99">
        <f t="shared" si="41"/>
        <v>0</v>
      </c>
      <c r="CC1311" s="99"/>
      <c r="CV1311" s="99"/>
      <c r="CW1311" s="63"/>
    </row>
    <row r="1312" spans="1:101" x14ac:dyDescent="0.15">
      <c r="A1312" s="76">
        <v>1226</v>
      </c>
      <c r="B1312" s="74" t="s">
        <v>281</v>
      </c>
      <c r="C1312" s="74">
        <v>999997572</v>
      </c>
      <c r="D1312" s="78" t="str">
        <f t="shared" si="40"/>
        <v>https://portal.dnb.de/opac.htm?method=simpleSearch&amp;cqlMode=true&amp;query=idn%3D999997572</v>
      </c>
      <c r="E1312" s="74" t="s">
        <v>278</v>
      </c>
      <c r="F1312" s="74"/>
      <c r="G1312" s="76"/>
      <c r="H1312" s="77"/>
      <c r="I1312" s="76"/>
      <c r="J1312" s="77"/>
      <c r="K1312" s="77"/>
      <c r="L1312" s="76"/>
      <c r="M1312" s="76"/>
      <c r="N1312" s="76"/>
      <c r="O1312" s="76"/>
      <c r="P1312" s="76"/>
      <c r="Q1312" s="76"/>
      <c r="R1312" s="76"/>
      <c r="S1312" s="76"/>
      <c r="BD1312" s="99">
        <f t="shared" si="41"/>
        <v>0</v>
      </c>
      <c r="CC1312" s="99"/>
      <c r="CV1312" s="99"/>
      <c r="CW1312" s="63"/>
    </row>
    <row r="1313" spans="1:101" x14ac:dyDescent="0.15">
      <c r="A1313" s="76">
        <v>1227</v>
      </c>
      <c r="B1313" s="74" t="s">
        <v>285</v>
      </c>
      <c r="C1313" s="74">
        <v>1001861248</v>
      </c>
      <c r="D1313" s="78" t="str">
        <f t="shared" si="40"/>
        <v>https://portal.dnb.de/opac.htm?method=simpleSearch&amp;cqlMode=true&amp;query=idn%3D1001861248</v>
      </c>
      <c r="E1313" s="74" t="s">
        <v>286</v>
      </c>
      <c r="F1313" s="74"/>
      <c r="G1313" s="76"/>
      <c r="H1313" s="77"/>
      <c r="I1313" s="76"/>
      <c r="J1313" s="77"/>
      <c r="K1313" s="77"/>
      <c r="L1313" s="76"/>
      <c r="M1313" s="76"/>
      <c r="N1313" s="76"/>
      <c r="O1313" s="76"/>
      <c r="P1313" s="76"/>
      <c r="Q1313" s="76"/>
      <c r="R1313" s="76"/>
      <c r="S1313" s="76"/>
      <c r="BD1313" s="99">
        <f t="shared" si="41"/>
        <v>0</v>
      </c>
      <c r="CC1313" s="99"/>
      <c r="CV1313" s="99"/>
      <c r="CW1313" s="63"/>
    </row>
    <row r="1314" spans="1:101" x14ac:dyDescent="0.15">
      <c r="A1314" s="76">
        <v>1228</v>
      </c>
      <c r="B1314" s="74" t="s">
        <v>291</v>
      </c>
      <c r="C1314" s="74">
        <v>1000275000</v>
      </c>
      <c r="D1314" s="78" t="str">
        <f t="shared" si="40"/>
        <v>https://portal.dnb.de/opac.htm?method=simpleSearch&amp;cqlMode=true&amp;query=idn%3D1000275000</v>
      </c>
      <c r="E1314" s="74" t="s">
        <v>292</v>
      </c>
      <c r="F1314" s="74"/>
      <c r="G1314" s="76"/>
      <c r="H1314" s="77"/>
      <c r="I1314" s="76"/>
      <c r="J1314" s="77"/>
      <c r="K1314" s="77"/>
      <c r="L1314" s="76"/>
      <c r="M1314" s="76"/>
      <c r="N1314" s="76"/>
      <c r="O1314" s="76"/>
      <c r="P1314" s="76"/>
      <c r="Q1314" s="76"/>
      <c r="R1314" s="76"/>
      <c r="S1314" s="76"/>
      <c r="BD1314" s="99">
        <f t="shared" si="41"/>
        <v>0</v>
      </c>
      <c r="CC1314" s="99"/>
      <c r="CV1314" s="99"/>
      <c r="CW1314" s="63"/>
    </row>
    <row r="1315" spans="1:101" x14ac:dyDescent="0.15">
      <c r="A1315" s="76">
        <v>1229</v>
      </c>
      <c r="B1315" s="74" t="s">
        <v>293</v>
      </c>
      <c r="C1315" s="74">
        <v>1000275310</v>
      </c>
      <c r="D1315" s="78" t="str">
        <f t="shared" si="40"/>
        <v>https://portal.dnb.de/opac.htm?method=simpleSearch&amp;cqlMode=true&amp;query=idn%3D1000275310</v>
      </c>
      <c r="E1315" s="74" t="s">
        <v>292</v>
      </c>
      <c r="F1315" s="74"/>
      <c r="G1315" s="76"/>
      <c r="H1315" s="77"/>
      <c r="I1315" s="76"/>
      <c r="J1315" s="77"/>
      <c r="K1315" s="77"/>
      <c r="L1315" s="76"/>
      <c r="M1315" s="76"/>
      <c r="N1315" s="76"/>
      <c r="O1315" s="76"/>
      <c r="P1315" s="76"/>
      <c r="Q1315" s="76"/>
      <c r="R1315" s="76"/>
      <c r="S1315" s="76"/>
      <c r="BD1315" s="99">
        <f t="shared" si="41"/>
        <v>0</v>
      </c>
      <c r="CC1315" s="99"/>
      <c r="CV1315" s="99"/>
      <c r="CW1315" s="63"/>
    </row>
    <row r="1316" spans="1:101" ht="22.5" x14ac:dyDescent="0.15">
      <c r="A1316" s="76">
        <v>1230</v>
      </c>
      <c r="B1316" s="74" t="s">
        <v>296</v>
      </c>
      <c r="C1316" s="74" t="s">
        <v>297</v>
      </c>
      <c r="D1316" s="82" t="str">
        <f>HYPERLINK(CONCATENATE("https://portal.dnb.de/opac.htm?method=simpleSearch&amp;cqlMode=true&amp;query=idn%3D",C1316))</f>
        <v>https://portal.dnb.de/opac.htm?method=simpleSearch&amp;cqlMode=true&amp;query=idn%3D99894453X</v>
      </c>
      <c r="E1316" s="74" t="s">
        <v>8918</v>
      </c>
      <c r="F1316" s="74"/>
      <c r="G1316" s="76" t="s">
        <v>8515</v>
      </c>
      <c r="H1316" s="77" t="s">
        <v>18</v>
      </c>
      <c r="I1316" s="76" t="s">
        <v>53</v>
      </c>
      <c r="J1316" s="77" t="s">
        <v>58</v>
      </c>
      <c r="K1316" s="77" t="s">
        <v>84</v>
      </c>
      <c r="L1316" s="76"/>
      <c r="M1316" s="76" t="s">
        <v>36</v>
      </c>
      <c r="N1316" s="76" t="s">
        <v>39</v>
      </c>
      <c r="O1316" s="76">
        <v>0</v>
      </c>
      <c r="P1316" s="76"/>
      <c r="Q1316" s="76"/>
      <c r="R1316" s="76"/>
      <c r="S1316" s="76"/>
      <c r="BD1316" s="99">
        <f t="shared" si="41"/>
        <v>0</v>
      </c>
      <c r="CC1316" s="99"/>
      <c r="CV1316" s="99"/>
      <c r="CW1316" s="63"/>
    </row>
    <row r="1317" spans="1:101" ht="22.5" x14ac:dyDescent="0.15">
      <c r="A1317" s="76">
        <v>1231</v>
      </c>
      <c r="B1317" s="74" t="s">
        <v>298</v>
      </c>
      <c r="C1317" s="74">
        <v>998944556</v>
      </c>
      <c r="D1317" s="78" t="str">
        <f t="shared" si="40"/>
        <v>https://portal.dnb.de/opac.htm?method=simpleSearch&amp;cqlMode=true&amp;query=idn%3D998944556</v>
      </c>
      <c r="E1317" s="74" t="s">
        <v>8919</v>
      </c>
      <c r="F1317" s="74"/>
      <c r="G1317" s="76" t="s">
        <v>8515</v>
      </c>
      <c r="H1317" s="77" t="s">
        <v>18</v>
      </c>
      <c r="I1317" s="76" t="s">
        <v>53</v>
      </c>
      <c r="J1317" s="77" t="s">
        <v>58</v>
      </c>
      <c r="K1317" s="77" t="s">
        <v>84</v>
      </c>
      <c r="L1317" s="76"/>
      <c r="M1317" s="76" t="s">
        <v>36</v>
      </c>
      <c r="N1317" s="76" t="s">
        <v>39</v>
      </c>
      <c r="O1317" s="76">
        <v>0</v>
      </c>
      <c r="P1317" s="76"/>
      <c r="Q1317" s="76"/>
      <c r="R1317" s="76"/>
      <c r="S1317" s="76"/>
      <c r="BD1317" s="99">
        <f t="shared" si="41"/>
        <v>0</v>
      </c>
      <c r="CC1317" s="99"/>
      <c r="CV1317" s="99"/>
      <c r="CW1317" s="63"/>
    </row>
    <row r="1318" spans="1:101" ht="22.5" x14ac:dyDescent="0.15">
      <c r="A1318" s="76">
        <v>1232</v>
      </c>
      <c r="B1318" s="74" t="s">
        <v>299</v>
      </c>
      <c r="C1318" s="74">
        <v>998944599</v>
      </c>
      <c r="D1318" s="82" t="str">
        <f>HYPERLINK(CONCATENATE("https://portal.dnb.de/opac.htm?method=simpleSearch&amp;cqlMode=true&amp;query=idn%3D",C1318))</f>
        <v>https://portal.dnb.de/opac.htm?method=simpleSearch&amp;cqlMode=true&amp;query=idn%3D998944599</v>
      </c>
      <c r="E1318" s="74" t="s">
        <v>8920</v>
      </c>
      <c r="F1318" s="74"/>
      <c r="G1318" s="76" t="s">
        <v>8515</v>
      </c>
      <c r="H1318" s="77" t="s">
        <v>18</v>
      </c>
      <c r="I1318" s="76" t="s">
        <v>53</v>
      </c>
      <c r="J1318" s="77" t="s">
        <v>58</v>
      </c>
      <c r="K1318" s="77" t="s">
        <v>84</v>
      </c>
      <c r="L1318" s="76"/>
      <c r="M1318" s="76" t="s">
        <v>36</v>
      </c>
      <c r="N1318" s="76" t="s">
        <v>39</v>
      </c>
      <c r="O1318" s="76">
        <v>0</v>
      </c>
      <c r="P1318" s="76"/>
      <c r="Q1318" s="76"/>
      <c r="R1318" s="76"/>
      <c r="S1318" s="76"/>
      <c r="BD1318" s="99">
        <f t="shared" si="41"/>
        <v>0</v>
      </c>
      <c r="CC1318" s="99"/>
      <c r="CV1318" s="99"/>
      <c r="CW1318" s="63"/>
    </row>
    <row r="1319" spans="1:101" x14ac:dyDescent="0.15">
      <c r="A1319" s="76">
        <v>1233</v>
      </c>
      <c r="B1319" s="74" t="s">
        <v>304</v>
      </c>
      <c r="C1319" s="74">
        <v>1002643317</v>
      </c>
      <c r="D1319" s="78" t="str">
        <f t="shared" si="40"/>
        <v>https://portal.dnb.de/opac.htm?method=simpleSearch&amp;cqlMode=true&amp;query=idn%3D1002643317</v>
      </c>
      <c r="E1319" s="74" t="s">
        <v>305</v>
      </c>
      <c r="F1319" s="74"/>
      <c r="G1319" s="76"/>
      <c r="H1319" s="77"/>
      <c r="I1319" s="76"/>
      <c r="J1319" s="77"/>
      <c r="K1319" s="77"/>
      <c r="L1319" s="76"/>
      <c r="M1319" s="76"/>
      <c r="N1319" s="76"/>
      <c r="O1319" s="76"/>
      <c r="P1319" s="76"/>
      <c r="Q1319" s="76"/>
      <c r="R1319" s="76"/>
      <c r="S1319" s="76"/>
      <c r="BD1319" s="99">
        <f t="shared" si="41"/>
        <v>0</v>
      </c>
      <c r="CC1319" s="99"/>
      <c r="CV1319" s="99"/>
      <c r="CW1319" s="63"/>
    </row>
    <row r="1320" spans="1:101" ht="33.75" x14ac:dyDescent="0.15">
      <c r="A1320" s="76">
        <v>1234</v>
      </c>
      <c r="B1320" s="74" t="s">
        <v>306</v>
      </c>
      <c r="C1320" s="74">
        <v>1002644909</v>
      </c>
      <c r="D1320" s="78" t="str">
        <f t="shared" si="40"/>
        <v>https://portal.dnb.de/opac.htm?method=simpleSearch&amp;cqlMode=true&amp;query=idn%3D1002644909</v>
      </c>
      <c r="E1320" s="74" t="s">
        <v>305</v>
      </c>
      <c r="F1320" s="74"/>
      <c r="G1320" s="76" t="s">
        <v>8515</v>
      </c>
      <c r="H1320" s="77" t="s">
        <v>8546</v>
      </c>
      <c r="I1320" s="76" t="s">
        <v>53</v>
      </c>
      <c r="J1320" s="77" t="s">
        <v>8516</v>
      </c>
      <c r="K1320" s="77" t="s">
        <v>72</v>
      </c>
      <c r="L1320" s="76"/>
      <c r="M1320" s="76" t="s">
        <v>38</v>
      </c>
      <c r="N1320" s="76" t="s">
        <v>40</v>
      </c>
      <c r="O1320" s="76">
        <v>0</v>
      </c>
      <c r="P1320" s="76"/>
      <c r="Q1320" s="76"/>
      <c r="R1320" s="76"/>
      <c r="S1320" s="76"/>
      <c r="BD1320" s="99">
        <f t="shared" si="41"/>
        <v>0</v>
      </c>
      <c r="CC1320" s="99"/>
      <c r="CV1320" s="99"/>
      <c r="CW1320" s="63"/>
    </row>
    <row r="1321" spans="1:101" x14ac:dyDescent="0.15">
      <c r="A1321" s="76">
        <v>1235</v>
      </c>
      <c r="B1321" s="74" t="s">
        <v>307</v>
      </c>
      <c r="C1321" s="74">
        <v>998445592</v>
      </c>
      <c r="D1321" s="78" t="str">
        <f t="shared" si="40"/>
        <v>https://portal.dnb.de/opac.htm?method=simpleSearch&amp;cqlMode=true&amp;query=idn%3D998445592</v>
      </c>
      <c r="E1321" s="74" t="s">
        <v>308</v>
      </c>
      <c r="F1321" s="74"/>
      <c r="G1321" s="76"/>
      <c r="H1321" s="77"/>
      <c r="I1321" s="76"/>
      <c r="J1321" s="77"/>
      <c r="K1321" s="77"/>
      <c r="L1321" s="76"/>
      <c r="M1321" s="76"/>
      <c r="N1321" s="76"/>
      <c r="O1321" s="76"/>
      <c r="P1321" s="76"/>
      <c r="Q1321" s="76"/>
      <c r="R1321" s="76"/>
      <c r="S1321" s="76"/>
      <c r="BD1321" s="99">
        <f t="shared" si="41"/>
        <v>0</v>
      </c>
      <c r="CC1321" s="99"/>
      <c r="CV1321" s="99"/>
      <c r="CW1321" s="63"/>
    </row>
    <row r="1322" spans="1:101" ht="22.5" x14ac:dyDescent="0.15">
      <c r="A1322" s="76">
        <v>1236</v>
      </c>
      <c r="B1322" s="74" t="s">
        <v>309</v>
      </c>
      <c r="C1322" s="74">
        <v>994193637</v>
      </c>
      <c r="D1322" s="78" t="str">
        <f t="shared" si="40"/>
        <v>https://portal.dnb.de/opac.htm?method=simpleSearch&amp;cqlMode=true&amp;query=idn%3D994193637</v>
      </c>
      <c r="E1322" s="74" t="s">
        <v>310</v>
      </c>
      <c r="F1322" s="74"/>
      <c r="G1322" s="76"/>
      <c r="H1322" s="77" t="s">
        <v>8547</v>
      </c>
      <c r="I1322" s="76" t="s">
        <v>55</v>
      </c>
      <c r="J1322" s="77" t="s">
        <v>8516</v>
      </c>
      <c r="K1322" s="77" t="s">
        <v>84</v>
      </c>
      <c r="L1322" s="76"/>
      <c r="M1322" s="76" t="s">
        <v>38</v>
      </c>
      <c r="N1322" s="76" t="s">
        <v>40</v>
      </c>
      <c r="O1322" s="76">
        <v>0</v>
      </c>
      <c r="P1322" s="76" t="s">
        <v>79</v>
      </c>
      <c r="Q1322" s="76"/>
      <c r="R1322" s="76"/>
      <c r="S1322" s="76"/>
      <c r="BD1322" s="99">
        <f t="shared" si="41"/>
        <v>0</v>
      </c>
      <c r="CC1322" s="99"/>
      <c r="CV1322" s="99"/>
      <c r="CW1322" s="63"/>
    </row>
    <row r="1323" spans="1:101" ht="33.75" x14ac:dyDescent="0.15">
      <c r="A1323" s="76">
        <v>1237</v>
      </c>
      <c r="B1323" s="74" t="s">
        <v>311</v>
      </c>
      <c r="C1323" s="74">
        <v>994738846</v>
      </c>
      <c r="D1323" s="78" t="str">
        <f t="shared" si="40"/>
        <v>https://portal.dnb.de/opac.htm?method=simpleSearch&amp;cqlMode=true&amp;query=idn%3D994738846</v>
      </c>
      <c r="E1323" s="74" t="s">
        <v>312</v>
      </c>
      <c r="F1323" s="74"/>
      <c r="G1323" s="76"/>
      <c r="H1323" s="77" t="s">
        <v>4</v>
      </c>
      <c r="I1323" s="76" t="s">
        <v>54</v>
      </c>
      <c r="J1323" s="77" t="s">
        <v>58</v>
      </c>
      <c r="K1323" s="77" t="s">
        <v>84</v>
      </c>
      <c r="L1323" s="76"/>
      <c r="M1323" s="76" t="s">
        <v>36</v>
      </c>
      <c r="N1323" s="76" t="s">
        <v>39</v>
      </c>
      <c r="O1323" s="76">
        <v>2</v>
      </c>
      <c r="P1323" s="76"/>
      <c r="Q1323" s="76"/>
      <c r="R1323" s="76"/>
      <c r="S1323" s="76"/>
      <c r="Y1323" s="95" t="s">
        <v>9729</v>
      </c>
      <c r="AC1323" s="95" t="s">
        <v>9724</v>
      </c>
      <c r="AI1323" s="95" t="s">
        <v>9725</v>
      </c>
      <c r="AP1323" s="95" t="s">
        <v>8541</v>
      </c>
      <c r="AQ1323" s="96" t="s">
        <v>10390</v>
      </c>
      <c r="AW1323" s="95" t="s">
        <v>9764</v>
      </c>
      <c r="BC1323" s="96" t="s">
        <v>9726</v>
      </c>
      <c r="BD1323" s="99">
        <f t="shared" si="41"/>
        <v>4.5</v>
      </c>
      <c r="BJ1323" s="95" t="s">
        <v>9741</v>
      </c>
      <c r="BK1323" s="95" t="s">
        <v>8541</v>
      </c>
      <c r="BP1323" s="69" t="s">
        <v>8541</v>
      </c>
      <c r="BQ1323" s="95" t="s">
        <v>8541</v>
      </c>
      <c r="BR1323" s="95" t="s">
        <v>8541</v>
      </c>
      <c r="BT1323" s="95" t="s">
        <v>9772</v>
      </c>
      <c r="CC1323" s="99">
        <v>3.5</v>
      </c>
      <c r="CD1323" s="90" t="s">
        <v>10392</v>
      </c>
      <c r="CM1323" s="95" t="s">
        <v>8541</v>
      </c>
      <c r="CQ1323" s="95" t="s">
        <v>8541</v>
      </c>
      <c r="CV1323" s="99">
        <v>1</v>
      </c>
      <c r="CW1323" s="90" t="s">
        <v>10391</v>
      </c>
    </row>
    <row r="1324" spans="1:101" x14ac:dyDescent="0.15">
      <c r="A1324" s="76">
        <v>1238</v>
      </c>
      <c r="B1324" s="74" t="s">
        <v>313</v>
      </c>
      <c r="C1324" s="74">
        <v>1132643031</v>
      </c>
      <c r="D1324" s="78" t="str">
        <f t="shared" si="40"/>
        <v>https://portal.dnb.de/opac.htm?method=simpleSearch&amp;cqlMode=true&amp;query=idn%3D1132643031</v>
      </c>
      <c r="E1324" s="74" t="s">
        <v>9631</v>
      </c>
      <c r="F1324" s="74"/>
      <c r="G1324" s="76"/>
      <c r="H1324" s="77"/>
      <c r="I1324" s="76"/>
      <c r="J1324" s="77"/>
      <c r="K1324" s="77"/>
      <c r="L1324" s="76"/>
      <c r="M1324" s="76"/>
      <c r="N1324" s="76"/>
      <c r="O1324" s="76"/>
      <c r="P1324" s="76"/>
      <c r="Q1324" s="76"/>
      <c r="R1324" s="76"/>
      <c r="S1324" s="76"/>
      <c r="BD1324" s="99">
        <f t="shared" si="41"/>
        <v>0</v>
      </c>
      <c r="CC1324" s="99"/>
      <c r="CV1324" s="99"/>
      <c r="CW1324" s="63"/>
    </row>
    <row r="1325" spans="1:101" ht="22.5" x14ac:dyDescent="0.15">
      <c r="A1325" s="76">
        <v>1239</v>
      </c>
      <c r="B1325" s="74" t="s">
        <v>314</v>
      </c>
      <c r="C1325" s="74">
        <v>1132643023</v>
      </c>
      <c r="D1325" s="82" t="str">
        <f>HYPERLINK(CONCATENATE("https://portal.dnb.de/opac.htm?method=simpleSearch&amp;cqlMode=true&amp;query=idn%3D",C1325))</f>
        <v>https://portal.dnb.de/opac.htm?method=simpleSearch&amp;cqlMode=true&amp;query=idn%3D1132643023</v>
      </c>
      <c r="E1325" s="74" t="s">
        <v>9630</v>
      </c>
      <c r="F1325" s="74"/>
      <c r="G1325" s="76"/>
      <c r="H1325" s="77" t="s">
        <v>48</v>
      </c>
      <c r="I1325" s="76" t="s">
        <v>55</v>
      </c>
      <c r="J1325" s="77" t="s">
        <v>8516</v>
      </c>
      <c r="K1325" s="77" t="s">
        <v>8564</v>
      </c>
      <c r="L1325" s="76"/>
      <c r="M1325" s="76" t="s">
        <v>38</v>
      </c>
      <c r="N1325" s="76" t="s">
        <v>40</v>
      </c>
      <c r="O1325" s="76">
        <v>0</v>
      </c>
      <c r="P1325" s="76"/>
      <c r="Q1325" s="76"/>
      <c r="R1325" s="76"/>
      <c r="S1325" s="76"/>
      <c r="BD1325" s="99">
        <f t="shared" si="41"/>
        <v>0</v>
      </c>
      <c r="CC1325" s="99"/>
      <c r="CV1325" s="99"/>
      <c r="CW1325" s="63"/>
    </row>
    <row r="1326" spans="1:101" x14ac:dyDescent="0.15">
      <c r="A1326" s="76">
        <v>1240</v>
      </c>
      <c r="B1326" s="74" t="s">
        <v>315</v>
      </c>
      <c r="C1326" s="74">
        <v>999177893</v>
      </c>
      <c r="D1326" s="78" t="str">
        <f t="shared" si="40"/>
        <v>https://portal.dnb.de/opac.htm?method=simpleSearch&amp;cqlMode=true&amp;query=idn%3D999177893</v>
      </c>
      <c r="E1326" s="74" t="s">
        <v>316</v>
      </c>
      <c r="F1326" s="74"/>
      <c r="G1326" s="76"/>
      <c r="H1326" s="77"/>
      <c r="I1326" s="76"/>
      <c r="J1326" s="77"/>
      <c r="K1326" s="77"/>
      <c r="L1326" s="76"/>
      <c r="M1326" s="76"/>
      <c r="N1326" s="76"/>
      <c r="O1326" s="76"/>
      <c r="P1326" s="76"/>
      <c r="Q1326" s="76"/>
      <c r="R1326" s="76"/>
      <c r="S1326" s="76"/>
      <c r="BD1326" s="99">
        <f t="shared" si="41"/>
        <v>0</v>
      </c>
      <c r="CC1326" s="99"/>
      <c r="CV1326" s="99"/>
      <c r="CW1326" s="63"/>
    </row>
    <row r="1327" spans="1:101" x14ac:dyDescent="0.15">
      <c r="A1327" s="76">
        <v>1241</v>
      </c>
      <c r="B1327" s="74" t="s">
        <v>317</v>
      </c>
      <c r="C1327" s="74" t="s">
        <v>318</v>
      </c>
      <c r="D1327" s="82" t="str">
        <f>HYPERLINK(CONCATENATE("https://portal.dnb.de/opac.htm?method=simpleSearch&amp;cqlMode=true&amp;query=idn%3D",C1327))</f>
        <v>https://portal.dnb.de/opac.htm?method=simpleSearch&amp;cqlMode=true&amp;query=idn%3D99638653X</v>
      </c>
      <c r="E1327" s="74" t="s">
        <v>316</v>
      </c>
      <c r="F1327" s="74"/>
      <c r="G1327" s="76"/>
      <c r="H1327" s="77"/>
      <c r="I1327" s="76"/>
      <c r="J1327" s="77"/>
      <c r="K1327" s="77"/>
      <c r="L1327" s="76"/>
      <c r="M1327" s="76"/>
      <c r="N1327" s="76"/>
      <c r="O1327" s="76"/>
      <c r="P1327" s="76"/>
      <c r="Q1327" s="76"/>
      <c r="R1327" s="76"/>
      <c r="S1327" s="76"/>
      <c r="BD1327" s="99">
        <f t="shared" si="41"/>
        <v>0</v>
      </c>
      <c r="CC1327" s="99"/>
      <c r="CV1327" s="99"/>
      <c r="CW1327" s="63"/>
    </row>
    <row r="1328" spans="1:101" x14ac:dyDescent="0.15">
      <c r="A1328" s="76">
        <v>1242</v>
      </c>
      <c r="B1328" s="74" t="s">
        <v>324</v>
      </c>
      <c r="C1328" s="74">
        <v>1000850390</v>
      </c>
      <c r="D1328" s="82" t="str">
        <f>HYPERLINK(CONCATENATE("https://portal.dnb.de/opac.htm?method=simpleSearch&amp;cqlMode=true&amp;query=idn%3D",C1328))</f>
        <v>https://portal.dnb.de/opac.htm?method=simpleSearch&amp;cqlMode=true&amp;query=idn%3D1000850390</v>
      </c>
      <c r="E1328" s="74" t="s">
        <v>325</v>
      </c>
      <c r="F1328" s="74"/>
      <c r="G1328" s="76"/>
      <c r="H1328" s="77"/>
      <c r="I1328" s="76"/>
      <c r="J1328" s="77"/>
      <c r="K1328" s="77"/>
      <c r="L1328" s="76"/>
      <c r="M1328" s="76"/>
      <c r="N1328" s="76"/>
      <c r="O1328" s="76"/>
      <c r="P1328" s="76"/>
      <c r="Q1328" s="76"/>
      <c r="R1328" s="76"/>
      <c r="S1328" s="76"/>
      <c r="BD1328" s="99">
        <f t="shared" si="41"/>
        <v>0</v>
      </c>
      <c r="CC1328" s="99"/>
      <c r="CV1328" s="99"/>
      <c r="CW1328" s="63"/>
    </row>
    <row r="1329" spans="1:101" x14ac:dyDescent="0.15">
      <c r="A1329" s="76">
        <v>1243</v>
      </c>
      <c r="B1329" s="74" t="s">
        <v>326</v>
      </c>
      <c r="C1329" s="74">
        <v>1000850137</v>
      </c>
      <c r="D1329" s="82" t="str">
        <f>HYPERLINK(CONCATENATE("https://portal.dnb.de/opac.htm?method=simpleSearch&amp;cqlMode=true&amp;query=idn%3D",C1329))</f>
        <v>https://portal.dnb.de/opac.htm?method=simpleSearch&amp;cqlMode=true&amp;query=idn%3D1000850137</v>
      </c>
      <c r="E1329" s="74" t="s">
        <v>325</v>
      </c>
      <c r="F1329" s="74"/>
      <c r="G1329" s="76"/>
      <c r="H1329" s="77"/>
      <c r="I1329" s="76"/>
      <c r="J1329" s="77"/>
      <c r="K1329" s="77"/>
      <c r="L1329" s="76"/>
      <c r="M1329" s="76"/>
      <c r="N1329" s="76"/>
      <c r="O1329" s="76"/>
      <c r="P1329" s="76"/>
      <c r="Q1329" s="76"/>
      <c r="R1329" s="76"/>
      <c r="S1329" s="76"/>
      <c r="BD1329" s="99">
        <f t="shared" si="41"/>
        <v>0</v>
      </c>
      <c r="CC1329" s="99"/>
      <c r="CV1329" s="99"/>
      <c r="CW1329" s="63"/>
    </row>
    <row r="1330" spans="1:101" ht="22.5" x14ac:dyDescent="0.15">
      <c r="A1330" s="76">
        <v>1244</v>
      </c>
      <c r="B1330" s="74" t="s">
        <v>327</v>
      </c>
      <c r="C1330" s="74">
        <v>1000168271</v>
      </c>
      <c r="D1330" s="82" t="str">
        <f>HYPERLINK(CONCATENATE("https://portal.dnb.de/opac.htm?method=simpleSearch&amp;cqlMode=true&amp;query=idn%3D",C1330))</f>
        <v>https://portal.dnb.de/opac.htm?method=simpleSearch&amp;cqlMode=true&amp;query=idn%3D1000168271</v>
      </c>
      <c r="E1330" s="74" t="s">
        <v>325</v>
      </c>
      <c r="F1330" s="74"/>
      <c r="G1330" s="76"/>
      <c r="H1330" s="77" t="s">
        <v>48</v>
      </c>
      <c r="I1330" s="76" t="s">
        <v>54</v>
      </c>
      <c r="J1330" s="77" t="s">
        <v>8516</v>
      </c>
      <c r="K1330" s="77" t="s">
        <v>8565</v>
      </c>
      <c r="L1330" s="76"/>
      <c r="M1330" s="76" t="s">
        <v>38</v>
      </c>
      <c r="N1330" s="76" t="s">
        <v>40</v>
      </c>
      <c r="O1330" s="76">
        <v>0</v>
      </c>
      <c r="P1330" s="76"/>
      <c r="Q1330" s="76"/>
      <c r="R1330" s="76"/>
      <c r="S1330" s="76"/>
      <c r="BD1330" s="99">
        <f t="shared" si="41"/>
        <v>0</v>
      </c>
      <c r="CC1330" s="99"/>
      <c r="CV1330" s="99"/>
      <c r="CW1330" s="63"/>
    </row>
    <row r="1331" spans="1:101" x14ac:dyDescent="0.15">
      <c r="A1331" s="76">
        <v>1245</v>
      </c>
      <c r="B1331" s="74" t="s">
        <v>328</v>
      </c>
      <c r="C1331" s="74">
        <v>1001874730</v>
      </c>
      <c r="D1331" s="82" t="str">
        <f>HYPERLINK(CONCATENATE("https://portal.dnb.de/opac.htm?method=simpleSearch&amp;cqlMode=true&amp;query=idn%3D",C1331))</f>
        <v>https://portal.dnb.de/opac.htm?method=simpleSearch&amp;cqlMode=true&amp;query=idn%3D1001874730</v>
      </c>
      <c r="E1331" s="74" t="s">
        <v>325</v>
      </c>
      <c r="F1331" s="74"/>
      <c r="G1331" s="76"/>
      <c r="H1331" s="77"/>
      <c r="I1331" s="76"/>
      <c r="J1331" s="77"/>
      <c r="K1331" s="77"/>
      <c r="L1331" s="76"/>
      <c r="M1331" s="76"/>
      <c r="N1331" s="76"/>
      <c r="O1331" s="76"/>
      <c r="P1331" s="76"/>
      <c r="Q1331" s="76"/>
      <c r="R1331" s="76"/>
      <c r="S1331" s="76"/>
      <c r="BD1331" s="99">
        <f t="shared" si="41"/>
        <v>0</v>
      </c>
      <c r="CC1331" s="99"/>
      <c r="CV1331" s="99"/>
      <c r="CW1331" s="63"/>
    </row>
    <row r="1332" spans="1:101" x14ac:dyDescent="0.15">
      <c r="A1332" s="76">
        <v>1246</v>
      </c>
      <c r="B1332" s="74" t="s">
        <v>331</v>
      </c>
      <c r="C1332" s="74">
        <v>996256083</v>
      </c>
      <c r="D1332" s="78" t="str">
        <f t="shared" ref="D1332:D1392" si="43">HYPERLINK(CONCATENATE("https://portal.dnb.de/opac.htm?method=simpleSearch&amp;cqlMode=true&amp;query=idn%3D",C1332))</f>
        <v>https://portal.dnb.de/opac.htm?method=simpleSearch&amp;cqlMode=true&amp;query=idn%3D996256083</v>
      </c>
      <c r="E1332" s="74" t="s">
        <v>332</v>
      </c>
      <c r="F1332" s="74"/>
      <c r="G1332" s="76"/>
      <c r="H1332" s="77" t="s">
        <v>47</v>
      </c>
      <c r="I1332" s="76" t="s">
        <v>53</v>
      </c>
      <c r="J1332" s="77" t="s">
        <v>58</v>
      </c>
      <c r="K1332" s="77"/>
      <c r="L1332" s="76"/>
      <c r="M1332" s="76" t="s">
        <v>36</v>
      </c>
      <c r="N1332" s="76" t="s">
        <v>39</v>
      </c>
      <c r="O1332" s="76">
        <v>0</v>
      </c>
      <c r="P1332" s="76"/>
      <c r="Q1332" s="76"/>
      <c r="R1332" s="76"/>
      <c r="S1332" s="76"/>
      <c r="BD1332" s="99">
        <f t="shared" si="41"/>
        <v>0</v>
      </c>
      <c r="CC1332" s="99"/>
      <c r="CV1332" s="99"/>
      <c r="CW1332" s="63"/>
    </row>
    <row r="1333" spans="1:101" ht="22.5" x14ac:dyDescent="0.15">
      <c r="A1333" s="76">
        <v>1247</v>
      </c>
      <c r="B1333" s="74" t="s">
        <v>339</v>
      </c>
      <c r="C1333" s="74">
        <v>1003579124</v>
      </c>
      <c r="D1333" s="82" t="str">
        <f>HYPERLINK(CONCATENATE("https://portal.dnb.de/opac.htm?method=simpleSearch&amp;cqlMode=true&amp;query=idn%3D",C1333))</f>
        <v>https://portal.dnb.de/opac.htm?method=simpleSearch&amp;cqlMode=true&amp;query=idn%3D1003579124</v>
      </c>
      <c r="E1333" s="74" t="s">
        <v>340</v>
      </c>
      <c r="F1333" s="74"/>
      <c r="G1333" s="76" t="s">
        <v>8515</v>
      </c>
      <c r="H1333" s="77" t="s">
        <v>48</v>
      </c>
      <c r="I1333" s="76" t="s">
        <v>54</v>
      </c>
      <c r="J1333" s="77" t="s">
        <v>58</v>
      </c>
      <c r="K1333" s="77" t="s">
        <v>8564</v>
      </c>
      <c r="L1333" s="76"/>
      <c r="M1333" s="76"/>
      <c r="N1333" s="76"/>
      <c r="O1333" s="76">
        <v>0</v>
      </c>
      <c r="P1333" s="76"/>
      <c r="Q1333" s="76"/>
      <c r="R1333" s="76"/>
      <c r="S1333" s="76"/>
      <c r="BD1333" s="99">
        <f t="shared" si="41"/>
        <v>0</v>
      </c>
      <c r="CC1333" s="99"/>
      <c r="CV1333" s="99"/>
      <c r="CW1333" s="63"/>
    </row>
    <row r="1334" spans="1:101" x14ac:dyDescent="0.15">
      <c r="A1334" s="76">
        <v>1248</v>
      </c>
      <c r="B1334" s="74" t="s">
        <v>341</v>
      </c>
      <c r="C1334" s="74">
        <v>1003579159</v>
      </c>
      <c r="D1334" s="82" t="str">
        <f>HYPERLINK(CONCATENATE("https://portal.dnb.de/opac.htm?method=simpleSearch&amp;cqlMode=true&amp;query=idn%3D",C1334))</f>
        <v>https://portal.dnb.de/opac.htm?method=simpleSearch&amp;cqlMode=true&amp;query=idn%3D1003579159</v>
      </c>
      <c r="E1334" s="74" t="s">
        <v>340</v>
      </c>
      <c r="F1334" s="74"/>
      <c r="G1334" s="76"/>
      <c r="H1334" s="77"/>
      <c r="I1334" s="76"/>
      <c r="J1334" s="77"/>
      <c r="K1334" s="77"/>
      <c r="L1334" s="76"/>
      <c r="M1334" s="76"/>
      <c r="N1334" s="76"/>
      <c r="O1334" s="76"/>
      <c r="P1334" s="76"/>
      <c r="Q1334" s="76"/>
      <c r="R1334" s="76"/>
      <c r="S1334" s="76"/>
      <c r="BD1334" s="99">
        <f t="shared" si="41"/>
        <v>0</v>
      </c>
      <c r="CC1334" s="99"/>
      <c r="CV1334" s="99"/>
      <c r="CW1334" s="63"/>
    </row>
    <row r="1335" spans="1:101" x14ac:dyDescent="0.15">
      <c r="A1335" s="76">
        <v>1249</v>
      </c>
      <c r="B1335" s="74" t="s">
        <v>342</v>
      </c>
      <c r="C1335" s="74">
        <v>999653431</v>
      </c>
      <c r="D1335" s="78" t="str">
        <f t="shared" si="43"/>
        <v>https://portal.dnb.de/opac.htm?method=simpleSearch&amp;cqlMode=true&amp;query=idn%3D999653431</v>
      </c>
      <c r="E1335" s="74" t="s">
        <v>343</v>
      </c>
      <c r="F1335" s="74"/>
      <c r="G1335" s="76"/>
      <c r="H1335" s="77" t="s">
        <v>5</v>
      </c>
      <c r="I1335" s="76" t="s">
        <v>53</v>
      </c>
      <c r="J1335" s="77" t="s">
        <v>58</v>
      </c>
      <c r="K1335" s="77"/>
      <c r="L1335" s="76"/>
      <c r="M1335" s="76"/>
      <c r="N1335" s="76"/>
      <c r="O1335" s="76">
        <v>0</v>
      </c>
      <c r="P1335" s="76"/>
      <c r="Q1335" s="76"/>
      <c r="R1335" s="76"/>
      <c r="S1335" s="76"/>
      <c r="BD1335" s="99">
        <f t="shared" si="41"/>
        <v>0</v>
      </c>
      <c r="CC1335" s="99"/>
      <c r="CV1335" s="99"/>
      <c r="CW1335" s="63"/>
    </row>
    <row r="1336" spans="1:101" x14ac:dyDescent="0.15">
      <c r="A1336" s="76">
        <v>1250</v>
      </c>
      <c r="B1336" s="74" t="s">
        <v>344</v>
      </c>
      <c r="C1336" s="74">
        <v>994427727</v>
      </c>
      <c r="D1336" s="78" t="str">
        <f t="shared" si="43"/>
        <v>https://portal.dnb.de/opac.htm?method=simpleSearch&amp;cqlMode=true&amp;query=idn%3D994427727</v>
      </c>
      <c r="E1336" s="74" t="s">
        <v>345</v>
      </c>
      <c r="F1336" s="74"/>
      <c r="G1336" s="76" t="s">
        <v>8515</v>
      </c>
      <c r="H1336" s="77" t="s">
        <v>5</v>
      </c>
      <c r="I1336" s="76" t="s">
        <v>53</v>
      </c>
      <c r="J1336" s="77" t="s">
        <v>8516</v>
      </c>
      <c r="K1336" s="77"/>
      <c r="L1336" s="76"/>
      <c r="M1336" s="76" t="s">
        <v>38</v>
      </c>
      <c r="N1336" s="76" t="s">
        <v>40</v>
      </c>
      <c r="O1336" s="76">
        <v>0</v>
      </c>
      <c r="P1336" s="76"/>
      <c r="Q1336" s="76"/>
      <c r="R1336" s="76"/>
      <c r="S1336" s="76"/>
      <c r="BD1336" s="99">
        <f t="shared" si="41"/>
        <v>0</v>
      </c>
      <c r="CC1336" s="99"/>
      <c r="CV1336" s="99"/>
      <c r="CW1336" s="63"/>
    </row>
    <row r="1337" spans="1:101" ht="22.5" x14ac:dyDescent="0.15">
      <c r="A1337" s="76">
        <v>1251</v>
      </c>
      <c r="B1337" s="74" t="s">
        <v>348</v>
      </c>
      <c r="C1337" s="74">
        <v>999911899</v>
      </c>
      <c r="D1337" s="82" t="str">
        <f>HYPERLINK(CONCATENATE("https://portal.dnb.de/opac.htm?method=simpleSearch&amp;cqlMode=true&amp;query=idn%3D",C1337))</f>
        <v>https://portal.dnb.de/opac.htm?method=simpleSearch&amp;cqlMode=true&amp;query=idn%3D999911899</v>
      </c>
      <c r="E1337" s="74" t="s">
        <v>349</v>
      </c>
      <c r="F1337" s="74"/>
      <c r="G1337" s="76" t="s">
        <v>8515</v>
      </c>
      <c r="H1337" s="77" t="s">
        <v>8547</v>
      </c>
      <c r="I1337" s="76" t="s">
        <v>55</v>
      </c>
      <c r="J1337" s="77" t="s">
        <v>8516</v>
      </c>
      <c r="K1337" s="77" t="s">
        <v>8520</v>
      </c>
      <c r="L1337" s="76"/>
      <c r="M1337" s="76" t="s">
        <v>38</v>
      </c>
      <c r="N1337" s="76" t="s">
        <v>39</v>
      </c>
      <c r="O1337" s="76">
        <v>0</v>
      </c>
      <c r="P1337" s="76"/>
      <c r="Q1337" s="76"/>
      <c r="R1337" s="76"/>
      <c r="S1337" s="76"/>
      <c r="BD1337" s="99">
        <f t="shared" si="41"/>
        <v>0</v>
      </c>
      <c r="CC1337" s="99"/>
      <c r="CV1337" s="99"/>
      <c r="CW1337" s="63"/>
    </row>
    <row r="1338" spans="1:101" x14ac:dyDescent="0.15">
      <c r="A1338" s="76">
        <v>1252</v>
      </c>
      <c r="B1338" s="74" t="s">
        <v>350</v>
      </c>
      <c r="C1338" s="74">
        <v>999911422</v>
      </c>
      <c r="D1338" s="82" t="str">
        <f>HYPERLINK(CONCATENATE("https://portal.dnb.de/opac.htm?method=simpleSearch&amp;cqlMode=true&amp;query=idn%3D",C1338))</f>
        <v>https://portal.dnb.de/opac.htm?method=simpleSearch&amp;cqlMode=true&amp;query=idn%3D999911422</v>
      </c>
      <c r="E1338" s="74" t="s">
        <v>349</v>
      </c>
      <c r="F1338" s="74"/>
      <c r="G1338" s="76"/>
      <c r="H1338" s="77"/>
      <c r="I1338" s="76"/>
      <c r="J1338" s="77"/>
      <c r="K1338" s="77"/>
      <c r="L1338" s="76"/>
      <c r="M1338" s="76"/>
      <c r="N1338" s="76"/>
      <c r="O1338" s="76"/>
      <c r="P1338" s="76"/>
      <c r="Q1338" s="76"/>
      <c r="R1338" s="76"/>
      <c r="S1338" s="76"/>
      <c r="BD1338" s="99">
        <f t="shared" si="41"/>
        <v>0</v>
      </c>
      <c r="CC1338" s="99"/>
      <c r="CV1338" s="99"/>
      <c r="CW1338" s="63"/>
    </row>
    <row r="1339" spans="1:101" x14ac:dyDescent="0.15">
      <c r="A1339" s="76">
        <v>1253</v>
      </c>
      <c r="B1339" s="74" t="s">
        <v>351</v>
      </c>
      <c r="C1339" s="74">
        <v>997760877</v>
      </c>
      <c r="D1339" s="82" t="str">
        <f>HYPERLINK(CONCATENATE("https://portal.dnb.de/opac.htm?method=simpleSearch&amp;cqlMode=true&amp;query=idn%3D",C1339))</f>
        <v>https://portal.dnb.de/opac.htm?method=simpleSearch&amp;cqlMode=true&amp;query=idn%3D997760877</v>
      </c>
      <c r="E1339" s="74" t="s">
        <v>352</v>
      </c>
      <c r="F1339" s="74"/>
      <c r="G1339" s="76"/>
      <c r="H1339" s="77" t="s">
        <v>48</v>
      </c>
      <c r="I1339" s="76" t="s">
        <v>54</v>
      </c>
      <c r="J1339" s="77" t="s">
        <v>58</v>
      </c>
      <c r="K1339" s="77" t="s">
        <v>8921</v>
      </c>
      <c r="L1339" s="76"/>
      <c r="M1339" s="76"/>
      <c r="N1339" s="76"/>
      <c r="O1339" s="76">
        <v>0</v>
      </c>
      <c r="P1339" s="76"/>
      <c r="Q1339" s="76"/>
      <c r="R1339" s="76"/>
      <c r="S1339" s="76"/>
      <c r="BD1339" s="99">
        <f t="shared" si="41"/>
        <v>0</v>
      </c>
      <c r="CC1339" s="99"/>
      <c r="CV1339" s="99"/>
      <c r="CW1339" s="63"/>
    </row>
    <row r="1340" spans="1:101" x14ac:dyDescent="0.15">
      <c r="A1340" s="76">
        <v>1254</v>
      </c>
      <c r="B1340" s="74" t="s">
        <v>353</v>
      </c>
      <c r="C1340" s="74">
        <v>1000639541</v>
      </c>
      <c r="D1340" s="82" t="str">
        <f>HYPERLINK(CONCATENATE("https://portal.dnb.de/opac.htm?method=simpleSearch&amp;cqlMode=true&amp;query=idn%3D",C1340))</f>
        <v>https://portal.dnb.de/opac.htm?method=simpleSearch&amp;cqlMode=true&amp;query=idn%3D1000639541</v>
      </c>
      <c r="E1340" s="74" t="s">
        <v>354</v>
      </c>
      <c r="F1340" s="74"/>
      <c r="G1340" s="76" t="s">
        <v>8515</v>
      </c>
      <c r="H1340" s="77" t="s">
        <v>17</v>
      </c>
      <c r="I1340" s="76" t="s">
        <v>53</v>
      </c>
      <c r="J1340" s="77" t="s">
        <v>58</v>
      </c>
      <c r="K1340" s="77" t="s">
        <v>84</v>
      </c>
      <c r="L1340" s="76"/>
      <c r="M1340" s="76" t="s">
        <v>36</v>
      </c>
      <c r="N1340" s="76" t="s">
        <v>39</v>
      </c>
      <c r="O1340" s="76">
        <v>0</v>
      </c>
      <c r="P1340" s="76"/>
      <c r="Q1340" s="76"/>
      <c r="R1340" s="76"/>
      <c r="S1340" s="76"/>
      <c r="BD1340" s="99">
        <f t="shared" si="41"/>
        <v>0</v>
      </c>
      <c r="CC1340" s="99"/>
      <c r="CV1340" s="99"/>
      <c r="CW1340" s="63"/>
    </row>
    <row r="1341" spans="1:101" x14ac:dyDescent="0.15">
      <c r="A1341" s="76">
        <v>1255</v>
      </c>
      <c r="B1341" s="74" t="s">
        <v>355</v>
      </c>
      <c r="C1341" s="74">
        <v>999172417</v>
      </c>
      <c r="D1341" s="78" t="str">
        <f t="shared" si="43"/>
        <v>https://portal.dnb.de/opac.htm?method=simpleSearch&amp;cqlMode=true&amp;query=idn%3D999172417</v>
      </c>
      <c r="E1341" s="74" t="s">
        <v>356</v>
      </c>
      <c r="F1341" s="74"/>
      <c r="G1341" s="76"/>
      <c r="H1341" s="77" t="s">
        <v>4</v>
      </c>
      <c r="I1341" s="76" t="s">
        <v>53</v>
      </c>
      <c r="J1341" s="77" t="s">
        <v>8516</v>
      </c>
      <c r="K1341" s="77" t="s">
        <v>8922</v>
      </c>
      <c r="L1341" s="76"/>
      <c r="M1341" s="76" t="s">
        <v>38</v>
      </c>
      <c r="N1341" s="76" t="s">
        <v>40</v>
      </c>
      <c r="O1341" s="76">
        <v>0</v>
      </c>
      <c r="P1341" s="76"/>
      <c r="Q1341" s="76"/>
      <c r="R1341" s="76"/>
      <c r="S1341" s="76"/>
      <c r="BD1341" s="99">
        <f t="shared" si="41"/>
        <v>0</v>
      </c>
      <c r="CC1341" s="99"/>
      <c r="CV1341" s="99"/>
      <c r="CW1341" s="63"/>
    </row>
    <row r="1342" spans="1:101" ht="22.5" x14ac:dyDescent="0.15">
      <c r="A1342" s="76">
        <v>1256</v>
      </c>
      <c r="B1342" s="74" t="s">
        <v>357</v>
      </c>
      <c r="C1342" s="74">
        <v>996546871</v>
      </c>
      <c r="D1342" s="82" t="str">
        <f>HYPERLINK(CONCATENATE("https://portal.dnb.de/opac.htm?method=simpleSearch&amp;cqlMode=true&amp;query=idn%3D",C1342))</f>
        <v>https://portal.dnb.de/opac.htm?method=simpleSearch&amp;cqlMode=true&amp;query=idn%3D996546871</v>
      </c>
      <c r="E1342" s="74" t="s">
        <v>358</v>
      </c>
      <c r="F1342" s="74"/>
      <c r="G1342" s="76"/>
      <c r="H1342" s="77" t="s">
        <v>18</v>
      </c>
      <c r="I1342" s="76" t="s">
        <v>53</v>
      </c>
      <c r="J1342" s="77" t="s">
        <v>58</v>
      </c>
      <c r="K1342" s="77" t="s">
        <v>62</v>
      </c>
      <c r="L1342" s="76"/>
      <c r="M1342" s="76"/>
      <c r="N1342" s="76"/>
      <c r="O1342" s="76">
        <v>1</v>
      </c>
      <c r="P1342" s="76"/>
      <c r="Q1342" s="76" t="s">
        <v>9040</v>
      </c>
      <c r="R1342" s="76"/>
      <c r="S1342" s="76"/>
      <c r="BD1342" s="99">
        <f t="shared" si="41"/>
        <v>0</v>
      </c>
      <c r="CC1342" s="99"/>
      <c r="CV1342" s="99"/>
      <c r="CW1342" s="63"/>
    </row>
    <row r="1343" spans="1:101" x14ac:dyDescent="0.15">
      <c r="A1343" s="76">
        <v>1257</v>
      </c>
      <c r="B1343" s="74" t="s">
        <v>359</v>
      </c>
      <c r="C1343" s="74">
        <v>997684100</v>
      </c>
      <c r="D1343" s="82" t="str">
        <f>HYPERLINK(CONCATENATE("https://portal.dnb.de/opac.htm?method=simpleSearch&amp;cqlMode=true&amp;query=idn%3D",C1343))</f>
        <v>https://portal.dnb.de/opac.htm?method=simpleSearch&amp;cqlMode=true&amp;query=idn%3D997684100</v>
      </c>
      <c r="E1343" s="74" t="s">
        <v>360</v>
      </c>
      <c r="F1343" s="74"/>
      <c r="G1343" s="76"/>
      <c r="H1343" s="77"/>
      <c r="I1343" s="76"/>
      <c r="J1343" s="77"/>
      <c r="K1343" s="77"/>
      <c r="L1343" s="76"/>
      <c r="M1343" s="76"/>
      <c r="N1343" s="76"/>
      <c r="O1343" s="76"/>
      <c r="P1343" s="76"/>
      <c r="Q1343" s="76"/>
      <c r="R1343" s="76"/>
      <c r="S1343" s="76"/>
      <c r="BD1343" s="99">
        <f t="shared" si="41"/>
        <v>0</v>
      </c>
      <c r="CC1343" s="99"/>
      <c r="CV1343" s="99"/>
      <c r="CW1343" s="63"/>
    </row>
    <row r="1344" spans="1:101" ht="22.5" x14ac:dyDescent="0.15">
      <c r="A1344" s="76">
        <v>1258</v>
      </c>
      <c r="B1344" s="74" t="s">
        <v>361</v>
      </c>
      <c r="C1344" s="74">
        <v>997683961</v>
      </c>
      <c r="D1344" s="82" t="str">
        <f>HYPERLINK(CONCATENATE("https://portal.dnb.de/opac.htm?method=simpleSearch&amp;cqlMode=true&amp;query=idn%3D",C1344))</f>
        <v>https://portal.dnb.de/opac.htm?method=simpleSearch&amp;cqlMode=true&amp;query=idn%3D997683961</v>
      </c>
      <c r="E1344" s="74" t="s">
        <v>360</v>
      </c>
      <c r="F1344" s="74"/>
      <c r="G1344" s="76"/>
      <c r="H1344" s="77" t="s">
        <v>4</v>
      </c>
      <c r="I1344" s="76" t="s">
        <v>53</v>
      </c>
      <c r="J1344" s="77" t="s">
        <v>58</v>
      </c>
      <c r="K1344" s="77" t="s">
        <v>8770</v>
      </c>
      <c r="L1344" s="76"/>
      <c r="M1344" s="76"/>
      <c r="N1344" s="76"/>
      <c r="O1344" s="76">
        <v>1</v>
      </c>
      <c r="P1344" s="76"/>
      <c r="Q1344" s="76"/>
      <c r="R1344" s="76"/>
      <c r="S1344" s="76"/>
      <c r="BD1344" s="99">
        <f t="shared" si="41"/>
        <v>0</v>
      </c>
      <c r="CC1344" s="99"/>
      <c r="CV1344" s="99"/>
      <c r="CW1344" s="63"/>
    </row>
    <row r="1345" spans="1:101" x14ac:dyDescent="0.15">
      <c r="A1345" s="76">
        <v>1259</v>
      </c>
      <c r="B1345" s="74" t="s">
        <v>362</v>
      </c>
      <c r="C1345" s="74">
        <v>997684143</v>
      </c>
      <c r="D1345" s="82" t="str">
        <f>HYPERLINK(CONCATENATE("https://portal.dnb.de/opac.htm?method=simpleSearch&amp;cqlMode=true&amp;query=idn%3D",C1345))</f>
        <v>https://portal.dnb.de/opac.htm?method=simpleSearch&amp;cqlMode=true&amp;query=idn%3D997684143</v>
      </c>
      <c r="E1345" s="74" t="s">
        <v>360</v>
      </c>
      <c r="F1345" s="74"/>
      <c r="G1345" s="76"/>
      <c r="H1345" s="77"/>
      <c r="I1345" s="76"/>
      <c r="J1345" s="77"/>
      <c r="K1345" s="77"/>
      <c r="L1345" s="76"/>
      <c r="M1345" s="76"/>
      <c r="N1345" s="76"/>
      <c r="O1345" s="76"/>
      <c r="P1345" s="76"/>
      <c r="Q1345" s="76"/>
      <c r="R1345" s="76"/>
      <c r="S1345" s="76"/>
      <c r="BD1345" s="99">
        <f t="shared" si="41"/>
        <v>0</v>
      </c>
      <c r="CC1345" s="99"/>
      <c r="CV1345" s="99"/>
      <c r="CW1345" s="63"/>
    </row>
    <row r="1346" spans="1:101" ht="22.5" x14ac:dyDescent="0.15">
      <c r="A1346" s="76">
        <v>1260</v>
      </c>
      <c r="B1346" s="74" t="s">
        <v>363</v>
      </c>
      <c r="C1346" s="74">
        <v>998438596</v>
      </c>
      <c r="D1346" s="78" t="str">
        <f t="shared" si="43"/>
        <v>https://portal.dnb.de/opac.htm?method=simpleSearch&amp;cqlMode=true&amp;query=idn%3D998438596</v>
      </c>
      <c r="E1346" s="74" t="s">
        <v>364</v>
      </c>
      <c r="F1346" s="74"/>
      <c r="G1346" s="76"/>
      <c r="H1346" s="77" t="s">
        <v>18</v>
      </c>
      <c r="I1346" s="76" t="s">
        <v>53</v>
      </c>
      <c r="J1346" s="77" t="s">
        <v>58</v>
      </c>
      <c r="K1346" s="77" t="s">
        <v>84</v>
      </c>
      <c r="L1346" s="76"/>
      <c r="M1346" s="76"/>
      <c r="N1346" s="76"/>
      <c r="O1346" s="76">
        <v>0</v>
      </c>
      <c r="P1346" s="76"/>
      <c r="Q1346" s="76"/>
      <c r="R1346" s="76"/>
      <c r="S1346" s="76"/>
      <c r="BD1346" s="99">
        <f t="shared" si="41"/>
        <v>0</v>
      </c>
      <c r="CC1346" s="99"/>
      <c r="CV1346" s="99"/>
      <c r="CW1346" s="63"/>
    </row>
    <row r="1347" spans="1:101" ht="22.5" x14ac:dyDescent="0.15">
      <c r="A1347" s="76">
        <v>1261</v>
      </c>
      <c r="B1347" s="74" t="s">
        <v>373</v>
      </c>
      <c r="C1347" s="74">
        <v>994491786</v>
      </c>
      <c r="D1347" s="82" t="str">
        <f t="shared" ref="D1347:D1355" si="44">HYPERLINK(CONCATENATE("https://portal.dnb.de/opac.htm?method=simpleSearch&amp;cqlMode=true&amp;query=idn%3D",C1347))</f>
        <v>https://portal.dnb.de/opac.htm?method=simpleSearch&amp;cqlMode=true&amp;query=idn%3D994491786</v>
      </c>
      <c r="E1347" s="74" t="s">
        <v>374</v>
      </c>
      <c r="F1347" s="74"/>
      <c r="G1347" s="76"/>
      <c r="H1347" s="77" t="s">
        <v>18</v>
      </c>
      <c r="I1347" s="76" t="s">
        <v>53</v>
      </c>
      <c r="J1347" s="77" t="s">
        <v>58</v>
      </c>
      <c r="K1347" s="77" t="s">
        <v>8785</v>
      </c>
      <c r="L1347" s="76"/>
      <c r="M1347" s="76"/>
      <c r="N1347" s="76"/>
      <c r="O1347" s="76">
        <v>0</v>
      </c>
      <c r="P1347" s="76"/>
      <c r="Q1347" s="76"/>
      <c r="R1347" s="76"/>
      <c r="S1347" s="76"/>
      <c r="BD1347" s="99">
        <f t="shared" ref="BD1347:BD1410" si="45">CC1347+CV1347</f>
        <v>0</v>
      </c>
      <c r="CC1347" s="99"/>
      <c r="CV1347" s="99"/>
      <c r="CW1347" s="63"/>
    </row>
    <row r="1348" spans="1:101" x14ac:dyDescent="0.15">
      <c r="A1348" s="76">
        <v>1262</v>
      </c>
      <c r="B1348" s="74" t="s">
        <v>377</v>
      </c>
      <c r="C1348" s="74">
        <v>994402074</v>
      </c>
      <c r="D1348" s="82" t="str">
        <f t="shared" si="44"/>
        <v>https://portal.dnb.de/opac.htm?method=simpleSearch&amp;cqlMode=true&amp;query=idn%3D994402074</v>
      </c>
      <c r="E1348" s="74" t="s">
        <v>378</v>
      </c>
      <c r="F1348" s="74"/>
      <c r="G1348" s="76"/>
      <c r="H1348" s="77" t="s">
        <v>4</v>
      </c>
      <c r="I1348" s="76" t="s">
        <v>53</v>
      </c>
      <c r="J1348" s="77" t="s">
        <v>8516</v>
      </c>
      <c r="K1348" s="77" t="s">
        <v>8520</v>
      </c>
      <c r="L1348" s="76"/>
      <c r="M1348" s="76"/>
      <c r="N1348" s="76" t="s">
        <v>8660</v>
      </c>
      <c r="O1348" s="76">
        <v>1</v>
      </c>
      <c r="P1348" s="76"/>
      <c r="Q1348" s="76" t="s">
        <v>8847</v>
      </c>
      <c r="R1348" s="76"/>
      <c r="S1348" s="76"/>
      <c r="BD1348" s="99">
        <f t="shared" si="45"/>
        <v>0</v>
      </c>
      <c r="CC1348" s="99"/>
      <c r="CV1348" s="99"/>
      <c r="CW1348" s="63"/>
    </row>
    <row r="1349" spans="1:101" x14ac:dyDescent="0.15">
      <c r="A1349" s="76">
        <v>1263</v>
      </c>
      <c r="B1349" s="74" t="s">
        <v>379</v>
      </c>
      <c r="C1349" s="74">
        <v>1002689945</v>
      </c>
      <c r="D1349" s="82" t="str">
        <f t="shared" si="44"/>
        <v>https://portal.dnb.de/opac.htm?method=simpleSearch&amp;cqlMode=true&amp;query=idn%3D1002689945</v>
      </c>
      <c r="E1349" s="74" t="s">
        <v>380</v>
      </c>
      <c r="F1349" s="74"/>
      <c r="G1349" s="76"/>
      <c r="H1349" s="77" t="s">
        <v>48</v>
      </c>
      <c r="I1349" s="76" t="s">
        <v>53</v>
      </c>
      <c r="J1349" s="77" t="s">
        <v>8516</v>
      </c>
      <c r="K1349" s="77" t="s">
        <v>72</v>
      </c>
      <c r="L1349" s="76"/>
      <c r="M1349" s="76" t="s">
        <v>38</v>
      </c>
      <c r="N1349" s="76" t="s">
        <v>40</v>
      </c>
      <c r="O1349" s="76">
        <v>0</v>
      </c>
      <c r="P1349" s="76"/>
      <c r="Q1349" s="76"/>
      <c r="R1349" s="76"/>
      <c r="S1349" s="76"/>
      <c r="BD1349" s="99">
        <f t="shared" si="45"/>
        <v>0</v>
      </c>
      <c r="CC1349" s="99"/>
      <c r="CV1349" s="99"/>
      <c r="CW1349" s="63"/>
    </row>
    <row r="1350" spans="1:101" ht="22.5" x14ac:dyDescent="0.15">
      <c r="A1350" s="76">
        <v>1264</v>
      </c>
      <c r="B1350" s="74" t="s">
        <v>381</v>
      </c>
      <c r="C1350" s="74">
        <v>998020796</v>
      </c>
      <c r="D1350" s="82" t="str">
        <f t="shared" si="44"/>
        <v>https://portal.dnb.de/opac.htm?method=simpleSearch&amp;cqlMode=true&amp;query=idn%3D998020796</v>
      </c>
      <c r="E1350" s="74" t="s">
        <v>382</v>
      </c>
      <c r="F1350" s="74"/>
      <c r="G1350" s="76"/>
      <c r="H1350" s="77" t="s">
        <v>48</v>
      </c>
      <c r="I1350" s="76" t="s">
        <v>53</v>
      </c>
      <c r="J1350" s="77" t="s">
        <v>8516</v>
      </c>
      <c r="K1350" s="77" t="s">
        <v>8565</v>
      </c>
      <c r="L1350" s="76"/>
      <c r="M1350" s="76" t="s">
        <v>38</v>
      </c>
      <c r="N1350" s="76" t="s">
        <v>40</v>
      </c>
      <c r="O1350" s="76">
        <v>0</v>
      </c>
      <c r="P1350" s="76"/>
      <c r="Q1350" s="76"/>
      <c r="R1350" s="76"/>
      <c r="S1350" s="76"/>
      <c r="BD1350" s="99">
        <f t="shared" si="45"/>
        <v>0</v>
      </c>
      <c r="CC1350" s="99"/>
      <c r="CV1350" s="99"/>
      <c r="CW1350" s="63"/>
    </row>
    <row r="1351" spans="1:101" ht="33.75" x14ac:dyDescent="0.15">
      <c r="A1351" s="76">
        <v>1265</v>
      </c>
      <c r="B1351" s="74" t="s">
        <v>383</v>
      </c>
      <c r="C1351" s="74">
        <v>995341567</v>
      </c>
      <c r="D1351" s="82" t="str">
        <f t="shared" si="44"/>
        <v>https://portal.dnb.de/opac.htm?method=simpleSearch&amp;cqlMode=true&amp;query=idn%3D995341567</v>
      </c>
      <c r="E1351" s="74" t="s">
        <v>384</v>
      </c>
      <c r="F1351" s="74"/>
      <c r="G1351" s="76"/>
      <c r="H1351" s="77" t="s">
        <v>5</v>
      </c>
      <c r="I1351" s="76" t="s">
        <v>53</v>
      </c>
      <c r="J1351" s="77" t="s">
        <v>8516</v>
      </c>
      <c r="K1351" s="77" t="s">
        <v>8667</v>
      </c>
      <c r="L1351" s="76"/>
      <c r="M1351" s="76" t="s">
        <v>38</v>
      </c>
      <c r="N1351" s="76" t="s">
        <v>40</v>
      </c>
      <c r="O1351" s="76">
        <v>0</v>
      </c>
      <c r="P1351" s="76"/>
      <c r="Q1351" s="76"/>
      <c r="R1351" s="76"/>
      <c r="S1351" s="76"/>
      <c r="BD1351" s="99">
        <f t="shared" si="45"/>
        <v>0</v>
      </c>
      <c r="CC1351" s="99"/>
      <c r="CV1351" s="99"/>
      <c r="CW1351" s="63"/>
    </row>
    <row r="1352" spans="1:101" x14ac:dyDescent="0.15">
      <c r="A1352" s="76">
        <v>1266</v>
      </c>
      <c r="B1352" s="74" t="s">
        <v>385</v>
      </c>
      <c r="C1352" s="74" t="s">
        <v>386</v>
      </c>
      <c r="D1352" s="82" t="str">
        <f t="shared" si="44"/>
        <v>https://portal.dnb.de/opac.htm?method=simpleSearch&amp;cqlMode=true&amp;query=idn%3D99534163X</v>
      </c>
      <c r="E1352" s="74" t="s">
        <v>384</v>
      </c>
      <c r="F1352" s="74"/>
      <c r="G1352" s="76"/>
      <c r="H1352" s="77"/>
      <c r="I1352" s="76"/>
      <c r="J1352" s="77"/>
      <c r="K1352" s="77"/>
      <c r="L1352" s="76"/>
      <c r="M1352" s="76"/>
      <c r="N1352" s="76"/>
      <c r="O1352" s="76"/>
      <c r="P1352" s="76"/>
      <c r="Q1352" s="76"/>
      <c r="R1352" s="76"/>
      <c r="S1352" s="76"/>
      <c r="BD1352" s="99">
        <f t="shared" si="45"/>
        <v>0</v>
      </c>
      <c r="CC1352" s="99"/>
      <c r="CV1352" s="99"/>
      <c r="CW1352" s="63"/>
    </row>
    <row r="1353" spans="1:101" x14ac:dyDescent="0.15">
      <c r="A1353" s="76">
        <v>1267</v>
      </c>
      <c r="B1353" s="74" t="s">
        <v>391</v>
      </c>
      <c r="C1353" s="74">
        <v>1000071146</v>
      </c>
      <c r="D1353" s="82" t="str">
        <f t="shared" si="44"/>
        <v>https://portal.dnb.de/opac.htm?method=simpleSearch&amp;cqlMode=true&amp;query=idn%3D1000071146</v>
      </c>
      <c r="E1353" s="74" t="s">
        <v>392</v>
      </c>
      <c r="F1353" s="74"/>
      <c r="G1353" s="76"/>
      <c r="H1353" s="77"/>
      <c r="I1353" s="76"/>
      <c r="J1353" s="77"/>
      <c r="K1353" s="77"/>
      <c r="L1353" s="76"/>
      <c r="M1353" s="76"/>
      <c r="N1353" s="76"/>
      <c r="O1353" s="76"/>
      <c r="P1353" s="76"/>
      <c r="Q1353" s="76"/>
      <c r="R1353" s="76"/>
      <c r="S1353" s="76"/>
      <c r="BD1353" s="99">
        <f t="shared" si="45"/>
        <v>0</v>
      </c>
      <c r="CC1353" s="99"/>
      <c r="CV1353" s="99"/>
      <c r="CW1353" s="63"/>
    </row>
    <row r="1354" spans="1:101" x14ac:dyDescent="0.15">
      <c r="A1354" s="76">
        <v>1268</v>
      </c>
      <c r="B1354" s="74" t="s">
        <v>393</v>
      </c>
      <c r="C1354" s="74">
        <v>1000793176</v>
      </c>
      <c r="D1354" s="82" t="str">
        <f t="shared" si="44"/>
        <v>https://portal.dnb.de/opac.htm?method=simpleSearch&amp;cqlMode=true&amp;query=idn%3D1000793176</v>
      </c>
      <c r="E1354" s="74" t="s">
        <v>392</v>
      </c>
      <c r="F1354" s="74"/>
      <c r="G1354" s="76"/>
      <c r="H1354" s="77"/>
      <c r="I1354" s="76"/>
      <c r="J1354" s="77"/>
      <c r="K1354" s="77"/>
      <c r="L1354" s="76"/>
      <c r="M1354" s="76"/>
      <c r="N1354" s="76"/>
      <c r="O1354" s="76"/>
      <c r="P1354" s="76"/>
      <c r="Q1354" s="76"/>
      <c r="R1354" s="76"/>
      <c r="S1354" s="76"/>
      <c r="BD1354" s="99">
        <f t="shared" si="45"/>
        <v>0</v>
      </c>
      <c r="CC1354" s="99"/>
      <c r="CV1354" s="99"/>
      <c r="CW1354" s="63"/>
    </row>
    <row r="1355" spans="1:101" x14ac:dyDescent="0.15">
      <c r="A1355" s="76">
        <v>1269</v>
      </c>
      <c r="B1355" s="74" t="s">
        <v>394</v>
      </c>
      <c r="C1355" s="74">
        <v>1000207307</v>
      </c>
      <c r="D1355" s="82" t="str">
        <f t="shared" si="44"/>
        <v>https://portal.dnb.de/opac.htm?method=simpleSearch&amp;cqlMode=true&amp;query=idn%3D1000207307</v>
      </c>
      <c r="E1355" s="74" t="s">
        <v>392</v>
      </c>
      <c r="F1355" s="74"/>
      <c r="G1355" s="76"/>
      <c r="H1355" s="77"/>
      <c r="I1355" s="76"/>
      <c r="J1355" s="77"/>
      <c r="K1355" s="77"/>
      <c r="L1355" s="76"/>
      <c r="M1355" s="76"/>
      <c r="N1355" s="76"/>
      <c r="O1355" s="76"/>
      <c r="P1355" s="76"/>
      <c r="Q1355" s="76"/>
      <c r="R1355" s="76"/>
      <c r="S1355" s="76"/>
      <c r="BD1355" s="99">
        <f t="shared" si="45"/>
        <v>0</v>
      </c>
      <c r="CC1355" s="99"/>
      <c r="CV1355" s="99"/>
      <c r="CW1355" s="63"/>
    </row>
    <row r="1356" spans="1:101" ht="33.75" x14ac:dyDescent="0.15">
      <c r="A1356" s="76">
        <v>1270</v>
      </c>
      <c r="B1356" s="74" t="s">
        <v>395</v>
      </c>
      <c r="C1356" s="74" t="s">
        <v>396</v>
      </c>
      <c r="D1356" s="82" t="str">
        <f>HYPERLINK(CONCATENATE("https://portal.dnb.de/opac.htm?method=simpleSearch&amp;cqlMode=true&amp;query=idn%3D",C1356))</f>
        <v>https://portal.dnb.de/opac.htm?method=simpleSearch&amp;cqlMode=true&amp;query=idn%3D100337574X</v>
      </c>
      <c r="E1356" s="74" t="s">
        <v>392</v>
      </c>
      <c r="F1356" s="74"/>
      <c r="G1356" s="76" t="s">
        <v>8515</v>
      </c>
      <c r="H1356" s="77" t="s">
        <v>48</v>
      </c>
      <c r="I1356" s="76" t="s">
        <v>53</v>
      </c>
      <c r="J1356" s="77" t="s">
        <v>8516</v>
      </c>
      <c r="K1356" s="77" t="s">
        <v>9042</v>
      </c>
      <c r="L1356" s="76"/>
      <c r="M1356" s="76" t="s">
        <v>36</v>
      </c>
      <c r="N1356" s="76" t="s">
        <v>39</v>
      </c>
      <c r="O1356" s="76">
        <v>1</v>
      </c>
      <c r="P1356" s="76"/>
      <c r="Q1356" s="76" t="s">
        <v>9041</v>
      </c>
      <c r="R1356" s="76"/>
      <c r="S1356" s="76"/>
      <c r="BD1356" s="99">
        <f t="shared" si="45"/>
        <v>0</v>
      </c>
      <c r="CC1356" s="99"/>
      <c r="CV1356" s="99"/>
      <c r="CW1356" s="63"/>
    </row>
    <row r="1357" spans="1:101" x14ac:dyDescent="0.15">
      <c r="A1357" s="76">
        <v>1271</v>
      </c>
      <c r="B1357" s="74" t="s">
        <v>397</v>
      </c>
      <c r="C1357" s="74">
        <v>999997734</v>
      </c>
      <c r="D1357" s="78" t="str">
        <f t="shared" si="43"/>
        <v>https://portal.dnb.de/opac.htm?method=simpleSearch&amp;cqlMode=true&amp;query=idn%3D999997734</v>
      </c>
      <c r="E1357" s="74" t="s">
        <v>392</v>
      </c>
      <c r="F1357" s="74"/>
      <c r="G1357" s="76"/>
      <c r="H1357" s="77"/>
      <c r="I1357" s="76"/>
      <c r="J1357" s="77"/>
      <c r="K1357" s="77"/>
      <c r="L1357" s="76"/>
      <c r="M1357" s="76"/>
      <c r="N1357" s="76"/>
      <c r="O1357" s="76"/>
      <c r="P1357" s="76"/>
      <c r="Q1357" s="76"/>
      <c r="R1357" s="76"/>
      <c r="S1357" s="76"/>
      <c r="BD1357" s="99">
        <f t="shared" si="45"/>
        <v>0</v>
      </c>
      <c r="CC1357" s="99"/>
      <c r="CV1357" s="99"/>
      <c r="CW1357" s="63"/>
    </row>
    <row r="1358" spans="1:101" ht="22.5" x14ac:dyDescent="0.15">
      <c r="A1358" s="76">
        <v>1272</v>
      </c>
      <c r="B1358" s="74" t="s">
        <v>398</v>
      </c>
      <c r="C1358" s="74">
        <v>996909737</v>
      </c>
      <c r="D1358" s="78" t="str">
        <f t="shared" si="43"/>
        <v>https://portal.dnb.de/opac.htm?method=simpleSearch&amp;cqlMode=true&amp;query=idn%3D996909737</v>
      </c>
      <c r="E1358" s="74" t="s">
        <v>399</v>
      </c>
      <c r="F1358" s="74"/>
      <c r="G1358" s="76" t="s">
        <v>8515</v>
      </c>
      <c r="H1358" s="77" t="s">
        <v>48</v>
      </c>
      <c r="I1358" s="76" t="s">
        <v>54</v>
      </c>
      <c r="J1358" s="77" t="s">
        <v>8516</v>
      </c>
      <c r="K1358" s="77" t="s">
        <v>8565</v>
      </c>
      <c r="L1358" s="76"/>
      <c r="M1358" s="76" t="s">
        <v>38</v>
      </c>
      <c r="N1358" s="76" t="s">
        <v>39</v>
      </c>
      <c r="O1358" s="76">
        <v>0</v>
      </c>
      <c r="P1358" s="76"/>
      <c r="Q1358" s="76"/>
      <c r="R1358" s="76"/>
      <c r="S1358" s="76"/>
      <c r="BD1358" s="99">
        <f t="shared" si="45"/>
        <v>0</v>
      </c>
      <c r="CC1358" s="99"/>
      <c r="CV1358" s="99"/>
      <c r="CW1358" s="63"/>
    </row>
    <row r="1359" spans="1:101" x14ac:dyDescent="0.15">
      <c r="A1359" s="76">
        <v>1273</v>
      </c>
      <c r="B1359" s="74" t="s">
        <v>400</v>
      </c>
      <c r="C1359" s="74">
        <v>994335857</v>
      </c>
      <c r="D1359" s="78" t="str">
        <f t="shared" si="43"/>
        <v>https://portal.dnb.de/opac.htm?method=simpleSearch&amp;cqlMode=true&amp;query=idn%3D994335857</v>
      </c>
      <c r="E1359" s="74" t="s">
        <v>401</v>
      </c>
      <c r="F1359" s="74"/>
      <c r="G1359" s="76"/>
      <c r="H1359" s="77" t="s">
        <v>48</v>
      </c>
      <c r="I1359" s="76" t="s">
        <v>53</v>
      </c>
      <c r="J1359" s="77" t="s">
        <v>8516</v>
      </c>
      <c r="K1359" s="77" t="s">
        <v>84</v>
      </c>
      <c r="L1359" s="76"/>
      <c r="M1359" s="76" t="s">
        <v>38</v>
      </c>
      <c r="N1359" s="76" t="s">
        <v>40</v>
      </c>
      <c r="O1359" s="76">
        <v>0</v>
      </c>
      <c r="P1359" s="76"/>
      <c r="Q1359" s="76"/>
      <c r="R1359" s="76"/>
      <c r="S1359" s="76"/>
      <c r="BD1359" s="99">
        <f t="shared" si="45"/>
        <v>0</v>
      </c>
      <c r="CC1359" s="99"/>
      <c r="CV1359" s="99"/>
      <c r="CW1359" s="63"/>
    </row>
    <row r="1360" spans="1:101" x14ac:dyDescent="0.15">
      <c r="A1360" s="76">
        <v>1274</v>
      </c>
      <c r="B1360" s="74" t="s">
        <v>402</v>
      </c>
      <c r="C1360" s="74">
        <v>1003742424</v>
      </c>
      <c r="D1360" s="78" t="str">
        <f t="shared" si="43"/>
        <v>https://portal.dnb.de/opac.htm?method=simpleSearch&amp;cqlMode=true&amp;query=idn%3D1003742424</v>
      </c>
      <c r="E1360" s="74" t="s">
        <v>403</v>
      </c>
      <c r="F1360" s="74"/>
      <c r="G1360" s="76"/>
      <c r="H1360" s="77"/>
      <c r="I1360" s="76"/>
      <c r="J1360" s="77"/>
      <c r="K1360" s="77"/>
      <c r="L1360" s="76"/>
      <c r="M1360" s="76"/>
      <c r="N1360" s="76"/>
      <c r="O1360" s="76"/>
      <c r="P1360" s="76"/>
      <c r="Q1360" s="76"/>
      <c r="R1360" s="76"/>
      <c r="S1360" s="76"/>
      <c r="BD1360" s="99">
        <f t="shared" si="45"/>
        <v>0</v>
      </c>
      <c r="CC1360" s="99"/>
      <c r="CV1360" s="99"/>
      <c r="CW1360" s="63"/>
    </row>
    <row r="1361" spans="1:101" x14ac:dyDescent="0.15">
      <c r="A1361" s="76">
        <v>1275</v>
      </c>
      <c r="B1361" s="74" t="s">
        <v>404</v>
      </c>
      <c r="C1361" s="74">
        <v>994509707</v>
      </c>
      <c r="D1361" s="78" t="str">
        <f t="shared" si="43"/>
        <v>https://portal.dnb.de/opac.htm?method=simpleSearch&amp;cqlMode=true&amp;query=idn%3D994509707</v>
      </c>
      <c r="E1361" s="74" t="s">
        <v>405</v>
      </c>
      <c r="F1361" s="74"/>
      <c r="G1361" s="76"/>
      <c r="H1361" s="77"/>
      <c r="I1361" s="76"/>
      <c r="J1361" s="77"/>
      <c r="K1361" s="77"/>
      <c r="L1361" s="76"/>
      <c r="M1361" s="76"/>
      <c r="N1361" s="76"/>
      <c r="O1361" s="76"/>
      <c r="P1361" s="76"/>
      <c r="Q1361" s="76"/>
      <c r="R1361" s="76"/>
      <c r="S1361" s="76"/>
      <c r="BD1361" s="99">
        <f t="shared" si="45"/>
        <v>0</v>
      </c>
      <c r="CC1361" s="99"/>
      <c r="CV1361" s="99"/>
      <c r="CW1361" s="63"/>
    </row>
    <row r="1362" spans="1:101" ht="22.5" x14ac:dyDescent="0.15">
      <c r="A1362" s="76">
        <v>1276</v>
      </c>
      <c r="B1362" s="74" t="s">
        <v>408</v>
      </c>
      <c r="C1362" s="74">
        <v>996351477</v>
      </c>
      <c r="D1362" s="78" t="str">
        <f t="shared" si="43"/>
        <v>https://portal.dnb.de/opac.htm?method=simpleSearch&amp;cqlMode=true&amp;query=idn%3D996351477</v>
      </c>
      <c r="E1362" s="74" t="s">
        <v>409</v>
      </c>
      <c r="F1362" s="74"/>
      <c r="G1362" s="76"/>
      <c r="H1362" s="77" t="s">
        <v>8547</v>
      </c>
      <c r="I1362" s="76" t="s">
        <v>55</v>
      </c>
      <c r="J1362" s="77" t="s">
        <v>8516</v>
      </c>
      <c r="K1362" s="77" t="s">
        <v>9055</v>
      </c>
      <c r="L1362" s="76"/>
      <c r="M1362" s="76" t="s">
        <v>37</v>
      </c>
      <c r="N1362" s="76" t="s">
        <v>9183</v>
      </c>
      <c r="O1362" s="76">
        <v>0</v>
      </c>
      <c r="P1362" s="76"/>
      <c r="Q1362" s="76"/>
      <c r="R1362" s="76"/>
      <c r="S1362" s="76"/>
      <c r="BD1362" s="99">
        <f t="shared" si="45"/>
        <v>0</v>
      </c>
      <c r="CC1362" s="99"/>
      <c r="CV1362" s="99"/>
      <c r="CW1362" s="63"/>
    </row>
    <row r="1363" spans="1:101" x14ac:dyDescent="0.15">
      <c r="A1363" s="76">
        <v>1277</v>
      </c>
      <c r="B1363" s="74" t="s">
        <v>410</v>
      </c>
      <c r="C1363" s="74">
        <v>996351094</v>
      </c>
      <c r="D1363" s="78" t="str">
        <f t="shared" si="43"/>
        <v>https://portal.dnb.de/opac.htm?method=simpleSearch&amp;cqlMode=true&amp;query=idn%3D996351094</v>
      </c>
      <c r="E1363" s="74" t="s">
        <v>409</v>
      </c>
      <c r="F1363" s="74"/>
      <c r="G1363" s="76"/>
      <c r="H1363" s="77"/>
      <c r="I1363" s="76"/>
      <c r="J1363" s="77"/>
      <c r="K1363" s="77"/>
      <c r="L1363" s="76"/>
      <c r="M1363" s="76"/>
      <c r="N1363" s="76"/>
      <c r="O1363" s="76"/>
      <c r="P1363" s="76"/>
      <c r="Q1363" s="76"/>
      <c r="R1363" s="76"/>
      <c r="S1363" s="76"/>
      <c r="BD1363" s="99">
        <f t="shared" si="45"/>
        <v>0</v>
      </c>
      <c r="CC1363" s="99"/>
      <c r="CV1363" s="99"/>
      <c r="CW1363" s="63"/>
    </row>
    <row r="1364" spans="1:101" x14ac:dyDescent="0.15">
      <c r="A1364" s="76">
        <v>1278</v>
      </c>
      <c r="B1364" s="74" t="s">
        <v>411</v>
      </c>
      <c r="C1364" s="74">
        <v>996351604</v>
      </c>
      <c r="D1364" s="78" t="str">
        <f t="shared" si="43"/>
        <v>https://portal.dnb.de/opac.htm?method=simpleSearch&amp;cqlMode=true&amp;query=idn%3D996351604</v>
      </c>
      <c r="E1364" s="74" t="s">
        <v>409</v>
      </c>
      <c r="F1364" s="74"/>
      <c r="G1364" s="76"/>
      <c r="H1364" s="77"/>
      <c r="I1364" s="76"/>
      <c r="J1364" s="77"/>
      <c r="K1364" s="77"/>
      <c r="L1364" s="76"/>
      <c r="M1364" s="76"/>
      <c r="N1364" s="76"/>
      <c r="O1364" s="76"/>
      <c r="P1364" s="76"/>
      <c r="Q1364" s="76"/>
      <c r="R1364" s="76"/>
      <c r="S1364" s="76"/>
      <c r="BD1364" s="99">
        <f t="shared" si="45"/>
        <v>0</v>
      </c>
      <c r="CC1364" s="99"/>
      <c r="CV1364" s="99"/>
      <c r="CW1364" s="63"/>
    </row>
    <row r="1365" spans="1:101" x14ac:dyDescent="0.15">
      <c r="A1365" s="76">
        <v>1279</v>
      </c>
      <c r="B1365" s="74" t="s">
        <v>412</v>
      </c>
      <c r="C1365" s="74" t="s">
        <v>413</v>
      </c>
      <c r="D1365" s="78" t="str">
        <f t="shared" si="43"/>
        <v>https://portal.dnb.de/opac.htm?method=simpleSearch&amp;cqlMode=true&amp;query=idn%3D99635431X</v>
      </c>
      <c r="E1365" s="74" t="s">
        <v>409</v>
      </c>
      <c r="F1365" s="74"/>
      <c r="G1365" s="76"/>
      <c r="H1365" s="77"/>
      <c r="I1365" s="76"/>
      <c r="J1365" s="77"/>
      <c r="K1365" s="77"/>
      <c r="L1365" s="76"/>
      <c r="M1365" s="76"/>
      <c r="N1365" s="76"/>
      <c r="O1365" s="76"/>
      <c r="P1365" s="76"/>
      <c r="Q1365" s="76"/>
      <c r="R1365" s="76"/>
      <c r="S1365" s="76"/>
      <c r="BD1365" s="99">
        <f t="shared" si="45"/>
        <v>0</v>
      </c>
      <c r="CC1365" s="99"/>
      <c r="CV1365" s="99"/>
      <c r="CW1365" s="63"/>
    </row>
    <row r="1366" spans="1:101" x14ac:dyDescent="0.15">
      <c r="A1366" s="76">
        <v>1280</v>
      </c>
      <c r="B1366" s="74" t="s">
        <v>414</v>
      </c>
      <c r="C1366" s="74">
        <v>996351779</v>
      </c>
      <c r="D1366" s="78" t="str">
        <f t="shared" si="43"/>
        <v>https://portal.dnb.de/opac.htm?method=simpleSearch&amp;cqlMode=true&amp;query=idn%3D996351779</v>
      </c>
      <c r="E1366" s="74" t="s">
        <v>409</v>
      </c>
      <c r="F1366" s="74"/>
      <c r="G1366" s="76"/>
      <c r="H1366" s="77"/>
      <c r="I1366" s="76"/>
      <c r="J1366" s="77"/>
      <c r="K1366" s="77"/>
      <c r="L1366" s="76"/>
      <c r="M1366" s="76"/>
      <c r="N1366" s="76"/>
      <c r="O1366" s="76"/>
      <c r="P1366" s="76"/>
      <c r="Q1366" s="76"/>
      <c r="R1366" s="76"/>
      <c r="S1366" s="76"/>
      <c r="BD1366" s="99">
        <f t="shared" si="45"/>
        <v>0</v>
      </c>
      <c r="CC1366" s="99"/>
      <c r="CV1366" s="99"/>
      <c r="CW1366" s="63"/>
    </row>
    <row r="1367" spans="1:101" x14ac:dyDescent="0.15">
      <c r="A1367" s="76">
        <v>1281</v>
      </c>
      <c r="B1367" s="74" t="s">
        <v>415</v>
      </c>
      <c r="C1367" s="74">
        <v>996351868</v>
      </c>
      <c r="D1367" s="78" t="str">
        <f t="shared" si="43"/>
        <v>https://portal.dnb.de/opac.htm?method=simpleSearch&amp;cqlMode=true&amp;query=idn%3D996351868</v>
      </c>
      <c r="E1367" s="74" t="s">
        <v>409</v>
      </c>
      <c r="F1367" s="74"/>
      <c r="G1367" s="76"/>
      <c r="H1367" s="77"/>
      <c r="I1367" s="76"/>
      <c r="J1367" s="77"/>
      <c r="K1367" s="77"/>
      <c r="L1367" s="76"/>
      <c r="M1367" s="76"/>
      <c r="N1367" s="76"/>
      <c r="O1367" s="76"/>
      <c r="P1367" s="76"/>
      <c r="Q1367" s="76"/>
      <c r="R1367" s="76"/>
      <c r="S1367" s="76"/>
      <c r="BD1367" s="99">
        <f t="shared" si="45"/>
        <v>0</v>
      </c>
      <c r="CC1367" s="99"/>
      <c r="CV1367" s="99"/>
      <c r="CW1367" s="63"/>
    </row>
    <row r="1368" spans="1:101" x14ac:dyDescent="0.15">
      <c r="A1368" s="76">
        <v>1282</v>
      </c>
      <c r="B1368" s="74" t="s">
        <v>416</v>
      </c>
      <c r="C1368" s="74">
        <v>997383518</v>
      </c>
      <c r="D1368" s="78" t="str">
        <f t="shared" si="43"/>
        <v>https://portal.dnb.de/opac.htm?method=simpleSearch&amp;cqlMode=true&amp;query=idn%3D997383518</v>
      </c>
      <c r="E1368" s="74" t="s">
        <v>417</v>
      </c>
      <c r="F1368" s="74"/>
      <c r="G1368" s="76"/>
      <c r="H1368" s="77"/>
      <c r="I1368" s="76"/>
      <c r="J1368" s="77"/>
      <c r="K1368" s="77"/>
      <c r="L1368" s="76"/>
      <c r="M1368" s="76"/>
      <c r="N1368" s="76"/>
      <c r="O1368" s="76"/>
      <c r="P1368" s="76"/>
      <c r="Q1368" s="76"/>
      <c r="R1368" s="76"/>
      <c r="S1368" s="76"/>
      <c r="BD1368" s="99">
        <f t="shared" si="45"/>
        <v>0</v>
      </c>
      <c r="CC1368" s="99"/>
      <c r="CV1368" s="99"/>
      <c r="CW1368" s="63"/>
    </row>
    <row r="1369" spans="1:101" x14ac:dyDescent="0.15">
      <c r="A1369" s="76">
        <v>1283</v>
      </c>
      <c r="B1369" s="74" t="s">
        <v>418</v>
      </c>
      <c r="C1369" s="74">
        <v>1002617537</v>
      </c>
      <c r="D1369" s="78" t="str">
        <f t="shared" si="43"/>
        <v>https://portal.dnb.de/opac.htm?method=simpleSearch&amp;cqlMode=true&amp;query=idn%3D1002617537</v>
      </c>
      <c r="E1369" s="74" t="s">
        <v>417</v>
      </c>
      <c r="F1369" s="74"/>
      <c r="G1369" s="76"/>
      <c r="H1369" s="77"/>
      <c r="I1369" s="76"/>
      <c r="J1369" s="77"/>
      <c r="K1369" s="77"/>
      <c r="L1369" s="76"/>
      <c r="M1369" s="76"/>
      <c r="N1369" s="76"/>
      <c r="O1369" s="76"/>
      <c r="P1369" s="76"/>
      <c r="Q1369" s="76"/>
      <c r="R1369" s="76"/>
      <c r="S1369" s="76"/>
      <c r="BD1369" s="99">
        <f t="shared" si="45"/>
        <v>0</v>
      </c>
      <c r="CC1369" s="99"/>
      <c r="CV1369" s="99"/>
      <c r="CW1369" s="63"/>
    </row>
    <row r="1370" spans="1:101" x14ac:dyDescent="0.15">
      <c r="A1370" s="76">
        <v>1284</v>
      </c>
      <c r="B1370" s="74" t="s">
        <v>419</v>
      </c>
      <c r="C1370" s="74">
        <v>1002162572</v>
      </c>
      <c r="D1370" s="78" t="str">
        <f t="shared" si="43"/>
        <v>https://portal.dnb.de/opac.htm?method=simpleSearch&amp;cqlMode=true&amp;query=idn%3D1002162572</v>
      </c>
      <c r="E1370" s="74" t="s">
        <v>417</v>
      </c>
      <c r="F1370" s="74"/>
      <c r="G1370" s="76"/>
      <c r="H1370" s="77"/>
      <c r="I1370" s="76"/>
      <c r="J1370" s="77"/>
      <c r="K1370" s="77"/>
      <c r="L1370" s="76"/>
      <c r="M1370" s="76"/>
      <c r="N1370" s="76"/>
      <c r="O1370" s="76"/>
      <c r="P1370" s="76"/>
      <c r="Q1370" s="76"/>
      <c r="R1370" s="76"/>
      <c r="S1370" s="76"/>
      <c r="BD1370" s="99">
        <f t="shared" si="45"/>
        <v>0</v>
      </c>
      <c r="CC1370" s="99"/>
      <c r="CV1370" s="99"/>
      <c r="CW1370" s="63"/>
    </row>
    <row r="1371" spans="1:101" ht="22.5" x14ac:dyDescent="0.15">
      <c r="A1371" s="76">
        <v>1285</v>
      </c>
      <c r="B1371" s="74" t="s">
        <v>420</v>
      </c>
      <c r="C1371" s="74">
        <v>995540551</v>
      </c>
      <c r="D1371" s="78" t="str">
        <f t="shared" si="43"/>
        <v>https://portal.dnb.de/opac.htm?method=simpleSearch&amp;cqlMode=true&amp;query=idn%3D995540551</v>
      </c>
      <c r="E1371" s="74" t="s">
        <v>417</v>
      </c>
      <c r="F1371" s="74"/>
      <c r="G1371" s="76" t="s">
        <v>8515</v>
      </c>
      <c r="H1371" s="77" t="s">
        <v>48</v>
      </c>
      <c r="I1371" s="76" t="s">
        <v>53</v>
      </c>
      <c r="J1371" s="77" t="s">
        <v>8516</v>
      </c>
      <c r="K1371" s="77" t="s">
        <v>8564</v>
      </c>
      <c r="L1371" s="76"/>
      <c r="M1371" s="76" t="s">
        <v>36</v>
      </c>
      <c r="N1371" s="76" t="s">
        <v>39</v>
      </c>
      <c r="O1371" s="76">
        <v>0</v>
      </c>
      <c r="P1371" s="76"/>
      <c r="Q1371" s="76"/>
      <c r="R1371" s="76"/>
      <c r="S1371" s="76"/>
      <c r="BD1371" s="99">
        <f t="shared" si="45"/>
        <v>0</v>
      </c>
      <c r="CC1371" s="99"/>
      <c r="CV1371" s="99"/>
      <c r="CW1371" s="63"/>
    </row>
    <row r="1372" spans="1:101" x14ac:dyDescent="0.15">
      <c r="A1372" s="76">
        <v>1286</v>
      </c>
      <c r="B1372" s="74" t="s">
        <v>421</v>
      </c>
      <c r="C1372" s="74">
        <v>1000868680</v>
      </c>
      <c r="D1372" s="78" t="str">
        <f t="shared" si="43"/>
        <v>https://portal.dnb.de/opac.htm?method=simpleSearch&amp;cqlMode=true&amp;query=idn%3D1000868680</v>
      </c>
      <c r="E1372" s="74" t="s">
        <v>422</v>
      </c>
      <c r="F1372" s="74"/>
      <c r="G1372" s="76"/>
      <c r="H1372" s="77"/>
      <c r="I1372" s="76"/>
      <c r="J1372" s="77"/>
      <c r="K1372" s="77"/>
      <c r="L1372" s="76"/>
      <c r="M1372" s="76"/>
      <c r="N1372" s="76"/>
      <c r="O1372" s="76"/>
      <c r="P1372" s="76"/>
      <c r="Q1372" s="76"/>
      <c r="R1372" s="76"/>
      <c r="S1372" s="76"/>
      <c r="BD1372" s="99">
        <f t="shared" si="45"/>
        <v>0</v>
      </c>
      <c r="CC1372" s="99"/>
      <c r="CV1372" s="99"/>
      <c r="CW1372" s="63"/>
    </row>
    <row r="1373" spans="1:101" x14ac:dyDescent="0.15">
      <c r="A1373" s="76">
        <v>1287</v>
      </c>
      <c r="B1373" s="74" t="s">
        <v>426</v>
      </c>
      <c r="C1373" s="74">
        <v>993907865</v>
      </c>
      <c r="D1373" s="78" t="str">
        <f t="shared" si="43"/>
        <v>https://portal.dnb.de/opac.htm?method=simpleSearch&amp;cqlMode=true&amp;query=idn%3D993907865</v>
      </c>
      <c r="E1373" s="74" t="s">
        <v>427</v>
      </c>
      <c r="F1373" s="74"/>
      <c r="G1373" s="76"/>
      <c r="H1373" s="77"/>
      <c r="I1373" s="76"/>
      <c r="J1373" s="77"/>
      <c r="K1373" s="77"/>
      <c r="L1373" s="76"/>
      <c r="M1373" s="76"/>
      <c r="N1373" s="76"/>
      <c r="O1373" s="76"/>
      <c r="P1373" s="76"/>
      <c r="Q1373" s="76"/>
      <c r="R1373" s="76"/>
      <c r="S1373" s="76"/>
      <c r="BD1373" s="99">
        <f t="shared" si="45"/>
        <v>0</v>
      </c>
      <c r="CC1373" s="99"/>
      <c r="CV1373" s="99"/>
      <c r="CW1373" s="63"/>
    </row>
    <row r="1374" spans="1:101" x14ac:dyDescent="0.15">
      <c r="A1374" s="76">
        <v>1288</v>
      </c>
      <c r="B1374" s="74" t="s">
        <v>428</v>
      </c>
      <c r="C1374" s="74">
        <v>1001126319</v>
      </c>
      <c r="D1374" s="78" t="str">
        <f t="shared" si="43"/>
        <v>https://portal.dnb.de/opac.htm?method=simpleSearch&amp;cqlMode=true&amp;query=idn%3D1001126319</v>
      </c>
      <c r="E1374" s="74" t="s">
        <v>429</v>
      </c>
      <c r="F1374" s="74"/>
      <c r="G1374" s="76"/>
      <c r="H1374" s="77"/>
      <c r="I1374" s="76"/>
      <c r="J1374" s="77"/>
      <c r="K1374" s="77"/>
      <c r="L1374" s="76"/>
      <c r="M1374" s="76"/>
      <c r="N1374" s="76"/>
      <c r="O1374" s="76"/>
      <c r="P1374" s="76"/>
      <c r="Q1374" s="76"/>
      <c r="R1374" s="76"/>
      <c r="S1374" s="76"/>
      <c r="BD1374" s="99">
        <f t="shared" si="45"/>
        <v>0</v>
      </c>
      <c r="CC1374" s="99"/>
      <c r="CV1374" s="99"/>
      <c r="CW1374" s="63"/>
    </row>
    <row r="1375" spans="1:101" x14ac:dyDescent="0.15">
      <c r="A1375" s="76">
        <v>1289</v>
      </c>
      <c r="B1375" s="74" t="s">
        <v>430</v>
      </c>
      <c r="C1375" s="74">
        <v>1001126335</v>
      </c>
      <c r="D1375" s="78" t="str">
        <f t="shared" si="43"/>
        <v>https://portal.dnb.de/opac.htm?method=simpleSearch&amp;cqlMode=true&amp;query=idn%3D1001126335</v>
      </c>
      <c r="E1375" s="74" t="s">
        <v>429</v>
      </c>
      <c r="F1375" s="74"/>
      <c r="G1375" s="76"/>
      <c r="H1375" s="77"/>
      <c r="I1375" s="76"/>
      <c r="J1375" s="77"/>
      <c r="K1375" s="77"/>
      <c r="L1375" s="76"/>
      <c r="M1375" s="76"/>
      <c r="N1375" s="76"/>
      <c r="O1375" s="76"/>
      <c r="P1375" s="76"/>
      <c r="Q1375" s="76"/>
      <c r="R1375" s="76"/>
      <c r="S1375" s="76"/>
      <c r="BD1375" s="99">
        <f t="shared" si="45"/>
        <v>0</v>
      </c>
      <c r="CC1375" s="99"/>
      <c r="CV1375" s="99"/>
      <c r="CW1375" s="63"/>
    </row>
    <row r="1376" spans="1:101" x14ac:dyDescent="0.15">
      <c r="A1376" s="76">
        <v>1290</v>
      </c>
      <c r="B1376" s="74" t="s">
        <v>431</v>
      </c>
      <c r="C1376" s="74">
        <v>1001126378</v>
      </c>
      <c r="D1376" s="78" t="str">
        <f t="shared" si="43"/>
        <v>https://portal.dnb.de/opac.htm?method=simpleSearch&amp;cqlMode=true&amp;query=idn%3D1001126378</v>
      </c>
      <c r="E1376" s="74" t="s">
        <v>429</v>
      </c>
      <c r="F1376" s="74"/>
      <c r="G1376" s="76"/>
      <c r="H1376" s="77"/>
      <c r="I1376" s="76"/>
      <c r="J1376" s="77"/>
      <c r="K1376" s="77"/>
      <c r="L1376" s="76"/>
      <c r="M1376" s="76"/>
      <c r="N1376" s="76"/>
      <c r="O1376" s="76"/>
      <c r="P1376" s="76"/>
      <c r="Q1376" s="76"/>
      <c r="R1376" s="76"/>
      <c r="S1376" s="76"/>
      <c r="BD1376" s="99">
        <f t="shared" si="45"/>
        <v>0</v>
      </c>
      <c r="CC1376" s="99"/>
      <c r="CV1376" s="99"/>
      <c r="CW1376" s="63"/>
    </row>
    <row r="1377" spans="1:101" x14ac:dyDescent="0.15">
      <c r="A1377" s="76">
        <v>1291</v>
      </c>
      <c r="B1377" s="74" t="s">
        <v>432</v>
      </c>
      <c r="C1377" s="74">
        <v>1001126424</v>
      </c>
      <c r="D1377" s="78" t="str">
        <f t="shared" si="43"/>
        <v>https://portal.dnb.de/opac.htm?method=simpleSearch&amp;cqlMode=true&amp;query=idn%3D1001126424</v>
      </c>
      <c r="E1377" s="74" t="s">
        <v>429</v>
      </c>
      <c r="F1377" s="74"/>
      <c r="G1377" s="76"/>
      <c r="H1377" s="77"/>
      <c r="I1377" s="76"/>
      <c r="J1377" s="77"/>
      <c r="K1377" s="77"/>
      <c r="L1377" s="76"/>
      <c r="M1377" s="76"/>
      <c r="N1377" s="76"/>
      <c r="O1377" s="76"/>
      <c r="P1377" s="76"/>
      <c r="Q1377" s="76"/>
      <c r="R1377" s="76"/>
      <c r="S1377" s="76"/>
      <c r="BD1377" s="99">
        <f t="shared" si="45"/>
        <v>0</v>
      </c>
      <c r="CC1377" s="99"/>
      <c r="CV1377" s="99"/>
      <c r="CW1377" s="63"/>
    </row>
    <row r="1378" spans="1:101" x14ac:dyDescent="0.15">
      <c r="A1378" s="76">
        <v>1292</v>
      </c>
      <c r="B1378" s="74" t="s">
        <v>433</v>
      </c>
      <c r="C1378" s="74">
        <v>1001126211</v>
      </c>
      <c r="D1378" s="78" t="str">
        <f t="shared" si="43"/>
        <v>https://portal.dnb.de/opac.htm?method=simpleSearch&amp;cqlMode=true&amp;query=idn%3D1001126211</v>
      </c>
      <c r="E1378" s="74" t="s">
        <v>429</v>
      </c>
      <c r="F1378" s="74"/>
      <c r="G1378" s="76"/>
      <c r="H1378" s="77"/>
      <c r="I1378" s="76"/>
      <c r="J1378" s="77"/>
      <c r="K1378" s="77"/>
      <c r="L1378" s="76"/>
      <c r="M1378" s="76"/>
      <c r="N1378" s="76"/>
      <c r="O1378" s="76"/>
      <c r="P1378" s="76"/>
      <c r="Q1378" s="76"/>
      <c r="R1378" s="76"/>
      <c r="S1378" s="76"/>
      <c r="BD1378" s="99">
        <f t="shared" si="45"/>
        <v>0</v>
      </c>
      <c r="CC1378" s="99"/>
      <c r="CV1378" s="99"/>
      <c r="CW1378" s="63"/>
    </row>
    <row r="1379" spans="1:101" x14ac:dyDescent="0.15">
      <c r="A1379" s="76">
        <v>1293</v>
      </c>
      <c r="B1379" s="74" t="s">
        <v>434</v>
      </c>
      <c r="C1379" s="74">
        <v>994565615</v>
      </c>
      <c r="D1379" s="78" t="str">
        <f t="shared" si="43"/>
        <v>https://portal.dnb.de/opac.htm?method=simpleSearch&amp;cqlMode=true&amp;query=idn%3D994565615</v>
      </c>
      <c r="E1379" s="74" t="s">
        <v>10091</v>
      </c>
      <c r="F1379" s="74"/>
      <c r="G1379" s="76"/>
      <c r="H1379" s="77"/>
      <c r="I1379" s="76"/>
      <c r="J1379" s="77"/>
      <c r="K1379" s="77"/>
      <c r="L1379" s="76"/>
      <c r="M1379" s="76"/>
      <c r="N1379" s="76"/>
      <c r="O1379" s="76"/>
      <c r="P1379" s="76"/>
      <c r="Q1379" s="76"/>
      <c r="R1379" s="76"/>
      <c r="S1379" s="76"/>
      <c r="BD1379" s="99">
        <f t="shared" si="45"/>
        <v>0</v>
      </c>
      <c r="CC1379" s="99"/>
      <c r="CV1379" s="99"/>
      <c r="CW1379" s="63"/>
    </row>
    <row r="1380" spans="1:101" ht="22.5" x14ac:dyDescent="0.15">
      <c r="A1380" s="76">
        <v>1294</v>
      </c>
      <c r="B1380" s="74" t="s">
        <v>436</v>
      </c>
      <c r="C1380" s="74">
        <v>994565569</v>
      </c>
      <c r="D1380" s="78" t="str">
        <f t="shared" si="43"/>
        <v>https://portal.dnb.de/opac.htm?method=simpleSearch&amp;cqlMode=true&amp;query=idn%3D994565569</v>
      </c>
      <c r="E1380" s="74" t="s">
        <v>435</v>
      </c>
      <c r="F1380" s="74"/>
      <c r="G1380" s="76"/>
      <c r="H1380" s="77" t="s">
        <v>48</v>
      </c>
      <c r="I1380" s="76" t="s">
        <v>54</v>
      </c>
      <c r="J1380" s="77" t="s">
        <v>8516</v>
      </c>
      <c r="K1380" s="77" t="s">
        <v>84</v>
      </c>
      <c r="L1380" s="76"/>
      <c r="M1380" s="76" t="s">
        <v>36</v>
      </c>
      <c r="N1380" s="76" t="s">
        <v>39</v>
      </c>
      <c r="O1380" s="76">
        <v>0</v>
      </c>
      <c r="P1380" s="76"/>
      <c r="Q1380" s="76" t="s">
        <v>8847</v>
      </c>
      <c r="R1380" s="76"/>
      <c r="S1380" s="76"/>
      <c r="Y1380" s="95" t="s">
        <v>9736</v>
      </c>
      <c r="AC1380" s="95" t="s">
        <v>9737</v>
      </c>
      <c r="AI1380" s="95" t="s">
        <v>9725</v>
      </c>
      <c r="AW1380" s="95">
        <v>0</v>
      </c>
      <c r="BC1380" s="96" t="s">
        <v>10503</v>
      </c>
      <c r="BD1380" s="99">
        <f t="shared" si="45"/>
        <v>3</v>
      </c>
      <c r="BJ1380" s="95" t="s">
        <v>9741</v>
      </c>
      <c r="BK1380" s="95" t="s">
        <v>8541</v>
      </c>
      <c r="BO1380" s="70" t="s">
        <v>10089</v>
      </c>
      <c r="BP1380" s="69" t="s">
        <v>8541</v>
      </c>
      <c r="CC1380" s="99"/>
      <c r="CM1380" s="95" t="s">
        <v>8541</v>
      </c>
      <c r="CN1380" s="95" t="s">
        <v>8541</v>
      </c>
      <c r="CQ1380" s="95" t="s">
        <v>8541</v>
      </c>
      <c r="CV1380" s="99">
        <v>3</v>
      </c>
      <c r="CW1380" s="90" t="s">
        <v>10090</v>
      </c>
    </row>
    <row r="1381" spans="1:101" x14ac:dyDescent="0.15">
      <c r="A1381" s="76">
        <v>1295</v>
      </c>
      <c r="B1381" s="74" t="s">
        <v>437</v>
      </c>
      <c r="C1381" s="74">
        <v>994565631</v>
      </c>
      <c r="D1381" s="78" t="str">
        <f t="shared" si="43"/>
        <v>https://portal.dnb.de/opac.htm?method=simpleSearch&amp;cqlMode=true&amp;query=idn%3D994565631</v>
      </c>
      <c r="E1381" s="74" t="s">
        <v>10091</v>
      </c>
      <c r="F1381" s="74"/>
      <c r="G1381" s="76"/>
      <c r="H1381" s="77"/>
      <c r="I1381" s="76"/>
      <c r="J1381" s="77"/>
      <c r="K1381" s="77"/>
      <c r="L1381" s="76"/>
      <c r="M1381" s="76"/>
      <c r="N1381" s="76"/>
      <c r="O1381" s="76"/>
      <c r="P1381" s="76"/>
      <c r="Q1381" s="76"/>
      <c r="R1381" s="76"/>
      <c r="S1381" s="76"/>
      <c r="BD1381" s="99">
        <f t="shared" si="45"/>
        <v>0</v>
      </c>
      <c r="CC1381" s="99"/>
      <c r="CV1381" s="99"/>
      <c r="CW1381" s="63"/>
    </row>
    <row r="1382" spans="1:101" x14ac:dyDescent="0.15">
      <c r="A1382" s="76">
        <v>1296</v>
      </c>
      <c r="B1382" s="74" t="s">
        <v>438</v>
      </c>
      <c r="C1382" s="74">
        <v>994565593</v>
      </c>
      <c r="D1382" s="78" t="str">
        <f t="shared" si="43"/>
        <v>https://portal.dnb.de/opac.htm?method=simpleSearch&amp;cqlMode=true&amp;query=idn%3D994565593</v>
      </c>
      <c r="E1382" s="74" t="s">
        <v>10091</v>
      </c>
      <c r="F1382" s="74"/>
      <c r="G1382" s="76"/>
      <c r="H1382" s="77"/>
      <c r="I1382" s="76"/>
      <c r="J1382" s="77"/>
      <c r="K1382" s="77"/>
      <c r="L1382" s="76"/>
      <c r="M1382" s="76"/>
      <c r="N1382" s="76"/>
      <c r="O1382" s="76"/>
      <c r="P1382" s="76"/>
      <c r="Q1382" s="76"/>
      <c r="R1382" s="76"/>
      <c r="S1382" s="76"/>
      <c r="BD1382" s="99">
        <f t="shared" si="45"/>
        <v>0</v>
      </c>
      <c r="CC1382" s="99"/>
      <c r="CV1382" s="99"/>
      <c r="CW1382" s="63"/>
    </row>
    <row r="1383" spans="1:101" x14ac:dyDescent="0.15">
      <c r="A1383" s="76">
        <v>1297</v>
      </c>
      <c r="B1383" s="74" t="s">
        <v>439</v>
      </c>
      <c r="C1383" s="74">
        <v>998970638</v>
      </c>
      <c r="D1383" s="78" t="str">
        <f t="shared" si="43"/>
        <v>https://portal.dnb.de/opac.htm?method=simpleSearch&amp;cqlMode=true&amp;query=idn%3D998970638</v>
      </c>
      <c r="E1383" s="74" t="s">
        <v>440</v>
      </c>
      <c r="F1383" s="74"/>
      <c r="G1383" s="76"/>
      <c r="H1383" s="77"/>
      <c r="I1383" s="76"/>
      <c r="J1383" s="77"/>
      <c r="K1383" s="77"/>
      <c r="L1383" s="76"/>
      <c r="M1383" s="76"/>
      <c r="N1383" s="76"/>
      <c r="O1383" s="76"/>
      <c r="P1383" s="76"/>
      <c r="Q1383" s="76"/>
      <c r="R1383" s="76"/>
      <c r="S1383" s="76"/>
      <c r="BD1383" s="99">
        <f t="shared" si="45"/>
        <v>0</v>
      </c>
      <c r="CC1383" s="99"/>
      <c r="CV1383" s="99"/>
      <c r="CW1383" s="63"/>
    </row>
    <row r="1384" spans="1:101" x14ac:dyDescent="0.15">
      <c r="A1384" s="76">
        <v>1298</v>
      </c>
      <c r="B1384" s="74" t="s">
        <v>441</v>
      </c>
      <c r="C1384" s="74">
        <v>1066862427</v>
      </c>
      <c r="D1384" s="78" t="str">
        <f t="shared" si="43"/>
        <v>https://portal.dnb.de/opac.htm?method=simpleSearch&amp;cqlMode=true&amp;query=idn%3D1066862427</v>
      </c>
      <c r="E1384" s="74" t="s">
        <v>442</v>
      </c>
      <c r="F1384" s="74"/>
      <c r="G1384" s="76"/>
      <c r="H1384" s="77"/>
      <c r="I1384" s="76"/>
      <c r="J1384" s="77"/>
      <c r="K1384" s="77"/>
      <c r="L1384" s="76"/>
      <c r="M1384" s="76"/>
      <c r="N1384" s="76"/>
      <c r="O1384" s="76"/>
      <c r="P1384" s="76"/>
      <c r="Q1384" s="76"/>
      <c r="R1384" s="76"/>
      <c r="S1384" s="76"/>
      <c r="Y1384" s="95" t="s">
        <v>9729</v>
      </c>
      <c r="AC1384" s="95" t="s">
        <v>9730</v>
      </c>
      <c r="AI1384" s="95" t="s">
        <v>9725</v>
      </c>
      <c r="AP1384" s="95" t="s">
        <v>8541</v>
      </c>
      <c r="AU1384" s="95">
        <v>0</v>
      </c>
      <c r="AW1384" s="95">
        <v>60</v>
      </c>
      <c r="BD1384" s="99">
        <f t="shared" si="45"/>
        <v>0</v>
      </c>
      <c r="BF1384" s="95" t="s">
        <v>10006</v>
      </c>
      <c r="CC1384" s="99"/>
      <c r="CV1384" s="99"/>
      <c r="CW1384" s="63"/>
    </row>
    <row r="1385" spans="1:101" ht="22.5" x14ac:dyDescent="0.15">
      <c r="A1385" s="76">
        <v>1299</v>
      </c>
      <c r="B1385" s="74" t="s">
        <v>450</v>
      </c>
      <c r="C1385" s="74" t="s">
        <v>451</v>
      </c>
      <c r="D1385" s="78" t="str">
        <f t="shared" si="43"/>
        <v>https://portal.dnb.de/opac.htm?method=simpleSearch&amp;cqlMode=true&amp;query=idn%3D98446719X</v>
      </c>
      <c r="E1385" s="74" t="s">
        <v>452</v>
      </c>
      <c r="F1385" s="74"/>
      <c r="G1385" s="76"/>
      <c r="H1385" s="77" t="s">
        <v>5</v>
      </c>
      <c r="I1385" s="76" t="s">
        <v>54</v>
      </c>
      <c r="J1385" s="77" t="s">
        <v>8516</v>
      </c>
      <c r="K1385" s="77" t="s">
        <v>8647</v>
      </c>
      <c r="L1385" s="76"/>
      <c r="M1385" s="76" t="s">
        <v>38</v>
      </c>
      <c r="N1385" s="76" t="s">
        <v>40</v>
      </c>
      <c r="O1385" s="76">
        <v>0</v>
      </c>
      <c r="P1385" s="76"/>
      <c r="Q1385" s="76"/>
      <c r="R1385" s="76"/>
      <c r="S1385" s="76"/>
      <c r="BD1385" s="99">
        <f t="shared" si="45"/>
        <v>0</v>
      </c>
      <c r="CC1385" s="99"/>
      <c r="CV1385" s="99"/>
      <c r="CW1385" s="63"/>
    </row>
    <row r="1386" spans="1:101" x14ac:dyDescent="0.15">
      <c r="A1386" s="76">
        <v>1300</v>
      </c>
      <c r="B1386" s="74" t="s">
        <v>453</v>
      </c>
      <c r="C1386" s="74" t="s">
        <v>454</v>
      </c>
      <c r="D1386" s="78" t="str">
        <f t="shared" si="43"/>
        <v>https://portal.dnb.de/opac.htm?method=simpleSearch&amp;cqlMode=true&amp;query=idn%3D100716932X</v>
      </c>
      <c r="E1386" s="74" t="s">
        <v>455</v>
      </c>
      <c r="F1386" s="74"/>
      <c r="G1386" s="76" t="s">
        <v>8515</v>
      </c>
      <c r="H1386" s="77" t="s">
        <v>4</v>
      </c>
      <c r="I1386" s="76" t="s">
        <v>53</v>
      </c>
      <c r="J1386" s="77" t="s">
        <v>8516</v>
      </c>
      <c r="K1386" s="77" t="s">
        <v>8577</v>
      </c>
      <c r="L1386" s="76"/>
      <c r="M1386" s="76" t="s">
        <v>36</v>
      </c>
      <c r="N1386" s="76" t="s">
        <v>40</v>
      </c>
      <c r="O1386" s="76">
        <v>0</v>
      </c>
      <c r="P1386" s="76"/>
      <c r="Q1386" s="76"/>
      <c r="R1386" s="76"/>
      <c r="S1386" s="76"/>
      <c r="BD1386" s="99">
        <f t="shared" si="45"/>
        <v>0</v>
      </c>
      <c r="CC1386" s="99"/>
      <c r="CV1386" s="99"/>
      <c r="CW1386" s="63"/>
    </row>
    <row r="1387" spans="1:101" x14ac:dyDescent="0.15">
      <c r="A1387" s="76">
        <v>1301</v>
      </c>
      <c r="B1387" s="74" t="s">
        <v>456</v>
      </c>
      <c r="C1387" s="74">
        <v>1011954478</v>
      </c>
      <c r="D1387" s="78" t="str">
        <f t="shared" si="43"/>
        <v>https://portal.dnb.de/opac.htm?method=simpleSearch&amp;cqlMode=true&amp;query=idn%3D1011954478</v>
      </c>
      <c r="E1387" s="74" t="s">
        <v>455</v>
      </c>
      <c r="F1387" s="74"/>
      <c r="G1387" s="76"/>
      <c r="H1387" s="77"/>
      <c r="I1387" s="76"/>
      <c r="J1387" s="77"/>
      <c r="K1387" s="77"/>
      <c r="L1387" s="76"/>
      <c r="M1387" s="76"/>
      <c r="N1387" s="76"/>
      <c r="O1387" s="76"/>
      <c r="P1387" s="76"/>
      <c r="Q1387" s="76"/>
      <c r="R1387" s="76"/>
      <c r="S1387" s="76"/>
      <c r="BD1387" s="99">
        <f t="shared" si="45"/>
        <v>0</v>
      </c>
      <c r="CC1387" s="99"/>
      <c r="CV1387" s="99"/>
      <c r="CW1387" s="63"/>
    </row>
    <row r="1388" spans="1:101" x14ac:dyDescent="0.15">
      <c r="A1388" s="76">
        <v>1302</v>
      </c>
      <c r="B1388" s="74" t="s">
        <v>457</v>
      </c>
      <c r="C1388" s="74">
        <v>12721514</v>
      </c>
      <c r="D1388" s="78" t="str">
        <f t="shared" si="43"/>
        <v>https://portal.dnb.de/opac.htm?method=simpleSearch&amp;cqlMode=true&amp;query=idn%3D12721514</v>
      </c>
      <c r="E1388" s="74" t="s">
        <v>458</v>
      </c>
      <c r="F1388" s="74"/>
      <c r="G1388" s="76"/>
      <c r="H1388" s="77" t="s">
        <v>47</v>
      </c>
      <c r="I1388" s="76" t="s">
        <v>53</v>
      </c>
      <c r="J1388" s="77" t="s">
        <v>8516</v>
      </c>
      <c r="K1388" s="77" t="s">
        <v>87</v>
      </c>
      <c r="L1388" s="76"/>
      <c r="M1388" s="76" t="s">
        <v>36</v>
      </c>
      <c r="N1388" s="76" t="s">
        <v>40</v>
      </c>
      <c r="O1388" s="76">
        <v>0</v>
      </c>
      <c r="P1388" s="76"/>
      <c r="Q1388" s="76"/>
      <c r="R1388" s="76"/>
      <c r="S1388" s="76"/>
      <c r="BD1388" s="99">
        <f t="shared" si="45"/>
        <v>0</v>
      </c>
      <c r="CC1388" s="99"/>
      <c r="CV1388" s="99"/>
      <c r="CW1388" s="63"/>
    </row>
    <row r="1389" spans="1:101" x14ac:dyDescent="0.15">
      <c r="A1389" s="76">
        <v>1303</v>
      </c>
      <c r="B1389" s="74" t="s">
        <v>459</v>
      </c>
      <c r="C1389" s="74">
        <v>1067591370</v>
      </c>
      <c r="D1389" s="78" t="str">
        <f t="shared" si="43"/>
        <v>https://portal.dnb.de/opac.htm?method=simpleSearch&amp;cqlMode=true&amp;query=idn%3D1067591370</v>
      </c>
      <c r="E1389" s="74" t="s">
        <v>460</v>
      </c>
      <c r="F1389" s="74"/>
      <c r="G1389" s="76"/>
      <c r="H1389" s="77" t="s">
        <v>49</v>
      </c>
      <c r="I1389" s="76" t="s">
        <v>53</v>
      </c>
      <c r="J1389" s="77" t="s">
        <v>8516</v>
      </c>
      <c r="K1389" s="77" t="s">
        <v>84</v>
      </c>
      <c r="L1389" s="76"/>
      <c r="M1389" s="76" t="s">
        <v>34</v>
      </c>
      <c r="N1389" s="76" t="s">
        <v>40</v>
      </c>
      <c r="O1389" s="76">
        <v>0</v>
      </c>
      <c r="P1389" s="76"/>
      <c r="Q1389" s="76"/>
      <c r="R1389" s="76"/>
      <c r="S1389" s="76"/>
      <c r="BD1389" s="99">
        <f t="shared" si="45"/>
        <v>0</v>
      </c>
      <c r="CC1389" s="99"/>
      <c r="CV1389" s="99"/>
      <c r="CW1389" s="63"/>
    </row>
    <row r="1390" spans="1:101" ht="33.75" x14ac:dyDescent="0.15">
      <c r="A1390" s="76">
        <v>1304</v>
      </c>
      <c r="B1390" s="74" t="s">
        <v>240</v>
      </c>
      <c r="C1390" s="74">
        <v>16698983</v>
      </c>
      <c r="D1390" s="78" t="str">
        <f t="shared" si="43"/>
        <v>https://portal.dnb.de/opac.htm?method=simpleSearch&amp;cqlMode=true&amp;query=idn%3D16698983</v>
      </c>
      <c r="E1390" s="74" t="s">
        <v>8898</v>
      </c>
      <c r="F1390" s="74"/>
      <c r="G1390" s="76" t="s">
        <v>8515</v>
      </c>
      <c r="H1390" s="77" t="s">
        <v>5</v>
      </c>
      <c r="I1390" s="76" t="s">
        <v>54</v>
      </c>
      <c r="J1390" s="77" t="s">
        <v>8516</v>
      </c>
      <c r="K1390" s="77" t="s">
        <v>8906</v>
      </c>
      <c r="L1390" s="76"/>
      <c r="M1390" s="76"/>
      <c r="N1390" s="76"/>
      <c r="O1390" s="76">
        <v>1</v>
      </c>
      <c r="P1390" s="76"/>
      <c r="Q1390" s="76"/>
      <c r="R1390" s="76"/>
      <c r="S1390" s="76"/>
      <c r="BD1390" s="99">
        <f t="shared" si="45"/>
        <v>0</v>
      </c>
      <c r="CC1390" s="99"/>
      <c r="CV1390" s="99"/>
      <c r="CW1390" s="63"/>
    </row>
    <row r="1391" spans="1:101" ht="22.5" x14ac:dyDescent="0.15">
      <c r="A1391" s="76">
        <v>1305</v>
      </c>
      <c r="B1391" s="74" t="s">
        <v>242</v>
      </c>
      <c r="C1391" s="74">
        <v>16698940</v>
      </c>
      <c r="D1391" s="78" t="str">
        <f t="shared" si="43"/>
        <v>https://portal.dnb.de/opac.htm?method=simpleSearch&amp;cqlMode=true&amp;query=idn%3D16698940</v>
      </c>
      <c r="E1391" s="74" t="s">
        <v>8896</v>
      </c>
      <c r="F1391" s="74"/>
      <c r="G1391" s="76" t="s">
        <v>8515</v>
      </c>
      <c r="H1391" s="77" t="s">
        <v>5</v>
      </c>
      <c r="I1391" s="76" t="s">
        <v>54</v>
      </c>
      <c r="J1391" s="77" t="s">
        <v>8516</v>
      </c>
      <c r="K1391" s="77" t="s">
        <v>8688</v>
      </c>
      <c r="L1391" s="76"/>
      <c r="M1391" s="76"/>
      <c r="N1391" s="76"/>
      <c r="O1391" s="76">
        <v>1</v>
      </c>
      <c r="P1391" s="76"/>
      <c r="Q1391" s="76"/>
      <c r="R1391" s="76"/>
      <c r="S1391" s="76"/>
      <c r="BD1391" s="99">
        <f t="shared" si="45"/>
        <v>0</v>
      </c>
      <c r="CC1391" s="99"/>
      <c r="CV1391" s="99"/>
      <c r="CW1391" s="63"/>
    </row>
    <row r="1392" spans="1:101" ht="33.75" x14ac:dyDescent="0.15">
      <c r="A1392" s="76">
        <v>1306</v>
      </c>
      <c r="B1392" s="74" t="s">
        <v>243</v>
      </c>
      <c r="C1392" s="74">
        <v>16698827</v>
      </c>
      <c r="D1392" s="78" t="str">
        <f t="shared" si="43"/>
        <v>https://portal.dnb.de/opac.htm?method=simpleSearch&amp;cqlMode=true&amp;query=idn%3D16698827</v>
      </c>
      <c r="E1392" s="74" t="s">
        <v>8899</v>
      </c>
      <c r="F1392" s="74"/>
      <c r="G1392" s="76" t="s">
        <v>8541</v>
      </c>
      <c r="H1392" s="77" t="s">
        <v>5</v>
      </c>
      <c r="I1392" s="76" t="s">
        <v>54</v>
      </c>
      <c r="J1392" s="77" t="s">
        <v>8516</v>
      </c>
      <c r="K1392" s="77" t="s">
        <v>8900</v>
      </c>
      <c r="L1392" s="76"/>
      <c r="M1392" s="76"/>
      <c r="N1392" s="76"/>
      <c r="O1392" s="76">
        <v>0</v>
      </c>
      <c r="P1392" s="76"/>
      <c r="Q1392" s="76"/>
      <c r="R1392" s="76"/>
      <c r="S1392" s="76"/>
      <c r="BD1392" s="99">
        <f t="shared" si="45"/>
        <v>0</v>
      </c>
      <c r="CC1392" s="99"/>
      <c r="CV1392" s="99"/>
      <c r="CW1392" s="63"/>
    </row>
    <row r="1393" spans="1:101" x14ac:dyDescent="0.15">
      <c r="A1393" s="76">
        <v>1307</v>
      </c>
      <c r="B1393" s="74" t="s">
        <v>244</v>
      </c>
      <c r="C1393" s="74">
        <v>12729078</v>
      </c>
      <c r="D1393" s="78" t="str">
        <f t="shared" ref="D1393:D1471" si="46">HYPERLINK(CONCATENATE("https://portal.dnb.de/opac.htm?method=simpleSearch&amp;cqlMode=true&amp;query=idn%3D",C1393))</f>
        <v>https://portal.dnb.de/opac.htm?method=simpleSearch&amp;cqlMode=true&amp;query=idn%3D12729078</v>
      </c>
      <c r="E1393" s="74" t="s">
        <v>8897</v>
      </c>
      <c r="F1393" s="74"/>
      <c r="G1393" s="76"/>
      <c r="H1393" s="77" t="s">
        <v>4</v>
      </c>
      <c r="I1393" s="76" t="s">
        <v>54</v>
      </c>
      <c r="J1393" s="77" t="s">
        <v>8516</v>
      </c>
      <c r="K1393" s="77" t="s">
        <v>8785</v>
      </c>
      <c r="L1393" s="76"/>
      <c r="M1393" s="76"/>
      <c r="N1393" s="76"/>
      <c r="O1393" s="76">
        <v>2</v>
      </c>
      <c r="P1393" s="76"/>
      <c r="Q1393" s="76"/>
      <c r="R1393" s="76"/>
      <c r="S1393" s="76"/>
      <c r="BD1393" s="99">
        <f t="shared" si="45"/>
        <v>0</v>
      </c>
      <c r="CC1393" s="99"/>
      <c r="CV1393" s="99"/>
      <c r="CW1393" s="63"/>
    </row>
    <row r="1394" spans="1:101" x14ac:dyDescent="0.15">
      <c r="A1394" s="76">
        <v>1308</v>
      </c>
      <c r="B1394" s="74" t="s">
        <v>245</v>
      </c>
      <c r="C1394" s="74">
        <v>1128100681</v>
      </c>
      <c r="D1394" s="78" t="str">
        <f t="shared" si="46"/>
        <v>https://portal.dnb.de/opac.htm?method=simpleSearch&amp;cqlMode=true&amp;query=idn%3D1128100681</v>
      </c>
      <c r="E1394" s="74" t="s">
        <v>241</v>
      </c>
      <c r="F1394" s="74"/>
      <c r="G1394" s="76"/>
      <c r="H1394" s="77"/>
      <c r="I1394" s="76"/>
      <c r="J1394" s="77"/>
      <c r="K1394" s="77"/>
      <c r="L1394" s="76"/>
      <c r="M1394" s="76"/>
      <c r="N1394" s="76"/>
      <c r="O1394" s="76"/>
      <c r="P1394" s="76"/>
      <c r="Q1394" s="76"/>
      <c r="R1394" s="76"/>
      <c r="S1394" s="76"/>
      <c r="BD1394" s="99">
        <f t="shared" si="45"/>
        <v>0</v>
      </c>
      <c r="CC1394" s="99"/>
      <c r="CV1394" s="99"/>
      <c r="CW1394" s="63"/>
    </row>
    <row r="1395" spans="1:101" ht="33.75" x14ac:dyDescent="0.15">
      <c r="A1395" s="76">
        <v>1309</v>
      </c>
      <c r="B1395" s="74" t="s">
        <v>246</v>
      </c>
      <c r="C1395" s="74">
        <v>16698991</v>
      </c>
      <c r="D1395" s="78" t="str">
        <f t="shared" si="46"/>
        <v>https://portal.dnb.de/opac.htm?method=simpleSearch&amp;cqlMode=true&amp;query=idn%3D16698991</v>
      </c>
      <c r="E1395" s="74" t="s">
        <v>8901</v>
      </c>
      <c r="F1395" s="74"/>
      <c r="G1395" s="76"/>
      <c r="H1395" s="77" t="s">
        <v>5</v>
      </c>
      <c r="I1395" s="76" t="s">
        <v>54</v>
      </c>
      <c r="J1395" s="77" t="s">
        <v>8516</v>
      </c>
      <c r="K1395" s="77" t="s">
        <v>8900</v>
      </c>
      <c r="L1395" s="76"/>
      <c r="M1395" s="76"/>
      <c r="N1395" s="76"/>
      <c r="O1395" s="76">
        <v>0</v>
      </c>
      <c r="P1395" s="76"/>
      <c r="Q1395" s="76"/>
      <c r="R1395" s="76"/>
      <c r="S1395" s="76"/>
      <c r="BD1395" s="99">
        <f t="shared" si="45"/>
        <v>0</v>
      </c>
      <c r="CC1395" s="99"/>
      <c r="CV1395" s="99"/>
      <c r="CW1395" s="63"/>
    </row>
    <row r="1396" spans="1:101" ht="22.5" x14ac:dyDescent="0.15">
      <c r="A1396" s="76">
        <v>1310</v>
      </c>
      <c r="B1396" s="74" t="s">
        <v>247</v>
      </c>
      <c r="C1396" s="74">
        <v>1128101424</v>
      </c>
      <c r="D1396" s="78" t="str">
        <f t="shared" si="46"/>
        <v>https://portal.dnb.de/opac.htm?method=simpleSearch&amp;cqlMode=true&amp;query=idn%3D1128101424</v>
      </c>
      <c r="E1396" s="74" t="s">
        <v>248</v>
      </c>
      <c r="F1396" s="74"/>
      <c r="G1396" s="76" t="s">
        <v>8515</v>
      </c>
      <c r="H1396" s="77" t="s">
        <v>5</v>
      </c>
      <c r="I1396" s="76" t="s">
        <v>54</v>
      </c>
      <c r="J1396" s="77" t="s">
        <v>8516</v>
      </c>
      <c r="K1396" s="77" t="s">
        <v>8647</v>
      </c>
      <c r="L1396" s="76"/>
      <c r="M1396" s="76"/>
      <c r="N1396" s="76"/>
      <c r="O1396" s="76">
        <v>1</v>
      </c>
      <c r="P1396" s="76"/>
      <c r="Q1396" s="76"/>
      <c r="R1396" s="76"/>
      <c r="S1396" s="76"/>
      <c r="Y1396" s="95" t="s">
        <v>9723</v>
      </c>
      <c r="AC1396" s="95" t="s">
        <v>9724</v>
      </c>
      <c r="AI1396" s="95" t="s">
        <v>9725</v>
      </c>
      <c r="AP1396" s="95" t="s">
        <v>8541</v>
      </c>
      <c r="AQ1396" s="96" t="s">
        <v>9727</v>
      </c>
      <c r="AR1396" s="95" t="s">
        <v>8541</v>
      </c>
      <c r="AW1396" s="95">
        <v>110</v>
      </c>
      <c r="BC1396" s="96" t="s">
        <v>9726</v>
      </c>
      <c r="BD1396" s="99">
        <f t="shared" si="45"/>
        <v>1.5</v>
      </c>
      <c r="CC1396" s="99"/>
      <c r="CM1396" s="95" t="s">
        <v>8541</v>
      </c>
      <c r="CV1396" s="99">
        <v>1.5</v>
      </c>
      <c r="CW1396" s="90" t="s">
        <v>9728</v>
      </c>
    </row>
    <row r="1397" spans="1:101" x14ac:dyDescent="0.15">
      <c r="A1397" s="76"/>
      <c r="B1397" s="74"/>
      <c r="C1397" s="74"/>
      <c r="D1397" s="78"/>
      <c r="E1397" s="74" t="s">
        <v>8902</v>
      </c>
      <c r="F1397" s="74"/>
      <c r="G1397" s="76"/>
      <c r="H1397" s="77" t="s">
        <v>48</v>
      </c>
      <c r="I1397" s="76" t="s">
        <v>54</v>
      </c>
      <c r="J1397" s="77" t="s">
        <v>8516</v>
      </c>
      <c r="K1397" s="77" t="s">
        <v>84</v>
      </c>
      <c r="L1397" s="76"/>
      <c r="M1397" s="76"/>
      <c r="N1397" s="76"/>
      <c r="O1397" s="76">
        <v>1</v>
      </c>
      <c r="P1397" s="76"/>
      <c r="Q1397" s="76"/>
      <c r="R1397" s="76"/>
      <c r="S1397" s="76"/>
      <c r="BD1397" s="99">
        <f t="shared" si="45"/>
        <v>0</v>
      </c>
      <c r="CC1397" s="99"/>
      <c r="CV1397" s="99"/>
      <c r="CW1397" s="63"/>
    </row>
    <row r="1398" spans="1:101" ht="22.5" x14ac:dyDescent="0.15">
      <c r="A1398" s="76"/>
      <c r="B1398" s="74"/>
      <c r="C1398" s="74"/>
      <c r="D1398" s="78"/>
      <c r="E1398" s="74" t="s">
        <v>8903</v>
      </c>
      <c r="F1398" s="74"/>
      <c r="G1398" s="76" t="s">
        <v>8515</v>
      </c>
      <c r="H1398" s="77" t="s">
        <v>5</v>
      </c>
      <c r="I1398" s="76" t="s">
        <v>54</v>
      </c>
      <c r="J1398" s="77" t="s">
        <v>8516</v>
      </c>
      <c r="K1398" s="77" t="s">
        <v>8688</v>
      </c>
      <c r="L1398" s="76"/>
      <c r="M1398" s="76"/>
      <c r="N1398" s="76"/>
      <c r="O1398" s="76">
        <v>1</v>
      </c>
      <c r="P1398" s="76"/>
      <c r="Q1398" s="76"/>
      <c r="R1398" s="76"/>
      <c r="S1398" s="76"/>
      <c r="BD1398" s="99">
        <f t="shared" si="45"/>
        <v>0</v>
      </c>
      <c r="CC1398" s="99"/>
      <c r="CV1398" s="99"/>
      <c r="CW1398" s="63"/>
    </row>
    <row r="1399" spans="1:101" ht="22.5" x14ac:dyDescent="0.15">
      <c r="A1399" s="76"/>
      <c r="B1399" s="74"/>
      <c r="C1399" s="74"/>
      <c r="D1399" s="78"/>
      <c r="E1399" s="74" t="s">
        <v>8904</v>
      </c>
      <c r="F1399" s="74"/>
      <c r="G1399" s="76" t="s">
        <v>8515</v>
      </c>
      <c r="H1399" s="77" t="s">
        <v>5</v>
      </c>
      <c r="I1399" s="76" t="s">
        <v>54</v>
      </c>
      <c r="J1399" s="77" t="s">
        <v>8516</v>
      </c>
      <c r="K1399" s="77" t="s">
        <v>8688</v>
      </c>
      <c r="L1399" s="76"/>
      <c r="M1399" s="76"/>
      <c r="N1399" s="76"/>
      <c r="O1399" s="76">
        <v>1</v>
      </c>
      <c r="P1399" s="76"/>
      <c r="Q1399" s="76"/>
      <c r="R1399" s="76"/>
      <c r="S1399" s="76"/>
      <c r="BD1399" s="99">
        <f t="shared" si="45"/>
        <v>0</v>
      </c>
      <c r="CC1399" s="99"/>
      <c r="CV1399" s="99"/>
      <c r="CW1399" s="63"/>
    </row>
    <row r="1400" spans="1:101" ht="22.5" x14ac:dyDescent="0.15">
      <c r="A1400" s="76"/>
      <c r="B1400" s="74"/>
      <c r="C1400" s="74"/>
      <c r="D1400" s="78"/>
      <c r="E1400" s="74" t="s">
        <v>8905</v>
      </c>
      <c r="F1400" s="74"/>
      <c r="G1400" s="76"/>
      <c r="H1400" s="77" t="s">
        <v>5</v>
      </c>
      <c r="I1400" s="76" t="s">
        <v>54</v>
      </c>
      <c r="J1400" s="77" t="s">
        <v>8516</v>
      </c>
      <c r="K1400" s="77" t="s">
        <v>8647</v>
      </c>
      <c r="L1400" s="76"/>
      <c r="M1400" s="76"/>
      <c r="N1400" s="76"/>
      <c r="O1400" s="76">
        <v>1</v>
      </c>
      <c r="P1400" s="76"/>
      <c r="Q1400" s="76"/>
      <c r="R1400" s="76"/>
      <c r="S1400" s="76"/>
      <c r="BD1400" s="99">
        <f t="shared" si="45"/>
        <v>0</v>
      </c>
      <c r="CC1400" s="99"/>
      <c r="CV1400" s="99"/>
      <c r="CW1400" s="63"/>
    </row>
    <row r="1401" spans="1:101" ht="22.5" x14ac:dyDescent="0.15">
      <c r="A1401" s="76"/>
      <c r="B1401" s="74"/>
      <c r="C1401" s="74"/>
      <c r="D1401" s="78"/>
      <c r="E1401" s="74" t="s">
        <v>8907</v>
      </c>
      <c r="F1401" s="74"/>
      <c r="G1401" s="76" t="s">
        <v>8515</v>
      </c>
      <c r="H1401" s="77" t="s">
        <v>5</v>
      </c>
      <c r="I1401" s="76" t="s">
        <v>54</v>
      </c>
      <c r="J1401" s="77" t="s">
        <v>8516</v>
      </c>
      <c r="K1401" s="77" t="s">
        <v>8688</v>
      </c>
      <c r="L1401" s="76"/>
      <c r="M1401" s="76"/>
      <c r="N1401" s="76"/>
      <c r="O1401" s="76">
        <v>0</v>
      </c>
      <c r="P1401" s="76"/>
      <c r="Q1401" s="76"/>
      <c r="R1401" s="76"/>
      <c r="S1401" s="76"/>
      <c r="BD1401" s="99">
        <f t="shared" si="45"/>
        <v>0</v>
      </c>
      <c r="CC1401" s="99"/>
      <c r="CV1401" s="99"/>
      <c r="CW1401" s="63"/>
    </row>
    <row r="1402" spans="1:101" ht="22.5" x14ac:dyDescent="0.15">
      <c r="A1402" s="76"/>
      <c r="B1402" s="74"/>
      <c r="C1402" s="74"/>
      <c r="D1402" s="78"/>
      <c r="E1402" s="74" t="s">
        <v>8908</v>
      </c>
      <c r="F1402" s="74"/>
      <c r="G1402" s="76" t="s">
        <v>8515</v>
      </c>
      <c r="H1402" s="77" t="s">
        <v>5</v>
      </c>
      <c r="I1402" s="76" t="s">
        <v>54</v>
      </c>
      <c r="J1402" s="77" t="s">
        <v>8516</v>
      </c>
      <c r="K1402" s="77" t="s">
        <v>8647</v>
      </c>
      <c r="L1402" s="76"/>
      <c r="M1402" s="76"/>
      <c r="N1402" s="76"/>
      <c r="O1402" s="76">
        <v>0</v>
      </c>
      <c r="P1402" s="76"/>
      <c r="Q1402" s="76"/>
      <c r="R1402" s="76"/>
      <c r="S1402" s="76"/>
      <c r="BD1402" s="99">
        <f t="shared" si="45"/>
        <v>0</v>
      </c>
      <c r="CC1402" s="99"/>
      <c r="CV1402" s="99"/>
      <c r="CW1402" s="63"/>
    </row>
    <row r="1403" spans="1:101" ht="22.5" x14ac:dyDescent="0.15">
      <c r="A1403" s="76"/>
      <c r="B1403" s="74"/>
      <c r="C1403" s="74"/>
      <c r="D1403" s="78"/>
      <c r="E1403" s="74" t="s">
        <v>8909</v>
      </c>
      <c r="F1403" s="74"/>
      <c r="G1403" s="76" t="s">
        <v>8515</v>
      </c>
      <c r="H1403" s="77" t="s">
        <v>5</v>
      </c>
      <c r="I1403" s="76" t="s">
        <v>54</v>
      </c>
      <c r="J1403" s="77" t="s">
        <v>8516</v>
      </c>
      <c r="K1403" s="77" t="s">
        <v>8688</v>
      </c>
      <c r="L1403" s="76"/>
      <c r="M1403" s="76"/>
      <c r="N1403" s="76"/>
      <c r="O1403" s="76">
        <v>0</v>
      </c>
      <c r="P1403" s="76"/>
      <c r="Q1403" s="76"/>
      <c r="R1403" s="76"/>
      <c r="S1403" s="76"/>
      <c r="BD1403" s="99">
        <f t="shared" si="45"/>
        <v>0</v>
      </c>
      <c r="CC1403" s="99"/>
      <c r="CV1403" s="99"/>
      <c r="CW1403" s="63"/>
    </row>
    <row r="1404" spans="1:101" ht="33.75" x14ac:dyDescent="0.15">
      <c r="A1404" s="76"/>
      <c r="B1404" s="74"/>
      <c r="C1404" s="74"/>
      <c r="D1404" s="78"/>
      <c r="E1404" s="74" t="s">
        <v>8910</v>
      </c>
      <c r="F1404" s="74"/>
      <c r="G1404" s="76" t="s">
        <v>8515</v>
      </c>
      <c r="H1404" s="77" t="s">
        <v>5</v>
      </c>
      <c r="I1404" s="76" t="s">
        <v>54</v>
      </c>
      <c r="J1404" s="77" t="s">
        <v>8516</v>
      </c>
      <c r="K1404" s="77" t="s">
        <v>8669</v>
      </c>
      <c r="L1404" s="76"/>
      <c r="M1404" s="76"/>
      <c r="N1404" s="76"/>
      <c r="O1404" s="76">
        <v>0</v>
      </c>
      <c r="P1404" s="76"/>
      <c r="Q1404" s="76"/>
      <c r="R1404" s="76"/>
      <c r="S1404" s="76"/>
      <c r="BD1404" s="99">
        <f t="shared" si="45"/>
        <v>0</v>
      </c>
      <c r="CC1404" s="99"/>
      <c r="CV1404" s="99"/>
      <c r="CW1404" s="63"/>
    </row>
    <row r="1405" spans="1:101" ht="33.75" x14ac:dyDescent="0.15">
      <c r="A1405" s="76"/>
      <c r="B1405" s="74"/>
      <c r="C1405" s="74"/>
      <c r="D1405" s="78"/>
      <c r="E1405" s="74" t="s">
        <v>8911</v>
      </c>
      <c r="F1405" s="74"/>
      <c r="G1405" s="76" t="s">
        <v>8515</v>
      </c>
      <c r="H1405" s="77" t="s">
        <v>5</v>
      </c>
      <c r="I1405" s="76" t="s">
        <v>54</v>
      </c>
      <c r="J1405" s="77" t="s">
        <v>8516</v>
      </c>
      <c r="K1405" s="77" t="s">
        <v>8900</v>
      </c>
      <c r="L1405" s="76"/>
      <c r="M1405" s="76"/>
      <c r="N1405" s="76"/>
      <c r="O1405" s="76">
        <v>0</v>
      </c>
      <c r="P1405" s="76"/>
      <c r="Q1405" s="76"/>
      <c r="R1405" s="76"/>
      <c r="S1405" s="76"/>
      <c r="BD1405" s="99">
        <f t="shared" si="45"/>
        <v>0</v>
      </c>
      <c r="CC1405" s="99"/>
      <c r="CV1405" s="99"/>
      <c r="CW1405" s="63"/>
    </row>
    <row r="1406" spans="1:101" ht="33.75" x14ac:dyDescent="0.15">
      <c r="A1406" s="76"/>
      <c r="B1406" s="74"/>
      <c r="C1406" s="74"/>
      <c r="D1406" s="78"/>
      <c r="E1406" s="74" t="s">
        <v>8912</v>
      </c>
      <c r="F1406" s="74"/>
      <c r="G1406" s="76" t="s">
        <v>8515</v>
      </c>
      <c r="H1406" s="77" t="s">
        <v>5</v>
      </c>
      <c r="I1406" s="76" t="s">
        <v>54</v>
      </c>
      <c r="J1406" s="77" t="s">
        <v>8516</v>
      </c>
      <c r="K1406" s="77" t="s">
        <v>8669</v>
      </c>
      <c r="L1406" s="76"/>
      <c r="M1406" s="76"/>
      <c r="N1406" s="76"/>
      <c r="O1406" s="76">
        <v>0</v>
      </c>
      <c r="P1406" s="76"/>
      <c r="Q1406" s="76"/>
      <c r="R1406" s="76"/>
      <c r="S1406" s="76"/>
      <c r="BD1406" s="99">
        <f t="shared" si="45"/>
        <v>0</v>
      </c>
      <c r="CC1406" s="99"/>
      <c r="CV1406" s="99"/>
      <c r="CW1406" s="63"/>
    </row>
    <row r="1407" spans="1:101" ht="33.75" x14ac:dyDescent="0.15">
      <c r="A1407" s="76"/>
      <c r="B1407" s="74"/>
      <c r="C1407" s="74"/>
      <c r="D1407" s="78"/>
      <c r="E1407" s="74" t="s">
        <v>8913</v>
      </c>
      <c r="F1407" s="74"/>
      <c r="G1407" s="76" t="s">
        <v>8515</v>
      </c>
      <c r="H1407" s="77" t="s">
        <v>5</v>
      </c>
      <c r="I1407" s="76" t="s">
        <v>54</v>
      </c>
      <c r="J1407" s="77" t="s">
        <v>8516</v>
      </c>
      <c r="K1407" s="77" t="s">
        <v>8900</v>
      </c>
      <c r="L1407" s="76"/>
      <c r="M1407" s="76"/>
      <c r="N1407" s="76"/>
      <c r="O1407" s="76">
        <v>0</v>
      </c>
      <c r="P1407" s="76"/>
      <c r="Q1407" s="76"/>
      <c r="R1407" s="76"/>
      <c r="S1407" s="76"/>
      <c r="BD1407" s="99">
        <f t="shared" si="45"/>
        <v>0</v>
      </c>
      <c r="CC1407" s="99"/>
      <c r="CV1407" s="99"/>
      <c r="CW1407" s="63"/>
    </row>
    <row r="1408" spans="1:101" ht="33.75" x14ac:dyDescent="0.15">
      <c r="A1408" s="76"/>
      <c r="B1408" s="74"/>
      <c r="C1408" s="74"/>
      <c r="D1408" s="78"/>
      <c r="E1408" s="74" t="s">
        <v>8914</v>
      </c>
      <c r="F1408" s="74"/>
      <c r="G1408" s="76" t="s">
        <v>8515</v>
      </c>
      <c r="H1408" s="77" t="s">
        <v>5</v>
      </c>
      <c r="I1408" s="76" t="s">
        <v>54</v>
      </c>
      <c r="J1408" s="77" t="s">
        <v>8516</v>
      </c>
      <c r="K1408" s="77" t="s">
        <v>8669</v>
      </c>
      <c r="L1408" s="76"/>
      <c r="M1408" s="76"/>
      <c r="N1408" s="76"/>
      <c r="O1408" s="76">
        <v>0</v>
      </c>
      <c r="P1408" s="76"/>
      <c r="Q1408" s="76"/>
      <c r="R1408" s="76"/>
      <c r="S1408" s="76"/>
      <c r="BD1408" s="99">
        <f t="shared" si="45"/>
        <v>0</v>
      </c>
      <c r="CC1408" s="99"/>
      <c r="CV1408" s="99"/>
      <c r="CW1408" s="63"/>
    </row>
    <row r="1409" spans="1:101" ht="33.75" x14ac:dyDescent="0.15">
      <c r="A1409" s="76"/>
      <c r="B1409" s="74"/>
      <c r="C1409" s="74"/>
      <c r="D1409" s="78"/>
      <c r="E1409" s="74" t="s">
        <v>8915</v>
      </c>
      <c r="F1409" s="74"/>
      <c r="G1409" s="76" t="s">
        <v>8515</v>
      </c>
      <c r="H1409" s="77" t="s">
        <v>5</v>
      </c>
      <c r="I1409" s="76" t="s">
        <v>54</v>
      </c>
      <c r="J1409" s="77" t="s">
        <v>8516</v>
      </c>
      <c r="K1409" s="77" t="s">
        <v>8900</v>
      </c>
      <c r="L1409" s="76"/>
      <c r="M1409" s="76"/>
      <c r="N1409" s="76"/>
      <c r="O1409" s="76">
        <v>0</v>
      </c>
      <c r="P1409" s="76"/>
      <c r="Q1409" s="76"/>
      <c r="R1409" s="76"/>
      <c r="S1409" s="76"/>
      <c r="BD1409" s="99">
        <f t="shared" si="45"/>
        <v>0</v>
      </c>
      <c r="CC1409" s="99"/>
      <c r="CV1409" s="99"/>
      <c r="CW1409" s="63"/>
    </row>
    <row r="1410" spans="1:101" ht="33.75" x14ac:dyDescent="0.15">
      <c r="A1410" s="76"/>
      <c r="B1410" s="74"/>
      <c r="C1410" s="74"/>
      <c r="D1410" s="78"/>
      <c r="E1410" s="74" t="s">
        <v>8916</v>
      </c>
      <c r="F1410" s="74"/>
      <c r="G1410" s="76"/>
      <c r="H1410" s="77" t="s">
        <v>5</v>
      </c>
      <c r="I1410" s="76" t="s">
        <v>54</v>
      </c>
      <c r="J1410" s="77" t="s">
        <v>8516</v>
      </c>
      <c r="K1410" s="77" t="s">
        <v>8669</v>
      </c>
      <c r="L1410" s="76"/>
      <c r="M1410" s="76"/>
      <c r="N1410" s="76"/>
      <c r="O1410" s="76">
        <v>0</v>
      </c>
      <c r="P1410" s="76"/>
      <c r="Q1410" s="76"/>
      <c r="R1410" s="76"/>
      <c r="S1410" s="76"/>
      <c r="BD1410" s="99">
        <f t="shared" si="45"/>
        <v>0</v>
      </c>
      <c r="CC1410" s="99"/>
      <c r="CV1410" s="99"/>
      <c r="CW1410" s="63"/>
    </row>
    <row r="1411" spans="1:101" ht="33.75" x14ac:dyDescent="0.15">
      <c r="A1411" s="76"/>
      <c r="B1411" s="74"/>
      <c r="C1411" s="74"/>
      <c r="D1411" s="78"/>
      <c r="E1411" s="74" t="s">
        <v>8917</v>
      </c>
      <c r="F1411" s="74"/>
      <c r="G1411" s="76" t="s">
        <v>8515</v>
      </c>
      <c r="H1411" s="77" t="s">
        <v>5</v>
      </c>
      <c r="I1411" s="76" t="s">
        <v>54</v>
      </c>
      <c r="J1411" s="77" t="s">
        <v>8516</v>
      </c>
      <c r="K1411" s="77" t="s">
        <v>8900</v>
      </c>
      <c r="L1411" s="76"/>
      <c r="M1411" s="76"/>
      <c r="N1411" s="76"/>
      <c r="O1411" s="76">
        <v>0</v>
      </c>
      <c r="P1411" s="76"/>
      <c r="Q1411" s="76"/>
      <c r="R1411" s="76"/>
      <c r="S1411" s="76"/>
      <c r="BD1411" s="99">
        <f t="shared" ref="BD1411:BD1474" si="47">CC1411+CV1411</f>
        <v>0</v>
      </c>
      <c r="CC1411" s="99"/>
      <c r="CV1411" s="99"/>
      <c r="CW1411" s="63"/>
    </row>
    <row r="1412" spans="1:101" ht="56.25" x14ac:dyDescent="0.15">
      <c r="A1412" s="76">
        <v>1311</v>
      </c>
      <c r="B1412" s="74" t="s">
        <v>261</v>
      </c>
      <c r="C1412" s="74">
        <v>1137164409</v>
      </c>
      <c r="D1412" s="78" t="str">
        <f t="shared" si="46"/>
        <v>https://portal.dnb.de/opac.htm?method=simpleSearch&amp;cqlMode=true&amp;query=idn%3D1137164409</v>
      </c>
      <c r="E1412" s="74" t="s">
        <v>262</v>
      </c>
      <c r="F1412" s="79" t="s">
        <v>10520</v>
      </c>
      <c r="G1412" s="76"/>
      <c r="H1412" s="77"/>
      <c r="I1412" s="76" t="s">
        <v>54</v>
      </c>
      <c r="J1412" s="77"/>
      <c r="K1412" s="77"/>
      <c r="L1412" s="76"/>
      <c r="M1412" s="76"/>
      <c r="N1412" s="76"/>
      <c r="O1412" s="76"/>
      <c r="P1412" s="76"/>
      <c r="Q1412" s="76"/>
      <c r="R1412" s="76"/>
      <c r="S1412" s="76"/>
      <c r="Y1412" s="95" t="s">
        <v>9723</v>
      </c>
      <c r="AB1412" s="95" t="s">
        <v>8541</v>
      </c>
      <c r="AC1412" s="95" t="s">
        <v>9739</v>
      </c>
      <c r="AI1412" s="95" t="s">
        <v>9725</v>
      </c>
      <c r="AP1412" s="95" t="s">
        <v>8541</v>
      </c>
      <c r="AW1412" s="95">
        <v>110</v>
      </c>
      <c r="BC1412" s="96" t="s">
        <v>9726</v>
      </c>
      <c r="BD1412" s="99">
        <f t="shared" si="47"/>
        <v>2</v>
      </c>
      <c r="BG1412" s="95" t="s">
        <v>8541</v>
      </c>
      <c r="CC1412" s="99"/>
      <c r="CM1412" s="95" t="s">
        <v>8541</v>
      </c>
      <c r="CQ1412" s="95" t="s">
        <v>8541</v>
      </c>
      <c r="CV1412" s="99">
        <v>2</v>
      </c>
      <c r="CW1412" s="90" t="s">
        <v>9754</v>
      </c>
    </row>
    <row r="1413" spans="1:101" x14ac:dyDescent="0.15">
      <c r="A1413" s="76">
        <v>1312</v>
      </c>
      <c r="B1413" s="74" t="s">
        <v>268</v>
      </c>
      <c r="C1413" s="74">
        <v>994200811</v>
      </c>
      <c r="D1413" s="78" t="str">
        <f t="shared" si="46"/>
        <v>https://portal.dnb.de/opac.htm?method=simpleSearch&amp;cqlMode=true&amp;query=idn%3D994200811</v>
      </c>
      <c r="E1413" s="74" t="s">
        <v>269</v>
      </c>
      <c r="F1413" s="74"/>
      <c r="G1413" s="76"/>
      <c r="H1413" s="77"/>
      <c r="I1413" s="76"/>
      <c r="J1413" s="77"/>
      <c r="K1413" s="77"/>
      <c r="L1413" s="76"/>
      <c r="M1413" s="76"/>
      <c r="N1413" s="76"/>
      <c r="O1413" s="76"/>
      <c r="P1413" s="76"/>
      <c r="Q1413" s="76"/>
      <c r="R1413" s="76"/>
      <c r="S1413" s="76"/>
      <c r="BD1413" s="99">
        <f t="shared" si="47"/>
        <v>0</v>
      </c>
      <c r="CC1413" s="99"/>
      <c r="CV1413" s="99"/>
      <c r="CW1413" s="63"/>
    </row>
    <row r="1414" spans="1:101" x14ac:dyDescent="0.15">
      <c r="A1414" s="76">
        <v>1313</v>
      </c>
      <c r="B1414" s="74" t="s">
        <v>270</v>
      </c>
      <c r="C1414" s="74">
        <v>994219512</v>
      </c>
      <c r="D1414" s="78" t="str">
        <f t="shared" si="46"/>
        <v>https://portal.dnb.de/opac.htm?method=simpleSearch&amp;cqlMode=true&amp;query=idn%3D994219512</v>
      </c>
      <c r="E1414" s="74" t="s">
        <v>271</v>
      </c>
      <c r="F1414" s="74"/>
      <c r="G1414" s="76"/>
      <c r="H1414" s="77"/>
      <c r="I1414" s="76"/>
      <c r="J1414" s="77"/>
      <c r="K1414" s="77"/>
      <c r="L1414" s="76"/>
      <c r="M1414" s="76"/>
      <c r="N1414" s="76"/>
      <c r="O1414" s="76"/>
      <c r="P1414" s="76"/>
      <c r="Q1414" s="76"/>
      <c r="R1414" s="76"/>
      <c r="S1414" s="76"/>
      <c r="BD1414" s="99">
        <f t="shared" si="47"/>
        <v>0</v>
      </c>
      <c r="CC1414" s="99"/>
      <c r="CV1414" s="99"/>
      <c r="CW1414" s="63"/>
    </row>
    <row r="1415" spans="1:101" x14ac:dyDescent="0.15">
      <c r="A1415" s="76">
        <v>1314</v>
      </c>
      <c r="B1415" s="74" t="s">
        <v>275</v>
      </c>
      <c r="C1415" s="74">
        <v>1002269717</v>
      </c>
      <c r="D1415" s="78" t="str">
        <f t="shared" si="46"/>
        <v>https://portal.dnb.de/opac.htm?method=simpleSearch&amp;cqlMode=true&amp;query=idn%3D1002269717</v>
      </c>
      <c r="E1415" s="74" t="s">
        <v>276</v>
      </c>
      <c r="F1415" s="74"/>
      <c r="G1415" s="76"/>
      <c r="H1415" s="77"/>
      <c r="I1415" s="76"/>
      <c r="J1415" s="77"/>
      <c r="K1415" s="77"/>
      <c r="L1415" s="76"/>
      <c r="M1415" s="76"/>
      <c r="N1415" s="76"/>
      <c r="O1415" s="76"/>
      <c r="P1415" s="76"/>
      <c r="Q1415" s="76"/>
      <c r="R1415" s="76"/>
      <c r="S1415" s="76"/>
      <c r="BD1415" s="99">
        <f t="shared" si="47"/>
        <v>0</v>
      </c>
      <c r="CC1415" s="99"/>
      <c r="CV1415" s="99"/>
      <c r="CW1415" s="63"/>
    </row>
    <row r="1416" spans="1:101" x14ac:dyDescent="0.15">
      <c r="A1416" s="76">
        <v>1315</v>
      </c>
      <c r="B1416" s="74" t="s">
        <v>282</v>
      </c>
      <c r="C1416" s="74" t="s">
        <v>283</v>
      </c>
      <c r="D1416" s="78" t="str">
        <f t="shared" si="46"/>
        <v>https://portal.dnb.de/opac.htm?method=simpleSearch&amp;cqlMode=true&amp;query=idn%3D100166941X</v>
      </c>
      <c r="E1416" s="74" t="s">
        <v>284</v>
      </c>
      <c r="F1416" s="74"/>
      <c r="G1416" s="76"/>
      <c r="H1416" s="77"/>
      <c r="I1416" s="76"/>
      <c r="J1416" s="77"/>
      <c r="K1416" s="77"/>
      <c r="L1416" s="76"/>
      <c r="M1416" s="76"/>
      <c r="N1416" s="76"/>
      <c r="O1416" s="76"/>
      <c r="P1416" s="76"/>
      <c r="Q1416" s="76"/>
      <c r="R1416" s="76"/>
      <c r="S1416" s="76"/>
      <c r="BD1416" s="99">
        <f t="shared" si="47"/>
        <v>0</v>
      </c>
      <c r="CC1416" s="99"/>
      <c r="CV1416" s="99"/>
      <c r="CW1416" s="63"/>
    </row>
    <row r="1417" spans="1:101" x14ac:dyDescent="0.15">
      <c r="A1417" s="76">
        <v>1316</v>
      </c>
      <c r="B1417" s="74" t="s">
        <v>294</v>
      </c>
      <c r="C1417" s="74">
        <v>999899732</v>
      </c>
      <c r="D1417" s="78" t="str">
        <f t="shared" si="46"/>
        <v>https://portal.dnb.de/opac.htm?method=simpleSearch&amp;cqlMode=true&amp;query=idn%3D999899732</v>
      </c>
      <c r="E1417" s="74" t="s">
        <v>295</v>
      </c>
      <c r="F1417" s="74"/>
      <c r="G1417" s="76"/>
      <c r="H1417" s="77"/>
      <c r="I1417" s="76"/>
      <c r="J1417" s="77"/>
      <c r="K1417" s="77"/>
      <c r="L1417" s="76"/>
      <c r="M1417" s="76"/>
      <c r="N1417" s="76"/>
      <c r="O1417" s="76"/>
      <c r="P1417" s="76"/>
      <c r="Q1417" s="76"/>
      <c r="R1417" s="76"/>
      <c r="S1417" s="76"/>
      <c r="BD1417" s="99">
        <f t="shared" si="47"/>
        <v>0</v>
      </c>
      <c r="CC1417" s="99"/>
      <c r="CV1417" s="99"/>
      <c r="CW1417" s="63"/>
    </row>
    <row r="1418" spans="1:101" x14ac:dyDescent="0.15">
      <c r="A1418" s="76">
        <v>1317</v>
      </c>
      <c r="B1418" s="74" t="s">
        <v>300</v>
      </c>
      <c r="C1418" s="74">
        <v>994368453</v>
      </c>
      <c r="D1418" s="78" t="str">
        <f t="shared" si="46"/>
        <v>https://portal.dnb.de/opac.htm?method=simpleSearch&amp;cqlMode=true&amp;query=idn%3D994368453</v>
      </c>
      <c r="E1418" s="74" t="s">
        <v>301</v>
      </c>
      <c r="F1418" s="74"/>
      <c r="G1418" s="76"/>
      <c r="H1418" s="77"/>
      <c r="I1418" s="76"/>
      <c r="J1418" s="77"/>
      <c r="K1418" s="77"/>
      <c r="L1418" s="76"/>
      <c r="M1418" s="76"/>
      <c r="N1418" s="76"/>
      <c r="O1418" s="76"/>
      <c r="P1418" s="76"/>
      <c r="Q1418" s="76"/>
      <c r="R1418" s="76"/>
      <c r="S1418" s="76"/>
      <c r="BD1418" s="99">
        <f t="shared" si="47"/>
        <v>0</v>
      </c>
      <c r="CC1418" s="99"/>
      <c r="CV1418" s="99"/>
      <c r="CW1418" s="63"/>
    </row>
    <row r="1419" spans="1:101" x14ac:dyDescent="0.15">
      <c r="A1419" s="76">
        <v>1318</v>
      </c>
      <c r="B1419" s="74" t="s">
        <v>302</v>
      </c>
      <c r="C1419" s="74">
        <v>999828282</v>
      </c>
      <c r="D1419" s="78" t="str">
        <f t="shared" si="46"/>
        <v>https://portal.dnb.de/opac.htm?method=simpleSearch&amp;cqlMode=true&amp;query=idn%3D999828282</v>
      </c>
      <c r="E1419" s="74" t="s">
        <v>303</v>
      </c>
      <c r="F1419" s="74"/>
      <c r="G1419" s="76"/>
      <c r="H1419" s="77"/>
      <c r="I1419" s="76"/>
      <c r="J1419" s="77"/>
      <c r="K1419" s="77"/>
      <c r="L1419" s="76"/>
      <c r="M1419" s="76"/>
      <c r="N1419" s="76"/>
      <c r="O1419" s="76"/>
      <c r="P1419" s="76"/>
      <c r="Q1419" s="76"/>
      <c r="R1419" s="76"/>
      <c r="S1419" s="76"/>
      <c r="BD1419" s="99">
        <f t="shared" si="47"/>
        <v>0</v>
      </c>
      <c r="CC1419" s="99"/>
      <c r="CV1419" s="99"/>
      <c r="CW1419" s="63"/>
    </row>
    <row r="1420" spans="1:101" x14ac:dyDescent="0.15">
      <c r="A1420" s="76">
        <v>1319</v>
      </c>
      <c r="B1420" s="74" t="s">
        <v>319</v>
      </c>
      <c r="C1420" s="74">
        <v>994509383</v>
      </c>
      <c r="D1420" s="78" t="str">
        <f t="shared" si="46"/>
        <v>https://portal.dnb.de/opac.htm?method=simpleSearch&amp;cqlMode=true&amp;query=idn%3D994509383</v>
      </c>
      <c r="E1420" s="74" t="s">
        <v>10087</v>
      </c>
      <c r="F1420" s="74"/>
      <c r="G1420" s="76"/>
      <c r="H1420" s="77"/>
      <c r="I1420" s="76"/>
      <c r="J1420" s="77"/>
      <c r="K1420" s="77"/>
      <c r="L1420" s="76"/>
      <c r="M1420" s="76"/>
      <c r="N1420" s="76"/>
      <c r="O1420" s="76"/>
      <c r="P1420" s="76"/>
      <c r="Q1420" s="76"/>
      <c r="R1420" s="76"/>
      <c r="S1420" s="76"/>
      <c r="BD1420" s="99">
        <f t="shared" si="47"/>
        <v>0</v>
      </c>
      <c r="CC1420" s="99"/>
      <c r="CV1420" s="99"/>
      <c r="CW1420" s="63"/>
    </row>
    <row r="1421" spans="1:101" ht="90" x14ac:dyDescent="0.15">
      <c r="A1421" s="76">
        <v>1320</v>
      </c>
      <c r="B1421" s="74" t="s">
        <v>321</v>
      </c>
      <c r="C1421" s="74">
        <v>994509251</v>
      </c>
      <c r="D1421" s="78" t="str">
        <f t="shared" si="46"/>
        <v>https://portal.dnb.de/opac.htm?method=simpleSearch&amp;cqlMode=true&amp;query=idn%3D994509251</v>
      </c>
      <c r="E1421" s="74" t="s">
        <v>320</v>
      </c>
      <c r="F1421" s="74"/>
      <c r="G1421" s="76"/>
      <c r="H1421" s="77"/>
      <c r="I1421" s="76" t="s">
        <v>53</v>
      </c>
      <c r="J1421" s="77"/>
      <c r="K1421" s="77"/>
      <c r="L1421" s="76"/>
      <c r="M1421" s="76"/>
      <c r="N1421" s="76"/>
      <c r="O1421" s="76"/>
      <c r="P1421" s="76"/>
      <c r="Q1421" s="76"/>
      <c r="R1421" s="76"/>
      <c r="S1421" s="76"/>
      <c r="Y1421" s="95" t="s">
        <v>9736</v>
      </c>
      <c r="AC1421" s="95" t="s">
        <v>9737</v>
      </c>
      <c r="AD1421" s="95" t="s">
        <v>8541</v>
      </c>
      <c r="AI1421" s="95" t="s">
        <v>9725</v>
      </c>
      <c r="AW1421" s="95">
        <v>45</v>
      </c>
      <c r="BC1421" s="96" t="s">
        <v>9726</v>
      </c>
      <c r="BD1421" s="99">
        <f t="shared" si="47"/>
        <v>3</v>
      </c>
      <c r="BJ1421" s="95" t="s">
        <v>9741</v>
      </c>
      <c r="BK1421" s="95" t="s">
        <v>8541</v>
      </c>
      <c r="BP1421" s="69" t="s">
        <v>8541</v>
      </c>
      <c r="BR1421" s="95" t="s">
        <v>8541</v>
      </c>
      <c r="CB1421" s="95" t="s">
        <v>8541</v>
      </c>
      <c r="CC1421" s="99">
        <v>3</v>
      </c>
      <c r="CD1421" s="90" t="s">
        <v>10088</v>
      </c>
      <c r="CV1421" s="99"/>
      <c r="CW1421" s="63"/>
    </row>
    <row r="1422" spans="1:101" ht="67.5" x14ac:dyDescent="0.15">
      <c r="A1422" s="76">
        <v>1321</v>
      </c>
      <c r="B1422" s="74" t="s">
        <v>322</v>
      </c>
      <c r="C1422" s="74">
        <v>1000047601</v>
      </c>
      <c r="D1422" s="78" t="str">
        <f t="shared" si="46"/>
        <v>https://portal.dnb.de/opac.htm?method=simpleSearch&amp;cqlMode=true&amp;query=idn%3D1000047601</v>
      </c>
      <c r="E1422" s="74" t="s">
        <v>323</v>
      </c>
      <c r="F1422" s="74"/>
      <c r="G1422" s="76"/>
      <c r="H1422" s="77" t="s">
        <v>5</v>
      </c>
      <c r="I1422" s="76" t="s">
        <v>55</v>
      </c>
      <c r="J1422" s="77" t="s">
        <v>8516</v>
      </c>
      <c r="K1422" s="77" t="s">
        <v>8520</v>
      </c>
      <c r="L1422" s="76"/>
      <c r="M1422" s="76"/>
      <c r="N1422" s="76" t="s">
        <v>8660</v>
      </c>
      <c r="O1422" s="76">
        <v>2</v>
      </c>
      <c r="P1422" s="76" t="s">
        <v>46</v>
      </c>
      <c r="Q1422" s="76"/>
      <c r="R1422" s="76"/>
      <c r="S1422" s="76"/>
      <c r="Y1422" s="95" t="s">
        <v>9723</v>
      </c>
      <c r="AA1422" s="95" t="s">
        <v>8541</v>
      </c>
      <c r="AC1422" s="95" t="s">
        <v>9730</v>
      </c>
      <c r="AI1422" s="95" t="s">
        <v>9725</v>
      </c>
      <c r="AW1422" s="95">
        <v>60</v>
      </c>
      <c r="BC1422" s="96" t="s">
        <v>9726</v>
      </c>
      <c r="BD1422" s="99">
        <f t="shared" si="47"/>
        <v>5</v>
      </c>
      <c r="BH1422" s="95" t="s">
        <v>8541</v>
      </c>
      <c r="BP1422" s="69" t="s">
        <v>8541</v>
      </c>
      <c r="BQ1422" s="95" t="s">
        <v>8541</v>
      </c>
      <c r="BR1422" s="95" t="s">
        <v>8541</v>
      </c>
      <c r="BS1422" s="95" t="s">
        <v>8541</v>
      </c>
      <c r="CC1422" s="99">
        <v>3</v>
      </c>
      <c r="CD1422" s="90" t="s">
        <v>10394</v>
      </c>
      <c r="CE1422" s="95" t="s">
        <v>8541</v>
      </c>
      <c r="CH1422" s="95" t="s">
        <v>8541</v>
      </c>
      <c r="CM1422" s="95" t="s">
        <v>8541</v>
      </c>
      <c r="CQ1422" s="95" t="s">
        <v>8541</v>
      </c>
      <c r="CV1422" s="99">
        <v>2</v>
      </c>
      <c r="CW1422" s="90" t="s">
        <v>10393</v>
      </c>
    </row>
    <row r="1423" spans="1:101" ht="33.75" x14ac:dyDescent="0.15">
      <c r="A1423" s="76">
        <v>1322</v>
      </c>
      <c r="B1423" s="74" t="s">
        <v>329</v>
      </c>
      <c r="C1423" s="74">
        <v>994197233</v>
      </c>
      <c r="D1423" s="78" t="str">
        <f t="shared" si="46"/>
        <v>https://portal.dnb.de/opac.htm?method=simpleSearch&amp;cqlMode=true&amp;query=idn%3D994197233</v>
      </c>
      <c r="E1423" s="74" t="s">
        <v>330</v>
      </c>
      <c r="F1423" s="74"/>
      <c r="G1423" s="76" t="s">
        <v>8515</v>
      </c>
      <c r="H1423" s="77" t="s">
        <v>8547</v>
      </c>
      <c r="I1423" s="76" t="s">
        <v>55</v>
      </c>
      <c r="J1423" s="77" t="s">
        <v>8516</v>
      </c>
      <c r="K1423" s="77" t="s">
        <v>8667</v>
      </c>
      <c r="L1423" s="76"/>
      <c r="M1423" s="76" t="s">
        <v>37</v>
      </c>
      <c r="N1423" s="76" t="s">
        <v>40</v>
      </c>
      <c r="O1423" s="76">
        <v>1</v>
      </c>
      <c r="P1423" s="76"/>
      <c r="Q1423" s="76"/>
      <c r="R1423" s="76"/>
      <c r="S1423" s="76"/>
      <c r="BD1423" s="99">
        <f t="shared" si="47"/>
        <v>0</v>
      </c>
      <c r="CC1423" s="99"/>
      <c r="CV1423" s="99"/>
      <c r="CW1423" s="63"/>
    </row>
    <row r="1424" spans="1:101" ht="22.5" x14ac:dyDescent="0.15">
      <c r="A1424" s="76">
        <v>1323</v>
      </c>
      <c r="B1424" s="74" t="s">
        <v>337</v>
      </c>
      <c r="C1424" s="74">
        <v>999870556</v>
      </c>
      <c r="D1424" s="78" t="str">
        <f t="shared" si="46"/>
        <v>https://portal.dnb.de/opac.htm?method=simpleSearch&amp;cqlMode=true&amp;query=idn%3D999870556</v>
      </c>
      <c r="E1424" s="74" t="s">
        <v>338</v>
      </c>
      <c r="F1424" s="74"/>
      <c r="G1424" s="76"/>
      <c r="H1424" s="77" t="s">
        <v>8547</v>
      </c>
      <c r="I1424" s="76" t="s">
        <v>54</v>
      </c>
      <c r="J1424" s="77" t="s">
        <v>8516</v>
      </c>
      <c r="K1424" s="77"/>
      <c r="L1424" s="76"/>
      <c r="M1424" s="76" t="s">
        <v>38</v>
      </c>
      <c r="N1424" s="76" t="s">
        <v>9183</v>
      </c>
      <c r="O1424" s="76">
        <v>0</v>
      </c>
      <c r="P1424" s="76"/>
      <c r="Q1424" s="76"/>
      <c r="R1424" s="76"/>
      <c r="S1424" s="76"/>
      <c r="BD1424" s="99">
        <f t="shared" si="47"/>
        <v>0</v>
      </c>
      <c r="CC1424" s="99"/>
      <c r="CV1424" s="99"/>
      <c r="CW1424" s="63"/>
    </row>
    <row r="1425" spans="1:101" x14ac:dyDescent="0.15">
      <c r="A1425" s="76">
        <v>1324</v>
      </c>
      <c r="B1425" s="74" t="s">
        <v>346</v>
      </c>
      <c r="C1425" s="74">
        <v>995881367</v>
      </c>
      <c r="D1425" s="82" t="str">
        <f>HYPERLINK(CONCATENATE("https://portal.dnb.de/opac.htm?method=simpleSearch&amp;cqlMode=true&amp;query=idn%3D",C1425))</f>
        <v>https://portal.dnb.de/opac.htm?method=simpleSearch&amp;cqlMode=true&amp;query=idn%3D995881367</v>
      </c>
      <c r="E1425" s="74" t="s">
        <v>347</v>
      </c>
      <c r="F1425" s="74"/>
      <c r="G1425" s="76" t="s">
        <v>8515</v>
      </c>
      <c r="H1425" s="77" t="s">
        <v>5</v>
      </c>
      <c r="I1425" s="76" t="s">
        <v>54</v>
      </c>
      <c r="J1425" s="77" t="s">
        <v>58</v>
      </c>
      <c r="K1425" s="77"/>
      <c r="L1425" s="76"/>
      <c r="M1425" s="76" t="s">
        <v>38</v>
      </c>
      <c r="N1425" s="76" t="s">
        <v>40</v>
      </c>
      <c r="O1425" s="76">
        <v>0</v>
      </c>
      <c r="P1425" s="76"/>
      <c r="Q1425" s="76"/>
      <c r="R1425" s="76"/>
      <c r="S1425" s="76"/>
      <c r="BD1425" s="99">
        <f t="shared" si="47"/>
        <v>0</v>
      </c>
      <c r="CC1425" s="99"/>
      <c r="CV1425" s="99"/>
      <c r="CW1425" s="63"/>
    </row>
    <row r="1426" spans="1:101" x14ac:dyDescent="0.15">
      <c r="A1426" s="76">
        <v>1325</v>
      </c>
      <c r="B1426" s="74" t="s">
        <v>365</v>
      </c>
      <c r="C1426" s="74">
        <v>995411727</v>
      </c>
      <c r="D1426" s="78" t="str">
        <f t="shared" si="46"/>
        <v>https://portal.dnb.de/opac.htm?method=simpleSearch&amp;cqlMode=true&amp;query=idn%3D995411727</v>
      </c>
      <c r="E1426" s="74" t="s">
        <v>366</v>
      </c>
      <c r="F1426" s="74"/>
      <c r="G1426" s="76"/>
      <c r="H1426" s="77" t="s">
        <v>5</v>
      </c>
      <c r="I1426" s="76" t="s">
        <v>53</v>
      </c>
      <c r="J1426" s="77" t="s">
        <v>8516</v>
      </c>
      <c r="K1426" s="77" t="s">
        <v>72</v>
      </c>
      <c r="L1426" s="76"/>
      <c r="M1426" s="76" t="s">
        <v>33</v>
      </c>
      <c r="N1426" s="76"/>
      <c r="O1426" s="76">
        <v>1</v>
      </c>
      <c r="P1426" s="76"/>
      <c r="Q1426" s="76"/>
      <c r="R1426" s="76"/>
      <c r="S1426" s="76"/>
      <c r="BD1426" s="99">
        <f t="shared" si="47"/>
        <v>0</v>
      </c>
      <c r="CC1426" s="99"/>
      <c r="CV1426" s="99"/>
      <c r="CW1426" s="63"/>
    </row>
    <row r="1427" spans="1:101" x14ac:dyDescent="0.15">
      <c r="A1427" s="76">
        <v>1326</v>
      </c>
      <c r="B1427" s="74" t="s">
        <v>369</v>
      </c>
      <c r="C1427" s="74" t="s">
        <v>370</v>
      </c>
      <c r="D1427" s="78" t="str">
        <f t="shared" si="46"/>
        <v>https://portal.dnb.de/opac.htm?method=simpleSearch&amp;cqlMode=true&amp;query=idn%3D120873735X</v>
      </c>
      <c r="E1427" s="74" t="s">
        <v>371</v>
      </c>
      <c r="F1427" s="74"/>
      <c r="G1427" s="76"/>
      <c r="H1427" s="77"/>
      <c r="I1427" s="76"/>
      <c r="J1427" s="77"/>
      <c r="K1427" s="77"/>
      <c r="L1427" s="76"/>
      <c r="M1427" s="76"/>
      <c r="N1427" s="76"/>
      <c r="O1427" s="76"/>
      <c r="P1427" s="76"/>
      <c r="Q1427" s="76"/>
      <c r="R1427" s="76"/>
      <c r="S1427" s="76"/>
      <c r="BD1427" s="99">
        <f t="shared" si="47"/>
        <v>0</v>
      </c>
      <c r="CC1427" s="99"/>
      <c r="CV1427" s="99"/>
      <c r="CW1427" s="63"/>
    </row>
    <row r="1428" spans="1:101" x14ac:dyDescent="0.15">
      <c r="A1428" s="76">
        <v>1327</v>
      </c>
      <c r="B1428" s="74" t="s">
        <v>372</v>
      </c>
      <c r="C1428" s="74">
        <v>1208737015</v>
      </c>
      <c r="D1428" s="78" t="str">
        <f t="shared" si="46"/>
        <v>https://portal.dnb.de/opac.htm?method=simpleSearch&amp;cqlMode=true&amp;query=idn%3D1208737015</v>
      </c>
      <c r="E1428" s="74" t="s">
        <v>371</v>
      </c>
      <c r="F1428" s="74"/>
      <c r="G1428" s="76"/>
      <c r="H1428" s="77"/>
      <c r="I1428" s="76"/>
      <c r="J1428" s="77"/>
      <c r="K1428" s="77"/>
      <c r="L1428" s="76"/>
      <c r="M1428" s="76"/>
      <c r="N1428" s="76"/>
      <c r="O1428" s="76"/>
      <c r="P1428" s="76"/>
      <c r="Q1428" s="76"/>
      <c r="R1428" s="76"/>
      <c r="S1428" s="76"/>
      <c r="BD1428" s="99">
        <f t="shared" si="47"/>
        <v>0</v>
      </c>
      <c r="CC1428" s="99"/>
      <c r="CV1428" s="99"/>
      <c r="CW1428" s="63"/>
    </row>
    <row r="1429" spans="1:101" ht="22.5" x14ac:dyDescent="0.15">
      <c r="A1429" s="76">
        <v>1328</v>
      </c>
      <c r="B1429" s="74" t="s">
        <v>375</v>
      </c>
      <c r="C1429" s="74">
        <v>12805009</v>
      </c>
      <c r="D1429" s="82" t="str">
        <f>HYPERLINK(CONCATENATE("https://portal.dnb.de/opac.htm?method=simpleSearch&amp;cqlMode=true&amp;query=idn%3D",C1429))</f>
        <v>https://portal.dnb.de/opac.htm?method=simpleSearch&amp;cqlMode=true&amp;query=idn%3D12805009</v>
      </c>
      <c r="E1429" s="74" t="s">
        <v>376</v>
      </c>
      <c r="F1429" s="74"/>
      <c r="G1429" s="76"/>
      <c r="H1429" s="77" t="s">
        <v>18</v>
      </c>
      <c r="I1429" s="76" t="s">
        <v>53</v>
      </c>
      <c r="J1429" s="77" t="s">
        <v>8516</v>
      </c>
      <c r="K1429" s="77" t="s">
        <v>8565</v>
      </c>
      <c r="L1429" s="76"/>
      <c r="M1429" s="76" t="s">
        <v>38</v>
      </c>
      <c r="N1429" s="76" t="s">
        <v>40</v>
      </c>
      <c r="O1429" s="76">
        <v>2</v>
      </c>
      <c r="P1429" s="76"/>
      <c r="Q1429" s="76"/>
      <c r="R1429" s="76"/>
      <c r="S1429" s="76"/>
      <c r="BD1429" s="99">
        <f t="shared" si="47"/>
        <v>0</v>
      </c>
      <c r="CC1429" s="99"/>
      <c r="CV1429" s="99"/>
      <c r="CW1429" s="63"/>
    </row>
    <row r="1430" spans="1:101" ht="22.5" x14ac:dyDescent="0.15">
      <c r="A1430" s="76">
        <v>1329</v>
      </c>
      <c r="B1430" s="74" t="s">
        <v>387</v>
      </c>
      <c r="C1430" s="74">
        <v>999418297</v>
      </c>
      <c r="D1430" s="82" t="str">
        <f>HYPERLINK(CONCATENATE("https://portal.dnb.de/opac.htm?method=simpleSearch&amp;cqlMode=true&amp;query=idn%3D",C1430))</f>
        <v>https://portal.dnb.de/opac.htm?method=simpleSearch&amp;cqlMode=true&amp;query=idn%3D999418297</v>
      </c>
      <c r="E1430" s="74" t="s">
        <v>388</v>
      </c>
      <c r="F1430" s="74"/>
      <c r="G1430" s="76" t="s">
        <v>8515</v>
      </c>
      <c r="H1430" s="77" t="s">
        <v>18</v>
      </c>
      <c r="I1430" s="76" t="s">
        <v>53</v>
      </c>
      <c r="J1430" s="77" t="s">
        <v>58</v>
      </c>
      <c r="K1430" s="77" t="s">
        <v>84</v>
      </c>
      <c r="L1430" s="76"/>
      <c r="M1430" s="76" t="s">
        <v>36</v>
      </c>
      <c r="N1430" s="76" t="s">
        <v>39</v>
      </c>
      <c r="O1430" s="76">
        <v>1</v>
      </c>
      <c r="P1430" s="76"/>
      <c r="Q1430" s="76" t="s">
        <v>9040</v>
      </c>
      <c r="R1430" s="76"/>
      <c r="S1430" s="76"/>
      <c r="BD1430" s="99">
        <f t="shared" si="47"/>
        <v>0</v>
      </c>
      <c r="CC1430" s="99"/>
      <c r="CV1430" s="99"/>
      <c r="CW1430" s="63"/>
    </row>
    <row r="1431" spans="1:101" ht="22.5" x14ac:dyDescent="0.15">
      <c r="A1431" s="76">
        <v>1330</v>
      </c>
      <c r="B1431" s="74" t="s">
        <v>389</v>
      </c>
      <c r="C1431" s="74">
        <v>999418297</v>
      </c>
      <c r="D1431" s="82" t="str">
        <f>HYPERLINK(CONCATENATE("https://portal.dnb.de/opac.htm?method=simpleSearch&amp;cqlMode=true&amp;query=idn%3D",C1431))</f>
        <v>https://portal.dnb.de/opac.htm?method=simpleSearch&amp;cqlMode=true&amp;query=idn%3D999418297</v>
      </c>
      <c r="E1431" s="74" t="s">
        <v>390</v>
      </c>
      <c r="F1431" s="74"/>
      <c r="G1431" s="76" t="s">
        <v>8515</v>
      </c>
      <c r="H1431" s="77" t="s">
        <v>18</v>
      </c>
      <c r="I1431" s="76" t="s">
        <v>53</v>
      </c>
      <c r="J1431" s="77" t="s">
        <v>8516</v>
      </c>
      <c r="K1431" s="77" t="s">
        <v>84</v>
      </c>
      <c r="L1431" s="76"/>
      <c r="M1431" s="76" t="s">
        <v>36</v>
      </c>
      <c r="N1431" s="76" t="s">
        <v>39</v>
      </c>
      <c r="O1431" s="76">
        <v>1</v>
      </c>
      <c r="P1431" s="76"/>
      <c r="Q1431" s="76" t="s">
        <v>9040</v>
      </c>
      <c r="R1431" s="76"/>
      <c r="S1431" s="76"/>
      <c r="BD1431" s="99">
        <f t="shared" si="47"/>
        <v>0</v>
      </c>
      <c r="CC1431" s="99"/>
      <c r="CV1431" s="99"/>
      <c r="CW1431" s="63"/>
    </row>
    <row r="1432" spans="1:101" ht="33.75" x14ac:dyDescent="0.15">
      <c r="A1432" s="76">
        <v>1331</v>
      </c>
      <c r="B1432" s="74" t="s">
        <v>423</v>
      </c>
      <c r="C1432" s="74" t="s">
        <v>424</v>
      </c>
      <c r="D1432" s="78" t="str">
        <f t="shared" si="46"/>
        <v>https://portal.dnb.de/opac.htm?method=simpleSearch&amp;cqlMode=true&amp;query=idn%3D100250886X</v>
      </c>
      <c r="E1432" s="74" t="s">
        <v>425</v>
      </c>
      <c r="F1432" s="74"/>
      <c r="G1432" s="76"/>
      <c r="H1432" s="77" t="s">
        <v>5</v>
      </c>
      <c r="I1432" s="76" t="s">
        <v>53</v>
      </c>
      <c r="J1432" s="77" t="s">
        <v>58</v>
      </c>
      <c r="K1432" s="77" t="s">
        <v>8702</v>
      </c>
      <c r="L1432" s="76"/>
      <c r="M1432" s="76" t="s">
        <v>36</v>
      </c>
      <c r="N1432" s="76" t="s">
        <v>39</v>
      </c>
      <c r="O1432" s="76">
        <v>1</v>
      </c>
      <c r="P1432" s="76"/>
      <c r="Q1432" s="76" t="s">
        <v>9040</v>
      </c>
      <c r="R1432" s="76"/>
      <c r="S1432" s="76"/>
      <c r="BD1432" s="99">
        <f t="shared" si="47"/>
        <v>0</v>
      </c>
      <c r="CC1432" s="99"/>
      <c r="CV1432" s="99"/>
      <c r="CW1432" s="63"/>
    </row>
    <row r="1433" spans="1:101" x14ac:dyDescent="0.15">
      <c r="A1433" s="76">
        <v>1332</v>
      </c>
      <c r="B1433" s="74" t="s">
        <v>461</v>
      </c>
      <c r="C1433" s="74">
        <v>1001618033</v>
      </c>
      <c r="D1433" s="78" t="str">
        <f t="shared" si="46"/>
        <v>https://portal.dnb.de/opac.htm?method=simpleSearch&amp;cqlMode=true&amp;query=idn%3D1001618033</v>
      </c>
      <c r="E1433" s="74" t="s">
        <v>462</v>
      </c>
      <c r="F1433" s="74"/>
      <c r="G1433" s="76"/>
      <c r="H1433" s="77"/>
      <c r="I1433" s="76"/>
      <c r="J1433" s="77"/>
      <c r="K1433" s="77"/>
      <c r="L1433" s="76"/>
      <c r="M1433" s="76"/>
      <c r="N1433" s="76"/>
      <c r="O1433" s="76"/>
      <c r="P1433" s="76"/>
      <c r="Q1433" s="76"/>
      <c r="R1433" s="76"/>
      <c r="S1433" s="76"/>
      <c r="BD1433" s="99">
        <f t="shared" si="47"/>
        <v>0</v>
      </c>
      <c r="CC1433" s="99"/>
      <c r="CV1433" s="99"/>
      <c r="CW1433" s="63"/>
    </row>
    <row r="1434" spans="1:101" x14ac:dyDescent="0.15">
      <c r="A1434" s="76">
        <v>1333</v>
      </c>
      <c r="B1434" s="74" t="s">
        <v>463</v>
      </c>
      <c r="C1434" s="74">
        <v>994495714</v>
      </c>
      <c r="D1434" s="78" t="str">
        <f t="shared" si="46"/>
        <v>https://portal.dnb.de/opac.htm?method=simpleSearch&amp;cqlMode=true&amp;query=idn%3D994495714</v>
      </c>
      <c r="E1434" s="74" t="s">
        <v>462</v>
      </c>
      <c r="F1434" s="74"/>
      <c r="G1434" s="76"/>
      <c r="H1434" s="77"/>
      <c r="I1434" s="76"/>
      <c r="J1434" s="77"/>
      <c r="K1434" s="77"/>
      <c r="L1434" s="76"/>
      <c r="M1434" s="76"/>
      <c r="N1434" s="76"/>
      <c r="O1434" s="76"/>
      <c r="P1434" s="76"/>
      <c r="Q1434" s="76"/>
      <c r="R1434" s="76"/>
      <c r="S1434" s="76"/>
      <c r="BD1434" s="99">
        <f t="shared" si="47"/>
        <v>0</v>
      </c>
      <c r="CC1434" s="99"/>
      <c r="CV1434" s="99"/>
      <c r="CW1434" s="63"/>
    </row>
    <row r="1435" spans="1:101" ht="78.75" x14ac:dyDescent="0.15">
      <c r="A1435" s="76">
        <v>1334</v>
      </c>
      <c r="B1435" s="74" t="s">
        <v>466</v>
      </c>
      <c r="C1435" s="74">
        <v>1002383315</v>
      </c>
      <c r="D1435" s="78" t="str">
        <f t="shared" si="46"/>
        <v>https://portal.dnb.de/opac.htm?method=simpleSearch&amp;cqlMode=true&amp;query=idn%3D1002383315</v>
      </c>
      <c r="E1435" s="74" t="s">
        <v>467</v>
      </c>
      <c r="F1435" s="74"/>
      <c r="G1435" s="76"/>
      <c r="H1435" s="77" t="s">
        <v>48</v>
      </c>
      <c r="I1435" s="76" t="s">
        <v>55</v>
      </c>
      <c r="J1435" s="77" t="s">
        <v>8516</v>
      </c>
      <c r="K1435" s="77" t="s">
        <v>8564</v>
      </c>
      <c r="L1435" s="76"/>
      <c r="M1435" s="76"/>
      <c r="N1435" s="76" t="s">
        <v>8660</v>
      </c>
      <c r="O1435" s="76">
        <v>1</v>
      </c>
      <c r="P1435" s="76"/>
      <c r="Q1435" s="76" t="s">
        <v>9040</v>
      </c>
      <c r="R1435" s="76"/>
      <c r="S1435" s="76"/>
      <c r="Y1435" s="95" t="s">
        <v>9736</v>
      </c>
      <c r="AC1435" s="95" t="s">
        <v>9737</v>
      </c>
      <c r="AD1435" s="95" t="s">
        <v>8541</v>
      </c>
      <c r="AI1435" s="95" t="s">
        <v>9725</v>
      </c>
      <c r="AW1435" s="95">
        <v>45</v>
      </c>
      <c r="BC1435" s="96" t="s">
        <v>9726</v>
      </c>
      <c r="BD1435" s="99">
        <f t="shared" si="47"/>
        <v>11.5</v>
      </c>
      <c r="BO1435" s="70" t="s">
        <v>10387</v>
      </c>
      <c r="BP1435" s="69" t="s">
        <v>8541</v>
      </c>
      <c r="BR1435" s="95" t="s">
        <v>8541</v>
      </c>
      <c r="BY1435" s="95" t="s">
        <v>8541</v>
      </c>
      <c r="CB1435" s="95" t="s">
        <v>10217</v>
      </c>
      <c r="CC1435" s="99">
        <v>8</v>
      </c>
      <c r="CD1435" s="90" t="s">
        <v>10388</v>
      </c>
      <c r="CE1435" s="95" t="s">
        <v>8541</v>
      </c>
      <c r="CI1435" s="95" t="s">
        <v>8541</v>
      </c>
      <c r="CL1435" s="95" t="s">
        <v>8541</v>
      </c>
      <c r="CN1435" s="95" t="s">
        <v>8541</v>
      </c>
      <c r="CV1435" s="99">
        <v>3.5</v>
      </c>
      <c r="CW1435" s="90" t="s">
        <v>10389</v>
      </c>
    </row>
    <row r="1436" spans="1:101" ht="33.75" x14ac:dyDescent="0.15">
      <c r="A1436" s="76">
        <v>1335</v>
      </c>
      <c r="B1436" s="74" t="s">
        <v>472</v>
      </c>
      <c r="C1436" s="74">
        <v>1000400530</v>
      </c>
      <c r="D1436" s="78" t="str">
        <f t="shared" si="46"/>
        <v>https://portal.dnb.de/opac.htm?method=simpleSearch&amp;cqlMode=true&amp;query=idn%3D1000400530</v>
      </c>
      <c r="E1436" s="74" t="s">
        <v>473</v>
      </c>
      <c r="F1436" s="74"/>
      <c r="G1436" s="76"/>
      <c r="H1436" s="77" t="s">
        <v>48</v>
      </c>
      <c r="I1436" s="76" t="s">
        <v>53</v>
      </c>
      <c r="J1436" s="77" t="s">
        <v>8516</v>
      </c>
      <c r="K1436" s="77" t="s">
        <v>8540</v>
      </c>
      <c r="L1436" s="76"/>
      <c r="M1436" s="76" t="s">
        <v>38</v>
      </c>
      <c r="N1436" s="76" t="s">
        <v>40</v>
      </c>
      <c r="O1436" s="76">
        <v>0</v>
      </c>
      <c r="P1436" s="76"/>
      <c r="Q1436" s="76"/>
      <c r="R1436" s="76"/>
      <c r="S1436" s="76"/>
      <c r="BD1436" s="99">
        <f t="shared" si="47"/>
        <v>0</v>
      </c>
      <c r="CC1436" s="99"/>
      <c r="CV1436" s="99"/>
      <c r="CW1436" s="63"/>
    </row>
    <row r="1437" spans="1:101" x14ac:dyDescent="0.15">
      <c r="A1437" s="76">
        <v>1336</v>
      </c>
      <c r="B1437" s="74" t="s">
        <v>474</v>
      </c>
      <c r="C1437" s="74">
        <v>994161867</v>
      </c>
      <c r="D1437" s="78" t="str">
        <f t="shared" si="46"/>
        <v>https://portal.dnb.de/opac.htm?method=simpleSearch&amp;cqlMode=true&amp;query=idn%3D994161867</v>
      </c>
      <c r="E1437" s="74" t="s">
        <v>475</v>
      </c>
      <c r="F1437" s="74"/>
      <c r="G1437" s="76" t="s">
        <v>8515</v>
      </c>
      <c r="H1437" s="77" t="s">
        <v>6</v>
      </c>
      <c r="I1437" s="76" t="s">
        <v>53</v>
      </c>
      <c r="J1437" s="77" t="s">
        <v>8516</v>
      </c>
      <c r="K1437" s="77" t="s">
        <v>84</v>
      </c>
      <c r="L1437" s="76"/>
      <c r="M1437" s="76"/>
      <c r="N1437" s="76"/>
      <c r="O1437" s="76">
        <v>0</v>
      </c>
      <c r="P1437" s="76"/>
      <c r="Q1437" s="76"/>
      <c r="R1437" s="76"/>
      <c r="S1437" s="76"/>
      <c r="BD1437" s="99">
        <f t="shared" si="47"/>
        <v>0</v>
      </c>
      <c r="CC1437" s="99"/>
      <c r="CV1437" s="99"/>
      <c r="CW1437" s="63"/>
    </row>
    <row r="1438" spans="1:101" x14ac:dyDescent="0.15">
      <c r="A1438" s="76">
        <v>1337</v>
      </c>
      <c r="B1438" s="74" t="s">
        <v>476</v>
      </c>
      <c r="C1438" s="74">
        <v>993863728</v>
      </c>
      <c r="D1438" s="78" t="str">
        <f t="shared" si="46"/>
        <v>https://portal.dnb.de/opac.htm?method=simpleSearch&amp;cqlMode=true&amp;query=idn%3D993863728</v>
      </c>
      <c r="E1438" s="74" t="s">
        <v>477</v>
      </c>
      <c r="F1438" s="74"/>
      <c r="G1438" s="76" t="s">
        <v>8515</v>
      </c>
      <c r="H1438" s="77" t="s">
        <v>49</v>
      </c>
      <c r="I1438" s="76" t="s">
        <v>53</v>
      </c>
      <c r="J1438" s="77" t="s">
        <v>8516</v>
      </c>
      <c r="K1438" s="77" t="s">
        <v>84</v>
      </c>
      <c r="L1438" s="76"/>
      <c r="M1438" s="76" t="s">
        <v>38</v>
      </c>
      <c r="N1438" s="76" t="s">
        <v>40</v>
      </c>
      <c r="O1438" s="76">
        <v>0</v>
      </c>
      <c r="P1438" s="76"/>
      <c r="Q1438" s="76"/>
      <c r="R1438" s="76"/>
      <c r="S1438" s="76"/>
      <c r="BD1438" s="99">
        <f t="shared" si="47"/>
        <v>0</v>
      </c>
      <c r="CC1438" s="99"/>
      <c r="CV1438" s="99"/>
      <c r="CW1438" s="63"/>
    </row>
    <row r="1439" spans="1:101" ht="33.75" x14ac:dyDescent="0.15">
      <c r="A1439" s="76">
        <v>1338</v>
      </c>
      <c r="B1439" s="74" t="s">
        <v>478</v>
      </c>
      <c r="C1439" s="74">
        <v>1002268753</v>
      </c>
      <c r="D1439" s="78" t="str">
        <f t="shared" si="46"/>
        <v>https://portal.dnb.de/opac.htm?method=simpleSearch&amp;cqlMode=true&amp;query=idn%3D1002268753</v>
      </c>
      <c r="E1439" s="74" t="s">
        <v>479</v>
      </c>
      <c r="F1439" s="74"/>
      <c r="G1439" s="76" t="s">
        <v>8515</v>
      </c>
      <c r="H1439" s="77" t="s">
        <v>8546</v>
      </c>
      <c r="I1439" s="76" t="s">
        <v>53</v>
      </c>
      <c r="J1439" s="77" t="s">
        <v>8516</v>
      </c>
      <c r="K1439" s="77" t="s">
        <v>8565</v>
      </c>
      <c r="L1439" s="76"/>
      <c r="M1439" s="76" t="s">
        <v>38</v>
      </c>
      <c r="N1439" s="76" t="s">
        <v>8695</v>
      </c>
      <c r="O1439" s="76">
        <v>2</v>
      </c>
      <c r="P1439" s="76"/>
      <c r="Q1439" s="76"/>
      <c r="R1439" s="76"/>
      <c r="S1439" s="76"/>
      <c r="BD1439" s="99">
        <f t="shared" si="47"/>
        <v>0</v>
      </c>
      <c r="CC1439" s="99"/>
      <c r="CV1439" s="99"/>
      <c r="CW1439" s="63"/>
    </row>
    <row r="1440" spans="1:101" ht="22.5" x14ac:dyDescent="0.15">
      <c r="A1440" s="76">
        <v>1339</v>
      </c>
      <c r="B1440" s="74" t="s">
        <v>480</v>
      </c>
      <c r="C1440" s="74">
        <v>995720134</v>
      </c>
      <c r="D1440" s="78" t="str">
        <f t="shared" si="46"/>
        <v>https://portal.dnb.de/opac.htm?method=simpleSearch&amp;cqlMode=true&amp;query=idn%3D995720134</v>
      </c>
      <c r="E1440" s="74" t="s">
        <v>481</v>
      </c>
      <c r="F1440" s="74"/>
      <c r="G1440" s="76" t="s">
        <v>8515</v>
      </c>
      <c r="H1440" s="77" t="s">
        <v>4</v>
      </c>
      <c r="I1440" s="76" t="s">
        <v>53</v>
      </c>
      <c r="J1440" s="77" t="s">
        <v>8516</v>
      </c>
      <c r="K1440" s="77" t="s">
        <v>8688</v>
      </c>
      <c r="L1440" s="76"/>
      <c r="M1440" s="76" t="s">
        <v>36</v>
      </c>
      <c r="N1440" s="76" t="s">
        <v>39</v>
      </c>
      <c r="O1440" s="76">
        <v>1</v>
      </c>
      <c r="P1440" s="76"/>
      <c r="Q1440" s="76" t="s">
        <v>9040</v>
      </c>
      <c r="R1440" s="76"/>
      <c r="S1440" s="76"/>
      <c r="BD1440" s="99">
        <f t="shared" si="47"/>
        <v>0</v>
      </c>
      <c r="CC1440" s="99"/>
      <c r="CV1440" s="99"/>
      <c r="CW1440" s="63"/>
    </row>
    <row r="1441" spans="1:101" ht="33.75" x14ac:dyDescent="0.15">
      <c r="A1441" s="76">
        <v>1340</v>
      </c>
      <c r="B1441" s="74" t="s">
        <v>482</v>
      </c>
      <c r="C1441" s="74">
        <v>1000123529</v>
      </c>
      <c r="D1441" s="78" t="str">
        <f t="shared" si="46"/>
        <v>https://portal.dnb.de/opac.htm?method=simpleSearch&amp;cqlMode=true&amp;query=idn%3D1000123529</v>
      </c>
      <c r="E1441" s="74" t="s">
        <v>483</v>
      </c>
      <c r="F1441" s="74"/>
      <c r="G1441" s="76"/>
      <c r="H1441" s="77" t="s">
        <v>48</v>
      </c>
      <c r="I1441" s="76" t="s">
        <v>53</v>
      </c>
      <c r="J1441" s="77" t="s">
        <v>8516</v>
      </c>
      <c r="K1441" s="77" t="s">
        <v>8566</v>
      </c>
      <c r="L1441" s="76"/>
      <c r="M1441" s="76" t="s">
        <v>38</v>
      </c>
      <c r="N1441" s="76" t="s">
        <v>40</v>
      </c>
      <c r="O1441" s="76">
        <v>0</v>
      </c>
      <c r="P1441" s="76"/>
      <c r="Q1441" s="76"/>
      <c r="R1441" s="76"/>
      <c r="S1441" s="76"/>
      <c r="BD1441" s="99">
        <f t="shared" si="47"/>
        <v>0</v>
      </c>
      <c r="CC1441" s="99"/>
      <c r="CV1441" s="99"/>
      <c r="CW1441" s="63"/>
    </row>
    <row r="1442" spans="1:101" ht="33.75" x14ac:dyDescent="0.15">
      <c r="A1442" s="76">
        <v>1341</v>
      </c>
      <c r="B1442" s="74" t="s">
        <v>484</v>
      </c>
      <c r="C1442" s="74">
        <v>1066963487</v>
      </c>
      <c r="D1442" s="78" t="str">
        <f t="shared" si="46"/>
        <v>https://portal.dnb.de/opac.htm?method=simpleSearch&amp;cqlMode=true&amp;query=idn%3D1066963487</v>
      </c>
      <c r="E1442" s="74" t="s">
        <v>485</v>
      </c>
      <c r="F1442" s="74"/>
      <c r="G1442" s="76" t="s">
        <v>8515</v>
      </c>
      <c r="H1442" s="77" t="s">
        <v>8674</v>
      </c>
      <c r="I1442" s="76" t="s">
        <v>53</v>
      </c>
      <c r="J1442" s="77" t="s">
        <v>8516</v>
      </c>
      <c r="K1442" s="77" t="s">
        <v>84</v>
      </c>
      <c r="L1442" s="76"/>
      <c r="M1442" s="76" t="s">
        <v>37</v>
      </c>
      <c r="N1442" s="76" t="s">
        <v>8695</v>
      </c>
      <c r="O1442" s="76">
        <v>0</v>
      </c>
      <c r="P1442" s="76"/>
      <c r="Q1442" s="76"/>
      <c r="R1442" s="76"/>
      <c r="S1442" s="76"/>
      <c r="BD1442" s="99">
        <f t="shared" si="47"/>
        <v>0</v>
      </c>
      <c r="CC1442" s="99"/>
      <c r="CV1442" s="99"/>
      <c r="CW1442" s="63"/>
    </row>
    <row r="1443" spans="1:101" x14ac:dyDescent="0.15">
      <c r="A1443" s="76">
        <v>1342</v>
      </c>
      <c r="B1443" s="74" t="s">
        <v>486</v>
      </c>
      <c r="C1443" s="74">
        <v>1066962693</v>
      </c>
      <c r="D1443" s="78" t="str">
        <f t="shared" si="46"/>
        <v>https://portal.dnb.de/opac.htm?method=simpleSearch&amp;cqlMode=true&amp;query=idn%3D1066962693</v>
      </c>
      <c r="E1443" s="74" t="s">
        <v>487</v>
      </c>
      <c r="F1443" s="74"/>
      <c r="G1443" s="76" t="s">
        <v>8515</v>
      </c>
      <c r="H1443" s="77" t="s">
        <v>48</v>
      </c>
      <c r="I1443" s="76" t="s">
        <v>53</v>
      </c>
      <c r="J1443" s="77" t="s">
        <v>8516</v>
      </c>
      <c r="K1443" s="77" t="s">
        <v>8785</v>
      </c>
      <c r="L1443" s="76"/>
      <c r="M1443" s="76" t="s">
        <v>32</v>
      </c>
      <c r="N1443" s="76" t="s">
        <v>40</v>
      </c>
      <c r="O1443" s="76">
        <v>0</v>
      </c>
      <c r="P1443" s="76"/>
      <c r="Q1443" s="76"/>
      <c r="R1443" s="76"/>
      <c r="S1443" s="76"/>
      <c r="BD1443" s="99">
        <f t="shared" si="47"/>
        <v>0</v>
      </c>
      <c r="CC1443" s="99"/>
      <c r="CV1443" s="99"/>
      <c r="CW1443" s="63"/>
    </row>
    <row r="1444" spans="1:101" ht="33.75" x14ac:dyDescent="0.15">
      <c r="A1444" s="76">
        <v>1343</v>
      </c>
      <c r="B1444" s="74" t="s">
        <v>488</v>
      </c>
      <c r="C1444" s="74">
        <v>1066941769</v>
      </c>
      <c r="D1444" s="78" t="str">
        <f t="shared" si="46"/>
        <v>https://portal.dnb.de/opac.htm?method=simpleSearch&amp;cqlMode=true&amp;query=idn%3D1066941769</v>
      </c>
      <c r="E1444" s="74" t="s">
        <v>489</v>
      </c>
      <c r="F1444" s="74"/>
      <c r="G1444" s="76" t="s">
        <v>8515</v>
      </c>
      <c r="H1444" s="77" t="s">
        <v>8674</v>
      </c>
      <c r="I1444" s="76" t="s">
        <v>53</v>
      </c>
      <c r="J1444" s="77" t="s">
        <v>8516</v>
      </c>
      <c r="K1444" s="77" t="s">
        <v>84</v>
      </c>
      <c r="L1444" s="76"/>
      <c r="M1444" s="76" t="s">
        <v>37</v>
      </c>
      <c r="N1444" s="76" t="s">
        <v>40</v>
      </c>
      <c r="O1444" s="76">
        <v>0</v>
      </c>
      <c r="P1444" s="76"/>
      <c r="Q1444" s="76"/>
      <c r="R1444" s="76"/>
      <c r="S1444" s="76"/>
      <c r="BD1444" s="99">
        <f t="shared" si="47"/>
        <v>0</v>
      </c>
      <c r="CC1444" s="99"/>
      <c r="CV1444" s="99"/>
      <c r="CW1444" s="63"/>
    </row>
    <row r="1445" spans="1:101" ht="33.75" x14ac:dyDescent="0.15">
      <c r="A1445" s="76">
        <v>1344</v>
      </c>
      <c r="B1445" s="74" t="s">
        <v>490</v>
      </c>
      <c r="C1445" s="74">
        <v>1066865647</v>
      </c>
      <c r="D1445" s="78" t="str">
        <f t="shared" si="46"/>
        <v>https://portal.dnb.de/opac.htm?method=simpleSearch&amp;cqlMode=true&amp;query=idn%3D1066865647</v>
      </c>
      <c r="E1445" s="74" t="s">
        <v>491</v>
      </c>
      <c r="F1445" s="74"/>
      <c r="G1445" s="76" t="s">
        <v>8515</v>
      </c>
      <c r="H1445" s="77" t="s">
        <v>8674</v>
      </c>
      <c r="I1445" s="76" t="s">
        <v>53</v>
      </c>
      <c r="J1445" s="77" t="s">
        <v>8516</v>
      </c>
      <c r="K1445" s="77" t="s">
        <v>84</v>
      </c>
      <c r="L1445" s="76"/>
      <c r="M1445" s="76" t="s">
        <v>37</v>
      </c>
      <c r="N1445" s="76" t="s">
        <v>40</v>
      </c>
      <c r="O1445" s="76">
        <v>0</v>
      </c>
      <c r="P1445" s="76"/>
      <c r="Q1445" s="76"/>
      <c r="R1445" s="76"/>
      <c r="S1445" s="76"/>
      <c r="BD1445" s="99">
        <f t="shared" si="47"/>
        <v>0</v>
      </c>
      <c r="CC1445" s="99"/>
      <c r="CV1445" s="99"/>
      <c r="CW1445" s="63"/>
    </row>
    <row r="1446" spans="1:101" ht="22.5" x14ac:dyDescent="0.15">
      <c r="A1446" s="76">
        <v>1345</v>
      </c>
      <c r="B1446" s="74" t="s">
        <v>492</v>
      </c>
      <c r="C1446" s="74">
        <v>1066755736</v>
      </c>
      <c r="D1446" s="78" t="str">
        <f t="shared" si="46"/>
        <v>https://portal.dnb.de/opac.htm?method=simpleSearch&amp;cqlMode=true&amp;query=idn%3D1066755736</v>
      </c>
      <c r="E1446" s="74" t="s">
        <v>493</v>
      </c>
      <c r="F1446" s="74"/>
      <c r="G1446" s="76" t="s">
        <v>8515</v>
      </c>
      <c r="H1446" s="77" t="s">
        <v>48</v>
      </c>
      <c r="I1446" s="76" t="s">
        <v>53</v>
      </c>
      <c r="J1446" s="77" t="s">
        <v>8516</v>
      </c>
      <c r="K1446" s="77" t="s">
        <v>8564</v>
      </c>
      <c r="L1446" s="76"/>
      <c r="M1446" s="76"/>
      <c r="N1446" s="76"/>
      <c r="O1446" s="76">
        <v>1</v>
      </c>
      <c r="P1446" s="76"/>
      <c r="Q1446" s="76"/>
      <c r="R1446" s="76"/>
      <c r="S1446" s="76"/>
      <c r="BD1446" s="99">
        <f t="shared" si="47"/>
        <v>0</v>
      </c>
      <c r="CC1446" s="99"/>
      <c r="CV1446" s="99"/>
      <c r="CW1446" s="63"/>
    </row>
    <row r="1447" spans="1:101" x14ac:dyDescent="0.15">
      <c r="A1447" s="76">
        <v>1346</v>
      </c>
      <c r="B1447" s="74" t="s">
        <v>494</v>
      </c>
      <c r="C1447" s="74">
        <v>1066963797</v>
      </c>
      <c r="D1447" s="78" t="str">
        <f t="shared" si="46"/>
        <v>https://portal.dnb.de/opac.htm?method=simpleSearch&amp;cqlMode=true&amp;query=idn%3D1066963797</v>
      </c>
      <c r="E1447" s="74" t="s">
        <v>495</v>
      </c>
      <c r="F1447" s="74"/>
      <c r="G1447" s="76" t="s">
        <v>8515</v>
      </c>
      <c r="H1447" s="77" t="s">
        <v>4</v>
      </c>
      <c r="I1447" s="76" t="s">
        <v>53</v>
      </c>
      <c r="J1447" s="77" t="s">
        <v>8516</v>
      </c>
      <c r="K1447" s="77" t="s">
        <v>8520</v>
      </c>
      <c r="L1447" s="76"/>
      <c r="M1447" s="76" t="s">
        <v>37</v>
      </c>
      <c r="N1447" s="76" t="s">
        <v>40</v>
      </c>
      <c r="O1447" s="76">
        <v>2</v>
      </c>
      <c r="P1447" s="76"/>
      <c r="Q1447" s="76"/>
      <c r="R1447" s="76"/>
      <c r="S1447" s="76"/>
      <c r="BD1447" s="99">
        <f t="shared" si="47"/>
        <v>0</v>
      </c>
      <c r="CC1447" s="99"/>
      <c r="CV1447" s="99"/>
      <c r="CW1447" s="63"/>
    </row>
    <row r="1448" spans="1:101" ht="33.75" x14ac:dyDescent="0.15">
      <c r="A1448" s="76">
        <v>1347</v>
      </c>
      <c r="B1448" s="74" t="s">
        <v>516</v>
      </c>
      <c r="C1448" s="74">
        <v>1066941424</v>
      </c>
      <c r="D1448" s="78" t="str">
        <f t="shared" si="46"/>
        <v>https://portal.dnb.de/opac.htm?method=simpleSearch&amp;cqlMode=true&amp;query=idn%3D1066941424</v>
      </c>
      <c r="E1448" s="74" t="s">
        <v>517</v>
      </c>
      <c r="F1448" s="74"/>
      <c r="G1448" s="76" t="s">
        <v>8515</v>
      </c>
      <c r="H1448" s="77" t="s">
        <v>8546</v>
      </c>
      <c r="I1448" s="76" t="s">
        <v>53</v>
      </c>
      <c r="J1448" s="77" t="s">
        <v>8516</v>
      </c>
      <c r="K1448" s="77" t="s">
        <v>84</v>
      </c>
      <c r="L1448" s="76"/>
      <c r="M1448" s="76"/>
      <c r="N1448" s="76"/>
      <c r="O1448" s="76">
        <v>0</v>
      </c>
      <c r="P1448" s="76"/>
      <c r="Q1448" s="76"/>
      <c r="R1448" s="76"/>
      <c r="S1448" s="76"/>
      <c r="BD1448" s="99">
        <f t="shared" si="47"/>
        <v>0</v>
      </c>
      <c r="CC1448" s="99"/>
      <c r="CV1448" s="99"/>
      <c r="CW1448" s="63"/>
    </row>
    <row r="1449" spans="1:101" x14ac:dyDescent="0.15">
      <c r="A1449" s="76">
        <v>1348</v>
      </c>
      <c r="B1449" s="74" t="s">
        <v>518</v>
      </c>
      <c r="C1449" s="74">
        <v>1132641179</v>
      </c>
      <c r="D1449" s="78" t="str">
        <f t="shared" si="46"/>
        <v>https://portal.dnb.de/opac.htm?method=simpleSearch&amp;cqlMode=true&amp;query=idn%3D1132641179</v>
      </c>
      <c r="E1449" s="74" t="s">
        <v>519</v>
      </c>
      <c r="F1449" s="74"/>
      <c r="G1449" s="76"/>
      <c r="H1449" s="77"/>
      <c r="I1449" s="76"/>
      <c r="J1449" s="77"/>
      <c r="K1449" s="77"/>
      <c r="L1449" s="76"/>
      <c r="M1449" s="76"/>
      <c r="N1449" s="76"/>
      <c r="O1449" s="76"/>
      <c r="P1449" s="76"/>
      <c r="Q1449" s="76"/>
      <c r="R1449" s="76"/>
      <c r="S1449" s="76"/>
      <c r="BD1449" s="99">
        <f t="shared" si="47"/>
        <v>0</v>
      </c>
      <c r="CC1449" s="99"/>
      <c r="CV1449" s="99"/>
      <c r="CW1449" s="63"/>
    </row>
    <row r="1450" spans="1:101" ht="33.75" x14ac:dyDescent="0.15">
      <c r="A1450" s="76">
        <v>1349</v>
      </c>
      <c r="B1450" s="74" t="s">
        <v>520</v>
      </c>
      <c r="C1450" s="74">
        <v>1132641160</v>
      </c>
      <c r="D1450" s="78" t="str">
        <f t="shared" si="46"/>
        <v>https://portal.dnb.de/opac.htm?method=simpleSearch&amp;cqlMode=true&amp;query=idn%3D1132641160</v>
      </c>
      <c r="E1450" s="74" t="s">
        <v>519</v>
      </c>
      <c r="F1450" s="74"/>
      <c r="G1450" s="76" t="s">
        <v>8515</v>
      </c>
      <c r="H1450" s="77" t="s">
        <v>8546</v>
      </c>
      <c r="I1450" s="76" t="s">
        <v>53</v>
      </c>
      <c r="J1450" s="77" t="s">
        <v>89</v>
      </c>
      <c r="K1450" s="77" t="s">
        <v>8924</v>
      </c>
      <c r="L1450" s="76"/>
      <c r="M1450" s="76" t="s">
        <v>37</v>
      </c>
      <c r="N1450" s="76" t="s">
        <v>40</v>
      </c>
      <c r="O1450" s="76">
        <v>0</v>
      </c>
      <c r="P1450" s="76"/>
      <c r="Q1450" s="76"/>
      <c r="R1450" s="76"/>
      <c r="S1450" s="76"/>
      <c r="BD1450" s="99">
        <f t="shared" si="47"/>
        <v>0</v>
      </c>
      <c r="CC1450" s="99"/>
      <c r="CV1450" s="99"/>
      <c r="CW1450" s="63"/>
    </row>
    <row r="1451" spans="1:101" ht="33.75" x14ac:dyDescent="0.15">
      <c r="A1451" s="76">
        <v>1350</v>
      </c>
      <c r="B1451" s="74" t="s">
        <v>778</v>
      </c>
      <c r="C1451" s="74">
        <v>1066778159</v>
      </c>
      <c r="D1451" s="78" t="str">
        <f t="shared" si="46"/>
        <v>https://portal.dnb.de/opac.htm?method=simpleSearch&amp;cqlMode=true&amp;query=idn%3D1066778159</v>
      </c>
      <c r="E1451" s="74" t="s">
        <v>779</v>
      </c>
      <c r="F1451" s="74"/>
      <c r="G1451" s="76" t="s">
        <v>8515</v>
      </c>
      <c r="H1451" s="77" t="s">
        <v>8674</v>
      </c>
      <c r="I1451" s="76" t="s">
        <v>53</v>
      </c>
      <c r="J1451" s="77" t="s">
        <v>8516</v>
      </c>
      <c r="K1451" s="77" t="s">
        <v>8565</v>
      </c>
      <c r="L1451" s="76"/>
      <c r="M1451" s="76" t="s">
        <v>37</v>
      </c>
      <c r="N1451" s="76" t="s">
        <v>40</v>
      </c>
      <c r="O1451" s="76">
        <v>0</v>
      </c>
      <c r="P1451" s="76"/>
      <c r="Q1451" s="76"/>
      <c r="R1451" s="76"/>
      <c r="S1451" s="76"/>
      <c r="BD1451" s="99">
        <f t="shared" si="47"/>
        <v>0</v>
      </c>
      <c r="CC1451" s="99"/>
      <c r="CV1451" s="99"/>
      <c r="CW1451" s="63"/>
    </row>
    <row r="1452" spans="1:101" ht="33.75" x14ac:dyDescent="0.15">
      <c r="A1452" s="76">
        <v>1351</v>
      </c>
      <c r="B1452" s="74" t="s">
        <v>782</v>
      </c>
      <c r="C1452" s="74">
        <v>1066938369</v>
      </c>
      <c r="D1452" s="78" t="str">
        <f t="shared" si="46"/>
        <v>https://portal.dnb.de/opac.htm?method=simpleSearch&amp;cqlMode=true&amp;query=idn%3D1066938369</v>
      </c>
      <c r="E1452" s="74" t="s">
        <v>783</v>
      </c>
      <c r="F1452" s="74"/>
      <c r="G1452" s="76" t="s">
        <v>8515</v>
      </c>
      <c r="H1452" s="77" t="s">
        <v>8546</v>
      </c>
      <c r="I1452" s="76" t="s">
        <v>53</v>
      </c>
      <c r="J1452" s="77" t="s">
        <v>89</v>
      </c>
      <c r="K1452" s="77" t="s">
        <v>72</v>
      </c>
      <c r="L1452" s="76"/>
      <c r="M1452" s="76" t="s">
        <v>38</v>
      </c>
      <c r="N1452" s="76" t="s">
        <v>40</v>
      </c>
      <c r="O1452" s="76">
        <v>0</v>
      </c>
      <c r="P1452" s="76"/>
      <c r="Q1452" s="76"/>
      <c r="R1452" s="76"/>
      <c r="S1452" s="76"/>
      <c r="BD1452" s="99">
        <f t="shared" si="47"/>
        <v>0</v>
      </c>
      <c r="CC1452" s="99"/>
      <c r="CV1452" s="99"/>
      <c r="CW1452" s="63"/>
    </row>
    <row r="1453" spans="1:101" ht="33.75" x14ac:dyDescent="0.15">
      <c r="A1453" s="76">
        <v>1352</v>
      </c>
      <c r="B1453" s="74" t="s">
        <v>811</v>
      </c>
      <c r="C1453" s="74" t="s">
        <v>812</v>
      </c>
      <c r="D1453" s="78" t="str">
        <f t="shared" si="46"/>
        <v>https://portal.dnb.de/opac.htm?method=simpleSearch&amp;cqlMode=true&amp;query=idn%3D99416534X</v>
      </c>
      <c r="E1453" s="74" t="s">
        <v>813</v>
      </c>
      <c r="F1453" s="74"/>
      <c r="G1453" s="76" t="s">
        <v>8515</v>
      </c>
      <c r="H1453" s="77" t="s">
        <v>8673</v>
      </c>
      <c r="I1453" s="76" t="s">
        <v>53</v>
      </c>
      <c r="J1453" s="77" t="s">
        <v>8516</v>
      </c>
      <c r="K1453" s="77" t="s">
        <v>84</v>
      </c>
      <c r="L1453" s="76"/>
      <c r="M1453" s="76" t="s">
        <v>37</v>
      </c>
      <c r="N1453" s="76" t="s">
        <v>40</v>
      </c>
      <c r="O1453" s="76">
        <v>0</v>
      </c>
      <c r="P1453" s="76"/>
      <c r="Q1453" s="76"/>
      <c r="R1453" s="76"/>
      <c r="S1453" s="76"/>
      <c r="BD1453" s="99">
        <f t="shared" si="47"/>
        <v>0</v>
      </c>
      <c r="CC1453" s="99"/>
      <c r="CV1453" s="99"/>
      <c r="CW1453" s="63"/>
    </row>
    <row r="1454" spans="1:101" ht="33.75" x14ac:dyDescent="0.15">
      <c r="A1454" s="76">
        <v>1353</v>
      </c>
      <c r="B1454" s="74" t="s">
        <v>814</v>
      </c>
      <c r="C1454" s="74">
        <v>1003588360</v>
      </c>
      <c r="D1454" s="78" t="str">
        <f t="shared" si="46"/>
        <v>https://portal.dnb.de/opac.htm?method=simpleSearch&amp;cqlMode=true&amp;query=idn%3D1003588360</v>
      </c>
      <c r="E1454" s="74" t="s">
        <v>815</v>
      </c>
      <c r="F1454" s="74"/>
      <c r="G1454" s="76" t="s">
        <v>8515</v>
      </c>
      <c r="H1454" s="77" t="s">
        <v>8547</v>
      </c>
      <c r="I1454" s="76" t="s">
        <v>54</v>
      </c>
      <c r="J1454" s="77" t="s">
        <v>8516</v>
      </c>
      <c r="K1454" s="77" t="s">
        <v>9590</v>
      </c>
      <c r="L1454" s="76"/>
      <c r="M1454" s="76" t="s">
        <v>37</v>
      </c>
      <c r="N1454" s="76" t="s">
        <v>9183</v>
      </c>
      <c r="O1454" s="76">
        <v>1</v>
      </c>
      <c r="P1454" s="76"/>
      <c r="Q1454" s="76"/>
      <c r="R1454" s="76"/>
      <c r="S1454" s="76"/>
      <c r="BD1454" s="99">
        <f t="shared" si="47"/>
        <v>0</v>
      </c>
      <c r="CC1454" s="99"/>
      <c r="CV1454" s="99"/>
      <c r="CW1454" s="63"/>
    </row>
    <row r="1455" spans="1:101" x14ac:dyDescent="0.15">
      <c r="A1455" s="76">
        <v>1354</v>
      </c>
      <c r="B1455" s="74" t="s">
        <v>820</v>
      </c>
      <c r="C1455" s="74">
        <v>994197039</v>
      </c>
      <c r="D1455" s="78" t="str">
        <f t="shared" si="46"/>
        <v>https://portal.dnb.de/opac.htm?method=simpleSearch&amp;cqlMode=true&amp;query=idn%3D994197039</v>
      </c>
      <c r="E1455" s="74" t="s">
        <v>821</v>
      </c>
      <c r="F1455" s="74"/>
      <c r="G1455" s="76" t="s">
        <v>8515</v>
      </c>
      <c r="H1455" s="77" t="s">
        <v>6</v>
      </c>
      <c r="I1455" s="76" t="s">
        <v>53</v>
      </c>
      <c r="J1455" s="77" t="s">
        <v>8516</v>
      </c>
      <c r="K1455" s="77" t="s">
        <v>84</v>
      </c>
      <c r="L1455" s="76"/>
      <c r="M1455" s="76"/>
      <c r="N1455" s="76"/>
      <c r="O1455" s="76">
        <v>2</v>
      </c>
      <c r="P1455" s="76"/>
      <c r="Q1455" s="76"/>
      <c r="R1455" s="76"/>
      <c r="S1455" s="76"/>
      <c r="BD1455" s="99">
        <f t="shared" si="47"/>
        <v>0</v>
      </c>
      <c r="CC1455" s="99"/>
      <c r="CV1455" s="99"/>
      <c r="CW1455" s="63"/>
    </row>
    <row r="1456" spans="1:101" ht="33.75" x14ac:dyDescent="0.15">
      <c r="A1456" s="76">
        <v>1355</v>
      </c>
      <c r="B1456" s="74" t="s">
        <v>824</v>
      </c>
      <c r="C1456" s="74">
        <v>1066796173</v>
      </c>
      <c r="D1456" s="78" t="str">
        <f t="shared" si="46"/>
        <v>https://portal.dnb.de/opac.htm?method=simpleSearch&amp;cqlMode=true&amp;query=idn%3D1066796173</v>
      </c>
      <c r="E1456" s="74" t="s">
        <v>825</v>
      </c>
      <c r="F1456" s="74"/>
      <c r="G1456" s="76" t="s">
        <v>8515</v>
      </c>
      <c r="H1456" s="77" t="s">
        <v>48</v>
      </c>
      <c r="I1456" s="76" t="s">
        <v>53</v>
      </c>
      <c r="J1456" s="77" t="s">
        <v>89</v>
      </c>
      <c r="K1456" s="77" t="s">
        <v>8566</v>
      </c>
      <c r="L1456" s="76"/>
      <c r="M1456" s="76"/>
      <c r="N1456" s="76"/>
      <c r="O1456" s="76">
        <v>0</v>
      </c>
      <c r="P1456" s="76"/>
      <c r="Q1456" s="76"/>
      <c r="R1456" s="76"/>
      <c r="S1456" s="76"/>
      <c r="BD1456" s="99">
        <f t="shared" si="47"/>
        <v>0</v>
      </c>
      <c r="CC1456" s="99"/>
      <c r="CV1456" s="99"/>
      <c r="CW1456" s="63"/>
    </row>
    <row r="1457" spans="1:101" ht="22.5" x14ac:dyDescent="0.15">
      <c r="A1457" s="76">
        <v>1356</v>
      </c>
      <c r="B1457" s="74" t="s">
        <v>826</v>
      </c>
      <c r="C1457" s="74">
        <v>1066849501</v>
      </c>
      <c r="D1457" s="78" t="str">
        <f t="shared" si="46"/>
        <v>https://portal.dnb.de/opac.htm?method=simpleSearch&amp;cqlMode=true&amp;query=idn%3D1066849501</v>
      </c>
      <c r="E1457" s="74" t="s">
        <v>827</v>
      </c>
      <c r="F1457" s="74"/>
      <c r="G1457" s="76" t="s">
        <v>8515</v>
      </c>
      <c r="H1457" s="77" t="s">
        <v>5</v>
      </c>
      <c r="I1457" s="76" t="s">
        <v>54</v>
      </c>
      <c r="J1457" s="77" t="s">
        <v>89</v>
      </c>
      <c r="K1457" s="77" t="s">
        <v>8924</v>
      </c>
      <c r="L1457" s="76"/>
      <c r="M1457" s="76"/>
      <c r="N1457" s="76" t="s">
        <v>8660</v>
      </c>
      <c r="O1457" s="76">
        <v>0</v>
      </c>
      <c r="P1457" s="76"/>
      <c r="Q1457" s="76"/>
      <c r="R1457" s="76"/>
      <c r="S1457" s="76"/>
      <c r="BD1457" s="99">
        <f t="shared" si="47"/>
        <v>0</v>
      </c>
      <c r="CC1457" s="99"/>
      <c r="CV1457" s="99"/>
      <c r="CW1457" s="63"/>
    </row>
    <row r="1458" spans="1:101" ht="22.5" x14ac:dyDescent="0.15">
      <c r="A1458" s="76">
        <v>1357</v>
      </c>
      <c r="B1458" s="74" t="s">
        <v>828</v>
      </c>
      <c r="C1458" s="74" t="s">
        <v>829</v>
      </c>
      <c r="D1458" s="78" t="str">
        <f t="shared" si="46"/>
        <v>https://portal.dnb.de/opac.htm?method=simpleSearch&amp;cqlMode=true&amp;query=idn%3D99386581X</v>
      </c>
      <c r="E1458" s="74" t="s">
        <v>830</v>
      </c>
      <c r="F1458" s="74"/>
      <c r="G1458" s="76"/>
      <c r="H1458" s="77" t="s">
        <v>48</v>
      </c>
      <c r="I1458" s="76" t="s">
        <v>53</v>
      </c>
      <c r="J1458" s="77" t="s">
        <v>89</v>
      </c>
      <c r="K1458" s="77" t="s">
        <v>8565</v>
      </c>
      <c r="L1458" s="76"/>
      <c r="M1458" s="76"/>
      <c r="N1458" s="76"/>
      <c r="O1458" s="76">
        <v>0</v>
      </c>
      <c r="P1458" s="76"/>
      <c r="Q1458" s="76"/>
      <c r="R1458" s="76"/>
      <c r="S1458" s="76"/>
      <c r="BD1458" s="99">
        <f t="shared" si="47"/>
        <v>0</v>
      </c>
      <c r="CC1458" s="99"/>
      <c r="CV1458" s="99"/>
      <c r="CW1458" s="63"/>
    </row>
    <row r="1459" spans="1:101" x14ac:dyDescent="0.15">
      <c r="A1459" s="76">
        <v>1358</v>
      </c>
      <c r="B1459" s="74" t="s">
        <v>831</v>
      </c>
      <c r="C1459" s="74">
        <v>994204663</v>
      </c>
      <c r="D1459" s="78" t="str">
        <f t="shared" si="46"/>
        <v>https://portal.dnb.de/opac.htm?method=simpleSearch&amp;cqlMode=true&amp;query=idn%3D994204663</v>
      </c>
      <c r="E1459" s="74" t="s">
        <v>832</v>
      </c>
      <c r="F1459" s="74"/>
      <c r="G1459" s="76"/>
      <c r="H1459" s="77" t="s">
        <v>5</v>
      </c>
      <c r="I1459" s="76" t="s">
        <v>53</v>
      </c>
      <c r="J1459" s="77" t="s">
        <v>8516</v>
      </c>
      <c r="K1459" s="77"/>
      <c r="L1459" s="76"/>
      <c r="M1459" s="76"/>
      <c r="N1459" s="76"/>
      <c r="O1459" s="76">
        <v>1</v>
      </c>
      <c r="P1459" s="76"/>
      <c r="Q1459" s="76"/>
      <c r="R1459" s="76"/>
      <c r="S1459" s="76"/>
      <c r="Y1459" s="95" t="s">
        <v>9723</v>
      </c>
      <c r="AC1459" s="95" t="s">
        <v>9730</v>
      </c>
      <c r="AI1459" s="95" t="s">
        <v>9725</v>
      </c>
      <c r="AW1459" s="95">
        <v>60</v>
      </c>
      <c r="BC1459" s="96" t="s">
        <v>9726</v>
      </c>
      <c r="BD1459" s="99">
        <f t="shared" si="47"/>
        <v>2</v>
      </c>
      <c r="BP1459" s="69" t="s">
        <v>8541</v>
      </c>
      <c r="BQ1459" s="95" t="s">
        <v>8541</v>
      </c>
      <c r="BR1459" s="95" t="s">
        <v>8541</v>
      </c>
      <c r="CC1459" s="99">
        <v>2</v>
      </c>
      <c r="CD1459" s="90" t="s">
        <v>10119</v>
      </c>
      <c r="CV1459" s="99"/>
      <c r="CW1459" s="63"/>
    </row>
    <row r="1460" spans="1:101" x14ac:dyDescent="0.15">
      <c r="A1460" s="76">
        <v>1359</v>
      </c>
      <c r="B1460" s="74" t="s">
        <v>833</v>
      </c>
      <c r="C1460" s="74">
        <v>996008594</v>
      </c>
      <c r="D1460" s="78" t="str">
        <f t="shared" si="46"/>
        <v>https://portal.dnb.de/opac.htm?method=simpleSearch&amp;cqlMode=true&amp;query=idn%3D996008594</v>
      </c>
      <c r="E1460" s="74" t="s">
        <v>834</v>
      </c>
      <c r="F1460" s="74"/>
      <c r="G1460" s="76"/>
      <c r="H1460" s="77" t="s">
        <v>5</v>
      </c>
      <c r="I1460" s="76" t="s">
        <v>53</v>
      </c>
      <c r="J1460" s="77" t="s">
        <v>89</v>
      </c>
      <c r="K1460" s="77" t="s">
        <v>72</v>
      </c>
      <c r="L1460" s="76"/>
      <c r="M1460" s="76" t="s">
        <v>36</v>
      </c>
      <c r="N1460" s="76" t="s">
        <v>39</v>
      </c>
      <c r="O1460" s="76">
        <v>0</v>
      </c>
      <c r="P1460" s="76"/>
      <c r="Q1460" s="76"/>
      <c r="R1460" s="76"/>
      <c r="S1460" s="76"/>
      <c r="BD1460" s="99">
        <f t="shared" si="47"/>
        <v>0</v>
      </c>
      <c r="CC1460" s="99"/>
      <c r="CV1460" s="99"/>
      <c r="CW1460" s="63"/>
    </row>
    <row r="1461" spans="1:101" ht="22.5" x14ac:dyDescent="0.15">
      <c r="A1461" s="76">
        <v>1360</v>
      </c>
      <c r="B1461" s="74" t="s">
        <v>784</v>
      </c>
      <c r="C1461" s="74" t="s">
        <v>785</v>
      </c>
      <c r="D1461" s="78" t="str">
        <f t="shared" si="46"/>
        <v>https://portal.dnb.de/opac.htm?method=simpleSearch&amp;cqlMode=true&amp;query=idn%3D99600923X</v>
      </c>
      <c r="E1461" s="74" t="s">
        <v>786</v>
      </c>
      <c r="F1461" s="74"/>
      <c r="G1461" s="76"/>
      <c r="H1461" s="77" t="s">
        <v>48</v>
      </c>
      <c r="I1461" s="76" t="s">
        <v>53</v>
      </c>
      <c r="J1461" s="77" t="s">
        <v>8516</v>
      </c>
      <c r="K1461" s="77" t="s">
        <v>8539</v>
      </c>
      <c r="L1461" s="76"/>
      <c r="M1461" s="76"/>
      <c r="N1461" s="76" t="s">
        <v>8660</v>
      </c>
      <c r="O1461" s="76">
        <v>1</v>
      </c>
      <c r="P1461" s="76"/>
      <c r="Q1461" s="76"/>
      <c r="R1461" s="76"/>
      <c r="S1461" s="76"/>
      <c r="BD1461" s="99">
        <f t="shared" si="47"/>
        <v>0</v>
      </c>
      <c r="CC1461" s="99"/>
      <c r="CV1461" s="99"/>
      <c r="CW1461" s="63"/>
    </row>
    <row r="1462" spans="1:101" x14ac:dyDescent="0.15">
      <c r="A1462" s="76">
        <v>1361</v>
      </c>
      <c r="B1462" s="74" t="s">
        <v>787</v>
      </c>
      <c r="C1462" s="74">
        <v>994842791</v>
      </c>
      <c r="D1462" s="78" t="str">
        <f t="shared" si="46"/>
        <v>https://portal.dnb.de/opac.htm?method=simpleSearch&amp;cqlMode=true&amp;query=idn%3D994842791</v>
      </c>
      <c r="E1462" s="74" t="s">
        <v>788</v>
      </c>
      <c r="F1462" s="74"/>
      <c r="G1462" s="76"/>
      <c r="H1462" s="77"/>
      <c r="I1462" s="76"/>
      <c r="J1462" s="77"/>
      <c r="K1462" s="77"/>
      <c r="L1462" s="76"/>
      <c r="M1462" s="76"/>
      <c r="N1462" s="76"/>
      <c r="O1462" s="76"/>
      <c r="P1462" s="76"/>
      <c r="Q1462" s="76"/>
      <c r="R1462" s="76"/>
      <c r="S1462" s="76"/>
      <c r="BD1462" s="99">
        <f t="shared" si="47"/>
        <v>0</v>
      </c>
      <c r="CC1462" s="99"/>
      <c r="CV1462" s="99"/>
      <c r="CW1462" s="63"/>
    </row>
    <row r="1463" spans="1:101" x14ac:dyDescent="0.15">
      <c r="A1463" s="76">
        <v>1362</v>
      </c>
      <c r="B1463" s="74" t="s">
        <v>789</v>
      </c>
      <c r="C1463" s="74">
        <v>1002993040</v>
      </c>
      <c r="D1463" s="78" t="str">
        <f t="shared" si="46"/>
        <v>https://portal.dnb.de/opac.htm?method=simpleSearch&amp;cqlMode=true&amp;query=idn%3D1002993040</v>
      </c>
      <c r="E1463" s="74" t="s">
        <v>790</v>
      </c>
      <c r="F1463" s="74"/>
      <c r="G1463" s="76"/>
      <c r="H1463" s="77"/>
      <c r="I1463" s="76"/>
      <c r="J1463" s="77"/>
      <c r="K1463" s="77"/>
      <c r="L1463" s="76"/>
      <c r="M1463" s="76"/>
      <c r="N1463" s="76"/>
      <c r="O1463" s="76"/>
      <c r="P1463" s="76"/>
      <c r="Q1463" s="76"/>
      <c r="R1463" s="76"/>
      <c r="S1463" s="76"/>
      <c r="BD1463" s="99">
        <f t="shared" si="47"/>
        <v>0</v>
      </c>
      <c r="CC1463" s="99"/>
      <c r="CV1463" s="99"/>
      <c r="CW1463" s="63"/>
    </row>
    <row r="1464" spans="1:101" x14ac:dyDescent="0.15">
      <c r="A1464" s="76">
        <v>1363</v>
      </c>
      <c r="B1464" s="74" t="s">
        <v>791</v>
      </c>
      <c r="C1464" s="74">
        <v>998972436</v>
      </c>
      <c r="D1464" s="78" t="str">
        <f t="shared" si="46"/>
        <v>https://portal.dnb.de/opac.htm?method=simpleSearch&amp;cqlMode=true&amp;query=idn%3D998972436</v>
      </c>
      <c r="E1464" s="74" t="s">
        <v>792</v>
      </c>
      <c r="F1464" s="74"/>
      <c r="G1464" s="76"/>
      <c r="H1464" s="77"/>
      <c r="I1464" s="76"/>
      <c r="J1464" s="77"/>
      <c r="K1464" s="77"/>
      <c r="L1464" s="76"/>
      <c r="M1464" s="76"/>
      <c r="N1464" s="76"/>
      <c r="O1464" s="76"/>
      <c r="P1464" s="76"/>
      <c r="Q1464" s="76"/>
      <c r="R1464" s="76"/>
      <c r="S1464" s="76"/>
      <c r="BD1464" s="99">
        <f t="shared" si="47"/>
        <v>0</v>
      </c>
      <c r="CC1464" s="99"/>
      <c r="CV1464" s="99"/>
      <c r="CW1464" s="63"/>
    </row>
    <row r="1465" spans="1:101" x14ac:dyDescent="0.15">
      <c r="A1465" s="76">
        <v>1364</v>
      </c>
      <c r="B1465" s="74" t="s">
        <v>793</v>
      </c>
      <c r="C1465" s="74">
        <v>998972487</v>
      </c>
      <c r="D1465" s="78" t="str">
        <f t="shared" si="46"/>
        <v>https://portal.dnb.de/opac.htm?method=simpleSearch&amp;cqlMode=true&amp;query=idn%3D998972487</v>
      </c>
      <c r="E1465" s="74" t="s">
        <v>792</v>
      </c>
      <c r="F1465" s="74"/>
      <c r="G1465" s="76"/>
      <c r="H1465" s="77"/>
      <c r="I1465" s="76"/>
      <c r="J1465" s="77"/>
      <c r="K1465" s="77"/>
      <c r="L1465" s="76"/>
      <c r="M1465" s="76"/>
      <c r="N1465" s="76"/>
      <c r="O1465" s="76"/>
      <c r="P1465" s="76"/>
      <c r="Q1465" s="76"/>
      <c r="R1465" s="76"/>
      <c r="S1465" s="76"/>
      <c r="BD1465" s="99">
        <f t="shared" si="47"/>
        <v>0</v>
      </c>
      <c r="CC1465" s="99"/>
      <c r="CV1465" s="99"/>
      <c r="CW1465" s="63"/>
    </row>
    <row r="1466" spans="1:101" x14ac:dyDescent="0.15">
      <c r="A1466" s="76">
        <v>1365</v>
      </c>
      <c r="B1466" s="74" t="s">
        <v>794</v>
      </c>
      <c r="C1466" s="74">
        <v>1002976219</v>
      </c>
      <c r="D1466" s="78" t="str">
        <f t="shared" si="46"/>
        <v>https://portal.dnb.de/opac.htm?method=simpleSearch&amp;cqlMode=true&amp;query=idn%3D1002976219</v>
      </c>
      <c r="E1466" s="74" t="s">
        <v>795</v>
      </c>
      <c r="F1466" s="74"/>
      <c r="G1466" s="76"/>
      <c r="H1466" s="77"/>
      <c r="I1466" s="76"/>
      <c r="J1466" s="77"/>
      <c r="K1466" s="77"/>
      <c r="L1466" s="76"/>
      <c r="M1466" s="76"/>
      <c r="N1466" s="76"/>
      <c r="O1466" s="76"/>
      <c r="P1466" s="76"/>
      <c r="Q1466" s="76"/>
      <c r="R1466" s="76"/>
      <c r="S1466" s="76"/>
      <c r="BD1466" s="99">
        <f t="shared" si="47"/>
        <v>0</v>
      </c>
      <c r="CC1466" s="99"/>
      <c r="CV1466" s="99"/>
      <c r="CW1466" s="63"/>
    </row>
    <row r="1467" spans="1:101" x14ac:dyDescent="0.15">
      <c r="A1467" s="76">
        <v>1366</v>
      </c>
      <c r="B1467" s="74" t="s">
        <v>801</v>
      </c>
      <c r="C1467" s="74">
        <v>994426070</v>
      </c>
      <c r="D1467" s="78" t="str">
        <f t="shared" si="46"/>
        <v>https://portal.dnb.de/opac.htm?method=simpleSearch&amp;cqlMode=true&amp;query=idn%3D994426070</v>
      </c>
      <c r="E1467" s="74" t="s">
        <v>802</v>
      </c>
      <c r="F1467" s="74"/>
      <c r="G1467" s="76"/>
      <c r="H1467" s="77"/>
      <c r="I1467" s="76"/>
      <c r="J1467" s="77"/>
      <c r="K1467" s="77"/>
      <c r="L1467" s="76"/>
      <c r="M1467" s="76"/>
      <c r="N1467" s="76"/>
      <c r="O1467" s="76"/>
      <c r="P1467" s="76"/>
      <c r="Q1467" s="76"/>
      <c r="R1467" s="76"/>
      <c r="S1467" s="76"/>
      <c r="BD1467" s="99">
        <f t="shared" si="47"/>
        <v>0</v>
      </c>
      <c r="CC1467" s="99"/>
      <c r="CV1467" s="99"/>
      <c r="CW1467" s="63"/>
    </row>
    <row r="1468" spans="1:101" x14ac:dyDescent="0.15">
      <c r="A1468" s="76">
        <v>1367</v>
      </c>
      <c r="B1468" s="74" t="s">
        <v>803</v>
      </c>
      <c r="C1468" s="74">
        <v>999827456</v>
      </c>
      <c r="D1468" s="82" t="str">
        <f>HYPERLINK(CONCATENATE("https://portal.dnb.H1477de/opac.htm?method=simpleSearch&amp;cqlMode=true&amp;query=idn%3D",C1468))</f>
        <v>https://portal.dnb.H1477de/opac.htm?method=simpleSearch&amp;cqlMode=true&amp;query=idn%3D999827456</v>
      </c>
      <c r="E1468" s="74" t="s">
        <v>8929</v>
      </c>
      <c r="F1468" s="74"/>
      <c r="G1468" s="76"/>
      <c r="H1468" s="77"/>
      <c r="I1468" s="76"/>
      <c r="J1468" s="77"/>
      <c r="K1468" s="77"/>
      <c r="L1468" s="76"/>
      <c r="M1468" s="76"/>
      <c r="N1468" s="76"/>
      <c r="O1468" s="76"/>
      <c r="P1468" s="76"/>
      <c r="Q1468" s="76"/>
      <c r="R1468" s="76"/>
      <c r="S1468" s="76"/>
      <c r="BD1468" s="99">
        <f t="shared" si="47"/>
        <v>0</v>
      </c>
      <c r="CC1468" s="99"/>
      <c r="CV1468" s="99"/>
      <c r="CW1468" s="63"/>
    </row>
    <row r="1469" spans="1:101" ht="22.5" x14ac:dyDescent="0.15">
      <c r="A1469" s="76">
        <v>1368</v>
      </c>
      <c r="B1469" s="74" t="s">
        <v>804</v>
      </c>
      <c r="C1469" s="74" t="s">
        <v>805</v>
      </c>
      <c r="D1469" s="82" t="str">
        <f>HYPERLINK(CONCATENATE("https://'IV Drucke 1561-1800'!'IV Drucke 1561-1800'!G1480G1472/opac.htm?method=simpleSearch&amp;cqlMode=true&amp;query=idn%3D",C1469))</f>
        <v>https://'IV Drucke 1561-1800'!'IV Drucke 1561-1800'!G1480G1472/opac.htm?method=simpleSearch&amp;cqlMode=true&amp;query=idn%3D99635882X</v>
      </c>
      <c r="E1469" s="74" t="s">
        <v>8930</v>
      </c>
      <c r="F1469" s="74"/>
      <c r="G1469" s="76"/>
      <c r="H1469" s="77" t="s">
        <v>18</v>
      </c>
      <c r="I1469" s="76" t="s">
        <v>53</v>
      </c>
      <c r="J1469" s="77" t="s">
        <v>89</v>
      </c>
      <c r="K1469" s="77" t="s">
        <v>8565</v>
      </c>
      <c r="L1469" s="76"/>
      <c r="M1469" s="76" t="s">
        <v>36</v>
      </c>
      <c r="N1469" s="76" t="s">
        <v>39</v>
      </c>
      <c r="O1469" s="76">
        <v>0</v>
      </c>
      <c r="P1469" s="76"/>
      <c r="Q1469" s="76"/>
      <c r="R1469" s="76"/>
      <c r="S1469" s="76"/>
      <c r="BD1469" s="99">
        <f t="shared" si="47"/>
        <v>0</v>
      </c>
      <c r="CC1469" s="99"/>
      <c r="CV1469" s="99"/>
      <c r="CW1469" s="63"/>
    </row>
    <row r="1470" spans="1:101" ht="22.5" x14ac:dyDescent="0.15">
      <c r="A1470" s="76">
        <v>1369</v>
      </c>
      <c r="B1470" s="74" t="s">
        <v>806</v>
      </c>
      <c r="C1470" s="74">
        <v>996359001</v>
      </c>
      <c r="D1470" s="78" t="str">
        <f t="shared" si="46"/>
        <v>https://portal.dnb.de/opac.htm?method=simpleSearch&amp;cqlMode=true&amp;query=idn%3D996359001</v>
      </c>
      <c r="E1470" s="74" t="s">
        <v>8931</v>
      </c>
      <c r="F1470" s="74"/>
      <c r="G1470" s="76"/>
      <c r="H1470" s="77" t="s">
        <v>18</v>
      </c>
      <c r="I1470" s="76" t="s">
        <v>53</v>
      </c>
      <c r="J1470" s="77" t="s">
        <v>89</v>
      </c>
      <c r="K1470" s="77" t="s">
        <v>8565</v>
      </c>
      <c r="L1470" s="76"/>
      <c r="M1470" s="76" t="s">
        <v>36</v>
      </c>
      <c r="N1470" s="76" t="s">
        <v>39</v>
      </c>
      <c r="O1470" s="76">
        <v>0</v>
      </c>
      <c r="P1470" s="76"/>
      <c r="Q1470" s="76"/>
      <c r="R1470" s="76"/>
      <c r="S1470" s="76"/>
      <c r="BD1470" s="99">
        <f t="shared" si="47"/>
        <v>0</v>
      </c>
      <c r="CC1470" s="99"/>
      <c r="CV1470" s="99"/>
      <c r="CW1470" s="63"/>
    </row>
    <row r="1471" spans="1:101" x14ac:dyDescent="0.15">
      <c r="A1471" s="76">
        <v>1370</v>
      </c>
      <c r="B1471" s="74" t="s">
        <v>807</v>
      </c>
      <c r="C1471" s="74">
        <v>1003301142</v>
      </c>
      <c r="D1471" s="78" t="str">
        <f t="shared" si="46"/>
        <v>https://portal.dnb.de/opac.htm?method=simpleSearch&amp;cqlMode=true&amp;query=idn%3D1003301142</v>
      </c>
      <c r="E1471" s="74" t="s">
        <v>808</v>
      </c>
      <c r="F1471" s="74"/>
      <c r="G1471" s="76"/>
      <c r="H1471" s="77"/>
      <c r="I1471" s="76"/>
      <c r="J1471" s="77"/>
      <c r="K1471" s="77"/>
      <c r="L1471" s="76"/>
      <c r="M1471" s="76"/>
      <c r="N1471" s="76"/>
      <c r="O1471" s="76"/>
      <c r="P1471" s="76"/>
      <c r="Q1471" s="76"/>
      <c r="R1471" s="76"/>
      <c r="S1471" s="76"/>
      <c r="BD1471" s="99">
        <f t="shared" si="47"/>
        <v>0</v>
      </c>
      <c r="CC1471" s="99"/>
      <c r="CV1471" s="99"/>
      <c r="CW1471" s="63"/>
    </row>
    <row r="1472" spans="1:101" x14ac:dyDescent="0.15">
      <c r="A1472" s="76">
        <v>1371</v>
      </c>
      <c r="B1472" s="74" t="s">
        <v>809</v>
      </c>
      <c r="C1472" s="74">
        <v>1026157692</v>
      </c>
      <c r="D1472" s="78" t="str">
        <f t="shared" ref="D1472:D1540" si="48">HYPERLINK(CONCATENATE("https://portal.dnb.de/opac.htm?method=simpleSearch&amp;cqlMode=true&amp;query=idn%3D",C1472))</f>
        <v>https://portal.dnb.de/opac.htm?method=simpleSearch&amp;cqlMode=true&amp;query=idn%3D1026157692</v>
      </c>
      <c r="E1472" s="74" t="s">
        <v>810</v>
      </c>
      <c r="F1472" s="74"/>
      <c r="G1472" s="76"/>
      <c r="H1472" s="77"/>
      <c r="I1472" s="76"/>
      <c r="J1472" s="77"/>
      <c r="K1472" s="77"/>
      <c r="L1472" s="76"/>
      <c r="M1472" s="76"/>
      <c r="N1472" s="76"/>
      <c r="O1472" s="76"/>
      <c r="P1472" s="76"/>
      <c r="Q1472" s="76"/>
      <c r="R1472" s="76"/>
      <c r="S1472" s="76"/>
      <c r="BD1472" s="99">
        <f t="shared" si="47"/>
        <v>0</v>
      </c>
      <c r="CC1472" s="99"/>
      <c r="CV1472" s="99"/>
      <c r="CW1472" s="63"/>
    </row>
    <row r="1473" spans="1:101" x14ac:dyDescent="0.15">
      <c r="A1473" s="76">
        <v>1372</v>
      </c>
      <c r="B1473" s="74" t="s">
        <v>796</v>
      </c>
      <c r="C1473" s="74">
        <v>1003010490</v>
      </c>
      <c r="D1473" s="78" t="str">
        <f t="shared" si="48"/>
        <v>https://portal.dnb.de/opac.htm?method=simpleSearch&amp;cqlMode=true&amp;query=idn%3D1003010490</v>
      </c>
      <c r="E1473" s="74" t="s">
        <v>797</v>
      </c>
      <c r="F1473" s="74"/>
      <c r="G1473" s="76"/>
      <c r="H1473" s="77"/>
      <c r="I1473" s="76"/>
      <c r="J1473" s="77"/>
      <c r="K1473" s="77"/>
      <c r="L1473" s="76"/>
      <c r="M1473" s="76"/>
      <c r="N1473" s="76"/>
      <c r="O1473" s="76"/>
      <c r="P1473" s="76"/>
      <c r="Q1473" s="76"/>
      <c r="R1473" s="76"/>
      <c r="S1473" s="76"/>
      <c r="BD1473" s="99">
        <f t="shared" si="47"/>
        <v>0</v>
      </c>
      <c r="CC1473" s="99"/>
      <c r="CV1473" s="99"/>
      <c r="CW1473" s="63"/>
    </row>
    <row r="1474" spans="1:101" ht="22.5" x14ac:dyDescent="0.15">
      <c r="A1474" s="76">
        <v>1373</v>
      </c>
      <c r="B1474" s="74" t="s">
        <v>798</v>
      </c>
      <c r="C1474" s="74" t="s">
        <v>799</v>
      </c>
      <c r="D1474" s="78" t="str">
        <f t="shared" si="48"/>
        <v>https://portal.dnb.de/opac.htm?method=simpleSearch&amp;cqlMode=true&amp;query=idn%3D100299747X</v>
      </c>
      <c r="E1474" s="74" t="s">
        <v>8927</v>
      </c>
      <c r="F1474" s="74"/>
      <c r="G1474" s="76"/>
      <c r="H1474" s="77" t="s">
        <v>5</v>
      </c>
      <c r="I1474" s="76" t="s">
        <v>53</v>
      </c>
      <c r="J1474" s="77" t="s">
        <v>8516</v>
      </c>
      <c r="K1474" s="77" t="s">
        <v>8770</v>
      </c>
      <c r="L1474" s="76"/>
      <c r="M1474" s="76" t="s">
        <v>36</v>
      </c>
      <c r="N1474" s="76" t="s">
        <v>8790</v>
      </c>
      <c r="O1474" s="76">
        <v>0</v>
      </c>
      <c r="P1474" s="76"/>
      <c r="Q1474" s="76"/>
      <c r="R1474" s="76"/>
      <c r="S1474" s="76"/>
      <c r="BD1474" s="99">
        <f t="shared" si="47"/>
        <v>0</v>
      </c>
      <c r="CC1474" s="99"/>
      <c r="CV1474" s="99"/>
      <c r="CW1474" s="63"/>
    </row>
    <row r="1475" spans="1:101" ht="33.75" x14ac:dyDescent="0.15">
      <c r="A1475" s="76">
        <v>1374</v>
      </c>
      <c r="B1475" s="74" t="s">
        <v>800</v>
      </c>
      <c r="C1475" s="74">
        <v>1002997437</v>
      </c>
      <c r="D1475" s="78" t="str">
        <f t="shared" si="48"/>
        <v>https://portal.dnb.de/opac.htm?method=simpleSearch&amp;cqlMode=true&amp;query=idn%3D1002997437</v>
      </c>
      <c r="E1475" s="74" t="s">
        <v>8926</v>
      </c>
      <c r="F1475" s="74"/>
      <c r="G1475" s="76"/>
      <c r="H1475" s="77" t="s">
        <v>5</v>
      </c>
      <c r="I1475" s="76" t="s">
        <v>53</v>
      </c>
      <c r="J1475" s="77" t="s">
        <v>8516</v>
      </c>
      <c r="K1475" s="77" t="s">
        <v>8928</v>
      </c>
      <c r="L1475" s="76"/>
      <c r="M1475" s="76" t="s">
        <v>36</v>
      </c>
      <c r="N1475" s="76" t="s">
        <v>8790</v>
      </c>
      <c r="O1475" s="76">
        <v>0</v>
      </c>
      <c r="P1475" s="76"/>
      <c r="Q1475" s="76"/>
      <c r="R1475" s="76"/>
      <c r="S1475" s="76"/>
      <c r="BD1475" s="99">
        <f t="shared" ref="BD1475:BD1538" si="49">CC1475+CV1475</f>
        <v>0</v>
      </c>
      <c r="CC1475" s="99"/>
      <c r="CV1475" s="99"/>
      <c r="CW1475" s="63"/>
    </row>
    <row r="1476" spans="1:101" ht="33.75" x14ac:dyDescent="0.15">
      <c r="A1476" s="76">
        <v>1375</v>
      </c>
      <c r="B1476" s="74" t="s">
        <v>816</v>
      </c>
      <c r="C1476" s="74">
        <v>997137738</v>
      </c>
      <c r="D1476" s="78" t="str">
        <f t="shared" si="48"/>
        <v>https://portal.dnb.de/opac.htm?method=simpleSearch&amp;cqlMode=true&amp;query=idn%3D997137738</v>
      </c>
      <c r="E1476" s="74" t="s">
        <v>817</v>
      </c>
      <c r="F1476" s="74"/>
      <c r="G1476" s="76" t="s">
        <v>8515</v>
      </c>
      <c r="H1476" s="77" t="s">
        <v>8547</v>
      </c>
      <c r="I1476" s="76" t="s">
        <v>55</v>
      </c>
      <c r="J1476" s="77" t="s">
        <v>89</v>
      </c>
      <c r="K1476" s="77" t="s">
        <v>8667</v>
      </c>
      <c r="L1476" s="76"/>
      <c r="M1476" s="76" t="s">
        <v>38</v>
      </c>
      <c r="N1476" s="76" t="s">
        <v>40</v>
      </c>
      <c r="O1476" s="76">
        <v>0</v>
      </c>
      <c r="P1476" s="76"/>
      <c r="Q1476" s="76"/>
      <c r="R1476" s="76"/>
      <c r="S1476" s="76"/>
      <c r="BD1476" s="99">
        <f t="shared" si="49"/>
        <v>0</v>
      </c>
      <c r="CC1476" s="99"/>
      <c r="CV1476" s="99"/>
      <c r="CW1476" s="63"/>
    </row>
    <row r="1477" spans="1:101" x14ac:dyDescent="0.15">
      <c r="A1477" s="76">
        <v>1376</v>
      </c>
      <c r="B1477" s="74" t="s">
        <v>818</v>
      </c>
      <c r="C1477" s="74">
        <v>994442661</v>
      </c>
      <c r="D1477" s="78" t="str">
        <f t="shared" si="48"/>
        <v>https://portal.dnb.de/opac.htm?method=simpleSearch&amp;cqlMode=true&amp;query=idn%3D994442661</v>
      </c>
      <c r="E1477" s="74" t="s">
        <v>817</v>
      </c>
      <c r="F1477" s="74"/>
      <c r="G1477" s="76"/>
      <c r="H1477" s="77"/>
      <c r="I1477" s="76"/>
      <c r="J1477" s="77"/>
      <c r="K1477" s="77"/>
      <c r="L1477" s="76"/>
      <c r="M1477" s="76"/>
      <c r="N1477" s="76"/>
      <c r="O1477" s="76"/>
      <c r="P1477" s="76"/>
      <c r="Q1477" s="76"/>
      <c r="R1477" s="76"/>
      <c r="S1477" s="76"/>
      <c r="BD1477" s="99">
        <f t="shared" si="49"/>
        <v>0</v>
      </c>
      <c r="CC1477" s="99"/>
      <c r="CV1477" s="99"/>
      <c r="CW1477" s="63"/>
    </row>
    <row r="1478" spans="1:101" x14ac:dyDescent="0.15">
      <c r="A1478" s="76">
        <v>1377</v>
      </c>
      <c r="B1478" s="74" t="s">
        <v>819</v>
      </c>
      <c r="C1478" s="74">
        <v>994593406</v>
      </c>
      <c r="D1478" s="78" t="str">
        <f t="shared" si="48"/>
        <v>https://portal.dnb.de/opac.htm?method=simpleSearch&amp;cqlMode=true&amp;query=idn%3D994593406</v>
      </c>
      <c r="E1478" s="74" t="s">
        <v>817</v>
      </c>
      <c r="F1478" s="74"/>
      <c r="G1478" s="76"/>
      <c r="H1478" s="77"/>
      <c r="I1478" s="76"/>
      <c r="J1478" s="77"/>
      <c r="K1478" s="77"/>
      <c r="L1478" s="76"/>
      <c r="M1478" s="76"/>
      <c r="N1478" s="76"/>
      <c r="O1478" s="76"/>
      <c r="P1478" s="76"/>
      <c r="Q1478" s="76"/>
      <c r="R1478" s="76"/>
      <c r="S1478" s="76"/>
      <c r="BD1478" s="99">
        <f t="shared" si="49"/>
        <v>0</v>
      </c>
      <c r="CC1478" s="99"/>
      <c r="CV1478" s="99"/>
      <c r="CW1478" s="63"/>
    </row>
    <row r="1479" spans="1:101" x14ac:dyDescent="0.15">
      <c r="A1479" s="76">
        <v>1378</v>
      </c>
      <c r="B1479" s="74" t="s">
        <v>822</v>
      </c>
      <c r="C1479" s="74">
        <v>997645717</v>
      </c>
      <c r="D1479" s="78" t="str">
        <f t="shared" si="48"/>
        <v>https://portal.dnb.de/opac.htm?method=simpleSearch&amp;cqlMode=true&amp;query=idn%3D997645717</v>
      </c>
      <c r="E1479" s="74" t="s">
        <v>823</v>
      </c>
      <c r="F1479" s="74"/>
      <c r="G1479" s="76"/>
      <c r="H1479" s="77" t="s">
        <v>5</v>
      </c>
      <c r="I1479" s="76" t="s">
        <v>54</v>
      </c>
      <c r="J1479" s="77" t="s">
        <v>8516</v>
      </c>
      <c r="K1479" s="77"/>
      <c r="L1479" s="76"/>
      <c r="M1479" s="76" t="s">
        <v>38</v>
      </c>
      <c r="N1479" s="76" t="s">
        <v>40</v>
      </c>
      <c r="O1479" s="76">
        <v>0</v>
      </c>
      <c r="P1479" s="76"/>
      <c r="Q1479" s="76"/>
      <c r="R1479" s="76"/>
      <c r="S1479" s="76"/>
      <c r="BD1479" s="99">
        <f t="shared" si="49"/>
        <v>0</v>
      </c>
      <c r="CC1479" s="99"/>
      <c r="CV1479" s="99"/>
      <c r="CW1479" s="63"/>
    </row>
    <row r="1480" spans="1:101" ht="22.5" x14ac:dyDescent="0.15">
      <c r="A1480" s="76">
        <v>1379</v>
      </c>
      <c r="B1480" s="74" t="s">
        <v>835</v>
      </c>
      <c r="C1480" s="74">
        <v>1066773289</v>
      </c>
      <c r="D1480" s="78" t="str">
        <f t="shared" si="48"/>
        <v>https://portal.dnb.de/opac.htm?method=simpleSearch&amp;cqlMode=true&amp;query=idn%3D1066773289</v>
      </c>
      <c r="E1480" s="74" t="s">
        <v>836</v>
      </c>
      <c r="F1480" s="74"/>
      <c r="G1480" s="76" t="s">
        <v>8515</v>
      </c>
      <c r="H1480" s="77" t="s">
        <v>6</v>
      </c>
      <c r="I1480" s="76" t="s">
        <v>53</v>
      </c>
      <c r="J1480" s="77" t="s">
        <v>8516</v>
      </c>
      <c r="K1480" s="77" t="s">
        <v>8565</v>
      </c>
      <c r="L1480" s="76"/>
      <c r="M1480" s="76"/>
      <c r="N1480" s="76"/>
      <c r="O1480" s="76">
        <v>1</v>
      </c>
      <c r="P1480" s="76"/>
      <c r="Q1480" s="76"/>
      <c r="R1480" s="76"/>
      <c r="S1480" s="76"/>
      <c r="BD1480" s="99">
        <f t="shared" si="49"/>
        <v>0</v>
      </c>
      <c r="CC1480" s="99"/>
      <c r="CV1480" s="99"/>
      <c r="CW1480" s="63"/>
    </row>
    <row r="1481" spans="1:101" x14ac:dyDescent="0.15">
      <c r="A1481" s="76">
        <v>1380</v>
      </c>
      <c r="B1481" s="74" t="s">
        <v>837</v>
      </c>
      <c r="C1481" s="74">
        <v>1000011739</v>
      </c>
      <c r="D1481" s="78" t="str">
        <f t="shared" si="48"/>
        <v>https://portal.dnb.de/opac.htm?method=simpleSearch&amp;cqlMode=true&amp;query=idn%3D1000011739</v>
      </c>
      <c r="E1481" s="74" t="s">
        <v>838</v>
      </c>
      <c r="F1481" s="74"/>
      <c r="G1481" s="76" t="s">
        <v>8515</v>
      </c>
      <c r="H1481" s="77" t="s">
        <v>5</v>
      </c>
      <c r="I1481" s="76" t="s">
        <v>53</v>
      </c>
      <c r="J1481" s="77" t="s">
        <v>58</v>
      </c>
      <c r="K1481" s="77"/>
      <c r="L1481" s="76"/>
      <c r="M1481" s="76" t="s">
        <v>36</v>
      </c>
      <c r="N1481" s="76" t="s">
        <v>39</v>
      </c>
      <c r="O1481" s="76">
        <v>1</v>
      </c>
      <c r="P1481" s="76"/>
      <c r="Q1481" s="76"/>
      <c r="R1481" s="76"/>
      <c r="S1481" s="76"/>
      <c r="BD1481" s="99">
        <f t="shared" si="49"/>
        <v>0</v>
      </c>
      <c r="CC1481" s="99"/>
      <c r="CV1481" s="99"/>
      <c r="CW1481" s="63"/>
    </row>
    <row r="1482" spans="1:101" x14ac:dyDescent="0.15">
      <c r="A1482" s="76">
        <v>1381</v>
      </c>
      <c r="B1482" s="74" t="s">
        <v>839</v>
      </c>
      <c r="C1482" s="74" t="s">
        <v>840</v>
      </c>
      <c r="D1482" s="78" t="str">
        <f t="shared" si="48"/>
        <v>https://portal.dnb.de/opac.htm?method=simpleSearch&amp;cqlMode=true&amp;query=idn%3D106694170X</v>
      </c>
      <c r="E1482" s="74" t="s">
        <v>841</v>
      </c>
      <c r="F1482" s="74"/>
      <c r="G1482" s="76"/>
      <c r="H1482" s="77"/>
      <c r="I1482" s="76"/>
      <c r="J1482" s="77"/>
      <c r="K1482" s="77"/>
      <c r="L1482" s="76"/>
      <c r="M1482" s="76"/>
      <c r="N1482" s="76"/>
      <c r="O1482" s="76"/>
      <c r="P1482" s="76"/>
      <c r="Q1482" s="76"/>
      <c r="R1482" s="76"/>
      <c r="S1482" s="76"/>
      <c r="BD1482" s="99">
        <f t="shared" si="49"/>
        <v>0</v>
      </c>
      <c r="CC1482" s="99"/>
      <c r="CV1482" s="99"/>
      <c r="CW1482" s="63"/>
    </row>
    <row r="1483" spans="1:101" x14ac:dyDescent="0.15">
      <c r="A1483" s="76">
        <v>1382</v>
      </c>
      <c r="B1483" s="74" t="s">
        <v>842</v>
      </c>
      <c r="C1483" s="74">
        <v>1132652235</v>
      </c>
      <c r="D1483" s="78" t="str">
        <f t="shared" si="48"/>
        <v>https://portal.dnb.de/opac.htm?method=simpleSearch&amp;cqlMode=true&amp;query=idn%3D1132652235</v>
      </c>
      <c r="E1483" s="74" t="s">
        <v>843</v>
      </c>
      <c r="F1483" s="74"/>
      <c r="G1483" s="76"/>
      <c r="H1483" s="77"/>
      <c r="I1483" s="76"/>
      <c r="J1483" s="77"/>
      <c r="K1483" s="77"/>
      <c r="L1483" s="76"/>
      <c r="M1483" s="76"/>
      <c r="N1483" s="76"/>
      <c r="O1483" s="76"/>
      <c r="P1483" s="76"/>
      <c r="Q1483" s="76"/>
      <c r="R1483" s="76"/>
      <c r="S1483" s="76"/>
      <c r="BD1483" s="99">
        <f t="shared" si="49"/>
        <v>0</v>
      </c>
      <c r="CC1483" s="99"/>
      <c r="CV1483" s="99"/>
      <c r="CW1483" s="63"/>
    </row>
    <row r="1484" spans="1:101" ht="33.75" x14ac:dyDescent="0.15">
      <c r="A1484" s="76">
        <v>1383</v>
      </c>
      <c r="B1484" s="74" t="s">
        <v>844</v>
      </c>
      <c r="C1484" s="74">
        <v>1132652243</v>
      </c>
      <c r="D1484" s="78" t="str">
        <f t="shared" si="48"/>
        <v>https://portal.dnb.de/opac.htm?method=simpleSearch&amp;cqlMode=true&amp;query=idn%3D1132652243</v>
      </c>
      <c r="E1484" s="74" t="s">
        <v>8932</v>
      </c>
      <c r="F1484" s="74"/>
      <c r="G1484" s="76" t="s">
        <v>8515</v>
      </c>
      <c r="H1484" s="77" t="s">
        <v>8546</v>
      </c>
      <c r="I1484" s="76" t="s">
        <v>53</v>
      </c>
      <c r="J1484" s="77" t="s">
        <v>8516</v>
      </c>
      <c r="K1484" s="77" t="s">
        <v>84</v>
      </c>
      <c r="L1484" s="76"/>
      <c r="M1484" s="76" t="s">
        <v>37</v>
      </c>
      <c r="N1484" s="76" t="s">
        <v>40</v>
      </c>
      <c r="O1484" s="76">
        <v>1</v>
      </c>
      <c r="P1484" s="76"/>
      <c r="Q1484" s="76"/>
      <c r="R1484" s="76"/>
      <c r="S1484" s="76"/>
      <c r="BD1484" s="99">
        <f t="shared" si="49"/>
        <v>0</v>
      </c>
      <c r="CC1484" s="99"/>
      <c r="CV1484" s="99"/>
      <c r="CW1484" s="63"/>
    </row>
    <row r="1485" spans="1:101" x14ac:dyDescent="0.15">
      <c r="A1485" s="76">
        <v>1384</v>
      </c>
      <c r="B1485" s="74" t="s">
        <v>845</v>
      </c>
      <c r="C1485" s="74">
        <v>1066878749</v>
      </c>
      <c r="D1485" s="78" t="str">
        <f t="shared" si="48"/>
        <v>https://portal.dnb.de/opac.htm?method=simpleSearch&amp;cqlMode=true&amp;query=idn%3D1066878749</v>
      </c>
      <c r="E1485" s="74" t="s">
        <v>846</v>
      </c>
      <c r="F1485" s="74"/>
      <c r="G1485" s="76"/>
      <c r="H1485" s="77"/>
      <c r="I1485" s="76"/>
      <c r="J1485" s="77"/>
      <c r="K1485" s="77"/>
      <c r="L1485" s="76"/>
      <c r="M1485" s="76"/>
      <c r="N1485" s="76"/>
      <c r="O1485" s="76"/>
      <c r="P1485" s="76"/>
      <c r="Q1485" s="76"/>
      <c r="R1485" s="76"/>
      <c r="S1485" s="76"/>
      <c r="BD1485" s="99">
        <f t="shared" si="49"/>
        <v>0</v>
      </c>
      <c r="CC1485" s="99"/>
      <c r="CV1485" s="99"/>
      <c r="CW1485" s="63"/>
    </row>
    <row r="1486" spans="1:101" x14ac:dyDescent="0.15">
      <c r="A1486" s="76">
        <v>1385</v>
      </c>
      <c r="B1486" s="74" t="s">
        <v>847</v>
      </c>
      <c r="C1486" s="74" t="s">
        <v>848</v>
      </c>
      <c r="D1486" s="78" t="str">
        <f t="shared" si="48"/>
        <v>https://portal.dnb.de/opac.htm?method=simpleSearch&amp;cqlMode=true&amp;query=idn%3D99941836X</v>
      </c>
      <c r="E1486" s="74" t="s">
        <v>849</v>
      </c>
      <c r="F1486" s="74"/>
      <c r="G1486" s="76"/>
      <c r="H1486" s="77" t="s">
        <v>4</v>
      </c>
      <c r="I1486" s="76" t="s">
        <v>53</v>
      </c>
      <c r="J1486" s="77" t="s">
        <v>8516</v>
      </c>
      <c r="K1486" s="77" t="s">
        <v>84</v>
      </c>
      <c r="L1486" s="76"/>
      <c r="M1486" s="76"/>
      <c r="N1486" s="76" t="s">
        <v>8660</v>
      </c>
      <c r="O1486" s="76">
        <v>1</v>
      </c>
      <c r="P1486" s="76"/>
      <c r="Q1486" s="76"/>
      <c r="R1486" s="76"/>
      <c r="S1486" s="76"/>
      <c r="BD1486" s="99">
        <f t="shared" si="49"/>
        <v>0</v>
      </c>
      <c r="CC1486" s="99"/>
      <c r="CV1486" s="99"/>
      <c r="CW1486" s="63"/>
    </row>
    <row r="1487" spans="1:101" x14ac:dyDescent="0.15">
      <c r="A1487" s="76">
        <v>1386</v>
      </c>
      <c r="B1487" s="74" t="s">
        <v>850</v>
      </c>
      <c r="C1487" s="74">
        <v>994098596</v>
      </c>
      <c r="D1487" s="78" t="str">
        <f t="shared" si="48"/>
        <v>https://portal.dnb.de/opac.htm?method=simpleSearch&amp;cqlMode=true&amp;query=idn%3D994098596</v>
      </c>
      <c r="E1487" s="74" t="s">
        <v>851</v>
      </c>
      <c r="F1487" s="74"/>
      <c r="G1487" s="76"/>
      <c r="H1487" s="77"/>
      <c r="I1487" s="76"/>
      <c r="J1487" s="77"/>
      <c r="K1487" s="77"/>
      <c r="L1487" s="76"/>
      <c r="M1487" s="76"/>
      <c r="N1487" s="76"/>
      <c r="O1487" s="76"/>
      <c r="P1487" s="76"/>
      <c r="Q1487" s="76"/>
      <c r="R1487" s="76"/>
      <c r="S1487" s="76"/>
      <c r="BD1487" s="99">
        <f t="shared" si="49"/>
        <v>0</v>
      </c>
      <c r="CC1487" s="99"/>
      <c r="CV1487" s="99"/>
      <c r="CW1487" s="63"/>
    </row>
    <row r="1488" spans="1:101" ht="22.5" x14ac:dyDescent="0.15">
      <c r="A1488" s="76">
        <v>1387</v>
      </c>
      <c r="B1488" s="74" t="s">
        <v>852</v>
      </c>
      <c r="C1488" s="74">
        <v>995288879</v>
      </c>
      <c r="D1488" s="78" t="str">
        <f t="shared" si="48"/>
        <v>https://portal.dnb.de/opac.htm?method=simpleSearch&amp;cqlMode=true&amp;query=idn%3D995288879</v>
      </c>
      <c r="E1488" s="74" t="s">
        <v>853</v>
      </c>
      <c r="F1488" s="74"/>
      <c r="G1488" s="76"/>
      <c r="H1488" s="77" t="s">
        <v>48</v>
      </c>
      <c r="I1488" s="76" t="s">
        <v>53</v>
      </c>
      <c r="J1488" s="77" t="s">
        <v>8516</v>
      </c>
      <c r="K1488" s="77" t="s">
        <v>8564</v>
      </c>
      <c r="L1488" s="76"/>
      <c r="M1488" s="76"/>
      <c r="N1488" s="76" t="s">
        <v>8660</v>
      </c>
      <c r="O1488" s="76">
        <v>0</v>
      </c>
      <c r="P1488" s="76"/>
      <c r="Q1488" s="76" t="s">
        <v>9040</v>
      </c>
      <c r="R1488" s="76"/>
      <c r="S1488" s="76"/>
      <c r="BD1488" s="99">
        <f t="shared" si="49"/>
        <v>0</v>
      </c>
      <c r="CC1488" s="99"/>
      <c r="CV1488" s="99"/>
      <c r="CW1488" s="63"/>
    </row>
    <row r="1489" spans="1:101" x14ac:dyDescent="0.15">
      <c r="A1489" s="76">
        <v>1388</v>
      </c>
      <c r="B1489" s="74" t="s">
        <v>854</v>
      </c>
      <c r="C1489" s="74">
        <v>1008045985</v>
      </c>
      <c r="D1489" s="78" t="str">
        <f t="shared" si="48"/>
        <v>https://portal.dnb.de/opac.htm?method=simpleSearch&amp;cqlMode=true&amp;query=idn%3D1008045985</v>
      </c>
      <c r="E1489" s="74" t="s">
        <v>855</v>
      </c>
      <c r="F1489" s="74"/>
      <c r="G1489" s="76"/>
      <c r="H1489" s="77"/>
      <c r="I1489" s="76"/>
      <c r="J1489" s="77"/>
      <c r="K1489" s="77"/>
      <c r="L1489" s="76"/>
      <c r="M1489" s="76"/>
      <c r="N1489" s="76"/>
      <c r="O1489" s="76"/>
      <c r="P1489" s="76"/>
      <c r="Q1489" s="76"/>
      <c r="R1489" s="76"/>
      <c r="S1489" s="76"/>
      <c r="BD1489" s="99">
        <f t="shared" si="49"/>
        <v>0</v>
      </c>
      <c r="CC1489" s="99"/>
      <c r="CV1489" s="99"/>
      <c r="CW1489" s="63"/>
    </row>
    <row r="1490" spans="1:101" x14ac:dyDescent="0.15">
      <c r="A1490" s="76">
        <v>1389</v>
      </c>
      <c r="B1490" s="74" t="s">
        <v>856</v>
      </c>
      <c r="C1490" s="74">
        <v>1066940894</v>
      </c>
      <c r="D1490" s="78" t="str">
        <f t="shared" si="48"/>
        <v>https://portal.dnb.de/opac.htm?method=simpleSearch&amp;cqlMode=true&amp;query=idn%3D1066940894</v>
      </c>
      <c r="E1490" s="74" t="s">
        <v>857</v>
      </c>
      <c r="F1490" s="74"/>
      <c r="G1490" s="76"/>
      <c r="H1490" s="77"/>
      <c r="I1490" s="76"/>
      <c r="J1490" s="77"/>
      <c r="K1490" s="77"/>
      <c r="L1490" s="76"/>
      <c r="M1490" s="76"/>
      <c r="N1490" s="76"/>
      <c r="O1490" s="76"/>
      <c r="P1490" s="76"/>
      <c r="Q1490" s="76"/>
      <c r="R1490" s="76"/>
      <c r="S1490" s="76"/>
      <c r="BD1490" s="99">
        <f t="shared" si="49"/>
        <v>0</v>
      </c>
      <c r="CC1490" s="99"/>
      <c r="CV1490" s="99"/>
      <c r="CW1490" s="63"/>
    </row>
    <row r="1491" spans="1:101" x14ac:dyDescent="0.15">
      <c r="A1491" s="76">
        <v>1390</v>
      </c>
      <c r="B1491" s="74" t="s">
        <v>858</v>
      </c>
      <c r="C1491" s="74">
        <v>1066756090</v>
      </c>
      <c r="D1491" s="78" t="str">
        <f t="shared" si="48"/>
        <v>https://portal.dnb.de/opac.htm?method=simpleSearch&amp;cqlMode=true&amp;query=idn%3D1066756090</v>
      </c>
      <c r="E1491" s="74" t="s">
        <v>859</v>
      </c>
      <c r="F1491" s="74"/>
      <c r="G1491" s="76" t="s">
        <v>8515</v>
      </c>
      <c r="H1491" s="77" t="s">
        <v>6</v>
      </c>
      <c r="I1491" s="76" t="s">
        <v>53</v>
      </c>
      <c r="J1491" s="77" t="s">
        <v>8516</v>
      </c>
      <c r="K1491" s="77" t="s">
        <v>84</v>
      </c>
      <c r="L1491" s="76"/>
      <c r="M1491" s="76"/>
      <c r="N1491" s="76"/>
      <c r="O1491" s="76">
        <v>1</v>
      </c>
      <c r="P1491" s="76"/>
      <c r="Q1491" s="76"/>
      <c r="R1491" s="76"/>
      <c r="S1491" s="76"/>
      <c r="BD1491" s="99">
        <f t="shared" si="49"/>
        <v>0</v>
      </c>
      <c r="CC1491" s="99"/>
      <c r="CV1491" s="99"/>
      <c r="CW1491" s="63"/>
    </row>
    <row r="1492" spans="1:101" ht="33.75" x14ac:dyDescent="0.15">
      <c r="A1492" s="76">
        <v>1391</v>
      </c>
      <c r="B1492" s="74" t="s">
        <v>860</v>
      </c>
      <c r="C1492" s="74">
        <v>1066941270</v>
      </c>
      <c r="D1492" s="78" t="str">
        <f t="shared" si="48"/>
        <v>https://portal.dnb.de/opac.htm?method=simpleSearch&amp;cqlMode=true&amp;query=idn%3D1066941270</v>
      </c>
      <c r="E1492" s="74" t="s">
        <v>861</v>
      </c>
      <c r="F1492" s="74"/>
      <c r="G1492" s="76" t="s">
        <v>8515</v>
      </c>
      <c r="H1492" s="77" t="s">
        <v>8673</v>
      </c>
      <c r="I1492" s="76" t="s">
        <v>53</v>
      </c>
      <c r="J1492" s="77" t="s">
        <v>89</v>
      </c>
      <c r="K1492" s="77" t="s">
        <v>8667</v>
      </c>
      <c r="L1492" s="76"/>
      <c r="M1492" s="76" t="s">
        <v>37</v>
      </c>
      <c r="N1492" s="76" t="s">
        <v>40</v>
      </c>
      <c r="O1492" s="76">
        <v>1</v>
      </c>
      <c r="P1492" s="76"/>
      <c r="Q1492" s="76"/>
      <c r="R1492" s="76"/>
      <c r="S1492" s="76"/>
      <c r="Y1492" s="95" t="s">
        <v>9729</v>
      </c>
      <c r="AC1492" s="95" t="s">
        <v>9724</v>
      </c>
      <c r="AI1492" s="95" t="s">
        <v>9725</v>
      </c>
      <c r="AU1492" s="95">
        <v>2</v>
      </c>
      <c r="AV1492" s="95" t="s">
        <v>8541</v>
      </c>
      <c r="AW1492" s="95">
        <v>60</v>
      </c>
      <c r="BC1492" s="96" t="s">
        <v>9726</v>
      </c>
      <c r="BD1492" s="99">
        <f t="shared" si="49"/>
        <v>0.5</v>
      </c>
      <c r="BH1492" s="95" t="s">
        <v>8541</v>
      </c>
      <c r="BP1492" s="69" t="s">
        <v>8541</v>
      </c>
      <c r="BQ1492" s="95" t="s">
        <v>8541</v>
      </c>
      <c r="BR1492" s="95" t="s">
        <v>8541</v>
      </c>
      <c r="CC1492" s="99">
        <v>0.5</v>
      </c>
      <c r="CV1492" s="99"/>
      <c r="CW1492" s="63"/>
    </row>
    <row r="1493" spans="1:101" x14ac:dyDescent="0.15">
      <c r="A1493" s="76">
        <v>1392</v>
      </c>
      <c r="B1493" s="74" t="s">
        <v>865</v>
      </c>
      <c r="C1493" s="74">
        <v>1132654564</v>
      </c>
      <c r="D1493" s="78" t="str">
        <f t="shared" si="48"/>
        <v>https://portal.dnb.de/opac.htm?method=simpleSearch&amp;cqlMode=true&amp;query=idn%3D1132654564</v>
      </c>
      <c r="E1493" s="74" t="s">
        <v>10398</v>
      </c>
      <c r="F1493" s="74"/>
      <c r="G1493" s="76"/>
      <c r="H1493" s="77"/>
      <c r="I1493" s="76"/>
      <c r="J1493" s="77"/>
      <c r="K1493" s="77"/>
      <c r="L1493" s="76"/>
      <c r="M1493" s="76"/>
      <c r="N1493" s="76"/>
      <c r="O1493" s="76"/>
      <c r="P1493" s="76"/>
      <c r="Q1493" s="76"/>
      <c r="R1493" s="76"/>
      <c r="S1493" s="76"/>
      <c r="BD1493" s="99">
        <f t="shared" si="49"/>
        <v>0</v>
      </c>
      <c r="CC1493" s="99"/>
      <c r="CV1493" s="99"/>
      <c r="CW1493" s="63"/>
    </row>
    <row r="1494" spans="1:101" ht="22.5" x14ac:dyDescent="0.15">
      <c r="A1494" s="76">
        <v>1393</v>
      </c>
      <c r="B1494" s="74" t="s">
        <v>867</v>
      </c>
      <c r="C1494" s="74">
        <v>1132654556</v>
      </c>
      <c r="D1494" s="78" t="str">
        <f t="shared" si="48"/>
        <v>https://portal.dnb.de/opac.htm?method=simpleSearch&amp;cqlMode=true&amp;query=idn%3D1132654556</v>
      </c>
      <c r="E1494" s="74" t="s">
        <v>866</v>
      </c>
      <c r="F1494" s="74"/>
      <c r="G1494" s="76"/>
      <c r="H1494" s="77"/>
      <c r="I1494" s="76" t="s">
        <v>55</v>
      </c>
      <c r="J1494" s="77"/>
      <c r="K1494" s="77"/>
      <c r="L1494" s="76"/>
      <c r="M1494" s="76"/>
      <c r="N1494" s="76"/>
      <c r="O1494" s="76"/>
      <c r="P1494" s="76"/>
      <c r="Q1494" s="76"/>
      <c r="R1494" s="76"/>
      <c r="S1494" s="76"/>
      <c r="Y1494" s="95" t="s">
        <v>9723</v>
      </c>
      <c r="AB1494" s="95" t="s">
        <v>8541</v>
      </c>
      <c r="AC1494" s="95" t="s">
        <v>9724</v>
      </c>
      <c r="AI1494" s="95" t="s">
        <v>9725</v>
      </c>
      <c r="AW1494" s="95">
        <v>60</v>
      </c>
      <c r="BC1494" s="96" t="s">
        <v>9726</v>
      </c>
      <c r="BD1494" s="99">
        <f t="shared" si="49"/>
        <v>2</v>
      </c>
      <c r="BJ1494" s="95" t="s">
        <v>9741</v>
      </c>
      <c r="BK1494" s="95" t="s">
        <v>8541</v>
      </c>
      <c r="BP1494" s="69" t="s">
        <v>8541</v>
      </c>
      <c r="BQ1494" s="95" t="s">
        <v>8541</v>
      </c>
      <c r="BR1494" s="95" t="s">
        <v>8541</v>
      </c>
      <c r="CB1494" s="95" t="s">
        <v>9818</v>
      </c>
      <c r="CC1494" s="99">
        <v>2</v>
      </c>
      <c r="CD1494" s="90" t="s">
        <v>10399</v>
      </c>
      <c r="CV1494" s="99"/>
      <c r="CW1494" s="63"/>
    </row>
    <row r="1495" spans="1:101" x14ac:dyDescent="0.15">
      <c r="A1495" s="76">
        <v>1394</v>
      </c>
      <c r="B1495" s="74" t="s">
        <v>862</v>
      </c>
      <c r="C1495" s="74">
        <v>1132654564</v>
      </c>
      <c r="D1495" s="78" t="str">
        <f t="shared" si="48"/>
        <v>https://portal.dnb.de/opac.htm?method=simpleSearch&amp;cqlMode=true&amp;query=idn%3D1132654564</v>
      </c>
      <c r="E1495" s="74" t="s">
        <v>10395</v>
      </c>
      <c r="F1495" s="74"/>
      <c r="G1495" s="76"/>
      <c r="H1495" s="77"/>
      <c r="I1495" s="76"/>
      <c r="J1495" s="77"/>
      <c r="K1495" s="77"/>
      <c r="L1495" s="76"/>
      <c r="M1495" s="76"/>
      <c r="N1495" s="76"/>
      <c r="O1495" s="76"/>
      <c r="P1495" s="76"/>
      <c r="Q1495" s="76"/>
      <c r="R1495" s="76"/>
      <c r="S1495" s="76"/>
      <c r="BD1495" s="99">
        <f t="shared" si="49"/>
        <v>0</v>
      </c>
      <c r="CC1495" s="99"/>
      <c r="CV1495" s="99"/>
      <c r="CW1495" s="63"/>
    </row>
    <row r="1496" spans="1:101" ht="112.5" x14ac:dyDescent="0.15">
      <c r="A1496" s="76">
        <v>1395</v>
      </c>
      <c r="B1496" s="74" t="s">
        <v>864</v>
      </c>
      <c r="C1496" s="74">
        <v>1132654556</v>
      </c>
      <c r="D1496" s="78" t="str">
        <f t="shared" si="48"/>
        <v>https://portal.dnb.de/opac.htm?method=simpleSearch&amp;cqlMode=true&amp;query=idn%3D1132654556</v>
      </c>
      <c r="E1496" s="74" t="s">
        <v>863</v>
      </c>
      <c r="F1496" s="74"/>
      <c r="G1496" s="76"/>
      <c r="H1496" s="77"/>
      <c r="I1496" s="76" t="s">
        <v>55</v>
      </c>
      <c r="J1496" s="77"/>
      <c r="K1496" s="77"/>
      <c r="L1496" s="76"/>
      <c r="M1496" s="76"/>
      <c r="N1496" s="76"/>
      <c r="O1496" s="76"/>
      <c r="P1496" s="76"/>
      <c r="Q1496" s="76"/>
      <c r="R1496" s="76"/>
      <c r="S1496" s="76"/>
      <c r="Y1496" s="95" t="s">
        <v>9723</v>
      </c>
      <c r="AB1496" s="95" t="s">
        <v>8541</v>
      </c>
      <c r="AC1496" s="95" t="s">
        <v>9724</v>
      </c>
      <c r="AI1496" s="95" t="s">
        <v>9725</v>
      </c>
      <c r="AN1496" s="95" t="s">
        <v>8541</v>
      </c>
      <c r="AW1496" s="95">
        <v>60</v>
      </c>
      <c r="BC1496" s="96" t="s">
        <v>9726</v>
      </c>
      <c r="BD1496" s="99">
        <f t="shared" si="49"/>
        <v>8</v>
      </c>
      <c r="BJ1496" s="95" t="s">
        <v>9741</v>
      </c>
      <c r="BK1496" s="95" t="s">
        <v>8541</v>
      </c>
      <c r="BL1496" s="70" t="s">
        <v>10396</v>
      </c>
      <c r="BP1496" s="69" t="s">
        <v>8541</v>
      </c>
      <c r="BQ1496" s="95" t="s">
        <v>8541</v>
      </c>
      <c r="BR1496" s="95" t="s">
        <v>8541</v>
      </c>
      <c r="BT1496" s="95" t="s">
        <v>9772</v>
      </c>
      <c r="CC1496" s="99">
        <v>8</v>
      </c>
      <c r="CD1496" s="90" t="s">
        <v>10397</v>
      </c>
      <c r="CV1496" s="99"/>
      <c r="CW1496" s="63"/>
    </row>
    <row r="1497" spans="1:101" x14ac:dyDescent="0.15">
      <c r="A1497" s="76">
        <v>1396</v>
      </c>
      <c r="B1497" s="74" t="s">
        <v>868</v>
      </c>
      <c r="C1497" s="74">
        <v>1003589871</v>
      </c>
      <c r="D1497" s="78" t="str">
        <f t="shared" si="48"/>
        <v>https://portal.dnb.de/opac.htm?method=simpleSearch&amp;cqlMode=true&amp;query=idn%3D1003589871</v>
      </c>
      <c r="E1497" s="74" t="s">
        <v>869</v>
      </c>
      <c r="F1497" s="74"/>
      <c r="G1497" s="76"/>
      <c r="H1497" s="77"/>
      <c r="I1497" s="76"/>
      <c r="J1497" s="77"/>
      <c r="K1497" s="77"/>
      <c r="L1497" s="76"/>
      <c r="M1497" s="76"/>
      <c r="N1497" s="76"/>
      <c r="O1497" s="76"/>
      <c r="P1497" s="76"/>
      <c r="Q1497" s="76"/>
      <c r="R1497" s="76"/>
      <c r="S1497" s="76"/>
      <c r="BD1497" s="99">
        <f t="shared" si="49"/>
        <v>0</v>
      </c>
      <c r="CC1497" s="99"/>
      <c r="CV1497" s="99"/>
      <c r="CW1497" s="63"/>
    </row>
    <row r="1498" spans="1:101" x14ac:dyDescent="0.15">
      <c r="A1498" s="76">
        <v>1397</v>
      </c>
      <c r="B1498" s="74" t="s">
        <v>870</v>
      </c>
      <c r="C1498" s="74">
        <v>994729499</v>
      </c>
      <c r="D1498" s="78" t="str">
        <f t="shared" si="48"/>
        <v>https://portal.dnb.de/opac.htm?method=simpleSearch&amp;cqlMode=true&amp;query=idn%3D994729499</v>
      </c>
      <c r="E1498" s="74" t="s">
        <v>871</v>
      </c>
      <c r="F1498" s="74"/>
      <c r="G1498" s="76" t="s">
        <v>8515</v>
      </c>
      <c r="H1498" s="77" t="s">
        <v>5</v>
      </c>
      <c r="I1498" s="76" t="s">
        <v>53</v>
      </c>
      <c r="J1498" s="77" t="s">
        <v>89</v>
      </c>
      <c r="K1498" s="77" t="s">
        <v>72</v>
      </c>
      <c r="L1498" s="76"/>
      <c r="M1498" s="76"/>
      <c r="N1498" s="76"/>
      <c r="O1498" s="76">
        <v>0</v>
      </c>
      <c r="P1498" s="76"/>
      <c r="Q1498" s="76"/>
      <c r="R1498" s="76"/>
      <c r="S1498" s="76"/>
      <c r="BD1498" s="99">
        <f t="shared" si="49"/>
        <v>0</v>
      </c>
      <c r="CC1498" s="99"/>
      <c r="CV1498" s="99"/>
      <c r="CW1498" s="63"/>
    </row>
    <row r="1499" spans="1:101" x14ac:dyDescent="0.15">
      <c r="A1499" s="76">
        <v>1398</v>
      </c>
      <c r="B1499" s="74" t="s">
        <v>872</v>
      </c>
      <c r="C1499" s="74">
        <v>1066940541</v>
      </c>
      <c r="D1499" s="78" t="str">
        <f t="shared" si="48"/>
        <v>https://portal.dnb.de/opac.htm?method=simpleSearch&amp;cqlMode=true&amp;query=idn%3D1066940541</v>
      </c>
      <c r="E1499" s="74" t="s">
        <v>873</v>
      </c>
      <c r="F1499" s="74"/>
      <c r="G1499" s="76"/>
      <c r="H1499" s="77"/>
      <c r="I1499" s="76"/>
      <c r="J1499" s="77"/>
      <c r="K1499" s="77"/>
      <c r="L1499" s="76"/>
      <c r="M1499" s="76"/>
      <c r="N1499" s="76"/>
      <c r="O1499" s="76"/>
      <c r="P1499" s="76"/>
      <c r="Q1499" s="76"/>
      <c r="R1499" s="76"/>
      <c r="S1499" s="76"/>
      <c r="BD1499" s="99">
        <f t="shared" si="49"/>
        <v>0</v>
      </c>
      <c r="CC1499" s="99"/>
      <c r="CV1499" s="99"/>
      <c r="CW1499" s="63"/>
    </row>
    <row r="1500" spans="1:101" x14ac:dyDescent="0.15">
      <c r="A1500" s="76">
        <v>1399</v>
      </c>
      <c r="B1500" s="74" t="s">
        <v>874</v>
      </c>
      <c r="C1500" s="74">
        <v>1066940916</v>
      </c>
      <c r="D1500" s="78" t="str">
        <f t="shared" si="48"/>
        <v>https://portal.dnb.de/opac.htm?method=simpleSearch&amp;cqlMode=true&amp;query=idn%3D1066940916</v>
      </c>
      <c r="E1500" s="74" t="s">
        <v>875</v>
      </c>
      <c r="F1500" s="74"/>
      <c r="G1500" s="76" t="s">
        <v>8515</v>
      </c>
      <c r="H1500" s="77" t="s">
        <v>49</v>
      </c>
      <c r="I1500" s="76" t="s">
        <v>53</v>
      </c>
      <c r="J1500" s="77" t="s">
        <v>8516</v>
      </c>
      <c r="K1500" s="77" t="s">
        <v>8577</v>
      </c>
      <c r="L1500" s="76"/>
      <c r="M1500" s="76"/>
      <c r="N1500" s="76"/>
      <c r="O1500" s="76">
        <v>0</v>
      </c>
      <c r="P1500" s="76"/>
      <c r="Q1500" s="76"/>
      <c r="R1500" s="76"/>
      <c r="S1500" s="76"/>
      <c r="BD1500" s="99">
        <f t="shared" si="49"/>
        <v>0</v>
      </c>
      <c r="CC1500" s="99"/>
      <c r="CV1500" s="99"/>
      <c r="CW1500" s="63"/>
    </row>
    <row r="1501" spans="1:101" x14ac:dyDescent="0.15">
      <c r="A1501" s="76">
        <v>1400</v>
      </c>
      <c r="B1501" s="74" t="s">
        <v>876</v>
      </c>
      <c r="C1501" s="74">
        <v>1066760357</v>
      </c>
      <c r="D1501" s="78" t="str">
        <f t="shared" si="48"/>
        <v>https://portal.dnb.de/opac.htm?method=simpleSearch&amp;cqlMode=true&amp;query=idn%3D1066760357</v>
      </c>
      <c r="E1501" s="74" t="s">
        <v>877</v>
      </c>
      <c r="F1501" s="74"/>
      <c r="G1501" s="76" t="s">
        <v>8515</v>
      </c>
      <c r="H1501" s="77" t="s">
        <v>49</v>
      </c>
      <c r="I1501" s="76" t="s">
        <v>53</v>
      </c>
      <c r="J1501" s="77" t="s">
        <v>8516</v>
      </c>
      <c r="K1501" s="77" t="s">
        <v>8577</v>
      </c>
      <c r="L1501" s="76"/>
      <c r="M1501" s="76"/>
      <c r="N1501" s="76"/>
      <c r="O1501" s="76">
        <v>0</v>
      </c>
      <c r="P1501" s="76"/>
      <c r="Q1501" s="76"/>
      <c r="R1501" s="76"/>
      <c r="S1501" s="76"/>
      <c r="BD1501" s="99">
        <f t="shared" si="49"/>
        <v>0</v>
      </c>
      <c r="CC1501" s="99"/>
      <c r="CV1501" s="99"/>
      <c r="CW1501" s="63"/>
    </row>
    <row r="1502" spans="1:101" x14ac:dyDescent="0.15">
      <c r="A1502" s="76">
        <v>1401</v>
      </c>
      <c r="B1502" s="74" t="s">
        <v>878</v>
      </c>
      <c r="C1502" s="74">
        <v>1066940924</v>
      </c>
      <c r="D1502" s="78" t="str">
        <f t="shared" si="48"/>
        <v>https://portal.dnb.de/opac.htm?method=simpleSearch&amp;cqlMode=true&amp;query=idn%3D1066940924</v>
      </c>
      <c r="E1502" s="74" t="s">
        <v>879</v>
      </c>
      <c r="F1502" s="74"/>
      <c r="G1502" s="76" t="s">
        <v>8515</v>
      </c>
      <c r="H1502" s="77" t="s">
        <v>49</v>
      </c>
      <c r="I1502" s="76" t="s">
        <v>53</v>
      </c>
      <c r="J1502" s="77" t="s">
        <v>8516</v>
      </c>
      <c r="K1502" s="77" t="s">
        <v>8577</v>
      </c>
      <c r="L1502" s="76"/>
      <c r="M1502" s="76"/>
      <c r="N1502" s="76"/>
      <c r="O1502" s="76">
        <v>0</v>
      </c>
      <c r="P1502" s="76"/>
      <c r="Q1502" s="76"/>
      <c r="R1502" s="76"/>
      <c r="S1502" s="76"/>
      <c r="BD1502" s="99">
        <f t="shared" si="49"/>
        <v>0</v>
      </c>
      <c r="CC1502" s="99"/>
      <c r="CV1502" s="99"/>
      <c r="CW1502" s="63"/>
    </row>
    <row r="1503" spans="1:101" x14ac:dyDescent="0.15">
      <c r="A1503" s="76">
        <v>1402</v>
      </c>
      <c r="B1503" s="74" t="s">
        <v>880</v>
      </c>
      <c r="C1503" s="74">
        <v>1066940932</v>
      </c>
      <c r="D1503" s="78" t="str">
        <f t="shared" si="48"/>
        <v>https://portal.dnb.de/opac.htm?method=simpleSearch&amp;cqlMode=true&amp;query=idn%3D1066940932</v>
      </c>
      <c r="E1503" s="74" t="s">
        <v>881</v>
      </c>
      <c r="F1503" s="74"/>
      <c r="G1503" s="76" t="s">
        <v>8515</v>
      </c>
      <c r="H1503" s="77" t="s">
        <v>49</v>
      </c>
      <c r="I1503" s="76" t="s">
        <v>53</v>
      </c>
      <c r="J1503" s="77" t="s">
        <v>8516</v>
      </c>
      <c r="K1503" s="77" t="s">
        <v>8577</v>
      </c>
      <c r="L1503" s="76"/>
      <c r="M1503" s="76"/>
      <c r="N1503" s="76"/>
      <c r="O1503" s="76">
        <v>0</v>
      </c>
      <c r="P1503" s="76"/>
      <c r="Q1503" s="76"/>
      <c r="R1503" s="76"/>
      <c r="S1503" s="76"/>
      <c r="BD1503" s="99">
        <f t="shared" si="49"/>
        <v>0</v>
      </c>
      <c r="CC1503" s="99"/>
      <c r="CV1503" s="99"/>
      <c r="CW1503" s="63"/>
    </row>
    <row r="1504" spans="1:101" x14ac:dyDescent="0.15">
      <c r="A1504" s="76">
        <v>1403</v>
      </c>
      <c r="B1504" s="74" t="s">
        <v>882</v>
      </c>
      <c r="C1504" s="74">
        <v>1066956367</v>
      </c>
      <c r="D1504" s="78" t="str">
        <f t="shared" si="48"/>
        <v>https://portal.dnb.de/opac.htm?method=simpleSearch&amp;cqlMode=true&amp;query=idn%3D1066956367</v>
      </c>
      <c r="E1504" s="74" t="s">
        <v>883</v>
      </c>
      <c r="F1504" s="74"/>
      <c r="G1504" s="76"/>
      <c r="H1504" s="77"/>
      <c r="I1504" s="76"/>
      <c r="J1504" s="77"/>
      <c r="K1504" s="77"/>
      <c r="L1504" s="76"/>
      <c r="M1504" s="76"/>
      <c r="N1504" s="76"/>
      <c r="O1504" s="76"/>
      <c r="P1504" s="76"/>
      <c r="Q1504" s="76"/>
      <c r="R1504" s="76"/>
      <c r="S1504" s="76"/>
      <c r="BD1504" s="99">
        <f t="shared" si="49"/>
        <v>0</v>
      </c>
      <c r="CC1504" s="99"/>
      <c r="CV1504" s="99"/>
      <c r="CW1504" s="63"/>
    </row>
    <row r="1505" spans="1:101" x14ac:dyDescent="0.15">
      <c r="A1505" s="76">
        <v>1404</v>
      </c>
      <c r="B1505" s="74" t="s">
        <v>884</v>
      </c>
      <c r="C1505" s="74">
        <v>1066959811</v>
      </c>
      <c r="D1505" s="78" t="str">
        <f t="shared" si="48"/>
        <v>https://portal.dnb.de/opac.htm?method=simpleSearch&amp;cqlMode=true&amp;query=idn%3D1066959811</v>
      </c>
      <c r="E1505" s="74" t="s">
        <v>885</v>
      </c>
      <c r="F1505" s="74"/>
      <c r="G1505" s="76"/>
      <c r="H1505" s="77"/>
      <c r="I1505" s="76"/>
      <c r="J1505" s="77"/>
      <c r="K1505" s="77"/>
      <c r="L1505" s="76"/>
      <c r="M1505" s="76"/>
      <c r="N1505" s="76"/>
      <c r="O1505" s="76"/>
      <c r="P1505" s="76"/>
      <c r="Q1505" s="76"/>
      <c r="R1505" s="76"/>
      <c r="S1505" s="76"/>
      <c r="BD1505" s="99">
        <f t="shared" si="49"/>
        <v>0</v>
      </c>
      <c r="CC1505" s="99"/>
      <c r="CV1505" s="99"/>
      <c r="CW1505" s="63"/>
    </row>
    <row r="1506" spans="1:101" ht="33.75" x14ac:dyDescent="0.15">
      <c r="A1506" s="76">
        <v>1405</v>
      </c>
      <c r="B1506" s="74" t="s">
        <v>886</v>
      </c>
      <c r="C1506" s="74">
        <v>1066956510</v>
      </c>
      <c r="D1506" s="78" t="str">
        <f t="shared" si="48"/>
        <v>https://portal.dnb.de/opac.htm?method=simpleSearch&amp;cqlMode=true&amp;query=idn%3D1066956510</v>
      </c>
      <c r="E1506" s="74" t="s">
        <v>887</v>
      </c>
      <c r="F1506" s="74"/>
      <c r="G1506" s="76"/>
      <c r="H1506" s="77" t="s">
        <v>8673</v>
      </c>
      <c r="I1506" s="76" t="s">
        <v>53</v>
      </c>
      <c r="J1506" s="77" t="s">
        <v>8516</v>
      </c>
      <c r="K1506" s="77" t="s">
        <v>8552</v>
      </c>
      <c r="L1506" s="76"/>
      <c r="M1506" s="76" t="s">
        <v>37</v>
      </c>
      <c r="N1506" s="76" t="s">
        <v>39</v>
      </c>
      <c r="O1506" s="76">
        <v>2</v>
      </c>
      <c r="P1506" s="76"/>
      <c r="Q1506" s="76"/>
      <c r="R1506" s="76"/>
      <c r="S1506" s="76"/>
      <c r="X1506" s="95" t="s">
        <v>8541</v>
      </c>
      <c r="Y1506" s="95" t="s">
        <v>9729</v>
      </c>
      <c r="AA1506" s="95" t="s">
        <v>8541</v>
      </c>
      <c r="AB1506" s="95" t="s">
        <v>8541</v>
      </c>
      <c r="AC1506" s="95" t="s">
        <v>9739</v>
      </c>
      <c r="AI1506" s="95" t="s">
        <v>9725</v>
      </c>
      <c r="AW1506" s="95">
        <v>110</v>
      </c>
      <c r="BC1506" s="96" t="s">
        <v>9726</v>
      </c>
      <c r="BD1506" s="99">
        <f t="shared" si="49"/>
        <v>0.5</v>
      </c>
      <c r="BH1506" s="95" t="s">
        <v>8541</v>
      </c>
      <c r="BP1506" s="69" t="s">
        <v>8541</v>
      </c>
      <c r="BQ1506" s="95" t="s">
        <v>8541</v>
      </c>
      <c r="BT1506" s="95" t="s">
        <v>9737</v>
      </c>
      <c r="BV1506" s="95" t="s">
        <v>8541</v>
      </c>
      <c r="CC1506" s="99">
        <v>0.5</v>
      </c>
      <c r="CD1506" s="90" t="s">
        <v>10017</v>
      </c>
      <c r="CV1506" s="99"/>
      <c r="CW1506" s="63"/>
    </row>
    <row r="1507" spans="1:101" x14ac:dyDescent="0.15">
      <c r="A1507" s="76">
        <v>1406</v>
      </c>
      <c r="B1507" s="74" t="s">
        <v>888</v>
      </c>
      <c r="C1507" s="74">
        <v>16525507</v>
      </c>
      <c r="D1507" s="78" t="str">
        <f t="shared" si="48"/>
        <v>https://portal.dnb.de/opac.htm?method=simpleSearch&amp;cqlMode=true&amp;query=idn%3D16525507</v>
      </c>
      <c r="E1507" s="74" t="s">
        <v>8933</v>
      </c>
      <c r="F1507" s="74"/>
      <c r="G1507" s="76" t="s">
        <v>8515</v>
      </c>
      <c r="H1507" s="77" t="s">
        <v>17</v>
      </c>
      <c r="I1507" s="76" t="s">
        <v>53</v>
      </c>
      <c r="J1507" s="77" t="s">
        <v>8516</v>
      </c>
      <c r="K1507" s="77" t="s">
        <v>84</v>
      </c>
      <c r="L1507" s="76"/>
      <c r="M1507" s="76" t="s">
        <v>36</v>
      </c>
      <c r="N1507" s="76" t="s">
        <v>39</v>
      </c>
      <c r="O1507" s="76">
        <v>1</v>
      </c>
      <c r="P1507" s="76"/>
      <c r="Q1507" s="76"/>
      <c r="R1507" s="76" t="s">
        <v>8934</v>
      </c>
      <c r="S1507" s="76"/>
      <c r="BD1507" s="99">
        <f t="shared" si="49"/>
        <v>0</v>
      </c>
      <c r="CC1507" s="99"/>
      <c r="CV1507" s="99"/>
      <c r="CW1507" s="63"/>
    </row>
    <row r="1508" spans="1:101" x14ac:dyDescent="0.15">
      <c r="A1508" s="76">
        <v>1407</v>
      </c>
      <c r="B1508" s="74" t="s">
        <v>889</v>
      </c>
      <c r="C1508" s="74">
        <v>999967215</v>
      </c>
      <c r="D1508" s="78" t="str">
        <f t="shared" si="48"/>
        <v>https://portal.dnb.de/opac.htm?method=simpleSearch&amp;cqlMode=true&amp;query=idn%3D999967215</v>
      </c>
      <c r="E1508" s="74" t="s">
        <v>890</v>
      </c>
      <c r="F1508" s="74"/>
      <c r="G1508" s="76"/>
      <c r="H1508" s="77"/>
      <c r="I1508" s="76"/>
      <c r="J1508" s="77"/>
      <c r="K1508" s="77"/>
      <c r="L1508" s="76"/>
      <c r="M1508" s="76"/>
      <c r="N1508" s="76"/>
      <c r="O1508" s="76"/>
      <c r="P1508" s="76"/>
      <c r="Q1508" s="76"/>
      <c r="R1508" s="76"/>
      <c r="S1508" s="76"/>
      <c r="BD1508" s="99">
        <f t="shared" si="49"/>
        <v>0</v>
      </c>
      <c r="CC1508" s="99"/>
      <c r="CV1508" s="99"/>
      <c r="CW1508" s="63"/>
    </row>
    <row r="1509" spans="1:101" x14ac:dyDescent="0.15">
      <c r="A1509" s="76">
        <v>1408</v>
      </c>
      <c r="B1509" s="74" t="s">
        <v>917</v>
      </c>
      <c r="C1509" s="74">
        <v>994401981</v>
      </c>
      <c r="D1509" s="82" t="str">
        <f>HYPERLINK(CONCATENATE("https://portal.dnb.de/opac.htm?method=simpleSearch&amp;cqlMode=true&amp;query=idn%3D",C1509))</f>
        <v>https://portal.dnb.de/opac.htm?method=simpleSearch&amp;cqlMode=true&amp;query=idn%3D994401981</v>
      </c>
      <c r="E1509" s="74" t="s">
        <v>918</v>
      </c>
      <c r="F1509" s="74"/>
      <c r="G1509" s="76" t="s">
        <v>8515</v>
      </c>
      <c r="H1509" s="77" t="s">
        <v>4</v>
      </c>
      <c r="I1509" s="76" t="s">
        <v>53</v>
      </c>
      <c r="J1509" s="77" t="s">
        <v>58</v>
      </c>
      <c r="K1509" s="77" t="s">
        <v>8520</v>
      </c>
      <c r="L1509" s="76"/>
      <c r="M1509" s="76"/>
      <c r="N1509" s="76" t="s">
        <v>8660</v>
      </c>
      <c r="O1509" s="76">
        <v>0</v>
      </c>
      <c r="P1509" s="76"/>
      <c r="Q1509" s="76"/>
      <c r="R1509" s="76"/>
      <c r="S1509" s="76"/>
      <c r="BD1509" s="99">
        <f t="shared" si="49"/>
        <v>0</v>
      </c>
      <c r="CC1509" s="99"/>
      <c r="CV1509" s="99"/>
      <c r="CW1509" s="63"/>
    </row>
    <row r="1510" spans="1:101" x14ac:dyDescent="0.15">
      <c r="A1510" s="76">
        <v>1409</v>
      </c>
      <c r="B1510" s="74" t="s">
        <v>891</v>
      </c>
      <c r="C1510" s="74">
        <v>1066870217</v>
      </c>
      <c r="D1510" s="78" t="str">
        <f t="shared" si="48"/>
        <v>https://portal.dnb.de/opac.htm?method=simpleSearch&amp;cqlMode=true&amp;query=idn%3D1066870217</v>
      </c>
      <c r="E1510" s="74" t="s">
        <v>892</v>
      </c>
      <c r="F1510" s="74"/>
      <c r="G1510" s="76" t="s">
        <v>8515</v>
      </c>
      <c r="H1510" s="77" t="s">
        <v>47</v>
      </c>
      <c r="I1510" s="76" t="s">
        <v>53</v>
      </c>
      <c r="J1510" s="77" t="s">
        <v>58</v>
      </c>
      <c r="K1510" s="77" t="s">
        <v>62</v>
      </c>
      <c r="L1510" s="76"/>
      <c r="M1510" s="76"/>
      <c r="N1510" s="76"/>
      <c r="O1510" s="76">
        <v>0</v>
      </c>
      <c r="P1510" s="76"/>
      <c r="Q1510" s="76"/>
      <c r="R1510" s="76"/>
      <c r="S1510" s="76"/>
      <c r="BD1510" s="99">
        <f t="shared" si="49"/>
        <v>0</v>
      </c>
      <c r="CC1510" s="99"/>
      <c r="CV1510" s="99"/>
      <c r="CW1510" s="63"/>
    </row>
    <row r="1511" spans="1:101" x14ac:dyDescent="0.15">
      <c r="A1511" s="76">
        <v>1410</v>
      </c>
      <c r="B1511" s="74" t="s">
        <v>893</v>
      </c>
      <c r="C1511" s="74">
        <v>1066796726</v>
      </c>
      <c r="D1511" s="78" t="str">
        <f t="shared" si="48"/>
        <v>https://portal.dnb.de/opac.htm?method=simpleSearch&amp;cqlMode=true&amp;query=idn%3D1066796726</v>
      </c>
      <c r="E1511" s="74" t="s">
        <v>894</v>
      </c>
      <c r="F1511" s="74"/>
      <c r="G1511" s="76"/>
      <c r="H1511" s="77"/>
      <c r="I1511" s="76" t="s">
        <v>53</v>
      </c>
      <c r="J1511" s="77"/>
      <c r="K1511" s="77"/>
      <c r="L1511" s="76"/>
      <c r="M1511" s="76"/>
      <c r="N1511" s="76"/>
      <c r="O1511" s="76"/>
      <c r="P1511" s="76"/>
      <c r="Q1511" s="76"/>
      <c r="R1511" s="76"/>
      <c r="S1511" s="76"/>
      <c r="Y1511" s="95" t="s">
        <v>9729</v>
      </c>
      <c r="AA1511" s="95" t="s">
        <v>8541</v>
      </c>
      <c r="AC1511" s="95" t="s">
        <v>9739</v>
      </c>
      <c r="AI1511" s="95" t="s">
        <v>9725</v>
      </c>
      <c r="AJ1511" s="95" t="s">
        <v>8541</v>
      </c>
      <c r="AW1511" s="95">
        <v>110</v>
      </c>
      <c r="BC1511" s="96" t="s">
        <v>9726</v>
      </c>
      <c r="BD1511" s="99">
        <f t="shared" si="49"/>
        <v>0.5</v>
      </c>
      <c r="BP1511" s="69" t="s">
        <v>8541</v>
      </c>
      <c r="BQ1511" s="95" t="s">
        <v>8541</v>
      </c>
      <c r="BT1511" s="95" t="s">
        <v>9772</v>
      </c>
      <c r="BV1511" s="95" t="s">
        <v>8541</v>
      </c>
      <c r="CC1511" s="99">
        <v>0.5</v>
      </c>
      <c r="CD1511" s="90" t="s">
        <v>10017</v>
      </c>
      <c r="CV1511" s="99"/>
      <c r="CW1511" s="63"/>
    </row>
    <row r="1512" spans="1:101" x14ac:dyDescent="0.15">
      <c r="A1512" s="76">
        <v>1411</v>
      </c>
      <c r="B1512" s="74" t="s">
        <v>895</v>
      </c>
      <c r="C1512" s="74">
        <v>996915354</v>
      </c>
      <c r="D1512" s="78" t="str">
        <f t="shared" si="48"/>
        <v>https://portal.dnb.de/opac.htm?method=simpleSearch&amp;cqlMode=true&amp;query=idn%3D996915354</v>
      </c>
      <c r="E1512" s="74" t="s">
        <v>896</v>
      </c>
      <c r="F1512" s="74"/>
      <c r="G1512" s="76"/>
      <c r="H1512" s="77" t="s">
        <v>49</v>
      </c>
      <c r="I1512" s="76" t="s">
        <v>53</v>
      </c>
      <c r="J1512" s="77" t="s">
        <v>58</v>
      </c>
      <c r="K1512" s="77" t="s">
        <v>84</v>
      </c>
      <c r="L1512" s="76"/>
      <c r="M1512" s="76" t="s">
        <v>36</v>
      </c>
      <c r="N1512" s="76" t="s">
        <v>39</v>
      </c>
      <c r="O1512" s="76">
        <v>0</v>
      </c>
      <c r="P1512" s="76"/>
      <c r="Q1512" s="76"/>
      <c r="R1512" s="76" t="s">
        <v>8935</v>
      </c>
      <c r="S1512" s="76"/>
      <c r="BD1512" s="99">
        <f t="shared" si="49"/>
        <v>0</v>
      </c>
      <c r="CC1512" s="99"/>
      <c r="CV1512" s="99"/>
      <c r="CW1512" s="63"/>
    </row>
    <row r="1513" spans="1:101" x14ac:dyDescent="0.15">
      <c r="A1513" s="76">
        <v>1412</v>
      </c>
      <c r="B1513" s="74" t="s">
        <v>913</v>
      </c>
      <c r="C1513" s="74">
        <v>11188596</v>
      </c>
      <c r="D1513" s="82" t="str">
        <f>HYPERLINK(CONCATENATE("https://portal.dnb.de/opac.htm?method=simpleSearch&amp;cqlMode=true&amp;query=idn%3D",C1513))</f>
        <v>https://portal.dnb.de/opac.htm?method=simpleSearch&amp;cqlMode=true&amp;query=idn%3D11188596</v>
      </c>
      <c r="E1513" s="74" t="s">
        <v>8937</v>
      </c>
      <c r="F1513" s="74"/>
      <c r="G1513" s="76" t="s">
        <v>8515</v>
      </c>
      <c r="H1513" s="77" t="s">
        <v>48</v>
      </c>
      <c r="I1513" s="76" t="s">
        <v>53</v>
      </c>
      <c r="J1513" s="77" t="s">
        <v>8516</v>
      </c>
      <c r="K1513" s="77" t="s">
        <v>84</v>
      </c>
      <c r="L1513" s="76"/>
      <c r="M1513" s="76" t="s">
        <v>38</v>
      </c>
      <c r="N1513" s="76" t="s">
        <v>40</v>
      </c>
      <c r="O1513" s="76">
        <v>1</v>
      </c>
      <c r="P1513" s="76"/>
      <c r="Q1513" s="76" t="s">
        <v>8936</v>
      </c>
      <c r="R1513" s="76"/>
      <c r="S1513" s="76"/>
      <c r="BD1513" s="99">
        <f t="shared" si="49"/>
        <v>0</v>
      </c>
      <c r="CC1513" s="99"/>
      <c r="CV1513" s="99"/>
      <c r="CW1513" s="63"/>
    </row>
    <row r="1514" spans="1:101" ht="22.5" x14ac:dyDescent="0.15">
      <c r="A1514" s="76"/>
      <c r="B1514" s="74"/>
      <c r="C1514" s="74"/>
      <c r="D1514" s="82"/>
      <c r="E1514" s="74" t="s">
        <v>8938</v>
      </c>
      <c r="F1514" s="74"/>
      <c r="G1514" s="76"/>
      <c r="H1514" s="77" t="s">
        <v>18</v>
      </c>
      <c r="I1514" s="76" t="s">
        <v>53</v>
      </c>
      <c r="J1514" s="77" t="s">
        <v>8516</v>
      </c>
      <c r="K1514" s="77" t="s">
        <v>8565</v>
      </c>
      <c r="L1514" s="76"/>
      <c r="M1514" s="76" t="s">
        <v>38</v>
      </c>
      <c r="N1514" s="76" t="s">
        <v>40</v>
      </c>
      <c r="O1514" s="76">
        <v>0</v>
      </c>
      <c r="P1514" s="76"/>
      <c r="Q1514" s="76"/>
      <c r="R1514" s="76"/>
      <c r="S1514" s="76"/>
      <c r="BD1514" s="99">
        <f t="shared" si="49"/>
        <v>0</v>
      </c>
      <c r="CC1514" s="99"/>
      <c r="CV1514" s="99"/>
      <c r="CW1514" s="63"/>
    </row>
    <row r="1515" spans="1:101" ht="22.5" x14ac:dyDescent="0.15">
      <c r="A1515" s="76"/>
      <c r="B1515" s="74"/>
      <c r="C1515" s="74"/>
      <c r="D1515" s="82"/>
      <c r="E1515" s="74" t="s">
        <v>8939</v>
      </c>
      <c r="F1515" s="74"/>
      <c r="G1515" s="76" t="s">
        <v>8515</v>
      </c>
      <c r="H1515" s="77" t="s">
        <v>5</v>
      </c>
      <c r="I1515" s="76" t="s">
        <v>53</v>
      </c>
      <c r="J1515" s="77" t="s">
        <v>8516</v>
      </c>
      <c r="K1515" s="77" t="s">
        <v>8688</v>
      </c>
      <c r="L1515" s="76"/>
      <c r="M1515" s="76" t="s">
        <v>38</v>
      </c>
      <c r="N1515" s="76" t="s">
        <v>40</v>
      </c>
      <c r="O1515" s="76">
        <v>0</v>
      </c>
      <c r="P1515" s="76"/>
      <c r="Q1515" s="76"/>
      <c r="R1515" s="76"/>
      <c r="S1515" s="76"/>
      <c r="BD1515" s="99">
        <f t="shared" si="49"/>
        <v>0</v>
      </c>
      <c r="CC1515" s="99"/>
      <c r="CV1515" s="99"/>
      <c r="CW1515" s="63"/>
    </row>
    <row r="1516" spans="1:101" ht="22.5" x14ac:dyDescent="0.15">
      <c r="A1516" s="76"/>
      <c r="B1516" s="74"/>
      <c r="C1516" s="74"/>
      <c r="D1516" s="82"/>
      <c r="E1516" s="74" t="s">
        <v>8940</v>
      </c>
      <c r="F1516" s="74"/>
      <c r="G1516" s="76"/>
      <c r="H1516" s="77" t="s">
        <v>4</v>
      </c>
      <c r="I1516" s="76" t="s">
        <v>53</v>
      </c>
      <c r="J1516" s="77" t="s">
        <v>58</v>
      </c>
      <c r="K1516" s="77" t="s">
        <v>8688</v>
      </c>
      <c r="L1516" s="76"/>
      <c r="M1516" s="76" t="s">
        <v>38</v>
      </c>
      <c r="N1516" s="76" t="s">
        <v>40</v>
      </c>
      <c r="O1516" s="76">
        <v>0</v>
      </c>
      <c r="P1516" s="76"/>
      <c r="Q1516" s="76"/>
      <c r="R1516" s="76"/>
      <c r="S1516" s="76"/>
      <c r="BD1516" s="99">
        <f t="shared" si="49"/>
        <v>0</v>
      </c>
      <c r="CC1516" s="99"/>
      <c r="CV1516" s="99"/>
      <c r="CW1516" s="63"/>
    </row>
    <row r="1517" spans="1:101" x14ac:dyDescent="0.15">
      <c r="A1517" s="76">
        <v>1413</v>
      </c>
      <c r="B1517" s="74" t="s">
        <v>914</v>
      </c>
      <c r="C1517" s="74">
        <v>12727946</v>
      </c>
      <c r="D1517" s="82" t="str">
        <f>HYPERLINK(CONCATENATE("https://portal.dnb.de/opac.htm?method=simpleSearch&amp;cqlMode=true&amp;query=idn%3D",C1517))</f>
        <v>https://portal.dnb.de/opac.htm?method=simpleSearch&amp;cqlMode=true&amp;query=idn%3D12727946</v>
      </c>
      <c r="E1517" s="74" t="s">
        <v>8941</v>
      </c>
      <c r="F1517" s="74"/>
      <c r="G1517" s="76" t="s">
        <v>8515</v>
      </c>
      <c r="H1517" s="77" t="s">
        <v>4</v>
      </c>
      <c r="I1517" s="76" t="s">
        <v>53</v>
      </c>
      <c r="J1517" s="77" t="s">
        <v>58</v>
      </c>
      <c r="K1517" s="77" t="s">
        <v>8520</v>
      </c>
      <c r="L1517" s="76"/>
      <c r="M1517" s="76"/>
      <c r="N1517" s="76" t="s">
        <v>8660</v>
      </c>
      <c r="O1517" s="76">
        <v>1</v>
      </c>
      <c r="P1517" s="76"/>
      <c r="Q1517" s="76"/>
      <c r="R1517" s="76" t="s">
        <v>8942</v>
      </c>
      <c r="S1517" s="76"/>
      <c r="BD1517" s="99">
        <f t="shared" si="49"/>
        <v>0</v>
      </c>
      <c r="CC1517" s="99"/>
      <c r="CV1517" s="99"/>
      <c r="CW1517" s="63"/>
    </row>
    <row r="1518" spans="1:101" ht="22.5" x14ac:dyDescent="0.15">
      <c r="A1518" s="76"/>
      <c r="B1518" s="74"/>
      <c r="C1518" s="74"/>
      <c r="D1518" s="82"/>
      <c r="E1518" s="74" t="s">
        <v>8943</v>
      </c>
      <c r="F1518" s="74"/>
      <c r="G1518" s="76"/>
      <c r="H1518" s="77" t="s">
        <v>17</v>
      </c>
      <c r="I1518" s="76" t="s">
        <v>53</v>
      </c>
      <c r="J1518" s="77" t="s">
        <v>8516</v>
      </c>
      <c r="K1518" s="77" t="s">
        <v>8565</v>
      </c>
      <c r="L1518" s="76"/>
      <c r="M1518" s="76" t="s">
        <v>38</v>
      </c>
      <c r="N1518" s="76" t="s">
        <v>40</v>
      </c>
      <c r="O1518" s="76">
        <v>0</v>
      </c>
      <c r="P1518" s="76"/>
      <c r="Q1518" s="76"/>
      <c r="R1518" s="76"/>
      <c r="S1518" s="76"/>
      <c r="BD1518" s="99">
        <f t="shared" si="49"/>
        <v>0</v>
      </c>
      <c r="CC1518" s="99"/>
      <c r="CV1518" s="99"/>
      <c r="CW1518" s="63"/>
    </row>
    <row r="1519" spans="1:101" x14ac:dyDescent="0.15">
      <c r="A1519" s="76">
        <v>1414</v>
      </c>
      <c r="B1519" s="74" t="s">
        <v>915</v>
      </c>
      <c r="C1519" s="74">
        <v>994401884</v>
      </c>
      <c r="D1519" s="82" t="str">
        <f>HYPERLINK(CONCATENATE("https://portal.dnb.de/opac.htm?method=simpleSearch&amp;cqlMode=true&amp;query=idn%3D",C1519))</f>
        <v>https://portal.dnb.de/opac.htm?method=simpleSearch&amp;cqlMode=true&amp;query=idn%3D994401884</v>
      </c>
      <c r="E1519" s="74" t="s">
        <v>916</v>
      </c>
      <c r="F1519" s="74"/>
      <c r="G1519" s="76" t="s">
        <v>8515</v>
      </c>
      <c r="H1519" s="77" t="s">
        <v>17</v>
      </c>
      <c r="I1519" s="76" t="s">
        <v>53</v>
      </c>
      <c r="J1519" s="77" t="s">
        <v>58</v>
      </c>
      <c r="K1519" s="77" t="s">
        <v>8577</v>
      </c>
      <c r="L1519" s="76"/>
      <c r="M1519" s="76"/>
      <c r="N1519" s="76"/>
      <c r="O1519" s="76">
        <v>0</v>
      </c>
      <c r="P1519" s="76"/>
      <c r="Q1519" s="76"/>
      <c r="R1519" s="76"/>
      <c r="S1519" s="76"/>
      <c r="BD1519" s="99">
        <f t="shared" si="49"/>
        <v>0</v>
      </c>
      <c r="CC1519" s="99"/>
      <c r="CV1519" s="99"/>
      <c r="CW1519" s="63"/>
    </row>
    <row r="1520" spans="1:101" x14ac:dyDescent="0.15">
      <c r="A1520" s="76">
        <v>1415</v>
      </c>
      <c r="B1520" s="74" t="s">
        <v>937</v>
      </c>
      <c r="C1520" s="74">
        <v>1000547914</v>
      </c>
      <c r="D1520" s="78" t="str">
        <f t="shared" si="48"/>
        <v>https://portal.dnb.de/opac.htm?method=simpleSearch&amp;cqlMode=true&amp;query=idn%3D1000547914</v>
      </c>
      <c r="E1520" s="74" t="s">
        <v>938</v>
      </c>
      <c r="F1520" s="74"/>
      <c r="G1520" s="76"/>
      <c r="H1520" s="77"/>
      <c r="I1520" s="76"/>
      <c r="J1520" s="77"/>
      <c r="K1520" s="77"/>
      <c r="L1520" s="76"/>
      <c r="M1520" s="76"/>
      <c r="N1520" s="76"/>
      <c r="O1520" s="76"/>
      <c r="P1520" s="76"/>
      <c r="Q1520" s="76"/>
      <c r="R1520" s="76"/>
      <c r="S1520" s="76"/>
      <c r="BD1520" s="99">
        <f t="shared" si="49"/>
        <v>0</v>
      </c>
      <c r="CC1520" s="99"/>
      <c r="CV1520" s="99"/>
      <c r="CW1520" s="63"/>
    </row>
    <row r="1521" spans="1:101" ht="22.5" x14ac:dyDescent="0.15">
      <c r="A1521" s="76">
        <v>1416</v>
      </c>
      <c r="B1521" s="74" t="s">
        <v>939</v>
      </c>
      <c r="C1521" s="74">
        <v>12724270</v>
      </c>
      <c r="D1521" s="78" t="str">
        <f t="shared" si="48"/>
        <v>https://portal.dnb.de/opac.htm?method=simpleSearch&amp;cqlMode=true&amp;query=idn%3D12724270</v>
      </c>
      <c r="E1521" s="74" t="s">
        <v>8952</v>
      </c>
      <c r="F1521" s="74"/>
      <c r="G1521" s="76" t="s">
        <v>8515</v>
      </c>
      <c r="H1521" s="77" t="s">
        <v>18</v>
      </c>
      <c r="I1521" s="76" t="s">
        <v>53</v>
      </c>
      <c r="J1521" s="77" t="s">
        <v>8516</v>
      </c>
      <c r="K1521" s="77" t="s">
        <v>8785</v>
      </c>
      <c r="L1521" s="76"/>
      <c r="M1521" s="76"/>
      <c r="N1521" s="76" t="s">
        <v>8660</v>
      </c>
      <c r="O1521" s="76">
        <v>0</v>
      </c>
      <c r="P1521" s="76"/>
      <c r="Q1521" s="76"/>
      <c r="R1521" s="76"/>
      <c r="S1521" s="76"/>
      <c r="BD1521" s="99">
        <f t="shared" si="49"/>
        <v>0</v>
      </c>
      <c r="CC1521" s="99"/>
      <c r="CV1521" s="99"/>
      <c r="CW1521" s="63"/>
    </row>
    <row r="1522" spans="1:101" ht="22.5" x14ac:dyDescent="0.15">
      <c r="A1522" s="76"/>
      <c r="B1522" s="74"/>
      <c r="C1522" s="74"/>
      <c r="D1522" s="78"/>
      <c r="E1522" s="74" t="s">
        <v>8953</v>
      </c>
      <c r="F1522" s="74"/>
      <c r="G1522" s="76" t="s">
        <v>8515</v>
      </c>
      <c r="H1522" s="77" t="s">
        <v>18</v>
      </c>
      <c r="I1522" s="76" t="s">
        <v>53</v>
      </c>
      <c r="J1522" s="77" t="s">
        <v>8516</v>
      </c>
      <c r="K1522" s="77" t="s">
        <v>8785</v>
      </c>
      <c r="L1522" s="76"/>
      <c r="M1522" s="76"/>
      <c r="N1522" s="76"/>
      <c r="O1522" s="76">
        <v>0</v>
      </c>
      <c r="P1522" s="76"/>
      <c r="Q1522" s="76"/>
      <c r="R1522" s="76"/>
      <c r="S1522" s="76"/>
      <c r="BD1522" s="99">
        <f t="shared" si="49"/>
        <v>0</v>
      </c>
      <c r="CC1522" s="99"/>
      <c r="CV1522" s="99"/>
      <c r="CW1522" s="63"/>
    </row>
    <row r="1523" spans="1:101" ht="22.5" x14ac:dyDescent="0.15">
      <c r="A1523" s="76"/>
      <c r="B1523" s="74"/>
      <c r="C1523" s="74"/>
      <c r="D1523" s="78"/>
      <c r="E1523" s="74" t="s">
        <v>8954</v>
      </c>
      <c r="F1523" s="74"/>
      <c r="G1523" s="76" t="s">
        <v>8515</v>
      </c>
      <c r="H1523" s="77" t="s">
        <v>18</v>
      </c>
      <c r="I1523" s="76" t="s">
        <v>53</v>
      </c>
      <c r="J1523" s="77" t="s">
        <v>8516</v>
      </c>
      <c r="K1523" s="77" t="s">
        <v>8785</v>
      </c>
      <c r="L1523" s="76"/>
      <c r="M1523" s="76"/>
      <c r="N1523" s="76"/>
      <c r="O1523" s="76">
        <v>0</v>
      </c>
      <c r="P1523" s="76"/>
      <c r="Q1523" s="76"/>
      <c r="R1523" s="76"/>
      <c r="S1523" s="76"/>
      <c r="BD1523" s="99">
        <f t="shared" si="49"/>
        <v>0</v>
      </c>
      <c r="CC1523" s="99"/>
      <c r="CV1523" s="99"/>
      <c r="CW1523" s="63"/>
    </row>
    <row r="1524" spans="1:101" ht="22.5" x14ac:dyDescent="0.15">
      <c r="A1524" s="76"/>
      <c r="B1524" s="74"/>
      <c r="C1524" s="74"/>
      <c r="D1524" s="78"/>
      <c r="E1524" s="74" t="s">
        <v>8955</v>
      </c>
      <c r="F1524" s="74"/>
      <c r="G1524" s="76" t="s">
        <v>8515</v>
      </c>
      <c r="H1524" s="77" t="s">
        <v>18</v>
      </c>
      <c r="I1524" s="76" t="s">
        <v>53</v>
      </c>
      <c r="J1524" s="77" t="s">
        <v>8516</v>
      </c>
      <c r="K1524" s="77" t="s">
        <v>8785</v>
      </c>
      <c r="L1524" s="76"/>
      <c r="M1524" s="76"/>
      <c r="N1524" s="76"/>
      <c r="O1524" s="76">
        <v>0</v>
      </c>
      <c r="P1524" s="76"/>
      <c r="Q1524" s="76"/>
      <c r="R1524" s="76"/>
      <c r="S1524" s="76"/>
      <c r="BD1524" s="99">
        <f t="shared" si="49"/>
        <v>0</v>
      </c>
      <c r="CC1524" s="99"/>
      <c r="CV1524" s="99"/>
      <c r="CW1524" s="63"/>
    </row>
    <row r="1525" spans="1:101" ht="22.5" x14ac:dyDescent="0.15">
      <c r="A1525" s="76"/>
      <c r="B1525" s="74"/>
      <c r="C1525" s="74"/>
      <c r="D1525" s="78"/>
      <c r="E1525" s="74" t="s">
        <v>8956</v>
      </c>
      <c r="F1525" s="74"/>
      <c r="G1525" s="76" t="s">
        <v>8515</v>
      </c>
      <c r="H1525" s="77" t="s">
        <v>18</v>
      </c>
      <c r="I1525" s="76" t="s">
        <v>53</v>
      </c>
      <c r="J1525" s="77" t="s">
        <v>8516</v>
      </c>
      <c r="K1525" s="77" t="s">
        <v>84</v>
      </c>
      <c r="L1525" s="76"/>
      <c r="M1525" s="76"/>
      <c r="N1525" s="76"/>
      <c r="O1525" s="76">
        <v>0</v>
      </c>
      <c r="P1525" s="76"/>
      <c r="Q1525" s="76"/>
      <c r="R1525" s="76"/>
      <c r="S1525" s="76"/>
      <c r="BD1525" s="99">
        <f t="shared" si="49"/>
        <v>0</v>
      </c>
      <c r="CC1525" s="99"/>
      <c r="CV1525" s="99"/>
      <c r="CW1525" s="63"/>
    </row>
    <row r="1526" spans="1:101" ht="22.5" x14ac:dyDescent="0.15">
      <c r="A1526" s="76"/>
      <c r="B1526" s="74"/>
      <c r="C1526" s="74"/>
      <c r="D1526" s="78"/>
      <c r="E1526" s="74" t="s">
        <v>8957</v>
      </c>
      <c r="F1526" s="74"/>
      <c r="G1526" s="76" t="s">
        <v>8515</v>
      </c>
      <c r="H1526" s="77" t="s">
        <v>18</v>
      </c>
      <c r="I1526" s="76" t="s">
        <v>53</v>
      </c>
      <c r="J1526" s="77" t="s">
        <v>8516</v>
      </c>
      <c r="K1526" s="77" t="s">
        <v>84</v>
      </c>
      <c r="L1526" s="76"/>
      <c r="M1526" s="76"/>
      <c r="N1526" s="76"/>
      <c r="O1526" s="76">
        <v>0</v>
      </c>
      <c r="P1526" s="76"/>
      <c r="Q1526" s="76"/>
      <c r="R1526" s="76"/>
      <c r="S1526" s="76"/>
      <c r="BD1526" s="99">
        <f t="shared" si="49"/>
        <v>0</v>
      </c>
      <c r="CC1526" s="99"/>
      <c r="CV1526" s="99"/>
      <c r="CW1526" s="63"/>
    </row>
    <row r="1527" spans="1:101" x14ac:dyDescent="0.15">
      <c r="A1527" s="76">
        <v>1417</v>
      </c>
      <c r="B1527" s="74" t="s">
        <v>940</v>
      </c>
      <c r="C1527" s="74">
        <v>11961503</v>
      </c>
      <c r="D1527" s="78" t="str">
        <f t="shared" si="48"/>
        <v>https://portal.dnb.de/opac.htm?method=simpleSearch&amp;cqlMode=true&amp;query=idn%3D11961503</v>
      </c>
      <c r="E1527" s="74" t="s">
        <v>941</v>
      </c>
      <c r="F1527" s="74"/>
      <c r="G1527" s="76"/>
      <c r="H1527" s="77"/>
      <c r="I1527" s="76"/>
      <c r="J1527" s="77"/>
      <c r="K1527" s="77"/>
      <c r="L1527" s="76"/>
      <c r="M1527" s="76"/>
      <c r="N1527" s="76"/>
      <c r="O1527" s="76"/>
      <c r="P1527" s="76"/>
      <c r="Q1527" s="76"/>
      <c r="R1527" s="76"/>
      <c r="S1527" s="76"/>
      <c r="BD1527" s="99">
        <f t="shared" si="49"/>
        <v>0</v>
      </c>
      <c r="CC1527" s="99"/>
      <c r="CV1527" s="99"/>
      <c r="CW1527" s="63"/>
    </row>
    <row r="1528" spans="1:101" x14ac:dyDescent="0.15">
      <c r="A1528" s="76">
        <v>1418</v>
      </c>
      <c r="B1528" s="74" t="s">
        <v>942</v>
      </c>
      <c r="C1528" s="74">
        <v>12169153</v>
      </c>
      <c r="D1528" s="78" t="str">
        <f t="shared" si="48"/>
        <v>https://portal.dnb.de/opac.htm?method=simpleSearch&amp;cqlMode=true&amp;query=idn%3D12169153</v>
      </c>
      <c r="E1528" s="74" t="s">
        <v>941</v>
      </c>
      <c r="F1528" s="74"/>
      <c r="G1528" s="76"/>
      <c r="H1528" s="77"/>
      <c r="I1528" s="76"/>
      <c r="J1528" s="77"/>
      <c r="K1528" s="77"/>
      <c r="L1528" s="76"/>
      <c r="M1528" s="76"/>
      <c r="N1528" s="76"/>
      <c r="O1528" s="76"/>
      <c r="P1528" s="76"/>
      <c r="Q1528" s="76"/>
      <c r="R1528" s="76"/>
      <c r="S1528" s="76"/>
      <c r="BD1528" s="99">
        <f t="shared" si="49"/>
        <v>0</v>
      </c>
      <c r="CC1528" s="99"/>
      <c r="CV1528" s="99"/>
      <c r="CW1528" s="63"/>
    </row>
    <row r="1529" spans="1:101" x14ac:dyDescent="0.15">
      <c r="A1529" s="76">
        <v>1419</v>
      </c>
      <c r="B1529" s="74" t="s">
        <v>897</v>
      </c>
      <c r="C1529" s="74">
        <v>996915354</v>
      </c>
      <c r="D1529" s="82" t="str">
        <f>HYPERLINK(CONCATENATE("https://portal.dnb.de/opac.htm?method=simpleSearch&amp;cqlMode=true&amp;query=idn%3D",C1529))</f>
        <v>https://portal.dnb.de/opac.htm?method=simpleSearch&amp;cqlMode=true&amp;query=idn%3D996915354</v>
      </c>
      <c r="E1529" s="74" t="s">
        <v>898</v>
      </c>
      <c r="F1529" s="74"/>
      <c r="G1529" s="76"/>
      <c r="H1529" s="77"/>
      <c r="I1529" s="76"/>
      <c r="J1529" s="77"/>
      <c r="K1529" s="77"/>
      <c r="L1529" s="76"/>
      <c r="M1529" s="76"/>
      <c r="N1529" s="76"/>
      <c r="O1529" s="76"/>
      <c r="P1529" s="76"/>
      <c r="Q1529" s="76"/>
      <c r="R1529" s="76"/>
      <c r="S1529" s="76"/>
      <c r="BD1529" s="99">
        <f t="shared" si="49"/>
        <v>0</v>
      </c>
      <c r="CC1529" s="99"/>
      <c r="CV1529" s="99"/>
      <c r="CW1529" s="63"/>
    </row>
    <row r="1530" spans="1:101" x14ac:dyDescent="0.15">
      <c r="A1530" s="76">
        <v>1420</v>
      </c>
      <c r="B1530" s="74" t="s">
        <v>899</v>
      </c>
      <c r="C1530" s="74">
        <v>996913823</v>
      </c>
      <c r="D1530" s="78" t="str">
        <f t="shared" si="48"/>
        <v>https://portal.dnb.de/opac.htm?method=simpleSearch&amp;cqlMode=true&amp;query=idn%3D996913823</v>
      </c>
      <c r="E1530" s="74" t="s">
        <v>900</v>
      </c>
      <c r="F1530" s="150"/>
      <c r="P1530" s="76"/>
      <c r="Q1530" s="76"/>
      <c r="R1530" s="76"/>
      <c r="S1530" s="76"/>
      <c r="BD1530" s="99">
        <f t="shared" si="49"/>
        <v>0</v>
      </c>
      <c r="CC1530" s="99"/>
      <c r="CV1530" s="99"/>
      <c r="CW1530" s="63"/>
    </row>
    <row r="1531" spans="1:101" x14ac:dyDescent="0.15">
      <c r="A1531" s="76">
        <v>1421</v>
      </c>
      <c r="B1531" s="74" t="s">
        <v>901</v>
      </c>
      <c r="C1531" s="74" t="s">
        <v>902</v>
      </c>
      <c r="D1531" s="78" t="str">
        <f t="shared" si="48"/>
        <v>https://portal.dnb.de/opac.htm?method=simpleSearch&amp;cqlMode=true&amp;query=idn%3D99771428X</v>
      </c>
      <c r="E1531" s="74" t="s">
        <v>903</v>
      </c>
      <c r="F1531" s="74"/>
      <c r="G1531" s="76"/>
      <c r="H1531" s="77"/>
      <c r="I1531" s="76"/>
      <c r="J1531" s="77"/>
      <c r="K1531" s="77"/>
      <c r="L1531" s="76"/>
      <c r="M1531" s="76"/>
      <c r="N1531" s="76"/>
      <c r="O1531" s="76"/>
      <c r="P1531" s="76"/>
      <c r="Q1531" s="76"/>
      <c r="R1531" s="76"/>
      <c r="S1531" s="76"/>
      <c r="BD1531" s="99">
        <f t="shared" si="49"/>
        <v>0</v>
      </c>
      <c r="CC1531" s="99"/>
      <c r="CV1531" s="99"/>
      <c r="CW1531" s="63"/>
    </row>
    <row r="1532" spans="1:101" x14ac:dyDescent="0.15">
      <c r="A1532" s="76">
        <v>1422</v>
      </c>
      <c r="B1532" s="74" t="s">
        <v>904</v>
      </c>
      <c r="C1532" s="74">
        <v>997714336</v>
      </c>
      <c r="D1532" s="78" t="str">
        <f t="shared" si="48"/>
        <v>https://portal.dnb.de/opac.htm?method=simpleSearch&amp;cqlMode=true&amp;query=idn%3D997714336</v>
      </c>
      <c r="E1532" s="74" t="s">
        <v>903</v>
      </c>
      <c r="F1532" s="74"/>
      <c r="G1532" s="76"/>
      <c r="H1532" s="77"/>
      <c r="I1532" s="76"/>
      <c r="J1532" s="77"/>
      <c r="K1532" s="77"/>
      <c r="L1532" s="76"/>
      <c r="M1532" s="76"/>
      <c r="N1532" s="76"/>
      <c r="O1532" s="76"/>
      <c r="P1532" s="76"/>
      <c r="Q1532" s="76"/>
      <c r="R1532" s="76"/>
      <c r="S1532" s="76"/>
      <c r="BD1532" s="99">
        <f t="shared" si="49"/>
        <v>0</v>
      </c>
      <c r="CC1532" s="99"/>
      <c r="CV1532" s="99"/>
      <c r="CW1532" s="63"/>
    </row>
    <row r="1533" spans="1:101" x14ac:dyDescent="0.15">
      <c r="A1533" s="76">
        <v>1423</v>
      </c>
      <c r="B1533" s="74" t="s">
        <v>905</v>
      </c>
      <c r="C1533" s="74">
        <v>997713968</v>
      </c>
      <c r="D1533" s="78" t="str">
        <f t="shared" si="48"/>
        <v>https://portal.dnb.de/opac.htm?method=simpleSearch&amp;cqlMode=true&amp;query=idn%3D997713968</v>
      </c>
      <c r="E1533" s="74" t="s">
        <v>903</v>
      </c>
      <c r="F1533" s="74"/>
      <c r="G1533" s="76"/>
      <c r="H1533" s="77"/>
      <c r="I1533" s="76"/>
      <c r="J1533" s="77"/>
      <c r="K1533" s="77"/>
      <c r="L1533" s="76"/>
      <c r="M1533" s="76"/>
      <c r="N1533" s="76"/>
      <c r="O1533" s="76"/>
      <c r="P1533" s="76"/>
      <c r="Q1533" s="76"/>
      <c r="R1533" s="76"/>
      <c r="S1533" s="76"/>
      <c r="BD1533" s="99">
        <f t="shared" si="49"/>
        <v>0</v>
      </c>
      <c r="CC1533" s="99"/>
      <c r="CV1533" s="99"/>
      <c r="CW1533" s="63"/>
    </row>
    <row r="1534" spans="1:101" x14ac:dyDescent="0.15">
      <c r="A1534" s="76">
        <v>1424</v>
      </c>
      <c r="B1534" s="74" t="s">
        <v>906</v>
      </c>
      <c r="C1534" s="74">
        <v>997713917</v>
      </c>
      <c r="D1534" s="78" t="str">
        <f t="shared" si="48"/>
        <v>https://portal.dnb.de/opac.htm?method=simpleSearch&amp;cqlMode=true&amp;query=idn%3D997713917</v>
      </c>
      <c r="E1534" s="74" t="s">
        <v>903</v>
      </c>
      <c r="F1534" s="74"/>
      <c r="G1534" s="76"/>
      <c r="H1534" s="77"/>
      <c r="I1534" s="76"/>
      <c r="J1534" s="77"/>
      <c r="K1534" s="77"/>
      <c r="L1534" s="76"/>
      <c r="M1534" s="76"/>
      <c r="N1534" s="76"/>
      <c r="O1534" s="76"/>
      <c r="P1534" s="76"/>
      <c r="Q1534" s="76"/>
      <c r="R1534" s="76"/>
      <c r="S1534" s="76"/>
      <c r="BD1534" s="99">
        <f t="shared" si="49"/>
        <v>0</v>
      </c>
      <c r="CC1534" s="99"/>
      <c r="CV1534" s="99"/>
      <c r="CW1534" s="63"/>
    </row>
    <row r="1535" spans="1:101" x14ac:dyDescent="0.15">
      <c r="A1535" s="76">
        <v>1425</v>
      </c>
      <c r="B1535" s="74" t="s">
        <v>907</v>
      </c>
      <c r="C1535" s="74">
        <v>997714190</v>
      </c>
      <c r="D1535" s="78" t="str">
        <f t="shared" si="48"/>
        <v>https://portal.dnb.de/opac.htm?method=simpleSearch&amp;cqlMode=true&amp;query=idn%3D997714190</v>
      </c>
      <c r="E1535" s="74" t="s">
        <v>903</v>
      </c>
      <c r="F1535" s="74"/>
      <c r="G1535" s="76"/>
      <c r="H1535" s="77"/>
      <c r="I1535" s="76"/>
      <c r="J1535" s="77"/>
      <c r="K1535" s="77"/>
      <c r="L1535" s="76"/>
      <c r="M1535" s="76"/>
      <c r="N1535" s="76"/>
      <c r="O1535" s="76"/>
      <c r="P1535" s="76"/>
      <c r="Q1535" s="76"/>
      <c r="R1535" s="76"/>
      <c r="S1535" s="76"/>
      <c r="BD1535" s="99">
        <f t="shared" si="49"/>
        <v>0</v>
      </c>
      <c r="CC1535" s="99"/>
      <c r="CV1535" s="99"/>
      <c r="CW1535" s="63"/>
    </row>
    <row r="1536" spans="1:101" x14ac:dyDescent="0.15">
      <c r="A1536" s="76">
        <v>1426</v>
      </c>
      <c r="B1536" s="74" t="s">
        <v>908</v>
      </c>
      <c r="C1536" s="74">
        <v>997714107</v>
      </c>
      <c r="D1536" s="78" t="str">
        <f t="shared" si="48"/>
        <v>https://portal.dnb.de/opac.htm?method=simpleSearch&amp;cqlMode=true&amp;query=idn%3D997714107</v>
      </c>
      <c r="E1536" s="74" t="s">
        <v>903</v>
      </c>
      <c r="F1536" s="74"/>
      <c r="G1536" s="76"/>
      <c r="H1536" s="77"/>
      <c r="I1536" s="76"/>
      <c r="J1536" s="77"/>
      <c r="K1536" s="77"/>
      <c r="L1536" s="76"/>
      <c r="M1536" s="76"/>
      <c r="N1536" s="76"/>
      <c r="O1536" s="76"/>
      <c r="P1536" s="76"/>
      <c r="Q1536" s="76"/>
      <c r="R1536" s="76"/>
      <c r="S1536" s="76"/>
      <c r="BD1536" s="99">
        <f t="shared" si="49"/>
        <v>0</v>
      </c>
      <c r="CC1536" s="99"/>
      <c r="CV1536" s="99"/>
      <c r="CW1536" s="63"/>
    </row>
    <row r="1537" spans="1:101" x14ac:dyDescent="0.15">
      <c r="A1537" s="76">
        <v>1427</v>
      </c>
      <c r="B1537" s="74" t="s">
        <v>909</v>
      </c>
      <c r="C1537" s="74">
        <v>997714239</v>
      </c>
      <c r="D1537" s="78" t="str">
        <f t="shared" si="48"/>
        <v>https://portal.dnb.de/opac.htm?method=simpleSearch&amp;cqlMode=true&amp;query=idn%3D997714239</v>
      </c>
      <c r="E1537" s="74" t="s">
        <v>8991</v>
      </c>
      <c r="F1537" s="74"/>
      <c r="G1537" s="76"/>
      <c r="H1537" s="77"/>
      <c r="I1537" s="76"/>
      <c r="J1537" s="77"/>
      <c r="K1537" s="77"/>
      <c r="L1537" s="76"/>
      <c r="M1537" s="76"/>
      <c r="N1537" s="76"/>
      <c r="O1537" s="76"/>
      <c r="P1537" s="76"/>
      <c r="Q1537" s="76"/>
      <c r="R1537" s="76"/>
      <c r="S1537" s="76"/>
      <c r="BD1537" s="99">
        <f t="shared" si="49"/>
        <v>0</v>
      </c>
      <c r="CC1537" s="99"/>
      <c r="CV1537" s="99"/>
      <c r="CW1537" s="63"/>
    </row>
    <row r="1538" spans="1:101" x14ac:dyDescent="0.15">
      <c r="A1538" s="76">
        <v>1428</v>
      </c>
      <c r="B1538" s="74" t="s">
        <v>910</v>
      </c>
      <c r="C1538" s="74">
        <v>997714034</v>
      </c>
      <c r="D1538" s="78" t="str">
        <f t="shared" si="48"/>
        <v>https://portal.dnb.de/opac.htm?method=simpleSearch&amp;cqlMode=true&amp;query=idn%3D997714034</v>
      </c>
      <c r="E1538" s="74" t="s">
        <v>903</v>
      </c>
      <c r="F1538" s="74"/>
      <c r="G1538" s="76"/>
      <c r="H1538" s="77"/>
      <c r="I1538" s="76"/>
      <c r="J1538" s="77"/>
      <c r="K1538" s="77"/>
      <c r="L1538" s="76"/>
      <c r="M1538" s="76"/>
      <c r="N1538" s="76"/>
      <c r="O1538" s="76"/>
      <c r="P1538" s="76"/>
      <c r="Q1538" s="76"/>
      <c r="R1538" s="76"/>
      <c r="S1538" s="76"/>
      <c r="BD1538" s="99">
        <f t="shared" si="49"/>
        <v>0</v>
      </c>
      <c r="CC1538" s="99"/>
      <c r="CV1538" s="99"/>
      <c r="CW1538" s="63"/>
    </row>
    <row r="1539" spans="1:101" ht="22.5" x14ac:dyDescent="0.15">
      <c r="A1539" s="76">
        <v>1429</v>
      </c>
      <c r="B1539" s="74" t="s">
        <v>911</v>
      </c>
      <c r="C1539" s="74">
        <v>994095295</v>
      </c>
      <c r="D1539" s="78" t="str">
        <f t="shared" si="48"/>
        <v>https://portal.dnb.de/opac.htm?method=simpleSearch&amp;cqlMode=true&amp;query=idn%3D994095295</v>
      </c>
      <c r="E1539" s="74" t="s">
        <v>912</v>
      </c>
      <c r="F1539" s="74"/>
      <c r="G1539" s="76" t="s">
        <v>8515</v>
      </c>
      <c r="H1539" s="77" t="s">
        <v>18</v>
      </c>
      <c r="I1539" s="76" t="s">
        <v>53</v>
      </c>
      <c r="J1539" s="77" t="s">
        <v>58</v>
      </c>
      <c r="K1539" s="77" t="s">
        <v>8785</v>
      </c>
      <c r="L1539" s="76"/>
      <c r="M1539" s="76"/>
      <c r="N1539" s="76"/>
      <c r="O1539" s="76">
        <v>1</v>
      </c>
      <c r="P1539" s="76"/>
      <c r="Q1539" s="76" t="s">
        <v>9040</v>
      </c>
      <c r="R1539" s="76"/>
      <c r="S1539" s="76"/>
      <c r="BD1539" s="99">
        <f t="shared" ref="BD1539:BD1602" si="50">CC1539+CV1539</f>
        <v>0</v>
      </c>
      <c r="CC1539" s="99"/>
      <c r="CV1539" s="99"/>
      <c r="CW1539" s="63"/>
    </row>
    <row r="1540" spans="1:101" ht="22.5" x14ac:dyDescent="0.15">
      <c r="A1540" s="76">
        <v>1430</v>
      </c>
      <c r="B1540" s="74" t="s">
        <v>919</v>
      </c>
      <c r="C1540" s="74" t="s">
        <v>920</v>
      </c>
      <c r="D1540" s="78" t="str">
        <f t="shared" si="48"/>
        <v>https://portal.dnb.de/opac.htm?method=simpleSearch&amp;cqlMode=true&amp;query=idn%3D113263489X</v>
      </c>
      <c r="E1540" s="74" t="s">
        <v>8944</v>
      </c>
      <c r="F1540" s="74"/>
      <c r="G1540" s="76"/>
      <c r="H1540" s="77" t="s">
        <v>18</v>
      </c>
      <c r="I1540" s="76" t="s">
        <v>53</v>
      </c>
      <c r="J1540" s="77" t="s">
        <v>58</v>
      </c>
      <c r="K1540" s="77" t="s">
        <v>8577</v>
      </c>
      <c r="L1540" s="76"/>
      <c r="M1540" s="76" t="s">
        <v>36</v>
      </c>
      <c r="N1540" s="76" t="s">
        <v>39</v>
      </c>
      <c r="O1540" s="76">
        <v>1</v>
      </c>
      <c r="P1540" s="76"/>
      <c r="Q1540" s="76" t="s">
        <v>9040</v>
      </c>
      <c r="R1540" s="76"/>
      <c r="S1540" s="76"/>
      <c r="BD1540" s="99">
        <f t="shared" si="50"/>
        <v>0</v>
      </c>
      <c r="CC1540" s="99"/>
      <c r="CV1540" s="99"/>
      <c r="CW1540" s="63"/>
    </row>
    <row r="1541" spans="1:101" ht="22.5" x14ac:dyDescent="0.15">
      <c r="A1541" s="76">
        <v>1431</v>
      </c>
      <c r="B1541" s="74" t="s">
        <v>921</v>
      </c>
      <c r="C1541" s="74">
        <v>1132634911</v>
      </c>
      <c r="D1541" s="82" t="str">
        <f t="shared" ref="D1541:D1547" si="51">HYPERLINK(CONCATENATE("https://portal.dnb.de/opac.htm?method=simpleSearch&amp;cqlMode=true&amp;query=idn%3D",C1541))</f>
        <v>https://portal.dnb.de/opac.htm?method=simpleSearch&amp;cqlMode=true&amp;query=idn%3D1132634911</v>
      </c>
      <c r="E1541" s="74" t="s">
        <v>8947</v>
      </c>
      <c r="F1541" s="74"/>
      <c r="G1541" s="76"/>
      <c r="H1541" s="77" t="s">
        <v>18</v>
      </c>
      <c r="I1541" s="76" t="s">
        <v>53</v>
      </c>
      <c r="J1541" s="77" t="s">
        <v>58</v>
      </c>
      <c r="K1541" s="77" t="s">
        <v>8577</v>
      </c>
      <c r="L1541" s="76"/>
      <c r="M1541" s="76" t="s">
        <v>36</v>
      </c>
      <c r="N1541" s="76" t="s">
        <v>39</v>
      </c>
      <c r="O1541" s="76">
        <v>1</v>
      </c>
      <c r="P1541" s="76"/>
      <c r="Q1541" s="76" t="s">
        <v>9040</v>
      </c>
      <c r="R1541" s="76"/>
      <c r="S1541" s="76"/>
      <c r="BD1541" s="99">
        <f t="shared" si="50"/>
        <v>0</v>
      </c>
      <c r="CC1541" s="99"/>
      <c r="CV1541" s="99"/>
      <c r="CW1541" s="63"/>
    </row>
    <row r="1542" spans="1:101" ht="22.5" x14ac:dyDescent="0.15">
      <c r="A1542" s="76">
        <v>1432</v>
      </c>
      <c r="B1542" s="74" t="s">
        <v>922</v>
      </c>
      <c r="C1542" s="74">
        <v>1132634938</v>
      </c>
      <c r="D1542" s="82" t="str">
        <f t="shared" si="51"/>
        <v>https://portal.dnb.de/opac.htm?method=simpleSearch&amp;cqlMode=true&amp;query=idn%3D1132634938</v>
      </c>
      <c r="E1542" s="74" t="s">
        <v>8949</v>
      </c>
      <c r="F1542" s="74"/>
      <c r="G1542" s="76"/>
      <c r="H1542" s="77" t="s">
        <v>18</v>
      </c>
      <c r="I1542" s="76" t="s">
        <v>53</v>
      </c>
      <c r="J1542" s="77" t="s">
        <v>58</v>
      </c>
      <c r="K1542" s="77" t="s">
        <v>84</v>
      </c>
      <c r="L1542" s="76"/>
      <c r="M1542" s="76" t="s">
        <v>36</v>
      </c>
      <c r="N1542" s="76" t="s">
        <v>39</v>
      </c>
      <c r="O1542" s="76">
        <v>1</v>
      </c>
      <c r="P1542" s="76"/>
      <c r="Q1542" s="76"/>
      <c r="R1542" s="76"/>
      <c r="S1542" s="76"/>
      <c r="BD1542" s="99">
        <f t="shared" si="50"/>
        <v>0</v>
      </c>
      <c r="CC1542" s="99"/>
      <c r="CV1542" s="99"/>
      <c r="CW1542" s="63"/>
    </row>
    <row r="1543" spans="1:101" ht="22.5" x14ac:dyDescent="0.15">
      <c r="A1543" s="76">
        <v>1433</v>
      </c>
      <c r="B1543" s="74" t="s">
        <v>923</v>
      </c>
      <c r="C1543" s="74">
        <v>1132634903</v>
      </c>
      <c r="D1543" s="82" t="str">
        <f t="shared" si="51"/>
        <v>https://portal.dnb.de/opac.htm?method=simpleSearch&amp;cqlMode=true&amp;query=idn%3D1132634903</v>
      </c>
      <c r="E1543" s="74" t="s">
        <v>8945</v>
      </c>
      <c r="F1543" s="74"/>
      <c r="G1543" s="76"/>
      <c r="H1543" s="77" t="s">
        <v>18</v>
      </c>
      <c r="I1543" s="76" t="s">
        <v>53</v>
      </c>
      <c r="J1543" s="77" t="s">
        <v>58</v>
      </c>
      <c r="K1543" s="77" t="s">
        <v>84</v>
      </c>
      <c r="L1543" s="76"/>
      <c r="M1543" s="76" t="s">
        <v>36</v>
      </c>
      <c r="N1543" s="76" t="s">
        <v>39</v>
      </c>
      <c r="O1543" s="76">
        <v>1</v>
      </c>
      <c r="P1543" s="76"/>
      <c r="Q1543" s="76" t="s">
        <v>8946</v>
      </c>
      <c r="R1543" s="76"/>
      <c r="S1543" s="76"/>
      <c r="BD1543" s="99">
        <f t="shared" si="50"/>
        <v>0</v>
      </c>
      <c r="CC1543" s="99"/>
      <c r="CV1543" s="99"/>
      <c r="CW1543" s="63"/>
    </row>
    <row r="1544" spans="1:101" ht="22.5" x14ac:dyDescent="0.15">
      <c r="A1544" s="76">
        <v>1434</v>
      </c>
      <c r="B1544" s="74" t="s">
        <v>924</v>
      </c>
      <c r="C1544" s="74" t="s">
        <v>925</v>
      </c>
      <c r="D1544" s="82" t="str">
        <f t="shared" si="51"/>
        <v>https://portal.dnb.de/opac.htm?method=simpleSearch&amp;cqlMode=true&amp;query=idn%3D113263492X</v>
      </c>
      <c r="E1544" s="74" t="s">
        <v>8948</v>
      </c>
      <c r="F1544" s="74"/>
      <c r="G1544" s="76"/>
      <c r="H1544" s="77" t="s">
        <v>18</v>
      </c>
      <c r="I1544" s="76" t="s">
        <v>53</v>
      </c>
      <c r="J1544" s="77" t="s">
        <v>58</v>
      </c>
      <c r="K1544" s="77" t="s">
        <v>84</v>
      </c>
      <c r="L1544" s="76"/>
      <c r="M1544" s="76" t="s">
        <v>36</v>
      </c>
      <c r="N1544" s="76" t="s">
        <v>39</v>
      </c>
      <c r="O1544" s="76">
        <v>1</v>
      </c>
      <c r="P1544" s="76"/>
      <c r="Q1544" s="76"/>
      <c r="R1544" s="76"/>
      <c r="S1544" s="76"/>
      <c r="BD1544" s="99">
        <f t="shared" si="50"/>
        <v>0</v>
      </c>
      <c r="CC1544" s="99"/>
      <c r="CV1544" s="99"/>
      <c r="CW1544" s="63"/>
    </row>
    <row r="1545" spans="1:101" ht="22.5" x14ac:dyDescent="0.15">
      <c r="A1545" s="76">
        <v>1435</v>
      </c>
      <c r="B1545" s="74" t="s">
        <v>926</v>
      </c>
      <c r="C1545" s="74">
        <v>1132634954</v>
      </c>
      <c r="D1545" s="82" t="str">
        <f t="shared" si="51"/>
        <v>https://portal.dnb.de/opac.htm?method=simpleSearch&amp;cqlMode=true&amp;query=idn%3D1132634954</v>
      </c>
      <c r="E1545" s="74" t="s">
        <v>8951</v>
      </c>
      <c r="F1545" s="74"/>
      <c r="G1545" s="76"/>
      <c r="H1545" s="77" t="s">
        <v>18</v>
      </c>
      <c r="I1545" s="76" t="s">
        <v>53</v>
      </c>
      <c r="J1545" s="77" t="s">
        <v>58</v>
      </c>
      <c r="K1545" s="77" t="s">
        <v>84</v>
      </c>
      <c r="L1545" s="76"/>
      <c r="M1545" s="76" t="s">
        <v>36</v>
      </c>
      <c r="N1545" s="76" t="s">
        <v>39</v>
      </c>
      <c r="O1545" s="76">
        <v>1</v>
      </c>
      <c r="P1545" s="76"/>
      <c r="Q1545" s="76"/>
      <c r="R1545" s="76"/>
      <c r="S1545" s="76"/>
      <c r="BD1545" s="99">
        <f t="shared" si="50"/>
        <v>0</v>
      </c>
      <c r="CC1545" s="99"/>
      <c r="CV1545" s="99"/>
      <c r="CW1545" s="63"/>
    </row>
    <row r="1546" spans="1:101" ht="22.5" x14ac:dyDescent="0.15">
      <c r="A1546" s="76">
        <v>1436</v>
      </c>
      <c r="B1546" s="74" t="s">
        <v>927</v>
      </c>
      <c r="C1546" s="74">
        <v>1132634946</v>
      </c>
      <c r="D1546" s="82" t="str">
        <f t="shared" si="51"/>
        <v>https://portal.dnb.de/opac.htm?method=simpleSearch&amp;cqlMode=true&amp;query=idn%3D1132634946</v>
      </c>
      <c r="E1546" s="74" t="s">
        <v>8950</v>
      </c>
      <c r="F1546" s="74"/>
      <c r="G1546" s="76"/>
      <c r="H1546" s="77" t="s">
        <v>18</v>
      </c>
      <c r="I1546" s="76" t="s">
        <v>53</v>
      </c>
      <c r="J1546" s="77" t="s">
        <v>58</v>
      </c>
      <c r="K1546" s="77" t="s">
        <v>84</v>
      </c>
      <c r="L1546" s="76"/>
      <c r="M1546" s="76" t="s">
        <v>36</v>
      </c>
      <c r="N1546" s="76" t="s">
        <v>39</v>
      </c>
      <c r="O1546" s="76">
        <v>1</v>
      </c>
      <c r="P1546" s="76"/>
      <c r="Q1546" s="76" t="s">
        <v>8946</v>
      </c>
      <c r="R1546" s="76"/>
      <c r="S1546" s="76"/>
      <c r="BD1546" s="99">
        <f t="shared" si="50"/>
        <v>0</v>
      </c>
      <c r="CC1546" s="99"/>
      <c r="CV1546" s="99"/>
      <c r="CW1546" s="63"/>
    </row>
    <row r="1547" spans="1:101" x14ac:dyDescent="0.15">
      <c r="A1547" s="76">
        <v>1437</v>
      </c>
      <c r="B1547" s="74" t="s">
        <v>928</v>
      </c>
      <c r="C1547" s="74" t="s">
        <v>920</v>
      </c>
      <c r="D1547" s="82" t="str">
        <f t="shared" si="51"/>
        <v>https://portal.dnb.de/opac.htm?method=simpleSearch&amp;cqlMode=true&amp;query=idn%3D113263489X</v>
      </c>
      <c r="E1547" s="74" t="s">
        <v>929</v>
      </c>
      <c r="F1547" s="74"/>
      <c r="G1547" s="76"/>
      <c r="H1547" s="77"/>
      <c r="I1547" s="76"/>
      <c r="J1547" s="77"/>
      <c r="K1547" s="77"/>
      <c r="L1547" s="76"/>
      <c r="M1547" s="76"/>
      <c r="N1547" s="76"/>
      <c r="O1547" s="76"/>
      <c r="P1547" s="76"/>
      <c r="Q1547" s="76"/>
      <c r="R1547" s="76"/>
      <c r="S1547" s="76"/>
      <c r="BD1547" s="99">
        <f t="shared" si="50"/>
        <v>0</v>
      </c>
      <c r="CC1547" s="99"/>
      <c r="CV1547" s="99"/>
      <c r="CW1547" s="63"/>
    </row>
    <row r="1548" spans="1:101" x14ac:dyDescent="0.15">
      <c r="A1548" s="76">
        <v>1438</v>
      </c>
      <c r="B1548" s="74" t="s">
        <v>930</v>
      </c>
      <c r="C1548" s="74">
        <v>1132634911</v>
      </c>
      <c r="D1548" s="78" t="str">
        <f t="shared" ref="D1548:D1613" si="52">HYPERLINK(CONCATENATE("https://portal.dnb.de/opac.htm?method=simpleSearch&amp;cqlMode=true&amp;query=idn%3D",C1548))</f>
        <v>https://portal.dnb.de/opac.htm?method=simpleSearch&amp;cqlMode=true&amp;query=idn%3D1132634911</v>
      </c>
      <c r="E1548" s="74" t="s">
        <v>929</v>
      </c>
      <c r="F1548" s="74"/>
      <c r="G1548" s="76"/>
      <c r="H1548" s="77"/>
      <c r="I1548" s="76"/>
      <c r="J1548" s="77"/>
      <c r="K1548" s="77"/>
      <c r="L1548" s="76"/>
      <c r="M1548" s="76"/>
      <c r="N1548" s="76"/>
      <c r="O1548" s="76"/>
      <c r="P1548" s="76"/>
      <c r="Q1548" s="76"/>
      <c r="R1548" s="76"/>
      <c r="S1548" s="76"/>
      <c r="BD1548" s="99">
        <f t="shared" si="50"/>
        <v>0</v>
      </c>
      <c r="CC1548" s="99"/>
      <c r="CV1548" s="99"/>
      <c r="CW1548" s="63"/>
    </row>
    <row r="1549" spans="1:101" x14ac:dyDescent="0.15">
      <c r="A1549" s="76">
        <v>1439</v>
      </c>
      <c r="B1549" s="74" t="s">
        <v>931</v>
      </c>
      <c r="C1549" s="74">
        <v>1132634903</v>
      </c>
      <c r="D1549" s="78" t="str">
        <f t="shared" si="52"/>
        <v>https://portal.dnb.de/opac.htm?method=simpleSearch&amp;cqlMode=true&amp;query=idn%3D1132634903</v>
      </c>
      <c r="E1549" s="74" t="s">
        <v>929</v>
      </c>
      <c r="F1549" s="74"/>
      <c r="G1549" s="76"/>
      <c r="H1549" s="77"/>
      <c r="I1549" s="76"/>
      <c r="J1549" s="77"/>
      <c r="K1549" s="77"/>
      <c r="L1549" s="76"/>
      <c r="M1549" s="76"/>
      <c r="N1549" s="76"/>
      <c r="O1549" s="76"/>
      <c r="P1549" s="76"/>
      <c r="Q1549" s="76"/>
      <c r="R1549" s="76"/>
      <c r="S1549" s="76"/>
      <c r="BD1549" s="99">
        <f t="shared" si="50"/>
        <v>0</v>
      </c>
      <c r="CC1549" s="99"/>
      <c r="CV1549" s="99"/>
      <c r="CW1549" s="63"/>
    </row>
    <row r="1550" spans="1:101" x14ac:dyDescent="0.15">
      <c r="A1550" s="76">
        <v>1440</v>
      </c>
      <c r="B1550" s="74" t="s">
        <v>932</v>
      </c>
      <c r="C1550" s="74">
        <v>1132634946</v>
      </c>
      <c r="D1550" s="78" t="str">
        <f t="shared" si="52"/>
        <v>https://portal.dnb.de/opac.htm?method=simpleSearch&amp;cqlMode=true&amp;query=idn%3D1132634946</v>
      </c>
      <c r="E1550" s="74" t="s">
        <v>929</v>
      </c>
      <c r="F1550" s="74"/>
      <c r="G1550" s="76"/>
      <c r="H1550" s="77"/>
      <c r="I1550" s="76"/>
      <c r="J1550" s="77"/>
      <c r="K1550" s="77"/>
      <c r="L1550" s="76"/>
      <c r="M1550" s="76"/>
      <c r="N1550" s="76"/>
      <c r="O1550" s="76"/>
      <c r="P1550" s="76"/>
      <c r="Q1550" s="76"/>
      <c r="R1550" s="76"/>
      <c r="S1550" s="76"/>
      <c r="BD1550" s="99">
        <f t="shared" si="50"/>
        <v>0</v>
      </c>
      <c r="CC1550" s="99"/>
      <c r="CV1550" s="99"/>
      <c r="CW1550" s="63"/>
    </row>
    <row r="1551" spans="1:101" x14ac:dyDescent="0.15">
      <c r="A1551" s="76">
        <v>1441</v>
      </c>
      <c r="B1551" s="74" t="s">
        <v>933</v>
      </c>
      <c r="C1551" s="74">
        <v>1132634954</v>
      </c>
      <c r="D1551" s="78" t="str">
        <f t="shared" si="52"/>
        <v>https://portal.dnb.de/opac.htm?method=simpleSearch&amp;cqlMode=true&amp;query=idn%3D1132634954</v>
      </c>
      <c r="E1551" s="74" t="s">
        <v>929</v>
      </c>
      <c r="F1551" s="74"/>
      <c r="G1551" s="76"/>
      <c r="H1551" s="77"/>
      <c r="I1551" s="76"/>
      <c r="J1551" s="77"/>
      <c r="K1551" s="77"/>
      <c r="L1551" s="76"/>
      <c r="M1551" s="76"/>
      <c r="N1551" s="76"/>
      <c r="O1551" s="76"/>
      <c r="P1551" s="76"/>
      <c r="Q1551" s="76"/>
      <c r="R1551" s="76"/>
      <c r="S1551" s="76"/>
      <c r="BD1551" s="99">
        <f t="shared" si="50"/>
        <v>0</v>
      </c>
      <c r="CC1551" s="99"/>
      <c r="CV1551" s="99"/>
      <c r="CW1551" s="63"/>
    </row>
    <row r="1552" spans="1:101" x14ac:dyDescent="0.15">
      <c r="A1552" s="76">
        <v>1442</v>
      </c>
      <c r="B1552" s="74" t="s">
        <v>934</v>
      </c>
      <c r="C1552" s="74">
        <v>1132634938</v>
      </c>
      <c r="D1552" s="78" t="str">
        <f t="shared" si="52"/>
        <v>https://portal.dnb.de/opac.htm?method=simpleSearch&amp;cqlMode=true&amp;query=idn%3D1132634938</v>
      </c>
      <c r="E1552" s="74" t="s">
        <v>929</v>
      </c>
      <c r="F1552" s="74"/>
      <c r="G1552" s="76"/>
      <c r="H1552" s="77"/>
      <c r="I1552" s="76"/>
      <c r="J1552" s="77"/>
      <c r="K1552" s="77"/>
      <c r="L1552" s="76"/>
      <c r="M1552" s="76"/>
      <c r="N1552" s="76"/>
      <c r="O1552" s="76"/>
      <c r="P1552" s="76"/>
      <c r="Q1552" s="76"/>
      <c r="R1552" s="76"/>
      <c r="S1552" s="76"/>
      <c r="BD1552" s="99">
        <f t="shared" si="50"/>
        <v>0</v>
      </c>
      <c r="CC1552" s="99"/>
      <c r="CV1552" s="99"/>
      <c r="CW1552" s="63"/>
    </row>
    <row r="1553" spans="1:101" x14ac:dyDescent="0.15">
      <c r="A1553" s="76">
        <v>1443</v>
      </c>
      <c r="B1553" s="74" t="s">
        <v>935</v>
      </c>
      <c r="C1553" s="74" t="s">
        <v>925</v>
      </c>
      <c r="D1553" s="78" t="str">
        <f t="shared" si="52"/>
        <v>https://portal.dnb.de/opac.htm?method=simpleSearch&amp;cqlMode=true&amp;query=idn%3D113263492X</v>
      </c>
      <c r="E1553" s="74" t="s">
        <v>929</v>
      </c>
      <c r="F1553" s="74"/>
      <c r="G1553" s="76"/>
      <c r="H1553" s="77"/>
      <c r="I1553" s="76"/>
      <c r="J1553" s="77"/>
      <c r="K1553" s="77"/>
      <c r="L1553" s="76"/>
      <c r="M1553" s="76"/>
      <c r="N1553" s="76"/>
      <c r="O1553" s="76"/>
      <c r="P1553" s="76"/>
      <c r="Q1553" s="76"/>
      <c r="R1553" s="76"/>
      <c r="S1553" s="76"/>
      <c r="BD1553" s="99">
        <f t="shared" si="50"/>
        <v>0</v>
      </c>
      <c r="CC1553" s="99"/>
      <c r="CV1553" s="99"/>
      <c r="CW1553" s="63"/>
    </row>
    <row r="1554" spans="1:101" x14ac:dyDescent="0.15">
      <c r="A1554" s="76">
        <v>1444</v>
      </c>
      <c r="B1554" s="74" t="s">
        <v>936</v>
      </c>
      <c r="C1554" s="74">
        <v>1132634938</v>
      </c>
      <c r="D1554" s="78" t="str">
        <f t="shared" si="52"/>
        <v>https://portal.dnb.de/opac.htm?method=simpleSearch&amp;cqlMode=true&amp;query=idn%3D1132634938</v>
      </c>
      <c r="E1554" s="74" t="s">
        <v>929</v>
      </c>
      <c r="F1554" s="74"/>
      <c r="G1554" s="76"/>
      <c r="H1554" s="77"/>
      <c r="I1554" s="76"/>
      <c r="J1554" s="77"/>
      <c r="K1554" s="77"/>
      <c r="L1554" s="76"/>
      <c r="M1554" s="76"/>
      <c r="N1554" s="76"/>
      <c r="O1554" s="76"/>
      <c r="P1554" s="76"/>
      <c r="Q1554" s="76"/>
      <c r="R1554" s="76"/>
      <c r="S1554" s="76"/>
      <c r="BD1554" s="99">
        <f t="shared" si="50"/>
        <v>0</v>
      </c>
      <c r="CC1554" s="99"/>
      <c r="CV1554" s="99"/>
      <c r="CW1554" s="63"/>
    </row>
    <row r="1555" spans="1:101" x14ac:dyDescent="0.15">
      <c r="A1555" s="76">
        <v>1445</v>
      </c>
      <c r="B1555" s="74" t="s">
        <v>956</v>
      </c>
      <c r="C1555" s="74">
        <v>1066834601</v>
      </c>
      <c r="D1555" s="78" t="str">
        <f t="shared" si="52"/>
        <v>https://portal.dnb.de/opac.htm?method=simpleSearch&amp;cqlMode=true&amp;query=idn%3D1066834601</v>
      </c>
      <c r="E1555" s="74" t="s">
        <v>957</v>
      </c>
      <c r="F1555" s="74"/>
      <c r="G1555" s="76"/>
      <c r="H1555" s="77" t="s">
        <v>48</v>
      </c>
      <c r="I1555" s="76" t="s">
        <v>53</v>
      </c>
      <c r="J1555" s="77" t="s">
        <v>8516</v>
      </c>
      <c r="K1555" s="77"/>
      <c r="L1555" s="76"/>
      <c r="M1555" s="76" t="s">
        <v>32</v>
      </c>
      <c r="N1555" s="76"/>
      <c r="O1555" s="76">
        <v>0</v>
      </c>
      <c r="P1555" s="76"/>
      <c r="Q1555" s="76" t="s">
        <v>8958</v>
      </c>
      <c r="R1555" s="76"/>
      <c r="S1555" s="76"/>
      <c r="BD1555" s="99">
        <f t="shared" si="50"/>
        <v>0</v>
      </c>
      <c r="CC1555" s="99"/>
      <c r="CV1555" s="99"/>
      <c r="CW1555" s="63"/>
    </row>
    <row r="1556" spans="1:101" ht="22.5" x14ac:dyDescent="0.15">
      <c r="A1556" s="76">
        <v>1446</v>
      </c>
      <c r="B1556" s="74" t="s">
        <v>978</v>
      </c>
      <c r="C1556" s="74">
        <v>1000469301</v>
      </c>
      <c r="D1556" s="78" t="str">
        <f t="shared" si="52"/>
        <v>https://portal.dnb.de/opac.htm?method=simpleSearch&amp;cqlMode=true&amp;query=idn%3D1000469301</v>
      </c>
      <c r="E1556" s="74" t="s">
        <v>979</v>
      </c>
      <c r="F1556" s="74"/>
      <c r="G1556" s="76"/>
      <c r="H1556" s="77" t="s">
        <v>48</v>
      </c>
      <c r="I1556" s="76" t="s">
        <v>53</v>
      </c>
      <c r="J1556" s="77" t="s">
        <v>8516</v>
      </c>
      <c r="K1556" s="77" t="s">
        <v>8565</v>
      </c>
      <c r="L1556" s="76"/>
      <c r="M1556" s="76" t="s">
        <v>38</v>
      </c>
      <c r="N1556" s="76"/>
      <c r="O1556" s="76">
        <v>0</v>
      </c>
      <c r="P1556" s="76"/>
      <c r="Q1556" s="76"/>
      <c r="R1556" s="76"/>
      <c r="S1556" s="76"/>
      <c r="BD1556" s="99">
        <f t="shared" si="50"/>
        <v>0</v>
      </c>
      <c r="CC1556" s="99"/>
      <c r="CV1556" s="99"/>
      <c r="CW1556" s="63"/>
    </row>
    <row r="1557" spans="1:101" ht="33.75" x14ac:dyDescent="0.15">
      <c r="A1557" s="76">
        <v>1447</v>
      </c>
      <c r="B1557" s="74" t="s">
        <v>961</v>
      </c>
      <c r="C1557" s="74">
        <v>18250793</v>
      </c>
      <c r="D1557" s="78" t="str">
        <f t="shared" si="52"/>
        <v>https://portal.dnb.de/opac.htm?method=simpleSearch&amp;cqlMode=true&amp;query=idn%3D18250793</v>
      </c>
      <c r="E1557" s="74" t="s">
        <v>962</v>
      </c>
      <c r="F1557" s="74"/>
      <c r="G1557" s="76" t="s">
        <v>8515</v>
      </c>
      <c r="H1557" s="77" t="s">
        <v>8546</v>
      </c>
      <c r="I1557" s="76" t="s">
        <v>54</v>
      </c>
      <c r="J1557" s="77" t="s">
        <v>89</v>
      </c>
      <c r="K1557" s="77" t="s">
        <v>9635</v>
      </c>
      <c r="L1557" s="76"/>
      <c r="M1557" s="76" t="s">
        <v>37</v>
      </c>
      <c r="N1557" s="76" t="s">
        <v>9183</v>
      </c>
      <c r="O1557" s="76">
        <v>3</v>
      </c>
      <c r="P1557" s="76"/>
      <c r="Q1557" s="76"/>
      <c r="R1557" s="76"/>
      <c r="S1557" s="76"/>
      <c r="Y1557" s="95" t="s">
        <v>9736</v>
      </c>
      <c r="AA1557" s="95" t="s">
        <v>8541</v>
      </c>
      <c r="AC1557" s="95" t="s">
        <v>9739</v>
      </c>
      <c r="AI1557" s="95" t="s">
        <v>9725</v>
      </c>
      <c r="AM1557" s="95" t="s">
        <v>8541</v>
      </c>
      <c r="AW1557" s="95">
        <v>45</v>
      </c>
      <c r="BC1557" s="96" t="s">
        <v>9734</v>
      </c>
      <c r="BD1557" s="99">
        <f t="shared" si="50"/>
        <v>0</v>
      </c>
      <c r="BH1557" s="95" t="s">
        <v>8541</v>
      </c>
      <c r="CC1557" s="99"/>
      <c r="CV1557" s="99"/>
      <c r="CW1557" s="63"/>
    </row>
    <row r="1558" spans="1:101" x14ac:dyDescent="0.15">
      <c r="A1558" s="76">
        <v>1448</v>
      </c>
      <c r="B1558" s="74" t="s">
        <v>974</v>
      </c>
      <c r="C1558" s="74">
        <v>1066936889</v>
      </c>
      <c r="D1558" s="78" t="str">
        <f t="shared" si="52"/>
        <v>https://portal.dnb.de/opac.htm?method=simpleSearch&amp;cqlMode=true&amp;query=idn%3D1066936889</v>
      </c>
      <c r="E1558" s="74" t="s">
        <v>975</v>
      </c>
      <c r="F1558" s="74"/>
      <c r="G1558" s="76" t="s">
        <v>8515</v>
      </c>
      <c r="H1558" s="77" t="s">
        <v>5</v>
      </c>
      <c r="I1558" s="76" t="s">
        <v>53</v>
      </c>
      <c r="J1558" s="77" t="s">
        <v>8516</v>
      </c>
      <c r="K1558" s="77" t="s">
        <v>8520</v>
      </c>
      <c r="L1558" s="76"/>
      <c r="M1558" s="76" t="s">
        <v>38</v>
      </c>
      <c r="N1558" s="76" t="s">
        <v>40</v>
      </c>
      <c r="O1558" s="76">
        <v>2</v>
      </c>
      <c r="P1558" s="76"/>
      <c r="Q1558" s="76" t="s">
        <v>9040</v>
      </c>
      <c r="R1558" s="76"/>
      <c r="S1558" s="76"/>
      <c r="BD1558" s="99">
        <f t="shared" si="50"/>
        <v>0</v>
      </c>
      <c r="CC1558" s="99"/>
      <c r="CV1558" s="99"/>
      <c r="CW1558" s="63"/>
    </row>
    <row r="1559" spans="1:101" ht="33.75" x14ac:dyDescent="0.15">
      <c r="A1559" s="76">
        <v>1449</v>
      </c>
      <c r="B1559" s="74" t="s">
        <v>976</v>
      </c>
      <c r="C1559" s="74">
        <v>1066933952</v>
      </c>
      <c r="D1559" s="78" t="str">
        <f t="shared" si="52"/>
        <v>https://portal.dnb.de/opac.htm?method=simpleSearch&amp;cqlMode=true&amp;query=idn%3D1066933952</v>
      </c>
      <c r="E1559" s="74" t="s">
        <v>977</v>
      </c>
      <c r="F1559" s="74"/>
      <c r="G1559" s="76" t="s">
        <v>8515</v>
      </c>
      <c r="H1559" s="77" t="s">
        <v>8546</v>
      </c>
      <c r="I1559" s="76" t="s">
        <v>53</v>
      </c>
      <c r="J1559" s="77" t="s">
        <v>89</v>
      </c>
      <c r="K1559" s="77" t="s">
        <v>8565</v>
      </c>
      <c r="L1559" s="76"/>
      <c r="M1559" s="76" t="s">
        <v>37</v>
      </c>
      <c r="N1559" s="76" t="s">
        <v>40</v>
      </c>
      <c r="O1559" s="76">
        <v>0</v>
      </c>
      <c r="P1559" s="76"/>
      <c r="Q1559" s="76"/>
      <c r="R1559" s="76"/>
      <c r="S1559" s="76"/>
      <c r="BD1559" s="99">
        <f t="shared" si="50"/>
        <v>0</v>
      </c>
      <c r="CC1559" s="99"/>
      <c r="CV1559" s="99"/>
      <c r="CW1559" s="63"/>
    </row>
    <row r="1560" spans="1:101" ht="22.5" x14ac:dyDescent="0.15">
      <c r="A1560" s="76">
        <v>1450</v>
      </c>
      <c r="B1560" s="74" t="s">
        <v>988</v>
      </c>
      <c r="C1560" s="74">
        <v>994092539</v>
      </c>
      <c r="D1560" s="78" t="str">
        <f t="shared" si="52"/>
        <v>https://portal.dnb.de/opac.htm?method=simpleSearch&amp;cqlMode=true&amp;query=idn%3D994092539</v>
      </c>
      <c r="E1560" s="74" t="s">
        <v>8959</v>
      </c>
      <c r="F1560" s="74"/>
      <c r="G1560" s="76"/>
      <c r="H1560" s="77" t="s">
        <v>18</v>
      </c>
      <c r="I1560" s="76" t="s">
        <v>53</v>
      </c>
      <c r="J1560" s="77" t="s">
        <v>58</v>
      </c>
      <c r="K1560" s="77" t="s">
        <v>8785</v>
      </c>
      <c r="L1560" s="76"/>
      <c r="M1560" s="76" t="s">
        <v>36</v>
      </c>
      <c r="N1560" s="76" t="s">
        <v>39</v>
      </c>
      <c r="O1560" s="76">
        <v>0</v>
      </c>
      <c r="P1560" s="76"/>
      <c r="Q1560" s="76"/>
      <c r="R1560" s="76"/>
      <c r="S1560" s="76"/>
      <c r="BD1560" s="99">
        <f t="shared" si="50"/>
        <v>0</v>
      </c>
      <c r="CC1560" s="99"/>
      <c r="CV1560" s="99"/>
      <c r="CW1560" s="63"/>
    </row>
    <row r="1561" spans="1:101" ht="22.5" x14ac:dyDescent="0.15">
      <c r="A1561" s="76">
        <v>1451</v>
      </c>
      <c r="B1561" s="74" t="s">
        <v>989</v>
      </c>
      <c r="C1561" s="74">
        <v>994092490</v>
      </c>
      <c r="D1561" s="78" t="str">
        <f t="shared" si="52"/>
        <v>https://portal.dnb.de/opac.htm?method=simpleSearch&amp;cqlMode=true&amp;query=idn%3D994092490</v>
      </c>
      <c r="E1561" s="74" t="s">
        <v>8960</v>
      </c>
      <c r="F1561" s="74"/>
      <c r="G1561" s="76"/>
      <c r="H1561" s="77" t="s">
        <v>18</v>
      </c>
      <c r="I1561" s="76" t="s">
        <v>53</v>
      </c>
      <c r="J1561" s="77" t="s">
        <v>58</v>
      </c>
      <c r="K1561" s="77" t="s">
        <v>84</v>
      </c>
      <c r="L1561" s="76"/>
      <c r="M1561" s="76" t="s">
        <v>36</v>
      </c>
      <c r="N1561" s="76" t="s">
        <v>39</v>
      </c>
      <c r="O1561" s="76">
        <v>0</v>
      </c>
      <c r="P1561" s="76"/>
      <c r="Q1561" s="76"/>
      <c r="R1561" s="76"/>
      <c r="S1561" s="76"/>
      <c r="BD1561" s="99">
        <f t="shared" si="50"/>
        <v>0</v>
      </c>
      <c r="CC1561" s="99"/>
      <c r="CV1561" s="99"/>
      <c r="CW1561" s="63"/>
    </row>
    <row r="1562" spans="1:101" ht="22.5" x14ac:dyDescent="0.15">
      <c r="A1562" s="76">
        <v>1452</v>
      </c>
      <c r="B1562" s="74" t="s">
        <v>990</v>
      </c>
      <c r="C1562" s="74">
        <v>1002993288</v>
      </c>
      <c r="D1562" s="78" t="str">
        <f t="shared" si="52"/>
        <v>https://portal.dnb.de/opac.htm?method=simpleSearch&amp;cqlMode=true&amp;query=idn%3D1002993288</v>
      </c>
      <c r="E1562" s="74" t="s">
        <v>991</v>
      </c>
      <c r="F1562" s="74"/>
      <c r="G1562" s="76"/>
      <c r="H1562" s="77" t="s">
        <v>18</v>
      </c>
      <c r="I1562" s="76" t="s">
        <v>53</v>
      </c>
      <c r="J1562" s="77" t="s">
        <v>58</v>
      </c>
      <c r="K1562" s="77" t="s">
        <v>8577</v>
      </c>
      <c r="L1562" s="76"/>
      <c r="M1562" s="76" t="s">
        <v>36</v>
      </c>
      <c r="N1562" s="76" t="s">
        <v>39</v>
      </c>
      <c r="O1562" s="76">
        <v>0</v>
      </c>
      <c r="P1562" s="76"/>
      <c r="Q1562" s="76"/>
      <c r="R1562" s="76"/>
      <c r="S1562" s="76"/>
      <c r="BD1562" s="99">
        <f t="shared" si="50"/>
        <v>0</v>
      </c>
      <c r="CC1562" s="99"/>
      <c r="CV1562" s="99"/>
      <c r="CW1562" s="63"/>
    </row>
    <row r="1563" spans="1:101" ht="22.5" x14ac:dyDescent="0.15">
      <c r="A1563" s="76">
        <v>1453</v>
      </c>
      <c r="B1563" s="74" t="s">
        <v>992</v>
      </c>
      <c r="C1563" s="74" t="s">
        <v>993</v>
      </c>
      <c r="D1563" s="78" t="str">
        <f t="shared" si="52"/>
        <v>https://portal.dnb.de/opac.htm?method=simpleSearch&amp;cqlMode=true&amp;query=idn%3D01122164X</v>
      </c>
      <c r="E1563" s="74" t="s">
        <v>8962</v>
      </c>
      <c r="F1563" s="74"/>
      <c r="G1563" s="76"/>
      <c r="H1563" s="77" t="s">
        <v>6</v>
      </c>
      <c r="I1563" s="76" t="s">
        <v>53</v>
      </c>
      <c r="J1563" s="77" t="s">
        <v>8516</v>
      </c>
      <c r="K1563" s="77" t="s">
        <v>8565</v>
      </c>
      <c r="L1563" s="76"/>
      <c r="M1563" s="76" t="s">
        <v>38</v>
      </c>
      <c r="N1563" s="76" t="s">
        <v>40</v>
      </c>
      <c r="O1563" s="76">
        <v>0</v>
      </c>
      <c r="P1563" s="76"/>
      <c r="Q1563" s="76" t="s">
        <v>8961</v>
      </c>
      <c r="R1563" s="76"/>
      <c r="S1563" s="76"/>
      <c r="BD1563" s="99">
        <f t="shared" si="50"/>
        <v>0</v>
      </c>
      <c r="CC1563" s="99"/>
      <c r="CV1563" s="99"/>
      <c r="CW1563" s="63"/>
    </row>
    <row r="1564" spans="1:101" ht="22.5" x14ac:dyDescent="0.15">
      <c r="A1564" s="76"/>
      <c r="B1564" s="74"/>
      <c r="C1564" s="74"/>
      <c r="D1564" s="78"/>
      <c r="E1564" s="74" t="s">
        <v>8963</v>
      </c>
      <c r="F1564" s="74"/>
      <c r="G1564" s="76"/>
      <c r="H1564" s="77" t="s">
        <v>18</v>
      </c>
      <c r="I1564" s="76" t="s">
        <v>53</v>
      </c>
      <c r="J1564" s="77" t="s">
        <v>89</v>
      </c>
      <c r="K1564" s="77" t="s">
        <v>72</v>
      </c>
      <c r="L1564" s="76"/>
      <c r="M1564" s="76"/>
      <c r="N1564" s="76"/>
      <c r="O1564" s="76">
        <v>1</v>
      </c>
      <c r="P1564" s="76"/>
      <c r="Q1564" s="76"/>
      <c r="R1564" s="76"/>
      <c r="S1564" s="76"/>
      <c r="BD1564" s="99">
        <f t="shared" si="50"/>
        <v>0</v>
      </c>
      <c r="CC1564" s="99"/>
      <c r="CV1564" s="99"/>
      <c r="CW1564" s="63"/>
    </row>
    <row r="1565" spans="1:101" ht="22.5" x14ac:dyDescent="0.15">
      <c r="A1565" s="76"/>
      <c r="B1565" s="74"/>
      <c r="C1565" s="74"/>
      <c r="D1565" s="78"/>
      <c r="E1565" s="74" t="s">
        <v>8964</v>
      </c>
      <c r="F1565" s="74"/>
      <c r="G1565" s="76"/>
      <c r="H1565" s="77" t="s">
        <v>18</v>
      </c>
      <c r="I1565" s="76" t="s">
        <v>53</v>
      </c>
      <c r="J1565" s="77" t="s">
        <v>8516</v>
      </c>
      <c r="K1565" s="77" t="s">
        <v>8965</v>
      </c>
      <c r="L1565" s="76"/>
      <c r="M1565" s="76" t="s">
        <v>36</v>
      </c>
      <c r="N1565" s="76" t="s">
        <v>39</v>
      </c>
      <c r="O1565" s="76">
        <v>1</v>
      </c>
      <c r="P1565" s="76"/>
      <c r="Q1565" s="76"/>
      <c r="R1565" s="76"/>
      <c r="S1565" s="76"/>
      <c r="BD1565" s="99">
        <f t="shared" si="50"/>
        <v>0</v>
      </c>
      <c r="CC1565" s="99"/>
      <c r="CV1565" s="99"/>
      <c r="CW1565" s="63"/>
    </row>
    <row r="1566" spans="1:101" ht="22.5" x14ac:dyDescent="0.15">
      <c r="A1566" s="76">
        <v>1454</v>
      </c>
      <c r="B1566" s="74" t="s">
        <v>994</v>
      </c>
      <c r="C1566" s="74">
        <v>994093322</v>
      </c>
      <c r="D1566" s="78" t="str">
        <f t="shared" si="52"/>
        <v>https://portal.dnb.de/opac.htm?method=simpleSearch&amp;cqlMode=true&amp;query=idn%3D994093322</v>
      </c>
      <c r="E1566" s="74" t="s">
        <v>995</v>
      </c>
      <c r="F1566" s="74"/>
      <c r="G1566" s="76"/>
      <c r="H1566" s="77" t="s">
        <v>18</v>
      </c>
      <c r="I1566" s="76" t="s">
        <v>53</v>
      </c>
      <c r="J1566" s="77" t="s">
        <v>8516</v>
      </c>
      <c r="K1566" s="77" t="s">
        <v>8785</v>
      </c>
      <c r="L1566" s="76"/>
      <c r="M1566" s="76" t="s">
        <v>38</v>
      </c>
      <c r="N1566" s="76" t="s">
        <v>40</v>
      </c>
      <c r="O1566" s="76">
        <v>0</v>
      </c>
      <c r="P1566" s="76"/>
      <c r="Q1566" s="76"/>
      <c r="R1566" s="76"/>
      <c r="S1566" s="76"/>
      <c r="BD1566" s="99">
        <f t="shared" si="50"/>
        <v>0</v>
      </c>
      <c r="CC1566" s="99"/>
      <c r="CV1566" s="99"/>
      <c r="CW1566" s="63"/>
    </row>
    <row r="1567" spans="1:101" x14ac:dyDescent="0.15">
      <c r="A1567" s="76">
        <v>1455</v>
      </c>
      <c r="B1567" s="74" t="s">
        <v>996</v>
      </c>
      <c r="C1567" s="74">
        <v>994093381</v>
      </c>
      <c r="D1567" s="78" t="str">
        <f t="shared" si="52"/>
        <v>https://portal.dnb.de/opac.htm?method=simpleSearch&amp;cqlMode=true&amp;query=idn%3D994093381</v>
      </c>
      <c r="E1567" s="74" t="s">
        <v>995</v>
      </c>
      <c r="F1567" s="74"/>
      <c r="G1567" s="76"/>
      <c r="H1567" s="77"/>
      <c r="I1567" s="76"/>
      <c r="J1567" s="77"/>
      <c r="K1567" s="77"/>
      <c r="L1567" s="76"/>
      <c r="M1567" s="76"/>
      <c r="N1567" s="76"/>
      <c r="O1567" s="76"/>
      <c r="P1567" s="76"/>
      <c r="Q1567" s="76"/>
      <c r="R1567" s="76"/>
      <c r="S1567" s="76"/>
      <c r="BD1567" s="99">
        <f t="shared" si="50"/>
        <v>0</v>
      </c>
      <c r="CC1567" s="99"/>
      <c r="CV1567" s="99"/>
      <c r="CW1567" s="63"/>
    </row>
    <row r="1568" spans="1:101" x14ac:dyDescent="0.15">
      <c r="A1568" s="76">
        <v>1456</v>
      </c>
      <c r="B1568" s="74" t="s">
        <v>997</v>
      </c>
      <c r="C1568" s="74">
        <v>999512501</v>
      </c>
      <c r="D1568" s="82" t="str">
        <f>HYPERLINK(CONCATENATE("https://portal.dnb.de/opac.htm?method=simpleSearch&amp;cqlMode=true&amp;query=idn%3D",C1568))</f>
        <v>https://portal.dnb.de/opac.htm?method=simpleSearch&amp;cqlMode=true&amp;query=idn%3D999512501</v>
      </c>
      <c r="E1568" s="74" t="s">
        <v>8968</v>
      </c>
      <c r="F1568" s="74"/>
      <c r="G1568" s="76"/>
      <c r="H1568" s="77"/>
      <c r="I1568" s="76"/>
      <c r="J1568" s="77"/>
      <c r="K1568" s="77"/>
      <c r="L1568" s="76"/>
      <c r="M1568" s="76"/>
      <c r="N1568" s="76"/>
      <c r="O1568" s="76"/>
      <c r="P1568" s="76"/>
      <c r="Q1568" s="76"/>
      <c r="R1568" s="76"/>
      <c r="S1568" s="76"/>
      <c r="BD1568" s="99">
        <f t="shared" si="50"/>
        <v>0</v>
      </c>
      <c r="CC1568" s="99"/>
      <c r="CV1568" s="99"/>
      <c r="CW1568" s="63"/>
    </row>
    <row r="1569" spans="1:101" x14ac:dyDescent="0.15">
      <c r="A1569" s="76">
        <v>1457</v>
      </c>
      <c r="B1569" s="74" t="s">
        <v>999</v>
      </c>
      <c r="C1569" s="74">
        <v>999512463</v>
      </c>
      <c r="D1569" s="78" t="str">
        <f t="shared" si="52"/>
        <v>https://portal.dnb.de/opac.htm?method=simpleSearch&amp;cqlMode=true&amp;query=idn%3D999512463</v>
      </c>
      <c r="E1569" s="74" t="s">
        <v>998</v>
      </c>
      <c r="F1569" s="74"/>
      <c r="G1569" s="76"/>
      <c r="H1569" s="77"/>
      <c r="I1569" s="76"/>
      <c r="J1569" s="77"/>
      <c r="K1569" s="77"/>
      <c r="L1569" s="76"/>
      <c r="M1569" s="76"/>
      <c r="N1569" s="76"/>
      <c r="O1569" s="76"/>
      <c r="P1569" s="76"/>
      <c r="Q1569" s="76"/>
      <c r="R1569" s="76"/>
      <c r="S1569" s="76"/>
      <c r="BD1569" s="99">
        <f t="shared" si="50"/>
        <v>0</v>
      </c>
      <c r="CC1569" s="99"/>
      <c r="CV1569" s="99"/>
      <c r="CW1569" s="63"/>
    </row>
    <row r="1570" spans="1:101" x14ac:dyDescent="0.15">
      <c r="A1570" s="76">
        <v>1458</v>
      </c>
      <c r="B1570" s="74" t="s">
        <v>1000</v>
      </c>
      <c r="C1570" s="74">
        <v>999512439</v>
      </c>
      <c r="D1570" s="78" t="str">
        <f t="shared" si="52"/>
        <v>https://portal.dnb.de/opac.htm?method=simpleSearch&amp;cqlMode=true&amp;query=idn%3D999512439</v>
      </c>
      <c r="E1570" s="74" t="s">
        <v>998</v>
      </c>
      <c r="F1570" s="74"/>
      <c r="G1570" s="76"/>
      <c r="H1570" s="77"/>
      <c r="I1570" s="76"/>
      <c r="J1570" s="77"/>
      <c r="K1570" s="77"/>
      <c r="L1570" s="76"/>
      <c r="M1570" s="76"/>
      <c r="N1570" s="76"/>
      <c r="O1570" s="76"/>
      <c r="P1570" s="76"/>
      <c r="Q1570" s="76"/>
      <c r="R1570" s="76"/>
      <c r="S1570" s="76"/>
      <c r="BD1570" s="99">
        <f t="shared" si="50"/>
        <v>0</v>
      </c>
      <c r="CC1570" s="99"/>
      <c r="CV1570" s="99"/>
      <c r="CW1570" s="63"/>
    </row>
    <row r="1571" spans="1:101" ht="22.5" x14ac:dyDescent="0.15">
      <c r="A1571" s="76">
        <v>1459</v>
      </c>
      <c r="B1571" s="74" t="s">
        <v>1001</v>
      </c>
      <c r="C1571" s="74">
        <v>999512536</v>
      </c>
      <c r="D1571" s="78" t="str">
        <f t="shared" si="52"/>
        <v>https://portal.dnb.de/opac.htm?method=simpleSearch&amp;cqlMode=true&amp;query=idn%3D999512536</v>
      </c>
      <c r="E1571" s="74" t="s">
        <v>8966</v>
      </c>
      <c r="F1571" s="74"/>
      <c r="G1571" s="76" t="s">
        <v>8515</v>
      </c>
      <c r="H1571" s="77" t="s">
        <v>18</v>
      </c>
      <c r="I1571" s="76" t="s">
        <v>53</v>
      </c>
      <c r="J1571" s="77" t="s">
        <v>8516</v>
      </c>
      <c r="K1571" s="77" t="s">
        <v>84</v>
      </c>
      <c r="L1571" s="76"/>
      <c r="M1571" s="76" t="s">
        <v>36</v>
      </c>
      <c r="N1571" s="76" t="s">
        <v>39</v>
      </c>
      <c r="O1571" s="76">
        <v>0</v>
      </c>
      <c r="P1571" s="76"/>
      <c r="Q1571" s="76"/>
      <c r="R1571" s="76"/>
      <c r="S1571" s="76"/>
      <c r="BD1571" s="99">
        <f t="shared" si="50"/>
        <v>0</v>
      </c>
      <c r="CC1571" s="99"/>
      <c r="CV1571" s="99"/>
      <c r="CW1571" s="63"/>
    </row>
    <row r="1572" spans="1:101" ht="22.5" x14ac:dyDescent="0.15">
      <c r="A1572" s="76">
        <v>1460</v>
      </c>
      <c r="B1572" s="74" t="s">
        <v>1002</v>
      </c>
      <c r="C1572" s="74">
        <v>999512544</v>
      </c>
      <c r="D1572" s="82" t="str">
        <f>HYPERLINK(CONCATENATE("https://portal.dnb.de/opac.htm?method=simpleSearch&amp;cqlMode=true&amp;query=idn%3D",C1572))</f>
        <v>https://portal.dnb.de/opac.htm?method=simpleSearch&amp;cqlMode=true&amp;query=idn%3D999512544</v>
      </c>
      <c r="E1572" s="74" t="s">
        <v>8967</v>
      </c>
      <c r="F1572" s="74"/>
      <c r="G1572" s="76" t="s">
        <v>8515</v>
      </c>
      <c r="H1572" s="77" t="s">
        <v>18</v>
      </c>
      <c r="I1572" s="76" t="s">
        <v>53</v>
      </c>
      <c r="J1572" s="77" t="s">
        <v>8516</v>
      </c>
      <c r="K1572" s="77" t="s">
        <v>84</v>
      </c>
      <c r="L1572" s="76"/>
      <c r="M1572" s="76" t="s">
        <v>36</v>
      </c>
      <c r="N1572" s="76" t="s">
        <v>39</v>
      </c>
      <c r="O1572" s="76">
        <v>0</v>
      </c>
      <c r="P1572" s="76"/>
      <c r="Q1572" s="76"/>
      <c r="R1572" s="76"/>
      <c r="S1572" s="76"/>
      <c r="BD1572" s="99">
        <f t="shared" si="50"/>
        <v>0</v>
      </c>
      <c r="CC1572" s="99"/>
      <c r="CV1572" s="99"/>
      <c r="CW1572" s="63"/>
    </row>
    <row r="1573" spans="1:101" x14ac:dyDescent="0.15">
      <c r="A1573" s="76">
        <v>1461</v>
      </c>
      <c r="B1573" s="74" t="s">
        <v>1003</v>
      </c>
      <c r="C1573" s="74">
        <v>999506935</v>
      </c>
      <c r="D1573" s="78" t="str">
        <f t="shared" si="52"/>
        <v>https://portal.dnb.de/opac.htm?method=simpleSearch&amp;cqlMode=true&amp;query=idn%3D999506935</v>
      </c>
      <c r="E1573" s="74" t="s">
        <v>1004</v>
      </c>
      <c r="F1573" s="74"/>
      <c r="G1573" s="76" t="s">
        <v>8515</v>
      </c>
      <c r="H1573" s="77" t="s">
        <v>4</v>
      </c>
      <c r="I1573" s="76" t="s">
        <v>53</v>
      </c>
      <c r="J1573" s="77" t="s">
        <v>58</v>
      </c>
      <c r="K1573" s="77" t="s">
        <v>8520</v>
      </c>
      <c r="L1573" s="76"/>
      <c r="M1573" s="76" t="s">
        <v>36</v>
      </c>
      <c r="N1573" s="76" t="s">
        <v>39</v>
      </c>
      <c r="O1573" s="76">
        <v>0</v>
      </c>
      <c r="P1573" s="76"/>
      <c r="Q1573" s="76" t="s">
        <v>9040</v>
      </c>
      <c r="R1573" s="76"/>
      <c r="S1573" s="76"/>
      <c r="BD1573" s="99">
        <f t="shared" si="50"/>
        <v>0</v>
      </c>
      <c r="CC1573" s="99"/>
      <c r="CV1573" s="99"/>
      <c r="CW1573" s="63"/>
    </row>
    <row r="1574" spans="1:101" ht="22.5" x14ac:dyDescent="0.15">
      <c r="A1574" s="76">
        <v>1462</v>
      </c>
      <c r="B1574" s="74" t="s">
        <v>963</v>
      </c>
      <c r="C1574" s="74">
        <v>999988476</v>
      </c>
      <c r="D1574" s="78" t="str">
        <f t="shared" si="52"/>
        <v>https://portal.dnb.de/opac.htm?method=simpleSearch&amp;cqlMode=true&amp;query=idn%3D999988476</v>
      </c>
      <c r="E1574" s="74" t="s">
        <v>964</v>
      </c>
      <c r="F1574" s="74"/>
      <c r="G1574" s="76"/>
      <c r="H1574" s="77" t="s">
        <v>18</v>
      </c>
      <c r="I1574" s="76" t="s">
        <v>53</v>
      </c>
      <c r="J1574" s="77" t="s">
        <v>58</v>
      </c>
      <c r="K1574" s="77" t="s">
        <v>84</v>
      </c>
      <c r="L1574" s="76"/>
      <c r="M1574" s="76" t="s">
        <v>36</v>
      </c>
      <c r="N1574" s="76" t="s">
        <v>39</v>
      </c>
      <c r="O1574" s="76">
        <v>0</v>
      </c>
      <c r="P1574" s="76"/>
      <c r="Q1574" s="76"/>
      <c r="R1574" s="76"/>
      <c r="S1574" s="76"/>
      <c r="BD1574" s="99">
        <f t="shared" si="50"/>
        <v>0</v>
      </c>
      <c r="CC1574" s="99"/>
      <c r="CV1574" s="99"/>
      <c r="CW1574" s="63"/>
    </row>
    <row r="1575" spans="1:101" ht="22.5" x14ac:dyDescent="0.15">
      <c r="A1575" s="76">
        <v>1463</v>
      </c>
      <c r="B1575" s="74" t="s">
        <v>965</v>
      </c>
      <c r="C1575" s="74" t="s">
        <v>966</v>
      </c>
      <c r="D1575" s="82" t="str">
        <f>HYPERLINK(CONCATENATE("https://portal.dnb.de/opac.htm?method=simpleSearch&amp;cqlMode=true&amp;query=idn%3D",C1575))</f>
        <v>https://portal.dnb.de/opac.htm?method=simpleSearch&amp;cqlMode=true&amp;query=idn%3D99716641X</v>
      </c>
      <c r="E1575" s="74" t="s">
        <v>8969</v>
      </c>
      <c r="F1575" s="74"/>
      <c r="G1575" s="76" t="s">
        <v>8515</v>
      </c>
      <c r="H1575" s="77" t="s">
        <v>18</v>
      </c>
      <c r="I1575" s="76" t="s">
        <v>53</v>
      </c>
      <c r="J1575" s="77" t="s">
        <v>58</v>
      </c>
      <c r="K1575" s="77" t="s">
        <v>84</v>
      </c>
      <c r="L1575" s="76"/>
      <c r="M1575" s="76" t="s">
        <v>36</v>
      </c>
      <c r="N1575" s="76" t="s">
        <v>39</v>
      </c>
      <c r="O1575" s="76">
        <v>0</v>
      </c>
      <c r="P1575" s="76"/>
      <c r="Q1575" s="76"/>
      <c r="R1575" s="76"/>
      <c r="S1575" s="76"/>
      <c r="BD1575" s="99">
        <f t="shared" si="50"/>
        <v>0</v>
      </c>
      <c r="CC1575" s="99"/>
      <c r="CV1575" s="99"/>
      <c r="CW1575" s="63"/>
    </row>
    <row r="1576" spans="1:101" ht="22.5" x14ac:dyDescent="0.15">
      <c r="A1576" s="76">
        <v>1464</v>
      </c>
      <c r="B1576" s="74" t="s">
        <v>967</v>
      </c>
      <c r="C1576" s="74">
        <v>997166398</v>
      </c>
      <c r="D1576" s="78" t="str">
        <f t="shared" si="52"/>
        <v>https://portal.dnb.de/opac.htm?method=simpleSearch&amp;cqlMode=true&amp;query=idn%3D997166398</v>
      </c>
      <c r="E1576" s="74" t="s">
        <v>8970</v>
      </c>
      <c r="F1576" s="74"/>
      <c r="G1576" s="76" t="s">
        <v>8515</v>
      </c>
      <c r="H1576" s="77" t="s">
        <v>18</v>
      </c>
      <c r="I1576" s="76" t="s">
        <v>53</v>
      </c>
      <c r="J1576" s="77" t="s">
        <v>58</v>
      </c>
      <c r="K1576" s="77" t="s">
        <v>84</v>
      </c>
      <c r="L1576" s="76"/>
      <c r="M1576" s="76" t="s">
        <v>36</v>
      </c>
      <c r="N1576" s="76" t="s">
        <v>39</v>
      </c>
      <c r="O1576" s="76">
        <v>0</v>
      </c>
      <c r="P1576" s="76"/>
      <c r="Q1576" s="76"/>
      <c r="R1576" s="76"/>
      <c r="S1576" s="76"/>
      <c r="BD1576" s="99">
        <f t="shared" si="50"/>
        <v>0</v>
      </c>
      <c r="CC1576" s="99"/>
      <c r="CV1576" s="99"/>
      <c r="CW1576" s="63"/>
    </row>
    <row r="1577" spans="1:101" ht="22.5" x14ac:dyDescent="0.15">
      <c r="A1577" s="76">
        <v>1465</v>
      </c>
      <c r="B1577" s="74" t="s">
        <v>968</v>
      </c>
      <c r="C1577" s="74">
        <v>997166363</v>
      </c>
      <c r="D1577" s="78" t="str">
        <f t="shared" si="52"/>
        <v>https://portal.dnb.de/opac.htm?method=simpleSearch&amp;cqlMode=true&amp;query=idn%3D997166363</v>
      </c>
      <c r="E1577" s="74" t="s">
        <v>8971</v>
      </c>
      <c r="F1577" s="74"/>
      <c r="G1577" s="76" t="s">
        <v>8515</v>
      </c>
      <c r="H1577" s="77" t="s">
        <v>18</v>
      </c>
      <c r="I1577" s="76" t="s">
        <v>53</v>
      </c>
      <c r="J1577" s="77" t="s">
        <v>58</v>
      </c>
      <c r="K1577" s="77" t="s">
        <v>84</v>
      </c>
      <c r="L1577" s="76"/>
      <c r="M1577" s="76" t="s">
        <v>36</v>
      </c>
      <c r="N1577" s="76" t="s">
        <v>39</v>
      </c>
      <c r="O1577" s="76">
        <v>0</v>
      </c>
      <c r="P1577" s="76"/>
      <c r="Q1577" s="76"/>
      <c r="R1577" s="76"/>
      <c r="S1577" s="76"/>
      <c r="BD1577" s="99">
        <f t="shared" si="50"/>
        <v>0</v>
      </c>
      <c r="CC1577" s="99"/>
      <c r="CV1577" s="99"/>
      <c r="CW1577" s="63"/>
    </row>
    <row r="1578" spans="1:101" ht="22.5" x14ac:dyDescent="0.15">
      <c r="A1578" s="76">
        <v>1466</v>
      </c>
      <c r="B1578" s="74" t="s">
        <v>969</v>
      </c>
      <c r="C1578" s="74">
        <v>997166347</v>
      </c>
      <c r="D1578" s="82" t="str">
        <f>HYPERLINK(CONCATENATE("https://portal.dnb.de/opac.htm?method=simpleSearch&amp;cqlMode=true&amp;query=idn%3D",C1578))</f>
        <v>https://portal.dnb.de/opac.htm?method=simpleSearch&amp;cqlMode=true&amp;query=idn%3D997166347</v>
      </c>
      <c r="E1578" s="74" t="s">
        <v>8972</v>
      </c>
      <c r="F1578" s="74"/>
      <c r="G1578" s="76" t="s">
        <v>8515</v>
      </c>
      <c r="H1578" s="77" t="s">
        <v>18</v>
      </c>
      <c r="I1578" s="76" t="s">
        <v>53</v>
      </c>
      <c r="J1578" s="77" t="s">
        <v>58</v>
      </c>
      <c r="K1578" s="77" t="s">
        <v>84</v>
      </c>
      <c r="L1578" s="76"/>
      <c r="M1578" s="76" t="s">
        <v>36</v>
      </c>
      <c r="N1578" s="76" t="s">
        <v>39</v>
      </c>
      <c r="O1578" s="76">
        <v>0</v>
      </c>
      <c r="P1578" s="76"/>
      <c r="Q1578" s="76"/>
      <c r="R1578" s="76"/>
      <c r="S1578" s="76"/>
      <c r="BD1578" s="99">
        <f t="shared" si="50"/>
        <v>0</v>
      </c>
      <c r="CC1578" s="99"/>
      <c r="CV1578" s="99"/>
      <c r="CW1578" s="63"/>
    </row>
    <row r="1579" spans="1:101" x14ac:dyDescent="0.15">
      <c r="A1579" s="76">
        <v>1467</v>
      </c>
      <c r="B1579" s="74" t="s">
        <v>958</v>
      </c>
      <c r="C1579" s="74" t="s">
        <v>959</v>
      </c>
      <c r="D1579" s="78" t="str">
        <f t="shared" si="52"/>
        <v>https://portal.dnb.de/opac.htm?method=simpleSearch&amp;cqlMode=true&amp;query=idn%3D108151020X</v>
      </c>
      <c r="E1579" s="74" t="s">
        <v>960</v>
      </c>
      <c r="F1579" s="74"/>
      <c r="G1579" s="76"/>
      <c r="H1579" s="77"/>
      <c r="I1579" s="76"/>
      <c r="J1579" s="77"/>
      <c r="K1579" s="77"/>
      <c r="L1579" s="76"/>
      <c r="M1579" s="76"/>
      <c r="N1579" s="76"/>
      <c r="O1579" s="76"/>
      <c r="P1579" s="76"/>
      <c r="Q1579" s="76"/>
      <c r="R1579" s="76"/>
      <c r="S1579" s="76"/>
      <c r="BD1579" s="99">
        <f t="shared" si="50"/>
        <v>0</v>
      </c>
      <c r="CC1579" s="99"/>
      <c r="CV1579" s="99"/>
      <c r="CW1579" s="63"/>
    </row>
    <row r="1580" spans="1:101" x14ac:dyDescent="0.15">
      <c r="A1580" s="76">
        <v>1468</v>
      </c>
      <c r="B1580" s="74" t="s">
        <v>970</v>
      </c>
      <c r="C1580" s="74">
        <v>12765236</v>
      </c>
      <c r="D1580" s="78" t="str">
        <f t="shared" si="52"/>
        <v>https://portal.dnb.de/opac.htm?method=simpleSearch&amp;cqlMode=true&amp;query=idn%3D12765236</v>
      </c>
      <c r="E1580" s="74" t="s">
        <v>971</v>
      </c>
      <c r="F1580" s="74"/>
      <c r="G1580" s="76"/>
      <c r="H1580" s="77"/>
      <c r="I1580" s="76"/>
      <c r="J1580" s="77"/>
      <c r="K1580" s="77"/>
      <c r="L1580" s="76"/>
      <c r="M1580" s="76"/>
      <c r="N1580" s="76"/>
      <c r="O1580" s="76"/>
      <c r="P1580" s="76"/>
      <c r="Q1580" s="76"/>
      <c r="R1580" s="76"/>
      <c r="S1580" s="76"/>
      <c r="BD1580" s="99">
        <f t="shared" si="50"/>
        <v>0</v>
      </c>
      <c r="CC1580" s="99"/>
      <c r="CV1580" s="99"/>
      <c r="CW1580" s="63"/>
    </row>
    <row r="1581" spans="1:101" ht="90" x14ac:dyDescent="0.15">
      <c r="A1581" s="76">
        <v>1469</v>
      </c>
      <c r="B1581" s="74" t="s">
        <v>972</v>
      </c>
      <c r="C1581" s="74">
        <v>18250793</v>
      </c>
      <c r="D1581" s="78" t="str">
        <f t="shared" si="52"/>
        <v>https://portal.dnb.de/opac.htm?method=simpleSearch&amp;cqlMode=true&amp;query=idn%3D18250793</v>
      </c>
      <c r="E1581" s="74" t="s">
        <v>973</v>
      </c>
      <c r="F1581" s="74"/>
      <c r="G1581" s="76"/>
      <c r="H1581" s="77" t="s">
        <v>5</v>
      </c>
      <c r="I1581" s="76" t="s">
        <v>54</v>
      </c>
      <c r="J1581" s="77" t="s">
        <v>89</v>
      </c>
      <c r="K1581" s="77" t="s">
        <v>9634</v>
      </c>
      <c r="L1581" s="76"/>
      <c r="M1581" s="76" t="s">
        <v>38</v>
      </c>
      <c r="N1581" s="76"/>
      <c r="O1581" s="76">
        <v>1</v>
      </c>
      <c r="P1581" s="76"/>
      <c r="Q1581" s="76" t="s">
        <v>9636</v>
      </c>
      <c r="R1581" s="76"/>
      <c r="S1581" s="76"/>
      <c r="W1581" s="95" t="s">
        <v>8541</v>
      </c>
      <c r="Y1581" s="95" t="s">
        <v>9723</v>
      </c>
      <c r="AC1581" s="95" t="s">
        <v>9724</v>
      </c>
      <c r="AI1581" s="95" t="s">
        <v>9725</v>
      </c>
      <c r="AW1581" s="95">
        <v>0</v>
      </c>
      <c r="BC1581" s="96" t="s">
        <v>10503</v>
      </c>
      <c r="BD1581" s="99">
        <f t="shared" si="50"/>
        <v>14</v>
      </c>
      <c r="BJ1581" s="95" t="s">
        <v>9741</v>
      </c>
      <c r="BK1581" s="95" t="s">
        <v>8541</v>
      </c>
      <c r="BO1581" s="70" t="s">
        <v>10400</v>
      </c>
      <c r="BP1581" s="69" t="s">
        <v>8541</v>
      </c>
      <c r="BQ1581" s="95" t="s">
        <v>8541</v>
      </c>
      <c r="BR1581" s="95" t="s">
        <v>8541</v>
      </c>
      <c r="BT1581" s="95" t="s">
        <v>9737</v>
      </c>
      <c r="BY1581" s="95" t="s">
        <v>8541</v>
      </c>
      <c r="CB1581" s="95" t="s">
        <v>10217</v>
      </c>
      <c r="CC1581" s="99">
        <v>9</v>
      </c>
      <c r="CD1581" s="90" t="s">
        <v>10402</v>
      </c>
      <c r="CJ1581" s="95" t="s">
        <v>8541</v>
      </c>
      <c r="CL1581" s="95" t="s">
        <v>8541</v>
      </c>
      <c r="CN1581" s="95" t="s">
        <v>8541</v>
      </c>
      <c r="CP1581" s="95" t="s">
        <v>8541</v>
      </c>
      <c r="CV1581" s="99">
        <v>5</v>
      </c>
      <c r="CW1581" s="90" t="s">
        <v>10401</v>
      </c>
    </row>
    <row r="1582" spans="1:101" ht="22.5" x14ac:dyDescent="0.15">
      <c r="A1582" s="76">
        <v>1470</v>
      </c>
      <c r="B1582" s="74" t="s">
        <v>980</v>
      </c>
      <c r="C1582" s="74">
        <v>997416661</v>
      </c>
      <c r="D1582" s="78" t="str">
        <f t="shared" si="52"/>
        <v>https://portal.dnb.de/opac.htm?method=simpleSearch&amp;cqlMode=true&amp;query=idn%3D997416661</v>
      </c>
      <c r="E1582" s="74" t="s">
        <v>981</v>
      </c>
      <c r="F1582" s="74"/>
      <c r="G1582" s="76" t="s">
        <v>8515</v>
      </c>
      <c r="H1582" s="77" t="s">
        <v>18</v>
      </c>
      <c r="I1582" s="76" t="s">
        <v>53</v>
      </c>
      <c r="J1582" s="77" t="s">
        <v>8516</v>
      </c>
      <c r="K1582" s="77" t="s">
        <v>8552</v>
      </c>
      <c r="L1582" s="76"/>
      <c r="M1582" s="76" t="s">
        <v>38</v>
      </c>
      <c r="N1582" s="76"/>
      <c r="O1582" s="76">
        <v>0</v>
      </c>
      <c r="P1582" s="76"/>
      <c r="Q1582" s="76"/>
      <c r="R1582" s="76"/>
      <c r="S1582" s="76"/>
      <c r="BD1582" s="99">
        <f t="shared" si="50"/>
        <v>0</v>
      </c>
      <c r="CC1582" s="99"/>
      <c r="CV1582" s="99"/>
      <c r="CW1582" s="63"/>
    </row>
    <row r="1583" spans="1:101" x14ac:dyDescent="0.15">
      <c r="A1583" s="76">
        <v>1471</v>
      </c>
      <c r="B1583" s="74" t="s">
        <v>982</v>
      </c>
      <c r="C1583" s="74">
        <v>994396791</v>
      </c>
      <c r="D1583" s="78" t="str">
        <f t="shared" si="52"/>
        <v>https://portal.dnb.de/opac.htm?method=simpleSearch&amp;cqlMode=true&amp;query=idn%3D994396791</v>
      </c>
      <c r="E1583" s="74" t="s">
        <v>983</v>
      </c>
      <c r="F1583" s="74"/>
      <c r="G1583" s="76" t="s">
        <v>8515</v>
      </c>
      <c r="H1583" s="77" t="s">
        <v>47</v>
      </c>
      <c r="I1583" s="76" t="s">
        <v>53</v>
      </c>
      <c r="J1583" s="77" t="s">
        <v>8516</v>
      </c>
      <c r="K1583" s="77" t="s">
        <v>62</v>
      </c>
      <c r="L1583" s="76"/>
      <c r="M1583" s="76" t="s">
        <v>36</v>
      </c>
      <c r="N1583" s="76" t="s">
        <v>39</v>
      </c>
      <c r="O1583" s="76">
        <v>1</v>
      </c>
      <c r="P1583" s="76"/>
      <c r="Q1583" s="76" t="s">
        <v>9040</v>
      </c>
      <c r="R1583" s="76"/>
      <c r="S1583" s="76"/>
      <c r="BD1583" s="99">
        <f t="shared" si="50"/>
        <v>0</v>
      </c>
      <c r="CC1583" s="99"/>
      <c r="CV1583" s="99"/>
      <c r="CW1583" s="63"/>
    </row>
    <row r="1584" spans="1:101" x14ac:dyDescent="0.15">
      <c r="A1584" s="76">
        <v>1472</v>
      </c>
      <c r="B1584" s="74" t="s">
        <v>984</v>
      </c>
      <c r="C1584" s="74">
        <v>1003645151</v>
      </c>
      <c r="D1584" s="78" t="str">
        <f t="shared" si="52"/>
        <v>https://portal.dnb.de/opac.htm?method=simpleSearch&amp;cqlMode=true&amp;query=idn%3D1003645151</v>
      </c>
      <c r="E1584" s="74" t="s">
        <v>985</v>
      </c>
      <c r="F1584" s="74"/>
      <c r="G1584" s="76"/>
      <c r="H1584" s="77"/>
      <c r="I1584" s="76"/>
      <c r="J1584" s="77"/>
      <c r="K1584" s="77"/>
      <c r="L1584" s="76"/>
      <c r="M1584" s="76"/>
      <c r="N1584" s="76"/>
      <c r="O1584" s="76"/>
      <c r="P1584" s="76"/>
      <c r="Q1584" s="76"/>
      <c r="R1584" s="76"/>
      <c r="S1584" s="76"/>
      <c r="BD1584" s="99">
        <f t="shared" si="50"/>
        <v>0</v>
      </c>
      <c r="CC1584" s="99"/>
      <c r="CV1584" s="99"/>
      <c r="CW1584" s="63"/>
    </row>
    <row r="1585" spans="1:101" x14ac:dyDescent="0.15">
      <c r="A1585" s="76">
        <v>1473</v>
      </c>
      <c r="B1585" s="74" t="s">
        <v>986</v>
      </c>
      <c r="C1585" s="74">
        <v>1003644848</v>
      </c>
      <c r="D1585" s="78" t="str">
        <f t="shared" si="52"/>
        <v>https://portal.dnb.de/opac.htm?method=simpleSearch&amp;cqlMode=true&amp;query=idn%3D1003644848</v>
      </c>
      <c r="E1585" s="74" t="s">
        <v>985</v>
      </c>
      <c r="F1585" s="74"/>
      <c r="G1585" s="76"/>
      <c r="H1585" s="77"/>
      <c r="I1585" s="76"/>
      <c r="J1585" s="77"/>
      <c r="K1585" s="77"/>
      <c r="L1585" s="76"/>
      <c r="M1585" s="76"/>
      <c r="N1585" s="76"/>
      <c r="O1585" s="76"/>
      <c r="P1585" s="76"/>
      <c r="Q1585" s="76"/>
      <c r="R1585" s="76"/>
      <c r="S1585" s="76"/>
      <c r="BD1585" s="99">
        <f t="shared" si="50"/>
        <v>0</v>
      </c>
      <c r="CC1585" s="99"/>
      <c r="CV1585" s="99"/>
      <c r="CW1585" s="63"/>
    </row>
    <row r="1586" spans="1:101" ht="33.75" x14ac:dyDescent="0.15">
      <c r="A1586" s="76">
        <v>1474</v>
      </c>
      <c r="B1586" s="74" t="s">
        <v>987</v>
      </c>
      <c r="C1586" s="74">
        <v>1003644473</v>
      </c>
      <c r="D1586" s="78" t="str">
        <f t="shared" si="52"/>
        <v>https://portal.dnb.de/opac.htm?method=simpleSearch&amp;cqlMode=true&amp;query=idn%3D1003644473</v>
      </c>
      <c r="E1586" s="74" t="s">
        <v>985</v>
      </c>
      <c r="F1586" s="74"/>
      <c r="G1586" s="76"/>
      <c r="H1586" s="77" t="s">
        <v>48</v>
      </c>
      <c r="I1586" s="76" t="s">
        <v>53</v>
      </c>
      <c r="J1586" s="77" t="s">
        <v>8516</v>
      </c>
      <c r="K1586" s="77" t="s">
        <v>8663</v>
      </c>
      <c r="L1586" s="76"/>
      <c r="M1586" s="76" t="s">
        <v>36</v>
      </c>
      <c r="N1586" s="76" t="s">
        <v>39</v>
      </c>
      <c r="O1586" s="76">
        <v>1</v>
      </c>
      <c r="P1586" s="76"/>
      <c r="Q1586" s="76"/>
      <c r="R1586" s="76"/>
      <c r="S1586" s="76"/>
      <c r="BD1586" s="99">
        <f t="shared" si="50"/>
        <v>0</v>
      </c>
      <c r="CC1586" s="99"/>
      <c r="CV1586" s="99"/>
      <c r="CW1586" s="63"/>
    </row>
    <row r="1587" spans="1:101" x14ac:dyDescent="0.15">
      <c r="BD1587" s="99">
        <f t="shared" si="50"/>
        <v>0</v>
      </c>
      <c r="CC1587" s="99"/>
      <c r="CV1587" s="99"/>
      <c r="CW1587" s="63"/>
    </row>
    <row r="1588" spans="1:101" x14ac:dyDescent="0.15">
      <c r="A1588" s="76">
        <v>1476</v>
      </c>
      <c r="B1588" s="74" t="s">
        <v>1006</v>
      </c>
      <c r="C1588" s="74">
        <v>997103892</v>
      </c>
      <c r="D1588" s="78" t="str">
        <f t="shared" si="52"/>
        <v>https://portal.dnb.de/opac.htm?method=simpleSearch&amp;cqlMode=true&amp;query=idn%3D997103892</v>
      </c>
      <c r="E1588" s="74" t="s">
        <v>1007</v>
      </c>
      <c r="F1588" s="74"/>
      <c r="G1588" s="76"/>
      <c r="H1588" s="77"/>
      <c r="I1588" s="76"/>
      <c r="J1588" s="77"/>
      <c r="K1588" s="77"/>
      <c r="L1588" s="76"/>
      <c r="M1588" s="76"/>
      <c r="N1588" s="76"/>
      <c r="O1588" s="76"/>
      <c r="P1588" s="76"/>
      <c r="Q1588" s="76"/>
      <c r="R1588" s="76"/>
      <c r="S1588" s="76"/>
      <c r="BD1588" s="99">
        <f t="shared" si="50"/>
        <v>0</v>
      </c>
      <c r="CC1588" s="99"/>
      <c r="CV1588" s="99"/>
      <c r="CW1588" s="63"/>
    </row>
    <row r="1589" spans="1:101" x14ac:dyDescent="0.15">
      <c r="A1589" s="76">
        <v>1477</v>
      </c>
      <c r="B1589" s="74" t="s">
        <v>1008</v>
      </c>
      <c r="C1589" s="74">
        <v>997102829</v>
      </c>
      <c r="D1589" s="78" t="str">
        <f t="shared" si="52"/>
        <v>https://portal.dnb.de/opac.htm?method=simpleSearch&amp;cqlMode=true&amp;query=idn%3D997102829</v>
      </c>
      <c r="E1589" s="74" t="s">
        <v>1009</v>
      </c>
      <c r="F1589" s="74"/>
      <c r="G1589" s="76"/>
      <c r="H1589" s="77"/>
      <c r="I1589" s="76"/>
      <c r="J1589" s="77"/>
      <c r="K1589" s="77"/>
      <c r="L1589" s="76"/>
      <c r="M1589" s="76"/>
      <c r="N1589" s="76"/>
      <c r="O1589" s="76"/>
      <c r="P1589" s="76"/>
      <c r="Q1589" s="76"/>
      <c r="R1589" s="76"/>
      <c r="S1589" s="76"/>
      <c r="BD1589" s="99">
        <f t="shared" si="50"/>
        <v>0</v>
      </c>
      <c r="CC1589" s="99"/>
      <c r="CV1589" s="99"/>
      <c r="CW1589" s="63"/>
    </row>
    <row r="1590" spans="1:101" x14ac:dyDescent="0.15">
      <c r="A1590" s="76">
        <v>1478</v>
      </c>
      <c r="B1590" s="74" t="s">
        <v>1010</v>
      </c>
      <c r="C1590" s="74">
        <v>997102853</v>
      </c>
      <c r="D1590" s="78" t="str">
        <f t="shared" si="52"/>
        <v>https://portal.dnb.de/opac.htm?method=simpleSearch&amp;cqlMode=true&amp;query=idn%3D997102853</v>
      </c>
      <c r="E1590" s="74" t="s">
        <v>1009</v>
      </c>
      <c r="F1590" s="74"/>
      <c r="G1590" s="76"/>
      <c r="H1590" s="77"/>
      <c r="I1590" s="76"/>
      <c r="J1590" s="77"/>
      <c r="K1590" s="77"/>
      <c r="L1590" s="76"/>
      <c r="M1590" s="76"/>
      <c r="N1590" s="76"/>
      <c r="O1590" s="76"/>
      <c r="P1590" s="76"/>
      <c r="Q1590" s="76"/>
      <c r="R1590" s="76"/>
      <c r="S1590" s="76"/>
      <c r="BD1590" s="99">
        <f t="shared" si="50"/>
        <v>0</v>
      </c>
      <c r="CC1590" s="99"/>
      <c r="CV1590" s="99"/>
      <c r="CW1590" s="63"/>
    </row>
    <row r="1591" spans="1:101" x14ac:dyDescent="0.15">
      <c r="A1591" s="76">
        <v>1479</v>
      </c>
      <c r="B1591" s="74" t="s">
        <v>1011</v>
      </c>
      <c r="C1591" s="74">
        <v>997102896</v>
      </c>
      <c r="D1591" s="78" t="str">
        <f t="shared" si="52"/>
        <v>https://portal.dnb.de/opac.htm?method=simpleSearch&amp;cqlMode=true&amp;query=idn%3D997102896</v>
      </c>
      <c r="E1591" s="74" t="s">
        <v>1009</v>
      </c>
      <c r="F1591" s="74"/>
      <c r="G1591" s="76"/>
      <c r="H1591" s="77"/>
      <c r="I1591" s="76"/>
      <c r="J1591" s="77"/>
      <c r="K1591" s="77"/>
      <c r="L1591" s="76"/>
      <c r="M1591" s="76"/>
      <c r="N1591" s="76"/>
      <c r="O1591" s="76"/>
      <c r="P1591" s="76"/>
      <c r="Q1591" s="76"/>
      <c r="R1591" s="76"/>
      <c r="S1591" s="76"/>
      <c r="BD1591" s="99">
        <f t="shared" si="50"/>
        <v>0</v>
      </c>
      <c r="CC1591" s="99"/>
      <c r="CV1591" s="99"/>
      <c r="CW1591" s="63"/>
    </row>
    <row r="1592" spans="1:101" x14ac:dyDescent="0.15">
      <c r="A1592" s="76">
        <v>1480</v>
      </c>
      <c r="B1592" s="74" t="s">
        <v>1012</v>
      </c>
      <c r="C1592" s="74">
        <v>997102926</v>
      </c>
      <c r="D1592" s="78" t="str">
        <f t="shared" si="52"/>
        <v>https://portal.dnb.de/opac.htm?method=simpleSearch&amp;cqlMode=true&amp;query=idn%3D997102926</v>
      </c>
      <c r="E1592" s="74" t="s">
        <v>1009</v>
      </c>
      <c r="F1592" s="74"/>
      <c r="G1592" s="76"/>
      <c r="H1592" s="77"/>
      <c r="I1592" s="76"/>
      <c r="J1592" s="77"/>
      <c r="K1592" s="77"/>
      <c r="L1592" s="76"/>
      <c r="M1592" s="76"/>
      <c r="N1592" s="76"/>
      <c r="O1592" s="76"/>
      <c r="P1592" s="76"/>
      <c r="Q1592" s="76"/>
      <c r="R1592" s="76"/>
      <c r="S1592" s="76"/>
      <c r="BD1592" s="99">
        <f t="shared" si="50"/>
        <v>0</v>
      </c>
      <c r="CC1592" s="99"/>
      <c r="CV1592" s="99"/>
      <c r="CW1592" s="63"/>
    </row>
    <row r="1593" spans="1:101" ht="90" x14ac:dyDescent="0.15">
      <c r="A1593" s="76">
        <v>1475</v>
      </c>
      <c r="B1593" s="74" t="s">
        <v>1005</v>
      </c>
      <c r="C1593" s="74">
        <v>12764744</v>
      </c>
      <c r="D1593" s="78" t="str">
        <f>HYPERLINK(CONCATENATE("https://portal.dnb.de/opac.htm?method=simpleSearch&amp;cqlMode=true&amp;query=idn%3D",C1593))</f>
        <v>https://portal.dnb.de/opac.htm?method=simpleSearch&amp;cqlMode=true&amp;query=idn%3D12764744</v>
      </c>
      <c r="E1593" s="74" t="s">
        <v>9656</v>
      </c>
      <c r="F1593" s="79" t="s">
        <v>10521</v>
      </c>
      <c r="G1593" s="76"/>
      <c r="H1593" s="77" t="s">
        <v>5</v>
      </c>
      <c r="I1593" s="76" t="s">
        <v>53</v>
      </c>
      <c r="J1593" s="77" t="s">
        <v>8516</v>
      </c>
      <c r="K1593" s="77" t="s">
        <v>9657</v>
      </c>
      <c r="L1593" s="76"/>
      <c r="M1593" s="76"/>
      <c r="N1593" s="76"/>
      <c r="O1593" s="76">
        <v>1</v>
      </c>
      <c r="P1593" s="76"/>
      <c r="Q1593" s="151" t="s">
        <v>9678</v>
      </c>
      <c r="R1593" s="76"/>
      <c r="S1593" s="76"/>
      <c r="X1593" s="95" t="s">
        <v>8541</v>
      </c>
      <c r="Y1593" s="95" t="s">
        <v>9731</v>
      </c>
      <c r="AC1593" s="95" t="s">
        <v>9730</v>
      </c>
      <c r="AI1593" s="95" t="s">
        <v>9725</v>
      </c>
      <c r="AU1593" s="95">
        <v>2</v>
      </c>
      <c r="AW1593" s="95" t="s">
        <v>9733</v>
      </c>
      <c r="BC1593" s="96" t="s">
        <v>9734</v>
      </c>
      <c r="BD1593" s="99">
        <f t="shared" si="50"/>
        <v>0</v>
      </c>
      <c r="CC1593" s="99"/>
      <c r="CV1593" s="99"/>
      <c r="CW1593" s="63"/>
    </row>
    <row r="1594" spans="1:101" ht="22.5" x14ac:dyDescent="0.15">
      <c r="A1594" s="76"/>
      <c r="B1594" s="74"/>
      <c r="C1594" s="74"/>
      <c r="D1594" s="78"/>
      <c r="E1594" s="74" t="s">
        <v>9659</v>
      </c>
      <c r="F1594" s="74"/>
      <c r="G1594" s="76"/>
      <c r="H1594" s="77" t="s">
        <v>5</v>
      </c>
      <c r="I1594" s="76" t="s">
        <v>53</v>
      </c>
      <c r="J1594" s="77" t="s">
        <v>8516</v>
      </c>
      <c r="K1594" s="77" t="s">
        <v>9657</v>
      </c>
      <c r="L1594" s="76"/>
      <c r="M1594" s="76"/>
      <c r="N1594" s="76"/>
      <c r="O1594" s="76">
        <v>1</v>
      </c>
      <c r="P1594" s="76"/>
      <c r="Q1594" s="152"/>
      <c r="R1594" s="76"/>
      <c r="S1594" s="76"/>
      <c r="X1594" s="95" t="s">
        <v>8541</v>
      </c>
      <c r="Y1594" s="95" t="s">
        <v>9731</v>
      </c>
      <c r="AC1594" s="95" t="s">
        <v>9730</v>
      </c>
      <c r="AI1594" s="95" t="s">
        <v>9725</v>
      </c>
      <c r="AU1594" s="95">
        <v>2</v>
      </c>
      <c r="AW1594" s="95" t="s">
        <v>9733</v>
      </c>
      <c r="BC1594" s="96" t="s">
        <v>9734</v>
      </c>
      <c r="BD1594" s="99">
        <f t="shared" si="50"/>
        <v>0</v>
      </c>
      <c r="CC1594" s="99"/>
      <c r="CV1594" s="99"/>
      <c r="CW1594" s="63"/>
    </row>
    <row r="1595" spans="1:101" ht="22.5" x14ac:dyDescent="0.15">
      <c r="A1595" s="76"/>
      <c r="B1595" s="74"/>
      <c r="C1595" s="74"/>
      <c r="D1595" s="78"/>
      <c r="E1595" s="74" t="s">
        <v>9660</v>
      </c>
      <c r="F1595" s="74"/>
      <c r="G1595" s="76"/>
      <c r="H1595" s="77" t="s">
        <v>5</v>
      </c>
      <c r="I1595" s="76" t="s">
        <v>53</v>
      </c>
      <c r="J1595" s="77" t="s">
        <v>89</v>
      </c>
      <c r="K1595" s="77" t="s">
        <v>9657</v>
      </c>
      <c r="L1595" s="76"/>
      <c r="M1595" s="76"/>
      <c r="N1595" s="76"/>
      <c r="O1595" s="76">
        <v>1</v>
      </c>
      <c r="P1595" s="76"/>
      <c r="Q1595" s="152"/>
      <c r="R1595" s="76"/>
      <c r="S1595" s="76"/>
      <c r="X1595" s="95" t="s">
        <v>8541</v>
      </c>
      <c r="Y1595" s="95" t="s">
        <v>9731</v>
      </c>
      <c r="AC1595" s="95" t="s">
        <v>9730</v>
      </c>
      <c r="AI1595" s="95" t="s">
        <v>9725</v>
      </c>
      <c r="AU1595" s="95">
        <v>2</v>
      </c>
      <c r="AW1595" s="95" t="s">
        <v>9733</v>
      </c>
      <c r="BC1595" s="96" t="s">
        <v>9734</v>
      </c>
      <c r="BD1595" s="99">
        <f t="shared" si="50"/>
        <v>0</v>
      </c>
      <c r="CC1595" s="99"/>
      <c r="CV1595" s="99"/>
      <c r="CW1595" s="63"/>
    </row>
    <row r="1596" spans="1:101" x14ac:dyDescent="0.15">
      <c r="A1596" s="76"/>
      <c r="B1596" s="74"/>
      <c r="C1596" s="74"/>
      <c r="D1596" s="78"/>
      <c r="E1596" s="74" t="s">
        <v>9661</v>
      </c>
      <c r="F1596" s="74"/>
      <c r="G1596" s="76"/>
      <c r="H1596" s="77" t="s">
        <v>5</v>
      </c>
      <c r="I1596" s="76" t="s">
        <v>53</v>
      </c>
      <c r="J1596" s="77" t="s">
        <v>8516</v>
      </c>
      <c r="K1596" s="77"/>
      <c r="L1596" s="76"/>
      <c r="M1596" s="76"/>
      <c r="N1596" s="76"/>
      <c r="O1596" s="76"/>
      <c r="P1596" s="76"/>
      <c r="Q1596" s="152"/>
      <c r="R1596" s="76"/>
      <c r="S1596" s="76"/>
      <c r="X1596" s="95" t="s">
        <v>8541</v>
      </c>
      <c r="Y1596" s="95" t="s">
        <v>9731</v>
      </c>
      <c r="AC1596" s="95" t="s">
        <v>9730</v>
      </c>
      <c r="AI1596" s="95" t="s">
        <v>9725</v>
      </c>
      <c r="AU1596" s="95">
        <v>2</v>
      </c>
      <c r="AW1596" s="95" t="s">
        <v>9733</v>
      </c>
      <c r="BC1596" s="96" t="s">
        <v>9734</v>
      </c>
      <c r="BD1596" s="99">
        <f t="shared" si="50"/>
        <v>0</v>
      </c>
      <c r="CC1596" s="99"/>
      <c r="CV1596" s="99"/>
      <c r="CW1596" s="63"/>
    </row>
    <row r="1597" spans="1:101" ht="22.5" x14ac:dyDescent="0.15">
      <c r="A1597" s="76">
        <v>1482</v>
      </c>
      <c r="B1597" s="74" t="s">
        <v>1013</v>
      </c>
      <c r="C1597" s="74">
        <v>12764760</v>
      </c>
      <c r="D1597" s="78" t="str">
        <f t="shared" si="52"/>
        <v>https://portal.dnb.de/opac.htm?method=simpleSearch&amp;cqlMode=true&amp;query=idn%3D12764760</v>
      </c>
      <c r="E1597" s="74" t="s">
        <v>8974</v>
      </c>
      <c r="F1597" s="74"/>
      <c r="G1597" s="76"/>
      <c r="H1597" s="77" t="s">
        <v>18</v>
      </c>
      <c r="I1597" s="76" t="s">
        <v>53</v>
      </c>
      <c r="J1597" s="77" t="s">
        <v>58</v>
      </c>
      <c r="K1597" s="77" t="s">
        <v>84</v>
      </c>
      <c r="L1597" s="76"/>
      <c r="M1597" s="76" t="s">
        <v>32</v>
      </c>
      <c r="N1597" s="76" t="s">
        <v>40</v>
      </c>
      <c r="O1597" s="76">
        <v>0</v>
      </c>
      <c r="P1597" s="76"/>
      <c r="Q1597" s="152"/>
      <c r="R1597" s="76"/>
      <c r="S1597" s="76"/>
      <c r="X1597" s="95" t="s">
        <v>8541</v>
      </c>
      <c r="Y1597" s="95" t="s">
        <v>9725</v>
      </c>
      <c r="AC1597" s="95" t="s">
        <v>9737</v>
      </c>
      <c r="AI1597" s="95" t="s">
        <v>9725</v>
      </c>
      <c r="AU1597" s="95">
        <v>4</v>
      </c>
      <c r="AW1597" s="95" t="s">
        <v>9733</v>
      </c>
      <c r="BC1597" s="96" t="s">
        <v>9734</v>
      </c>
      <c r="BD1597" s="99">
        <f t="shared" si="50"/>
        <v>0</v>
      </c>
      <c r="BG1597" s="95" t="s">
        <v>8541</v>
      </c>
      <c r="CC1597" s="99"/>
      <c r="CV1597" s="99"/>
      <c r="CW1597" s="63"/>
    </row>
    <row r="1598" spans="1:101" ht="22.5" x14ac:dyDescent="0.15">
      <c r="A1598" s="76">
        <v>1483</v>
      </c>
      <c r="B1598" s="74" t="s">
        <v>1014</v>
      </c>
      <c r="C1598" s="74">
        <v>12764752</v>
      </c>
      <c r="D1598" s="78"/>
      <c r="E1598" s="74" t="s">
        <v>8975</v>
      </c>
      <c r="F1598" s="74"/>
      <c r="G1598" s="76"/>
      <c r="H1598" s="77" t="s">
        <v>18</v>
      </c>
      <c r="I1598" s="76" t="s">
        <v>53</v>
      </c>
      <c r="J1598" s="77" t="s">
        <v>58</v>
      </c>
      <c r="K1598" s="77" t="s">
        <v>84</v>
      </c>
      <c r="L1598" s="76"/>
      <c r="M1598" s="76" t="s">
        <v>32</v>
      </c>
      <c r="N1598" s="76" t="s">
        <v>40</v>
      </c>
      <c r="O1598" s="76">
        <v>0</v>
      </c>
      <c r="P1598" s="76"/>
      <c r="Q1598" s="152"/>
      <c r="R1598" s="76"/>
      <c r="S1598" s="76"/>
      <c r="X1598" s="95" t="s">
        <v>8541</v>
      </c>
      <c r="Y1598" s="95" t="s">
        <v>9725</v>
      </c>
      <c r="AC1598" s="95" t="s">
        <v>9737</v>
      </c>
      <c r="AI1598" s="95" t="s">
        <v>9725</v>
      </c>
      <c r="AU1598" s="95">
        <v>4</v>
      </c>
      <c r="AW1598" s="95" t="s">
        <v>9733</v>
      </c>
      <c r="BC1598" s="96" t="s">
        <v>9734</v>
      </c>
      <c r="BD1598" s="99">
        <f t="shared" si="50"/>
        <v>0</v>
      </c>
      <c r="BG1598" s="95" t="s">
        <v>8541</v>
      </c>
      <c r="CC1598" s="99"/>
      <c r="CV1598" s="99"/>
      <c r="CW1598" s="63"/>
    </row>
    <row r="1599" spans="1:101" ht="22.5" x14ac:dyDescent="0.15">
      <c r="A1599" s="76"/>
      <c r="B1599" s="74"/>
      <c r="C1599" s="74"/>
      <c r="D1599" s="78"/>
      <c r="E1599" s="74" t="s">
        <v>8976</v>
      </c>
      <c r="F1599" s="74"/>
      <c r="G1599" s="76"/>
      <c r="H1599" s="77" t="s">
        <v>18</v>
      </c>
      <c r="I1599" s="76" t="s">
        <v>53</v>
      </c>
      <c r="J1599" s="77" t="s">
        <v>58</v>
      </c>
      <c r="K1599" s="77" t="s">
        <v>84</v>
      </c>
      <c r="L1599" s="76"/>
      <c r="M1599" s="76" t="s">
        <v>32</v>
      </c>
      <c r="N1599" s="76" t="s">
        <v>40</v>
      </c>
      <c r="O1599" s="76">
        <v>0</v>
      </c>
      <c r="P1599" s="76"/>
      <c r="Q1599" s="153"/>
      <c r="R1599" s="76"/>
      <c r="S1599" s="76"/>
      <c r="X1599" s="95" t="s">
        <v>8541</v>
      </c>
      <c r="Y1599" s="95" t="s">
        <v>9725</v>
      </c>
      <c r="AC1599" s="95" t="s">
        <v>9737</v>
      </c>
      <c r="AI1599" s="95" t="s">
        <v>9725</v>
      </c>
      <c r="AU1599" s="95">
        <v>4</v>
      </c>
      <c r="AW1599" s="95" t="s">
        <v>9733</v>
      </c>
      <c r="BC1599" s="96" t="s">
        <v>9734</v>
      </c>
      <c r="BD1599" s="99">
        <f t="shared" si="50"/>
        <v>0</v>
      </c>
      <c r="BG1599" s="95" t="s">
        <v>8541</v>
      </c>
      <c r="CC1599" s="99"/>
      <c r="CV1599" s="99"/>
      <c r="CW1599" s="63"/>
    </row>
    <row r="1600" spans="1:101" x14ac:dyDescent="0.15">
      <c r="A1600" s="76">
        <v>1484</v>
      </c>
      <c r="B1600" s="74" t="s">
        <v>1015</v>
      </c>
      <c r="C1600" s="74">
        <v>12764760</v>
      </c>
      <c r="D1600" s="78" t="str">
        <f t="shared" si="52"/>
        <v>https://portal.dnb.de/opac.htm?method=simpleSearch&amp;cqlMode=true&amp;query=idn%3D12764760</v>
      </c>
      <c r="E1600" s="74" t="s">
        <v>1016</v>
      </c>
      <c r="F1600" s="74"/>
      <c r="G1600" s="76"/>
      <c r="H1600" s="77"/>
      <c r="I1600" s="76"/>
      <c r="J1600" s="77"/>
      <c r="K1600" s="77"/>
      <c r="L1600" s="76"/>
      <c r="M1600" s="76"/>
      <c r="N1600" s="76"/>
      <c r="O1600" s="76"/>
      <c r="P1600" s="76"/>
      <c r="Q1600" s="76"/>
      <c r="R1600" s="76"/>
      <c r="S1600" s="76"/>
      <c r="BD1600" s="99">
        <f t="shared" si="50"/>
        <v>0</v>
      </c>
      <c r="CC1600" s="99"/>
      <c r="CV1600" s="99"/>
      <c r="CW1600" s="63"/>
    </row>
    <row r="1601" spans="1:101" x14ac:dyDescent="0.15">
      <c r="A1601" s="76">
        <v>1485</v>
      </c>
      <c r="B1601" s="74" t="s">
        <v>1017</v>
      </c>
      <c r="C1601" s="74" t="s">
        <v>1018</v>
      </c>
      <c r="D1601" s="78" t="str">
        <f t="shared" si="52"/>
        <v>https://portal.dnb.de/opac.htm?method=simpleSearch&amp;cqlMode=true&amp;query=idn%3D106693875X</v>
      </c>
      <c r="E1601" s="74" t="s">
        <v>1019</v>
      </c>
      <c r="F1601" s="74"/>
      <c r="G1601" s="76"/>
      <c r="H1601" s="77"/>
      <c r="I1601" s="76"/>
      <c r="J1601" s="77"/>
      <c r="K1601" s="77"/>
      <c r="L1601" s="76"/>
      <c r="M1601" s="76"/>
      <c r="N1601" s="76"/>
      <c r="O1601" s="76"/>
      <c r="P1601" s="76"/>
      <c r="Q1601" s="76"/>
      <c r="R1601" s="76"/>
      <c r="S1601" s="76"/>
      <c r="BD1601" s="99">
        <f t="shared" si="50"/>
        <v>0</v>
      </c>
      <c r="CC1601" s="99"/>
      <c r="CV1601" s="99"/>
      <c r="CW1601" s="63"/>
    </row>
    <row r="1602" spans="1:101" x14ac:dyDescent="0.15">
      <c r="A1602" s="76">
        <v>1486</v>
      </c>
      <c r="B1602" s="74" t="s">
        <v>1020</v>
      </c>
      <c r="C1602" s="74" t="s">
        <v>1021</v>
      </c>
      <c r="D1602" s="78" t="str">
        <f t="shared" si="52"/>
        <v>https://portal.dnb.de/opac.htm?method=simpleSearch&amp;cqlMode=true&amp;query=idn%3D106693584X</v>
      </c>
      <c r="E1602" s="74" t="s">
        <v>1022</v>
      </c>
      <c r="F1602" s="74"/>
      <c r="G1602" s="76"/>
      <c r="H1602" s="77" t="s">
        <v>17</v>
      </c>
      <c r="I1602" s="76" t="s">
        <v>54</v>
      </c>
      <c r="J1602" s="77" t="s">
        <v>58</v>
      </c>
      <c r="K1602" s="77" t="s">
        <v>84</v>
      </c>
      <c r="L1602" s="76"/>
      <c r="M1602" s="76"/>
      <c r="N1602" s="76"/>
      <c r="O1602" s="76">
        <v>0</v>
      </c>
      <c r="P1602" s="76"/>
      <c r="Q1602" s="76"/>
      <c r="R1602" s="76"/>
      <c r="S1602" s="76"/>
      <c r="BD1602" s="99">
        <f t="shared" si="50"/>
        <v>0</v>
      </c>
      <c r="CC1602" s="99"/>
      <c r="CV1602" s="99"/>
      <c r="CW1602" s="63"/>
    </row>
    <row r="1603" spans="1:101" x14ac:dyDescent="0.15">
      <c r="A1603" s="76">
        <v>1487</v>
      </c>
      <c r="B1603" s="74" t="s">
        <v>1023</v>
      </c>
      <c r="C1603" s="74">
        <v>1066964130</v>
      </c>
      <c r="D1603" s="78" t="str">
        <f t="shared" si="52"/>
        <v>https://portal.dnb.de/opac.htm?method=simpleSearch&amp;cqlMode=true&amp;query=idn%3D1066964130</v>
      </c>
      <c r="E1603" s="74" t="s">
        <v>1024</v>
      </c>
      <c r="F1603" s="74"/>
      <c r="G1603" s="76"/>
      <c r="H1603" s="77"/>
      <c r="I1603" s="76"/>
      <c r="J1603" s="77"/>
      <c r="K1603" s="77"/>
      <c r="L1603" s="76"/>
      <c r="M1603" s="76"/>
      <c r="N1603" s="76"/>
      <c r="O1603" s="76"/>
      <c r="P1603" s="76"/>
      <c r="Q1603" s="76"/>
      <c r="R1603" s="76"/>
      <c r="S1603" s="76"/>
      <c r="BD1603" s="99">
        <f t="shared" ref="BD1603:BD1666" si="53">CC1603+CV1603</f>
        <v>0</v>
      </c>
      <c r="CC1603" s="99"/>
      <c r="CV1603" s="99"/>
      <c r="CW1603" s="63"/>
    </row>
    <row r="1604" spans="1:101" x14ac:dyDescent="0.15">
      <c r="A1604" s="76">
        <v>1488</v>
      </c>
      <c r="B1604" s="74" t="s">
        <v>1025</v>
      </c>
      <c r="C1604" s="74">
        <v>1066792887</v>
      </c>
      <c r="D1604" s="78" t="str">
        <f t="shared" si="52"/>
        <v>https://portal.dnb.de/opac.htm?method=simpleSearch&amp;cqlMode=true&amp;query=idn%3D1066792887</v>
      </c>
      <c r="E1604" s="74" t="s">
        <v>1026</v>
      </c>
      <c r="F1604" s="74"/>
      <c r="G1604" s="76"/>
      <c r="H1604" s="77"/>
      <c r="I1604" s="76"/>
      <c r="J1604" s="77"/>
      <c r="K1604" s="77"/>
      <c r="L1604" s="76"/>
      <c r="M1604" s="76"/>
      <c r="N1604" s="76"/>
      <c r="O1604" s="76"/>
      <c r="P1604" s="76"/>
      <c r="Q1604" s="76"/>
      <c r="R1604" s="76"/>
      <c r="S1604" s="76"/>
      <c r="BD1604" s="99">
        <f t="shared" si="53"/>
        <v>0</v>
      </c>
      <c r="CC1604" s="99"/>
      <c r="CV1604" s="99"/>
      <c r="CW1604" s="63"/>
    </row>
    <row r="1605" spans="1:101" ht="33.75" x14ac:dyDescent="0.15">
      <c r="A1605" s="76">
        <v>1489</v>
      </c>
      <c r="B1605" s="74" t="s">
        <v>1027</v>
      </c>
      <c r="C1605" s="74">
        <v>997768789</v>
      </c>
      <c r="D1605" s="82" t="str">
        <f>HYPERLINK(CONCATENATE("https://portal.dnb.de/opac.htm?method=simpleSearch&amp;cqlMode=true&amp;query=idn%3D",C1605))</f>
        <v>https://portal.dnb.de/opac.htm?method=simpleSearch&amp;cqlMode=true&amp;query=idn%3D997768789</v>
      </c>
      <c r="E1605" s="74" t="s">
        <v>8977</v>
      </c>
      <c r="F1605" s="74"/>
      <c r="G1605" s="76" t="s">
        <v>8515</v>
      </c>
      <c r="H1605" s="77" t="s">
        <v>5</v>
      </c>
      <c r="I1605" s="76" t="s">
        <v>53</v>
      </c>
      <c r="J1605" s="77" t="s">
        <v>8516</v>
      </c>
      <c r="K1605" s="77" t="s">
        <v>8900</v>
      </c>
      <c r="L1605" s="76"/>
      <c r="M1605" s="76" t="s">
        <v>38</v>
      </c>
      <c r="N1605" s="76" t="s">
        <v>40</v>
      </c>
      <c r="O1605" s="76">
        <v>0</v>
      </c>
      <c r="P1605" s="76"/>
      <c r="Q1605" s="76"/>
      <c r="R1605" s="76"/>
      <c r="S1605" s="76"/>
      <c r="BD1605" s="99">
        <f t="shared" si="53"/>
        <v>0</v>
      </c>
      <c r="CC1605" s="99"/>
      <c r="CV1605" s="99"/>
      <c r="CW1605" s="63"/>
    </row>
    <row r="1606" spans="1:101" ht="33.75" x14ac:dyDescent="0.15">
      <c r="A1606" s="76">
        <v>1490</v>
      </c>
      <c r="B1606" s="74" t="s">
        <v>1028</v>
      </c>
      <c r="C1606" s="74">
        <v>997768878</v>
      </c>
      <c r="D1606" s="78" t="str">
        <f t="shared" si="52"/>
        <v>https://portal.dnb.de/opac.htm?method=simpleSearch&amp;cqlMode=true&amp;query=idn%3D997768878</v>
      </c>
      <c r="E1606" s="74" t="s">
        <v>8978</v>
      </c>
      <c r="F1606" s="74"/>
      <c r="G1606" s="76" t="s">
        <v>8515</v>
      </c>
      <c r="H1606" s="77" t="s">
        <v>5</v>
      </c>
      <c r="I1606" s="76" t="s">
        <v>53</v>
      </c>
      <c r="J1606" s="77" t="s">
        <v>8516</v>
      </c>
      <c r="K1606" s="77" t="s">
        <v>8900</v>
      </c>
      <c r="L1606" s="76"/>
      <c r="M1606" s="76" t="s">
        <v>38</v>
      </c>
      <c r="N1606" s="76" t="s">
        <v>40</v>
      </c>
      <c r="O1606" s="76">
        <v>0</v>
      </c>
      <c r="P1606" s="76"/>
      <c r="Q1606" s="76"/>
      <c r="R1606" s="76"/>
      <c r="S1606" s="76"/>
      <c r="BD1606" s="99">
        <f t="shared" si="53"/>
        <v>0</v>
      </c>
      <c r="CC1606" s="99"/>
      <c r="CV1606" s="99"/>
      <c r="CW1606" s="63"/>
    </row>
    <row r="1607" spans="1:101" ht="33.75" x14ac:dyDescent="0.15">
      <c r="A1607" s="76">
        <v>1491</v>
      </c>
      <c r="B1607" s="74" t="s">
        <v>1029</v>
      </c>
      <c r="C1607" s="74">
        <v>997768924</v>
      </c>
      <c r="D1607" s="82" t="str">
        <f>HYPERLINK(CONCATENATE("https://portal.dnb.de/opac.htm?method=simpleSearch&amp;cqlMode=true&amp;query=idn%3D",C1607))</f>
        <v>https://portal.dnb.de/opac.htm?method=simpleSearch&amp;cqlMode=true&amp;query=idn%3D997768924</v>
      </c>
      <c r="E1607" s="74" t="s">
        <v>8979</v>
      </c>
      <c r="F1607" s="74"/>
      <c r="G1607" s="76" t="s">
        <v>8515</v>
      </c>
      <c r="H1607" s="77" t="s">
        <v>5</v>
      </c>
      <c r="I1607" s="76" t="s">
        <v>53</v>
      </c>
      <c r="J1607" s="77" t="s">
        <v>8516</v>
      </c>
      <c r="K1607" s="77" t="s">
        <v>8900</v>
      </c>
      <c r="L1607" s="76"/>
      <c r="M1607" s="76" t="s">
        <v>38</v>
      </c>
      <c r="N1607" s="76" t="s">
        <v>40</v>
      </c>
      <c r="O1607" s="76">
        <v>0</v>
      </c>
      <c r="P1607" s="76"/>
      <c r="Q1607" s="76"/>
      <c r="R1607" s="76"/>
      <c r="S1607" s="76"/>
      <c r="BD1607" s="99">
        <f t="shared" si="53"/>
        <v>0</v>
      </c>
      <c r="CC1607" s="99"/>
      <c r="CV1607" s="99"/>
      <c r="CW1607" s="63"/>
    </row>
    <row r="1608" spans="1:101" ht="33.75" x14ac:dyDescent="0.15">
      <c r="A1608" s="76">
        <v>1492</v>
      </c>
      <c r="B1608" s="74" t="s">
        <v>1030</v>
      </c>
      <c r="C1608" s="74">
        <v>997769106</v>
      </c>
      <c r="D1608" s="82" t="str">
        <f>HYPERLINK(CONCATENATE("https://portal.dnb.de/opac.htm?method=simpleSearch&amp;cqlMode=true&amp;query=idn%3D",C1608))</f>
        <v>https://portal.dnb.de/opac.htm?method=simpleSearch&amp;cqlMode=true&amp;query=idn%3D997769106</v>
      </c>
      <c r="E1608" s="74" t="s">
        <v>8980</v>
      </c>
      <c r="F1608" s="74"/>
      <c r="G1608" s="76" t="s">
        <v>8515</v>
      </c>
      <c r="H1608" s="77" t="s">
        <v>5</v>
      </c>
      <c r="I1608" s="76" t="s">
        <v>53</v>
      </c>
      <c r="J1608" s="77" t="s">
        <v>8516</v>
      </c>
      <c r="K1608" s="77" t="s">
        <v>8900</v>
      </c>
      <c r="L1608" s="76"/>
      <c r="M1608" s="76" t="s">
        <v>38</v>
      </c>
      <c r="N1608" s="76" t="s">
        <v>40</v>
      </c>
      <c r="O1608" s="76">
        <v>0</v>
      </c>
      <c r="P1608" s="76"/>
      <c r="Q1608" s="76"/>
      <c r="R1608" s="76"/>
      <c r="S1608" s="76"/>
      <c r="BD1608" s="99">
        <f t="shared" si="53"/>
        <v>0</v>
      </c>
      <c r="CC1608" s="99"/>
      <c r="CV1608" s="99"/>
      <c r="CW1608" s="63"/>
    </row>
    <row r="1609" spans="1:101" ht="33.75" x14ac:dyDescent="0.15">
      <c r="A1609" s="76">
        <v>1493</v>
      </c>
      <c r="B1609" s="74" t="s">
        <v>1031</v>
      </c>
      <c r="C1609" s="74" t="s">
        <v>1032</v>
      </c>
      <c r="D1609" s="82" t="str">
        <f>HYPERLINK(CONCATENATE("https://portal.dnb.de/opac.htm?method=simpleSearch&amp;cqlMode=true&amp;query=idn%3D",C1609))</f>
        <v>https://portal.dnb.de/opac.htm?method=simpleSearch&amp;cqlMode=true&amp;query=idn%3D99776919X</v>
      </c>
      <c r="E1609" s="74" t="s">
        <v>8981</v>
      </c>
      <c r="F1609" s="74"/>
      <c r="G1609" s="76" t="s">
        <v>8515</v>
      </c>
      <c r="H1609" s="77" t="s">
        <v>5</v>
      </c>
      <c r="I1609" s="76" t="s">
        <v>53</v>
      </c>
      <c r="J1609" s="77" t="s">
        <v>8516</v>
      </c>
      <c r="K1609" s="77" t="s">
        <v>8900</v>
      </c>
      <c r="L1609" s="76"/>
      <c r="M1609" s="76" t="s">
        <v>38</v>
      </c>
      <c r="N1609" s="76" t="s">
        <v>40</v>
      </c>
      <c r="O1609" s="76">
        <v>0</v>
      </c>
      <c r="P1609" s="76"/>
      <c r="Q1609" s="76"/>
      <c r="R1609" s="76"/>
      <c r="S1609" s="76"/>
      <c r="BD1609" s="99">
        <f t="shared" si="53"/>
        <v>0</v>
      </c>
      <c r="CC1609" s="99"/>
      <c r="CV1609" s="99"/>
      <c r="CW1609" s="63"/>
    </row>
    <row r="1610" spans="1:101" ht="33.75" x14ac:dyDescent="0.15">
      <c r="A1610" s="76">
        <v>1494</v>
      </c>
      <c r="B1610" s="74" t="s">
        <v>1033</v>
      </c>
      <c r="C1610" s="74">
        <v>997769149</v>
      </c>
      <c r="D1610" s="82" t="str">
        <f>HYPERLINK(CONCATENATE("https://portal.dnb.de/opac.htm?method=simpleSearch&amp;cqlMode=true&amp;query=idn%3D",C1610))</f>
        <v>https://portal.dnb.de/opac.htm?method=simpleSearch&amp;cqlMode=true&amp;query=idn%3D997769149</v>
      </c>
      <c r="E1610" s="74" t="s">
        <v>8982</v>
      </c>
      <c r="F1610" s="74"/>
      <c r="G1610" s="76" t="s">
        <v>8515</v>
      </c>
      <c r="H1610" s="77" t="s">
        <v>5</v>
      </c>
      <c r="I1610" s="76" t="s">
        <v>53</v>
      </c>
      <c r="J1610" s="77" t="s">
        <v>8516</v>
      </c>
      <c r="K1610" s="77" t="s">
        <v>8900</v>
      </c>
      <c r="L1610" s="76"/>
      <c r="M1610" s="76" t="s">
        <v>38</v>
      </c>
      <c r="N1610" s="76" t="s">
        <v>40</v>
      </c>
      <c r="O1610" s="76">
        <v>0</v>
      </c>
      <c r="P1610" s="76"/>
      <c r="Q1610" s="76"/>
      <c r="R1610" s="76"/>
      <c r="S1610" s="76"/>
      <c r="BD1610" s="99">
        <f t="shared" si="53"/>
        <v>0</v>
      </c>
      <c r="CC1610" s="99"/>
      <c r="CV1610" s="99"/>
      <c r="CW1610" s="63"/>
    </row>
    <row r="1611" spans="1:101" x14ac:dyDescent="0.15">
      <c r="A1611" s="76">
        <v>1495</v>
      </c>
      <c r="B1611" s="74" t="s">
        <v>1034</v>
      </c>
      <c r="C1611" s="74">
        <v>1066848440</v>
      </c>
      <c r="D1611" s="78" t="str">
        <f t="shared" si="52"/>
        <v>https://portal.dnb.de/opac.htm?method=simpleSearch&amp;cqlMode=true&amp;query=idn%3D1066848440</v>
      </c>
      <c r="E1611" s="74" t="s">
        <v>1035</v>
      </c>
      <c r="F1611" s="74"/>
      <c r="G1611" s="76"/>
      <c r="H1611" s="77"/>
      <c r="I1611" s="76"/>
      <c r="J1611" s="77"/>
      <c r="K1611" s="77"/>
      <c r="L1611" s="76"/>
      <c r="M1611" s="76"/>
      <c r="N1611" s="76"/>
      <c r="O1611" s="76"/>
      <c r="P1611" s="76"/>
      <c r="Q1611" s="76"/>
      <c r="R1611" s="76"/>
      <c r="S1611" s="76"/>
      <c r="BD1611" s="99">
        <f t="shared" si="53"/>
        <v>0</v>
      </c>
      <c r="CC1611" s="99"/>
      <c r="CV1611" s="99"/>
      <c r="CW1611" s="63"/>
    </row>
    <row r="1612" spans="1:101" ht="33.75" x14ac:dyDescent="0.15">
      <c r="A1612" s="76">
        <v>1496</v>
      </c>
      <c r="B1612" s="74" t="s">
        <v>1036</v>
      </c>
      <c r="C1612" s="74">
        <v>1066480834</v>
      </c>
      <c r="D1612" s="78" t="str">
        <f t="shared" si="52"/>
        <v>https://portal.dnb.de/opac.htm?method=simpleSearch&amp;cqlMode=true&amp;query=idn%3D1066480834</v>
      </c>
      <c r="E1612" s="74" t="s">
        <v>1037</v>
      </c>
      <c r="F1612" s="74"/>
      <c r="G1612" s="76" t="s">
        <v>8515</v>
      </c>
      <c r="H1612" s="77" t="s">
        <v>8546</v>
      </c>
      <c r="I1612" s="76" t="s">
        <v>56</v>
      </c>
      <c r="J1612" s="77" t="s">
        <v>58</v>
      </c>
      <c r="K1612" s="77"/>
      <c r="L1612" s="76"/>
      <c r="M1612" s="76" t="s">
        <v>37</v>
      </c>
      <c r="N1612" s="76" t="s">
        <v>40</v>
      </c>
      <c r="O1612" s="76">
        <v>2</v>
      </c>
      <c r="P1612" s="76"/>
      <c r="Q1612" s="76" t="s">
        <v>9666</v>
      </c>
      <c r="R1612" s="76"/>
      <c r="S1612" s="76"/>
      <c r="Y1612" s="95" t="s">
        <v>9763</v>
      </c>
      <c r="AA1612" s="95" t="s">
        <v>8541</v>
      </c>
      <c r="AC1612" s="95" t="s">
        <v>9724</v>
      </c>
      <c r="AI1612" s="95" t="s">
        <v>9725</v>
      </c>
      <c r="AW1612" s="95">
        <v>60</v>
      </c>
      <c r="BC1612" s="96" t="s">
        <v>9726</v>
      </c>
      <c r="BD1612" s="99">
        <f t="shared" si="53"/>
        <v>1</v>
      </c>
      <c r="BH1612" s="95" t="s">
        <v>8541</v>
      </c>
      <c r="BP1612" s="69" t="s">
        <v>8541</v>
      </c>
      <c r="BR1612" s="95" t="s">
        <v>8541</v>
      </c>
      <c r="CC1612" s="99">
        <v>1</v>
      </c>
      <c r="CD1612" s="90" t="s">
        <v>10403</v>
      </c>
      <c r="CV1612" s="99"/>
      <c r="CW1612" s="63"/>
    </row>
    <row r="1613" spans="1:101" x14ac:dyDescent="0.15">
      <c r="A1613" s="76">
        <v>1497</v>
      </c>
      <c r="B1613" s="74" t="s">
        <v>1038</v>
      </c>
      <c r="C1613" s="74">
        <v>1208659693</v>
      </c>
      <c r="D1613" s="78" t="str">
        <f t="shared" si="52"/>
        <v>https://portal.dnb.de/opac.htm?method=simpleSearch&amp;cqlMode=true&amp;query=idn%3D1208659693</v>
      </c>
      <c r="E1613" s="74" t="s">
        <v>1039</v>
      </c>
      <c r="F1613" s="74"/>
      <c r="G1613" s="76"/>
      <c r="H1613" s="77"/>
      <c r="I1613" s="76"/>
      <c r="J1613" s="77"/>
      <c r="K1613" s="77"/>
      <c r="L1613" s="76"/>
      <c r="M1613" s="76"/>
      <c r="N1613" s="76"/>
      <c r="O1613" s="76"/>
      <c r="P1613" s="76"/>
      <c r="Q1613" s="76"/>
      <c r="R1613" s="76"/>
      <c r="S1613" s="76"/>
      <c r="BD1613" s="99">
        <f t="shared" si="53"/>
        <v>0</v>
      </c>
      <c r="CC1613" s="99"/>
      <c r="CV1613" s="99"/>
      <c r="CW1613" s="63"/>
    </row>
    <row r="1614" spans="1:101" ht="22.5" x14ac:dyDescent="0.15">
      <c r="A1614" s="76">
        <v>1498</v>
      </c>
      <c r="B1614" s="74" t="s">
        <v>1040</v>
      </c>
      <c r="C1614" s="74">
        <v>1066841349</v>
      </c>
      <c r="D1614" s="82" t="str">
        <f>HYPERLINK(CONCATENATE("https://portal.dnb.de/opac.htm?method=simpleSearch&amp;cqlMode=true&amp;query=idn%3D",C1614))</f>
        <v>https://portal.dnb.de/opac.htm?method=simpleSearch&amp;cqlMode=true&amp;query=idn%3D1066841349</v>
      </c>
      <c r="E1614" s="74" t="s">
        <v>1041</v>
      </c>
      <c r="F1614" s="74"/>
      <c r="G1614" s="76" t="s">
        <v>8515</v>
      </c>
      <c r="H1614" s="77" t="s">
        <v>6</v>
      </c>
      <c r="I1614" s="76" t="s">
        <v>53</v>
      </c>
      <c r="J1614" s="77" t="s">
        <v>8516</v>
      </c>
      <c r="K1614" s="77" t="s">
        <v>8565</v>
      </c>
      <c r="L1614" s="76"/>
      <c r="M1614" s="76"/>
      <c r="N1614" s="76"/>
      <c r="O1614" s="76">
        <v>0</v>
      </c>
      <c r="P1614" s="76"/>
      <c r="Q1614" s="76"/>
      <c r="R1614" s="76"/>
      <c r="S1614" s="76"/>
      <c r="BD1614" s="99">
        <f t="shared" si="53"/>
        <v>0</v>
      </c>
      <c r="CC1614" s="99"/>
      <c r="CV1614" s="99"/>
      <c r="CW1614" s="63"/>
    </row>
    <row r="1615" spans="1:101" x14ac:dyDescent="0.15">
      <c r="A1615" s="76">
        <v>1499</v>
      </c>
      <c r="B1615" s="74" t="s">
        <v>1042</v>
      </c>
      <c r="C1615" s="74">
        <v>1209567822</v>
      </c>
      <c r="D1615" s="78" t="str">
        <f t="shared" ref="D1615:D1678" si="54">HYPERLINK(CONCATENATE("https://portal.dnb.de/opac.htm?method=simpleSearch&amp;cqlMode=true&amp;query=idn%3D",C1615))</f>
        <v>https://portal.dnb.de/opac.htm?method=simpleSearch&amp;cqlMode=true&amp;query=idn%3D1209567822</v>
      </c>
      <c r="E1615" s="74" t="s">
        <v>1043</v>
      </c>
      <c r="F1615" s="74"/>
      <c r="G1615" s="76"/>
      <c r="H1615" s="77"/>
      <c r="I1615" s="76"/>
      <c r="J1615" s="77"/>
      <c r="K1615" s="77"/>
      <c r="L1615" s="76"/>
      <c r="M1615" s="76"/>
      <c r="N1615" s="76"/>
      <c r="O1615" s="76"/>
      <c r="P1615" s="76"/>
      <c r="Q1615" s="76"/>
      <c r="R1615" s="76"/>
      <c r="S1615" s="76"/>
      <c r="BD1615" s="99">
        <f t="shared" si="53"/>
        <v>0</v>
      </c>
      <c r="CC1615" s="99"/>
      <c r="CV1615" s="99"/>
      <c r="CW1615" s="63"/>
    </row>
    <row r="1616" spans="1:101" ht="22.5" x14ac:dyDescent="0.15">
      <c r="A1616" s="76">
        <v>1500</v>
      </c>
      <c r="B1616" s="74" t="s">
        <v>1044</v>
      </c>
      <c r="C1616" s="74">
        <v>1066768854</v>
      </c>
      <c r="D1616" s="82" t="str">
        <f>HYPERLINK(CONCATENATE("https://portal.dnb.de/opac.htm?method=simpleSearch&amp;cqlMode=true&amp;query=idn%3D",C1616))</f>
        <v>https://portal.dnb.de/opac.htm?method=simpleSearch&amp;cqlMode=true&amp;query=idn%3D1066768854</v>
      </c>
      <c r="E1616" s="74" t="s">
        <v>1045</v>
      </c>
      <c r="F1616" s="74"/>
      <c r="G1616" s="76" t="s">
        <v>8515</v>
      </c>
      <c r="H1616" s="77" t="s">
        <v>18</v>
      </c>
      <c r="I1616" s="76" t="s">
        <v>53</v>
      </c>
      <c r="J1616" s="77" t="s">
        <v>58</v>
      </c>
      <c r="K1616" s="77" t="s">
        <v>84</v>
      </c>
      <c r="L1616" s="76"/>
      <c r="M1616" s="76" t="s">
        <v>33</v>
      </c>
      <c r="N1616" s="76" t="s">
        <v>40</v>
      </c>
      <c r="O1616" s="76">
        <v>0</v>
      </c>
      <c r="P1616" s="76"/>
      <c r="Q1616" s="76" t="s">
        <v>8983</v>
      </c>
      <c r="R1616" s="76"/>
      <c r="S1616" s="76"/>
      <c r="BD1616" s="99">
        <f t="shared" si="53"/>
        <v>0</v>
      </c>
      <c r="CC1616" s="99"/>
      <c r="CV1616" s="99"/>
      <c r="CW1616" s="63"/>
    </row>
    <row r="1617" spans="1:101" ht="33.75" x14ac:dyDescent="0.15">
      <c r="A1617" s="76">
        <v>1501</v>
      </c>
      <c r="B1617" s="74" t="s">
        <v>1048</v>
      </c>
      <c r="C1617" s="74">
        <v>1066768986</v>
      </c>
      <c r="D1617" s="82" t="str">
        <f>HYPERLINK(CONCATENATE("https://portal.dnb.de/opac.htm?method=simpleSearch&amp;cqlMode=true&amp;query=idn%3D",C1617))</f>
        <v>https://portal.dnb.de/opac.htm?method=simpleSearch&amp;cqlMode=true&amp;query=idn%3D1066768986</v>
      </c>
      <c r="E1617" s="74" t="s">
        <v>1049</v>
      </c>
      <c r="F1617" s="74"/>
      <c r="G1617" s="76" t="s">
        <v>8515</v>
      </c>
      <c r="H1617" s="77" t="s">
        <v>48</v>
      </c>
      <c r="I1617" s="76" t="s">
        <v>53</v>
      </c>
      <c r="J1617" s="77" t="s">
        <v>8516</v>
      </c>
      <c r="K1617" s="77" t="s">
        <v>8663</v>
      </c>
      <c r="L1617" s="76"/>
      <c r="M1617" s="76"/>
      <c r="N1617" s="76"/>
      <c r="O1617" s="76">
        <v>0</v>
      </c>
      <c r="P1617" s="76"/>
      <c r="Q1617" s="76"/>
      <c r="R1617" s="76"/>
      <c r="S1617" s="76"/>
      <c r="BD1617" s="99">
        <f t="shared" si="53"/>
        <v>0</v>
      </c>
      <c r="CC1617" s="99"/>
      <c r="CV1617" s="99"/>
      <c r="CW1617" s="63"/>
    </row>
    <row r="1618" spans="1:101" x14ac:dyDescent="0.15">
      <c r="A1618" s="76">
        <v>1502</v>
      </c>
      <c r="B1618" s="74" t="s">
        <v>1050</v>
      </c>
      <c r="C1618" s="74">
        <v>1066942293</v>
      </c>
      <c r="D1618" s="78" t="str">
        <f t="shared" si="54"/>
        <v>https://portal.dnb.de/opac.htm?method=simpleSearch&amp;cqlMode=true&amp;query=idn%3D1066942293</v>
      </c>
      <c r="E1618" s="74" t="s">
        <v>1051</v>
      </c>
      <c r="F1618" s="74"/>
      <c r="G1618" s="76"/>
      <c r="H1618" s="77" t="s">
        <v>17</v>
      </c>
      <c r="I1618" s="76" t="s">
        <v>54</v>
      </c>
      <c r="J1618" s="77" t="s">
        <v>8516</v>
      </c>
      <c r="K1618" s="77" t="s">
        <v>84</v>
      </c>
      <c r="L1618" s="76"/>
      <c r="M1618" s="76"/>
      <c r="N1618" s="76"/>
      <c r="O1618" s="76">
        <v>0</v>
      </c>
      <c r="P1618" s="76"/>
      <c r="Q1618" s="76"/>
      <c r="R1618" s="76"/>
      <c r="S1618" s="76"/>
      <c r="BD1618" s="99">
        <f t="shared" si="53"/>
        <v>0</v>
      </c>
      <c r="CC1618" s="99"/>
      <c r="CV1618" s="99"/>
      <c r="CW1618" s="63"/>
    </row>
    <row r="1619" spans="1:101" ht="33.75" x14ac:dyDescent="0.15">
      <c r="A1619" s="76">
        <v>1503</v>
      </c>
      <c r="B1619" s="74" t="s">
        <v>1052</v>
      </c>
      <c r="C1619" s="74">
        <v>1066931569</v>
      </c>
      <c r="D1619" s="82" t="str">
        <f>HYPERLINK(CONCATENATE("https://portal.dnb.de/opac.htm?method=simpleSearch&amp;cqlMode=true&amp;query=idn%3D",C1619))</f>
        <v>https://portal.dnb.de/opac.htm?method=simpleSearch&amp;cqlMode=true&amp;query=idn%3D1066931569</v>
      </c>
      <c r="E1619" s="74" t="s">
        <v>1053</v>
      </c>
      <c r="F1619" s="74"/>
      <c r="G1619" s="76" t="s">
        <v>8515</v>
      </c>
      <c r="H1619" s="77" t="s">
        <v>4</v>
      </c>
      <c r="I1619" s="76" t="s">
        <v>53</v>
      </c>
      <c r="J1619" s="77" t="s">
        <v>58</v>
      </c>
      <c r="K1619" s="77" t="s">
        <v>8667</v>
      </c>
      <c r="L1619" s="76"/>
      <c r="M1619" s="76"/>
      <c r="N1619" s="76"/>
      <c r="O1619" s="76">
        <v>1</v>
      </c>
      <c r="P1619" s="76"/>
      <c r="Q1619" s="76"/>
      <c r="R1619" s="76"/>
      <c r="S1619" s="76"/>
      <c r="BD1619" s="99">
        <f t="shared" si="53"/>
        <v>0</v>
      </c>
      <c r="CC1619" s="99"/>
      <c r="CV1619" s="99"/>
      <c r="CW1619" s="63"/>
    </row>
    <row r="1620" spans="1:101" x14ac:dyDescent="0.15">
      <c r="A1620" s="76">
        <v>1504</v>
      </c>
      <c r="B1620" s="74" t="s">
        <v>1054</v>
      </c>
      <c r="C1620" s="74">
        <v>1211526232</v>
      </c>
      <c r="D1620" s="82" t="str">
        <f>HYPERLINK(CONCATENATE("https://portal.dnb.de/opac.htm?method=simpleSearch&amp;cqlMode=true&amp;query=idn%3D",C1620))</f>
        <v>https://portal.dnb.de/opac.htm?method=simpleSearch&amp;cqlMode=true&amp;query=idn%3D1211526232</v>
      </c>
      <c r="E1620" s="74" t="s">
        <v>1055</v>
      </c>
      <c r="F1620" s="74"/>
      <c r="G1620" s="76"/>
      <c r="H1620" s="77"/>
      <c r="I1620" s="76"/>
      <c r="J1620" s="77"/>
      <c r="K1620" s="77"/>
      <c r="L1620" s="76"/>
      <c r="M1620" s="76"/>
      <c r="N1620" s="76"/>
      <c r="O1620" s="76"/>
      <c r="P1620" s="76"/>
      <c r="Q1620" s="76"/>
      <c r="R1620" s="76"/>
      <c r="S1620" s="76"/>
      <c r="BD1620" s="99">
        <f t="shared" si="53"/>
        <v>0</v>
      </c>
      <c r="CC1620" s="99"/>
      <c r="CV1620" s="99"/>
      <c r="CW1620" s="63"/>
    </row>
    <row r="1621" spans="1:101" x14ac:dyDescent="0.15">
      <c r="A1621" s="76">
        <v>1505</v>
      </c>
      <c r="B1621" s="74" t="s">
        <v>1056</v>
      </c>
      <c r="C1621" s="74" t="s">
        <v>1057</v>
      </c>
      <c r="D1621" s="82" t="str">
        <f>HYPERLINK(CONCATENATE("https://portal.dnb.de/opac.htm?method=simpleSearch&amp;cqlMode=true&amp;query=idn%3D",C1621))</f>
        <v>https://portal.dnb.de/opac.htm?method=simpleSearch&amp;cqlMode=true&amp;query=idn%3D106696047X</v>
      </c>
      <c r="E1621" s="74" t="s">
        <v>1058</v>
      </c>
      <c r="F1621" s="74"/>
      <c r="G1621" s="76" t="s">
        <v>8515</v>
      </c>
      <c r="H1621" s="77" t="s">
        <v>48</v>
      </c>
      <c r="I1621" s="76" t="s">
        <v>53</v>
      </c>
      <c r="J1621" s="77" t="s">
        <v>89</v>
      </c>
      <c r="K1621" s="77"/>
      <c r="L1621" s="76"/>
      <c r="M1621" s="76" t="s">
        <v>38</v>
      </c>
      <c r="N1621" s="76" t="s">
        <v>40</v>
      </c>
      <c r="O1621" s="76">
        <v>0</v>
      </c>
      <c r="P1621" s="76"/>
      <c r="Q1621" s="76"/>
      <c r="R1621" s="76"/>
      <c r="S1621" s="76"/>
      <c r="BD1621" s="99">
        <f t="shared" si="53"/>
        <v>0</v>
      </c>
      <c r="CC1621" s="99"/>
      <c r="CV1621" s="99"/>
      <c r="CW1621" s="63"/>
    </row>
    <row r="1622" spans="1:101" ht="22.5" x14ac:dyDescent="0.15">
      <c r="A1622" s="76">
        <v>1506</v>
      </c>
      <c r="B1622" s="74" t="s">
        <v>1059</v>
      </c>
      <c r="C1622" s="74">
        <v>1066778477</v>
      </c>
      <c r="D1622" s="78" t="str">
        <f t="shared" si="54"/>
        <v>https://portal.dnb.de/opac.htm?method=simpleSearch&amp;cqlMode=true&amp;query=idn%3D1066778477</v>
      </c>
      <c r="E1622" s="74" t="s">
        <v>1060</v>
      </c>
      <c r="F1622" s="74"/>
      <c r="G1622" s="76" t="s">
        <v>8515</v>
      </c>
      <c r="H1622" s="77" t="s">
        <v>17</v>
      </c>
      <c r="I1622" s="76" t="s">
        <v>53</v>
      </c>
      <c r="J1622" s="77" t="s">
        <v>8516</v>
      </c>
      <c r="K1622" s="77" t="s">
        <v>8565</v>
      </c>
      <c r="L1622" s="76"/>
      <c r="M1622" s="76"/>
      <c r="N1622" s="76"/>
      <c r="O1622" s="76">
        <v>1</v>
      </c>
      <c r="P1622" s="76"/>
      <c r="Q1622" s="76"/>
      <c r="R1622" s="76"/>
      <c r="S1622" s="76"/>
      <c r="BD1622" s="99">
        <f t="shared" si="53"/>
        <v>0</v>
      </c>
      <c r="CC1622" s="99"/>
      <c r="CV1622" s="99"/>
      <c r="CW1622" s="63"/>
    </row>
    <row r="1623" spans="1:101" ht="45" x14ac:dyDescent="0.15">
      <c r="A1623" s="76">
        <v>1507</v>
      </c>
      <c r="B1623" s="74" t="s">
        <v>1098</v>
      </c>
      <c r="C1623" s="74" t="s">
        <v>1099</v>
      </c>
      <c r="D1623" s="82" t="str">
        <f>HYPERLINK(CONCATENATE("https://portal.dnb.de/opac.htm?method=simpleSearch&amp;cqlMode=true&amp;query=idn%3D",C1623))</f>
        <v>https://portal.dnb.de/opac.htm?method=simpleSearch&amp;cqlMode=true&amp;query=idn%3D100209366X</v>
      </c>
      <c r="E1623" s="74" t="s">
        <v>1100</v>
      </c>
      <c r="F1623" s="74"/>
      <c r="G1623" s="76"/>
      <c r="H1623" s="77" t="s">
        <v>48</v>
      </c>
      <c r="I1623" s="76" t="s">
        <v>53</v>
      </c>
      <c r="J1623" s="77" t="s">
        <v>8516</v>
      </c>
      <c r="K1623" s="77" t="s">
        <v>8984</v>
      </c>
      <c r="L1623" s="76"/>
      <c r="M1623" s="76"/>
      <c r="N1623" s="76"/>
      <c r="O1623" s="76">
        <v>0</v>
      </c>
      <c r="P1623" s="76"/>
      <c r="Q1623" s="76"/>
      <c r="R1623" s="76"/>
      <c r="S1623" s="76"/>
      <c r="BD1623" s="99">
        <f t="shared" si="53"/>
        <v>0</v>
      </c>
      <c r="CC1623" s="99"/>
      <c r="CV1623" s="99"/>
      <c r="CW1623" s="63"/>
    </row>
    <row r="1624" spans="1:101" x14ac:dyDescent="0.15">
      <c r="A1624" s="76">
        <v>1508</v>
      </c>
      <c r="B1624" s="74" t="s">
        <v>1157</v>
      </c>
      <c r="C1624" s="74">
        <v>998686417</v>
      </c>
      <c r="D1624" s="82" t="str">
        <f>HYPERLINK(CONCATENATE("https://portal.dnb.de/opac.htm?method=simpleSearch&amp;cqlMode=true&amp;query=idn%3D",C1624))</f>
        <v>https://portal.dnb.de/opac.htm?method=simpleSearch&amp;cqlMode=true&amp;query=idn%3D998686417</v>
      </c>
      <c r="E1624" s="74" t="s">
        <v>1158</v>
      </c>
      <c r="F1624" s="74"/>
      <c r="G1624" s="76"/>
      <c r="H1624" s="77"/>
      <c r="I1624" s="76"/>
      <c r="J1624" s="77"/>
      <c r="K1624" s="77"/>
      <c r="L1624" s="76"/>
      <c r="M1624" s="76"/>
      <c r="N1624" s="76"/>
      <c r="O1624" s="76"/>
      <c r="P1624" s="76"/>
      <c r="Q1624" s="76"/>
      <c r="R1624" s="76"/>
      <c r="S1624" s="76"/>
      <c r="BD1624" s="99">
        <f t="shared" si="53"/>
        <v>0</v>
      </c>
      <c r="CC1624" s="99"/>
      <c r="CV1624" s="99"/>
      <c r="CW1624" s="63"/>
    </row>
    <row r="1625" spans="1:101" x14ac:dyDescent="0.15">
      <c r="A1625" s="76">
        <v>1509</v>
      </c>
      <c r="B1625" s="74" t="s">
        <v>1101</v>
      </c>
      <c r="C1625" s="74">
        <v>1000645835</v>
      </c>
      <c r="D1625" s="78" t="str">
        <f t="shared" si="54"/>
        <v>https://portal.dnb.de/opac.htm?method=simpleSearch&amp;cqlMode=true&amp;query=idn%3D1000645835</v>
      </c>
      <c r="E1625" s="74" t="s">
        <v>1102</v>
      </c>
      <c r="F1625" s="74"/>
      <c r="G1625" s="76"/>
      <c r="H1625" s="77"/>
      <c r="I1625" s="76"/>
      <c r="J1625" s="77"/>
      <c r="K1625" s="77"/>
      <c r="L1625" s="76"/>
      <c r="M1625" s="76"/>
      <c r="N1625" s="76"/>
      <c r="O1625" s="76"/>
      <c r="P1625" s="76"/>
      <c r="Q1625" s="76"/>
      <c r="R1625" s="76"/>
      <c r="S1625" s="76"/>
      <c r="BD1625" s="99">
        <f t="shared" si="53"/>
        <v>0</v>
      </c>
      <c r="CC1625" s="99"/>
      <c r="CV1625" s="99"/>
      <c r="CW1625" s="63"/>
    </row>
    <row r="1626" spans="1:101" x14ac:dyDescent="0.15">
      <c r="A1626" s="76">
        <v>1510</v>
      </c>
      <c r="B1626" s="74" t="s">
        <v>1116</v>
      </c>
      <c r="C1626" s="74">
        <v>994316488</v>
      </c>
      <c r="D1626" s="78" t="str">
        <f t="shared" si="54"/>
        <v>https://portal.dnb.de/opac.htm?method=simpleSearch&amp;cqlMode=true&amp;query=idn%3D994316488</v>
      </c>
      <c r="E1626" s="74" t="s">
        <v>1117</v>
      </c>
      <c r="F1626" s="74"/>
      <c r="G1626" s="76"/>
      <c r="H1626" s="77"/>
      <c r="I1626" s="76"/>
      <c r="J1626" s="77"/>
      <c r="K1626" s="77"/>
      <c r="L1626" s="76"/>
      <c r="M1626" s="76"/>
      <c r="N1626" s="76"/>
      <c r="O1626" s="76"/>
      <c r="P1626" s="76"/>
      <c r="Q1626" s="76"/>
      <c r="R1626" s="76"/>
      <c r="S1626" s="76"/>
      <c r="BD1626" s="99">
        <f t="shared" si="53"/>
        <v>0</v>
      </c>
      <c r="CC1626" s="99"/>
      <c r="CV1626" s="99"/>
      <c r="CW1626" s="63"/>
    </row>
    <row r="1627" spans="1:101" x14ac:dyDescent="0.15">
      <c r="A1627" s="76">
        <v>1511</v>
      </c>
      <c r="B1627" s="74" t="s">
        <v>1118</v>
      </c>
      <c r="C1627" s="74">
        <v>997044004</v>
      </c>
      <c r="D1627" s="78" t="str">
        <f t="shared" si="54"/>
        <v>https://portal.dnb.de/opac.htm?method=simpleSearch&amp;cqlMode=true&amp;query=idn%3D997044004</v>
      </c>
      <c r="E1627" s="74" t="s">
        <v>1119</v>
      </c>
      <c r="F1627" s="74"/>
      <c r="G1627" s="76"/>
      <c r="H1627" s="77"/>
      <c r="I1627" s="76"/>
      <c r="J1627" s="77"/>
      <c r="K1627" s="77"/>
      <c r="L1627" s="76"/>
      <c r="M1627" s="76"/>
      <c r="N1627" s="76"/>
      <c r="O1627" s="76"/>
      <c r="P1627" s="76"/>
      <c r="Q1627" s="76"/>
      <c r="R1627" s="76"/>
      <c r="S1627" s="76"/>
      <c r="BD1627" s="99">
        <f t="shared" si="53"/>
        <v>0</v>
      </c>
      <c r="CC1627" s="99"/>
      <c r="CV1627" s="99"/>
      <c r="CW1627" s="63"/>
    </row>
    <row r="1628" spans="1:101" x14ac:dyDescent="0.15">
      <c r="A1628" s="76">
        <v>1512</v>
      </c>
      <c r="B1628" s="74" t="s">
        <v>1063</v>
      </c>
      <c r="C1628" s="74">
        <v>1000384586</v>
      </c>
      <c r="D1628" s="82" t="str">
        <f>HYPERLINK(CONCATENATE("https://portal.dnb.de/opac.htm?method=simpleSearch&amp;cqlMode=true&amp;query=idn%3D",C1628))</f>
        <v>https://portal.dnb.de/opac.htm?method=simpleSearch&amp;cqlMode=true&amp;query=idn%3D1000384586</v>
      </c>
      <c r="E1628" s="74" t="s">
        <v>1064</v>
      </c>
      <c r="F1628" s="74"/>
      <c r="G1628" s="76"/>
      <c r="H1628" s="77"/>
      <c r="I1628" s="76"/>
      <c r="J1628" s="77"/>
      <c r="K1628" s="77"/>
      <c r="L1628" s="76"/>
      <c r="M1628" s="76"/>
      <c r="N1628" s="76"/>
      <c r="O1628" s="76"/>
      <c r="P1628" s="76"/>
      <c r="Q1628" s="76"/>
      <c r="R1628" s="76"/>
      <c r="S1628" s="76"/>
      <c r="BD1628" s="99">
        <f t="shared" si="53"/>
        <v>0</v>
      </c>
      <c r="CC1628" s="99"/>
      <c r="CV1628" s="99"/>
      <c r="CW1628" s="63"/>
    </row>
    <row r="1629" spans="1:101" x14ac:dyDescent="0.15">
      <c r="A1629" s="76">
        <v>1513</v>
      </c>
      <c r="B1629" s="74" t="s">
        <v>1120</v>
      </c>
      <c r="C1629" s="74">
        <v>998849723</v>
      </c>
      <c r="D1629" s="78" t="str">
        <f t="shared" si="54"/>
        <v>https://portal.dnb.de/opac.htm?method=simpleSearch&amp;cqlMode=true&amp;query=idn%3D998849723</v>
      </c>
      <c r="E1629" s="74" t="s">
        <v>1121</v>
      </c>
      <c r="F1629" s="74"/>
      <c r="G1629" s="76"/>
      <c r="H1629" s="77"/>
      <c r="I1629" s="76"/>
      <c r="J1629" s="77"/>
      <c r="K1629" s="77"/>
      <c r="L1629" s="76"/>
      <c r="M1629" s="76"/>
      <c r="N1629" s="76"/>
      <c r="O1629" s="76"/>
      <c r="P1629" s="76"/>
      <c r="Q1629" s="76"/>
      <c r="R1629" s="76"/>
      <c r="S1629" s="76"/>
      <c r="BD1629" s="99">
        <f t="shared" si="53"/>
        <v>0</v>
      </c>
      <c r="CC1629" s="99"/>
      <c r="CV1629" s="99"/>
      <c r="CW1629" s="63"/>
    </row>
    <row r="1630" spans="1:101" x14ac:dyDescent="0.15">
      <c r="A1630" s="76">
        <v>1514</v>
      </c>
      <c r="B1630" s="74" t="s">
        <v>1122</v>
      </c>
      <c r="C1630" s="74">
        <v>994082630</v>
      </c>
      <c r="D1630" s="78" t="str">
        <f t="shared" si="54"/>
        <v>https://portal.dnb.de/opac.htm?method=simpleSearch&amp;cqlMode=true&amp;query=idn%3D994082630</v>
      </c>
      <c r="E1630" s="74" t="s">
        <v>1123</v>
      </c>
      <c r="F1630" s="74"/>
      <c r="G1630" s="76"/>
      <c r="H1630" s="77"/>
      <c r="I1630" s="76"/>
      <c r="J1630" s="77"/>
      <c r="K1630" s="77"/>
      <c r="L1630" s="76"/>
      <c r="M1630" s="76"/>
      <c r="N1630" s="76"/>
      <c r="O1630" s="76"/>
      <c r="P1630" s="76"/>
      <c r="Q1630" s="76"/>
      <c r="R1630" s="76"/>
      <c r="S1630" s="76"/>
      <c r="BD1630" s="99">
        <f t="shared" si="53"/>
        <v>0</v>
      </c>
      <c r="CC1630" s="99"/>
      <c r="CV1630" s="99"/>
      <c r="CW1630" s="63"/>
    </row>
    <row r="1631" spans="1:101" x14ac:dyDescent="0.15">
      <c r="A1631" s="76">
        <v>1515</v>
      </c>
      <c r="B1631" s="74" t="s">
        <v>1164</v>
      </c>
      <c r="C1631" s="74" t="s">
        <v>1165</v>
      </c>
      <c r="D1631" s="78" t="str">
        <f t="shared" si="54"/>
        <v>https://portal.dnb.de/opac.htm?method=simpleSearch&amp;cqlMode=true&amp;query=idn%3D99458119X</v>
      </c>
      <c r="E1631" s="74" t="s">
        <v>1166</v>
      </c>
      <c r="F1631" s="74"/>
      <c r="G1631" s="76"/>
      <c r="H1631" s="77"/>
      <c r="I1631" s="76"/>
      <c r="J1631" s="77"/>
      <c r="K1631" s="77"/>
      <c r="L1631" s="76"/>
      <c r="M1631" s="76"/>
      <c r="N1631" s="76"/>
      <c r="O1631" s="76"/>
      <c r="P1631" s="76"/>
      <c r="Q1631" s="76"/>
      <c r="R1631" s="76"/>
      <c r="S1631" s="76"/>
      <c r="BD1631" s="99">
        <f t="shared" si="53"/>
        <v>0</v>
      </c>
      <c r="CC1631" s="99"/>
      <c r="CV1631" s="99"/>
      <c r="CW1631" s="63"/>
    </row>
    <row r="1632" spans="1:101" x14ac:dyDescent="0.15">
      <c r="A1632" s="76">
        <v>1516</v>
      </c>
      <c r="B1632" s="74" t="s">
        <v>1167</v>
      </c>
      <c r="C1632" s="74">
        <v>1001395247</v>
      </c>
      <c r="D1632" s="78" t="str">
        <f t="shared" si="54"/>
        <v>https://portal.dnb.de/opac.htm?method=simpleSearch&amp;cqlMode=true&amp;query=idn%3D1001395247</v>
      </c>
      <c r="E1632" s="74" t="s">
        <v>1168</v>
      </c>
      <c r="F1632" s="74"/>
      <c r="G1632" s="76"/>
      <c r="H1632" s="77"/>
      <c r="I1632" s="76"/>
      <c r="J1632" s="77"/>
      <c r="K1632" s="77"/>
      <c r="L1632" s="76"/>
      <c r="M1632" s="76"/>
      <c r="N1632" s="76"/>
      <c r="O1632" s="76"/>
      <c r="P1632" s="76"/>
      <c r="Q1632" s="76"/>
      <c r="R1632" s="76"/>
      <c r="S1632" s="76"/>
      <c r="BD1632" s="99">
        <f t="shared" si="53"/>
        <v>0</v>
      </c>
      <c r="CC1632" s="99"/>
      <c r="CV1632" s="99"/>
      <c r="CW1632" s="63"/>
    </row>
    <row r="1633" spans="1:101" x14ac:dyDescent="0.15">
      <c r="A1633" s="76">
        <v>1517</v>
      </c>
      <c r="B1633" s="74" t="s">
        <v>1169</v>
      </c>
      <c r="C1633" s="74">
        <v>1001394860</v>
      </c>
      <c r="D1633" s="82" t="str">
        <f>HYPERLINK(CONCATENATE("https://portal.dnb.de/opac.htm?method=simpleSearch&amp;cqlMode=true&amp;query=idn%3D",C1633))</f>
        <v>https://portal.dnb.de/opac.htm?method=simpleSearch&amp;cqlMode=true&amp;query=idn%3D1001394860</v>
      </c>
      <c r="E1633" s="74" t="s">
        <v>1170</v>
      </c>
      <c r="F1633" s="74"/>
      <c r="G1633" s="76"/>
      <c r="H1633" s="77"/>
      <c r="I1633" s="76"/>
      <c r="J1633" s="77"/>
      <c r="K1633" s="77"/>
      <c r="L1633" s="76"/>
      <c r="M1633" s="76"/>
      <c r="N1633" s="76"/>
      <c r="O1633" s="76"/>
      <c r="P1633" s="76"/>
      <c r="Q1633" s="76"/>
      <c r="R1633" s="76"/>
      <c r="S1633" s="76"/>
      <c r="BD1633" s="99">
        <f t="shared" si="53"/>
        <v>0</v>
      </c>
      <c r="CC1633" s="99"/>
      <c r="CV1633" s="99"/>
      <c r="CW1633" s="63"/>
    </row>
    <row r="1634" spans="1:101" x14ac:dyDescent="0.15">
      <c r="A1634" s="76">
        <v>1518</v>
      </c>
      <c r="B1634" s="74" t="s">
        <v>1171</v>
      </c>
      <c r="C1634" s="74">
        <v>999749269</v>
      </c>
      <c r="D1634" s="78" t="str">
        <f t="shared" si="54"/>
        <v>https://portal.dnb.de/opac.htm?method=simpleSearch&amp;cqlMode=true&amp;query=idn%3D999749269</v>
      </c>
      <c r="E1634" s="74" t="s">
        <v>1172</v>
      </c>
      <c r="F1634" s="74"/>
      <c r="G1634" s="76"/>
      <c r="H1634" s="77"/>
      <c r="I1634" s="76"/>
      <c r="J1634" s="77"/>
      <c r="K1634" s="77"/>
      <c r="L1634" s="76"/>
      <c r="M1634" s="76"/>
      <c r="N1634" s="76"/>
      <c r="O1634" s="76"/>
      <c r="P1634" s="76"/>
      <c r="Q1634" s="76"/>
      <c r="R1634" s="76"/>
      <c r="S1634" s="76"/>
      <c r="BD1634" s="99">
        <f t="shared" si="53"/>
        <v>0</v>
      </c>
      <c r="CC1634" s="99"/>
      <c r="CV1634" s="99"/>
      <c r="CW1634" s="63"/>
    </row>
    <row r="1635" spans="1:101" x14ac:dyDescent="0.15">
      <c r="A1635" s="76">
        <v>1519</v>
      </c>
      <c r="B1635" s="74" t="s">
        <v>1178</v>
      </c>
      <c r="C1635" s="74" t="s">
        <v>1179</v>
      </c>
      <c r="D1635" s="78" t="str">
        <f t="shared" si="54"/>
        <v>https://portal.dnb.de/opac.htm?method=simpleSearch&amp;cqlMode=true&amp;query=idn%3D100168415X</v>
      </c>
      <c r="E1635" s="74" t="s">
        <v>1180</v>
      </c>
      <c r="F1635" s="74"/>
      <c r="G1635" s="76"/>
      <c r="H1635" s="77"/>
      <c r="I1635" s="76"/>
      <c r="J1635" s="77"/>
      <c r="K1635" s="77"/>
      <c r="L1635" s="76"/>
      <c r="M1635" s="76"/>
      <c r="N1635" s="76"/>
      <c r="O1635" s="76"/>
      <c r="P1635" s="76"/>
      <c r="Q1635" s="76"/>
      <c r="R1635" s="76"/>
      <c r="S1635" s="76"/>
      <c r="BD1635" s="99">
        <f t="shared" si="53"/>
        <v>0</v>
      </c>
      <c r="CC1635" s="99"/>
      <c r="CV1635" s="99"/>
      <c r="CW1635" s="63"/>
    </row>
    <row r="1636" spans="1:101" x14ac:dyDescent="0.15">
      <c r="A1636" s="76">
        <v>1520</v>
      </c>
      <c r="B1636" s="74" t="s">
        <v>1073</v>
      </c>
      <c r="C1636" s="74">
        <v>994316593</v>
      </c>
      <c r="D1636" s="78" t="str">
        <f t="shared" si="54"/>
        <v>https://portal.dnb.de/opac.htm?method=simpleSearch&amp;cqlMode=true&amp;query=idn%3D994316593</v>
      </c>
      <c r="E1636" s="74" t="s">
        <v>1074</v>
      </c>
      <c r="F1636" s="74"/>
      <c r="G1636" s="76"/>
      <c r="H1636" s="77"/>
      <c r="I1636" s="76"/>
      <c r="J1636" s="77"/>
      <c r="K1636" s="77"/>
      <c r="L1636" s="76"/>
      <c r="M1636" s="76"/>
      <c r="N1636" s="76"/>
      <c r="O1636" s="76"/>
      <c r="P1636" s="76"/>
      <c r="Q1636" s="76"/>
      <c r="R1636" s="76"/>
      <c r="S1636" s="76"/>
      <c r="BD1636" s="99">
        <f t="shared" si="53"/>
        <v>0</v>
      </c>
      <c r="CC1636" s="99"/>
      <c r="CV1636" s="99"/>
      <c r="CW1636" s="63"/>
    </row>
    <row r="1637" spans="1:101" x14ac:dyDescent="0.15">
      <c r="A1637" s="76">
        <v>1521</v>
      </c>
      <c r="B1637" s="74" t="s">
        <v>1124</v>
      </c>
      <c r="C1637" s="74">
        <v>997044314</v>
      </c>
      <c r="D1637" s="78" t="str">
        <f t="shared" si="54"/>
        <v>https://portal.dnb.de/opac.htm?method=simpleSearch&amp;cqlMode=true&amp;query=idn%3D997044314</v>
      </c>
      <c r="E1637" s="74" t="s">
        <v>1125</v>
      </c>
      <c r="F1637" s="74"/>
      <c r="G1637" s="76"/>
      <c r="H1637" s="77"/>
      <c r="I1637" s="76"/>
      <c r="J1637" s="77"/>
      <c r="K1637" s="77"/>
      <c r="L1637" s="76"/>
      <c r="M1637" s="76"/>
      <c r="N1637" s="76"/>
      <c r="O1637" s="76"/>
      <c r="P1637" s="76"/>
      <c r="Q1637" s="76"/>
      <c r="R1637" s="76"/>
      <c r="S1637" s="76"/>
      <c r="BD1637" s="99">
        <f t="shared" si="53"/>
        <v>0</v>
      </c>
      <c r="CC1637" s="99"/>
      <c r="CV1637" s="99"/>
      <c r="CW1637" s="63"/>
    </row>
    <row r="1638" spans="1:101" x14ac:dyDescent="0.15">
      <c r="A1638" s="76">
        <v>1522</v>
      </c>
      <c r="B1638" s="74" t="s">
        <v>1126</v>
      </c>
      <c r="C1638" s="74">
        <v>1001413156</v>
      </c>
      <c r="D1638" s="78" t="str">
        <f t="shared" si="54"/>
        <v>https://portal.dnb.de/opac.htm?method=simpleSearch&amp;cqlMode=true&amp;query=idn%3D1001413156</v>
      </c>
      <c r="E1638" s="74" t="s">
        <v>1127</v>
      </c>
      <c r="F1638" s="74"/>
      <c r="G1638" s="76"/>
      <c r="H1638" s="77"/>
      <c r="I1638" s="76"/>
      <c r="J1638" s="77"/>
      <c r="K1638" s="77"/>
      <c r="L1638" s="76"/>
      <c r="M1638" s="76"/>
      <c r="N1638" s="76"/>
      <c r="O1638" s="76"/>
      <c r="P1638" s="76"/>
      <c r="Q1638" s="76"/>
      <c r="R1638" s="76"/>
      <c r="S1638" s="76"/>
      <c r="BD1638" s="99">
        <f t="shared" si="53"/>
        <v>0</v>
      </c>
      <c r="CC1638" s="99"/>
      <c r="CV1638" s="99"/>
      <c r="CW1638" s="63"/>
    </row>
    <row r="1639" spans="1:101" x14ac:dyDescent="0.15">
      <c r="A1639" s="76">
        <v>1523</v>
      </c>
      <c r="B1639" s="74" t="s">
        <v>1143</v>
      </c>
      <c r="C1639" s="74" t="s">
        <v>1144</v>
      </c>
      <c r="D1639" s="78" t="str">
        <f t="shared" si="54"/>
        <v>https://portal.dnb.de/opac.htm?method=simpleSearch&amp;cqlMode=true&amp;query=idn%3D100192018X</v>
      </c>
      <c r="E1639" s="74" t="s">
        <v>1145</v>
      </c>
      <c r="F1639" s="74"/>
      <c r="G1639" s="76"/>
      <c r="H1639" s="77"/>
      <c r="I1639" s="76"/>
      <c r="J1639" s="77"/>
      <c r="K1639" s="77"/>
      <c r="L1639" s="76"/>
      <c r="M1639" s="76"/>
      <c r="N1639" s="76"/>
      <c r="O1639" s="76"/>
      <c r="P1639" s="76"/>
      <c r="Q1639" s="76"/>
      <c r="R1639" s="76"/>
      <c r="S1639" s="76"/>
      <c r="BD1639" s="99">
        <f t="shared" si="53"/>
        <v>0</v>
      </c>
      <c r="CC1639" s="99"/>
      <c r="CV1639" s="99"/>
      <c r="CW1639" s="63"/>
    </row>
    <row r="1640" spans="1:101" x14ac:dyDescent="0.15">
      <c r="A1640" s="76">
        <v>1524</v>
      </c>
      <c r="B1640" s="74" t="s">
        <v>1151</v>
      </c>
      <c r="C1640" s="74">
        <v>1000970353</v>
      </c>
      <c r="D1640" s="78" t="str">
        <f t="shared" si="54"/>
        <v>https://portal.dnb.de/opac.htm?method=simpleSearch&amp;cqlMode=true&amp;query=idn%3D1000970353</v>
      </c>
      <c r="E1640" s="74" t="s">
        <v>1152</v>
      </c>
      <c r="F1640" s="74"/>
      <c r="G1640" s="76"/>
      <c r="H1640" s="77"/>
      <c r="I1640" s="76"/>
      <c r="J1640" s="77"/>
      <c r="K1640" s="77"/>
      <c r="L1640" s="76"/>
      <c r="M1640" s="76"/>
      <c r="N1640" s="76"/>
      <c r="O1640" s="76"/>
      <c r="P1640" s="76"/>
      <c r="Q1640" s="76"/>
      <c r="R1640" s="76"/>
      <c r="S1640" s="76"/>
      <c r="BD1640" s="99">
        <f t="shared" si="53"/>
        <v>0</v>
      </c>
      <c r="CC1640" s="99"/>
      <c r="CV1640" s="99"/>
      <c r="CW1640" s="63"/>
    </row>
    <row r="1641" spans="1:101" x14ac:dyDescent="0.15">
      <c r="A1641" s="76">
        <v>1525</v>
      </c>
      <c r="B1641" s="74" t="s">
        <v>1153</v>
      </c>
      <c r="C1641" s="74">
        <v>998686549</v>
      </c>
      <c r="D1641" s="78" t="str">
        <f t="shared" si="54"/>
        <v>https://portal.dnb.de/opac.htm?method=simpleSearch&amp;cqlMode=true&amp;query=idn%3D998686549</v>
      </c>
      <c r="E1641" s="74" t="s">
        <v>1154</v>
      </c>
      <c r="F1641" s="74"/>
      <c r="G1641" s="76"/>
      <c r="H1641" s="77"/>
      <c r="I1641" s="76"/>
      <c r="J1641" s="77"/>
      <c r="K1641" s="77"/>
      <c r="L1641" s="76"/>
      <c r="M1641" s="76"/>
      <c r="N1641" s="76"/>
      <c r="O1641" s="76"/>
      <c r="P1641" s="76"/>
      <c r="Q1641" s="76"/>
      <c r="R1641" s="76"/>
      <c r="S1641" s="76"/>
      <c r="BD1641" s="99">
        <f t="shared" si="53"/>
        <v>0</v>
      </c>
      <c r="CC1641" s="99"/>
      <c r="CV1641" s="99"/>
      <c r="CW1641" s="63"/>
    </row>
    <row r="1642" spans="1:101" x14ac:dyDescent="0.15">
      <c r="A1642" s="76">
        <v>1526</v>
      </c>
      <c r="B1642" s="74" t="s">
        <v>1061</v>
      </c>
      <c r="C1642" s="74">
        <v>1149832509</v>
      </c>
      <c r="D1642" s="78" t="str">
        <f t="shared" si="54"/>
        <v>https://portal.dnb.de/opac.htm?method=simpleSearch&amp;cqlMode=true&amp;query=idn%3D1149832509</v>
      </c>
      <c r="E1642" s="74" t="s">
        <v>1062</v>
      </c>
      <c r="F1642" s="74"/>
      <c r="G1642" s="76"/>
      <c r="H1642" s="77"/>
      <c r="I1642" s="76"/>
      <c r="J1642" s="77"/>
      <c r="K1642" s="77"/>
      <c r="L1642" s="76"/>
      <c r="M1642" s="76"/>
      <c r="N1642" s="76"/>
      <c r="O1642" s="76"/>
      <c r="P1642" s="76"/>
      <c r="Q1642" s="76"/>
      <c r="R1642" s="76"/>
      <c r="S1642" s="76"/>
      <c r="BD1642" s="99">
        <f t="shared" si="53"/>
        <v>0</v>
      </c>
      <c r="CC1642" s="99"/>
      <c r="CV1642" s="99"/>
      <c r="CW1642" s="63"/>
    </row>
    <row r="1643" spans="1:101" x14ac:dyDescent="0.15">
      <c r="A1643" s="76">
        <v>1527</v>
      </c>
      <c r="B1643" s="74" t="s">
        <v>1065</v>
      </c>
      <c r="C1643" s="74">
        <v>996696954</v>
      </c>
      <c r="D1643" s="78" t="str">
        <f t="shared" si="54"/>
        <v>https://portal.dnb.de/opac.htm?method=simpleSearch&amp;cqlMode=true&amp;query=idn%3D996696954</v>
      </c>
      <c r="E1643" s="74" t="s">
        <v>1066</v>
      </c>
      <c r="F1643" s="74"/>
      <c r="G1643" s="76"/>
      <c r="H1643" s="77"/>
      <c r="I1643" s="76"/>
      <c r="J1643" s="77"/>
      <c r="K1643" s="77"/>
      <c r="L1643" s="76"/>
      <c r="M1643" s="76"/>
      <c r="N1643" s="76"/>
      <c r="O1643" s="76"/>
      <c r="P1643" s="76"/>
      <c r="Q1643" s="76"/>
      <c r="R1643" s="76"/>
      <c r="S1643" s="76"/>
      <c r="BD1643" s="99">
        <f t="shared" si="53"/>
        <v>0</v>
      </c>
      <c r="CC1643" s="99"/>
      <c r="CV1643" s="99"/>
      <c r="CW1643" s="63"/>
    </row>
    <row r="1644" spans="1:101" x14ac:dyDescent="0.15">
      <c r="A1644" s="76">
        <v>1528</v>
      </c>
      <c r="B1644" s="74" t="s">
        <v>1067</v>
      </c>
      <c r="C1644" s="74">
        <v>996696954</v>
      </c>
      <c r="D1644" s="78" t="str">
        <f t="shared" si="54"/>
        <v>https://portal.dnb.de/opac.htm?method=simpleSearch&amp;cqlMode=true&amp;query=idn%3D996696954</v>
      </c>
      <c r="E1644" s="74" t="s">
        <v>1068</v>
      </c>
      <c r="F1644" s="74"/>
      <c r="G1644" s="76"/>
      <c r="H1644" s="77"/>
      <c r="I1644" s="76"/>
      <c r="J1644" s="77"/>
      <c r="K1644" s="77"/>
      <c r="L1644" s="76"/>
      <c r="M1644" s="76"/>
      <c r="N1644" s="76"/>
      <c r="O1644" s="76"/>
      <c r="P1644" s="76"/>
      <c r="Q1644" s="76"/>
      <c r="R1644" s="76"/>
      <c r="S1644" s="76"/>
      <c r="BD1644" s="99">
        <f t="shared" si="53"/>
        <v>0</v>
      </c>
      <c r="CC1644" s="99"/>
      <c r="CV1644" s="99"/>
      <c r="CW1644" s="63"/>
    </row>
    <row r="1645" spans="1:101" x14ac:dyDescent="0.15">
      <c r="A1645" s="76">
        <v>1529</v>
      </c>
      <c r="B1645" s="74" t="s">
        <v>1069</v>
      </c>
      <c r="C1645" s="74">
        <v>1004299206</v>
      </c>
      <c r="D1645" s="78" t="str">
        <f t="shared" si="54"/>
        <v>https://portal.dnb.de/opac.htm?method=simpleSearch&amp;cqlMode=true&amp;query=idn%3D1004299206</v>
      </c>
      <c r="E1645" s="74" t="s">
        <v>1070</v>
      </c>
      <c r="F1645" s="74"/>
      <c r="G1645" s="76"/>
      <c r="H1645" s="77"/>
      <c r="I1645" s="76"/>
      <c r="J1645" s="77"/>
      <c r="K1645" s="77"/>
      <c r="L1645" s="76"/>
      <c r="M1645" s="76"/>
      <c r="N1645" s="76"/>
      <c r="O1645" s="76"/>
      <c r="P1645" s="76"/>
      <c r="Q1645" s="76"/>
      <c r="R1645" s="76"/>
      <c r="S1645" s="76"/>
      <c r="BD1645" s="99">
        <f t="shared" si="53"/>
        <v>0</v>
      </c>
      <c r="CC1645" s="99"/>
      <c r="CV1645" s="99"/>
      <c r="CW1645" s="63"/>
    </row>
    <row r="1646" spans="1:101" x14ac:dyDescent="0.15">
      <c r="A1646" s="76">
        <v>1530</v>
      </c>
      <c r="B1646" s="74" t="s">
        <v>1071</v>
      </c>
      <c r="C1646" s="74">
        <v>996943196</v>
      </c>
      <c r="D1646" s="78" t="str">
        <f t="shared" si="54"/>
        <v>https://portal.dnb.de/opac.htm?method=simpleSearch&amp;cqlMode=true&amp;query=idn%3D996943196</v>
      </c>
      <c r="E1646" s="74" t="s">
        <v>1072</v>
      </c>
      <c r="F1646" s="74"/>
      <c r="G1646" s="76"/>
      <c r="H1646" s="77"/>
      <c r="I1646" s="76"/>
      <c r="J1646" s="77"/>
      <c r="K1646" s="77"/>
      <c r="L1646" s="76"/>
      <c r="M1646" s="76"/>
      <c r="N1646" s="76"/>
      <c r="O1646" s="76"/>
      <c r="P1646" s="76"/>
      <c r="Q1646" s="76"/>
      <c r="R1646" s="76"/>
      <c r="S1646" s="76"/>
      <c r="BD1646" s="99">
        <f t="shared" si="53"/>
        <v>0</v>
      </c>
      <c r="CC1646" s="99"/>
      <c r="CV1646" s="99"/>
      <c r="CW1646" s="63"/>
    </row>
    <row r="1647" spans="1:101" x14ac:dyDescent="0.15">
      <c r="A1647" s="76">
        <v>1531</v>
      </c>
      <c r="B1647" s="74" t="s">
        <v>1075</v>
      </c>
      <c r="C1647" s="74">
        <v>1000798372</v>
      </c>
      <c r="D1647" s="78" t="str">
        <f t="shared" si="54"/>
        <v>https://portal.dnb.de/opac.htm?method=simpleSearch&amp;cqlMode=true&amp;query=idn%3D1000798372</v>
      </c>
      <c r="E1647" s="74" t="s">
        <v>1076</v>
      </c>
      <c r="F1647" s="74"/>
      <c r="G1647" s="76"/>
      <c r="H1647" s="77"/>
      <c r="I1647" s="76"/>
      <c r="J1647" s="77"/>
      <c r="K1647" s="77"/>
      <c r="L1647" s="76"/>
      <c r="M1647" s="76"/>
      <c r="N1647" s="76"/>
      <c r="O1647" s="76"/>
      <c r="P1647" s="76"/>
      <c r="Q1647" s="76"/>
      <c r="R1647" s="76"/>
      <c r="S1647" s="76"/>
      <c r="BD1647" s="99">
        <f t="shared" si="53"/>
        <v>0</v>
      </c>
      <c r="CC1647" s="99"/>
      <c r="CV1647" s="99"/>
      <c r="CW1647" s="63"/>
    </row>
    <row r="1648" spans="1:101" x14ac:dyDescent="0.15">
      <c r="A1648" s="76">
        <v>1532</v>
      </c>
      <c r="B1648" s="74" t="s">
        <v>1077</v>
      </c>
      <c r="C1648" s="74">
        <v>997036559</v>
      </c>
      <c r="D1648" s="78" t="str">
        <f t="shared" si="54"/>
        <v>https://portal.dnb.de/opac.htm?method=simpleSearch&amp;cqlMode=true&amp;query=idn%3D997036559</v>
      </c>
      <c r="E1648" s="74" t="s">
        <v>1078</v>
      </c>
      <c r="F1648" s="74"/>
      <c r="G1648" s="76"/>
      <c r="H1648" s="77"/>
      <c r="I1648" s="76"/>
      <c r="J1648" s="77"/>
      <c r="K1648" s="77"/>
      <c r="L1648" s="76"/>
      <c r="M1648" s="76"/>
      <c r="N1648" s="76"/>
      <c r="O1648" s="76"/>
      <c r="P1648" s="76"/>
      <c r="Q1648" s="76"/>
      <c r="R1648" s="76"/>
      <c r="S1648" s="76"/>
      <c r="BD1648" s="99">
        <f t="shared" si="53"/>
        <v>0</v>
      </c>
      <c r="CC1648" s="99"/>
      <c r="CV1648" s="99"/>
      <c r="CW1648" s="63"/>
    </row>
    <row r="1649" spans="1:101" x14ac:dyDescent="0.15">
      <c r="A1649" s="76">
        <v>1533</v>
      </c>
      <c r="B1649" s="74" t="s">
        <v>1079</v>
      </c>
      <c r="C1649" s="74">
        <v>997036710</v>
      </c>
      <c r="D1649" s="78" t="str">
        <f t="shared" si="54"/>
        <v>https://portal.dnb.de/opac.htm?method=simpleSearch&amp;cqlMode=true&amp;query=idn%3D997036710</v>
      </c>
      <c r="E1649" s="74" t="s">
        <v>1080</v>
      </c>
      <c r="F1649" s="74"/>
      <c r="G1649" s="76"/>
      <c r="H1649" s="77"/>
      <c r="I1649" s="76"/>
      <c r="J1649" s="77"/>
      <c r="K1649" s="77"/>
      <c r="L1649" s="76"/>
      <c r="M1649" s="76"/>
      <c r="N1649" s="76"/>
      <c r="O1649" s="76"/>
      <c r="P1649" s="76"/>
      <c r="Q1649" s="76"/>
      <c r="R1649" s="76"/>
      <c r="S1649" s="76"/>
      <c r="BD1649" s="99">
        <f t="shared" si="53"/>
        <v>0</v>
      </c>
      <c r="CC1649" s="99"/>
      <c r="CV1649" s="99"/>
      <c r="CW1649" s="63"/>
    </row>
    <row r="1650" spans="1:101" x14ac:dyDescent="0.15">
      <c r="A1650" s="76">
        <v>1534</v>
      </c>
      <c r="B1650" s="74" t="s">
        <v>1081</v>
      </c>
      <c r="C1650" s="74">
        <v>1000091775</v>
      </c>
      <c r="D1650" s="78" t="str">
        <f t="shared" si="54"/>
        <v>https://portal.dnb.de/opac.htm?method=simpleSearch&amp;cqlMode=true&amp;query=idn%3D1000091775</v>
      </c>
      <c r="E1650" s="74" t="s">
        <v>1082</v>
      </c>
      <c r="F1650" s="74"/>
      <c r="G1650" s="76"/>
      <c r="H1650" s="77"/>
      <c r="I1650" s="76"/>
      <c r="J1650" s="77"/>
      <c r="K1650" s="77"/>
      <c r="L1650" s="76"/>
      <c r="M1650" s="76"/>
      <c r="N1650" s="76"/>
      <c r="O1650" s="76"/>
      <c r="P1650" s="76"/>
      <c r="Q1650" s="76"/>
      <c r="R1650" s="76"/>
      <c r="S1650" s="76"/>
      <c r="BD1650" s="99">
        <f t="shared" si="53"/>
        <v>0</v>
      </c>
      <c r="CC1650" s="99"/>
      <c r="CV1650" s="99"/>
      <c r="CW1650" s="63"/>
    </row>
    <row r="1651" spans="1:101" x14ac:dyDescent="0.15">
      <c r="A1651" s="76">
        <v>1535</v>
      </c>
      <c r="B1651" s="74" t="s">
        <v>1083</v>
      </c>
      <c r="C1651" s="74">
        <v>997036281</v>
      </c>
      <c r="D1651" s="78" t="str">
        <f t="shared" si="54"/>
        <v>https://portal.dnb.de/opac.htm?method=simpleSearch&amp;cqlMode=true&amp;query=idn%3D997036281</v>
      </c>
      <c r="E1651" s="74" t="s">
        <v>1084</v>
      </c>
      <c r="F1651" s="74"/>
      <c r="G1651" s="76"/>
      <c r="H1651" s="77"/>
      <c r="I1651" s="76"/>
      <c r="J1651" s="77"/>
      <c r="K1651" s="77"/>
      <c r="L1651" s="76"/>
      <c r="M1651" s="76"/>
      <c r="N1651" s="76"/>
      <c r="O1651" s="76"/>
      <c r="P1651" s="76"/>
      <c r="Q1651" s="76"/>
      <c r="R1651" s="76"/>
      <c r="S1651" s="76"/>
      <c r="BD1651" s="99">
        <f t="shared" si="53"/>
        <v>0</v>
      </c>
      <c r="CC1651" s="99"/>
      <c r="CV1651" s="99"/>
      <c r="CW1651" s="63"/>
    </row>
    <row r="1652" spans="1:101" x14ac:dyDescent="0.15">
      <c r="A1652" s="76">
        <v>1536</v>
      </c>
      <c r="B1652" s="74" t="s">
        <v>1085</v>
      </c>
      <c r="C1652" s="74">
        <v>997036389</v>
      </c>
      <c r="D1652" s="78" t="str">
        <f t="shared" si="54"/>
        <v>https://portal.dnb.de/opac.htm?method=simpleSearch&amp;cqlMode=true&amp;query=idn%3D997036389</v>
      </c>
      <c r="E1652" s="74" t="s">
        <v>1086</v>
      </c>
      <c r="F1652" s="74"/>
      <c r="G1652" s="76"/>
      <c r="H1652" s="77"/>
      <c r="I1652" s="76"/>
      <c r="J1652" s="77"/>
      <c r="K1652" s="77"/>
      <c r="L1652" s="76"/>
      <c r="M1652" s="76"/>
      <c r="N1652" s="76"/>
      <c r="O1652" s="76"/>
      <c r="P1652" s="76"/>
      <c r="Q1652" s="76"/>
      <c r="R1652" s="76"/>
      <c r="S1652" s="76"/>
      <c r="BD1652" s="99">
        <f t="shared" si="53"/>
        <v>0</v>
      </c>
      <c r="CC1652" s="99"/>
      <c r="CV1652" s="99"/>
      <c r="CW1652" s="63"/>
    </row>
    <row r="1653" spans="1:101" x14ac:dyDescent="0.15">
      <c r="A1653" s="76">
        <v>1537</v>
      </c>
      <c r="B1653" s="74" t="s">
        <v>1087</v>
      </c>
      <c r="C1653" s="74">
        <v>1001134370</v>
      </c>
      <c r="D1653" s="78" t="str">
        <f t="shared" si="54"/>
        <v>https://portal.dnb.de/opac.htm?method=simpleSearch&amp;cqlMode=true&amp;query=idn%3D1001134370</v>
      </c>
      <c r="E1653" s="74" t="s">
        <v>1088</v>
      </c>
      <c r="F1653" s="74"/>
      <c r="G1653" s="76"/>
      <c r="H1653" s="77"/>
      <c r="I1653" s="76"/>
      <c r="J1653" s="77"/>
      <c r="K1653" s="77"/>
      <c r="L1653" s="76"/>
      <c r="M1653" s="76"/>
      <c r="N1653" s="76"/>
      <c r="O1653" s="76"/>
      <c r="P1653" s="76"/>
      <c r="Q1653" s="76"/>
      <c r="R1653" s="76"/>
      <c r="S1653" s="76"/>
      <c r="BD1653" s="99">
        <f t="shared" si="53"/>
        <v>0</v>
      </c>
      <c r="CC1653" s="99"/>
      <c r="CV1653" s="99"/>
      <c r="CW1653" s="63"/>
    </row>
    <row r="1654" spans="1:101" x14ac:dyDescent="0.15">
      <c r="A1654" s="76">
        <v>1538</v>
      </c>
      <c r="B1654" s="74" t="s">
        <v>1089</v>
      </c>
      <c r="C1654" s="74">
        <v>1001378644</v>
      </c>
      <c r="D1654" s="78" t="str">
        <f t="shared" si="54"/>
        <v>https://portal.dnb.de/opac.htm?method=simpleSearch&amp;cqlMode=true&amp;query=idn%3D1001378644</v>
      </c>
      <c r="E1654" s="74" t="s">
        <v>1090</v>
      </c>
      <c r="F1654" s="74"/>
      <c r="G1654" s="76"/>
      <c r="H1654" s="77"/>
      <c r="I1654" s="76"/>
      <c r="J1654" s="77"/>
      <c r="K1654" s="77"/>
      <c r="L1654" s="76"/>
      <c r="M1654" s="76"/>
      <c r="N1654" s="76"/>
      <c r="O1654" s="76"/>
      <c r="P1654" s="76"/>
      <c r="Q1654" s="76"/>
      <c r="R1654" s="76"/>
      <c r="S1654" s="76"/>
      <c r="BD1654" s="99">
        <f t="shared" si="53"/>
        <v>0</v>
      </c>
      <c r="CC1654" s="99"/>
      <c r="CV1654" s="99"/>
      <c r="CW1654" s="63"/>
    </row>
    <row r="1655" spans="1:101" x14ac:dyDescent="0.15">
      <c r="A1655" s="76">
        <v>1539</v>
      </c>
      <c r="B1655" s="74" t="s">
        <v>1091</v>
      </c>
      <c r="C1655" s="74">
        <v>1003707335</v>
      </c>
      <c r="D1655" s="78" t="str">
        <f t="shared" si="54"/>
        <v>https://portal.dnb.de/opac.htm?method=simpleSearch&amp;cqlMode=true&amp;query=idn%3D1003707335</v>
      </c>
      <c r="E1655" s="74" t="s">
        <v>1092</v>
      </c>
      <c r="F1655" s="74"/>
      <c r="G1655" s="76"/>
      <c r="H1655" s="77"/>
      <c r="I1655" s="76"/>
      <c r="J1655" s="77"/>
      <c r="K1655" s="77"/>
      <c r="L1655" s="76"/>
      <c r="M1655" s="76"/>
      <c r="N1655" s="76"/>
      <c r="O1655" s="76"/>
      <c r="P1655" s="76"/>
      <c r="Q1655" s="76"/>
      <c r="R1655" s="76"/>
      <c r="S1655" s="76"/>
      <c r="BD1655" s="99">
        <f t="shared" si="53"/>
        <v>0</v>
      </c>
      <c r="CC1655" s="99"/>
      <c r="CV1655" s="99"/>
      <c r="CW1655" s="63"/>
    </row>
    <row r="1656" spans="1:101" x14ac:dyDescent="0.15">
      <c r="A1656" s="76">
        <v>1540</v>
      </c>
      <c r="B1656" s="74" t="s">
        <v>1093</v>
      </c>
      <c r="C1656" s="74" t="s">
        <v>1094</v>
      </c>
      <c r="D1656" s="78" t="str">
        <f t="shared" si="54"/>
        <v>https://portal.dnb.de/opac.htm?method=simpleSearch&amp;cqlMode=true&amp;query=idn%3D99388587X</v>
      </c>
      <c r="E1656" s="74" t="s">
        <v>1095</v>
      </c>
      <c r="F1656" s="74"/>
      <c r="G1656" s="76"/>
      <c r="H1656" s="77"/>
      <c r="I1656" s="76"/>
      <c r="J1656" s="77"/>
      <c r="K1656" s="77"/>
      <c r="L1656" s="76"/>
      <c r="M1656" s="76"/>
      <c r="N1656" s="76"/>
      <c r="O1656" s="76"/>
      <c r="P1656" s="76"/>
      <c r="Q1656" s="76"/>
      <c r="R1656" s="76"/>
      <c r="S1656" s="76"/>
      <c r="BD1656" s="99">
        <f t="shared" si="53"/>
        <v>0</v>
      </c>
      <c r="CC1656" s="99"/>
      <c r="CV1656" s="99"/>
      <c r="CW1656" s="63"/>
    </row>
    <row r="1657" spans="1:101" x14ac:dyDescent="0.15">
      <c r="A1657" s="76">
        <v>1541</v>
      </c>
      <c r="B1657" s="74" t="s">
        <v>1096</v>
      </c>
      <c r="C1657" s="74">
        <v>993885721</v>
      </c>
      <c r="D1657" s="78" t="str">
        <f t="shared" si="54"/>
        <v>https://portal.dnb.de/opac.htm?method=simpleSearch&amp;cqlMode=true&amp;query=idn%3D993885721</v>
      </c>
      <c r="E1657" s="74" t="s">
        <v>1097</v>
      </c>
      <c r="F1657" s="74"/>
      <c r="G1657" s="76"/>
      <c r="H1657" s="77"/>
      <c r="I1657" s="76"/>
      <c r="J1657" s="77"/>
      <c r="K1657" s="77"/>
      <c r="L1657" s="76"/>
      <c r="M1657" s="76"/>
      <c r="N1657" s="76"/>
      <c r="O1657" s="76"/>
      <c r="P1657" s="76"/>
      <c r="Q1657" s="76"/>
      <c r="R1657" s="76"/>
      <c r="S1657" s="76"/>
      <c r="BD1657" s="99">
        <f t="shared" si="53"/>
        <v>0</v>
      </c>
      <c r="CC1657" s="99"/>
      <c r="CV1657" s="99"/>
      <c r="CW1657" s="63"/>
    </row>
    <row r="1658" spans="1:101" x14ac:dyDescent="0.15">
      <c r="A1658" s="76">
        <v>1542</v>
      </c>
      <c r="B1658" s="74" t="s">
        <v>1103</v>
      </c>
      <c r="C1658" s="74">
        <v>1001379144</v>
      </c>
      <c r="D1658" s="78" t="str">
        <f t="shared" si="54"/>
        <v>https://portal.dnb.de/opac.htm?method=simpleSearch&amp;cqlMode=true&amp;query=idn%3D1001379144</v>
      </c>
      <c r="E1658" s="74" t="s">
        <v>1104</v>
      </c>
      <c r="F1658" s="74"/>
      <c r="G1658" s="76"/>
      <c r="H1658" s="77"/>
      <c r="I1658" s="76"/>
      <c r="J1658" s="77"/>
      <c r="K1658" s="77"/>
      <c r="L1658" s="76"/>
      <c r="M1658" s="76"/>
      <c r="N1658" s="76"/>
      <c r="O1658" s="76"/>
      <c r="P1658" s="76"/>
      <c r="Q1658" s="76"/>
      <c r="R1658" s="76"/>
      <c r="S1658" s="76"/>
      <c r="BD1658" s="99">
        <f t="shared" si="53"/>
        <v>0</v>
      </c>
      <c r="CC1658" s="99"/>
      <c r="CV1658" s="99"/>
      <c r="CW1658" s="63"/>
    </row>
    <row r="1659" spans="1:101" x14ac:dyDescent="0.15">
      <c r="A1659" s="76">
        <v>1543</v>
      </c>
      <c r="B1659" s="74" t="s">
        <v>1105</v>
      </c>
      <c r="C1659" s="74">
        <v>1000298914</v>
      </c>
      <c r="D1659" s="78" t="str">
        <f t="shared" si="54"/>
        <v>https://portal.dnb.de/opac.htm?method=simpleSearch&amp;cqlMode=true&amp;query=idn%3D1000298914</v>
      </c>
      <c r="E1659" s="74" t="s">
        <v>1106</v>
      </c>
      <c r="F1659" s="74"/>
      <c r="G1659" s="76"/>
      <c r="H1659" s="77"/>
      <c r="I1659" s="76"/>
      <c r="J1659" s="77"/>
      <c r="K1659" s="77"/>
      <c r="L1659" s="76"/>
      <c r="M1659" s="76"/>
      <c r="N1659" s="76"/>
      <c r="O1659" s="76"/>
      <c r="P1659" s="76"/>
      <c r="Q1659" s="76"/>
      <c r="R1659" s="76"/>
      <c r="S1659" s="76"/>
      <c r="BD1659" s="99">
        <f t="shared" si="53"/>
        <v>0</v>
      </c>
      <c r="CC1659" s="99"/>
      <c r="CV1659" s="99"/>
      <c r="CW1659" s="63"/>
    </row>
    <row r="1660" spans="1:101" x14ac:dyDescent="0.15">
      <c r="A1660" s="76">
        <v>1544</v>
      </c>
      <c r="B1660" s="74" t="s">
        <v>1107</v>
      </c>
      <c r="C1660" s="74">
        <v>1001378407</v>
      </c>
      <c r="D1660" s="78" t="str">
        <f t="shared" si="54"/>
        <v>https://portal.dnb.de/opac.htm?method=simpleSearch&amp;cqlMode=true&amp;query=idn%3D1001378407</v>
      </c>
      <c r="E1660" s="74" t="s">
        <v>1108</v>
      </c>
      <c r="F1660" s="74"/>
      <c r="G1660" s="76"/>
      <c r="H1660" s="77"/>
      <c r="I1660" s="76"/>
      <c r="J1660" s="77"/>
      <c r="K1660" s="77"/>
      <c r="L1660" s="76"/>
      <c r="M1660" s="76"/>
      <c r="N1660" s="76"/>
      <c r="O1660" s="76"/>
      <c r="P1660" s="76"/>
      <c r="Q1660" s="76"/>
      <c r="R1660" s="76"/>
      <c r="S1660" s="76"/>
      <c r="BD1660" s="99">
        <f t="shared" si="53"/>
        <v>0</v>
      </c>
      <c r="CC1660" s="99"/>
      <c r="CV1660" s="99"/>
      <c r="CW1660" s="63"/>
    </row>
    <row r="1661" spans="1:101" x14ac:dyDescent="0.15">
      <c r="A1661" s="76">
        <v>1545</v>
      </c>
      <c r="B1661" s="74" t="s">
        <v>1109</v>
      </c>
      <c r="C1661" s="74">
        <v>1000298957</v>
      </c>
      <c r="D1661" s="78" t="str">
        <f t="shared" si="54"/>
        <v>https://portal.dnb.de/opac.htm?method=simpleSearch&amp;cqlMode=true&amp;query=idn%3D1000298957</v>
      </c>
      <c r="E1661" s="74" t="s">
        <v>1110</v>
      </c>
      <c r="F1661" s="74"/>
      <c r="G1661" s="76"/>
      <c r="H1661" s="77"/>
      <c r="I1661" s="76"/>
      <c r="J1661" s="77"/>
      <c r="K1661" s="77"/>
      <c r="L1661" s="76"/>
      <c r="M1661" s="76"/>
      <c r="N1661" s="76"/>
      <c r="O1661" s="76"/>
      <c r="P1661" s="76"/>
      <c r="Q1661" s="76"/>
      <c r="R1661" s="76"/>
      <c r="S1661" s="76"/>
      <c r="BD1661" s="99">
        <f t="shared" si="53"/>
        <v>0</v>
      </c>
      <c r="CC1661" s="99"/>
      <c r="CV1661" s="99"/>
      <c r="CW1661" s="63"/>
    </row>
    <row r="1662" spans="1:101" x14ac:dyDescent="0.15">
      <c r="A1662" s="76">
        <v>1546</v>
      </c>
      <c r="B1662" s="74" t="s">
        <v>1111</v>
      </c>
      <c r="C1662" s="74">
        <v>1001507452</v>
      </c>
      <c r="D1662" s="78" t="str">
        <f t="shared" si="54"/>
        <v>https://portal.dnb.de/opac.htm?method=simpleSearch&amp;cqlMode=true&amp;query=idn%3D1001507452</v>
      </c>
      <c r="E1662" s="74" t="s">
        <v>1112</v>
      </c>
      <c r="F1662" s="74"/>
      <c r="G1662" s="76"/>
      <c r="H1662" s="77"/>
      <c r="I1662" s="76"/>
      <c r="J1662" s="77"/>
      <c r="K1662" s="77"/>
      <c r="L1662" s="76"/>
      <c r="M1662" s="76"/>
      <c r="N1662" s="76"/>
      <c r="O1662" s="76"/>
      <c r="P1662" s="76"/>
      <c r="Q1662" s="76"/>
      <c r="R1662" s="76"/>
      <c r="S1662" s="76"/>
      <c r="BD1662" s="99">
        <f t="shared" si="53"/>
        <v>0</v>
      </c>
      <c r="CC1662" s="99"/>
      <c r="CV1662" s="99"/>
      <c r="CW1662" s="63"/>
    </row>
    <row r="1663" spans="1:101" x14ac:dyDescent="0.15">
      <c r="A1663" s="76">
        <v>1547</v>
      </c>
      <c r="B1663" s="74" t="s">
        <v>1113</v>
      </c>
      <c r="C1663" s="74" t="s">
        <v>1114</v>
      </c>
      <c r="D1663" s="78" t="str">
        <f t="shared" si="54"/>
        <v>https://portal.dnb.de/opac.htm?method=simpleSearch&amp;cqlMode=true&amp;query=idn%3D99385527X</v>
      </c>
      <c r="E1663" s="74" t="s">
        <v>1115</v>
      </c>
      <c r="F1663" s="74"/>
      <c r="G1663" s="76"/>
      <c r="H1663" s="77"/>
      <c r="I1663" s="76"/>
      <c r="J1663" s="77"/>
      <c r="K1663" s="77"/>
      <c r="L1663" s="76"/>
      <c r="M1663" s="76"/>
      <c r="N1663" s="76"/>
      <c r="O1663" s="76"/>
      <c r="P1663" s="76"/>
      <c r="Q1663" s="76"/>
      <c r="R1663" s="76"/>
      <c r="S1663" s="76"/>
      <c r="BD1663" s="99">
        <f t="shared" si="53"/>
        <v>0</v>
      </c>
      <c r="CC1663" s="99"/>
      <c r="CV1663" s="99"/>
      <c r="CW1663" s="63"/>
    </row>
    <row r="1664" spans="1:101" x14ac:dyDescent="0.15">
      <c r="A1664" s="76">
        <v>1548</v>
      </c>
      <c r="B1664" s="74" t="s">
        <v>1128</v>
      </c>
      <c r="C1664" s="74">
        <v>1000280772</v>
      </c>
      <c r="D1664" s="78" t="str">
        <f t="shared" si="54"/>
        <v>https://portal.dnb.de/opac.htm?method=simpleSearch&amp;cqlMode=true&amp;query=idn%3D1000280772</v>
      </c>
      <c r="E1664" s="74" t="s">
        <v>1129</v>
      </c>
      <c r="F1664" s="74"/>
      <c r="G1664" s="76"/>
      <c r="H1664" s="77"/>
      <c r="I1664" s="76"/>
      <c r="J1664" s="77"/>
      <c r="K1664" s="77"/>
      <c r="L1664" s="76"/>
      <c r="M1664" s="76"/>
      <c r="N1664" s="76"/>
      <c r="O1664" s="76"/>
      <c r="P1664" s="76"/>
      <c r="Q1664" s="76"/>
      <c r="R1664" s="76"/>
      <c r="S1664" s="76"/>
      <c r="BD1664" s="99">
        <f t="shared" si="53"/>
        <v>0</v>
      </c>
      <c r="CC1664" s="99"/>
      <c r="CV1664" s="99"/>
      <c r="CW1664" s="63"/>
    </row>
    <row r="1665" spans="1:101" x14ac:dyDescent="0.15">
      <c r="A1665" s="76">
        <v>1549</v>
      </c>
      <c r="B1665" s="74" t="s">
        <v>1130</v>
      </c>
      <c r="C1665" s="74">
        <v>1001380479</v>
      </c>
      <c r="D1665" s="78" t="str">
        <f t="shared" si="54"/>
        <v>https://portal.dnb.de/opac.htm?method=simpleSearch&amp;cqlMode=true&amp;query=idn%3D1001380479</v>
      </c>
      <c r="E1665" s="74" t="s">
        <v>1131</v>
      </c>
      <c r="F1665" s="74"/>
      <c r="G1665" s="76"/>
      <c r="H1665" s="77"/>
      <c r="I1665" s="76"/>
      <c r="J1665" s="77"/>
      <c r="K1665" s="77"/>
      <c r="L1665" s="76"/>
      <c r="M1665" s="76"/>
      <c r="N1665" s="76"/>
      <c r="O1665" s="76"/>
      <c r="P1665" s="76"/>
      <c r="Q1665" s="76"/>
      <c r="R1665" s="76"/>
      <c r="S1665" s="76"/>
      <c r="BD1665" s="99">
        <f t="shared" si="53"/>
        <v>0</v>
      </c>
      <c r="CC1665" s="99"/>
      <c r="CV1665" s="99"/>
      <c r="CW1665" s="63"/>
    </row>
    <row r="1666" spans="1:101" x14ac:dyDescent="0.15">
      <c r="A1666" s="76">
        <v>1550</v>
      </c>
      <c r="B1666" s="74" t="s">
        <v>1132</v>
      </c>
      <c r="C1666" s="74">
        <v>1000378233</v>
      </c>
      <c r="D1666" s="78" t="str">
        <f t="shared" si="54"/>
        <v>https://portal.dnb.de/opac.htm?method=simpleSearch&amp;cqlMode=true&amp;query=idn%3D1000378233</v>
      </c>
      <c r="E1666" s="74" t="s">
        <v>1133</v>
      </c>
      <c r="F1666" s="74"/>
      <c r="G1666" s="76"/>
      <c r="H1666" s="77"/>
      <c r="I1666" s="76"/>
      <c r="J1666" s="77"/>
      <c r="K1666" s="77"/>
      <c r="L1666" s="76"/>
      <c r="M1666" s="76"/>
      <c r="N1666" s="76"/>
      <c r="O1666" s="76"/>
      <c r="P1666" s="76"/>
      <c r="Q1666" s="76"/>
      <c r="R1666" s="76"/>
      <c r="S1666" s="76"/>
      <c r="BD1666" s="99">
        <f t="shared" si="53"/>
        <v>0</v>
      </c>
      <c r="CC1666" s="99"/>
      <c r="CV1666" s="99"/>
      <c r="CW1666" s="63"/>
    </row>
    <row r="1667" spans="1:101" x14ac:dyDescent="0.15">
      <c r="A1667" s="76">
        <v>1551</v>
      </c>
      <c r="B1667" s="74" t="s">
        <v>1134</v>
      </c>
      <c r="C1667" s="74">
        <v>1000299074</v>
      </c>
      <c r="D1667" s="78" t="str">
        <f t="shared" si="54"/>
        <v>https://portal.dnb.de/opac.htm?method=simpleSearch&amp;cqlMode=true&amp;query=idn%3D1000299074</v>
      </c>
      <c r="E1667" s="74" t="s">
        <v>1135</v>
      </c>
      <c r="F1667" s="74"/>
      <c r="G1667" s="76"/>
      <c r="H1667" s="77"/>
      <c r="I1667" s="76"/>
      <c r="J1667" s="77"/>
      <c r="K1667" s="77"/>
      <c r="L1667" s="76"/>
      <c r="M1667" s="76"/>
      <c r="N1667" s="76"/>
      <c r="O1667" s="76"/>
      <c r="P1667" s="76"/>
      <c r="Q1667" s="76"/>
      <c r="R1667" s="76"/>
      <c r="S1667" s="76"/>
      <c r="BD1667" s="99">
        <f t="shared" ref="BD1667:BD1730" si="55">CC1667+CV1667</f>
        <v>0</v>
      </c>
      <c r="CC1667" s="99"/>
      <c r="CV1667" s="99"/>
      <c r="CW1667" s="63"/>
    </row>
    <row r="1668" spans="1:101" x14ac:dyDescent="0.15">
      <c r="A1668" s="76">
        <v>1552</v>
      </c>
      <c r="B1668" s="74" t="s">
        <v>1136</v>
      </c>
      <c r="C1668" s="74">
        <v>1002495229</v>
      </c>
      <c r="D1668" s="78" t="str">
        <f t="shared" si="54"/>
        <v>https://portal.dnb.de/opac.htm?method=simpleSearch&amp;cqlMode=true&amp;query=idn%3D1002495229</v>
      </c>
      <c r="E1668" s="74" t="s">
        <v>1137</v>
      </c>
      <c r="F1668" s="74"/>
      <c r="G1668" s="76"/>
      <c r="H1668" s="77"/>
      <c r="I1668" s="76"/>
      <c r="J1668" s="77"/>
      <c r="K1668" s="77"/>
      <c r="L1668" s="76"/>
      <c r="M1668" s="76"/>
      <c r="N1668" s="76"/>
      <c r="O1668" s="76"/>
      <c r="P1668" s="76"/>
      <c r="Q1668" s="76"/>
      <c r="R1668" s="76"/>
      <c r="S1668" s="76"/>
      <c r="BD1668" s="99">
        <f t="shared" si="55"/>
        <v>0</v>
      </c>
      <c r="CC1668" s="99"/>
      <c r="CV1668" s="99"/>
      <c r="CW1668" s="63"/>
    </row>
    <row r="1669" spans="1:101" x14ac:dyDescent="0.15">
      <c r="A1669" s="76">
        <v>1553</v>
      </c>
      <c r="B1669" s="74" t="s">
        <v>1138</v>
      </c>
      <c r="C1669" s="74">
        <v>994431902</v>
      </c>
      <c r="D1669" s="78" t="str">
        <f t="shared" si="54"/>
        <v>https://portal.dnb.de/opac.htm?method=simpleSearch&amp;cqlMode=true&amp;query=idn%3D994431902</v>
      </c>
      <c r="E1669" s="74" t="s">
        <v>1139</v>
      </c>
      <c r="F1669" s="74"/>
      <c r="G1669" s="76"/>
      <c r="H1669" s="77"/>
      <c r="I1669" s="76"/>
      <c r="J1669" s="77"/>
      <c r="K1669" s="77"/>
      <c r="L1669" s="76"/>
      <c r="M1669" s="76"/>
      <c r="N1669" s="76"/>
      <c r="O1669" s="76"/>
      <c r="P1669" s="76"/>
      <c r="Q1669" s="76"/>
      <c r="R1669" s="76"/>
      <c r="S1669" s="76"/>
      <c r="BD1669" s="99">
        <f t="shared" si="55"/>
        <v>0</v>
      </c>
      <c r="CC1669" s="99"/>
      <c r="CV1669" s="99"/>
      <c r="CW1669" s="63"/>
    </row>
    <row r="1670" spans="1:101" x14ac:dyDescent="0.15">
      <c r="A1670" s="76">
        <v>1554</v>
      </c>
      <c r="B1670" s="74" t="s">
        <v>1140</v>
      </c>
      <c r="C1670" s="74" t="s">
        <v>1141</v>
      </c>
      <c r="D1670" s="78" t="str">
        <f t="shared" si="54"/>
        <v>https://portal.dnb.de/opac.htm?method=simpleSearch&amp;cqlMode=true&amp;query=idn%3D99701363X</v>
      </c>
      <c r="E1670" s="74" t="s">
        <v>1142</v>
      </c>
      <c r="F1670" s="74"/>
      <c r="G1670" s="76"/>
      <c r="H1670" s="77"/>
      <c r="I1670" s="76"/>
      <c r="J1670" s="77"/>
      <c r="K1670" s="77"/>
      <c r="L1670" s="76"/>
      <c r="M1670" s="76"/>
      <c r="N1670" s="76"/>
      <c r="O1670" s="76"/>
      <c r="P1670" s="76"/>
      <c r="Q1670" s="76"/>
      <c r="R1670" s="76"/>
      <c r="S1670" s="76"/>
      <c r="BD1670" s="99">
        <f t="shared" si="55"/>
        <v>0</v>
      </c>
      <c r="CC1670" s="99"/>
      <c r="CV1670" s="99"/>
      <c r="CW1670" s="63"/>
    </row>
    <row r="1671" spans="1:101" x14ac:dyDescent="0.15">
      <c r="A1671" s="76">
        <v>1555</v>
      </c>
      <c r="B1671" s="74" t="s">
        <v>1146</v>
      </c>
      <c r="C1671" s="74">
        <v>1001380274</v>
      </c>
      <c r="D1671" s="78" t="str">
        <f t="shared" si="54"/>
        <v>https://portal.dnb.de/opac.htm?method=simpleSearch&amp;cqlMode=true&amp;query=idn%3D1001380274</v>
      </c>
      <c r="E1671" s="74" t="s">
        <v>1147</v>
      </c>
      <c r="F1671" s="74"/>
      <c r="G1671" s="76"/>
      <c r="H1671" s="77"/>
      <c r="I1671" s="76"/>
      <c r="J1671" s="77"/>
      <c r="K1671" s="77"/>
      <c r="L1671" s="76"/>
      <c r="M1671" s="76"/>
      <c r="N1671" s="76"/>
      <c r="O1671" s="76"/>
      <c r="P1671" s="76"/>
      <c r="Q1671" s="76"/>
      <c r="R1671" s="76"/>
      <c r="S1671" s="76"/>
      <c r="BD1671" s="99">
        <f t="shared" si="55"/>
        <v>0</v>
      </c>
      <c r="CC1671" s="99"/>
      <c r="CV1671" s="99"/>
      <c r="CW1671" s="63"/>
    </row>
    <row r="1672" spans="1:101" x14ac:dyDescent="0.15">
      <c r="A1672" s="76">
        <v>1556</v>
      </c>
      <c r="B1672" s="74" t="s">
        <v>1148</v>
      </c>
      <c r="C1672" s="74" t="s">
        <v>1149</v>
      </c>
      <c r="D1672" s="78" t="str">
        <f t="shared" si="54"/>
        <v>https://portal.dnb.de/opac.htm?method=simpleSearch&amp;cqlMode=true&amp;query=idn%3D100029904X</v>
      </c>
      <c r="E1672" s="74" t="s">
        <v>1150</v>
      </c>
      <c r="F1672" s="74"/>
      <c r="G1672" s="76"/>
      <c r="H1672" s="77"/>
      <c r="I1672" s="76"/>
      <c r="J1672" s="77"/>
      <c r="K1672" s="77"/>
      <c r="L1672" s="76"/>
      <c r="M1672" s="76"/>
      <c r="N1672" s="76"/>
      <c r="O1672" s="76"/>
      <c r="P1672" s="76"/>
      <c r="Q1672" s="76"/>
      <c r="R1672" s="76"/>
      <c r="S1672" s="76"/>
      <c r="BD1672" s="99">
        <f t="shared" si="55"/>
        <v>0</v>
      </c>
      <c r="CC1672" s="99"/>
      <c r="CV1672" s="99"/>
      <c r="CW1672" s="63"/>
    </row>
    <row r="1673" spans="1:101" x14ac:dyDescent="0.15">
      <c r="A1673" s="76">
        <v>1557</v>
      </c>
      <c r="B1673" s="74" t="s">
        <v>1155</v>
      </c>
      <c r="C1673" s="74">
        <v>998849499</v>
      </c>
      <c r="D1673" s="78" t="str">
        <f t="shared" si="54"/>
        <v>https://portal.dnb.de/opac.htm?method=simpleSearch&amp;cqlMode=true&amp;query=idn%3D998849499</v>
      </c>
      <c r="E1673" s="74" t="s">
        <v>1156</v>
      </c>
      <c r="F1673" s="74"/>
      <c r="G1673" s="76"/>
      <c r="H1673" s="77"/>
      <c r="I1673" s="76"/>
      <c r="J1673" s="77"/>
      <c r="K1673" s="77"/>
      <c r="L1673" s="76"/>
      <c r="M1673" s="76"/>
      <c r="N1673" s="76"/>
      <c r="O1673" s="76"/>
      <c r="P1673" s="76"/>
      <c r="Q1673" s="76"/>
      <c r="R1673" s="76"/>
      <c r="S1673" s="76"/>
      <c r="BD1673" s="99">
        <f t="shared" si="55"/>
        <v>0</v>
      </c>
      <c r="CC1673" s="99"/>
      <c r="CV1673" s="99"/>
      <c r="CW1673" s="63"/>
    </row>
    <row r="1674" spans="1:101" x14ac:dyDescent="0.15">
      <c r="A1674" s="76">
        <v>1558</v>
      </c>
      <c r="B1674" s="74" t="s">
        <v>1159</v>
      </c>
      <c r="C1674" s="74">
        <v>998849545</v>
      </c>
      <c r="D1674" s="78" t="str">
        <f t="shared" si="54"/>
        <v>https://portal.dnb.de/opac.htm?method=simpleSearch&amp;cqlMode=true&amp;query=idn%3D998849545</v>
      </c>
      <c r="E1674" s="74" t="s">
        <v>1160</v>
      </c>
      <c r="F1674" s="74"/>
      <c r="G1674" s="76"/>
      <c r="H1674" s="77"/>
      <c r="I1674" s="76"/>
      <c r="J1674" s="77"/>
      <c r="K1674" s="77"/>
      <c r="L1674" s="76"/>
      <c r="M1674" s="76"/>
      <c r="N1674" s="76"/>
      <c r="O1674" s="76"/>
      <c r="P1674" s="76"/>
      <c r="Q1674" s="76"/>
      <c r="R1674" s="76"/>
      <c r="S1674" s="76"/>
      <c r="BD1674" s="99">
        <f t="shared" si="55"/>
        <v>0</v>
      </c>
      <c r="CC1674" s="99"/>
      <c r="CV1674" s="99"/>
      <c r="CW1674" s="63"/>
    </row>
    <row r="1675" spans="1:101" x14ac:dyDescent="0.15">
      <c r="A1675" s="76">
        <v>1559</v>
      </c>
      <c r="B1675" s="74" t="s">
        <v>1161</v>
      </c>
      <c r="C1675" s="74" t="s">
        <v>1162</v>
      </c>
      <c r="D1675" s="78" t="str">
        <f t="shared" si="54"/>
        <v>https://portal.dnb.de/opac.htm?method=simpleSearch&amp;cqlMode=true&amp;query=idn%3D99884957X</v>
      </c>
      <c r="E1675" s="74" t="s">
        <v>1163</v>
      </c>
      <c r="F1675" s="74"/>
      <c r="G1675" s="76"/>
      <c r="H1675" s="77"/>
      <c r="I1675" s="76"/>
      <c r="J1675" s="77"/>
      <c r="K1675" s="77"/>
      <c r="L1675" s="76"/>
      <c r="M1675" s="76"/>
      <c r="N1675" s="76"/>
      <c r="O1675" s="76"/>
      <c r="P1675" s="76"/>
      <c r="Q1675" s="76"/>
      <c r="R1675" s="76"/>
      <c r="S1675" s="76"/>
      <c r="BD1675" s="99">
        <f t="shared" si="55"/>
        <v>0</v>
      </c>
      <c r="CC1675" s="99"/>
      <c r="CV1675" s="99"/>
      <c r="CW1675" s="63"/>
    </row>
    <row r="1676" spans="1:101" x14ac:dyDescent="0.15">
      <c r="A1676" s="76">
        <v>1560</v>
      </c>
      <c r="B1676" s="74" t="s">
        <v>1173</v>
      </c>
      <c r="C1676" s="74">
        <v>999013084</v>
      </c>
      <c r="D1676" s="78" t="str">
        <f t="shared" si="54"/>
        <v>https://portal.dnb.de/opac.htm?method=simpleSearch&amp;cqlMode=true&amp;query=idn%3D999013084</v>
      </c>
      <c r="E1676" s="74" t="s">
        <v>1174</v>
      </c>
      <c r="F1676" s="74"/>
      <c r="G1676" s="76"/>
      <c r="H1676" s="77"/>
      <c r="I1676" s="76"/>
      <c r="J1676" s="77"/>
      <c r="K1676" s="77"/>
      <c r="L1676" s="76"/>
      <c r="M1676" s="76"/>
      <c r="N1676" s="76"/>
      <c r="O1676" s="76"/>
      <c r="P1676" s="76"/>
      <c r="Q1676" s="76"/>
      <c r="R1676" s="76"/>
      <c r="S1676" s="76"/>
      <c r="BD1676" s="99">
        <f t="shared" si="55"/>
        <v>0</v>
      </c>
      <c r="CC1676" s="99"/>
      <c r="CV1676" s="99"/>
      <c r="CW1676" s="63"/>
    </row>
    <row r="1677" spans="1:101" x14ac:dyDescent="0.15">
      <c r="A1677" s="76">
        <v>1561</v>
      </c>
      <c r="B1677" s="74" t="s">
        <v>1175</v>
      </c>
      <c r="C1677" s="74" t="s">
        <v>1176</v>
      </c>
      <c r="D1677" s="78" t="str">
        <f t="shared" si="54"/>
        <v>https://portal.dnb.de/opac.htm?method=simpleSearch&amp;cqlMode=true&amp;query=idn%3D100079833X</v>
      </c>
      <c r="E1677" s="74" t="s">
        <v>1177</v>
      </c>
      <c r="F1677" s="74"/>
      <c r="G1677" s="76"/>
      <c r="H1677" s="77"/>
      <c r="I1677" s="76"/>
      <c r="J1677" s="77"/>
      <c r="K1677" s="77"/>
      <c r="L1677" s="76"/>
      <c r="M1677" s="76"/>
      <c r="N1677" s="76"/>
      <c r="O1677" s="76"/>
      <c r="P1677" s="76"/>
      <c r="Q1677" s="76"/>
      <c r="R1677" s="76"/>
      <c r="S1677" s="76"/>
      <c r="BD1677" s="99">
        <f t="shared" si="55"/>
        <v>0</v>
      </c>
      <c r="CC1677" s="99"/>
      <c r="CV1677" s="99"/>
      <c r="CW1677" s="63"/>
    </row>
    <row r="1678" spans="1:101" x14ac:dyDescent="0.15">
      <c r="A1678" s="76">
        <v>1562</v>
      </c>
      <c r="B1678" s="74" t="s">
        <v>1205</v>
      </c>
      <c r="C1678" s="74">
        <v>995559384</v>
      </c>
      <c r="D1678" s="78" t="str">
        <f t="shared" si="54"/>
        <v>https://portal.dnb.de/opac.htm?method=simpleSearch&amp;cqlMode=true&amp;query=idn%3D995559384</v>
      </c>
      <c r="E1678" s="74" t="s">
        <v>1206</v>
      </c>
      <c r="F1678" s="74"/>
      <c r="G1678" s="76"/>
      <c r="H1678" s="77"/>
      <c r="I1678" s="76"/>
      <c r="J1678" s="77"/>
      <c r="K1678" s="77"/>
      <c r="L1678" s="76"/>
      <c r="M1678" s="76"/>
      <c r="N1678" s="76"/>
      <c r="O1678" s="76"/>
      <c r="P1678" s="76"/>
      <c r="Q1678" s="76"/>
      <c r="R1678" s="76"/>
      <c r="S1678" s="76"/>
      <c r="BD1678" s="99">
        <f t="shared" si="55"/>
        <v>0</v>
      </c>
      <c r="CC1678" s="99"/>
      <c r="CV1678" s="99"/>
      <c r="CW1678" s="63"/>
    </row>
    <row r="1679" spans="1:101" x14ac:dyDescent="0.15">
      <c r="A1679" s="76">
        <v>1563</v>
      </c>
      <c r="B1679" s="74" t="s">
        <v>1233</v>
      </c>
      <c r="C1679" s="74">
        <v>994842619</v>
      </c>
      <c r="D1679" s="78" t="str">
        <f t="shared" ref="D1679:D1745" si="56">HYPERLINK(CONCATENATE("https://portal.dnb.de/opac.htm?method=simpleSearch&amp;cqlMode=true&amp;query=idn%3D",C1679))</f>
        <v>https://portal.dnb.de/opac.htm?method=simpleSearch&amp;cqlMode=true&amp;query=idn%3D994842619</v>
      </c>
      <c r="E1679" s="74" t="s">
        <v>1234</v>
      </c>
      <c r="F1679" s="74"/>
      <c r="G1679" s="76"/>
      <c r="H1679" s="77"/>
      <c r="I1679" s="76"/>
      <c r="J1679" s="77"/>
      <c r="K1679" s="77"/>
      <c r="L1679" s="76"/>
      <c r="M1679" s="76"/>
      <c r="N1679" s="76"/>
      <c r="O1679" s="76"/>
      <c r="P1679" s="76"/>
      <c r="Q1679" s="76"/>
      <c r="R1679" s="76"/>
      <c r="S1679" s="76"/>
      <c r="BD1679" s="99">
        <f t="shared" si="55"/>
        <v>0</v>
      </c>
      <c r="CC1679" s="99"/>
      <c r="CV1679" s="99"/>
      <c r="CW1679" s="63"/>
    </row>
    <row r="1680" spans="1:101" ht="45" x14ac:dyDescent="0.15">
      <c r="A1680" s="76">
        <v>1564</v>
      </c>
      <c r="B1680" s="74" t="s">
        <v>1190</v>
      </c>
      <c r="C1680" s="74">
        <v>1132652774</v>
      </c>
      <c r="D1680" s="78" t="str">
        <f t="shared" si="56"/>
        <v>https://portal.dnb.de/opac.htm?method=simpleSearch&amp;cqlMode=true&amp;query=idn%3D1132652774</v>
      </c>
      <c r="E1680" s="74" t="s">
        <v>10404</v>
      </c>
      <c r="F1680" s="74"/>
      <c r="G1680" s="76"/>
      <c r="H1680" s="77" t="s">
        <v>5</v>
      </c>
      <c r="I1680" s="76" t="s">
        <v>56</v>
      </c>
      <c r="J1680" s="77"/>
      <c r="K1680" s="77"/>
      <c r="L1680" s="76"/>
      <c r="M1680" s="76"/>
      <c r="N1680" s="76" t="s">
        <v>8660</v>
      </c>
      <c r="O1680" s="76">
        <v>2</v>
      </c>
      <c r="P1680" s="76"/>
      <c r="Q1680" s="76"/>
      <c r="R1680" s="76"/>
      <c r="S1680" s="76"/>
      <c r="Y1680" s="95" t="s">
        <v>9723</v>
      </c>
      <c r="AC1680" s="95" t="s">
        <v>9724</v>
      </c>
      <c r="AI1680" s="95" t="s">
        <v>9725</v>
      </c>
      <c r="AW1680" s="95">
        <v>0</v>
      </c>
      <c r="BC1680" s="96" t="s">
        <v>10503</v>
      </c>
      <c r="BD1680" s="99">
        <f t="shared" si="55"/>
        <v>2</v>
      </c>
      <c r="BH1680" s="95" t="s">
        <v>8541</v>
      </c>
      <c r="BP1680" s="69" t="s">
        <v>8541</v>
      </c>
      <c r="BQ1680" s="95" t="s">
        <v>8541</v>
      </c>
      <c r="CC1680" s="99">
        <v>2</v>
      </c>
      <c r="CD1680" s="90" t="s">
        <v>10407</v>
      </c>
      <c r="CV1680" s="99"/>
      <c r="CW1680" s="63"/>
    </row>
    <row r="1681" spans="1:101" ht="45" x14ac:dyDescent="0.15">
      <c r="A1681" s="76">
        <v>1565</v>
      </c>
      <c r="B1681" s="74" t="s">
        <v>1191</v>
      </c>
      <c r="C1681" s="74">
        <v>1132652782</v>
      </c>
      <c r="D1681" s="78" t="str">
        <f t="shared" si="56"/>
        <v>https://portal.dnb.de/opac.htm?method=simpleSearch&amp;cqlMode=true&amp;query=idn%3D1132652782</v>
      </c>
      <c r="E1681" s="74" t="s">
        <v>10405</v>
      </c>
      <c r="F1681" s="74"/>
      <c r="G1681" s="76"/>
      <c r="H1681" s="77" t="s">
        <v>5</v>
      </c>
      <c r="I1681" s="76" t="s">
        <v>56</v>
      </c>
      <c r="J1681" s="77"/>
      <c r="K1681" s="77"/>
      <c r="L1681" s="76"/>
      <c r="M1681" s="76"/>
      <c r="N1681" s="76"/>
      <c r="O1681" s="76">
        <v>2</v>
      </c>
      <c r="P1681" s="76"/>
      <c r="Q1681" s="76"/>
      <c r="R1681" s="76"/>
      <c r="S1681" s="76"/>
      <c r="Y1681" s="95" t="s">
        <v>9723</v>
      </c>
      <c r="AC1681" s="95" t="s">
        <v>9724</v>
      </c>
      <c r="AI1681" s="95" t="s">
        <v>9725</v>
      </c>
      <c r="AW1681" s="95">
        <v>0</v>
      </c>
      <c r="BC1681" s="96" t="s">
        <v>10503</v>
      </c>
      <c r="BD1681" s="99">
        <f t="shared" si="55"/>
        <v>10.5</v>
      </c>
      <c r="BH1681" s="95" t="s">
        <v>8541</v>
      </c>
      <c r="BP1681" s="69" t="s">
        <v>8541</v>
      </c>
      <c r="BQ1681" s="95" t="s">
        <v>8541</v>
      </c>
      <c r="BR1681" s="95" t="s">
        <v>8541</v>
      </c>
      <c r="BT1681" s="95" t="s">
        <v>9772</v>
      </c>
      <c r="CC1681" s="99">
        <v>6.5</v>
      </c>
      <c r="CD1681" s="90" t="s">
        <v>10409</v>
      </c>
      <c r="CE1681" s="95" t="s">
        <v>8541</v>
      </c>
      <c r="CJ1681" s="95" t="s">
        <v>8541</v>
      </c>
      <c r="CL1681" s="95" t="s">
        <v>8541</v>
      </c>
      <c r="CQ1681" s="95" t="s">
        <v>8541</v>
      </c>
      <c r="CV1681" s="99">
        <v>4</v>
      </c>
      <c r="CW1681" s="90" t="s">
        <v>10408</v>
      </c>
    </row>
    <row r="1682" spans="1:101" ht="45" x14ac:dyDescent="0.15">
      <c r="A1682" s="76">
        <v>1566</v>
      </c>
      <c r="B1682" s="74" t="s">
        <v>1192</v>
      </c>
      <c r="C1682" s="74">
        <v>1132652790</v>
      </c>
      <c r="D1682" s="78" t="str">
        <f t="shared" si="56"/>
        <v>https://portal.dnb.de/opac.htm?method=simpleSearch&amp;cqlMode=true&amp;query=idn%3D1132652790</v>
      </c>
      <c r="E1682" s="74" t="s">
        <v>10406</v>
      </c>
      <c r="F1682" s="74"/>
      <c r="G1682" s="76"/>
      <c r="H1682" s="77" t="s">
        <v>5</v>
      </c>
      <c r="I1682" s="76" t="s">
        <v>56</v>
      </c>
      <c r="J1682" s="77"/>
      <c r="K1682" s="77"/>
      <c r="L1682" s="76"/>
      <c r="M1682" s="76"/>
      <c r="N1682" s="76"/>
      <c r="O1682" s="76">
        <v>2</v>
      </c>
      <c r="P1682" s="76"/>
      <c r="Q1682" s="76"/>
      <c r="R1682" s="76"/>
      <c r="S1682" s="76"/>
      <c r="Y1682" s="95" t="s">
        <v>9723</v>
      </c>
      <c r="AC1682" s="95" t="s">
        <v>9724</v>
      </c>
      <c r="AI1682" s="95" t="s">
        <v>9725</v>
      </c>
      <c r="AW1682" s="95">
        <v>0</v>
      </c>
      <c r="BC1682" s="96" t="s">
        <v>10503</v>
      </c>
      <c r="BD1682" s="99">
        <f t="shared" si="55"/>
        <v>4.5</v>
      </c>
      <c r="BO1682" s="70" t="s">
        <v>10410</v>
      </c>
      <c r="BP1682" s="69" t="s">
        <v>8541</v>
      </c>
      <c r="BQ1682" s="95" t="s">
        <v>8541</v>
      </c>
      <c r="BR1682" s="95" t="s">
        <v>8541</v>
      </c>
      <c r="CC1682" s="99">
        <v>2</v>
      </c>
      <c r="CD1682" s="90" t="s">
        <v>10412</v>
      </c>
      <c r="CQ1682" s="95" t="s">
        <v>8541</v>
      </c>
      <c r="CV1682" s="99">
        <v>2.5</v>
      </c>
      <c r="CW1682" s="90" t="s">
        <v>10411</v>
      </c>
    </row>
    <row r="1683" spans="1:101" ht="78.75" x14ac:dyDescent="0.15">
      <c r="A1683" s="76">
        <v>1567</v>
      </c>
      <c r="B1683" s="74" t="s">
        <v>1219</v>
      </c>
      <c r="C1683" s="74">
        <v>1132657733</v>
      </c>
      <c r="D1683" s="78" t="str">
        <f t="shared" si="56"/>
        <v>https://portal.dnb.de/opac.htm?method=simpleSearch&amp;cqlMode=true&amp;query=idn%3D1132657733</v>
      </c>
      <c r="E1683" s="74" t="s">
        <v>1220</v>
      </c>
      <c r="F1683" s="79" t="s">
        <v>10522</v>
      </c>
      <c r="G1683" s="76"/>
      <c r="H1683" s="77"/>
      <c r="I1683" s="76" t="s">
        <v>56</v>
      </c>
      <c r="J1683" s="77"/>
      <c r="K1683" s="77"/>
      <c r="L1683" s="76"/>
      <c r="M1683" s="76"/>
      <c r="N1683" s="76"/>
      <c r="O1683" s="76"/>
      <c r="P1683" s="76"/>
      <c r="Q1683" s="76"/>
      <c r="R1683" s="76"/>
      <c r="S1683" s="76"/>
      <c r="U1683" s="95" t="s">
        <v>9797</v>
      </c>
      <c r="Y1683" s="95" t="s">
        <v>9729</v>
      </c>
      <c r="AB1683" s="95" t="s">
        <v>8541</v>
      </c>
      <c r="AC1683" s="95" t="s">
        <v>9730</v>
      </c>
      <c r="AI1683" s="95" t="s">
        <v>9725</v>
      </c>
      <c r="AP1683" s="95" t="s">
        <v>8541</v>
      </c>
      <c r="AQ1683" s="96" t="s">
        <v>9799</v>
      </c>
      <c r="AR1683" s="95" t="s">
        <v>8541</v>
      </c>
      <c r="AT1683" s="95" t="s">
        <v>8541</v>
      </c>
      <c r="AW1683" s="95">
        <v>110</v>
      </c>
      <c r="BC1683" s="96" t="s">
        <v>9726</v>
      </c>
      <c r="BD1683" s="99">
        <f t="shared" si="55"/>
        <v>1.5</v>
      </c>
      <c r="BG1683" s="95" t="s">
        <v>8541</v>
      </c>
      <c r="BL1683" s="70" t="s">
        <v>9800</v>
      </c>
      <c r="CC1683" s="99"/>
      <c r="CE1683" s="95" t="s">
        <v>8541</v>
      </c>
      <c r="CV1683" s="99">
        <v>1.5</v>
      </c>
    </row>
    <row r="1684" spans="1:101" ht="78.75" x14ac:dyDescent="0.15">
      <c r="A1684" s="76">
        <v>1568</v>
      </c>
      <c r="B1684" s="74" t="s">
        <v>1221</v>
      </c>
      <c r="C1684" s="74">
        <v>1132657725</v>
      </c>
      <c r="D1684" s="78" t="str">
        <f t="shared" si="56"/>
        <v>https://portal.dnb.de/opac.htm?method=simpleSearch&amp;cqlMode=true&amp;query=idn%3D1132657725</v>
      </c>
      <c r="E1684" s="74" t="s">
        <v>1220</v>
      </c>
      <c r="F1684" s="79" t="s">
        <v>10523</v>
      </c>
      <c r="G1684" s="76"/>
      <c r="H1684" s="77"/>
      <c r="I1684" s="76" t="s">
        <v>56</v>
      </c>
      <c r="J1684" s="77"/>
      <c r="K1684" s="77"/>
      <c r="L1684" s="76"/>
      <c r="M1684" s="76"/>
      <c r="N1684" s="76"/>
      <c r="O1684" s="76"/>
      <c r="P1684" s="76"/>
      <c r="Q1684" s="76"/>
      <c r="R1684" s="76"/>
      <c r="S1684" s="76"/>
      <c r="U1684" s="95" t="s">
        <v>9797</v>
      </c>
      <c r="Y1684" s="95" t="s">
        <v>9729</v>
      </c>
      <c r="AB1684" s="95" t="s">
        <v>8541</v>
      </c>
      <c r="AC1684" s="95" t="s">
        <v>9730</v>
      </c>
      <c r="AI1684" s="95" t="s">
        <v>9725</v>
      </c>
      <c r="AP1684" s="95" t="s">
        <v>8541</v>
      </c>
      <c r="AQ1684" s="96" t="s">
        <v>9798</v>
      </c>
      <c r="AR1684" s="95" t="s">
        <v>8541</v>
      </c>
      <c r="AT1684" s="95" t="s">
        <v>8541</v>
      </c>
      <c r="AW1684" s="95">
        <v>110</v>
      </c>
      <c r="BC1684" s="96" t="s">
        <v>9726</v>
      </c>
      <c r="BD1684" s="99">
        <f t="shared" si="55"/>
        <v>3</v>
      </c>
      <c r="BG1684" s="95" t="s">
        <v>8541</v>
      </c>
      <c r="BL1684" s="70" t="s">
        <v>9800</v>
      </c>
      <c r="CC1684" s="99"/>
      <c r="CE1684" s="95" t="s">
        <v>8541</v>
      </c>
      <c r="CM1684" s="95" t="s">
        <v>8541</v>
      </c>
      <c r="CN1684" s="95" t="s">
        <v>8541</v>
      </c>
      <c r="CQ1684" s="95" t="s">
        <v>8541</v>
      </c>
      <c r="CV1684" s="99">
        <v>3</v>
      </c>
    </row>
    <row r="1685" spans="1:101" ht="67.5" x14ac:dyDescent="0.15">
      <c r="A1685" s="76"/>
      <c r="B1685" s="74"/>
      <c r="C1685" s="74"/>
      <c r="D1685" s="78"/>
      <c r="E1685" s="74" t="s">
        <v>9667</v>
      </c>
      <c r="F1685" s="79" t="s">
        <v>10524</v>
      </c>
      <c r="G1685" s="76" t="s">
        <v>8515</v>
      </c>
      <c r="H1685" s="77" t="s">
        <v>5</v>
      </c>
      <c r="I1685" s="76" t="s">
        <v>56</v>
      </c>
      <c r="J1685" s="77" t="s">
        <v>58</v>
      </c>
      <c r="K1685" s="77" t="s">
        <v>8688</v>
      </c>
      <c r="L1685" s="76"/>
      <c r="M1685" s="76"/>
      <c r="N1685" s="76" t="s">
        <v>8660</v>
      </c>
      <c r="O1685" s="76">
        <v>1</v>
      </c>
      <c r="P1685" s="76"/>
      <c r="Q1685" s="76" t="s">
        <v>9040</v>
      </c>
      <c r="R1685" s="76"/>
      <c r="S1685" s="76"/>
      <c r="BD1685" s="99">
        <f t="shared" si="55"/>
        <v>0</v>
      </c>
      <c r="CC1685" s="99"/>
      <c r="CV1685" s="99"/>
      <c r="CW1685" s="63"/>
    </row>
    <row r="1686" spans="1:101" ht="67.5" x14ac:dyDescent="0.15">
      <c r="A1686" s="76"/>
      <c r="B1686" s="74"/>
      <c r="C1686" s="74"/>
      <c r="D1686" s="78"/>
      <c r="E1686" s="74" t="s">
        <v>9668</v>
      </c>
      <c r="F1686" s="79" t="s">
        <v>10524</v>
      </c>
      <c r="G1686" s="76" t="s">
        <v>8515</v>
      </c>
      <c r="H1686" s="77" t="s">
        <v>5</v>
      </c>
      <c r="I1686" s="76" t="s">
        <v>56</v>
      </c>
      <c r="J1686" s="77" t="s">
        <v>58</v>
      </c>
      <c r="K1686" s="77" t="s">
        <v>8520</v>
      </c>
      <c r="L1686" s="76"/>
      <c r="M1686" s="76"/>
      <c r="N1686" s="76"/>
      <c r="O1686" s="76">
        <v>2</v>
      </c>
      <c r="P1686" s="76"/>
      <c r="Q1686" s="76"/>
      <c r="R1686" s="76"/>
      <c r="S1686" s="76"/>
      <c r="BD1686" s="99">
        <f t="shared" si="55"/>
        <v>0</v>
      </c>
      <c r="CC1686" s="99"/>
      <c r="CV1686" s="99"/>
      <c r="CW1686" s="63"/>
    </row>
    <row r="1687" spans="1:101" ht="67.5" x14ac:dyDescent="0.15">
      <c r="A1687" s="76"/>
      <c r="B1687" s="74"/>
      <c r="C1687" s="74"/>
      <c r="D1687" s="78"/>
      <c r="E1687" s="74" t="s">
        <v>9669</v>
      </c>
      <c r="F1687" s="79" t="s">
        <v>10524</v>
      </c>
      <c r="G1687" s="76" t="s">
        <v>8515</v>
      </c>
      <c r="H1687" s="77" t="s">
        <v>5</v>
      </c>
      <c r="I1687" s="76" t="s">
        <v>56</v>
      </c>
      <c r="J1687" s="77" t="s">
        <v>8516</v>
      </c>
      <c r="K1687" s="77" t="s">
        <v>8688</v>
      </c>
      <c r="L1687" s="76"/>
      <c r="M1687" s="76"/>
      <c r="N1687" s="76"/>
      <c r="O1687" s="76">
        <v>2</v>
      </c>
      <c r="P1687" s="76"/>
      <c r="Q1687" s="76" t="s">
        <v>9040</v>
      </c>
      <c r="R1687" s="76"/>
      <c r="S1687" s="76"/>
      <c r="BD1687" s="99">
        <f t="shared" si="55"/>
        <v>0</v>
      </c>
      <c r="CC1687" s="99"/>
      <c r="CV1687" s="99"/>
      <c r="CW1687" s="63"/>
    </row>
    <row r="1688" spans="1:101" ht="22.5" x14ac:dyDescent="0.15">
      <c r="A1688" s="76">
        <v>1569</v>
      </c>
      <c r="B1688" s="74" t="s">
        <v>1222</v>
      </c>
      <c r="C1688" s="74" t="s">
        <v>1223</v>
      </c>
      <c r="D1688" s="82" t="str">
        <f>HYPERLINK(CONCATENATE("https://portal.dnb.de/opac.htm?method=simpleSearch&amp;cqlMode=true&amp;query=idn%3D",C1688))</f>
        <v>https://portal.dnb.de/opac.htm?method=simpleSearch&amp;cqlMode=true&amp;query=idn%3D113265467X</v>
      </c>
      <c r="E1688" s="74" t="s">
        <v>8989</v>
      </c>
      <c r="F1688" s="74"/>
      <c r="G1688" s="76" t="s">
        <v>8515</v>
      </c>
      <c r="H1688" s="77" t="s">
        <v>8553</v>
      </c>
      <c r="I1688" s="76" t="s">
        <v>53</v>
      </c>
      <c r="J1688" s="77" t="s">
        <v>58</v>
      </c>
      <c r="K1688" s="77" t="s">
        <v>8520</v>
      </c>
      <c r="L1688" s="76"/>
      <c r="M1688" s="76" t="s">
        <v>32</v>
      </c>
      <c r="N1688" s="76" t="s">
        <v>40</v>
      </c>
      <c r="O1688" s="76">
        <v>0</v>
      </c>
      <c r="P1688" s="76"/>
      <c r="Q1688" s="76" t="s">
        <v>8986</v>
      </c>
      <c r="R1688" s="76"/>
      <c r="S1688" s="76"/>
      <c r="BD1688" s="99">
        <f t="shared" si="55"/>
        <v>0</v>
      </c>
      <c r="CC1688" s="99"/>
      <c r="CV1688" s="99"/>
      <c r="CW1688" s="63"/>
    </row>
    <row r="1689" spans="1:101" ht="22.5" x14ac:dyDescent="0.15">
      <c r="A1689" s="76">
        <v>1570</v>
      </c>
      <c r="B1689" s="74" t="s">
        <v>1224</v>
      </c>
      <c r="C1689" s="74">
        <v>1132654688</v>
      </c>
      <c r="D1689" s="82" t="str">
        <f>HYPERLINK(CONCATENATE("https://portal.dnb.de/opac.htm?method=simpleSearch&amp;cqlMode=true&amp;query=idn%3D",C1689))</f>
        <v>https://portal.dnb.de/opac.htm?method=simpleSearch&amp;cqlMode=true&amp;query=idn%3D1132654688</v>
      </c>
      <c r="E1689" s="74" t="s">
        <v>8985</v>
      </c>
      <c r="F1689" s="74"/>
      <c r="G1689" s="76" t="s">
        <v>8515</v>
      </c>
      <c r="H1689" s="77" t="s">
        <v>8553</v>
      </c>
      <c r="I1689" s="76" t="s">
        <v>53</v>
      </c>
      <c r="J1689" s="77" t="s">
        <v>58</v>
      </c>
      <c r="K1689" s="77" t="s">
        <v>8520</v>
      </c>
      <c r="L1689" s="76"/>
      <c r="M1689" s="76" t="s">
        <v>32</v>
      </c>
      <c r="N1689" s="76" t="s">
        <v>40</v>
      </c>
      <c r="O1689" s="76">
        <v>0</v>
      </c>
      <c r="P1689" s="76"/>
      <c r="Q1689" s="76" t="s">
        <v>8986</v>
      </c>
      <c r="R1689" s="76"/>
      <c r="S1689" s="76"/>
      <c r="BD1689" s="99">
        <f t="shared" si="55"/>
        <v>0</v>
      </c>
      <c r="CC1689" s="99"/>
      <c r="CV1689" s="99"/>
      <c r="CW1689" s="63"/>
    </row>
    <row r="1690" spans="1:101" ht="22.5" x14ac:dyDescent="0.15">
      <c r="A1690" s="76">
        <v>1571</v>
      </c>
      <c r="B1690" s="74" t="s">
        <v>1225</v>
      </c>
      <c r="C1690" s="74">
        <v>1132654653</v>
      </c>
      <c r="D1690" s="82" t="str">
        <f>HYPERLINK(CONCATENATE("https://portal.dnb.de/opac.htm?method=simpleSearch&amp;cqlMode=true&amp;query=idn%3D",C1690))</f>
        <v>https://portal.dnb.de/opac.htm?method=simpleSearch&amp;cqlMode=true&amp;query=idn%3D1132654653</v>
      </c>
      <c r="E1690" s="74" t="s">
        <v>8987</v>
      </c>
      <c r="F1690" s="74"/>
      <c r="G1690" s="76" t="s">
        <v>8515</v>
      </c>
      <c r="H1690" s="77" t="s">
        <v>8553</v>
      </c>
      <c r="I1690" s="76" t="s">
        <v>53</v>
      </c>
      <c r="J1690" s="77" t="s">
        <v>58</v>
      </c>
      <c r="K1690" s="77" t="s">
        <v>8520</v>
      </c>
      <c r="L1690" s="76"/>
      <c r="M1690" s="76" t="s">
        <v>32</v>
      </c>
      <c r="N1690" s="76" t="s">
        <v>40</v>
      </c>
      <c r="O1690" s="76">
        <v>1</v>
      </c>
      <c r="P1690" s="76"/>
      <c r="Q1690" s="76" t="s">
        <v>8986</v>
      </c>
      <c r="R1690" s="76"/>
      <c r="S1690" s="76"/>
      <c r="BD1690" s="99">
        <f t="shared" si="55"/>
        <v>0</v>
      </c>
      <c r="CC1690" s="99"/>
      <c r="CV1690" s="99"/>
      <c r="CW1690" s="63"/>
    </row>
    <row r="1691" spans="1:101" x14ac:dyDescent="0.15">
      <c r="A1691" s="76">
        <v>1572</v>
      </c>
      <c r="B1691" s="74" t="s">
        <v>1226</v>
      </c>
      <c r="C1691" s="74">
        <v>1132654696</v>
      </c>
      <c r="D1691" s="82" t="str">
        <f>HYPERLINK(CONCATENATE("https://portal.dnb.de/opac.htm?method=simpleSearch&amp;cqlMode=true&amp;query=idn%3D",C1691))</f>
        <v>https://portal.dnb.de/opac.htm?method=simpleSearch&amp;cqlMode=true&amp;query=idn%3D1132654696</v>
      </c>
      <c r="E1691" s="74" t="s">
        <v>8990</v>
      </c>
      <c r="F1691" s="74"/>
      <c r="G1691" s="76"/>
      <c r="H1691" s="77"/>
      <c r="I1691" s="76"/>
      <c r="J1691" s="77"/>
      <c r="K1691" s="77"/>
      <c r="L1691" s="76"/>
      <c r="M1691" s="76"/>
      <c r="N1691" s="76"/>
      <c r="O1691" s="76"/>
      <c r="P1691" s="76"/>
      <c r="Q1691" s="76"/>
      <c r="R1691" s="76"/>
      <c r="S1691" s="76"/>
      <c r="BD1691" s="99">
        <f t="shared" si="55"/>
        <v>0</v>
      </c>
      <c r="CC1691" s="99"/>
      <c r="CV1691" s="99"/>
      <c r="CW1691" s="63"/>
    </row>
    <row r="1692" spans="1:101" ht="22.5" x14ac:dyDescent="0.15">
      <c r="A1692" s="76">
        <v>1573</v>
      </c>
      <c r="B1692" s="74" t="s">
        <v>1227</v>
      </c>
      <c r="C1692" s="74">
        <v>1132654661</v>
      </c>
      <c r="D1692" s="82" t="str">
        <f>HYPERLINK(CONCATENATE("https://portal.dnb.de/opac.htm?method=simpleSearch&amp;cqlMode=true&amp;query=idn%3D",C1692))</f>
        <v>https://portal.dnb.de/opac.htm?method=simpleSearch&amp;cqlMode=true&amp;query=idn%3D1132654661</v>
      </c>
      <c r="E1692" s="74" t="s">
        <v>8988</v>
      </c>
      <c r="F1692" s="74"/>
      <c r="G1692" s="76" t="s">
        <v>8515</v>
      </c>
      <c r="H1692" s="77" t="s">
        <v>8553</v>
      </c>
      <c r="I1692" s="76" t="s">
        <v>53</v>
      </c>
      <c r="J1692" s="77" t="s">
        <v>58</v>
      </c>
      <c r="K1692" s="77" t="s">
        <v>8688</v>
      </c>
      <c r="L1692" s="76"/>
      <c r="M1692" s="76" t="s">
        <v>32</v>
      </c>
      <c r="N1692" s="76" t="s">
        <v>40</v>
      </c>
      <c r="O1692" s="76">
        <v>0</v>
      </c>
      <c r="P1692" s="76"/>
      <c r="Q1692" s="76" t="s">
        <v>8986</v>
      </c>
      <c r="R1692" s="76"/>
      <c r="S1692" s="76"/>
      <c r="BD1692" s="99">
        <f t="shared" si="55"/>
        <v>0</v>
      </c>
      <c r="CC1692" s="99"/>
      <c r="CV1692" s="99"/>
      <c r="CW1692" s="63"/>
    </row>
    <row r="1693" spans="1:101" x14ac:dyDescent="0.15">
      <c r="A1693" s="76">
        <v>1574</v>
      </c>
      <c r="B1693" s="74" t="s">
        <v>1228</v>
      </c>
      <c r="C1693" s="74">
        <v>932468217</v>
      </c>
      <c r="D1693" s="78" t="str">
        <f t="shared" si="56"/>
        <v>https://portal.dnb.de/opac.htm?method=simpleSearch&amp;cqlMode=true&amp;query=idn%3D932468217</v>
      </c>
      <c r="E1693" s="74" t="s">
        <v>1229</v>
      </c>
      <c r="F1693" s="74"/>
      <c r="G1693" s="76" t="s">
        <v>8515</v>
      </c>
      <c r="H1693" s="77" t="s">
        <v>5</v>
      </c>
      <c r="I1693" s="76" t="s">
        <v>53</v>
      </c>
      <c r="J1693" s="77" t="s">
        <v>8516</v>
      </c>
      <c r="K1693" s="77" t="s">
        <v>8520</v>
      </c>
      <c r="L1693" s="76"/>
      <c r="M1693" s="76" t="s">
        <v>36</v>
      </c>
      <c r="N1693" s="76" t="s">
        <v>39</v>
      </c>
      <c r="O1693" s="76">
        <v>0</v>
      </c>
      <c r="P1693" s="76"/>
      <c r="Q1693" s="76"/>
      <c r="R1693" s="76"/>
      <c r="S1693" s="76"/>
      <c r="BD1693" s="99">
        <f t="shared" si="55"/>
        <v>0</v>
      </c>
      <c r="CC1693" s="99"/>
      <c r="CV1693" s="99"/>
      <c r="CW1693" s="63"/>
    </row>
    <row r="1694" spans="1:101" x14ac:dyDescent="0.15">
      <c r="A1694" s="76">
        <v>1575</v>
      </c>
      <c r="B1694" s="74" t="s">
        <v>1230</v>
      </c>
      <c r="C1694" s="74">
        <v>932468195</v>
      </c>
      <c r="D1694" s="78" t="str">
        <f t="shared" si="56"/>
        <v>https://portal.dnb.de/opac.htm?method=simpleSearch&amp;cqlMode=true&amp;query=idn%3D932468195</v>
      </c>
      <c r="E1694" s="74" t="s">
        <v>1231</v>
      </c>
      <c r="F1694" s="74"/>
      <c r="G1694" s="76"/>
      <c r="H1694" s="77"/>
      <c r="I1694" s="76"/>
      <c r="J1694" s="77"/>
      <c r="K1694" s="77"/>
      <c r="L1694" s="76"/>
      <c r="M1694" s="76"/>
      <c r="N1694" s="76"/>
      <c r="O1694" s="76"/>
      <c r="P1694" s="76"/>
      <c r="Q1694" s="76"/>
      <c r="R1694" s="76"/>
      <c r="S1694" s="76"/>
      <c r="BD1694" s="99">
        <f t="shared" si="55"/>
        <v>0</v>
      </c>
      <c r="CC1694" s="99"/>
      <c r="CV1694" s="99"/>
      <c r="CW1694" s="63"/>
    </row>
    <row r="1695" spans="1:101" x14ac:dyDescent="0.15">
      <c r="A1695" s="76">
        <v>1576</v>
      </c>
      <c r="B1695" s="74" t="s">
        <v>1232</v>
      </c>
      <c r="C1695" s="74">
        <v>994313209</v>
      </c>
      <c r="D1695" s="78" t="str">
        <f t="shared" si="56"/>
        <v>https://portal.dnb.de/opac.htm?method=simpleSearch&amp;cqlMode=true&amp;query=idn%3D994313209</v>
      </c>
      <c r="E1695" s="74" t="s">
        <v>1231</v>
      </c>
      <c r="F1695" s="74"/>
      <c r="G1695" s="76"/>
      <c r="H1695" s="77"/>
      <c r="I1695" s="76"/>
      <c r="J1695" s="77"/>
      <c r="K1695" s="77"/>
      <c r="L1695" s="76"/>
      <c r="M1695" s="76"/>
      <c r="N1695" s="76"/>
      <c r="O1695" s="76"/>
      <c r="P1695" s="76"/>
      <c r="Q1695" s="76"/>
      <c r="R1695" s="76"/>
      <c r="S1695" s="76"/>
      <c r="BD1695" s="99">
        <f t="shared" si="55"/>
        <v>0</v>
      </c>
      <c r="CC1695" s="99"/>
      <c r="CV1695" s="99"/>
      <c r="CW1695" s="63"/>
    </row>
    <row r="1696" spans="1:101" x14ac:dyDescent="0.15">
      <c r="A1696" s="76">
        <v>1577</v>
      </c>
      <c r="B1696" s="74" t="s">
        <v>1243</v>
      </c>
      <c r="C1696" s="74">
        <v>1001604547</v>
      </c>
      <c r="D1696" s="78" t="str">
        <f t="shared" si="56"/>
        <v>https://portal.dnb.de/opac.htm?method=simpleSearch&amp;cqlMode=true&amp;query=idn%3D1001604547</v>
      </c>
      <c r="E1696" s="74" t="s">
        <v>1244</v>
      </c>
      <c r="F1696" s="74"/>
      <c r="G1696" s="76"/>
      <c r="H1696" s="77"/>
      <c r="I1696" s="76"/>
      <c r="J1696" s="77"/>
      <c r="K1696" s="77"/>
      <c r="L1696" s="76"/>
      <c r="M1696" s="76"/>
      <c r="N1696" s="76"/>
      <c r="O1696" s="76"/>
      <c r="P1696" s="76"/>
      <c r="Q1696" s="76"/>
      <c r="R1696" s="76"/>
      <c r="S1696" s="76"/>
      <c r="BD1696" s="99">
        <f t="shared" si="55"/>
        <v>0</v>
      </c>
      <c r="CC1696" s="99"/>
      <c r="CV1696" s="99"/>
      <c r="CW1696" s="63"/>
    </row>
    <row r="1697" spans="1:101" ht="22.5" x14ac:dyDescent="0.15">
      <c r="A1697" s="76">
        <v>1578</v>
      </c>
      <c r="B1697" s="74" t="s">
        <v>1245</v>
      </c>
      <c r="C1697" s="74">
        <v>1002139759</v>
      </c>
      <c r="D1697" s="78" t="str">
        <f t="shared" si="56"/>
        <v>https://portal.dnb.de/opac.htm?method=simpleSearch&amp;cqlMode=true&amp;query=idn%3D1002139759</v>
      </c>
      <c r="E1697" s="74" t="s">
        <v>1244</v>
      </c>
      <c r="F1697" s="74"/>
      <c r="G1697" s="76"/>
      <c r="H1697" s="77" t="s">
        <v>18</v>
      </c>
      <c r="I1697" s="76" t="s">
        <v>53</v>
      </c>
      <c r="J1697" s="77" t="s">
        <v>8516</v>
      </c>
      <c r="K1697" s="77" t="s">
        <v>84</v>
      </c>
      <c r="L1697" s="76"/>
      <c r="M1697" s="76"/>
      <c r="N1697" s="76"/>
      <c r="O1697" s="76">
        <v>0</v>
      </c>
      <c r="P1697" s="76"/>
      <c r="Q1697" s="76"/>
      <c r="R1697" s="76"/>
      <c r="S1697" s="76"/>
      <c r="BD1697" s="99">
        <f t="shared" si="55"/>
        <v>0</v>
      </c>
      <c r="CC1697" s="99"/>
      <c r="CV1697" s="99"/>
      <c r="CW1697" s="63"/>
    </row>
    <row r="1698" spans="1:101" ht="22.5" x14ac:dyDescent="0.15">
      <c r="A1698" s="76">
        <v>1579</v>
      </c>
      <c r="B1698" s="74" t="s">
        <v>1246</v>
      </c>
      <c r="C1698" s="74">
        <v>999809881</v>
      </c>
      <c r="D1698" s="82" t="str">
        <f>HYPERLINK(CONCATENATE("https://portal.dnb.de/opac.htm?method=simpleSearch&amp;cqlMode=true&amp;query=idn%3D",C1698))</f>
        <v>https://portal.dnb.de/opac.htm?method=simpleSearch&amp;cqlMode=true&amp;query=idn%3D999809881</v>
      </c>
      <c r="E1698" s="74" t="s">
        <v>8992</v>
      </c>
      <c r="F1698" s="74"/>
      <c r="G1698" s="76"/>
      <c r="H1698" s="77" t="s">
        <v>5</v>
      </c>
      <c r="I1698" s="76" t="s">
        <v>53</v>
      </c>
      <c r="J1698" s="77" t="s">
        <v>8516</v>
      </c>
      <c r="K1698" s="77" t="s">
        <v>8615</v>
      </c>
      <c r="L1698" s="76"/>
      <c r="M1698" s="76" t="s">
        <v>32</v>
      </c>
      <c r="N1698" s="76" t="s">
        <v>40</v>
      </c>
      <c r="O1698" s="76">
        <v>0</v>
      </c>
      <c r="P1698" s="76"/>
      <c r="Q1698" s="76"/>
      <c r="R1698" s="76"/>
      <c r="S1698" s="76"/>
      <c r="BD1698" s="99">
        <f t="shared" si="55"/>
        <v>0</v>
      </c>
      <c r="CC1698" s="99"/>
      <c r="CV1698" s="99"/>
      <c r="CW1698" s="63"/>
    </row>
    <row r="1699" spans="1:101" ht="33.75" x14ac:dyDescent="0.15">
      <c r="A1699" s="76">
        <v>1580</v>
      </c>
      <c r="B1699" s="74" t="s">
        <v>1247</v>
      </c>
      <c r="C1699" s="74">
        <v>999809938</v>
      </c>
      <c r="D1699" s="78" t="str">
        <f t="shared" si="56"/>
        <v>https://portal.dnb.de/opac.htm?method=simpleSearch&amp;cqlMode=true&amp;query=idn%3D999809938</v>
      </c>
      <c r="E1699" s="74" t="s">
        <v>8993</v>
      </c>
      <c r="F1699" s="74"/>
      <c r="G1699" s="76"/>
      <c r="H1699" s="77" t="s">
        <v>5</v>
      </c>
      <c r="I1699" s="76" t="s">
        <v>53</v>
      </c>
      <c r="J1699" s="77" t="s">
        <v>8516</v>
      </c>
      <c r="K1699" s="77" t="s">
        <v>8667</v>
      </c>
      <c r="L1699" s="76"/>
      <c r="M1699" s="76" t="s">
        <v>32</v>
      </c>
      <c r="N1699" s="76" t="s">
        <v>40</v>
      </c>
      <c r="O1699" s="76">
        <v>0</v>
      </c>
      <c r="P1699" s="76"/>
      <c r="Q1699" s="76"/>
      <c r="R1699" s="76"/>
      <c r="S1699" s="76"/>
      <c r="BD1699" s="99">
        <f t="shared" si="55"/>
        <v>0</v>
      </c>
      <c r="CC1699" s="99"/>
      <c r="CV1699" s="99"/>
      <c r="CW1699" s="63"/>
    </row>
    <row r="1700" spans="1:101" x14ac:dyDescent="0.15">
      <c r="A1700" s="76">
        <v>1581</v>
      </c>
      <c r="B1700" s="74" t="s">
        <v>1248</v>
      </c>
      <c r="C1700" s="74">
        <v>1000914690</v>
      </c>
      <c r="D1700" s="78" t="str">
        <f t="shared" si="56"/>
        <v>https://portal.dnb.de/opac.htm?method=simpleSearch&amp;cqlMode=true&amp;query=idn%3D1000914690</v>
      </c>
      <c r="E1700" s="74" t="s">
        <v>8994</v>
      </c>
      <c r="F1700" s="74"/>
      <c r="G1700" s="76"/>
      <c r="H1700" s="77" t="s">
        <v>49</v>
      </c>
      <c r="I1700" s="76" t="s">
        <v>53</v>
      </c>
      <c r="J1700" s="77" t="s">
        <v>8516</v>
      </c>
      <c r="K1700" s="77" t="s">
        <v>84</v>
      </c>
      <c r="L1700" s="76"/>
      <c r="M1700" s="76"/>
      <c r="N1700" s="76"/>
      <c r="O1700" s="76">
        <v>0</v>
      </c>
      <c r="P1700" s="76"/>
      <c r="Q1700" s="76"/>
      <c r="R1700" s="76"/>
      <c r="S1700" s="76"/>
      <c r="BD1700" s="99">
        <f t="shared" si="55"/>
        <v>0</v>
      </c>
      <c r="CC1700" s="99"/>
      <c r="CV1700" s="99"/>
      <c r="CW1700" s="63"/>
    </row>
    <row r="1701" spans="1:101" x14ac:dyDescent="0.15">
      <c r="A1701" s="76">
        <v>1582</v>
      </c>
      <c r="B1701" s="74" t="s">
        <v>1249</v>
      </c>
      <c r="C1701" s="74">
        <v>1002499933</v>
      </c>
      <c r="D1701" s="78" t="str">
        <f t="shared" si="56"/>
        <v>https://portal.dnb.de/opac.htm?method=simpleSearch&amp;cqlMode=true&amp;query=idn%3D1002499933</v>
      </c>
      <c r="E1701" s="74" t="s">
        <v>8995</v>
      </c>
      <c r="F1701" s="74"/>
      <c r="G1701" s="76"/>
      <c r="H1701" s="77"/>
      <c r="I1701" s="76"/>
      <c r="J1701" s="77"/>
      <c r="K1701" s="77"/>
      <c r="L1701" s="76"/>
      <c r="M1701" s="76"/>
      <c r="N1701" s="76"/>
      <c r="O1701" s="76"/>
      <c r="P1701" s="76"/>
      <c r="Q1701" s="76"/>
      <c r="R1701" s="76"/>
      <c r="S1701" s="76"/>
      <c r="BD1701" s="99">
        <f t="shared" si="55"/>
        <v>0</v>
      </c>
      <c r="CC1701" s="99"/>
      <c r="CV1701" s="99"/>
      <c r="CW1701" s="63"/>
    </row>
    <row r="1702" spans="1:101" ht="22.5" x14ac:dyDescent="0.15">
      <c r="A1702" s="76">
        <v>1583</v>
      </c>
      <c r="B1702" s="74" t="s">
        <v>1250</v>
      </c>
      <c r="C1702" s="74">
        <v>1000325601</v>
      </c>
      <c r="D1702" s="78" t="str">
        <f t="shared" si="56"/>
        <v>https://portal.dnb.de/opac.htm?method=simpleSearch&amp;cqlMode=true&amp;query=idn%3D1000325601</v>
      </c>
      <c r="E1702" s="74" t="s">
        <v>1251</v>
      </c>
      <c r="F1702" s="74"/>
      <c r="G1702" s="76"/>
      <c r="H1702" s="77"/>
      <c r="I1702" s="76" t="s">
        <v>53</v>
      </c>
      <c r="J1702" s="77"/>
      <c r="K1702" s="77"/>
      <c r="L1702" s="76"/>
      <c r="M1702" s="76"/>
      <c r="N1702" s="76"/>
      <c r="O1702" s="76"/>
      <c r="P1702" s="76"/>
      <c r="Q1702" s="76"/>
      <c r="R1702" s="76"/>
      <c r="S1702" s="76"/>
      <c r="Y1702" s="95" t="s">
        <v>9723</v>
      </c>
      <c r="AC1702" s="95" t="s">
        <v>9724</v>
      </c>
      <c r="AI1702" s="95" t="s">
        <v>9725</v>
      </c>
      <c r="AP1702" s="95" t="s">
        <v>8541</v>
      </c>
      <c r="AQ1702" s="96" t="s">
        <v>9742</v>
      </c>
      <c r="AW1702" s="95">
        <v>45</v>
      </c>
      <c r="BC1702" s="96" t="s">
        <v>9734</v>
      </c>
      <c r="BD1702" s="99">
        <f t="shared" si="55"/>
        <v>0</v>
      </c>
      <c r="BJ1702" s="95" t="s">
        <v>9741</v>
      </c>
      <c r="BK1702" s="95" t="s">
        <v>8541</v>
      </c>
      <c r="CC1702" s="99"/>
      <c r="CV1702" s="99"/>
      <c r="CW1702" s="63"/>
    </row>
    <row r="1703" spans="1:101" ht="22.5" x14ac:dyDescent="0.15">
      <c r="A1703" s="76">
        <v>1584</v>
      </c>
      <c r="B1703" s="74" t="s">
        <v>1252</v>
      </c>
      <c r="C1703" s="74">
        <v>1000325555</v>
      </c>
      <c r="D1703" s="78" t="str">
        <f t="shared" si="56"/>
        <v>https://portal.dnb.de/opac.htm?method=simpleSearch&amp;cqlMode=true&amp;query=idn%3D1000325555</v>
      </c>
      <c r="E1703" s="74" t="s">
        <v>1251</v>
      </c>
      <c r="F1703" s="74"/>
      <c r="G1703" s="76"/>
      <c r="H1703" s="77"/>
      <c r="I1703" s="76" t="s">
        <v>53</v>
      </c>
      <c r="J1703" s="77"/>
      <c r="K1703" s="77"/>
      <c r="L1703" s="76"/>
      <c r="M1703" s="76"/>
      <c r="N1703" s="76"/>
      <c r="O1703" s="76"/>
      <c r="P1703" s="76"/>
      <c r="Q1703" s="76"/>
      <c r="R1703" s="76"/>
      <c r="S1703" s="76"/>
      <c r="Y1703" s="95" t="s">
        <v>9723</v>
      </c>
      <c r="AC1703" s="95" t="s">
        <v>9724</v>
      </c>
      <c r="AI1703" s="95" t="s">
        <v>9725</v>
      </c>
      <c r="AP1703" s="95" t="s">
        <v>8541</v>
      </c>
      <c r="AQ1703" s="96" t="s">
        <v>9743</v>
      </c>
      <c r="AW1703" s="95">
        <v>45</v>
      </c>
      <c r="BC1703" s="96" t="s">
        <v>9734</v>
      </c>
      <c r="BD1703" s="99">
        <f t="shared" si="55"/>
        <v>0</v>
      </c>
      <c r="BJ1703" s="95" t="s">
        <v>9741</v>
      </c>
      <c r="BK1703" s="95" t="s">
        <v>8541</v>
      </c>
      <c r="CC1703" s="99"/>
      <c r="CV1703" s="99"/>
      <c r="CW1703" s="63"/>
    </row>
    <row r="1704" spans="1:101" ht="22.5" x14ac:dyDescent="0.15">
      <c r="A1704" s="76">
        <v>1585</v>
      </c>
      <c r="B1704" s="74" t="s">
        <v>1253</v>
      </c>
      <c r="C1704" s="74">
        <v>1000325571</v>
      </c>
      <c r="D1704" s="78" t="str">
        <f t="shared" si="56"/>
        <v>https://portal.dnb.de/opac.htm?method=simpleSearch&amp;cqlMode=true&amp;query=idn%3D1000325571</v>
      </c>
      <c r="E1704" s="74" t="s">
        <v>1251</v>
      </c>
      <c r="F1704" s="74"/>
      <c r="G1704" s="76"/>
      <c r="H1704" s="77"/>
      <c r="I1704" s="76" t="s">
        <v>53</v>
      </c>
      <c r="J1704" s="77"/>
      <c r="K1704" s="77"/>
      <c r="L1704" s="76"/>
      <c r="M1704" s="76"/>
      <c r="N1704" s="76"/>
      <c r="O1704" s="76"/>
      <c r="P1704" s="76"/>
      <c r="Q1704" s="76"/>
      <c r="R1704" s="76"/>
      <c r="S1704" s="76"/>
      <c r="Y1704" s="95" t="s">
        <v>9723</v>
      </c>
      <c r="AC1704" s="95" t="s">
        <v>9724</v>
      </c>
      <c r="AI1704" s="95" t="s">
        <v>9725</v>
      </c>
      <c r="AP1704" s="95" t="s">
        <v>8541</v>
      </c>
      <c r="AQ1704" s="96" t="s">
        <v>9744</v>
      </c>
      <c r="AW1704" s="95">
        <v>45</v>
      </c>
      <c r="BC1704" s="96" t="s">
        <v>9734</v>
      </c>
      <c r="BD1704" s="99">
        <f t="shared" si="55"/>
        <v>0</v>
      </c>
      <c r="BJ1704" s="95" t="s">
        <v>9741</v>
      </c>
      <c r="BK1704" s="95" t="s">
        <v>8541</v>
      </c>
      <c r="CC1704" s="99"/>
      <c r="CV1704" s="99"/>
      <c r="CW1704" s="63"/>
    </row>
    <row r="1705" spans="1:101" ht="22.5" x14ac:dyDescent="0.15">
      <c r="A1705" s="76">
        <v>1586</v>
      </c>
      <c r="B1705" s="74" t="s">
        <v>1254</v>
      </c>
      <c r="C1705" s="74">
        <v>1000325474</v>
      </c>
      <c r="D1705" s="78" t="str">
        <f t="shared" si="56"/>
        <v>https://portal.dnb.de/opac.htm?method=simpleSearch&amp;cqlMode=true&amp;query=idn%3D1000325474</v>
      </c>
      <c r="E1705" s="74" t="s">
        <v>1251</v>
      </c>
      <c r="F1705" s="74"/>
      <c r="G1705" s="76"/>
      <c r="H1705" s="77"/>
      <c r="I1705" s="76" t="s">
        <v>53</v>
      </c>
      <c r="J1705" s="77"/>
      <c r="K1705" s="77"/>
      <c r="L1705" s="76"/>
      <c r="M1705" s="76"/>
      <c r="N1705" s="76"/>
      <c r="O1705" s="76"/>
      <c r="P1705" s="76"/>
      <c r="Q1705" s="76"/>
      <c r="R1705" s="76"/>
      <c r="S1705" s="76"/>
      <c r="Y1705" s="95" t="s">
        <v>9723</v>
      </c>
      <c r="AC1705" s="95" t="s">
        <v>9724</v>
      </c>
      <c r="AI1705" s="95" t="s">
        <v>9725</v>
      </c>
      <c r="AP1705" s="95" t="s">
        <v>8541</v>
      </c>
      <c r="AQ1705" s="96" t="s">
        <v>9745</v>
      </c>
      <c r="AW1705" s="95">
        <v>45</v>
      </c>
      <c r="BC1705" s="96" t="s">
        <v>9734</v>
      </c>
      <c r="BD1705" s="99">
        <f t="shared" si="55"/>
        <v>0</v>
      </c>
      <c r="BJ1705" s="95" t="s">
        <v>9741</v>
      </c>
      <c r="BK1705" s="95" t="s">
        <v>8541</v>
      </c>
      <c r="CC1705" s="99"/>
      <c r="CV1705" s="99"/>
      <c r="CW1705" s="63"/>
    </row>
    <row r="1706" spans="1:101" ht="22.5" x14ac:dyDescent="0.15">
      <c r="A1706" s="76">
        <v>1587</v>
      </c>
      <c r="B1706" s="74" t="s">
        <v>1255</v>
      </c>
      <c r="C1706" s="74">
        <v>1000325407</v>
      </c>
      <c r="D1706" s="78" t="str">
        <f t="shared" si="56"/>
        <v>https://portal.dnb.de/opac.htm?method=simpleSearch&amp;cqlMode=true&amp;query=idn%3D1000325407</v>
      </c>
      <c r="E1706" s="74" t="s">
        <v>1251</v>
      </c>
      <c r="F1706" s="74"/>
      <c r="G1706" s="76"/>
      <c r="H1706" s="77"/>
      <c r="I1706" s="76" t="s">
        <v>53</v>
      </c>
      <c r="J1706" s="77"/>
      <c r="K1706" s="77"/>
      <c r="L1706" s="76"/>
      <c r="M1706" s="76"/>
      <c r="N1706" s="76"/>
      <c r="O1706" s="76"/>
      <c r="P1706" s="76"/>
      <c r="Q1706" s="76"/>
      <c r="R1706" s="76"/>
      <c r="S1706" s="76"/>
      <c r="Y1706" s="95" t="s">
        <v>9723</v>
      </c>
      <c r="AC1706" s="95" t="s">
        <v>9724</v>
      </c>
      <c r="AI1706" s="95" t="s">
        <v>9725</v>
      </c>
      <c r="AP1706" s="95" t="s">
        <v>8541</v>
      </c>
      <c r="AQ1706" s="96" t="s">
        <v>9746</v>
      </c>
      <c r="AW1706" s="95">
        <v>45</v>
      </c>
      <c r="BC1706" s="96" t="s">
        <v>9734</v>
      </c>
      <c r="BD1706" s="99">
        <f t="shared" si="55"/>
        <v>0</v>
      </c>
      <c r="BJ1706" s="95" t="s">
        <v>9741</v>
      </c>
      <c r="BK1706" s="95" t="s">
        <v>8541</v>
      </c>
      <c r="CC1706" s="99"/>
      <c r="CV1706" s="99"/>
      <c r="CW1706" s="63"/>
    </row>
    <row r="1707" spans="1:101" ht="22.5" x14ac:dyDescent="0.15">
      <c r="A1707" s="76">
        <v>1588</v>
      </c>
      <c r="B1707" s="74" t="s">
        <v>1256</v>
      </c>
      <c r="C1707" s="74">
        <v>1000325598</v>
      </c>
      <c r="D1707" s="78" t="str">
        <f t="shared" si="56"/>
        <v>https://portal.dnb.de/opac.htm?method=simpleSearch&amp;cqlMode=true&amp;query=idn%3D1000325598</v>
      </c>
      <c r="E1707" s="74" t="s">
        <v>1251</v>
      </c>
      <c r="F1707" s="74"/>
      <c r="G1707" s="76"/>
      <c r="H1707" s="77"/>
      <c r="I1707" s="76" t="s">
        <v>53</v>
      </c>
      <c r="J1707" s="77"/>
      <c r="K1707" s="77"/>
      <c r="L1707" s="76"/>
      <c r="M1707" s="76"/>
      <c r="N1707" s="76"/>
      <c r="O1707" s="76"/>
      <c r="P1707" s="76"/>
      <c r="Q1707" s="76"/>
      <c r="R1707" s="76"/>
      <c r="S1707" s="76"/>
      <c r="Y1707" s="95" t="s">
        <v>9723</v>
      </c>
      <c r="AC1707" s="95" t="s">
        <v>9724</v>
      </c>
      <c r="AI1707" s="95" t="s">
        <v>9725</v>
      </c>
      <c r="AP1707" s="95" t="s">
        <v>8541</v>
      </c>
      <c r="AQ1707" s="96" t="s">
        <v>9747</v>
      </c>
      <c r="AW1707" s="95">
        <v>45</v>
      </c>
      <c r="BC1707" s="96" t="s">
        <v>9734</v>
      </c>
      <c r="BD1707" s="99">
        <f t="shared" si="55"/>
        <v>0</v>
      </c>
      <c r="BJ1707" s="95" t="s">
        <v>9741</v>
      </c>
      <c r="BK1707" s="95" t="s">
        <v>8541</v>
      </c>
      <c r="CC1707" s="99"/>
      <c r="CV1707" s="99"/>
      <c r="CW1707" s="63"/>
    </row>
    <row r="1708" spans="1:101" ht="22.5" x14ac:dyDescent="0.15">
      <c r="A1708" s="76">
        <v>1589</v>
      </c>
      <c r="B1708" s="74" t="s">
        <v>1257</v>
      </c>
      <c r="C1708" s="74">
        <v>1000325520</v>
      </c>
      <c r="D1708" s="78" t="str">
        <f t="shared" si="56"/>
        <v>https://portal.dnb.de/opac.htm?method=simpleSearch&amp;cqlMode=true&amp;query=idn%3D1000325520</v>
      </c>
      <c r="E1708" s="74" t="s">
        <v>1251</v>
      </c>
      <c r="F1708" s="74"/>
      <c r="G1708" s="76"/>
      <c r="H1708" s="77"/>
      <c r="I1708" s="76" t="s">
        <v>53</v>
      </c>
      <c r="J1708" s="77"/>
      <c r="K1708" s="77"/>
      <c r="L1708" s="76"/>
      <c r="M1708" s="76"/>
      <c r="N1708" s="76"/>
      <c r="O1708" s="76"/>
      <c r="P1708" s="76"/>
      <c r="Q1708" s="76"/>
      <c r="R1708" s="76"/>
      <c r="S1708" s="76"/>
      <c r="Y1708" s="95" t="s">
        <v>9723</v>
      </c>
      <c r="AC1708" s="95" t="s">
        <v>9724</v>
      </c>
      <c r="AI1708" s="95" t="s">
        <v>9725</v>
      </c>
      <c r="AP1708" s="95" t="s">
        <v>8541</v>
      </c>
      <c r="AQ1708" s="96" t="s">
        <v>9748</v>
      </c>
      <c r="AW1708" s="95">
        <v>45</v>
      </c>
      <c r="BC1708" s="96" t="s">
        <v>9734</v>
      </c>
      <c r="BD1708" s="99">
        <f t="shared" si="55"/>
        <v>0</v>
      </c>
      <c r="BJ1708" s="95" t="s">
        <v>9741</v>
      </c>
      <c r="BK1708" s="95" t="s">
        <v>8541</v>
      </c>
      <c r="CC1708" s="99"/>
      <c r="CV1708" s="99"/>
      <c r="CW1708" s="63"/>
    </row>
    <row r="1709" spans="1:101" x14ac:dyDescent="0.15">
      <c r="A1709" s="76">
        <v>1590</v>
      </c>
      <c r="B1709" s="74" t="s">
        <v>1198</v>
      </c>
      <c r="C1709" s="74">
        <v>1001428900</v>
      </c>
      <c r="D1709" s="78" t="str">
        <f t="shared" si="56"/>
        <v>https://portal.dnb.de/opac.htm?method=simpleSearch&amp;cqlMode=true&amp;query=idn%3D1001428900</v>
      </c>
      <c r="E1709" s="74" t="s">
        <v>1199</v>
      </c>
      <c r="F1709" s="74"/>
      <c r="G1709" s="76"/>
      <c r="H1709" s="77" t="s">
        <v>5</v>
      </c>
      <c r="I1709" s="76" t="s">
        <v>53</v>
      </c>
      <c r="J1709" s="77" t="s">
        <v>8516</v>
      </c>
      <c r="K1709" s="77" t="s">
        <v>8520</v>
      </c>
      <c r="L1709" s="76"/>
      <c r="M1709" s="76" t="s">
        <v>36</v>
      </c>
      <c r="N1709" s="76" t="s">
        <v>39</v>
      </c>
      <c r="O1709" s="76">
        <v>0</v>
      </c>
      <c r="P1709" s="76"/>
      <c r="Q1709" s="76"/>
      <c r="R1709" s="76"/>
      <c r="S1709" s="76"/>
      <c r="BD1709" s="99">
        <f t="shared" si="55"/>
        <v>0</v>
      </c>
      <c r="CC1709" s="99"/>
      <c r="CV1709" s="99"/>
      <c r="CW1709" s="63"/>
    </row>
    <row r="1710" spans="1:101" x14ac:dyDescent="0.15">
      <c r="A1710" s="76">
        <v>1591</v>
      </c>
      <c r="B1710" s="74" t="s">
        <v>1200</v>
      </c>
      <c r="C1710" s="74">
        <v>1000082156</v>
      </c>
      <c r="D1710" s="78" t="str">
        <f t="shared" si="56"/>
        <v>https://portal.dnb.de/opac.htm?method=simpleSearch&amp;cqlMode=true&amp;query=idn%3D1000082156</v>
      </c>
      <c r="E1710" s="74" t="s">
        <v>8998</v>
      </c>
      <c r="F1710" s="74"/>
      <c r="G1710" s="76"/>
      <c r="H1710" s="77"/>
      <c r="I1710" s="76"/>
      <c r="J1710" s="77"/>
      <c r="K1710" s="77"/>
      <c r="L1710" s="76"/>
      <c r="M1710" s="76"/>
      <c r="N1710" s="76"/>
      <c r="O1710" s="76"/>
      <c r="P1710" s="76"/>
      <c r="Q1710" s="76"/>
      <c r="R1710" s="76"/>
      <c r="S1710" s="76"/>
      <c r="BD1710" s="99">
        <f t="shared" si="55"/>
        <v>0</v>
      </c>
      <c r="CC1710" s="99"/>
      <c r="CV1710" s="99"/>
      <c r="CW1710" s="63"/>
    </row>
    <row r="1711" spans="1:101" x14ac:dyDescent="0.15">
      <c r="A1711" s="76">
        <v>1592</v>
      </c>
      <c r="B1711" s="74" t="s">
        <v>1201</v>
      </c>
      <c r="C1711" s="74">
        <v>1000082091</v>
      </c>
      <c r="D1711" s="78" t="str">
        <f t="shared" si="56"/>
        <v>https://portal.dnb.de/opac.htm?method=simpleSearch&amp;cqlMode=true&amp;query=idn%3D1000082091</v>
      </c>
      <c r="E1711" s="74" t="s">
        <v>8996</v>
      </c>
      <c r="F1711" s="74"/>
      <c r="G1711" s="76"/>
      <c r="H1711" s="77" t="s">
        <v>5</v>
      </c>
      <c r="I1711" s="76" t="s">
        <v>53</v>
      </c>
      <c r="J1711" s="77" t="s">
        <v>89</v>
      </c>
      <c r="K1711" s="77" t="s">
        <v>8520</v>
      </c>
      <c r="L1711" s="76"/>
      <c r="M1711" s="76" t="s">
        <v>36</v>
      </c>
      <c r="N1711" s="76" t="s">
        <v>39</v>
      </c>
      <c r="O1711" s="76">
        <v>0</v>
      </c>
      <c r="P1711" s="76"/>
      <c r="Q1711" s="76"/>
      <c r="R1711" s="76"/>
      <c r="S1711" s="76"/>
      <c r="BD1711" s="99">
        <f t="shared" si="55"/>
        <v>0</v>
      </c>
      <c r="CC1711" s="99"/>
      <c r="CV1711" s="99"/>
      <c r="CW1711" s="63"/>
    </row>
    <row r="1712" spans="1:101" x14ac:dyDescent="0.15">
      <c r="A1712" s="76">
        <v>1593</v>
      </c>
      <c r="B1712" s="74" t="s">
        <v>1202</v>
      </c>
      <c r="C1712" s="74">
        <v>1000081974</v>
      </c>
      <c r="D1712" s="82" t="str">
        <f>HYPERLINK(CONCATENATE("https://portal.dnb.de/opac.htm?method=simpleSearch&amp;cqlMode=true&amp;query=idn%3D",C1712))</f>
        <v>https://portal.dnb.de/opac.htm?method=simpleSearch&amp;cqlMode=true&amp;query=idn%3D1000081974</v>
      </c>
      <c r="E1712" s="74" t="s">
        <v>8997</v>
      </c>
      <c r="F1712" s="74"/>
      <c r="G1712" s="76"/>
      <c r="H1712" s="77" t="s">
        <v>5</v>
      </c>
      <c r="I1712" s="76" t="s">
        <v>53</v>
      </c>
      <c r="J1712" s="77" t="s">
        <v>89</v>
      </c>
      <c r="K1712" s="77" t="s">
        <v>8520</v>
      </c>
      <c r="L1712" s="76"/>
      <c r="M1712" s="76" t="s">
        <v>36</v>
      </c>
      <c r="N1712" s="76" t="s">
        <v>39</v>
      </c>
      <c r="O1712" s="76">
        <v>0</v>
      </c>
      <c r="P1712" s="76"/>
      <c r="Q1712" s="76"/>
      <c r="R1712" s="76"/>
      <c r="S1712" s="76"/>
      <c r="BD1712" s="99">
        <f t="shared" si="55"/>
        <v>0</v>
      </c>
      <c r="CC1712" s="99"/>
      <c r="CV1712" s="99"/>
      <c r="CW1712" s="63"/>
    </row>
    <row r="1713" spans="1:101" x14ac:dyDescent="0.15">
      <c r="A1713" s="76">
        <v>1594</v>
      </c>
      <c r="B1713" s="74" t="s">
        <v>1203</v>
      </c>
      <c r="C1713" s="74">
        <v>999817396</v>
      </c>
      <c r="D1713" s="82" t="str">
        <f>HYPERLINK(CONCATENATE("https://portal.dnb.de/opac.htm?method=simpleSearch&amp;cqlMode=true&amp;query=idn%3D",C1713))</f>
        <v>https://portal.dnb.de/opac.htm?method=simpleSearch&amp;cqlMode=true&amp;query=idn%3D999817396</v>
      </c>
      <c r="E1713" s="74" t="s">
        <v>1204</v>
      </c>
      <c r="F1713" s="74"/>
      <c r="G1713" s="76"/>
      <c r="H1713" s="77" t="s">
        <v>5</v>
      </c>
      <c r="I1713" s="76" t="s">
        <v>53</v>
      </c>
      <c r="J1713" s="77" t="s">
        <v>89</v>
      </c>
      <c r="K1713" s="77" t="s">
        <v>8520</v>
      </c>
      <c r="L1713" s="76"/>
      <c r="M1713" s="76" t="s">
        <v>38</v>
      </c>
      <c r="N1713" s="76" t="s">
        <v>40</v>
      </c>
      <c r="O1713" s="76">
        <v>0</v>
      </c>
      <c r="P1713" s="76"/>
      <c r="Q1713" s="76"/>
      <c r="R1713" s="76"/>
      <c r="S1713" s="76"/>
      <c r="BD1713" s="99">
        <f t="shared" si="55"/>
        <v>0</v>
      </c>
      <c r="CC1713" s="99"/>
      <c r="CV1713" s="99"/>
      <c r="CW1713" s="63"/>
    </row>
    <row r="1714" spans="1:101" ht="22.5" x14ac:dyDescent="0.15">
      <c r="A1714" s="76">
        <v>1595</v>
      </c>
      <c r="B1714" s="74" t="s">
        <v>1207</v>
      </c>
      <c r="C1714" s="74">
        <v>1002759706</v>
      </c>
      <c r="D1714" s="78" t="str">
        <f t="shared" si="56"/>
        <v>https://portal.dnb.de/opac.htm?method=simpleSearch&amp;cqlMode=true&amp;query=idn%3D1002759706</v>
      </c>
      <c r="E1714" s="74" t="s">
        <v>1208</v>
      </c>
      <c r="F1714" s="74"/>
      <c r="G1714" s="76" t="s">
        <v>8515</v>
      </c>
      <c r="H1714" s="77" t="s">
        <v>48</v>
      </c>
      <c r="I1714" s="76" t="s">
        <v>53</v>
      </c>
      <c r="J1714" s="77" t="s">
        <v>58</v>
      </c>
      <c r="K1714" s="77" t="s">
        <v>8564</v>
      </c>
      <c r="L1714" s="76"/>
      <c r="M1714" s="76"/>
      <c r="N1714" s="76" t="s">
        <v>8660</v>
      </c>
      <c r="O1714" s="76">
        <v>0</v>
      </c>
      <c r="P1714" s="76"/>
      <c r="Q1714" s="76"/>
      <c r="R1714" s="76"/>
      <c r="S1714" s="76"/>
      <c r="BD1714" s="99">
        <f t="shared" si="55"/>
        <v>0</v>
      </c>
      <c r="CC1714" s="99"/>
      <c r="CV1714" s="99"/>
      <c r="CW1714" s="63"/>
    </row>
    <row r="1715" spans="1:101" x14ac:dyDescent="0.15">
      <c r="A1715" s="76">
        <v>1596</v>
      </c>
      <c r="B1715" s="74" t="s">
        <v>1209</v>
      </c>
      <c r="C1715" s="74">
        <v>998465704</v>
      </c>
      <c r="D1715" s="78" t="str">
        <f t="shared" si="56"/>
        <v>https://portal.dnb.de/opac.htm?method=simpleSearch&amp;cqlMode=true&amp;query=idn%3D998465704</v>
      </c>
      <c r="E1715" s="74" t="s">
        <v>1210</v>
      </c>
      <c r="F1715" s="74"/>
      <c r="G1715" s="76"/>
      <c r="H1715" s="77"/>
      <c r="I1715" s="76"/>
      <c r="J1715" s="77"/>
      <c r="K1715" s="77"/>
      <c r="L1715" s="76"/>
      <c r="M1715" s="76"/>
      <c r="N1715" s="76"/>
      <c r="O1715" s="76"/>
      <c r="P1715" s="76"/>
      <c r="Q1715" s="76"/>
      <c r="R1715" s="76"/>
      <c r="S1715" s="76"/>
      <c r="BD1715" s="99">
        <f t="shared" si="55"/>
        <v>0</v>
      </c>
      <c r="CC1715" s="99"/>
      <c r="CV1715" s="99"/>
      <c r="CW1715" s="63"/>
    </row>
    <row r="1716" spans="1:101" x14ac:dyDescent="0.15">
      <c r="A1716" s="76">
        <v>1597</v>
      </c>
      <c r="B1716" s="74" t="s">
        <v>1211</v>
      </c>
      <c r="C1716" s="74">
        <v>15255263</v>
      </c>
      <c r="D1716" s="78" t="str">
        <f t="shared" si="56"/>
        <v>https://portal.dnb.de/opac.htm?method=simpleSearch&amp;cqlMode=true&amp;query=idn%3D15255263</v>
      </c>
      <c r="E1716" s="74" t="s">
        <v>1212</v>
      </c>
      <c r="F1716" s="74"/>
      <c r="G1716" s="76"/>
      <c r="H1716" s="77" t="s">
        <v>5</v>
      </c>
      <c r="I1716" s="76" t="s">
        <v>53</v>
      </c>
      <c r="J1716" s="77" t="s">
        <v>8516</v>
      </c>
      <c r="K1716" s="77" t="s">
        <v>8520</v>
      </c>
      <c r="L1716" s="76"/>
      <c r="M1716" s="76" t="s">
        <v>38</v>
      </c>
      <c r="N1716" s="76" t="s">
        <v>40</v>
      </c>
      <c r="O1716" s="76">
        <v>0</v>
      </c>
      <c r="P1716" s="76"/>
      <c r="Q1716" s="76"/>
      <c r="R1716" s="76"/>
      <c r="S1716" s="76"/>
      <c r="BD1716" s="99">
        <f t="shared" si="55"/>
        <v>0</v>
      </c>
      <c r="CC1716" s="99"/>
      <c r="CV1716" s="99"/>
      <c r="CW1716" s="63"/>
    </row>
    <row r="1717" spans="1:101" x14ac:dyDescent="0.15">
      <c r="A1717" s="76">
        <v>1598</v>
      </c>
      <c r="B1717" s="74" t="s">
        <v>1213</v>
      </c>
      <c r="C1717" s="74">
        <v>993914667</v>
      </c>
      <c r="D1717" s="82" t="str">
        <f>HYPERLINK(CONCATENATE("https://portal.dnb.de/opac.htm?method=simpleSearch&amp;cqlMode=true&amp;query=idn%3D",C1717))</f>
        <v>https://portal.dnb.de/opac.htm?method=simpleSearch&amp;cqlMode=true&amp;query=idn%3D993914667</v>
      </c>
      <c r="E1717" s="74" t="s">
        <v>10066</v>
      </c>
      <c r="F1717" s="74"/>
      <c r="G1717" s="76"/>
      <c r="H1717" s="77"/>
      <c r="I1717" s="76" t="s">
        <v>53</v>
      </c>
      <c r="J1717" s="77"/>
      <c r="K1717" s="77"/>
      <c r="L1717" s="76"/>
      <c r="M1717" s="76"/>
      <c r="N1717" s="76"/>
      <c r="O1717" s="76"/>
      <c r="P1717" s="76"/>
      <c r="Q1717" s="76"/>
      <c r="R1717" s="76"/>
      <c r="S1717" s="76"/>
      <c r="X1717" s="95" t="s">
        <v>8541</v>
      </c>
      <c r="Y1717" s="95" t="s">
        <v>9723</v>
      </c>
      <c r="AC1717" s="95" t="s">
        <v>9724</v>
      </c>
      <c r="AI1717" s="95" t="s">
        <v>9725</v>
      </c>
      <c r="AW1717" s="95">
        <v>60</v>
      </c>
      <c r="BC1717" s="96" t="s">
        <v>9734</v>
      </c>
      <c r="BD1717" s="99">
        <f t="shared" si="55"/>
        <v>0</v>
      </c>
      <c r="BL1717" s="70" t="s">
        <v>10015</v>
      </c>
      <c r="CC1717" s="99"/>
      <c r="CV1717" s="99"/>
      <c r="CW1717" s="63"/>
    </row>
    <row r="1718" spans="1:101" x14ac:dyDescent="0.15">
      <c r="A1718" s="76">
        <v>1599</v>
      </c>
      <c r="B1718" s="74" t="s">
        <v>1214</v>
      </c>
      <c r="C1718" s="74">
        <v>993907911</v>
      </c>
      <c r="D1718" s="78" t="str">
        <f t="shared" si="56"/>
        <v>https://portal.dnb.de/opac.htm?method=simpleSearch&amp;cqlMode=true&amp;query=idn%3D993907911</v>
      </c>
      <c r="E1718" s="74" t="s">
        <v>10065</v>
      </c>
      <c r="F1718" s="74"/>
      <c r="G1718" s="76"/>
      <c r="H1718" s="77" t="s">
        <v>5</v>
      </c>
      <c r="I1718" s="76"/>
      <c r="J1718" s="77" t="s">
        <v>8516</v>
      </c>
      <c r="K1718" s="77"/>
      <c r="L1718" s="76"/>
      <c r="M1718" s="76"/>
      <c r="N1718" s="76" t="s">
        <v>8660</v>
      </c>
      <c r="O1718" s="76">
        <v>2</v>
      </c>
      <c r="P1718" s="76"/>
      <c r="Q1718" s="76"/>
      <c r="R1718" s="76"/>
      <c r="S1718" s="76"/>
      <c r="BD1718" s="99">
        <f t="shared" si="55"/>
        <v>0</v>
      </c>
      <c r="CC1718" s="99"/>
      <c r="CV1718" s="99"/>
      <c r="CW1718" s="63"/>
    </row>
    <row r="1719" spans="1:101" ht="22.5" x14ac:dyDescent="0.15">
      <c r="A1719" s="76">
        <v>1600</v>
      </c>
      <c r="B1719" s="74" t="s">
        <v>1215</v>
      </c>
      <c r="C1719" s="74">
        <v>993907822</v>
      </c>
      <c r="D1719" s="78" t="str">
        <f t="shared" si="56"/>
        <v>https://portal.dnb.de/opac.htm?method=simpleSearch&amp;cqlMode=true&amp;query=idn%3D993907822</v>
      </c>
      <c r="E1719" s="74" t="s">
        <v>10067</v>
      </c>
      <c r="F1719" s="74"/>
      <c r="G1719" s="76"/>
      <c r="H1719" s="77" t="s">
        <v>18</v>
      </c>
      <c r="I1719" s="76" t="s">
        <v>53</v>
      </c>
      <c r="J1719" s="77" t="s">
        <v>58</v>
      </c>
      <c r="K1719" s="77" t="s">
        <v>84</v>
      </c>
      <c r="L1719" s="76"/>
      <c r="M1719" s="76"/>
      <c r="N1719" s="76"/>
      <c r="O1719" s="76">
        <v>1</v>
      </c>
      <c r="P1719" s="76"/>
      <c r="Q1719" s="76"/>
      <c r="R1719" s="76"/>
      <c r="S1719" s="76"/>
      <c r="X1719" s="95" t="s">
        <v>8541</v>
      </c>
      <c r="Y1719" s="95" t="s">
        <v>9725</v>
      </c>
      <c r="AC1719" s="95" t="s">
        <v>9739</v>
      </c>
      <c r="AI1719" s="95" t="s">
        <v>9725</v>
      </c>
      <c r="AW1719" s="95">
        <v>110</v>
      </c>
      <c r="BC1719" s="96" t="s">
        <v>9726</v>
      </c>
      <c r="BD1719" s="99">
        <f t="shared" si="55"/>
        <v>0.5</v>
      </c>
      <c r="BP1719" s="69" t="s">
        <v>8541</v>
      </c>
      <c r="BR1719" s="95" t="s">
        <v>8541</v>
      </c>
      <c r="CC1719" s="99">
        <v>0.5</v>
      </c>
      <c r="CD1719" s="90" t="s">
        <v>10068</v>
      </c>
      <c r="CV1719" s="99"/>
      <c r="CW1719" s="63"/>
    </row>
    <row r="1720" spans="1:101" x14ac:dyDescent="0.15">
      <c r="A1720" s="76">
        <v>1601</v>
      </c>
      <c r="B1720" s="74" t="s">
        <v>1216</v>
      </c>
      <c r="C1720" s="74">
        <v>993914691</v>
      </c>
      <c r="D1720" s="78" t="str">
        <f t="shared" si="56"/>
        <v>https://portal.dnb.de/opac.htm?method=simpleSearch&amp;cqlMode=true&amp;query=idn%3D993914691</v>
      </c>
      <c r="E1720" s="74" t="s">
        <v>10065</v>
      </c>
      <c r="F1720" s="74"/>
      <c r="G1720" s="76"/>
      <c r="H1720" s="77"/>
      <c r="I1720" s="76"/>
      <c r="J1720" s="77"/>
      <c r="K1720" s="77"/>
      <c r="L1720" s="76"/>
      <c r="M1720" s="76"/>
      <c r="N1720" s="76"/>
      <c r="O1720" s="76"/>
      <c r="P1720" s="76"/>
      <c r="Q1720" s="76"/>
      <c r="R1720" s="76"/>
      <c r="S1720" s="76"/>
      <c r="BD1720" s="99">
        <f t="shared" si="55"/>
        <v>0</v>
      </c>
      <c r="CC1720" s="99"/>
      <c r="CV1720" s="99"/>
      <c r="CW1720" s="63"/>
    </row>
    <row r="1721" spans="1:101" x14ac:dyDescent="0.15">
      <c r="A1721" s="76">
        <v>1602</v>
      </c>
      <c r="B1721" s="74" t="s">
        <v>1217</v>
      </c>
      <c r="C1721" s="74">
        <v>998423149</v>
      </c>
      <c r="D1721" s="78" t="str">
        <f t="shared" si="56"/>
        <v>https://portal.dnb.de/opac.htm?method=simpleSearch&amp;cqlMode=true&amp;query=idn%3D998423149</v>
      </c>
      <c r="E1721" s="74" t="s">
        <v>1218</v>
      </c>
      <c r="F1721" s="74"/>
      <c r="G1721" s="76"/>
      <c r="H1721" s="77" t="s">
        <v>48</v>
      </c>
      <c r="I1721" s="76" t="s">
        <v>53</v>
      </c>
      <c r="J1721" s="77" t="s">
        <v>8516</v>
      </c>
      <c r="K1721" s="77" t="s">
        <v>84</v>
      </c>
      <c r="L1721" s="76"/>
      <c r="M1721" s="76" t="s">
        <v>36</v>
      </c>
      <c r="N1721" s="76" t="s">
        <v>39</v>
      </c>
      <c r="O1721" s="76">
        <v>0</v>
      </c>
      <c r="P1721" s="76"/>
      <c r="Q1721" s="76"/>
      <c r="R1721" s="76"/>
      <c r="S1721" s="76"/>
      <c r="BD1721" s="99">
        <f t="shared" si="55"/>
        <v>0</v>
      </c>
      <c r="CC1721" s="99"/>
      <c r="CV1721" s="99"/>
      <c r="CW1721" s="63"/>
    </row>
    <row r="1722" spans="1:101" x14ac:dyDescent="0.15">
      <c r="A1722" s="76">
        <v>1603</v>
      </c>
      <c r="B1722" s="74" t="s">
        <v>1193</v>
      </c>
      <c r="C1722" s="74">
        <v>994454694</v>
      </c>
      <c r="D1722" s="78" t="str">
        <f t="shared" si="56"/>
        <v>https://portal.dnb.de/opac.htm?method=simpleSearch&amp;cqlMode=true&amp;query=idn%3D994454694</v>
      </c>
      <c r="E1722" s="74" t="s">
        <v>1194</v>
      </c>
      <c r="F1722" s="74"/>
      <c r="G1722" s="76"/>
      <c r="H1722" s="77" t="s">
        <v>4</v>
      </c>
      <c r="I1722" s="76" t="s">
        <v>54</v>
      </c>
      <c r="J1722" s="77" t="s">
        <v>58</v>
      </c>
      <c r="K1722" s="77" t="s">
        <v>8520</v>
      </c>
      <c r="L1722" s="76"/>
      <c r="M1722" s="76"/>
      <c r="N1722" s="76" t="s">
        <v>8660</v>
      </c>
      <c r="O1722" s="76">
        <v>1</v>
      </c>
      <c r="P1722" s="76"/>
      <c r="Q1722" s="76"/>
      <c r="R1722" s="76"/>
      <c r="S1722" s="76"/>
      <c r="BD1722" s="99">
        <f t="shared" si="55"/>
        <v>0</v>
      </c>
      <c r="CC1722" s="99"/>
      <c r="CV1722" s="99"/>
      <c r="CW1722" s="63"/>
    </row>
    <row r="1723" spans="1:101" x14ac:dyDescent="0.15">
      <c r="A1723" s="76">
        <v>1604</v>
      </c>
      <c r="B1723" s="74" t="s">
        <v>1195</v>
      </c>
      <c r="C1723" s="74" t="s">
        <v>1196</v>
      </c>
      <c r="D1723" s="82" t="str">
        <f>HYPERLINK(CONCATENATE("https://portal.dnb.de/opac.htm?method=simpleSearch&amp;cqlMode=true&amp;query=idn%3D",C1723))</f>
        <v>https://portal.dnb.de/opac.htm?method=simpleSearch&amp;cqlMode=true&amp;query=idn%3D99445547X</v>
      </c>
      <c r="E1723" s="74" t="s">
        <v>1197</v>
      </c>
      <c r="F1723" s="74"/>
      <c r="G1723" s="76"/>
      <c r="H1723" s="77" t="s">
        <v>48</v>
      </c>
      <c r="I1723" s="76" t="s">
        <v>54</v>
      </c>
      <c r="J1723" s="77" t="s">
        <v>58</v>
      </c>
      <c r="K1723" s="77" t="s">
        <v>8520</v>
      </c>
      <c r="L1723" s="76"/>
      <c r="M1723" s="76" t="s">
        <v>32</v>
      </c>
      <c r="N1723" s="76" t="s">
        <v>40</v>
      </c>
      <c r="O1723" s="76">
        <v>0</v>
      </c>
      <c r="P1723" s="76"/>
      <c r="Q1723" s="76"/>
      <c r="R1723" s="76"/>
      <c r="S1723" s="76"/>
      <c r="BD1723" s="99">
        <f t="shared" si="55"/>
        <v>0</v>
      </c>
      <c r="CC1723" s="99"/>
      <c r="CV1723" s="99"/>
      <c r="CW1723" s="63"/>
    </row>
    <row r="1724" spans="1:101" x14ac:dyDescent="0.15">
      <c r="A1724" s="76">
        <v>1605</v>
      </c>
      <c r="B1724" s="74" t="s">
        <v>1235</v>
      </c>
      <c r="C1724" s="74">
        <v>994842589</v>
      </c>
      <c r="D1724" s="78" t="str">
        <f t="shared" si="56"/>
        <v>https://portal.dnb.de/opac.htm?method=simpleSearch&amp;cqlMode=true&amp;query=idn%3D994842589</v>
      </c>
      <c r="E1724" s="74" t="s">
        <v>1236</v>
      </c>
      <c r="F1724" s="74"/>
      <c r="G1724" s="76"/>
      <c r="H1724" s="77"/>
      <c r="I1724" s="76"/>
      <c r="J1724" s="77"/>
      <c r="K1724" s="77"/>
      <c r="L1724" s="76"/>
      <c r="M1724" s="76"/>
      <c r="N1724" s="76"/>
      <c r="O1724" s="76"/>
      <c r="P1724" s="76"/>
      <c r="Q1724" s="76"/>
      <c r="R1724" s="76"/>
      <c r="S1724" s="76"/>
      <c r="BD1724" s="99">
        <f t="shared" si="55"/>
        <v>0</v>
      </c>
      <c r="CC1724" s="99"/>
      <c r="CV1724" s="99"/>
      <c r="CW1724" s="63"/>
    </row>
    <row r="1725" spans="1:101" x14ac:dyDescent="0.15">
      <c r="A1725" s="76">
        <v>1606</v>
      </c>
      <c r="B1725" s="74" t="s">
        <v>1237</v>
      </c>
      <c r="C1725" s="74">
        <v>994842651</v>
      </c>
      <c r="D1725" s="78" t="str">
        <f t="shared" si="56"/>
        <v>https://portal.dnb.de/opac.htm?method=simpleSearch&amp;cqlMode=true&amp;query=idn%3D994842651</v>
      </c>
      <c r="E1725" s="74" t="s">
        <v>1236</v>
      </c>
      <c r="F1725" s="74"/>
      <c r="G1725" s="76"/>
      <c r="H1725" s="77"/>
      <c r="I1725" s="76"/>
      <c r="J1725" s="77"/>
      <c r="K1725" s="77"/>
      <c r="L1725" s="76"/>
      <c r="M1725" s="76"/>
      <c r="N1725" s="76"/>
      <c r="O1725" s="76"/>
      <c r="P1725" s="76"/>
      <c r="Q1725" s="76"/>
      <c r="R1725" s="76"/>
      <c r="S1725" s="76"/>
      <c r="BD1725" s="99">
        <f t="shared" si="55"/>
        <v>0</v>
      </c>
      <c r="CC1725" s="99"/>
      <c r="CV1725" s="99"/>
      <c r="CW1725" s="63"/>
    </row>
    <row r="1726" spans="1:101" x14ac:dyDescent="0.15">
      <c r="A1726" s="76">
        <v>1607</v>
      </c>
      <c r="B1726" s="74" t="s">
        <v>1238</v>
      </c>
      <c r="C1726" s="74">
        <v>994842694</v>
      </c>
      <c r="D1726" s="78" t="str">
        <f t="shared" si="56"/>
        <v>https://portal.dnb.de/opac.htm?method=simpleSearch&amp;cqlMode=true&amp;query=idn%3D994842694</v>
      </c>
      <c r="E1726" s="74" t="s">
        <v>1236</v>
      </c>
      <c r="F1726" s="74"/>
      <c r="G1726" s="76"/>
      <c r="H1726" s="77"/>
      <c r="I1726" s="76"/>
      <c r="J1726" s="77"/>
      <c r="K1726" s="77"/>
      <c r="L1726" s="76"/>
      <c r="M1726" s="76"/>
      <c r="N1726" s="76"/>
      <c r="O1726" s="76"/>
      <c r="P1726" s="76"/>
      <c r="Q1726" s="76"/>
      <c r="R1726" s="76"/>
      <c r="S1726" s="76"/>
      <c r="BD1726" s="99">
        <f t="shared" si="55"/>
        <v>0</v>
      </c>
      <c r="CC1726" s="99"/>
      <c r="CV1726" s="99"/>
      <c r="CW1726" s="63"/>
    </row>
    <row r="1727" spans="1:101" x14ac:dyDescent="0.15">
      <c r="A1727" s="76">
        <v>1608</v>
      </c>
      <c r="B1727" s="74" t="s">
        <v>1239</v>
      </c>
      <c r="C1727" s="74">
        <v>994842538</v>
      </c>
      <c r="D1727" s="78" t="str">
        <f t="shared" si="56"/>
        <v>https://portal.dnb.de/opac.htm?method=simpleSearch&amp;cqlMode=true&amp;query=idn%3D994842538</v>
      </c>
      <c r="E1727" s="74" t="s">
        <v>1236</v>
      </c>
      <c r="F1727" s="74"/>
      <c r="G1727" s="76"/>
      <c r="H1727" s="77"/>
      <c r="I1727" s="76"/>
      <c r="J1727" s="77"/>
      <c r="K1727" s="77"/>
      <c r="L1727" s="76"/>
      <c r="M1727" s="76"/>
      <c r="N1727" s="76"/>
      <c r="O1727" s="76"/>
      <c r="P1727" s="76"/>
      <c r="Q1727" s="76"/>
      <c r="R1727" s="76"/>
      <c r="S1727" s="76"/>
      <c r="BD1727" s="99">
        <f t="shared" si="55"/>
        <v>0</v>
      </c>
      <c r="CC1727" s="99"/>
      <c r="CV1727" s="99"/>
      <c r="CW1727" s="63"/>
    </row>
    <row r="1728" spans="1:101" x14ac:dyDescent="0.15">
      <c r="A1728" s="76">
        <v>1609</v>
      </c>
      <c r="B1728" s="74" t="s">
        <v>1240</v>
      </c>
      <c r="C1728" s="74">
        <v>994842422</v>
      </c>
      <c r="D1728" s="78" t="str">
        <f t="shared" si="56"/>
        <v>https://portal.dnb.de/opac.htm?method=simpleSearch&amp;cqlMode=true&amp;query=idn%3D994842422</v>
      </c>
      <c r="E1728" s="74" t="s">
        <v>1236</v>
      </c>
      <c r="F1728" s="74"/>
      <c r="G1728" s="76"/>
      <c r="H1728" s="77"/>
      <c r="I1728" s="76"/>
      <c r="J1728" s="77"/>
      <c r="K1728" s="77"/>
      <c r="L1728" s="76"/>
      <c r="M1728" s="76"/>
      <c r="N1728" s="76"/>
      <c r="O1728" s="76"/>
      <c r="P1728" s="76"/>
      <c r="Q1728" s="76"/>
      <c r="R1728" s="76"/>
      <c r="S1728" s="76"/>
      <c r="BD1728" s="99">
        <f t="shared" si="55"/>
        <v>0</v>
      </c>
      <c r="CC1728" s="99"/>
      <c r="CV1728" s="99"/>
      <c r="CW1728" s="63"/>
    </row>
    <row r="1729" spans="1:101" x14ac:dyDescent="0.15">
      <c r="A1729" s="76">
        <v>1610</v>
      </c>
      <c r="B1729" s="74" t="s">
        <v>1241</v>
      </c>
      <c r="C1729" s="74">
        <v>994842449</v>
      </c>
      <c r="D1729" s="78" t="str">
        <f t="shared" si="56"/>
        <v>https://portal.dnb.de/opac.htm?method=simpleSearch&amp;cqlMode=true&amp;query=idn%3D994842449</v>
      </c>
      <c r="E1729" s="74" t="s">
        <v>1236</v>
      </c>
      <c r="F1729" s="74"/>
      <c r="G1729" s="76"/>
      <c r="H1729" s="77"/>
      <c r="I1729" s="76"/>
      <c r="J1729" s="77"/>
      <c r="K1729" s="77"/>
      <c r="L1729" s="76"/>
      <c r="M1729" s="76"/>
      <c r="N1729" s="76"/>
      <c r="O1729" s="76"/>
      <c r="P1729" s="76"/>
      <c r="Q1729" s="76"/>
      <c r="R1729" s="76"/>
      <c r="S1729" s="76"/>
      <c r="BD1729" s="99">
        <f t="shared" si="55"/>
        <v>0</v>
      </c>
      <c r="CC1729" s="99"/>
      <c r="CV1729" s="99"/>
      <c r="CW1729" s="63"/>
    </row>
    <row r="1730" spans="1:101" x14ac:dyDescent="0.15">
      <c r="A1730" s="76">
        <v>1611</v>
      </c>
      <c r="B1730" s="74" t="s">
        <v>1242</v>
      </c>
      <c r="C1730" s="74">
        <v>994842732</v>
      </c>
      <c r="D1730" s="78" t="str">
        <f t="shared" si="56"/>
        <v>https://portal.dnb.de/opac.htm?method=simpleSearch&amp;cqlMode=true&amp;query=idn%3D994842732</v>
      </c>
      <c r="E1730" s="74" t="s">
        <v>1236</v>
      </c>
      <c r="F1730" s="74"/>
      <c r="G1730" s="76"/>
      <c r="H1730" s="77"/>
      <c r="I1730" s="76"/>
      <c r="J1730" s="77"/>
      <c r="K1730" s="77"/>
      <c r="L1730" s="76"/>
      <c r="M1730" s="76"/>
      <c r="N1730" s="76"/>
      <c r="O1730" s="76"/>
      <c r="P1730" s="76"/>
      <c r="Q1730" s="76"/>
      <c r="R1730" s="76"/>
      <c r="S1730" s="76"/>
      <c r="BD1730" s="99">
        <f t="shared" si="55"/>
        <v>0</v>
      </c>
      <c r="CC1730" s="99"/>
      <c r="CV1730" s="99"/>
      <c r="CW1730" s="63"/>
    </row>
    <row r="1731" spans="1:101" x14ac:dyDescent="0.15">
      <c r="A1731" s="76">
        <v>1612</v>
      </c>
      <c r="B1731" s="74" t="s">
        <v>1258</v>
      </c>
      <c r="C1731" s="74">
        <v>1066964092</v>
      </c>
      <c r="D1731" s="78" t="str">
        <f t="shared" si="56"/>
        <v>https://portal.dnb.de/opac.htm?method=simpleSearch&amp;cqlMode=true&amp;query=idn%3D1066964092</v>
      </c>
      <c r="E1731" s="74" t="s">
        <v>1259</v>
      </c>
      <c r="F1731" s="74"/>
      <c r="G1731" s="76" t="s">
        <v>8515</v>
      </c>
      <c r="H1731" s="77" t="s">
        <v>6</v>
      </c>
      <c r="I1731" s="76" t="s">
        <v>53</v>
      </c>
      <c r="J1731" s="77" t="s">
        <v>8516</v>
      </c>
      <c r="K1731" s="77" t="s">
        <v>8520</v>
      </c>
      <c r="L1731" s="76"/>
      <c r="M1731" s="76"/>
      <c r="N1731" s="76"/>
      <c r="O1731" s="76">
        <v>0</v>
      </c>
      <c r="P1731" s="76"/>
      <c r="Q1731" s="76"/>
      <c r="R1731" s="76"/>
      <c r="S1731" s="76"/>
      <c r="BD1731" s="99">
        <f t="shared" ref="BD1731:BD1794" si="57">CC1731+CV1731</f>
        <v>0</v>
      </c>
      <c r="CC1731" s="99"/>
      <c r="CV1731" s="99"/>
      <c r="CW1731" s="63"/>
    </row>
    <row r="1732" spans="1:101" ht="33.75" x14ac:dyDescent="0.15">
      <c r="A1732" s="76">
        <v>1613</v>
      </c>
      <c r="B1732" s="74" t="s">
        <v>1260</v>
      </c>
      <c r="C1732" s="74" t="s">
        <v>1261</v>
      </c>
      <c r="D1732" s="78" t="str">
        <f t="shared" si="56"/>
        <v>https://portal.dnb.de/opac.htm?method=simpleSearch&amp;cqlMode=true&amp;query=idn%3D106693343X</v>
      </c>
      <c r="E1732" s="74" t="s">
        <v>1262</v>
      </c>
      <c r="F1732" s="74"/>
      <c r="G1732" s="76" t="s">
        <v>8515</v>
      </c>
      <c r="H1732" s="77" t="s">
        <v>8546</v>
      </c>
      <c r="I1732" s="76" t="s">
        <v>53</v>
      </c>
      <c r="J1732" s="77" t="s">
        <v>8516</v>
      </c>
      <c r="K1732" s="77" t="s">
        <v>84</v>
      </c>
      <c r="L1732" s="76"/>
      <c r="M1732" s="76" t="s">
        <v>37</v>
      </c>
      <c r="N1732" s="76" t="s">
        <v>8695</v>
      </c>
      <c r="O1732" s="76">
        <v>0</v>
      </c>
      <c r="P1732" s="76"/>
      <c r="Q1732" s="76"/>
      <c r="R1732" s="76"/>
      <c r="S1732" s="76"/>
      <c r="BD1732" s="99">
        <f t="shared" si="57"/>
        <v>0</v>
      </c>
      <c r="CC1732" s="99"/>
      <c r="CV1732" s="99"/>
      <c r="CW1732" s="63"/>
    </row>
    <row r="1733" spans="1:101" ht="22.5" x14ac:dyDescent="0.15">
      <c r="A1733" s="76">
        <v>1614</v>
      </c>
      <c r="B1733" s="74" t="s">
        <v>1263</v>
      </c>
      <c r="C1733" s="74">
        <v>997596228</v>
      </c>
      <c r="D1733" s="78" t="str">
        <f t="shared" si="56"/>
        <v>https://portal.dnb.de/opac.htm?method=simpleSearch&amp;cqlMode=true&amp;query=idn%3D997596228</v>
      </c>
      <c r="E1733" s="74" t="s">
        <v>1264</v>
      </c>
      <c r="F1733" s="74"/>
      <c r="G1733" s="76"/>
      <c r="H1733" s="77" t="s">
        <v>18</v>
      </c>
      <c r="I1733" s="76" t="s">
        <v>53</v>
      </c>
      <c r="J1733" s="77" t="s">
        <v>58</v>
      </c>
      <c r="K1733" s="77" t="s">
        <v>8565</v>
      </c>
      <c r="L1733" s="76"/>
      <c r="M1733" s="76"/>
      <c r="N1733" s="76"/>
      <c r="O1733" s="76">
        <v>0</v>
      </c>
      <c r="P1733" s="76"/>
      <c r="Q1733" s="76"/>
      <c r="R1733" s="76"/>
      <c r="S1733" s="76"/>
      <c r="BD1733" s="99">
        <f t="shared" si="57"/>
        <v>0</v>
      </c>
      <c r="CC1733" s="99"/>
      <c r="CV1733" s="99"/>
      <c r="CW1733" s="63"/>
    </row>
    <row r="1734" spans="1:101" x14ac:dyDescent="0.15">
      <c r="A1734" s="76">
        <v>1615</v>
      </c>
      <c r="B1734" s="74" t="s">
        <v>1368</v>
      </c>
      <c r="C1734" s="74">
        <v>999617745</v>
      </c>
      <c r="D1734" s="78" t="str">
        <f t="shared" si="56"/>
        <v>https://portal.dnb.de/opac.htm?method=simpleSearch&amp;cqlMode=true&amp;query=idn%3D999617745</v>
      </c>
      <c r="E1734" s="74" t="s">
        <v>1369</v>
      </c>
      <c r="F1734" s="74"/>
      <c r="G1734" s="76"/>
      <c r="H1734" s="77"/>
      <c r="I1734" s="76"/>
      <c r="J1734" s="77"/>
      <c r="K1734" s="77"/>
      <c r="L1734" s="76"/>
      <c r="M1734" s="76"/>
      <c r="N1734" s="76"/>
      <c r="O1734" s="76"/>
      <c r="P1734" s="76"/>
      <c r="Q1734" s="76"/>
      <c r="R1734" s="76"/>
      <c r="S1734" s="76"/>
      <c r="BD1734" s="99">
        <f t="shared" si="57"/>
        <v>0</v>
      </c>
      <c r="CC1734" s="99"/>
      <c r="CV1734" s="99"/>
      <c r="CW1734" s="63"/>
    </row>
    <row r="1735" spans="1:101" x14ac:dyDescent="0.15">
      <c r="A1735" s="76">
        <v>1616</v>
      </c>
      <c r="B1735" s="74" t="s">
        <v>1386</v>
      </c>
      <c r="C1735" s="74">
        <v>1000382354</v>
      </c>
      <c r="D1735" s="78" t="str">
        <f t="shared" si="56"/>
        <v>https://portal.dnb.de/opac.htm?method=simpleSearch&amp;cqlMode=true&amp;query=idn%3D1000382354</v>
      </c>
      <c r="E1735" s="74" t="s">
        <v>1387</v>
      </c>
      <c r="F1735" s="74"/>
      <c r="G1735" s="76"/>
      <c r="H1735" s="77"/>
      <c r="I1735" s="76"/>
      <c r="J1735" s="77"/>
      <c r="K1735" s="77"/>
      <c r="L1735" s="76"/>
      <c r="M1735" s="76"/>
      <c r="N1735" s="76"/>
      <c r="O1735" s="76"/>
      <c r="P1735" s="76"/>
      <c r="Q1735" s="76"/>
      <c r="R1735" s="76"/>
      <c r="S1735" s="76"/>
      <c r="BD1735" s="99">
        <f t="shared" si="57"/>
        <v>0</v>
      </c>
      <c r="CC1735" s="99"/>
      <c r="CV1735" s="99"/>
      <c r="CW1735" s="63"/>
    </row>
    <row r="1736" spans="1:101" ht="22.5" x14ac:dyDescent="0.15">
      <c r="A1736" s="76">
        <v>1617</v>
      </c>
      <c r="B1736" s="74" t="s">
        <v>1388</v>
      </c>
      <c r="C1736" s="74">
        <v>1000382273</v>
      </c>
      <c r="D1736" s="78" t="str">
        <f t="shared" si="56"/>
        <v>https://portal.dnb.de/opac.htm?method=simpleSearch&amp;cqlMode=true&amp;query=idn%3D1000382273</v>
      </c>
      <c r="E1736" s="74" t="s">
        <v>1387</v>
      </c>
      <c r="F1736" s="74"/>
      <c r="G1736" s="76"/>
      <c r="H1736" s="77" t="s">
        <v>48</v>
      </c>
      <c r="I1736" s="76" t="s">
        <v>53</v>
      </c>
      <c r="J1736" s="77" t="s">
        <v>8516</v>
      </c>
      <c r="K1736" s="77" t="s">
        <v>8518</v>
      </c>
      <c r="L1736" s="76"/>
      <c r="M1736" s="76"/>
      <c r="N1736" s="76"/>
      <c r="O1736" s="76">
        <v>0</v>
      </c>
      <c r="P1736" s="76"/>
      <c r="Q1736" s="76"/>
      <c r="R1736" s="76"/>
      <c r="S1736" s="76"/>
      <c r="BD1736" s="99">
        <f t="shared" si="57"/>
        <v>0</v>
      </c>
      <c r="CC1736" s="99"/>
      <c r="CV1736" s="99"/>
      <c r="CW1736" s="63"/>
    </row>
    <row r="1737" spans="1:101" x14ac:dyDescent="0.15">
      <c r="A1737" s="76">
        <v>1618</v>
      </c>
      <c r="B1737" s="74" t="s">
        <v>1265</v>
      </c>
      <c r="C1737" s="74">
        <v>1066940940</v>
      </c>
      <c r="D1737" s="78" t="str">
        <f t="shared" si="56"/>
        <v>https://portal.dnb.de/opac.htm?method=simpleSearch&amp;cqlMode=true&amp;query=idn%3D1066940940</v>
      </c>
      <c r="E1737" s="74" t="s">
        <v>1266</v>
      </c>
      <c r="F1737" s="74"/>
      <c r="G1737" s="76" t="s">
        <v>8515</v>
      </c>
      <c r="H1737" s="77" t="s">
        <v>6</v>
      </c>
      <c r="I1737" s="76" t="s">
        <v>53</v>
      </c>
      <c r="J1737" s="77" t="s">
        <v>58</v>
      </c>
      <c r="K1737" s="77" t="s">
        <v>84</v>
      </c>
      <c r="L1737" s="76"/>
      <c r="M1737" s="76"/>
      <c r="N1737" s="76"/>
      <c r="O1737" s="76">
        <v>1</v>
      </c>
      <c r="P1737" s="76"/>
      <c r="Q1737" s="76"/>
      <c r="R1737" s="76"/>
      <c r="S1737" s="76"/>
      <c r="BD1737" s="99">
        <f t="shared" si="57"/>
        <v>0</v>
      </c>
      <c r="CC1737" s="99"/>
      <c r="CV1737" s="99"/>
      <c r="CW1737" s="63"/>
    </row>
    <row r="1738" spans="1:101" x14ac:dyDescent="0.15">
      <c r="A1738" s="76">
        <v>1619</v>
      </c>
      <c r="B1738" s="74" t="s">
        <v>1311</v>
      </c>
      <c r="C1738" s="74" t="s">
        <v>1312</v>
      </c>
      <c r="D1738" s="78" t="str">
        <f t="shared" si="56"/>
        <v>https://portal.dnb.de/opac.htm?method=simpleSearch&amp;cqlMode=true&amp;query=idn%3D106693388X</v>
      </c>
      <c r="E1738" s="74" t="s">
        <v>1313</v>
      </c>
      <c r="F1738" s="74"/>
      <c r="G1738" s="76" t="s">
        <v>8515</v>
      </c>
      <c r="H1738" s="77" t="s">
        <v>49</v>
      </c>
      <c r="I1738" s="76" t="s">
        <v>53</v>
      </c>
      <c r="J1738" s="77" t="s">
        <v>8516</v>
      </c>
      <c r="K1738" s="77" t="s">
        <v>84</v>
      </c>
      <c r="L1738" s="76"/>
      <c r="M1738" s="76"/>
      <c r="N1738" s="76"/>
      <c r="O1738" s="76">
        <v>0</v>
      </c>
      <c r="P1738" s="76"/>
      <c r="Q1738" s="76"/>
      <c r="R1738" s="76"/>
      <c r="S1738" s="76"/>
      <c r="BD1738" s="99">
        <f t="shared" si="57"/>
        <v>0</v>
      </c>
      <c r="CC1738" s="99"/>
      <c r="CV1738" s="99"/>
      <c r="CW1738" s="63"/>
    </row>
    <row r="1739" spans="1:101" x14ac:dyDescent="0.15">
      <c r="A1739" s="76">
        <v>1620</v>
      </c>
      <c r="B1739" s="74" t="s">
        <v>1346</v>
      </c>
      <c r="C1739" s="74">
        <v>1066938466</v>
      </c>
      <c r="D1739" s="78" t="str">
        <f t="shared" si="56"/>
        <v>https://portal.dnb.de/opac.htm?method=simpleSearch&amp;cqlMode=true&amp;query=idn%3D1066938466</v>
      </c>
      <c r="E1739" s="74" t="s">
        <v>1347</v>
      </c>
      <c r="F1739" s="74"/>
      <c r="G1739" s="76" t="s">
        <v>8515</v>
      </c>
      <c r="H1739" s="77" t="s">
        <v>49</v>
      </c>
      <c r="I1739" s="76" t="s">
        <v>53</v>
      </c>
      <c r="J1739" s="77" t="s">
        <v>8516</v>
      </c>
      <c r="K1739" s="77" t="s">
        <v>84</v>
      </c>
      <c r="L1739" s="76"/>
      <c r="M1739" s="76"/>
      <c r="N1739" s="76"/>
      <c r="O1739" s="76">
        <v>0</v>
      </c>
      <c r="P1739" s="76"/>
      <c r="Q1739" s="76"/>
      <c r="R1739" s="76"/>
      <c r="S1739" s="76"/>
      <c r="BD1739" s="99">
        <f t="shared" si="57"/>
        <v>0</v>
      </c>
      <c r="CC1739" s="99"/>
      <c r="CV1739" s="99"/>
      <c r="CW1739" s="63"/>
    </row>
    <row r="1740" spans="1:101" x14ac:dyDescent="0.15">
      <c r="A1740" s="76">
        <v>1621</v>
      </c>
      <c r="B1740" s="74" t="s">
        <v>1365</v>
      </c>
      <c r="C1740" s="74" t="s">
        <v>1366</v>
      </c>
      <c r="D1740" s="78" t="str">
        <f t="shared" si="56"/>
        <v>https://portal.dnb.de/opac.htm?method=simpleSearch&amp;cqlMode=true&amp;query=idn%3D106693844X</v>
      </c>
      <c r="E1740" s="74" t="s">
        <v>1367</v>
      </c>
      <c r="F1740" s="74"/>
      <c r="G1740" s="76" t="s">
        <v>8541</v>
      </c>
      <c r="H1740" s="77" t="s">
        <v>49</v>
      </c>
      <c r="I1740" s="76" t="s">
        <v>53</v>
      </c>
      <c r="J1740" s="77" t="s">
        <v>8516</v>
      </c>
      <c r="K1740" s="77" t="s">
        <v>84</v>
      </c>
      <c r="L1740" s="76"/>
      <c r="M1740" s="76"/>
      <c r="N1740" s="76"/>
      <c r="O1740" s="76">
        <v>1</v>
      </c>
      <c r="P1740" s="76"/>
      <c r="Q1740" s="76"/>
      <c r="R1740" s="76"/>
      <c r="S1740" s="76"/>
      <c r="BD1740" s="99">
        <f t="shared" si="57"/>
        <v>0</v>
      </c>
      <c r="CC1740" s="99"/>
      <c r="CV1740" s="99"/>
      <c r="CW1740" s="63"/>
    </row>
    <row r="1741" spans="1:101" ht="22.5" x14ac:dyDescent="0.15">
      <c r="A1741" s="76">
        <v>1622</v>
      </c>
      <c r="B1741" s="74" t="s">
        <v>1379</v>
      </c>
      <c r="C1741" s="74" t="s">
        <v>1380</v>
      </c>
      <c r="D1741" s="78" t="str">
        <f t="shared" si="56"/>
        <v>https://portal.dnb.de/opac.htm?method=simpleSearch&amp;cqlMode=true&amp;query=idn%3D106688031X</v>
      </c>
      <c r="E1741" s="74" t="s">
        <v>1381</v>
      </c>
      <c r="F1741" s="74"/>
      <c r="G1741" s="76"/>
      <c r="H1741" s="77" t="s">
        <v>48</v>
      </c>
      <c r="I1741" s="76" t="s">
        <v>53</v>
      </c>
      <c r="J1741" s="77" t="s">
        <v>8516</v>
      </c>
      <c r="K1741" s="77" t="s">
        <v>8518</v>
      </c>
      <c r="L1741" s="76"/>
      <c r="M1741" s="76"/>
      <c r="N1741" s="76"/>
      <c r="O1741" s="76">
        <v>0</v>
      </c>
      <c r="P1741" s="76"/>
      <c r="Q1741" s="76"/>
      <c r="R1741" s="76"/>
      <c r="S1741" s="76"/>
      <c r="BD1741" s="99">
        <f t="shared" si="57"/>
        <v>0</v>
      </c>
      <c r="CC1741" s="99"/>
      <c r="CV1741" s="99"/>
      <c r="CW1741" s="63"/>
    </row>
    <row r="1742" spans="1:101" x14ac:dyDescent="0.15">
      <c r="A1742" s="76">
        <v>1623</v>
      </c>
      <c r="B1742" s="74" t="s">
        <v>1384</v>
      </c>
      <c r="C1742" s="74">
        <v>1066754683</v>
      </c>
      <c r="D1742" s="78" t="str">
        <f t="shared" si="56"/>
        <v>https://portal.dnb.de/opac.htm?method=simpleSearch&amp;cqlMode=true&amp;query=idn%3D1066754683</v>
      </c>
      <c r="E1742" s="74" t="s">
        <v>1385</v>
      </c>
      <c r="F1742" s="74"/>
      <c r="G1742" s="76"/>
      <c r="H1742" s="77" t="s">
        <v>49</v>
      </c>
      <c r="I1742" s="76" t="s">
        <v>53</v>
      </c>
      <c r="J1742" s="77" t="s">
        <v>8516</v>
      </c>
      <c r="K1742" s="77" t="s">
        <v>84</v>
      </c>
      <c r="L1742" s="76"/>
      <c r="M1742" s="76"/>
      <c r="N1742" s="76"/>
      <c r="O1742" s="76">
        <v>0</v>
      </c>
      <c r="P1742" s="76"/>
      <c r="Q1742" s="76"/>
      <c r="R1742" s="76"/>
      <c r="S1742" s="76"/>
      <c r="BD1742" s="99">
        <f t="shared" si="57"/>
        <v>0</v>
      </c>
      <c r="CC1742" s="99"/>
      <c r="CV1742" s="99"/>
      <c r="CW1742" s="63"/>
    </row>
    <row r="1743" spans="1:101" x14ac:dyDescent="0.15">
      <c r="A1743" s="76">
        <v>1624</v>
      </c>
      <c r="B1743" s="74" t="s">
        <v>1393</v>
      </c>
      <c r="C1743" s="74">
        <v>1066799601</v>
      </c>
      <c r="D1743" s="78" t="str">
        <f t="shared" si="56"/>
        <v>https://portal.dnb.de/opac.htm?method=simpleSearch&amp;cqlMode=true&amp;query=idn%3D1066799601</v>
      </c>
      <c r="E1743" s="74" t="s">
        <v>1394</v>
      </c>
      <c r="F1743" s="74"/>
      <c r="G1743" s="76" t="s">
        <v>8541</v>
      </c>
      <c r="H1743" s="77" t="s">
        <v>49</v>
      </c>
      <c r="I1743" s="76" t="s">
        <v>53</v>
      </c>
      <c r="J1743" s="77" t="s">
        <v>8516</v>
      </c>
      <c r="K1743" s="77" t="s">
        <v>84</v>
      </c>
      <c r="L1743" s="76"/>
      <c r="M1743" s="76"/>
      <c r="N1743" s="76"/>
      <c r="O1743" s="76">
        <v>0</v>
      </c>
      <c r="P1743" s="76"/>
      <c r="Q1743" s="76"/>
      <c r="R1743" s="76"/>
      <c r="S1743" s="76"/>
      <c r="BD1743" s="99">
        <f t="shared" si="57"/>
        <v>0</v>
      </c>
      <c r="CC1743" s="99"/>
      <c r="CV1743" s="99"/>
      <c r="CW1743" s="63"/>
    </row>
    <row r="1744" spans="1:101" x14ac:dyDescent="0.15">
      <c r="A1744" s="76">
        <v>1625</v>
      </c>
      <c r="B1744" s="74" t="s">
        <v>1395</v>
      </c>
      <c r="C1744" s="74">
        <v>1066836833</v>
      </c>
      <c r="D1744" s="78" t="str">
        <f t="shared" si="56"/>
        <v>https://portal.dnb.de/opac.htm?method=simpleSearch&amp;cqlMode=true&amp;query=idn%3D1066836833</v>
      </c>
      <c r="E1744" s="74" t="s">
        <v>1396</v>
      </c>
      <c r="F1744" s="74"/>
      <c r="G1744" s="76"/>
      <c r="H1744" s="77" t="s">
        <v>4</v>
      </c>
      <c r="I1744" s="76" t="s">
        <v>55</v>
      </c>
      <c r="J1744" s="77" t="s">
        <v>58</v>
      </c>
      <c r="K1744" s="77" t="s">
        <v>84</v>
      </c>
      <c r="L1744" s="76"/>
      <c r="M1744" s="76"/>
      <c r="N1744" s="76"/>
      <c r="O1744" s="76"/>
      <c r="P1744" s="76"/>
      <c r="Q1744" s="76"/>
      <c r="R1744" s="76"/>
      <c r="S1744" s="76"/>
      <c r="BD1744" s="99">
        <f t="shared" si="57"/>
        <v>0</v>
      </c>
      <c r="CC1744" s="99"/>
      <c r="CV1744" s="99"/>
      <c r="CW1744" s="63"/>
    </row>
    <row r="1745" spans="1:101" x14ac:dyDescent="0.15">
      <c r="A1745" s="76">
        <v>1626</v>
      </c>
      <c r="B1745" s="74" t="s">
        <v>1397</v>
      </c>
      <c r="C1745" s="74">
        <v>993967000</v>
      </c>
      <c r="D1745" s="78" t="str">
        <f t="shared" si="56"/>
        <v>https://portal.dnb.de/opac.htm?method=simpleSearch&amp;cqlMode=true&amp;query=idn%3D993967000</v>
      </c>
      <c r="E1745" s="74" t="s">
        <v>1398</v>
      </c>
      <c r="F1745" s="74"/>
      <c r="G1745" s="76" t="s">
        <v>8515</v>
      </c>
      <c r="H1745" s="77" t="s">
        <v>51</v>
      </c>
      <c r="I1745" s="76" t="s">
        <v>53</v>
      </c>
      <c r="J1745" s="77" t="s">
        <v>8516</v>
      </c>
      <c r="K1745" s="77" t="s">
        <v>72</v>
      </c>
      <c r="L1745" s="76"/>
      <c r="M1745" s="76"/>
      <c r="N1745" s="76"/>
      <c r="O1745" s="76">
        <v>0</v>
      </c>
      <c r="P1745" s="76"/>
      <c r="Q1745" s="76"/>
      <c r="R1745" s="76"/>
      <c r="S1745" s="76"/>
      <c r="BD1745" s="99">
        <f t="shared" si="57"/>
        <v>0</v>
      </c>
      <c r="CC1745" s="99"/>
      <c r="CV1745" s="99"/>
      <c r="CW1745" s="63"/>
    </row>
    <row r="1746" spans="1:101" x14ac:dyDescent="0.15">
      <c r="A1746" s="76">
        <v>1627</v>
      </c>
      <c r="B1746" s="74" t="s">
        <v>1269</v>
      </c>
      <c r="C1746" s="74">
        <v>994397755</v>
      </c>
      <c r="D1746" s="78" t="str">
        <f t="shared" ref="D1746:D1811" si="58">HYPERLINK(CONCATENATE("https://portal.dnb.de/opac.htm?method=simpleSearch&amp;cqlMode=true&amp;query=idn%3D",C1746))</f>
        <v>https://portal.dnb.de/opac.htm?method=simpleSearch&amp;cqlMode=true&amp;query=idn%3D994397755</v>
      </c>
      <c r="E1746" s="74" t="s">
        <v>1270</v>
      </c>
      <c r="F1746" s="74"/>
      <c r="G1746" s="76"/>
      <c r="H1746" s="77"/>
      <c r="I1746" s="76"/>
      <c r="J1746" s="77"/>
      <c r="K1746" s="77"/>
      <c r="L1746" s="76"/>
      <c r="M1746" s="76"/>
      <c r="N1746" s="76"/>
      <c r="O1746" s="76"/>
      <c r="P1746" s="76"/>
      <c r="Q1746" s="76"/>
      <c r="R1746" s="76"/>
      <c r="S1746" s="76"/>
      <c r="BD1746" s="99">
        <f t="shared" si="57"/>
        <v>0</v>
      </c>
      <c r="CC1746" s="99"/>
      <c r="CV1746" s="99"/>
      <c r="CW1746" s="63"/>
    </row>
    <row r="1747" spans="1:101" x14ac:dyDescent="0.15">
      <c r="A1747" s="76">
        <v>1628</v>
      </c>
      <c r="B1747" s="74" t="s">
        <v>1271</v>
      </c>
      <c r="C1747" s="74">
        <v>994397704</v>
      </c>
      <c r="D1747" s="78" t="str">
        <f t="shared" si="58"/>
        <v>https://portal.dnb.de/opac.htm?method=simpleSearch&amp;cqlMode=true&amp;query=idn%3D994397704</v>
      </c>
      <c r="E1747" s="74" t="s">
        <v>1270</v>
      </c>
      <c r="F1747" s="74"/>
      <c r="G1747" s="76"/>
      <c r="H1747" s="77" t="s">
        <v>5</v>
      </c>
      <c r="I1747" s="76" t="s">
        <v>53</v>
      </c>
      <c r="J1747" s="77" t="s">
        <v>8516</v>
      </c>
      <c r="K1747" s="77" t="s">
        <v>84</v>
      </c>
      <c r="L1747" s="76"/>
      <c r="M1747" s="76"/>
      <c r="N1747" s="76"/>
      <c r="O1747" s="76">
        <v>0</v>
      </c>
      <c r="P1747" s="76"/>
      <c r="Q1747" s="76"/>
      <c r="R1747" s="76"/>
      <c r="S1747" s="76"/>
      <c r="BD1747" s="99">
        <f t="shared" si="57"/>
        <v>0</v>
      </c>
      <c r="CC1747" s="99"/>
      <c r="CV1747" s="99"/>
      <c r="CW1747" s="63"/>
    </row>
    <row r="1748" spans="1:101" ht="22.5" x14ac:dyDescent="0.15">
      <c r="A1748" s="76">
        <v>1629</v>
      </c>
      <c r="B1748" s="74" t="s">
        <v>1272</v>
      </c>
      <c r="C1748" s="74">
        <v>997410051</v>
      </c>
      <c r="D1748" s="78" t="str">
        <f t="shared" si="58"/>
        <v>https://portal.dnb.de/opac.htm?method=simpleSearch&amp;cqlMode=true&amp;query=idn%3D997410051</v>
      </c>
      <c r="E1748" s="74" t="s">
        <v>1273</v>
      </c>
      <c r="F1748" s="74"/>
      <c r="G1748" s="76" t="s">
        <v>8515</v>
      </c>
      <c r="H1748" s="77" t="s">
        <v>49</v>
      </c>
      <c r="I1748" s="76" t="s">
        <v>53</v>
      </c>
      <c r="J1748" s="77" t="s">
        <v>8516</v>
      </c>
      <c r="K1748" s="77" t="s">
        <v>8565</v>
      </c>
      <c r="L1748" s="76"/>
      <c r="M1748" s="76"/>
      <c r="N1748" s="76"/>
      <c r="O1748" s="76">
        <v>0</v>
      </c>
      <c r="P1748" s="76"/>
      <c r="Q1748" s="76"/>
      <c r="R1748" s="76"/>
      <c r="S1748" s="76"/>
      <c r="BD1748" s="99">
        <f t="shared" si="57"/>
        <v>0</v>
      </c>
      <c r="CC1748" s="99"/>
      <c r="CV1748" s="99"/>
      <c r="CW1748" s="63"/>
    </row>
    <row r="1749" spans="1:101" ht="22.5" x14ac:dyDescent="0.15">
      <c r="A1749" s="76">
        <v>1630</v>
      </c>
      <c r="B1749" s="74" t="s">
        <v>1274</v>
      </c>
      <c r="C1749" s="74">
        <v>994187556</v>
      </c>
      <c r="D1749" s="78" t="str">
        <f t="shared" si="58"/>
        <v>https://portal.dnb.de/opac.htm?method=simpleSearch&amp;cqlMode=true&amp;query=idn%3D994187556</v>
      </c>
      <c r="E1749" s="74" t="s">
        <v>1275</v>
      </c>
      <c r="F1749" s="74"/>
      <c r="G1749" s="76" t="s">
        <v>8541</v>
      </c>
      <c r="H1749" s="77" t="s">
        <v>8547</v>
      </c>
      <c r="I1749" s="76" t="s">
        <v>53</v>
      </c>
      <c r="J1749" s="77" t="s">
        <v>8516</v>
      </c>
      <c r="K1749" s="77" t="s">
        <v>8520</v>
      </c>
      <c r="L1749" s="76"/>
      <c r="M1749" s="76" t="s">
        <v>38</v>
      </c>
      <c r="N1749" s="76" t="s">
        <v>40</v>
      </c>
      <c r="O1749" s="76">
        <v>0</v>
      </c>
      <c r="P1749" s="76"/>
      <c r="Q1749" s="76"/>
      <c r="R1749" s="76" t="s">
        <v>9001</v>
      </c>
      <c r="S1749" s="76"/>
      <c r="BD1749" s="99">
        <f t="shared" si="57"/>
        <v>0</v>
      </c>
      <c r="CC1749" s="99"/>
      <c r="CV1749" s="99"/>
      <c r="CW1749" s="63"/>
    </row>
    <row r="1750" spans="1:101" x14ac:dyDescent="0.15">
      <c r="A1750" s="76">
        <v>1631</v>
      </c>
      <c r="B1750" s="74" t="s">
        <v>1276</v>
      </c>
      <c r="C1750" s="74">
        <v>994187580</v>
      </c>
      <c r="D1750" s="78" t="str">
        <f t="shared" si="58"/>
        <v>https://portal.dnb.de/opac.htm?method=simpleSearch&amp;cqlMode=true&amp;query=idn%3D994187580</v>
      </c>
      <c r="E1750" s="74" t="s">
        <v>1275</v>
      </c>
      <c r="F1750" s="74"/>
      <c r="G1750" s="76"/>
      <c r="H1750" s="77"/>
      <c r="I1750" s="76"/>
      <c r="J1750" s="77"/>
      <c r="K1750" s="77"/>
      <c r="L1750" s="76"/>
      <c r="M1750" s="76"/>
      <c r="N1750" s="76"/>
      <c r="O1750" s="76"/>
      <c r="P1750" s="76"/>
      <c r="Q1750" s="76"/>
      <c r="R1750" s="76"/>
      <c r="S1750" s="76"/>
      <c r="BD1750" s="99">
        <f t="shared" si="57"/>
        <v>0</v>
      </c>
      <c r="CC1750" s="99"/>
      <c r="CV1750" s="99"/>
      <c r="CW1750" s="63"/>
    </row>
    <row r="1751" spans="1:101" ht="22.5" x14ac:dyDescent="0.15">
      <c r="A1751" s="76">
        <v>1632</v>
      </c>
      <c r="B1751" s="74" t="s">
        <v>1277</v>
      </c>
      <c r="C1751" s="74">
        <v>994187807</v>
      </c>
      <c r="D1751" s="78" t="str">
        <f t="shared" si="58"/>
        <v>https://portal.dnb.de/opac.htm?method=simpleSearch&amp;cqlMode=true&amp;query=idn%3D994187807</v>
      </c>
      <c r="E1751" s="74" t="s">
        <v>1278</v>
      </c>
      <c r="F1751" s="74"/>
      <c r="G1751" s="76" t="s">
        <v>8515</v>
      </c>
      <c r="H1751" s="77" t="s">
        <v>49</v>
      </c>
      <c r="I1751" s="76" t="s">
        <v>54</v>
      </c>
      <c r="J1751" s="77" t="s">
        <v>89</v>
      </c>
      <c r="K1751" s="77" t="s">
        <v>8565</v>
      </c>
      <c r="L1751" s="76"/>
      <c r="M1751" s="76"/>
      <c r="N1751" s="76"/>
      <c r="O1751" s="76">
        <v>1</v>
      </c>
      <c r="P1751" s="76"/>
      <c r="Q1751" s="76"/>
      <c r="R1751" s="76"/>
      <c r="S1751" s="76"/>
      <c r="BD1751" s="99">
        <f t="shared" si="57"/>
        <v>0</v>
      </c>
      <c r="CC1751" s="99"/>
      <c r="CV1751" s="99"/>
      <c r="CW1751" s="63"/>
    </row>
    <row r="1752" spans="1:101" x14ac:dyDescent="0.15">
      <c r="A1752" s="76">
        <v>1633</v>
      </c>
      <c r="B1752" s="74" t="s">
        <v>1279</v>
      </c>
      <c r="C1752" s="74">
        <v>994187874</v>
      </c>
      <c r="D1752" s="78" t="str">
        <f t="shared" si="58"/>
        <v>https://portal.dnb.de/opac.htm?method=simpleSearch&amp;cqlMode=true&amp;query=idn%3D994187874</v>
      </c>
      <c r="E1752" s="74" t="s">
        <v>1278</v>
      </c>
      <c r="F1752" s="74"/>
      <c r="G1752" s="76"/>
      <c r="H1752" s="77"/>
      <c r="I1752" s="76"/>
      <c r="J1752" s="77"/>
      <c r="K1752" s="77"/>
      <c r="L1752" s="76"/>
      <c r="M1752" s="76"/>
      <c r="N1752" s="76"/>
      <c r="O1752" s="76"/>
      <c r="P1752" s="76"/>
      <c r="Q1752" s="76"/>
      <c r="R1752" s="76"/>
      <c r="S1752" s="76"/>
      <c r="BD1752" s="99">
        <f t="shared" si="57"/>
        <v>0</v>
      </c>
      <c r="CC1752" s="99"/>
      <c r="CV1752" s="99"/>
      <c r="CW1752" s="63"/>
    </row>
    <row r="1753" spans="1:101" ht="22.5" x14ac:dyDescent="0.15">
      <c r="A1753" s="76">
        <v>1634</v>
      </c>
      <c r="B1753" s="74" t="s">
        <v>1280</v>
      </c>
      <c r="C1753" s="74">
        <v>994403674</v>
      </c>
      <c r="D1753" s="78" t="str">
        <f t="shared" si="58"/>
        <v>https://portal.dnb.de/opac.htm?method=simpleSearch&amp;cqlMode=true&amp;query=idn%3D994403674</v>
      </c>
      <c r="E1753" s="74" t="s">
        <v>1281</v>
      </c>
      <c r="F1753" s="74"/>
      <c r="G1753" s="76" t="s">
        <v>8515</v>
      </c>
      <c r="H1753" s="77" t="s">
        <v>9002</v>
      </c>
      <c r="I1753" s="76" t="s">
        <v>53</v>
      </c>
      <c r="J1753" s="77" t="s">
        <v>8516</v>
      </c>
      <c r="K1753" s="77" t="s">
        <v>8522</v>
      </c>
      <c r="L1753" s="76"/>
      <c r="M1753" s="76"/>
      <c r="N1753" s="76"/>
      <c r="O1753" s="76">
        <v>2</v>
      </c>
      <c r="P1753" s="76"/>
      <c r="Q1753" s="76"/>
      <c r="R1753" s="76"/>
      <c r="S1753" s="76"/>
      <c r="BD1753" s="99">
        <f t="shared" si="57"/>
        <v>0</v>
      </c>
      <c r="CC1753" s="99"/>
      <c r="CV1753" s="99"/>
      <c r="CW1753" s="63"/>
    </row>
    <row r="1754" spans="1:101" x14ac:dyDescent="0.15">
      <c r="A1754" s="76">
        <v>1635</v>
      </c>
      <c r="B1754" s="74" t="s">
        <v>1282</v>
      </c>
      <c r="C1754" s="74">
        <v>1000348067</v>
      </c>
      <c r="D1754" s="78" t="str">
        <f t="shared" si="58"/>
        <v>https://portal.dnb.de/opac.htm?method=simpleSearch&amp;cqlMode=true&amp;query=idn%3D1000348067</v>
      </c>
      <c r="E1754" s="74" t="s">
        <v>1283</v>
      </c>
      <c r="F1754" s="74"/>
      <c r="G1754" s="76"/>
      <c r="H1754" s="77"/>
      <c r="I1754" s="76"/>
      <c r="J1754" s="77"/>
      <c r="K1754" s="77"/>
      <c r="L1754" s="76"/>
      <c r="M1754" s="76"/>
      <c r="N1754" s="76"/>
      <c r="O1754" s="76"/>
      <c r="P1754" s="76"/>
      <c r="Q1754" s="76"/>
      <c r="R1754" s="76"/>
      <c r="S1754" s="76"/>
      <c r="BD1754" s="99">
        <f t="shared" si="57"/>
        <v>0</v>
      </c>
      <c r="CC1754" s="99"/>
      <c r="CV1754" s="99"/>
      <c r="CW1754" s="63"/>
    </row>
    <row r="1755" spans="1:101" x14ac:dyDescent="0.15">
      <c r="A1755" s="76">
        <v>1636</v>
      </c>
      <c r="B1755" s="74" t="s">
        <v>1284</v>
      </c>
      <c r="C1755" s="74" t="s">
        <v>1285</v>
      </c>
      <c r="D1755" s="78" t="str">
        <f t="shared" si="58"/>
        <v>https://portal.dnb.de/opac.htm?method=simpleSearch&amp;cqlMode=true&amp;query=idn%3D99489886X</v>
      </c>
      <c r="E1755" s="74" t="s">
        <v>9671</v>
      </c>
      <c r="F1755" s="74"/>
      <c r="G1755" s="76" t="s">
        <v>8515</v>
      </c>
      <c r="H1755" s="77" t="s">
        <v>5</v>
      </c>
      <c r="I1755" s="76" t="s">
        <v>54</v>
      </c>
      <c r="J1755" s="77" t="s">
        <v>8516</v>
      </c>
      <c r="K1755" s="77" t="s">
        <v>8785</v>
      </c>
      <c r="L1755" s="76"/>
      <c r="M1755" s="76"/>
      <c r="N1755" s="76"/>
      <c r="O1755" s="76">
        <v>0</v>
      </c>
      <c r="P1755" s="76"/>
      <c r="Q1755" s="76"/>
      <c r="R1755" s="76"/>
      <c r="S1755" s="76"/>
      <c r="BD1755" s="99">
        <f t="shared" si="57"/>
        <v>0</v>
      </c>
      <c r="CC1755" s="99"/>
      <c r="CV1755" s="99"/>
      <c r="CW1755" s="63"/>
    </row>
    <row r="1756" spans="1:101" x14ac:dyDescent="0.15">
      <c r="A1756" s="76">
        <v>1637</v>
      </c>
      <c r="B1756" s="74" t="s">
        <v>1286</v>
      </c>
      <c r="C1756" s="74">
        <v>994898800</v>
      </c>
      <c r="D1756" s="78" t="str">
        <f t="shared" si="58"/>
        <v>https://portal.dnb.de/opac.htm?method=simpleSearch&amp;cqlMode=true&amp;query=idn%3D994898800</v>
      </c>
      <c r="E1756" s="74" t="s">
        <v>9670</v>
      </c>
      <c r="F1756" s="74"/>
      <c r="G1756" s="76" t="s">
        <v>8515</v>
      </c>
      <c r="H1756" s="77" t="s">
        <v>5</v>
      </c>
      <c r="I1756" s="76" t="s">
        <v>54</v>
      </c>
      <c r="J1756" s="77" t="s">
        <v>58</v>
      </c>
      <c r="K1756" s="77" t="s">
        <v>8785</v>
      </c>
      <c r="L1756" s="76"/>
      <c r="M1756" s="76"/>
      <c r="N1756" s="76" t="s">
        <v>8660</v>
      </c>
      <c r="O1756" s="76">
        <v>0</v>
      </c>
      <c r="P1756" s="76"/>
      <c r="Q1756" s="76"/>
      <c r="R1756" s="76"/>
      <c r="S1756" s="76"/>
      <c r="BD1756" s="99">
        <f t="shared" si="57"/>
        <v>0</v>
      </c>
      <c r="CC1756" s="99"/>
      <c r="CV1756" s="99"/>
      <c r="CW1756" s="63"/>
    </row>
    <row r="1757" spans="1:101" ht="22.5" x14ac:dyDescent="0.15">
      <c r="A1757" s="76">
        <v>1638</v>
      </c>
      <c r="B1757" s="74" t="s">
        <v>1287</v>
      </c>
      <c r="C1757" s="74">
        <v>995783063</v>
      </c>
      <c r="D1757" s="78" t="str">
        <f t="shared" si="58"/>
        <v>https://portal.dnb.de/opac.htm?method=simpleSearch&amp;cqlMode=true&amp;query=idn%3D995783063</v>
      </c>
      <c r="E1757" s="74" t="s">
        <v>1288</v>
      </c>
      <c r="F1757" s="74"/>
      <c r="G1757" s="76"/>
      <c r="H1757" s="77" t="s">
        <v>48</v>
      </c>
      <c r="I1757" s="76" t="s">
        <v>53</v>
      </c>
      <c r="J1757" s="77" t="s">
        <v>8516</v>
      </c>
      <c r="K1757" s="77" t="s">
        <v>8552</v>
      </c>
      <c r="L1757" s="76"/>
      <c r="M1757" s="76"/>
      <c r="N1757" s="76"/>
      <c r="O1757" s="76">
        <v>0</v>
      </c>
      <c r="P1757" s="76"/>
      <c r="Q1757" s="76"/>
      <c r="R1757" s="76"/>
      <c r="S1757" s="76"/>
      <c r="BD1757" s="99">
        <f t="shared" si="57"/>
        <v>0</v>
      </c>
      <c r="CC1757" s="99"/>
      <c r="CV1757" s="99"/>
      <c r="CW1757" s="63"/>
    </row>
    <row r="1758" spans="1:101" x14ac:dyDescent="0.15">
      <c r="A1758" s="76">
        <v>1639</v>
      </c>
      <c r="B1758" s="74" t="s">
        <v>1289</v>
      </c>
      <c r="C1758" s="74" t="s">
        <v>1290</v>
      </c>
      <c r="D1758" s="78" t="str">
        <f t="shared" si="58"/>
        <v>https://portal.dnb.de/opac.htm?method=simpleSearch&amp;cqlMode=true&amp;query=idn%3D100077340X</v>
      </c>
      <c r="E1758" s="74" t="s">
        <v>1291</v>
      </c>
      <c r="F1758" s="74"/>
      <c r="G1758" s="76"/>
      <c r="H1758" s="77" t="s">
        <v>48</v>
      </c>
      <c r="I1758" s="76" t="s">
        <v>53</v>
      </c>
      <c r="J1758" s="77" t="s">
        <v>8516</v>
      </c>
      <c r="K1758" s="77" t="s">
        <v>72</v>
      </c>
      <c r="L1758" s="76"/>
      <c r="M1758" s="76"/>
      <c r="N1758" s="76"/>
      <c r="O1758" s="76">
        <v>0</v>
      </c>
      <c r="P1758" s="76"/>
      <c r="Q1758" s="76"/>
      <c r="R1758" s="76"/>
      <c r="S1758" s="76"/>
      <c r="BD1758" s="99">
        <f t="shared" si="57"/>
        <v>0</v>
      </c>
      <c r="CC1758" s="99"/>
      <c r="CV1758" s="99"/>
      <c r="CW1758" s="63"/>
    </row>
    <row r="1759" spans="1:101" x14ac:dyDescent="0.15">
      <c r="A1759" s="76">
        <v>1640</v>
      </c>
      <c r="B1759" s="74" t="s">
        <v>1292</v>
      </c>
      <c r="C1759" s="74">
        <v>1000773329</v>
      </c>
      <c r="D1759" s="78" t="str">
        <f t="shared" si="58"/>
        <v>https://portal.dnb.de/opac.htm?method=simpleSearch&amp;cqlMode=true&amp;query=idn%3D1000773329</v>
      </c>
      <c r="E1759" s="74" t="s">
        <v>1291</v>
      </c>
      <c r="F1759" s="74"/>
      <c r="G1759" s="76"/>
      <c r="H1759" s="77"/>
      <c r="I1759" s="76"/>
      <c r="J1759" s="77"/>
      <c r="K1759" s="77"/>
      <c r="L1759" s="76"/>
      <c r="M1759" s="76"/>
      <c r="N1759" s="76"/>
      <c r="O1759" s="76"/>
      <c r="P1759" s="76"/>
      <c r="Q1759" s="76"/>
      <c r="R1759" s="76"/>
      <c r="S1759" s="76"/>
      <c r="BD1759" s="99">
        <f t="shared" si="57"/>
        <v>0</v>
      </c>
      <c r="CC1759" s="99"/>
      <c r="CV1759" s="99"/>
      <c r="CW1759" s="63"/>
    </row>
    <row r="1760" spans="1:101" ht="22.5" x14ac:dyDescent="0.15">
      <c r="A1760" s="76">
        <v>1641</v>
      </c>
      <c r="B1760" s="74" t="s">
        <v>1295</v>
      </c>
      <c r="C1760" s="74">
        <v>1001522362</v>
      </c>
      <c r="D1760" s="78" t="str">
        <f t="shared" si="58"/>
        <v>https://portal.dnb.de/opac.htm?method=simpleSearch&amp;cqlMode=true&amp;query=idn%3D1001522362</v>
      </c>
      <c r="E1760" s="74" t="s">
        <v>9003</v>
      </c>
      <c r="F1760" s="74"/>
      <c r="G1760" s="76" t="s">
        <v>8515</v>
      </c>
      <c r="H1760" s="77" t="s">
        <v>18</v>
      </c>
      <c r="I1760" s="76" t="s">
        <v>53</v>
      </c>
      <c r="J1760" s="77" t="s">
        <v>8516</v>
      </c>
      <c r="K1760" s="77" t="s">
        <v>84</v>
      </c>
      <c r="L1760" s="76"/>
      <c r="M1760" s="76" t="s">
        <v>38</v>
      </c>
      <c r="N1760" s="76" t="s">
        <v>40</v>
      </c>
      <c r="O1760" s="76">
        <v>0</v>
      </c>
      <c r="P1760" s="76"/>
      <c r="Q1760" s="76"/>
      <c r="R1760" s="76"/>
      <c r="S1760" s="76"/>
      <c r="BD1760" s="99">
        <f t="shared" si="57"/>
        <v>0</v>
      </c>
      <c r="CC1760" s="99"/>
      <c r="CV1760" s="99"/>
      <c r="CW1760" s="63"/>
    </row>
    <row r="1761" spans="1:101" ht="22.5" x14ac:dyDescent="0.15">
      <c r="A1761" s="76">
        <v>1642</v>
      </c>
      <c r="B1761" s="74" t="s">
        <v>1296</v>
      </c>
      <c r="C1761" s="74">
        <v>1001522354</v>
      </c>
      <c r="D1761" s="82" t="str">
        <f>HYPERLINK(CONCATENATE("https://portal.dnb.de/opac.htm?method=simpleSearch&amp;cqlMode=true&amp;query=idn%3D",C1761))</f>
        <v>https://portal.dnb.de/opac.htm?method=simpleSearch&amp;cqlMode=true&amp;query=idn%3D1001522354</v>
      </c>
      <c r="E1761" s="74" t="s">
        <v>9004</v>
      </c>
      <c r="F1761" s="74"/>
      <c r="G1761" s="76" t="s">
        <v>8515</v>
      </c>
      <c r="H1761" s="77" t="s">
        <v>18</v>
      </c>
      <c r="I1761" s="76" t="s">
        <v>53</v>
      </c>
      <c r="J1761" s="77" t="s">
        <v>8516</v>
      </c>
      <c r="K1761" s="77" t="s">
        <v>84</v>
      </c>
      <c r="L1761" s="76"/>
      <c r="M1761" s="76" t="s">
        <v>38</v>
      </c>
      <c r="N1761" s="76" t="s">
        <v>40</v>
      </c>
      <c r="O1761" s="76">
        <v>0</v>
      </c>
      <c r="P1761" s="76"/>
      <c r="Q1761" s="76"/>
      <c r="R1761" s="76"/>
      <c r="S1761" s="76"/>
      <c r="BD1761" s="99">
        <f t="shared" si="57"/>
        <v>0</v>
      </c>
      <c r="CC1761" s="99"/>
      <c r="CV1761" s="99"/>
      <c r="CW1761" s="63"/>
    </row>
    <row r="1762" spans="1:101" x14ac:dyDescent="0.15">
      <c r="A1762" s="76">
        <v>1643</v>
      </c>
      <c r="B1762" s="74" t="s">
        <v>1308</v>
      </c>
      <c r="C1762" s="74">
        <v>994693664</v>
      </c>
      <c r="D1762" s="78" t="str">
        <f t="shared" si="58"/>
        <v>https://portal.dnb.de/opac.htm?method=simpleSearch&amp;cqlMode=true&amp;query=idn%3D994693664</v>
      </c>
      <c r="E1762" s="74" t="s">
        <v>1309</v>
      </c>
      <c r="F1762" s="74"/>
      <c r="G1762" s="76"/>
      <c r="H1762" s="77"/>
      <c r="I1762" s="76"/>
      <c r="J1762" s="77"/>
      <c r="K1762" s="77"/>
      <c r="L1762" s="76"/>
      <c r="M1762" s="76"/>
      <c r="N1762" s="76"/>
      <c r="O1762" s="76"/>
      <c r="P1762" s="76"/>
      <c r="Q1762" s="76"/>
      <c r="R1762" s="76"/>
      <c r="S1762" s="76"/>
      <c r="BD1762" s="99">
        <f t="shared" si="57"/>
        <v>0</v>
      </c>
      <c r="CC1762" s="99"/>
      <c r="CV1762" s="99"/>
      <c r="CW1762" s="63"/>
    </row>
    <row r="1763" spans="1:101" x14ac:dyDescent="0.15">
      <c r="A1763" s="76">
        <v>1644</v>
      </c>
      <c r="B1763" s="74" t="s">
        <v>1316</v>
      </c>
      <c r="C1763" s="74" t="s">
        <v>1317</v>
      </c>
      <c r="D1763" s="78" t="str">
        <f t="shared" si="58"/>
        <v>https://portal.dnb.de/opac.htm?method=simpleSearch&amp;cqlMode=true&amp;query=idn%3D99397256X</v>
      </c>
      <c r="E1763" s="74" t="s">
        <v>1318</v>
      </c>
      <c r="F1763" s="74"/>
      <c r="G1763" s="76"/>
      <c r="H1763" s="77"/>
      <c r="I1763" s="76" t="s">
        <v>53</v>
      </c>
      <c r="J1763" s="77"/>
      <c r="K1763" s="77"/>
      <c r="L1763" s="76"/>
      <c r="M1763" s="76"/>
      <c r="N1763" s="76"/>
      <c r="O1763" s="76"/>
      <c r="P1763" s="76"/>
      <c r="Q1763" s="76"/>
      <c r="R1763" s="76"/>
      <c r="S1763" s="76"/>
      <c r="Y1763" s="95" t="s">
        <v>9729</v>
      </c>
      <c r="AC1763" s="95" t="s">
        <v>9724</v>
      </c>
      <c r="AI1763" s="95" t="s">
        <v>9725</v>
      </c>
      <c r="AW1763" s="95">
        <v>45</v>
      </c>
      <c r="BC1763" s="96" t="s">
        <v>9726</v>
      </c>
      <c r="BD1763" s="99">
        <f t="shared" si="57"/>
        <v>0.5</v>
      </c>
      <c r="BJ1763" s="95" t="s">
        <v>9741</v>
      </c>
      <c r="BK1763" s="95" t="s">
        <v>8541</v>
      </c>
      <c r="BP1763" s="69" t="s">
        <v>8541</v>
      </c>
      <c r="BQ1763" s="95" t="s">
        <v>8541</v>
      </c>
      <c r="BR1763" s="95" t="s">
        <v>8541</v>
      </c>
      <c r="CC1763" s="99">
        <v>0.5</v>
      </c>
      <c r="CV1763" s="99"/>
      <c r="CW1763" s="63"/>
    </row>
    <row r="1764" spans="1:101" x14ac:dyDescent="0.15">
      <c r="A1764" s="76">
        <v>1645</v>
      </c>
      <c r="B1764" s="74" t="s">
        <v>1321</v>
      </c>
      <c r="C1764" s="74">
        <v>997973897</v>
      </c>
      <c r="D1764" s="78" t="str">
        <f t="shared" si="58"/>
        <v>https://portal.dnb.de/opac.htm?method=simpleSearch&amp;cqlMode=true&amp;query=idn%3D997973897</v>
      </c>
      <c r="E1764" s="74" t="s">
        <v>1322</v>
      </c>
      <c r="F1764" s="74"/>
      <c r="G1764" s="76"/>
      <c r="H1764" s="77"/>
      <c r="I1764" s="76"/>
      <c r="J1764" s="77"/>
      <c r="K1764" s="77"/>
      <c r="L1764" s="76"/>
      <c r="M1764" s="76"/>
      <c r="N1764" s="76"/>
      <c r="O1764" s="76"/>
      <c r="P1764" s="76"/>
      <c r="Q1764" s="76"/>
      <c r="R1764" s="76"/>
      <c r="S1764" s="76"/>
      <c r="BD1764" s="99">
        <f t="shared" si="57"/>
        <v>0</v>
      </c>
      <c r="CC1764" s="99"/>
      <c r="CV1764" s="99"/>
      <c r="CW1764" s="63"/>
    </row>
    <row r="1765" spans="1:101" x14ac:dyDescent="0.15">
      <c r="A1765" s="76">
        <v>1646</v>
      </c>
      <c r="B1765" s="74" t="s">
        <v>1323</v>
      </c>
      <c r="C1765" s="74">
        <v>997974516</v>
      </c>
      <c r="D1765" s="78" t="str">
        <f t="shared" si="58"/>
        <v>https://portal.dnb.de/opac.htm?method=simpleSearch&amp;cqlMode=true&amp;query=idn%3D997974516</v>
      </c>
      <c r="E1765" s="74" t="s">
        <v>1322</v>
      </c>
      <c r="F1765" s="74"/>
      <c r="G1765" s="76"/>
      <c r="H1765" s="77"/>
      <c r="I1765" s="76"/>
      <c r="J1765" s="77"/>
      <c r="K1765" s="77"/>
      <c r="L1765" s="76"/>
      <c r="M1765" s="76"/>
      <c r="N1765" s="76"/>
      <c r="O1765" s="76"/>
      <c r="P1765" s="76"/>
      <c r="Q1765" s="76"/>
      <c r="R1765" s="76"/>
      <c r="S1765" s="76"/>
      <c r="BD1765" s="99">
        <f t="shared" si="57"/>
        <v>0</v>
      </c>
      <c r="CC1765" s="99"/>
      <c r="CV1765" s="99"/>
      <c r="CW1765" s="63"/>
    </row>
    <row r="1766" spans="1:101" x14ac:dyDescent="0.15">
      <c r="A1766" s="76">
        <v>1647</v>
      </c>
      <c r="B1766" s="74" t="s">
        <v>1324</v>
      </c>
      <c r="C1766" s="74">
        <v>995584605</v>
      </c>
      <c r="D1766" s="78" t="str">
        <f t="shared" si="58"/>
        <v>https://portal.dnb.de/opac.htm?method=simpleSearch&amp;cqlMode=true&amp;query=idn%3D995584605</v>
      </c>
      <c r="E1766" s="74" t="s">
        <v>9010</v>
      </c>
      <c r="F1766" s="74"/>
      <c r="G1766" s="76"/>
      <c r="H1766" s="77"/>
      <c r="I1766" s="76"/>
      <c r="J1766" s="77"/>
      <c r="K1766" s="77"/>
      <c r="L1766" s="76"/>
      <c r="M1766" s="76"/>
      <c r="N1766" s="76"/>
      <c r="O1766" s="76"/>
      <c r="P1766" s="76"/>
      <c r="Q1766" s="76"/>
      <c r="R1766" s="76"/>
      <c r="S1766" s="76"/>
      <c r="BD1766" s="99">
        <f t="shared" si="57"/>
        <v>0</v>
      </c>
      <c r="CC1766" s="99"/>
      <c r="CV1766" s="99"/>
      <c r="CW1766" s="63"/>
    </row>
    <row r="1767" spans="1:101" ht="22.5" x14ac:dyDescent="0.15">
      <c r="A1767" s="76">
        <v>1648</v>
      </c>
      <c r="B1767" s="74" t="s">
        <v>1325</v>
      </c>
      <c r="C1767" s="74">
        <v>995584575</v>
      </c>
      <c r="D1767" s="78" t="str">
        <f t="shared" si="58"/>
        <v>https://portal.dnb.de/opac.htm?method=simpleSearch&amp;cqlMode=true&amp;query=idn%3D995584575</v>
      </c>
      <c r="E1767" s="74" t="s">
        <v>9011</v>
      </c>
      <c r="F1767" s="74"/>
      <c r="G1767" s="76" t="s">
        <v>8515</v>
      </c>
      <c r="H1767" s="77" t="s">
        <v>18</v>
      </c>
      <c r="I1767" s="76" t="s">
        <v>53</v>
      </c>
      <c r="J1767" s="77" t="s">
        <v>8516</v>
      </c>
      <c r="K1767" s="77" t="s">
        <v>72</v>
      </c>
      <c r="L1767" s="76"/>
      <c r="M1767" s="76" t="s">
        <v>36</v>
      </c>
      <c r="N1767" s="76" t="s">
        <v>39</v>
      </c>
      <c r="O1767" s="76">
        <v>0</v>
      </c>
      <c r="P1767" s="76"/>
      <c r="Q1767" s="76"/>
      <c r="R1767" s="76"/>
      <c r="S1767" s="76"/>
      <c r="BD1767" s="99">
        <f t="shared" si="57"/>
        <v>0</v>
      </c>
      <c r="CC1767" s="99"/>
      <c r="CV1767" s="99"/>
      <c r="CW1767" s="63"/>
    </row>
    <row r="1768" spans="1:101" ht="22.5" x14ac:dyDescent="0.15">
      <c r="A1768" s="76">
        <v>1649</v>
      </c>
      <c r="B1768" s="74" t="s">
        <v>1326</v>
      </c>
      <c r="C1768" s="74">
        <v>999747975</v>
      </c>
      <c r="D1768" s="78" t="str">
        <f t="shared" si="58"/>
        <v>https://portal.dnb.de/opac.htm?method=simpleSearch&amp;cqlMode=true&amp;query=idn%3D999747975</v>
      </c>
      <c r="E1768" s="74" t="s">
        <v>1327</v>
      </c>
      <c r="F1768" s="74"/>
      <c r="G1768" s="76"/>
      <c r="H1768" s="77"/>
      <c r="I1768" s="76" t="s">
        <v>54</v>
      </c>
      <c r="J1768" s="77"/>
      <c r="K1768" s="77"/>
      <c r="L1768" s="76"/>
      <c r="M1768" s="76"/>
      <c r="N1768" s="76"/>
      <c r="O1768" s="76"/>
      <c r="P1768" s="76"/>
      <c r="Q1768" s="76"/>
      <c r="R1768" s="76"/>
      <c r="S1768" s="76"/>
      <c r="Y1768" s="95" t="s">
        <v>9869</v>
      </c>
      <c r="AB1768" s="95" t="s">
        <v>8541</v>
      </c>
      <c r="AC1768" s="95" t="s">
        <v>9737</v>
      </c>
      <c r="AI1768" s="95" t="s">
        <v>9725</v>
      </c>
      <c r="AP1768" s="95" t="s">
        <v>8541</v>
      </c>
      <c r="AQ1768" s="96" t="s">
        <v>9749</v>
      </c>
      <c r="AW1768" s="95">
        <v>110</v>
      </c>
      <c r="BC1768" s="96" t="s">
        <v>9734</v>
      </c>
      <c r="BD1768" s="99">
        <f t="shared" si="57"/>
        <v>0</v>
      </c>
      <c r="CC1768" s="99"/>
      <c r="CV1768" s="99"/>
      <c r="CW1768" s="63"/>
    </row>
    <row r="1769" spans="1:101" x14ac:dyDescent="0.15">
      <c r="A1769" s="76">
        <v>1650</v>
      </c>
      <c r="B1769" s="74" t="s">
        <v>1328</v>
      </c>
      <c r="C1769" s="74">
        <v>999629875</v>
      </c>
      <c r="D1769" s="78" t="str">
        <f t="shared" si="58"/>
        <v>https://portal.dnb.de/opac.htm?method=simpleSearch&amp;cqlMode=true&amp;query=idn%3D999629875</v>
      </c>
      <c r="E1769" s="74" t="s">
        <v>1329</v>
      </c>
      <c r="F1769" s="74"/>
      <c r="G1769" s="76"/>
      <c r="H1769" s="77"/>
      <c r="I1769" s="76"/>
      <c r="J1769" s="77"/>
      <c r="K1769" s="77"/>
      <c r="L1769" s="76"/>
      <c r="M1769" s="76"/>
      <c r="N1769" s="76"/>
      <c r="O1769" s="76"/>
      <c r="P1769" s="76"/>
      <c r="Q1769" s="76"/>
      <c r="R1769" s="76"/>
      <c r="S1769" s="76"/>
      <c r="BD1769" s="99">
        <f t="shared" si="57"/>
        <v>0</v>
      </c>
      <c r="CC1769" s="99"/>
      <c r="CV1769" s="99"/>
      <c r="CW1769" s="63"/>
    </row>
    <row r="1770" spans="1:101" ht="22.5" x14ac:dyDescent="0.15">
      <c r="A1770" s="76">
        <v>1651</v>
      </c>
      <c r="B1770" s="74" t="s">
        <v>1330</v>
      </c>
      <c r="C1770" s="74">
        <v>999626833</v>
      </c>
      <c r="D1770" s="78" t="str">
        <f t="shared" si="58"/>
        <v>https://portal.dnb.de/opac.htm?method=simpleSearch&amp;cqlMode=true&amp;query=idn%3D999626833</v>
      </c>
      <c r="E1770" s="74" t="s">
        <v>1329</v>
      </c>
      <c r="F1770" s="74"/>
      <c r="G1770" s="76" t="s">
        <v>8515</v>
      </c>
      <c r="H1770" s="77" t="s">
        <v>18</v>
      </c>
      <c r="I1770" s="76" t="s">
        <v>53</v>
      </c>
      <c r="J1770" s="77" t="s">
        <v>58</v>
      </c>
      <c r="K1770" s="77"/>
      <c r="L1770" s="76"/>
      <c r="M1770" s="76"/>
      <c r="N1770" s="76"/>
      <c r="O1770" s="76">
        <v>0</v>
      </c>
      <c r="P1770" s="76"/>
      <c r="Q1770" s="76"/>
      <c r="R1770" s="76"/>
      <c r="S1770" s="76"/>
      <c r="BD1770" s="99">
        <f t="shared" si="57"/>
        <v>0</v>
      </c>
      <c r="CC1770" s="99"/>
      <c r="CV1770" s="99"/>
      <c r="CW1770" s="63"/>
    </row>
    <row r="1771" spans="1:101" x14ac:dyDescent="0.15">
      <c r="A1771" s="76">
        <v>1652</v>
      </c>
      <c r="B1771" s="74" t="s">
        <v>1331</v>
      </c>
      <c r="C1771" s="74">
        <v>1002381614</v>
      </c>
      <c r="D1771" s="78" t="str">
        <f t="shared" si="58"/>
        <v>https://portal.dnb.de/opac.htm?method=simpleSearch&amp;cqlMode=true&amp;query=idn%3D1002381614</v>
      </c>
      <c r="E1771" s="74" t="s">
        <v>1332</v>
      </c>
      <c r="F1771" s="74"/>
      <c r="G1771" s="76"/>
      <c r="H1771" s="77"/>
      <c r="I1771" s="76"/>
      <c r="J1771" s="77"/>
      <c r="K1771" s="77"/>
      <c r="L1771" s="76"/>
      <c r="M1771" s="76"/>
      <c r="N1771" s="76"/>
      <c r="O1771" s="76"/>
      <c r="P1771" s="76"/>
      <c r="Q1771" s="76"/>
      <c r="R1771" s="76"/>
      <c r="S1771" s="76"/>
      <c r="BD1771" s="99">
        <f t="shared" si="57"/>
        <v>0</v>
      </c>
      <c r="CC1771" s="99"/>
      <c r="CV1771" s="99"/>
      <c r="CW1771" s="63"/>
    </row>
    <row r="1772" spans="1:101" x14ac:dyDescent="0.15">
      <c r="A1772" s="76">
        <v>1653</v>
      </c>
      <c r="B1772" s="74" t="s">
        <v>1333</v>
      </c>
      <c r="C1772" s="74">
        <v>994187610</v>
      </c>
      <c r="D1772" s="78" t="str">
        <f t="shared" si="58"/>
        <v>https://portal.dnb.de/opac.htm?method=simpleSearch&amp;cqlMode=true&amp;query=idn%3D994187610</v>
      </c>
      <c r="E1772" s="74" t="s">
        <v>1334</v>
      </c>
      <c r="F1772" s="74"/>
      <c r="G1772" s="76"/>
      <c r="H1772" s="77"/>
      <c r="I1772" s="76"/>
      <c r="J1772" s="77"/>
      <c r="K1772" s="77"/>
      <c r="L1772" s="76"/>
      <c r="M1772" s="76"/>
      <c r="N1772" s="76"/>
      <c r="O1772" s="76"/>
      <c r="P1772" s="76"/>
      <c r="Q1772" s="76"/>
      <c r="R1772" s="76"/>
      <c r="S1772" s="76"/>
      <c r="BD1772" s="99">
        <f t="shared" si="57"/>
        <v>0</v>
      </c>
      <c r="CC1772" s="99"/>
      <c r="CV1772" s="99"/>
      <c r="CW1772" s="63"/>
    </row>
    <row r="1773" spans="1:101" ht="22.5" x14ac:dyDescent="0.15">
      <c r="A1773" s="76">
        <v>1654</v>
      </c>
      <c r="B1773" s="74" t="s">
        <v>1335</v>
      </c>
      <c r="C1773" s="74">
        <v>994053746</v>
      </c>
      <c r="D1773" s="78" t="str">
        <f t="shared" si="58"/>
        <v>https://portal.dnb.de/opac.htm?method=simpleSearch&amp;cqlMode=true&amp;query=idn%3D994053746</v>
      </c>
      <c r="E1773" s="74" t="s">
        <v>1336</v>
      </c>
      <c r="F1773" s="74"/>
      <c r="G1773" s="76" t="s">
        <v>8515</v>
      </c>
      <c r="H1773" s="77" t="s">
        <v>18</v>
      </c>
      <c r="I1773" s="76" t="s">
        <v>53</v>
      </c>
      <c r="J1773" s="77" t="s">
        <v>58</v>
      </c>
      <c r="K1773" s="77" t="s">
        <v>84</v>
      </c>
      <c r="L1773" s="76"/>
      <c r="M1773" s="76"/>
      <c r="N1773" s="76"/>
      <c r="O1773" s="76">
        <v>0</v>
      </c>
      <c r="P1773" s="76"/>
      <c r="Q1773" s="76"/>
      <c r="R1773" s="76"/>
      <c r="S1773" s="76"/>
      <c r="BD1773" s="99">
        <f t="shared" si="57"/>
        <v>0</v>
      </c>
      <c r="CC1773" s="99"/>
      <c r="CV1773" s="99"/>
      <c r="CW1773" s="63"/>
    </row>
    <row r="1774" spans="1:101" x14ac:dyDescent="0.15">
      <c r="A1774" s="76">
        <v>1655</v>
      </c>
      <c r="B1774" s="74" t="s">
        <v>1337</v>
      </c>
      <c r="C1774" s="74">
        <v>997569905</v>
      </c>
      <c r="D1774" s="78" t="str">
        <f t="shared" si="58"/>
        <v>https://portal.dnb.de/opac.htm?method=simpleSearch&amp;cqlMode=true&amp;query=idn%3D997569905</v>
      </c>
      <c r="E1774" s="74" t="s">
        <v>1338</v>
      </c>
      <c r="F1774" s="74"/>
      <c r="G1774" s="76"/>
      <c r="H1774" s="77"/>
      <c r="I1774" s="76"/>
      <c r="J1774" s="77"/>
      <c r="K1774" s="77"/>
      <c r="L1774" s="76"/>
      <c r="M1774" s="76"/>
      <c r="N1774" s="76"/>
      <c r="O1774" s="76"/>
      <c r="P1774" s="76"/>
      <c r="Q1774" s="76"/>
      <c r="R1774" s="76"/>
      <c r="S1774" s="76"/>
      <c r="BD1774" s="99">
        <f t="shared" si="57"/>
        <v>0</v>
      </c>
      <c r="CC1774" s="99"/>
      <c r="CV1774" s="99"/>
      <c r="CW1774" s="63"/>
    </row>
    <row r="1775" spans="1:101" x14ac:dyDescent="0.15">
      <c r="A1775" s="76">
        <v>1656</v>
      </c>
      <c r="B1775" s="74" t="s">
        <v>1344</v>
      </c>
      <c r="C1775" s="74">
        <v>999009982</v>
      </c>
      <c r="D1775" s="78" t="str">
        <f t="shared" si="58"/>
        <v>https://portal.dnb.de/opac.htm?method=simpleSearch&amp;cqlMode=true&amp;query=idn%3D999009982</v>
      </c>
      <c r="E1775" s="74" t="s">
        <v>1345</v>
      </c>
      <c r="F1775" s="74"/>
      <c r="G1775" s="76"/>
      <c r="H1775" s="77"/>
      <c r="I1775" s="76"/>
      <c r="J1775" s="77"/>
      <c r="K1775" s="77"/>
      <c r="L1775" s="76"/>
      <c r="M1775" s="76"/>
      <c r="N1775" s="76"/>
      <c r="O1775" s="76"/>
      <c r="P1775" s="76"/>
      <c r="Q1775" s="76"/>
      <c r="R1775" s="76"/>
      <c r="S1775" s="76"/>
      <c r="BD1775" s="99">
        <f t="shared" si="57"/>
        <v>0</v>
      </c>
      <c r="CC1775" s="99"/>
      <c r="CV1775" s="99"/>
      <c r="CW1775" s="63"/>
    </row>
    <row r="1776" spans="1:101" x14ac:dyDescent="0.15">
      <c r="A1776" s="76">
        <v>1657</v>
      </c>
      <c r="B1776" s="74" t="s">
        <v>1350</v>
      </c>
      <c r="C1776" s="74">
        <v>1002259045</v>
      </c>
      <c r="D1776" s="78" t="str">
        <f t="shared" si="58"/>
        <v>https://portal.dnb.de/opac.htm?method=simpleSearch&amp;cqlMode=true&amp;query=idn%3D1002259045</v>
      </c>
      <c r="E1776" s="74" t="s">
        <v>1351</v>
      </c>
      <c r="F1776" s="74"/>
      <c r="G1776" s="76"/>
      <c r="H1776" s="77"/>
      <c r="I1776" s="76"/>
      <c r="J1776" s="77"/>
      <c r="K1776" s="77"/>
      <c r="L1776" s="76"/>
      <c r="M1776" s="76"/>
      <c r="N1776" s="76"/>
      <c r="O1776" s="76"/>
      <c r="P1776" s="76"/>
      <c r="Q1776" s="76"/>
      <c r="R1776" s="76"/>
      <c r="S1776" s="76"/>
      <c r="BD1776" s="99">
        <f t="shared" si="57"/>
        <v>0</v>
      </c>
      <c r="CC1776" s="99"/>
      <c r="CV1776" s="99"/>
      <c r="CW1776" s="63"/>
    </row>
    <row r="1777" spans="1:101" ht="22.5" x14ac:dyDescent="0.15">
      <c r="A1777" s="76">
        <v>1658</v>
      </c>
      <c r="B1777" s="74" t="s">
        <v>1352</v>
      </c>
      <c r="C1777" s="74">
        <v>1047739011</v>
      </c>
      <c r="D1777" s="78" t="str">
        <f t="shared" si="58"/>
        <v>https://portal.dnb.de/opac.htm?method=simpleSearch&amp;cqlMode=true&amp;query=idn%3D1047739011</v>
      </c>
      <c r="E1777" s="74" t="s">
        <v>1353</v>
      </c>
      <c r="F1777" s="74"/>
      <c r="G1777" s="76"/>
      <c r="H1777" s="77"/>
      <c r="I1777" s="76" t="s">
        <v>53</v>
      </c>
      <c r="J1777" s="77"/>
      <c r="K1777" s="77"/>
      <c r="L1777" s="76"/>
      <c r="M1777" s="76"/>
      <c r="N1777" s="76"/>
      <c r="O1777" s="76"/>
      <c r="P1777" s="76"/>
      <c r="Q1777" s="76"/>
      <c r="R1777" s="76"/>
      <c r="S1777" s="76"/>
      <c r="Y1777" s="95" t="s">
        <v>9736</v>
      </c>
      <c r="AC1777" s="95" t="s">
        <v>9737</v>
      </c>
      <c r="AD1777" s="95" t="s">
        <v>8541</v>
      </c>
      <c r="AI1777" s="95" t="s">
        <v>9725</v>
      </c>
      <c r="AP1777" s="95" t="s">
        <v>8541</v>
      </c>
      <c r="AQ1777" s="96" t="s">
        <v>9750</v>
      </c>
      <c r="AW1777" s="95" t="s">
        <v>9751</v>
      </c>
      <c r="BC1777" s="96" t="s">
        <v>9734</v>
      </c>
      <c r="BD1777" s="99">
        <f t="shared" si="57"/>
        <v>0</v>
      </c>
      <c r="CC1777" s="99"/>
      <c r="CV1777" s="99"/>
      <c r="CW1777" s="63"/>
    </row>
    <row r="1778" spans="1:101" ht="22.5" x14ac:dyDescent="0.15">
      <c r="A1778" s="76">
        <v>1659</v>
      </c>
      <c r="B1778" s="74" t="s">
        <v>1354</v>
      </c>
      <c r="C1778" s="74">
        <v>15244172</v>
      </c>
      <c r="D1778" s="78" t="str">
        <f t="shared" si="58"/>
        <v>https://portal.dnb.de/opac.htm?method=simpleSearch&amp;cqlMode=true&amp;query=idn%3D15244172</v>
      </c>
      <c r="E1778" s="74" t="s">
        <v>1355</v>
      </c>
      <c r="F1778" s="74"/>
      <c r="G1778" s="76"/>
      <c r="H1778" s="77" t="s">
        <v>18</v>
      </c>
      <c r="I1778" s="76" t="s">
        <v>53</v>
      </c>
      <c r="J1778" s="77" t="s">
        <v>8516</v>
      </c>
      <c r="K1778" s="77" t="s">
        <v>62</v>
      </c>
      <c r="L1778" s="76"/>
      <c r="M1778" s="76" t="s">
        <v>36</v>
      </c>
      <c r="N1778" s="76" t="s">
        <v>40</v>
      </c>
      <c r="O1778" s="76">
        <v>0</v>
      </c>
      <c r="P1778" s="76"/>
      <c r="Q1778" s="76"/>
      <c r="R1778" s="76"/>
      <c r="S1778" s="76"/>
      <c r="BD1778" s="99">
        <f t="shared" si="57"/>
        <v>0</v>
      </c>
      <c r="CC1778" s="99"/>
      <c r="CV1778" s="99"/>
      <c r="CW1778" s="63"/>
    </row>
    <row r="1779" spans="1:101" x14ac:dyDescent="0.15">
      <c r="A1779" s="76">
        <v>1660</v>
      </c>
      <c r="B1779" s="74" t="s">
        <v>1356</v>
      </c>
      <c r="C1779" s="74">
        <v>1070190527</v>
      </c>
      <c r="D1779" s="78" t="str">
        <f t="shared" si="58"/>
        <v>https://portal.dnb.de/opac.htm?method=simpleSearch&amp;cqlMode=true&amp;query=idn%3D1070190527</v>
      </c>
      <c r="E1779" s="74" t="s">
        <v>1357</v>
      </c>
      <c r="F1779" s="74"/>
      <c r="G1779" s="76"/>
      <c r="H1779" s="77"/>
      <c r="I1779" s="76"/>
      <c r="J1779" s="77"/>
      <c r="K1779" s="77"/>
      <c r="L1779" s="76"/>
      <c r="M1779" s="76"/>
      <c r="N1779" s="76"/>
      <c r="O1779" s="76"/>
      <c r="P1779" s="76"/>
      <c r="Q1779" s="76"/>
      <c r="R1779" s="76"/>
      <c r="S1779" s="76"/>
      <c r="BD1779" s="99">
        <f t="shared" si="57"/>
        <v>0</v>
      </c>
      <c r="CC1779" s="99"/>
      <c r="CV1779" s="99"/>
      <c r="CW1779" s="63"/>
    </row>
    <row r="1780" spans="1:101" ht="22.5" x14ac:dyDescent="0.15">
      <c r="A1780" s="76">
        <v>1661</v>
      </c>
      <c r="B1780" s="74" t="s">
        <v>1358</v>
      </c>
      <c r="C1780" s="74">
        <v>1070486507</v>
      </c>
      <c r="D1780" s="78" t="str">
        <f t="shared" si="58"/>
        <v>https://portal.dnb.de/opac.htm?method=simpleSearch&amp;cqlMode=true&amp;query=idn%3D1070486507</v>
      </c>
      <c r="E1780" s="74" t="s">
        <v>1359</v>
      </c>
      <c r="F1780" s="74"/>
      <c r="G1780" s="76" t="s">
        <v>8515</v>
      </c>
      <c r="H1780" s="77" t="s">
        <v>18</v>
      </c>
      <c r="I1780" s="76" t="s">
        <v>53</v>
      </c>
      <c r="J1780" s="77" t="s">
        <v>8516</v>
      </c>
      <c r="K1780" s="77" t="s">
        <v>84</v>
      </c>
      <c r="L1780" s="76"/>
      <c r="M1780" s="76" t="s">
        <v>36</v>
      </c>
      <c r="N1780" s="76" t="s">
        <v>40</v>
      </c>
      <c r="O1780" s="76">
        <v>0</v>
      </c>
      <c r="P1780" s="76"/>
      <c r="Q1780" s="76" t="s">
        <v>9040</v>
      </c>
      <c r="R1780" s="76"/>
      <c r="S1780" s="76"/>
      <c r="BD1780" s="99">
        <f t="shared" si="57"/>
        <v>0</v>
      </c>
      <c r="CC1780" s="99"/>
      <c r="CV1780" s="99"/>
      <c r="CW1780" s="63"/>
    </row>
    <row r="1781" spans="1:101" x14ac:dyDescent="0.15">
      <c r="A1781" s="76">
        <v>1662</v>
      </c>
      <c r="B1781" s="74" t="s">
        <v>1360</v>
      </c>
      <c r="C1781" s="74">
        <v>13466216</v>
      </c>
      <c r="D1781" s="78" t="str">
        <f t="shared" si="58"/>
        <v>https://portal.dnb.de/opac.htm?method=simpleSearch&amp;cqlMode=true&amp;query=idn%3D13466216</v>
      </c>
      <c r="E1781" s="74" t="s">
        <v>1361</v>
      </c>
      <c r="F1781" s="74"/>
      <c r="G1781" s="76"/>
      <c r="H1781" s="77"/>
      <c r="I1781" s="76"/>
      <c r="J1781" s="77"/>
      <c r="K1781" s="77"/>
      <c r="L1781" s="76"/>
      <c r="M1781" s="76"/>
      <c r="N1781" s="76"/>
      <c r="O1781" s="76"/>
      <c r="P1781" s="76"/>
      <c r="Q1781" s="76"/>
      <c r="R1781" s="76"/>
      <c r="S1781" s="76"/>
      <c r="BD1781" s="99">
        <f t="shared" si="57"/>
        <v>0</v>
      </c>
      <c r="CC1781" s="99"/>
      <c r="CV1781" s="99"/>
      <c r="CW1781" s="63"/>
    </row>
    <row r="1782" spans="1:101" x14ac:dyDescent="0.15">
      <c r="A1782" s="76">
        <v>1663</v>
      </c>
      <c r="B1782" s="74" t="s">
        <v>1362</v>
      </c>
      <c r="C1782" s="74">
        <v>1160214085</v>
      </c>
      <c r="D1782" s="78" t="str">
        <f t="shared" si="58"/>
        <v>https://portal.dnb.de/opac.htm?method=simpleSearch&amp;cqlMode=true&amp;query=idn%3D1160214085</v>
      </c>
      <c r="E1782" s="74" t="s">
        <v>1361</v>
      </c>
      <c r="F1782" s="74"/>
      <c r="G1782" s="76"/>
      <c r="H1782" s="77"/>
      <c r="I1782" s="76"/>
      <c r="J1782" s="77"/>
      <c r="K1782" s="77"/>
      <c r="L1782" s="76"/>
      <c r="M1782" s="76"/>
      <c r="N1782" s="76"/>
      <c r="O1782" s="76"/>
      <c r="P1782" s="76"/>
      <c r="Q1782" s="76"/>
      <c r="R1782" s="76"/>
      <c r="S1782" s="76"/>
      <c r="BD1782" s="99">
        <f t="shared" si="57"/>
        <v>0</v>
      </c>
      <c r="CC1782" s="99"/>
      <c r="CV1782" s="99"/>
      <c r="CW1782" s="63"/>
    </row>
    <row r="1783" spans="1:101" ht="45" x14ac:dyDescent="0.15">
      <c r="A1783" s="76">
        <v>1664</v>
      </c>
      <c r="B1783" s="74" t="s">
        <v>1363</v>
      </c>
      <c r="C1783" s="74">
        <v>1195734662</v>
      </c>
      <c r="D1783" s="78" t="str">
        <f t="shared" si="58"/>
        <v>https://portal.dnb.de/opac.htm?method=simpleSearch&amp;cqlMode=true&amp;query=idn%3D1195734662</v>
      </c>
      <c r="E1783" s="74" t="s">
        <v>1364</v>
      </c>
      <c r="F1783" s="74"/>
      <c r="G1783" s="76"/>
      <c r="H1783" s="77"/>
      <c r="I1783" s="76" t="s">
        <v>53</v>
      </c>
      <c r="J1783" s="77"/>
      <c r="K1783" s="77"/>
      <c r="L1783" s="76"/>
      <c r="M1783" s="76"/>
      <c r="N1783" s="76"/>
      <c r="O1783" s="76"/>
      <c r="P1783" s="76"/>
      <c r="Q1783" s="76"/>
      <c r="R1783" s="76"/>
      <c r="S1783" s="76"/>
      <c r="Y1783" s="95" t="s">
        <v>9729</v>
      </c>
      <c r="AC1783" s="95" t="s">
        <v>9724</v>
      </c>
      <c r="AI1783" s="95" t="s">
        <v>9725</v>
      </c>
      <c r="AW1783" s="95">
        <v>45</v>
      </c>
      <c r="BC1783" s="96" t="s">
        <v>9726</v>
      </c>
      <c r="BD1783" s="99">
        <f t="shared" si="57"/>
        <v>5</v>
      </c>
      <c r="BI1783" s="95" t="s">
        <v>8541</v>
      </c>
      <c r="BL1783" s="70" t="s">
        <v>10069</v>
      </c>
      <c r="BP1783" s="69" t="s">
        <v>8541</v>
      </c>
      <c r="BQ1783" s="95" t="s">
        <v>8541</v>
      </c>
      <c r="BR1783" s="95" t="s">
        <v>8541</v>
      </c>
      <c r="BY1783" s="95" t="s">
        <v>8541</v>
      </c>
      <c r="CC1783" s="99">
        <v>3</v>
      </c>
      <c r="CD1783" s="90" t="s">
        <v>10070</v>
      </c>
      <c r="CE1783" s="95" t="s">
        <v>8541</v>
      </c>
      <c r="CI1783" s="95" t="s">
        <v>8541</v>
      </c>
      <c r="CV1783" s="99">
        <v>2</v>
      </c>
      <c r="CW1783" s="90" t="s">
        <v>10071</v>
      </c>
    </row>
    <row r="1784" spans="1:101" x14ac:dyDescent="0.15">
      <c r="A1784" s="76">
        <v>1665</v>
      </c>
      <c r="B1784" s="74" t="s">
        <v>1267</v>
      </c>
      <c r="C1784" s="74">
        <v>1209576406</v>
      </c>
      <c r="D1784" s="78" t="str">
        <f t="shared" si="58"/>
        <v>https://portal.dnb.de/opac.htm?method=simpleSearch&amp;cqlMode=true&amp;query=idn%3D1209576406</v>
      </c>
      <c r="E1784" s="74" t="s">
        <v>1268</v>
      </c>
      <c r="F1784" s="74"/>
      <c r="G1784" s="76"/>
      <c r="H1784" s="77"/>
      <c r="I1784" s="76"/>
      <c r="J1784" s="77"/>
      <c r="K1784" s="77"/>
      <c r="L1784" s="76"/>
      <c r="M1784" s="76"/>
      <c r="N1784" s="76"/>
      <c r="O1784" s="76"/>
      <c r="P1784" s="76"/>
      <c r="Q1784" s="76"/>
      <c r="R1784" s="76"/>
      <c r="S1784" s="76"/>
      <c r="BD1784" s="99">
        <f t="shared" si="57"/>
        <v>0</v>
      </c>
      <c r="CC1784" s="99"/>
      <c r="CV1784" s="99"/>
      <c r="CW1784" s="63"/>
    </row>
    <row r="1785" spans="1:101" x14ac:dyDescent="0.15">
      <c r="A1785" s="76">
        <v>1666</v>
      </c>
      <c r="B1785" s="74" t="s">
        <v>1293</v>
      </c>
      <c r="C1785" s="74">
        <v>994490623</v>
      </c>
      <c r="D1785" s="78" t="str">
        <f t="shared" si="58"/>
        <v>https://portal.dnb.de/opac.htm?method=simpleSearch&amp;cqlMode=true&amp;query=idn%3D994490623</v>
      </c>
      <c r="E1785" s="74" t="s">
        <v>1294</v>
      </c>
      <c r="F1785" s="74"/>
      <c r="G1785" s="76" t="s">
        <v>8515</v>
      </c>
      <c r="H1785" s="77" t="s">
        <v>4</v>
      </c>
      <c r="I1785" s="76" t="s">
        <v>53</v>
      </c>
      <c r="J1785" s="77" t="s">
        <v>89</v>
      </c>
      <c r="K1785" s="77" t="s">
        <v>8520</v>
      </c>
      <c r="L1785" s="76"/>
      <c r="M1785" s="76"/>
      <c r="N1785" s="76" t="s">
        <v>8660</v>
      </c>
      <c r="O1785" s="76">
        <v>0</v>
      </c>
      <c r="P1785" s="76"/>
      <c r="Q1785" s="76"/>
      <c r="R1785" s="76"/>
      <c r="S1785" s="76"/>
      <c r="BD1785" s="99">
        <f t="shared" si="57"/>
        <v>0</v>
      </c>
      <c r="CC1785" s="99"/>
      <c r="CV1785" s="99"/>
      <c r="CW1785" s="63"/>
    </row>
    <row r="1786" spans="1:101" ht="22.5" x14ac:dyDescent="0.15">
      <c r="A1786" s="76">
        <v>1667</v>
      </c>
      <c r="B1786" s="74" t="s">
        <v>1297</v>
      </c>
      <c r="C1786" s="74" t="s">
        <v>1298</v>
      </c>
      <c r="D1786" s="82" t="str">
        <f>HYPERLINK(CONCATENATE("https://portal.dnb.de/opac.htm?method=simpleSearch&amp;cqlMode=true&amp;query=idn%3D",C1786))</f>
        <v>https://portal.dnb.de/opac.htm?method=simpleSearch&amp;cqlMode=true&amp;query=idn%3D99450814X</v>
      </c>
      <c r="E1786" s="74" t="s">
        <v>9005</v>
      </c>
      <c r="F1786" s="74"/>
      <c r="G1786" s="76" t="s">
        <v>8515</v>
      </c>
      <c r="H1786" s="77" t="s">
        <v>18</v>
      </c>
      <c r="I1786" s="76" t="s">
        <v>53</v>
      </c>
      <c r="J1786" s="77" t="s">
        <v>58</v>
      </c>
      <c r="K1786" s="77" t="s">
        <v>84</v>
      </c>
      <c r="L1786" s="76"/>
      <c r="M1786" s="76" t="s">
        <v>36</v>
      </c>
      <c r="N1786" s="76" t="s">
        <v>39</v>
      </c>
      <c r="O1786" s="76">
        <v>0</v>
      </c>
      <c r="P1786" s="76"/>
      <c r="Q1786" s="76"/>
      <c r="R1786" s="76"/>
      <c r="S1786" s="76"/>
      <c r="BD1786" s="99">
        <f t="shared" si="57"/>
        <v>0</v>
      </c>
      <c r="CC1786" s="99"/>
      <c r="CV1786" s="99"/>
      <c r="CW1786" s="63"/>
    </row>
    <row r="1787" spans="1:101" ht="22.5" x14ac:dyDescent="0.15">
      <c r="A1787" s="76">
        <v>1668</v>
      </c>
      <c r="B1787" s="74" t="s">
        <v>1299</v>
      </c>
      <c r="C1787" s="74">
        <v>994508174</v>
      </c>
      <c r="D1787" s="78" t="str">
        <f t="shared" si="58"/>
        <v>https://portal.dnb.de/opac.htm?method=simpleSearch&amp;cqlMode=true&amp;query=idn%3D994508174</v>
      </c>
      <c r="E1787" s="74" t="s">
        <v>9006</v>
      </c>
      <c r="F1787" s="74"/>
      <c r="G1787" s="76" t="s">
        <v>8515</v>
      </c>
      <c r="H1787" s="77" t="s">
        <v>18</v>
      </c>
      <c r="I1787" s="76" t="s">
        <v>53</v>
      </c>
      <c r="J1787" s="77" t="s">
        <v>58</v>
      </c>
      <c r="K1787" s="77" t="s">
        <v>84</v>
      </c>
      <c r="L1787" s="76"/>
      <c r="M1787" s="76" t="s">
        <v>36</v>
      </c>
      <c r="N1787" s="76" t="s">
        <v>39</v>
      </c>
      <c r="O1787" s="76">
        <v>0</v>
      </c>
      <c r="P1787" s="76"/>
      <c r="Q1787" s="76"/>
      <c r="R1787" s="76"/>
      <c r="S1787" s="76"/>
      <c r="BD1787" s="99">
        <f t="shared" si="57"/>
        <v>0</v>
      </c>
      <c r="CC1787" s="99"/>
      <c r="CV1787" s="99"/>
      <c r="CW1787" s="63"/>
    </row>
    <row r="1788" spans="1:101" x14ac:dyDescent="0.15">
      <c r="A1788" s="76">
        <v>1669</v>
      </c>
      <c r="B1788" s="74" t="s">
        <v>1300</v>
      </c>
      <c r="C1788" s="74">
        <v>994092261</v>
      </c>
      <c r="D1788" s="78" t="str">
        <f t="shared" si="58"/>
        <v>https://portal.dnb.de/opac.htm?method=simpleSearch&amp;cqlMode=true&amp;query=idn%3D994092261</v>
      </c>
      <c r="E1788" s="74" t="s">
        <v>1301</v>
      </c>
      <c r="F1788" s="74"/>
      <c r="G1788" s="76"/>
      <c r="H1788" s="77"/>
      <c r="I1788" s="76"/>
      <c r="J1788" s="77"/>
      <c r="K1788" s="77"/>
      <c r="L1788" s="76"/>
      <c r="M1788" s="76"/>
      <c r="N1788" s="76"/>
      <c r="O1788" s="76"/>
      <c r="P1788" s="76"/>
      <c r="Q1788" s="76"/>
      <c r="R1788" s="76"/>
      <c r="S1788" s="76"/>
      <c r="BD1788" s="99">
        <f t="shared" si="57"/>
        <v>0</v>
      </c>
      <c r="CC1788" s="99"/>
      <c r="CV1788" s="99"/>
      <c r="CW1788" s="63"/>
    </row>
    <row r="1789" spans="1:101" x14ac:dyDescent="0.15">
      <c r="A1789" s="76">
        <v>1670</v>
      </c>
      <c r="B1789" s="74" t="s">
        <v>1302</v>
      </c>
      <c r="C1789" s="74">
        <v>995782830</v>
      </c>
      <c r="D1789" s="78" t="str">
        <f t="shared" si="58"/>
        <v>https://portal.dnb.de/opac.htm?method=simpleSearch&amp;cqlMode=true&amp;query=idn%3D995782830</v>
      </c>
      <c r="E1789" s="74" t="s">
        <v>1303</v>
      </c>
      <c r="F1789" s="74"/>
      <c r="G1789" s="76"/>
      <c r="H1789" s="77"/>
      <c r="I1789" s="76"/>
      <c r="J1789" s="77"/>
      <c r="K1789" s="77"/>
      <c r="L1789" s="76"/>
      <c r="M1789" s="76"/>
      <c r="N1789" s="76"/>
      <c r="O1789" s="76"/>
      <c r="P1789" s="76"/>
      <c r="Q1789" s="76"/>
      <c r="R1789" s="76"/>
      <c r="S1789" s="76"/>
      <c r="BD1789" s="99">
        <f t="shared" si="57"/>
        <v>0</v>
      </c>
      <c r="CC1789" s="99"/>
      <c r="CV1789" s="99"/>
      <c r="CW1789" s="63"/>
    </row>
    <row r="1790" spans="1:101" x14ac:dyDescent="0.15">
      <c r="A1790" s="76">
        <v>1671</v>
      </c>
      <c r="B1790" s="74" t="s">
        <v>1304</v>
      </c>
      <c r="C1790" s="74">
        <v>1003047777</v>
      </c>
      <c r="D1790" s="78" t="str">
        <f t="shared" si="58"/>
        <v>https://portal.dnb.de/opac.htm?method=simpleSearch&amp;cqlMode=true&amp;query=idn%3D1003047777</v>
      </c>
      <c r="E1790" s="74" t="s">
        <v>1305</v>
      </c>
      <c r="F1790" s="74"/>
      <c r="G1790" s="76"/>
      <c r="H1790" s="77"/>
      <c r="I1790" s="76"/>
      <c r="J1790" s="77"/>
      <c r="K1790" s="77"/>
      <c r="L1790" s="76"/>
      <c r="M1790" s="76"/>
      <c r="N1790" s="76"/>
      <c r="O1790" s="76"/>
      <c r="P1790" s="76"/>
      <c r="Q1790" s="76"/>
      <c r="R1790" s="76"/>
      <c r="S1790" s="76"/>
      <c r="BD1790" s="99">
        <f t="shared" si="57"/>
        <v>0</v>
      </c>
      <c r="CC1790" s="99"/>
      <c r="CV1790" s="99"/>
      <c r="CW1790" s="63"/>
    </row>
    <row r="1791" spans="1:101" x14ac:dyDescent="0.15">
      <c r="A1791" s="76">
        <v>1672</v>
      </c>
      <c r="B1791" s="74" t="s">
        <v>1306</v>
      </c>
      <c r="C1791" s="74">
        <v>994184085</v>
      </c>
      <c r="D1791" s="78" t="str">
        <f t="shared" si="58"/>
        <v>https://portal.dnb.de/opac.htm?method=simpleSearch&amp;cqlMode=true&amp;query=idn%3D994184085</v>
      </c>
      <c r="E1791" s="74" t="s">
        <v>1305</v>
      </c>
      <c r="F1791" s="74"/>
      <c r="G1791" s="76"/>
      <c r="H1791" s="77"/>
      <c r="I1791" s="76"/>
      <c r="J1791" s="77"/>
      <c r="K1791" s="77"/>
      <c r="L1791" s="76"/>
      <c r="M1791" s="76"/>
      <c r="N1791" s="76"/>
      <c r="O1791" s="76"/>
      <c r="P1791" s="76"/>
      <c r="Q1791" s="76"/>
      <c r="R1791" s="76"/>
      <c r="S1791" s="76"/>
      <c r="BD1791" s="99">
        <f t="shared" si="57"/>
        <v>0</v>
      </c>
      <c r="CC1791" s="99"/>
      <c r="CV1791" s="99"/>
      <c r="CW1791" s="63"/>
    </row>
    <row r="1792" spans="1:101" x14ac:dyDescent="0.15">
      <c r="A1792" s="76">
        <v>1673</v>
      </c>
      <c r="B1792" s="74" t="s">
        <v>1307</v>
      </c>
      <c r="C1792" s="74">
        <v>1002082927</v>
      </c>
      <c r="D1792" s="78" t="str">
        <f t="shared" si="58"/>
        <v>https://portal.dnb.de/opac.htm?method=simpleSearch&amp;cqlMode=true&amp;query=idn%3D1002082927</v>
      </c>
      <c r="E1792" s="74" t="s">
        <v>1305</v>
      </c>
      <c r="F1792" s="74"/>
      <c r="G1792" s="76"/>
      <c r="H1792" s="77"/>
      <c r="I1792" s="76"/>
      <c r="J1792" s="77"/>
      <c r="K1792" s="77"/>
      <c r="L1792" s="76"/>
      <c r="M1792" s="76"/>
      <c r="N1792" s="76"/>
      <c r="O1792" s="76"/>
      <c r="P1792" s="76"/>
      <c r="Q1792" s="76"/>
      <c r="R1792" s="76"/>
      <c r="S1792" s="76"/>
      <c r="BD1792" s="99">
        <f t="shared" si="57"/>
        <v>0</v>
      </c>
      <c r="CC1792" s="99"/>
      <c r="CV1792" s="99"/>
      <c r="CW1792" s="63"/>
    </row>
    <row r="1793" spans="1:101" ht="22.5" x14ac:dyDescent="0.15">
      <c r="A1793" s="76">
        <v>1674</v>
      </c>
      <c r="B1793" s="74" t="s">
        <v>1310</v>
      </c>
      <c r="C1793" s="74">
        <v>12621080</v>
      </c>
      <c r="D1793" s="78" t="str">
        <f t="shared" si="58"/>
        <v>https://portal.dnb.de/opac.htm?method=simpleSearch&amp;cqlMode=true&amp;query=idn%3D12621080</v>
      </c>
      <c r="E1793" s="74" t="s">
        <v>9007</v>
      </c>
      <c r="F1793" s="74"/>
      <c r="G1793" s="76" t="s">
        <v>8515</v>
      </c>
      <c r="H1793" s="77" t="s">
        <v>18</v>
      </c>
      <c r="I1793" s="76" t="s">
        <v>53</v>
      </c>
      <c r="J1793" s="77" t="s">
        <v>8516</v>
      </c>
      <c r="K1793" s="77" t="s">
        <v>84</v>
      </c>
      <c r="L1793" s="76"/>
      <c r="M1793" s="76" t="s">
        <v>36</v>
      </c>
      <c r="N1793" s="76" t="s">
        <v>39</v>
      </c>
      <c r="O1793" s="76">
        <v>0</v>
      </c>
      <c r="P1793" s="76"/>
      <c r="Q1793" s="76"/>
      <c r="R1793" s="76"/>
      <c r="S1793" s="76"/>
      <c r="BD1793" s="99">
        <f t="shared" si="57"/>
        <v>0</v>
      </c>
      <c r="CC1793" s="99"/>
      <c r="CV1793" s="99"/>
      <c r="CW1793" s="63"/>
    </row>
    <row r="1794" spans="1:101" ht="22.5" x14ac:dyDescent="0.15">
      <c r="A1794" s="76"/>
      <c r="B1794" s="74"/>
      <c r="C1794" s="74"/>
      <c r="D1794" s="78"/>
      <c r="E1794" s="74" t="s">
        <v>9008</v>
      </c>
      <c r="F1794" s="74"/>
      <c r="G1794" s="76" t="s">
        <v>8515</v>
      </c>
      <c r="H1794" s="77" t="s">
        <v>18</v>
      </c>
      <c r="I1794" s="76" t="s">
        <v>53</v>
      </c>
      <c r="J1794" s="77" t="s">
        <v>8516</v>
      </c>
      <c r="K1794" s="77" t="s">
        <v>84</v>
      </c>
      <c r="L1794" s="76"/>
      <c r="M1794" s="76" t="s">
        <v>36</v>
      </c>
      <c r="N1794" s="76" t="s">
        <v>39</v>
      </c>
      <c r="O1794" s="76">
        <v>0</v>
      </c>
      <c r="P1794" s="76"/>
      <c r="Q1794" s="76"/>
      <c r="R1794" s="76"/>
      <c r="S1794" s="76"/>
      <c r="BD1794" s="99">
        <f t="shared" si="57"/>
        <v>0</v>
      </c>
      <c r="CC1794" s="99"/>
      <c r="CV1794" s="99"/>
      <c r="CW1794" s="63"/>
    </row>
    <row r="1795" spans="1:101" ht="22.5" x14ac:dyDescent="0.15">
      <c r="A1795" s="76"/>
      <c r="B1795" s="74"/>
      <c r="C1795" s="74"/>
      <c r="D1795" s="78"/>
      <c r="E1795" s="74" t="s">
        <v>9009</v>
      </c>
      <c r="F1795" s="74"/>
      <c r="G1795" s="76" t="s">
        <v>8515</v>
      </c>
      <c r="H1795" s="77" t="s">
        <v>18</v>
      </c>
      <c r="I1795" s="76" t="s">
        <v>53</v>
      </c>
      <c r="J1795" s="77" t="s">
        <v>8516</v>
      </c>
      <c r="K1795" s="77" t="s">
        <v>84</v>
      </c>
      <c r="L1795" s="76"/>
      <c r="M1795" s="76" t="s">
        <v>36</v>
      </c>
      <c r="N1795" s="76" t="s">
        <v>39</v>
      </c>
      <c r="O1795" s="76">
        <v>0</v>
      </c>
      <c r="P1795" s="76"/>
      <c r="Q1795" s="76"/>
      <c r="R1795" s="76"/>
      <c r="S1795" s="76"/>
      <c r="BD1795" s="99">
        <f t="shared" ref="BD1795:BD1858" si="59">CC1795+CV1795</f>
        <v>0</v>
      </c>
      <c r="CC1795" s="99"/>
      <c r="CV1795" s="99"/>
      <c r="CW1795" s="63"/>
    </row>
    <row r="1796" spans="1:101" x14ac:dyDescent="0.15">
      <c r="A1796" s="76">
        <v>1675</v>
      </c>
      <c r="B1796" s="74" t="s">
        <v>1314</v>
      </c>
      <c r="C1796" s="74">
        <v>1209515849</v>
      </c>
      <c r="D1796" s="78" t="str">
        <f t="shared" si="58"/>
        <v>https://portal.dnb.de/opac.htm?method=simpleSearch&amp;cqlMode=true&amp;query=idn%3D1209515849</v>
      </c>
      <c r="E1796" s="74" t="s">
        <v>1315</v>
      </c>
      <c r="F1796" s="74"/>
      <c r="G1796" s="76"/>
      <c r="H1796" s="77"/>
      <c r="I1796" s="76"/>
      <c r="J1796" s="77"/>
      <c r="K1796" s="77"/>
      <c r="L1796" s="76"/>
      <c r="M1796" s="76"/>
      <c r="N1796" s="76"/>
      <c r="O1796" s="76"/>
      <c r="P1796" s="76"/>
      <c r="Q1796" s="76"/>
      <c r="R1796" s="76"/>
      <c r="S1796" s="76"/>
      <c r="BD1796" s="99">
        <f t="shared" si="59"/>
        <v>0</v>
      </c>
      <c r="CC1796" s="99"/>
      <c r="CV1796" s="99"/>
      <c r="CW1796" s="63"/>
    </row>
    <row r="1797" spans="1:101" x14ac:dyDescent="0.15">
      <c r="A1797" s="76">
        <v>1676</v>
      </c>
      <c r="B1797" s="74" t="s">
        <v>1319</v>
      </c>
      <c r="C1797" s="74">
        <v>993973132</v>
      </c>
      <c r="D1797" s="78" t="str">
        <f t="shared" si="58"/>
        <v>https://portal.dnb.de/opac.htm?method=simpleSearch&amp;cqlMode=true&amp;query=idn%3D993973132</v>
      </c>
      <c r="E1797" s="74" t="s">
        <v>1320</v>
      </c>
      <c r="F1797" s="74"/>
      <c r="G1797" s="76" t="s">
        <v>8515</v>
      </c>
      <c r="H1797" s="77" t="s">
        <v>4</v>
      </c>
      <c r="I1797" s="76" t="s">
        <v>54</v>
      </c>
      <c r="J1797" s="77" t="s">
        <v>58</v>
      </c>
      <c r="K1797" s="77" t="s">
        <v>8520</v>
      </c>
      <c r="L1797" s="76"/>
      <c r="M1797" s="76" t="s">
        <v>36</v>
      </c>
      <c r="N1797" s="76" t="s">
        <v>39</v>
      </c>
      <c r="O1797" s="76">
        <v>0</v>
      </c>
      <c r="P1797" s="76"/>
      <c r="Q1797" s="76"/>
      <c r="R1797" s="76"/>
      <c r="S1797" s="76"/>
      <c r="BD1797" s="99">
        <f t="shared" si="59"/>
        <v>0</v>
      </c>
      <c r="CC1797" s="99"/>
      <c r="CV1797" s="99"/>
      <c r="CW1797" s="63"/>
    </row>
    <row r="1798" spans="1:101" x14ac:dyDescent="0.15">
      <c r="A1798" s="76">
        <v>1677</v>
      </c>
      <c r="B1798" s="74" t="s">
        <v>1339</v>
      </c>
      <c r="C1798" s="74">
        <v>1000134776</v>
      </c>
      <c r="D1798" s="78" t="str">
        <f t="shared" si="58"/>
        <v>https://portal.dnb.de/opac.htm?method=simpleSearch&amp;cqlMode=true&amp;query=idn%3D1000134776</v>
      </c>
      <c r="E1798" s="74" t="s">
        <v>9012</v>
      </c>
      <c r="F1798" s="74"/>
      <c r="G1798" s="76" t="s">
        <v>8515</v>
      </c>
      <c r="H1798" s="77" t="s">
        <v>4</v>
      </c>
      <c r="I1798" s="76" t="s">
        <v>53</v>
      </c>
      <c r="J1798" s="77" t="s">
        <v>8516</v>
      </c>
      <c r="K1798" s="77" t="s">
        <v>8554</v>
      </c>
      <c r="L1798" s="76"/>
      <c r="M1798" s="76" t="s">
        <v>36</v>
      </c>
      <c r="N1798" s="76" t="s">
        <v>39</v>
      </c>
      <c r="O1798" s="76">
        <v>0</v>
      </c>
      <c r="P1798" s="76"/>
      <c r="Q1798" s="76"/>
      <c r="R1798" s="76"/>
      <c r="S1798" s="76"/>
      <c r="BD1798" s="99">
        <f t="shared" si="59"/>
        <v>0</v>
      </c>
      <c r="CC1798" s="99"/>
      <c r="CV1798" s="99"/>
      <c r="CW1798" s="63"/>
    </row>
    <row r="1799" spans="1:101" x14ac:dyDescent="0.15">
      <c r="A1799" s="76">
        <v>1678</v>
      </c>
      <c r="B1799" s="74" t="s">
        <v>1340</v>
      </c>
      <c r="C1799" s="74">
        <v>1000134954</v>
      </c>
      <c r="D1799" s="82" t="str">
        <f>HYPERLINK(CONCATENATE("https://portal.dnb.de/opac.htm?method=simpleSearch&amp;cqlMode=true&amp;query=idn%3D",C1799))</f>
        <v>https://portal.dnb.de/opac.htm?method=simpleSearch&amp;cqlMode=true&amp;query=idn%3D1000134954</v>
      </c>
      <c r="E1799" s="74" t="s">
        <v>9013</v>
      </c>
      <c r="F1799" s="74"/>
      <c r="G1799" s="76" t="s">
        <v>8515</v>
      </c>
      <c r="H1799" s="77" t="s">
        <v>4</v>
      </c>
      <c r="I1799" s="76" t="s">
        <v>53</v>
      </c>
      <c r="J1799" s="77" t="s">
        <v>8516</v>
      </c>
      <c r="K1799" s="77" t="s">
        <v>84</v>
      </c>
      <c r="L1799" s="76"/>
      <c r="M1799" s="76" t="s">
        <v>36</v>
      </c>
      <c r="N1799" s="76" t="s">
        <v>39</v>
      </c>
      <c r="O1799" s="76">
        <v>0</v>
      </c>
      <c r="P1799" s="76"/>
      <c r="Q1799" s="76"/>
      <c r="R1799" s="76"/>
      <c r="S1799" s="76"/>
      <c r="BD1799" s="99">
        <f t="shared" si="59"/>
        <v>0</v>
      </c>
      <c r="CC1799" s="99"/>
      <c r="CV1799" s="99"/>
      <c r="CW1799" s="63"/>
    </row>
    <row r="1800" spans="1:101" x14ac:dyDescent="0.15">
      <c r="A1800" s="76">
        <v>1679</v>
      </c>
      <c r="B1800" s="74" t="s">
        <v>1341</v>
      </c>
      <c r="C1800" s="74">
        <v>1000134903</v>
      </c>
      <c r="D1800" s="78" t="str">
        <f t="shared" si="58"/>
        <v>https://portal.dnb.de/opac.htm?method=simpleSearch&amp;cqlMode=true&amp;query=idn%3D1000134903</v>
      </c>
      <c r="E1800" s="74" t="s">
        <v>9014</v>
      </c>
      <c r="F1800" s="74"/>
      <c r="G1800" s="76" t="s">
        <v>8515</v>
      </c>
      <c r="H1800" s="77" t="s">
        <v>4</v>
      </c>
      <c r="I1800" s="76" t="s">
        <v>53</v>
      </c>
      <c r="J1800" s="77" t="s">
        <v>8516</v>
      </c>
      <c r="K1800" s="77" t="s">
        <v>8785</v>
      </c>
      <c r="L1800" s="76"/>
      <c r="M1800" s="76" t="s">
        <v>36</v>
      </c>
      <c r="N1800" s="76" t="s">
        <v>39</v>
      </c>
      <c r="O1800" s="76">
        <v>0</v>
      </c>
      <c r="P1800" s="76"/>
      <c r="Q1800" s="76"/>
      <c r="R1800" s="76"/>
      <c r="S1800" s="76"/>
      <c r="BD1800" s="99">
        <f t="shared" si="59"/>
        <v>0</v>
      </c>
      <c r="CC1800" s="99"/>
      <c r="CV1800" s="99"/>
      <c r="CW1800" s="63"/>
    </row>
    <row r="1801" spans="1:101" x14ac:dyDescent="0.15">
      <c r="A1801" s="76">
        <v>1680</v>
      </c>
      <c r="B1801" s="74" t="s">
        <v>1342</v>
      </c>
      <c r="C1801" s="74">
        <v>1000290026</v>
      </c>
      <c r="D1801" s="78" t="str">
        <f t="shared" si="58"/>
        <v>https://portal.dnb.de/opac.htm?method=simpleSearch&amp;cqlMode=true&amp;query=idn%3D1000290026</v>
      </c>
      <c r="E1801" s="74" t="s">
        <v>1343</v>
      </c>
      <c r="F1801" s="74"/>
      <c r="G1801" s="76"/>
      <c r="H1801" s="77"/>
      <c r="I1801" s="76"/>
      <c r="J1801" s="77"/>
      <c r="K1801" s="77"/>
      <c r="L1801" s="76"/>
      <c r="M1801" s="76"/>
      <c r="N1801" s="76"/>
      <c r="O1801" s="76"/>
      <c r="P1801" s="76"/>
      <c r="Q1801" s="76"/>
      <c r="R1801" s="76"/>
      <c r="S1801" s="76"/>
      <c r="BD1801" s="99">
        <f t="shared" si="59"/>
        <v>0</v>
      </c>
      <c r="CC1801" s="99"/>
      <c r="CV1801" s="99"/>
      <c r="CW1801" s="63"/>
    </row>
    <row r="1802" spans="1:101" x14ac:dyDescent="0.15">
      <c r="A1802" s="76">
        <v>1681</v>
      </c>
      <c r="B1802" s="74" t="s">
        <v>1348</v>
      </c>
      <c r="C1802" s="74">
        <v>1208655124</v>
      </c>
      <c r="D1802" s="78" t="str">
        <f t="shared" si="58"/>
        <v>https://portal.dnb.de/opac.htm?method=simpleSearch&amp;cqlMode=true&amp;query=idn%3D1208655124</v>
      </c>
      <c r="E1802" s="74" t="s">
        <v>1349</v>
      </c>
      <c r="F1802" s="74"/>
      <c r="G1802" s="76"/>
      <c r="H1802" s="77"/>
      <c r="I1802" s="76"/>
      <c r="J1802" s="77"/>
      <c r="K1802" s="77"/>
      <c r="L1802" s="76"/>
      <c r="M1802" s="76"/>
      <c r="N1802" s="76"/>
      <c r="O1802" s="76"/>
      <c r="P1802" s="76"/>
      <c r="Q1802" s="76"/>
      <c r="R1802" s="76"/>
      <c r="S1802" s="76"/>
      <c r="BD1802" s="99">
        <f t="shared" si="59"/>
        <v>0</v>
      </c>
      <c r="CC1802" s="99"/>
      <c r="CV1802" s="99"/>
      <c r="CW1802" s="63"/>
    </row>
    <row r="1803" spans="1:101" x14ac:dyDescent="0.15">
      <c r="A1803" s="76">
        <v>1682</v>
      </c>
      <c r="B1803" s="74" t="s">
        <v>1370</v>
      </c>
      <c r="C1803" s="74">
        <v>995725586</v>
      </c>
      <c r="D1803" s="78" t="str">
        <f t="shared" si="58"/>
        <v>https://portal.dnb.de/opac.htm?method=simpleSearch&amp;cqlMode=true&amp;query=idn%3D995725586</v>
      </c>
      <c r="E1803" s="74" t="s">
        <v>1371</v>
      </c>
      <c r="F1803" s="74"/>
      <c r="G1803" s="76"/>
      <c r="H1803" s="77"/>
      <c r="I1803" s="76"/>
      <c r="J1803" s="77"/>
      <c r="K1803" s="77"/>
      <c r="L1803" s="76"/>
      <c r="M1803" s="76"/>
      <c r="N1803" s="76"/>
      <c r="O1803" s="76"/>
      <c r="P1803" s="76"/>
      <c r="Q1803" s="76"/>
      <c r="R1803" s="76"/>
      <c r="S1803" s="76"/>
      <c r="BD1803" s="99">
        <f t="shared" si="59"/>
        <v>0</v>
      </c>
      <c r="CC1803" s="99"/>
      <c r="CV1803" s="99"/>
      <c r="CW1803" s="63"/>
    </row>
    <row r="1804" spans="1:101" x14ac:dyDescent="0.15">
      <c r="A1804" s="76">
        <v>1683</v>
      </c>
      <c r="B1804" s="74" t="s">
        <v>1372</v>
      </c>
      <c r="C1804" s="74">
        <v>995725608</v>
      </c>
      <c r="D1804" s="78" t="str">
        <f t="shared" si="58"/>
        <v>https://portal.dnb.de/opac.htm?method=simpleSearch&amp;cqlMode=true&amp;query=idn%3D995725608</v>
      </c>
      <c r="E1804" s="74" t="s">
        <v>1371</v>
      </c>
      <c r="F1804" s="74"/>
      <c r="G1804" s="76"/>
      <c r="H1804" s="77"/>
      <c r="I1804" s="76"/>
      <c r="J1804" s="77"/>
      <c r="K1804" s="77"/>
      <c r="L1804" s="76"/>
      <c r="M1804" s="76"/>
      <c r="N1804" s="76"/>
      <c r="O1804" s="76"/>
      <c r="P1804" s="76"/>
      <c r="Q1804" s="76"/>
      <c r="R1804" s="76"/>
      <c r="S1804" s="76"/>
      <c r="BD1804" s="99">
        <f t="shared" si="59"/>
        <v>0</v>
      </c>
      <c r="CC1804" s="99"/>
      <c r="CV1804" s="99"/>
      <c r="CW1804" s="63"/>
    </row>
    <row r="1805" spans="1:101" x14ac:dyDescent="0.15">
      <c r="A1805" s="76">
        <v>1684</v>
      </c>
      <c r="B1805" s="74" t="s">
        <v>1373</v>
      </c>
      <c r="C1805" s="74">
        <v>995725616</v>
      </c>
      <c r="D1805" s="78" t="str">
        <f t="shared" si="58"/>
        <v>https://portal.dnb.de/opac.htm?method=simpleSearch&amp;cqlMode=true&amp;query=idn%3D995725616</v>
      </c>
      <c r="E1805" s="74" t="s">
        <v>1371</v>
      </c>
      <c r="F1805" s="74"/>
      <c r="G1805" s="76"/>
      <c r="H1805" s="77"/>
      <c r="I1805" s="76"/>
      <c r="J1805" s="77"/>
      <c r="K1805" s="77"/>
      <c r="L1805" s="76"/>
      <c r="M1805" s="76"/>
      <c r="N1805" s="76"/>
      <c r="O1805" s="76"/>
      <c r="P1805" s="76"/>
      <c r="Q1805" s="76"/>
      <c r="R1805" s="76"/>
      <c r="S1805" s="76"/>
      <c r="BD1805" s="99">
        <f t="shared" si="59"/>
        <v>0</v>
      </c>
      <c r="CC1805" s="99"/>
      <c r="CV1805" s="99"/>
      <c r="CW1805" s="63"/>
    </row>
    <row r="1806" spans="1:101" x14ac:dyDescent="0.15">
      <c r="A1806" s="76">
        <v>1685</v>
      </c>
      <c r="B1806" s="74" t="s">
        <v>1374</v>
      </c>
      <c r="C1806" s="74">
        <v>995725624</v>
      </c>
      <c r="D1806" s="78" t="str">
        <f t="shared" si="58"/>
        <v>https://portal.dnb.de/opac.htm?method=simpleSearch&amp;cqlMode=true&amp;query=idn%3D995725624</v>
      </c>
      <c r="E1806" s="74" t="s">
        <v>1371</v>
      </c>
      <c r="F1806" s="74"/>
      <c r="G1806" s="76"/>
      <c r="H1806" s="77"/>
      <c r="I1806" s="76"/>
      <c r="J1806" s="77"/>
      <c r="K1806" s="77"/>
      <c r="L1806" s="76"/>
      <c r="M1806" s="76"/>
      <c r="N1806" s="76"/>
      <c r="O1806" s="76"/>
      <c r="P1806" s="76"/>
      <c r="Q1806" s="76"/>
      <c r="R1806" s="76"/>
      <c r="S1806" s="76"/>
      <c r="BD1806" s="99">
        <f t="shared" si="59"/>
        <v>0</v>
      </c>
      <c r="CC1806" s="99"/>
      <c r="CV1806" s="99"/>
      <c r="CW1806" s="63"/>
    </row>
    <row r="1807" spans="1:101" x14ac:dyDescent="0.15">
      <c r="A1807" s="76">
        <v>1686</v>
      </c>
      <c r="B1807" s="74" t="s">
        <v>1375</v>
      </c>
      <c r="C1807" s="74">
        <v>995725632</v>
      </c>
      <c r="D1807" s="78" t="str">
        <f t="shared" si="58"/>
        <v>https://portal.dnb.de/opac.htm?method=simpleSearch&amp;cqlMode=true&amp;query=idn%3D995725632</v>
      </c>
      <c r="E1807" s="74" t="s">
        <v>1371</v>
      </c>
      <c r="F1807" s="74"/>
      <c r="G1807" s="76"/>
      <c r="H1807" s="77"/>
      <c r="I1807" s="76"/>
      <c r="J1807" s="77"/>
      <c r="K1807" s="77"/>
      <c r="L1807" s="76"/>
      <c r="M1807" s="76"/>
      <c r="N1807" s="76"/>
      <c r="O1807" s="76"/>
      <c r="P1807" s="76"/>
      <c r="Q1807" s="76"/>
      <c r="R1807" s="76"/>
      <c r="S1807" s="76"/>
      <c r="BD1807" s="99">
        <f t="shared" si="59"/>
        <v>0</v>
      </c>
      <c r="CC1807" s="99"/>
      <c r="CV1807" s="99"/>
      <c r="CW1807" s="63"/>
    </row>
    <row r="1808" spans="1:101" x14ac:dyDescent="0.15">
      <c r="A1808" s="76">
        <v>1687</v>
      </c>
      <c r="B1808" s="74" t="s">
        <v>1376</v>
      </c>
      <c r="C1808" s="74">
        <v>1002802954</v>
      </c>
      <c r="D1808" s="78" t="str">
        <f t="shared" si="58"/>
        <v>https://portal.dnb.de/opac.htm?method=simpleSearch&amp;cqlMode=true&amp;query=idn%3D1002802954</v>
      </c>
      <c r="E1808" s="74" t="s">
        <v>1371</v>
      </c>
      <c r="F1808" s="74"/>
      <c r="G1808" s="76"/>
      <c r="H1808" s="77"/>
      <c r="I1808" s="76"/>
      <c r="J1808" s="77"/>
      <c r="K1808" s="77"/>
      <c r="L1808" s="76"/>
      <c r="M1808" s="76"/>
      <c r="N1808" s="76"/>
      <c r="O1808" s="76"/>
      <c r="P1808" s="76"/>
      <c r="Q1808" s="76"/>
      <c r="R1808" s="76"/>
      <c r="S1808" s="76"/>
      <c r="BD1808" s="99">
        <f t="shared" si="59"/>
        <v>0</v>
      </c>
      <c r="CC1808" s="99"/>
      <c r="CV1808" s="99"/>
      <c r="CW1808" s="63"/>
    </row>
    <row r="1809" spans="1:101" x14ac:dyDescent="0.15">
      <c r="A1809" s="76">
        <v>1688</v>
      </c>
      <c r="B1809" s="74" t="s">
        <v>1377</v>
      </c>
      <c r="C1809" s="74">
        <v>995725659</v>
      </c>
      <c r="D1809" s="78" t="str">
        <f t="shared" si="58"/>
        <v>https://portal.dnb.de/opac.htm?method=simpleSearch&amp;cqlMode=true&amp;query=idn%3D995725659</v>
      </c>
      <c r="E1809" s="74" t="s">
        <v>1371</v>
      </c>
      <c r="F1809" s="74"/>
      <c r="G1809" s="76"/>
      <c r="H1809" s="77"/>
      <c r="I1809" s="76"/>
      <c r="J1809" s="77"/>
      <c r="K1809" s="77"/>
      <c r="L1809" s="76"/>
      <c r="M1809" s="76"/>
      <c r="N1809" s="76"/>
      <c r="O1809" s="76"/>
      <c r="P1809" s="76"/>
      <c r="Q1809" s="76"/>
      <c r="R1809" s="76"/>
      <c r="S1809" s="76"/>
      <c r="BD1809" s="99">
        <f t="shared" si="59"/>
        <v>0</v>
      </c>
      <c r="CC1809" s="99"/>
      <c r="CV1809" s="99"/>
      <c r="CW1809" s="63"/>
    </row>
    <row r="1810" spans="1:101" x14ac:dyDescent="0.15">
      <c r="A1810" s="76">
        <v>1689</v>
      </c>
      <c r="B1810" s="74" t="s">
        <v>1378</v>
      </c>
      <c r="C1810" s="74">
        <v>995725578</v>
      </c>
      <c r="D1810" s="78" t="str">
        <f t="shared" si="58"/>
        <v>https://portal.dnb.de/opac.htm?method=simpleSearch&amp;cqlMode=true&amp;query=idn%3D995725578</v>
      </c>
      <c r="E1810" s="74" t="s">
        <v>1371</v>
      </c>
      <c r="F1810" s="74"/>
      <c r="G1810" s="76" t="s">
        <v>8515</v>
      </c>
      <c r="H1810" s="77" t="s">
        <v>5</v>
      </c>
      <c r="I1810" s="76" t="s">
        <v>53</v>
      </c>
      <c r="J1810" s="77" t="s">
        <v>89</v>
      </c>
      <c r="K1810" s="77" t="s">
        <v>72</v>
      </c>
      <c r="L1810" s="76"/>
      <c r="M1810" s="76" t="s">
        <v>36</v>
      </c>
      <c r="N1810" s="76" t="s">
        <v>39</v>
      </c>
      <c r="O1810" s="76">
        <v>0</v>
      </c>
      <c r="P1810" s="76"/>
      <c r="Q1810" s="76"/>
      <c r="R1810" s="76"/>
      <c r="S1810" s="76"/>
      <c r="BD1810" s="99">
        <f t="shared" si="59"/>
        <v>0</v>
      </c>
      <c r="CC1810" s="99"/>
      <c r="CV1810" s="99"/>
      <c r="CW1810" s="63"/>
    </row>
    <row r="1811" spans="1:101" x14ac:dyDescent="0.15">
      <c r="A1811" s="76">
        <v>1690</v>
      </c>
      <c r="B1811" s="74" t="s">
        <v>1382</v>
      </c>
      <c r="C1811" s="74">
        <v>1209072343</v>
      </c>
      <c r="D1811" s="78" t="str">
        <f t="shared" si="58"/>
        <v>https://portal.dnb.de/opac.htm?method=simpleSearch&amp;cqlMode=true&amp;query=idn%3D1209072343</v>
      </c>
      <c r="E1811" s="74" t="s">
        <v>1383</v>
      </c>
      <c r="F1811" s="74"/>
      <c r="G1811" s="76"/>
      <c r="H1811" s="77"/>
      <c r="I1811" s="76"/>
      <c r="J1811" s="77"/>
      <c r="K1811" s="77"/>
      <c r="L1811" s="76"/>
      <c r="M1811" s="76"/>
      <c r="N1811" s="76"/>
      <c r="O1811" s="76"/>
      <c r="P1811" s="76"/>
      <c r="Q1811" s="76"/>
      <c r="R1811" s="76"/>
      <c r="S1811" s="76"/>
      <c r="BD1811" s="99">
        <f t="shared" si="59"/>
        <v>0</v>
      </c>
      <c r="CC1811" s="99"/>
      <c r="CV1811" s="99"/>
      <c r="CW1811" s="63"/>
    </row>
    <row r="1812" spans="1:101" x14ac:dyDescent="0.15">
      <c r="A1812" s="76">
        <v>1691</v>
      </c>
      <c r="B1812" s="74" t="s">
        <v>1389</v>
      </c>
      <c r="C1812" s="74">
        <v>994448910</v>
      </c>
      <c r="D1812" s="78" t="str">
        <f t="shared" ref="D1812:D1878" si="60">HYPERLINK(CONCATENATE("https://portal.dnb.de/opac.htm?method=simpleSearch&amp;cqlMode=true&amp;query=idn%3D",C1812))</f>
        <v>https://portal.dnb.de/opac.htm?method=simpleSearch&amp;cqlMode=true&amp;query=idn%3D994448910</v>
      </c>
      <c r="E1812" s="74" t="s">
        <v>1390</v>
      </c>
      <c r="F1812" s="74"/>
      <c r="G1812" s="76" t="s">
        <v>8515</v>
      </c>
      <c r="H1812" s="77" t="s">
        <v>5</v>
      </c>
      <c r="I1812" s="76" t="s">
        <v>53</v>
      </c>
      <c r="J1812" s="77" t="s">
        <v>8516</v>
      </c>
      <c r="K1812" s="77" t="s">
        <v>72</v>
      </c>
      <c r="L1812" s="76"/>
      <c r="M1812" s="76" t="s">
        <v>36</v>
      </c>
      <c r="N1812" s="76" t="s">
        <v>39</v>
      </c>
      <c r="O1812" s="76">
        <v>0</v>
      </c>
      <c r="P1812" s="76"/>
      <c r="Q1812" s="76"/>
      <c r="R1812" s="76"/>
      <c r="S1812" s="76"/>
      <c r="BD1812" s="99">
        <f t="shared" si="59"/>
        <v>0</v>
      </c>
      <c r="CC1812" s="99"/>
      <c r="CV1812" s="99"/>
      <c r="CW1812" s="63"/>
    </row>
    <row r="1813" spans="1:101" x14ac:dyDescent="0.15">
      <c r="A1813" s="76">
        <v>1692</v>
      </c>
      <c r="B1813" s="74" t="s">
        <v>1391</v>
      </c>
      <c r="C1813" s="74">
        <v>1003493998</v>
      </c>
      <c r="D1813" s="78" t="str">
        <f t="shared" si="60"/>
        <v>https://portal.dnb.de/opac.htm?method=simpleSearch&amp;cqlMode=true&amp;query=idn%3D1003493998</v>
      </c>
      <c r="E1813" s="74" t="s">
        <v>1392</v>
      </c>
      <c r="F1813" s="74"/>
      <c r="G1813" s="76" t="s">
        <v>8515</v>
      </c>
      <c r="H1813" s="77" t="s">
        <v>48</v>
      </c>
      <c r="I1813" s="76" t="s">
        <v>53</v>
      </c>
      <c r="J1813" s="77" t="s">
        <v>8516</v>
      </c>
      <c r="K1813" s="77" t="s">
        <v>84</v>
      </c>
      <c r="L1813" s="76"/>
      <c r="M1813" s="76"/>
      <c r="N1813" s="76"/>
      <c r="O1813" s="76">
        <v>1</v>
      </c>
      <c r="P1813" s="76"/>
      <c r="Q1813" s="76"/>
      <c r="R1813" s="76"/>
      <c r="S1813" s="76"/>
      <c r="BD1813" s="99">
        <f t="shared" si="59"/>
        <v>0</v>
      </c>
      <c r="CC1813" s="99"/>
      <c r="CV1813" s="99"/>
      <c r="CW1813" s="63"/>
    </row>
    <row r="1814" spans="1:101" x14ac:dyDescent="0.15">
      <c r="A1814" s="76">
        <v>1693</v>
      </c>
      <c r="B1814" s="74" t="s">
        <v>1399</v>
      </c>
      <c r="C1814" s="74">
        <v>1066956995</v>
      </c>
      <c r="D1814" s="78" t="str">
        <f t="shared" si="60"/>
        <v>https://portal.dnb.de/opac.htm?method=simpleSearch&amp;cqlMode=true&amp;query=idn%3D1066956995</v>
      </c>
      <c r="E1814" s="74" t="s">
        <v>1400</v>
      </c>
      <c r="F1814" s="74"/>
      <c r="G1814" s="76"/>
      <c r="H1814" s="77"/>
      <c r="I1814" s="76"/>
      <c r="J1814" s="77"/>
      <c r="K1814" s="77"/>
      <c r="L1814" s="76"/>
      <c r="M1814" s="76"/>
      <c r="N1814" s="76"/>
      <c r="O1814" s="76"/>
      <c r="P1814" s="76"/>
      <c r="Q1814" s="76"/>
      <c r="R1814" s="76"/>
      <c r="S1814" s="76"/>
      <c r="BD1814" s="99">
        <f t="shared" si="59"/>
        <v>0</v>
      </c>
      <c r="CC1814" s="99"/>
      <c r="CV1814" s="99"/>
      <c r="CW1814" s="63"/>
    </row>
    <row r="1815" spans="1:101" ht="33.75" x14ac:dyDescent="0.15">
      <c r="A1815" s="76">
        <v>1694</v>
      </c>
      <c r="B1815" s="74" t="s">
        <v>1430</v>
      </c>
      <c r="C1815" s="74">
        <v>1132640148</v>
      </c>
      <c r="D1815" s="78" t="str">
        <f t="shared" si="60"/>
        <v>https://portal.dnb.de/opac.htm?method=simpleSearch&amp;cqlMode=true&amp;query=idn%3D1132640148</v>
      </c>
      <c r="E1815" s="74" t="s">
        <v>9672</v>
      </c>
      <c r="F1815" s="74"/>
      <c r="G1815" s="76" t="s">
        <v>8515</v>
      </c>
      <c r="H1815" s="77" t="s">
        <v>8673</v>
      </c>
      <c r="I1815" s="76" t="s">
        <v>55</v>
      </c>
      <c r="J1815" s="77" t="s">
        <v>8516</v>
      </c>
      <c r="K1815" s="77" t="s">
        <v>8667</v>
      </c>
      <c r="L1815" s="76"/>
      <c r="M1815" s="76" t="s">
        <v>37</v>
      </c>
      <c r="N1815" s="76" t="s">
        <v>40</v>
      </c>
      <c r="O1815" s="76">
        <v>2</v>
      </c>
      <c r="P1815" s="76"/>
      <c r="Q1815" s="76"/>
      <c r="R1815" s="76"/>
      <c r="S1815" s="76"/>
      <c r="Y1815" s="95" t="s">
        <v>9729</v>
      </c>
      <c r="AA1815" s="95" t="s">
        <v>8541</v>
      </c>
      <c r="AC1815" s="95" t="s">
        <v>9724</v>
      </c>
      <c r="AE1815" s="95" t="s">
        <v>8541</v>
      </c>
      <c r="AI1815" s="95" t="s">
        <v>9725</v>
      </c>
      <c r="AW1815" s="95">
        <v>60</v>
      </c>
      <c r="BC1815" s="96" t="s">
        <v>9726</v>
      </c>
      <c r="BD1815" s="99">
        <f t="shared" si="59"/>
        <v>3</v>
      </c>
      <c r="BH1815" s="95" t="s">
        <v>8541</v>
      </c>
      <c r="BO1815" s="70" t="s">
        <v>10036</v>
      </c>
      <c r="BP1815" s="69" t="s">
        <v>8541</v>
      </c>
      <c r="BQ1815" s="95" t="s">
        <v>8541</v>
      </c>
      <c r="BR1815" s="95" t="s">
        <v>8541</v>
      </c>
      <c r="CC1815" s="99">
        <v>1.5</v>
      </c>
      <c r="CD1815" s="90" t="s">
        <v>10418</v>
      </c>
      <c r="CQ1815" s="95" t="s">
        <v>8541</v>
      </c>
      <c r="CV1815" s="99">
        <v>1.5</v>
      </c>
      <c r="CW1815" s="90" t="s">
        <v>10417</v>
      </c>
    </row>
    <row r="1816" spans="1:101" ht="33.75" x14ac:dyDescent="0.15">
      <c r="A1816" s="76">
        <v>1695</v>
      </c>
      <c r="B1816" s="74" t="s">
        <v>1431</v>
      </c>
      <c r="C1816" s="74">
        <v>1132640156</v>
      </c>
      <c r="D1816" s="78" t="str">
        <f t="shared" si="60"/>
        <v>https://portal.dnb.de/opac.htm?method=simpleSearch&amp;cqlMode=true&amp;query=idn%3D1132640156</v>
      </c>
      <c r="E1816" s="74" t="s">
        <v>9673</v>
      </c>
      <c r="F1816" s="74"/>
      <c r="G1816" s="76" t="s">
        <v>8515</v>
      </c>
      <c r="H1816" s="77" t="s">
        <v>8673</v>
      </c>
      <c r="I1816" s="76" t="s">
        <v>55</v>
      </c>
      <c r="J1816" s="77" t="s">
        <v>8516</v>
      </c>
      <c r="K1816" s="77" t="s">
        <v>8667</v>
      </c>
      <c r="L1816" s="76"/>
      <c r="M1816" s="76" t="s">
        <v>37</v>
      </c>
      <c r="N1816" s="76" t="s">
        <v>40</v>
      </c>
      <c r="O1816" s="76">
        <v>2</v>
      </c>
      <c r="P1816" s="76"/>
      <c r="Q1816" s="76"/>
      <c r="R1816" s="76"/>
      <c r="S1816" s="76"/>
      <c r="Y1816" s="95" t="s">
        <v>9729</v>
      </c>
      <c r="AA1816" s="95" t="s">
        <v>8541</v>
      </c>
      <c r="AC1816" s="95" t="s">
        <v>9724</v>
      </c>
      <c r="AE1816" s="95" t="s">
        <v>8541</v>
      </c>
      <c r="AI1816" s="95" t="s">
        <v>9725</v>
      </c>
      <c r="AW1816" s="95">
        <v>60</v>
      </c>
      <c r="BC1816" s="96" t="s">
        <v>9726</v>
      </c>
      <c r="BD1816" s="99">
        <f t="shared" si="59"/>
        <v>2</v>
      </c>
      <c r="BH1816" s="95" t="s">
        <v>8541</v>
      </c>
      <c r="BO1816" s="70" t="s">
        <v>10036</v>
      </c>
      <c r="BP1816" s="69" t="s">
        <v>8541</v>
      </c>
      <c r="BQ1816" s="95" t="s">
        <v>8541</v>
      </c>
      <c r="BR1816" s="95" t="s">
        <v>8541</v>
      </c>
      <c r="CC1816" s="99">
        <v>2</v>
      </c>
      <c r="CD1816" s="90" t="s">
        <v>10419</v>
      </c>
      <c r="CV1816" s="99"/>
      <c r="CW1816" s="63"/>
    </row>
    <row r="1817" spans="1:101" ht="45" x14ac:dyDescent="0.15">
      <c r="A1817" s="76">
        <v>1696</v>
      </c>
      <c r="B1817" s="74" t="s">
        <v>1432</v>
      </c>
      <c r="C1817" s="74" t="s">
        <v>1433</v>
      </c>
      <c r="D1817" s="78" t="str">
        <f t="shared" si="60"/>
        <v>https://portal.dnb.de/opac.htm?method=simpleSearch&amp;cqlMode=true&amp;query=idn%3D113264013X</v>
      </c>
      <c r="E1817" s="74" t="s">
        <v>9674</v>
      </c>
      <c r="F1817" s="74"/>
      <c r="G1817" s="76" t="s">
        <v>8515</v>
      </c>
      <c r="H1817" s="77" t="s">
        <v>8673</v>
      </c>
      <c r="I1817" s="76" t="s">
        <v>55</v>
      </c>
      <c r="J1817" s="77" t="s">
        <v>8516</v>
      </c>
      <c r="K1817" s="77" t="s">
        <v>9675</v>
      </c>
      <c r="L1817" s="76"/>
      <c r="M1817" s="76" t="s">
        <v>37</v>
      </c>
      <c r="N1817" s="76" t="s">
        <v>8695</v>
      </c>
      <c r="O1817" s="76">
        <v>3</v>
      </c>
      <c r="P1817" s="76"/>
      <c r="Q1817" s="76"/>
      <c r="R1817" s="76"/>
      <c r="S1817" s="76"/>
      <c r="Y1817" s="95" t="s">
        <v>9729</v>
      </c>
      <c r="AA1817" s="95" t="s">
        <v>8541</v>
      </c>
      <c r="AC1817" s="95" t="s">
        <v>9724</v>
      </c>
      <c r="AE1817" s="95" t="s">
        <v>8541</v>
      </c>
      <c r="AI1817" s="95" t="s">
        <v>9725</v>
      </c>
      <c r="AW1817" s="95">
        <v>60</v>
      </c>
      <c r="BC1817" s="96" t="s">
        <v>9726</v>
      </c>
      <c r="BD1817" s="99">
        <f t="shared" si="59"/>
        <v>7</v>
      </c>
      <c r="BH1817" s="95" t="s">
        <v>8541</v>
      </c>
      <c r="BJ1817" s="96" t="s">
        <v>10413</v>
      </c>
      <c r="BK1817" s="96"/>
      <c r="BL1817" s="70" t="s">
        <v>10414</v>
      </c>
      <c r="BO1817" s="70" t="s">
        <v>10036</v>
      </c>
      <c r="BP1817" s="69" t="s">
        <v>8541</v>
      </c>
      <c r="BQ1817" s="95" t="s">
        <v>8541</v>
      </c>
      <c r="BR1817" s="95" t="s">
        <v>8541</v>
      </c>
      <c r="BS1817" s="95" t="s">
        <v>8541</v>
      </c>
      <c r="BT1817" s="95" t="s">
        <v>9737</v>
      </c>
      <c r="CC1817" s="99">
        <v>6</v>
      </c>
      <c r="CD1817" s="90" t="s">
        <v>10415</v>
      </c>
      <c r="CQ1817" s="95" t="s">
        <v>8541</v>
      </c>
      <c r="CV1817" s="99">
        <v>1</v>
      </c>
      <c r="CW1817" s="63" t="s">
        <v>10416</v>
      </c>
    </row>
    <row r="1818" spans="1:101" ht="33.75" x14ac:dyDescent="0.15">
      <c r="A1818" s="76">
        <v>1697</v>
      </c>
      <c r="B1818" s="74" t="s">
        <v>1464</v>
      </c>
      <c r="C1818" s="74">
        <v>999665731</v>
      </c>
      <c r="D1818" s="78" t="str">
        <f t="shared" si="60"/>
        <v>https://portal.dnb.de/opac.htm?method=simpleSearch&amp;cqlMode=true&amp;query=idn%3D999665731</v>
      </c>
      <c r="E1818" s="74" t="s">
        <v>9676</v>
      </c>
      <c r="F1818" s="74"/>
      <c r="G1818" s="76"/>
      <c r="H1818" s="77" t="s">
        <v>5</v>
      </c>
      <c r="I1818" s="76" t="s">
        <v>55</v>
      </c>
      <c r="J1818" s="77" t="s">
        <v>8516</v>
      </c>
      <c r="K1818" s="77" t="s">
        <v>9624</v>
      </c>
      <c r="L1818" s="76"/>
      <c r="M1818" s="76" t="s">
        <v>36</v>
      </c>
      <c r="N1818" s="76" t="s">
        <v>39</v>
      </c>
      <c r="O1818" s="76">
        <v>1</v>
      </c>
      <c r="P1818" s="76"/>
      <c r="Q1818" s="76"/>
      <c r="R1818" s="76"/>
      <c r="S1818" s="76"/>
      <c r="BD1818" s="99">
        <f t="shared" si="59"/>
        <v>0</v>
      </c>
      <c r="CC1818" s="99"/>
      <c r="CV1818" s="99"/>
      <c r="CW1818" s="63"/>
    </row>
    <row r="1819" spans="1:101" ht="33.75" x14ac:dyDescent="0.15">
      <c r="A1819" s="76">
        <v>1698</v>
      </c>
      <c r="B1819" s="74" t="s">
        <v>1465</v>
      </c>
      <c r="C1819" s="74">
        <v>999666142</v>
      </c>
      <c r="D1819" s="78" t="str">
        <f t="shared" si="60"/>
        <v>https://portal.dnb.de/opac.htm?method=simpleSearch&amp;cqlMode=true&amp;query=idn%3D999666142</v>
      </c>
      <c r="E1819" s="74" t="s">
        <v>9677</v>
      </c>
      <c r="F1819" s="74"/>
      <c r="G1819" s="76"/>
      <c r="H1819" s="77" t="s">
        <v>5</v>
      </c>
      <c r="I1819" s="76" t="s">
        <v>55</v>
      </c>
      <c r="J1819" s="77" t="s">
        <v>8516</v>
      </c>
      <c r="K1819" s="77" t="s">
        <v>9624</v>
      </c>
      <c r="L1819" s="76"/>
      <c r="M1819" s="76" t="s">
        <v>36</v>
      </c>
      <c r="N1819" s="76" t="s">
        <v>39</v>
      </c>
      <c r="O1819" s="76">
        <v>2</v>
      </c>
      <c r="P1819" s="76"/>
      <c r="Q1819" s="76"/>
      <c r="R1819" s="76"/>
      <c r="S1819" s="76"/>
      <c r="Y1819" s="95" t="s">
        <v>9723</v>
      </c>
      <c r="AC1819" s="95" t="s">
        <v>9724</v>
      </c>
      <c r="AI1819" s="95" t="s">
        <v>9725</v>
      </c>
      <c r="AW1819" s="95">
        <v>60</v>
      </c>
      <c r="BC1819" s="96" t="s">
        <v>9726</v>
      </c>
      <c r="BD1819" s="99">
        <f t="shared" si="59"/>
        <v>2.5</v>
      </c>
      <c r="BJ1819" s="95" t="s">
        <v>9741</v>
      </c>
      <c r="BK1819" s="95" t="s">
        <v>8541</v>
      </c>
      <c r="BP1819" s="69" t="s">
        <v>8541</v>
      </c>
      <c r="BQ1819" s="95" t="s">
        <v>8541</v>
      </c>
      <c r="BR1819" s="95" t="s">
        <v>8541</v>
      </c>
      <c r="CC1819" s="99">
        <v>1.5</v>
      </c>
      <c r="CD1819" s="90" t="s">
        <v>10119</v>
      </c>
      <c r="CN1819" s="95" t="s">
        <v>8541</v>
      </c>
      <c r="CV1819" s="99">
        <v>1</v>
      </c>
      <c r="CW1819" s="90" t="s">
        <v>10420</v>
      </c>
    </row>
    <row r="1820" spans="1:101" x14ac:dyDescent="0.15">
      <c r="A1820" s="76">
        <v>1699</v>
      </c>
      <c r="B1820" s="74" t="s">
        <v>1466</v>
      </c>
      <c r="C1820" s="74">
        <v>997963271</v>
      </c>
      <c r="D1820" s="78" t="str">
        <f t="shared" si="60"/>
        <v>https://portal.dnb.de/opac.htm?method=simpleSearch&amp;cqlMode=true&amp;query=idn%3D997963271</v>
      </c>
      <c r="E1820" s="74" t="s">
        <v>1467</v>
      </c>
      <c r="F1820" s="74"/>
      <c r="G1820" s="76"/>
      <c r="H1820" s="77" t="s">
        <v>4</v>
      </c>
      <c r="I1820" s="76" t="s">
        <v>53</v>
      </c>
      <c r="J1820" s="77" t="s">
        <v>58</v>
      </c>
      <c r="K1820" s="77" t="s">
        <v>84</v>
      </c>
      <c r="L1820" s="76"/>
      <c r="M1820" s="76" t="s">
        <v>38</v>
      </c>
      <c r="N1820" s="76" t="s">
        <v>40</v>
      </c>
      <c r="O1820" s="76">
        <v>0</v>
      </c>
      <c r="P1820" s="76"/>
      <c r="Q1820" s="76"/>
      <c r="R1820" s="76"/>
      <c r="S1820" s="76"/>
      <c r="Y1820" s="95" t="s">
        <v>9729</v>
      </c>
      <c r="AC1820" s="95" t="s">
        <v>9739</v>
      </c>
      <c r="AI1820" s="95" t="s">
        <v>9725</v>
      </c>
      <c r="AW1820" s="95" t="s">
        <v>9733</v>
      </c>
      <c r="BC1820" s="96" t="s">
        <v>9734</v>
      </c>
      <c r="BD1820" s="99">
        <f t="shared" si="59"/>
        <v>0</v>
      </c>
      <c r="BF1820" s="95" t="s">
        <v>10005</v>
      </c>
      <c r="BL1820" s="70" t="s">
        <v>10015</v>
      </c>
      <c r="CC1820" s="99"/>
      <c r="CV1820" s="99"/>
      <c r="CW1820" s="63"/>
    </row>
    <row r="1821" spans="1:101" x14ac:dyDescent="0.15">
      <c r="A1821" s="76">
        <v>1700</v>
      </c>
      <c r="B1821" s="74" t="s">
        <v>1470</v>
      </c>
      <c r="C1821" s="74">
        <v>996907637</v>
      </c>
      <c r="D1821" s="78" t="str">
        <f t="shared" si="60"/>
        <v>https://portal.dnb.de/opac.htm?method=simpleSearch&amp;cqlMode=true&amp;query=idn%3D996907637</v>
      </c>
      <c r="E1821" s="74" t="s">
        <v>9016</v>
      </c>
      <c r="F1821" s="74"/>
      <c r="G1821" s="76"/>
      <c r="H1821" s="77"/>
      <c r="I1821" s="76"/>
      <c r="J1821" s="77"/>
      <c r="K1821" s="77"/>
      <c r="L1821" s="76"/>
      <c r="M1821" s="76"/>
      <c r="N1821" s="76"/>
      <c r="O1821" s="76"/>
      <c r="P1821" s="76"/>
      <c r="Q1821" s="76"/>
      <c r="R1821" s="76"/>
      <c r="S1821" s="76"/>
      <c r="BD1821" s="99">
        <f t="shared" si="59"/>
        <v>0</v>
      </c>
      <c r="CC1821" s="99"/>
      <c r="CV1821" s="99"/>
      <c r="CW1821" s="63"/>
    </row>
    <row r="1822" spans="1:101" x14ac:dyDescent="0.15">
      <c r="A1822" s="76">
        <v>1701</v>
      </c>
      <c r="B1822" s="74" t="s">
        <v>1472</v>
      </c>
      <c r="C1822" s="74">
        <v>996907610</v>
      </c>
      <c r="D1822" s="78" t="str">
        <f t="shared" si="60"/>
        <v>https://portal.dnb.de/opac.htm?method=simpleSearch&amp;cqlMode=true&amp;query=idn%3D996907610</v>
      </c>
      <c r="E1822" s="74" t="s">
        <v>1471</v>
      </c>
      <c r="F1822" s="74"/>
      <c r="G1822" s="76"/>
      <c r="H1822" s="77"/>
      <c r="I1822" s="76"/>
      <c r="J1822" s="77"/>
      <c r="K1822" s="77"/>
      <c r="L1822" s="76"/>
      <c r="M1822" s="76"/>
      <c r="N1822" s="76"/>
      <c r="O1822" s="76">
        <v>0</v>
      </c>
      <c r="P1822" s="76"/>
      <c r="Q1822" s="76"/>
      <c r="R1822" s="76"/>
      <c r="S1822" s="76"/>
      <c r="BD1822" s="99">
        <f t="shared" si="59"/>
        <v>0</v>
      </c>
      <c r="CC1822" s="99"/>
      <c r="CV1822" s="99"/>
      <c r="CW1822" s="63"/>
    </row>
    <row r="1823" spans="1:101" x14ac:dyDescent="0.15">
      <c r="A1823" s="76">
        <v>1702</v>
      </c>
      <c r="B1823" s="74" t="s">
        <v>1473</v>
      </c>
      <c r="C1823" s="74">
        <v>996907599</v>
      </c>
      <c r="D1823" s="78" t="str">
        <f t="shared" si="60"/>
        <v>https://portal.dnb.de/opac.htm?method=simpleSearch&amp;cqlMode=true&amp;query=idn%3D996907599</v>
      </c>
      <c r="E1823" s="74" t="s">
        <v>9015</v>
      </c>
      <c r="F1823" s="74"/>
      <c r="G1823" s="76"/>
      <c r="H1823" s="77" t="s">
        <v>49</v>
      </c>
      <c r="I1823" s="76" t="s">
        <v>53</v>
      </c>
      <c r="J1823" s="77" t="s">
        <v>8516</v>
      </c>
      <c r="K1823" s="77" t="s">
        <v>84</v>
      </c>
      <c r="L1823" s="76"/>
      <c r="M1823" s="76"/>
      <c r="N1823" s="76"/>
      <c r="O1823" s="76"/>
      <c r="P1823" s="76"/>
      <c r="Q1823" s="76"/>
      <c r="R1823" s="76"/>
      <c r="S1823" s="76"/>
      <c r="BD1823" s="99">
        <f t="shared" si="59"/>
        <v>0</v>
      </c>
      <c r="CC1823" s="99"/>
      <c r="CV1823" s="99"/>
      <c r="CW1823" s="63"/>
    </row>
    <row r="1824" spans="1:101" x14ac:dyDescent="0.15">
      <c r="A1824" s="76">
        <v>1703</v>
      </c>
      <c r="B1824" s="74" t="s">
        <v>1476</v>
      </c>
      <c r="C1824" s="74">
        <v>12706442</v>
      </c>
      <c r="D1824" s="78" t="str">
        <f t="shared" si="60"/>
        <v>https://portal.dnb.de/opac.htm?method=simpleSearch&amp;cqlMode=true&amp;query=idn%3D12706442</v>
      </c>
      <c r="E1824" s="74" t="s">
        <v>1477</v>
      </c>
      <c r="F1824" s="74"/>
      <c r="G1824" s="76"/>
      <c r="H1824" s="77" t="s">
        <v>4</v>
      </c>
      <c r="I1824" s="76" t="s">
        <v>53</v>
      </c>
      <c r="J1824" s="77" t="s">
        <v>8516</v>
      </c>
      <c r="K1824" s="77" t="s">
        <v>87</v>
      </c>
      <c r="L1824" s="76"/>
      <c r="M1824" s="76" t="s">
        <v>38</v>
      </c>
      <c r="N1824" s="76" t="s">
        <v>40</v>
      </c>
      <c r="O1824" s="76">
        <v>0</v>
      </c>
      <c r="P1824" s="76"/>
      <c r="Q1824" s="76"/>
      <c r="R1824" s="76"/>
      <c r="S1824" s="76"/>
      <c r="BD1824" s="99">
        <f t="shared" si="59"/>
        <v>0</v>
      </c>
      <c r="CC1824" s="99"/>
      <c r="CV1824" s="99"/>
      <c r="CW1824" s="63"/>
    </row>
    <row r="1825" spans="1:101" x14ac:dyDescent="0.15">
      <c r="A1825" s="76">
        <v>1704</v>
      </c>
      <c r="B1825" s="74" t="s">
        <v>1502</v>
      </c>
      <c r="C1825" s="74">
        <v>11188596</v>
      </c>
      <c r="D1825" s="78" t="str">
        <f t="shared" si="60"/>
        <v>https://portal.dnb.de/opac.htm?method=simpleSearch&amp;cqlMode=true&amp;query=idn%3D11188596</v>
      </c>
      <c r="E1825" s="74" t="s">
        <v>1477</v>
      </c>
      <c r="F1825" s="74"/>
      <c r="G1825" s="76"/>
      <c r="H1825" s="77"/>
      <c r="I1825" s="76"/>
      <c r="J1825" s="77"/>
      <c r="K1825" s="77"/>
      <c r="L1825" s="76"/>
      <c r="M1825" s="76"/>
      <c r="N1825" s="76"/>
      <c r="O1825" s="76"/>
      <c r="P1825" s="76"/>
      <c r="Q1825" s="76"/>
      <c r="R1825" s="76"/>
      <c r="S1825" s="76"/>
      <c r="BD1825" s="99">
        <f t="shared" si="59"/>
        <v>0</v>
      </c>
      <c r="CC1825" s="99"/>
      <c r="CV1825" s="99"/>
      <c r="CW1825" s="63"/>
    </row>
    <row r="1826" spans="1:101" x14ac:dyDescent="0.15">
      <c r="A1826" s="76">
        <v>1705</v>
      </c>
      <c r="B1826" s="74" t="s">
        <v>1482</v>
      </c>
      <c r="C1826" s="74">
        <v>1000497518</v>
      </c>
      <c r="D1826" s="78" t="str">
        <f t="shared" si="60"/>
        <v>https://portal.dnb.de/opac.htm?method=simpleSearch&amp;cqlMode=true&amp;query=idn%3D1000497518</v>
      </c>
      <c r="E1826" s="74" t="s">
        <v>9017</v>
      </c>
      <c r="F1826" s="74"/>
      <c r="G1826" s="76" t="s">
        <v>8515</v>
      </c>
      <c r="H1826" s="77" t="s">
        <v>5</v>
      </c>
      <c r="I1826" s="76" t="s">
        <v>53</v>
      </c>
      <c r="J1826" s="77" t="s">
        <v>58</v>
      </c>
      <c r="K1826" s="77" t="s">
        <v>8520</v>
      </c>
      <c r="L1826" s="76"/>
      <c r="M1826" s="76" t="s">
        <v>38</v>
      </c>
      <c r="N1826" s="76" t="s">
        <v>40</v>
      </c>
      <c r="O1826" s="76">
        <v>1</v>
      </c>
      <c r="P1826" s="76"/>
      <c r="Q1826" s="76"/>
      <c r="R1826" s="76"/>
      <c r="S1826" s="76"/>
      <c r="BD1826" s="99">
        <f t="shared" si="59"/>
        <v>0</v>
      </c>
      <c r="CC1826" s="99"/>
      <c r="CV1826" s="99"/>
      <c r="CW1826" s="63"/>
    </row>
    <row r="1827" spans="1:101" x14ac:dyDescent="0.15">
      <c r="A1827" s="76">
        <v>1706</v>
      </c>
      <c r="B1827" s="74" t="s">
        <v>1483</v>
      </c>
      <c r="C1827" s="74">
        <v>1000497488</v>
      </c>
      <c r="D1827" s="78" t="e">
        <f>E1826-E1833=HYPERLINK(CONCATENATE("https://portal.dnb.de/opac.htm?method=simpleSearch&amp;cqlMode=true&amp;query=idn%3D",C1827))</f>
        <v>#VALUE!</v>
      </c>
      <c r="E1827" s="74" t="s">
        <v>9018</v>
      </c>
      <c r="F1827" s="74"/>
      <c r="G1827" s="76" t="s">
        <v>8541</v>
      </c>
      <c r="H1827" s="77" t="s">
        <v>5</v>
      </c>
      <c r="I1827" s="76" t="s">
        <v>53</v>
      </c>
      <c r="J1827" s="77" t="s">
        <v>58</v>
      </c>
      <c r="K1827" s="77" t="s">
        <v>8520</v>
      </c>
      <c r="L1827" s="76"/>
      <c r="M1827" s="76" t="s">
        <v>38</v>
      </c>
      <c r="N1827" s="76" t="s">
        <v>8695</v>
      </c>
      <c r="O1827" s="76">
        <v>1</v>
      </c>
      <c r="P1827" s="76"/>
      <c r="Q1827" s="76"/>
      <c r="R1827" s="76"/>
      <c r="S1827" s="76"/>
      <c r="BD1827" s="99">
        <f t="shared" si="59"/>
        <v>0</v>
      </c>
      <c r="CC1827" s="99"/>
      <c r="CV1827" s="99"/>
      <c r="CW1827" s="63"/>
    </row>
    <row r="1828" spans="1:101" x14ac:dyDescent="0.15">
      <c r="A1828" s="76">
        <v>1707</v>
      </c>
      <c r="B1828" s="74" t="s">
        <v>1484</v>
      </c>
      <c r="C1828" s="74">
        <v>1000497453</v>
      </c>
      <c r="D1828" s="82" t="str">
        <f>HYPERLINK(CONCATENATE("https://portal.dnb.de/opac.htm?method=simpleSearch&amp;cqlMode=true&amp;query=idn%3D",C1828))</f>
        <v>https://portal.dnb.de/opac.htm?method=simpleSearch&amp;cqlMode=true&amp;query=idn%3D1000497453</v>
      </c>
      <c r="E1828" s="74" t="s">
        <v>9019</v>
      </c>
      <c r="F1828" s="74"/>
      <c r="G1828" s="76" t="s">
        <v>8515</v>
      </c>
      <c r="H1828" s="77" t="s">
        <v>5</v>
      </c>
      <c r="I1828" s="76" t="s">
        <v>53</v>
      </c>
      <c r="J1828" s="77" t="s">
        <v>58</v>
      </c>
      <c r="K1828" s="77" t="s">
        <v>8520</v>
      </c>
      <c r="L1828" s="76"/>
      <c r="M1828" s="76" t="s">
        <v>38</v>
      </c>
      <c r="N1828" s="76" t="s">
        <v>40</v>
      </c>
      <c r="O1828" s="76">
        <v>1</v>
      </c>
      <c r="P1828" s="76"/>
      <c r="Q1828" s="76"/>
      <c r="R1828" s="76"/>
      <c r="S1828" s="76"/>
      <c r="BD1828" s="99">
        <f t="shared" si="59"/>
        <v>0</v>
      </c>
      <c r="CC1828" s="99"/>
      <c r="CV1828" s="99"/>
      <c r="CW1828" s="63"/>
    </row>
    <row r="1829" spans="1:101" ht="22.5" x14ac:dyDescent="0.15">
      <c r="A1829" s="76">
        <v>1708</v>
      </c>
      <c r="B1829" s="74" t="s">
        <v>1485</v>
      </c>
      <c r="C1829" s="74">
        <v>1002741319</v>
      </c>
      <c r="D1829" s="78" t="str">
        <f t="shared" si="60"/>
        <v>https://portal.dnb.de/opac.htm?method=simpleSearch&amp;cqlMode=true&amp;query=idn%3D1002741319</v>
      </c>
      <c r="E1829" s="74" t="s">
        <v>1486</v>
      </c>
      <c r="F1829" s="74"/>
      <c r="G1829" s="76"/>
      <c r="H1829" s="77" t="s">
        <v>4</v>
      </c>
      <c r="I1829" s="76" t="s">
        <v>53</v>
      </c>
      <c r="J1829" s="77" t="s">
        <v>8516</v>
      </c>
      <c r="K1829" s="77" t="s">
        <v>8688</v>
      </c>
      <c r="L1829" s="76"/>
      <c r="M1829" s="76" t="s">
        <v>36</v>
      </c>
      <c r="N1829" s="76" t="s">
        <v>39</v>
      </c>
      <c r="O1829" s="76">
        <v>1</v>
      </c>
      <c r="P1829" s="76"/>
      <c r="Q1829" s="76"/>
      <c r="R1829" s="76"/>
      <c r="S1829" s="76"/>
      <c r="BD1829" s="99">
        <f t="shared" si="59"/>
        <v>0</v>
      </c>
      <c r="CC1829" s="99"/>
      <c r="CV1829" s="99"/>
      <c r="CW1829" s="63"/>
    </row>
    <row r="1830" spans="1:101" x14ac:dyDescent="0.15">
      <c r="A1830" s="76">
        <v>1709</v>
      </c>
      <c r="B1830" s="74" t="s">
        <v>1500</v>
      </c>
      <c r="C1830" s="74">
        <v>994338120</v>
      </c>
      <c r="D1830" s="78" t="str">
        <f t="shared" si="60"/>
        <v>https://portal.dnb.de/opac.htm?method=simpleSearch&amp;cqlMode=true&amp;query=idn%3D994338120</v>
      </c>
      <c r="E1830" s="74" t="s">
        <v>1501</v>
      </c>
      <c r="F1830" s="74"/>
      <c r="G1830" s="76"/>
      <c r="H1830" s="77" t="s">
        <v>5</v>
      </c>
      <c r="I1830" s="76" t="s">
        <v>53</v>
      </c>
      <c r="J1830" s="77" t="s">
        <v>8516</v>
      </c>
      <c r="K1830" s="77" t="s">
        <v>8520</v>
      </c>
      <c r="L1830" s="76"/>
      <c r="M1830" s="76" t="s">
        <v>38</v>
      </c>
      <c r="N1830" s="76" t="s">
        <v>40</v>
      </c>
      <c r="O1830" s="76">
        <v>1</v>
      </c>
      <c r="P1830" s="76"/>
      <c r="Q1830" s="76" t="s">
        <v>9040</v>
      </c>
      <c r="R1830" s="76"/>
      <c r="S1830" s="76"/>
      <c r="BD1830" s="99">
        <f t="shared" si="59"/>
        <v>0</v>
      </c>
      <c r="CC1830" s="99"/>
      <c r="CV1830" s="99"/>
      <c r="CW1830" s="63"/>
    </row>
    <row r="1831" spans="1:101" ht="22.5" x14ac:dyDescent="0.15">
      <c r="A1831" s="76">
        <v>1710</v>
      </c>
      <c r="B1831" s="74" t="s">
        <v>1401</v>
      </c>
      <c r="C1831" s="74">
        <v>1001440382</v>
      </c>
      <c r="D1831" s="78" t="str">
        <f t="shared" si="60"/>
        <v>https://portal.dnb.de/opac.htm?method=simpleSearch&amp;cqlMode=true&amp;query=idn%3D1001440382</v>
      </c>
      <c r="E1831" s="74" t="s">
        <v>1402</v>
      </c>
      <c r="F1831" s="74"/>
      <c r="G1831" s="76"/>
      <c r="H1831" s="77" t="s">
        <v>18</v>
      </c>
      <c r="I1831" s="76" t="s">
        <v>54</v>
      </c>
      <c r="J1831" s="77" t="s">
        <v>58</v>
      </c>
      <c r="K1831" s="77" t="s">
        <v>84</v>
      </c>
      <c r="L1831" s="76"/>
      <c r="M1831" s="76" t="s">
        <v>36</v>
      </c>
      <c r="N1831" s="76" t="s">
        <v>39</v>
      </c>
      <c r="O1831" s="76">
        <v>1</v>
      </c>
      <c r="P1831" s="76"/>
      <c r="Q1831" s="76"/>
      <c r="R1831" s="76"/>
      <c r="S1831" s="76"/>
      <c r="BD1831" s="99">
        <f t="shared" si="59"/>
        <v>0</v>
      </c>
      <c r="CC1831" s="99"/>
      <c r="CV1831" s="99"/>
      <c r="CW1831" s="63"/>
    </row>
    <row r="1832" spans="1:101" ht="22.5" x14ac:dyDescent="0.15">
      <c r="A1832" s="76">
        <v>1711</v>
      </c>
      <c r="B1832" s="74" t="s">
        <v>1409</v>
      </c>
      <c r="C1832" s="74" t="s">
        <v>1410</v>
      </c>
      <c r="D1832" s="78" t="str">
        <f t="shared" si="60"/>
        <v>https://portal.dnb.de/opac.htm?method=simpleSearch&amp;cqlMode=true&amp;query=idn%3D99980961X</v>
      </c>
      <c r="E1832" s="74" t="s">
        <v>1411</v>
      </c>
      <c r="F1832" s="74"/>
      <c r="G1832" s="76" t="s">
        <v>8515</v>
      </c>
      <c r="H1832" s="77" t="s">
        <v>48</v>
      </c>
      <c r="I1832" s="76" t="s">
        <v>53</v>
      </c>
      <c r="J1832" s="77" t="s">
        <v>8516</v>
      </c>
      <c r="K1832" s="77" t="s">
        <v>8564</v>
      </c>
      <c r="L1832" s="76"/>
      <c r="M1832" s="76" t="s">
        <v>38</v>
      </c>
      <c r="N1832" s="76" t="s">
        <v>40</v>
      </c>
      <c r="O1832" s="76">
        <v>0</v>
      </c>
      <c r="P1832" s="76"/>
      <c r="Q1832" s="76"/>
      <c r="R1832" s="76"/>
      <c r="S1832" s="76"/>
      <c r="BD1832" s="99">
        <f t="shared" si="59"/>
        <v>0</v>
      </c>
      <c r="CC1832" s="99"/>
      <c r="CV1832" s="99"/>
      <c r="CW1832" s="63"/>
    </row>
    <row r="1833" spans="1:101" x14ac:dyDescent="0.15">
      <c r="A1833" s="76">
        <v>1712</v>
      </c>
      <c r="B1833" s="74" t="s">
        <v>1412</v>
      </c>
      <c r="C1833" s="74">
        <v>997869062</v>
      </c>
      <c r="D1833" s="78" t="str">
        <f t="shared" si="60"/>
        <v>https://portal.dnb.de/opac.htm?method=simpleSearch&amp;cqlMode=true&amp;query=idn%3D997869062</v>
      </c>
      <c r="E1833" s="74" t="s">
        <v>1411</v>
      </c>
      <c r="F1833" s="74"/>
      <c r="G1833" s="76"/>
      <c r="H1833" s="77"/>
      <c r="I1833" s="76"/>
      <c r="J1833" s="77"/>
      <c r="K1833" s="77"/>
      <c r="L1833" s="76"/>
      <c r="M1833" s="76"/>
      <c r="N1833" s="76"/>
      <c r="O1833" s="76"/>
      <c r="P1833" s="76"/>
      <c r="Q1833" s="76"/>
      <c r="R1833" s="76"/>
      <c r="S1833" s="76"/>
      <c r="BD1833" s="99">
        <f t="shared" si="59"/>
        <v>0</v>
      </c>
      <c r="CC1833" s="99"/>
      <c r="CV1833" s="99"/>
      <c r="CW1833" s="63"/>
    </row>
    <row r="1834" spans="1:101" x14ac:dyDescent="0.15">
      <c r="A1834" s="76">
        <v>1713</v>
      </c>
      <c r="B1834" s="74" t="s">
        <v>1413</v>
      </c>
      <c r="C1834" s="74">
        <v>362306133</v>
      </c>
      <c r="D1834" s="78" t="str">
        <f t="shared" si="60"/>
        <v>https://portal.dnb.de/opac.htm?method=simpleSearch&amp;cqlMode=true&amp;query=idn%3D362306133</v>
      </c>
      <c r="E1834" s="74" t="s">
        <v>1414</v>
      </c>
      <c r="F1834" s="74"/>
      <c r="G1834" s="76"/>
      <c r="H1834" s="77"/>
      <c r="I1834" s="76"/>
      <c r="J1834" s="77"/>
      <c r="K1834" s="77"/>
      <c r="L1834" s="76"/>
      <c r="M1834" s="76"/>
      <c r="N1834" s="76"/>
      <c r="O1834" s="76"/>
      <c r="P1834" s="76"/>
      <c r="Q1834" s="76"/>
      <c r="R1834" s="76"/>
      <c r="S1834" s="76"/>
      <c r="BD1834" s="99">
        <f t="shared" si="59"/>
        <v>0</v>
      </c>
      <c r="CC1834" s="99"/>
      <c r="CV1834" s="99"/>
      <c r="CW1834" s="63"/>
    </row>
    <row r="1835" spans="1:101" x14ac:dyDescent="0.15">
      <c r="A1835" s="76">
        <v>1714</v>
      </c>
      <c r="B1835" s="74" t="s">
        <v>1415</v>
      </c>
      <c r="C1835" s="74" t="s">
        <v>1416</v>
      </c>
      <c r="D1835" s="78" t="str">
        <f t="shared" si="60"/>
        <v>https://portal.dnb.de/opac.htm?method=simpleSearch&amp;cqlMode=true&amp;query=idn%3D99974982X</v>
      </c>
      <c r="E1835" s="74" t="s">
        <v>1417</v>
      </c>
      <c r="F1835" s="74"/>
      <c r="G1835" s="76" t="s">
        <v>8515</v>
      </c>
      <c r="H1835" s="77" t="s">
        <v>48</v>
      </c>
      <c r="I1835" s="76" t="s">
        <v>53</v>
      </c>
      <c r="J1835" s="77" t="s">
        <v>8516</v>
      </c>
      <c r="K1835" s="77" t="s">
        <v>84</v>
      </c>
      <c r="L1835" s="76"/>
      <c r="M1835" s="76"/>
      <c r="N1835" s="76"/>
      <c r="O1835" s="76">
        <v>0</v>
      </c>
      <c r="P1835" s="76"/>
      <c r="Q1835" s="76"/>
      <c r="R1835" s="76"/>
      <c r="S1835" s="76"/>
      <c r="BD1835" s="99">
        <f t="shared" si="59"/>
        <v>0</v>
      </c>
      <c r="CC1835" s="99"/>
      <c r="CV1835" s="99"/>
      <c r="CW1835" s="63"/>
    </row>
    <row r="1836" spans="1:101" ht="22.5" x14ac:dyDescent="0.15">
      <c r="A1836" s="76">
        <v>1715</v>
      </c>
      <c r="B1836" s="74" t="s">
        <v>1418</v>
      </c>
      <c r="C1836" s="74">
        <v>1002269091</v>
      </c>
      <c r="D1836" s="78" t="str">
        <f t="shared" si="60"/>
        <v>https://portal.dnb.de/opac.htm?method=simpleSearch&amp;cqlMode=true&amp;query=idn%3D1002269091</v>
      </c>
      <c r="E1836" s="74" t="s">
        <v>1419</v>
      </c>
      <c r="F1836" s="74"/>
      <c r="G1836" s="76" t="s">
        <v>8515</v>
      </c>
      <c r="H1836" s="77" t="s">
        <v>18</v>
      </c>
      <c r="I1836" s="76" t="s">
        <v>53</v>
      </c>
      <c r="J1836" s="77" t="s">
        <v>58</v>
      </c>
      <c r="K1836" s="77" t="s">
        <v>8565</v>
      </c>
      <c r="L1836" s="76"/>
      <c r="M1836" s="76"/>
      <c r="N1836" s="76"/>
      <c r="O1836" s="76">
        <v>0</v>
      </c>
      <c r="P1836" s="76"/>
      <c r="Q1836" s="76"/>
      <c r="R1836" s="76"/>
      <c r="S1836" s="76"/>
      <c r="BD1836" s="99">
        <f t="shared" si="59"/>
        <v>0</v>
      </c>
      <c r="CC1836" s="99"/>
      <c r="CV1836" s="99"/>
      <c r="CW1836" s="63"/>
    </row>
    <row r="1837" spans="1:101" ht="22.5" x14ac:dyDescent="0.15">
      <c r="A1837" s="76">
        <v>1716</v>
      </c>
      <c r="B1837" s="74" t="s">
        <v>1420</v>
      </c>
      <c r="C1837" s="74">
        <v>998399884</v>
      </c>
      <c r="D1837" s="78" t="str">
        <f t="shared" si="60"/>
        <v>https://portal.dnb.de/opac.htm?method=simpleSearch&amp;cqlMode=true&amp;query=idn%3D998399884</v>
      </c>
      <c r="E1837" s="74" t="s">
        <v>1421</v>
      </c>
      <c r="F1837" s="74"/>
      <c r="G1837" s="76" t="s">
        <v>8515</v>
      </c>
      <c r="H1837" s="77" t="s">
        <v>18</v>
      </c>
      <c r="I1837" s="76" t="s">
        <v>53</v>
      </c>
      <c r="J1837" s="77" t="s">
        <v>8516</v>
      </c>
      <c r="K1837" s="77" t="s">
        <v>9035</v>
      </c>
      <c r="L1837" s="76"/>
      <c r="M1837" s="76"/>
      <c r="N1837" s="76"/>
      <c r="O1837" s="76">
        <v>3</v>
      </c>
      <c r="P1837" s="76"/>
      <c r="Q1837" s="76"/>
      <c r="R1837" s="76"/>
      <c r="S1837" s="76"/>
      <c r="BD1837" s="99">
        <f t="shared" si="59"/>
        <v>0</v>
      </c>
      <c r="CC1837" s="99"/>
      <c r="CV1837" s="99"/>
      <c r="CW1837" s="63"/>
    </row>
    <row r="1838" spans="1:101" ht="33.75" x14ac:dyDescent="0.15">
      <c r="A1838" s="76">
        <v>1717</v>
      </c>
      <c r="B1838" s="74" t="s">
        <v>1422</v>
      </c>
      <c r="C1838" s="74">
        <v>1000186571</v>
      </c>
      <c r="D1838" s="78" t="str">
        <f t="shared" si="60"/>
        <v>https://portal.dnb.de/opac.htm?method=simpleSearch&amp;cqlMode=true&amp;query=idn%3D1000186571</v>
      </c>
      <c r="E1838" s="74" t="s">
        <v>1423</v>
      </c>
      <c r="F1838" s="74"/>
      <c r="G1838" s="76" t="s">
        <v>8515</v>
      </c>
      <c r="H1838" s="77" t="s">
        <v>8546</v>
      </c>
      <c r="I1838" s="76" t="s">
        <v>54</v>
      </c>
      <c r="J1838" s="77" t="s">
        <v>8516</v>
      </c>
      <c r="K1838" s="77" t="s">
        <v>84</v>
      </c>
      <c r="L1838" s="76"/>
      <c r="M1838" s="76" t="s">
        <v>38</v>
      </c>
      <c r="N1838" s="76" t="s">
        <v>40</v>
      </c>
      <c r="O1838" s="76">
        <v>3</v>
      </c>
      <c r="P1838" s="76"/>
      <c r="Q1838" s="76"/>
      <c r="R1838" s="76"/>
      <c r="S1838" s="76"/>
      <c r="BD1838" s="99">
        <f t="shared" si="59"/>
        <v>0</v>
      </c>
      <c r="CC1838" s="99"/>
      <c r="CV1838" s="99"/>
      <c r="CW1838" s="63"/>
    </row>
    <row r="1839" spans="1:101" ht="22.5" x14ac:dyDescent="0.15">
      <c r="A1839" s="76">
        <v>1718</v>
      </c>
      <c r="B1839" s="74" t="s">
        <v>1424</v>
      </c>
      <c r="C1839" s="74">
        <v>999481878</v>
      </c>
      <c r="D1839" s="78" t="str">
        <f t="shared" si="60"/>
        <v>https://portal.dnb.de/opac.htm?method=simpleSearch&amp;cqlMode=true&amp;query=idn%3D999481878</v>
      </c>
      <c r="E1839" s="74" t="s">
        <v>1425</v>
      </c>
      <c r="F1839" s="74"/>
      <c r="G1839" s="76"/>
      <c r="H1839" s="77" t="s">
        <v>48</v>
      </c>
      <c r="I1839" s="76" t="s">
        <v>53</v>
      </c>
      <c r="J1839" s="77" t="s">
        <v>8516</v>
      </c>
      <c r="K1839" s="77" t="s">
        <v>8565</v>
      </c>
      <c r="L1839" s="76"/>
      <c r="M1839" s="76"/>
      <c r="N1839" s="76"/>
      <c r="O1839" s="76">
        <v>3</v>
      </c>
      <c r="P1839" s="76"/>
      <c r="Q1839" s="76"/>
      <c r="R1839" s="76"/>
      <c r="S1839" s="76"/>
      <c r="BD1839" s="99">
        <f t="shared" si="59"/>
        <v>0</v>
      </c>
      <c r="CC1839" s="99"/>
      <c r="CV1839" s="99"/>
      <c r="CW1839" s="63"/>
    </row>
    <row r="1840" spans="1:101" x14ac:dyDescent="0.15">
      <c r="A1840" s="76">
        <v>1719</v>
      </c>
      <c r="B1840" s="74" t="s">
        <v>1426</v>
      </c>
      <c r="C1840" s="74">
        <v>997368888</v>
      </c>
      <c r="D1840" s="78" t="str">
        <f t="shared" si="60"/>
        <v>https://portal.dnb.de/opac.htm?method=simpleSearch&amp;cqlMode=true&amp;query=idn%3D997368888</v>
      </c>
      <c r="E1840" s="74" t="s">
        <v>1427</v>
      </c>
      <c r="F1840" s="74"/>
      <c r="G1840" s="76" t="s">
        <v>8515</v>
      </c>
      <c r="H1840" s="77" t="s">
        <v>4</v>
      </c>
      <c r="I1840" s="76" t="s">
        <v>53</v>
      </c>
      <c r="J1840" s="77" t="s">
        <v>58</v>
      </c>
      <c r="K1840" s="77" t="s">
        <v>84</v>
      </c>
      <c r="L1840" s="76"/>
      <c r="M1840" s="76" t="s">
        <v>36</v>
      </c>
      <c r="N1840" s="76" t="s">
        <v>39</v>
      </c>
      <c r="O1840" s="76">
        <v>1</v>
      </c>
      <c r="P1840" s="76"/>
      <c r="Q1840" s="76"/>
      <c r="R1840" s="76"/>
      <c r="S1840" s="76"/>
      <c r="BD1840" s="99">
        <f t="shared" si="59"/>
        <v>0</v>
      </c>
      <c r="CC1840" s="99"/>
      <c r="CV1840" s="99"/>
      <c r="CW1840" s="63"/>
    </row>
    <row r="1841" spans="1:101" x14ac:dyDescent="0.15">
      <c r="A1841" s="76">
        <v>1720</v>
      </c>
      <c r="B1841" s="74" t="s">
        <v>1428</v>
      </c>
      <c r="C1841" s="74">
        <v>994404859</v>
      </c>
      <c r="D1841" s="78" t="str">
        <f t="shared" si="60"/>
        <v>https://portal.dnb.de/opac.htm?method=simpleSearch&amp;cqlMode=true&amp;query=idn%3D994404859</v>
      </c>
      <c r="E1841" s="74" t="s">
        <v>1429</v>
      </c>
      <c r="F1841" s="74"/>
      <c r="G1841" s="76"/>
      <c r="H1841" s="77" t="s">
        <v>49</v>
      </c>
      <c r="I1841" s="76" t="s">
        <v>53</v>
      </c>
      <c r="J1841" s="77" t="s">
        <v>8516</v>
      </c>
      <c r="K1841" s="77" t="s">
        <v>84</v>
      </c>
      <c r="L1841" s="76"/>
      <c r="M1841" s="76"/>
      <c r="N1841" s="76"/>
      <c r="O1841" s="76">
        <v>0</v>
      </c>
      <c r="P1841" s="76"/>
      <c r="Q1841" s="76"/>
      <c r="R1841" s="76"/>
      <c r="S1841" s="76"/>
      <c r="BD1841" s="99">
        <f t="shared" si="59"/>
        <v>0</v>
      </c>
      <c r="CC1841" s="99"/>
      <c r="CV1841" s="99"/>
      <c r="CW1841" s="63"/>
    </row>
    <row r="1842" spans="1:101" x14ac:dyDescent="0.15">
      <c r="A1842" s="76">
        <v>1721</v>
      </c>
      <c r="B1842" s="74" t="s">
        <v>1434</v>
      </c>
      <c r="C1842" s="74">
        <v>997732261</v>
      </c>
      <c r="D1842" s="78" t="str">
        <f t="shared" si="60"/>
        <v>https://portal.dnb.de/opac.htm?method=simpleSearch&amp;cqlMode=true&amp;query=idn%3D997732261</v>
      </c>
      <c r="E1842" s="74" t="s">
        <v>1435</v>
      </c>
      <c r="F1842" s="74"/>
      <c r="G1842" s="76"/>
      <c r="H1842" s="77" t="s">
        <v>47</v>
      </c>
      <c r="I1842" s="76" t="s">
        <v>53</v>
      </c>
      <c r="J1842" s="77" t="s">
        <v>58</v>
      </c>
      <c r="K1842" s="77"/>
      <c r="L1842" s="76"/>
      <c r="M1842" s="76" t="s">
        <v>34</v>
      </c>
      <c r="N1842" s="76" t="s">
        <v>40</v>
      </c>
      <c r="O1842" s="76">
        <v>0</v>
      </c>
      <c r="P1842" s="76"/>
      <c r="Q1842" s="76"/>
      <c r="R1842" s="76"/>
      <c r="S1842" s="76"/>
      <c r="BD1842" s="99">
        <f t="shared" si="59"/>
        <v>0</v>
      </c>
      <c r="CC1842" s="99"/>
      <c r="CV1842" s="99"/>
      <c r="CW1842" s="63"/>
    </row>
    <row r="1843" spans="1:101" x14ac:dyDescent="0.15">
      <c r="A1843" s="76">
        <v>1722</v>
      </c>
      <c r="B1843" s="74" t="s">
        <v>1436</v>
      </c>
      <c r="C1843" s="74" t="s">
        <v>1437</v>
      </c>
      <c r="D1843" s="78" t="str">
        <f t="shared" si="60"/>
        <v>https://portal.dnb.de/opac.htm?method=simpleSearch&amp;cqlMode=true&amp;query=idn%3D106687624X</v>
      </c>
      <c r="E1843" s="74" t="s">
        <v>1438</v>
      </c>
      <c r="F1843" s="74"/>
      <c r="G1843" s="76" t="s">
        <v>8515</v>
      </c>
      <c r="H1843" s="77" t="s">
        <v>5</v>
      </c>
      <c r="I1843" s="76" t="s">
        <v>53</v>
      </c>
      <c r="J1843" s="77" t="s">
        <v>8516</v>
      </c>
      <c r="K1843" s="77"/>
      <c r="L1843" s="76"/>
      <c r="M1843" s="76" t="s">
        <v>38</v>
      </c>
      <c r="N1843" s="76" t="s">
        <v>40</v>
      </c>
      <c r="O1843" s="76">
        <v>1</v>
      </c>
      <c r="P1843" s="76"/>
      <c r="Q1843" s="76" t="s">
        <v>9171</v>
      </c>
      <c r="R1843" s="76"/>
      <c r="S1843" s="76"/>
      <c r="BD1843" s="99">
        <f t="shared" si="59"/>
        <v>0</v>
      </c>
      <c r="CC1843" s="99"/>
      <c r="CV1843" s="99"/>
      <c r="CW1843" s="63"/>
    </row>
    <row r="1844" spans="1:101" x14ac:dyDescent="0.15">
      <c r="A1844" s="76">
        <v>1723</v>
      </c>
      <c r="B1844" s="74" t="s">
        <v>1449</v>
      </c>
      <c r="C1844" s="74">
        <v>997996374</v>
      </c>
      <c r="D1844" s="78" t="str">
        <f t="shared" si="60"/>
        <v>https://portal.dnb.de/opac.htm?method=simpleSearch&amp;cqlMode=true&amp;query=idn%3D997996374</v>
      </c>
      <c r="E1844" s="74" t="s">
        <v>1450</v>
      </c>
      <c r="F1844" s="74"/>
      <c r="G1844" s="76"/>
      <c r="H1844" s="77" t="s">
        <v>6</v>
      </c>
      <c r="I1844" s="76" t="s">
        <v>53</v>
      </c>
      <c r="J1844" s="77" t="s">
        <v>8516</v>
      </c>
      <c r="K1844" s="77" t="s">
        <v>84</v>
      </c>
      <c r="L1844" s="76"/>
      <c r="M1844" s="76"/>
      <c r="N1844" s="76" t="s">
        <v>8660</v>
      </c>
      <c r="O1844" s="76">
        <v>0</v>
      </c>
      <c r="P1844" s="76"/>
      <c r="Q1844" s="76"/>
      <c r="R1844" s="76"/>
      <c r="S1844" s="76"/>
      <c r="BD1844" s="99">
        <f t="shared" si="59"/>
        <v>0</v>
      </c>
      <c r="CC1844" s="99"/>
      <c r="CV1844" s="99"/>
      <c r="CW1844" s="63"/>
    </row>
    <row r="1845" spans="1:101" x14ac:dyDescent="0.15">
      <c r="A1845" s="76">
        <v>1724</v>
      </c>
      <c r="B1845" s="74" t="s">
        <v>1451</v>
      </c>
      <c r="C1845" s="74">
        <v>997996463</v>
      </c>
      <c r="D1845" s="78" t="str">
        <f t="shared" si="60"/>
        <v>https://portal.dnb.de/opac.htm?method=simpleSearch&amp;cqlMode=true&amp;query=idn%3D997996463</v>
      </c>
      <c r="E1845" s="74" t="s">
        <v>1450</v>
      </c>
      <c r="F1845" s="74"/>
      <c r="G1845" s="76"/>
      <c r="H1845" s="77"/>
      <c r="I1845" s="76"/>
      <c r="J1845" s="77"/>
      <c r="K1845" s="77"/>
      <c r="L1845" s="76"/>
      <c r="M1845" s="76"/>
      <c r="N1845" s="76"/>
      <c r="O1845" s="76"/>
      <c r="P1845" s="76"/>
      <c r="Q1845" s="76"/>
      <c r="R1845" s="76"/>
      <c r="S1845" s="76"/>
      <c r="BD1845" s="99">
        <f t="shared" si="59"/>
        <v>0</v>
      </c>
      <c r="CC1845" s="99"/>
      <c r="CV1845" s="99"/>
      <c r="CW1845" s="63"/>
    </row>
    <row r="1846" spans="1:101" x14ac:dyDescent="0.15">
      <c r="A1846" s="76">
        <v>1725</v>
      </c>
      <c r="B1846" s="74" t="s">
        <v>1452</v>
      </c>
      <c r="C1846" s="74">
        <v>997996595</v>
      </c>
      <c r="D1846" s="78" t="str">
        <f t="shared" si="60"/>
        <v>https://portal.dnb.de/opac.htm?method=simpleSearch&amp;cqlMode=true&amp;query=idn%3D997996595</v>
      </c>
      <c r="E1846" s="74" t="s">
        <v>1453</v>
      </c>
      <c r="F1846" s="74"/>
      <c r="G1846" s="76"/>
      <c r="H1846" s="77" t="s">
        <v>4</v>
      </c>
      <c r="I1846" s="76" t="s">
        <v>53</v>
      </c>
      <c r="J1846" s="77" t="s">
        <v>8516</v>
      </c>
      <c r="K1846" s="77" t="s">
        <v>84</v>
      </c>
      <c r="L1846" s="76"/>
      <c r="M1846" s="76"/>
      <c r="N1846" s="76" t="s">
        <v>8660</v>
      </c>
      <c r="O1846" s="76">
        <v>0</v>
      </c>
      <c r="P1846" s="76"/>
      <c r="Q1846" s="76"/>
      <c r="R1846" s="76"/>
      <c r="S1846" s="76"/>
      <c r="BD1846" s="99">
        <f t="shared" si="59"/>
        <v>0</v>
      </c>
      <c r="CC1846" s="99"/>
      <c r="CV1846" s="99"/>
      <c r="CW1846" s="63"/>
    </row>
    <row r="1847" spans="1:101" x14ac:dyDescent="0.15">
      <c r="A1847" s="76">
        <v>1726</v>
      </c>
      <c r="B1847" s="74" t="s">
        <v>1454</v>
      </c>
      <c r="C1847" s="74">
        <v>997971444</v>
      </c>
      <c r="D1847" s="78" t="str">
        <f t="shared" si="60"/>
        <v>https://portal.dnb.de/opac.htm?method=simpleSearch&amp;cqlMode=true&amp;query=idn%3D997971444</v>
      </c>
      <c r="E1847" s="74" t="s">
        <v>1455</v>
      </c>
      <c r="F1847" s="74"/>
      <c r="G1847" s="76" t="s">
        <v>8515</v>
      </c>
      <c r="H1847" s="77" t="s">
        <v>4</v>
      </c>
      <c r="I1847" s="76" t="s">
        <v>53</v>
      </c>
      <c r="J1847" s="77" t="s">
        <v>58</v>
      </c>
      <c r="K1847" s="77" t="s">
        <v>8520</v>
      </c>
      <c r="L1847" s="76"/>
      <c r="M1847" s="76" t="s">
        <v>36</v>
      </c>
      <c r="N1847" s="76" t="s">
        <v>39</v>
      </c>
      <c r="O1847" s="76">
        <v>0</v>
      </c>
      <c r="P1847" s="76"/>
      <c r="Q1847" s="76"/>
      <c r="R1847" s="76"/>
      <c r="S1847" s="76"/>
      <c r="BD1847" s="99">
        <f t="shared" si="59"/>
        <v>0</v>
      </c>
      <c r="CC1847" s="99"/>
      <c r="CV1847" s="99"/>
      <c r="CW1847" s="63"/>
    </row>
    <row r="1848" spans="1:101" x14ac:dyDescent="0.15">
      <c r="A1848" s="76">
        <v>1727</v>
      </c>
      <c r="B1848" s="74" t="s">
        <v>1456</v>
      </c>
      <c r="C1848" s="74">
        <v>999111000</v>
      </c>
      <c r="D1848" s="78" t="str">
        <f t="shared" si="60"/>
        <v>https://portal.dnb.de/opac.htm?method=simpleSearch&amp;cqlMode=true&amp;query=idn%3D999111000</v>
      </c>
      <c r="E1848" s="74" t="s">
        <v>1457</v>
      </c>
      <c r="F1848" s="74"/>
      <c r="G1848" s="76"/>
      <c r="H1848" s="77" t="s">
        <v>49</v>
      </c>
      <c r="I1848" s="76" t="s">
        <v>53</v>
      </c>
      <c r="J1848" s="77" t="s">
        <v>8516</v>
      </c>
      <c r="K1848" s="77" t="s">
        <v>84</v>
      </c>
      <c r="L1848" s="76"/>
      <c r="M1848" s="76" t="s">
        <v>36</v>
      </c>
      <c r="N1848" s="76" t="s">
        <v>39</v>
      </c>
      <c r="O1848" s="76">
        <v>0</v>
      </c>
      <c r="P1848" s="76"/>
      <c r="Q1848" s="76"/>
      <c r="R1848" s="76"/>
      <c r="S1848" s="76"/>
      <c r="BD1848" s="99">
        <f t="shared" si="59"/>
        <v>0</v>
      </c>
      <c r="CC1848" s="99"/>
      <c r="CV1848" s="99"/>
      <c r="CW1848" s="63"/>
    </row>
    <row r="1849" spans="1:101" ht="22.5" x14ac:dyDescent="0.15">
      <c r="A1849" s="76">
        <v>1728</v>
      </c>
      <c r="B1849" s="74" t="s">
        <v>1458</v>
      </c>
      <c r="C1849" s="74" t="s">
        <v>1459</v>
      </c>
      <c r="D1849" s="78" t="str">
        <f t="shared" si="60"/>
        <v>https://portal.dnb.de/opac.htm?method=simpleSearch&amp;cqlMode=true&amp;query=idn%3D01272727X</v>
      </c>
      <c r="E1849" s="74" t="s">
        <v>1460</v>
      </c>
      <c r="F1849" s="74"/>
      <c r="G1849" s="76"/>
      <c r="H1849" s="77" t="s">
        <v>4</v>
      </c>
      <c r="I1849" s="76" t="s">
        <v>53</v>
      </c>
      <c r="J1849" s="77" t="s">
        <v>8516</v>
      </c>
      <c r="K1849" s="77" t="s">
        <v>8688</v>
      </c>
      <c r="L1849" s="76"/>
      <c r="M1849" s="76"/>
      <c r="N1849" s="76" t="s">
        <v>8660</v>
      </c>
      <c r="O1849" s="76">
        <v>0</v>
      </c>
      <c r="P1849" s="76"/>
      <c r="Q1849" s="76"/>
      <c r="R1849" s="76"/>
      <c r="S1849" s="76"/>
      <c r="BD1849" s="99">
        <f t="shared" si="59"/>
        <v>0</v>
      </c>
      <c r="CC1849" s="99"/>
      <c r="CV1849" s="99"/>
      <c r="CW1849" s="63"/>
    </row>
    <row r="1850" spans="1:101" ht="22.5" x14ac:dyDescent="0.15">
      <c r="A1850" s="76">
        <v>1729</v>
      </c>
      <c r="B1850" s="74" t="s">
        <v>1461</v>
      </c>
      <c r="C1850" s="74">
        <v>1002400678</v>
      </c>
      <c r="D1850" s="78" t="str">
        <f t="shared" si="60"/>
        <v>https://portal.dnb.de/opac.htm?method=simpleSearch&amp;cqlMode=true&amp;query=idn%3D1002400678</v>
      </c>
      <c r="E1850" s="74" t="s">
        <v>1462</v>
      </c>
      <c r="F1850" s="74"/>
      <c r="G1850" s="76" t="s">
        <v>8515</v>
      </c>
      <c r="H1850" s="77" t="s">
        <v>18</v>
      </c>
      <c r="I1850" s="76" t="s">
        <v>53</v>
      </c>
      <c r="J1850" s="77" t="s">
        <v>58</v>
      </c>
      <c r="K1850" s="77" t="s">
        <v>84</v>
      </c>
      <c r="L1850" s="76"/>
      <c r="M1850" s="76" t="s">
        <v>36</v>
      </c>
      <c r="N1850" s="76" t="s">
        <v>39</v>
      </c>
      <c r="O1850" s="76">
        <v>0</v>
      </c>
      <c r="P1850" s="76"/>
      <c r="Q1850" s="76"/>
      <c r="R1850" s="76"/>
      <c r="S1850" s="76"/>
      <c r="BD1850" s="99">
        <f t="shared" si="59"/>
        <v>0</v>
      </c>
      <c r="CC1850" s="99"/>
      <c r="CV1850" s="99"/>
      <c r="CW1850" s="63"/>
    </row>
    <row r="1851" spans="1:101" x14ac:dyDescent="0.15">
      <c r="A1851" s="76"/>
      <c r="B1851" s="74"/>
      <c r="C1851" s="74"/>
      <c r="D1851" s="78"/>
      <c r="E1851" s="74" t="s">
        <v>9036</v>
      </c>
      <c r="F1851" s="74"/>
      <c r="G1851" s="76"/>
      <c r="H1851" s="77" t="s">
        <v>6</v>
      </c>
      <c r="I1851" s="76" t="s">
        <v>53</v>
      </c>
      <c r="J1851" s="77" t="s">
        <v>8516</v>
      </c>
      <c r="K1851" s="77" t="s">
        <v>84</v>
      </c>
      <c r="L1851" s="76"/>
      <c r="M1851" s="76" t="s">
        <v>36</v>
      </c>
      <c r="N1851" s="76" t="s">
        <v>39</v>
      </c>
      <c r="O1851" s="76">
        <v>0</v>
      </c>
      <c r="P1851" s="76"/>
      <c r="Q1851" s="76"/>
      <c r="R1851" s="76"/>
      <c r="S1851" s="76"/>
      <c r="BD1851" s="99">
        <f t="shared" si="59"/>
        <v>0</v>
      </c>
      <c r="CC1851" s="99"/>
      <c r="CV1851" s="99"/>
      <c r="CW1851" s="63"/>
    </row>
    <row r="1852" spans="1:101" x14ac:dyDescent="0.15">
      <c r="A1852" s="76">
        <v>1730</v>
      </c>
      <c r="B1852" s="74" t="s">
        <v>1463</v>
      </c>
      <c r="C1852" s="74">
        <v>12705500</v>
      </c>
      <c r="D1852" s="78" t="str">
        <f t="shared" si="60"/>
        <v>https://portal.dnb.de/opac.htm?method=simpleSearch&amp;cqlMode=true&amp;query=idn%3D12705500</v>
      </c>
      <c r="E1852" s="74" t="s">
        <v>9037</v>
      </c>
      <c r="F1852" s="74"/>
      <c r="G1852" s="76"/>
      <c r="H1852" s="77" t="s">
        <v>48</v>
      </c>
      <c r="I1852" s="76" t="s">
        <v>53</v>
      </c>
      <c r="J1852" s="77" t="s">
        <v>58</v>
      </c>
      <c r="K1852" s="77" t="s">
        <v>84</v>
      </c>
      <c r="L1852" s="76"/>
      <c r="M1852" s="76" t="s">
        <v>36</v>
      </c>
      <c r="N1852" s="76" t="s">
        <v>40</v>
      </c>
      <c r="O1852" s="76">
        <v>0</v>
      </c>
      <c r="P1852" s="76"/>
      <c r="Q1852" s="76"/>
      <c r="R1852" s="76"/>
      <c r="S1852" s="76"/>
      <c r="BD1852" s="99">
        <f t="shared" si="59"/>
        <v>0</v>
      </c>
      <c r="CC1852" s="99"/>
      <c r="CV1852" s="99"/>
      <c r="CW1852" s="63"/>
    </row>
    <row r="1853" spans="1:101" x14ac:dyDescent="0.15">
      <c r="A1853" s="76"/>
      <c r="B1853" s="74"/>
      <c r="C1853" s="74"/>
      <c r="D1853" s="78"/>
      <c r="E1853" s="74" t="s">
        <v>9038</v>
      </c>
      <c r="F1853" s="74"/>
      <c r="G1853" s="76"/>
      <c r="H1853" s="77" t="s">
        <v>48</v>
      </c>
      <c r="I1853" s="76" t="s">
        <v>53</v>
      </c>
      <c r="J1853" s="77" t="s">
        <v>58</v>
      </c>
      <c r="K1853" s="77" t="s">
        <v>84</v>
      </c>
      <c r="L1853" s="76"/>
      <c r="M1853" s="76" t="s">
        <v>36</v>
      </c>
      <c r="N1853" s="76" t="s">
        <v>40</v>
      </c>
      <c r="O1853" s="76">
        <v>0</v>
      </c>
      <c r="P1853" s="76"/>
      <c r="Q1853" s="76"/>
      <c r="R1853" s="76"/>
      <c r="S1853" s="76"/>
      <c r="BD1853" s="99">
        <f t="shared" si="59"/>
        <v>0</v>
      </c>
      <c r="CC1853" s="99"/>
      <c r="CV1853" s="99"/>
      <c r="CW1853" s="63"/>
    </row>
    <row r="1854" spans="1:101" x14ac:dyDescent="0.15">
      <c r="A1854" s="76"/>
      <c r="B1854" s="74"/>
      <c r="C1854" s="74"/>
      <c r="D1854" s="78"/>
      <c r="E1854" s="74" t="s">
        <v>9039</v>
      </c>
      <c r="F1854" s="74"/>
      <c r="G1854" s="76"/>
      <c r="H1854" s="77" t="s">
        <v>48</v>
      </c>
      <c r="I1854" s="76" t="s">
        <v>53</v>
      </c>
      <c r="J1854" s="77" t="s">
        <v>58</v>
      </c>
      <c r="K1854" s="77" t="s">
        <v>84</v>
      </c>
      <c r="L1854" s="76"/>
      <c r="M1854" s="76" t="s">
        <v>36</v>
      </c>
      <c r="N1854" s="76" t="s">
        <v>40</v>
      </c>
      <c r="O1854" s="76">
        <v>0</v>
      </c>
      <c r="P1854" s="76"/>
      <c r="Q1854" s="76"/>
      <c r="R1854" s="76"/>
      <c r="S1854" s="76"/>
      <c r="BD1854" s="99">
        <f t="shared" si="59"/>
        <v>0</v>
      </c>
      <c r="CC1854" s="99"/>
      <c r="CV1854" s="99"/>
      <c r="CW1854" s="63"/>
    </row>
    <row r="1855" spans="1:101" ht="22.5" x14ac:dyDescent="0.15">
      <c r="A1855" s="76">
        <v>1731</v>
      </c>
      <c r="B1855" s="74" t="s">
        <v>1403</v>
      </c>
      <c r="C1855" s="74">
        <v>984464557</v>
      </c>
      <c r="D1855" s="78" t="str">
        <f t="shared" si="60"/>
        <v>https://portal.dnb.de/opac.htm?method=simpleSearch&amp;cqlMode=true&amp;query=idn%3D984464557</v>
      </c>
      <c r="E1855" s="74" t="s">
        <v>1404</v>
      </c>
      <c r="F1855" s="74"/>
      <c r="G1855" s="76" t="s">
        <v>8515</v>
      </c>
      <c r="H1855" s="77" t="s">
        <v>47</v>
      </c>
      <c r="I1855" s="76" t="s">
        <v>53</v>
      </c>
      <c r="J1855" s="77" t="s">
        <v>8516</v>
      </c>
      <c r="K1855" s="77" t="s">
        <v>9034</v>
      </c>
      <c r="L1855" s="76"/>
      <c r="M1855" s="76" t="s">
        <v>33</v>
      </c>
      <c r="N1855" s="76" t="s">
        <v>40</v>
      </c>
      <c r="O1855" s="76">
        <v>0</v>
      </c>
      <c r="P1855" s="76"/>
      <c r="Q1855" s="76"/>
      <c r="R1855" s="76"/>
      <c r="S1855" s="76"/>
      <c r="BD1855" s="99">
        <f t="shared" si="59"/>
        <v>0</v>
      </c>
      <c r="CC1855" s="99"/>
      <c r="CV1855" s="99"/>
      <c r="CW1855" s="63"/>
    </row>
    <row r="1856" spans="1:101" ht="22.5" x14ac:dyDescent="0.15">
      <c r="A1856" s="76">
        <v>1732</v>
      </c>
      <c r="B1856" s="74" t="s">
        <v>1405</v>
      </c>
      <c r="C1856" s="74">
        <v>13033123</v>
      </c>
      <c r="D1856" s="78" t="str">
        <f t="shared" si="60"/>
        <v>https://portal.dnb.de/opac.htm?method=simpleSearch&amp;cqlMode=true&amp;query=idn%3D13033123</v>
      </c>
      <c r="E1856" s="74" t="s">
        <v>9031</v>
      </c>
      <c r="F1856" s="74"/>
      <c r="G1856" s="76" t="s">
        <v>8515</v>
      </c>
      <c r="H1856" s="77" t="s">
        <v>18</v>
      </c>
      <c r="I1856" s="76" t="s">
        <v>53</v>
      </c>
      <c r="J1856" s="77" t="s">
        <v>58</v>
      </c>
      <c r="K1856" s="77" t="s">
        <v>84</v>
      </c>
      <c r="L1856" s="76"/>
      <c r="M1856" s="76" t="s">
        <v>36</v>
      </c>
      <c r="N1856" s="76" t="s">
        <v>39</v>
      </c>
      <c r="O1856" s="76">
        <v>0</v>
      </c>
      <c r="P1856" s="76"/>
      <c r="Q1856" s="76"/>
      <c r="R1856" s="76" t="s">
        <v>9032</v>
      </c>
      <c r="S1856" s="76"/>
      <c r="BD1856" s="99">
        <f t="shared" si="59"/>
        <v>0</v>
      </c>
      <c r="CC1856" s="99"/>
      <c r="CV1856" s="99"/>
      <c r="CW1856" s="63"/>
    </row>
    <row r="1857" spans="1:101" ht="22.5" x14ac:dyDescent="0.15">
      <c r="A1857" s="76">
        <v>1733</v>
      </c>
      <c r="B1857" s="74" t="s">
        <v>1407</v>
      </c>
      <c r="C1857" s="74">
        <v>13033123</v>
      </c>
      <c r="D1857" s="78" t="str">
        <f t="shared" si="60"/>
        <v>https://portal.dnb.de/opac.htm?method=simpleSearch&amp;cqlMode=true&amp;query=idn%3D13033123</v>
      </c>
      <c r="E1857" s="74" t="s">
        <v>9033</v>
      </c>
      <c r="F1857" s="74"/>
      <c r="G1857" s="76" t="s">
        <v>8515</v>
      </c>
      <c r="H1857" s="77" t="s">
        <v>18</v>
      </c>
      <c r="I1857" s="76" t="s">
        <v>53</v>
      </c>
      <c r="J1857" s="77" t="s">
        <v>58</v>
      </c>
      <c r="K1857" s="77" t="s">
        <v>84</v>
      </c>
      <c r="L1857" s="76"/>
      <c r="M1857" s="76"/>
      <c r="N1857" s="76"/>
      <c r="O1857" s="76">
        <v>0</v>
      </c>
      <c r="P1857" s="76"/>
      <c r="Q1857" s="76"/>
      <c r="R1857" s="76" t="s">
        <v>9032</v>
      </c>
      <c r="S1857" s="76"/>
      <c r="BD1857" s="99">
        <f t="shared" si="59"/>
        <v>0</v>
      </c>
      <c r="CC1857" s="99"/>
      <c r="CV1857" s="99"/>
      <c r="CW1857" s="63"/>
    </row>
    <row r="1858" spans="1:101" x14ac:dyDescent="0.15">
      <c r="A1858" s="76">
        <v>1734</v>
      </c>
      <c r="B1858" s="74" t="s">
        <v>1408</v>
      </c>
      <c r="C1858" s="74">
        <v>19775210</v>
      </c>
      <c r="D1858" s="78" t="str">
        <f t="shared" si="60"/>
        <v>https://portal.dnb.de/opac.htm?method=simpleSearch&amp;cqlMode=true&amp;query=idn%3D19775210</v>
      </c>
      <c r="E1858" s="74" t="s">
        <v>1406</v>
      </c>
      <c r="F1858" s="74"/>
      <c r="G1858" s="76"/>
      <c r="H1858" s="77"/>
      <c r="I1858" s="76"/>
      <c r="J1858" s="77"/>
      <c r="K1858" s="77"/>
      <c r="L1858" s="76"/>
      <c r="M1858" s="76"/>
      <c r="N1858" s="76"/>
      <c r="O1858" s="76"/>
      <c r="P1858" s="76"/>
      <c r="Q1858" s="76"/>
      <c r="R1858" s="76"/>
      <c r="S1858" s="76"/>
      <c r="BD1858" s="99">
        <f t="shared" si="59"/>
        <v>0</v>
      </c>
      <c r="CC1858" s="99"/>
      <c r="CV1858" s="99"/>
      <c r="CW1858" s="63"/>
    </row>
    <row r="1859" spans="1:101" x14ac:dyDescent="0.15">
      <c r="A1859" s="76">
        <v>1735</v>
      </c>
      <c r="B1859" s="74" t="s">
        <v>1439</v>
      </c>
      <c r="C1859" s="74">
        <v>1208742906</v>
      </c>
      <c r="D1859" s="78" t="str">
        <f t="shared" si="60"/>
        <v>https://portal.dnb.de/opac.htm?method=simpleSearch&amp;cqlMode=true&amp;query=idn%3D1208742906</v>
      </c>
      <c r="E1859" s="74" t="s">
        <v>1440</v>
      </c>
      <c r="F1859" s="74"/>
      <c r="G1859" s="76"/>
      <c r="H1859" s="77"/>
      <c r="I1859" s="76"/>
      <c r="J1859" s="77"/>
      <c r="K1859" s="77"/>
      <c r="L1859" s="76"/>
      <c r="M1859" s="76"/>
      <c r="N1859" s="76"/>
      <c r="O1859" s="76"/>
      <c r="P1859" s="76"/>
      <c r="Q1859" s="76"/>
      <c r="R1859" s="76"/>
      <c r="S1859" s="76"/>
      <c r="BD1859" s="99">
        <f t="shared" ref="BD1859:BD1922" si="61">CC1859+CV1859</f>
        <v>0</v>
      </c>
      <c r="CC1859" s="99"/>
      <c r="CV1859" s="99"/>
      <c r="CW1859" s="63"/>
    </row>
    <row r="1860" spans="1:101" x14ac:dyDescent="0.15">
      <c r="A1860" s="76">
        <v>1736</v>
      </c>
      <c r="B1860" s="74" t="s">
        <v>1441</v>
      </c>
      <c r="C1860" s="74">
        <v>1209574926</v>
      </c>
      <c r="D1860" s="78" t="str">
        <f t="shared" si="60"/>
        <v>https://portal.dnb.de/opac.htm?method=simpleSearch&amp;cqlMode=true&amp;query=idn%3D1209574926</v>
      </c>
      <c r="E1860" s="74" t="s">
        <v>1442</v>
      </c>
      <c r="F1860" s="74"/>
      <c r="G1860" s="76"/>
      <c r="H1860" s="77"/>
      <c r="I1860" s="76"/>
      <c r="J1860" s="77"/>
      <c r="K1860" s="77"/>
      <c r="L1860" s="76"/>
      <c r="M1860" s="76"/>
      <c r="N1860" s="76"/>
      <c r="O1860" s="76"/>
      <c r="P1860" s="76"/>
      <c r="Q1860" s="76"/>
      <c r="R1860" s="76"/>
      <c r="S1860" s="76"/>
      <c r="BD1860" s="99">
        <f t="shared" si="61"/>
        <v>0</v>
      </c>
      <c r="CC1860" s="99"/>
      <c r="CV1860" s="99"/>
      <c r="CW1860" s="63"/>
    </row>
    <row r="1861" spans="1:101" x14ac:dyDescent="0.15">
      <c r="A1861" s="76">
        <v>1737</v>
      </c>
      <c r="B1861" s="74" t="s">
        <v>1443</v>
      </c>
      <c r="C1861" s="74">
        <v>1209572168</v>
      </c>
      <c r="D1861" s="78" t="str">
        <f t="shared" si="60"/>
        <v>https://portal.dnb.de/opac.htm?method=simpleSearch&amp;cqlMode=true&amp;query=idn%3D1209572168</v>
      </c>
      <c r="E1861" s="74" t="s">
        <v>1444</v>
      </c>
      <c r="F1861" s="74"/>
      <c r="G1861" s="76"/>
      <c r="H1861" s="77"/>
      <c r="I1861" s="76"/>
      <c r="J1861" s="77"/>
      <c r="K1861" s="77"/>
      <c r="L1861" s="76"/>
      <c r="M1861" s="76"/>
      <c r="N1861" s="76"/>
      <c r="O1861" s="76"/>
      <c r="P1861" s="76"/>
      <c r="Q1861" s="76"/>
      <c r="R1861" s="76"/>
      <c r="S1861" s="76"/>
      <c r="BD1861" s="99">
        <f t="shared" si="61"/>
        <v>0</v>
      </c>
      <c r="CC1861" s="99"/>
      <c r="CV1861" s="99"/>
      <c r="CW1861" s="63"/>
    </row>
    <row r="1862" spans="1:101" x14ac:dyDescent="0.15">
      <c r="A1862" s="76">
        <v>1738</v>
      </c>
      <c r="B1862" s="74" t="s">
        <v>1445</v>
      </c>
      <c r="C1862" s="74">
        <v>1209575337</v>
      </c>
      <c r="D1862" s="78" t="str">
        <f t="shared" si="60"/>
        <v>https://portal.dnb.de/opac.htm?method=simpleSearch&amp;cqlMode=true&amp;query=idn%3D1209575337</v>
      </c>
      <c r="E1862" s="74" t="s">
        <v>1446</v>
      </c>
      <c r="F1862" s="74"/>
      <c r="G1862" s="76"/>
      <c r="H1862" s="77"/>
      <c r="I1862" s="76"/>
      <c r="J1862" s="77"/>
      <c r="K1862" s="77"/>
      <c r="L1862" s="76"/>
      <c r="M1862" s="76"/>
      <c r="N1862" s="76"/>
      <c r="O1862" s="76"/>
      <c r="P1862" s="76"/>
      <c r="Q1862" s="76"/>
      <c r="R1862" s="76"/>
      <c r="S1862" s="76"/>
      <c r="BD1862" s="99">
        <f t="shared" si="61"/>
        <v>0</v>
      </c>
      <c r="CC1862" s="99"/>
      <c r="CV1862" s="99"/>
      <c r="CW1862" s="63"/>
    </row>
    <row r="1863" spans="1:101" x14ac:dyDescent="0.15">
      <c r="A1863" s="76">
        <v>1739</v>
      </c>
      <c r="B1863" s="74" t="s">
        <v>1447</v>
      </c>
      <c r="C1863" s="74">
        <v>1209573555</v>
      </c>
      <c r="D1863" s="78" t="str">
        <f t="shared" si="60"/>
        <v>https://portal.dnb.de/opac.htm?method=simpleSearch&amp;cqlMode=true&amp;query=idn%3D1209573555</v>
      </c>
      <c r="E1863" s="74" t="s">
        <v>1448</v>
      </c>
      <c r="F1863" s="74"/>
      <c r="G1863" s="76"/>
      <c r="H1863" s="77"/>
      <c r="I1863" s="76"/>
      <c r="J1863" s="77"/>
      <c r="K1863" s="77"/>
      <c r="L1863" s="76"/>
      <c r="M1863" s="76"/>
      <c r="N1863" s="76"/>
      <c r="O1863" s="76"/>
      <c r="P1863" s="76"/>
      <c r="Q1863" s="76"/>
      <c r="R1863" s="76"/>
      <c r="S1863" s="76"/>
      <c r="BD1863" s="99">
        <f t="shared" si="61"/>
        <v>0</v>
      </c>
      <c r="CC1863" s="99"/>
      <c r="CV1863" s="99"/>
      <c r="CW1863" s="63"/>
    </row>
    <row r="1864" spans="1:101" ht="22.5" x14ac:dyDescent="0.15">
      <c r="A1864" s="76">
        <v>1740</v>
      </c>
      <c r="B1864" s="74" t="s">
        <v>1468</v>
      </c>
      <c r="C1864" s="74">
        <v>997973137</v>
      </c>
      <c r="D1864" s="78" t="str">
        <f t="shared" si="60"/>
        <v>https://portal.dnb.de/opac.htm?method=simpleSearch&amp;cqlMode=true&amp;query=idn%3D997973137</v>
      </c>
      <c r="E1864" s="74" t="s">
        <v>1469</v>
      </c>
      <c r="F1864" s="74"/>
      <c r="G1864" s="76" t="s">
        <v>8515</v>
      </c>
      <c r="H1864" s="77" t="s">
        <v>18</v>
      </c>
      <c r="I1864" s="76" t="s">
        <v>53</v>
      </c>
      <c r="J1864" s="77" t="s">
        <v>58</v>
      </c>
      <c r="K1864" s="77" t="s">
        <v>84</v>
      </c>
      <c r="L1864" s="76"/>
      <c r="M1864" s="76" t="s">
        <v>36</v>
      </c>
      <c r="N1864" s="76" t="s">
        <v>39</v>
      </c>
      <c r="O1864" s="76">
        <v>1</v>
      </c>
      <c r="P1864" s="76"/>
      <c r="Q1864" s="76" t="s">
        <v>9040</v>
      </c>
      <c r="R1864" s="76"/>
      <c r="S1864" s="76"/>
      <c r="BD1864" s="99">
        <f t="shared" si="61"/>
        <v>0</v>
      </c>
      <c r="CC1864" s="99"/>
      <c r="CV1864" s="99"/>
      <c r="CW1864" s="63"/>
    </row>
    <row r="1865" spans="1:101" x14ac:dyDescent="0.15">
      <c r="A1865" s="76">
        <v>1741</v>
      </c>
      <c r="B1865" s="74" t="s">
        <v>1474</v>
      </c>
      <c r="C1865" s="74">
        <v>1002741831</v>
      </c>
      <c r="D1865" s="78" t="str">
        <f t="shared" si="60"/>
        <v>https://portal.dnb.de/opac.htm?method=simpleSearch&amp;cqlMode=true&amp;query=idn%3D1002741831</v>
      </c>
      <c r="E1865" s="74" t="s">
        <v>1475</v>
      </c>
      <c r="F1865" s="74"/>
      <c r="G1865" s="76"/>
      <c r="H1865" s="77"/>
      <c r="I1865" s="76"/>
      <c r="J1865" s="77"/>
      <c r="K1865" s="77"/>
      <c r="L1865" s="76"/>
      <c r="M1865" s="76"/>
      <c r="N1865" s="76"/>
      <c r="O1865" s="76"/>
      <c r="P1865" s="76"/>
      <c r="Q1865" s="76"/>
      <c r="R1865" s="76"/>
      <c r="S1865" s="76"/>
      <c r="BD1865" s="99">
        <f t="shared" si="61"/>
        <v>0</v>
      </c>
      <c r="CC1865" s="99"/>
      <c r="CV1865" s="99"/>
      <c r="CW1865" s="63"/>
    </row>
    <row r="1866" spans="1:101" x14ac:dyDescent="0.15">
      <c r="A1866" s="76">
        <v>1742</v>
      </c>
      <c r="B1866" s="74" t="s">
        <v>1478</v>
      </c>
      <c r="C1866" s="74">
        <v>994404174</v>
      </c>
      <c r="D1866" s="78" t="str">
        <f t="shared" si="60"/>
        <v>https://portal.dnb.de/opac.htm?method=simpleSearch&amp;cqlMode=true&amp;query=idn%3D994404174</v>
      </c>
      <c r="E1866" s="74" t="s">
        <v>1479</v>
      </c>
      <c r="F1866" s="74"/>
      <c r="G1866" s="76"/>
      <c r="H1866" s="77" t="s">
        <v>4</v>
      </c>
      <c r="I1866" s="76" t="s">
        <v>53</v>
      </c>
      <c r="J1866" s="77" t="s">
        <v>8516</v>
      </c>
      <c r="K1866" s="77" t="s">
        <v>8520</v>
      </c>
      <c r="L1866" s="76"/>
      <c r="M1866" s="76" t="s">
        <v>36</v>
      </c>
      <c r="N1866" s="76" t="s">
        <v>39</v>
      </c>
      <c r="O1866" s="76">
        <v>0</v>
      </c>
      <c r="P1866" s="76"/>
      <c r="Q1866" s="76"/>
      <c r="R1866" s="76"/>
      <c r="S1866" s="76"/>
      <c r="BD1866" s="99">
        <f t="shared" si="61"/>
        <v>0</v>
      </c>
      <c r="CC1866" s="99"/>
      <c r="CV1866" s="99"/>
      <c r="CW1866" s="63"/>
    </row>
    <row r="1867" spans="1:101" x14ac:dyDescent="0.15">
      <c r="A1867" s="76">
        <v>1743</v>
      </c>
      <c r="B1867" s="74" t="s">
        <v>1480</v>
      </c>
      <c r="C1867" s="74">
        <v>994404190</v>
      </c>
      <c r="D1867" s="78" t="str">
        <f t="shared" si="60"/>
        <v>https://portal.dnb.de/opac.htm?method=simpleSearch&amp;cqlMode=true&amp;query=idn%3D994404190</v>
      </c>
      <c r="E1867" s="74" t="s">
        <v>1481</v>
      </c>
      <c r="F1867" s="74"/>
      <c r="G1867" s="76"/>
      <c r="H1867" s="77" t="s">
        <v>4</v>
      </c>
      <c r="I1867" s="76" t="s">
        <v>53</v>
      </c>
      <c r="J1867" s="77" t="s">
        <v>58</v>
      </c>
      <c r="K1867" s="77" t="s">
        <v>8520</v>
      </c>
      <c r="L1867" s="76"/>
      <c r="M1867" s="76" t="s">
        <v>36</v>
      </c>
      <c r="N1867" s="76" t="s">
        <v>39</v>
      </c>
      <c r="O1867" s="76">
        <v>0</v>
      </c>
      <c r="P1867" s="76"/>
      <c r="Q1867" s="76"/>
      <c r="R1867" s="76"/>
      <c r="S1867" s="76"/>
      <c r="BD1867" s="99">
        <f t="shared" si="61"/>
        <v>0</v>
      </c>
      <c r="CC1867" s="99"/>
      <c r="CV1867" s="99"/>
      <c r="CW1867" s="63"/>
    </row>
    <row r="1868" spans="1:101" x14ac:dyDescent="0.15">
      <c r="A1868" s="76">
        <v>1744</v>
      </c>
      <c r="B1868" s="74" t="s">
        <v>1487</v>
      </c>
      <c r="C1868" s="74">
        <v>994508263</v>
      </c>
      <c r="D1868" s="78" t="str">
        <f t="shared" si="60"/>
        <v>https://portal.dnb.de/opac.htm?method=simpleSearch&amp;cqlMode=true&amp;query=idn%3D994508263</v>
      </c>
      <c r="E1868" s="74" t="s">
        <v>9020</v>
      </c>
      <c r="F1868" s="74"/>
      <c r="G1868" s="76"/>
      <c r="H1868" s="77" t="s">
        <v>5</v>
      </c>
      <c r="I1868" s="76" t="s">
        <v>53</v>
      </c>
      <c r="J1868" s="77" t="s">
        <v>58</v>
      </c>
      <c r="K1868" s="77" t="s">
        <v>8520</v>
      </c>
      <c r="L1868" s="76"/>
      <c r="M1868" s="76"/>
      <c r="N1868" s="76"/>
      <c r="O1868" s="76">
        <v>1</v>
      </c>
      <c r="P1868" s="76"/>
      <c r="Q1868" s="76"/>
      <c r="R1868" s="76"/>
      <c r="S1868" s="76"/>
      <c r="BD1868" s="99">
        <f t="shared" si="61"/>
        <v>0</v>
      </c>
      <c r="CC1868" s="99"/>
      <c r="CV1868" s="99"/>
      <c r="CW1868" s="63"/>
    </row>
    <row r="1869" spans="1:101" x14ac:dyDescent="0.15">
      <c r="A1869" s="76">
        <v>1745</v>
      </c>
      <c r="B1869" s="74" t="s">
        <v>1488</v>
      </c>
      <c r="C1869" s="74">
        <v>994508905</v>
      </c>
      <c r="D1869" s="82" t="str">
        <f>HYPERLINK(CONCATENATE("https://portal.dnb.de/opac.htm?method=simpleSearch&amp;cqlMode=true&amp;query=idn%3D",C1869))</f>
        <v>https://portal.dnb.de/opac.htm?method=simpleSearch&amp;cqlMode=true&amp;query=idn%3D994508905</v>
      </c>
      <c r="E1869" s="74" t="s">
        <v>9021</v>
      </c>
      <c r="F1869" s="74"/>
      <c r="G1869" s="76" t="s">
        <v>8515</v>
      </c>
      <c r="H1869" s="77" t="s">
        <v>5</v>
      </c>
      <c r="I1869" s="76" t="s">
        <v>53</v>
      </c>
      <c r="J1869" s="77" t="s">
        <v>58</v>
      </c>
      <c r="K1869" s="77" t="s">
        <v>8520</v>
      </c>
      <c r="L1869" s="76"/>
      <c r="M1869" s="76"/>
      <c r="N1869" s="76"/>
      <c r="O1869" s="76">
        <v>1</v>
      </c>
      <c r="P1869" s="76"/>
      <c r="Q1869" s="76"/>
      <c r="R1869" s="76"/>
      <c r="S1869" s="76"/>
      <c r="BD1869" s="99">
        <f t="shared" si="61"/>
        <v>0</v>
      </c>
      <c r="CC1869" s="99"/>
      <c r="CV1869" s="99"/>
      <c r="CW1869" s="63"/>
    </row>
    <row r="1870" spans="1:101" x14ac:dyDescent="0.15">
      <c r="A1870" s="76">
        <v>1746</v>
      </c>
      <c r="B1870" s="74" t="s">
        <v>1489</v>
      </c>
      <c r="C1870" s="74">
        <v>994508352</v>
      </c>
      <c r="D1870" s="82" t="str">
        <f>HYPERLINK(CONCATENATE("https://portal.dnb.de/opac.htm?method=simpleSearch&amp;cqlMode=true&amp;query=idn%3D",C1870))</f>
        <v>https://portal.dnb.de/opac.htm?method=simpleSearch&amp;cqlMode=true&amp;query=idn%3D994508352</v>
      </c>
      <c r="E1870" s="74" t="s">
        <v>9022</v>
      </c>
      <c r="F1870" s="74"/>
      <c r="G1870" s="76" t="s">
        <v>8515</v>
      </c>
      <c r="H1870" s="77" t="s">
        <v>5</v>
      </c>
      <c r="I1870" s="76" t="s">
        <v>53</v>
      </c>
      <c r="J1870" s="77" t="s">
        <v>58</v>
      </c>
      <c r="K1870" s="77" t="s">
        <v>8520</v>
      </c>
      <c r="L1870" s="76"/>
      <c r="M1870" s="76"/>
      <c r="N1870" s="76"/>
      <c r="O1870" s="76">
        <v>1</v>
      </c>
      <c r="P1870" s="76"/>
      <c r="Q1870" s="76"/>
      <c r="R1870" s="76"/>
      <c r="S1870" s="76"/>
      <c r="BD1870" s="99">
        <f t="shared" si="61"/>
        <v>0</v>
      </c>
      <c r="CC1870" s="99"/>
      <c r="CV1870" s="99"/>
      <c r="CW1870" s="63"/>
    </row>
    <row r="1871" spans="1:101" x14ac:dyDescent="0.15">
      <c r="A1871" s="76">
        <v>1747</v>
      </c>
      <c r="B1871" s="74" t="s">
        <v>1490</v>
      </c>
      <c r="C1871" s="74">
        <v>994508425</v>
      </c>
      <c r="D1871" s="78" t="str">
        <f t="shared" si="60"/>
        <v>https://portal.dnb.de/opac.htm?method=simpleSearch&amp;cqlMode=true&amp;query=idn%3D994508425</v>
      </c>
      <c r="E1871" s="74" t="s">
        <v>9023</v>
      </c>
      <c r="F1871" s="74"/>
      <c r="G1871" s="76" t="s">
        <v>8515</v>
      </c>
      <c r="H1871" s="77" t="s">
        <v>5</v>
      </c>
      <c r="I1871" s="76" t="s">
        <v>53</v>
      </c>
      <c r="J1871" s="77" t="s">
        <v>58</v>
      </c>
      <c r="K1871" s="77" t="s">
        <v>8520</v>
      </c>
      <c r="L1871" s="76"/>
      <c r="M1871" s="76"/>
      <c r="N1871" s="76"/>
      <c r="O1871" s="76">
        <v>0</v>
      </c>
      <c r="P1871" s="76"/>
      <c r="Q1871" s="76"/>
      <c r="R1871" s="76"/>
      <c r="S1871" s="76"/>
      <c r="BD1871" s="99">
        <f t="shared" si="61"/>
        <v>0</v>
      </c>
      <c r="CC1871" s="99"/>
      <c r="CV1871" s="99"/>
      <c r="CW1871" s="63"/>
    </row>
    <row r="1872" spans="1:101" x14ac:dyDescent="0.15">
      <c r="A1872" s="76">
        <v>1748</v>
      </c>
      <c r="B1872" s="74" t="s">
        <v>1491</v>
      </c>
      <c r="C1872" s="74">
        <v>994508468</v>
      </c>
      <c r="D1872" s="78" t="str">
        <f t="shared" si="60"/>
        <v>https://portal.dnb.de/opac.htm?method=simpleSearch&amp;cqlMode=true&amp;query=idn%3D994508468</v>
      </c>
      <c r="E1872" s="74" t="s">
        <v>9024</v>
      </c>
      <c r="F1872" s="74"/>
      <c r="G1872" s="76" t="s">
        <v>8515</v>
      </c>
      <c r="H1872" s="77" t="s">
        <v>5</v>
      </c>
      <c r="I1872" s="76" t="s">
        <v>53</v>
      </c>
      <c r="J1872" s="77" t="s">
        <v>58</v>
      </c>
      <c r="K1872" s="77" t="s">
        <v>8520</v>
      </c>
      <c r="L1872" s="76"/>
      <c r="M1872" s="76"/>
      <c r="N1872" s="76"/>
      <c r="O1872" s="76">
        <v>1</v>
      </c>
      <c r="P1872" s="76"/>
      <c r="Q1872" s="76"/>
      <c r="R1872" s="76"/>
      <c r="S1872" s="76"/>
      <c r="BD1872" s="99">
        <f t="shared" si="61"/>
        <v>0</v>
      </c>
      <c r="CC1872" s="99"/>
      <c r="CV1872" s="99"/>
      <c r="CW1872" s="63"/>
    </row>
    <row r="1873" spans="1:101" x14ac:dyDescent="0.15">
      <c r="A1873" s="76">
        <v>1749</v>
      </c>
      <c r="B1873" s="74" t="s">
        <v>1492</v>
      </c>
      <c r="C1873" s="74">
        <v>994508514</v>
      </c>
      <c r="D1873" s="82" t="str">
        <f>HYPERLINK(CONCATENATE("https://portal.dnb.de/opac.htm?method=simpleSearch&amp;cqlMode=true&amp;query=idn%3D",C1873))</f>
        <v>https://portal.dnb.de/opac.htm?method=simpleSearch&amp;cqlMode=true&amp;query=idn%3D994508514</v>
      </c>
      <c r="E1873" s="74" t="s">
        <v>9025</v>
      </c>
      <c r="F1873" s="74"/>
      <c r="G1873" s="76" t="s">
        <v>8515</v>
      </c>
      <c r="H1873" s="77" t="s">
        <v>5</v>
      </c>
      <c r="I1873" s="76" t="s">
        <v>53</v>
      </c>
      <c r="J1873" s="77" t="s">
        <v>58</v>
      </c>
      <c r="K1873" s="77" t="s">
        <v>8520</v>
      </c>
      <c r="L1873" s="76"/>
      <c r="M1873" s="76"/>
      <c r="N1873" s="76"/>
      <c r="O1873" s="76">
        <v>0</v>
      </c>
      <c r="P1873" s="76"/>
      <c r="Q1873" s="76"/>
      <c r="R1873" s="76"/>
      <c r="S1873" s="76"/>
      <c r="BD1873" s="99">
        <f t="shared" si="61"/>
        <v>0</v>
      </c>
      <c r="CC1873" s="99"/>
      <c r="CV1873" s="99"/>
      <c r="CW1873" s="63"/>
    </row>
    <row r="1874" spans="1:101" x14ac:dyDescent="0.15">
      <c r="A1874" s="76">
        <v>1750</v>
      </c>
      <c r="B1874" s="74" t="s">
        <v>1493</v>
      </c>
      <c r="C1874" s="74" t="s">
        <v>1494</v>
      </c>
      <c r="D1874" s="82" t="str">
        <f>HYPERLINK(CONCATENATE("https://portal.dnb.de/opac.htm?method=simpleSearch&amp;cqlMode=true&amp;query=idn%3D",C1874))</f>
        <v>https://portal.dnb.de/opac.htm?method=simpleSearch&amp;cqlMode=true&amp;query=idn%3D99450859X</v>
      </c>
      <c r="E1874" s="74" t="s">
        <v>9026</v>
      </c>
      <c r="F1874" s="74"/>
      <c r="G1874" s="76" t="s">
        <v>8515</v>
      </c>
      <c r="H1874" s="77" t="s">
        <v>5</v>
      </c>
      <c r="I1874" s="76" t="s">
        <v>53</v>
      </c>
      <c r="J1874" s="77" t="s">
        <v>58</v>
      </c>
      <c r="K1874" s="77" t="s">
        <v>8520</v>
      </c>
      <c r="L1874" s="76"/>
      <c r="M1874" s="76"/>
      <c r="N1874" s="76"/>
      <c r="O1874" s="76">
        <v>1</v>
      </c>
      <c r="P1874" s="76"/>
      <c r="Q1874" s="76"/>
      <c r="R1874" s="76"/>
      <c r="S1874" s="76"/>
      <c r="BD1874" s="99">
        <f t="shared" si="61"/>
        <v>0</v>
      </c>
      <c r="CC1874" s="99"/>
      <c r="CV1874" s="99"/>
      <c r="CW1874" s="63"/>
    </row>
    <row r="1875" spans="1:101" x14ac:dyDescent="0.15">
      <c r="A1875" s="76">
        <v>1751</v>
      </c>
      <c r="B1875" s="74" t="s">
        <v>1495</v>
      </c>
      <c r="C1875" s="74">
        <v>994508980</v>
      </c>
      <c r="D1875" s="78" t="str">
        <f t="shared" si="60"/>
        <v>https://portal.dnb.de/opac.htm?method=simpleSearch&amp;cqlMode=true&amp;query=idn%3D994508980</v>
      </c>
      <c r="E1875" s="74" t="s">
        <v>9027</v>
      </c>
      <c r="F1875" s="74"/>
      <c r="G1875" s="76" t="s">
        <v>8515</v>
      </c>
      <c r="H1875" s="77" t="s">
        <v>5</v>
      </c>
      <c r="I1875" s="76" t="s">
        <v>53</v>
      </c>
      <c r="J1875" s="77" t="s">
        <v>58</v>
      </c>
      <c r="K1875" s="77" t="s">
        <v>8520</v>
      </c>
      <c r="L1875" s="76"/>
      <c r="M1875" s="76"/>
      <c r="N1875" s="76"/>
      <c r="O1875" s="76">
        <v>1</v>
      </c>
      <c r="P1875" s="76"/>
      <c r="Q1875" s="76"/>
      <c r="R1875" s="76"/>
      <c r="S1875" s="76"/>
      <c r="BD1875" s="99">
        <f t="shared" si="61"/>
        <v>0</v>
      </c>
      <c r="CC1875" s="99"/>
      <c r="CV1875" s="99"/>
      <c r="CW1875" s="63"/>
    </row>
    <row r="1876" spans="1:101" x14ac:dyDescent="0.15">
      <c r="A1876" s="76">
        <v>1752</v>
      </c>
      <c r="B1876" s="74" t="s">
        <v>1496</v>
      </c>
      <c r="C1876" s="74" t="s">
        <v>1497</v>
      </c>
      <c r="D1876" s="78" t="str">
        <f t="shared" si="60"/>
        <v>https://portal.dnb.de/opac.htm?method=simpleSearch&amp;cqlMode=true&amp;query=idn%3D99450909X</v>
      </c>
      <c r="E1876" s="74" t="s">
        <v>9028</v>
      </c>
      <c r="F1876" s="74"/>
      <c r="G1876" s="76" t="s">
        <v>8515</v>
      </c>
      <c r="H1876" s="77" t="s">
        <v>5</v>
      </c>
      <c r="I1876" s="76" t="s">
        <v>53</v>
      </c>
      <c r="J1876" s="77" t="s">
        <v>58</v>
      </c>
      <c r="K1876" s="77" t="s">
        <v>8520</v>
      </c>
      <c r="L1876" s="76"/>
      <c r="M1876" s="76"/>
      <c r="N1876" s="76"/>
      <c r="O1876" s="76">
        <v>1</v>
      </c>
      <c r="P1876" s="76"/>
      <c r="Q1876" s="76"/>
      <c r="R1876" s="76"/>
      <c r="S1876" s="76"/>
      <c r="BD1876" s="99">
        <f t="shared" si="61"/>
        <v>0</v>
      </c>
      <c r="CC1876" s="99"/>
      <c r="CV1876" s="99"/>
      <c r="CW1876" s="63"/>
    </row>
    <row r="1877" spans="1:101" x14ac:dyDescent="0.15">
      <c r="A1877" s="76">
        <v>1753</v>
      </c>
      <c r="B1877" s="74" t="s">
        <v>1498</v>
      </c>
      <c r="C1877" s="74">
        <v>994508298</v>
      </c>
      <c r="D1877" s="78" t="str">
        <f t="shared" si="60"/>
        <v>https://portal.dnb.de/opac.htm?method=simpleSearch&amp;cqlMode=true&amp;query=idn%3D994508298</v>
      </c>
      <c r="E1877" s="74" t="s">
        <v>9029</v>
      </c>
      <c r="F1877" s="74"/>
      <c r="G1877" s="76" t="s">
        <v>8515</v>
      </c>
      <c r="H1877" s="77" t="s">
        <v>5</v>
      </c>
      <c r="I1877" s="76" t="s">
        <v>53</v>
      </c>
      <c r="J1877" s="77" t="s">
        <v>58</v>
      </c>
      <c r="K1877" s="77" t="s">
        <v>8520</v>
      </c>
      <c r="L1877" s="76"/>
      <c r="M1877" s="76"/>
      <c r="N1877" s="76"/>
      <c r="O1877" s="76">
        <v>1</v>
      </c>
      <c r="P1877" s="76"/>
      <c r="Q1877" s="76"/>
      <c r="R1877" s="76"/>
      <c r="S1877" s="76"/>
      <c r="BD1877" s="99">
        <f t="shared" si="61"/>
        <v>0</v>
      </c>
      <c r="CC1877" s="99"/>
      <c r="CV1877" s="99"/>
      <c r="CW1877" s="63"/>
    </row>
    <row r="1878" spans="1:101" x14ac:dyDescent="0.15">
      <c r="A1878" s="76">
        <v>1754</v>
      </c>
      <c r="B1878" s="74" t="s">
        <v>1499</v>
      </c>
      <c r="C1878" s="74">
        <v>994509162</v>
      </c>
      <c r="D1878" s="78" t="str">
        <f t="shared" si="60"/>
        <v>https://portal.dnb.de/opac.htm?method=simpleSearch&amp;cqlMode=true&amp;query=idn%3D994509162</v>
      </c>
      <c r="E1878" s="74" t="s">
        <v>9030</v>
      </c>
      <c r="F1878" s="74"/>
      <c r="G1878" s="76" t="s">
        <v>8515</v>
      </c>
      <c r="H1878" s="77" t="s">
        <v>5</v>
      </c>
      <c r="I1878" s="76" t="s">
        <v>53</v>
      </c>
      <c r="J1878" s="77" t="s">
        <v>58</v>
      </c>
      <c r="K1878" s="77" t="s">
        <v>8520</v>
      </c>
      <c r="L1878" s="76"/>
      <c r="M1878" s="76"/>
      <c r="N1878" s="76"/>
      <c r="O1878" s="76">
        <v>1</v>
      </c>
      <c r="P1878" s="76"/>
      <c r="Q1878" s="76"/>
      <c r="R1878" s="76"/>
      <c r="S1878" s="76"/>
      <c r="BD1878" s="99">
        <f t="shared" si="61"/>
        <v>0</v>
      </c>
      <c r="CC1878" s="99"/>
      <c r="CV1878" s="99"/>
      <c r="CW1878" s="63"/>
    </row>
    <row r="1879" spans="1:101" x14ac:dyDescent="0.15">
      <c r="A1879" s="76">
        <v>1755</v>
      </c>
      <c r="B1879" s="74" t="s">
        <v>1547</v>
      </c>
      <c r="C1879" s="74">
        <v>1000791939</v>
      </c>
      <c r="D1879" s="78" t="str">
        <f t="shared" ref="D1879:D1942" si="62">HYPERLINK(CONCATENATE("https://portal.dnb.de/opac.htm?method=simpleSearch&amp;cqlMode=true&amp;query=idn%3D",C1879))</f>
        <v>https://portal.dnb.de/opac.htm?method=simpleSearch&amp;cqlMode=true&amp;query=idn%3D1000791939</v>
      </c>
      <c r="E1879" s="74" t="s">
        <v>1548</v>
      </c>
      <c r="F1879" s="74"/>
      <c r="G1879" s="76"/>
      <c r="H1879" s="77"/>
      <c r="I1879" s="76"/>
      <c r="J1879" s="77"/>
      <c r="K1879" s="77"/>
      <c r="L1879" s="76"/>
      <c r="M1879" s="76"/>
      <c r="N1879" s="76"/>
      <c r="O1879" s="76"/>
      <c r="P1879" s="76"/>
      <c r="Q1879" s="76"/>
      <c r="R1879" s="76"/>
      <c r="S1879" s="76"/>
      <c r="BD1879" s="99">
        <f t="shared" si="61"/>
        <v>0</v>
      </c>
      <c r="CC1879" s="99"/>
      <c r="CV1879" s="99"/>
      <c r="CW1879" s="63"/>
    </row>
    <row r="1880" spans="1:101" x14ac:dyDescent="0.15">
      <c r="A1880" s="76">
        <v>1756</v>
      </c>
      <c r="B1880" s="74" t="s">
        <v>1549</v>
      </c>
      <c r="C1880" s="74">
        <v>1000527549</v>
      </c>
      <c r="D1880" s="78" t="str">
        <f t="shared" si="62"/>
        <v>https://portal.dnb.de/opac.htm?method=simpleSearch&amp;cqlMode=true&amp;query=idn%3D1000527549</v>
      </c>
      <c r="E1880" s="74" t="s">
        <v>1548</v>
      </c>
      <c r="F1880" s="74"/>
      <c r="G1880" s="76"/>
      <c r="H1880" s="77"/>
      <c r="I1880" s="76"/>
      <c r="J1880" s="77"/>
      <c r="K1880" s="77"/>
      <c r="L1880" s="76"/>
      <c r="M1880" s="76"/>
      <c r="N1880" s="76"/>
      <c r="O1880" s="76"/>
      <c r="P1880" s="76"/>
      <c r="Q1880" s="76"/>
      <c r="R1880" s="76"/>
      <c r="S1880" s="76"/>
      <c r="BD1880" s="99">
        <f t="shared" si="61"/>
        <v>0</v>
      </c>
      <c r="CC1880" s="99"/>
      <c r="CV1880" s="99"/>
      <c r="CW1880" s="63"/>
    </row>
    <row r="1881" spans="1:101" x14ac:dyDescent="0.15">
      <c r="A1881" s="76">
        <v>1757</v>
      </c>
      <c r="B1881" s="74" t="s">
        <v>1550</v>
      </c>
      <c r="C1881" s="74" t="s">
        <v>1551</v>
      </c>
      <c r="D1881" s="78" t="str">
        <f t="shared" si="62"/>
        <v>https://portal.dnb.de/opac.htm?method=simpleSearch&amp;cqlMode=true&amp;query=idn%3D99393014X</v>
      </c>
      <c r="E1881" s="74" t="s">
        <v>1548</v>
      </c>
      <c r="F1881" s="74"/>
      <c r="G1881" s="76"/>
      <c r="H1881" s="77"/>
      <c r="I1881" s="76"/>
      <c r="J1881" s="77"/>
      <c r="K1881" s="77"/>
      <c r="L1881" s="76"/>
      <c r="M1881" s="76"/>
      <c r="N1881" s="76"/>
      <c r="O1881" s="76"/>
      <c r="P1881" s="76"/>
      <c r="Q1881" s="76"/>
      <c r="R1881" s="76"/>
      <c r="S1881" s="76"/>
      <c r="BD1881" s="99">
        <f t="shared" si="61"/>
        <v>0</v>
      </c>
      <c r="CC1881" s="99"/>
      <c r="CV1881" s="99"/>
      <c r="CW1881" s="63"/>
    </row>
    <row r="1882" spans="1:101" x14ac:dyDescent="0.15">
      <c r="A1882" s="76">
        <v>1758</v>
      </c>
      <c r="B1882" s="74" t="s">
        <v>1503</v>
      </c>
      <c r="C1882" s="74">
        <v>1066961824</v>
      </c>
      <c r="D1882" s="78" t="str">
        <f t="shared" si="62"/>
        <v>https://portal.dnb.de/opac.htm?method=simpleSearch&amp;cqlMode=true&amp;query=idn%3D1066961824</v>
      </c>
      <c r="E1882" s="74" t="s">
        <v>1504</v>
      </c>
      <c r="F1882" s="74"/>
      <c r="G1882" s="76" t="s">
        <v>8515</v>
      </c>
      <c r="H1882" s="77" t="s">
        <v>5</v>
      </c>
      <c r="I1882" s="76" t="s">
        <v>53</v>
      </c>
      <c r="J1882" s="77" t="s">
        <v>8516</v>
      </c>
      <c r="K1882" s="77" t="s">
        <v>8520</v>
      </c>
      <c r="L1882" s="76"/>
      <c r="M1882" s="76"/>
      <c r="N1882" s="76"/>
      <c r="O1882" s="76">
        <v>0</v>
      </c>
      <c r="P1882" s="76"/>
      <c r="Q1882" s="76" t="s">
        <v>9040</v>
      </c>
      <c r="R1882" s="76"/>
      <c r="S1882" s="76"/>
      <c r="BD1882" s="99">
        <f t="shared" si="61"/>
        <v>0</v>
      </c>
      <c r="CC1882" s="99"/>
      <c r="CV1882" s="99"/>
      <c r="CW1882" s="63"/>
    </row>
    <row r="1883" spans="1:101" ht="33.75" x14ac:dyDescent="0.15">
      <c r="A1883" s="76">
        <v>1759</v>
      </c>
      <c r="B1883" s="74" t="s">
        <v>1512</v>
      </c>
      <c r="C1883" s="74">
        <v>994195680</v>
      </c>
      <c r="D1883" s="78" t="str">
        <f t="shared" si="62"/>
        <v>https://portal.dnb.de/opac.htm?method=simpleSearch&amp;cqlMode=true&amp;query=idn%3D994195680</v>
      </c>
      <c r="E1883" s="74" t="s">
        <v>1513</v>
      </c>
      <c r="F1883" s="74"/>
      <c r="G1883" s="76" t="s">
        <v>8515</v>
      </c>
      <c r="H1883" s="77" t="s">
        <v>8546</v>
      </c>
      <c r="I1883" s="76" t="s">
        <v>53</v>
      </c>
      <c r="J1883" s="77" t="s">
        <v>8516</v>
      </c>
      <c r="K1883" s="77" t="s">
        <v>84</v>
      </c>
      <c r="L1883" s="76"/>
      <c r="M1883" s="76" t="s">
        <v>37</v>
      </c>
      <c r="N1883" s="76" t="s">
        <v>40</v>
      </c>
      <c r="O1883" s="76">
        <v>1</v>
      </c>
      <c r="P1883" s="76"/>
      <c r="Q1883" s="76"/>
      <c r="R1883" s="76"/>
      <c r="S1883" s="76"/>
      <c r="BD1883" s="99">
        <f t="shared" si="61"/>
        <v>0</v>
      </c>
      <c r="CC1883" s="99"/>
      <c r="CV1883" s="99"/>
      <c r="CW1883" s="63"/>
    </row>
    <row r="1884" spans="1:101" ht="33.75" x14ac:dyDescent="0.15">
      <c r="A1884" s="76">
        <v>1760</v>
      </c>
      <c r="B1884" s="74" t="s">
        <v>1514</v>
      </c>
      <c r="C1884" s="74">
        <v>1066800677</v>
      </c>
      <c r="D1884" s="78" t="str">
        <f t="shared" si="62"/>
        <v>https://portal.dnb.de/opac.htm?method=simpleSearch&amp;cqlMode=true&amp;query=idn%3D1066800677</v>
      </c>
      <c r="E1884" s="74" t="s">
        <v>1515</v>
      </c>
      <c r="F1884" s="74"/>
      <c r="G1884" s="76" t="s">
        <v>8515</v>
      </c>
      <c r="H1884" s="77" t="s">
        <v>48</v>
      </c>
      <c r="I1884" s="76" t="s">
        <v>53</v>
      </c>
      <c r="J1884" s="77" t="s">
        <v>8516</v>
      </c>
      <c r="K1884" s="77" t="s">
        <v>8540</v>
      </c>
      <c r="L1884" s="76"/>
      <c r="M1884" s="76"/>
      <c r="N1884" s="76"/>
      <c r="O1884" s="76">
        <v>0</v>
      </c>
      <c r="P1884" s="76"/>
      <c r="Q1884" s="76"/>
      <c r="R1884" s="76"/>
      <c r="S1884" s="76"/>
      <c r="BD1884" s="99">
        <f t="shared" si="61"/>
        <v>0</v>
      </c>
      <c r="CC1884" s="99"/>
      <c r="CV1884" s="99"/>
      <c r="CW1884" s="63"/>
    </row>
    <row r="1885" spans="1:101" x14ac:dyDescent="0.15">
      <c r="A1885" s="76">
        <v>1761</v>
      </c>
      <c r="B1885" s="74" t="s">
        <v>1520</v>
      </c>
      <c r="C1885" s="74">
        <v>1066844216</v>
      </c>
      <c r="D1885" s="78" t="str">
        <f t="shared" si="62"/>
        <v>https://portal.dnb.de/opac.htm?method=simpleSearch&amp;cqlMode=true&amp;query=idn%3D1066844216</v>
      </c>
      <c r="E1885" s="74" t="s">
        <v>1521</v>
      </c>
      <c r="F1885" s="74"/>
      <c r="G1885" s="76"/>
      <c r="H1885" s="77"/>
      <c r="I1885" s="76"/>
      <c r="J1885" s="77"/>
      <c r="K1885" s="77"/>
      <c r="L1885" s="76"/>
      <c r="M1885" s="76"/>
      <c r="N1885" s="76"/>
      <c r="O1885" s="76"/>
      <c r="P1885" s="76"/>
      <c r="Q1885" s="76"/>
      <c r="R1885" s="76"/>
      <c r="S1885" s="76"/>
      <c r="BD1885" s="99">
        <f t="shared" si="61"/>
        <v>0</v>
      </c>
      <c r="CC1885" s="99"/>
      <c r="CV1885" s="99"/>
      <c r="CW1885" s="63"/>
    </row>
    <row r="1886" spans="1:101" ht="22.5" x14ac:dyDescent="0.15">
      <c r="A1886" s="76">
        <v>1762</v>
      </c>
      <c r="B1886" s="74" t="s">
        <v>1522</v>
      </c>
      <c r="C1886" s="74">
        <v>1066938385</v>
      </c>
      <c r="D1886" s="78" t="str">
        <f t="shared" si="62"/>
        <v>https://portal.dnb.de/opac.htm?method=simpleSearch&amp;cqlMode=true&amp;query=idn%3D1066938385</v>
      </c>
      <c r="E1886" s="74" t="s">
        <v>1523</v>
      </c>
      <c r="F1886" s="74"/>
      <c r="G1886" s="76"/>
      <c r="H1886" s="77" t="s">
        <v>48</v>
      </c>
      <c r="I1886" s="76" t="s">
        <v>53</v>
      </c>
      <c r="J1886" s="77" t="s">
        <v>8516</v>
      </c>
      <c r="K1886" s="77" t="s">
        <v>8564</v>
      </c>
      <c r="L1886" s="76"/>
      <c r="M1886" s="76" t="s">
        <v>33</v>
      </c>
      <c r="N1886" s="76" t="s">
        <v>40</v>
      </c>
      <c r="O1886" s="76">
        <v>0</v>
      </c>
      <c r="P1886" s="76"/>
      <c r="Q1886" s="76"/>
      <c r="R1886" s="76"/>
      <c r="S1886" s="76"/>
      <c r="BD1886" s="99">
        <f t="shared" si="61"/>
        <v>0</v>
      </c>
      <c r="CC1886" s="99"/>
      <c r="CV1886" s="99"/>
      <c r="CW1886" s="63"/>
    </row>
    <row r="1887" spans="1:101" x14ac:dyDescent="0.15">
      <c r="A1887" s="76">
        <v>1763</v>
      </c>
      <c r="B1887" s="74" t="s">
        <v>1524</v>
      </c>
      <c r="C1887" s="74">
        <v>1000043576</v>
      </c>
      <c r="D1887" s="78" t="str">
        <f t="shared" si="62"/>
        <v>https://portal.dnb.de/opac.htm?method=simpleSearch&amp;cqlMode=true&amp;query=idn%3D1000043576</v>
      </c>
      <c r="E1887" s="74" t="s">
        <v>1525</v>
      </c>
      <c r="F1887" s="74"/>
      <c r="G1887" s="76"/>
      <c r="H1887" s="77"/>
      <c r="I1887" s="76"/>
      <c r="J1887" s="77"/>
      <c r="K1887" s="77"/>
      <c r="L1887" s="76"/>
      <c r="M1887" s="76"/>
      <c r="N1887" s="76"/>
      <c r="O1887" s="76"/>
      <c r="P1887" s="76"/>
      <c r="Q1887" s="76"/>
      <c r="R1887" s="76"/>
      <c r="S1887" s="76"/>
      <c r="BD1887" s="99">
        <f t="shared" si="61"/>
        <v>0</v>
      </c>
      <c r="CC1887" s="99"/>
      <c r="CV1887" s="99"/>
      <c r="CW1887" s="63"/>
    </row>
    <row r="1888" spans="1:101" x14ac:dyDescent="0.15">
      <c r="A1888" s="76">
        <v>1764</v>
      </c>
      <c r="B1888" s="74" t="s">
        <v>1526</v>
      </c>
      <c r="C1888" s="74">
        <v>1000042634</v>
      </c>
      <c r="D1888" s="78" t="str">
        <f t="shared" si="62"/>
        <v>https://portal.dnb.de/opac.htm?method=simpleSearch&amp;cqlMode=true&amp;query=idn%3D1000042634</v>
      </c>
      <c r="E1888" s="74" t="s">
        <v>1525</v>
      </c>
      <c r="F1888" s="74"/>
      <c r="G1888" s="76"/>
      <c r="H1888" s="77"/>
      <c r="I1888" s="76"/>
      <c r="J1888" s="77"/>
      <c r="K1888" s="77"/>
      <c r="L1888" s="76"/>
      <c r="M1888" s="76"/>
      <c r="N1888" s="76"/>
      <c r="O1888" s="76"/>
      <c r="P1888" s="76"/>
      <c r="Q1888" s="76"/>
      <c r="R1888" s="76"/>
      <c r="S1888" s="76"/>
      <c r="BD1888" s="99">
        <f t="shared" si="61"/>
        <v>0</v>
      </c>
      <c r="CC1888" s="99"/>
      <c r="CV1888" s="99"/>
      <c r="CW1888" s="63"/>
    </row>
    <row r="1889" spans="1:101" x14ac:dyDescent="0.15">
      <c r="A1889" s="76">
        <v>1765</v>
      </c>
      <c r="B1889" s="74" t="s">
        <v>1527</v>
      </c>
      <c r="C1889" s="74">
        <v>1002568811</v>
      </c>
      <c r="D1889" s="78" t="str">
        <f t="shared" si="62"/>
        <v>https://portal.dnb.de/opac.htm?method=simpleSearch&amp;cqlMode=true&amp;query=idn%3D1002568811</v>
      </c>
      <c r="E1889" s="74" t="s">
        <v>1525</v>
      </c>
      <c r="F1889" s="74"/>
      <c r="G1889" s="76"/>
      <c r="H1889" s="77"/>
      <c r="I1889" s="76"/>
      <c r="J1889" s="77"/>
      <c r="K1889" s="77"/>
      <c r="L1889" s="76"/>
      <c r="M1889" s="76"/>
      <c r="N1889" s="76"/>
      <c r="O1889" s="76"/>
      <c r="P1889" s="76"/>
      <c r="Q1889" s="76"/>
      <c r="R1889" s="76"/>
      <c r="S1889" s="76"/>
      <c r="BD1889" s="99">
        <f t="shared" si="61"/>
        <v>0</v>
      </c>
      <c r="CC1889" s="99"/>
      <c r="CV1889" s="99"/>
      <c r="CW1889" s="63"/>
    </row>
    <row r="1890" spans="1:101" ht="33.75" x14ac:dyDescent="0.15">
      <c r="A1890" s="76">
        <v>1766</v>
      </c>
      <c r="B1890" s="74" t="s">
        <v>1528</v>
      </c>
      <c r="C1890" s="74">
        <v>999795945</v>
      </c>
      <c r="D1890" s="78" t="str">
        <f t="shared" si="62"/>
        <v>https://portal.dnb.de/opac.htm?method=simpleSearch&amp;cqlMode=true&amp;query=idn%3D999795945</v>
      </c>
      <c r="E1890" s="74" t="s">
        <v>1525</v>
      </c>
      <c r="F1890" s="74"/>
      <c r="G1890" s="76" t="s">
        <v>8515</v>
      </c>
      <c r="H1890" s="77" t="s">
        <v>8546</v>
      </c>
      <c r="I1890" s="76" t="s">
        <v>53</v>
      </c>
      <c r="J1890" s="77" t="s">
        <v>89</v>
      </c>
      <c r="K1890" s="77" t="s">
        <v>8539</v>
      </c>
      <c r="L1890" s="76"/>
      <c r="M1890" s="76"/>
      <c r="N1890" s="76"/>
      <c r="O1890" s="76">
        <v>0</v>
      </c>
      <c r="P1890" s="76"/>
      <c r="Q1890" s="76"/>
      <c r="R1890" s="76"/>
      <c r="S1890" s="76"/>
      <c r="BD1890" s="99">
        <f t="shared" si="61"/>
        <v>0</v>
      </c>
      <c r="CC1890" s="99"/>
      <c r="CV1890" s="99"/>
      <c r="CW1890" s="63"/>
    </row>
    <row r="1891" spans="1:101" ht="33.75" x14ac:dyDescent="0.15">
      <c r="A1891" s="76">
        <v>1767</v>
      </c>
      <c r="B1891" s="74" t="s">
        <v>1529</v>
      </c>
      <c r="C1891" s="74">
        <v>1066932662</v>
      </c>
      <c r="D1891" s="78" t="str">
        <f t="shared" si="62"/>
        <v>https://portal.dnb.de/opac.htm?method=simpleSearch&amp;cqlMode=true&amp;query=idn%3D1066932662</v>
      </c>
      <c r="E1891" s="74" t="s">
        <v>1530</v>
      </c>
      <c r="F1891" s="74"/>
      <c r="G1891" s="76"/>
      <c r="H1891" s="77" t="s">
        <v>8546</v>
      </c>
      <c r="I1891" s="76" t="s">
        <v>53</v>
      </c>
      <c r="J1891" s="77" t="s">
        <v>8516</v>
      </c>
      <c r="K1891" s="77" t="s">
        <v>8539</v>
      </c>
      <c r="L1891" s="76"/>
      <c r="M1891" s="76" t="s">
        <v>37</v>
      </c>
      <c r="N1891" s="76" t="s">
        <v>40</v>
      </c>
      <c r="O1891" s="76">
        <v>0</v>
      </c>
      <c r="P1891" s="76"/>
      <c r="Q1891" s="76"/>
      <c r="R1891" s="76"/>
      <c r="S1891" s="76"/>
      <c r="BD1891" s="99">
        <f t="shared" si="61"/>
        <v>0</v>
      </c>
      <c r="CC1891" s="99"/>
      <c r="CV1891" s="99"/>
      <c r="CW1891" s="63"/>
    </row>
    <row r="1892" spans="1:101" ht="33.75" x14ac:dyDescent="0.15">
      <c r="A1892" s="76">
        <v>1768</v>
      </c>
      <c r="B1892" s="74" t="s">
        <v>1541</v>
      </c>
      <c r="C1892" s="74">
        <v>1000112187</v>
      </c>
      <c r="D1892" s="78" t="str">
        <f t="shared" si="62"/>
        <v>https://portal.dnb.de/opac.htm?method=simpleSearch&amp;cqlMode=true&amp;query=idn%3D1000112187</v>
      </c>
      <c r="E1892" s="74" t="s">
        <v>1542</v>
      </c>
      <c r="F1892" s="74"/>
      <c r="G1892" s="76"/>
      <c r="H1892" s="77" t="s">
        <v>8546</v>
      </c>
      <c r="I1892" s="76" t="s">
        <v>53</v>
      </c>
      <c r="J1892" s="77" t="s">
        <v>89</v>
      </c>
      <c r="K1892" s="77" t="s">
        <v>8539</v>
      </c>
      <c r="L1892" s="76"/>
      <c r="M1892" s="76"/>
      <c r="N1892" s="76"/>
      <c r="O1892" s="76">
        <v>0</v>
      </c>
      <c r="P1892" s="76"/>
      <c r="Q1892" s="76"/>
      <c r="R1892" s="76"/>
      <c r="S1892" s="76"/>
      <c r="BD1892" s="99">
        <f t="shared" si="61"/>
        <v>0</v>
      </c>
      <c r="CC1892" s="99"/>
      <c r="CV1892" s="99"/>
      <c r="CW1892" s="63"/>
    </row>
    <row r="1893" spans="1:101" x14ac:dyDescent="0.15">
      <c r="A1893" s="76">
        <v>1769</v>
      </c>
      <c r="B1893" s="74" t="s">
        <v>1543</v>
      </c>
      <c r="C1893" s="74" t="s">
        <v>1544</v>
      </c>
      <c r="D1893" s="78" t="str">
        <f t="shared" si="62"/>
        <v>https://portal.dnb.de/opac.htm?method=simpleSearch&amp;cqlMode=true&amp;query=idn%3D99386192X</v>
      </c>
      <c r="E1893" s="74" t="s">
        <v>1542</v>
      </c>
      <c r="F1893" s="74"/>
      <c r="G1893" s="76"/>
      <c r="H1893" s="77"/>
      <c r="I1893" s="76"/>
      <c r="J1893" s="77"/>
      <c r="K1893" s="77"/>
      <c r="L1893" s="76"/>
      <c r="M1893" s="76"/>
      <c r="N1893" s="76"/>
      <c r="O1893" s="76"/>
      <c r="P1893" s="76"/>
      <c r="Q1893" s="76"/>
      <c r="R1893" s="76"/>
      <c r="S1893" s="76"/>
      <c r="BD1893" s="99">
        <f t="shared" si="61"/>
        <v>0</v>
      </c>
      <c r="CC1893" s="99"/>
      <c r="CV1893" s="99"/>
      <c r="CW1893" s="63"/>
    </row>
    <row r="1894" spans="1:101" x14ac:dyDescent="0.15">
      <c r="A1894" s="76">
        <v>1770</v>
      </c>
      <c r="B1894" s="74" t="s">
        <v>1545</v>
      </c>
      <c r="C1894" s="74">
        <v>1000091686</v>
      </c>
      <c r="D1894" s="78" t="str">
        <f t="shared" si="62"/>
        <v>https://portal.dnb.de/opac.htm?method=simpleSearch&amp;cqlMode=true&amp;query=idn%3D1000091686</v>
      </c>
      <c r="E1894" s="74" t="s">
        <v>1546</v>
      </c>
      <c r="F1894" s="74"/>
      <c r="G1894" s="76"/>
      <c r="H1894" s="77"/>
      <c r="I1894" s="76"/>
      <c r="J1894" s="77"/>
      <c r="K1894" s="77"/>
      <c r="L1894" s="76"/>
      <c r="M1894" s="76"/>
      <c r="N1894" s="76"/>
      <c r="O1894" s="76"/>
      <c r="P1894" s="76"/>
      <c r="Q1894" s="76"/>
      <c r="R1894" s="76"/>
      <c r="S1894" s="76"/>
      <c r="BD1894" s="99">
        <f t="shared" si="61"/>
        <v>0</v>
      </c>
      <c r="CC1894" s="99"/>
      <c r="CV1894" s="99"/>
      <c r="CW1894" s="63"/>
    </row>
    <row r="1895" spans="1:101" x14ac:dyDescent="0.15">
      <c r="A1895" s="76">
        <v>1771</v>
      </c>
      <c r="B1895" s="74" t="s">
        <v>1505</v>
      </c>
      <c r="C1895" s="74">
        <v>1000070328</v>
      </c>
      <c r="D1895" s="78" t="str">
        <f t="shared" si="62"/>
        <v>https://portal.dnb.de/opac.htm?method=simpleSearch&amp;cqlMode=true&amp;query=idn%3D1000070328</v>
      </c>
      <c r="E1895" s="74" t="s">
        <v>1506</v>
      </c>
      <c r="F1895" s="74"/>
      <c r="G1895" s="76"/>
      <c r="H1895" s="77"/>
      <c r="I1895" s="76"/>
      <c r="J1895" s="77"/>
      <c r="K1895" s="77"/>
      <c r="L1895" s="76"/>
      <c r="M1895" s="76"/>
      <c r="N1895" s="76"/>
      <c r="O1895" s="76"/>
      <c r="P1895" s="76"/>
      <c r="Q1895" s="76"/>
      <c r="R1895" s="76"/>
      <c r="S1895" s="76"/>
      <c r="BD1895" s="99">
        <f t="shared" si="61"/>
        <v>0</v>
      </c>
      <c r="CC1895" s="99"/>
      <c r="CV1895" s="99"/>
      <c r="CW1895" s="63"/>
    </row>
    <row r="1896" spans="1:101" x14ac:dyDescent="0.15">
      <c r="A1896" s="76">
        <v>1772</v>
      </c>
      <c r="B1896" s="74" t="s">
        <v>1507</v>
      </c>
      <c r="C1896" s="74">
        <v>994542348</v>
      </c>
      <c r="D1896" s="78" t="str">
        <f t="shared" si="62"/>
        <v>https://portal.dnb.de/opac.htm?method=simpleSearch&amp;cqlMode=true&amp;query=idn%3D994542348</v>
      </c>
      <c r="E1896" s="74" t="s">
        <v>1508</v>
      </c>
      <c r="F1896" s="74"/>
      <c r="G1896" s="76" t="s">
        <v>8515</v>
      </c>
      <c r="H1896" s="77" t="s">
        <v>48</v>
      </c>
      <c r="I1896" s="76" t="s">
        <v>53</v>
      </c>
      <c r="J1896" s="77" t="s">
        <v>8516</v>
      </c>
      <c r="K1896" s="77" t="s">
        <v>84</v>
      </c>
      <c r="L1896" s="76"/>
      <c r="M1896" s="76" t="s">
        <v>36</v>
      </c>
      <c r="N1896" s="76" t="s">
        <v>39</v>
      </c>
      <c r="O1896" s="76">
        <v>0</v>
      </c>
      <c r="P1896" s="76"/>
      <c r="Q1896" s="76" t="s">
        <v>9040</v>
      </c>
      <c r="R1896" s="76"/>
      <c r="S1896" s="76"/>
      <c r="BD1896" s="99">
        <f t="shared" si="61"/>
        <v>0</v>
      </c>
      <c r="CC1896" s="99"/>
      <c r="CV1896" s="99"/>
      <c r="CW1896" s="63"/>
    </row>
    <row r="1897" spans="1:101" x14ac:dyDescent="0.15">
      <c r="A1897" s="76">
        <v>1773</v>
      </c>
      <c r="B1897" s="74" t="s">
        <v>1509</v>
      </c>
      <c r="C1897" s="74" t="s">
        <v>1510</v>
      </c>
      <c r="D1897" s="78" t="str">
        <f t="shared" si="62"/>
        <v>https://portal.dnb.de/opac.htm?method=simpleSearch&amp;cqlMode=true&amp;query=idn%3D99454247X</v>
      </c>
      <c r="E1897" s="74" t="s">
        <v>1508</v>
      </c>
      <c r="F1897" s="74"/>
      <c r="G1897" s="76"/>
      <c r="H1897" s="77"/>
      <c r="I1897" s="76"/>
      <c r="J1897" s="77"/>
      <c r="K1897" s="77"/>
      <c r="L1897" s="76"/>
      <c r="M1897" s="76"/>
      <c r="N1897" s="76"/>
      <c r="O1897" s="76"/>
      <c r="P1897" s="76"/>
      <c r="Q1897" s="76"/>
      <c r="R1897" s="76"/>
      <c r="S1897" s="76"/>
      <c r="BD1897" s="99">
        <f t="shared" si="61"/>
        <v>0</v>
      </c>
      <c r="CC1897" s="99"/>
      <c r="CV1897" s="99"/>
      <c r="CW1897" s="63"/>
    </row>
    <row r="1898" spans="1:101" x14ac:dyDescent="0.15">
      <c r="A1898" s="76">
        <v>1774</v>
      </c>
      <c r="B1898" s="74" t="s">
        <v>1511</v>
      </c>
      <c r="C1898" s="74">
        <v>1001731972</v>
      </c>
      <c r="D1898" s="78" t="str">
        <f t="shared" si="62"/>
        <v>https://portal.dnb.de/opac.htm?method=simpleSearch&amp;cqlMode=true&amp;query=idn%3D1001731972</v>
      </c>
      <c r="E1898" s="74" t="s">
        <v>1508</v>
      </c>
      <c r="F1898" s="74"/>
      <c r="G1898" s="76"/>
      <c r="H1898" s="77"/>
      <c r="I1898" s="76"/>
      <c r="J1898" s="77"/>
      <c r="K1898" s="77"/>
      <c r="L1898" s="76"/>
      <c r="M1898" s="76"/>
      <c r="N1898" s="76"/>
      <c r="O1898" s="76"/>
      <c r="P1898" s="76"/>
      <c r="Q1898" s="76"/>
      <c r="R1898" s="76"/>
      <c r="S1898" s="76"/>
      <c r="BD1898" s="99">
        <f t="shared" si="61"/>
        <v>0</v>
      </c>
      <c r="CC1898" s="99"/>
      <c r="CV1898" s="99"/>
      <c r="CW1898" s="63"/>
    </row>
    <row r="1899" spans="1:101" x14ac:dyDescent="0.15">
      <c r="A1899" s="76">
        <v>1775</v>
      </c>
      <c r="B1899" s="74" t="s">
        <v>1516</v>
      </c>
      <c r="C1899" s="74">
        <v>1209624893</v>
      </c>
      <c r="D1899" s="78" t="str">
        <f t="shared" si="62"/>
        <v>https://portal.dnb.de/opac.htm?method=simpleSearch&amp;cqlMode=true&amp;query=idn%3D1209624893</v>
      </c>
      <c r="E1899" s="74" t="s">
        <v>1517</v>
      </c>
      <c r="F1899" s="74"/>
      <c r="G1899" s="76"/>
      <c r="H1899" s="77"/>
      <c r="I1899" s="76"/>
      <c r="J1899" s="77"/>
      <c r="K1899" s="77"/>
      <c r="L1899" s="76"/>
      <c r="M1899" s="76"/>
      <c r="N1899" s="76"/>
      <c r="O1899" s="76"/>
      <c r="P1899" s="76"/>
      <c r="Q1899" s="76"/>
      <c r="R1899" s="76"/>
      <c r="S1899" s="76"/>
      <c r="BD1899" s="99">
        <f t="shared" si="61"/>
        <v>0</v>
      </c>
      <c r="CC1899" s="99"/>
      <c r="CV1899" s="99"/>
      <c r="CW1899" s="63"/>
    </row>
    <row r="1900" spans="1:101" x14ac:dyDescent="0.15">
      <c r="A1900" s="76">
        <v>1776</v>
      </c>
      <c r="B1900" s="74" t="s">
        <v>1518</v>
      </c>
      <c r="C1900" s="74">
        <v>1003373461</v>
      </c>
      <c r="D1900" s="78" t="str">
        <f t="shared" si="62"/>
        <v>https://portal.dnb.de/opac.htm?method=simpleSearch&amp;cqlMode=true&amp;query=idn%3D1003373461</v>
      </c>
      <c r="E1900" s="74" t="s">
        <v>1519</v>
      </c>
      <c r="F1900" s="74"/>
      <c r="G1900" s="76"/>
      <c r="H1900" s="77"/>
      <c r="I1900" s="76"/>
      <c r="J1900" s="77"/>
      <c r="K1900" s="77"/>
      <c r="L1900" s="76"/>
      <c r="M1900" s="76"/>
      <c r="N1900" s="76"/>
      <c r="O1900" s="76"/>
      <c r="P1900" s="76"/>
      <c r="Q1900" s="76"/>
      <c r="R1900" s="76"/>
      <c r="S1900" s="76"/>
      <c r="BD1900" s="99">
        <f t="shared" si="61"/>
        <v>0</v>
      </c>
      <c r="CC1900" s="99"/>
      <c r="CV1900" s="99"/>
      <c r="CW1900" s="63"/>
    </row>
    <row r="1901" spans="1:101" x14ac:dyDescent="0.15">
      <c r="A1901" s="76">
        <v>1777</v>
      </c>
      <c r="B1901" s="74" t="s">
        <v>1531</v>
      </c>
      <c r="C1901" s="74">
        <v>1208663836</v>
      </c>
      <c r="D1901" s="78" t="str">
        <f t="shared" si="62"/>
        <v>https://portal.dnb.de/opac.htm?method=simpleSearch&amp;cqlMode=true&amp;query=idn%3D1208663836</v>
      </c>
      <c r="E1901" s="74" t="s">
        <v>1532</v>
      </c>
      <c r="F1901" s="74"/>
      <c r="G1901" s="76"/>
      <c r="H1901" s="77"/>
      <c r="I1901" s="76"/>
      <c r="J1901" s="77"/>
      <c r="K1901" s="77"/>
      <c r="L1901" s="76"/>
      <c r="M1901" s="76"/>
      <c r="N1901" s="76"/>
      <c r="O1901" s="76"/>
      <c r="P1901" s="76"/>
      <c r="Q1901" s="76"/>
      <c r="R1901" s="76"/>
      <c r="S1901" s="76"/>
      <c r="BD1901" s="99">
        <f t="shared" si="61"/>
        <v>0</v>
      </c>
      <c r="CC1901" s="99"/>
      <c r="CV1901" s="99"/>
      <c r="CW1901" s="63"/>
    </row>
    <row r="1902" spans="1:101" x14ac:dyDescent="0.15">
      <c r="A1902" s="76">
        <v>1778</v>
      </c>
      <c r="B1902" s="74" t="s">
        <v>1533</v>
      </c>
      <c r="C1902" s="74">
        <v>1208666894</v>
      </c>
      <c r="D1902" s="78" t="str">
        <f t="shared" si="62"/>
        <v>https://portal.dnb.de/opac.htm?method=simpleSearch&amp;cqlMode=true&amp;query=idn%3D1208666894</v>
      </c>
      <c r="E1902" s="74" t="s">
        <v>1534</v>
      </c>
      <c r="F1902" s="74"/>
      <c r="G1902" s="76"/>
      <c r="H1902" s="77"/>
      <c r="I1902" s="76"/>
      <c r="J1902" s="77"/>
      <c r="K1902" s="77"/>
      <c r="L1902" s="76"/>
      <c r="M1902" s="76"/>
      <c r="N1902" s="76"/>
      <c r="O1902" s="76"/>
      <c r="P1902" s="76"/>
      <c r="Q1902" s="76"/>
      <c r="R1902" s="76"/>
      <c r="S1902" s="76"/>
      <c r="BD1902" s="99">
        <f t="shared" si="61"/>
        <v>0</v>
      </c>
      <c r="CC1902" s="99"/>
      <c r="CV1902" s="99"/>
      <c r="CW1902" s="63"/>
    </row>
    <row r="1903" spans="1:101" x14ac:dyDescent="0.15">
      <c r="A1903" s="76">
        <v>1779</v>
      </c>
      <c r="B1903" s="74" t="s">
        <v>1535</v>
      </c>
      <c r="C1903" s="74">
        <v>1208666401</v>
      </c>
      <c r="D1903" s="78" t="str">
        <f t="shared" si="62"/>
        <v>https://portal.dnb.de/opac.htm?method=simpleSearch&amp;cqlMode=true&amp;query=idn%3D1208666401</v>
      </c>
      <c r="E1903" s="74" t="s">
        <v>1536</v>
      </c>
      <c r="F1903" s="74"/>
      <c r="G1903" s="76"/>
      <c r="H1903" s="77"/>
      <c r="I1903" s="76"/>
      <c r="J1903" s="77"/>
      <c r="K1903" s="77"/>
      <c r="L1903" s="76"/>
      <c r="M1903" s="76"/>
      <c r="N1903" s="76"/>
      <c r="O1903" s="76"/>
      <c r="P1903" s="76"/>
      <c r="Q1903" s="76"/>
      <c r="R1903" s="76"/>
      <c r="S1903" s="76"/>
      <c r="BD1903" s="99">
        <f t="shared" si="61"/>
        <v>0</v>
      </c>
      <c r="CC1903" s="99"/>
      <c r="CV1903" s="99"/>
      <c r="CW1903" s="63"/>
    </row>
    <row r="1904" spans="1:101" x14ac:dyDescent="0.15">
      <c r="A1904" s="76">
        <v>1780</v>
      </c>
      <c r="B1904" s="74" t="s">
        <v>1537</v>
      </c>
      <c r="C1904" s="74">
        <v>1208666134</v>
      </c>
      <c r="D1904" s="78" t="str">
        <f t="shared" si="62"/>
        <v>https://portal.dnb.de/opac.htm?method=simpleSearch&amp;cqlMode=true&amp;query=idn%3D1208666134</v>
      </c>
      <c r="E1904" s="74" t="s">
        <v>1538</v>
      </c>
      <c r="F1904" s="74"/>
      <c r="G1904" s="76"/>
      <c r="H1904" s="77"/>
      <c r="I1904" s="76"/>
      <c r="J1904" s="77"/>
      <c r="K1904" s="77"/>
      <c r="L1904" s="76"/>
      <c r="M1904" s="76"/>
      <c r="N1904" s="76"/>
      <c r="O1904" s="76"/>
      <c r="P1904" s="76"/>
      <c r="Q1904" s="76"/>
      <c r="R1904" s="76"/>
      <c r="S1904" s="76"/>
      <c r="BD1904" s="99">
        <f t="shared" si="61"/>
        <v>0</v>
      </c>
      <c r="CC1904" s="99"/>
      <c r="CV1904" s="99"/>
      <c r="CW1904" s="63"/>
    </row>
    <row r="1905" spans="1:101" x14ac:dyDescent="0.15">
      <c r="A1905" s="76">
        <v>1781</v>
      </c>
      <c r="B1905" s="74" t="s">
        <v>1539</v>
      </c>
      <c r="C1905" s="74">
        <v>1208665979</v>
      </c>
      <c r="D1905" s="78" t="str">
        <f t="shared" si="62"/>
        <v>https://portal.dnb.de/opac.htm?method=simpleSearch&amp;cqlMode=true&amp;query=idn%3D1208665979</v>
      </c>
      <c r="E1905" s="74" t="s">
        <v>1540</v>
      </c>
      <c r="F1905" s="74"/>
      <c r="G1905" s="76"/>
      <c r="H1905" s="77"/>
      <c r="I1905" s="76"/>
      <c r="J1905" s="77"/>
      <c r="K1905" s="77"/>
      <c r="L1905" s="76"/>
      <c r="M1905" s="76"/>
      <c r="N1905" s="76"/>
      <c r="O1905" s="76"/>
      <c r="P1905" s="76"/>
      <c r="Q1905" s="76"/>
      <c r="R1905" s="76"/>
      <c r="S1905" s="76"/>
      <c r="BD1905" s="99">
        <f t="shared" si="61"/>
        <v>0</v>
      </c>
      <c r="CC1905" s="99"/>
      <c r="CV1905" s="99"/>
      <c r="CW1905" s="63"/>
    </row>
    <row r="1906" spans="1:101" x14ac:dyDescent="0.15">
      <c r="A1906" s="76">
        <v>1782</v>
      </c>
      <c r="B1906" s="74" t="s">
        <v>1552</v>
      </c>
      <c r="C1906" s="74">
        <v>999764764</v>
      </c>
      <c r="D1906" s="78" t="str">
        <f t="shared" si="62"/>
        <v>https://portal.dnb.de/opac.htm?method=simpleSearch&amp;cqlMode=true&amp;query=idn%3D999764764</v>
      </c>
      <c r="E1906" s="74" t="s">
        <v>1553</v>
      </c>
      <c r="F1906" s="74"/>
      <c r="G1906" s="76"/>
      <c r="H1906" s="77"/>
      <c r="I1906" s="76"/>
      <c r="J1906" s="77"/>
      <c r="K1906" s="77"/>
      <c r="L1906" s="76"/>
      <c r="M1906" s="76"/>
      <c r="N1906" s="76"/>
      <c r="O1906" s="76"/>
      <c r="P1906" s="76"/>
      <c r="Q1906" s="76"/>
      <c r="R1906" s="76"/>
      <c r="S1906" s="76"/>
      <c r="BD1906" s="99">
        <f t="shared" si="61"/>
        <v>0</v>
      </c>
      <c r="CC1906" s="99"/>
      <c r="CV1906" s="99"/>
      <c r="CW1906" s="63"/>
    </row>
    <row r="1907" spans="1:101" ht="33.75" x14ac:dyDescent="0.15">
      <c r="A1907" s="76">
        <v>1783</v>
      </c>
      <c r="B1907" s="74" t="s">
        <v>1554</v>
      </c>
      <c r="C1907" s="74">
        <v>998900362</v>
      </c>
      <c r="D1907" s="78" t="str">
        <f t="shared" si="62"/>
        <v>https://portal.dnb.de/opac.htm?method=simpleSearch&amp;cqlMode=true&amp;query=idn%3D998900362</v>
      </c>
      <c r="E1907" s="74" t="s">
        <v>1553</v>
      </c>
      <c r="F1907" s="74"/>
      <c r="G1907" s="76"/>
      <c r="H1907" s="77" t="s">
        <v>48</v>
      </c>
      <c r="I1907" s="76" t="s">
        <v>53</v>
      </c>
      <c r="J1907" s="77" t="s">
        <v>8516</v>
      </c>
      <c r="K1907" s="77" t="s">
        <v>8540</v>
      </c>
      <c r="L1907" s="76"/>
      <c r="M1907" s="76" t="s">
        <v>36</v>
      </c>
      <c r="N1907" s="76" t="s">
        <v>39</v>
      </c>
      <c r="O1907" s="76">
        <v>0</v>
      </c>
      <c r="P1907" s="76"/>
      <c r="Q1907" s="76"/>
      <c r="R1907" s="76"/>
      <c r="S1907" s="76"/>
      <c r="BD1907" s="99">
        <f t="shared" si="61"/>
        <v>0</v>
      </c>
      <c r="CC1907" s="99"/>
      <c r="CV1907" s="99"/>
      <c r="CW1907" s="63"/>
    </row>
    <row r="1908" spans="1:101" x14ac:dyDescent="0.15">
      <c r="A1908" s="76">
        <v>1784</v>
      </c>
      <c r="B1908" s="74" t="s">
        <v>1555</v>
      </c>
      <c r="C1908" s="74">
        <v>1001604695</v>
      </c>
      <c r="D1908" s="78" t="str">
        <f t="shared" si="62"/>
        <v>https://portal.dnb.de/opac.htm?method=simpleSearch&amp;cqlMode=true&amp;query=idn%3D1001604695</v>
      </c>
      <c r="E1908" s="74" t="s">
        <v>1553</v>
      </c>
      <c r="F1908" s="74"/>
      <c r="G1908" s="76"/>
      <c r="H1908" s="77"/>
      <c r="I1908" s="76"/>
      <c r="J1908" s="77"/>
      <c r="K1908" s="77"/>
      <c r="L1908" s="76"/>
      <c r="M1908" s="76"/>
      <c r="N1908" s="76"/>
      <c r="O1908" s="76"/>
      <c r="P1908" s="76"/>
      <c r="Q1908" s="76"/>
      <c r="R1908" s="76"/>
      <c r="S1908" s="76"/>
      <c r="BD1908" s="99">
        <f t="shared" si="61"/>
        <v>0</v>
      </c>
      <c r="CC1908" s="99"/>
      <c r="CV1908" s="99"/>
      <c r="CW1908" s="63"/>
    </row>
    <row r="1909" spans="1:101" x14ac:dyDescent="0.15">
      <c r="A1909" s="76">
        <v>1785</v>
      </c>
      <c r="B1909" s="74" t="s">
        <v>1556</v>
      </c>
      <c r="C1909" s="74">
        <v>993934994</v>
      </c>
      <c r="D1909" s="78" t="str">
        <f t="shared" si="62"/>
        <v>https://portal.dnb.de/opac.htm?method=simpleSearch&amp;cqlMode=true&amp;query=idn%3D993934994</v>
      </c>
      <c r="E1909" s="74" t="s">
        <v>1553</v>
      </c>
      <c r="F1909" s="74"/>
      <c r="G1909" s="76"/>
      <c r="H1909" s="77"/>
      <c r="I1909" s="76"/>
      <c r="J1909" s="77"/>
      <c r="K1909" s="77"/>
      <c r="L1909" s="76"/>
      <c r="M1909" s="76"/>
      <c r="N1909" s="76"/>
      <c r="O1909" s="76"/>
      <c r="P1909" s="76"/>
      <c r="Q1909" s="76"/>
      <c r="R1909" s="76"/>
      <c r="S1909" s="76"/>
      <c r="BD1909" s="99">
        <f t="shared" si="61"/>
        <v>0</v>
      </c>
      <c r="CC1909" s="99"/>
      <c r="CV1909" s="99"/>
      <c r="CW1909" s="63"/>
    </row>
    <row r="1910" spans="1:101" x14ac:dyDescent="0.15">
      <c r="A1910" s="76">
        <v>1786</v>
      </c>
      <c r="B1910" s="74" t="s">
        <v>1557</v>
      </c>
      <c r="C1910" s="74">
        <v>1001952855</v>
      </c>
      <c r="D1910" s="78" t="str">
        <f t="shared" si="62"/>
        <v>https://portal.dnb.de/opac.htm?method=simpleSearch&amp;cqlMode=true&amp;query=idn%3D1001952855</v>
      </c>
      <c r="E1910" s="74" t="s">
        <v>1553</v>
      </c>
      <c r="F1910" s="74"/>
      <c r="G1910" s="76"/>
      <c r="H1910" s="77"/>
      <c r="I1910" s="76"/>
      <c r="J1910" s="77"/>
      <c r="K1910" s="77"/>
      <c r="L1910" s="76"/>
      <c r="M1910" s="76"/>
      <c r="N1910" s="76"/>
      <c r="O1910" s="76"/>
      <c r="P1910" s="76"/>
      <c r="Q1910" s="76"/>
      <c r="R1910" s="76"/>
      <c r="S1910" s="76"/>
      <c r="BD1910" s="99">
        <f t="shared" si="61"/>
        <v>0</v>
      </c>
      <c r="CC1910" s="99"/>
      <c r="CV1910" s="99"/>
      <c r="CW1910" s="63"/>
    </row>
    <row r="1911" spans="1:101" x14ac:dyDescent="0.15">
      <c r="A1911" s="76">
        <v>1787</v>
      </c>
      <c r="B1911" s="74" t="s">
        <v>1567</v>
      </c>
      <c r="C1911" s="74">
        <v>998515477</v>
      </c>
      <c r="D1911" s="78" t="str">
        <f t="shared" si="62"/>
        <v>https://portal.dnb.de/opac.htm?method=simpleSearch&amp;cqlMode=true&amp;query=idn%3D998515477</v>
      </c>
      <c r="E1911" s="74" t="s">
        <v>1568</v>
      </c>
      <c r="F1911" s="74"/>
      <c r="G1911" s="76" t="s">
        <v>8515</v>
      </c>
      <c r="H1911" s="77" t="s">
        <v>4</v>
      </c>
      <c r="I1911" s="76" t="s">
        <v>53</v>
      </c>
      <c r="J1911" s="77" t="s">
        <v>8516</v>
      </c>
      <c r="K1911" s="77" t="s">
        <v>8520</v>
      </c>
      <c r="L1911" s="76"/>
      <c r="M1911" s="76"/>
      <c r="N1911" s="76" t="s">
        <v>8660</v>
      </c>
      <c r="O1911" s="76">
        <v>1</v>
      </c>
      <c r="P1911" s="76"/>
      <c r="Q1911" s="76"/>
      <c r="R1911" s="76"/>
      <c r="S1911" s="76"/>
      <c r="BD1911" s="99">
        <f t="shared" si="61"/>
        <v>0</v>
      </c>
      <c r="CC1911" s="99"/>
      <c r="CV1911" s="99"/>
      <c r="CW1911" s="63"/>
    </row>
    <row r="1912" spans="1:101" x14ac:dyDescent="0.15">
      <c r="A1912" s="76">
        <v>1788</v>
      </c>
      <c r="B1912" s="74" t="s">
        <v>1558</v>
      </c>
      <c r="C1912" s="74">
        <v>1066779252</v>
      </c>
      <c r="D1912" s="78" t="str">
        <f t="shared" si="62"/>
        <v>https://portal.dnb.de/opac.htm?method=simpleSearch&amp;cqlMode=true&amp;query=idn%3D1066779252</v>
      </c>
      <c r="E1912" s="74" t="s">
        <v>1559</v>
      </c>
      <c r="F1912" s="74"/>
      <c r="G1912" s="76" t="s">
        <v>8515</v>
      </c>
      <c r="H1912" s="77" t="s">
        <v>4</v>
      </c>
      <c r="I1912" s="76" t="s">
        <v>53</v>
      </c>
      <c r="J1912" s="77" t="s">
        <v>58</v>
      </c>
      <c r="K1912" s="77" t="s">
        <v>84</v>
      </c>
      <c r="L1912" s="76"/>
      <c r="M1912" s="76"/>
      <c r="N1912" s="76" t="s">
        <v>8660</v>
      </c>
      <c r="O1912" s="76">
        <v>2</v>
      </c>
      <c r="P1912" s="76"/>
      <c r="Q1912" s="76"/>
      <c r="R1912" s="76"/>
      <c r="S1912" s="76"/>
      <c r="Y1912" s="95" t="s">
        <v>9729</v>
      </c>
      <c r="AC1912" s="95" t="s">
        <v>9739</v>
      </c>
      <c r="AI1912" s="95" t="s">
        <v>9725</v>
      </c>
      <c r="AW1912" s="95" t="s">
        <v>9764</v>
      </c>
      <c r="BC1912" s="96" t="s">
        <v>9734</v>
      </c>
      <c r="BD1912" s="99">
        <f t="shared" si="61"/>
        <v>0</v>
      </c>
      <c r="BL1912" s="70" t="s">
        <v>10015</v>
      </c>
      <c r="CC1912" s="99"/>
      <c r="CV1912" s="99"/>
      <c r="CW1912" s="63"/>
    </row>
    <row r="1913" spans="1:101" ht="22.5" x14ac:dyDescent="0.15">
      <c r="A1913" s="76">
        <v>1789</v>
      </c>
      <c r="B1913" s="74" t="s">
        <v>1565</v>
      </c>
      <c r="C1913" s="74">
        <v>998515477</v>
      </c>
      <c r="D1913" s="78" t="str">
        <f t="shared" si="62"/>
        <v>https://portal.dnb.de/opac.htm?method=simpleSearch&amp;cqlMode=true&amp;query=idn%3D998515477</v>
      </c>
      <c r="E1913" s="74" t="s">
        <v>1566</v>
      </c>
      <c r="F1913" s="74"/>
      <c r="G1913" s="76"/>
      <c r="H1913" s="77" t="s">
        <v>18</v>
      </c>
      <c r="I1913" s="76" t="s">
        <v>53</v>
      </c>
      <c r="J1913" s="77" t="s">
        <v>8516</v>
      </c>
      <c r="K1913" s="77" t="s">
        <v>84</v>
      </c>
      <c r="L1913" s="76"/>
      <c r="M1913" s="76" t="s">
        <v>36</v>
      </c>
      <c r="N1913" s="76" t="s">
        <v>39</v>
      </c>
      <c r="O1913" s="76">
        <v>1</v>
      </c>
      <c r="P1913" s="76"/>
      <c r="Q1913" s="76"/>
      <c r="R1913" s="76"/>
      <c r="S1913" s="76"/>
      <c r="BD1913" s="99">
        <f t="shared" si="61"/>
        <v>0</v>
      </c>
      <c r="CC1913" s="99"/>
      <c r="CV1913" s="99"/>
      <c r="CW1913" s="63"/>
    </row>
    <row r="1914" spans="1:101" x14ac:dyDescent="0.15">
      <c r="A1914" s="76">
        <v>1790</v>
      </c>
      <c r="B1914" s="74" t="s">
        <v>1569</v>
      </c>
      <c r="C1914" s="74">
        <v>999887033</v>
      </c>
      <c r="D1914" s="78" t="str">
        <f t="shared" si="62"/>
        <v>https://portal.dnb.de/opac.htm?method=simpleSearch&amp;cqlMode=true&amp;query=idn%3D999887033</v>
      </c>
      <c r="E1914" s="74" t="s">
        <v>1570</v>
      </c>
      <c r="F1914" s="74"/>
      <c r="G1914" s="76"/>
      <c r="H1914" s="77" t="s">
        <v>5</v>
      </c>
      <c r="I1914" s="76" t="s">
        <v>53</v>
      </c>
      <c r="J1914" s="77" t="s">
        <v>8516</v>
      </c>
      <c r="K1914" s="77" t="s">
        <v>8520</v>
      </c>
      <c r="L1914" s="76"/>
      <c r="M1914" s="76" t="s">
        <v>36</v>
      </c>
      <c r="N1914" s="76" t="s">
        <v>39</v>
      </c>
      <c r="O1914" s="76">
        <v>0</v>
      </c>
      <c r="P1914" s="76"/>
      <c r="Q1914" s="76"/>
      <c r="R1914" s="76"/>
      <c r="S1914" s="76"/>
      <c r="BD1914" s="99">
        <f t="shared" si="61"/>
        <v>0</v>
      </c>
      <c r="CC1914" s="99"/>
      <c r="CV1914" s="99"/>
      <c r="CW1914" s="63"/>
    </row>
    <row r="1915" spans="1:101" ht="22.5" x14ac:dyDescent="0.15">
      <c r="A1915" s="76">
        <v>1791</v>
      </c>
      <c r="B1915" s="74" t="s">
        <v>1571</v>
      </c>
      <c r="C1915" s="74">
        <v>1002320569</v>
      </c>
      <c r="D1915" s="78" t="str">
        <f t="shared" si="62"/>
        <v>https://portal.dnb.de/opac.htm?method=simpleSearch&amp;cqlMode=true&amp;query=idn%3D1002320569</v>
      </c>
      <c r="E1915" s="74" t="s">
        <v>1572</v>
      </c>
      <c r="F1915" s="74"/>
      <c r="G1915" s="76" t="s">
        <v>8515</v>
      </c>
      <c r="H1915" s="77" t="s">
        <v>18</v>
      </c>
      <c r="I1915" s="76" t="s">
        <v>53</v>
      </c>
      <c r="J1915" s="77" t="s">
        <v>58</v>
      </c>
      <c r="K1915" s="77" t="s">
        <v>84</v>
      </c>
      <c r="L1915" s="76"/>
      <c r="M1915" s="76" t="s">
        <v>38</v>
      </c>
      <c r="N1915" s="76" t="s">
        <v>40</v>
      </c>
      <c r="O1915" s="76">
        <v>0</v>
      </c>
      <c r="P1915" s="76"/>
      <c r="Q1915" s="76"/>
      <c r="R1915" s="76"/>
      <c r="S1915" s="76"/>
      <c r="BD1915" s="99">
        <f t="shared" si="61"/>
        <v>0</v>
      </c>
      <c r="CC1915" s="99"/>
      <c r="CV1915" s="99"/>
      <c r="CW1915" s="63"/>
    </row>
    <row r="1916" spans="1:101" x14ac:dyDescent="0.15">
      <c r="A1916" s="76">
        <v>1792</v>
      </c>
      <c r="B1916" s="74" t="s">
        <v>1560</v>
      </c>
      <c r="C1916" s="74">
        <v>986467189</v>
      </c>
      <c r="D1916" s="78" t="str">
        <f t="shared" si="62"/>
        <v>https://portal.dnb.de/opac.htm?method=simpleSearch&amp;cqlMode=true&amp;query=idn%3D986467189</v>
      </c>
      <c r="E1916" s="74" t="s">
        <v>1561</v>
      </c>
      <c r="F1916" s="74"/>
      <c r="G1916" s="76" t="s">
        <v>8515</v>
      </c>
      <c r="H1916" s="77" t="s">
        <v>5</v>
      </c>
      <c r="I1916" s="76" t="s">
        <v>53</v>
      </c>
      <c r="J1916" s="77" t="s">
        <v>58</v>
      </c>
      <c r="K1916" s="77" t="s">
        <v>87</v>
      </c>
      <c r="L1916" s="76"/>
      <c r="M1916" s="76" t="s">
        <v>36</v>
      </c>
      <c r="N1916" s="76" t="s">
        <v>39</v>
      </c>
      <c r="O1916" s="76">
        <v>1</v>
      </c>
      <c r="P1916" s="76"/>
      <c r="Q1916" s="76"/>
      <c r="R1916" s="76"/>
      <c r="S1916" s="76"/>
      <c r="BD1916" s="99">
        <f t="shared" si="61"/>
        <v>0</v>
      </c>
      <c r="CC1916" s="99"/>
      <c r="CV1916" s="99"/>
      <c r="CW1916" s="63"/>
    </row>
    <row r="1917" spans="1:101" ht="22.5" x14ac:dyDescent="0.15">
      <c r="A1917" s="76">
        <v>1793</v>
      </c>
      <c r="B1917" s="74" t="s">
        <v>1562</v>
      </c>
      <c r="C1917" s="74">
        <v>1000402665</v>
      </c>
      <c r="D1917" s="78" t="str">
        <f t="shared" si="62"/>
        <v>https://portal.dnb.de/opac.htm?method=simpleSearch&amp;cqlMode=true&amp;query=idn%3D1000402665</v>
      </c>
      <c r="E1917" s="74" t="s">
        <v>1563</v>
      </c>
      <c r="F1917" s="74"/>
      <c r="G1917" s="76"/>
      <c r="H1917" s="77" t="s">
        <v>48</v>
      </c>
      <c r="I1917" s="76" t="s">
        <v>53</v>
      </c>
      <c r="J1917" s="77" t="s">
        <v>8516</v>
      </c>
      <c r="K1917" s="77" t="s">
        <v>8518</v>
      </c>
      <c r="L1917" s="76"/>
      <c r="M1917" s="76"/>
      <c r="N1917" s="76" t="s">
        <v>8660</v>
      </c>
      <c r="O1917" s="76">
        <v>0</v>
      </c>
      <c r="P1917" s="76"/>
      <c r="Q1917" s="76"/>
      <c r="R1917" s="76"/>
      <c r="S1917" s="76"/>
      <c r="BD1917" s="99">
        <f t="shared" si="61"/>
        <v>0</v>
      </c>
      <c r="CC1917" s="99"/>
      <c r="CV1917" s="99"/>
      <c r="CW1917" s="63"/>
    </row>
    <row r="1918" spans="1:101" x14ac:dyDescent="0.15">
      <c r="A1918" s="76">
        <v>1794</v>
      </c>
      <c r="B1918" s="74" t="s">
        <v>1564</v>
      </c>
      <c r="C1918" s="74">
        <v>1002436532</v>
      </c>
      <c r="D1918" s="78" t="str">
        <f t="shared" si="62"/>
        <v>https://portal.dnb.de/opac.htm?method=simpleSearch&amp;cqlMode=true&amp;query=idn%3D1002436532</v>
      </c>
      <c r="E1918" s="74" t="s">
        <v>1563</v>
      </c>
      <c r="F1918" s="74"/>
      <c r="G1918" s="76"/>
      <c r="H1918" s="77"/>
      <c r="I1918" s="76"/>
      <c r="J1918" s="77"/>
      <c r="K1918" s="77"/>
      <c r="L1918" s="76"/>
      <c r="M1918" s="76"/>
      <c r="N1918" s="76"/>
      <c r="O1918" s="76"/>
      <c r="P1918" s="76"/>
      <c r="Q1918" s="76"/>
      <c r="R1918" s="76"/>
      <c r="S1918" s="76"/>
      <c r="BD1918" s="99">
        <f t="shared" si="61"/>
        <v>0</v>
      </c>
      <c r="CC1918" s="99"/>
      <c r="CV1918" s="99"/>
      <c r="CW1918" s="63"/>
    </row>
    <row r="1919" spans="1:101" x14ac:dyDescent="0.15">
      <c r="A1919" s="76">
        <v>1795</v>
      </c>
      <c r="B1919" s="74" t="s">
        <v>1573</v>
      </c>
      <c r="C1919" s="74">
        <v>1066777152</v>
      </c>
      <c r="D1919" s="78" t="str">
        <f t="shared" si="62"/>
        <v>https://portal.dnb.de/opac.htm?method=simpleSearch&amp;cqlMode=true&amp;query=idn%3D1066777152</v>
      </c>
      <c r="E1919" s="74" t="s">
        <v>1574</v>
      </c>
      <c r="F1919" s="74"/>
      <c r="G1919" s="76" t="s">
        <v>8515</v>
      </c>
      <c r="H1919" s="77" t="s">
        <v>6</v>
      </c>
      <c r="I1919" s="76" t="s">
        <v>53</v>
      </c>
      <c r="J1919" s="77" t="s">
        <v>58</v>
      </c>
      <c r="K1919" s="77" t="s">
        <v>84</v>
      </c>
      <c r="L1919" s="76"/>
      <c r="M1919" s="76"/>
      <c r="N1919" s="76"/>
      <c r="O1919" s="76">
        <v>2</v>
      </c>
      <c r="P1919" s="76"/>
      <c r="Q1919" s="76"/>
      <c r="R1919" s="76"/>
      <c r="S1919" s="76"/>
      <c r="BD1919" s="99">
        <f t="shared" si="61"/>
        <v>0</v>
      </c>
      <c r="CC1919" s="99"/>
      <c r="CV1919" s="99"/>
      <c r="CW1919" s="63"/>
    </row>
    <row r="1920" spans="1:101" x14ac:dyDescent="0.15">
      <c r="A1920" s="76">
        <v>1796</v>
      </c>
      <c r="B1920" s="74" t="s">
        <v>1575</v>
      </c>
      <c r="C1920" s="74">
        <v>1208660233</v>
      </c>
      <c r="D1920" s="78" t="str">
        <f t="shared" si="62"/>
        <v>https://portal.dnb.de/opac.htm?method=simpleSearch&amp;cqlMode=true&amp;query=idn%3D1208660233</v>
      </c>
      <c r="E1920" s="74" t="s">
        <v>1576</v>
      </c>
      <c r="F1920" s="74"/>
      <c r="G1920" s="76"/>
      <c r="H1920" s="77"/>
      <c r="I1920" s="76"/>
      <c r="J1920" s="77"/>
      <c r="K1920" s="77"/>
      <c r="L1920" s="76"/>
      <c r="M1920" s="76"/>
      <c r="N1920" s="76"/>
      <c r="O1920" s="76"/>
      <c r="P1920" s="76"/>
      <c r="Q1920" s="76"/>
      <c r="R1920" s="76"/>
      <c r="S1920" s="76"/>
      <c r="BD1920" s="99">
        <f t="shared" si="61"/>
        <v>0</v>
      </c>
      <c r="CC1920" s="99"/>
      <c r="CV1920" s="99"/>
      <c r="CW1920" s="63"/>
    </row>
    <row r="1921" spans="1:101" ht="22.5" x14ac:dyDescent="0.15">
      <c r="A1921" s="76">
        <v>1797</v>
      </c>
      <c r="B1921" s="74" t="s">
        <v>1577</v>
      </c>
      <c r="C1921" s="74">
        <v>1066861080</v>
      </c>
      <c r="D1921" s="78" t="str">
        <f t="shared" si="62"/>
        <v>https://portal.dnb.de/opac.htm?method=simpleSearch&amp;cqlMode=true&amp;query=idn%3D1066861080</v>
      </c>
      <c r="E1921" s="74" t="s">
        <v>1578</v>
      </c>
      <c r="F1921" s="74"/>
      <c r="G1921" s="76" t="s">
        <v>8515</v>
      </c>
      <c r="H1921" s="77" t="s">
        <v>18</v>
      </c>
      <c r="I1921" s="76" t="s">
        <v>53</v>
      </c>
      <c r="J1921" s="77" t="s">
        <v>58</v>
      </c>
      <c r="K1921" s="77" t="s">
        <v>8565</v>
      </c>
      <c r="L1921" s="76"/>
      <c r="M1921" s="76" t="s">
        <v>34</v>
      </c>
      <c r="N1921" s="76" t="s">
        <v>40</v>
      </c>
      <c r="O1921" s="76">
        <v>0</v>
      </c>
      <c r="P1921" s="76"/>
      <c r="Q1921" s="76" t="s">
        <v>9043</v>
      </c>
      <c r="R1921" s="76"/>
      <c r="S1921" s="76"/>
      <c r="BD1921" s="99">
        <f t="shared" si="61"/>
        <v>0</v>
      </c>
      <c r="CC1921" s="99"/>
      <c r="CV1921" s="99"/>
      <c r="CW1921" s="63"/>
    </row>
    <row r="1922" spans="1:101" x14ac:dyDescent="0.15">
      <c r="A1922" s="76">
        <v>1798</v>
      </c>
      <c r="B1922" s="74" t="s">
        <v>1579</v>
      </c>
      <c r="C1922" s="74">
        <v>1002332354</v>
      </c>
      <c r="D1922" s="78" t="str">
        <f t="shared" si="62"/>
        <v>https://portal.dnb.de/opac.htm?method=simpleSearch&amp;cqlMode=true&amp;query=idn%3D1002332354</v>
      </c>
      <c r="E1922" s="74" t="s">
        <v>1580</v>
      </c>
      <c r="F1922" s="74"/>
      <c r="G1922" s="76"/>
      <c r="H1922" s="77"/>
      <c r="I1922" s="76"/>
      <c r="J1922" s="77"/>
      <c r="K1922" s="77"/>
      <c r="L1922" s="76"/>
      <c r="M1922" s="76"/>
      <c r="N1922" s="76"/>
      <c r="O1922" s="76"/>
      <c r="P1922" s="76"/>
      <c r="Q1922" s="76"/>
      <c r="R1922" s="76"/>
      <c r="S1922" s="76"/>
      <c r="BD1922" s="99">
        <f t="shared" si="61"/>
        <v>0</v>
      </c>
      <c r="CC1922" s="99"/>
      <c r="CV1922" s="99"/>
      <c r="CW1922" s="63"/>
    </row>
    <row r="1923" spans="1:101" x14ac:dyDescent="0.15">
      <c r="A1923" s="76">
        <v>1799</v>
      </c>
      <c r="B1923" s="74" t="s">
        <v>1581</v>
      </c>
      <c r="C1923" s="74">
        <v>994425856</v>
      </c>
      <c r="D1923" s="78" t="str">
        <f t="shared" si="62"/>
        <v>https://portal.dnb.de/opac.htm?method=simpleSearch&amp;cqlMode=true&amp;query=idn%3D994425856</v>
      </c>
      <c r="E1923" s="74" t="s">
        <v>1580</v>
      </c>
      <c r="F1923" s="74"/>
      <c r="G1923" s="76" t="s">
        <v>8515</v>
      </c>
      <c r="H1923" s="77" t="s">
        <v>48</v>
      </c>
      <c r="I1923" s="76" t="s">
        <v>53</v>
      </c>
      <c r="J1923" s="77" t="s">
        <v>8516</v>
      </c>
      <c r="K1923" s="77" t="s">
        <v>84</v>
      </c>
      <c r="L1923" s="76"/>
      <c r="M1923" s="76"/>
      <c r="N1923" s="76"/>
      <c r="O1923" s="76">
        <v>0</v>
      </c>
      <c r="P1923" s="76"/>
      <c r="Q1923" s="76"/>
      <c r="R1923" s="76"/>
      <c r="S1923" s="76"/>
      <c r="BD1923" s="99">
        <f t="shared" ref="BD1923:BD1986" si="63">CC1923+CV1923</f>
        <v>0</v>
      </c>
      <c r="CC1923" s="99"/>
      <c r="CV1923" s="99"/>
      <c r="CW1923" s="63"/>
    </row>
    <row r="1924" spans="1:101" ht="33.75" x14ac:dyDescent="0.15">
      <c r="A1924" s="76">
        <v>1800</v>
      </c>
      <c r="B1924" s="74" t="s">
        <v>1582</v>
      </c>
      <c r="C1924" s="74">
        <v>1002978599</v>
      </c>
      <c r="D1924" s="78" t="str">
        <f t="shared" si="62"/>
        <v>https://portal.dnb.de/opac.htm?method=simpleSearch&amp;cqlMode=true&amp;query=idn%3D1002978599</v>
      </c>
      <c r="E1924" s="74" t="s">
        <v>1583</v>
      </c>
      <c r="F1924" s="74"/>
      <c r="G1924" s="76" t="s">
        <v>8515</v>
      </c>
      <c r="H1924" s="77" t="s">
        <v>48</v>
      </c>
      <c r="I1924" s="76" t="s">
        <v>53</v>
      </c>
      <c r="J1924" s="77" t="s">
        <v>8516</v>
      </c>
      <c r="K1924" s="77" t="s">
        <v>8667</v>
      </c>
      <c r="L1924" s="76"/>
      <c r="M1924" s="76" t="s">
        <v>38</v>
      </c>
      <c r="N1924" s="76" t="s">
        <v>40</v>
      </c>
      <c r="O1924" s="76">
        <v>0</v>
      </c>
      <c r="P1924" s="76"/>
      <c r="Q1924" s="76"/>
      <c r="R1924" s="76"/>
      <c r="S1924" s="76"/>
      <c r="BD1924" s="99">
        <f t="shared" si="63"/>
        <v>0</v>
      </c>
      <c r="CC1924" s="99"/>
      <c r="CV1924" s="99"/>
      <c r="CW1924" s="63"/>
    </row>
    <row r="1925" spans="1:101" x14ac:dyDescent="0.15">
      <c r="A1925" s="76">
        <v>1801</v>
      </c>
      <c r="B1925" s="74" t="s">
        <v>1584</v>
      </c>
      <c r="C1925" s="74" t="s">
        <v>1585</v>
      </c>
      <c r="D1925" s="78" t="str">
        <f t="shared" si="62"/>
        <v>https://portal.dnb.de/opac.htm?method=simpleSearch&amp;cqlMode=true&amp;query=idn%3D100268188X</v>
      </c>
      <c r="E1925" s="74" t="s">
        <v>1583</v>
      </c>
      <c r="F1925" s="74"/>
      <c r="G1925" s="76"/>
      <c r="H1925" s="77"/>
      <c r="I1925" s="76"/>
      <c r="J1925" s="77"/>
      <c r="K1925" s="77"/>
      <c r="L1925" s="76"/>
      <c r="M1925" s="76"/>
      <c r="N1925" s="76"/>
      <c r="O1925" s="76"/>
      <c r="P1925" s="76"/>
      <c r="Q1925" s="76"/>
      <c r="R1925" s="76"/>
      <c r="S1925" s="76"/>
      <c r="BD1925" s="99">
        <f t="shared" si="63"/>
        <v>0</v>
      </c>
      <c r="CC1925" s="99"/>
      <c r="CV1925" s="99"/>
      <c r="CW1925" s="63"/>
    </row>
    <row r="1926" spans="1:101" x14ac:dyDescent="0.15">
      <c r="A1926" s="76">
        <v>1802</v>
      </c>
      <c r="B1926" s="74" t="s">
        <v>1586</v>
      </c>
      <c r="C1926" s="74">
        <v>993944647</v>
      </c>
      <c r="D1926" s="78" t="str">
        <f t="shared" si="62"/>
        <v>https://portal.dnb.de/opac.htm?method=simpleSearch&amp;cqlMode=true&amp;query=idn%3D993944647</v>
      </c>
      <c r="E1926" s="74" t="s">
        <v>1583</v>
      </c>
      <c r="F1926" s="74"/>
      <c r="G1926" s="76"/>
      <c r="H1926" s="77"/>
      <c r="I1926" s="76"/>
      <c r="J1926" s="77"/>
      <c r="K1926" s="77"/>
      <c r="L1926" s="76"/>
      <c r="M1926" s="76"/>
      <c r="N1926" s="76"/>
      <c r="O1926" s="76"/>
      <c r="P1926" s="76"/>
      <c r="Q1926" s="76"/>
      <c r="R1926" s="76"/>
      <c r="S1926" s="76"/>
      <c r="BD1926" s="99">
        <f t="shared" si="63"/>
        <v>0</v>
      </c>
      <c r="CC1926" s="99"/>
      <c r="CV1926" s="99"/>
      <c r="CW1926" s="63"/>
    </row>
    <row r="1927" spans="1:101" x14ac:dyDescent="0.15">
      <c r="A1927" s="76">
        <v>1803</v>
      </c>
      <c r="B1927" s="74" t="s">
        <v>1587</v>
      </c>
      <c r="C1927" s="74">
        <v>997335181</v>
      </c>
      <c r="D1927" s="78" t="str">
        <f t="shared" si="62"/>
        <v>https://portal.dnb.de/opac.htm?method=simpleSearch&amp;cqlMode=true&amp;query=idn%3D997335181</v>
      </c>
      <c r="E1927" s="74" t="s">
        <v>1588</v>
      </c>
      <c r="F1927" s="74"/>
      <c r="G1927" s="76"/>
      <c r="H1927" s="77" t="s">
        <v>49</v>
      </c>
      <c r="I1927" s="76" t="s">
        <v>53</v>
      </c>
      <c r="J1927" s="77" t="s">
        <v>8516</v>
      </c>
      <c r="K1927" s="77" t="s">
        <v>84</v>
      </c>
      <c r="L1927" s="76"/>
      <c r="M1927" s="76"/>
      <c r="N1927" s="76"/>
      <c r="O1927" s="76">
        <v>0</v>
      </c>
      <c r="P1927" s="76"/>
      <c r="Q1927" s="76"/>
      <c r="R1927" s="76"/>
      <c r="S1927" s="76"/>
      <c r="BD1927" s="99">
        <f t="shared" si="63"/>
        <v>0</v>
      </c>
      <c r="CC1927" s="99"/>
      <c r="CV1927" s="99"/>
      <c r="CW1927" s="63"/>
    </row>
    <row r="1928" spans="1:101" x14ac:dyDescent="0.15">
      <c r="A1928" s="76">
        <v>1804</v>
      </c>
      <c r="B1928" s="74" t="s">
        <v>1595</v>
      </c>
      <c r="C1928" s="74">
        <v>999725831</v>
      </c>
      <c r="D1928" s="78" t="str">
        <f t="shared" si="62"/>
        <v>https://portal.dnb.de/opac.htm?method=simpleSearch&amp;cqlMode=true&amp;query=idn%3D999725831</v>
      </c>
      <c r="E1928" s="74" t="s">
        <v>1596</v>
      </c>
      <c r="F1928" s="74"/>
      <c r="G1928" s="76"/>
      <c r="H1928" s="77" t="s">
        <v>4</v>
      </c>
      <c r="I1928" s="76" t="s">
        <v>53</v>
      </c>
      <c r="J1928" s="77" t="s">
        <v>8516</v>
      </c>
      <c r="K1928" s="77" t="s">
        <v>72</v>
      </c>
      <c r="L1928" s="76"/>
      <c r="M1928" s="76" t="s">
        <v>38</v>
      </c>
      <c r="N1928" s="76" t="s">
        <v>40</v>
      </c>
      <c r="O1928" s="76">
        <v>0</v>
      </c>
      <c r="P1928" s="76"/>
      <c r="Q1928" s="76"/>
      <c r="R1928" s="76"/>
      <c r="S1928" s="76"/>
      <c r="BD1928" s="99">
        <f t="shared" si="63"/>
        <v>0</v>
      </c>
      <c r="CC1928" s="99"/>
      <c r="CV1928" s="99"/>
      <c r="CW1928" s="63"/>
    </row>
    <row r="1929" spans="1:101" x14ac:dyDescent="0.15">
      <c r="A1929" s="76">
        <v>1805</v>
      </c>
      <c r="B1929" s="74" t="s">
        <v>1603</v>
      </c>
      <c r="C1929" s="74">
        <v>997145404</v>
      </c>
      <c r="D1929" s="78" t="str">
        <f t="shared" si="62"/>
        <v>https://portal.dnb.de/opac.htm?method=simpleSearch&amp;cqlMode=true&amp;query=idn%3D997145404</v>
      </c>
      <c r="E1929" s="74" t="s">
        <v>1604</v>
      </c>
      <c r="F1929" s="74"/>
      <c r="G1929" s="76"/>
      <c r="H1929" s="77"/>
      <c r="I1929" s="76"/>
      <c r="J1929" s="77"/>
      <c r="K1929" s="77"/>
      <c r="L1929" s="76"/>
      <c r="M1929" s="76"/>
      <c r="N1929" s="76"/>
      <c r="O1929" s="76"/>
      <c r="P1929" s="76"/>
      <c r="Q1929" s="76"/>
      <c r="R1929" s="76"/>
      <c r="S1929" s="76"/>
      <c r="BD1929" s="99">
        <f t="shared" si="63"/>
        <v>0</v>
      </c>
      <c r="CC1929" s="99"/>
      <c r="CV1929" s="99"/>
      <c r="CW1929" s="63"/>
    </row>
    <row r="1930" spans="1:101" ht="22.5" x14ac:dyDescent="0.15">
      <c r="A1930" s="76">
        <v>1806</v>
      </c>
      <c r="B1930" s="74" t="s">
        <v>1591</v>
      </c>
      <c r="C1930" s="74">
        <v>1066941068</v>
      </c>
      <c r="D1930" s="78" t="str">
        <f t="shared" si="62"/>
        <v>https://portal.dnb.de/opac.htm?method=simpleSearch&amp;cqlMode=true&amp;query=idn%3D1066941068</v>
      </c>
      <c r="E1930" s="74" t="s">
        <v>1592</v>
      </c>
      <c r="F1930" s="74"/>
      <c r="G1930" s="76"/>
      <c r="H1930" s="77" t="s">
        <v>8547</v>
      </c>
      <c r="I1930" s="76" t="s">
        <v>53</v>
      </c>
      <c r="J1930" s="77" t="s">
        <v>8516</v>
      </c>
      <c r="K1930" s="77" t="s">
        <v>8520</v>
      </c>
      <c r="L1930" s="76"/>
      <c r="M1930" s="76" t="s">
        <v>37</v>
      </c>
      <c r="N1930" s="76" t="s">
        <v>8660</v>
      </c>
      <c r="O1930" s="76">
        <v>1</v>
      </c>
      <c r="P1930" s="76"/>
      <c r="Q1930" s="76" t="s">
        <v>9044</v>
      </c>
      <c r="R1930" s="76"/>
      <c r="S1930" s="76"/>
      <c r="BD1930" s="99">
        <f t="shared" si="63"/>
        <v>0</v>
      </c>
      <c r="CC1930" s="99"/>
      <c r="CV1930" s="99"/>
      <c r="CW1930" s="63"/>
    </row>
    <row r="1931" spans="1:101" x14ac:dyDescent="0.15">
      <c r="A1931" s="76">
        <v>1807</v>
      </c>
      <c r="B1931" s="74" t="s">
        <v>1601</v>
      </c>
      <c r="C1931" s="74">
        <v>1066960283</v>
      </c>
      <c r="D1931" s="78" t="str">
        <f t="shared" si="62"/>
        <v>https://portal.dnb.de/opac.htm?method=simpleSearch&amp;cqlMode=true&amp;query=idn%3D1066960283</v>
      </c>
      <c r="E1931" s="74" t="s">
        <v>1602</v>
      </c>
      <c r="F1931" s="74"/>
      <c r="G1931" s="76" t="s">
        <v>8515</v>
      </c>
      <c r="H1931" s="77" t="s">
        <v>48</v>
      </c>
      <c r="I1931" s="76" t="s">
        <v>53</v>
      </c>
      <c r="J1931" s="77" t="s">
        <v>8516</v>
      </c>
      <c r="K1931" s="77"/>
      <c r="L1931" s="76"/>
      <c r="M1931" s="76" t="s">
        <v>38</v>
      </c>
      <c r="N1931" s="76"/>
      <c r="O1931" s="76">
        <v>0</v>
      </c>
      <c r="P1931" s="76"/>
      <c r="Q1931" s="76"/>
      <c r="R1931" s="76"/>
      <c r="S1931" s="76"/>
      <c r="BD1931" s="99">
        <f t="shared" si="63"/>
        <v>0</v>
      </c>
      <c r="CC1931" s="99"/>
      <c r="CV1931" s="99"/>
      <c r="CW1931" s="63"/>
    </row>
    <row r="1932" spans="1:101" ht="33.75" x14ac:dyDescent="0.15">
      <c r="A1932" s="76">
        <v>1808</v>
      </c>
      <c r="B1932" s="74" t="s">
        <v>1608</v>
      </c>
      <c r="C1932" s="74">
        <v>1066962286</v>
      </c>
      <c r="D1932" s="78" t="str">
        <f t="shared" si="62"/>
        <v>https://portal.dnb.de/opac.htm?method=simpleSearch&amp;cqlMode=true&amp;query=idn%3D1066962286</v>
      </c>
      <c r="E1932" s="74" t="s">
        <v>1609</v>
      </c>
      <c r="F1932" s="74"/>
      <c r="G1932" s="76" t="s">
        <v>8515</v>
      </c>
      <c r="H1932" s="77" t="s">
        <v>8546</v>
      </c>
      <c r="I1932" s="76" t="s">
        <v>54</v>
      </c>
      <c r="J1932" s="77" t="s">
        <v>8516</v>
      </c>
      <c r="K1932" s="77" t="s">
        <v>8564</v>
      </c>
      <c r="L1932" s="76"/>
      <c r="M1932" s="76"/>
      <c r="N1932" s="76"/>
      <c r="O1932" s="76">
        <v>1</v>
      </c>
      <c r="P1932" s="76"/>
      <c r="Q1932" s="76"/>
      <c r="R1932" s="76"/>
      <c r="S1932" s="76"/>
      <c r="Y1932" s="95" t="s">
        <v>9736</v>
      </c>
      <c r="AA1932" s="95" t="s">
        <v>8541</v>
      </c>
      <c r="AC1932" s="95" t="s">
        <v>9737</v>
      </c>
      <c r="AI1932" s="95" t="s">
        <v>9725</v>
      </c>
      <c r="AK1932" s="95" t="s">
        <v>8541</v>
      </c>
      <c r="AW1932" s="95">
        <v>45</v>
      </c>
      <c r="BC1932" s="96" t="s">
        <v>9726</v>
      </c>
      <c r="BD1932" s="99">
        <f t="shared" si="63"/>
        <v>0.5</v>
      </c>
      <c r="BM1932" s="69" t="s">
        <v>10008</v>
      </c>
      <c r="BP1932" s="69" t="s">
        <v>8541</v>
      </c>
      <c r="BR1932" s="95" t="s">
        <v>8541</v>
      </c>
      <c r="CC1932" s="99">
        <v>0.5</v>
      </c>
      <c r="CD1932" s="90" t="s">
        <v>10072</v>
      </c>
      <c r="CV1932" s="99"/>
      <c r="CW1932" s="63"/>
    </row>
    <row r="1933" spans="1:101" ht="22.5" x14ac:dyDescent="0.15">
      <c r="A1933" s="76">
        <v>1809</v>
      </c>
      <c r="B1933" s="74" t="s">
        <v>1610</v>
      </c>
      <c r="C1933" s="74">
        <v>1066938717</v>
      </c>
      <c r="D1933" s="78" t="str">
        <f t="shared" si="62"/>
        <v>https://portal.dnb.de/opac.htm?method=simpleSearch&amp;cqlMode=true&amp;query=idn%3D1066938717</v>
      </c>
      <c r="E1933" s="74" t="s">
        <v>1611</v>
      </c>
      <c r="F1933" s="74"/>
      <c r="G1933" s="76" t="s">
        <v>8515</v>
      </c>
      <c r="H1933" s="77" t="s">
        <v>8547</v>
      </c>
      <c r="I1933" s="76" t="s">
        <v>53</v>
      </c>
      <c r="J1933" s="77" t="s">
        <v>58</v>
      </c>
      <c r="K1933" s="77" t="s">
        <v>84</v>
      </c>
      <c r="L1933" s="76"/>
      <c r="M1933" s="76"/>
      <c r="N1933" s="76"/>
      <c r="O1933" s="76">
        <v>2</v>
      </c>
      <c r="P1933" s="76"/>
      <c r="Q1933" s="76"/>
      <c r="R1933" s="76"/>
      <c r="S1933" s="76"/>
      <c r="BD1933" s="99">
        <f t="shared" si="63"/>
        <v>0</v>
      </c>
      <c r="CC1933" s="99"/>
      <c r="CV1933" s="99"/>
      <c r="CW1933" s="63"/>
    </row>
    <row r="1934" spans="1:101" x14ac:dyDescent="0.15">
      <c r="A1934" s="76">
        <v>1810</v>
      </c>
      <c r="B1934" s="74" t="s">
        <v>1614</v>
      </c>
      <c r="C1934" s="74">
        <v>1000636445</v>
      </c>
      <c r="D1934" s="78" t="str">
        <f t="shared" si="62"/>
        <v>https://portal.dnb.de/opac.htm?method=simpleSearch&amp;cqlMode=true&amp;query=idn%3D1000636445</v>
      </c>
      <c r="E1934" s="74" t="s">
        <v>9046</v>
      </c>
      <c r="F1934" s="74"/>
      <c r="G1934" s="76" t="s">
        <v>8515</v>
      </c>
      <c r="H1934" s="77" t="s">
        <v>5</v>
      </c>
      <c r="I1934" s="76" t="s">
        <v>53</v>
      </c>
      <c r="J1934" s="77" t="s">
        <v>58</v>
      </c>
      <c r="K1934" s="77" t="s">
        <v>8520</v>
      </c>
      <c r="L1934" s="76"/>
      <c r="M1934" s="76" t="s">
        <v>38</v>
      </c>
      <c r="N1934" s="76" t="s">
        <v>40</v>
      </c>
      <c r="O1934" s="76">
        <v>0</v>
      </c>
      <c r="P1934" s="76"/>
      <c r="Q1934" s="76" t="s">
        <v>9049</v>
      </c>
      <c r="R1934" s="76"/>
      <c r="S1934" s="76"/>
      <c r="BD1934" s="99">
        <f t="shared" si="63"/>
        <v>0</v>
      </c>
      <c r="CC1934" s="99"/>
      <c r="CV1934" s="99"/>
      <c r="CW1934" s="63"/>
    </row>
    <row r="1935" spans="1:101" x14ac:dyDescent="0.15">
      <c r="A1935" s="76">
        <v>1811</v>
      </c>
      <c r="B1935" s="74" t="s">
        <v>1615</v>
      </c>
      <c r="C1935" s="74">
        <v>1000636534</v>
      </c>
      <c r="D1935" s="78" t="str">
        <f t="shared" si="62"/>
        <v>https://portal.dnb.de/opac.htm?method=simpleSearch&amp;cqlMode=true&amp;query=idn%3D1000636534</v>
      </c>
      <c r="E1935" s="74" t="s">
        <v>9048</v>
      </c>
      <c r="F1935" s="74"/>
      <c r="G1935" s="76" t="s">
        <v>8515</v>
      </c>
      <c r="H1935" s="77" t="s">
        <v>5</v>
      </c>
      <c r="I1935" s="76" t="s">
        <v>53</v>
      </c>
      <c r="J1935" s="77" t="s">
        <v>58</v>
      </c>
      <c r="K1935" s="77" t="s">
        <v>8520</v>
      </c>
      <c r="L1935" s="76"/>
      <c r="M1935" s="76" t="s">
        <v>38</v>
      </c>
      <c r="N1935" s="76" t="s">
        <v>40</v>
      </c>
      <c r="O1935" s="76">
        <v>0</v>
      </c>
      <c r="P1935" s="76"/>
      <c r="Q1935" s="76" t="s">
        <v>9047</v>
      </c>
      <c r="R1935" s="76"/>
      <c r="S1935" s="76"/>
      <c r="BD1935" s="99">
        <f t="shared" si="63"/>
        <v>0</v>
      </c>
      <c r="CC1935" s="99"/>
      <c r="CV1935" s="99"/>
      <c r="CW1935" s="63"/>
    </row>
    <row r="1936" spans="1:101" x14ac:dyDescent="0.15">
      <c r="A1936" s="76">
        <v>1812</v>
      </c>
      <c r="B1936" s="74" t="s">
        <v>1618</v>
      </c>
      <c r="C1936" s="74">
        <v>1002436001</v>
      </c>
      <c r="D1936" s="78" t="str">
        <f t="shared" si="62"/>
        <v>https://portal.dnb.de/opac.htm?method=simpleSearch&amp;cqlMode=true&amp;query=idn%3D1002436001</v>
      </c>
      <c r="E1936" s="74" t="s">
        <v>1619</v>
      </c>
      <c r="F1936" s="74"/>
      <c r="G1936" s="76"/>
      <c r="H1936" s="77" t="s">
        <v>49</v>
      </c>
      <c r="I1936" s="76" t="s">
        <v>53</v>
      </c>
      <c r="J1936" s="77" t="s">
        <v>58</v>
      </c>
      <c r="K1936" s="77" t="s">
        <v>84</v>
      </c>
      <c r="L1936" s="76"/>
      <c r="M1936" s="76"/>
      <c r="N1936" s="76"/>
      <c r="O1936" s="76">
        <v>0</v>
      </c>
      <c r="P1936" s="76"/>
      <c r="Q1936" s="76"/>
      <c r="R1936" s="76"/>
      <c r="S1936" s="76"/>
      <c r="BD1936" s="99">
        <f t="shared" si="63"/>
        <v>0</v>
      </c>
      <c r="CC1936" s="99"/>
      <c r="CV1936" s="99"/>
      <c r="CW1936" s="63"/>
    </row>
    <row r="1937" spans="1:101" x14ac:dyDescent="0.15">
      <c r="A1937" s="76">
        <v>1813</v>
      </c>
      <c r="B1937" s="74" t="s">
        <v>1593</v>
      </c>
      <c r="C1937" s="74">
        <v>1208922955</v>
      </c>
      <c r="D1937" s="78" t="str">
        <f t="shared" si="62"/>
        <v>https://portal.dnb.de/opac.htm?method=simpleSearch&amp;cqlMode=true&amp;query=idn%3D1208922955</v>
      </c>
      <c r="E1937" s="74" t="s">
        <v>1594</v>
      </c>
      <c r="F1937" s="74"/>
      <c r="G1937" s="76"/>
      <c r="H1937" s="77"/>
      <c r="I1937" s="76"/>
      <c r="J1937" s="77"/>
      <c r="K1937" s="77"/>
      <c r="L1937" s="76"/>
      <c r="M1937" s="76"/>
      <c r="N1937" s="76"/>
      <c r="O1937" s="76"/>
      <c r="P1937" s="76"/>
      <c r="Q1937" s="76"/>
      <c r="R1937" s="76"/>
      <c r="S1937" s="76"/>
      <c r="BD1937" s="99">
        <f t="shared" si="63"/>
        <v>0</v>
      </c>
      <c r="CC1937" s="99"/>
      <c r="CV1937" s="99"/>
      <c r="CW1937" s="63"/>
    </row>
    <row r="1938" spans="1:101" x14ac:dyDescent="0.15">
      <c r="A1938" s="76">
        <v>1814</v>
      </c>
      <c r="B1938" s="74" t="s">
        <v>1597</v>
      </c>
      <c r="C1938" s="74">
        <v>994290551</v>
      </c>
      <c r="D1938" s="78" t="str">
        <f t="shared" si="62"/>
        <v>https://portal.dnb.de/opac.htm?method=simpleSearch&amp;cqlMode=true&amp;query=idn%3D994290551</v>
      </c>
      <c r="E1938" s="74" t="s">
        <v>1598</v>
      </c>
      <c r="F1938" s="74"/>
      <c r="G1938" s="76"/>
      <c r="H1938" s="77"/>
      <c r="I1938" s="76"/>
      <c r="J1938" s="77"/>
      <c r="K1938" s="77"/>
      <c r="L1938" s="76"/>
      <c r="M1938" s="76"/>
      <c r="N1938" s="76"/>
      <c r="O1938" s="76"/>
      <c r="P1938" s="76"/>
      <c r="Q1938" s="76"/>
      <c r="R1938" s="76"/>
      <c r="S1938" s="76"/>
      <c r="BD1938" s="99">
        <f t="shared" si="63"/>
        <v>0</v>
      </c>
      <c r="CC1938" s="99"/>
      <c r="CV1938" s="99"/>
      <c r="CW1938" s="63"/>
    </row>
    <row r="1939" spans="1:101" x14ac:dyDescent="0.15">
      <c r="A1939" s="76">
        <v>1815</v>
      </c>
      <c r="B1939" s="74" t="s">
        <v>1599</v>
      </c>
      <c r="C1939" s="74" t="s">
        <v>1600</v>
      </c>
      <c r="D1939" s="78" t="str">
        <f t="shared" si="62"/>
        <v>https://portal.dnb.de/opac.htm?method=simpleSearch&amp;cqlMode=true&amp;query=idn%3D99483392X</v>
      </c>
      <c r="E1939" s="74" t="s">
        <v>1598</v>
      </c>
      <c r="F1939" s="74"/>
      <c r="G1939" s="76"/>
      <c r="H1939" s="77"/>
      <c r="I1939" s="76"/>
      <c r="J1939" s="77"/>
      <c r="K1939" s="77"/>
      <c r="L1939" s="76"/>
      <c r="M1939" s="76"/>
      <c r="N1939" s="76"/>
      <c r="O1939" s="76"/>
      <c r="P1939" s="76"/>
      <c r="Q1939" s="76"/>
      <c r="R1939" s="76"/>
      <c r="S1939" s="76"/>
      <c r="BD1939" s="99">
        <f t="shared" si="63"/>
        <v>0</v>
      </c>
      <c r="CC1939" s="99"/>
      <c r="CV1939" s="99"/>
      <c r="CW1939" s="63"/>
    </row>
    <row r="1940" spans="1:101" x14ac:dyDescent="0.15">
      <c r="A1940" s="76">
        <v>1816</v>
      </c>
      <c r="B1940" s="74" t="s">
        <v>1605</v>
      </c>
      <c r="C1940" s="74">
        <v>1000110052</v>
      </c>
      <c r="D1940" s="78" t="str">
        <f t="shared" si="62"/>
        <v>https://portal.dnb.de/opac.htm?method=simpleSearch&amp;cqlMode=true&amp;query=idn%3D1000110052</v>
      </c>
      <c r="E1940" s="74" t="s">
        <v>1606</v>
      </c>
      <c r="F1940" s="74"/>
      <c r="G1940" s="76"/>
      <c r="H1940" s="77"/>
      <c r="I1940" s="76"/>
      <c r="J1940" s="77"/>
      <c r="K1940" s="77"/>
      <c r="L1940" s="76"/>
      <c r="M1940" s="76"/>
      <c r="N1940" s="76"/>
      <c r="O1940" s="76"/>
      <c r="P1940" s="76"/>
      <c r="Q1940" s="76"/>
      <c r="R1940" s="76" t="s">
        <v>9045</v>
      </c>
      <c r="S1940" s="76"/>
      <c r="BD1940" s="99">
        <f t="shared" si="63"/>
        <v>0</v>
      </c>
      <c r="CC1940" s="99"/>
      <c r="CV1940" s="99"/>
      <c r="CW1940" s="63"/>
    </row>
    <row r="1941" spans="1:101" x14ac:dyDescent="0.15">
      <c r="A1941" s="76">
        <v>1817</v>
      </c>
      <c r="B1941" s="74" t="s">
        <v>1607</v>
      </c>
      <c r="C1941" s="74">
        <v>1002914264</v>
      </c>
      <c r="D1941" s="78" t="str">
        <f t="shared" si="62"/>
        <v>https://portal.dnb.de/opac.htm?method=simpleSearch&amp;cqlMode=true&amp;query=idn%3D1002914264</v>
      </c>
      <c r="E1941" s="74" t="s">
        <v>1606</v>
      </c>
      <c r="F1941" s="74"/>
      <c r="G1941" s="76"/>
      <c r="H1941" s="77"/>
      <c r="I1941" s="76"/>
      <c r="J1941" s="77"/>
      <c r="K1941" s="77"/>
      <c r="L1941" s="76"/>
      <c r="M1941" s="76"/>
      <c r="N1941" s="76"/>
      <c r="O1941" s="76"/>
      <c r="P1941" s="76"/>
      <c r="Q1941" s="76"/>
      <c r="R1941" s="76"/>
      <c r="S1941" s="76"/>
      <c r="BD1941" s="99">
        <f t="shared" si="63"/>
        <v>0</v>
      </c>
      <c r="CC1941" s="99"/>
      <c r="CV1941" s="99"/>
      <c r="CW1941" s="63"/>
    </row>
    <row r="1942" spans="1:101" x14ac:dyDescent="0.15">
      <c r="A1942" s="76">
        <v>1818</v>
      </c>
      <c r="B1942" s="74" t="s">
        <v>1612</v>
      </c>
      <c r="C1942" s="74">
        <v>1207423254</v>
      </c>
      <c r="D1942" s="78" t="str">
        <f t="shared" si="62"/>
        <v>https://portal.dnb.de/opac.htm?method=simpleSearch&amp;cqlMode=true&amp;query=idn%3D1207423254</v>
      </c>
      <c r="E1942" s="74" t="s">
        <v>1613</v>
      </c>
      <c r="F1942" s="74"/>
      <c r="G1942" s="76"/>
      <c r="H1942" s="77"/>
      <c r="I1942" s="76"/>
      <c r="J1942" s="77"/>
      <c r="K1942" s="77"/>
      <c r="L1942" s="76"/>
      <c r="M1942" s="76"/>
      <c r="N1942" s="76"/>
      <c r="O1942" s="76"/>
      <c r="P1942" s="76"/>
      <c r="Q1942" s="76"/>
      <c r="R1942" s="76"/>
      <c r="S1942" s="76"/>
      <c r="BD1942" s="99">
        <f t="shared" si="63"/>
        <v>0</v>
      </c>
      <c r="CC1942" s="99"/>
      <c r="CV1942" s="99"/>
      <c r="CW1942" s="63"/>
    </row>
    <row r="1943" spans="1:101" ht="22.5" x14ac:dyDescent="0.15">
      <c r="A1943" s="76">
        <v>1819</v>
      </c>
      <c r="B1943" s="74" t="s">
        <v>1616</v>
      </c>
      <c r="C1943" s="74">
        <v>999255932</v>
      </c>
      <c r="D1943" s="78" t="str">
        <f t="shared" ref="D1943:D2010" si="64">HYPERLINK(CONCATENATE("https://portal.dnb.de/opac.htm?method=simpleSearch&amp;cqlMode=true&amp;query=idn%3D",C1943))</f>
        <v>https://portal.dnb.de/opac.htm?method=simpleSearch&amp;cqlMode=true&amp;query=idn%3D999255932</v>
      </c>
      <c r="E1943" s="74" t="s">
        <v>1617</v>
      </c>
      <c r="F1943" s="74"/>
      <c r="G1943" s="76"/>
      <c r="H1943" s="77" t="s">
        <v>4</v>
      </c>
      <c r="I1943" s="76" t="s">
        <v>53</v>
      </c>
      <c r="J1943" s="77" t="s">
        <v>58</v>
      </c>
      <c r="K1943" s="77" t="s">
        <v>8615</v>
      </c>
      <c r="L1943" s="76"/>
      <c r="M1943" s="76" t="s">
        <v>36</v>
      </c>
      <c r="N1943" s="76" t="s">
        <v>39</v>
      </c>
      <c r="O1943" s="76"/>
      <c r="P1943" s="76"/>
      <c r="Q1943" s="76"/>
      <c r="R1943" s="76"/>
      <c r="S1943" s="76"/>
      <c r="BD1943" s="99">
        <f t="shared" si="63"/>
        <v>0</v>
      </c>
      <c r="CC1943" s="99"/>
      <c r="CV1943" s="99"/>
      <c r="CW1943" s="63"/>
    </row>
    <row r="1944" spans="1:101" x14ac:dyDescent="0.15">
      <c r="A1944" s="76">
        <v>1820</v>
      </c>
      <c r="B1944" s="74" t="s">
        <v>1620</v>
      </c>
      <c r="C1944" s="74">
        <v>1066848386</v>
      </c>
      <c r="D1944" s="78" t="str">
        <f t="shared" si="64"/>
        <v>https://portal.dnb.de/opac.htm?method=simpleSearch&amp;cqlMode=true&amp;query=idn%3D1066848386</v>
      </c>
      <c r="E1944" s="74" t="s">
        <v>1621</v>
      </c>
      <c r="F1944" s="74"/>
      <c r="G1944" s="76" t="s">
        <v>8515</v>
      </c>
      <c r="H1944" s="77" t="s">
        <v>17</v>
      </c>
      <c r="I1944" s="76" t="s">
        <v>53</v>
      </c>
      <c r="J1944" s="77" t="s">
        <v>8516</v>
      </c>
      <c r="K1944" s="77" t="s">
        <v>72</v>
      </c>
      <c r="L1944" s="76"/>
      <c r="M1944" s="76"/>
      <c r="N1944" s="76" t="s">
        <v>8660</v>
      </c>
      <c r="O1944" s="76">
        <v>0</v>
      </c>
      <c r="P1944" s="76"/>
      <c r="Q1944" s="76"/>
      <c r="R1944" s="76"/>
      <c r="S1944" s="76"/>
      <c r="BD1944" s="99">
        <f t="shared" si="63"/>
        <v>0</v>
      </c>
      <c r="CC1944" s="99"/>
      <c r="CV1944" s="99"/>
      <c r="CW1944" s="63"/>
    </row>
    <row r="1945" spans="1:101" ht="22.5" x14ac:dyDescent="0.15">
      <c r="A1945" s="76">
        <v>1821</v>
      </c>
      <c r="B1945" s="74" t="s">
        <v>1622</v>
      </c>
      <c r="C1945" s="74">
        <v>993901956</v>
      </c>
      <c r="D1945" s="78" t="str">
        <f t="shared" si="64"/>
        <v>https://portal.dnb.de/opac.htm?method=simpleSearch&amp;cqlMode=true&amp;query=idn%3D993901956</v>
      </c>
      <c r="E1945" s="74" t="s">
        <v>1623</v>
      </c>
      <c r="F1945" s="74"/>
      <c r="G1945" s="76" t="s">
        <v>8515</v>
      </c>
      <c r="H1945" s="77" t="s">
        <v>48</v>
      </c>
      <c r="I1945" s="76" t="s">
        <v>53</v>
      </c>
      <c r="J1945" s="77" t="s">
        <v>8516</v>
      </c>
      <c r="K1945" s="77" t="s">
        <v>9050</v>
      </c>
      <c r="L1945" s="76"/>
      <c r="M1945" s="76"/>
      <c r="N1945" s="76" t="s">
        <v>8660</v>
      </c>
      <c r="O1945" s="76"/>
      <c r="P1945" s="76"/>
      <c r="Q1945" s="76"/>
      <c r="R1945" s="76"/>
      <c r="S1945" s="76"/>
      <c r="BD1945" s="99">
        <f t="shared" si="63"/>
        <v>0</v>
      </c>
      <c r="CC1945" s="99"/>
      <c r="CV1945" s="99"/>
      <c r="CW1945" s="63"/>
    </row>
    <row r="1946" spans="1:101" ht="22.5" x14ac:dyDescent="0.15">
      <c r="A1946" s="76">
        <v>1822</v>
      </c>
      <c r="B1946" s="74" t="s">
        <v>1624</v>
      </c>
      <c r="C1946" s="74">
        <v>1066963088</v>
      </c>
      <c r="D1946" s="78" t="str">
        <f t="shared" si="64"/>
        <v>https://portal.dnb.de/opac.htm?method=simpleSearch&amp;cqlMode=true&amp;query=idn%3D1066963088</v>
      </c>
      <c r="E1946" s="74" t="s">
        <v>1625</v>
      </c>
      <c r="F1946" s="74"/>
      <c r="G1946" s="76" t="s">
        <v>8515</v>
      </c>
      <c r="H1946" s="77" t="s">
        <v>48</v>
      </c>
      <c r="I1946" s="76" t="s">
        <v>53</v>
      </c>
      <c r="J1946" s="77" t="s">
        <v>8516</v>
      </c>
      <c r="K1946" s="77" t="s">
        <v>8564</v>
      </c>
      <c r="L1946" s="76"/>
      <c r="M1946" s="76"/>
      <c r="N1946" s="76"/>
      <c r="O1946" s="76">
        <v>2</v>
      </c>
      <c r="P1946" s="76"/>
      <c r="Q1946" s="76"/>
      <c r="R1946" s="76"/>
      <c r="S1946" s="76"/>
      <c r="BD1946" s="99">
        <f t="shared" si="63"/>
        <v>0</v>
      </c>
      <c r="CC1946" s="99"/>
      <c r="CV1946" s="99"/>
      <c r="CW1946" s="63"/>
    </row>
    <row r="1947" spans="1:101" ht="22.5" x14ac:dyDescent="0.15">
      <c r="A1947" s="76">
        <v>1823</v>
      </c>
      <c r="B1947" s="74" t="s">
        <v>1626</v>
      </c>
      <c r="C1947" s="74">
        <v>1066960534</v>
      </c>
      <c r="D1947" s="78" t="str">
        <f t="shared" si="64"/>
        <v>https://portal.dnb.de/opac.htm?method=simpleSearch&amp;cqlMode=true&amp;query=idn%3D1066960534</v>
      </c>
      <c r="E1947" s="74" t="s">
        <v>1627</v>
      </c>
      <c r="F1947" s="74"/>
      <c r="G1947" s="76" t="s">
        <v>8515</v>
      </c>
      <c r="H1947" s="77" t="s">
        <v>6</v>
      </c>
      <c r="I1947" s="76" t="s">
        <v>53</v>
      </c>
      <c r="J1947" s="77" t="s">
        <v>8516</v>
      </c>
      <c r="K1947" s="77" t="s">
        <v>8552</v>
      </c>
      <c r="L1947" s="76"/>
      <c r="M1947" s="76"/>
      <c r="N1947" s="76"/>
      <c r="O1947" s="76">
        <v>1</v>
      </c>
      <c r="P1947" s="76"/>
      <c r="Q1947" s="76"/>
      <c r="R1947" s="76"/>
      <c r="S1947" s="76"/>
      <c r="BD1947" s="99">
        <f t="shared" si="63"/>
        <v>0</v>
      </c>
      <c r="CC1947" s="99"/>
      <c r="CV1947" s="99"/>
      <c r="CW1947" s="63"/>
    </row>
    <row r="1948" spans="1:101" ht="22.5" x14ac:dyDescent="0.15">
      <c r="A1948" s="76">
        <v>1824</v>
      </c>
      <c r="B1948" s="74" t="s">
        <v>1630</v>
      </c>
      <c r="C1948" s="74" t="s">
        <v>1631</v>
      </c>
      <c r="D1948" s="82" t="str">
        <f>HYPERLINK(CONCATENATE("https://portal.dnb.de/opac.htm?method=simpleSearch&amp;cqlMode=true&amp;query=idn%3D",C1948))</f>
        <v>https://portal.dnb.de/opac.htm?method=simpleSearch&amp;cqlMode=true&amp;query=idn%3D113263699X</v>
      </c>
      <c r="E1948" s="74" t="s">
        <v>9051</v>
      </c>
      <c r="F1948" s="74"/>
      <c r="G1948" s="76" t="s">
        <v>8515</v>
      </c>
      <c r="H1948" s="77" t="s">
        <v>8547</v>
      </c>
      <c r="I1948" s="76" t="s">
        <v>54</v>
      </c>
      <c r="J1948" s="77" t="s">
        <v>8516</v>
      </c>
      <c r="K1948" s="77" t="s">
        <v>72</v>
      </c>
      <c r="L1948" s="76"/>
      <c r="M1948" s="76" t="s">
        <v>37</v>
      </c>
      <c r="N1948" s="76"/>
      <c r="O1948" s="76">
        <v>0</v>
      </c>
      <c r="P1948" s="76"/>
      <c r="Q1948" s="76"/>
      <c r="R1948" s="76"/>
      <c r="S1948" s="76"/>
      <c r="BD1948" s="99">
        <f t="shared" si="63"/>
        <v>0</v>
      </c>
      <c r="CC1948" s="99"/>
      <c r="CV1948" s="99"/>
      <c r="CW1948" s="63"/>
    </row>
    <row r="1949" spans="1:101" x14ac:dyDescent="0.15">
      <c r="A1949" s="76">
        <v>1825</v>
      </c>
      <c r="B1949" s="74" t="s">
        <v>1633</v>
      </c>
      <c r="C1949" s="74">
        <v>1132637015</v>
      </c>
      <c r="D1949" s="78" t="str">
        <f t="shared" si="64"/>
        <v>https://portal.dnb.de/opac.htm?method=simpleSearch&amp;cqlMode=true&amp;query=idn%3D1132637015</v>
      </c>
      <c r="E1949" s="74" t="s">
        <v>1632</v>
      </c>
      <c r="F1949" s="74"/>
      <c r="G1949" s="76"/>
      <c r="H1949" s="77"/>
      <c r="I1949" s="76"/>
      <c r="J1949" s="77"/>
      <c r="K1949" s="77"/>
      <c r="L1949" s="76"/>
      <c r="M1949" s="76"/>
      <c r="N1949" s="76"/>
      <c r="O1949" s="76"/>
      <c r="P1949" s="76"/>
      <c r="Q1949" s="76"/>
      <c r="R1949" s="76"/>
      <c r="S1949" s="76"/>
      <c r="BD1949" s="99">
        <f t="shared" si="63"/>
        <v>0</v>
      </c>
      <c r="CC1949" s="99"/>
      <c r="CV1949" s="99"/>
      <c r="CW1949" s="63"/>
    </row>
    <row r="1950" spans="1:101" x14ac:dyDescent="0.15">
      <c r="A1950" s="76">
        <v>1826</v>
      </c>
      <c r="B1950" s="74" t="s">
        <v>1634</v>
      </c>
      <c r="C1950" s="74">
        <v>1132637007</v>
      </c>
      <c r="D1950" s="78" t="str">
        <f t="shared" si="64"/>
        <v>https://portal.dnb.de/opac.htm?method=simpleSearch&amp;cqlMode=true&amp;query=idn%3D1132637007</v>
      </c>
      <c r="E1950" s="74" t="s">
        <v>1632</v>
      </c>
      <c r="F1950" s="74"/>
      <c r="G1950" s="76"/>
      <c r="H1950" s="77"/>
      <c r="I1950" s="76"/>
      <c r="J1950" s="77"/>
      <c r="K1950" s="77"/>
      <c r="L1950" s="76"/>
      <c r="M1950" s="76"/>
      <c r="N1950" s="76"/>
      <c r="O1950" s="76"/>
      <c r="P1950" s="76"/>
      <c r="Q1950" s="76"/>
      <c r="R1950" s="76"/>
      <c r="S1950" s="76"/>
      <c r="BD1950" s="99">
        <f t="shared" si="63"/>
        <v>0</v>
      </c>
      <c r="CC1950" s="99"/>
      <c r="CV1950" s="99"/>
      <c r="CW1950" s="63"/>
    </row>
    <row r="1951" spans="1:101" x14ac:dyDescent="0.15">
      <c r="A1951" s="76">
        <v>1827</v>
      </c>
      <c r="B1951" s="74" t="s">
        <v>1635</v>
      </c>
      <c r="C1951" s="74">
        <v>1132636981</v>
      </c>
      <c r="D1951" s="78" t="str">
        <f t="shared" si="64"/>
        <v>https://portal.dnb.de/opac.htm?method=simpleSearch&amp;cqlMode=true&amp;query=idn%3D1132636981</v>
      </c>
      <c r="E1951" s="74" t="s">
        <v>1632</v>
      </c>
      <c r="F1951" s="74"/>
      <c r="G1951" s="76"/>
      <c r="H1951" s="77"/>
      <c r="I1951" s="76"/>
      <c r="J1951" s="77"/>
      <c r="K1951" s="77"/>
      <c r="L1951" s="76"/>
      <c r="M1951" s="76"/>
      <c r="N1951" s="76"/>
      <c r="O1951" s="76"/>
      <c r="P1951" s="76"/>
      <c r="Q1951" s="76"/>
      <c r="R1951" s="76"/>
      <c r="S1951" s="76"/>
      <c r="BD1951" s="99">
        <f t="shared" si="63"/>
        <v>0</v>
      </c>
      <c r="CC1951" s="99"/>
      <c r="CV1951" s="99"/>
      <c r="CW1951" s="63"/>
    </row>
    <row r="1952" spans="1:101" ht="22.5" x14ac:dyDescent="0.15">
      <c r="A1952" s="76">
        <v>1828</v>
      </c>
      <c r="B1952" s="74" t="s">
        <v>1636</v>
      </c>
      <c r="C1952" s="74">
        <v>1132636973</v>
      </c>
      <c r="D1952" s="82" t="str">
        <f>HYPERLINK(CONCATENATE("https://portal.dnb.de/opac.htm?method=simpleSearch&amp;cqlMode=true&amp;query=idn%3D",C1952))</f>
        <v>https://portal.dnb.de/opac.htm?method=simpleSearch&amp;cqlMode=true&amp;query=idn%3D1132636973</v>
      </c>
      <c r="E1952" s="74" t="s">
        <v>9052</v>
      </c>
      <c r="F1952" s="74"/>
      <c r="G1952" s="76" t="s">
        <v>8515</v>
      </c>
      <c r="H1952" s="77" t="s">
        <v>8547</v>
      </c>
      <c r="I1952" s="76" t="s">
        <v>54</v>
      </c>
      <c r="J1952" s="77" t="s">
        <v>8516</v>
      </c>
      <c r="K1952" s="77" t="s">
        <v>72</v>
      </c>
      <c r="L1952" s="76"/>
      <c r="M1952" s="76"/>
      <c r="N1952" s="76"/>
      <c r="O1952" s="76">
        <v>0</v>
      </c>
      <c r="P1952" s="76"/>
      <c r="Q1952" s="76"/>
      <c r="R1952" s="76"/>
      <c r="S1952" s="76"/>
      <c r="BD1952" s="99">
        <f t="shared" si="63"/>
        <v>0</v>
      </c>
      <c r="CC1952" s="99"/>
      <c r="CV1952" s="99"/>
      <c r="CW1952" s="63"/>
    </row>
    <row r="1953" spans="1:101" ht="22.5" x14ac:dyDescent="0.15">
      <c r="A1953" s="76"/>
      <c r="B1953" s="74"/>
      <c r="C1953" s="74"/>
      <c r="D1953" s="82"/>
      <c r="E1953" s="74" t="s">
        <v>9053</v>
      </c>
      <c r="F1953" s="74"/>
      <c r="G1953" s="76" t="s">
        <v>8515</v>
      </c>
      <c r="H1953" s="77" t="s">
        <v>8547</v>
      </c>
      <c r="I1953" s="76" t="s">
        <v>54</v>
      </c>
      <c r="J1953" s="77" t="s">
        <v>8516</v>
      </c>
      <c r="K1953" s="77" t="s">
        <v>72</v>
      </c>
      <c r="L1953" s="76"/>
      <c r="M1953" s="76"/>
      <c r="N1953" s="76"/>
      <c r="O1953" s="76">
        <v>0</v>
      </c>
      <c r="P1953" s="76"/>
      <c r="Q1953" s="76"/>
      <c r="R1953" s="76"/>
      <c r="S1953" s="76"/>
      <c r="BD1953" s="99">
        <f t="shared" si="63"/>
        <v>0</v>
      </c>
      <c r="CC1953" s="99"/>
      <c r="CV1953" s="99"/>
      <c r="CW1953" s="63"/>
    </row>
    <row r="1954" spans="1:101" ht="22.5" x14ac:dyDescent="0.15">
      <c r="A1954" s="76">
        <v>1829</v>
      </c>
      <c r="B1954" s="74" t="s">
        <v>1637</v>
      </c>
      <c r="C1954" s="74" t="s">
        <v>1638</v>
      </c>
      <c r="D1954" s="78" t="str">
        <f t="shared" si="64"/>
        <v>https://portal.dnb.de/opac.htm?method=simpleSearch&amp;cqlMode=true&amp;query=idn%3D106678048X</v>
      </c>
      <c r="E1954" s="74" t="s">
        <v>1639</v>
      </c>
      <c r="F1954" s="74"/>
      <c r="G1954" s="76" t="s">
        <v>8515</v>
      </c>
      <c r="H1954" s="77" t="s">
        <v>8547</v>
      </c>
      <c r="I1954" s="76" t="s">
        <v>54</v>
      </c>
      <c r="J1954" s="77" t="s">
        <v>89</v>
      </c>
      <c r="K1954" s="77" t="s">
        <v>72</v>
      </c>
      <c r="L1954" s="76"/>
      <c r="M1954" s="76" t="s">
        <v>38</v>
      </c>
      <c r="N1954" s="76" t="s">
        <v>40</v>
      </c>
      <c r="O1954" s="76">
        <v>0</v>
      </c>
      <c r="P1954" s="76"/>
      <c r="Q1954" s="76"/>
      <c r="R1954" s="76"/>
      <c r="S1954" s="76"/>
      <c r="BD1954" s="99">
        <f t="shared" si="63"/>
        <v>0</v>
      </c>
      <c r="CC1954" s="99"/>
      <c r="CV1954" s="99"/>
      <c r="CW1954" s="63"/>
    </row>
    <row r="1955" spans="1:101" x14ac:dyDescent="0.15">
      <c r="A1955" s="76">
        <v>1830</v>
      </c>
      <c r="B1955" s="74" t="s">
        <v>1640</v>
      </c>
      <c r="C1955" s="74" t="s">
        <v>1641</v>
      </c>
      <c r="D1955" s="78" t="str">
        <f t="shared" si="64"/>
        <v>https://portal.dnb.de/opac.htm?method=simpleSearch&amp;cqlMode=true&amp;query=idn%3D106694055X</v>
      </c>
      <c r="E1955" s="74" t="s">
        <v>1642</v>
      </c>
      <c r="F1955" s="74"/>
      <c r="G1955" s="76"/>
      <c r="H1955" s="77"/>
      <c r="I1955" s="76"/>
      <c r="J1955" s="77"/>
      <c r="K1955" s="77"/>
      <c r="L1955" s="76"/>
      <c r="M1955" s="76"/>
      <c r="N1955" s="76"/>
      <c r="O1955" s="76"/>
      <c r="P1955" s="76"/>
      <c r="Q1955" s="76"/>
      <c r="R1955" s="76"/>
      <c r="S1955" s="76"/>
      <c r="BD1955" s="99">
        <f t="shared" si="63"/>
        <v>0</v>
      </c>
      <c r="CC1955" s="99"/>
      <c r="CV1955" s="99"/>
      <c r="CW1955" s="63"/>
    </row>
    <row r="1956" spans="1:101" ht="22.5" x14ac:dyDescent="0.15">
      <c r="A1956" s="76">
        <v>1831</v>
      </c>
      <c r="B1956" s="74" t="s">
        <v>1643</v>
      </c>
      <c r="C1956" s="74">
        <v>1035207877</v>
      </c>
      <c r="D1956" s="78" t="str">
        <f t="shared" si="64"/>
        <v>https://portal.dnb.de/opac.htm?method=simpleSearch&amp;cqlMode=true&amp;query=idn%3D1035207877</v>
      </c>
      <c r="E1956" s="74" t="s">
        <v>1644</v>
      </c>
      <c r="F1956" s="74"/>
      <c r="G1956" s="76"/>
      <c r="H1956" s="77"/>
      <c r="I1956" s="76" t="s">
        <v>54</v>
      </c>
      <c r="J1956" s="77"/>
      <c r="K1956" s="77"/>
      <c r="L1956" s="76"/>
      <c r="M1956" s="76"/>
      <c r="N1956" s="76"/>
      <c r="O1956" s="76"/>
      <c r="P1956" s="76"/>
      <c r="Q1956" s="76"/>
      <c r="R1956" s="76"/>
      <c r="S1956" s="76"/>
      <c r="Y1956" s="95" t="s">
        <v>9736</v>
      </c>
      <c r="AC1956" s="95" t="s">
        <v>9737</v>
      </c>
      <c r="AI1956" s="95" t="s">
        <v>9725</v>
      </c>
      <c r="AP1956" s="95" t="s">
        <v>8541</v>
      </c>
      <c r="AW1956" s="95" t="s">
        <v>9751</v>
      </c>
      <c r="BC1956" s="96" t="s">
        <v>9734</v>
      </c>
      <c r="BD1956" s="99">
        <f t="shared" si="63"/>
        <v>0</v>
      </c>
      <c r="BK1956" s="95" t="s">
        <v>8541</v>
      </c>
      <c r="BL1956" s="70" t="s">
        <v>9755</v>
      </c>
      <c r="CC1956" s="99"/>
      <c r="CV1956" s="99"/>
    </row>
    <row r="1957" spans="1:101" x14ac:dyDescent="0.15">
      <c r="A1957" s="76">
        <v>1832</v>
      </c>
      <c r="B1957" s="74" t="s">
        <v>1628</v>
      </c>
      <c r="C1957" s="74">
        <v>1208807773</v>
      </c>
      <c r="D1957" s="78" t="str">
        <f t="shared" si="64"/>
        <v>https://portal.dnb.de/opac.htm?method=simpleSearch&amp;cqlMode=true&amp;query=idn%3D1208807773</v>
      </c>
      <c r="E1957" s="74" t="s">
        <v>1629</v>
      </c>
      <c r="F1957" s="74"/>
      <c r="G1957" s="76"/>
      <c r="H1957" s="77"/>
      <c r="I1957" s="76"/>
      <c r="J1957" s="77"/>
      <c r="K1957" s="77"/>
      <c r="L1957" s="76"/>
      <c r="M1957" s="76"/>
      <c r="N1957" s="76"/>
      <c r="O1957" s="76"/>
      <c r="P1957" s="76"/>
      <c r="Q1957" s="76"/>
      <c r="R1957" s="76"/>
      <c r="S1957" s="76"/>
      <c r="BD1957" s="99">
        <f t="shared" si="63"/>
        <v>0</v>
      </c>
      <c r="CC1957" s="99"/>
      <c r="CV1957" s="99"/>
      <c r="CW1957" s="63"/>
    </row>
    <row r="1958" spans="1:101" x14ac:dyDescent="0.15">
      <c r="A1958" s="76">
        <v>1833</v>
      </c>
      <c r="B1958" s="74" t="s">
        <v>1645</v>
      </c>
      <c r="C1958" s="74">
        <v>1066786259</v>
      </c>
      <c r="D1958" s="78" t="str">
        <f t="shared" si="64"/>
        <v>https://portal.dnb.de/opac.htm?method=simpleSearch&amp;cqlMode=true&amp;query=idn%3D1066786259</v>
      </c>
      <c r="E1958" s="74" t="s">
        <v>1646</v>
      </c>
      <c r="F1958" s="74"/>
      <c r="G1958" s="76"/>
      <c r="H1958" s="77"/>
      <c r="I1958" s="76"/>
      <c r="J1958" s="77"/>
      <c r="K1958" s="77"/>
      <c r="L1958" s="76"/>
      <c r="M1958" s="76"/>
      <c r="N1958" s="76"/>
      <c r="O1958" s="76"/>
      <c r="P1958" s="76"/>
      <c r="Q1958" s="76"/>
      <c r="R1958" s="76"/>
      <c r="S1958" s="76"/>
      <c r="BD1958" s="99">
        <f t="shared" si="63"/>
        <v>0</v>
      </c>
      <c r="CC1958" s="99"/>
      <c r="CV1958" s="99"/>
      <c r="CW1958" s="63"/>
    </row>
    <row r="1959" spans="1:101" x14ac:dyDescent="0.15">
      <c r="A1959" s="76">
        <v>1834</v>
      </c>
      <c r="B1959" s="74" t="s">
        <v>1647</v>
      </c>
      <c r="C1959" s="74">
        <v>1132644070</v>
      </c>
      <c r="D1959" s="78" t="str">
        <f t="shared" si="64"/>
        <v>https://portal.dnb.de/opac.htm?method=simpleSearch&amp;cqlMode=true&amp;query=idn%3D1132644070</v>
      </c>
      <c r="E1959" s="74" t="s">
        <v>1648</v>
      </c>
      <c r="F1959" s="74"/>
      <c r="G1959" s="76"/>
      <c r="H1959" s="77"/>
      <c r="I1959" s="76"/>
      <c r="J1959" s="77"/>
      <c r="K1959" s="77"/>
      <c r="L1959" s="76"/>
      <c r="M1959" s="76"/>
      <c r="N1959" s="76"/>
      <c r="O1959" s="76"/>
      <c r="P1959" s="76"/>
      <c r="Q1959" s="76"/>
      <c r="R1959" s="76"/>
      <c r="S1959" s="76"/>
      <c r="BD1959" s="99">
        <f t="shared" si="63"/>
        <v>0</v>
      </c>
      <c r="CC1959" s="99"/>
      <c r="CV1959" s="99"/>
      <c r="CW1959" s="63"/>
    </row>
    <row r="1960" spans="1:101" x14ac:dyDescent="0.15">
      <c r="A1960" s="76">
        <v>1835</v>
      </c>
      <c r="B1960" s="74" t="s">
        <v>1649</v>
      </c>
      <c r="C1960" s="74">
        <v>1132658071</v>
      </c>
      <c r="D1960" s="78" t="str">
        <f t="shared" si="64"/>
        <v>https://portal.dnb.de/opac.htm?method=simpleSearch&amp;cqlMode=true&amp;query=idn%3D1132658071</v>
      </c>
      <c r="E1960" s="74" t="s">
        <v>1648</v>
      </c>
      <c r="F1960" s="74"/>
      <c r="G1960" s="76"/>
      <c r="H1960" s="77"/>
      <c r="I1960" s="76"/>
      <c r="J1960" s="77"/>
      <c r="K1960" s="77"/>
      <c r="L1960" s="76"/>
      <c r="M1960" s="76"/>
      <c r="N1960" s="76"/>
      <c r="O1960" s="76"/>
      <c r="P1960" s="76"/>
      <c r="Q1960" s="76"/>
      <c r="R1960" s="76"/>
      <c r="S1960" s="76"/>
      <c r="BD1960" s="99">
        <f t="shared" si="63"/>
        <v>0</v>
      </c>
      <c r="CC1960" s="99"/>
      <c r="CV1960" s="99"/>
      <c r="CW1960" s="63"/>
    </row>
    <row r="1961" spans="1:101" x14ac:dyDescent="0.15">
      <c r="A1961" s="76">
        <v>1836</v>
      </c>
      <c r="B1961" s="74" t="s">
        <v>1650</v>
      </c>
      <c r="C1961" s="74">
        <v>1066695547</v>
      </c>
      <c r="D1961" s="78" t="str">
        <f t="shared" si="64"/>
        <v>https://portal.dnb.de/opac.htm?method=simpleSearch&amp;cqlMode=true&amp;query=idn%3D1066695547</v>
      </c>
      <c r="E1961" s="74" t="s">
        <v>1651</v>
      </c>
      <c r="F1961" s="74"/>
      <c r="G1961" s="76"/>
      <c r="H1961" s="77"/>
      <c r="I1961" s="76"/>
      <c r="J1961" s="77"/>
      <c r="K1961" s="77"/>
      <c r="L1961" s="76"/>
      <c r="M1961" s="76"/>
      <c r="N1961" s="76"/>
      <c r="O1961" s="76"/>
      <c r="P1961" s="76"/>
      <c r="Q1961" s="76"/>
      <c r="R1961" s="76"/>
      <c r="S1961" s="76"/>
      <c r="BD1961" s="99">
        <f t="shared" si="63"/>
        <v>0</v>
      </c>
      <c r="CC1961" s="99"/>
      <c r="CV1961" s="99"/>
      <c r="CW1961" s="63"/>
    </row>
    <row r="1962" spans="1:101" x14ac:dyDescent="0.15">
      <c r="A1962" s="76">
        <v>1837</v>
      </c>
      <c r="B1962" s="74" t="s">
        <v>1658</v>
      </c>
      <c r="C1962" s="74">
        <v>1132642647</v>
      </c>
      <c r="D1962" s="78" t="str">
        <f t="shared" si="64"/>
        <v>https://portal.dnb.de/opac.htm?method=simpleSearch&amp;cqlMode=true&amp;query=idn%3D1132642647</v>
      </c>
      <c r="E1962" s="74" t="s">
        <v>1659</v>
      </c>
      <c r="F1962" s="74"/>
      <c r="G1962" s="76"/>
      <c r="H1962" s="77"/>
      <c r="I1962" s="76" t="s">
        <v>53</v>
      </c>
      <c r="J1962" s="77"/>
      <c r="K1962" s="77"/>
      <c r="L1962" s="76"/>
      <c r="M1962" s="76"/>
      <c r="N1962" s="76"/>
      <c r="O1962" s="76"/>
      <c r="P1962" s="76"/>
      <c r="Q1962" s="76"/>
      <c r="R1962" s="76"/>
      <c r="S1962" s="76"/>
      <c r="Y1962" s="95" t="s">
        <v>9736</v>
      </c>
      <c r="AC1962" s="95" t="s">
        <v>9737</v>
      </c>
      <c r="AI1962" s="95" t="s">
        <v>9725</v>
      </c>
      <c r="AW1962" s="95" t="s">
        <v>9751</v>
      </c>
      <c r="BC1962" s="96" t="s">
        <v>9734</v>
      </c>
      <c r="BD1962" s="99">
        <f t="shared" si="63"/>
        <v>0</v>
      </c>
      <c r="CC1962" s="99"/>
      <c r="CV1962" s="99"/>
      <c r="CW1962" s="63"/>
    </row>
    <row r="1963" spans="1:101" x14ac:dyDescent="0.15">
      <c r="A1963" s="76">
        <v>1838</v>
      </c>
      <c r="B1963" s="74" t="s">
        <v>1660</v>
      </c>
      <c r="C1963" s="74">
        <v>1132642639</v>
      </c>
      <c r="D1963" s="78" t="str">
        <f t="shared" si="64"/>
        <v>https://portal.dnb.de/opac.htm?method=simpleSearch&amp;cqlMode=true&amp;query=idn%3D1132642639</v>
      </c>
      <c r="E1963" s="74" t="s">
        <v>1659</v>
      </c>
      <c r="F1963" s="74"/>
      <c r="G1963" s="76"/>
      <c r="H1963" s="77"/>
      <c r="I1963" s="76" t="s">
        <v>53</v>
      </c>
      <c r="J1963" s="77"/>
      <c r="K1963" s="77"/>
      <c r="L1963" s="76"/>
      <c r="M1963" s="76"/>
      <c r="N1963" s="76"/>
      <c r="O1963" s="76"/>
      <c r="P1963" s="76"/>
      <c r="Q1963" s="76"/>
      <c r="R1963" s="76"/>
      <c r="S1963" s="76"/>
      <c r="Y1963" s="95" t="s">
        <v>9736</v>
      </c>
      <c r="AC1963" s="95" t="s">
        <v>9737</v>
      </c>
      <c r="AI1963" s="95" t="s">
        <v>9725</v>
      </c>
      <c r="AP1963" s="95" t="s">
        <v>8541</v>
      </c>
      <c r="AW1963" s="95" t="s">
        <v>9751</v>
      </c>
      <c r="BC1963" s="96" t="s">
        <v>9734</v>
      </c>
      <c r="BD1963" s="99">
        <f t="shared" si="63"/>
        <v>0</v>
      </c>
      <c r="CC1963" s="99"/>
      <c r="CV1963" s="99"/>
      <c r="CW1963" s="63"/>
    </row>
    <row r="1964" spans="1:101" ht="22.5" x14ac:dyDescent="0.15">
      <c r="A1964" s="76">
        <v>1839</v>
      </c>
      <c r="B1964" s="74" t="s">
        <v>1661</v>
      </c>
      <c r="C1964" s="74">
        <v>1066768900</v>
      </c>
      <c r="D1964" s="78" t="str">
        <f t="shared" si="64"/>
        <v>https://portal.dnb.de/opac.htm?method=simpleSearch&amp;cqlMode=true&amp;query=idn%3D1066768900</v>
      </c>
      <c r="E1964" s="74" t="s">
        <v>1662</v>
      </c>
      <c r="F1964" s="74"/>
      <c r="G1964" s="76"/>
      <c r="H1964" s="77"/>
      <c r="I1964" s="76" t="s">
        <v>53</v>
      </c>
      <c r="J1964" s="77"/>
      <c r="K1964" s="77"/>
      <c r="L1964" s="76"/>
      <c r="M1964" s="76"/>
      <c r="N1964" s="76"/>
      <c r="O1964" s="76"/>
      <c r="P1964" s="76"/>
      <c r="Q1964" s="76"/>
      <c r="R1964" s="76"/>
      <c r="S1964" s="76"/>
      <c r="Y1964" s="95" t="s">
        <v>9735</v>
      </c>
      <c r="AA1964" s="95" t="s">
        <v>8541</v>
      </c>
      <c r="AC1964" s="95" t="s">
        <v>9739</v>
      </c>
      <c r="AI1964" s="95" t="s">
        <v>9725</v>
      </c>
      <c r="AW1964" s="95">
        <v>110</v>
      </c>
      <c r="BC1964" s="96" t="s">
        <v>9726</v>
      </c>
      <c r="BD1964" s="99">
        <f t="shared" si="63"/>
        <v>1</v>
      </c>
      <c r="BP1964" s="69" t="s">
        <v>8541</v>
      </c>
      <c r="BR1964" s="95" t="s">
        <v>8541</v>
      </c>
      <c r="BT1964" s="95" t="s">
        <v>9775</v>
      </c>
      <c r="CC1964" s="99">
        <v>1</v>
      </c>
      <c r="CD1964" s="90" t="s">
        <v>10073</v>
      </c>
      <c r="CV1964" s="99"/>
      <c r="CW1964" s="63"/>
    </row>
    <row r="1965" spans="1:101" ht="33.75" x14ac:dyDescent="0.15">
      <c r="A1965" s="76">
        <v>1840</v>
      </c>
      <c r="B1965" s="74" t="s">
        <v>1663</v>
      </c>
      <c r="C1965" s="74">
        <v>999451340</v>
      </c>
      <c r="D1965" s="78" t="str">
        <f t="shared" si="64"/>
        <v>https://portal.dnb.de/opac.htm?method=simpleSearch&amp;cqlMode=true&amp;query=idn%3D999451340</v>
      </c>
      <c r="E1965" s="74" t="s">
        <v>1664</v>
      </c>
      <c r="F1965" s="74"/>
      <c r="G1965" s="76"/>
      <c r="H1965" s="77"/>
      <c r="I1965" s="76" t="s">
        <v>54</v>
      </c>
      <c r="J1965" s="77"/>
      <c r="K1965" s="77"/>
      <c r="L1965" s="76"/>
      <c r="M1965" s="76"/>
      <c r="N1965" s="76"/>
      <c r="O1965" s="76"/>
      <c r="P1965" s="76"/>
      <c r="Q1965" s="76"/>
      <c r="R1965" s="76"/>
      <c r="S1965" s="76"/>
      <c r="Y1965" s="95" t="s">
        <v>9735</v>
      </c>
      <c r="AC1965" s="95" t="s">
        <v>9730</v>
      </c>
      <c r="AI1965" s="95" t="s">
        <v>9725</v>
      </c>
      <c r="AW1965" s="95">
        <v>0</v>
      </c>
      <c r="BB1965" s="95" t="s">
        <v>8541</v>
      </c>
      <c r="BC1965" s="96" t="s">
        <v>10503</v>
      </c>
      <c r="BD1965" s="99">
        <f t="shared" si="63"/>
        <v>2.5</v>
      </c>
      <c r="BF1965" s="95" t="s">
        <v>10006</v>
      </c>
      <c r="BL1965" s="70" t="s">
        <v>10074</v>
      </c>
      <c r="BP1965" s="69" t="s">
        <v>8541</v>
      </c>
      <c r="BR1965" s="95" t="s">
        <v>8541</v>
      </c>
      <c r="BT1965" s="95" t="s">
        <v>9775</v>
      </c>
      <c r="CC1965" s="99">
        <v>2.5</v>
      </c>
      <c r="CD1965" s="90" t="s">
        <v>10075</v>
      </c>
      <c r="CV1965" s="99"/>
      <c r="CW1965" s="63"/>
    </row>
    <row r="1966" spans="1:101" ht="22.5" x14ac:dyDescent="0.15">
      <c r="A1966" s="76"/>
      <c r="B1966" s="74"/>
      <c r="C1966" s="74"/>
      <c r="D1966" s="78"/>
      <c r="E1966" s="74" t="s">
        <v>9054</v>
      </c>
      <c r="F1966" s="74"/>
      <c r="G1966" s="76" t="s">
        <v>8515</v>
      </c>
      <c r="H1966" s="77" t="s">
        <v>4</v>
      </c>
      <c r="I1966" s="76" t="s">
        <v>53</v>
      </c>
      <c r="J1966" s="77" t="s">
        <v>8516</v>
      </c>
      <c r="K1966" s="77" t="s">
        <v>8552</v>
      </c>
      <c r="L1966" s="76"/>
      <c r="M1966" s="76"/>
      <c r="N1966" s="76"/>
      <c r="O1966" s="76">
        <v>0</v>
      </c>
      <c r="P1966" s="76"/>
      <c r="Q1966" s="76"/>
      <c r="R1966" s="76"/>
      <c r="S1966" s="76"/>
      <c r="BD1966" s="99">
        <f t="shared" si="63"/>
        <v>0</v>
      </c>
      <c r="CC1966" s="99"/>
      <c r="CV1966" s="99"/>
      <c r="CW1966" s="63"/>
    </row>
    <row r="1967" spans="1:101" x14ac:dyDescent="0.15">
      <c r="A1967" s="76">
        <v>1841</v>
      </c>
      <c r="B1967" s="74" t="s">
        <v>1665</v>
      </c>
      <c r="C1967" s="74">
        <v>999488317</v>
      </c>
      <c r="D1967" s="78" t="str">
        <f t="shared" si="64"/>
        <v>https://portal.dnb.de/opac.htm?method=simpleSearch&amp;cqlMode=true&amp;query=idn%3D999488317</v>
      </c>
      <c r="E1967" s="74" t="s">
        <v>1666</v>
      </c>
      <c r="F1967" s="74"/>
      <c r="G1967" s="76"/>
      <c r="H1967" s="77"/>
      <c r="I1967" s="76"/>
      <c r="J1967" s="77"/>
      <c r="K1967" s="77"/>
      <c r="L1967" s="76"/>
      <c r="M1967" s="76"/>
      <c r="N1967" s="76"/>
      <c r="O1967" s="76"/>
      <c r="P1967" s="76"/>
      <c r="Q1967" s="76"/>
      <c r="R1967" s="76"/>
      <c r="S1967" s="76"/>
      <c r="BD1967" s="99">
        <f t="shared" si="63"/>
        <v>0</v>
      </c>
      <c r="CC1967" s="99"/>
      <c r="CV1967" s="99"/>
      <c r="CW1967" s="63"/>
    </row>
    <row r="1968" spans="1:101" ht="33.75" x14ac:dyDescent="0.15">
      <c r="A1968" s="76">
        <v>1842</v>
      </c>
      <c r="B1968" s="74" t="s">
        <v>1667</v>
      </c>
      <c r="C1968" s="74">
        <v>999490176</v>
      </c>
      <c r="D1968" s="78" t="str">
        <f t="shared" si="64"/>
        <v>https://portal.dnb.de/opac.htm?method=simpleSearch&amp;cqlMode=true&amp;query=idn%3D999490176</v>
      </c>
      <c r="E1968" s="74" t="s">
        <v>1666</v>
      </c>
      <c r="F1968" s="74"/>
      <c r="G1968" s="76" t="s">
        <v>8515</v>
      </c>
      <c r="H1968" s="77" t="s">
        <v>8546</v>
      </c>
      <c r="I1968" s="76" t="s">
        <v>53</v>
      </c>
      <c r="J1968" s="77" t="s">
        <v>8516</v>
      </c>
      <c r="K1968" s="77" t="s">
        <v>84</v>
      </c>
      <c r="L1968" s="76"/>
      <c r="M1968" s="76" t="s">
        <v>37</v>
      </c>
      <c r="N1968" s="76" t="s">
        <v>40</v>
      </c>
      <c r="O1968" s="76">
        <v>2</v>
      </c>
      <c r="P1968" s="76"/>
      <c r="Q1968" s="76"/>
      <c r="R1968" s="76"/>
      <c r="S1968" s="76"/>
      <c r="BD1968" s="99">
        <f t="shared" si="63"/>
        <v>0</v>
      </c>
      <c r="CC1968" s="99"/>
      <c r="CV1968" s="99"/>
      <c r="CW1968" s="63"/>
    </row>
    <row r="1969" spans="1:101" x14ac:dyDescent="0.15">
      <c r="A1969" s="76">
        <v>1843</v>
      </c>
      <c r="B1969" s="74" t="s">
        <v>1668</v>
      </c>
      <c r="C1969" s="74" t="s">
        <v>1669</v>
      </c>
      <c r="D1969" s="78" t="str">
        <f t="shared" si="64"/>
        <v>https://portal.dnb.de/opac.htm?method=simpleSearch&amp;cqlMode=true&amp;query=idn%3D01824579X</v>
      </c>
      <c r="E1969" s="74" t="s">
        <v>1670</v>
      </c>
      <c r="F1969" s="74"/>
      <c r="G1969" s="76" t="s">
        <v>8515</v>
      </c>
      <c r="H1969" s="77" t="s">
        <v>47</v>
      </c>
      <c r="I1969" s="76" t="s">
        <v>53</v>
      </c>
      <c r="J1969" s="77" t="s">
        <v>8516</v>
      </c>
      <c r="K1969" s="77" t="s">
        <v>72</v>
      </c>
      <c r="L1969" s="76"/>
      <c r="M1969" s="76" t="s">
        <v>38</v>
      </c>
      <c r="N1969" s="76" t="s">
        <v>40</v>
      </c>
      <c r="O1969" s="76">
        <v>0</v>
      </c>
      <c r="P1969" s="76"/>
      <c r="Q1969" s="76"/>
      <c r="R1969" s="76"/>
      <c r="S1969" s="76"/>
      <c r="BD1969" s="99">
        <f t="shared" si="63"/>
        <v>0</v>
      </c>
      <c r="CC1969" s="99"/>
      <c r="CV1969" s="99"/>
      <c r="CW1969" s="63"/>
    </row>
    <row r="1970" spans="1:101" x14ac:dyDescent="0.15">
      <c r="A1970" s="76">
        <v>1844</v>
      </c>
      <c r="B1970" s="74" t="s">
        <v>1671</v>
      </c>
      <c r="C1970" s="74">
        <v>1033775576</v>
      </c>
      <c r="D1970" s="78" t="str">
        <f t="shared" si="64"/>
        <v>https://portal.dnb.de/opac.htm?method=simpleSearch&amp;cqlMode=true&amp;query=idn%3D1033775576</v>
      </c>
      <c r="E1970" s="74" t="s">
        <v>1672</v>
      </c>
      <c r="F1970" s="74"/>
      <c r="G1970" s="76"/>
      <c r="H1970" s="77"/>
      <c r="I1970" s="76"/>
      <c r="J1970" s="77"/>
      <c r="K1970" s="77"/>
      <c r="L1970" s="76"/>
      <c r="M1970" s="76"/>
      <c r="N1970" s="76"/>
      <c r="O1970" s="76"/>
      <c r="P1970" s="76"/>
      <c r="Q1970" s="76"/>
      <c r="R1970" s="76"/>
      <c r="S1970" s="76"/>
      <c r="BD1970" s="99">
        <f t="shared" si="63"/>
        <v>0</v>
      </c>
      <c r="CC1970" s="99"/>
      <c r="CV1970" s="99"/>
      <c r="CW1970" s="63"/>
    </row>
    <row r="1971" spans="1:101" ht="22.5" x14ac:dyDescent="0.15">
      <c r="A1971" s="76">
        <v>1845</v>
      </c>
      <c r="B1971" s="74" t="s">
        <v>1673</v>
      </c>
      <c r="C1971" s="74">
        <v>997064978</v>
      </c>
      <c r="D1971" s="78" t="str">
        <f t="shared" si="64"/>
        <v>https://portal.dnb.de/opac.htm?method=simpleSearch&amp;cqlMode=true&amp;query=idn%3D997064978</v>
      </c>
      <c r="E1971" s="74" t="s">
        <v>1672</v>
      </c>
      <c r="F1971" s="74"/>
      <c r="G1971" s="76"/>
      <c r="H1971" s="77" t="s">
        <v>4</v>
      </c>
      <c r="I1971" s="76" t="s">
        <v>53</v>
      </c>
      <c r="J1971" s="77" t="s">
        <v>8516</v>
      </c>
      <c r="K1971" s="77" t="s">
        <v>8647</v>
      </c>
      <c r="L1971" s="76"/>
      <c r="M1971" s="76" t="s">
        <v>36</v>
      </c>
      <c r="N1971" s="76" t="s">
        <v>39</v>
      </c>
      <c r="O1971" s="76">
        <v>0</v>
      </c>
      <c r="P1971" s="76"/>
      <c r="Q1971" s="76"/>
      <c r="R1971" s="76"/>
      <c r="S1971" s="76"/>
      <c r="Y1971" s="95" t="s">
        <v>9729</v>
      </c>
      <c r="AC1971" s="95" t="s">
        <v>9739</v>
      </c>
      <c r="AI1971" s="95" t="s">
        <v>9725</v>
      </c>
      <c r="AP1971" s="95" t="s">
        <v>8541</v>
      </c>
      <c r="AQ1971" s="96" t="s">
        <v>9752</v>
      </c>
      <c r="AR1971" s="95" t="s">
        <v>8541</v>
      </c>
      <c r="AW1971" s="95">
        <v>110</v>
      </c>
      <c r="BC1971" s="96" t="s">
        <v>9734</v>
      </c>
      <c r="BD1971" s="99">
        <f t="shared" si="63"/>
        <v>0</v>
      </c>
      <c r="BJ1971" s="95" t="s">
        <v>9741</v>
      </c>
      <c r="BK1971" s="95" t="s">
        <v>8541</v>
      </c>
      <c r="BM1971" s="69" t="s">
        <v>10007</v>
      </c>
      <c r="CC1971" s="99"/>
      <c r="CV1971" s="99"/>
      <c r="CW1971" s="63"/>
    </row>
    <row r="1972" spans="1:101" ht="22.5" x14ac:dyDescent="0.15">
      <c r="A1972" s="76">
        <v>1846</v>
      </c>
      <c r="B1972" s="74" t="s">
        <v>1674</v>
      </c>
      <c r="C1972" s="74">
        <v>1033775576</v>
      </c>
      <c r="D1972" s="78" t="str">
        <f t="shared" si="64"/>
        <v>https://portal.dnb.de/opac.htm?method=simpleSearch&amp;cqlMode=true&amp;query=idn%3D1033775576</v>
      </c>
      <c r="E1972" s="74" t="s">
        <v>1675</v>
      </c>
      <c r="F1972" s="74"/>
      <c r="G1972" s="76"/>
      <c r="H1972" s="77" t="s">
        <v>8547</v>
      </c>
      <c r="I1972" s="76" t="s">
        <v>53</v>
      </c>
      <c r="J1972" s="77" t="s">
        <v>8516</v>
      </c>
      <c r="K1972" s="77"/>
      <c r="L1972" s="76"/>
      <c r="M1972" s="76"/>
      <c r="N1972" s="76"/>
      <c r="O1972" s="76">
        <v>1</v>
      </c>
      <c r="P1972" s="76"/>
      <c r="Q1972" s="76" t="s">
        <v>9040</v>
      </c>
      <c r="R1972" s="76"/>
      <c r="S1972" s="76"/>
      <c r="BD1972" s="99">
        <f t="shared" si="63"/>
        <v>0</v>
      </c>
      <c r="CC1972" s="99"/>
      <c r="CV1972" s="99"/>
      <c r="CW1972" s="63"/>
    </row>
    <row r="1973" spans="1:101" ht="22.5" x14ac:dyDescent="0.15">
      <c r="A1973" s="76">
        <v>1847</v>
      </c>
      <c r="B1973" s="74" t="s">
        <v>1676</v>
      </c>
      <c r="C1973" s="74">
        <v>1066787727</v>
      </c>
      <c r="D1973" s="78" t="str">
        <f t="shared" si="64"/>
        <v>https://portal.dnb.de/opac.htm?method=simpleSearch&amp;cqlMode=true&amp;query=idn%3D1066787727</v>
      </c>
      <c r="E1973" s="74" t="s">
        <v>1677</v>
      </c>
      <c r="F1973" s="74"/>
      <c r="G1973" s="76" t="s">
        <v>8515</v>
      </c>
      <c r="H1973" s="77" t="s">
        <v>6</v>
      </c>
      <c r="I1973" s="76" t="s">
        <v>53</v>
      </c>
      <c r="J1973" s="77" t="s">
        <v>8516</v>
      </c>
      <c r="K1973" s="77" t="s">
        <v>8565</v>
      </c>
      <c r="L1973" s="76"/>
      <c r="M1973" s="76"/>
      <c r="N1973" s="76"/>
      <c r="O1973" s="76">
        <v>2</v>
      </c>
      <c r="P1973" s="76"/>
      <c r="Q1973" s="76"/>
      <c r="R1973" s="76"/>
      <c r="S1973" s="76"/>
      <c r="Y1973" s="95" t="s">
        <v>9735</v>
      </c>
      <c r="AA1973" s="95" t="s">
        <v>8541</v>
      </c>
      <c r="AC1973" s="95" t="s">
        <v>9739</v>
      </c>
      <c r="AI1973" s="95" t="s">
        <v>9725</v>
      </c>
      <c r="AW1973" s="95">
        <v>110</v>
      </c>
      <c r="BC1973" s="96" t="s">
        <v>9726</v>
      </c>
      <c r="BD1973" s="99">
        <f t="shared" si="63"/>
        <v>0.5</v>
      </c>
      <c r="BP1973" s="69" t="s">
        <v>8541</v>
      </c>
      <c r="BR1973" s="95" t="s">
        <v>8541</v>
      </c>
      <c r="BT1973" s="95" t="s">
        <v>9775</v>
      </c>
      <c r="BV1973" s="95" t="s">
        <v>8541</v>
      </c>
      <c r="CC1973" s="99">
        <v>0.5</v>
      </c>
      <c r="CD1973" s="90" t="s">
        <v>10076</v>
      </c>
      <c r="CV1973" s="99"/>
      <c r="CW1973" s="63"/>
    </row>
    <row r="1974" spans="1:101" x14ac:dyDescent="0.15">
      <c r="A1974" s="76">
        <v>1848</v>
      </c>
      <c r="B1974" s="74" t="s">
        <v>1678</v>
      </c>
      <c r="C1974" s="74">
        <v>1066931852</v>
      </c>
      <c r="D1974" s="78" t="str">
        <f t="shared" si="64"/>
        <v>https://portal.dnb.de/opac.htm?method=simpleSearch&amp;cqlMode=true&amp;query=idn%3D1066931852</v>
      </c>
      <c r="E1974" s="74" t="s">
        <v>1679</v>
      </c>
      <c r="F1974" s="74"/>
      <c r="G1974" s="76" t="s">
        <v>8515</v>
      </c>
      <c r="H1974" s="77" t="s">
        <v>5</v>
      </c>
      <c r="I1974" s="76" t="s">
        <v>53</v>
      </c>
      <c r="J1974" s="77" t="s">
        <v>58</v>
      </c>
      <c r="K1974" s="77" t="s">
        <v>84</v>
      </c>
      <c r="L1974" s="76"/>
      <c r="M1974" s="76"/>
      <c r="N1974" s="76"/>
      <c r="O1974" s="76">
        <v>2</v>
      </c>
      <c r="P1974" s="76"/>
      <c r="Q1974" s="76" t="s">
        <v>9040</v>
      </c>
      <c r="R1974" s="76"/>
      <c r="S1974" s="76"/>
      <c r="BD1974" s="99">
        <f t="shared" si="63"/>
        <v>0</v>
      </c>
      <c r="CC1974" s="99"/>
      <c r="CV1974" s="99"/>
      <c r="CW1974" s="63"/>
    </row>
    <row r="1975" spans="1:101" ht="22.5" x14ac:dyDescent="0.15">
      <c r="A1975" s="76">
        <v>1849</v>
      </c>
      <c r="B1975" s="74" t="s">
        <v>1680</v>
      </c>
      <c r="C1975" s="74">
        <v>1066859647</v>
      </c>
      <c r="D1975" s="78" t="str">
        <f t="shared" si="64"/>
        <v>https://portal.dnb.de/opac.htm?method=simpleSearch&amp;cqlMode=true&amp;query=idn%3D1066859647</v>
      </c>
      <c r="E1975" s="74" t="s">
        <v>1681</v>
      </c>
      <c r="F1975" s="74"/>
      <c r="G1975" s="76" t="s">
        <v>8515</v>
      </c>
      <c r="H1975" s="77" t="s">
        <v>4</v>
      </c>
      <c r="I1975" s="76" t="s">
        <v>53</v>
      </c>
      <c r="J1975" s="77" t="s">
        <v>8516</v>
      </c>
      <c r="K1975" s="77" t="s">
        <v>8565</v>
      </c>
      <c r="L1975" s="76"/>
      <c r="M1975" s="76"/>
      <c r="N1975" s="76"/>
      <c r="O1975" s="76">
        <v>0</v>
      </c>
      <c r="P1975" s="76"/>
      <c r="Q1975" s="76"/>
      <c r="R1975" s="76"/>
      <c r="S1975" s="76"/>
      <c r="BD1975" s="99">
        <f t="shared" si="63"/>
        <v>0</v>
      </c>
      <c r="CC1975" s="99"/>
      <c r="CV1975" s="99"/>
      <c r="CW1975" s="63"/>
    </row>
    <row r="1976" spans="1:101" ht="22.5" x14ac:dyDescent="0.15">
      <c r="A1976" s="76">
        <v>1850</v>
      </c>
      <c r="B1976" s="74" t="s">
        <v>1682</v>
      </c>
      <c r="C1976" s="74">
        <v>1066836981</v>
      </c>
      <c r="D1976" s="78" t="str">
        <f t="shared" si="64"/>
        <v>https://portal.dnb.de/opac.htm?method=simpleSearch&amp;cqlMode=true&amp;query=idn%3D1066836981</v>
      </c>
      <c r="E1976" s="74" t="s">
        <v>1683</v>
      </c>
      <c r="F1976" s="74"/>
      <c r="G1976" s="76" t="s">
        <v>8515</v>
      </c>
      <c r="H1976" s="77" t="s">
        <v>8547</v>
      </c>
      <c r="I1976" s="76" t="s">
        <v>54</v>
      </c>
      <c r="J1976" s="77" t="s">
        <v>58</v>
      </c>
      <c r="K1976" s="77" t="s">
        <v>8520</v>
      </c>
      <c r="L1976" s="76"/>
      <c r="M1976" s="76" t="s">
        <v>37</v>
      </c>
      <c r="N1976" s="76" t="s">
        <v>40</v>
      </c>
      <c r="O1976" s="76">
        <v>1</v>
      </c>
      <c r="P1976" s="76"/>
      <c r="Q1976" s="76"/>
      <c r="R1976" s="76"/>
      <c r="S1976" s="76"/>
      <c r="BD1976" s="99">
        <f t="shared" si="63"/>
        <v>0</v>
      </c>
      <c r="CC1976" s="99"/>
      <c r="CV1976" s="99"/>
      <c r="CW1976" s="63"/>
    </row>
    <row r="1977" spans="1:101" x14ac:dyDescent="0.15">
      <c r="A1977" s="76">
        <v>1851</v>
      </c>
      <c r="B1977" s="74" t="s">
        <v>1784</v>
      </c>
      <c r="C1977" s="74">
        <v>1066935815</v>
      </c>
      <c r="D1977" s="78" t="str">
        <f t="shared" si="64"/>
        <v>https://portal.dnb.de/opac.htm?method=simpleSearch&amp;cqlMode=true&amp;query=idn%3D1066935815</v>
      </c>
      <c r="E1977" s="74" t="s">
        <v>1785</v>
      </c>
      <c r="F1977" s="74"/>
      <c r="G1977" s="76" t="s">
        <v>8515</v>
      </c>
      <c r="H1977" s="77" t="s">
        <v>4</v>
      </c>
      <c r="I1977" s="76" t="s">
        <v>53</v>
      </c>
      <c r="J1977" s="77" t="s">
        <v>8516</v>
      </c>
      <c r="K1977" s="77" t="s">
        <v>8520</v>
      </c>
      <c r="L1977" s="76"/>
      <c r="M1977" s="76"/>
      <c r="N1977" s="76"/>
      <c r="O1977" s="76">
        <v>2</v>
      </c>
      <c r="P1977" s="76"/>
      <c r="Q1977" s="76"/>
      <c r="R1977" s="76"/>
      <c r="S1977" s="76"/>
      <c r="BD1977" s="99">
        <f t="shared" si="63"/>
        <v>0</v>
      </c>
      <c r="CC1977" s="99"/>
      <c r="CV1977" s="99"/>
      <c r="CW1977" s="63"/>
    </row>
    <row r="1978" spans="1:101" ht="22.5" x14ac:dyDescent="0.15">
      <c r="A1978" s="76">
        <v>1852</v>
      </c>
      <c r="B1978" s="74" t="s">
        <v>1789</v>
      </c>
      <c r="C1978" s="74">
        <v>1066778140</v>
      </c>
      <c r="D1978" s="78" t="str">
        <f t="shared" si="64"/>
        <v>https://portal.dnb.de/opac.htm?method=simpleSearch&amp;cqlMode=true&amp;query=idn%3D1066778140</v>
      </c>
      <c r="E1978" s="74" t="s">
        <v>1790</v>
      </c>
      <c r="F1978" s="74"/>
      <c r="G1978" s="76" t="s">
        <v>8515</v>
      </c>
      <c r="H1978" s="77" t="s">
        <v>17</v>
      </c>
      <c r="I1978" s="76" t="s">
        <v>53</v>
      </c>
      <c r="J1978" s="77" t="s">
        <v>8516</v>
      </c>
      <c r="K1978" s="77" t="s">
        <v>9055</v>
      </c>
      <c r="L1978" s="76"/>
      <c r="M1978" s="76"/>
      <c r="N1978" s="76"/>
      <c r="O1978" s="76">
        <v>0</v>
      </c>
      <c r="P1978" s="76"/>
      <c r="Q1978" s="76"/>
      <c r="R1978" s="76"/>
      <c r="S1978" s="76"/>
      <c r="BD1978" s="99">
        <f t="shared" si="63"/>
        <v>0</v>
      </c>
      <c r="CC1978" s="99"/>
      <c r="CV1978" s="99"/>
      <c r="CW1978" s="63"/>
    </row>
    <row r="1979" spans="1:101" ht="22.5" x14ac:dyDescent="0.15">
      <c r="A1979" s="76">
        <v>1853</v>
      </c>
      <c r="B1979" s="74" t="s">
        <v>1791</v>
      </c>
      <c r="C1979" s="74">
        <v>1066849943</v>
      </c>
      <c r="D1979" s="78" t="str">
        <f t="shared" si="64"/>
        <v>https://portal.dnb.de/opac.htm?method=simpleSearch&amp;cqlMode=true&amp;query=idn%3D1066849943</v>
      </c>
      <c r="E1979" s="74" t="s">
        <v>1792</v>
      </c>
      <c r="F1979" s="74"/>
      <c r="G1979" s="76"/>
      <c r="H1979" s="77"/>
      <c r="I1979" s="76" t="s">
        <v>53</v>
      </c>
      <c r="J1979" s="77"/>
      <c r="K1979" s="77"/>
      <c r="L1979" s="76"/>
      <c r="M1979" s="76"/>
      <c r="N1979" s="76"/>
      <c r="O1979" s="76"/>
      <c r="P1979" s="76"/>
      <c r="Q1979" s="76"/>
      <c r="R1979" s="76"/>
      <c r="S1979" s="76"/>
      <c r="Y1979" s="95" t="s">
        <v>9735</v>
      </c>
      <c r="AA1979" s="95" t="s">
        <v>8541</v>
      </c>
      <c r="AC1979" s="95" t="s">
        <v>9739</v>
      </c>
      <c r="AI1979" s="95" t="s">
        <v>9725</v>
      </c>
      <c r="AW1979" s="95">
        <v>80</v>
      </c>
      <c r="BC1979" s="96" t="s">
        <v>9726</v>
      </c>
      <c r="BD1979" s="99">
        <f t="shared" si="63"/>
        <v>1</v>
      </c>
      <c r="BH1979" s="95" t="s">
        <v>8541</v>
      </c>
      <c r="BP1979" s="69" t="s">
        <v>8541</v>
      </c>
      <c r="BT1979" s="95" t="s">
        <v>9772</v>
      </c>
      <c r="BV1979" s="95" t="s">
        <v>8541</v>
      </c>
      <c r="CC1979" s="99">
        <v>1</v>
      </c>
      <c r="CD1979" s="90" t="s">
        <v>10077</v>
      </c>
      <c r="CV1979" s="99"/>
      <c r="CW1979" s="63"/>
    </row>
    <row r="1980" spans="1:101" x14ac:dyDescent="0.15">
      <c r="A1980" s="76">
        <v>1854</v>
      </c>
      <c r="B1980" s="74" t="s">
        <v>1829</v>
      </c>
      <c r="C1980" s="74">
        <v>1066939845</v>
      </c>
      <c r="D1980" s="78" t="str">
        <f t="shared" si="64"/>
        <v>https://portal.dnb.de/opac.htm?method=simpleSearch&amp;cqlMode=true&amp;query=idn%3D1066939845</v>
      </c>
      <c r="E1980" s="74" t="s">
        <v>1830</v>
      </c>
      <c r="F1980" s="74"/>
      <c r="G1980" s="76"/>
      <c r="H1980" s="77"/>
      <c r="I1980" s="76"/>
      <c r="J1980" s="77"/>
      <c r="K1980" s="77"/>
      <c r="L1980" s="76"/>
      <c r="M1980" s="76"/>
      <c r="N1980" s="76"/>
      <c r="O1980" s="76"/>
      <c r="P1980" s="76"/>
      <c r="Q1980" s="76"/>
      <c r="R1980" s="76"/>
      <c r="S1980" s="76"/>
      <c r="BD1980" s="99">
        <f t="shared" si="63"/>
        <v>0</v>
      </c>
      <c r="CC1980" s="99"/>
      <c r="CV1980" s="99"/>
      <c r="CW1980" s="63"/>
    </row>
    <row r="1981" spans="1:101" x14ac:dyDescent="0.15">
      <c r="A1981" s="76">
        <v>1855</v>
      </c>
      <c r="B1981" s="74" t="s">
        <v>1904</v>
      </c>
      <c r="C1981" s="74">
        <v>1066791155</v>
      </c>
      <c r="D1981" s="78" t="str">
        <f t="shared" si="64"/>
        <v>https://portal.dnb.de/opac.htm?method=simpleSearch&amp;cqlMode=true&amp;query=idn%3D1066791155</v>
      </c>
      <c r="E1981" s="74" t="s">
        <v>1905</v>
      </c>
      <c r="F1981" s="74"/>
      <c r="G1981" s="76"/>
      <c r="H1981" s="77"/>
      <c r="I1981" s="76"/>
      <c r="J1981" s="77"/>
      <c r="K1981" s="77"/>
      <c r="L1981" s="76"/>
      <c r="M1981" s="76"/>
      <c r="N1981" s="76"/>
      <c r="O1981" s="76"/>
      <c r="P1981" s="76"/>
      <c r="Q1981" s="76"/>
      <c r="R1981" s="76"/>
      <c r="S1981" s="76"/>
      <c r="BD1981" s="99">
        <f t="shared" si="63"/>
        <v>0</v>
      </c>
      <c r="CC1981" s="99"/>
      <c r="CV1981" s="99"/>
      <c r="CW1981" s="63"/>
    </row>
    <row r="1982" spans="1:101" x14ac:dyDescent="0.15">
      <c r="A1982" s="76">
        <v>1856</v>
      </c>
      <c r="B1982" s="74" t="s">
        <v>1910</v>
      </c>
      <c r="C1982" s="74" t="s">
        <v>1911</v>
      </c>
      <c r="D1982" s="78" t="str">
        <f t="shared" si="64"/>
        <v>https://portal.dnb.de/opac.htm?method=simpleSearch&amp;cqlMode=true&amp;query=idn%3D106687462X</v>
      </c>
      <c r="E1982" s="74" t="s">
        <v>1912</v>
      </c>
      <c r="F1982" s="74"/>
      <c r="G1982" s="76"/>
      <c r="H1982" s="77"/>
      <c r="I1982" s="76"/>
      <c r="J1982" s="77"/>
      <c r="K1982" s="77"/>
      <c r="L1982" s="76"/>
      <c r="M1982" s="76"/>
      <c r="N1982" s="76"/>
      <c r="O1982" s="76"/>
      <c r="P1982" s="76"/>
      <c r="Q1982" s="76"/>
      <c r="R1982" s="76"/>
      <c r="S1982" s="76"/>
      <c r="BD1982" s="99">
        <f t="shared" si="63"/>
        <v>0</v>
      </c>
      <c r="CC1982" s="99"/>
      <c r="CV1982" s="99"/>
      <c r="CW1982" s="63"/>
    </row>
    <row r="1983" spans="1:101" x14ac:dyDescent="0.15">
      <c r="A1983" s="76">
        <v>1857</v>
      </c>
      <c r="B1983" s="74" t="s">
        <v>1919</v>
      </c>
      <c r="C1983" s="74">
        <v>1066931925</v>
      </c>
      <c r="D1983" s="78" t="str">
        <f t="shared" si="64"/>
        <v>https://portal.dnb.de/opac.htm?method=simpleSearch&amp;cqlMode=true&amp;query=idn%3D1066931925</v>
      </c>
      <c r="E1983" s="74" t="s">
        <v>1920</v>
      </c>
      <c r="F1983" s="74"/>
      <c r="G1983" s="76"/>
      <c r="H1983" s="77"/>
      <c r="I1983" s="76"/>
      <c r="J1983" s="77"/>
      <c r="K1983" s="77"/>
      <c r="L1983" s="76"/>
      <c r="M1983" s="76"/>
      <c r="N1983" s="76"/>
      <c r="O1983" s="76"/>
      <c r="P1983" s="76"/>
      <c r="Q1983" s="76"/>
      <c r="R1983" s="76"/>
      <c r="S1983" s="76"/>
      <c r="BD1983" s="99">
        <f t="shared" si="63"/>
        <v>0</v>
      </c>
      <c r="CC1983" s="99"/>
      <c r="CV1983" s="99"/>
      <c r="CW1983" s="63"/>
    </row>
    <row r="1984" spans="1:101" ht="22.5" x14ac:dyDescent="0.15">
      <c r="A1984" s="76">
        <v>1858</v>
      </c>
      <c r="B1984" s="74" t="s">
        <v>1949</v>
      </c>
      <c r="C1984" s="74">
        <v>11925736</v>
      </c>
      <c r="D1984" s="78" t="str">
        <f t="shared" si="64"/>
        <v>https://portal.dnb.de/opac.htm?method=simpleSearch&amp;cqlMode=true&amp;query=idn%3D11925736</v>
      </c>
      <c r="E1984" s="74" t="s">
        <v>9057</v>
      </c>
      <c r="F1984" s="74"/>
      <c r="G1984" s="76"/>
      <c r="H1984" s="77" t="s">
        <v>49</v>
      </c>
      <c r="I1984" s="76" t="s">
        <v>53</v>
      </c>
      <c r="J1984" s="77" t="s">
        <v>8516</v>
      </c>
      <c r="K1984" s="77" t="s">
        <v>8565</v>
      </c>
      <c r="L1984" s="76"/>
      <c r="M1984" s="76"/>
      <c r="N1984" s="76"/>
      <c r="O1984" s="76">
        <v>0</v>
      </c>
      <c r="P1984" s="76"/>
      <c r="Q1984" s="76"/>
      <c r="R1984" s="76"/>
      <c r="S1984" s="76"/>
      <c r="BD1984" s="99">
        <f t="shared" si="63"/>
        <v>0</v>
      </c>
      <c r="CC1984" s="99"/>
      <c r="CV1984" s="99"/>
      <c r="CW1984" s="63"/>
    </row>
    <row r="1985" spans="1:101" ht="22.5" x14ac:dyDescent="0.15">
      <c r="A1985" s="76"/>
      <c r="B1985" s="74"/>
      <c r="C1985" s="74"/>
      <c r="D1985" s="78"/>
      <c r="E1985" s="74" t="s">
        <v>9058</v>
      </c>
      <c r="F1985" s="74"/>
      <c r="G1985" s="76"/>
      <c r="H1985" s="77" t="s">
        <v>49</v>
      </c>
      <c r="I1985" s="76" t="s">
        <v>53</v>
      </c>
      <c r="J1985" s="77" t="s">
        <v>8516</v>
      </c>
      <c r="K1985" s="77" t="s">
        <v>8565</v>
      </c>
      <c r="L1985" s="76"/>
      <c r="M1985" s="76"/>
      <c r="N1985" s="76"/>
      <c r="O1985" s="76">
        <v>1</v>
      </c>
      <c r="P1985" s="76"/>
      <c r="Q1985" s="76"/>
      <c r="R1985" s="76"/>
      <c r="S1985" s="76"/>
      <c r="BD1985" s="99">
        <f t="shared" si="63"/>
        <v>0</v>
      </c>
      <c r="CC1985" s="99"/>
      <c r="CV1985" s="99"/>
      <c r="CW1985" s="63"/>
    </row>
    <row r="1986" spans="1:101" x14ac:dyDescent="0.15">
      <c r="A1986" s="76">
        <v>1859</v>
      </c>
      <c r="B1986" s="74" t="s">
        <v>1958</v>
      </c>
      <c r="C1986" s="74">
        <v>999208810</v>
      </c>
      <c r="D1986" s="78" t="str">
        <f t="shared" si="64"/>
        <v>https://portal.dnb.de/opac.htm?method=simpleSearch&amp;cqlMode=true&amp;query=idn%3D999208810</v>
      </c>
      <c r="E1986" s="74" t="s">
        <v>1959</v>
      </c>
      <c r="F1986" s="74"/>
      <c r="G1986" s="76"/>
      <c r="H1986" s="77"/>
      <c r="I1986" s="76"/>
      <c r="J1986" s="77"/>
      <c r="K1986" s="77"/>
      <c r="L1986" s="76"/>
      <c r="M1986" s="76"/>
      <c r="N1986" s="76"/>
      <c r="O1986" s="76"/>
      <c r="P1986" s="76"/>
      <c r="Q1986" s="76"/>
      <c r="R1986" s="76"/>
      <c r="S1986" s="76"/>
      <c r="BD1986" s="99">
        <f t="shared" si="63"/>
        <v>0</v>
      </c>
      <c r="CC1986" s="99"/>
      <c r="CV1986" s="99"/>
      <c r="CW1986" s="63"/>
    </row>
    <row r="1987" spans="1:101" x14ac:dyDescent="0.15">
      <c r="A1987" s="76">
        <v>1860</v>
      </c>
      <c r="B1987" s="74" t="s">
        <v>1960</v>
      </c>
      <c r="C1987" s="74">
        <v>998939765</v>
      </c>
      <c r="D1987" s="78" t="str">
        <f t="shared" si="64"/>
        <v>https://portal.dnb.de/opac.htm?method=simpleSearch&amp;cqlMode=true&amp;query=idn%3D998939765</v>
      </c>
      <c r="E1987" s="74" t="s">
        <v>1959</v>
      </c>
      <c r="F1987" s="74"/>
      <c r="G1987" s="76"/>
      <c r="H1987" s="77"/>
      <c r="I1987" s="76"/>
      <c r="J1987" s="77"/>
      <c r="K1987" s="77"/>
      <c r="L1987" s="76"/>
      <c r="M1987" s="76"/>
      <c r="N1987" s="76"/>
      <c r="O1987" s="76"/>
      <c r="P1987" s="76"/>
      <c r="Q1987" s="76"/>
      <c r="R1987" s="76"/>
      <c r="S1987" s="76"/>
      <c r="BD1987" s="99">
        <f t="shared" ref="BD1987:BD2050" si="65">CC1987+CV1987</f>
        <v>0</v>
      </c>
      <c r="CC1987" s="99"/>
      <c r="CV1987" s="99"/>
      <c r="CW1987" s="63"/>
    </row>
    <row r="1988" spans="1:101" x14ac:dyDescent="0.15">
      <c r="A1988" s="76">
        <v>1861</v>
      </c>
      <c r="B1988" s="74" t="s">
        <v>1961</v>
      </c>
      <c r="C1988" s="74">
        <v>995616817</v>
      </c>
      <c r="D1988" s="78" t="str">
        <f t="shared" si="64"/>
        <v>https://portal.dnb.de/opac.htm?method=simpleSearch&amp;cqlMode=true&amp;query=idn%3D995616817</v>
      </c>
      <c r="E1988" s="74" t="s">
        <v>1959</v>
      </c>
      <c r="F1988" s="74"/>
      <c r="G1988" s="76"/>
      <c r="H1988" s="77"/>
      <c r="I1988" s="76"/>
      <c r="J1988" s="77"/>
      <c r="K1988" s="77"/>
      <c r="L1988" s="76"/>
      <c r="M1988" s="76"/>
      <c r="N1988" s="76"/>
      <c r="O1988" s="76"/>
      <c r="P1988" s="76"/>
      <c r="Q1988" s="76"/>
      <c r="R1988" s="76"/>
      <c r="S1988" s="76"/>
      <c r="BD1988" s="99">
        <f t="shared" si="65"/>
        <v>0</v>
      </c>
      <c r="CC1988" s="99"/>
      <c r="CV1988" s="99"/>
      <c r="CW1988" s="63"/>
    </row>
    <row r="1989" spans="1:101" x14ac:dyDescent="0.15">
      <c r="A1989" s="76">
        <v>1862</v>
      </c>
      <c r="B1989" s="74" t="s">
        <v>1962</v>
      </c>
      <c r="C1989" s="74">
        <v>1002071879</v>
      </c>
      <c r="D1989" s="78" t="str">
        <f t="shared" si="64"/>
        <v>https://portal.dnb.de/opac.htm?method=simpleSearch&amp;cqlMode=true&amp;query=idn%3D1002071879</v>
      </c>
      <c r="E1989" s="74" t="s">
        <v>1959</v>
      </c>
      <c r="F1989" s="74"/>
      <c r="G1989" s="76"/>
      <c r="H1989" s="77" t="s">
        <v>49</v>
      </c>
      <c r="I1989" s="76" t="s">
        <v>53</v>
      </c>
      <c r="J1989" s="77" t="s">
        <v>8516</v>
      </c>
      <c r="K1989" s="77" t="s">
        <v>62</v>
      </c>
      <c r="L1989" s="76"/>
      <c r="M1989" s="76" t="s">
        <v>36</v>
      </c>
      <c r="N1989" s="76" t="s">
        <v>39</v>
      </c>
      <c r="O1989" s="76">
        <v>0</v>
      </c>
      <c r="P1989" s="76"/>
      <c r="Q1989" s="76"/>
      <c r="R1989" s="76"/>
      <c r="S1989" s="76"/>
      <c r="BD1989" s="99">
        <f t="shared" si="65"/>
        <v>0</v>
      </c>
      <c r="CC1989" s="99"/>
      <c r="CV1989" s="99"/>
      <c r="CW1989" s="63"/>
    </row>
    <row r="1990" spans="1:101" x14ac:dyDescent="0.15">
      <c r="A1990" s="76">
        <v>1863</v>
      </c>
      <c r="B1990" s="74" t="s">
        <v>1963</v>
      </c>
      <c r="C1990" s="74">
        <v>1003260497</v>
      </c>
      <c r="D1990" s="78" t="str">
        <f t="shared" si="64"/>
        <v>https://portal.dnb.de/opac.htm?method=simpleSearch&amp;cqlMode=true&amp;query=idn%3D1003260497</v>
      </c>
      <c r="E1990" s="74" t="s">
        <v>1959</v>
      </c>
      <c r="F1990" s="74"/>
      <c r="G1990" s="76"/>
      <c r="H1990" s="77"/>
      <c r="I1990" s="76"/>
      <c r="J1990" s="77"/>
      <c r="K1990" s="77"/>
      <c r="L1990" s="76"/>
      <c r="M1990" s="76"/>
      <c r="N1990" s="76"/>
      <c r="O1990" s="76"/>
      <c r="P1990" s="76"/>
      <c r="Q1990" s="76"/>
      <c r="R1990" s="76"/>
      <c r="S1990" s="76"/>
      <c r="BD1990" s="99">
        <f t="shared" si="65"/>
        <v>0</v>
      </c>
      <c r="CC1990" s="99"/>
      <c r="CV1990" s="99"/>
      <c r="CW1990" s="63"/>
    </row>
    <row r="1991" spans="1:101" x14ac:dyDescent="0.15">
      <c r="A1991" s="76">
        <v>1864</v>
      </c>
      <c r="B1991" s="74" t="s">
        <v>1964</v>
      </c>
      <c r="C1991" s="74">
        <v>997425717</v>
      </c>
      <c r="D1991" s="78" t="str">
        <f t="shared" si="64"/>
        <v>https://portal.dnb.de/opac.htm?method=simpleSearch&amp;cqlMode=true&amp;query=idn%3D997425717</v>
      </c>
      <c r="E1991" s="74" t="s">
        <v>1965</v>
      </c>
      <c r="F1991" s="74"/>
      <c r="G1991" s="76"/>
      <c r="H1991" s="77" t="s">
        <v>4</v>
      </c>
      <c r="I1991" s="76" t="s">
        <v>53</v>
      </c>
      <c r="J1991" s="77" t="s">
        <v>8516</v>
      </c>
      <c r="K1991" s="77" t="s">
        <v>62</v>
      </c>
      <c r="L1991" s="76"/>
      <c r="M1991" s="76" t="s">
        <v>36</v>
      </c>
      <c r="N1991" s="76" t="s">
        <v>39</v>
      </c>
      <c r="O1991" s="76">
        <v>1</v>
      </c>
      <c r="P1991" s="76"/>
      <c r="Q1991" s="76"/>
      <c r="R1991" s="76"/>
      <c r="S1991" s="76"/>
      <c r="BD1991" s="99">
        <f t="shared" si="65"/>
        <v>0</v>
      </c>
      <c r="CC1991" s="99"/>
      <c r="CV1991" s="99"/>
      <c r="CW1991" s="63"/>
    </row>
    <row r="1992" spans="1:101" x14ac:dyDescent="0.15">
      <c r="A1992" s="76">
        <v>1865</v>
      </c>
      <c r="B1992" s="74" t="s">
        <v>1966</v>
      </c>
      <c r="C1992" s="74">
        <v>997425768</v>
      </c>
      <c r="D1992" s="78" t="str">
        <f t="shared" si="64"/>
        <v>https://portal.dnb.de/opac.htm?method=simpleSearch&amp;cqlMode=true&amp;query=idn%3D997425768</v>
      </c>
      <c r="E1992" s="74" t="s">
        <v>1965</v>
      </c>
      <c r="F1992" s="74"/>
      <c r="G1992" s="76"/>
      <c r="H1992" s="77"/>
      <c r="I1992" s="76"/>
      <c r="J1992" s="77"/>
      <c r="K1992" s="77"/>
      <c r="L1992" s="76"/>
      <c r="M1992" s="76"/>
      <c r="N1992" s="76"/>
      <c r="O1992" s="76"/>
      <c r="P1992" s="76"/>
      <c r="Q1992" s="76"/>
      <c r="R1992" s="76"/>
      <c r="S1992" s="76"/>
      <c r="BD1992" s="99">
        <f t="shared" si="65"/>
        <v>0</v>
      </c>
      <c r="CC1992" s="99"/>
      <c r="CV1992" s="99"/>
      <c r="CW1992" s="63"/>
    </row>
    <row r="1993" spans="1:101" x14ac:dyDescent="0.15">
      <c r="A1993" s="76">
        <v>1866</v>
      </c>
      <c r="B1993" s="74" t="s">
        <v>1967</v>
      </c>
      <c r="C1993" s="74">
        <v>994385676</v>
      </c>
      <c r="D1993" s="78" t="str">
        <f t="shared" si="64"/>
        <v>https://portal.dnb.de/opac.htm?method=simpleSearch&amp;cqlMode=true&amp;query=idn%3D994385676</v>
      </c>
      <c r="E1993" s="74" t="s">
        <v>1968</v>
      </c>
      <c r="F1993" s="74"/>
      <c r="G1993" s="76" t="s">
        <v>8515</v>
      </c>
      <c r="H1993" s="77" t="s">
        <v>48</v>
      </c>
      <c r="I1993" s="76" t="s">
        <v>54</v>
      </c>
      <c r="J1993" s="77" t="s">
        <v>8516</v>
      </c>
      <c r="K1993" s="77"/>
      <c r="L1993" s="76"/>
      <c r="M1993" s="76"/>
      <c r="N1993" s="76"/>
      <c r="O1993" s="76">
        <v>0</v>
      </c>
      <c r="P1993" s="76"/>
      <c r="Q1993" s="76"/>
      <c r="R1993" s="76"/>
      <c r="S1993" s="76"/>
      <c r="BD1993" s="99">
        <f t="shared" si="65"/>
        <v>0</v>
      </c>
      <c r="CC1993" s="99"/>
      <c r="CV1993" s="99"/>
      <c r="CW1993" s="63"/>
    </row>
    <row r="1994" spans="1:101" ht="22.5" x14ac:dyDescent="0.15">
      <c r="A1994" s="76"/>
      <c r="B1994" s="74"/>
      <c r="C1994" s="74"/>
      <c r="D1994" s="78"/>
      <c r="E1994" s="74" t="s">
        <v>9056</v>
      </c>
      <c r="F1994" s="74"/>
      <c r="G1994" s="76" t="s">
        <v>8515</v>
      </c>
      <c r="H1994" s="77" t="s">
        <v>18</v>
      </c>
      <c r="I1994" s="76" t="s">
        <v>53</v>
      </c>
      <c r="J1994" s="77" t="s">
        <v>58</v>
      </c>
      <c r="K1994" s="77" t="s">
        <v>8785</v>
      </c>
      <c r="L1994" s="76"/>
      <c r="M1994" s="76" t="s">
        <v>38</v>
      </c>
      <c r="N1994" s="76" t="s">
        <v>40</v>
      </c>
      <c r="O1994" s="76">
        <v>0</v>
      </c>
      <c r="P1994" s="76"/>
      <c r="Q1994" s="76"/>
      <c r="R1994" s="76"/>
      <c r="S1994" s="76"/>
      <c r="BD1994" s="99">
        <f t="shared" si="65"/>
        <v>0</v>
      </c>
      <c r="CC1994" s="99"/>
      <c r="CV1994" s="99"/>
      <c r="CW1994" s="63"/>
    </row>
    <row r="1995" spans="1:101" x14ac:dyDescent="0.15">
      <c r="A1995" s="76">
        <v>1867</v>
      </c>
      <c r="B1995" s="74" t="s">
        <v>1793</v>
      </c>
      <c r="C1995" s="74">
        <v>997044063</v>
      </c>
      <c r="D1995" s="78" t="str">
        <f t="shared" si="64"/>
        <v>https://portal.dnb.de/opac.htm?method=simpleSearch&amp;cqlMode=true&amp;query=idn%3D997044063</v>
      </c>
      <c r="E1995" s="74" t="s">
        <v>1794</v>
      </c>
      <c r="F1995" s="74"/>
      <c r="G1995" s="76"/>
      <c r="H1995" s="77" t="s">
        <v>48</v>
      </c>
      <c r="I1995" s="76" t="s">
        <v>53</v>
      </c>
      <c r="J1995" s="77" t="s">
        <v>8516</v>
      </c>
      <c r="K1995" s="77" t="s">
        <v>84</v>
      </c>
      <c r="L1995" s="76"/>
      <c r="M1995" s="76"/>
      <c r="N1995" s="76"/>
      <c r="O1995" s="76">
        <v>1</v>
      </c>
      <c r="P1995" s="76"/>
      <c r="Q1995" s="76"/>
      <c r="R1995" s="76"/>
      <c r="S1995" s="76"/>
      <c r="BD1995" s="99">
        <f t="shared" si="65"/>
        <v>0</v>
      </c>
      <c r="CC1995" s="99"/>
      <c r="CV1995" s="99"/>
      <c r="CW1995" s="63"/>
    </row>
    <row r="1996" spans="1:101" x14ac:dyDescent="0.15">
      <c r="A1996" s="76">
        <v>1868</v>
      </c>
      <c r="B1996" s="74" t="s">
        <v>1795</v>
      </c>
      <c r="C1996" s="74">
        <v>993921124</v>
      </c>
      <c r="D1996" s="78" t="str">
        <f t="shared" si="64"/>
        <v>https://portal.dnb.de/opac.htm?method=simpleSearch&amp;cqlMode=true&amp;query=idn%3D993921124</v>
      </c>
      <c r="E1996" s="74" t="s">
        <v>1796</v>
      </c>
      <c r="F1996" s="74"/>
      <c r="G1996" s="76"/>
      <c r="H1996" s="77" t="s">
        <v>49</v>
      </c>
      <c r="I1996" s="76" t="s">
        <v>53</v>
      </c>
      <c r="J1996" s="77" t="s">
        <v>8516</v>
      </c>
      <c r="K1996" s="77"/>
      <c r="L1996" s="76"/>
      <c r="M1996" s="76"/>
      <c r="N1996" s="76"/>
      <c r="O1996" s="76">
        <v>1</v>
      </c>
      <c r="P1996" s="76"/>
      <c r="Q1996" s="76"/>
      <c r="R1996" s="76"/>
      <c r="S1996" s="76"/>
      <c r="BD1996" s="99">
        <f t="shared" si="65"/>
        <v>0</v>
      </c>
      <c r="CC1996" s="99"/>
      <c r="CV1996" s="99"/>
      <c r="CW1996" s="63"/>
    </row>
    <row r="1997" spans="1:101" ht="33.75" x14ac:dyDescent="0.15">
      <c r="A1997" s="76">
        <v>1869</v>
      </c>
      <c r="B1997" s="74" t="s">
        <v>1797</v>
      </c>
      <c r="C1997" s="74">
        <v>1000418057</v>
      </c>
      <c r="D1997" s="78" t="str">
        <f t="shared" si="64"/>
        <v>https://portal.dnb.de/opac.htm?method=simpleSearch&amp;cqlMode=true&amp;query=idn%3D1000418057</v>
      </c>
      <c r="E1997" s="74" t="s">
        <v>1798</v>
      </c>
      <c r="F1997" s="74"/>
      <c r="G1997" s="76" t="s">
        <v>8515</v>
      </c>
      <c r="H1997" s="77" t="s">
        <v>4</v>
      </c>
      <c r="I1997" s="76" t="s">
        <v>53</v>
      </c>
      <c r="J1997" s="77" t="s">
        <v>8516</v>
      </c>
      <c r="K1997" s="77" t="s">
        <v>8667</v>
      </c>
      <c r="L1997" s="76"/>
      <c r="M1997" s="76"/>
      <c r="N1997" s="76"/>
      <c r="O1997" s="76">
        <v>1</v>
      </c>
      <c r="P1997" s="76"/>
      <c r="Q1997" s="76"/>
      <c r="R1997" s="76"/>
      <c r="S1997" s="76"/>
      <c r="BD1997" s="99">
        <f t="shared" si="65"/>
        <v>0</v>
      </c>
      <c r="CC1997" s="99"/>
      <c r="CV1997" s="99"/>
      <c r="CW1997" s="63"/>
    </row>
    <row r="1998" spans="1:101" x14ac:dyDescent="0.15">
      <c r="A1998" s="76">
        <v>1870</v>
      </c>
      <c r="B1998" s="74" t="s">
        <v>1799</v>
      </c>
      <c r="C1998" s="74">
        <v>998493597</v>
      </c>
      <c r="D1998" s="78" t="str">
        <f t="shared" si="64"/>
        <v>https://portal.dnb.de/opac.htm?method=simpleSearch&amp;cqlMode=true&amp;query=idn%3D998493597</v>
      </c>
      <c r="E1998" s="74" t="s">
        <v>1800</v>
      </c>
      <c r="F1998" s="74"/>
      <c r="G1998" s="76" t="s">
        <v>8515</v>
      </c>
      <c r="H1998" s="77" t="s">
        <v>47</v>
      </c>
      <c r="I1998" s="76" t="s">
        <v>53</v>
      </c>
      <c r="J1998" s="77" t="s">
        <v>58</v>
      </c>
      <c r="K1998" s="77"/>
      <c r="L1998" s="76"/>
      <c r="M1998" s="76"/>
      <c r="N1998" s="76"/>
      <c r="O1998" s="76">
        <v>0</v>
      </c>
      <c r="P1998" s="76"/>
      <c r="Q1998" s="76"/>
      <c r="R1998" s="76"/>
      <c r="S1998" s="76"/>
      <c r="BD1998" s="99">
        <f t="shared" si="65"/>
        <v>0</v>
      </c>
      <c r="CC1998" s="99"/>
      <c r="CV1998" s="99"/>
      <c r="CW1998" s="63"/>
    </row>
    <row r="1999" spans="1:101" ht="22.5" x14ac:dyDescent="0.15">
      <c r="A1999" s="76">
        <v>1871</v>
      </c>
      <c r="B1999" s="74" t="s">
        <v>1801</v>
      </c>
      <c r="C1999" s="74">
        <v>1000496260</v>
      </c>
      <c r="D1999" s="78" t="str">
        <f t="shared" si="64"/>
        <v>https://portal.dnb.de/opac.htm?method=simpleSearch&amp;cqlMode=true&amp;query=idn%3D1000496260</v>
      </c>
      <c r="E1999" s="74" t="s">
        <v>9059</v>
      </c>
      <c r="F1999" s="74"/>
      <c r="G1999" s="76"/>
      <c r="H1999" s="77" t="s">
        <v>4</v>
      </c>
      <c r="I1999" s="76" t="s">
        <v>53</v>
      </c>
      <c r="J1999" s="77" t="s">
        <v>8516</v>
      </c>
      <c r="K1999" s="77" t="s">
        <v>8615</v>
      </c>
      <c r="L1999" s="76"/>
      <c r="M1999" s="76"/>
      <c r="N1999" s="76"/>
      <c r="O1999" s="76">
        <v>0</v>
      </c>
      <c r="P1999" s="76"/>
      <c r="Q1999" s="76"/>
      <c r="R1999" s="76"/>
      <c r="S1999" s="76"/>
      <c r="Y1999" s="95" t="s">
        <v>9729</v>
      </c>
      <c r="AC1999" s="95" t="s">
        <v>9730</v>
      </c>
      <c r="AI1999" s="95" t="s">
        <v>9725</v>
      </c>
      <c r="AN1999" s="95" t="s">
        <v>8541</v>
      </c>
      <c r="AU1999" s="95">
        <v>0</v>
      </c>
      <c r="AV1999" s="95" t="s">
        <v>8541</v>
      </c>
      <c r="AW1999" s="95">
        <v>110</v>
      </c>
      <c r="BC1999" s="96" t="s">
        <v>9734</v>
      </c>
      <c r="BD1999" s="99">
        <f t="shared" si="65"/>
        <v>0</v>
      </c>
      <c r="CC1999" s="99"/>
      <c r="CV1999" s="99"/>
      <c r="CW1999" s="63"/>
    </row>
    <row r="2000" spans="1:101" ht="33.75" x14ac:dyDescent="0.15">
      <c r="A2000" s="76">
        <v>1872</v>
      </c>
      <c r="B2000" s="74" t="s">
        <v>1802</v>
      </c>
      <c r="C2000" s="74">
        <v>1000496287</v>
      </c>
      <c r="D2000" s="78" t="str">
        <f t="shared" si="64"/>
        <v>https://portal.dnb.de/opac.htm?method=simpleSearch&amp;cqlMode=true&amp;query=idn%3D1000496287</v>
      </c>
      <c r="E2000" s="74" t="s">
        <v>9060</v>
      </c>
      <c r="F2000" s="74"/>
      <c r="G2000" s="76"/>
      <c r="H2000" s="77" t="s">
        <v>4</v>
      </c>
      <c r="I2000" s="76" t="s">
        <v>53</v>
      </c>
      <c r="J2000" s="77" t="s">
        <v>8516</v>
      </c>
      <c r="K2000" s="77" t="s">
        <v>8667</v>
      </c>
      <c r="L2000" s="76"/>
      <c r="M2000" s="76"/>
      <c r="N2000" s="76"/>
      <c r="O2000" s="76">
        <v>0</v>
      </c>
      <c r="P2000" s="76"/>
      <c r="Q2000" s="76"/>
      <c r="R2000" s="76"/>
      <c r="S2000" s="76"/>
      <c r="Y2000" s="95" t="s">
        <v>9729</v>
      </c>
      <c r="AC2000" s="95" t="s">
        <v>9730</v>
      </c>
      <c r="AI2000" s="95" t="s">
        <v>9725</v>
      </c>
      <c r="AN2000" s="95" t="s">
        <v>8541</v>
      </c>
      <c r="AU2000" s="95">
        <v>0</v>
      </c>
      <c r="AV2000" s="95" t="s">
        <v>8541</v>
      </c>
      <c r="AW2000" s="95">
        <v>110</v>
      </c>
      <c r="BC2000" s="96" t="s">
        <v>9726</v>
      </c>
      <c r="BD2000" s="99">
        <f t="shared" si="65"/>
        <v>0.5</v>
      </c>
      <c r="BP2000" s="69" t="s">
        <v>8541</v>
      </c>
      <c r="BR2000" s="95" t="s">
        <v>8541</v>
      </c>
      <c r="CC2000" s="99">
        <v>0.5</v>
      </c>
      <c r="CV2000" s="99"/>
      <c r="CW2000" s="63"/>
    </row>
    <row r="2001" spans="1:101" x14ac:dyDescent="0.15">
      <c r="A2001" s="76">
        <v>1873</v>
      </c>
      <c r="B2001" s="74" t="s">
        <v>1803</v>
      </c>
      <c r="C2001" s="74" t="s">
        <v>1804</v>
      </c>
      <c r="D2001" s="78" t="str">
        <f t="shared" si="64"/>
        <v>https://portal.dnb.de/opac.htm?method=simpleSearch&amp;cqlMode=true&amp;query=idn%3D99393627X</v>
      </c>
      <c r="E2001" s="74" t="s">
        <v>1805</v>
      </c>
      <c r="F2001" s="74"/>
      <c r="G2001" s="76"/>
      <c r="H2001" s="77" t="s">
        <v>48</v>
      </c>
      <c r="I2001" s="76" t="s">
        <v>53</v>
      </c>
      <c r="J2001" s="77" t="s">
        <v>8516</v>
      </c>
      <c r="K2001" s="77" t="s">
        <v>72</v>
      </c>
      <c r="L2001" s="76"/>
      <c r="M2001" s="76" t="s">
        <v>38</v>
      </c>
      <c r="N2001" s="76" t="s">
        <v>40</v>
      </c>
      <c r="O2001" s="76">
        <v>0</v>
      </c>
      <c r="P2001" s="76"/>
      <c r="Q2001" s="76"/>
      <c r="R2001" s="76"/>
      <c r="S2001" s="76"/>
      <c r="BD2001" s="99">
        <f t="shared" si="65"/>
        <v>0</v>
      </c>
      <c r="CC2001" s="99"/>
      <c r="CV2001" s="99"/>
      <c r="CW2001" s="63"/>
    </row>
    <row r="2002" spans="1:101" x14ac:dyDescent="0.15">
      <c r="A2002" s="76">
        <v>1874</v>
      </c>
      <c r="B2002" s="74" t="s">
        <v>1806</v>
      </c>
      <c r="C2002" s="74">
        <v>994397216</v>
      </c>
      <c r="D2002" s="78" t="str">
        <f t="shared" si="64"/>
        <v>https://portal.dnb.de/opac.htm?method=simpleSearch&amp;cqlMode=true&amp;query=idn%3D994397216</v>
      </c>
      <c r="E2002" s="74" t="s">
        <v>1807</v>
      </c>
      <c r="F2002" s="74"/>
      <c r="G2002" s="76"/>
      <c r="H2002" s="77" t="s">
        <v>48</v>
      </c>
      <c r="I2002" s="76" t="s">
        <v>53</v>
      </c>
      <c r="J2002" s="77" t="s">
        <v>8516</v>
      </c>
      <c r="K2002" s="77"/>
      <c r="L2002" s="76"/>
      <c r="M2002" s="76" t="s">
        <v>38</v>
      </c>
      <c r="N2002" s="76" t="s">
        <v>40</v>
      </c>
      <c r="O2002" s="76">
        <v>0</v>
      </c>
      <c r="P2002" s="76"/>
      <c r="Q2002" s="76"/>
      <c r="R2002" s="76"/>
      <c r="S2002" s="76"/>
      <c r="BD2002" s="99">
        <f t="shared" si="65"/>
        <v>0</v>
      </c>
      <c r="CC2002" s="99"/>
      <c r="CV2002" s="99"/>
      <c r="CW2002" s="63"/>
    </row>
    <row r="2003" spans="1:101" x14ac:dyDescent="0.15">
      <c r="A2003" s="76">
        <v>1875</v>
      </c>
      <c r="B2003" s="74" t="s">
        <v>1808</v>
      </c>
      <c r="C2003" s="74">
        <v>1003171389</v>
      </c>
      <c r="D2003" s="78" t="str">
        <f t="shared" si="64"/>
        <v>https://portal.dnb.de/opac.htm?method=simpleSearch&amp;cqlMode=true&amp;query=idn%3D1003171389</v>
      </c>
      <c r="E2003" s="74" t="s">
        <v>1809</v>
      </c>
      <c r="F2003" s="74"/>
      <c r="G2003" s="76"/>
      <c r="H2003" s="77" t="s">
        <v>49</v>
      </c>
      <c r="I2003" s="76" t="s">
        <v>53</v>
      </c>
      <c r="J2003" s="77" t="s">
        <v>58</v>
      </c>
      <c r="K2003" s="77" t="s">
        <v>8785</v>
      </c>
      <c r="L2003" s="76"/>
      <c r="M2003" s="76"/>
      <c r="N2003" s="76"/>
      <c r="O2003" s="76">
        <v>0</v>
      </c>
      <c r="P2003" s="76"/>
      <c r="Q2003" s="76"/>
      <c r="R2003" s="76"/>
      <c r="S2003" s="76"/>
      <c r="BD2003" s="99">
        <f t="shared" si="65"/>
        <v>0</v>
      </c>
      <c r="CC2003" s="99"/>
      <c r="CV2003" s="99"/>
      <c r="CW2003" s="63"/>
    </row>
    <row r="2004" spans="1:101" x14ac:dyDescent="0.15">
      <c r="A2004" s="76">
        <v>1876</v>
      </c>
      <c r="B2004" s="74" t="s">
        <v>1810</v>
      </c>
      <c r="C2004" s="74">
        <v>997147113</v>
      </c>
      <c r="D2004" s="78" t="str">
        <f t="shared" si="64"/>
        <v>https://portal.dnb.de/opac.htm?method=simpleSearch&amp;cqlMode=true&amp;query=idn%3D997147113</v>
      </c>
      <c r="E2004" s="74" t="s">
        <v>1809</v>
      </c>
      <c r="F2004" s="74"/>
      <c r="G2004" s="76"/>
      <c r="H2004" s="77"/>
      <c r="I2004" s="76"/>
      <c r="J2004" s="77"/>
      <c r="K2004" s="77"/>
      <c r="L2004" s="76"/>
      <c r="M2004" s="76"/>
      <c r="N2004" s="76"/>
      <c r="O2004" s="76"/>
      <c r="P2004" s="76"/>
      <c r="Q2004" s="76"/>
      <c r="R2004" s="76"/>
      <c r="S2004" s="76"/>
      <c r="BD2004" s="99">
        <f t="shared" si="65"/>
        <v>0</v>
      </c>
      <c r="CC2004" s="99"/>
      <c r="CV2004" s="99"/>
      <c r="CW2004" s="63"/>
    </row>
    <row r="2005" spans="1:101" x14ac:dyDescent="0.15">
      <c r="A2005" s="76">
        <v>1877</v>
      </c>
      <c r="B2005" s="74" t="s">
        <v>1811</v>
      </c>
      <c r="C2005" s="74">
        <v>994591497</v>
      </c>
      <c r="D2005" s="78" t="str">
        <f t="shared" si="64"/>
        <v>https://portal.dnb.de/opac.htm?method=simpleSearch&amp;cqlMode=true&amp;query=idn%3D994591497</v>
      </c>
      <c r="E2005" s="74" t="s">
        <v>1809</v>
      </c>
      <c r="F2005" s="74"/>
      <c r="G2005" s="76"/>
      <c r="H2005" s="77"/>
      <c r="I2005" s="76"/>
      <c r="J2005" s="77"/>
      <c r="K2005" s="77"/>
      <c r="L2005" s="76"/>
      <c r="M2005" s="76"/>
      <c r="N2005" s="76"/>
      <c r="O2005" s="76"/>
      <c r="P2005" s="76"/>
      <c r="Q2005" s="76"/>
      <c r="R2005" s="76"/>
      <c r="S2005" s="76"/>
      <c r="BD2005" s="99">
        <f t="shared" si="65"/>
        <v>0</v>
      </c>
      <c r="CC2005" s="99"/>
      <c r="CV2005" s="99"/>
      <c r="CW2005" s="63"/>
    </row>
    <row r="2006" spans="1:101" x14ac:dyDescent="0.15">
      <c r="A2006" s="76">
        <v>1878</v>
      </c>
      <c r="B2006" s="74" t="s">
        <v>1812</v>
      </c>
      <c r="C2006" s="74">
        <v>994128738</v>
      </c>
      <c r="D2006" s="78" t="str">
        <f t="shared" si="64"/>
        <v>https://portal.dnb.de/opac.htm?method=simpleSearch&amp;cqlMode=true&amp;query=idn%3D994128738</v>
      </c>
      <c r="E2006" s="74" t="s">
        <v>1813</v>
      </c>
      <c r="F2006" s="74"/>
      <c r="G2006" s="76"/>
      <c r="H2006" s="77"/>
      <c r="I2006" s="76"/>
      <c r="J2006" s="77"/>
      <c r="K2006" s="77"/>
      <c r="L2006" s="76"/>
      <c r="M2006" s="76"/>
      <c r="N2006" s="76"/>
      <c r="O2006" s="76"/>
      <c r="P2006" s="76"/>
      <c r="Q2006" s="76"/>
      <c r="R2006" s="76"/>
      <c r="S2006" s="76"/>
      <c r="BD2006" s="99">
        <f t="shared" si="65"/>
        <v>0</v>
      </c>
      <c r="CC2006" s="99"/>
      <c r="CV2006" s="99"/>
      <c r="CW2006" s="63"/>
    </row>
    <row r="2007" spans="1:101" x14ac:dyDescent="0.15">
      <c r="A2007" s="76">
        <v>1879</v>
      </c>
      <c r="B2007" s="74" t="s">
        <v>1814</v>
      </c>
      <c r="C2007" s="74" t="s">
        <v>1815</v>
      </c>
      <c r="D2007" s="82" t="str">
        <f>HYPERLINK(CONCATENATE("https://portal.dnb.de/opac.htm?method=simpleSearch&amp;cqlMode=true&amp;query=idn%3D",C2007))</f>
        <v>https://portal.dnb.de/opac.htm?method=simpleSearch&amp;cqlMode=true&amp;query=idn%3D99412838X</v>
      </c>
      <c r="E2007" s="74" t="s">
        <v>1813</v>
      </c>
      <c r="F2007" s="74"/>
      <c r="G2007" s="76"/>
      <c r="H2007" s="77"/>
      <c r="I2007" s="76"/>
      <c r="J2007" s="77"/>
      <c r="K2007" s="77"/>
      <c r="L2007" s="76"/>
      <c r="M2007" s="76"/>
      <c r="N2007" s="76"/>
      <c r="O2007" s="76"/>
      <c r="P2007" s="76"/>
      <c r="Q2007" s="76"/>
      <c r="R2007" s="76"/>
      <c r="S2007" s="76"/>
      <c r="BD2007" s="99">
        <f t="shared" si="65"/>
        <v>0</v>
      </c>
      <c r="CC2007" s="99"/>
      <c r="CV2007" s="99"/>
      <c r="CW2007" s="63"/>
    </row>
    <row r="2008" spans="1:101" x14ac:dyDescent="0.15">
      <c r="A2008" s="76">
        <v>1880</v>
      </c>
      <c r="B2008" s="74" t="s">
        <v>1816</v>
      </c>
      <c r="C2008" s="74">
        <v>994128231</v>
      </c>
      <c r="D2008" s="78" t="str">
        <f t="shared" si="64"/>
        <v>https://portal.dnb.de/opac.htm?method=simpleSearch&amp;cqlMode=true&amp;query=idn%3D994128231</v>
      </c>
      <c r="E2008" s="74" t="s">
        <v>1813</v>
      </c>
      <c r="F2008" s="74"/>
      <c r="G2008" s="76"/>
      <c r="H2008" s="77"/>
      <c r="I2008" s="76"/>
      <c r="J2008" s="77"/>
      <c r="K2008" s="77"/>
      <c r="L2008" s="76"/>
      <c r="M2008" s="76"/>
      <c r="N2008" s="76"/>
      <c r="O2008" s="76"/>
      <c r="P2008" s="76"/>
      <c r="Q2008" s="76"/>
      <c r="R2008" s="76"/>
      <c r="S2008" s="76"/>
      <c r="BD2008" s="99">
        <f t="shared" si="65"/>
        <v>0</v>
      </c>
      <c r="CC2008" s="99"/>
      <c r="CV2008" s="99"/>
      <c r="CW2008" s="63"/>
    </row>
    <row r="2009" spans="1:101" x14ac:dyDescent="0.15">
      <c r="A2009" s="76">
        <v>1881</v>
      </c>
      <c r="B2009" s="74" t="s">
        <v>1817</v>
      </c>
      <c r="C2009" s="74">
        <v>994128444</v>
      </c>
      <c r="D2009" s="78" t="b">
        <f>D2011=HYPERLINK(CONCATENATE("https://portal.dnb.de/opac.htm?method=simpleSearch&amp;cqlMode=true&amp;query=idn%3D",C2009))</f>
        <v>0</v>
      </c>
      <c r="E2009" s="74" t="s">
        <v>1813</v>
      </c>
      <c r="F2009" s="74"/>
      <c r="G2009" s="76"/>
      <c r="H2009" s="77"/>
      <c r="I2009" s="76"/>
      <c r="J2009" s="77"/>
      <c r="K2009" s="77"/>
      <c r="L2009" s="76"/>
      <c r="M2009" s="76"/>
      <c r="N2009" s="76"/>
      <c r="O2009" s="76"/>
      <c r="P2009" s="76"/>
      <c r="Q2009" s="76"/>
      <c r="R2009" s="76"/>
      <c r="S2009" s="76"/>
      <c r="BD2009" s="99">
        <f t="shared" si="65"/>
        <v>0</v>
      </c>
      <c r="CC2009" s="99"/>
      <c r="CV2009" s="99"/>
      <c r="CW2009" s="63"/>
    </row>
    <row r="2010" spans="1:101" x14ac:dyDescent="0.15">
      <c r="A2010" s="76">
        <v>1882</v>
      </c>
      <c r="B2010" s="74" t="s">
        <v>1818</v>
      </c>
      <c r="C2010" s="74">
        <v>994128541</v>
      </c>
      <c r="D2010" s="78" t="str">
        <f t="shared" si="64"/>
        <v>https://portal.dnb.de/opac.htm?method=simpleSearch&amp;cqlMode=true&amp;query=idn%3D994128541</v>
      </c>
      <c r="E2010" s="74" t="s">
        <v>1813</v>
      </c>
      <c r="F2010" s="74"/>
      <c r="G2010" s="76"/>
      <c r="H2010" s="77"/>
      <c r="I2010" s="76"/>
      <c r="J2010" s="77"/>
      <c r="K2010" s="77"/>
      <c r="L2010" s="76"/>
      <c r="M2010" s="76"/>
      <c r="N2010" s="76"/>
      <c r="O2010" s="76"/>
      <c r="P2010" s="76"/>
      <c r="Q2010" s="76"/>
      <c r="R2010" s="76"/>
      <c r="S2010" s="76"/>
      <c r="BD2010" s="99">
        <f t="shared" si="65"/>
        <v>0</v>
      </c>
      <c r="CC2010" s="99"/>
      <c r="CV2010" s="99"/>
      <c r="CW2010" s="63"/>
    </row>
    <row r="2011" spans="1:101" x14ac:dyDescent="0.15">
      <c r="A2011" s="76">
        <v>1883</v>
      </c>
      <c r="B2011" s="74" t="s">
        <v>1819</v>
      </c>
      <c r="C2011" s="74">
        <v>994128657</v>
      </c>
      <c r="D2011" s="78" t="str">
        <f t="shared" ref="D2011:D2075" si="66">HYPERLINK(CONCATENATE("https://portal.dnb.de/opac.htm?method=simpleSearch&amp;cqlMode=true&amp;query=idn%3D",C2011))</f>
        <v>https://portal.dnb.de/opac.htm?method=simpleSearch&amp;cqlMode=true&amp;query=idn%3D994128657</v>
      </c>
      <c r="E2011" s="74" t="s">
        <v>1813</v>
      </c>
      <c r="F2011" s="74"/>
      <c r="G2011" s="76"/>
      <c r="H2011" s="77" t="s">
        <v>48</v>
      </c>
      <c r="I2011" s="76" t="s">
        <v>53</v>
      </c>
      <c r="J2011" s="77" t="s">
        <v>89</v>
      </c>
      <c r="K2011" s="77" t="s">
        <v>84</v>
      </c>
      <c r="L2011" s="76"/>
      <c r="M2011" s="76" t="s">
        <v>38</v>
      </c>
      <c r="N2011" s="76" t="s">
        <v>40</v>
      </c>
      <c r="O2011" s="76">
        <v>0</v>
      </c>
      <c r="P2011" s="76"/>
      <c r="Q2011" s="76"/>
      <c r="R2011" s="76"/>
      <c r="S2011" s="76"/>
      <c r="BD2011" s="99">
        <f t="shared" si="65"/>
        <v>0</v>
      </c>
      <c r="CC2011" s="99"/>
      <c r="CV2011" s="99"/>
      <c r="CW2011" s="63"/>
    </row>
    <row r="2012" spans="1:101" ht="22.5" x14ac:dyDescent="0.15">
      <c r="A2012" s="76">
        <v>1884</v>
      </c>
      <c r="B2012" s="74" t="s">
        <v>1820</v>
      </c>
      <c r="C2012" s="74" t="s">
        <v>1821</v>
      </c>
      <c r="D2012" s="78" t="str">
        <f t="shared" si="66"/>
        <v>https://portal.dnb.de/opac.htm?method=simpleSearch&amp;cqlMode=true&amp;query=idn%3D99563873X</v>
      </c>
      <c r="E2012" s="74" t="s">
        <v>1822</v>
      </c>
      <c r="F2012" s="74"/>
      <c r="G2012" s="76"/>
      <c r="H2012" s="77" t="s">
        <v>18</v>
      </c>
      <c r="I2012" s="76" t="s">
        <v>53</v>
      </c>
      <c r="J2012" s="77" t="s">
        <v>58</v>
      </c>
      <c r="K2012" s="77" t="s">
        <v>84</v>
      </c>
      <c r="L2012" s="76"/>
      <c r="M2012" s="76" t="s">
        <v>36</v>
      </c>
      <c r="N2012" s="76" t="s">
        <v>39</v>
      </c>
      <c r="O2012" s="76">
        <v>0</v>
      </c>
      <c r="P2012" s="76"/>
      <c r="Q2012" s="76"/>
      <c r="R2012" s="76"/>
      <c r="S2012" s="76"/>
      <c r="BD2012" s="99">
        <f t="shared" si="65"/>
        <v>0</v>
      </c>
      <c r="CC2012" s="99"/>
      <c r="CV2012" s="99"/>
      <c r="CW2012" s="63"/>
    </row>
    <row r="2013" spans="1:101" ht="22.5" x14ac:dyDescent="0.15">
      <c r="A2013" s="76">
        <v>1885</v>
      </c>
      <c r="B2013" s="74" t="s">
        <v>1831</v>
      </c>
      <c r="C2013" s="74">
        <v>994159005</v>
      </c>
      <c r="D2013" s="78" t="str">
        <f t="shared" si="66"/>
        <v>https://portal.dnb.de/opac.htm?method=simpleSearch&amp;cqlMode=true&amp;query=idn%3D994159005</v>
      </c>
      <c r="E2013" s="74" t="s">
        <v>1832</v>
      </c>
      <c r="F2013" s="74"/>
      <c r="G2013" s="76"/>
      <c r="H2013" s="77" t="s">
        <v>18</v>
      </c>
      <c r="I2013" s="76" t="s">
        <v>53</v>
      </c>
      <c r="J2013" s="77" t="s">
        <v>58</v>
      </c>
      <c r="K2013" s="77" t="s">
        <v>84</v>
      </c>
      <c r="L2013" s="76"/>
      <c r="M2013" s="76" t="s">
        <v>36</v>
      </c>
      <c r="N2013" s="76" t="s">
        <v>39</v>
      </c>
      <c r="O2013" s="76">
        <v>1</v>
      </c>
      <c r="P2013" s="76"/>
      <c r="Q2013" s="76"/>
      <c r="R2013" s="76"/>
      <c r="S2013" s="76"/>
      <c r="BD2013" s="99">
        <f t="shared" si="65"/>
        <v>0</v>
      </c>
      <c r="CC2013" s="99"/>
      <c r="CV2013" s="99"/>
      <c r="CW2013" s="63"/>
    </row>
    <row r="2014" spans="1:101" ht="22.5" x14ac:dyDescent="0.15">
      <c r="A2014" s="76">
        <v>1886</v>
      </c>
      <c r="B2014" s="74" t="s">
        <v>1833</v>
      </c>
      <c r="C2014" s="74">
        <v>12747343</v>
      </c>
      <c r="D2014" s="78" t="str">
        <f t="shared" si="66"/>
        <v>https://portal.dnb.de/opac.htm?method=simpleSearch&amp;cqlMode=true&amp;query=idn%3D12747343</v>
      </c>
      <c r="E2014" s="74" t="s">
        <v>10078</v>
      </c>
      <c r="F2014" s="74"/>
      <c r="G2014" s="76"/>
      <c r="H2014" s="77" t="s">
        <v>18</v>
      </c>
      <c r="I2014" s="76" t="s">
        <v>53</v>
      </c>
      <c r="J2014" s="77" t="s">
        <v>58</v>
      </c>
      <c r="K2014" s="77" t="s">
        <v>84</v>
      </c>
      <c r="L2014" s="76"/>
      <c r="M2014" s="76" t="s">
        <v>36</v>
      </c>
      <c r="N2014" s="76" t="s">
        <v>39</v>
      </c>
      <c r="O2014" s="76">
        <v>1</v>
      </c>
      <c r="P2014" s="76"/>
      <c r="Q2014" s="76"/>
      <c r="R2014" s="76"/>
      <c r="S2014" s="76"/>
      <c r="Y2014" s="95" t="s">
        <v>9725</v>
      </c>
      <c r="AC2014" s="95" t="s">
        <v>9739</v>
      </c>
      <c r="AI2014" s="95" t="s">
        <v>9725</v>
      </c>
      <c r="AW2014" s="95">
        <v>110</v>
      </c>
      <c r="BC2014" s="96" t="s">
        <v>9734</v>
      </c>
      <c r="BD2014" s="99">
        <f t="shared" si="65"/>
        <v>0</v>
      </c>
      <c r="BJ2014" s="95" t="s">
        <v>9741</v>
      </c>
      <c r="BK2014" s="95" t="s">
        <v>8541</v>
      </c>
      <c r="CC2014" s="99"/>
      <c r="CV2014" s="99"/>
      <c r="CW2014" s="63"/>
    </row>
    <row r="2015" spans="1:101" ht="22.5" x14ac:dyDescent="0.15">
      <c r="A2015" s="76"/>
      <c r="B2015" s="74"/>
      <c r="C2015" s="74"/>
      <c r="D2015" s="78"/>
      <c r="E2015" s="74" t="s">
        <v>10079</v>
      </c>
      <c r="F2015" s="74"/>
      <c r="G2015" s="76"/>
      <c r="H2015" s="77" t="s">
        <v>18</v>
      </c>
      <c r="I2015" s="76" t="s">
        <v>53</v>
      </c>
      <c r="J2015" s="77" t="s">
        <v>58</v>
      </c>
      <c r="K2015" s="77" t="s">
        <v>84</v>
      </c>
      <c r="L2015" s="76"/>
      <c r="M2015" s="76" t="s">
        <v>36</v>
      </c>
      <c r="N2015" s="76" t="s">
        <v>39</v>
      </c>
      <c r="O2015" s="76">
        <v>1</v>
      </c>
      <c r="P2015" s="76"/>
      <c r="Q2015" s="76"/>
      <c r="R2015" s="76"/>
      <c r="S2015" s="76"/>
      <c r="Y2015" s="95" t="s">
        <v>9725</v>
      </c>
      <c r="AC2015" s="95" t="s">
        <v>9739</v>
      </c>
      <c r="AI2015" s="95" t="s">
        <v>9725</v>
      </c>
      <c r="AW2015" s="95">
        <v>45</v>
      </c>
      <c r="BC2015" s="96" t="s">
        <v>9726</v>
      </c>
      <c r="BD2015" s="99">
        <f t="shared" si="65"/>
        <v>1</v>
      </c>
      <c r="BJ2015" s="95" t="s">
        <v>9741</v>
      </c>
      <c r="BK2015" s="95" t="s">
        <v>8541</v>
      </c>
      <c r="BP2015" s="69" t="s">
        <v>8541</v>
      </c>
      <c r="BR2015" s="95" t="s">
        <v>8541</v>
      </c>
      <c r="CC2015" s="99">
        <v>1</v>
      </c>
      <c r="CD2015" s="90" t="s">
        <v>10080</v>
      </c>
      <c r="CV2015" s="99"/>
      <c r="CW2015" s="63"/>
    </row>
    <row r="2016" spans="1:101" ht="22.5" x14ac:dyDescent="0.15">
      <c r="A2016" s="76">
        <v>1887</v>
      </c>
      <c r="B2016" s="74" t="s">
        <v>1834</v>
      </c>
      <c r="C2016" s="74">
        <v>1000801780</v>
      </c>
      <c r="D2016" s="78" t="str">
        <f t="shared" si="66"/>
        <v>https://portal.dnb.de/opac.htm?method=simpleSearch&amp;cqlMode=true&amp;query=idn%3D1000801780</v>
      </c>
      <c r="E2016" s="74" t="s">
        <v>1835</v>
      </c>
      <c r="F2016" s="74"/>
      <c r="G2016" s="76"/>
      <c r="H2016" s="77" t="s">
        <v>18</v>
      </c>
      <c r="I2016" s="76" t="s">
        <v>54</v>
      </c>
      <c r="J2016" s="77" t="s">
        <v>58</v>
      </c>
      <c r="K2016" s="77"/>
      <c r="L2016" s="76"/>
      <c r="M2016" s="76" t="s">
        <v>34</v>
      </c>
      <c r="N2016" s="76" t="s">
        <v>39</v>
      </c>
      <c r="O2016" s="76">
        <v>1</v>
      </c>
      <c r="P2016" s="76"/>
      <c r="Q2016" s="76"/>
      <c r="R2016" s="76" t="s">
        <v>9166</v>
      </c>
      <c r="S2016" s="76"/>
      <c r="Y2016" s="95" t="s">
        <v>9731</v>
      </c>
      <c r="AI2016" s="95" t="s">
        <v>10421</v>
      </c>
      <c r="AW2016" s="95">
        <v>180</v>
      </c>
      <c r="BC2016" s="96" t="s">
        <v>9734</v>
      </c>
      <c r="BD2016" s="99">
        <f t="shared" si="65"/>
        <v>0</v>
      </c>
      <c r="BI2016" s="95" t="s">
        <v>9741</v>
      </c>
      <c r="BL2016" s="70" t="s">
        <v>10015</v>
      </c>
      <c r="CC2016" s="99"/>
      <c r="CV2016" s="99"/>
      <c r="CW2016" s="63"/>
    </row>
    <row r="2017" spans="1:101" ht="33.75" x14ac:dyDescent="0.15">
      <c r="A2017" s="76">
        <v>1888</v>
      </c>
      <c r="B2017" s="74" t="s">
        <v>1836</v>
      </c>
      <c r="C2017" s="74">
        <v>997143959</v>
      </c>
      <c r="D2017" s="78" t="str">
        <f t="shared" si="66"/>
        <v>https://portal.dnb.de/opac.htm?method=simpleSearch&amp;cqlMode=true&amp;query=idn%3D997143959</v>
      </c>
      <c r="E2017" s="74" t="s">
        <v>1837</v>
      </c>
      <c r="F2017" s="74"/>
      <c r="G2017" s="76" t="s">
        <v>8515</v>
      </c>
      <c r="H2017" s="77" t="s">
        <v>8546</v>
      </c>
      <c r="I2017" s="76" t="s">
        <v>53</v>
      </c>
      <c r="J2017" s="77" t="s">
        <v>8516</v>
      </c>
      <c r="K2017" s="77" t="s">
        <v>8520</v>
      </c>
      <c r="L2017" s="76"/>
      <c r="M2017" s="76" t="s">
        <v>36</v>
      </c>
      <c r="N2017" s="76" t="s">
        <v>39</v>
      </c>
      <c r="O2017" s="76">
        <v>0</v>
      </c>
      <c r="P2017" s="76"/>
      <c r="Q2017" s="76"/>
      <c r="R2017" s="76"/>
      <c r="S2017" s="76"/>
      <c r="BD2017" s="99">
        <f t="shared" si="65"/>
        <v>0</v>
      </c>
      <c r="CC2017" s="99"/>
      <c r="CV2017" s="99"/>
      <c r="CW2017" s="63"/>
    </row>
    <row r="2018" spans="1:101" x14ac:dyDescent="0.15">
      <c r="A2018" s="76">
        <v>1889</v>
      </c>
      <c r="B2018" s="74" t="s">
        <v>1838</v>
      </c>
      <c r="C2018" s="74">
        <v>1001652150</v>
      </c>
      <c r="D2018" s="78" t="str">
        <f t="shared" si="66"/>
        <v>https://portal.dnb.de/opac.htm?method=simpleSearch&amp;cqlMode=true&amp;query=idn%3D1001652150</v>
      </c>
      <c r="E2018" s="74" t="s">
        <v>1839</v>
      </c>
      <c r="F2018" s="74"/>
      <c r="G2018" s="76"/>
      <c r="H2018" s="77"/>
      <c r="I2018" s="76"/>
      <c r="J2018" s="77"/>
      <c r="K2018" s="77"/>
      <c r="L2018" s="76"/>
      <c r="M2018" s="76"/>
      <c r="N2018" s="76"/>
      <c r="O2018" s="76"/>
      <c r="P2018" s="76"/>
      <c r="Q2018" s="76"/>
      <c r="R2018" s="76"/>
      <c r="S2018" s="76"/>
      <c r="BD2018" s="99">
        <f t="shared" si="65"/>
        <v>0</v>
      </c>
      <c r="CC2018" s="99"/>
      <c r="CV2018" s="99"/>
      <c r="CW2018" s="63"/>
    </row>
    <row r="2019" spans="1:101" x14ac:dyDescent="0.15">
      <c r="A2019" s="76">
        <v>1890</v>
      </c>
      <c r="B2019" s="74" t="s">
        <v>1840</v>
      </c>
      <c r="C2019" s="74">
        <v>1001651499</v>
      </c>
      <c r="D2019" s="78" t="str">
        <f t="shared" si="66"/>
        <v>https://portal.dnb.de/opac.htm?method=simpleSearch&amp;cqlMode=true&amp;query=idn%3D1001651499</v>
      </c>
      <c r="E2019" s="74" t="s">
        <v>1839</v>
      </c>
      <c r="F2019" s="74"/>
      <c r="G2019" s="76"/>
      <c r="H2019" s="77"/>
      <c r="I2019" s="76"/>
      <c r="J2019" s="77"/>
      <c r="K2019" s="77"/>
      <c r="L2019" s="76"/>
      <c r="M2019" s="76"/>
      <c r="N2019" s="76"/>
      <c r="O2019" s="76"/>
      <c r="P2019" s="76"/>
      <c r="Q2019" s="76"/>
      <c r="R2019" s="76"/>
      <c r="S2019" s="76"/>
      <c r="BD2019" s="99">
        <f t="shared" si="65"/>
        <v>0</v>
      </c>
      <c r="CC2019" s="99"/>
      <c r="CV2019" s="99"/>
      <c r="CW2019" s="63"/>
    </row>
    <row r="2020" spans="1:101" x14ac:dyDescent="0.15">
      <c r="A2020" s="76">
        <v>1891</v>
      </c>
      <c r="B2020" s="74" t="s">
        <v>1841</v>
      </c>
      <c r="C2020" s="74">
        <v>1001651138</v>
      </c>
      <c r="D2020" s="82" t="e">
        <f ca="1">HYPERLINK(B2064+H2063+D2064VERKETTEN("https://portal.dnb.de/opac.htm?method=simpleSearch&amp;cqlMode=true&amp;query=idn%3D",C2020))</f>
        <v>#VALUE!</v>
      </c>
      <c r="E2020" s="74" t="s">
        <v>1839</v>
      </c>
      <c r="F2020" s="74"/>
      <c r="G2020" s="76"/>
      <c r="H2020" s="77"/>
      <c r="I2020" s="76"/>
      <c r="J2020" s="77"/>
      <c r="K2020" s="77"/>
      <c r="L2020" s="76"/>
      <c r="M2020" s="76"/>
      <c r="N2020" s="76"/>
      <c r="O2020" s="76"/>
      <c r="P2020" s="76"/>
      <c r="Q2020" s="76"/>
      <c r="R2020" s="76"/>
      <c r="S2020" s="76"/>
      <c r="BD2020" s="99">
        <f t="shared" si="65"/>
        <v>0</v>
      </c>
      <c r="CC2020" s="99"/>
      <c r="CV2020" s="99"/>
      <c r="CW2020" s="63"/>
    </row>
    <row r="2021" spans="1:101" x14ac:dyDescent="0.15">
      <c r="A2021" s="76">
        <v>1892</v>
      </c>
      <c r="B2021" s="74" t="s">
        <v>1842</v>
      </c>
      <c r="C2021" s="74">
        <v>1001060601</v>
      </c>
      <c r="D2021" s="78" t="str">
        <f t="shared" si="66"/>
        <v>https://portal.dnb.de/opac.htm?method=simpleSearch&amp;cqlMode=true&amp;query=idn%3D1001060601</v>
      </c>
      <c r="E2021" s="74" t="s">
        <v>1839</v>
      </c>
      <c r="F2021" s="74"/>
      <c r="G2021" s="76"/>
      <c r="H2021" s="77"/>
      <c r="I2021" s="76"/>
      <c r="J2021" s="77"/>
      <c r="K2021" s="77"/>
      <c r="L2021" s="76"/>
      <c r="M2021" s="76"/>
      <c r="N2021" s="76"/>
      <c r="O2021" s="76"/>
      <c r="P2021" s="76"/>
      <c r="Q2021" s="76"/>
      <c r="R2021" s="76"/>
      <c r="S2021" s="76"/>
      <c r="BD2021" s="99">
        <f t="shared" si="65"/>
        <v>0</v>
      </c>
      <c r="CC2021" s="99"/>
      <c r="CV2021" s="99"/>
      <c r="CW2021" s="63"/>
    </row>
    <row r="2022" spans="1:101" x14ac:dyDescent="0.15">
      <c r="A2022" s="76">
        <v>1893</v>
      </c>
      <c r="B2022" s="74" t="s">
        <v>1843</v>
      </c>
      <c r="C2022" s="74">
        <v>1001406370</v>
      </c>
      <c r="D2022" s="78" t="str">
        <f t="shared" si="66"/>
        <v>https://portal.dnb.de/opac.htm?method=simpleSearch&amp;cqlMode=true&amp;query=idn%3D1001406370</v>
      </c>
      <c r="E2022" s="74" t="s">
        <v>1839</v>
      </c>
      <c r="F2022" s="74"/>
      <c r="G2022" s="76"/>
      <c r="H2022" s="77"/>
      <c r="I2022" s="76"/>
      <c r="J2022" s="77"/>
      <c r="K2022" s="77"/>
      <c r="L2022" s="76"/>
      <c r="M2022" s="76"/>
      <c r="N2022" s="76"/>
      <c r="O2022" s="76"/>
      <c r="P2022" s="76"/>
      <c r="Q2022" s="76"/>
      <c r="R2022" s="76"/>
      <c r="S2022" s="76"/>
      <c r="BD2022" s="99">
        <f t="shared" si="65"/>
        <v>0</v>
      </c>
      <c r="CC2022" s="99"/>
      <c r="CV2022" s="99"/>
      <c r="CW2022" s="63"/>
    </row>
    <row r="2023" spans="1:101" x14ac:dyDescent="0.15">
      <c r="A2023" s="76">
        <v>1894</v>
      </c>
      <c r="B2023" s="74" t="s">
        <v>1844</v>
      </c>
      <c r="C2023" s="74" t="s">
        <v>1845</v>
      </c>
      <c r="D2023" s="78" t="str">
        <f t="shared" si="66"/>
        <v>https://portal.dnb.de/opac.htm?method=simpleSearch&amp;cqlMode=true&amp;query=idn%3D100106108X</v>
      </c>
      <c r="E2023" s="74" t="s">
        <v>1839</v>
      </c>
      <c r="F2023" s="74"/>
      <c r="G2023" s="76"/>
      <c r="H2023" s="77"/>
      <c r="I2023" s="76"/>
      <c r="J2023" s="77"/>
      <c r="K2023" s="77"/>
      <c r="L2023" s="76"/>
      <c r="M2023" s="76"/>
      <c r="N2023" s="76"/>
      <c r="O2023" s="76"/>
      <c r="P2023" s="76"/>
      <c r="Q2023" s="76"/>
      <c r="R2023" s="76"/>
      <c r="S2023" s="76"/>
      <c r="BD2023" s="99">
        <f t="shared" si="65"/>
        <v>0</v>
      </c>
      <c r="CC2023" s="99"/>
      <c r="CV2023" s="99"/>
      <c r="CW2023" s="63"/>
    </row>
    <row r="2024" spans="1:101" x14ac:dyDescent="0.15">
      <c r="A2024" s="76">
        <v>1895</v>
      </c>
      <c r="B2024" s="74" t="s">
        <v>1846</v>
      </c>
      <c r="C2024" s="74">
        <v>1001198778</v>
      </c>
      <c r="D2024" s="78" t="str">
        <f t="shared" si="66"/>
        <v>https://portal.dnb.de/opac.htm?method=simpleSearch&amp;cqlMode=true&amp;query=idn%3D1001198778</v>
      </c>
      <c r="E2024" s="74" t="s">
        <v>1839</v>
      </c>
      <c r="F2024" s="74"/>
      <c r="G2024" s="76"/>
      <c r="H2024" s="77"/>
      <c r="I2024" s="76"/>
      <c r="J2024" s="77"/>
      <c r="K2024" s="77"/>
      <c r="L2024" s="76"/>
      <c r="M2024" s="76"/>
      <c r="N2024" s="76"/>
      <c r="O2024" s="76"/>
      <c r="P2024" s="76"/>
      <c r="Q2024" s="76"/>
      <c r="R2024" s="76"/>
      <c r="S2024" s="76"/>
      <c r="BD2024" s="99">
        <f t="shared" si="65"/>
        <v>0</v>
      </c>
      <c r="CC2024" s="99"/>
      <c r="CV2024" s="99"/>
      <c r="CW2024" s="63"/>
    </row>
    <row r="2025" spans="1:101" x14ac:dyDescent="0.15">
      <c r="A2025" s="76">
        <v>1896</v>
      </c>
      <c r="B2025" s="74" t="s">
        <v>1847</v>
      </c>
      <c r="C2025" s="74">
        <v>1001271149</v>
      </c>
      <c r="D2025" s="78" t="str">
        <f t="shared" si="66"/>
        <v>https://portal.dnb.de/opac.htm?method=simpleSearch&amp;cqlMode=true&amp;query=idn%3D1001271149</v>
      </c>
      <c r="E2025" s="74" t="s">
        <v>1839</v>
      </c>
      <c r="F2025" s="74"/>
      <c r="G2025" s="76"/>
      <c r="H2025" s="77"/>
      <c r="I2025" s="76"/>
      <c r="J2025" s="77"/>
      <c r="K2025" s="77"/>
      <c r="L2025" s="76"/>
      <c r="M2025" s="76"/>
      <c r="N2025" s="76"/>
      <c r="O2025" s="76"/>
      <c r="P2025" s="76"/>
      <c r="Q2025" s="76"/>
      <c r="R2025" s="76"/>
      <c r="S2025" s="76"/>
      <c r="BD2025" s="99">
        <f t="shared" si="65"/>
        <v>0</v>
      </c>
      <c r="CC2025" s="99"/>
      <c r="CV2025" s="99"/>
      <c r="CW2025" s="63"/>
    </row>
    <row r="2026" spans="1:101" x14ac:dyDescent="0.15">
      <c r="A2026" s="76">
        <v>1897</v>
      </c>
      <c r="B2026" s="74" t="s">
        <v>1848</v>
      </c>
      <c r="C2026" s="74" t="s">
        <v>1849</v>
      </c>
      <c r="D2026" s="78" t="str">
        <f t="shared" si="66"/>
        <v>https://portal.dnb.de/opac.htm?method=simpleSearch&amp;cqlMode=true&amp;query=idn%3D99617589X</v>
      </c>
      <c r="E2026" s="74" t="s">
        <v>1839</v>
      </c>
      <c r="F2026" s="74"/>
      <c r="G2026" s="76"/>
      <c r="H2026" s="77"/>
      <c r="I2026" s="76"/>
      <c r="J2026" s="77"/>
      <c r="K2026" s="77"/>
      <c r="L2026" s="76"/>
      <c r="M2026" s="76"/>
      <c r="N2026" s="76"/>
      <c r="O2026" s="76"/>
      <c r="P2026" s="76"/>
      <c r="Q2026" s="76"/>
      <c r="R2026" s="76"/>
      <c r="S2026" s="76"/>
      <c r="BD2026" s="99">
        <f t="shared" si="65"/>
        <v>0</v>
      </c>
      <c r="CC2026" s="99"/>
      <c r="CV2026" s="99"/>
      <c r="CW2026" s="63"/>
    </row>
    <row r="2027" spans="1:101" x14ac:dyDescent="0.15">
      <c r="A2027" s="76">
        <v>1898</v>
      </c>
      <c r="B2027" s="74" t="s">
        <v>1850</v>
      </c>
      <c r="C2027" s="74" t="s">
        <v>1851</v>
      </c>
      <c r="D2027" s="78" t="str">
        <f t="shared" si="66"/>
        <v>https://portal.dnb.de/opac.htm?method=simpleSearch&amp;cqlMode=true&amp;query=idn%3D100165109X</v>
      </c>
      <c r="E2027" s="74" t="s">
        <v>1839</v>
      </c>
      <c r="F2027" s="74"/>
      <c r="G2027" s="76"/>
      <c r="H2027" s="77"/>
      <c r="I2027" s="76"/>
      <c r="J2027" s="77"/>
      <c r="K2027" s="77"/>
      <c r="L2027" s="76"/>
      <c r="M2027" s="76"/>
      <c r="N2027" s="76"/>
      <c r="O2027" s="76"/>
      <c r="P2027" s="76"/>
      <c r="Q2027" s="76"/>
      <c r="R2027" s="76"/>
      <c r="S2027" s="76"/>
      <c r="BD2027" s="99">
        <f t="shared" si="65"/>
        <v>0</v>
      </c>
      <c r="CC2027" s="99"/>
      <c r="CV2027" s="99"/>
      <c r="CW2027" s="63"/>
    </row>
    <row r="2028" spans="1:101" x14ac:dyDescent="0.15">
      <c r="A2028" s="76">
        <v>1899</v>
      </c>
      <c r="B2028" s="74" t="s">
        <v>1852</v>
      </c>
      <c r="C2028" s="74">
        <v>1001075951</v>
      </c>
      <c r="D2028" s="78" t="str">
        <f t="shared" si="66"/>
        <v>https://portal.dnb.de/opac.htm?method=simpleSearch&amp;cqlMode=true&amp;query=idn%3D1001075951</v>
      </c>
      <c r="E2028" s="74" t="s">
        <v>1839</v>
      </c>
      <c r="F2028" s="74"/>
      <c r="G2028" s="76"/>
      <c r="H2028" s="77"/>
      <c r="I2028" s="76"/>
      <c r="J2028" s="77"/>
      <c r="K2028" s="77"/>
      <c r="L2028" s="76"/>
      <c r="M2028" s="76"/>
      <c r="N2028" s="76"/>
      <c r="O2028" s="76"/>
      <c r="P2028" s="76"/>
      <c r="Q2028" s="76"/>
      <c r="R2028" s="76"/>
      <c r="S2028" s="76"/>
      <c r="BD2028" s="99">
        <f t="shared" si="65"/>
        <v>0</v>
      </c>
      <c r="CC2028" s="99"/>
      <c r="CV2028" s="99"/>
      <c r="CW2028" s="63"/>
    </row>
    <row r="2029" spans="1:101" x14ac:dyDescent="0.15">
      <c r="A2029" s="76">
        <v>1900</v>
      </c>
      <c r="B2029" s="74" t="s">
        <v>1853</v>
      </c>
      <c r="C2029" s="74">
        <v>994803036</v>
      </c>
      <c r="D2029" s="78" t="str">
        <f t="shared" si="66"/>
        <v>https://portal.dnb.de/opac.htm?method=simpleSearch&amp;cqlMode=true&amp;query=idn%3D994803036</v>
      </c>
      <c r="E2029" s="74" t="s">
        <v>1839</v>
      </c>
      <c r="F2029" s="74"/>
      <c r="G2029" s="76"/>
      <c r="H2029" s="77"/>
      <c r="I2029" s="76"/>
      <c r="J2029" s="77"/>
      <c r="K2029" s="77"/>
      <c r="L2029" s="76"/>
      <c r="M2029" s="76"/>
      <c r="N2029" s="76"/>
      <c r="O2029" s="76"/>
      <c r="P2029" s="76"/>
      <c r="Q2029" s="76"/>
      <c r="R2029" s="76"/>
      <c r="S2029" s="76"/>
      <c r="BD2029" s="99">
        <f t="shared" si="65"/>
        <v>0</v>
      </c>
      <c r="CC2029" s="99"/>
      <c r="CV2029" s="99"/>
      <c r="CW2029" s="63"/>
    </row>
    <row r="2030" spans="1:101" x14ac:dyDescent="0.15">
      <c r="A2030" s="76">
        <v>1901</v>
      </c>
      <c r="B2030" s="74" t="s">
        <v>1854</v>
      </c>
      <c r="C2030" s="74">
        <v>994807627</v>
      </c>
      <c r="D2030" s="78" t="str">
        <f t="shared" si="66"/>
        <v>https://portal.dnb.de/opac.htm?method=simpleSearch&amp;cqlMode=true&amp;query=idn%3D994807627</v>
      </c>
      <c r="E2030" s="74" t="s">
        <v>1839</v>
      </c>
      <c r="F2030" s="74"/>
      <c r="G2030" s="76"/>
      <c r="H2030" s="77"/>
      <c r="I2030" s="76"/>
      <c r="J2030" s="77"/>
      <c r="K2030" s="77"/>
      <c r="L2030" s="76"/>
      <c r="M2030" s="76"/>
      <c r="N2030" s="76"/>
      <c r="O2030" s="76"/>
      <c r="P2030" s="76"/>
      <c r="Q2030" s="76"/>
      <c r="R2030" s="76"/>
      <c r="S2030" s="76"/>
      <c r="BD2030" s="99">
        <f t="shared" si="65"/>
        <v>0</v>
      </c>
      <c r="CC2030" s="99"/>
      <c r="CV2030" s="99"/>
      <c r="CW2030" s="63"/>
    </row>
    <row r="2031" spans="1:101" x14ac:dyDescent="0.15">
      <c r="A2031" s="76">
        <v>1902</v>
      </c>
      <c r="B2031" s="74" t="s">
        <v>1855</v>
      </c>
      <c r="C2031" s="74" t="s">
        <v>1856</v>
      </c>
      <c r="D2031" s="78" t="str">
        <f t="shared" si="66"/>
        <v>https://portal.dnb.de/opac.htm?method=simpleSearch&amp;cqlMode=true&amp;query=idn%3D99480802X</v>
      </c>
      <c r="E2031" s="74" t="s">
        <v>1839</v>
      </c>
      <c r="F2031" s="74"/>
      <c r="G2031" s="76"/>
      <c r="H2031" s="77"/>
      <c r="I2031" s="76"/>
      <c r="J2031" s="77"/>
      <c r="K2031" s="77"/>
      <c r="L2031" s="76"/>
      <c r="M2031" s="76"/>
      <c r="N2031" s="76"/>
      <c r="O2031" s="76"/>
      <c r="P2031" s="76"/>
      <c r="Q2031" s="76"/>
      <c r="R2031" s="76"/>
      <c r="S2031" s="76"/>
      <c r="BD2031" s="99">
        <f t="shared" si="65"/>
        <v>0</v>
      </c>
      <c r="CC2031" s="99"/>
      <c r="CV2031" s="99"/>
      <c r="CW2031" s="63"/>
    </row>
    <row r="2032" spans="1:101" x14ac:dyDescent="0.15">
      <c r="A2032" s="76">
        <v>1903</v>
      </c>
      <c r="B2032" s="74" t="s">
        <v>1857</v>
      </c>
      <c r="C2032" s="74">
        <v>994807872</v>
      </c>
      <c r="D2032" s="78" t="str">
        <f t="shared" si="66"/>
        <v>https://portal.dnb.de/opac.htm?method=simpleSearch&amp;cqlMode=true&amp;query=idn%3D994807872</v>
      </c>
      <c r="E2032" s="74" t="s">
        <v>1839</v>
      </c>
      <c r="F2032" s="74"/>
      <c r="G2032" s="76"/>
      <c r="H2032" s="77"/>
      <c r="I2032" s="76"/>
      <c r="J2032" s="77"/>
      <c r="K2032" s="77"/>
      <c r="L2032" s="76"/>
      <c r="M2032" s="76"/>
      <c r="N2032" s="76"/>
      <c r="O2032" s="76"/>
      <c r="P2032" s="76"/>
      <c r="Q2032" s="76"/>
      <c r="R2032" s="76"/>
      <c r="S2032" s="76"/>
      <c r="BD2032" s="99">
        <f t="shared" si="65"/>
        <v>0</v>
      </c>
      <c r="CC2032" s="99"/>
      <c r="CV2032" s="99"/>
      <c r="CW2032" s="63"/>
    </row>
    <row r="2033" spans="1:101" x14ac:dyDescent="0.15">
      <c r="A2033" s="76">
        <v>1904</v>
      </c>
      <c r="B2033" s="74" t="s">
        <v>1858</v>
      </c>
      <c r="C2033" s="74">
        <v>994807813</v>
      </c>
      <c r="D2033" s="78" t="str">
        <f t="shared" si="66"/>
        <v>https://portal.dnb.de/opac.htm?method=simpleSearch&amp;cqlMode=true&amp;query=idn%3D994807813</v>
      </c>
      <c r="E2033" s="74" t="s">
        <v>1839</v>
      </c>
      <c r="F2033" s="74"/>
      <c r="G2033" s="76"/>
      <c r="H2033" s="77"/>
      <c r="I2033" s="76"/>
      <c r="J2033" s="77"/>
      <c r="K2033" s="77"/>
      <c r="L2033" s="76"/>
      <c r="M2033" s="76"/>
      <c r="N2033" s="76"/>
      <c r="O2033" s="76"/>
      <c r="P2033" s="76"/>
      <c r="Q2033" s="76"/>
      <c r="R2033" s="76"/>
      <c r="S2033" s="76"/>
      <c r="BD2033" s="99">
        <f t="shared" si="65"/>
        <v>0</v>
      </c>
      <c r="CC2033" s="99"/>
      <c r="CV2033" s="99"/>
      <c r="CW2033" s="63"/>
    </row>
    <row r="2034" spans="1:101" x14ac:dyDescent="0.15">
      <c r="A2034" s="76">
        <v>1905</v>
      </c>
      <c r="B2034" s="74" t="s">
        <v>1859</v>
      </c>
      <c r="C2034" s="74">
        <v>994807791</v>
      </c>
      <c r="D2034" s="78" t="str">
        <f t="shared" si="66"/>
        <v>https://portal.dnb.de/opac.htm?method=simpleSearch&amp;cqlMode=true&amp;query=idn%3D994807791</v>
      </c>
      <c r="E2034" s="74" t="s">
        <v>1839</v>
      </c>
      <c r="F2034" s="74"/>
      <c r="G2034" s="76"/>
      <c r="H2034" s="77"/>
      <c r="I2034" s="76"/>
      <c r="J2034" s="77"/>
      <c r="K2034" s="77"/>
      <c r="L2034" s="76"/>
      <c r="M2034" s="76"/>
      <c r="N2034" s="76"/>
      <c r="O2034" s="76"/>
      <c r="P2034" s="76"/>
      <c r="Q2034" s="76"/>
      <c r="R2034" s="76"/>
      <c r="S2034" s="76"/>
      <c r="BD2034" s="99">
        <f t="shared" si="65"/>
        <v>0</v>
      </c>
      <c r="CC2034" s="99"/>
      <c r="CV2034" s="99"/>
      <c r="CW2034" s="63"/>
    </row>
    <row r="2035" spans="1:101" x14ac:dyDescent="0.15">
      <c r="A2035" s="76">
        <v>1906</v>
      </c>
      <c r="B2035" s="74" t="s">
        <v>1860</v>
      </c>
      <c r="C2035" s="74">
        <v>994807724</v>
      </c>
      <c r="D2035" s="78" t="str">
        <f t="shared" si="66"/>
        <v>https://portal.dnb.de/opac.htm?method=simpleSearch&amp;cqlMode=true&amp;query=idn%3D994807724</v>
      </c>
      <c r="E2035" s="74" t="s">
        <v>1839</v>
      </c>
      <c r="F2035" s="74"/>
      <c r="G2035" s="76"/>
      <c r="H2035" s="77"/>
      <c r="I2035" s="76"/>
      <c r="J2035" s="77"/>
      <c r="K2035" s="77"/>
      <c r="L2035" s="76"/>
      <c r="M2035" s="76"/>
      <c r="N2035" s="76"/>
      <c r="O2035" s="76"/>
      <c r="P2035" s="76"/>
      <c r="Q2035" s="76"/>
      <c r="R2035" s="76"/>
      <c r="S2035" s="76"/>
      <c r="BD2035" s="99">
        <f t="shared" si="65"/>
        <v>0</v>
      </c>
      <c r="CC2035" s="99"/>
      <c r="CV2035" s="99"/>
      <c r="CW2035" s="63"/>
    </row>
    <row r="2036" spans="1:101" x14ac:dyDescent="0.15">
      <c r="A2036" s="76">
        <v>1907</v>
      </c>
      <c r="B2036" s="74" t="s">
        <v>1861</v>
      </c>
      <c r="C2036" s="74">
        <v>994807651</v>
      </c>
      <c r="D2036" s="78" t="str">
        <f t="shared" si="66"/>
        <v>https://portal.dnb.de/opac.htm?method=simpleSearch&amp;cqlMode=true&amp;query=idn%3D994807651</v>
      </c>
      <c r="E2036" s="74" t="s">
        <v>1839</v>
      </c>
      <c r="F2036" s="74"/>
      <c r="G2036" s="76"/>
      <c r="H2036" s="77"/>
      <c r="I2036" s="76"/>
      <c r="J2036" s="77"/>
      <c r="K2036" s="77"/>
      <c r="L2036" s="76"/>
      <c r="M2036" s="76"/>
      <c r="N2036" s="76"/>
      <c r="O2036" s="76"/>
      <c r="P2036" s="76"/>
      <c r="Q2036" s="76"/>
      <c r="R2036" s="76"/>
      <c r="S2036" s="76"/>
      <c r="BD2036" s="99">
        <f t="shared" si="65"/>
        <v>0</v>
      </c>
      <c r="CC2036" s="99"/>
      <c r="CV2036" s="99"/>
      <c r="CW2036" s="63"/>
    </row>
    <row r="2037" spans="1:101" x14ac:dyDescent="0.15">
      <c r="A2037" s="76">
        <v>1908</v>
      </c>
      <c r="B2037" s="74" t="s">
        <v>1862</v>
      </c>
      <c r="C2037" s="74" t="s">
        <v>1863</v>
      </c>
      <c r="D2037" s="78" t="str">
        <f t="shared" si="66"/>
        <v>https://portal.dnb.de/opac.htm?method=simpleSearch&amp;cqlMode=true&amp;query=idn%3D99442731X</v>
      </c>
      <c r="E2037" s="74" t="s">
        <v>1839</v>
      </c>
      <c r="F2037" s="74"/>
      <c r="G2037" s="76"/>
      <c r="H2037" s="77"/>
      <c r="I2037" s="76"/>
      <c r="J2037" s="77"/>
      <c r="K2037" s="77"/>
      <c r="L2037" s="76"/>
      <c r="M2037" s="76"/>
      <c r="N2037" s="76"/>
      <c r="O2037" s="76"/>
      <c r="P2037" s="76"/>
      <c r="Q2037" s="76"/>
      <c r="R2037" s="76"/>
      <c r="S2037" s="76"/>
      <c r="BD2037" s="99">
        <f t="shared" si="65"/>
        <v>0</v>
      </c>
      <c r="CC2037" s="99"/>
      <c r="CV2037" s="99"/>
      <c r="CW2037" s="63"/>
    </row>
    <row r="2038" spans="1:101" x14ac:dyDescent="0.15">
      <c r="A2038" s="76">
        <v>1909</v>
      </c>
      <c r="B2038" s="74" t="s">
        <v>1864</v>
      </c>
      <c r="C2038" s="74">
        <v>994807554</v>
      </c>
      <c r="D2038" s="78" t="str">
        <f t="shared" si="66"/>
        <v>https://portal.dnb.de/opac.htm?method=simpleSearch&amp;cqlMode=true&amp;query=idn%3D994807554</v>
      </c>
      <c r="E2038" s="74" t="s">
        <v>1839</v>
      </c>
      <c r="F2038" s="74"/>
      <c r="G2038" s="76"/>
      <c r="H2038" s="77"/>
      <c r="I2038" s="76"/>
      <c r="J2038" s="77"/>
      <c r="K2038" s="77"/>
      <c r="L2038" s="76"/>
      <c r="M2038" s="76"/>
      <c r="N2038" s="76"/>
      <c r="O2038" s="76"/>
      <c r="P2038" s="76"/>
      <c r="Q2038" s="76"/>
      <c r="R2038" s="76"/>
      <c r="S2038" s="76"/>
      <c r="BD2038" s="99">
        <f t="shared" si="65"/>
        <v>0</v>
      </c>
      <c r="CC2038" s="99"/>
      <c r="CV2038" s="99"/>
      <c r="CW2038" s="63"/>
    </row>
    <row r="2039" spans="1:101" x14ac:dyDescent="0.15">
      <c r="A2039" s="76">
        <v>1910</v>
      </c>
      <c r="B2039" s="74" t="s">
        <v>1865</v>
      </c>
      <c r="C2039" s="74">
        <v>994490631</v>
      </c>
      <c r="D2039" s="78" t="str">
        <f t="shared" si="66"/>
        <v>https://portal.dnb.de/opac.htm?method=simpleSearch&amp;cqlMode=true&amp;query=idn%3D994490631</v>
      </c>
      <c r="E2039" s="74" t="s">
        <v>1839</v>
      </c>
      <c r="F2039" s="74"/>
      <c r="G2039" s="76"/>
      <c r="H2039" s="77"/>
      <c r="I2039" s="76"/>
      <c r="J2039" s="77"/>
      <c r="K2039" s="77"/>
      <c r="L2039" s="76"/>
      <c r="M2039" s="76"/>
      <c r="N2039" s="76"/>
      <c r="O2039" s="76"/>
      <c r="P2039" s="76"/>
      <c r="Q2039" s="76"/>
      <c r="R2039" s="76"/>
      <c r="S2039" s="76"/>
      <c r="BD2039" s="99">
        <f t="shared" si="65"/>
        <v>0</v>
      </c>
      <c r="CC2039" s="99"/>
      <c r="CV2039" s="99"/>
      <c r="CW2039" s="63"/>
    </row>
    <row r="2040" spans="1:101" x14ac:dyDescent="0.15">
      <c r="A2040" s="76">
        <v>1911</v>
      </c>
      <c r="B2040" s="74" t="s">
        <v>1866</v>
      </c>
      <c r="C2040" s="74">
        <v>994807503</v>
      </c>
      <c r="D2040" s="78" t="str">
        <f t="shared" si="66"/>
        <v>https://portal.dnb.de/opac.htm?method=simpleSearch&amp;cqlMode=true&amp;query=idn%3D994807503</v>
      </c>
      <c r="E2040" s="74" t="s">
        <v>1839</v>
      </c>
      <c r="F2040" s="74"/>
      <c r="G2040" s="76"/>
      <c r="H2040" s="77"/>
      <c r="I2040" s="76"/>
      <c r="J2040" s="77"/>
      <c r="K2040" s="77"/>
      <c r="L2040" s="76"/>
      <c r="M2040" s="76"/>
      <c r="N2040" s="76"/>
      <c r="O2040" s="76"/>
      <c r="P2040" s="76"/>
      <c r="Q2040" s="76"/>
      <c r="R2040" s="76"/>
      <c r="S2040" s="76"/>
      <c r="BD2040" s="99">
        <f t="shared" si="65"/>
        <v>0</v>
      </c>
      <c r="CC2040" s="99"/>
      <c r="CV2040" s="99"/>
      <c r="CW2040" s="63"/>
    </row>
    <row r="2041" spans="1:101" x14ac:dyDescent="0.15">
      <c r="A2041" s="76">
        <v>1912</v>
      </c>
      <c r="B2041" s="74" t="s">
        <v>1867</v>
      </c>
      <c r="C2041" s="74">
        <v>994593856</v>
      </c>
      <c r="D2041" s="78" t="str">
        <f t="shared" si="66"/>
        <v>https://portal.dnb.de/opac.htm?method=simpleSearch&amp;cqlMode=true&amp;query=idn%3D994593856</v>
      </c>
      <c r="E2041" s="74" t="s">
        <v>1839</v>
      </c>
      <c r="F2041" s="74"/>
      <c r="G2041" s="76"/>
      <c r="H2041" s="77"/>
      <c r="I2041" s="76"/>
      <c r="J2041" s="77"/>
      <c r="K2041" s="77"/>
      <c r="L2041" s="76"/>
      <c r="M2041" s="76"/>
      <c r="N2041" s="76"/>
      <c r="O2041" s="76"/>
      <c r="P2041" s="76"/>
      <c r="Q2041" s="76"/>
      <c r="R2041" s="76"/>
      <c r="S2041" s="76"/>
      <c r="BD2041" s="99">
        <f t="shared" si="65"/>
        <v>0</v>
      </c>
      <c r="CC2041" s="99"/>
      <c r="CV2041" s="99"/>
      <c r="CW2041" s="63"/>
    </row>
    <row r="2042" spans="1:101" x14ac:dyDescent="0.15">
      <c r="A2042" s="76">
        <v>1913</v>
      </c>
      <c r="B2042" s="74" t="s">
        <v>1868</v>
      </c>
      <c r="C2042" s="74">
        <v>994807473</v>
      </c>
      <c r="D2042" s="78" t="str">
        <f t="shared" si="66"/>
        <v>https://portal.dnb.de/opac.htm?method=simpleSearch&amp;cqlMode=true&amp;query=idn%3D994807473</v>
      </c>
      <c r="E2042" s="74" t="s">
        <v>1839</v>
      </c>
      <c r="F2042" s="74"/>
      <c r="G2042" s="76"/>
      <c r="H2042" s="77"/>
      <c r="I2042" s="76"/>
      <c r="J2042" s="77"/>
      <c r="K2042" s="77"/>
      <c r="L2042" s="76"/>
      <c r="M2042" s="76"/>
      <c r="N2042" s="76"/>
      <c r="O2042" s="76"/>
      <c r="P2042" s="76"/>
      <c r="Q2042" s="76"/>
      <c r="R2042" s="76"/>
      <c r="S2042" s="76"/>
      <c r="BD2042" s="99">
        <f t="shared" si="65"/>
        <v>0</v>
      </c>
      <c r="CC2042" s="99"/>
      <c r="CV2042" s="99"/>
      <c r="CW2042" s="63"/>
    </row>
    <row r="2043" spans="1:101" x14ac:dyDescent="0.15">
      <c r="A2043" s="76">
        <v>1914</v>
      </c>
      <c r="B2043" s="74" t="s">
        <v>1869</v>
      </c>
      <c r="C2043" s="74">
        <v>994807430</v>
      </c>
      <c r="D2043" s="78" t="str">
        <f t="shared" si="66"/>
        <v>https://portal.dnb.de/opac.htm?method=simpleSearch&amp;cqlMode=true&amp;query=idn%3D994807430</v>
      </c>
      <c r="E2043" s="74" t="s">
        <v>1839</v>
      </c>
      <c r="F2043" s="74"/>
      <c r="G2043" s="76"/>
      <c r="H2043" s="77"/>
      <c r="I2043" s="76"/>
      <c r="J2043" s="77"/>
      <c r="K2043" s="77"/>
      <c r="L2043" s="76"/>
      <c r="M2043" s="76"/>
      <c r="N2043" s="76"/>
      <c r="O2043" s="76"/>
      <c r="P2043" s="76"/>
      <c r="Q2043" s="76"/>
      <c r="R2043" s="76"/>
      <c r="S2043" s="76"/>
      <c r="BD2043" s="99">
        <f t="shared" si="65"/>
        <v>0</v>
      </c>
      <c r="CC2043" s="99"/>
      <c r="CV2043" s="99"/>
      <c r="CW2043" s="63"/>
    </row>
    <row r="2044" spans="1:101" x14ac:dyDescent="0.15">
      <c r="A2044" s="76">
        <v>1915</v>
      </c>
      <c r="B2044" s="74" t="s">
        <v>1870</v>
      </c>
      <c r="C2044" s="74">
        <v>994808259</v>
      </c>
      <c r="D2044" s="78" t="str">
        <f t="shared" si="66"/>
        <v>https://portal.dnb.de/opac.htm?method=simpleSearch&amp;cqlMode=true&amp;query=idn%3D994808259</v>
      </c>
      <c r="E2044" s="74" t="s">
        <v>1839</v>
      </c>
      <c r="F2044" s="74"/>
      <c r="G2044" s="76"/>
      <c r="H2044" s="77"/>
      <c r="I2044" s="76"/>
      <c r="J2044" s="77"/>
      <c r="K2044" s="77"/>
      <c r="L2044" s="76"/>
      <c r="M2044" s="76"/>
      <c r="N2044" s="76"/>
      <c r="O2044" s="76"/>
      <c r="P2044" s="76"/>
      <c r="Q2044" s="76"/>
      <c r="R2044" s="76"/>
      <c r="S2044" s="76"/>
      <c r="BD2044" s="99">
        <f t="shared" si="65"/>
        <v>0</v>
      </c>
      <c r="CC2044" s="99"/>
      <c r="CV2044" s="99"/>
      <c r="CW2044" s="63"/>
    </row>
    <row r="2045" spans="1:101" x14ac:dyDescent="0.15">
      <c r="A2045" s="76">
        <v>1916</v>
      </c>
      <c r="B2045" s="74" t="s">
        <v>1871</v>
      </c>
      <c r="C2045" s="74">
        <v>994807376</v>
      </c>
      <c r="D2045" s="78" t="str">
        <f t="shared" si="66"/>
        <v>https://portal.dnb.de/opac.htm?method=simpleSearch&amp;cqlMode=true&amp;query=idn%3D994807376</v>
      </c>
      <c r="E2045" s="74" t="s">
        <v>1839</v>
      </c>
      <c r="F2045" s="74"/>
      <c r="G2045" s="76"/>
      <c r="H2045" s="77"/>
      <c r="I2045" s="76"/>
      <c r="J2045" s="77"/>
      <c r="K2045" s="77"/>
      <c r="L2045" s="76"/>
      <c r="M2045" s="76"/>
      <c r="N2045" s="76"/>
      <c r="O2045" s="76"/>
      <c r="P2045" s="76"/>
      <c r="Q2045" s="76"/>
      <c r="R2045" s="76"/>
      <c r="S2045" s="76"/>
      <c r="BD2045" s="99">
        <f t="shared" si="65"/>
        <v>0</v>
      </c>
      <c r="CC2045" s="99"/>
      <c r="CV2045" s="99"/>
      <c r="CW2045" s="63"/>
    </row>
    <row r="2046" spans="1:101" x14ac:dyDescent="0.15">
      <c r="A2046" s="76">
        <v>1917</v>
      </c>
      <c r="B2046" s="74" t="s">
        <v>1872</v>
      </c>
      <c r="C2046" s="74">
        <v>994807236</v>
      </c>
      <c r="D2046" s="78" t="str">
        <f t="shared" si="66"/>
        <v>https://portal.dnb.de/opac.htm?method=simpleSearch&amp;cqlMode=true&amp;query=idn%3D994807236</v>
      </c>
      <c r="E2046" s="74" t="s">
        <v>1839</v>
      </c>
      <c r="F2046" s="74"/>
      <c r="G2046" s="76"/>
      <c r="H2046" s="77"/>
      <c r="I2046" s="76"/>
      <c r="J2046" s="77"/>
      <c r="K2046" s="77"/>
      <c r="L2046" s="76"/>
      <c r="M2046" s="76"/>
      <c r="N2046" s="76"/>
      <c r="O2046" s="76"/>
      <c r="P2046" s="76"/>
      <c r="Q2046" s="76"/>
      <c r="R2046" s="76"/>
      <c r="S2046" s="76"/>
      <c r="BD2046" s="99">
        <f t="shared" si="65"/>
        <v>0</v>
      </c>
      <c r="CC2046" s="99"/>
      <c r="CV2046" s="99"/>
      <c r="CW2046" s="63"/>
    </row>
    <row r="2047" spans="1:101" x14ac:dyDescent="0.15">
      <c r="A2047" s="76">
        <v>1918</v>
      </c>
      <c r="B2047" s="74" t="s">
        <v>1873</v>
      </c>
      <c r="C2047" s="74">
        <v>994803079</v>
      </c>
      <c r="D2047" s="78" t="str">
        <f t="shared" si="66"/>
        <v>https://portal.dnb.de/opac.htm?method=simpleSearch&amp;cqlMode=true&amp;query=idn%3D994803079</v>
      </c>
      <c r="E2047" s="74" t="s">
        <v>1839</v>
      </c>
      <c r="F2047" s="74"/>
      <c r="G2047" s="76"/>
      <c r="H2047" s="77"/>
      <c r="I2047" s="76"/>
      <c r="J2047" s="77"/>
      <c r="K2047" s="77"/>
      <c r="L2047" s="76"/>
      <c r="M2047" s="76"/>
      <c r="N2047" s="76"/>
      <c r="O2047" s="76"/>
      <c r="P2047" s="76"/>
      <c r="Q2047" s="76"/>
      <c r="R2047" s="76"/>
      <c r="S2047" s="76"/>
      <c r="BD2047" s="99">
        <f t="shared" si="65"/>
        <v>0</v>
      </c>
      <c r="CC2047" s="99"/>
      <c r="CV2047" s="99"/>
      <c r="CW2047" s="63"/>
    </row>
    <row r="2048" spans="1:101" x14ac:dyDescent="0.15">
      <c r="A2048" s="76">
        <v>1919</v>
      </c>
      <c r="B2048" s="74" t="s">
        <v>1874</v>
      </c>
      <c r="C2048" s="74">
        <v>994803052</v>
      </c>
      <c r="D2048" s="78" t="str">
        <f t="shared" si="66"/>
        <v>https://portal.dnb.de/opac.htm?method=simpleSearch&amp;cqlMode=true&amp;query=idn%3D994803052</v>
      </c>
      <c r="E2048" s="74" t="s">
        <v>1839</v>
      </c>
      <c r="F2048" s="74"/>
      <c r="G2048" s="76"/>
      <c r="H2048" s="77"/>
      <c r="I2048" s="76"/>
      <c r="J2048" s="77"/>
      <c r="K2048" s="77"/>
      <c r="L2048" s="76"/>
      <c r="M2048" s="76"/>
      <c r="N2048" s="76"/>
      <c r="O2048" s="76"/>
      <c r="P2048" s="76"/>
      <c r="Q2048" s="76"/>
      <c r="R2048" s="76"/>
      <c r="S2048" s="76"/>
      <c r="BD2048" s="99">
        <f t="shared" si="65"/>
        <v>0</v>
      </c>
      <c r="CC2048" s="99"/>
      <c r="CV2048" s="99"/>
      <c r="CW2048" s="63"/>
    </row>
    <row r="2049" spans="1:101" x14ac:dyDescent="0.15">
      <c r="A2049" s="76">
        <v>1920</v>
      </c>
      <c r="B2049" s="74" t="s">
        <v>1875</v>
      </c>
      <c r="C2049" s="74">
        <v>994802919</v>
      </c>
      <c r="D2049" s="78" t="str">
        <f t="shared" si="66"/>
        <v>https://portal.dnb.de/opac.htm?method=simpleSearch&amp;cqlMode=true&amp;query=idn%3D994802919</v>
      </c>
      <c r="E2049" s="74" t="s">
        <v>1839</v>
      </c>
      <c r="F2049" s="74"/>
      <c r="G2049" s="76"/>
      <c r="H2049" s="77"/>
      <c r="I2049" s="76"/>
      <c r="J2049" s="77"/>
      <c r="K2049" s="77"/>
      <c r="L2049" s="76"/>
      <c r="M2049" s="76"/>
      <c r="N2049" s="76"/>
      <c r="O2049" s="76"/>
      <c r="P2049" s="76"/>
      <c r="Q2049" s="76"/>
      <c r="R2049" s="76"/>
      <c r="S2049" s="76"/>
      <c r="BD2049" s="99">
        <f t="shared" si="65"/>
        <v>0</v>
      </c>
      <c r="CC2049" s="99"/>
      <c r="CV2049" s="99"/>
      <c r="CW2049" s="63"/>
    </row>
    <row r="2050" spans="1:101" x14ac:dyDescent="0.15">
      <c r="A2050" s="76">
        <v>1921</v>
      </c>
      <c r="B2050" s="74" t="s">
        <v>1876</v>
      </c>
      <c r="C2050" s="74">
        <v>994802811</v>
      </c>
      <c r="D2050" s="78" t="str">
        <f t="shared" si="66"/>
        <v>https://portal.dnb.de/opac.htm?method=simpleSearch&amp;cqlMode=true&amp;query=idn%3D994802811</v>
      </c>
      <c r="E2050" s="74" t="s">
        <v>1839</v>
      </c>
      <c r="F2050" s="74"/>
      <c r="G2050" s="76"/>
      <c r="H2050" s="77"/>
      <c r="I2050" s="76"/>
      <c r="J2050" s="77"/>
      <c r="K2050" s="77"/>
      <c r="L2050" s="76"/>
      <c r="M2050" s="76"/>
      <c r="N2050" s="76"/>
      <c r="O2050" s="76"/>
      <c r="P2050" s="76"/>
      <c r="Q2050" s="76"/>
      <c r="R2050" s="76"/>
      <c r="S2050" s="76"/>
      <c r="BD2050" s="99">
        <f t="shared" si="65"/>
        <v>0</v>
      </c>
      <c r="CC2050" s="99"/>
      <c r="CV2050" s="99"/>
      <c r="CW2050" s="63"/>
    </row>
    <row r="2051" spans="1:101" x14ac:dyDescent="0.15">
      <c r="A2051" s="76">
        <v>1922</v>
      </c>
      <c r="B2051" s="74" t="s">
        <v>1877</v>
      </c>
      <c r="C2051" s="74">
        <v>994802757</v>
      </c>
      <c r="D2051" s="78" t="str">
        <f t="shared" si="66"/>
        <v>https://portal.dnb.de/opac.htm?method=simpleSearch&amp;cqlMode=true&amp;query=idn%3D994802757</v>
      </c>
      <c r="E2051" s="74" t="s">
        <v>1839</v>
      </c>
      <c r="F2051" s="74"/>
      <c r="G2051" s="76"/>
      <c r="H2051" s="77"/>
      <c r="I2051" s="76"/>
      <c r="J2051" s="77"/>
      <c r="K2051" s="77"/>
      <c r="L2051" s="76"/>
      <c r="M2051" s="76"/>
      <c r="N2051" s="76"/>
      <c r="O2051" s="76"/>
      <c r="P2051" s="76"/>
      <c r="Q2051" s="76"/>
      <c r="R2051" s="76"/>
      <c r="S2051" s="76"/>
      <c r="BD2051" s="99">
        <f t="shared" ref="BD2051:BD2114" si="67">CC2051+CV2051</f>
        <v>0</v>
      </c>
      <c r="CC2051" s="99"/>
      <c r="CV2051" s="99"/>
      <c r="CW2051" s="63"/>
    </row>
    <row r="2052" spans="1:101" x14ac:dyDescent="0.15">
      <c r="A2052" s="76">
        <v>1923</v>
      </c>
      <c r="B2052" s="74" t="s">
        <v>1878</v>
      </c>
      <c r="C2052" s="74">
        <v>994802714</v>
      </c>
      <c r="D2052" s="78" t="str">
        <f t="shared" si="66"/>
        <v>https://portal.dnb.de/opac.htm?method=simpleSearch&amp;cqlMode=true&amp;query=idn%3D994802714</v>
      </c>
      <c r="E2052" s="74" t="s">
        <v>1839</v>
      </c>
      <c r="F2052" s="74"/>
      <c r="G2052" s="76"/>
      <c r="H2052" s="77"/>
      <c r="I2052" s="76"/>
      <c r="J2052" s="77"/>
      <c r="K2052" s="77"/>
      <c r="L2052" s="76"/>
      <c r="M2052" s="76"/>
      <c r="N2052" s="76"/>
      <c r="O2052" s="76"/>
      <c r="P2052" s="76"/>
      <c r="Q2052" s="76"/>
      <c r="R2052" s="76"/>
      <c r="S2052" s="76"/>
      <c r="BD2052" s="99">
        <f t="shared" si="67"/>
        <v>0</v>
      </c>
      <c r="CC2052" s="99"/>
      <c r="CV2052" s="99"/>
      <c r="CW2052" s="63"/>
    </row>
    <row r="2053" spans="1:101" x14ac:dyDescent="0.15">
      <c r="A2053" s="76">
        <v>1924</v>
      </c>
      <c r="B2053" s="74" t="s">
        <v>1879</v>
      </c>
      <c r="C2053" s="74">
        <v>1003310680</v>
      </c>
      <c r="D2053" s="78" t="str">
        <f t="shared" si="66"/>
        <v>https://portal.dnb.de/opac.htm?method=simpleSearch&amp;cqlMode=true&amp;query=idn%3D1003310680</v>
      </c>
      <c r="E2053" s="74" t="s">
        <v>1839</v>
      </c>
      <c r="F2053" s="74"/>
      <c r="G2053" s="76"/>
      <c r="H2053" s="77"/>
      <c r="I2053" s="76"/>
      <c r="J2053" s="77"/>
      <c r="K2053" s="77"/>
      <c r="L2053" s="76"/>
      <c r="M2053" s="76"/>
      <c r="N2053" s="76"/>
      <c r="O2053" s="76"/>
      <c r="P2053" s="76"/>
      <c r="Q2053" s="76"/>
      <c r="R2053" s="76"/>
      <c r="S2053" s="76"/>
      <c r="BD2053" s="99">
        <f t="shared" si="67"/>
        <v>0</v>
      </c>
      <c r="CC2053" s="99"/>
      <c r="CV2053" s="99"/>
      <c r="CW2053" s="63"/>
    </row>
    <row r="2054" spans="1:101" x14ac:dyDescent="0.15">
      <c r="A2054" s="76">
        <v>1925</v>
      </c>
      <c r="B2054" s="74" t="s">
        <v>1880</v>
      </c>
      <c r="C2054" s="74" t="s">
        <v>1881</v>
      </c>
      <c r="D2054" s="78" t="str">
        <f t="shared" si="66"/>
        <v>https://portal.dnb.de/opac.htm?method=simpleSearch&amp;cqlMode=true&amp;query=idn%3D99480265X</v>
      </c>
      <c r="E2054" s="74" t="s">
        <v>1839</v>
      </c>
      <c r="F2054" s="74"/>
      <c r="G2054" s="76"/>
      <c r="H2054" s="77"/>
      <c r="I2054" s="76"/>
      <c r="J2054" s="77"/>
      <c r="K2054" s="77"/>
      <c r="L2054" s="76"/>
      <c r="M2054" s="76"/>
      <c r="N2054" s="76"/>
      <c r="O2054" s="76"/>
      <c r="P2054" s="76"/>
      <c r="Q2054" s="76"/>
      <c r="R2054" s="76"/>
      <c r="S2054" s="76"/>
      <c r="BD2054" s="99">
        <f t="shared" si="67"/>
        <v>0</v>
      </c>
      <c r="CC2054" s="99"/>
      <c r="CV2054" s="99"/>
      <c r="CW2054" s="63"/>
    </row>
    <row r="2055" spans="1:101" x14ac:dyDescent="0.15">
      <c r="A2055" s="76">
        <v>1926</v>
      </c>
      <c r="B2055" s="74" t="s">
        <v>1882</v>
      </c>
      <c r="C2055" s="74">
        <v>994802579</v>
      </c>
      <c r="D2055" s="78" t="str">
        <f t="shared" si="66"/>
        <v>https://portal.dnb.de/opac.htm?method=simpleSearch&amp;cqlMode=true&amp;query=idn%3D994802579</v>
      </c>
      <c r="E2055" s="74" t="s">
        <v>1839</v>
      </c>
      <c r="F2055" s="74"/>
      <c r="G2055" s="76"/>
      <c r="H2055" s="77"/>
      <c r="I2055" s="76"/>
      <c r="J2055" s="77"/>
      <c r="K2055" s="77"/>
      <c r="L2055" s="76"/>
      <c r="M2055" s="76"/>
      <c r="N2055" s="76"/>
      <c r="O2055" s="76"/>
      <c r="P2055" s="76"/>
      <c r="Q2055" s="76"/>
      <c r="R2055" s="76"/>
      <c r="S2055" s="76"/>
      <c r="BD2055" s="99">
        <f t="shared" si="67"/>
        <v>0</v>
      </c>
      <c r="CC2055" s="99"/>
      <c r="CV2055" s="99"/>
      <c r="CW2055" s="63"/>
    </row>
    <row r="2056" spans="1:101" x14ac:dyDescent="0.15">
      <c r="A2056" s="76">
        <v>1927</v>
      </c>
      <c r="B2056" s="74" t="s">
        <v>1883</v>
      </c>
      <c r="C2056" s="74" t="s">
        <v>1884</v>
      </c>
      <c r="D2056" s="78" t="str">
        <f t="shared" si="66"/>
        <v>https://portal.dnb.de/opac.htm?method=simpleSearch&amp;cqlMode=true&amp;query=idn%3D99480248X</v>
      </c>
      <c r="E2056" s="74" t="s">
        <v>1839</v>
      </c>
      <c r="F2056" s="74"/>
      <c r="G2056" s="76"/>
      <c r="H2056" s="77"/>
      <c r="I2056" s="76"/>
      <c r="J2056" s="77"/>
      <c r="K2056" s="77"/>
      <c r="L2056" s="76"/>
      <c r="M2056" s="76"/>
      <c r="N2056" s="76"/>
      <c r="O2056" s="76"/>
      <c r="P2056" s="76"/>
      <c r="Q2056" s="76"/>
      <c r="R2056" s="76"/>
      <c r="S2056" s="76"/>
      <c r="BD2056" s="99">
        <f t="shared" si="67"/>
        <v>0</v>
      </c>
      <c r="CC2056" s="99"/>
      <c r="CV2056" s="99"/>
      <c r="CW2056" s="63"/>
    </row>
    <row r="2057" spans="1:101" x14ac:dyDescent="0.15">
      <c r="A2057" s="76">
        <v>1928</v>
      </c>
      <c r="B2057" s="74" t="s">
        <v>1885</v>
      </c>
      <c r="C2057" s="74">
        <v>994519583</v>
      </c>
      <c r="D2057" s="78" t="str">
        <f t="shared" si="66"/>
        <v>https://portal.dnb.de/opac.htm?method=simpleSearch&amp;cqlMode=true&amp;query=idn%3D994519583</v>
      </c>
      <c r="E2057" s="74" t="s">
        <v>1839</v>
      </c>
      <c r="F2057" s="74"/>
      <c r="G2057" s="76"/>
      <c r="H2057" s="77"/>
      <c r="I2057" s="76"/>
      <c r="J2057" s="77"/>
      <c r="K2057" s="77"/>
      <c r="L2057" s="76"/>
      <c r="M2057" s="76"/>
      <c r="N2057" s="76"/>
      <c r="O2057" s="76"/>
      <c r="P2057" s="76"/>
      <c r="Q2057" s="76"/>
      <c r="R2057" s="76"/>
      <c r="S2057" s="76"/>
      <c r="BD2057" s="99">
        <f t="shared" si="67"/>
        <v>0</v>
      </c>
      <c r="CC2057" s="99"/>
      <c r="CV2057" s="99"/>
      <c r="CW2057" s="63"/>
    </row>
    <row r="2058" spans="1:101" x14ac:dyDescent="0.15">
      <c r="A2058" s="76">
        <v>1929</v>
      </c>
      <c r="B2058" s="74" t="s">
        <v>1886</v>
      </c>
      <c r="C2058" s="74">
        <v>994793642</v>
      </c>
      <c r="D2058" s="78" t="str">
        <f t="shared" si="66"/>
        <v>https://portal.dnb.de/opac.htm?method=simpleSearch&amp;cqlMode=true&amp;query=idn%3D994793642</v>
      </c>
      <c r="E2058" s="74" t="s">
        <v>1839</v>
      </c>
      <c r="F2058" s="74"/>
      <c r="G2058" s="76"/>
      <c r="H2058" s="77"/>
      <c r="I2058" s="76"/>
      <c r="J2058" s="77"/>
      <c r="K2058" s="77"/>
      <c r="L2058" s="76"/>
      <c r="M2058" s="76"/>
      <c r="N2058" s="76"/>
      <c r="O2058" s="76"/>
      <c r="P2058" s="76"/>
      <c r="Q2058" s="76"/>
      <c r="R2058" s="76"/>
      <c r="S2058" s="76"/>
      <c r="BD2058" s="99">
        <f t="shared" si="67"/>
        <v>0</v>
      </c>
      <c r="CC2058" s="99"/>
      <c r="CV2058" s="99"/>
      <c r="CW2058" s="63"/>
    </row>
    <row r="2059" spans="1:101" x14ac:dyDescent="0.15">
      <c r="A2059" s="76">
        <v>1930</v>
      </c>
      <c r="B2059" s="74" t="s">
        <v>1887</v>
      </c>
      <c r="C2059" s="74">
        <v>994807287</v>
      </c>
      <c r="D2059" s="78" t="str">
        <f t="shared" si="66"/>
        <v>https://portal.dnb.de/opac.htm?method=simpleSearch&amp;cqlMode=true&amp;query=idn%3D994807287</v>
      </c>
      <c r="E2059" s="74" t="s">
        <v>1839</v>
      </c>
      <c r="F2059" s="74"/>
      <c r="G2059" s="76"/>
      <c r="H2059" s="77"/>
      <c r="I2059" s="76"/>
      <c r="J2059" s="77"/>
      <c r="K2059" s="77"/>
      <c r="L2059" s="76"/>
      <c r="M2059" s="76"/>
      <c r="N2059" s="76"/>
      <c r="O2059" s="76"/>
      <c r="P2059" s="76"/>
      <c r="Q2059" s="76"/>
      <c r="R2059" s="76"/>
      <c r="S2059" s="76"/>
      <c r="BD2059" s="99">
        <f t="shared" si="67"/>
        <v>0</v>
      </c>
      <c r="CC2059" s="99"/>
      <c r="CV2059" s="99"/>
      <c r="CW2059" s="63"/>
    </row>
    <row r="2060" spans="1:101" x14ac:dyDescent="0.15">
      <c r="A2060" s="76">
        <v>1931</v>
      </c>
      <c r="B2060" s="74" t="s">
        <v>1888</v>
      </c>
      <c r="C2060" s="74">
        <v>994808305</v>
      </c>
      <c r="D2060" s="78" t="str">
        <f t="shared" si="66"/>
        <v>https://portal.dnb.de/opac.htm?method=simpleSearch&amp;cqlMode=true&amp;query=idn%3D994808305</v>
      </c>
      <c r="E2060" s="74" t="s">
        <v>1839</v>
      </c>
      <c r="F2060" s="74"/>
      <c r="G2060" s="76"/>
      <c r="H2060" s="77"/>
      <c r="I2060" s="76"/>
      <c r="J2060" s="77"/>
      <c r="K2060" s="77"/>
      <c r="L2060" s="76"/>
      <c r="M2060" s="76"/>
      <c r="N2060" s="76"/>
      <c r="O2060" s="76"/>
      <c r="P2060" s="76"/>
      <c r="Q2060" s="76"/>
      <c r="R2060" s="76"/>
      <c r="S2060" s="76"/>
      <c r="BD2060" s="99">
        <f t="shared" si="67"/>
        <v>0</v>
      </c>
      <c r="CC2060" s="99"/>
      <c r="CV2060" s="99"/>
      <c r="CW2060" s="63"/>
    </row>
    <row r="2061" spans="1:101" x14ac:dyDescent="0.15">
      <c r="A2061" s="76">
        <v>1932</v>
      </c>
      <c r="B2061" s="74" t="s">
        <v>1889</v>
      </c>
      <c r="C2061" s="74">
        <v>999458671</v>
      </c>
      <c r="D2061" s="78" t="str">
        <f t="shared" si="66"/>
        <v>https://portal.dnb.de/opac.htm?method=simpleSearch&amp;cqlMode=true&amp;query=idn%3D999458671</v>
      </c>
      <c r="E2061" s="74" t="s">
        <v>1839</v>
      </c>
      <c r="F2061" s="74"/>
      <c r="G2061" s="76"/>
      <c r="H2061" s="77" t="s">
        <v>4</v>
      </c>
      <c r="I2061" s="76" t="s">
        <v>53</v>
      </c>
      <c r="J2061" s="77" t="s">
        <v>58</v>
      </c>
      <c r="K2061" s="77" t="s">
        <v>8520</v>
      </c>
      <c r="L2061" s="76"/>
      <c r="M2061" s="76" t="s">
        <v>36</v>
      </c>
      <c r="N2061" s="76" t="s">
        <v>39</v>
      </c>
      <c r="O2061" s="76">
        <v>3</v>
      </c>
      <c r="P2061" s="76"/>
      <c r="Q2061" s="76"/>
      <c r="R2061" s="76"/>
      <c r="S2061" s="76"/>
      <c r="BD2061" s="99">
        <f t="shared" si="67"/>
        <v>0</v>
      </c>
      <c r="CC2061" s="99"/>
      <c r="CV2061" s="99"/>
      <c r="CW2061" s="63"/>
    </row>
    <row r="2062" spans="1:101" x14ac:dyDescent="0.15">
      <c r="A2062" s="76">
        <v>1933</v>
      </c>
      <c r="B2062" s="74" t="s">
        <v>1890</v>
      </c>
      <c r="C2062" s="74">
        <v>994401566</v>
      </c>
      <c r="D2062" s="78" t="str">
        <f t="shared" si="66"/>
        <v>https://portal.dnb.de/opac.htm?method=simpleSearch&amp;cqlMode=true&amp;query=idn%3D994401566</v>
      </c>
      <c r="E2062" s="74" t="s">
        <v>1839</v>
      </c>
      <c r="F2062" s="74"/>
      <c r="G2062" s="76"/>
      <c r="H2062" s="77"/>
      <c r="I2062" s="76"/>
      <c r="J2062" s="77"/>
      <c r="K2062" s="77"/>
      <c r="L2062" s="76"/>
      <c r="M2062" s="76"/>
      <c r="N2062" s="76"/>
      <c r="O2062" s="76"/>
      <c r="P2062" s="76"/>
      <c r="Q2062" s="76"/>
      <c r="R2062" s="76"/>
      <c r="S2062" s="76"/>
      <c r="BD2062" s="99">
        <f t="shared" si="67"/>
        <v>0</v>
      </c>
      <c r="CC2062" s="99"/>
      <c r="CV2062" s="99"/>
      <c r="CW2062" s="63"/>
    </row>
    <row r="2063" spans="1:101" x14ac:dyDescent="0.15">
      <c r="A2063" s="76">
        <v>1934</v>
      </c>
      <c r="B2063" s="74" t="s">
        <v>1891</v>
      </c>
      <c r="C2063" s="74">
        <v>994808313</v>
      </c>
      <c r="D2063" s="78" t="str">
        <f t="shared" si="66"/>
        <v>https://portal.dnb.de/opac.htm?method=simpleSearch&amp;cqlMode=true&amp;query=idn%3D994808313</v>
      </c>
      <c r="E2063" s="74" t="s">
        <v>1839</v>
      </c>
      <c r="F2063" s="74"/>
      <c r="G2063" s="76"/>
      <c r="H2063" s="77"/>
      <c r="I2063" s="76"/>
      <c r="J2063" s="77"/>
      <c r="K2063" s="77"/>
      <c r="L2063" s="76"/>
      <c r="M2063" s="76"/>
      <c r="N2063" s="76"/>
      <c r="O2063" s="76"/>
      <c r="P2063" s="76"/>
      <c r="Q2063" s="76"/>
      <c r="R2063" s="76"/>
      <c r="S2063" s="76"/>
      <c r="BD2063" s="99">
        <f t="shared" si="67"/>
        <v>0</v>
      </c>
      <c r="CC2063" s="99"/>
      <c r="CV2063" s="99"/>
      <c r="CW2063" s="63"/>
    </row>
    <row r="2064" spans="1:101" x14ac:dyDescent="0.15">
      <c r="A2064" s="76">
        <v>1935</v>
      </c>
      <c r="B2064" s="74" t="s">
        <v>1892</v>
      </c>
      <c r="C2064" s="74">
        <v>994808364</v>
      </c>
      <c r="D2064" s="78" t="str">
        <f t="shared" si="66"/>
        <v>https://portal.dnb.de/opac.htm?method=simpleSearch&amp;cqlMode=true&amp;query=idn%3D994808364</v>
      </c>
      <c r="E2064" s="74" t="s">
        <v>1839</v>
      </c>
      <c r="F2064" s="74"/>
      <c r="G2064" s="76"/>
      <c r="H2064" s="77"/>
      <c r="I2064" s="76"/>
      <c r="J2064" s="77"/>
      <c r="K2064" s="77"/>
      <c r="L2064" s="76"/>
      <c r="M2064" s="76"/>
      <c r="N2064" s="76"/>
      <c r="O2064" s="76"/>
      <c r="P2064" s="76"/>
      <c r="Q2064" s="76"/>
      <c r="R2064" s="76"/>
      <c r="S2064" s="76"/>
      <c r="BD2064" s="99">
        <f t="shared" si="67"/>
        <v>0</v>
      </c>
      <c r="CC2064" s="99"/>
      <c r="CV2064" s="99"/>
      <c r="CW2064" s="63"/>
    </row>
    <row r="2065" spans="1:101" x14ac:dyDescent="0.15">
      <c r="A2065" s="76">
        <v>1936</v>
      </c>
      <c r="B2065" s="74" t="s">
        <v>1893</v>
      </c>
      <c r="C2065" s="74">
        <v>994397488</v>
      </c>
      <c r="D2065" s="78" t="str">
        <f t="shared" si="66"/>
        <v>https://portal.dnb.de/opac.htm?method=simpleSearch&amp;cqlMode=true&amp;query=idn%3D994397488</v>
      </c>
      <c r="E2065" s="74" t="s">
        <v>1839</v>
      </c>
      <c r="F2065" s="74"/>
      <c r="G2065" s="76"/>
      <c r="H2065" s="77"/>
      <c r="I2065" s="76"/>
      <c r="J2065" s="77"/>
      <c r="K2065" s="77"/>
      <c r="L2065" s="76"/>
      <c r="M2065" s="76"/>
      <c r="N2065" s="76"/>
      <c r="O2065" s="76"/>
      <c r="P2065" s="76"/>
      <c r="Q2065" s="76"/>
      <c r="R2065" s="76"/>
      <c r="S2065" s="76"/>
      <c r="BD2065" s="99">
        <f t="shared" si="67"/>
        <v>0</v>
      </c>
      <c r="CC2065" s="99"/>
      <c r="CV2065" s="99"/>
      <c r="CW2065" s="63"/>
    </row>
    <row r="2066" spans="1:101" x14ac:dyDescent="0.15">
      <c r="A2066" s="76">
        <v>1937</v>
      </c>
      <c r="B2066" s="74" t="s">
        <v>1894</v>
      </c>
      <c r="C2066" s="74">
        <v>1003310133</v>
      </c>
      <c r="D2066" s="82" t="str">
        <f>HYPERLINK(CONCATENATE("https://portal.dnb.de/opac.htm?method=simpleSearch&amp;cqlMode=true&amp;query=idn%3D",C2066))</f>
        <v>https://portal.dnb.de/opac.htm?method=simpleSearch&amp;cqlMode=true&amp;query=idn%3D1003310133</v>
      </c>
      <c r="E2066" s="74" t="s">
        <v>1839</v>
      </c>
      <c r="F2066" s="74"/>
      <c r="G2066" s="76"/>
      <c r="H2066" s="77"/>
      <c r="I2066" s="76"/>
      <c r="J2066" s="77"/>
      <c r="K2066" s="77"/>
      <c r="L2066" s="76"/>
      <c r="M2066" s="76"/>
      <c r="N2066" s="76"/>
      <c r="O2066" s="76"/>
      <c r="P2066" s="76"/>
      <c r="Q2066" s="76"/>
      <c r="R2066" s="76"/>
      <c r="S2066" s="76"/>
      <c r="BD2066" s="99">
        <f t="shared" si="67"/>
        <v>0</v>
      </c>
      <c r="CC2066" s="99"/>
      <c r="CV2066" s="99"/>
      <c r="CW2066" s="63"/>
    </row>
    <row r="2067" spans="1:101" x14ac:dyDescent="0.15">
      <c r="A2067" s="76">
        <v>1938</v>
      </c>
      <c r="B2067" s="74" t="s">
        <v>1895</v>
      </c>
      <c r="C2067" s="74">
        <v>997131381</v>
      </c>
      <c r="D2067" s="82" t="str">
        <f>HYPERLINK(CONCATENATE("https://portal.dnb.de/opac.htm?method=simpleSearch&amp;cqlMode=true&amp;query=idn%3D",C2067))</f>
        <v>https://portal.dnb.de/opac.htm?method=simpleSearch&amp;cqlMode=true&amp;query=idn%3D997131381</v>
      </c>
      <c r="E2067" s="74" t="s">
        <v>1839</v>
      </c>
      <c r="F2067" s="74"/>
      <c r="G2067" s="76"/>
      <c r="H2067" s="77"/>
      <c r="I2067" s="76"/>
      <c r="J2067" s="77"/>
      <c r="K2067" s="77"/>
      <c r="L2067" s="76"/>
      <c r="M2067" s="76"/>
      <c r="N2067" s="76"/>
      <c r="O2067" s="76"/>
      <c r="P2067" s="76"/>
      <c r="Q2067" s="76"/>
      <c r="R2067" s="76"/>
      <c r="S2067" s="76"/>
      <c r="BD2067" s="99">
        <f t="shared" si="67"/>
        <v>0</v>
      </c>
      <c r="CC2067" s="99"/>
      <c r="CV2067" s="99"/>
      <c r="CW2067" s="63"/>
    </row>
    <row r="2068" spans="1:101" x14ac:dyDescent="0.15">
      <c r="A2068" s="76">
        <v>1939</v>
      </c>
      <c r="B2068" s="74" t="s">
        <v>1896</v>
      </c>
      <c r="C2068" s="74">
        <v>994269390</v>
      </c>
      <c r="D2068" s="78" t="str">
        <f t="shared" si="66"/>
        <v>https://portal.dnb.de/opac.htm?method=simpleSearch&amp;cqlMode=true&amp;query=idn%3D994269390</v>
      </c>
      <c r="E2068" s="74" t="s">
        <v>1839</v>
      </c>
      <c r="F2068" s="74"/>
      <c r="G2068" s="76"/>
      <c r="H2068" s="77"/>
      <c r="I2068" s="76"/>
      <c r="J2068" s="77"/>
      <c r="K2068" s="77"/>
      <c r="L2068" s="76"/>
      <c r="M2068" s="76"/>
      <c r="N2068" s="76"/>
      <c r="O2068" s="76"/>
      <c r="P2068" s="76"/>
      <c r="Q2068" s="76"/>
      <c r="R2068" s="76"/>
      <c r="S2068" s="76"/>
      <c r="BD2068" s="99">
        <f t="shared" si="67"/>
        <v>0</v>
      </c>
      <c r="CC2068" s="99"/>
      <c r="CV2068" s="99"/>
      <c r="CW2068" s="63"/>
    </row>
    <row r="2069" spans="1:101" x14ac:dyDescent="0.15">
      <c r="A2069" s="76">
        <v>1940</v>
      </c>
      <c r="B2069" s="74" t="s">
        <v>1897</v>
      </c>
      <c r="C2069" s="74">
        <v>994397119</v>
      </c>
      <c r="D2069" s="78" t="str">
        <f t="shared" si="66"/>
        <v>https://portal.dnb.de/opac.htm?method=simpleSearch&amp;cqlMode=true&amp;query=idn%3D994397119</v>
      </c>
      <c r="E2069" s="74" t="s">
        <v>1839</v>
      </c>
      <c r="F2069" s="74"/>
      <c r="G2069" s="76"/>
      <c r="H2069" s="77"/>
      <c r="I2069" s="76"/>
      <c r="J2069" s="77"/>
      <c r="K2069" s="77"/>
      <c r="L2069" s="76"/>
      <c r="M2069" s="76"/>
      <c r="N2069" s="76"/>
      <c r="O2069" s="76"/>
      <c r="P2069" s="76"/>
      <c r="Q2069" s="76"/>
      <c r="R2069" s="76"/>
      <c r="S2069" s="76"/>
      <c r="BD2069" s="99">
        <f t="shared" si="67"/>
        <v>0</v>
      </c>
      <c r="CC2069" s="99"/>
      <c r="CV2069" s="99"/>
      <c r="CW2069" s="63"/>
    </row>
    <row r="2070" spans="1:101" x14ac:dyDescent="0.15">
      <c r="A2070" s="76">
        <v>1941</v>
      </c>
      <c r="B2070" s="74" t="s">
        <v>1898</v>
      </c>
      <c r="C2070" s="74">
        <v>994401515</v>
      </c>
      <c r="D2070" s="78" t="str">
        <f t="shared" si="66"/>
        <v>https://portal.dnb.de/opac.htm?method=simpleSearch&amp;cqlMode=true&amp;query=idn%3D994401515</v>
      </c>
      <c r="E2070" s="74" t="s">
        <v>1839</v>
      </c>
      <c r="F2070" s="74"/>
      <c r="G2070" s="76"/>
      <c r="H2070" s="77"/>
      <c r="I2070" s="76"/>
      <c r="J2070" s="77"/>
      <c r="K2070" s="77"/>
      <c r="L2070" s="76"/>
      <c r="M2070" s="76"/>
      <c r="N2070" s="76"/>
      <c r="O2070" s="76"/>
      <c r="P2070" s="76"/>
      <c r="Q2070" s="76"/>
      <c r="R2070" s="76"/>
      <c r="S2070" s="76"/>
      <c r="BD2070" s="99">
        <f t="shared" si="67"/>
        <v>0</v>
      </c>
      <c r="CC2070" s="99"/>
      <c r="CV2070" s="99"/>
      <c r="CW2070" s="63"/>
    </row>
    <row r="2071" spans="1:101" x14ac:dyDescent="0.15">
      <c r="A2071" s="76">
        <v>1942</v>
      </c>
      <c r="B2071" s="74" t="s">
        <v>1899</v>
      </c>
      <c r="C2071" s="74">
        <v>1066880379</v>
      </c>
      <c r="D2071" s="78" t="str">
        <f t="shared" si="66"/>
        <v>https://portal.dnb.de/opac.htm?method=simpleSearch&amp;cqlMode=true&amp;query=idn%3D1066880379</v>
      </c>
      <c r="E2071" s="74" t="s">
        <v>1900</v>
      </c>
      <c r="F2071" s="74"/>
      <c r="G2071" s="76"/>
      <c r="H2071" s="77" t="s">
        <v>48</v>
      </c>
      <c r="I2071" s="76" t="s">
        <v>54</v>
      </c>
      <c r="J2071" s="77" t="s">
        <v>58</v>
      </c>
      <c r="K2071" s="77" t="s">
        <v>84</v>
      </c>
      <c r="L2071" s="76"/>
      <c r="M2071" s="76" t="s">
        <v>36</v>
      </c>
      <c r="N2071" s="76" t="s">
        <v>39</v>
      </c>
      <c r="O2071" s="76">
        <v>3</v>
      </c>
      <c r="P2071" s="76"/>
      <c r="Q2071" s="76"/>
      <c r="R2071" s="76"/>
      <c r="S2071" s="76"/>
      <c r="BD2071" s="99">
        <f t="shared" si="67"/>
        <v>0</v>
      </c>
      <c r="CC2071" s="99"/>
      <c r="CV2071" s="99"/>
      <c r="CW2071" s="63"/>
    </row>
    <row r="2072" spans="1:101" x14ac:dyDescent="0.15">
      <c r="A2072" s="76">
        <v>1943</v>
      </c>
      <c r="B2072" s="74" t="s">
        <v>1901</v>
      </c>
      <c r="C2072" s="74">
        <v>1090788517</v>
      </c>
      <c r="D2072" s="78" t="str">
        <f t="shared" si="66"/>
        <v>https://portal.dnb.de/opac.htm?method=simpleSearch&amp;cqlMode=true&amp;query=idn%3D1090788517</v>
      </c>
      <c r="E2072" s="74" t="s">
        <v>1902</v>
      </c>
      <c r="F2072" s="74"/>
      <c r="G2072" s="76"/>
      <c r="H2072" s="77" t="s">
        <v>8668</v>
      </c>
      <c r="I2072" s="76" t="s">
        <v>53</v>
      </c>
      <c r="J2072" s="77" t="s">
        <v>58</v>
      </c>
      <c r="K2072" s="77"/>
      <c r="L2072" s="76"/>
      <c r="M2072" s="76" t="s">
        <v>34</v>
      </c>
      <c r="N2072" s="76" t="s">
        <v>40</v>
      </c>
      <c r="O2072" s="76">
        <v>0</v>
      </c>
      <c r="P2072" s="76"/>
      <c r="Q2072" s="76"/>
      <c r="R2072" s="76"/>
      <c r="S2072" s="76"/>
      <c r="Y2072" s="95" t="s">
        <v>9753</v>
      </c>
      <c r="AI2072" s="95" t="s">
        <v>9725</v>
      </c>
      <c r="AP2072" s="95" t="s">
        <v>8541</v>
      </c>
      <c r="AW2072" s="95" t="s">
        <v>9733</v>
      </c>
      <c r="BC2072" s="96" t="s">
        <v>9734</v>
      </c>
      <c r="BD2072" s="99">
        <f t="shared" si="67"/>
        <v>0</v>
      </c>
      <c r="BI2072" s="95" t="s">
        <v>8541</v>
      </c>
      <c r="CC2072" s="99"/>
      <c r="CV2072" s="99"/>
      <c r="CW2072" s="63"/>
    </row>
    <row r="2073" spans="1:101" x14ac:dyDescent="0.15">
      <c r="A2073" s="76">
        <v>1944</v>
      </c>
      <c r="B2073" s="74" t="s">
        <v>1823</v>
      </c>
      <c r="C2073" s="74">
        <v>993930468</v>
      </c>
      <c r="D2073" s="78" t="str">
        <f t="shared" si="66"/>
        <v>https://portal.dnb.de/opac.htm?method=simpleSearch&amp;cqlMode=true&amp;query=idn%3D993930468</v>
      </c>
      <c r="E2073" s="74" t="s">
        <v>1824</v>
      </c>
      <c r="F2073" s="74"/>
      <c r="G2073" s="76"/>
      <c r="H2073" s="77"/>
      <c r="I2073" s="76"/>
      <c r="J2073" s="77"/>
      <c r="K2073" s="77"/>
      <c r="L2073" s="76"/>
      <c r="M2073" s="76"/>
      <c r="N2073" s="76"/>
      <c r="O2073" s="76"/>
      <c r="P2073" s="76"/>
      <c r="Q2073" s="76"/>
      <c r="R2073" s="76"/>
      <c r="S2073" s="76"/>
      <c r="BD2073" s="99">
        <f t="shared" si="67"/>
        <v>0</v>
      </c>
      <c r="CC2073" s="99"/>
      <c r="CV2073" s="99"/>
      <c r="CW2073" s="63"/>
    </row>
    <row r="2074" spans="1:101" x14ac:dyDescent="0.15">
      <c r="A2074" s="76">
        <v>1945</v>
      </c>
      <c r="B2074" s="74" t="s">
        <v>1825</v>
      </c>
      <c r="C2074" s="74">
        <v>993930468</v>
      </c>
      <c r="D2074" s="78" t="str">
        <f t="shared" si="66"/>
        <v>https://portal.dnb.de/opac.htm?method=simpleSearch&amp;cqlMode=true&amp;query=idn%3D993930468</v>
      </c>
      <c r="E2074" s="74" t="s">
        <v>1826</v>
      </c>
      <c r="F2074" s="74"/>
      <c r="G2074" s="76"/>
      <c r="H2074" s="77"/>
      <c r="I2074" s="76"/>
      <c r="J2074" s="77"/>
      <c r="K2074" s="77"/>
      <c r="L2074" s="76"/>
      <c r="M2074" s="76"/>
      <c r="N2074" s="76"/>
      <c r="O2074" s="76"/>
      <c r="P2074" s="76"/>
      <c r="Q2074" s="76"/>
      <c r="R2074" s="76"/>
      <c r="S2074" s="76"/>
      <c r="BD2074" s="99">
        <f t="shared" si="67"/>
        <v>0</v>
      </c>
      <c r="CC2074" s="99"/>
      <c r="CV2074" s="99"/>
      <c r="CW2074" s="63"/>
    </row>
    <row r="2075" spans="1:101" x14ac:dyDescent="0.15">
      <c r="A2075" s="76">
        <v>1946</v>
      </c>
      <c r="B2075" s="74" t="s">
        <v>1827</v>
      </c>
      <c r="C2075" s="74">
        <v>1003349587</v>
      </c>
      <c r="D2075" s="78" t="str">
        <f t="shared" si="66"/>
        <v>https://portal.dnb.de/opac.htm?method=simpleSearch&amp;cqlMode=true&amp;query=idn%3D1003349587</v>
      </c>
      <c r="E2075" s="74" t="s">
        <v>1828</v>
      </c>
      <c r="F2075" s="74"/>
      <c r="G2075" s="76"/>
      <c r="H2075" s="77"/>
      <c r="I2075" s="76"/>
      <c r="J2075" s="77"/>
      <c r="K2075" s="77"/>
      <c r="L2075" s="76"/>
      <c r="M2075" s="76"/>
      <c r="N2075" s="76"/>
      <c r="O2075" s="76"/>
      <c r="P2075" s="76"/>
      <c r="Q2075" s="76"/>
      <c r="R2075" s="76"/>
      <c r="S2075" s="76"/>
      <c r="BD2075" s="99">
        <f t="shared" si="67"/>
        <v>0</v>
      </c>
      <c r="CC2075" s="99"/>
      <c r="CV2075" s="99"/>
      <c r="CW2075" s="63"/>
    </row>
    <row r="2076" spans="1:101" x14ac:dyDescent="0.15">
      <c r="A2076" s="76">
        <v>1947</v>
      </c>
      <c r="B2076" s="74" t="s">
        <v>1901</v>
      </c>
      <c r="C2076" s="74">
        <v>1093196289</v>
      </c>
      <c r="D2076" s="78" t="str">
        <f t="shared" ref="D2076:D2140" si="68">HYPERLINK(CONCATENATE("https://portal.dnb.de/opac.htm?method=simpleSearch&amp;cqlMode=true&amp;query=idn%3D",C2076))</f>
        <v>https://portal.dnb.de/opac.htm?method=simpleSearch&amp;cqlMode=true&amp;query=idn%3D1093196289</v>
      </c>
      <c r="E2076" s="74" t="s">
        <v>1903</v>
      </c>
      <c r="F2076" s="74"/>
      <c r="G2076" s="76"/>
      <c r="H2076" s="77"/>
      <c r="I2076" s="76"/>
      <c r="J2076" s="77"/>
      <c r="K2076" s="77"/>
      <c r="L2076" s="76"/>
      <c r="M2076" s="76"/>
      <c r="N2076" s="76"/>
      <c r="O2076" s="76"/>
      <c r="P2076" s="76"/>
      <c r="Q2076" s="76"/>
      <c r="R2076" s="76"/>
      <c r="S2076" s="76"/>
      <c r="BD2076" s="99">
        <f t="shared" si="67"/>
        <v>0</v>
      </c>
      <c r="CC2076" s="99"/>
      <c r="CV2076" s="99"/>
      <c r="CW2076" s="63"/>
    </row>
    <row r="2077" spans="1:101" x14ac:dyDescent="0.15">
      <c r="A2077" s="76">
        <v>1948</v>
      </c>
      <c r="B2077" s="74" t="s">
        <v>1906</v>
      </c>
      <c r="C2077" s="74">
        <v>1002073367</v>
      </c>
      <c r="D2077" s="78" t="str">
        <f t="shared" si="68"/>
        <v>https://portal.dnb.de/opac.htm?method=simpleSearch&amp;cqlMode=true&amp;query=idn%3D1002073367</v>
      </c>
      <c r="E2077" s="74" t="s">
        <v>1907</v>
      </c>
      <c r="F2077" s="74"/>
      <c r="G2077" s="76"/>
      <c r="H2077" s="77"/>
      <c r="I2077" s="76"/>
      <c r="J2077" s="77"/>
      <c r="K2077" s="77"/>
      <c r="L2077" s="76"/>
      <c r="M2077" s="76"/>
      <c r="N2077" s="76"/>
      <c r="O2077" s="76"/>
      <c r="P2077" s="76"/>
      <c r="Q2077" s="76"/>
      <c r="R2077" s="76"/>
      <c r="S2077" s="76"/>
      <c r="BD2077" s="99">
        <f t="shared" si="67"/>
        <v>0</v>
      </c>
      <c r="CC2077" s="99"/>
      <c r="CV2077" s="99"/>
      <c r="CW2077" s="63"/>
    </row>
    <row r="2078" spans="1:101" x14ac:dyDescent="0.15">
      <c r="A2078" s="76">
        <v>1949</v>
      </c>
      <c r="B2078" s="74" t="s">
        <v>1908</v>
      </c>
      <c r="C2078" s="74">
        <v>1002072921</v>
      </c>
      <c r="D2078" s="78" t="str">
        <f t="shared" si="68"/>
        <v>https://portal.dnb.de/opac.htm?method=simpleSearch&amp;cqlMode=true&amp;query=idn%3D1002072921</v>
      </c>
      <c r="E2078" s="74" t="s">
        <v>1907</v>
      </c>
      <c r="F2078" s="74"/>
      <c r="G2078" s="76"/>
      <c r="H2078" s="77"/>
      <c r="I2078" s="76"/>
      <c r="J2078" s="77"/>
      <c r="K2078" s="77"/>
      <c r="L2078" s="76"/>
      <c r="M2078" s="76"/>
      <c r="N2078" s="76"/>
      <c r="O2078" s="76"/>
      <c r="P2078" s="76"/>
      <c r="Q2078" s="76"/>
      <c r="R2078" s="76"/>
      <c r="S2078" s="76"/>
      <c r="BD2078" s="99">
        <f t="shared" si="67"/>
        <v>0</v>
      </c>
      <c r="CC2078" s="99"/>
      <c r="CV2078" s="99"/>
      <c r="CW2078" s="63"/>
    </row>
    <row r="2079" spans="1:101" x14ac:dyDescent="0.15">
      <c r="A2079" s="76">
        <v>1950</v>
      </c>
      <c r="B2079" s="74" t="s">
        <v>1909</v>
      </c>
      <c r="C2079" s="74">
        <v>1002073294</v>
      </c>
      <c r="D2079" s="78" t="str">
        <f t="shared" si="68"/>
        <v>https://portal.dnb.de/opac.htm?method=simpleSearch&amp;cqlMode=true&amp;query=idn%3D1002073294</v>
      </c>
      <c r="E2079" s="74" t="s">
        <v>1907</v>
      </c>
      <c r="F2079" s="74"/>
      <c r="G2079" s="76"/>
      <c r="H2079" s="77"/>
      <c r="I2079" s="76"/>
      <c r="J2079" s="77"/>
      <c r="K2079" s="77"/>
      <c r="L2079" s="76"/>
      <c r="M2079" s="76"/>
      <c r="N2079" s="76"/>
      <c r="O2079" s="76"/>
      <c r="P2079" s="76"/>
      <c r="Q2079" s="76"/>
      <c r="R2079" s="76"/>
      <c r="S2079" s="76"/>
      <c r="BD2079" s="99">
        <f t="shared" si="67"/>
        <v>0</v>
      </c>
      <c r="CC2079" s="99"/>
      <c r="CV2079" s="99"/>
      <c r="CW2079" s="63"/>
    </row>
    <row r="2080" spans="1:101" x14ac:dyDescent="0.15">
      <c r="A2080" s="76">
        <v>1951</v>
      </c>
      <c r="B2080" s="74" t="s">
        <v>1913</v>
      </c>
      <c r="C2080" s="74">
        <v>1208771965</v>
      </c>
      <c r="D2080" s="78" t="str">
        <f t="shared" si="68"/>
        <v>https://portal.dnb.de/opac.htm?method=simpleSearch&amp;cqlMode=true&amp;query=idn%3D1208771965</v>
      </c>
      <c r="E2080" s="74" t="s">
        <v>1914</v>
      </c>
      <c r="F2080" s="74"/>
      <c r="G2080" s="76"/>
      <c r="H2080" s="77"/>
      <c r="I2080" s="76"/>
      <c r="J2080" s="77"/>
      <c r="K2080" s="77"/>
      <c r="L2080" s="76"/>
      <c r="M2080" s="76"/>
      <c r="N2080" s="76"/>
      <c r="O2080" s="76"/>
      <c r="P2080" s="76"/>
      <c r="Q2080" s="76"/>
      <c r="R2080" s="76"/>
      <c r="S2080" s="76"/>
      <c r="BD2080" s="99">
        <f t="shared" si="67"/>
        <v>0</v>
      </c>
      <c r="CC2080" s="99"/>
      <c r="CV2080" s="99"/>
      <c r="CW2080" s="63"/>
    </row>
    <row r="2081" spans="1:101" x14ac:dyDescent="0.15">
      <c r="A2081" s="76">
        <v>1952</v>
      </c>
      <c r="B2081" s="74" t="s">
        <v>1915</v>
      </c>
      <c r="C2081" s="74">
        <v>1208771671</v>
      </c>
      <c r="D2081" s="78" t="str">
        <f t="shared" si="68"/>
        <v>https://portal.dnb.de/opac.htm?method=simpleSearch&amp;cqlMode=true&amp;query=idn%3D1208771671</v>
      </c>
      <c r="E2081" s="74" t="s">
        <v>1914</v>
      </c>
      <c r="F2081" s="74"/>
      <c r="G2081" s="76"/>
      <c r="H2081" s="77"/>
      <c r="I2081" s="76"/>
      <c r="J2081" s="77"/>
      <c r="K2081" s="77"/>
      <c r="L2081" s="76"/>
      <c r="M2081" s="76"/>
      <c r="N2081" s="76"/>
      <c r="O2081" s="76"/>
      <c r="P2081" s="76"/>
      <c r="Q2081" s="76"/>
      <c r="R2081" s="76"/>
      <c r="S2081" s="76"/>
      <c r="BD2081" s="99">
        <f t="shared" si="67"/>
        <v>0</v>
      </c>
      <c r="CC2081" s="99"/>
      <c r="CV2081" s="99"/>
      <c r="CW2081" s="63"/>
    </row>
    <row r="2082" spans="1:101" x14ac:dyDescent="0.15">
      <c r="A2082" s="76">
        <v>1953</v>
      </c>
      <c r="B2082" s="74" t="s">
        <v>1916</v>
      </c>
      <c r="C2082" s="74">
        <v>999750631</v>
      </c>
      <c r="D2082" s="78" t="str">
        <f t="shared" si="68"/>
        <v>https://portal.dnb.de/opac.htm?method=simpleSearch&amp;cqlMode=true&amp;query=idn%3D999750631</v>
      </c>
      <c r="E2082" s="74" t="s">
        <v>1917</v>
      </c>
      <c r="F2082" s="74"/>
      <c r="G2082" s="76"/>
      <c r="H2082" s="77"/>
      <c r="I2082" s="76"/>
      <c r="J2082" s="77"/>
      <c r="K2082" s="77"/>
      <c r="L2082" s="76"/>
      <c r="M2082" s="76"/>
      <c r="N2082" s="76"/>
      <c r="O2082" s="76"/>
      <c r="P2082" s="76"/>
      <c r="Q2082" s="76"/>
      <c r="R2082" s="76"/>
      <c r="S2082" s="76"/>
      <c r="BD2082" s="99">
        <f t="shared" si="67"/>
        <v>0</v>
      </c>
      <c r="CC2082" s="99"/>
      <c r="CV2082" s="99"/>
      <c r="CW2082" s="63"/>
    </row>
    <row r="2083" spans="1:101" x14ac:dyDescent="0.15">
      <c r="A2083" s="76">
        <v>1954</v>
      </c>
      <c r="B2083" s="74" t="s">
        <v>1918</v>
      </c>
      <c r="C2083" s="74">
        <v>995700672</v>
      </c>
      <c r="D2083" s="78" t="str">
        <f t="shared" si="68"/>
        <v>https://portal.dnb.de/opac.htm?method=simpleSearch&amp;cqlMode=true&amp;query=idn%3D995700672</v>
      </c>
      <c r="E2083" s="74" t="s">
        <v>1917</v>
      </c>
      <c r="F2083" s="74"/>
      <c r="G2083" s="76"/>
      <c r="H2083" s="77"/>
      <c r="I2083" s="76"/>
      <c r="J2083" s="77"/>
      <c r="K2083" s="77"/>
      <c r="L2083" s="76"/>
      <c r="M2083" s="76"/>
      <c r="N2083" s="76"/>
      <c r="O2083" s="76"/>
      <c r="P2083" s="76"/>
      <c r="Q2083" s="76"/>
      <c r="R2083" s="76"/>
      <c r="S2083" s="76"/>
      <c r="BD2083" s="99">
        <f t="shared" si="67"/>
        <v>0</v>
      </c>
      <c r="CC2083" s="99"/>
      <c r="CV2083" s="99"/>
      <c r="CW2083" s="63"/>
    </row>
    <row r="2084" spans="1:101" x14ac:dyDescent="0.15">
      <c r="A2084" s="76">
        <v>1955</v>
      </c>
      <c r="B2084" s="74" t="s">
        <v>1921</v>
      </c>
      <c r="C2084" s="74">
        <v>1207426482</v>
      </c>
      <c r="D2084" s="78" t="str">
        <f t="shared" si="68"/>
        <v>https://portal.dnb.de/opac.htm?method=simpleSearch&amp;cqlMode=true&amp;query=idn%3D1207426482</v>
      </c>
      <c r="E2084" s="74" t="s">
        <v>1922</v>
      </c>
      <c r="F2084" s="74"/>
      <c r="G2084" s="76"/>
      <c r="H2084" s="77"/>
      <c r="I2084" s="76" t="s">
        <v>53</v>
      </c>
      <c r="J2084" s="77"/>
      <c r="K2084" s="77"/>
      <c r="L2084" s="76"/>
      <c r="M2084" s="76"/>
      <c r="N2084" s="76"/>
      <c r="O2084" s="76"/>
      <c r="P2084" s="76"/>
      <c r="Q2084" s="76"/>
      <c r="R2084" s="76"/>
      <c r="S2084" s="76"/>
      <c r="Y2084" s="95" t="s">
        <v>9869</v>
      </c>
      <c r="AA2084" s="95" t="s">
        <v>8541</v>
      </c>
      <c r="AC2084" s="95" t="s">
        <v>9739</v>
      </c>
      <c r="AI2084" s="95" t="s">
        <v>9725</v>
      </c>
      <c r="AW2084" s="95">
        <v>110</v>
      </c>
      <c r="BC2084" s="96" t="s">
        <v>9734</v>
      </c>
      <c r="BD2084" s="99">
        <f t="shared" si="67"/>
        <v>0</v>
      </c>
      <c r="CC2084" s="99"/>
      <c r="CV2084" s="99"/>
      <c r="CW2084" s="63"/>
    </row>
    <row r="2085" spans="1:101" x14ac:dyDescent="0.15">
      <c r="A2085" s="76">
        <v>1956</v>
      </c>
      <c r="B2085" s="74" t="s">
        <v>1923</v>
      </c>
      <c r="C2085" s="74">
        <v>1207482633</v>
      </c>
      <c r="D2085" s="78" t="str">
        <f t="shared" si="68"/>
        <v>https://portal.dnb.de/opac.htm?method=simpleSearch&amp;cqlMode=true&amp;query=idn%3D1207482633</v>
      </c>
      <c r="E2085" s="74" t="s">
        <v>1924</v>
      </c>
      <c r="F2085" s="74"/>
      <c r="G2085" s="76"/>
      <c r="H2085" s="77"/>
      <c r="I2085" s="76" t="s">
        <v>53</v>
      </c>
      <c r="J2085" s="77"/>
      <c r="K2085" s="77"/>
      <c r="L2085" s="76"/>
      <c r="M2085" s="76"/>
      <c r="N2085" s="76"/>
      <c r="O2085" s="76"/>
      <c r="P2085" s="76"/>
      <c r="Q2085" s="76"/>
      <c r="R2085" s="76"/>
      <c r="S2085" s="76"/>
      <c r="Y2085" s="95" t="s">
        <v>9869</v>
      </c>
      <c r="AA2085" s="95" t="s">
        <v>8541</v>
      </c>
      <c r="AC2085" s="95" t="s">
        <v>9739</v>
      </c>
      <c r="AI2085" s="95" t="s">
        <v>9725</v>
      </c>
      <c r="AW2085" s="95">
        <v>110</v>
      </c>
      <c r="BC2085" s="96" t="s">
        <v>9734</v>
      </c>
      <c r="BD2085" s="99">
        <f t="shared" si="67"/>
        <v>0</v>
      </c>
      <c r="BH2085" s="95" t="s">
        <v>8541</v>
      </c>
      <c r="CC2085" s="99"/>
      <c r="CV2085" s="99"/>
      <c r="CW2085" s="63"/>
    </row>
    <row r="2086" spans="1:101" x14ac:dyDescent="0.15">
      <c r="A2086" s="76">
        <v>1957</v>
      </c>
      <c r="B2086" s="74" t="s">
        <v>1925</v>
      </c>
      <c r="C2086" s="74">
        <v>1207429031</v>
      </c>
      <c r="D2086" s="78" t="str">
        <f t="shared" si="68"/>
        <v>https://portal.dnb.de/opac.htm?method=simpleSearch&amp;cqlMode=true&amp;query=idn%3D1207429031</v>
      </c>
      <c r="E2086" s="74" t="s">
        <v>1926</v>
      </c>
      <c r="F2086" s="74"/>
      <c r="G2086" s="76"/>
      <c r="H2086" s="77"/>
      <c r="I2086" s="76" t="s">
        <v>53</v>
      </c>
      <c r="J2086" s="77"/>
      <c r="K2086" s="77"/>
      <c r="L2086" s="76"/>
      <c r="M2086" s="76"/>
      <c r="N2086" s="76"/>
      <c r="O2086" s="76"/>
      <c r="P2086" s="76"/>
      <c r="Q2086" s="76"/>
      <c r="R2086" s="76"/>
      <c r="S2086" s="76"/>
      <c r="Y2086" s="95" t="s">
        <v>9869</v>
      </c>
      <c r="AA2086" s="95" t="s">
        <v>8541</v>
      </c>
      <c r="AC2086" s="95" t="s">
        <v>9739</v>
      </c>
      <c r="AI2086" s="95" t="s">
        <v>9725</v>
      </c>
      <c r="AW2086" s="95">
        <v>110</v>
      </c>
      <c r="BC2086" s="96" t="s">
        <v>9734</v>
      </c>
      <c r="BD2086" s="99">
        <f t="shared" si="67"/>
        <v>0</v>
      </c>
      <c r="BH2086" s="95" t="s">
        <v>8541</v>
      </c>
      <c r="CC2086" s="99"/>
      <c r="CV2086" s="99"/>
      <c r="CW2086" s="63"/>
    </row>
    <row r="2087" spans="1:101" x14ac:dyDescent="0.15">
      <c r="A2087" s="76">
        <v>1958</v>
      </c>
      <c r="B2087" s="74" t="s">
        <v>1927</v>
      </c>
      <c r="C2087" s="74">
        <v>1207478431</v>
      </c>
      <c r="D2087" s="78" t="str">
        <f t="shared" si="68"/>
        <v>https://portal.dnb.de/opac.htm?method=simpleSearch&amp;cqlMode=true&amp;query=idn%3D1207478431</v>
      </c>
      <c r="E2087" s="74" t="s">
        <v>1928</v>
      </c>
      <c r="F2087" s="74"/>
      <c r="G2087" s="76"/>
      <c r="H2087" s="77"/>
      <c r="I2087" s="76" t="s">
        <v>53</v>
      </c>
      <c r="J2087" s="77"/>
      <c r="K2087" s="77"/>
      <c r="L2087" s="76"/>
      <c r="M2087" s="76"/>
      <c r="N2087" s="76"/>
      <c r="O2087" s="76"/>
      <c r="P2087" s="76"/>
      <c r="Q2087" s="76"/>
      <c r="R2087" s="76"/>
      <c r="S2087" s="76"/>
      <c r="Y2087" s="95" t="s">
        <v>9869</v>
      </c>
      <c r="AA2087" s="95" t="s">
        <v>8541</v>
      </c>
      <c r="AC2087" s="95" t="s">
        <v>9739</v>
      </c>
      <c r="AI2087" s="95" t="s">
        <v>9725</v>
      </c>
      <c r="AW2087" s="95">
        <v>110</v>
      </c>
      <c r="BC2087" s="96" t="s">
        <v>9734</v>
      </c>
      <c r="BD2087" s="99">
        <f t="shared" si="67"/>
        <v>0</v>
      </c>
      <c r="BH2087" s="95" t="s">
        <v>8541</v>
      </c>
      <c r="CC2087" s="99"/>
      <c r="CV2087" s="99"/>
      <c r="CW2087" s="63"/>
    </row>
    <row r="2088" spans="1:101" x14ac:dyDescent="0.15">
      <c r="A2088" s="76">
        <v>1959</v>
      </c>
      <c r="B2088" s="74" t="s">
        <v>1929</v>
      </c>
      <c r="C2088" s="74">
        <v>1207427063</v>
      </c>
      <c r="D2088" s="78" t="str">
        <f t="shared" si="68"/>
        <v>https://portal.dnb.de/opac.htm?method=simpleSearch&amp;cqlMode=true&amp;query=idn%3D1207427063</v>
      </c>
      <c r="E2088" s="74" t="s">
        <v>1930</v>
      </c>
      <c r="F2088" s="74"/>
      <c r="G2088" s="76"/>
      <c r="H2088" s="77"/>
      <c r="I2088" s="76" t="s">
        <v>53</v>
      </c>
      <c r="J2088" s="77"/>
      <c r="K2088" s="77"/>
      <c r="L2088" s="76"/>
      <c r="M2088" s="76"/>
      <c r="N2088" s="76"/>
      <c r="O2088" s="76"/>
      <c r="P2088" s="76"/>
      <c r="Q2088" s="76"/>
      <c r="R2088" s="76"/>
      <c r="S2088" s="76"/>
      <c r="Y2088" s="95" t="s">
        <v>9869</v>
      </c>
      <c r="AA2088" s="95" t="s">
        <v>8541</v>
      </c>
      <c r="AC2088" s="95" t="s">
        <v>9739</v>
      </c>
      <c r="AI2088" s="95" t="s">
        <v>9725</v>
      </c>
      <c r="AW2088" s="95">
        <v>110</v>
      </c>
      <c r="BC2088" s="96" t="s">
        <v>9734</v>
      </c>
      <c r="BD2088" s="99">
        <f t="shared" si="67"/>
        <v>0</v>
      </c>
      <c r="BH2088" s="95" t="s">
        <v>8541</v>
      </c>
      <c r="CC2088" s="99"/>
      <c r="CV2088" s="99"/>
      <c r="CW2088" s="63"/>
    </row>
    <row r="2089" spans="1:101" x14ac:dyDescent="0.15">
      <c r="A2089" s="76">
        <v>1960</v>
      </c>
      <c r="B2089" s="74" t="s">
        <v>1931</v>
      </c>
      <c r="C2089" s="74">
        <v>1207479055</v>
      </c>
      <c r="D2089" s="78" t="str">
        <f t="shared" si="68"/>
        <v>https://portal.dnb.de/opac.htm?method=simpleSearch&amp;cqlMode=true&amp;query=idn%3D1207479055</v>
      </c>
      <c r="E2089" s="74" t="s">
        <v>1932</v>
      </c>
      <c r="F2089" s="74"/>
      <c r="G2089" s="76"/>
      <c r="H2089" s="77"/>
      <c r="I2089" s="76" t="s">
        <v>53</v>
      </c>
      <c r="J2089" s="77"/>
      <c r="K2089" s="77"/>
      <c r="L2089" s="76"/>
      <c r="M2089" s="76"/>
      <c r="N2089" s="76"/>
      <c r="O2089" s="76"/>
      <c r="P2089" s="76"/>
      <c r="Q2089" s="76"/>
      <c r="R2089" s="76"/>
      <c r="S2089" s="76"/>
      <c r="Y2089" s="95" t="s">
        <v>9869</v>
      </c>
      <c r="AA2089" s="95" t="s">
        <v>8541</v>
      </c>
      <c r="AC2089" s="95" t="s">
        <v>9739</v>
      </c>
      <c r="AI2089" s="95" t="s">
        <v>9725</v>
      </c>
      <c r="AW2089" s="95">
        <v>110</v>
      </c>
      <c r="BC2089" s="96" t="s">
        <v>9734</v>
      </c>
      <c r="BD2089" s="99">
        <f t="shared" si="67"/>
        <v>0</v>
      </c>
      <c r="BH2089" s="95" t="s">
        <v>8541</v>
      </c>
      <c r="CC2089" s="99"/>
      <c r="CV2089" s="99"/>
      <c r="CW2089" s="63"/>
    </row>
    <row r="2090" spans="1:101" x14ac:dyDescent="0.15">
      <c r="A2090" s="76">
        <v>1961</v>
      </c>
      <c r="B2090" s="74" t="s">
        <v>1933</v>
      </c>
      <c r="C2090" s="74">
        <v>1207428779</v>
      </c>
      <c r="D2090" s="78" t="str">
        <f t="shared" si="68"/>
        <v>https://portal.dnb.de/opac.htm?method=simpleSearch&amp;cqlMode=true&amp;query=idn%3D1207428779</v>
      </c>
      <c r="E2090" s="74" t="s">
        <v>1934</v>
      </c>
      <c r="F2090" s="74"/>
      <c r="G2090" s="76"/>
      <c r="H2090" s="77"/>
      <c r="I2090" s="76" t="s">
        <v>53</v>
      </c>
      <c r="J2090" s="77"/>
      <c r="K2090" s="77"/>
      <c r="L2090" s="76"/>
      <c r="M2090" s="76"/>
      <c r="N2090" s="76"/>
      <c r="O2090" s="76"/>
      <c r="P2090" s="76"/>
      <c r="Q2090" s="76"/>
      <c r="R2090" s="76"/>
      <c r="S2090" s="76"/>
      <c r="Y2090" s="95" t="s">
        <v>9869</v>
      </c>
      <c r="AA2090" s="95" t="s">
        <v>8541</v>
      </c>
      <c r="AC2090" s="95" t="s">
        <v>9739</v>
      </c>
      <c r="AI2090" s="95" t="s">
        <v>9725</v>
      </c>
      <c r="AW2090" s="95">
        <v>110</v>
      </c>
      <c r="BC2090" s="96" t="s">
        <v>9734</v>
      </c>
      <c r="BD2090" s="99">
        <f t="shared" si="67"/>
        <v>0</v>
      </c>
      <c r="BH2090" s="95" t="s">
        <v>8541</v>
      </c>
      <c r="CC2090" s="99"/>
      <c r="CV2090" s="99"/>
      <c r="CW2090" s="63"/>
    </row>
    <row r="2091" spans="1:101" ht="22.5" x14ac:dyDescent="0.15">
      <c r="A2091" s="76">
        <v>1962</v>
      </c>
      <c r="B2091" s="74" t="s">
        <v>1935</v>
      </c>
      <c r="C2091" s="74">
        <v>1207483818</v>
      </c>
      <c r="D2091" s="78" t="str">
        <f t="shared" si="68"/>
        <v>https://portal.dnb.de/opac.htm?method=simpleSearch&amp;cqlMode=true&amp;query=idn%3D1207483818</v>
      </c>
      <c r="E2091" s="74" t="s">
        <v>1936</v>
      </c>
      <c r="F2091" s="74"/>
      <c r="G2091" s="76"/>
      <c r="H2091" s="77"/>
      <c r="I2091" s="76" t="s">
        <v>53</v>
      </c>
      <c r="J2091" s="77"/>
      <c r="K2091" s="77"/>
      <c r="L2091" s="76"/>
      <c r="M2091" s="76"/>
      <c r="N2091" s="76"/>
      <c r="O2091" s="76"/>
      <c r="P2091" s="76"/>
      <c r="Q2091" s="76"/>
      <c r="R2091" s="76"/>
      <c r="S2091" s="76"/>
      <c r="Y2091" s="95" t="s">
        <v>9869</v>
      </c>
      <c r="AA2091" s="95" t="s">
        <v>8541</v>
      </c>
      <c r="AC2091" s="95" t="s">
        <v>9739</v>
      </c>
      <c r="AI2091" s="95" t="s">
        <v>9725</v>
      </c>
      <c r="AP2091" s="95" t="s">
        <v>8541</v>
      </c>
      <c r="AQ2091" s="96" t="s">
        <v>9778</v>
      </c>
      <c r="AW2091" s="95">
        <v>110</v>
      </c>
      <c r="BC2091" s="96" t="s">
        <v>9734</v>
      </c>
      <c r="BD2091" s="99">
        <f t="shared" si="67"/>
        <v>0</v>
      </c>
      <c r="BH2091" s="95" t="s">
        <v>8541</v>
      </c>
      <c r="CC2091" s="99"/>
      <c r="CV2091" s="99"/>
      <c r="CW2091" s="63"/>
    </row>
    <row r="2092" spans="1:101" x14ac:dyDescent="0.15">
      <c r="A2092" s="76">
        <v>1963</v>
      </c>
      <c r="B2092" s="74" t="s">
        <v>1937</v>
      </c>
      <c r="C2092" s="74">
        <v>1207480169</v>
      </c>
      <c r="D2092" s="78" t="str">
        <f t="shared" si="68"/>
        <v>https://portal.dnb.de/opac.htm?method=simpleSearch&amp;cqlMode=true&amp;query=idn%3D1207480169</v>
      </c>
      <c r="E2092" s="74" t="s">
        <v>1938</v>
      </c>
      <c r="F2092" s="74"/>
      <c r="G2092" s="76"/>
      <c r="H2092" s="77"/>
      <c r="I2092" s="76" t="s">
        <v>53</v>
      </c>
      <c r="J2092" s="77"/>
      <c r="K2092" s="77"/>
      <c r="L2092" s="76"/>
      <c r="M2092" s="76"/>
      <c r="N2092" s="76"/>
      <c r="O2092" s="76"/>
      <c r="P2092" s="76"/>
      <c r="Q2092" s="76"/>
      <c r="R2092" s="76"/>
      <c r="S2092" s="76"/>
      <c r="Y2092" s="95" t="s">
        <v>9869</v>
      </c>
      <c r="AA2092" s="95" t="s">
        <v>8541</v>
      </c>
      <c r="AC2092" s="95" t="s">
        <v>9739</v>
      </c>
      <c r="AI2092" s="95" t="s">
        <v>9725</v>
      </c>
      <c r="AW2092" s="95">
        <v>110</v>
      </c>
      <c r="BC2092" s="96" t="s">
        <v>9734</v>
      </c>
      <c r="BD2092" s="99">
        <f t="shared" si="67"/>
        <v>0</v>
      </c>
      <c r="BH2092" s="95" t="s">
        <v>8541</v>
      </c>
      <c r="CC2092" s="99"/>
      <c r="CV2092" s="99"/>
      <c r="CW2092" s="63"/>
    </row>
    <row r="2093" spans="1:101" x14ac:dyDescent="0.15">
      <c r="A2093" s="76">
        <v>1964</v>
      </c>
      <c r="B2093" s="74" t="s">
        <v>1939</v>
      </c>
      <c r="C2093" s="74">
        <v>1207429260</v>
      </c>
      <c r="D2093" s="78" t="str">
        <f t="shared" si="68"/>
        <v>https://portal.dnb.de/opac.htm?method=simpleSearch&amp;cqlMode=true&amp;query=idn%3D1207429260</v>
      </c>
      <c r="E2093" s="74" t="s">
        <v>1940</v>
      </c>
      <c r="F2093" s="74"/>
      <c r="G2093" s="76"/>
      <c r="H2093" s="77"/>
      <c r="I2093" s="76" t="s">
        <v>53</v>
      </c>
      <c r="J2093" s="77"/>
      <c r="K2093" s="77"/>
      <c r="L2093" s="76"/>
      <c r="M2093" s="76"/>
      <c r="N2093" s="76"/>
      <c r="O2093" s="76"/>
      <c r="P2093" s="76"/>
      <c r="Q2093" s="76"/>
      <c r="R2093" s="76"/>
      <c r="S2093" s="76"/>
      <c r="Y2093" s="95" t="s">
        <v>9869</v>
      </c>
      <c r="AA2093" s="95" t="s">
        <v>8541</v>
      </c>
      <c r="AC2093" s="95" t="s">
        <v>9739</v>
      </c>
      <c r="AI2093" s="95" t="s">
        <v>9725</v>
      </c>
      <c r="AW2093" s="95">
        <v>110</v>
      </c>
      <c r="BC2093" s="96" t="s">
        <v>9734</v>
      </c>
      <c r="BD2093" s="99">
        <f t="shared" si="67"/>
        <v>0</v>
      </c>
      <c r="BH2093" s="95" t="s">
        <v>8541</v>
      </c>
      <c r="CC2093" s="99"/>
      <c r="CV2093" s="99"/>
      <c r="CW2093" s="63"/>
    </row>
    <row r="2094" spans="1:101" x14ac:dyDescent="0.15">
      <c r="A2094" s="76">
        <v>1965</v>
      </c>
      <c r="B2094" s="74" t="s">
        <v>1941</v>
      </c>
      <c r="C2094" s="74">
        <v>1207429457</v>
      </c>
      <c r="D2094" s="78" t="str">
        <f t="shared" si="68"/>
        <v>https://portal.dnb.de/opac.htm?method=simpleSearch&amp;cqlMode=true&amp;query=idn%3D1207429457</v>
      </c>
      <c r="E2094" s="74" t="s">
        <v>1942</v>
      </c>
      <c r="F2094" s="74"/>
      <c r="G2094" s="76"/>
      <c r="H2094" s="77"/>
      <c r="I2094" s="76" t="s">
        <v>53</v>
      </c>
      <c r="J2094" s="77"/>
      <c r="K2094" s="77"/>
      <c r="L2094" s="76"/>
      <c r="M2094" s="76"/>
      <c r="N2094" s="76"/>
      <c r="O2094" s="76"/>
      <c r="P2094" s="76"/>
      <c r="Q2094" s="76"/>
      <c r="R2094" s="76"/>
      <c r="S2094" s="76"/>
      <c r="Y2094" s="95" t="s">
        <v>9869</v>
      </c>
      <c r="AA2094" s="95" t="s">
        <v>8541</v>
      </c>
      <c r="AC2094" s="95" t="s">
        <v>9739</v>
      </c>
      <c r="AI2094" s="95" t="s">
        <v>9725</v>
      </c>
      <c r="AW2094" s="95">
        <v>110</v>
      </c>
      <c r="BC2094" s="96" t="s">
        <v>9734</v>
      </c>
      <c r="BD2094" s="99">
        <f t="shared" si="67"/>
        <v>0</v>
      </c>
      <c r="BH2094" s="95" t="s">
        <v>8541</v>
      </c>
      <c r="CC2094" s="99"/>
      <c r="CV2094" s="99"/>
      <c r="CW2094" s="63"/>
    </row>
    <row r="2095" spans="1:101" x14ac:dyDescent="0.15">
      <c r="A2095" s="76">
        <v>1966</v>
      </c>
      <c r="B2095" s="74" t="s">
        <v>1943</v>
      </c>
      <c r="C2095" s="74">
        <v>1207479934</v>
      </c>
      <c r="D2095" s="78" t="str">
        <f t="shared" si="68"/>
        <v>https://portal.dnb.de/opac.htm?method=simpleSearch&amp;cqlMode=true&amp;query=idn%3D1207479934</v>
      </c>
      <c r="E2095" s="74" t="s">
        <v>1944</v>
      </c>
      <c r="F2095" s="74"/>
      <c r="G2095" s="76"/>
      <c r="H2095" s="77"/>
      <c r="I2095" s="76" t="s">
        <v>53</v>
      </c>
      <c r="J2095" s="77"/>
      <c r="K2095" s="77"/>
      <c r="L2095" s="76"/>
      <c r="M2095" s="76"/>
      <c r="N2095" s="76"/>
      <c r="O2095" s="76"/>
      <c r="P2095" s="76"/>
      <c r="Q2095" s="76"/>
      <c r="R2095" s="76"/>
      <c r="S2095" s="76"/>
      <c r="Y2095" s="95" t="s">
        <v>9869</v>
      </c>
      <c r="AA2095" s="95" t="s">
        <v>8541</v>
      </c>
      <c r="AC2095" s="95" t="s">
        <v>9739</v>
      </c>
      <c r="AI2095" s="95" t="s">
        <v>9725</v>
      </c>
      <c r="AW2095" s="95">
        <v>110</v>
      </c>
      <c r="BC2095" s="96" t="s">
        <v>9734</v>
      </c>
      <c r="BD2095" s="99">
        <f t="shared" si="67"/>
        <v>0</v>
      </c>
      <c r="BH2095" s="95" t="s">
        <v>8541</v>
      </c>
      <c r="CC2095" s="99"/>
      <c r="CV2095" s="99"/>
      <c r="CW2095" s="63"/>
    </row>
    <row r="2096" spans="1:101" x14ac:dyDescent="0.15">
      <c r="A2096" s="76">
        <v>1967</v>
      </c>
      <c r="B2096" s="74" t="s">
        <v>1945</v>
      </c>
      <c r="C2096" s="74">
        <v>1207483443</v>
      </c>
      <c r="D2096" s="78" t="str">
        <f t="shared" si="68"/>
        <v>https://portal.dnb.de/opac.htm?method=simpleSearch&amp;cqlMode=true&amp;query=idn%3D1207483443</v>
      </c>
      <c r="E2096" s="74" t="s">
        <v>1946</v>
      </c>
      <c r="F2096" s="74"/>
      <c r="G2096" s="76"/>
      <c r="H2096" s="77"/>
      <c r="I2096" s="76" t="s">
        <v>53</v>
      </c>
      <c r="J2096" s="77"/>
      <c r="K2096" s="77"/>
      <c r="L2096" s="76"/>
      <c r="M2096" s="76"/>
      <c r="N2096" s="76"/>
      <c r="O2096" s="76"/>
      <c r="P2096" s="76"/>
      <c r="Q2096" s="76"/>
      <c r="R2096" s="76"/>
      <c r="S2096" s="76"/>
      <c r="Y2096" s="95" t="s">
        <v>9869</v>
      </c>
      <c r="AA2096" s="95" t="s">
        <v>8541</v>
      </c>
      <c r="AC2096" s="95" t="s">
        <v>9739</v>
      </c>
      <c r="AI2096" s="95" t="s">
        <v>9725</v>
      </c>
      <c r="AW2096" s="95">
        <v>110</v>
      </c>
      <c r="BC2096" s="96" t="s">
        <v>9734</v>
      </c>
      <c r="BD2096" s="99">
        <f t="shared" si="67"/>
        <v>0</v>
      </c>
      <c r="BH2096" s="95" t="s">
        <v>8541</v>
      </c>
      <c r="CC2096" s="99"/>
      <c r="CV2096" s="99"/>
      <c r="CW2096" s="63"/>
    </row>
    <row r="2097" spans="1:101" x14ac:dyDescent="0.15">
      <c r="A2097" s="76">
        <v>1968</v>
      </c>
      <c r="B2097" s="74" t="s">
        <v>1947</v>
      </c>
      <c r="C2097" s="74">
        <v>1207479616</v>
      </c>
      <c r="D2097" s="78" t="str">
        <f t="shared" si="68"/>
        <v>https://portal.dnb.de/opac.htm?method=simpleSearch&amp;cqlMode=true&amp;query=idn%3D1207479616</v>
      </c>
      <c r="E2097" s="74" t="s">
        <v>1948</v>
      </c>
      <c r="F2097" s="74"/>
      <c r="G2097" s="76"/>
      <c r="H2097" s="77"/>
      <c r="I2097" s="76" t="s">
        <v>53</v>
      </c>
      <c r="J2097" s="77"/>
      <c r="K2097" s="77"/>
      <c r="L2097" s="76"/>
      <c r="M2097" s="76"/>
      <c r="N2097" s="76"/>
      <c r="O2097" s="76"/>
      <c r="P2097" s="76"/>
      <c r="Q2097" s="76"/>
      <c r="R2097" s="76"/>
      <c r="S2097" s="76"/>
      <c r="Y2097" s="95" t="s">
        <v>9869</v>
      </c>
      <c r="AA2097" s="95" t="s">
        <v>8541</v>
      </c>
      <c r="AC2097" s="95" t="s">
        <v>9739</v>
      </c>
      <c r="AI2097" s="95" t="s">
        <v>9725</v>
      </c>
      <c r="AW2097" s="95">
        <v>110</v>
      </c>
      <c r="BC2097" s="96" t="s">
        <v>9734</v>
      </c>
      <c r="BD2097" s="99">
        <f t="shared" si="67"/>
        <v>0</v>
      </c>
      <c r="BH2097" s="95" t="s">
        <v>8541</v>
      </c>
      <c r="CC2097" s="99"/>
      <c r="CV2097" s="99"/>
      <c r="CW2097" s="63"/>
    </row>
    <row r="2098" spans="1:101" x14ac:dyDescent="0.15">
      <c r="A2098" s="76">
        <v>1969</v>
      </c>
      <c r="B2098" s="74" t="s">
        <v>1950</v>
      </c>
      <c r="C2098" s="74" t="s">
        <v>1951</v>
      </c>
      <c r="D2098" s="78" t="str">
        <f t="shared" si="68"/>
        <v>https://portal.dnb.de/opac.htm?method=simpleSearch&amp;cqlMode=true&amp;query=idn%3D99466270X</v>
      </c>
      <c r="E2098" s="74" t="s">
        <v>1952</v>
      </c>
      <c r="F2098" s="74"/>
      <c r="G2098" s="76"/>
      <c r="H2098" s="77"/>
      <c r="I2098" s="76"/>
      <c r="J2098" s="77"/>
      <c r="K2098" s="77"/>
      <c r="L2098" s="76"/>
      <c r="M2098" s="76"/>
      <c r="N2098" s="76"/>
      <c r="O2098" s="76"/>
      <c r="P2098" s="76"/>
      <c r="Q2098" s="76"/>
      <c r="R2098" s="76"/>
      <c r="S2098" s="76"/>
      <c r="BD2098" s="99">
        <f t="shared" si="67"/>
        <v>0</v>
      </c>
      <c r="CC2098" s="99"/>
      <c r="CV2098" s="99"/>
      <c r="CW2098" s="63"/>
    </row>
    <row r="2099" spans="1:101" ht="22.5" x14ac:dyDescent="0.15">
      <c r="A2099" s="76">
        <v>1970</v>
      </c>
      <c r="B2099" s="74" t="s">
        <v>1953</v>
      </c>
      <c r="C2099" s="74">
        <v>994662157</v>
      </c>
      <c r="D2099" s="78" t="str">
        <f t="shared" si="68"/>
        <v>https://portal.dnb.de/opac.htm?method=simpleSearch&amp;cqlMode=true&amp;query=idn%3D994662157</v>
      </c>
      <c r="E2099" s="74" t="s">
        <v>1952</v>
      </c>
      <c r="F2099" s="74"/>
      <c r="G2099" s="76"/>
      <c r="H2099" s="77" t="s">
        <v>49</v>
      </c>
      <c r="I2099" s="76" t="s">
        <v>53</v>
      </c>
      <c r="J2099" s="77" t="s">
        <v>89</v>
      </c>
      <c r="K2099" s="77" t="s">
        <v>8565</v>
      </c>
      <c r="L2099" s="76"/>
      <c r="M2099" s="76" t="s">
        <v>36</v>
      </c>
      <c r="N2099" s="76" t="s">
        <v>39</v>
      </c>
      <c r="O2099" s="76">
        <v>0</v>
      </c>
      <c r="P2099" s="76"/>
      <c r="Q2099" s="76"/>
      <c r="R2099" s="76"/>
      <c r="S2099" s="76"/>
      <c r="BD2099" s="99">
        <f t="shared" si="67"/>
        <v>0</v>
      </c>
      <c r="CC2099" s="99"/>
      <c r="CV2099" s="99"/>
      <c r="CW2099" s="63"/>
    </row>
    <row r="2100" spans="1:101" x14ac:dyDescent="0.15">
      <c r="A2100" s="76">
        <v>1971</v>
      </c>
      <c r="B2100" s="74" t="s">
        <v>1954</v>
      </c>
      <c r="C2100" s="74">
        <v>994669585</v>
      </c>
      <c r="D2100" s="78" t="str">
        <f t="shared" si="68"/>
        <v>https://portal.dnb.de/opac.htm?method=simpleSearch&amp;cqlMode=true&amp;query=idn%3D994669585</v>
      </c>
      <c r="E2100" s="74" t="s">
        <v>1952</v>
      </c>
      <c r="F2100" s="74"/>
      <c r="G2100" s="76"/>
      <c r="H2100" s="77"/>
      <c r="I2100" s="76"/>
      <c r="J2100" s="77"/>
      <c r="K2100" s="77"/>
      <c r="L2100" s="76"/>
      <c r="M2100" s="76"/>
      <c r="N2100" s="76"/>
      <c r="O2100" s="76"/>
      <c r="P2100" s="76"/>
      <c r="Q2100" s="76"/>
      <c r="R2100" s="76"/>
      <c r="S2100" s="76"/>
      <c r="BD2100" s="99">
        <f t="shared" si="67"/>
        <v>0</v>
      </c>
      <c r="CC2100" s="99"/>
      <c r="CV2100" s="99"/>
      <c r="CW2100" s="63"/>
    </row>
    <row r="2101" spans="1:101" x14ac:dyDescent="0.15">
      <c r="A2101" s="76">
        <v>1972</v>
      </c>
      <c r="B2101" s="74" t="s">
        <v>1955</v>
      </c>
      <c r="C2101" s="74">
        <v>994661673</v>
      </c>
      <c r="D2101" s="78" t="str">
        <f t="shared" si="68"/>
        <v>https://portal.dnb.de/opac.htm?method=simpleSearch&amp;cqlMode=true&amp;query=idn%3D994661673</v>
      </c>
      <c r="E2101" s="74" t="s">
        <v>1952</v>
      </c>
      <c r="F2101" s="74"/>
      <c r="G2101" s="76"/>
      <c r="H2101" s="77"/>
      <c r="I2101" s="76"/>
      <c r="J2101" s="77"/>
      <c r="K2101" s="77"/>
      <c r="L2101" s="76"/>
      <c r="M2101" s="76"/>
      <c r="N2101" s="76"/>
      <c r="O2101" s="76"/>
      <c r="P2101" s="76"/>
      <c r="Q2101" s="76"/>
      <c r="R2101" s="76"/>
      <c r="S2101" s="76"/>
      <c r="BD2101" s="99">
        <f t="shared" si="67"/>
        <v>0</v>
      </c>
      <c r="CC2101" s="99"/>
      <c r="CV2101" s="99"/>
      <c r="CW2101" s="63"/>
    </row>
    <row r="2102" spans="1:101" x14ac:dyDescent="0.15">
      <c r="A2102" s="76">
        <v>1973</v>
      </c>
      <c r="B2102" s="74" t="s">
        <v>1956</v>
      </c>
      <c r="C2102" s="74">
        <v>994661428</v>
      </c>
      <c r="D2102" s="78" t="str">
        <f t="shared" si="68"/>
        <v>https://portal.dnb.de/opac.htm?method=simpleSearch&amp;cqlMode=true&amp;query=idn%3D994661428</v>
      </c>
      <c r="E2102" s="74" t="s">
        <v>1952</v>
      </c>
      <c r="F2102" s="74"/>
      <c r="G2102" s="76"/>
      <c r="H2102" s="77"/>
      <c r="I2102" s="76"/>
      <c r="J2102" s="77"/>
      <c r="K2102" s="77"/>
      <c r="L2102" s="76"/>
      <c r="M2102" s="76"/>
      <c r="N2102" s="76"/>
      <c r="O2102" s="76"/>
      <c r="P2102" s="76"/>
      <c r="Q2102" s="76"/>
      <c r="R2102" s="76"/>
      <c r="S2102" s="76"/>
      <c r="BD2102" s="99">
        <f t="shared" si="67"/>
        <v>0</v>
      </c>
      <c r="CC2102" s="99"/>
      <c r="CV2102" s="99"/>
      <c r="CW2102" s="63"/>
    </row>
    <row r="2103" spans="1:101" x14ac:dyDescent="0.15">
      <c r="A2103" s="76">
        <v>1974</v>
      </c>
      <c r="B2103" s="74" t="s">
        <v>1957</v>
      </c>
      <c r="C2103" s="74">
        <v>998018279</v>
      </c>
      <c r="D2103" s="78" t="str">
        <f t="shared" si="68"/>
        <v>https://portal.dnb.de/opac.htm?method=simpleSearch&amp;cqlMode=true&amp;query=idn%3D998018279</v>
      </c>
      <c r="E2103" s="74" t="s">
        <v>1952</v>
      </c>
      <c r="F2103" s="74"/>
      <c r="G2103" s="76"/>
      <c r="H2103" s="77"/>
      <c r="I2103" s="76"/>
      <c r="J2103" s="77"/>
      <c r="K2103" s="77"/>
      <c r="L2103" s="76"/>
      <c r="M2103" s="76"/>
      <c r="N2103" s="76"/>
      <c r="O2103" s="76"/>
      <c r="P2103" s="76"/>
      <c r="Q2103" s="76"/>
      <c r="R2103" s="76"/>
      <c r="S2103" s="76"/>
      <c r="BD2103" s="99">
        <f t="shared" si="67"/>
        <v>0</v>
      </c>
      <c r="CC2103" s="99"/>
      <c r="CV2103" s="99"/>
      <c r="CW2103" s="63"/>
    </row>
    <row r="2104" spans="1:101" x14ac:dyDescent="0.15">
      <c r="A2104" s="76">
        <v>1975</v>
      </c>
      <c r="B2104" s="74" t="s">
        <v>1969</v>
      </c>
      <c r="C2104" s="74">
        <v>1000414922</v>
      </c>
      <c r="D2104" s="78" t="str">
        <f t="shared" si="68"/>
        <v>https://portal.dnb.de/opac.htm?method=simpleSearch&amp;cqlMode=true&amp;query=idn%3D1000414922</v>
      </c>
      <c r="E2104" s="74" t="s">
        <v>1970</v>
      </c>
      <c r="F2104" s="74"/>
      <c r="G2104" s="76"/>
      <c r="H2104" s="77" t="s">
        <v>17</v>
      </c>
      <c r="I2104" s="76" t="s">
        <v>53</v>
      </c>
      <c r="J2104" s="77" t="s">
        <v>58</v>
      </c>
      <c r="K2104" s="77" t="s">
        <v>84</v>
      </c>
      <c r="L2104" s="76"/>
      <c r="M2104" s="76"/>
      <c r="N2104" s="76"/>
      <c r="O2104" s="76">
        <v>1</v>
      </c>
      <c r="P2104" s="76"/>
      <c r="Q2104" s="76"/>
      <c r="R2104" s="76"/>
      <c r="S2104" s="76"/>
      <c r="BD2104" s="99">
        <f t="shared" si="67"/>
        <v>0</v>
      </c>
      <c r="CC2104" s="99"/>
      <c r="CV2104" s="99"/>
      <c r="CW2104" s="63"/>
    </row>
    <row r="2105" spans="1:101" ht="22.5" x14ac:dyDescent="0.15">
      <c r="A2105" s="76">
        <v>1976</v>
      </c>
      <c r="B2105" s="74" t="s">
        <v>1971</v>
      </c>
      <c r="C2105" s="74">
        <v>1066960526</v>
      </c>
      <c r="D2105" s="78" t="str">
        <f t="shared" si="68"/>
        <v>https://portal.dnb.de/opac.htm?method=simpleSearch&amp;cqlMode=true&amp;query=idn%3D1066960526</v>
      </c>
      <c r="E2105" s="74" t="s">
        <v>1972</v>
      </c>
      <c r="F2105" s="74"/>
      <c r="G2105" s="76" t="s">
        <v>8515</v>
      </c>
      <c r="H2105" s="77" t="s">
        <v>44</v>
      </c>
      <c r="I2105" s="76" t="s">
        <v>53</v>
      </c>
      <c r="J2105" s="77" t="s">
        <v>8516</v>
      </c>
      <c r="K2105" s="77" t="s">
        <v>8520</v>
      </c>
      <c r="L2105" s="76"/>
      <c r="M2105" s="76" t="s">
        <v>37</v>
      </c>
      <c r="N2105" s="76" t="s">
        <v>40</v>
      </c>
      <c r="O2105" s="76">
        <v>1</v>
      </c>
      <c r="P2105" s="76"/>
      <c r="Q2105" s="76"/>
      <c r="R2105" s="76"/>
      <c r="S2105" s="76"/>
      <c r="BD2105" s="99">
        <f t="shared" si="67"/>
        <v>0</v>
      </c>
      <c r="CC2105" s="99"/>
      <c r="CV2105" s="99"/>
      <c r="CW2105" s="63"/>
    </row>
    <row r="2106" spans="1:101" x14ac:dyDescent="0.15">
      <c r="A2106" s="76">
        <v>1977</v>
      </c>
      <c r="B2106" s="74" t="s">
        <v>1973</v>
      </c>
      <c r="C2106" s="74" t="s">
        <v>1974</v>
      </c>
      <c r="D2106" s="78" t="str">
        <f t="shared" si="68"/>
        <v>https://portal.dnb.de/opac.htm?method=simpleSearch&amp;cqlMode=true&amp;query=idn%3D100185893X</v>
      </c>
      <c r="E2106" s="74" t="s">
        <v>1975</v>
      </c>
      <c r="F2106" s="74"/>
      <c r="G2106" s="76"/>
      <c r="H2106" s="77" t="s">
        <v>5</v>
      </c>
      <c r="I2106" s="76" t="s">
        <v>53</v>
      </c>
      <c r="J2106" s="77" t="s">
        <v>58</v>
      </c>
      <c r="K2106" s="77"/>
      <c r="L2106" s="76"/>
      <c r="M2106" s="76" t="s">
        <v>38</v>
      </c>
      <c r="N2106" s="76" t="s">
        <v>40</v>
      </c>
      <c r="O2106" s="76">
        <v>0</v>
      </c>
      <c r="P2106" s="76"/>
      <c r="Q2106" s="76"/>
      <c r="R2106" s="76"/>
      <c r="S2106" s="76"/>
      <c r="BD2106" s="99">
        <f t="shared" si="67"/>
        <v>0</v>
      </c>
      <c r="CC2106" s="99"/>
      <c r="CV2106" s="99"/>
      <c r="CW2106" s="63"/>
    </row>
    <row r="2107" spans="1:101" x14ac:dyDescent="0.15">
      <c r="A2107" s="76">
        <v>1978</v>
      </c>
      <c r="B2107" s="74" t="s">
        <v>1976</v>
      </c>
      <c r="C2107" s="74">
        <v>997383666</v>
      </c>
      <c r="D2107" s="78" t="str">
        <f t="shared" si="68"/>
        <v>https://portal.dnb.de/opac.htm?method=simpleSearch&amp;cqlMode=true&amp;query=idn%3D997383666</v>
      </c>
      <c r="E2107" s="74" t="s">
        <v>1977</v>
      </c>
      <c r="F2107" s="74"/>
      <c r="G2107" s="76"/>
      <c r="H2107" s="77" t="s">
        <v>49</v>
      </c>
      <c r="I2107" s="76" t="s">
        <v>53</v>
      </c>
      <c r="J2107" s="77" t="s">
        <v>8516</v>
      </c>
      <c r="K2107" s="77" t="s">
        <v>72</v>
      </c>
      <c r="L2107" s="76"/>
      <c r="M2107" s="76"/>
      <c r="N2107" s="76"/>
      <c r="O2107" s="76">
        <v>0</v>
      </c>
      <c r="P2107" s="76"/>
      <c r="Q2107" s="76"/>
      <c r="R2107" s="76"/>
      <c r="S2107" s="76"/>
      <c r="BD2107" s="99">
        <f t="shared" si="67"/>
        <v>0</v>
      </c>
      <c r="CC2107" s="99"/>
      <c r="CV2107" s="99"/>
      <c r="CW2107" s="63"/>
    </row>
    <row r="2108" spans="1:101" x14ac:dyDescent="0.15">
      <c r="A2108" s="76">
        <v>1979</v>
      </c>
      <c r="B2108" s="74" t="s">
        <v>1978</v>
      </c>
      <c r="C2108" s="74">
        <v>1002850681</v>
      </c>
      <c r="D2108" s="78" t="str">
        <f t="shared" si="68"/>
        <v>https://portal.dnb.de/opac.htm?method=simpleSearch&amp;cqlMode=true&amp;query=idn%3D1002850681</v>
      </c>
      <c r="E2108" s="74" t="s">
        <v>1979</v>
      </c>
      <c r="F2108" s="74"/>
      <c r="G2108" s="76"/>
      <c r="H2108" s="77"/>
      <c r="I2108" s="76"/>
      <c r="J2108" s="77"/>
      <c r="K2108" s="77"/>
      <c r="L2108" s="76"/>
      <c r="M2108" s="76"/>
      <c r="N2108" s="76"/>
      <c r="O2108" s="76"/>
      <c r="P2108" s="76"/>
      <c r="Q2108" s="76"/>
      <c r="R2108" s="76"/>
      <c r="S2108" s="76"/>
      <c r="BD2108" s="99">
        <f t="shared" si="67"/>
        <v>0</v>
      </c>
      <c r="CC2108" s="99"/>
      <c r="CV2108" s="99"/>
      <c r="CW2108" s="63"/>
    </row>
    <row r="2109" spans="1:101" x14ac:dyDescent="0.15">
      <c r="A2109" s="76">
        <v>1980</v>
      </c>
      <c r="B2109" s="74" t="s">
        <v>1980</v>
      </c>
      <c r="C2109" s="74">
        <v>998973262</v>
      </c>
      <c r="D2109" s="78" t="str">
        <f t="shared" si="68"/>
        <v>https://portal.dnb.de/opac.htm?method=simpleSearch&amp;cqlMode=true&amp;query=idn%3D998973262</v>
      </c>
      <c r="E2109" s="74" t="s">
        <v>1979</v>
      </c>
      <c r="F2109" s="74"/>
      <c r="G2109" s="76"/>
      <c r="H2109" s="77" t="s">
        <v>5</v>
      </c>
      <c r="I2109" s="76" t="s">
        <v>53</v>
      </c>
      <c r="J2109" s="77" t="s">
        <v>8516</v>
      </c>
      <c r="K2109" s="77"/>
      <c r="L2109" s="76"/>
      <c r="M2109" s="76" t="s">
        <v>38</v>
      </c>
      <c r="N2109" s="76" t="s">
        <v>40</v>
      </c>
      <c r="O2109" s="76">
        <v>0</v>
      </c>
      <c r="P2109" s="76"/>
      <c r="Q2109" s="76"/>
      <c r="R2109" s="76"/>
      <c r="S2109" s="76"/>
      <c r="BD2109" s="99">
        <f t="shared" si="67"/>
        <v>0</v>
      </c>
      <c r="CC2109" s="99"/>
      <c r="CV2109" s="99"/>
      <c r="CW2109" s="63"/>
    </row>
    <row r="2110" spans="1:101" x14ac:dyDescent="0.15">
      <c r="A2110" s="76">
        <v>1981</v>
      </c>
      <c r="B2110" s="74" t="s">
        <v>1981</v>
      </c>
      <c r="C2110" s="74">
        <v>996719296</v>
      </c>
      <c r="D2110" s="78" t="str">
        <f t="shared" si="68"/>
        <v>https://portal.dnb.de/opac.htm?method=simpleSearch&amp;cqlMode=true&amp;query=idn%3D996719296</v>
      </c>
      <c r="E2110" s="74" t="s">
        <v>1982</v>
      </c>
      <c r="F2110" s="74"/>
      <c r="G2110" s="76"/>
      <c r="H2110" s="77" t="s">
        <v>5</v>
      </c>
      <c r="I2110" s="76" t="s">
        <v>53</v>
      </c>
      <c r="J2110" s="77" t="s">
        <v>58</v>
      </c>
      <c r="K2110" s="77" t="s">
        <v>84</v>
      </c>
      <c r="L2110" s="76"/>
      <c r="M2110" s="76" t="s">
        <v>38</v>
      </c>
      <c r="N2110" s="76" t="s">
        <v>40</v>
      </c>
      <c r="O2110" s="76">
        <v>0</v>
      </c>
      <c r="P2110" s="76"/>
      <c r="Q2110" s="76"/>
      <c r="R2110" s="76"/>
      <c r="S2110" s="76"/>
      <c r="BD2110" s="99">
        <f t="shared" si="67"/>
        <v>0</v>
      </c>
      <c r="CC2110" s="99"/>
      <c r="CV2110" s="99"/>
      <c r="CW2110" s="63"/>
    </row>
    <row r="2111" spans="1:101" x14ac:dyDescent="0.15">
      <c r="A2111" s="76">
        <v>1982</v>
      </c>
      <c r="B2111" s="74" t="s">
        <v>1983</v>
      </c>
      <c r="C2111" s="74">
        <v>996718842</v>
      </c>
      <c r="D2111" s="78" t="str">
        <f t="shared" si="68"/>
        <v>https://portal.dnb.de/opac.htm?method=simpleSearch&amp;cqlMode=true&amp;query=idn%3D996718842</v>
      </c>
      <c r="E2111" s="74" t="s">
        <v>1982</v>
      </c>
      <c r="F2111" s="74"/>
      <c r="G2111" s="76"/>
      <c r="H2111" s="77"/>
      <c r="I2111" s="76"/>
      <c r="J2111" s="77"/>
      <c r="K2111" s="77"/>
      <c r="L2111" s="76"/>
      <c r="M2111" s="76"/>
      <c r="N2111" s="76"/>
      <c r="O2111" s="76"/>
      <c r="P2111" s="76"/>
      <c r="Q2111" s="76"/>
      <c r="R2111" s="76"/>
      <c r="S2111" s="76"/>
      <c r="BD2111" s="99">
        <f t="shared" si="67"/>
        <v>0</v>
      </c>
      <c r="CC2111" s="99"/>
      <c r="CV2111" s="99"/>
      <c r="CW2111" s="63"/>
    </row>
    <row r="2112" spans="1:101" x14ac:dyDescent="0.15">
      <c r="A2112" s="76">
        <v>1983</v>
      </c>
      <c r="B2112" s="74" t="s">
        <v>1984</v>
      </c>
      <c r="C2112" s="74">
        <v>994642156</v>
      </c>
      <c r="D2112" s="78" t="str">
        <f t="shared" si="68"/>
        <v>https://portal.dnb.de/opac.htm?method=simpleSearch&amp;cqlMode=true&amp;query=idn%3D994642156</v>
      </c>
      <c r="E2112" s="74" t="s">
        <v>1985</v>
      </c>
      <c r="F2112" s="74"/>
      <c r="G2112" s="76"/>
      <c r="H2112" s="77"/>
      <c r="I2112" s="76"/>
      <c r="J2112" s="77"/>
      <c r="K2112" s="77"/>
      <c r="L2112" s="76"/>
      <c r="M2112" s="76"/>
      <c r="N2112" s="76"/>
      <c r="O2112" s="76"/>
      <c r="P2112" s="76"/>
      <c r="Q2112" s="76"/>
      <c r="R2112" s="76"/>
      <c r="S2112" s="76"/>
      <c r="BD2112" s="99">
        <f t="shared" si="67"/>
        <v>0</v>
      </c>
      <c r="CC2112" s="99"/>
      <c r="CV2112" s="99"/>
      <c r="CW2112" s="63"/>
    </row>
    <row r="2113" spans="1:101" x14ac:dyDescent="0.15">
      <c r="A2113" s="76">
        <v>1984</v>
      </c>
      <c r="B2113" s="74" t="s">
        <v>1988</v>
      </c>
      <c r="C2113" s="74">
        <v>987527193</v>
      </c>
      <c r="D2113" s="78" t="str">
        <f t="shared" si="68"/>
        <v>https://portal.dnb.de/opac.htm?method=simpleSearch&amp;cqlMode=true&amp;query=idn%3D987527193</v>
      </c>
      <c r="E2113" s="74" t="s">
        <v>1989</v>
      </c>
      <c r="F2113" s="74"/>
      <c r="G2113" s="76"/>
      <c r="H2113" s="77" t="s">
        <v>5</v>
      </c>
      <c r="I2113" s="76" t="s">
        <v>53</v>
      </c>
      <c r="J2113" s="77" t="s">
        <v>58</v>
      </c>
      <c r="K2113" s="77" t="s">
        <v>8520</v>
      </c>
      <c r="L2113" s="76"/>
      <c r="M2113" s="76" t="s">
        <v>38</v>
      </c>
      <c r="N2113" s="76" t="s">
        <v>40</v>
      </c>
      <c r="O2113" s="76">
        <v>1</v>
      </c>
      <c r="P2113" s="76"/>
      <c r="Q2113" s="76"/>
      <c r="R2113" s="76"/>
      <c r="S2113" s="76"/>
      <c r="Y2113" s="95" t="s">
        <v>9723</v>
      </c>
      <c r="AC2113" s="95" t="s">
        <v>9724</v>
      </c>
      <c r="AI2113" s="95" t="s">
        <v>9725</v>
      </c>
      <c r="AP2113" s="95" t="s">
        <v>8541</v>
      </c>
      <c r="AW2113" s="95">
        <v>110</v>
      </c>
      <c r="BC2113" s="96" t="s">
        <v>9726</v>
      </c>
      <c r="BD2113" s="99">
        <f t="shared" si="67"/>
        <v>1</v>
      </c>
      <c r="BF2113" s="95" t="s">
        <v>10006</v>
      </c>
      <c r="CC2113" s="99"/>
      <c r="CM2113" s="95" t="s">
        <v>8541</v>
      </c>
      <c r="CV2113" s="99">
        <v>1</v>
      </c>
      <c r="CW2113" s="90" t="s">
        <v>9779</v>
      </c>
    </row>
    <row r="2114" spans="1:101" x14ac:dyDescent="0.15">
      <c r="A2114" s="76">
        <v>1985</v>
      </c>
      <c r="B2114" s="74" t="s">
        <v>1986</v>
      </c>
      <c r="C2114" s="74">
        <v>1000268101</v>
      </c>
      <c r="D2114" s="78" t="str">
        <f t="shared" si="68"/>
        <v>https://portal.dnb.de/opac.htm?method=simpleSearch&amp;cqlMode=true&amp;query=idn%3D1000268101</v>
      </c>
      <c r="E2114" s="74" t="s">
        <v>1987</v>
      </c>
      <c r="F2114" s="74"/>
      <c r="G2114" s="76"/>
      <c r="H2114" s="77"/>
      <c r="I2114" s="76"/>
      <c r="J2114" s="77"/>
      <c r="K2114" s="77"/>
      <c r="L2114" s="76"/>
      <c r="M2114" s="76"/>
      <c r="N2114" s="76"/>
      <c r="O2114" s="76"/>
      <c r="P2114" s="76"/>
      <c r="Q2114" s="76"/>
      <c r="R2114" s="76"/>
      <c r="S2114" s="76"/>
      <c r="BD2114" s="99">
        <f t="shared" si="67"/>
        <v>0</v>
      </c>
      <c r="CC2114" s="99"/>
      <c r="CV2114" s="99"/>
      <c r="CW2114" s="63"/>
    </row>
    <row r="2115" spans="1:101" ht="22.5" x14ac:dyDescent="0.15">
      <c r="A2115" s="76">
        <v>1986</v>
      </c>
      <c r="B2115" s="74" t="s">
        <v>1992</v>
      </c>
      <c r="C2115" s="74" t="s">
        <v>1993</v>
      </c>
      <c r="D2115" s="78" t="str">
        <f t="shared" si="68"/>
        <v>https://portal.dnb.de/opac.htm?method=simpleSearch&amp;cqlMode=true&amp;query=idn%3D106695917X</v>
      </c>
      <c r="E2115" s="74" t="s">
        <v>1994</v>
      </c>
      <c r="F2115" s="74"/>
      <c r="G2115" s="76" t="s">
        <v>8515</v>
      </c>
      <c r="H2115" s="77" t="s">
        <v>48</v>
      </c>
      <c r="I2115" s="76" t="s">
        <v>53</v>
      </c>
      <c r="J2115" s="77" t="s">
        <v>8516</v>
      </c>
      <c r="K2115" s="77" t="s">
        <v>8564</v>
      </c>
      <c r="L2115" s="76"/>
      <c r="M2115" s="76"/>
      <c r="N2115" s="76"/>
      <c r="O2115" s="76">
        <v>0</v>
      </c>
      <c r="P2115" s="76"/>
      <c r="Q2115" s="76"/>
      <c r="R2115" s="76"/>
      <c r="S2115" s="76"/>
      <c r="BD2115" s="99">
        <f t="shared" ref="BD2115:BD2178" si="69">CC2115+CV2115</f>
        <v>0</v>
      </c>
      <c r="CC2115" s="99"/>
      <c r="CV2115" s="99"/>
      <c r="CW2115" s="63"/>
    </row>
    <row r="2116" spans="1:101" ht="22.5" x14ac:dyDescent="0.15">
      <c r="A2116" s="76">
        <v>1987</v>
      </c>
      <c r="B2116" s="74" t="s">
        <v>1995</v>
      </c>
      <c r="C2116" s="74">
        <v>1066800634</v>
      </c>
      <c r="D2116" s="78" t="str">
        <f t="shared" si="68"/>
        <v>https://portal.dnb.de/opac.htm?method=simpleSearch&amp;cqlMode=true&amp;query=idn%3D1066800634</v>
      </c>
      <c r="E2116" s="74" t="s">
        <v>1996</v>
      </c>
      <c r="F2116" s="74"/>
      <c r="G2116" s="76" t="s">
        <v>8515</v>
      </c>
      <c r="H2116" s="77" t="s">
        <v>5</v>
      </c>
      <c r="I2116" s="76" t="s">
        <v>53</v>
      </c>
      <c r="J2116" s="77" t="s">
        <v>8516</v>
      </c>
      <c r="K2116" s="77" t="s">
        <v>9061</v>
      </c>
      <c r="L2116" s="76"/>
      <c r="M2116" s="76" t="s">
        <v>32</v>
      </c>
      <c r="N2116" s="76" t="s">
        <v>9062</v>
      </c>
      <c r="O2116" s="76">
        <v>0</v>
      </c>
      <c r="P2116" s="76"/>
      <c r="Q2116" s="76"/>
      <c r="R2116" s="76"/>
      <c r="S2116" s="76"/>
      <c r="Y2116" s="95" t="s">
        <v>9723</v>
      </c>
      <c r="AB2116" s="95" t="s">
        <v>8541</v>
      </c>
      <c r="AC2116" s="95" t="s">
        <v>9730</v>
      </c>
      <c r="AI2116" s="95" t="s">
        <v>9725</v>
      </c>
      <c r="AP2116" s="95" t="s">
        <v>8541</v>
      </c>
      <c r="AW2116" s="95">
        <v>110</v>
      </c>
      <c r="BC2116" s="96" t="s">
        <v>9734</v>
      </c>
      <c r="BD2116" s="99">
        <f t="shared" si="69"/>
        <v>0</v>
      </c>
      <c r="BG2116" s="95" t="s">
        <v>8541</v>
      </c>
      <c r="CC2116" s="99"/>
      <c r="CV2116" s="99"/>
      <c r="CW2116" s="63"/>
    </row>
    <row r="2117" spans="1:101" x14ac:dyDescent="0.15">
      <c r="A2117" s="76">
        <v>1988</v>
      </c>
      <c r="B2117" s="74" t="s">
        <v>1997</v>
      </c>
      <c r="C2117" s="74" t="s">
        <v>1998</v>
      </c>
      <c r="D2117" s="78" t="str">
        <f t="shared" si="68"/>
        <v>https://portal.dnb.de/opac.htm?method=simpleSearch&amp;cqlMode=true&amp;query=idn%3D106693746X</v>
      </c>
      <c r="E2117" s="74" t="s">
        <v>1999</v>
      </c>
      <c r="F2117" s="74"/>
      <c r="G2117" s="76"/>
      <c r="H2117" s="77"/>
      <c r="I2117" s="76"/>
      <c r="J2117" s="77"/>
      <c r="K2117" s="77"/>
      <c r="L2117" s="76"/>
      <c r="M2117" s="76"/>
      <c r="N2117" s="76"/>
      <c r="O2117" s="76"/>
      <c r="P2117" s="76"/>
      <c r="Q2117" s="76"/>
      <c r="R2117" s="76"/>
      <c r="S2117" s="76"/>
      <c r="BD2117" s="99">
        <f t="shared" si="69"/>
        <v>0</v>
      </c>
      <c r="CC2117" s="99"/>
      <c r="CV2117" s="99"/>
      <c r="CW2117" s="63"/>
    </row>
    <row r="2118" spans="1:101" ht="33.75" x14ac:dyDescent="0.15">
      <c r="A2118" s="76">
        <v>1989</v>
      </c>
      <c r="B2118" s="74" t="s">
        <v>2000</v>
      </c>
      <c r="C2118" s="74">
        <v>1066937303</v>
      </c>
      <c r="D2118" s="78" t="str">
        <f t="shared" si="68"/>
        <v>https://portal.dnb.de/opac.htm?method=simpleSearch&amp;cqlMode=true&amp;query=idn%3D1066937303</v>
      </c>
      <c r="E2118" s="74" t="s">
        <v>2001</v>
      </c>
      <c r="F2118" s="74"/>
      <c r="G2118" s="76" t="s">
        <v>8515</v>
      </c>
      <c r="H2118" s="77" t="s">
        <v>8673</v>
      </c>
      <c r="I2118" s="76" t="s">
        <v>53</v>
      </c>
      <c r="J2118" s="77" t="s">
        <v>8516</v>
      </c>
      <c r="K2118" s="77" t="s">
        <v>84</v>
      </c>
      <c r="L2118" s="76"/>
      <c r="M2118" s="76" t="s">
        <v>33</v>
      </c>
      <c r="N2118" s="76" t="s">
        <v>40</v>
      </c>
      <c r="O2118" s="76">
        <v>0</v>
      </c>
      <c r="P2118" s="76"/>
      <c r="Q2118" s="76"/>
      <c r="R2118" s="76"/>
      <c r="S2118" s="76"/>
      <c r="BD2118" s="99">
        <f t="shared" si="69"/>
        <v>0</v>
      </c>
      <c r="CC2118" s="99"/>
      <c r="CV2118" s="99"/>
      <c r="CW2118" s="63"/>
    </row>
    <row r="2119" spans="1:101" x14ac:dyDescent="0.15">
      <c r="A2119" s="76">
        <v>1990</v>
      </c>
      <c r="B2119" s="74" t="s">
        <v>2002</v>
      </c>
      <c r="C2119" s="74">
        <v>1208738615</v>
      </c>
      <c r="D2119" s="78" t="str">
        <f t="shared" si="68"/>
        <v>https://portal.dnb.de/opac.htm?method=simpleSearch&amp;cqlMode=true&amp;query=idn%3D1208738615</v>
      </c>
      <c r="E2119" s="74" t="s">
        <v>2003</v>
      </c>
      <c r="F2119" s="74"/>
      <c r="G2119" s="76"/>
      <c r="H2119" s="77"/>
      <c r="I2119" s="76"/>
      <c r="J2119" s="77"/>
      <c r="K2119" s="77"/>
      <c r="L2119" s="76"/>
      <c r="M2119" s="76"/>
      <c r="N2119" s="76"/>
      <c r="O2119" s="76"/>
      <c r="P2119" s="76"/>
      <c r="Q2119" s="76"/>
      <c r="R2119" s="76"/>
      <c r="S2119" s="76"/>
      <c r="BD2119" s="99">
        <f t="shared" si="69"/>
        <v>0</v>
      </c>
      <c r="CC2119" s="99"/>
      <c r="CV2119" s="99"/>
      <c r="CW2119" s="63"/>
    </row>
    <row r="2120" spans="1:101" x14ac:dyDescent="0.15">
      <c r="A2120" s="76">
        <v>1991</v>
      </c>
      <c r="B2120" s="74" t="s">
        <v>2004</v>
      </c>
      <c r="C2120" s="74">
        <v>1208735608</v>
      </c>
      <c r="D2120" s="78" t="str">
        <f t="shared" si="68"/>
        <v>https://portal.dnb.de/opac.htm?method=simpleSearch&amp;cqlMode=true&amp;query=idn%3D1208735608</v>
      </c>
      <c r="E2120" s="74" t="s">
        <v>2005</v>
      </c>
      <c r="F2120" s="74"/>
      <c r="G2120" s="76"/>
      <c r="H2120" s="77"/>
      <c r="I2120" s="76"/>
      <c r="J2120" s="77"/>
      <c r="K2120" s="77"/>
      <c r="L2120" s="76"/>
      <c r="M2120" s="76"/>
      <c r="N2120" s="76"/>
      <c r="O2120" s="76"/>
      <c r="P2120" s="76"/>
      <c r="Q2120" s="76"/>
      <c r="R2120" s="76"/>
      <c r="S2120" s="76"/>
      <c r="BD2120" s="99">
        <f t="shared" si="69"/>
        <v>0</v>
      </c>
      <c r="CC2120" s="99"/>
      <c r="CV2120" s="99"/>
      <c r="CW2120" s="63"/>
    </row>
    <row r="2121" spans="1:101" x14ac:dyDescent="0.15">
      <c r="A2121" s="76">
        <v>1992</v>
      </c>
      <c r="B2121" s="74" t="s">
        <v>2015</v>
      </c>
      <c r="C2121" s="74">
        <v>1000277569</v>
      </c>
      <c r="D2121" s="78" t="str">
        <f t="shared" si="68"/>
        <v>https://portal.dnb.de/opac.htm?method=simpleSearch&amp;cqlMode=true&amp;query=idn%3D1000277569</v>
      </c>
      <c r="E2121" s="74" t="s">
        <v>2016</v>
      </c>
      <c r="F2121" s="74"/>
      <c r="G2121" s="76"/>
      <c r="H2121" s="77"/>
      <c r="I2121" s="76"/>
      <c r="J2121" s="77"/>
      <c r="K2121" s="77"/>
      <c r="L2121" s="76"/>
      <c r="M2121" s="76"/>
      <c r="N2121" s="76"/>
      <c r="O2121" s="76"/>
      <c r="P2121" s="76"/>
      <c r="Q2121" s="76"/>
      <c r="R2121" s="76"/>
      <c r="S2121" s="76"/>
      <c r="BD2121" s="99">
        <f t="shared" si="69"/>
        <v>0</v>
      </c>
      <c r="CC2121" s="99"/>
      <c r="CV2121" s="99"/>
      <c r="CW2121" s="63"/>
    </row>
    <row r="2122" spans="1:101" x14ac:dyDescent="0.15">
      <c r="A2122" s="76">
        <v>1993</v>
      </c>
      <c r="B2122" s="74" t="s">
        <v>2017</v>
      </c>
      <c r="C2122" s="74">
        <v>1000277518</v>
      </c>
      <c r="D2122" s="78" t="str">
        <f t="shared" si="68"/>
        <v>https://portal.dnb.de/opac.htm?method=simpleSearch&amp;cqlMode=true&amp;query=idn%3D1000277518</v>
      </c>
      <c r="E2122" s="74" t="s">
        <v>2016</v>
      </c>
      <c r="F2122" s="74"/>
      <c r="G2122" s="76"/>
      <c r="H2122" s="77" t="s">
        <v>4</v>
      </c>
      <c r="I2122" s="76" t="s">
        <v>53</v>
      </c>
      <c r="J2122" s="77" t="s">
        <v>8516</v>
      </c>
      <c r="K2122" s="77" t="s">
        <v>8520</v>
      </c>
      <c r="L2122" s="76"/>
      <c r="M2122" s="76" t="s">
        <v>36</v>
      </c>
      <c r="N2122" s="76" t="s">
        <v>39</v>
      </c>
      <c r="O2122" s="76">
        <v>1</v>
      </c>
      <c r="P2122" s="76"/>
      <c r="Q2122" s="76" t="s">
        <v>9040</v>
      </c>
      <c r="R2122" s="76"/>
      <c r="S2122" s="76"/>
      <c r="BD2122" s="99">
        <f t="shared" si="69"/>
        <v>0</v>
      </c>
      <c r="CC2122" s="99"/>
      <c r="CV2122" s="99"/>
      <c r="CW2122" s="63"/>
    </row>
    <row r="2123" spans="1:101" x14ac:dyDescent="0.15">
      <c r="A2123" s="76">
        <v>1994</v>
      </c>
      <c r="B2123" s="74" t="s">
        <v>2009</v>
      </c>
      <c r="C2123" s="74">
        <v>1066799709</v>
      </c>
      <c r="D2123" s="78" t="str">
        <f t="shared" si="68"/>
        <v>https://portal.dnb.de/opac.htm?method=simpleSearch&amp;cqlMode=true&amp;query=idn%3D1066799709</v>
      </c>
      <c r="E2123" s="74" t="s">
        <v>2010</v>
      </c>
      <c r="F2123" s="74"/>
      <c r="G2123" s="76" t="s">
        <v>8515</v>
      </c>
      <c r="H2123" s="77" t="s">
        <v>6</v>
      </c>
      <c r="I2123" s="76" t="s">
        <v>53</v>
      </c>
      <c r="J2123" s="77" t="s">
        <v>8516</v>
      </c>
      <c r="K2123" s="77" t="s">
        <v>84</v>
      </c>
      <c r="L2123" s="76"/>
      <c r="M2123" s="76"/>
      <c r="N2123" s="76" t="s">
        <v>8660</v>
      </c>
      <c r="O2123" s="76">
        <v>0</v>
      </c>
      <c r="P2123" s="76"/>
      <c r="Q2123" s="76"/>
      <c r="R2123" s="76"/>
      <c r="S2123" s="76"/>
      <c r="BD2123" s="99">
        <f t="shared" si="69"/>
        <v>0</v>
      </c>
      <c r="CC2123" s="99"/>
      <c r="CV2123" s="99"/>
      <c r="CW2123" s="63"/>
    </row>
    <row r="2124" spans="1:101" x14ac:dyDescent="0.15">
      <c r="A2124" s="76">
        <v>1995</v>
      </c>
      <c r="B2124" s="74" t="s">
        <v>2011</v>
      </c>
      <c r="C2124" s="74">
        <v>999142968</v>
      </c>
      <c r="D2124" s="78" t="str">
        <f t="shared" si="68"/>
        <v>https://portal.dnb.de/opac.htm?method=simpleSearch&amp;cqlMode=true&amp;query=idn%3D999142968</v>
      </c>
      <c r="E2124" s="74" t="s">
        <v>9063</v>
      </c>
      <c r="F2124" s="74"/>
      <c r="G2124" s="76"/>
      <c r="H2124" s="77" t="s">
        <v>4</v>
      </c>
      <c r="I2124" s="76" t="s">
        <v>53</v>
      </c>
      <c r="J2124" s="77" t="s">
        <v>58</v>
      </c>
      <c r="K2124" s="77" t="s">
        <v>84</v>
      </c>
      <c r="L2124" s="76"/>
      <c r="M2124" s="76" t="s">
        <v>36</v>
      </c>
      <c r="N2124" s="76" t="s">
        <v>39</v>
      </c>
      <c r="O2124" s="76">
        <v>0</v>
      </c>
      <c r="P2124" s="76"/>
      <c r="Q2124" s="76"/>
      <c r="R2124" s="76"/>
      <c r="S2124" s="76"/>
      <c r="BD2124" s="99">
        <f t="shared" si="69"/>
        <v>0</v>
      </c>
      <c r="CC2124" s="99"/>
      <c r="CV2124" s="99"/>
      <c r="CW2124" s="63"/>
    </row>
    <row r="2125" spans="1:101" x14ac:dyDescent="0.15">
      <c r="A2125" s="76">
        <v>1996</v>
      </c>
      <c r="B2125" s="74" t="s">
        <v>2012</v>
      </c>
      <c r="C2125" s="74">
        <v>999142925</v>
      </c>
      <c r="D2125" s="82" t="str">
        <f>HYPERLINK(CONCATENATE("https://portal.I2132dnb.de/opac.htm?method=simpleSearch&amp;cqlMode=true&amp;query=idn%3D",C2125))</f>
        <v>https://portal.I2132dnb.de/opac.htm?method=simpleSearch&amp;cqlMode=true&amp;query=idn%3D999142925</v>
      </c>
      <c r="E2125" s="74" t="s">
        <v>9064</v>
      </c>
      <c r="F2125" s="74"/>
      <c r="G2125" s="76"/>
      <c r="H2125" s="77" t="s">
        <v>4</v>
      </c>
      <c r="I2125" s="76" t="s">
        <v>53</v>
      </c>
      <c r="J2125" s="77" t="s">
        <v>58</v>
      </c>
      <c r="K2125" s="77" t="s">
        <v>84</v>
      </c>
      <c r="L2125" s="76"/>
      <c r="M2125" s="76" t="s">
        <v>36</v>
      </c>
      <c r="N2125" s="76" t="s">
        <v>39</v>
      </c>
      <c r="O2125" s="76">
        <v>0</v>
      </c>
      <c r="P2125" s="76"/>
      <c r="Q2125" s="76"/>
      <c r="R2125" s="76"/>
      <c r="S2125" s="76"/>
      <c r="BD2125" s="99">
        <f t="shared" si="69"/>
        <v>0</v>
      </c>
      <c r="CC2125" s="99"/>
      <c r="CV2125" s="99"/>
      <c r="CW2125" s="63"/>
    </row>
    <row r="2126" spans="1:101" x14ac:dyDescent="0.15">
      <c r="A2126" s="76">
        <v>1997</v>
      </c>
      <c r="B2126" s="74" t="s">
        <v>2013</v>
      </c>
      <c r="C2126" s="74">
        <v>999142828</v>
      </c>
      <c r="D2126" s="78" t="str">
        <f t="shared" si="68"/>
        <v>https://portal.dnb.de/opac.htm?method=simpleSearch&amp;cqlMode=true&amp;query=idn%3D999142828</v>
      </c>
      <c r="E2126" s="74" t="s">
        <v>9065</v>
      </c>
      <c r="F2126" s="74"/>
      <c r="G2126" s="76"/>
      <c r="H2126" s="77" t="s">
        <v>4</v>
      </c>
      <c r="I2126" s="76" t="s">
        <v>53</v>
      </c>
      <c r="J2126" s="77" t="s">
        <v>58</v>
      </c>
      <c r="K2126" s="77" t="s">
        <v>84</v>
      </c>
      <c r="L2126" s="76"/>
      <c r="M2126" s="76" t="s">
        <v>36</v>
      </c>
      <c r="N2126" s="76" t="s">
        <v>39</v>
      </c>
      <c r="O2126" s="76">
        <v>0</v>
      </c>
      <c r="P2126" s="76"/>
      <c r="Q2126" s="76"/>
      <c r="R2126" s="76"/>
      <c r="S2126" s="76"/>
      <c r="BD2126" s="99">
        <f t="shared" si="69"/>
        <v>0</v>
      </c>
      <c r="CC2126" s="99"/>
      <c r="CV2126" s="99"/>
      <c r="CW2126" s="63"/>
    </row>
    <row r="2127" spans="1:101" x14ac:dyDescent="0.15">
      <c r="A2127" s="76">
        <v>1998</v>
      </c>
      <c r="B2127" s="74" t="s">
        <v>2014</v>
      </c>
      <c r="C2127" s="74">
        <v>999142771</v>
      </c>
      <c r="D2127" s="78" t="str">
        <f t="shared" si="68"/>
        <v>https://portal.dnb.de/opac.htm?method=simpleSearch&amp;cqlMode=true&amp;query=idn%3D999142771</v>
      </c>
      <c r="E2127" s="74" t="s">
        <v>9066</v>
      </c>
      <c r="F2127" s="74"/>
      <c r="G2127" s="76"/>
      <c r="H2127" s="77" t="s">
        <v>4</v>
      </c>
      <c r="I2127" s="76" t="s">
        <v>53</v>
      </c>
      <c r="J2127" s="77" t="s">
        <v>58</v>
      </c>
      <c r="K2127" s="77" t="s">
        <v>84</v>
      </c>
      <c r="L2127" s="76"/>
      <c r="M2127" s="76" t="s">
        <v>36</v>
      </c>
      <c r="N2127" s="76" t="s">
        <v>39</v>
      </c>
      <c r="O2127" s="76">
        <v>0</v>
      </c>
      <c r="P2127" s="76"/>
      <c r="Q2127" s="76"/>
      <c r="R2127" s="76"/>
      <c r="S2127" s="76"/>
      <c r="BD2127" s="99">
        <f t="shared" si="69"/>
        <v>0</v>
      </c>
      <c r="CC2127" s="99"/>
      <c r="CV2127" s="99"/>
      <c r="CW2127" s="63"/>
    </row>
    <row r="2128" spans="1:101" x14ac:dyDescent="0.15">
      <c r="A2128" s="76">
        <v>1999</v>
      </c>
      <c r="B2128" s="74" t="s">
        <v>2026</v>
      </c>
      <c r="C2128" s="74">
        <v>996357718</v>
      </c>
      <c r="D2128" s="78" t="str">
        <f t="shared" si="68"/>
        <v>https://portal.dnb.de/opac.htm?method=simpleSearch&amp;cqlMode=true&amp;query=idn%3D996357718</v>
      </c>
      <c r="E2128" s="74" t="s">
        <v>2027</v>
      </c>
      <c r="F2128" s="74"/>
      <c r="G2128" s="76"/>
      <c r="H2128" s="77"/>
      <c r="I2128" s="76"/>
      <c r="J2128" s="77"/>
      <c r="K2128" s="77"/>
      <c r="L2128" s="76"/>
      <c r="M2128" s="76"/>
      <c r="N2128" s="76"/>
      <c r="O2128" s="76"/>
      <c r="P2128" s="76"/>
      <c r="Q2128" s="76"/>
      <c r="R2128" s="76"/>
      <c r="S2128" s="76"/>
      <c r="BD2128" s="99">
        <f t="shared" si="69"/>
        <v>0</v>
      </c>
      <c r="CC2128" s="99"/>
      <c r="CV2128" s="99"/>
      <c r="CW2128" s="63"/>
    </row>
    <row r="2129" spans="1:101" x14ac:dyDescent="0.15">
      <c r="A2129" s="76">
        <v>2000</v>
      </c>
      <c r="B2129" s="74" t="s">
        <v>2028</v>
      </c>
      <c r="C2129" s="74">
        <v>996357491</v>
      </c>
      <c r="D2129" s="78" t="str">
        <f t="shared" si="68"/>
        <v>https://portal.dnb.de/opac.htm?method=simpleSearch&amp;cqlMode=true&amp;query=idn%3D996357491</v>
      </c>
      <c r="E2129" s="74" t="s">
        <v>2027</v>
      </c>
      <c r="F2129" s="74"/>
      <c r="G2129" s="76" t="s">
        <v>8515</v>
      </c>
      <c r="H2129" s="77" t="s">
        <v>17</v>
      </c>
      <c r="I2129" s="76" t="s">
        <v>53</v>
      </c>
      <c r="J2129" s="77" t="s">
        <v>8516</v>
      </c>
      <c r="K2129" s="77" t="s">
        <v>84</v>
      </c>
      <c r="L2129" s="76"/>
      <c r="M2129" s="76"/>
      <c r="N2129" s="76" t="s">
        <v>8660</v>
      </c>
      <c r="O2129" s="76">
        <v>0</v>
      </c>
      <c r="P2129" s="76"/>
      <c r="Q2129" s="76"/>
      <c r="R2129" s="76"/>
      <c r="S2129" s="76"/>
      <c r="BD2129" s="99">
        <f t="shared" si="69"/>
        <v>0</v>
      </c>
      <c r="CC2129" s="99"/>
      <c r="CV2129" s="99"/>
      <c r="CW2129" s="63"/>
    </row>
    <row r="2130" spans="1:101" x14ac:dyDescent="0.15">
      <c r="A2130" s="76">
        <v>2001</v>
      </c>
      <c r="B2130" s="74" t="s">
        <v>2029</v>
      </c>
      <c r="C2130" s="74">
        <v>996357602</v>
      </c>
      <c r="D2130" s="78" t="str">
        <f t="shared" si="68"/>
        <v>https://portal.dnb.de/opac.htm?method=simpleSearch&amp;cqlMode=true&amp;query=idn%3D996357602</v>
      </c>
      <c r="E2130" s="74" t="s">
        <v>2027</v>
      </c>
      <c r="F2130" s="74"/>
      <c r="G2130" s="76"/>
      <c r="H2130" s="77"/>
      <c r="I2130" s="76"/>
      <c r="J2130" s="77"/>
      <c r="K2130" s="77"/>
      <c r="L2130" s="76"/>
      <c r="M2130" s="76"/>
      <c r="N2130" s="76"/>
      <c r="O2130" s="76"/>
      <c r="P2130" s="76"/>
      <c r="Q2130" s="76"/>
      <c r="R2130" s="76"/>
      <c r="S2130" s="76"/>
      <c r="BD2130" s="99">
        <f t="shared" si="69"/>
        <v>0</v>
      </c>
      <c r="CC2130" s="99"/>
      <c r="CV2130" s="99"/>
      <c r="CW2130" s="63"/>
    </row>
    <row r="2131" spans="1:101" x14ac:dyDescent="0.15">
      <c r="A2131" s="76"/>
      <c r="B2131" s="74"/>
      <c r="C2131" s="74"/>
      <c r="D2131" s="78"/>
      <c r="E2131" s="74" t="s">
        <v>9072</v>
      </c>
      <c r="F2131" s="74"/>
      <c r="G2131" s="76" t="s">
        <v>8515</v>
      </c>
      <c r="H2131" s="77" t="s">
        <v>5</v>
      </c>
      <c r="I2131" s="76" t="s">
        <v>53</v>
      </c>
      <c r="J2131" s="77" t="s">
        <v>8516</v>
      </c>
      <c r="K2131" s="77" t="s">
        <v>84</v>
      </c>
      <c r="L2131" s="76"/>
      <c r="M2131" s="76" t="s">
        <v>38</v>
      </c>
      <c r="N2131" s="76" t="s">
        <v>40</v>
      </c>
      <c r="O2131" s="76">
        <v>0</v>
      </c>
      <c r="P2131" s="76"/>
      <c r="Q2131" s="76"/>
      <c r="R2131" s="76"/>
      <c r="S2131" s="76"/>
      <c r="BD2131" s="99">
        <f t="shared" si="69"/>
        <v>0</v>
      </c>
      <c r="CC2131" s="99"/>
      <c r="CV2131" s="99"/>
      <c r="CW2131" s="63"/>
    </row>
    <row r="2132" spans="1:101" ht="22.5" x14ac:dyDescent="0.15">
      <c r="A2132" s="76">
        <v>2002</v>
      </c>
      <c r="B2132" s="74" t="s">
        <v>2007</v>
      </c>
      <c r="C2132" s="74">
        <v>1128843927</v>
      </c>
      <c r="D2132" s="78" t="str">
        <f t="shared" si="68"/>
        <v>https://portal.dnb.de/opac.htm?method=simpleSearch&amp;cqlMode=true&amp;query=idn%3D1128843927</v>
      </c>
      <c r="E2132" s="74" t="s">
        <v>2008</v>
      </c>
      <c r="F2132" s="74"/>
      <c r="G2132" s="76"/>
      <c r="H2132" s="77" t="s">
        <v>17</v>
      </c>
      <c r="I2132" s="76" t="s">
        <v>54</v>
      </c>
      <c r="J2132" s="77" t="s">
        <v>8516</v>
      </c>
      <c r="K2132" s="77" t="s">
        <v>8675</v>
      </c>
      <c r="L2132" s="76"/>
      <c r="M2132" s="76"/>
      <c r="N2132" s="76"/>
      <c r="O2132" s="76">
        <v>1</v>
      </c>
      <c r="P2132" s="76"/>
      <c r="Q2132" s="76"/>
      <c r="R2132" s="76"/>
      <c r="S2132" s="76"/>
      <c r="BD2132" s="99">
        <f t="shared" si="69"/>
        <v>0</v>
      </c>
      <c r="CC2132" s="99"/>
      <c r="CV2132" s="99"/>
      <c r="CW2132" s="63"/>
    </row>
    <row r="2133" spans="1:101" x14ac:dyDescent="0.15">
      <c r="A2133" s="76">
        <v>2003</v>
      </c>
      <c r="B2133" s="74" t="s">
        <v>2018</v>
      </c>
      <c r="C2133" s="74">
        <v>996257896</v>
      </c>
      <c r="D2133" s="78" t="str">
        <f t="shared" si="68"/>
        <v>https://portal.dnb.de/opac.htm?method=simpleSearch&amp;cqlMode=true&amp;query=idn%3D996257896</v>
      </c>
      <c r="E2133" s="74" t="s">
        <v>2019</v>
      </c>
      <c r="F2133" s="74"/>
      <c r="G2133" s="76"/>
      <c r="H2133" s="77" t="s">
        <v>5</v>
      </c>
      <c r="I2133" s="76" t="s">
        <v>53</v>
      </c>
      <c r="J2133" s="77" t="s">
        <v>8516</v>
      </c>
      <c r="K2133" s="77" t="s">
        <v>84</v>
      </c>
      <c r="L2133" s="76"/>
      <c r="M2133" s="76" t="s">
        <v>36</v>
      </c>
      <c r="N2133" s="76" t="s">
        <v>39</v>
      </c>
      <c r="O2133" s="76">
        <v>1</v>
      </c>
      <c r="P2133" s="76"/>
      <c r="Q2133" s="76"/>
      <c r="R2133" s="76"/>
      <c r="S2133" s="76"/>
      <c r="BD2133" s="99">
        <f t="shared" si="69"/>
        <v>0</v>
      </c>
      <c r="CC2133" s="99"/>
      <c r="CV2133" s="99"/>
      <c r="CW2133" s="63"/>
    </row>
    <row r="2134" spans="1:101" x14ac:dyDescent="0.15">
      <c r="A2134" s="76">
        <v>2004</v>
      </c>
      <c r="B2134" s="74" t="s">
        <v>2020</v>
      </c>
      <c r="C2134" s="74">
        <v>997127112</v>
      </c>
      <c r="D2134" s="78" t="str">
        <f t="shared" si="68"/>
        <v>https://portal.dnb.de/opac.htm?method=simpleSearch&amp;cqlMode=true&amp;query=idn%3D997127112</v>
      </c>
      <c r="E2134" s="74" t="s">
        <v>2021</v>
      </c>
      <c r="F2134" s="74"/>
      <c r="G2134" s="76"/>
      <c r="H2134" s="77" t="s">
        <v>4</v>
      </c>
      <c r="I2134" s="76" t="s">
        <v>53</v>
      </c>
      <c r="J2134" s="77" t="s">
        <v>8516</v>
      </c>
      <c r="K2134" s="77" t="s">
        <v>84</v>
      </c>
      <c r="L2134" s="76"/>
      <c r="M2134" s="76" t="s">
        <v>36</v>
      </c>
      <c r="N2134" s="76" t="s">
        <v>39</v>
      </c>
      <c r="O2134" s="76">
        <v>1</v>
      </c>
      <c r="P2134" s="76"/>
      <c r="Q2134" s="76"/>
      <c r="R2134" s="76"/>
      <c r="S2134" s="76"/>
      <c r="BD2134" s="99">
        <f t="shared" si="69"/>
        <v>0</v>
      </c>
      <c r="CC2134" s="99"/>
      <c r="CV2134" s="99"/>
      <c r="CW2134" s="63"/>
    </row>
    <row r="2135" spans="1:101" x14ac:dyDescent="0.15">
      <c r="A2135" s="76">
        <v>2005</v>
      </c>
      <c r="B2135" s="74" t="s">
        <v>2022</v>
      </c>
      <c r="C2135" s="74" t="s">
        <v>2023</v>
      </c>
      <c r="D2135" s="78" t="str">
        <f t="shared" si="68"/>
        <v>https://portal.dnb.de/opac.htm?method=simpleSearch&amp;cqlMode=true&amp;query=idn%3D99712718X</v>
      </c>
      <c r="E2135" s="74" t="s">
        <v>2021</v>
      </c>
      <c r="F2135" s="74"/>
      <c r="G2135" s="76"/>
      <c r="H2135" s="77"/>
      <c r="I2135" s="76"/>
      <c r="J2135" s="77"/>
      <c r="K2135" s="77"/>
      <c r="L2135" s="76"/>
      <c r="M2135" s="76"/>
      <c r="N2135" s="76"/>
      <c r="O2135" s="76"/>
      <c r="P2135" s="76"/>
      <c r="Q2135" s="76"/>
      <c r="R2135" s="76"/>
      <c r="S2135" s="76"/>
      <c r="BD2135" s="99">
        <f t="shared" si="69"/>
        <v>0</v>
      </c>
      <c r="CC2135" s="99"/>
      <c r="CV2135" s="99"/>
      <c r="CW2135" s="63"/>
    </row>
    <row r="2136" spans="1:101" x14ac:dyDescent="0.15">
      <c r="A2136" s="76">
        <v>2006</v>
      </c>
      <c r="B2136" s="74" t="s">
        <v>2024</v>
      </c>
      <c r="C2136" s="74">
        <v>999144707</v>
      </c>
      <c r="D2136" s="78" t="str">
        <f t="shared" si="68"/>
        <v>https://portal.dnb.de/opac.htm?method=simpleSearch&amp;cqlMode=true&amp;query=idn%3D999144707</v>
      </c>
      <c r="E2136" s="74" t="s">
        <v>2025</v>
      </c>
      <c r="F2136" s="74"/>
      <c r="G2136" s="76" t="s">
        <v>8515</v>
      </c>
      <c r="H2136" s="77" t="s">
        <v>17</v>
      </c>
      <c r="I2136" s="76" t="s">
        <v>53</v>
      </c>
      <c r="J2136" s="77" t="s">
        <v>58</v>
      </c>
      <c r="K2136" s="77" t="s">
        <v>84</v>
      </c>
      <c r="L2136" s="76"/>
      <c r="M2136" s="76" t="s">
        <v>36</v>
      </c>
      <c r="N2136" s="76" t="s">
        <v>39</v>
      </c>
      <c r="O2136" s="76">
        <v>1</v>
      </c>
      <c r="P2136" s="76"/>
      <c r="Q2136" s="76"/>
      <c r="R2136" s="76"/>
      <c r="S2136" s="76"/>
      <c r="BD2136" s="99">
        <f t="shared" si="69"/>
        <v>0</v>
      </c>
      <c r="CC2136" s="99"/>
      <c r="CV2136" s="99"/>
      <c r="CW2136" s="63"/>
    </row>
    <row r="2137" spans="1:101" ht="22.5" x14ac:dyDescent="0.15">
      <c r="A2137" s="76">
        <v>2007</v>
      </c>
      <c r="B2137" s="74" t="s">
        <v>2030</v>
      </c>
      <c r="C2137" s="74" t="s">
        <v>2031</v>
      </c>
      <c r="D2137" s="78" t="str">
        <f t="shared" si="68"/>
        <v>https://portal.dnb.de/opac.htm?method=simpleSearch&amp;cqlMode=true&amp;query=idn%3D100360403X</v>
      </c>
      <c r="E2137" s="74" t="s">
        <v>9067</v>
      </c>
      <c r="F2137" s="74"/>
      <c r="G2137" s="76"/>
      <c r="H2137" s="77" t="s">
        <v>18</v>
      </c>
      <c r="I2137" s="76" t="s">
        <v>53</v>
      </c>
      <c r="J2137" s="77" t="s">
        <v>58</v>
      </c>
      <c r="K2137" s="77" t="s">
        <v>84</v>
      </c>
      <c r="L2137" s="76"/>
      <c r="M2137" s="76" t="s">
        <v>36</v>
      </c>
      <c r="N2137" s="76" t="s">
        <v>39</v>
      </c>
      <c r="O2137" s="76">
        <v>0</v>
      </c>
      <c r="P2137" s="76"/>
      <c r="Q2137" s="76"/>
      <c r="R2137" s="76"/>
      <c r="S2137" s="76"/>
      <c r="BD2137" s="99">
        <f t="shared" si="69"/>
        <v>0</v>
      </c>
      <c r="CC2137" s="99"/>
      <c r="CV2137" s="99"/>
      <c r="CW2137" s="63"/>
    </row>
    <row r="2138" spans="1:101" ht="22.5" x14ac:dyDescent="0.15">
      <c r="A2138" s="76">
        <v>2008</v>
      </c>
      <c r="B2138" s="74" t="s">
        <v>2032</v>
      </c>
      <c r="C2138" s="74">
        <v>1003604072</v>
      </c>
      <c r="D2138" s="78" t="str">
        <f t="shared" si="68"/>
        <v>https://portal.dnb.de/opac.htm?method=simpleSearch&amp;cqlMode=true&amp;query=idn%3D1003604072</v>
      </c>
      <c r="E2138" s="74" t="s">
        <v>9071</v>
      </c>
      <c r="F2138" s="74"/>
      <c r="G2138" s="76"/>
      <c r="H2138" s="77" t="s">
        <v>18</v>
      </c>
      <c r="I2138" s="76" t="s">
        <v>53</v>
      </c>
      <c r="J2138" s="77" t="s">
        <v>58</v>
      </c>
      <c r="K2138" s="77" t="s">
        <v>84</v>
      </c>
      <c r="L2138" s="76"/>
      <c r="M2138" s="76" t="s">
        <v>36</v>
      </c>
      <c r="N2138" s="76" t="s">
        <v>39</v>
      </c>
      <c r="O2138" s="76">
        <v>0</v>
      </c>
      <c r="P2138" s="76"/>
      <c r="Q2138" s="76"/>
      <c r="R2138" s="76"/>
      <c r="S2138" s="76"/>
      <c r="BD2138" s="99">
        <f t="shared" si="69"/>
        <v>0</v>
      </c>
      <c r="CC2138" s="99"/>
      <c r="CV2138" s="99"/>
      <c r="CW2138" s="63"/>
    </row>
    <row r="2139" spans="1:101" x14ac:dyDescent="0.15">
      <c r="A2139" s="76">
        <v>2009</v>
      </c>
      <c r="B2139" s="74" t="s">
        <v>2033</v>
      </c>
      <c r="C2139" s="74">
        <v>1003604099</v>
      </c>
      <c r="D2139" s="78" t="str">
        <f t="shared" si="68"/>
        <v>https://portal.dnb.de/opac.htm?method=simpleSearch&amp;cqlMode=true&amp;query=idn%3D1003604099</v>
      </c>
      <c r="E2139" s="74" t="s">
        <v>9068</v>
      </c>
      <c r="F2139" s="74"/>
      <c r="G2139" s="76"/>
      <c r="H2139" s="77"/>
      <c r="I2139" s="76"/>
      <c r="J2139" s="77"/>
      <c r="K2139" s="77"/>
      <c r="L2139" s="76"/>
      <c r="M2139" s="76"/>
      <c r="N2139" s="76"/>
      <c r="O2139" s="76"/>
      <c r="P2139" s="76"/>
      <c r="Q2139" s="76"/>
      <c r="R2139" s="76"/>
      <c r="S2139" s="76"/>
      <c r="BD2139" s="99">
        <f t="shared" si="69"/>
        <v>0</v>
      </c>
      <c r="CC2139" s="99"/>
      <c r="CV2139" s="99"/>
      <c r="CW2139" s="63"/>
    </row>
    <row r="2140" spans="1:101" x14ac:dyDescent="0.15">
      <c r="A2140" s="76">
        <v>2010</v>
      </c>
      <c r="B2140" s="74" t="s">
        <v>2034</v>
      </c>
      <c r="C2140" s="74">
        <v>1003603998</v>
      </c>
      <c r="D2140" s="78" t="str">
        <f t="shared" si="68"/>
        <v>https://portal.dnb.de/opac.htm?method=simpleSearch&amp;cqlMode=true&amp;query=idn%3D1003603998</v>
      </c>
      <c r="E2140" s="74" t="s">
        <v>9069</v>
      </c>
      <c r="F2140" s="74"/>
      <c r="G2140" s="76" t="s">
        <v>8515</v>
      </c>
      <c r="H2140" s="77" t="s">
        <v>49</v>
      </c>
      <c r="I2140" s="76" t="s">
        <v>53</v>
      </c>
      <c r="J2140" s="77" t="s">
        <v>8516</v>
      </c>
      <c r="K2140" s="77" t="s">
        <v>84</v>
      </c>
      <c r="L2140" s="76"/>
      <c r="M2140" s="76" t="s">
        <v>36</v>
      </c>
      <c r="N2140" s="76" t="s">
        <v>39</v>
      </c>
      <c r="O2140" s="76">
        <v>0</v>
      </c>
      <c r="P2140" s="76"/>
      <c r="Q2140" s="76"/>
      <c r="R2140" s="76"/>
      <c r="S2140" s="76"/>
      <c r="BD2140" s="99">
        <f t="shared" si="69"/>
        <v>0</v>
      </c>
      <c r="CC2140" s="99"/>
      <c r="CV2140" s="99"/>
      <c r="CW2140" s="63"/>
    </row>
    <row r="2141" spans="1:101" ht="22.5" x14ac:dyDescent="0.15">
      <c r="A2141" s="76">
        <v>2011</v>
      </c>
      <c r="B2141" s="74" t="s">
        <v>2035</v>
      </c>
      <c r="C2141" s="74">
        <v>1003604153</v>
      </c>
      <c r="D2141" s="78" t="str">
        <f t="shared" ref="D2141:D2205" si="70">HYPERLINK(CONCATENATE("https://portal.dnb.de/opac.htm?method=simpleSearch&amp;cqlMode=true&amp;query=idn%3D",C2141))</f>
        <v>https://portal.dnb.de/opac.htm?method=simpleSearch&amp;cqlMode=true&amp;query=idn%3D1003604153</v>
      </c>
      <c r="E2141" s="74" t="s">
        <v>9070</v>
      </c>
      <c r="F2141" s="74"/>
      <c r="G2141" s="76"/>
      <c r="H2141" s="77" t="s">
        <v>18</v>
      </c>
      <c r="I2141" s="76" t="s">
        <v>53</v>
      </c>
      <c r="J2141" s="77" t="s">
        <v>58</v>
      </c>
      <c r="K2141" s="77" t="s">
        <v>84</v>
      </c>
      <c r="L2141" s="76"/>
      <c r="M2141" s="76" t="s">
        <v>36</v>
      </c>
      <c r="N2141" s="76" t="s">
        <v>39</v>
      </c>
      <c r="O2141" s="76">
        <v>0</v>
      </c>
      <c r="P2141" s="76"/>
      <c r="Q2141" s="76"/>
      <c r="R2141" s="76"/>
      <c r="S2141" s="76"/>
      <c r="BD2141" s="99">
        <f t="shared" si="69"/>
        <v>0</v>
      </c>
      <c r="CC2141" s="99"/>
      <c r="CV2141" s="99"/>
      <c r="CW2141" s="63"/>
    </row>
    <row r="2142" spans="1:101" x14ac:dyDescent="0.15">
      <c r="A2142" s="76">
        <v>2012</v>
      </c>
      <c r="B2142" s="74" t="s">
        <v>2036</v>
      </c>
      <c r="C2142" s="74">
        <v>1001172140</v>
      </c>
      <c r="D2142" s="78" t="str">
        <f t="shared" si="70"/>
        <v>https://portal.dnb.de/opac.htm?method=simpleSearch&amp;cqlMode=true&amp;query=idn%3D1001172140</v>
      </c>
      <c r="E2142" s="74" t="s">
        <v>2037</v>
      </c>
      <c r="F2142" s="74"/>
      <c r="G2142" s="76"/>
      <c r="H2142" s="77" t="s">
        <v>4</v>
      </c>
      <c r="I2142" s="76" t="s">
        <v>53</v>
      </c>
      <c r="J2142" s="77" t="s">
        <v>8516</v>
      </c>
      <c r="K2142" s="77" t="s">
        <v>72</v>
      </c>
      <c r="L2142" s="76"/>
      <c r="M2142" s="76" t="s">
        <v>38</v>
      </c>
      <c r="N2142" s="76" t="s">
        <v>40</v>
      </c>
      <c r="O2142" s="76">
        <v>0</v>
      </c>
      <c r="P2142" s="76"/>
      <c r="Q2142" s="76"/>
      <c r="R2142" s="76"/>
      <c r="S2142" s="76"/>
      <c r="BD2142" s="99">
        <f t="shared" si="69"/>
        <v>0</v>
      </c>
      <c r="CC2142" s="99"/>
      <c r="CV2142" s="99"/>
      <c r="CW2142" s="63"/>
    </row>
    <row r="2143" spans="1:101" x14ac:dyDescent="0.15">
      <c r="A2143" s="76">
        <v>2013</v>
      </c>
      <c r="B2143" s="74" t="s">
        <v>2038</v>
      </c>
      <c r="C2143" s="74" t="s">
        <v>2039</v>
      </c>
      <c r="D2143" s="78" t="str">
        <f t="shared" si="70"/>
        <v>https://portal.dnb.de/opac.htm?method=simpleSearch&amp;cqlMode=true&amp;query=idn%3D113263475X</v>
      </c>
      <c r="E2143" s="74" t="s">
        <v>2040</v>
      </c>
      <c r="F2143" s="74"/>
      <c r="G2143" s="76" t="s">
        <v>8515</v>
      </c>
      <c r="H2143" s="77" t="s">
        <v>5</v>
      </c>
      <c r="I2143" s="76" t="s">
        <v>53</v>
      </c>
      <c r="J2143" s="77" t="s">
        <v>8516</v>
      </c>
      <c r="K2143" s="77" t="s">
        <v>8520</v>
      </c>
      <c r="L2143" s="76"/>
      <c r="M2143" s="76"/>
      <c r="N2143" s="76"/>
      <c r="O2143" s="76">
        <v>0</v>
      </c>
      <c r="P2143" s="76"/>
      <c r="Q2143" s="76"/>
      <c r="R2143" s="76"/>
      <c r="S2143" s="76"/>
      <c r="BD2143" s="99">
        <f t="shared" si="69"/>
        <v>0</v>
      </c>
      <c r="CC2143" s="99"/>
      <c r="CV2143" s="99"/>
      <c r="CW2143" s="63"/>
    </row>
    <row r="2144" spans="1:101" ht="33.75" x14ac:dyDescent="0.15">
      <c r="A2144" s="76">
        <v>2014</v>
      </c>
      <c r="B2144" s="74" t="s">
        <v>2041</v>
      </c>
      <c r="C2144" s="74">
        <v>1066936587</v>
      </c>
      <c r="D2144" s="78" t="str">
        <f t="shared" si="70"/>
        <v>https://portal.dnb.de/opac.htm?method=simpleSearch&amp;cqlMode=true&amp;query=idn%3D1066936587</v>
      </c>
      <c r="E2144" s="74" t="s">
        <v>2042</v>
      </c>
      <c r="F2144" s="74"/>
      <c r="G2144" s="76" t="s">
        <v>8515</v>
      </c>
      <c r="H2144" s="77" t="s">
        <v>5</v>
      </c>
      <c r="I2144" s="76" t="s">
        <v>53</v>
      </c>
      <c r="J2144" s="77" t="s">
        <v>8516</v>
      </c>
      <c r="K2144" s="77" t="s">
        <v>67</v>
      </c>
      <c r="L2144" s="76"/>
      <c r="M2144" s="76"/>
      <c r="N2144" s="76"/>
      <c r="O2144" s="76">
        <v>2</v>
      </c>
      <c r="P2144" s="76"/>
      <c r="Q2144" s="76"/>
      <c r="R2144" s="76"/>
      <c r="S2144" s="76"/>
      <c r="Y2144" s="95" t="s">
        <v>9723</v>
      </c>
      <c r="AC2144" s="95" t="s">
        <v>9730</v>
      </c>
      <c r="AE2144" s="95" t="s">
        <v>8541</v>
      </c>
      <c r="AI2144" s="95" t="s">
        <v>9725</v>
      </c>
      <c r="AW2144" s="95">
        <v>60</v>
      </c>
      <c r="BC2144" s="96" t="s">
        <v>9726</v>
      </c>
      <c r="BD2144" s="99">
        <f t="shared" si="69"/>
        <v>7</v>
      </c>
      <c r="BO2144" s="70" t="s">
        <v>10036</v>
      </c>
      <c r="BP2144" s="69" t="s">
        <v>8541</v>
      </c>
      <c r="BQ2144" s="95" t="s">
        <v>8541</v>
      </c>
      <c r="BR2144" s="95" t="s">
        <v>8541</v>
      </c>
      <c r="BT2144" s="95" t="s">
        <v>9737</v>
      </c>
      <c r="BY2144" s="95" t="s">
        <v>8541</v>
      </c>
      <c r="CC2144" s="99">
        <v>5</v>
      </c>
      <c r="CD2144" s="90" t="s">
        <v>10120</v>
      </c>
      <c r="CE2144" s="95" t="s">
        <v>8541</v>
      </c>
      <c r="CV2144" s="99">
        <v>2</v>
      </c>
      <c r="CW2144" s="63" t="s">
        <v>10121</v>
      </c>
    </row>
    <row r="2145" spans="1:101" x14ac:dyDescent="0.15">
      <c r="A2145" s="76">
        <v>2015</v>
      </c>
      <c r="B2145" s="74" t="s">
        <v>2043</v>
      </c>
      <c r="C2145" s="74">
        <v>1003374697</v>
      </c>
      <c r="D2145" s="78" t="str">
        <f t="shared" si="70"/>
        <v>https://portal.dnb.de/opac.htm?method=simpleSearch&amp;cqlMode=true&amp;query=idn%3D1003374697</v>
      </c>
      <c r="E2145" s="74" t="s">
        <v>2044</v>
      </c>
      <c r="F2145" s="74"/>
      <c r="G2145" s="76"/>
      <c r="H2145" s="77"/>
      <c r="I2145" s="76"/>
      <c r="J2145" s="77"/>
      <c r="K2145" s="77"/>
      <c r="L2145" s="76"/>
      <c r="M2145" s="76"/>
      <c r="N2145" s="76"/>
      <c r="O2145" s="76"/>
      <c r="P2145" s="76"/>
      <c r="Q2145" s="76"/>
      <c r="R2145" s="76"/>
      <c r="S2145" s="76"/>
      <c r="BD2145" s="99">
        <f t="shared" si="69"/>
        <v>0</v>
      </c>
      <c r="CC2145" s="99"/>
      <c r="CV2145" s="99"/>
      <c r="CW2145" s="63"/>
    </row>
    <row r="2146" spans="1:101" x14ac:dyDescent="0.15">
      <c r="A2146" s="76">
        <v>2016</v>
      </c>
      <c r="B2146" s="74" t="s">
        <v>2045</v>
      </c>
      <c r="C2146" s="74">
        <v>1003374441</v>
      </c>
      <c r="D2146" s="78" t="str">
        <f t="shared" si="70"/>
        <v>https://portal.dnb.de/opac.htm?method=simpleSearch&amp;cqlMode=true&amp;query=idn%3D1003374441</v>
      </c>
      <c r="E2146" s="74" t="s">
        <v>2044</v>
      </c>
      <c r="F2146" s="74"/>
      <c r="G2146" s="76"/>
      <c r="H2146" s="77"/>
      <c r="I2146" s="76"/>
      <c r="J2146" s="77"/>
      <c r="K2146" s="77"/>
      <c r="L2146" s="76"/>
      <c r="M2146" s="76"/>
      <c r="N2146" s="76"/>
      <c r="O2146" s="76"/>
      <c r="P2146" s="76"/>
      <c r="Q2146" s="76"/>
      <c r="R2146" s="76"/>
      <c r="S2146" s="76"/>
      <c r="BD2146" s="99">
        <f t="shared" si="69"/>
        <v>0</v>
      </c>
      <c r="CC2146" s="99"/>
      <c r="CV2146" s="99"/>
      <c r="CW2146" s="63"/>
    </row>
    <row r="2147" spans="1:101" x14ac:dyDescent="0.15">
      <c r="A2147" s="76">
        <v>2017</v>
      </c>
      <c r="B2147" s="74" t="s">
        <v>2046</v>
      </c>
      <c r="C2147" s="74">
        <v>1003373356</v>
      </c>
      <c r="D2147" s="78" t="str">
        <f t="shared" si="70"/>
        <v>https://portal.dnb.de/opac.htm?method=simpleSearch&amp;cqlMode=true&amp;query=idn%3D1003373356</v>
      </c>
      <c r="E2147" s="74" t="s">
        <v>2044</v>
      </c>
      <c r="F2147" s="74"/>
      <c r="G2147" s="76"/>
      <c r="H2147" s="77"/>
      <c r="I2147" s="76"/>
      <c r="J2147" s="77"/>
      <c r="K2147" s="77"/>
      <c r="L2147" s="76"/>
      <c r="M2147" s="76"/>
      <c r="N2147" s="76"/>
      <c r="O2147" s="76"/>
      <c r="P2147" s="76"/>
      <c r="Q2147" s="76"/>
      <c r="R2147" s="76"/>
      <c r="S2147" s="76"/>
      <c r="BD2147" s="99">
        <f t="shared" si="69"/>
        <v>0</v>
      </c>
      <c r="CC2147" s="99"/>
      <c r="CV2147" s="99"/>
      <c r="CW2147" s="63"/>
    </row>
    <row r="2148" spans="1:101" ht="33.75" x14ac:dyDescent="0.15">
      <c r="A2148" s="76">
        <v>2018</v>
      </c>
      <c r="B2148" s="74" t="s">
        <v>2047</v>
      </c>
      <c r="C2148" s="74">
        <v>994272898</v>
      </c>
      <c r="D2148" s="78" t="str">
        <f t="shared" si="70"/>
        <v>https://portal.dnb.de/opac.htm?method=simpleSearch&amp;cqlMode=true&amp;query=idn%3D994272898</v>
      </c>
      <c r="E2148" s="74" t="s">
        <v>2044</v>
      </c>
      <c r="F2148" s="74"/>
      <c r="G2148" s="76" t="s">
        <v>8515</v>
      </c>
      <c r="H2148" s="77" t="s">
        <v>8546</v>
      </c>
      <c r="I2148" s="76" t="s">
        <v>53</v>
      </c>
      <c r="J2148" s="77" t="s">
        <v>8516</v>
      </c>
      <c r="K2148" s="77" t="s">
        <v>8577</v>
      </c>
      <c r="L2148" s="76"/>
      <c r="M2148" s="76" t="s">
        <v>37</v>
      </c>
      <c r="N2148" s="76" t="s">
        <v>40</v>
      </c>
      <c r="O2148" s="76">
        <v>0</v>
      </c>
      <c r="P2148" s="76"/>
      <c r="Q2148" s="76"/>
      <c r="R2148" s="76"/>
      <c r="S2148" s="76"/>
      <c r="BD2148" s="99">
        <f t="shared" si="69"/>
        <v>0</v>
      </c>
      <c r="CC2148" s="99"/>
      <c r="CV2148" s="99"/>
      <c r="CW2148" s="63"/>
    </row>
    <row r="2149" spans="1:101" ht="33.75" x14ac:dyDescent="0.15">
      <c r="A2149" s="76">
        <v>2019</v>
      </c>
      <c r="B2149" s="74" t="s">
        <v>2048</v>
      </c>
      <c r="C2149" s="74">
        <v>1066940622</v>
      </c>
      <c r="D2149" s="78" t="str">
        <f t="shared" si="70"/>
        <v>https://portal.dnb.de/opac.htm?method=simpleSearch&amp;cqlMode=true&amp;query=idn%3D1066940622</v>
      </c>
      <c r="E2149" s="74" t="s">
        <v>2049</v>
      </c>
      <c r="F2149" s="74"/>
      <c r="G2149" s="76" t="s">
        <v>8515</v>
      </c>
      <c r="H2149" s="77" t="s">
        <v>48</v>
      </c>
      <c r="I2149" s="76" t="s">
        <v>53</v>
      </c>
      <c r="J2149" s="77" t="s">
        <v>8516</v>
      </c>
      <c r="K2149" s="77" t="s">
        <v>9073</v>
      </c>
      <c r="L2149" s="76"/>
      <c r="M2149" s="76"/>
      <c r="N2149" s="76"/>
      <c r="O2149" s="76">
        <v>0</v>
      </c>
      <c r="P2149" s="76"/>
      <c r="Q2149" s="76"/>
      <c r="R2149" s="76"/>
      <c r="S2149" s="76"/>
      <c r="BD2149" s="99">
        <f t="shared" si="69"/>
        <v>0</v>
      </c>
      <c r="CC2149" s="99"/>
      <c r="CV2149" s="99"/>
      <c r="CW2149" s="63"/>
    </row>
    <row r="2150" spans="1:101" ht="90" x14ac:dyDescent="0.15">
      <c r="A2150" s="76">
        <v>2020</v>
      </c>
      <c r="B2150" s="74" t="s">
        <v>2050</v>
      </c>
      <c r="C2150" s="74">
        <v>994083696</v>
      </c>
      <c r="D2150" s="78" t="str">
        <f t="shared" si="70"/>
        <v>https://portal.dnb.de/opac.htm?method=simpleSearch&amp;cqlMode=true&amp;query=idn%3D994083696</v>
      </c>
      <c r="E2150" s="74" t="s">
        <v>2051</v>
      </c>
      <c r="F2150" s="74"/>
      <c r="G2150" s="76" t="s">
        <v>8515</v>
      </c>
      <c r="H2150" s="77" t="s">
        <v>8547</v>
      </c>
      <c r="I2150" s="76" t="s">
        <v>53</v>
      </c>
      <c r="J2150" s="77" t="s">
        <v>8516</v>
      </c>
      <c r="K2150" s="77" t="s">
        <v>8702</v>
      </c>
      <c r="L2150" s="76"/>
      <c r="M2150" s="76" t="s">
        <v>37</v>
      </c>
      <c r="N2150" s="76" t="s">
        <v>40</v>
      </c>
      <c r="O2150" s="76">
        <v>2</v>
      </c>
      <c r="P2150" s="76"/>
      <c r="Q2150" s="76"/>
      <c r="R2150" s="76"/>
      <c r="S2150" s="76"/>
      <c r="Y2150" s="95" t="s">
        <v>9763</v>
      </c>
      <c r="AA2150" s="95" t="s">
        <v>8541</v>
      </c>
      <c r="AC2150" s="95" t="s">
        <v>9724</v>
      </c>
      <c r="AI2150" s="95" t="s">
        <v>9725</v>
      </c>
      <c r="AW2150" s="95">
        <v>0</v>
      </c>
      <c r="BC2150" s="96" t="s">
        <v>10503</v>
      </c>
      <c r="BD2150" s="99">
        <f t="shared" si="69"/>
        <v>5</v>
      </c>
      <c r="BH2150" s="95" t="s">
        <v>8541</v>
      </c>
      <c r="BP2150" s="69" t="s">
        <v>8541</v>
      </c>
      <c r="BQ2150" s="95" t="s">
        <v>8541</v>
      </c>
      <c r="BR2150" s="95" t="s">
        <v>8541</v>
      </c>
      <c r="CC2150" s="99">
        <v>5</v>
      </c>
      <c r="CD2150" s="90" t="s">
        <v>10123</v>
      </c>
      <c r="CV2150" s="99"/>
      <c r="CW2150" s="63"/>
    </row>
    <row r="2151" spans="1:101" x14ac:dyDescent="0.15">
      <c r="A2151" s="76">
        <v>2021</v>
      </c>
      <c r="B2151" s="74" t="s">
        <v>2052</v>
      </c>
      <c r="C2151" s="74">
        <v>994083858</v>
      </c>
      <c r="D2151" s="78" t="str">
        <f t="shared" si="70"/>
        <v>https://portal.dnb.de/opac.htm?method=simpleSearch&amp;cqlMode=true&amp;query=idn%3D994083858</v>
      </c>
      <c r="E2151" s="74" t="s">
        <v>10122</v>
      </c>
      <c r="F2151" s="74"/>
      <c r="G2151" s="76"/>
      <c r="H2151" s="77"/>
      <c r="I2151" s="76"/>
      <c r="J2151" s="77"/>
      <c r="K2151" s="77"/>
      <c r="L2151" s="76"/>
      <c r="M2151" s="76"/>
      <c r="N2151" s="76"/>
      <c r="O2151" s="76"/>
      <c r="P2151" s="76"/>
      <c r="Q2151" s="76"/>
      <c r="R2151" s="76"/>
      <c r="S2151" s="76"/>
      <c r="BD2151" s="99">
        <f t="shared" si="69"/>
        <v>0</v>
      </c>
      <c r="CC2151" s="99"/>
      <c r="CV2151" s="99"/>
      <c r="CW2151" s="63"/>
    </row>
    <row r="2152" spans="1:101" x14ac:dyDescent="0.15">
      <c r="A2152" s="76">
        <v>2022</v>
      </c>
      <c r="B2152" s="74" t="s">
        <v>2053</v>
      </c>
      <c r="C2152" s="74">
        <v>994083815</v>
      </c>
      <c r="D2152" s="78" t="str">
        <f t="shared" si="70"/>
        <v>https://portal.dnb.de/opac.htm?method=simpleSearch&amp;cqlMode=true&amp;query=idn%3D994083815</v>
      </c>
      <c r="E2152" s="74" t="s">
        <v>10122</v>
      </c>
      <c r="F2152" s="74"/>
      <c r="G2152" s="76"/>
      <c r="H2152" s="77"/>
      <c r="I2152" s="76"/>
      <c r="J2152" s="77"/>
      <c r="K2152" s="77"/>
      <c r="L2152" s="76"/>
      <c r="M2152" s="76"/>
      <c r="N2152" s="76"/>
      <c r="O2152" s="76"/>
      <c r="P2152" s="76"/>
      <c r="Q2152" s="76"/>
      <c r="R2152" s="76"/>
      <c r="S2152" s="76"/>
      <c r="BD2152" s="99">
        <f t="shared" si="69"/>
        <v>0</v>
      </c>
      <c r="CC2152" s="99"/>
      <c r="CV2152" s="99"/>
      <c r="CW2152" s="63"/>
    </row>
    <row r="2153" spans="1:101" x14ac:dyDescent="0.15">
      <c r="A2153" s="76">
        <v>2023</v>
      </c>
      <c r="B2153" s="74" t="s">
        <v>2054</v>
      </c>
      <c r="C2153" s="74">
        <v>994083777</v>
      </c>
      <c r="D2153" s="82" t="str">
        <f>HYPERLINK(CONCATENATE("https://portal.dnb.de/opac.htm?method=simpleSearch&amp;cqlMode=true&amp;query=idn%3D",C2153))</f>
        <v>https://portal.dnb.de/opac.htm?method=simpleSearch&amp;cqlMode=true&amp;query=idn%3D994083777</v>
      </c>
      <c r="E2153" s="74" t="s">
        <v>10122</v>
      </c>
      <c r="F2153" s="74"/>
      <c r="G2153" s="76"/>
      <c r="H2153" s="77"/>
      <c r="I2153" s="76"/>
      <c r="J2153" s="77"/>
      <c r="K2153" s="77"/>
      <c r="L2153" s="76"/>
      <c r="M2153" s="76"/>
      <c r="N2153" s="76"/>
      <c r="O2153" s="76"/>
      <c r="P2153" s="76"/>
      <c r="Q2153" s="76"/>
      <c r="R2153" s="76"/>
      <c r="S2153" s="76"/>
      <c r="BD2153" s="99">
        <f t="shared" si="69"/>
        <v>0</v>
      </c>
      <c r="CC2153" s="99"/>
      <c r="CV2153" s="99"/>
      <c r="CW2153" s="63"/>
    </row>
    <row r="2154" spans="1:101" x14ac:dyDescent="0.15">
      <c r="A2154" s="76">
        <v>2024</v>
      </c>
      <c r="B2154" s="74" t="s">
        <v>2064</v>
      </c>
      <c r="C2154" s="74">
        <v>1066941920</v>
      </c>
      <c r="D2154" s="78" t="str">
        <f t="shared" si="70"/>
        <v>https://portal.dnb.de/opac.htm?method=simpleSearch&amp;cqlMode=true&amp;query=idn%3D1066941920</v>
      </c>
      <c r="E2154" s="74" t="s">
        <v>2065</v>
      </c>
      <c r="F2154" s="74"/>
      <c r="G2154" s="76" t="s">
        <v>8515</v>
      </c>
      <c r="H2154" s="77" t="s">
        <v>17</v>
      </c>
      <c r="I2154" s="76" t="s">
        <v>53</v>
      </c>
      <c r="J2154" s="77" t="s">
        <v>8516</v>
      </c>
      <c r="K2154" s="77" t="s">
        <v>72</v>
      </c>
      <c r="L2154" s="76"/>
      <c r="M2154" s="76"/>
      <c r="N2154" s="76" t="s">
        <v>8660</v>
      </c>
      <c r="O2154" s="76">
        <v>0</v>
      </c>
      <c r="P2154" s="76"/>
      <c r="Q2154" s="76"/>
      <c r="R2154" s="76"/>
      <c r="S2154" s="76"/>
      <c r="BD2154" s="99">
        <f t="shared" si="69"/>
        <v>0</v>
      </c>
      <c r="CC2154" s="99"/>
      <c r="CV2154" s="99"/>
      <c r="CW2154" s="63"/>
    </row>
    <row r="2155" spans="1:101" x14ac:dyDescent="0.15">
      <c r="A2155" s="76">
        <v>2025</v>
      </c>
      <c r="B2155" s="74" t="s">
        <v>2066</v>
      </c>
      <c r="C2155" s="74">
        <v>1066857849</v>
      </c>
      <c r="D2155" s="78" t="str">
        <f t="shared" si="70"/>
        <v>https://portal.dnb.de/opac.htm?method=simpleSearch&amp;cqlMode=true&amp;query=idn%3D1066857849</v>
      </c>
      <c r="E2155" s="74" t="s">
        <v>2067</v>
      </c>
      <c r="F2155" s="74"/>
      <c r="G2155" s="76" t="s">
        <v>8515</v>
      </c>
      <c r="H2155" s="77" t="s">
        <v>48</v>
      </c>
      <c r="I2155" s="76" t="s">
        <v>53</v>
      </c>
      <c r="J2155" s="77" t="s">
        <v>8516</v>
      </c>
      <c r="K2155" s="77" t="s">
        <v>84</v>
      </c>
      <c r="L2155" s="76"/>
      <c r="M2155" s="76"/>
      <c r="N2155" s="76" t="s">
        <v>8660</v>
      </c>
      <c r="O2155" s="76">
        <v>0</v>
      </c>
      <c r="P2155" s="76"/>
      <c r="Q2155" s="76"/>
      <c r="R2155" s="76"/>
      <c r="S2155" s="76"/>
      <c r="BD2155" s="99">
        <f t="shared" si="69"/>
        <v>0</v>
      </c>
      <c r="CC2155" s="99"/>
      <c r="CV2155" s="99"/>
      <c r="CW2155" s="63"/>
    </row>
    <row r="2156" spans="1:101" ht="22.5" x14ac:dyDescent="0.15">
      <c r="A2156" s="76">
        <v>2026</v>
      </c>
      <c r="B2156" s="74" t="s">
        <v>2068</v>
      </c>
      <c r="C2156" s="74">
        <v>1066862346</v>
      </c>
      <c r="D2156" s="78" t="str">
        <f t="shared" si="70"/>
        <v>https://portal.dnb.de/opac.htm?method=simpleSearch&amp;cqlMode=true&amp;query=idn%3D1066862346</v>
      </c>
      <c r="E2156" s="74" t="s">
        <v>2069</v>
      </c>
      <c r="F2156" s="74"/>
      <c r="G2156" s="76"/>
      <c r="H2156" s="77"/>
      <c r="I2156" s="76" t="s">
        <v>54</v>
      </c>
      <c r="J2156" s="77"/>
      <c r="K2156" s="77"/>
      <c r="L2156" s="76"/>
      <c r="M2156" s="76"/>
      <c r="N2156" s="76"/>
      <c r="O2156" s="76"/>
      <c r="P2156" s="76"/>
      <c r="Q2156" s="76"/>
      <c r="R2156" s="76"/>
      <c r="S2156" s="76"/>
      <c r="Y2156" s="95" t="s">
        <v>9763</v>
      </c>
      <c r="AA2156" s="95" t="s">
        <v>8541</v>
      </c>
      <c r="AC2156" s="95" t="s">
        <v>9737</v>
      </c>
      <c r="AI2156" s="95" t="s">
        <v>9725</v>
      </c>
      <c r="AK2156" s="95" t="s">
        <v>8541</v>
      </c>
      <c r="AW2156" s="95">
        <v>60</v>
      </c>
      <c r="BC2156" s="96" t="s">
        <v>9726</v>
      </c>
      <c r="BD2156" s="99">
        <f t="shared" si="69"/>
        <v>2</v>
      </c>
      <c r="BH2156" s="95" t="s">
        <v>8541</v>
      </c>
      <c r="BP2156" s="69" t="s">
        <v>8541</v>
      </c>
      <c r="BQ2156" s="95" t="s">
        <v>8541</v>
      </c>
      <c r="BR2156" s="95" t="s">
        <v>8541</v>
      </c>
      <c r="BS2156" s="95" t="s">
        <v>8541</v>
      </c>
      <c r="BT2156" s="95" t="s">
        <v>9775</v>
      </c>
      <c r="CC2156" s="99">
        <v>2</v>
      </c>
      <c r="CD2156" s="90" t="s">
        <v>10422</v>
      </c>
      <c r="CV2156" s="99"/>
      <c r="CW2156" s="63"/>
    </row>
    <row r="2157" spans="1:101" x14ac:dyDescent="0.15">
      <c r="A2157" s="76">
        <v>2027</v>
      </c>
      <c r="B2157" s="74" t="s">
        <v>2072</v>
      </c>
      <c r="C2157" s="74">
        <v>993935990</v>
      </c>
      <c r="D2157" s="78" t="str">
        <f t="shared" si="70"/>
        <v>https://portal.dnb.de/opac.htm?method=simpleSearch&amp;cqlMode=true&amp;query=idn%3D993935990</v>
      </c>
      <c r="E2157" s="74" t="s">
        <v>2073</v>
      </c>
      <c r="F2157" s="74"/>
      <c r="G2157" s="76"/>
      <c r="H2157" s="77"/>
      <c r="I2157" s="76" t="s">
        <v>56</v>
      </c>
      <c r="J2157" s="77"/>
      <c r="K2157" s="77"/>
      <c r="L2157" s="76"/>
      <c r="M2157" s="76"/>
      <c r="N2157" s="76"/>
      <c r="O2157" s="76"/>
      <c r="P2157" s="76"/>
      <c r="Q2157" s="76"/>
      <c r="R2157" s="76"/>
      <c r="S2157" s="76"/>
      <c r="U2157" s="95" t="s">
        <v>9817</v>
      </c>
      <c r="Y2157" s="95" t="s">
        <v>9763</v>
      </c>
      <c r="AC2157" s="95" t="s">
        <v>9730</v>
      </c>
      <c r="AH2157" s="95" t="s">
        <v>8541</v>
      </c>
      <c r="AI2157" s="95" t="s">
        <v>9725</v>
      </c>
      <c r="AW2157" s="95" t="s">
        <v>9764</v>
      </c>
      <c r="BC2157" s="96" t="s">
        <v>9734</v>
      </c>
      <c r="BD2157" s="99">
        <f t="shared" si="69"/>
        <v>0</v>
      </c>
      <c r="BH2157" s="95" t="s">
        <v>8541</v>
      </c>
      <c r="CC2157" s="99"/>
      <c r="CV2157" s="99"/>
      <c r="CW2157" s="63"/>
    </row>
    <row r="2158" spans="1:101" x14ac:dyDescent="0.15">
      <c r="A2158" s="76">
        <v>2028</v>
      </c>
      <c r="B2158" s="74" t="s">
        <v>2074</v>
      </c>
      <c r="C2158" s="74">
        <v>1002223369</v>
      </c>
      <c r="D2158" s="78" t="str">
        <f t="shared" si="70"/>
        <v>https://portal.dnb.de/opac.htm?method=simpleSearch&amp;cqlMode=true&amp;query=idn%3D1002223369</v>
      </c>
      <c r="E2158" s="74" t="s">
        <v>2075</v>
      </c>
      <c r="F2158" s="74"/>
      <c r="G2158" s="76"/>
      <c r="H2158" s="77"/>
      <c r="I2158" s="76"/>
      <c r="J2158" s="77"/>
      <c r="K2158" s="77"/>
      <c r="L2158" s="76"/>
      <c r="M2158" s="76"/>
      <c r="N2158" s="76"/>
      <c r="O2158" s="76"/>
      <c r="P2158" s="76"/>
      <c r="Q2158" s="76"/>
      <c r="R2158" s="76"/>
      <c r="S2158" s="76"/>
      <c r="BD2158" s="99">
        <f t="shared" si="69"/>
        <v>0</v>
      </c>
      <c r="CC2158" s="99"/>
      <c r="CV2158" s="99"/>
      <c r="CW2158" s="63"/>
    </row>
    <row r="2159" spans="1:101" x14ac:dyDescent="0.15">
      <c r="A2159" s="76">
        <v>2029</v>
      </c>
      <c r="B2159" s="74" t="s">
        <v>2076</v>
      </c>
      <c r="C2159" s="74">
        <v>999305786</v>
      </c>
      <c r="D2159" s="78" t="str">
        <f t="shared" si="70"/>
        <v>https://portal.dnb.de/opac.htm?method=simpleSearch&amp;cqlMode=true&amp;query=idn%3D999305786</v>
      </c>
      <c r="E2159" s="74" t="s">
        <v>2075</v>
      </c>
      <c r="F2159" s="74"/>
      <c r="G2159" s="76"/>
      <c r="H2159" s="77"/>
      <c r="I2159" s="76"/>
      <c r="J2159" s="77"/>
      <c r="K2159" s="77"/>
      <c r="L2159" s="76"/>
      <c r="M2159" s="76"/>
      <c r="N2159" s="76"/>
      <c r="O2159" s="76"/>
      <c r="P2159" s="76"/>
      <c r="Q2159" s="76"/>
      <c r="R2159" s="76"/>
      <c r="S2159" s="76"/>
      <c r="BD2159" s="99">
        <f t="shared" si="69"/>
        <v>0</v>
      </c>
      <c r="CC2159" s="99"/>
      <c r="CV2159" s="99"/>
      <c r="CW2159" s="63"/>
    </row>
    <row r="2160" spans="1:101" x14ac:dyDescent="0.15">
      <c r="A2160" s="76">
        <v>2030</v>
      </c>
      <c r="B2160" s="74" t="s">
        <v>2070</v>
      </c>
      <c r="C2160" s="74">
        <v>1211367657</v>
      </c>
      <c r="D2160" s="78" t="str">
        <f t="shared" si="70"/>
        <v>https://portal.dnb.de/opac.htm?method=simpleSearch&amp;cqlMode=true&amp;query=idn%3D1211367657</v>
      </c>
      <c r="E2160" s="74" t="s">
        <v>2071</v>
      </c>
      <c r="F2160" s="74"/>
      <c r="G2160" s="76"/>
      <c r="H2160" s="77"/>
      <c r="I2160" s="76"/>
      <c r="J2160" s="77"/>
      <c r="K2160" s="77"/>
      <c r="L2160" s="76"/>
      <c r="M2160" s="76"/>
      <c r="N2160" s="76"/>
      <c r="O2160" s="76"/>
      <c r="P2160" s="76"/>
      <c r="Q2160" s="76"/>
      <c r="R2160" s="76"/>
      <c r="S2160" s="76"/>
      <c r="BD2160" s="99">
        <f t="shared" si="69"/>
        <v>0</v>
      </c>
      <c r="CC2160" s="99"/>
      <c r="CV2160" s="99"/>
      <c r="CW2160" s="63"/>
    </row>
    <row r="2161" spans="1:101" x14ac:dyDescent="0.15">
      <c r="A2161" s="76">
        <v>2031</v>
      </c>
      <c r="B2161" s="74" t="s">
        <v>2079</v>
      </c>
      <c r="C2161" s="74" t="s">
        <v>2080</v>
      </c>
      <c r="D2161" s="78" t="str">
        <f t="shared" si="70"/>
        <v>https://portal.dnb.de/opac.htm?method=simpleSearch&amp;cqlMode=true&amp;query=idn%3D106693522X</v>
      </c>
      <c r="E2161" s="74" t="s">
        <v>2081</v>
      </c>
      <c r="F2161" s="74"/>
      <c r="G2161" s="76" t="s">
        <v>8515</v>
      </c>
      <c r="H2161" s="77" t="s">
        <v>49</v>
      </c>
      <c r="I2161" s="76" t="s">
        <v>53</v>
      </c>
      <c r="J2161" s="77" t="s">
        <v>58</v>
      </c>
      <c r="K2161" s="77" t="s">
        <v>8785</v>
      </c>
      <c r="L2161" s="76"/>
      <c r="M2161" s="76"/>
      <c r="N2161" s="76" t="s">
        <v>8660</v>
      </c>
      <c r="O2161" s="76">
        <v>0</v>
      </c>
      <c r="P2161" s="76"/>
      <c r="Q2161" s="76"/>
      <c r="R2161" s="76"/>
      <c r="S2161" s="76"/>
      <c r="Y2161" s="95" t="s">
        <v>9869</v>
      </c>
      <c r="AC2161" s="95" t="s">
        <v>9737</v>
      </c>
      <c r="AI2161" s="95" t="s">
        <v>9725</v>
      </c>
      <c r="AO2161" s="95" t="s">
        <v>8541</v>
      </c>
      <c r="AP2161" s="95" t="s">
        <v>8541</v>
      </c>
      <c r="AW2161" s="95">
        <v>180</v>
      </c>
      <c r="BC2161" s="96" t="s">
        <v>9726</v>
      </c>
      <c r="BD2161" s="99">
        <f t="shared" si="69"/>
        <v>1</v>
      </c>
      <c r="CC2161" s="99"/>
      <c r="CV2161" s="99">
        <v>1</v>
      </c>
      <c r="CW2161" s="63"/>
    </row>
    <row r="2162" spans="1:101" ht="45" x14ac:dyDescent="0.15">
      <c r="A2162" s="76">
        <v>2032</v>
      </c>
      <c r="B2162" s="74" t="s">
        <v>2082</v>
      </c>
      <c r="C2162" s="74">
        <v>1066868859</v>
      </c>
      <c r="D2162" s="78" t="str">
        <f t="shared" si="70"/>
        <v>https://portal.dnb.de/opac.htm?method=simpleSearch&amp;cqlMode=true&amp;query=idn%3D1066868859</v>
      </c>
      <c r="E2162" s="74" t="s">
        <v>2083</v>
      </c>
      <c r="F2162" s="74"/>
      <c r="G2162" s="76" t="s">
        <v>8515</v>
      </c>
      <c r="H2162" s="77" t="s">
        <v>51</v>
      </c>
      <c r="I2162" s="76" t="s">
        <v>53</v>
      </c>
      <c r="J2162" s="77" t="s">
        <v>58</v>
      </c>
      <c r="K2162" s="77" t="s">
        <v>84</v>
      </c>
      <c r="L2162" s="76"/>
      <c r="M2162" s="76"/>
      <c r="N2162" s="76"/>
      <c r="O2162" s="76">
        <v>0</v>
      </c>
      <c r="P2162" s="76"/>
      <c r="Q2162" s="77" t="s">
        <v>9177</v>
      </c>
      <c r="R2162" s="76"/>
      <c r="S2162" s="76"/>
      <c r="X2162" s="95" t="s">
        <v>8541</v>
      </c>
      <c r="Y2162" s="95" t="s">
        <v>9869</v>
      </c>
      <c r="AC2162" s="95" t="s">
        <v>9737</v>
      </c>
      <c r="AI2162" s="95" t="s">
        <v>9725</v>
      </c>
      <c r="AU2162" s="95">
        <v>4</v>
      </c>
      <c r="AW2162" s="95">
        <v>110</v>
      </c>
      <c r="BC2162" s="96" t="s">
        <v>9734</v>
      </c>
      <c r="BD2162" s="99">
        <f t="shared" si="69"/>
        <v>0</v>
      </c>
      <c r="BF2162" s="95" t="s">
        <v>10005</v>
      </c>
      <c r="CC2162" s="99"/>
      <c r="CV2162" s="99"/>
      <c r="CW2162" s="63"/>
    </row>
    <row r="2163" spans="1:101" x14ac:dyDescent="0.15">
      <c r="A2163" s="76">
        <v>2033</v>
      </c>
      <c r="B2163" s="74" t="s">
        <v>2084</v>
      </c>
      <c r="C2163" s="74">
        <v>999725084</v>
      </c>
      <c r="D2163" s="78" t="str">
        <f t="shared" si="70"/>
        <v>https://portal.dnb.de/opac.htm?method=simpleSearch&amp;cqlMode=true&amp;query=idn%3D999725084</v>
      </c>
      <c r="E2163" s="74" t="s">
        <v>2085</v>
      </c>
      <c r="F2163" s="74"/>
      <c r="G2163" s="76" t="s">
        <v>8515</v>
      </c>
      <c r="H2163" s="77" t="s">
        <v>4</v>
      </c>
      <c r="I2163" s="76" t="s">
        <v>53</v>
      </c>
      <c r="J2163" s="77" t="s">
        <v>58</v>
      </c>
      <c r="K2163" s="77" t="s">
        <v>84</v>
      </c>
      <c r="L2163" s="76"/>
      <c r="M2163" s="76" t="s">
        <v>36</v>
      </c>
      <c r="N2163" s="76"/>
      <c r="O2163" s="76">
        <v>0</v>
      </c>
      <c r="P2163" s="76"/>
      <c r="Q2163" s="76"/>
      <c r="R2163" s="76"/>
      <c r="S2163" s="76"/>
      <c r="Y2163" s="95" t="s">
        <v>9725</v>
      </c>
      <c r="AC2163" s="95" t="s">
        <v>9739</v>
      </c>
      <c r="AI2163" s="95" t="s">
        <v>9725</v>
      </c>
      <c r="AW2163" s="95">
        <v>110</v>
      </c>
      <c r="BC2163" s="96" t="s">
        <v>9734</v>
      </c>
      <c r="BD2163" s="99">
        <f t="shared" si="69"/>
        <v>0</v>
      </c>
      <c r="BJ2163" s="95" t="s">
        <v>9741</v>
      </c>
      <c r="BK2163" s="95" t="s">
        <v>8541</v>
      </c>
      <c r="CC2163" s="99"/>
      <c r="CV2163" s="99"/>
      <c r="CW2163" s="63"/>
    </row>
    <row r="2164" spans="1:101" x14ac:dyDescent="0.15">
      <c r="A2164" s="76">
        <v>2034</v>
      </c>
      <c r="B2164" s="74" t="s">
        <v>2086</v>
      </c>
      <c r="C2164" s="74">
        <v>1066870810</v>
      </c>
      <c r="D2164" s="78" t="str">
        <f t="shared" si="70"/>
        <v>https://portal.dnb.de/opac.htm?method=simpleSearch&amp;cqlMode=true&amp;query=idn%3D1066870810</v>
      </c>
      <c r="E2164" s="74" t="s">
        <v>2087</v>
      </c>
      <c r="F2164" s="74"/>
      <c r="G2164" s="76" t="s">
        <v>8515</v>
      </c>
      <c r="H2164" s="77" t="s">
        <v>17</v>
      </c>
      <c r="I2164" s="76" t="s">
        <v>53</v>
      </c>
      <c r="J2164" s="77" t="s">
        <v>89</v>
      </c>
      <c r="K2164" s="77" t="s">
        <v>84</v>
      </c>
      <c r="L2164" s="76"/>
      <c r="M2164" s="76"/>
      <c r="N2164" s="76"/>
      <c r="O2164" s="76">
        <v>0</v>
      </c>
      <c r="P2164" s="76"/>
      <c r="Q2164" s="76"/>
      <c r="R2164" s="76"/>
      <c r="S2164" s="76"/>
      <c r="X2164" s="95" t="s">
        <v>8541</v>
      </c>
      <c r="Y2164" s="95" t="s">
        <v>9780</v>
      </c>
      <c r="AC2164" s="95" t="s">
        <v>9739</v>
      </c>
      <c r="AI2164" s="95" t="s">
        <v>9725</v>
      </c>
      <c r="AU2164" s="95">
        <v>0</v>
      </c>
      <c r="AW2164" s="95">
        <v>110</v>
      </c>
      <c r="BC2164" s="96" t="s">
        <v>9734</v>
      </c>
      <c r="BD2164" s="99">
        <f t="shared" si="69"/>
        <v>0</v>
      </c>
      <c r="CC2164" s="99"/>
      <c r="CV2164" s="99"/>
      <c r="CW2164" s="63"/>
    </row>
    <row r="2165" spans="1:101" ht="33.75" x14ac:dyDescent="0.15">
      <c r="A2165" s="76">
        <v>2035</v>
      </c>
      <c r="B2165" s="74" t="s">
        <v>2088</v>
      </c>
      <c r="C2165" s="74">
        <v>993909434</v>
      </c>
      <c r="D2165" s="78" t="str">
        <f t="shared" si="70"/>
        <v>https://portal.dnb.de/opac.htm?method=simpleSearch&amp;cqlMode=true&amp;query=idn%3D993909434</v>
      </c>
      <c r="E2165" s="74" t="s">
        <v>2089</v>
      </c>
      <c r="F2165" s="74"/>
      <c r="G2165" s="76"/>
      <c r="H2165" s="77" t="s">
        <v>48</v>
      </c>
      <c r="I2165" s="76" t="s">
        <v>53</v>
      </c>
      <c r="J2165" s="77" t="s">
        <v>8516</v>
      </c>
      <c r="K2165" s="77" t="s">
        <v>9172</v>
      </c>
      <c r="L2165" s="76"/>
      <c r="M2165" s="76"/>
      <c r="N2165" s="76" t="s">
        <v>8660</v>
      </c>
      <c r="O2165" s="76">
        <v>0</v>
      </c>
      <c r="P2165" s="76"/>
      <c r="Q2165" s="76"/>
      <c r="R2165" s="76" t="s">
        <v>9174</v>
      </c>
      <c r="S2165" s="76"/>
      <c r="Y2165" s="95" t="s">
        <v>9736</v>
      </c>
      <c r="AB2165" s="95" t="s">
        <v>8541</v>
      </c>
      <c r="AC2165" s="95" t="s">
        <v>9739</v>
      </c>
      <c r="AD2165" s="95" t="s">
        <v>8541</v>
      </c>
      <c r="AI2165" s="95" t="s">
        <v>9725</v>
      </c>
      <c r="AN2165" s="95" t="s">
        <v>8541</v>
      </c>
      <c r="AU2165" s="95">
        <v>0</v>
      </c>
      <c r="AW2165" s="95">
        <v>110</v>
      </c>
      <c r="BC2165" s="96" t="s">
        <v>9734</v>
      </c>
      <c r="BD2165" s="99">
        <f t="shared" si="69"/>
        <v>0</v>
      </c>
      <c r="CC2165" s="99"/>
      <c r="CV2165" s="99"/>
      <c r="CW2165" s="63"/>
    </row>
    <row r="2166" spans="1:101" ht="22.5" x14ac:dyDescent="0.15">
      <c r="A2166" s="76">
        <v>2036</v>
      </c>
      <c r="B2166" s="74" t="s">
        <v>2092</v>
      </c>
      <c r="C2166" s="74">
        <v>1066963940</v>
      </c>
      <c r="D2166" s="78" t="str">
        <f t="shared" si="70"/>
        <v>https://portal.dnb.de/opac.htm?method=simpleSearch&amp;cqlMode=true&amp;query=idn%3D1066963940</v>
      </c>
      <c r="E2166" s="74" t="s">
        <v>2093</v>
      </c>
      <c r="F2166" s="74"/>
      <c r="G2166" s="76" t="s">
        <v>8515</v>
      </c>
      <c r="H2166" s="77" t="s">
        <v>18</v>
      </c>
      <c r="I2166" s="76" t="s">
        <v>53</v>
      </c>
      <c r="J2166" s="77" t="s">
        <v>58</v>
      </c>
      <c r="K2166" s="77" t="s">
        <v>84</v>
      </c>
      <c r="L2166" s="76"/>
      <c r="M2166" s="76"/>
      <c r="N2166" s="76" t="s">
        <v>8660</v>
      </c>
      <c r="O2166" s="76">
        <v>0</v>
      </c>
      <c r="P2166" s="76"/>
      <c r="Q2166" s="76"/>
      <c r="R2166" s="76"/>
      <c r="S2166" s="76"/>
      <c r="Y2166" s="95" t="s">
        <v>9725</v>
      </c>
      <c r="AC2166" s="95" t="s">
        <v>9739</v>
      </c>
      <c r="AI2166" s="95" t="s">
        <v>9725</v>
      </c>
      <c r="AU2166" s="95">
        <v>2</v>
      </c>
      <c r="AW2166" s="95">
        <v>110</v>
      </c>
      <c r="BC2166" s="96" t="s">
        <v>9734</v>
      </c>
      <c r="BD2166" s="99">
        <f t="shared" si="69"/>
        <v>0</v>
      </c>
      <c r="CC2166" s="99"/>
      <c r="CV2166" s="99"/>
      <c r="CW2166" s="63"/>
    </row>
    <row r="2167" spans="1:101" ht="33.75" x14ac:dyDescent="0.15">
      <c r="A2167" s="76">
        <v>2037</v>
      </c>
      <c r="B2167" s="74" t="s">
        <v>2090</v>
      </c>
      <c r="C2167" s="74">
        <v>1066779236</v>
      </c>
      <c r="D2167" s="78" t="str">
        <f t="shared" si="70"/>
        <v>https://portal.dnb.de/opac.htm?method=simpleSearch&amp;cqlMode=true&amp;query=idn%3D1066779236</v>
      </c>
      <c r="E2167" s="74" t="s">
        <v>2091</v>
      </c>
      <c r="F2167" s="74"/>
      <c r="G2167" s="76" t="s">
        <v>8515</v>
      </c>
      <c r="H2167" s="77" t="s">
        <v>8674</v>
      </c>
      <c r="I2167" s="76" t="s">
        <v>53</v>
      </c>
      <c r="J2167" s="77" t="s">
        <v>58</v>
      </c>
      <c r="K2167" s="77" t="s">
        <v>8552</v>
      </c>
      <c r="L2167" s="76"/>
      <c r="M2167" s="76" t="s">
        <v>37</v>
      </c>
      <c r="N2167" s="76" t="s">
        <v>8695</v>
      </c>
      <c r="O2167" s="76">
        <v>0</v>
      </c>
      <c r="P2167" s="76"/>
      <c r="Q2167" s="76"/>
      <c r="R2167" s="76"/>
      <c r="S2167" s="76"/>
      <c r="Y2167" s="95" t="s">
        <v>9735</v>
      </c>
      <c r="AA2167" s="95" t="s">
        <v>8541</v>
      </c>
      <c r="AC2167" s="95" t="s">
        <v>9739</v>
      </c>
      <c r="AI2167" s="95" t="s">
        <v>9725</v>
      </c>
      <c r="AJ2167" s="95" t="s">
        <v>8541</v>
      </c>
      <c r="AU2167" s="95">
        <v>2</v>
      </c>
      <c r="AW2167" s="95">
        <v>110</v>
      </c>
      <c r="BC2167" s="96" t="s">
        <v>9734</v>
      </c>
      <c r="BD2167" s="99">
        <f t="shared" si="69"/>
        <v>0</v>
      </c>
      <c r="CC2167" s="99"/>
      <c r="CV2167" s="99"/>
      <c r="CW2167" s="63"/>
    </row>
    <row r="2168" spans="1:101" ht="45" x14ac:dyDescent="0.15">
      <c r="A2168" s="76">
        <v>2038</v>
      </c>
      <c r="B2168" s="74" t="s">
        <v>2094</v>
      </c>
      <c r="C2168" s="74">
        <v>1132656788</v>
      </c>
      <c r="D2168" s="78" t="str">
        <f t="shared" si="70"/>
        <v>https://portal.dnb.de/opac.htm?method=simpleSearch&amp;cqlMode=true&amp;query=idn%3D1132656788</v>
      </c>
      <c r="E2168" s="74" t="s">
        <v>2095</v>
      </c>
      <c r="F2168" s="74"/>
      <c r="G2168" s="76" t="s">
        <v>8515</v>
      </c>
      <c r="H2168" s="77" t="s">
        <v>5</v>
      </c>
      <c r="I2168" s="76" t="s">
        <v>53</v>
      </c>
      <c r="J2168" s="77" t="s">
        <v>8516</v>
      </c>
      <c r="K2168" s="77" t="s">
        <v>9173</v>
      </c>
      <c r="L2168" s="76"/>
      <c r="M2168" s="76" t="s">
        <v>34</v>
      </c>
      <c r="N2168" s="76" t="s">
        <v>40</v>
      </c>
      <c r="O2168" s="76">
        <v>1</v>
      </c>
      <c r="P2168" s="76"/>
      <c r="Q2168" s="76" t="s">
        <v>9040</v>
      </c>
      <c r="R2168" s="76"/>
      <c r="S2168" s="76"/>
      <c r="BD2168" s="99">
        <f t="shared" si="69"/>
        <v>0</v>
      </c>
      <c r="CC2168" s="99"/>
      <c r="CV2168" s="99"/>
      <c r="CW2168" s="63"/>
    </row>
    <row r="2169" spans="1:101" x14ac:dyDescent="0.15">
      <c r="A2169" s="76">
        <v>2039</v>
      </c>
      <c r="B2169" s="74" t="s">
        <v>2096</v>
      </c>
      <c r="C2169" s="74" t="s">
        <v>2097</v>
      </c>
      <c r="D2169" s="78" t="str">
        <f t="shared" si="70"/>
        <v>https://portal.dnb.de/opac.htm?method=simpleSearch&amp;cqlMode=true&amp;query=idn%3D113265680X</v>
      </c>
      <c r="E2169" s="74" t="s">
        <v>2095</v>
      </c>
      <c r="F2169" s="74"/>
      <c r="G2169" s="76"/>
      <c r="H2169" s="77"/>
      <c r="I2169" s="76"/>
      <c r="J2169" s="77"/>
      <c r="K2169" s="77"/>
      <c r="L2169" s="76"/>
      <c r="M2169" s="76"/>
      <c r="N2169" s="76"/>
      <c r="O2169" s="76"/>
      <c r="P2169" s="76"/>
      <c r="Q2169" s="76"/>
      <c r="R2169" s="76"/>
      <c r="S2169" s="76"/>
      <c r="BD2169" s="99">
        <f t="shared" si="69"/>
        <v>0</v>
      </c>
      <c r="CC2169" s="99"/>
      <c r="CV2169" s="99"/>
      <c r="CW2169" s="63"/>
    </row>
    <row r="2170" spans="1:101" x14ac:dyDescent="0.15">
      <c r="A2170" s="76">
        <v>2040</v>
      </c>
      <c r="B2170" s="74" t="s">
        <v>2098</v>
      </c>
      <c r="C2170" s="74">
        <v>1132656796</v>
      </c>
      <c r="D2170" s="78" t="str">
        <f t="shared" si="70"/>
        <v>https://portal.dnb.de/opac.htm?method=simpleSearch&amp;cqlMode=true&amp;query=idn%3D1132656796</v>
      </c>
      <c r="E2170" s="74" t="s">
        <v>2095</v>
      </c>
      <c r="F2170" s="74"/>
      <c r="G2170" s="76"/>
      <c r="H2170" s="77"/>
      <c r="I2170" s="76"/>
      <c r="J2170" s="77"/>
      <c r="K2170" s="77"/>
      <c r="L2170" s="76"/>
      <c r="M2170" s="76"/>
      <c r="N2170" s="76"/>
      <c r="O2170" s="76"/>
      <c r="P2170" s="76"/>
      <c r="Q2170" s="76"/>
      <c r="R2170" s="76"/>
      <c r="S2170" s="76"/>
      <c r="BD2170" s="99">
        <f t="shared" si="69"/>
        <v>0</v>
      </c>
      <c r="CC2170" s="99"/>
      <c r="CV2170" s="99"/>
      <c r="CW2170" s="63"/>
    </row>
    <row r="2171" spans="1:101" x14ac:dyDescent="0.15">
      <c r="A2171" s="76">
        <v>2041</v>
      </c>
      <c r="B2171" s="74" t="s">
        <v>2099</v>
      </c>
      <c r="C2171" s="74">
        <v>1208772767</v>
      </c>
      <c r="D2171" s="78" t="str">
        <f t="shared" si="70"/>
        <v>https://portal.dnb.de/opac.htm?method=simpleSearch&amp;cqlMode=true&amp;query=idn%3D1208772767</v>
      </c>
      <c r="E2171" s="74" t="s">
        <v>2100</v>
      </c>
      <c r="F2171" s="74"/>
      <c r="G2171" s="76"/>
      <c r="H2171" s="77"/>
      <c r="I2171" s="76"/>
      <c r="J2171" s="77"/>
      <c r="K2171" s="77"/>
      <c r="L2171" s="76"/>
      <c r="M2171" s="76"/>
      <c r="N2171" s="76"/>
      <c r="O2171" s="76"/>
      <c r="P2171" s="76"/>
      <c r="Q2171" s="76"/>
      <c r="R2171" s="76"/>
      <c r="S2171" s="76"/>
      <c r="BD2171" s="99">
        <f t="shared" si="69"/>
        <v>0</v>
      </c>
      <c r="CC2171" s="99"/>
      <c r="CV2171" s="99"/>
      <c r="CW2171" s="63"/>
    </row>
    <row r="2172" spans="1:101" x14ac:dyDescent="0.15">
      <c r="A2172" s="76">
        <v>2042</v>
      </c>
      <c r="B2172" s="74" t="s">
        <v>2101</v>
      </c>
      <c r="C2172" s="74">
        <v>1066857792</v>
      </c>
      <c r="D2172" s="78" t="str">
        <f t="shared" si="70"/>
        <v>https://portal.dnb.de/opac.htm?method=simpleSearch&amp;cqlMode=true&amp;query=idn%3D1066857792</v>
      </c>
      <c r="E2172" s="74" t="s">
        <v>2102</v>
      </c>
      <c r="F2172" s="74"/>
      <c r="G2172" s="76" t="s">
        <v>8515</v>
      </c>
      <c r="H2172" s="77" t="s">
        <v>6</v>
      </c>
      <c r="I2172" s="76" t="s">
        <v>53</v>
      </c>
      <c r="J2172" s="77" t="s">
        <v>8516</v>
      </c>
      <c r="K2172" s="77" t="s">
        <v>8554</v>
      </c>
      <c r="L2172" s="76"/>
      <c r="M2172" s="76"/>
      <c r="N2172" s="76" t="s">
        <v>8660</v>
      </c>
      <c r="O2172" s="76">
        <v>0</v>
      </c>
      <c r="P2172" s="76"/>
      <c r="Q2172" s="76"/>
      <c r="R2172" s="76"/>
      <c r="S2172" s="76"/>
      <c r="Y2172" s="95" t="s">
        <v>9735</v>
      </c>
      <c r="AA2172" s="95" t="s">
        <v>8541</v>
      </c>
      <c r="AC2172" s="95" t="s">
        <v>9739</v>
      </c>
      <c r="AI2172" s="95" t="s">
        <v>9725</v>
      </c>
      <c r="AP2172" s="95" t="s">
        <v>8541</v>
      </c>
      <c r="AW2172" s="95">
        <v>110</v>
      </c>
      <c r="BC2172" s="96" t="s">
        <v>9726</v>
      </c>
      <c r="BD2172" s="99">
        <f t="shared" si="69"/>
        <v>1</v>
      </c>
      <c r="CC2172" s="99"/>
      <c r="CL2172" s="95" t="s">
        <v>8541</v>
      </c>
      <c r="CM2172" s="95" t="s">
        <v>8541</v>
      </c>
      <c r="CV2172" s="99">
        <v>1</v>
      </c>
      <c r="CW2172" s="63"/>
    </row>
    <row r="2173" spans="1:101" ht="33.75" x14ac:dyDescent="0.15">
      <c r="A2173" s="76">
        <v>2043</v>
      </c>
      <c r="B2173" s="74" t="s">
        <v>2103</v>
      </c>
      <c r="C2173" s="74">
        <v>994052200</v>
      </c>
      <c r="D2173" s="78" t="str">
        <f t="shared" si="70"/>
        <v>https://portal.dnb.de/opac.htm?method=simpleSearch&amp;cqlMode=true&amp;query=idn%3D994052200</v>
      </c>
      <c r="E2173" s="74" t="s">
        <v>2104</v>
      </c>
      <c r="F2173" s="74"/>
      <c r="G2173" s="76" t="s">
        <v>8515</v>
      </c>
      <c r="H2173" s="77" t="s">
        <v>8546</v>
      </c>
      <c r="I2173" s="76" t="s">
        <v>53</v>
      </c>
      <c r="J2173" s="77" t="s">
        <v>8516</v>
      </c>
      <c r="K2173" s="77" t="s">
        <v>8565</v>
      </c>
      <c r="L2173" s="76"/>
      <c r="M2173" s="76"/>
      <c r="N2173" s="76" t="s">
        <v>8660</v>
      </c>
      <c r="O2173" s="76">
        <v>0</v>
      </c>
      <c r="P2173" s="76"/>
      <c r="Q2173" s="76"/>
      <c r="R2173" s="76"/>
      <c r="S2173" s="76"/>
      <c r="Y2173" s="95" t="s">
        <v>9736</v>
      </c>
      <c r="AA2173" s="95" t="s">
        <v>8541</v>
      </c>
      <c r="AC2173" s="95" t="s">
        <v>9737</v>
      </c>
      <c r="AI2173" s="95" t="s">
        <v>9725</v>
      </c>
      <c r="AP2173" s="95" t="s">
        <v>8541</v>
      </c>
      <c r="AW2173" s="95">
        <v>110</v>
      </c>
      <c r="BC2173" s="96" t="s">
        <v>9726</v>
      </c>
      <c r="BD2173" s="99">
        <f t="shared" si="69"/>
        <v>0.5</v>
      </c>
      <c r="BR2173" s="95" t="s">
        <v>8541</v>
      </c>
      <c r="CC2173" s="99">
        <v>0.5</v>
      </c>
      <c r="CV2173" s="99"/>
      <c r="CW2173" s="63"/>
    </row>
    <row r="2174" spans="1:101" x14ac:dyDescent="0.15">
      <c r="A2174" s="76">
        <v>2044</v>
      </c>
      <c r="B2174" s="74" t="s">
        <v>2105</v>
      </c>
      <c r="C2174" s="74">
        <v>1066838194</v>
      </c>
      <c r="D2174" s="78" t="str">
        <f t="shared" si="70"/>
        <v>https://portal.dnb.de/opac.htm?method=simpleSearch&amp;cqlMode=true&amp;query=idn%3D1066838194</v>
      </c>
      <c r="E2174" s="74" t="s">
        <v>2106</v>
      </c>
      <c r="F2174" s="74"/>
      <c r="G2174" s="76" t="s">
        <v>8515</v>
      </c>
      <c r="H2174" s="77" t="s">
        <v>6</v>
      </c>
      <c r="I2174" s="76" t="s">
        <v>53</v>
      </c>
      <c r="J2174" s="77" t="s">
        <v>58</v>
      </c>
      <c r="K2174" s="77" t="s">
        <v>84</v>
      </c>
      <c r="L2174" s="76"/>
      <c r="M2174" s="76"/>
      <c r="N2174" s="76"/>
      <c r="O2174" s="76">
        <v>0</v>
      </c>
      <c r="P2174" s="76"/>
      <c r="Q2174" s="76"/>
      <c r="R2174" s="76"/>
      <c r="S2174" s="76"/>
      <c r="Y2174" s="95" t="s">
        <v>9735</v>
      </c>
      <c r="AA2174" s="95" t="s">
        <v>8541</v>
      </c>
      <c r="AC2174" s="95" t="s">
        <v>9739</v>
      </c>
      <c r="AI2174" s="95" t="s">
        <v>9725</v>
      </c>
      <c r="AJ2174" s="95" t="s">
        <v>8541</v>
      </c>
      <c r="AU2174" s="95">
        <v>2</v>
      </c>
      <c r="AW2174" s="95">
        <v>110</v>
      </c>
      <c r="BC2174" s="96" t="s">
        <v>9726</v>
      </c>
      <c r="BD2174" s="99">
        <f t="shared" si="69"/>
        <v>1</v>
      </c>
      <c r="BR2174" s="95" t="s">
        <v>8541</v>
      </c>
      <c r="BT2174" s="95" t="s">
        <v>9737</v>
      </c>
      <c r="CC2174" s="99">
        <v>1</v>
      </c>
      <c r="CV2174" s="99"/>
      <c r="CW2174" s="63"/>
    </row>
    <row r="2175" spans="1:101" ht="33.75" x14ac:dyDescent="0.15">
      <c r="A2175" s="76">
        <v>2045</v>
      </c>
      <c r="B2175" s="74" t="s">
        <v>2107</v>
      </c>
      <c r="C2175" s="74">
        <v>1066961816</v>
      </c>
      <c r="D2175" s="78" t="str">
        <f t="shared" si="70"/>
        <v>https://portal.dnb.de/opac.htm?method=simpleSearch&amp;cqlMode=true&amp;query=idn%3D1066961816</v>
      </c>
      <c r="E2175" s="74" t="s">
        <v>2108</v>
      </c>
      <c r="F2175" s="74"/>
      <c r="G2175" s="76" t="s">
        <v>8515</v>
      </c>
      <c r="H2175" s="77" t="s">
        <v>8673</v>
      </c>
      <c r="I2175" s="76" t="s">
        <v>53</v>
      </c>
      <c r="J2175" s="77" t="s">
        <v>8516</v>
      </c>
      <c r="K2175" s="77" t="s">
        <v>8928</v>
      </c>
      <c r="L2175" s="76"/>
      <c r="M2175" s="76" t="s">
        <v>37</v>
      </c>
      <c r="N2175" s="76" t="s">
        <v>40</v>
      </c>
      <c r="O2175" s="76">
        <v>0</v>
      </c>
      <c r="P2175" s="76"/>
      <c r="Q2175" s="76"/>
      <c r="R2175" s="76"/>
      <c r="S2175" s="76"/>
      <c r="BD2175" s="99">
        <f t="shared" si="69"/>
        <v>0</v>
      </c>
      <c r="CC2175" s="99"/>
      <c r="CV2175" s="99"/>
      <c r="CW2175" s="63"/>
    </row>
    <row r="2176" spans="1:101" ht="22.5" x14ac:dyDescent="0.15">
      <c r="A2176" s="76">
        <v>2046</v>
      </c>
      <c r="B2176" s="74" t="s">
        <v>2109</v>
      </c>
      <c r="C2176" s="74">
        <v>1066844003</v>
      </c>
      <c r="D2176" s="78" t="str">
        <f t="shared" si="70"/>
        <v>https://portal.dnb.de/opac.htm?method=simpleSearch&amp;cqlMode=true&amp;query=idn%3D1066844003</v>
      </c>
      <c r="E2176" s="74" t="s">
        <v>2110</v>
      </c>
      <c r="F2176" s="74"/>
      <c r="G2176" s="76" t="s">
        <v>8515</v>
      </c>
      <c r="H2176" s="77" t="s">
        <v>18</v>
      </c>
      <c r="I2176" s="76" t="s">
        <v>54</v>
      </c>
      <c r="J2176" s="77" t="s">
        <v>58</v>
      </c>
      <c r="K2176" s="77" t="s">
        <v>62</v>
      </c>
      <c r="L2176" s="76"/>
      <c r="M2176" s="76"/>
      <c r="N2176" s="76"/>
      <c r="O2176" s="76">
        <v>1</v>
      </c>
      <c r="P2176" s="76"/>
      <c r="Q2176" s="76" t="s">
        <v>9040</v>
      </c>
      <c r="R2176" s="76"/>
      <c r="S2176" s="76"/>
      <c r="BD2176" s="99">
        <f t="shared" si="69"/>
        <v>0</v>
      </c>
      <c r="CC2176" s="99"/>
      <c r="CV2176" s="99"/>
      <c r="CW2176" s="63"/>
    </row>
    <row r="2177" spans="1:101" ht="22.5" x14ac:dyDescent="0.15">
      <c r="A2177" s="76">
        <v>2047</v>
      </c>
      <c r="B2177" s="74" t="s">
        <v>2111</v>
      </c>
      <c r="C2177" s="74">
        <v>1066935394</v>
      </c>
      <c r="D2177" s="78" t="str">
        <f t="shared" si="70"/>
        <v>https://portal.dnb.de/opac.htm?method=simpleSearch&amp;cqlMode=true&amp;query=idn%3D1066935394</v>
      </c>
      <c r="E2177" s="74" t="s">
        <v>2112</v>
      </c>
      <c r="F2177" s="74"/>
      <c r="G2177" s="76" t="s">
        <v>8515</v>
      </c>
      <c r="H2177" s="77" t="s">
        <v>8547</v>
      </c>
      <c r="I2177" s="76" t="s">
        <v>53</v>
      </c>
      <c r="J2177" s="77" t="s">
        <v>89</v>
      </c>
      <c r="K2177" s="77" t="s">
        <v>8520</v>
      </c>
      <c r="L2177" s="76"/>
      <c r="M2177" s="76" t="s">
        <v>37</v>
      </c>
      <c r="N2177" s="76" t="s">
        <v>40</v>
      </c>
      <c r="O2177" s="76">
        <v>0</v>
      </c>
      <c r="P2177" s="76"/>
      <c r="Q2177" s="76"/>
      <c r="R2177" s="76"/>
      <c r="S2177" s="76"/>
      <c r="BD2177" s="99">
        <f t="shared" si="69"/>
        <v>0</v>
      </c>
      <c r="CC2177" s="99"/>
      <c r="CV2177" s="99"/>
      <c r="CW2177" s="63"/>
    </row>
    <row r="2178" spans="1:101" x14ac:dyDescent="0.15">
      <c r="A2178" s="76">
        <v>2048</v>
      </c>
      <c r="B2178" s="74" t="s">
        <v>2113</v>
      </c>
      <c r="C2178" s="74">
        <v>994262574</v>
      </c>
      <c r="D2178" s="78" t="str">
        <f t="shared" si="70"/>
        <v>https://portal.dnb.de/opac.htm?method=simpleSearch&amp;cqlMode=true&amp;query=idn%3D994262574</v>
      </c>
      <c r="E2178" s="74" t="s">
        <v>2114</v>
      </c>
      <c r="F2178" s="74"/>
      <c r="G2178" s="76" t="s">
        <v>8515</v>
      </c>
      <c r="H2178" s="77" t="s">
        <v>5</v>
      </c>
      <c r="I2178" s="76" t="s">
        <v>53</v>
      </c>
      <c r="J2178" s="77" t="s">
        <v>58</v>
      </c>
      <c r="K2178" s="77" t="s">
        <v>8520</v>
      </c>
      <c r="L2178" s="76"/>
      <c r="M2178" s="76" t="s">
        <v>36</v>
      </c>
      <c r="N2178" s="76" t="s">
        <v>39</v>
      </c>
      <c r="O2178" s="76">
        <v>0</v>
      </c>
      <c r="P2178" s="76"/>
      <c r="Q2178" s="76"/>
      <c r="R2178" s="76"/>
      <c r="S2178" s="76"/>
      <c r="BD2178" s="99">
        <f t="shared" si="69"/>
        <v>0</v>
      </c>
      <c r="CC2178" s="99"/>
      <c r="CV2178" s="99"/>
      <c r="CW2178" s="63"/>
    </row>
    <row r="2179" spans="1:101" x14ac:dyDescent="0.15">
      <c r="A2179" s="76">
        <v>2049</v>
      </c>
      <c r="B2179" s="74" t="s">
        <v>2133</v>
      </c>
      <c r="C2179" s="74">
        <v>1001180453</v>
      </c>
      <c r="D2179" s="78" t="str">
        <f t="shared" si="70"/>
        <v>https://portal.dnb.de/opac.htm?method=simpleSearch&amp;cqlMode=true&amp;query=idn%3D1001180453</v>
      </c>
      <c r="E2179" s="74" t="s">
        <v>2134</v>
      </c>
      <c r="F2179" s="74"/>
      <c r="G2179" s="76"/>
      <c r="H2179" s="77" t="s">
        <v>5</v>
      </c>
      <c r="I2179" s="76" t="s">
        <v>53</v>
      </c>
      <c r="J2179" s="77" t="s">
        <v>58</v>
      </c>
      <c r="K2179" s="77" t="s">
        <v>8520</v>
      </c>
      <c r="L2179" s="76"/>
      <c r="M2179" s="76" t="s">
        <v>36</v>
      </c>
      <c r="N2179" s="76" t="s">
        <v>39</v>
      </c>
      <c r="O2179" s="76">
        <v>0</v>
      </c>
      <c r="P2179" s="76"/>
      <c r="Q2179" s="76"/>
      <c r="R2179" s="76"/>
      <c r="S2179" s="76"/>
      <c r="BD2179" s="99">
        <f t="shared" ref="BD2179:BD2242" si="71">CC2179+CV2179</f>
        <v>0</v>
      </c>
      <c r="CC2179" s="99"/>
      <c r="CV2179" s="99"/>
      <c r="CW2179" s="63"/>
    </row>
    <row r="2180" spans="1:101" ht="33.75" x14ac:dyDescent="0.15">
      <c r="A2180" s="76">
        <v>2050</v>
      </c>
      <c r="B2180" s="74" t="s">
        <v>2115</v>
      </c>
      <c r="C2180" s="74">
        <v>997044128</v>
      </c>
      <c r="D2180" s="78" t="str">
        <f t="shared" si="70"/>
        <v>https://portal.dnb.de/opac.htm?method=simpleSearch&amp;cqlMode=true&amp;query=idn%3D997044128</v>
      </c>
      <c r="E2180" s="74" t="s">
        <v>2116</v>
      </c>
      <c r="F2180" s="74"/>
      <c r="G2180" s="76" t="s">
        <v>8515</v>
      </c>
      <c r="H2180" s="77" t="s">
        <v>8674</v>
      </c>
      <c r="I2180" s="76" t="s">
        <v>53</v>
      </c>
      <c r="J2180" s="77" t="s">
        <v>8516</v>
      </c>
      <c r="K2180" s="77" t="s">
        <v>84</v>
      </c>
      <c r="L2180" s="76"/>
      <c r="M2180" s="76" t="s">
        <v>37</v>
      </c>
      <c r="N2180" s="76" t="s">
        <v>40</v>
      </c>
      <c r="O2180" s="76">
        <v>0</v>
      </c>
      <c r="P2180" s="76"/>
      <c r="Q2180" s="76"/>
      <c r="R2180" s="76"/>
      <c r="S2180" s="76"/>
      <c r="BD2180" s="99">
        <f t="shared" si="71"/>
        <v>0</v>
      </c>
      <c r="CC2180" s="99"/>
      <c r="CV2180" s="99"/>
      <c r="CW2180" s="63"/>
    </row>
    <row r="2181" spans="1:101" ht="22.5" x14ac:dyDescent="0.15">
      <c r="A2181" s="76">
        <v>2051</v>
      </c>
      <c r="B2181" s="74" t="s">
        <v>2123</v>
      </c>
      <c r="C2181" s="74">
        <v>997719184</v>
      </c>
      <c r="D2181" s="78" t="str">
        <f t="shared" si="70"/>
        <v>https://portal.dnb.de/opac.htm?method=simpleSearch&amp;cqlMode=true&amp;query=idn%3D997719184</v>
      </c>
      <c r="E2181" s="74" t="s">
        <v>2124</v>
      </c>
      <c r="F2181" s="74"/>
      <c r="G2181" s="76"/>
      <c r="H2181" s="77" t="s">
        <v>18</v>
      </c>
      <c r="I2181" s="76" t="s">
        <v>53</v>
      </c>
      <c r="J2181" s="77" t="s">
        <v>58</v>
      </c>
      <c r="K2181" s="77" t="s">
        <v>84</v>
      </c>
      <c r="L2181" s="76"/>
      <c r="M2181" s="76"/>
      <c r="N2181" s="76"/>
      <c r="O2181" s="76">
        <v>0</v>
      </c>
      <c r="P2181" s="76"/>
      <c r="Q2181" s="76"/>
      <c r="R2181" s="76"/>
      <c r="S2181" s="76"/>
      <c r="BD2181" s="99">
        <f t="shared" si="71"/>
        <v>0</v>
      </c>
      <c r="CC2181" s="99"/>
      <c r="CV2181" s="99"/>
      <c r="CW2181" s="63"/>
    </row>
    <row r="2182" spans="1:101" x14ac:dyDescent="0.15">
      <c r="A2182" s="76">
        <v>2052</v>
      </c>
      <c r="B2182" s="74" t="s">
        <v>2125</v>
      </c>
      <c r="C2182" s="74">
        <v>997719621</v>
      </c>
      <c r="D2182" s="78" t="str">
        <f t="shared" si="70"/>
        <v>https://portal.dnb.de/opac.htm?method=simpleSearch&amp;cqlMode=true&amp;query=idn%3D997719621</v>
      </c>
      <c r="E2182" s="74" t="s">
        <v>2126</v>
      </c>
      <c r="F2182" s="74"/>
      <c r="G2182" s="76" t="s">
        <v>8515</v>
      </c>
      <c r="H2182" s="77" t="s">
        <v>47</v>
      </c>
      <c r="I2182" s="76" t="s">
        <v>53</v>
      </c>
      <c r="J2182" s="77" t="s">
        <v>58</v>
      </c>
      <c r="K2182" s="77"/>
      <c r="L2182" s="76"/>
      <c r="M2182" s="76" t="s">
        <v>32</v>
      </c>
      <c r="N2182" s="76" t="s">
        <v>40</v>
      </c>
      <c r="O2182" s="76">
        <v>0</v>
      </c>
      <c r="P2182" s="76"/>
      <c r="Q2182" s="76"/>
      <c r="R2182" s="76"/>
      <c r="S2182" s="76"/>
      <c r="BD2182" s="99">
        <f t="shared" si="71"/>
        <v>0</v>
      </c>
      <c r="CC2182" s="99"/>
      <c r="CV2182" s="99"/>
      <c r="CW2182" s="63"/>
    </row>
    <row r="2183" spans="1:101" x14ac:dyDescent="0.15">
      <c r="A2183" s="76">
        <v>2053</v>
      </c>
      <c r="B2183" s="74" t="s">
        <v>2129</v>
      </c>
      <c r="C2183" s="74">
        <v>1003029639</v>
      </c>
      <c r="D2183" s="78" t="str">
        <f t="shared" si="70"/>
        <v>https://portal.dnb.de/opac.htm?method=simpleSearch&amp;cqlMode=true&amp;query=idn%3D1003029639</v>
      </c>
      <c r="E2183" s="74" t="s">
        <v>2130</v>
      </c>
      <c r="F2183" s="74"/>
      <c r="G2183" s="76"/>
      <c r="H2183" s="77" t="s">
        <v>4</v>
      </c>
      <c r="I2183" s="76" t="s">
        <v>53</v>
      </c>
      <c r="J2183" s="77" t="s">
        <v>58</v>
      </c>
      <c r="K2183" s="77" t="s">
        <v>84</v>
      </c>
      <c r="L2183" s="76"/>
      <c r="M2183" s="76" t="s">
        <v>36</v>
      </c>
      <c r="N2183" s="76" t="s">
        <v>39</v>
      </c>
      <c r="O2183" s="76">
        <v>0</v>
      </c>
      <c r="P2183" s="76"/>
      <c r="Q2183" s="76"/>
      <c r="R2183" s="76"/>
      <c r="S2183" s="76"/>
      <c r="BD2183" s="99">
        <f t="shared" si="71"/>
        <v>0</v>
      </c>
      <c r="CC2183" s="99"/>
      <c r="CV2183" s="99"/>
      <c r="CW2183" s="63"/>
    </row>
    <row r="2184" spans="1:101" ht="22.5" x14ac:dyDescent="0.15">
      <c r="A2184" s="76">
        <v>2054</v>
      </c>
      <c r="B2184" s="74" t="s">
        <v>2131</v>
      </c>
      <c r="C2184" s="74">
        <v>1001696778</v>
      </c>
      <c r="D2184" s="78" t="str">
        <f t="shared" si="70"/>
        <v>https://portal.dnb.de/opac.htm?method=simpleSearch&amp;cqlMode=true&amp;query=idn%3D1001696778</v>
      </c>
      <c r="E2184" s="74" t="s">
        <v>2132</v>
      </c>
      <c r="F2184" s="74"/>
      <c r="G2184" s="76" t="s">
        <v>8515</v>
      </c>
      <c r="H2184" s="77" t="s">
        <v>18</v>
      </c>
      <c r="I2184" s="76" t="s">
        <v>54</v>
      </c>
      <c r="J2184" s="77" t="s">
        <v>58</v>
      </c>
      <c r="K2184" s="77" t="s">
        <v>8554</v>
      </c>
      <c r="L2184" s="76"/>
      <c r="M2184" s="76" t="s">
        <v>36</v>
      </c>
      <c r="N2184" s="76" t="s">
        <v>39</v>
      </c>
      <c r="O2184" s="76">
        <v>0</v>
      </c>
      <c r="P2184" s="76"/>
      <c r="Q2184" s="76"/>
      <c r="R2184" s="76"/>
      <c r="S2184" s="76"/>
      <c r="BD2184" s="99">
        <f t="shared" si="71"/>
        <v>0</v>
      </c>
      <c r="CC2184" s="99"/>
      <c r="CV2184" s="99"/>
      <c r="CW2184" s="63"/>
    </row>
    <row r="2185" spans="1:101" ht="33.75" x14ac:dyDescent="0.15">
      <c r="A2185" s="76">
        <v>2055</v>
      </c>
      <c r="B2185" s="74" t="s">
        <v>2135</v>
      </c>
      <c r="C2185" s="74">
        <v>13047426</v>
      </c>
      <c r="D2185" s="78" t="str">
        <f t="shared" si="70"/>
        <v>https://portal.dnb.de/opac.htm?method=simpleSearch&amp;cqlMode=true&amp;query=idn%3D13047426</v>
      </c>
      <c r="E2185" s="74" t="s">
        <v>2136</v>
      </c>
      <c r="F2185" s="74"/>
      <c r="G2185" s="76"/>
      <c r="H2185" s="77" t="s">
        <v>48</v>
      </c>
      <c r="I2185" s="76" t="s">
        <v>53</v>
      </c>
      <c r="J2185" s="77" t="s">
        <v>8516</v>
      </c>
      <c r="K2185" s="77" t="s">
        <v>9175</v>
      </c>
      <c r="L2185" s="76"/>
      <c r="M2185" s="76"/>
      <c r="N2185" s="76"/>
      <c r="O2185" s="76">
        <v>0</v>
      </c>
      <c r="P2185" s="76"/>
      <c r="Q2185" s="76"/>
      <c r="R2185" s="76"/>
      <c r="S2185" s="76"/>
      <c r="BD2185" s="99">
        <f t="shared" si="71"/>
        <v>0</v>
      </c>
      <c r="CC2185" s="99"/>
      <c r="CV2185" s="99"/>
      <c r="CW2185" s="63"/>
    </row>
    <row r="2186" spans="1:101" ht="22.5" x14ac:dyDescent="0.15">
      <c r="A2186" s="76">
        <v>2056</v>
      </c>
      <c r="B2186" s="74" t="s">
        <v>2137</v>
      </c>
      <c r="C2186" s="74">
        <v>996912282</v>
      </c>
      <c r="D2186" s="78" t="str">
        <f t="shared" si="70"/>
        <v>https://portal.dnb.de/opac.htm?method=simpleSearch&amp;cqlMode=true&amp;query=idn%3D996912282</v>
      </c>
      <c r="E2186" s="74" t="s">
        <v>2138</v>
      </c>
      <c r="F2186" s="74"/>
      <c r="G2186" s="76"/>
      <c r="H2186" s="77" t="s">
        <v>18</v>
      </c>
      <c r="I2186" s="76" t="s">
        <v>53</v>
      </c>
      <c r="J2186" s="77" t="s">
        <v>8516</v>
      </c>
      <c r="K2186" s="77" t="s">
        <v>84</v>
      </c>
      <c r="L2186" s="76"/>
      <c r="M2186" s="76" t="s">
        <v>32</v>
      </c>
      <c r="N2186" s="76" t="s">
        <v>40</v>
      </c>
      <c r="O2186" s="76">
        <v>0</v>
      </c>
      <c r="P2186" s="76"/>
      <c r="Q2186" s="76"/>
      <c r="R2186" s="76"/>
      <c r="S2186" s="76"/>
      <c r="BD2186" s="99">
        <f t="shared" si="71"/>
        <v>0</v>
      </c>
      <c r="CC2186" s="99"/>
      <c r="CV2186" s="99"/>
      <c r="CW2186" s="63"/>
    </row>
    <row r="2187" spans="1:101" x14ac:dyDescent="0.15">
      <c r="A2187" s="76">
        <v>2057</v>
      </c>
      <c r="B2187" s="74" t="s">
        <v>2139</v>
      </c>
      <c r="C2187" s="74">
        <v>997720344</v>
      </c>
      <c r="D2187" s="78" t="str">
        <f t="shared" si="70"/>
        <v>https://portal.dnb.de/opac.htm?method=simpleSearch&amp;cqlMode=true&amp;query=idn%3D997720344</v>
      </c>
      <c r="E2187" s="74" t="s">
        <v>2140</v>
      </c>
      <c r="F2187" s="74"/>
      <c r="G2187" s="76"/>
      <c r="H2187" s="77" t="s">
        <v>4</v>
      </c>
      <c r="I2187" s="76" t="s">
        <v>53</v>
      </c>
      <c r="J2187" s="77" t="s">
        <v>58</v>
      </c>
      <c r="K2187" s="77" t="s">
        <v>84</v>
      </c>
      <c r="L2187" s="76"/>
      <c r="M2187" s="76"/>
      <c r="N2187" s="76" t="s">
        <v>8660</v>
      </c>
      <c r="O2187" s="76">
        <v>0</v>
      </c>
      <c r="P2187" s="76"/>
      <c r="Q2187" s="76"/>
      <c r="R2187" s="76"/>
      <c r="S2187" s="76"/>
      <c r="BD2187" s="99">
        <f t="shared" si="71"/>
        <v>0</v>
      </c>
      <c r="CC2187" s="99"/>
      <c r="CV2187" s="99"/>
      <c r="CW2187" s="63"/>
    </row>
    <row r="2188" spans="1:101" ht="22.5" x14ac:dyDescent="0.15">
      <c r="A2188" s="76">
        <v>2058</v>
      </c>
      <c r="B2188" s="74" t="s">
        <v>2141</v>
      </c>
      <c r="C2188" s="74">
        <v>997716207</v>
      </c>
      <c r="D2188" s="78" t="str">
        <f t="shared" si="70"/>
        <v>https://portal.dnb.de/opac.htm?method=simpleSearch&amp;cqlMode=true&amp;query=idn%3D997716207</v>
      </c>
      <c r="E2188" s="74" t="s">
        <v>2142</v>
      </c>
      <c r="F2188" s="74"/>
      <c r="G2188" s="76"/>
      <c r="H2188" s="77" t="s">
        <v>8547</v>
      </c>
      <c r="I2188" s="76" t="s">
        <v>53</v>
      </c>
      <c r="J2188" s="77" t="s">
        <v>89</v>
      </c>
      <c r="K2188" s="77" t="s">
        <v>8520</v>
      </c>
      <c r="L2188" s="76"/>
      <c r="M2188" s="76"/>
      <c r="N2188" s="76" t="s">
        <v>8660</v>
      </c>
      <c r="O2188" s="76">
        <v>1</v>
      </c>
      <c r="P2188" s="76"/>
      <c r="Q2188" s="76" t="s">
        <v>9554</v>
      </c>
      <c r="R2188" s="76"/>
      <c r="S2188" s="76"/>
      <c r="BD2188" s="99">
        <f t="shared" si="71"/>
        <v>0</v>
      </c>
      <c r="CC2188" s="99"/>
      <c r="CV2188" s="99"/>
      <c r="CW2188" s="63"/>
    </row>
    <row r="2189" spans="1:101" x14ac:dyDescent="0.15">
      <c r="A2189" s="76">
        <v>2059</v>
      </c>
      <c r="B2189" s="74" t="s">
        <v>2117</v>
      </c>
      <c r="C2189" s="74">
        <v>17287278</v>
      </c>
      <c r="D2189" s="78" t="str">
        <f t="shared" si="70"/>
        <v>https://portal.dnb.de/opac.htm?method=simpleSearch&amp;cqlMode=true&amp;query=idn%3D17287278</v>
      </c>
      <c r="E2189" s="74" t="s">
        <v>2118</v>
      </c>
      <c r="F2189" s="74"/>
      <c r="G2189" s="76" t="s">
        <v>8515</v>
      </c>
      <c r="H2189" s="77" t="s">
        <v>4</v>
      </c>
      <c r="I2189" s="76" t="s">
        <v>53</v>
      </c>
      <c r="J2189" s="77" t="s">
        <v>8516</v>
      </c>
      <c r="K2189" s="77" t="s">
        <v>8520</v>
      </c>
      <c r="L2189" s="76"/>
      <c r="M2189" s="76" t="s">
        <v>36</v>
      </c>
      <c r="N2189" s="76" t="s">
        <v>40</v>
      </c>
      <c r="O2189" s="76">
        <v>0</v>
      </c>
      <c r="P2189" s="76"/>
      <c r="Q2189" s="76"/>
      <c r="R2189" s="76"/>
      <c r="S2189" s="76"/>
      <c r="BD2189" s="99">
        <f t="shared" si="71"/>
        <v>0</v>
      </c>
      <c r="CC2189" s="99"/>
      <c r="CV2189" s="99"/>
      <c r="CW2189" s="63"/>
    </row>
    <row r="2190" spans="1:101" x14ac:dyDescent="0.15">
      <c r="A2190" s="76">
        <v>2060</v>
      </c>
      <c r="B2190" s="74" t="s">
        <v>2119</v>
      </c>
      <c r="C2190" s="74">
        <v>1052924891</v>
      </c>
      <c r="D2190" s="78" t="str">
        <f t="shared" si="70"/>
        <v>https://portal.dnb.de/opac.htm?method=simpleSearch&amp;cqlMode=true&amp;query=idn%3D1052924891</v>
      </c>
      <c r="E2190" s="74" t="s">
        <v>2120</v>
      </c>
      <c r="F2190" s="74"/>
      <c r="G2190" s="76"/>
      <c r="H2190" s="77" t="s">
        <v>4</v>
      </c>
      <c r="I2190" s="76" t="s">
        <v>53</v>
      </c>
      <c r="J2190" s="77" t="s">
        <v>58</v>
      </c>
      <c r="K2190" s="77" t="s">
        <v>8520</v>
      </c>
      <c r="L2190" s="76"/>
      <c r="M2190" s="76" t="s">
        <v>33</v>
      </c>
      <c r="N2190" s="76" t="s">
        <v>40</v>
      </c>
      <c r="O2190" s="76">
        <v>0</v>
      </c>
      <c r="P2190" s="76"/>
      <c r="Q2190" s="76"/>
      <c r="R2190" s="76"/>
      <c r="S2190" s="76"/>
      <c r="BD2190" s="99">
        <f t="shared" si="71"/>
        <v>0</v>
      </c>
      <c r="CC2190" s="99"/>
      <c r="CV2190" s="99"/>
      <c r="CW2190" s="63"/>
    </row>
    <row r="2191" spans="1:101" x14ac:dyDescent="0.15">
      <c r="A2191" s="76">
        <v>2061</v>
      </c>
      <c r="B2191" s="74" t="s">
        <v>2121</v>
      </c>
      <c r="C2191" s="74">
        <v>1003350240</v>
      </c>
      <c r="D2191" s="78" t="str">
        <f t="shared" si="70"/>
        <v>https://portal.dnb.de/opac.htm?method=simpleSearch&amp;cqlMode=true&amp;query=idn%3D1003350240</v>
      </c>
      <c r="E2191" s="74" t="s">
        <v>2122</v>
      </c>
      <c r="F2191" s="74"/>
      <c r="G2191" s="76"/>
      <c r="H2191" s="77" t="s">
        <v>49</v>
      </c>
      <c r="I2191" s="76" t="s">
        <v>53</v>
      </c>
      <c r="J2191" s="77" t="s">
        <v>58</v>
      </c>
      <c r="K2191" s="77" t="s">
        <v>84</v>
      </c>
      <c r="L2191" s="76"/>
      <c r="M2191" s="76"/>
      <c r="N2191" s="76"/>
      <c r="O2191" s="76">
        <v>0</v>
      </c>
      <c r="P2191" s="76"/>
      <c r="Q2191" s="76"/>
      <c r="R2191" s="76"/>
      <c r="S2191" s="76"/>
      <c r="BD2191" s="99">
        <f t="shared" si="71"/>
        <v>0</v>
      </c>
      <c r="CC2191" s="99"/>
      <c r="CV2191" s="99"/>
      <c r="CW2191" s="63"/>
    </row>
    <row r="2192" spans="1:101" ht="22.5" x14ac:dyDescent="0.15">
      <c r="A2192" s="76">
        <v>2062</v>
      </c>
      <c r="B2192" s="74" t="s">
        <v>2127</v>
      </c>
      <c r="C2192" s="74">
        <v>997717416</v>
      </c>
      <c r="D2192" s="78" t="str">
        <f t="shared" si="70"/>
        <v>https://portal.dnb.de/opac.htm?method=simpleSearch&amp;cqlMode=true&amp;query=idn%3D997717416</v>
      </c>
      <c r="E2192" s="74" t="s">
        <v>2128</v>
      </c>
      <c r="F2192" s="74"/>
      <c r="G2192" s="76" t="s">
        <v>8515</v>
      </c>
      <c r="H2192" s="77" t="s">
        <v>18</v>
      </c>
      <c r="I2192" s="76" t="s">
        <v>53</v>
      </c>
      <c r="J2192" s="77" t="s">
        <v>58</v>
      </c>
      <c r="K2192" s="77"/>
      <c r="L2192" s="76"/>
      <c r="M2192" s="76" t="s">
        <v>34</v>
      </c>
      <c r="N2192" s="76" t="s">
        <v>39</v>
      </c>
      <c r="O2192" s="76">
        <v>1</v>
      </c>
      <c r="P2192" s="76"/>
      <c r="Q2192" s="76"/>
      <c r="R2192" s="76"/>
      <c r="S2192" s="76"/>
      <c r="BD2192" s="99">
        <f t="shared" si="71"/>
        <v>0</v>
      </c>
      <c r="CC2192" s="99"/>
      <c r="CV2192" s="99"/>
      <c r="CW2192" s="63"/>
    </row>
    <row r="2193" spans="1:101" ht="33.75" x14ac:dyDescent="0.15">
      <c r="A2193" s="76">
        <v>2063</v>
      </c>
      <c r="B2193" s="74" t="s">
        <v>2147</v>
      </c>
      <c r="C2193" s="74">
        <v>1066767130</v>
      </c>
      <c r="D2193" s="78" t="str">
        <f t="shared" si="70"/>
        <v>https://portal.dnb.de/opac.htm?method=simpleSearch&amp;cqlMode=true&amp;query=idn%3D1066767130</v>
      </c>
      <c r="E2193" s="74" t="s">
        <v>2148</v>
      </c>
      <c r="F2193" s="74"/>
      <c r="G2193" s="76" t="s">
        <v>8515</v>
      </c>
      <c r="H2193" s="77" t="s">
        <v>8546</v>
      </c>
      <c r="I2193" s="76" t="s">
        <v>53</v>
      </c>
      <c r="J2193" s="77" t="s">
        <v>8516</v>
      </c>
      <c r="K2193" s="77" t="s">
        <v>8577</v>
      </c>
      <c r="L2193" s="76"/>
      <c r="M2193" s="76" t="s">
        <v>37</v>
      </c>
      <c r="N2193" s="76" t="s">
        <v>40</v>
      </c>
      <c r="O2193" s="76">
        <v>1</v>
      </c>
      <c r="P2193" s="76"/>
      <c r="Q2193" s="76"/>
      <c r="R2193" s="76"/>
      <c r="S2193" s="76"/>
      <c r="Y2193" s="95" t="s">
        <v>9736</v>
      </c>
      <c r="AA2193" s="95" t="s">
        <v>8541</v>
      </c>
      <c r="AC2193" s="95" t="s">
        <v>9737</v>
      </c>
      <c r="AI2193" s="95" t="s">
        <v>9725</v>
      </c>
      <c r="AW2193" s="95" t="s">
        <v>9733</v>
      </c>
      <c r="BC2193" s="96" t="s">
        <v>9774</v>
      </c>
      <c r="BD2193" s="99">
        <f t="shared" si="71"/>
        <v>0.5</v>
      </c>
      <c r="BH2193" s="95" t="s">
        <v>8541</v>
      </c>
      <c r="BL2193" s="70" t="s">
        <v>10125</v>
      </c>
      <c r="BP2193" s="69" t="s">
        <v>8541</v>
      </c>
      <c r="BR2193" s="95" t="s">
        <v>8541</v>
      </c>
      <c r="BT2193" s="95" t="s">
        <v>9772</v>
      </c>
      <c r="CC2193" s="99">
        <v>0.5</v>
      </c>
      <c r="CD2193" s="90" t="s">
        <v>10124</v>
      </c>
      <c r="CV2193" s="99"/>
      <c r="CW2193" s="63"/>
    </row>
    <row r="2194" spans="1:101" ht="45" x14ac:dyDescent="0.15">
      <c r="A2194" s="76">
        <v>2064</v>
      </c>
      <c r="B2194" s="74" t="s">
        <v>2151</v>
      </c>
      <c r="C2194" s="74">
        <v>1066936307</v>
      </c>
      <c r="D2194" s="78" t="str">
        <f t="shared" si="70"/>
        <v>https://portal.dnb.de/opac.htm?method=simpleSearch&amp;cqlMode=true&amp;query=idn%3D1066936307</v>
      </c>
      <c r="E2194" s="74" t="s">
        <v>2152</v>
      </c>
      <c r="F2194" s="74"/>
      <c r="G2194" s="76" t="s">
        <v>8515</v>
      </c>
      <c r="H2194" s="77" t="s">
        <v>5</v>
      </c>
      <c r="I2194" s="76" t="s">
        <v>53</v>
      </c>
      <c r="J2194" s="77" t="s">
        <v>8516</v>
      </c>
      <c r="K2194" s="77" t="s">
        <v>8702</v>
      </c>
      <c r="L2194" s="76"/>
      <c r="M2194" s="76"/>
      <c r="N2194" s="76"/>
      <c r="O2194" s="76">
        <v>1</v>
      </c>
      <c r="P2194" s="76"/>
      <c r="Q2194" s="76"/>
      <c r="R2194" s="76"/>
      <c r="S2194" s="76"/>
      <c r="Y2194" s="95" t="s">
        <v>9723</v>
      </c>
      <c r="AC2194" s="95" t="s">
        <v>9724</v>
      </c>
      <c r="AI2194" s="95" t="s">
        <v>9725</v>
      </c>
      <c r="AW2194" s="95">
        <v>45</v>
      </c>
      <c r="BC2194" s="96" t="s">
        <v>9726</v>
      </c>
      <c r="BD2194" s="99">
        <f t="shared" si="71"/>
        <v>2.5</v>
      </c>
      <c r="BO2194" s="70" t="s">
        <v>10126</v>
      </c>
      <c r="BP2194" s="69" t="s">
        <v>8541</v>
      </c>
      <c r="BQ2194" s="95" t="s">
        <v>8541</v>
      </c>
      <c r="BR2194" s="95" t="s">
        <v>8541</v>
      </c>
      <c r="BT2194" s="95" t="s">
        <v>9737</v>
      </c>
      <c r="CB2194" s="95" t="s">
        <v>9818</v>
      </c>
      <c r="CC2194" s="99">
        <v>2</v>
      </c>
      <c r="CE2194" s="95" t="s">
        <v>8541</v>
      </c>
      <c r="CV2194" s="99">
        <v>0.5</v>
      </c>
      <c r="CW2194" s="63" t="s">
        <v>10127</v>
      </c>
    </row>
    <row r="2195" spans="1:101" x14ac:dyDescent="0.15">
      <c r="A2195" s="76">
        <v>2065</v>
      </c>
      <c r="B2195" s="74" t="s">
        <v>2153</v>
      </c>
      <c r="C2195" s="74">
        <v>1066875219</v>
      </c>
      <c r="D2195" s="78" t="str">
        <f t="shared" si="70"/>
        <v>https://portal.dnb.de/opac.htm?method=simpleSearch&amp;cqlMode=true&amp;query=idn%3D1066875219</v>
      </c>
      <c r="E2195" s="74" t="s">
        <v>2154</v>
      </c>
      <c r="F2195" s="74"/>
      <c r="G2195" s="76" t="s">
        <v>8515</v>
      </c>
      <c r="H2195" s="77" t="s">
        <v>48</v>
      </c>
      <c r="I2195" s="76" t="s">
        <v>53</v>
      </c>
      <c r="J2195" s="77" t="s">
        <v>58</v>
      </c>
      <c r="K2195" s="77" t="s">
        <v>84</v>
      </c>
      <c r="L2195" s="76"/>
      <c r="M2195" s="76"/>
      <c r="N2195" s="76" t="s">
        <v>8660</v>
      </c>
      <c r="O2195" s="76">
        <v>0</v>
      </c>
      <c r="P2195" s="76"/>
      <c r="Q2195" s="76"/>
      <c r="R2195" s="76"/>
      <c r="S2195" s="76"/>
      <c r="BD2195" s="99">
        <f t="shared" si="71"/>
        <v>0</v>
      </c>
      <c r="CC2195" s="99"/>
      <c r="CV2195" s="99"/>
      <c r="CW2195" s="63"/>
    </row>
    <row r="2196" spans="1:101" ht="33.75" x14ac:dyDescent="0.15">
      <c r="A2196" s="76">
        <v>2066</v>
      </c>
      <c r="B2196" s="74" t="s">
        <v>2155</v>
      </c>
      <c r="C2196" s="74">
        <v>998630233</v>
      </c>
      <c r="D2196" s="78" t="str">
        <f t="shared" si="70"/>
        <v>https://portal.dnb.de/opac.htm?method=simpleSearch&amp;cqlMode=true&amp;query=idn%3D998630233</v>
      </c>
      <c r="E2196" s="74" t="s">
        <v>2156</v>
      </c>
      <c r="F2196" s="74"/>
      <c r="G2196" s="76"/>
      <c r="H2196" s="77"/>
      <c r="I2196" s="76" t="s">
        <v>55</v>
      </c>
      <c r="J2196" s="77"/>
      <c r="K2196" s="77"/>
      <c r="L2196" s="76"/>
      <c r="M2196" s="76"/>
      <c r="N2196" s="76"/>
      <c r="O2196" s="76"/>
      <c r="P2196" s="76"/>
      <c r="Q2196" s="76"/>
      <c r="R2196" s="76"/>
      <c r="S2196" s="76"/>
      <c r="Y2196" s="95" t="s">
        <v>9725</v>
      </c>
      <c r="AC2196" s="95" t="s">
        <v>9739</v>
      </c>
      <c r="AI2196" s="95" t="s">
        <v>9725</v>
      </c>
      <c r="AP2196" s="95" t="s">
        <v>8541</v>
      </c>
      <c r="AQ2196" s="96" t="s">
        <v>10423</v>
      </c>
      <c r="AW2196" s="95">
        <v>110</v>
      </c>
      <c r="AY2196" s="95" t="s">
        <v>8541</v>
      </c>
      <c r="BC2196" s="96" t="s">
        <v>9726</v>
      </c>
      <c r="BD2196" s="99">
        <f t="shared" si="71"/>
        <v>7</v>
      </c>
      <c r="BH2196" s="95" t="s">
        <v>8541</v>
      </c>
      <c r="BP2196" s="69" t="s">
        <v>8541</v>
      </c>
      <c r="BR2196" s="95" t="s">
        <v>8541</v>
      </c>
      <c r="CC2196" s="99">
        <v>3</v>
      </c>
      <c r="CD2196" s="90" t="s">
        <v>10425</v>
      </c>
      <c r="CL2196" s="95" t="s">
        <v>8541</v>
      </c>
      <c r="CM2196" s="95" t="s">
        <v>8541</v>
      </c>
      <c r="CQ2196" s="95" t="s">
        <v>8541</v>
      </c>
      <c r="CV2196" s="99">
        <v>4</v>
      </c>
      <c r="CW2196" s="90" t="s">
        <v>10424</v>
      </c>
    </row>
    <row r="2197" spans="1:101" x14ac:dyDescent="0.15">
      <c r="A2197" s="76">
        <v>2067</v>
      </c>
      <c r="B2197" s="74" t="s">
        <v>2157</v>
      </c>
      <c r="C2197" s="74">
        <v>1113899727</v>
      </c>
      <c r="D2197" s="78" t="str">
        <f t="shared" si="70"/>
        <v>https://portal.dnb.de/opac.htm?method=simpleSearch&amp;cqlMode=true&amp;query=idn%3D1113899727</v>
      </c>
      <c r="E2197" s="74" t="s">
        <v>2158</v>
      </c>
      <c r="F2197" s="74"/>
      <c r="G2197" s="76"/>
      <c r="H2197" s="77" t="s">
        <v>4</v>
      </c>
      <c r="I2197" s="76" t="s">
        <v>54</v>
      </c>
      <c r="J2197" s="77" t="s">
        <v>58</v>
      </c>
      <c r="K2197" s="77" t="s">
        <v>84</v>
      </c>
      <c r="L2197" s="76"/>
      <c r="M2197" s="76"/>
      <c r="N2197" s="76"/>
      <c r="O2197" s="76"/>
      <c r="P2197" s="76"/>
      <c r="Q2197" s="76"/>
      <c r="R2197" s="76"/>
      <c r="S2197" s="76"/>
      <c r="BD2197" s="99">
        <f t="shared" si="71"/>
        <v>0</v>
      </c>
      <c r="CC2197" s="99"/>
      <c r="CV2197" s="99"/>
      <c r="CW2197" s="63"/>
    </row>
    <row r="2198" spans="1:101" x14ac:dyDescent="0.15">
      <c r="A2198" s="76">
        <v>2068</v>
      </c>
      <c r="B2198" s="74" t="s">
        <v>2149</v>
      </c>
      <c r="C2198" s="74">
        <v>1207424870</v>
      </c>
      <c r="D2198" s="78" t="str">
        <f t="shared" si="70"/>
        <v>https://portal.dnb.de/opac.htm?method=simpleSearch&amp;cqlMode=true&amp;query=idn%3D1207424870</v>
      </c>
      <c r="E2198" s="74" t="s">
        <v>2150</v>
      </c>
      <c r="F2198" s="74"/>
      <c r="G2198" s="76"/>
      <c r="H2198" s="77"/>
      <c r="I2198" s="76"/>
      <c r="J2198" s="77"/>
      <c r="K2198" s="77"/>
      <c r="L2198" s="76"/>
      <c r="M2198" s="76"/>
      <c r="N2198" s="76"/>
      <c r="O2198" s="76"/>
      <c r="P2198" s="76"/>
      <c r="Q2198" s="76"/>
      <c r="R2198" s="76"/>
      <c r="S2198" s="76"/>
      <c r="BD2198" s="99">
        <f t="shared" si="71"/>
        <v>0</v>
      </c>
      <c r="CC2198" s="99"/>
      <c r="CV2198" s="99"/>
      <c r="CW2198" s="63"/>
    </row>
    <row r="2199" spans="1:101" ht="33.75" x14ac:dyDescent="0.15">
      <c r="A2199" s="76">
        <v>2069</v>
      </c>
      <c r="B2199" s="74" t="s">
        <v>2159</v>
      </c>
      <c r="C2199" s="74">
        <v>1066869839</v>
      </c>
      <c r="D2199" s="78" t="str">
        <f t="shared" si="70"/>
        <v>https://portal.dnb.de/opac.htm?method=simpleSearch&amp;cqlMode=true&amp;query=idn%3D1066869839</v>
      </c>
      <c r="E2199" s="74" t="s">
        <v>2160</v>
      </c>
      <c r="F2199" s="74"/>
      <c r="G2199" s="76" t="s">
        <v>8515</v>
      </c>
      <c r="H2199" s="77" t="s">
        <v>5</v>
      </c>
      <c r="I2199" s="76" t="s">
        <v>53</v>
      </c>
      <c r="J2199" s="77" t="s">
        <v>8516</v>
      </c>
      <c r="K2199" s="77" t="s">
        <v>8702</v>
      </c>
      <c r="L2199" s="76"/>
      <c r="M2199" s="76"/>
      <c r="N2199" s="76" t="s">
        <v>8660</v>
      </c>
      <c r="O2199" s="76">
        <v>1</v>
      </c>
      <c r="P2199" s="76"/>
      <c r="Q2199" s="76"/>
      <c r="R2199" s="76"/>
      <c r="S2199" s="76"/>
      <c r="Y2199" s="95" t="s">
        <v>9723</v>
      </c>
      <c r="AC2199" s="95" t="s">
        <v>9724</v>
      </c>
      <c r="AE2199" s="95" t="s">
        <v>8541</v>
      </c>
      <c r="AI2199" s="95" t="s">
        <v>9725</v>
      </c>
      <c r="AW2199" s="95">
        <v>60</v>
      </c>
      <c r="BC2199" s="96" t="s">
        <v>9726</v>
      </c>
      <c r="BD2199" s="99">
        <f t="shared" si="71"/>
        <v>1</v>
      </c>
      <c r="BO2199" s="70" t="s">
        <v>10036</v>
      </c>
      <c r="BP2199" s="69" t="s">
        <v>8541</v>
      </c>
      <c r="BQ2199" s="95" t="s">
        <v>8541</v>
      </c>
      <c r="BR2199" s="95" t="s">
        <v>8541</v>
      </c>
      <c r="CC2199" s="99">
        <v>1</v>
      </c>
      <c r="CV2199" s="99"/>
      <c r="CW2199" s="63"/>
    </row>
    <row r="2200" spans="1:101" x14ac:dyDescent="0.15">
      <c r="A2200" s="76">
        <v>2070</v>
      </c>
      <c r="B2200" s="74" t="s">
        <v>2161</v>
      </c>
      <c r="C2200" s="74">
        <v>1208352288</v>
      </c>
      <c r="D2200" s="78" t="str">
        <f t="shared" si="70"/>
        <v>https://portal.dnb.de/opac.htm?method=simpleSearch&amp;cqlMode=true&amp;query=idn%3D1208352288</v>
      </c>
      <c r="E2200" s="74" t="s">
        <v>2162</v>
      </c>
      <c r="F2200" s="74"/>
      <c r="G2200" s="76"/>
      <c r="H2200" s="77"/>
      <c r="I2200" s="76"/>
      <c r="J2200" s="77"/>
      <c r="K2200" s="77"/>
      <c r="L2200" s="76"/>
      <c r="M2200" s="76"/>
      <c r="N2200" s="76"/>
      <c r="O2200" s="76"/>
      <c r="P2200" s="76"/>
      <c r="Q2200" s="76"/>
      <c r="R2200" s="76"/>
      <c r="S2200" s="76"/>
      <c r="BD2200" s="99">
        <f t="shared" si="71"/>
        <v>0</v>
      </c>
      <c r="CC2200" s="99"/>
      <c r="CV2200" s="99"/>
      <c r="CW2200" s="63"/>
    </row>
    <row r="2201" spans="1:101" ht="33.75" x14ac:dyDescent="0.15">
      <c r="A2201" s="76">
        <v>2071</v>
      </c>
      <c r="B2201" s="74" t="s">
        <v>2163</v>
      </c>
      <c r="C2201" s="74">
        <v>1066926603</v>
      </c>
      <c r="D2201" s="78" t="str">
        <f t="shared" si="70"/>
        <v>https://portal.dnb.de/opac.htm?method=simpleSearch&amp;cqlMode=true&amp;query=idn%3D1066926603</v>
      </c>
      <c r="E2201" s="74" t="s">
        <v>2164</v>
      </c>
      <c r="F2201" s="74"/>
      <c r="G2201" s="76" t="s">
        <v>8515</v>
      </c>
      <c r="H2201" s="77" t="s">
        <v>8674</v>
      </c>
      <c r="I2201" s="76" t="s">
        <v>53</v>
      </c>
      <c r="J2201" s="77" t="s">
        <v>89</v>
      </c>
      <c r="K2201" s="77" t="s">
        <v>8552</v>
      </c>
      <c r="L2201" s="76"/>
      <c r="M2201" s="76"/>
      <c r="N2201" s="76"/>
      <c r="O2201" s="76">
        <v>0</v>
      </c>
      <c r="P2201" s="76"/>
      <c r="Q2201" s="76"/>
      <c r="R2201" s="76"/>
      <c r="S2201" s="76"/>
      <c r="BD2201" s="99">
        <f t="shared" si="71"/>
        <v>0</v>
      </c>
      <c r="CC2201" s="99"/>
      <c r="CV2201" s="99"/>
      <c r="CW2201" s="63"/>
    </row>
    <row r="2202" spans="1:101" x14ac:dyDescent="0.15">
      <c r="A2202" s="76">
        <v>2072</v>
      </c>
      <c r="B2202" s="74" t="s">
        <v>2165</v>
      </c>
      <c r="C2202" s="74" t="s">
        <v>2166</v>
      </c>
      <c r="D2202" s="78" t="str">
        <f t="shared" si="70"/>
        <v>https://portal.dnb.de/opac.htm?method=simpleSearch&amp;cqlMode=true&amp;query=idn%3D106684500X</v>
      </c>
      <c r="E2202" s="74" t="s">
        <v>2167</v>
      </c>
      <c r="F2202" s="74"/>
      <c r="G2202" s="76" t="s">
        <v>8515</v>
      </c>
      <c r="H2202" s="77" t="s">
        <v>5</v>
      </c>
      <c r="I2202" s="76" t="s">
        <v>53</v>
      </c>
      <c r="J2202" s="77" t="s">
        <v>8516</v>
      </c>
      <c r="K2202" s="77" t="s">
        <v>8520</v>
      </c>
      <c r="L2202" s="76"/>
      <c r="M2202" s="76"/>
      <c r="N2202" s="76"/>
      <c r="O2202" s="76">
        <v>1</v>
      </c>
      <c r="P2202" s="76"/>
      <c r="Q2202" s="76"/>
      <c r="R2202" s="76"/>
      <c r="S2202" s="76"/>
      <c r="BD2202" s="99">
        <f t="shared" si="71"/>
        <v>0</v>
      </c>
      <c r="CC2202" s="99"/>
      <c r="CV2202" s="99"/>
      <c r="CW2202" s="63"/>
    </row>
    <row r="2203" spans="1:101" ht="33.75" x14ac:dyDescent="0.15">
      <c r="A2203" s="76"/>
      <c r="B2203" s="74"/>
      <c r="C2203" s="74"/>
      <c r="D2203" s="78"/>
      <c r="E2203" s="74" t="s">
        <v>9178</v>
      </c>
      <c r="F2203" s="74"/>
      <c r="G2203" s="76" t="s">
        <v>8515</v>
      </c>
      <c r="H2203" s="77" t="s">
        <v>4</v>
      </c>
      <c r="I2203" s="76" t="s">
        <v>54</v>
      </c>
      <c r="J2203" s="77" t="s">
        <v>58</v>
      </c>
      <c r="K2203" s="77" t="s">
        <v>9179</v>
      </c>
      <c r="L2203" s="76"/>
      <c r="M2203" s="76"/>
      <c r="N2203" s="76"/>
      <c r="O2203" s="76"/>
      <c r="P2203" s="76"/>
      <c r="Q2203" s="76"/>
      <c r="R2203" s="76"/>
      <c r="S2203" s="76"/>
      <c r="Y2203" s="95" t="s">
        <v>9729</v>
      </c>
      <c r="AC2203" s="95" t="s">
        <v>9739</v>
      </c>
      <c r="AE2203" s="95" t="s">
        <v>8541</v>
      </c>
      <c r="AI2203" s="95" t="s">
        <v>9725</v>
      </c>
      <c r="AL2203" s="95" t="s">
        <v>8541</v>
      </c>
      <c r="AW2203" s="95" t="s">
        <v>9733</v>
      </c>
      <c r="BC2203" s="96" t="s">
        <v>9734</v>
      </c>
      <c r="BD2203" s="99">
        <f t="shared" si="71"/>
        <v>0</v>
      </c>
      <c r="BO2203" s="70" t="s">
        <v>10036</v>
      </c>
      <c r="CC2203" s="99"/>
      <c r="CV2203" s="99"/>
      <c r="CW2203" s="63"/>
    </row>
    <row r="2204" spans="1:101" ht="33.75" x14ac:dyDescent="0.15">
      <c r="A2204" s="76">
        <v>2073</v>
      </c>
      <c r="B2204" s="74" t="s">
        <v>2168</v>
      </c>
      <c r="C2204" s="74">
        <v>1066874662</v>
      </c>
      <c r="D2204" s="78" t="str">
        <f t="shared" si="70"/>
        <v>https://portal.dnb.de/opac.htm?method=simpleSearch&amp;cqlMode=true&amp;query=idn%3D1066874662</v>
      </c>
      <c r="E2204" s="74" t="s">
        <v>2169</v>
      </c>
      <c r="F2204" s="74"/>
      <c r="G2204" s="76" t="s">
        <v>8515</v>
      </c>
      <c r="H2204" s="77" t="s">
        <v>5</v>
      </c>
      <c r="I2204" s="76" t="s">
        <v>53</v>
      </c>
      <c r="J2204" s="77" t="s">
        <v>8516</v>
      </c>
      <c r="K2204" s="77" t="s">
        <v>8702</v>
      </c>
      <c r="L2204" s="76"/>
      <c r="M2204" s="76"/>
      <c r="N2204" s="76"/>
      <c r="O2204" s="76">
        <v>1</v>
      </c>
      <c r="P2204" s="76"/>
      <c r="Q2204" s="76"/>
      <c r="R2204" s="76"/>
      <c r="S2204" s="76"/>
      <c r="BD2204" s="99">
        <f t="shared" si="71"/>
        <v>0</v>
      </c>
      <c r="CC2204" s="99"/>
      <c r="CV2204" s="99"/>
      <c r="CW2204" s="63"/>
    </row>
    <row r="2205" spans="1:101" ht="22.5" x14ac:dyDescent="0.15">
      <c r="A2205" s="76">
        <v>2074</v>
      </c>
      <c r="B2205" s="74" t="s">
        <v>2170</v>
      </c>
      <c r="C2205" s="74" t="s">
        <v>2171</v>
      </c>
      <c r="D2205" s="78" t="str">
        <f t="shared" si="70"/>
        <v>https://portal.dnb.de/opac.htm?method=simpleSearch&amp;cqlMode=true&amp;query=idn%3D106695996X</v>
      </c>
      <c r="E2205" s="74" t="s">
        <v>2172</v>
      </c>
      <c r="F2205" s="74"/>
      <c r="G2205" s="76" t="s">
        <v>8515</v>
      </c>
      <c r="H2205" s="77" t="s">
        <v>48</v>
      </c>
      <c r="I2205" s="76" t="s">
        <v>53</v>
      </c>
      <c r="J2205" s="77" t="s">
        <v>8516</v>
      </c>
      <c r="K2205" s="77" t="s">
        <v>8539</v>
      </c>
      <c r="L2205" s="76"/>
      <c r="M2205" s="76"/>
      <c r="N2205" s="76"/>
      <c r="O2205" s="76">
        <v>0</v>
      </c>
      <c r="P2205" s="76"/>
      <c r="Q2205" s="76"/>
      <c r="R2205" s="76"/>
      <c r="S2205" s="76"/>
      <c r="BD2205" s="99">
        <f t="shared" si="71"/>
        <v>0</v>
      </c>
      <c r="CC2205" s="99"/>
      <c r="CV2205" s="99"/>
      <c r="CW2205" s="63"/>
    </row>
    <row r="2206" spans="1:101" ht="22.5" x14ac:dyDescent="0.15">
      <c r="A2206" s="76">
        <v>2075</v>
      </c>
      <c r="B2206" s="74" t="s">
        <v>2173</v>
      </c>
      <c r="C2206" s="74">
        <v>997717424</v>
      </c>
      <c r="D2206" s="78" t="str">
        <f t="shared" ref="D2206:D2270" si="72">HYPERLINK(CONCATENATE("https://portal.dnb.de/opac.htm?method=simpleSearch&amp;cqlMode=true&amp;query=idn%3D",C2206))</f>
        <v>https://portal.dnb.de/opac.htm?method=simpleSearch&amp;cqlMode=true&amp;query=idn%3D997717424</v>
      </c>
      <c r="E2206" s="74" t="s">
        <v>2174</v>
      </c>
      <c r="F2206" s="74"/>
      <c r="G2206" s="76"/>
      <c r="H2206" s="77" t="s">
        <v>48</v>
      </c>
      <c r="I2206" s="76" t="s">
        <v>53</v>
      </c>
      <c r="J2206" s="77" t="s">
        <v>8516</v>
      </c>
      <c r="K2206" s="77" t="s">
        <v>8552</v>
      </c>
      <c r="L2206" s="76"/>
      <c r="M2206" s="76"/>
      <c r="N2206" s="76"/>
      <c r="O2206" s="76">
        <v>0</v>
      </c>
      <c r="P2206" s="76"/>
      <c r="Q2206" s="76"/>
      <c r="R2206" s="76"/>
      <c r="S2206" s="76"/>
      <c r="BD2206" s="99">
        <f t="shared" si="71"/>
        <v>0</v>
      </c>
      <c r="CC2206" s="99"/>
      <c r="CV2206" s="99"/>
      <c r="CW2206" s="63"/>
    </row>
    <row r="2207" spans="1:101" x14ac:dyDescent="0.15">
      <c r="A2207" s="76">
        <v>2076</v>
      </c>
      <c r="B2207" s="74" t="s">
        <v>2175</v>
      </c>
      <c r="C2207" s="74">
        <v>997484810</v>
      </c>
      <c r="D2207" s="78" t="str">
        <f t="shared" si="72"/>
        <v>https://portal.dnb.de/opac.htm?method=simpleSearch&amp;cqlMode=true&amp;query=idn%3D997484810</v>
      </c>
      <c r="E2207" s="74" t="s">
        <v>2176</v>
      </c>
      <c r="F2207" s="74"/>
      <c r="G2207" s="76"/>
      <c r="H2207" s="77" t="s">
        <v>5</v>
      </c>
      <c r="I2207" s="76" t="s">
        <v>53</v>
      </c>
      <c r="J2207" s="77" t="s">
        <v>58</v>
      </c>
      <c r="K2207" s="77"/>
      <c r="L2207" s="76"/>
      <c r="M2207" s="76" t="s">
        <v>38</v>
      </c>
      <c r="N2207" s="76" t="s">
        <v>40</v>
      </c>
      <c r="O2207" s="76">
        <v>0</v>
      </c>
      <c r="P2207" s="76"/>
      <c r="Q2207" s="76"/>
      <c r="R2207" s="76"/>
      <c r="S2207" s="76"/>
      <c r="BD2207" s="99">
        <f t="shared" si="71"/>
        <v>0</v>
      </c>
      <c r="CC2207" s="99"/>
      <c r="CV2207" s="99"/>
      <c r="CW2207" s="63"/>
    </row>
    <row r="2208" spans="1:101" ht="22.5" x14ac:dyDescent="0.15">
      <c r="A2208" s="76">
        <v>2077</v>
      </c>
      <c r="B2208" s="74" t="s">
        <v>2203</v>
      </c>
      <c r="C2208" s="74">
        <v>995689490</v>
      </c>
      <c r="D2208" s="78" t="str">
        <f t="shared" si="72"/>
        <v>https://portal.dnb.de/opac.htm?method=simpleSearch&amp;cqlMode=true&amp;query=idn%3D995689490</v>
      </c>
      <c r="E2208" s="74" t="s">
        <v>2204</v>
      </c>
      <c r="F2208" s="74"/>
      <c r="G2208" s="76" t="s">
        <v>8515</v>
      </c>
      <c r="H2208" s="77" t="s">
        <v>48</v>
      </c>
      <c r="I2208" s="76" t="s">
        <v>53</v>
      </c>
      <c r="J2208" s="77" t="s">
        <v>8516</v>
      </c>
      <c r="K2208" s="77" t="s">
        <v>84</v>
      </c>
      <c r="L2208" s="76"/>
      <c r="M2208" s="76" t="s">
        <v>37</v>
      </c>
      <c r="N2208" s="76" t="s">
        <v>40</v>
      </c>
      <c r="O2208" s="76">
        <v>1</v>
      </c>
      <c r="P2208" s="76"/>
      <c r="Q2208" s="76"/>
      <c r="R2208" s="76"/>
      <c r="S2208" s="76"/>
      <c r="Y2208" s="95" t="s">
        <v>9736</v>
      </c>
      <c r="AC2208" s="95" t="s">
        <v>9737</v>
      </c>
      <c r="AI2208" s="95" t="s">
        <v>9725</v>
      </c>
      <c r="AW2208" s="95" t="s">
        <v>9733</v>
      </c>
      <c r="BC2208" s="96" t="s">
        <v>9796</v>
      </c>
      <c r="BD2208" s="99">
        <f t="shared" si="71"/>
        <v>2</v>
      </c>
      <c r="BP2208" s="69" t="s">
        <v>8541</v>
      </c>
      <c r="BT2208" s="95" t="s">
        <v>9775</v>
      </c>
      <c r="CC2208" s="99">
        <v>2</v>
      </c>
      <c r="CD2208" s="90" t="s">
        <v>10128</v>
      </c>
      <c r="CV2208" s="99"/>
      <c r="CW2208" s="63"/>
    </row>
    <row r="2209" spans="1:101" ht="33.75" x14ac:dyDescent="0.15">
      <c r="A2209" s="76">
        <v>2078</v>
      </c>
      <c r="B2209" s="74" t="s">
        <v>2177</v>
      </c>
      <c r="C2209" s="74">
        <v>1066779848</v>
      </c>
      <c r="D2209" s="78" t="str">
        <f t="shared" si="72"/>
        <v>https://portal.dnb.de/opac.htm?method=simpleSearch&amp;cqlMode=true&amp;query=idn%3D1066779848</v>
      </c>
      <c r="E2209" s="74" t="s">
        <v>2178</v>
      </c>
      <c r="F2209" s="74"/>
      <c r="G2209" s="76" t="s">
        <v>8515</v>
      </c>
      <c r="H2209" s="77" t="s">
        <v>8674</v>
      </c>
      <c r="I2209" s="76" t="s">
        <v>53</v>
      </c>
      <c r="J2209" s="77" t="s">
        <v>8516</v>
      </c>
      <c r="K2209" s="77" t="s">
        <v>84</v>
      </c>
      <c r="L2209" s="76"/>
      <c r="M2209" s="76" t="s">
        <v>37</v>
      </c>
      <c r="N2209" s="76" t="s">
        <v>40</v>
      </c>
      <c r="O2209" s="76">
        <v>0</v>
      </c>
      <c r="P2209" s="76"/>
      <c r="Q2209" s="76"/>
      <c r="R2209" s="76"/>
      <c r="S2209" s="76"/>
      <c r="BD2209" s="99">
        <f t="shared" si="71"/>
        <v>0</v>
      </c>
      <c r="CC2209" s="99"/>
      <c r="CV2209" s="99"/>
      <c r="CW2209" s="63"/>
    </row>
    <row r="2210" spans="1:101" x14ac:dyDescent="0.15">
      <c r="A2210" s="76">
        <v>2079</v>
      </c>
      <c r="B2210" s="74" t="s">
        <v>2195</v>
      </c>
      <c r="C2210" s="74">
        <v>994053878</v>
      </c>
      <c r="D2210" s="78" t="str">
        <f t="shared" si="72"/>
        <v>https://portal.dnb.de/opac.htm?method=simpleSearch&amp;cqlMode=true&amp;query=idn%3D994053878</v>
      </c>
      <c r="E2210" s="74" t="s">
        <v>2196</v>
      </c>
      <c r="F2210" s="74"/>
      <c r="G2210" s="76" t="s">
        <v>8515</v>
      </c>
      <c r="H2210" s="77" t="s">
        <v>6</v>
      </c>
      <c r="I2210" s="76" t="s">
        <v>53</v>
      </c>
      <c r="J2210" s="77" t="s">
        <v>8516</v>
      </c>
      <c r="K2210" s="77" t="s">
        <v>84</v>
      </c>
      <c r="L2210" s="76"/>
      <c r="M2210" s="76"/>
      <c r="N2210" s="76"/>
      <c r="O2210" s="76">
        <v>0</v>
      </c>
      <c r="P2210" s="76"/>
      <c r="Q2210" s="76"/>
      <c r="R2210" s="76"/>
      <c r="S2210" s="76"/>
      <c r="BD2210" s="99">
        <f t="shared" si="71"/>
        <v>0</v>
      </c>
      <c r="CC2210" s="99"/>
      <c r="CV2210" s="99"/>
      <c r="CW2210" s="63"/>
    </row>
    <row r="2211" spans="1:101" x14ac:dyDescent="0.15">
      <c r="A2211" s="76">
        <v>2080</v>
      </c>
      <c r="B2211" s="74" t="s">
        <v>2197</v>
      </c>
      <c r="C2211" s="74">
        <v>994053479</v>
      </c>
      <c r="D2211" s="78" t="str">
        <f t="shared" si="72"/>
        <v>https://portal.dnb.de/opac.htm?method=simpleSearch&amp;cqlMode=true&amp;query=idn%3D994053479</v>
      </c>
      <c r="E2211" s="74" t="s">
        <v>2198</v>
      </c>
      <c r="F2211" s="74"/>
      <c r="G2211" s="76" t="s">
        <v>8515</v>
      </c>
      <c r="H2211" s="77" t="s">
        <v>49</v>
      </c>
      <c r="I2211" s="76" t="s">
        <v>54</v>
      </c>
      <c r="J2211" s="77" t="s">
        <v>58</v>
      </c>
      <c r="K2211" s="77" t="s">
        <v>8577</v>
      </c>
      <c r="L2211" s="76"/>
      <c r="M2211" s="76"/>
      <c r="N2211" s="76"/>
      <c r="O2211" s="76">
        <v>0</v>
      </c>
      <c r="P2211" s="76"/>
      <c r="Q2211" s="76"/>
      <c r="R2211" s="76"/>
      <c r="S2211" s="76"/>
      <c r="BD2211" s="99">
        <f t="shared" si="71"/>
        <v>0</v>
      </c>
      <c r="CC2211" s="99"/>
      <c r="CV2211" s="99"/>
      <c r="CW2211" s="63"/>
    </row>
    <row r="2212" spans="1:101" x14ac:dyDescent="0.15">
      <c r="A2212" s="76">
        <v>2081</v>
      </c>
      <c r="B2212" s="74" t="s">
        <v>2199</v>
      </c>
      <c r="C2212" s="74">
        <v>994053096</v>
      </c>
      <c r="D2212" s="78" t="str">
        <f t="shared" si="72"/>
        <v>https://portal.dnb.de/opac.htm?method=simpleSearch&amp;cqlMode=true&amp;query=idn%3D994053096</v>
      </c>
      <c r="E2212" s="74" t="s">
        <v>2200</v>
      </c>
      <c r="F2212" s="74"/>
      <c r="G2212" s="76"/>
      <c r="H2212" s="77" t="s">
        <v>49</v>
      </c>
      <c r="I2212" s="76" t="s">
        <v>54</v>
      </c>
      <c r="J2212" s="77" t="s">
        <v>58</v>
      </c>
      <c r="K2212" s="77" t="s">
        <v>8577</v>
      </c>
      <c r="L2212" s="76"/>
      <c r="M2212" s="76"/>
      <c r="N2212" s="76"/>
      <c r="O2212" s="76">
        <v>0</v>
      </c>
      <c r="P2212" s="76"/>
      <c r="Q2212" s="76"/>
      <c r="R2212" s="76"/>
      <c r="S2212" s="76"/>
      <c r="BD2212" s="99">
        <f t="shared" si="71"/>
        <v>0</v>
      </c>
      <c r="CC2212" s="99"/>
      <c r="CV2212" s="99"/>
      <c r="CW2212" s="63"/>
    </row>
    <row r="2213" spans="1:101" ht="22.5" x14ac:dyDescent="0.15">
      <c r="A2213" s="76">
        <v>2082</v>
      </c>
      <c r="B2213" s="74" t="s">
        <v>2201</v>
      </c>
      <c r="C2213" s="74">
        <v>994053290</v>
      </c>
      <c r="D2213" s="78" t="str">
        <f t="shared" si="72"/>
        <v>https://portal.dnb.de/opac.htm?method=simpleSearch&amp;cqlMode=true&amp;query=idn%3D994053290</v>
      </c>
      <c r="E2213" s="74" t="s">
        <v>2202</v>
      </c>
      <c r="F2213" s="74"/>
      <c r="G2213" s="76" t="s">
        <v>8515</v>
      </c>
      <c r="H2213" s="77" t="s">
        <v>8547</v>
      </c>
      <c r="I2213" s="76" t="s">
        <v>53</v>
      </c>
      <c r="J2213" s="77" t="s">
        <v>8516</v>
      </c>
      <c r="K2213" s="77" t="s">
        <v>8520</v>
      </c>
      <c r="L2213" s="76"/>
      <c r="M2213" s="76"/>
      <c r="N2213" s="76"/>
      <c r="O2213" s="76">
        <v>1</v>
      </c>
      <c r="P2213" s="76"/>
      <c r="Q2213" s="76"/>
      <c r="R2213" s="76"/>
      <c r="S2213" s="76"/>
      <c r="BD2213" s="99">
        <f t="shared" si="71"/>
        <v>0</v>
      </c>
      <c r="CC2213" s="99"/>
      <c r="CV2213" s="99"/>
      <c r="CW2213" s="63"/>
    </row>
    <row r="2214" spans="1:101" ht="56.25" x14ac:dyDescent="0.15">
      <c r="A2214" s="76">
        <v>2083</v>
      </c>
      <c r="B2214" s="74" t="s">
        <v>2205</v>
      </c>
      <c r="C2214" s="74">
        <v>1066800286</v>
      </c>
      <c r="D2214" s="78" t="str">
        <f t="shared" si="72"/>
        <v>https://portal.dnb.de/opac.htm?method=simpleSearch&amp;cqlMode=true&amp;query=idn%3D1066800286</v>
      </c>
      <c r="E2214" s="74" t="s">
        <v>2206</v>
      </c>
      <c r="F2214" s="74"/>
      <c r="G2214" s="76" t="s">
        <v>8515</v>
      </c>
      <c r="H2214" s="77" t="s">
        <v>8547</v>
      </c>
      <c r="I2214" s="76" t="s">
        <v>53</v>
      </c>
      <c r="J2214" s="77" t="s">
        <v>8516</v>
      </c>
      <c r="K2214" s="77" t="s">
        <v>8601</v>
      </c>
      <c r="L2214" s="76"/>
      <c r="M2214" s="76"/>
      <c r="N2214" s="76"/>
      <c r="O2214" s="76">
        <v>1</v>
      </c>
      <c r="P2214" s="76"/>
      <c r="Q2214" s="76"/>
      <c r="R2214" s="76"/>
      <c r="S2214" s="76"/>
      <c r="Y2214" s="95" t="s">
        <v>9763</v>
      </c>
      <c r="AA2214" s="95" t="s">
        <v>8541</v>
      </c>
      <c r="AB2214" s="95" t="s">
        <v>8541</v>
      </c>
      <c r="AC2214" s="95" t="s">
        <v>9737</v>
      </c>
      <c r="AI2214" s="95" t="s">
        <v>9725</v>
      </c>
      <c r="AW2214" s="95">
        <v>0</v>
      </c>
      <c r="BC2214" s="96" t="s">
        <v>10503</v>
      </c>
      <c r="BD2214" s="99">
        <f t="shared" si="71"/>
        <v>5</v>
      </c>
      <c r="BP2214" s="69" t="s">
        <v>8541</v>
      </c>
      <c r="BQ2214" s="95" t="s">
        <v>8541</v>
      </c>
      <c r="BR2214" s="95" t="s">
        <v>8541</v>
      </c>
      <c r="CC2214" s="99">
        <v>5</v>
      </c>
      <c r="CD2214" s="90" t="s">
        <v>10129</v>
      </c>
      <c r="CV2214" s="99"/>
      <c r="CW2214" s="63"/>
    </row>
    <row r="2215" spans="1:101" x14ac:dyDescent="0.15">
      <c r="A2215" s="76">
        <v>2084</v>
      </c>
      <c r="B2215" s="74" t="s">
        <v>2207</v>
      </c>
      <c r="C2215" s="74">
        <v>994538545</v>
      </c>
      <c r="D2215" s="78" t="str">
        <f t="shared" si="72"/>
        <v>https://portal.dnb.de/opac.htm?method=simpleSearch&amp;cqlMode=true&amp;query=idn%3D994538545</v>
      </c>
      <c r="E2215" s="74" t="s">
        <v>2208</v>
      </c>
      <c r="F2215" s="74"/>
      <c r="G2215" s="76"/>
      <c r="H2215" s="77" t="s">
        <v>48</v>
      </c>
      <c r="I2215" s="76" t="s">
        <v>53</v>
      </c>
      <c r="J2215" s="77" t="s">
        <v>8516</v>
      </c>
      <c r="K2215" s="77" t="s">
        <v>84</v>
      </c>
      <c r="L2215" s="76"/>
      <c r="M2215" s="76"/>
      <c r="N2215" s="76"/>
      <c r="O2215" s="76">
        <v>0</v>
      </c>
      <c r="P2215" s="76"/>
      <c r="Q2215" s="76"/>
      <c r="R2215" s="76"/>
      <c r="S2215" s="76"/>
      <c r="BD2215" s="99">
        <f t="shared" si="71"/>
        <v>0</v>
      </c>
      <c r="CC2215" s="99"/>
      <c r="CV2215" s="99"/>
      <c r="CW2215" s="63"/>
    </row>
    <row r="2216" spans="1:101" ht="22.5" x14ac:dyDescent="0.15">
      <c r="A2216" s="76">
        <v>2085</v>
      </c>
      <c r="B2216" s="74" t="s">
        <v>2209</v>
      </c>
      <c r="C2216" s="74">
        <v>997971533</v>
      </c>
      <c r="D2216" s="78" t="str">
        <f t="shared" si="72"/>
        <v>https://portal.dnb.de/opac.htm?method=simpleSearch&amp;cqlMode=true&amp;query=idn%3D997971533</v>
      </c>
      <c r="E2216" s="74" t="s">
        <v>2210</v>
      </c>
      <c r="F2216" s="74"/>
      <c r="G2216" s="76"/>
      <c r="H2216" s="77" t="s">
        <v>18</v>
      </c>
      <c r="I2216" s="76" t="s">
        <v>53</v>
      </c>
      <c r="J2216" s="77" t="s">
        <v>58</v>
      </c>
      <c r="K2216" s="77"/>
      <c r="L2216" s="76"/>
      <c r="M2216" s="76" t="s">
        <v>38</v>
      </c>
      <c r="N2216" s="76" t="s">
        <v>40</v>
      </c>
      <c r="O2216" s="76">
        <v>0</v>
      </c>
      <c r="P2216" s="76"/>
      <c r="Q2216" s="76"/>
      <c r="R2216" s="76"/>
      <c r="S2216" s="76"/>
      <c r="BD2216" s="99">
        <f t="shared" si="71"/>
        <v>0</v>
      </c>
      <c r="CC2216" s="99"/>
      <c r="CV2216" s="99"/>
      <c r="CW2216" s="63"/>
    </row>
    <row r="2217" spans="1:101" ht="22.5" x14ac:dyDescent="0.15">
      <c r="A2217" s="76">
        <v>2086</v>
      </c>
      <c r="B2217" s="74" t="s">
        <v>2211</v>
      </c>
      <c r="C2217" s="74">
        <v>997304251</v>
      </c>
      <c r="D2217" s="78" t="str">
        <f t="shared" si="72"/>
        <v>https://portal.dnb.de/opac.htm?method=simpleSearch&amp;cqlMode=true&amp;query=idn%3D997304251</v>
      </c>
      <c r="E2217" s="74" t="s">
        <v>2212</v>
      </c>
      <c r="F2217" s="74"/>
      <c r="G2217" s="76"/>
      <c r="H2217" s="77" t="s">
        <v>18</v>
      </c>
      <c r="I2217" s="76" t="s">
        <v>53</v>
      </c>
      <c r="J2217" s="77" t="s">
        <v>58</v>
      </c>
      <c r="K2217" s="77" t="s">
        <v>8554</v>
      </c>
      <c r="L2217" s="76"/>
      <c r="M2217" s="76" t="s">
        <v>38</v>
      </c>
      <c r="N2217" s="76" t="s">
        <v>40</v>
      </c>
      <c r="O2217" s="76">
        <v>0</v>
      </c>
      <c r="P2217" s="76"/>
      <c r="Q2217" s="76"/>
      <c r="R2217" s="76"/>
      <c r="S2217" s="76"/>
      <c r="BD2217" s="99">
        <f t="shared" si="71"/>
        <v>0</v>
      </c>
      <c r="CC2217" s="99"/>
      <c r="CV2217" s="99"/>
      <c r="CW2217" s="63"/>
    </row>
    <row r="2218" spans="1:101" x14ac:dyDescent="0.15">
      <c r="A2218" s="76">
        <v>2087</v>
      </c>
      <c r="B2218" s="74" t="s">
        <v>2179</v>
      </c>
      <c r="C2218" s="74">
        <v>997044292</v>
      </c>
      <c r="D2218" s="78" t="str">
        <f t="shared" si="72"/>
        <v>https://portal.dnb.de/opac.htm?method=simpleSearch&amp;cqlMode=true&amp;query=idn%3D997044292</v>
      </c>
      <c r="E2218" s="74" t="s">
        <v>2180</v>
      </c>
      <c r="F2218" s="74"/>
      <c r="G2218" s="76" t="s">
        <v>8515</v>
      </c>
      <c r="H2218" s="77" t="s">
        <v>4</v>
      </c>
      <c r="I2218" s="76" t="s">
        <v>53</v>
      </c>
      <c r="J2218" s="77" t="s">
        <v>8516</v>
      </c>
      <c r="K2218" s="77" t="s">
        <v>8520</v>
      </c>
      <c r="L2218" s="76"/>
      <c r="M2218" s="76" t="s">
        <v>36</v>
      </c>
      <c r="N2218" s="76" t="s">
        <v>39</v>
      </c>
      <c r="O2218" s="76">
        <v>0</v>
      </c>
      <c r="P2218" s="76"/>
      <c r="Q2218" s="76"/>
      <c r="R2218" s="76"/>
      <c r="S2218" s="76"/>
      <c r="BD2218" s="99">
        <f t="shared" si="71"/>
        <v>0</v>
      </c>
      <c r="CC2218" s="99"/>
      <c r="CV2218" s="99"/>
      <c r="CW2218" s="63"/>
    </row>
    <row r="2219" spans="1:101" x14ac:dyDescent="0.15">
      <c r="A2219" s="76">
        <v>2088</v>
      </c>
      <c r="B2219" s="74" t="s">
        <v>2181</v>
      </c>
      <c r="C2219" s="74">
        <v>995809984</v>
      </c>
      <c r="D2219" s="78" t="str">
        <f t="shared" si="72"/>
        <v>https://portal.dnb.de/opac.htm?method=simpleSearch&amp;cqlMode=true&amp;query=idn%3D995809984</v>
      </c>
      <c r="E2219" s="74" t="s">
        <v>2182</v>
      </c>
      <c r="F2219" s="74"/>
      <c r="G2219" s="76"/>
      <c r="H2219" s="77" t="s">
        <v>5</v>
      </c>
      <c r="I2219" s="76" t="s">
        <v>53</v>
      </c>
      <c r="J2219" s="77" t="s">
        <v>58</v>
      </c>
      <c r="K2219" s="77" t="s">
        <v>8520</v>
      </c>
      <c r="L2219" s="76"/>
      <c r="M2219" s="76" t="s">
        <v>38</v>
      </c>
      <c r="N2219" s="76" t="s">
        <v>40</v>
      </c>
      <c r="O2219" s="76">
        <v>0</v>
      </c>
      <c r="P2219" s="76"/>
      <c r="Q2219" s="76"/>
      <c r="R2219" s="76"/>
      <c r="S2219" s="76"/>
      <c r="BD2219" s="99">
        <f t="shared" si="71"/>
        <v>0</v>
      </c>
      <c r="CC2219" s="99"/>
      <c r="CV2219" s="99"/>
      <c r="CW2219" s="63"/>
    </row>
    <row r="2220" spans="1:101" x14ac:dyDescent="0.15">
      <c r="A2220" s="76">
        <v>2089</v>
      </c>
      <c r="B2220" s="74" t="s">
        <v>2183</v>
      </c>
      <c r="C2220" s="74">
        <v>999475452</v>
      </c>
      <c r="D2220" s="78" t="str">
        <f t="shared" si="72"/>
        <v>https://portal.dnb.de/opac.htm?method=simpleSearch&amp;cqlMode=true&amp;query=idn%3D999475452</v>
      </c>
      <c r="E2220" s="74" t="s">
        <v>2184</v>
      </c>
      <c r="F2220" s="74"/>
      <c r="G2220" s="76" t="s">
        <v>8515</v>
      </c>
      <c r="H2220" s="77" t="s">
        <v>49</v>
      </c>
      <c r="I2220" s="76" t="s">
        <v>53</v>
      </c>
      <c r="J2220" s="77" t="s">
        <v>58</v>
      </c>
      <c r="K2220" s="77" t="s">
        <v>84</v>
      </c>
      <c r="L2220" s="76"/>
      <c r="M2220" s="76"/>
      <c r="N2220" s="76"/>
      <c r="O2220" s="76">
        <v>0</v>
      </c>
      <c r="P2220" s="76"/>
      <c r="Q2220" s="76"/>
      <c r="R2220" s="76"/>
      <c r="S2220" s="76"/>
      <c r="BD2220" s="99">
        <f t="shared" si="71"/>
        <v>0</v>
      </c>
      <c r="CC2220" s="99"/>
      <c r="CV2220" s="99"/>
      <c r="CW2220" s="63"/>
    </row>
    <row r="2221" spans="1:101" x14ac:dyDescent="0.15">
      <c r="A2221" s="76">
        <v>2090</v>
      </c>
      <c r="B2221" s="74" t="s">
        <v>2185</v>
      </c>
      <c r="C2221" s="74" t="s">
        <v>2186</v>
      </c>
      <c r="D2221" s="78" t="str">
        <f t="shared" si="72"/>
        <v>https://portal.dnb.de/opac.htm?method=simpleSearch&amp;cqlMode=true&amp;query=idn%3D100035041X</v>
      </c>
      <c r="E2221" s="74" t="s">
        <v>2187</v>
      </c>
      <c r="F2221" s="74"/>
      <c r="G2221" s="76"/>
      <c r="H2221" s="77"/>
      <c r="I2221" s="76" t="s">
        <v>56</v>
      </c>
      <c r="J2221" s="77"/>
      <c r="K2221" s="77"/>
      <c r="L2221" s="76"/>
      <c r="M2221" s="76"/>
      <c r="N2221" s="76"/>
      <c r="O2221" s="76"/>
      <c r="P2221" s="76"/>
      <c r="Q2221" s="76"/>
      <c r="R2221" s="76"/>
      <c r="S2221" s="76"/>
      <c r="U2221" s="95" t="s">
        <v>9801</v>
      </c>
      <c r="Y2221" s="95" t="s">
        <v>9729</v>
      </c>
      <c r="AB2221" s="95" t="s">
        <v>8541</v>
      </c>
      <c r="AC2221" s="95" t="s">
        <v>9739</v>
      </c>
      <c r="AI2221" s="95" t="s">
        <v>9725</v>
      </c>
      <c r="AR2221" s="95" t="s">
        <v>8541</v>
      </c>
      <c r="AS2221" s="95" t="s">
        <v>9788</v>
      </c>
      <c r="AT2221" s="95" t="s">
        <v>8541</v>
      </c>
      <c r="AW2221" s="95">
        <v>110</v>
      </c>
      <c r="BC2221" s="96" t="s">
        <v>9734</v>
      </c>
      <c r="BD2221" s="99">
        <f t="shared" si="71"/>
        <v>0</v>
      </c>
      <c r="BF2221" s="95" t="s">
        <v>10005</v>
      </c>
      <c r="CC2221" s="99"/>
      <c r="CV2221" s="99"/>
      <c r="CW2221" s="63"/>
    </row>
    <row r="2222" spans="1:101" x14ac:dyDescent="0.15">
      <c r="A2222" s="76">
        <v>2091</v>
      </c>
      <c r="B2222" s="74" t="s">
        <v>2188</v>
      </c>
      <c r="C2222" s="74" t="s">
        <v>2189</v>
      </c>
      <c r="D2222" s="78" t="str">
        <f t="shared" si="72"/>
        <v>https://portal.dnb.de/opac.htm?method=simpleSearch&amp;cqlMode=true&amp;query=idn%3D100012245X</v>
      </c>
      <c r="E2222" s="74" t="s">
        <v>2190</v>
      </c>
      <c r="F2222" s="74"/>
      <c r="G2222" s="76"/>
      <c r="H2222" s="77" t="s">
        <v>4</v>
      </c>
      <c r="I2222" s="76" t="s">
        <v>53</v>
      </c>
      <c r="J2222" s="77" t="s">
        <v>8516</v>
      </c>
      <c r="K2222" s="77" t="s">
        <v>8520</v>
      </c>
      <c r="L2222" s="76"/>
      <c r="M2222" s="76" t="s">
        <v>36</v>
      </c>
      <c r="N2222" s="76" t="s">
        <v>39</v>
      </c>
      <c r="O2222" s="76">
        <v>0</v>
      </c>
      <c r="P2222" s="76"/>
      <c r="Q2222" s="76" t="s">
        <v>9040</v>
      </c>
      <c r="R2222" s="76"/>
      <c r="S2222" s="76"/>
      <c r="BD2222" s="99">
        <f t="shared" si="71"/>
        <v>0</v>
      </c>
      <c r="CC2222" s="99"/>
      <c r="CV2222" s="99"/>
      <c r="CW2222" s="63"/>
    </row>
    <row r="2223" spans="1:101" x14ac:dyDescent="0.15">
      <c r="A2223" s="76">
        <v>2092</v>
      </c>
      <c r="B2223" s="74" t="s">
        <v>2191</v>
      </c>
      <c r="C2223" s="74">
        <v>1000122492</v>
      </c>
      <c r="D2223" s="78" t="str">
        <f t="shared" si="72"/>
        <v>https://portal.dnb.de/opac.htm?method=simpleSearch&amp;cqlMode=true&amp;query=idn%3D1000122492</v>
      </c>
      <c r="E2223" s="74" t="s">
        <v>2190</v>
      </c>
      <c r="F2223" s="74"/>
      <c r="G2223" s="76"/>
      <c r="H2223" s="77"/>
      <c r="I2223" s="76"/>
      <c r="J2223" s="77"/>
      <c r="K2223" s="77"/>
      <c r="L2223" s="76"/>
      <c r="M2223" s="76"/>
      <c r="N2223" s="76"/>
      <c r="O2223" s="76"/>
      <c r="P2223" s="76"/>
      <c r="Q2223" s="76"/>
      <c r="R2223" s="76"/>
      <c r="S2223" s="76"/>
      <c r="BD2223" s="99">
        <f t="shared" si="71"/>
        <v>0</v>
      </c>
      <c r="CC2223" s="99"/>
      <c r="CV2223" s="99"/>
      <c r="CW2223" s="63"/>
    </row>
    <row r="2224" spans="1:101" x14ac:dyDescent="0.15">
      <c r="A2224" s="76">
        <v>2093</v>
      </c>
      <c r="B2224" s="74" t="s">
        <v>2192</v>
      </c>
      <c r="C2224" s="74">
        <v>1000122530</v>
      </c>
      <c r="D2224" s="78" t="str">
        <f t="shared" si="72"/>
        <v>https://portal.dnb.de/opac.htm?method=simpleSearch&amp;cqlMode=true&amp;query=idn%3D1000122530</v>
      </c>
      <c r="E2224" s="74" t="s">
        <v>2190</v>
      </c>
      <c r="F2224" s="74"/>
      <c r="G2224" s="76"/>
      <c r="H2224" s="77"/>
      <c r="I2224" s="76"/>
      <c r="J2224" s="77"/>
      <c r="K2224" s="77"/>
      <c r="L2224" s="76"/>
      <c r="M2224" s="76"/>
      <c r="N2224" s="76"/>
      <c r="O2224" s="76"/>
      <c r="P2224" s="76"/>
      <c r="Q2224" s="76"/>
      <c r="R2224" s="76"/>
      <c r="S2224" s="76"/>
      <c r="BD2224" s="99">
        <f t="shared" si="71"/>
        <v>0</v>
      </c>
      <c r="CC2224" s="99"/>
      <c r="CV2224" s="99"/>
      <c r="CW2224" s="63"/>
    </row>
    <row r="2225" spans="1:101" x14ac:dyDescent="0.15">
      <c r="A2225" s="76">
        <v>2094</v>
      </c>
      <c r="B2225" s="74" t="s">
        <v>2193</v>
      </c>
      <c r="C2225" s="74">
        <v>1070103411</v>
      </c>
      <c r="D2225" s="78" t="str">
        <f t="shared" si="72"/>
        <v>https://portal.dnb.de/opac.htm?method=simpleSearch&amp;cqlMode=true&amp;query=idn%3D1070103411</v>
      </c>
      <c r="E2225" s="74" t="s">
        <v>2194</v>
      </c>
      <c r="F2225" s="74"/>
      <c r="G2225" s="76"/>
      <c r="H2225" s="77" t="s">
        <v>4</v>
      </c>
      <c r="I2225" s="76" t="s">
        <v>53</v>
      </c>
      <c r="J2225" s="77" t="s">
        <v>58</v>
      </c>
      <c r="K2225" s="77" t="s">
        <v>8520</v>
      </c>
      <c r="L2225" s="76"/>
      <c r="M2225" s="76" t="s">
        <v>36</v>
      </c>
      <c r="N2225" s="76" t="s">
        <v>40</v>
      </c>
      <c r="O2225" s="76">
        <v>0</v>
      </c>
      <c r="P2225" s="76"/>
      <c r="Q2225" s="76"/>
      <c r="R2225" s="76"/>
      <c r="S2225" s="76"/>
      <c r="BD2225" s="99">
        <f t="shared" si="71"/>
        <v>0</v>
      </c>
      <c r="CC2225" s="99"/>
      <c r="CV2225" s="99"/>
      <c r="CW2225" s="63"/>
    </row>
    <row r="2226" spans="1:101" x14ac:dyDescent="0.15">
      <c r="A2226" s="76">
        <v>2095</v>
      </c>
      <c r="B2226" s="74" t="s">
        <v>2213</v>
      </c>
      <c r="C2226" s="74">
        <v>1066781044</v>
      </c>
      <c r="D2226" s="78" t="str">
        <f t="shared" si="72"/>
        <v>https://portal.dnb.de/opac.htm?method=simpleSearch&amp;cqlMode=true&amp;query=idn%3D1066781044</v>
      </c>
      <c r="E2226" s="74" t="s">
        <v>2214</v>
      </c>
      <c r="F2226" s="74"/>
      <c r="G2226" s="76" t="s">
        <v>8515</v>
      </c>
      <c r="H2226" s="77" t="s">
        <v>49</v>
      </c>
      <c r="I2226" s="76" t="s">
        <v>53</v>
      </c>
      <c r="J2226" s="77" t="s">
        <v>58</v>
      </c>
      <c r="K2226" s="77" t="s">
        <v>84</v>
      </c>
      <c r="L2226" s="76"/>
      <c r="M2226" s="76"/>
      <c r="N2226" s="76"/>
      <c r="O2226" s="76"/>
      <c r="P2226" s="76"/>
      <c r="Q2226" s="76"/>
      <c r="R2226" s="76"/>
      <c r="S2226" s="76"/>
      <c r="BD2226" s="99">
        <f t="shared" si="71"/>
        <v>0</v>
      </c>
      <c r="CC2226" s="99"/>
      <c r="CV2226" s="99"/>
      <c r="CW2226" s="63"/>
    </row>
    <row r="2227" spans="1:101" ht="33.75" x14ac:dyDescent="0.15">
      <c r="A2227" s="76">
        <v>2096</v>
      </c>
      <c r="B2227" s="74" t="s">
        <v>2215</v>
      </c>
      <c r="C2227" s="74">
        <v>1066871213</v>
      </c>
      <c r="D2227" s="78" t="str">
        <f t="shared" si="72"/>
        <v>https://portal.dnb.de/opac.htm?method=simpleSearch&amp;cqlMode=true&amp;query=idn%3D1066871213</v>
      </c>
      <c r="E2227" s="74" t="s">
        <v>2216</v>
      </c>
      <c r="F2227" s="74"/>
      <c r="G2227" s="76"/>
      <c r="H2227" s="77" t="s">
        <v>8694</v>
      </c>
      <c r="I2227" s="76" t="s">
        <v>53</v>
      </c>
      <c r="J2227" s="77" t="s">
        <v>8516</v>
      </c>
      <c r="K2227" s="77" t="s">
        <v>84</v>
      </c>
      <c r="L2227" s="76"/>
      <c r="M2227" s="76" t="s">
        <v>37</v>
      </c>
      <c r="N2227" s="76" t="s">
        <v>40</v>
      </c>
      <c r="O2227" s="76">
        <v>0</v>
      </c>
      <c r="P2227" s="76"/>
      <c r="Q2227" s="76"/>
      <c r="R2227" s="76"/>
      <c r="S2227" s="76"/>
      <c r="BD2227" s="99">
        <f t="shared" si="71"/>
        <v>0</v>
      </c>
      <c r="CC2227" s="99"/>
      <c r="CV2227" s="99"/>
      <c r="CW2227" s="63"/>
    </row>
    <row r="2228" spans="1:101" ht="22.5" x14ac:dyDescent="0.15">
      <c r="A2228" s="76">
        <v>2097</v>
      </c>
      <c r="B2228" s="74" t="s">
        <v>2217</v>
      </c>
      <c r="C2228" s="74" t="s">
        <v>2218</v>
      </c>
      <c r="D2228" s="78" t="str">
        <f t="shared" si="72"/>
        <v>https://portal.dnb.de/opac.htm?method=simpleSearch&amp;cqlMode=true&amp;query=idn%3D100216205X</v>
      </c>
      <c r="E2228" s="74" t="s">
        <v>2219</v>
      </c>
      <c r="F2228" s="74"/>
      <c r="G2228" s="76"/>
      <c r="H2228" s="77" t="s">
        <v>18</v>
      </c>
      <c r="I2228" s="76" t="s">
        <v>53</v>
      </c>
      <c r="J2228" s="77" t="s">
        <v>58</v>
      </c>
      <c r="K2228" s="77" t="s">
        <v>84</v>
      </c>
      <c r="L2228" s="76"/>
      <c r="M2228" s="76"/>
      <c r="N2228" s="76"/>
      <c r="O2228" s="76">
        <v>0</v>
      </c>
      <c r="P2228" s="76"/>
      <c r="Q2228" s="76"/>
      <c r="R2228" s="76"/>
      <c r="S2228" s="76"/>
      <c r="BD2228" s="99">
        <f t="shared" si="71"/>
        <v>0</v>
      </c>
      <c r="CC2228" s="99"/>
      <c r="CV2228" s="99"/>
      <c r="CW2228" s="63"/>
    </row>
    <row r="2229" spans="1:101" ht="22.5" x14ac:dyDescent="0.15">
      <c r="A2229" s="76">
        <v>2098</v>
      </c>
      <c r="B2229" s="74" t="s">
        <v>2220</v>
      </c>
      <c r="C2229" s="74">
        <v>1066770603</v>
      </c>
      <c r="D2229" s="78" t="str">
        <f t="shared" si="72"/>
        <v>https://portal.dnb.de/opac.htm?method=simpleSearch&amp;cqlMode=true&amp;query=idn%3D1066770603</v>
      </c>
      <c r="E2229" s="74" t="s">
        <v>2221</v>
      </c>
      <c r="F2229" s="74"/>
      <c r="G2229" s="76" t="s">
        <v>8515</v>
      </c>
      <c r="H2229" s="77" t="s">
        <v>8547</v>
      </c>
      <c r="I2229" s="76" t="s">
        <v>53</v>
      </c>
      <c r="J2229" s="77" t="s">
        <v>89</v>
      </c>
      <c r="K2229" s="77" t="s">
        <v>72</v>
      </c>
      <c r="L2229" s="76"/>
      <c r="M2229" s="76" t="s">
        <v>38</v>
      </c>
      <c r="N2229" s="76" t="s">
        <v>40</v>
      </c>
      <c r="O2229" s="76">
        <v>0</v>
      </c>
      <c r="P2229" s="76"/>
      <c r="Q2229" s="76"/>
      <c r="R2229" s="76"/>
      <c r="S2229" s="76"/>
      <c r="BD2229" s="99">
        <f t="shared" si="71"/>
        <v>0</v>
      </c>
      <c r="CC2229" s="99"/>
      <c r="CV2229" s="99"/>
      <c r="CW2229" s="63"/>
    </row>
    <row r="2230" spans="1:101" x14ac:dyDescent="0.15">
      <c r="A2230" s="76">
        <v>2099</v>
      </c>
      <c r="B2230" s="74" t="s">
        <v>2225</v>
      </c>
      <c r="C2230" s="74">
        <v>1066779740</v>
      </c>
      <c r="D2230" s="78" t="str">
        <f t="shared" si="72"/>
        <v>https://portal.dnb.de/opac.htm?method=simpleSearch&amp;cqlMode=true&amp;query=idn%3D1066779740</v>
      </c>
      <c r="E2230" s="74" t="s">
        <v>2226</v>
      </c>
      <c r="F2230" s="74"/>
      <c r="G2230" s="76" t="s">
        <v>8515</v>
      </c>
      <c r="H2230" s="77" t="s">
        <v>5</v>
      </c>
      <c r="I2230" s="76" t="s">
        <v>54</v>
      </c>
      <c r="J2230" s="77" t="s">
        <v>8516</v>
      </c>
      <c r="K2230" s="77" t="s">
        <v>8520</v>
      </c>
      <c r="L2230" s="76"/>
      <c r="M2230" s="76"/>
      <c r="N2230" s="76"/>
      <c r="O2230" s="76">
        <v>1</v>
      </c>
      <c r="P2230" s="76"/>
      <c r="Q2230" s="76"/>
      <c r="R2230" s="76"/>
      <c r="S2230" s="76"/>
      <c r="BD2230" s="99">
        <f t="shared" si="71"/>
        <v>0</v>
      </c>
      <c r="CC2230" s="99"/>
      <c r="CV2230" s="99"/>
      <c r="CW2230" s="63"/>
    </row>
    <row r="2231" spans="1:101" x14ac:dyDescent="0.15">
      <c r="A2231" s="76">
        <v>2100</v>
      </c>
      <c r="B2231" s="74" t="s">
        <v>2227</v>
      </c>
      <c r="C2231" s="74">
        <v>1208353055</v>
      </c>
      <c r="D2231" s="78" t="str">
        <f t="shared" si="72"/>
        <v>https://portal.dnb.de/opac.htm?method=simpleSearch&amp;cqlMode=true&amp;query=idn%3D1208353055</v>
      </c>
      <c r="E2231" s="74" t="s">
        <v>2228</v>
      </c>
      <c r="F2231" s="74"/>
      <c r="G2231" s="76"/>
      <c r="H2231" s="77"/>
      <c r="I2231" s="76"/>
      <c r="J2231" s="77"/>
      <c r="K2231" s="77"/>
      <c r="L2231" s="76"/>
      <c r="M2231" s="76"/>
      <c r="N2231" s="76"/>
      <c r="O2231" s="76"/>
      <c r="P2231" s="76"/>
      <c r="Q2231" s="76"/>
      <c r="R2231" s="76"/>
      <c r="S2231" s="76"/>
      <c r="BD2231" s="99">
        <f t="shared" si="71"/>
        <v>0</v>
      </c>
      <c r="CC2231" s="99"/>
      <c r="CV2231" s="99"/>
      <c r="CW2231" s="63"/>
    </row>
    <row r="2232" spans="1:101" x14ac:dyDescent="0.15">
      <c r="A2232" s="76">
        <v>2101</v>
      </c>
      <c r="B2232" s="74" t="s">
        <v>2229</v>
      </c>
      <c r="C2232" s="74">
        <v>1066932638</v>
      </c>
      <c r="D2232" s="78" t="str">
        <f t="shared" si="72"/>
        <v>https://portal.dnb.de/opac.htm?method=simpleSearch&amp;cqlMode=true&amp;query=idn%3D1066932638</v>
      </c>
      <c r="E2232" s="74" t="s">
        <v>2230</v>
      </c>
      <c r="F2232" s="74"/>
      <c r="G2232" s="76"/>
      <c r="H2232" s="77"/>
      <c r="I2232" s="76"/>
      <c r="J2232" s="77"/>
      <c r="K2232" s="77"/>
      <c r="L2232" s="76"/>
      <c r="M2232" s="76"/>
      <c r="N2232" s="76"/>
      <c r="O2232" s="76"/>
      <c r="P2232" s="76"/>
      <c r="Q2232" s="76"/>
      <c r="R2232" s="76"/>
      <c r="S2232" s="76"/>
      <c r="BD2232" s="99">
        <f t="shared" si="71"/>
        <v>0</v>
      </c>
      <c r="CC2232" s="99"/>
      <c r="CV2232" s="99"/>
      <c r="CW2232" s="63"/>
    </row>
    <row r="2233" spans="1:101" x14ac:dyDescent="0.15">
      <c r="A2233" s="76">
        <v>2102</v>
      </c>
      <c r="B2233" s="74" t="s">
        <v>2231</v>
      </c>
      <c r="C2233" s="74">
        <v>1066792658</v>
      </c>
      <c r="D2233" s="78" t="str">
        <f t="shared" si="72"/>
        <v>https://portal.dnb.de/opac.htm?method=simpleSearch&amp;cqlMode=true&amp;query=idn%3D1066792658</v>
      </c>
      <c r="E2233" s="74" t="s">
        <v>2232</v>
      </c>
      <c r="F2233" s="74"/>
      <c r="G2233" s="76"/>
      <c r="H2233" s="77"/>
      <c r="I2233" s="76"/>
      <c r="J2233" s="77"/>
      <c r="K2233" s="77"/>
      <c r="L2233" s="76"/>
      <c r="M2233" s="76"/>
      <c r="N2233" s="76"/>
      <c r="O2233" s="76"/>
      <c r="P2233" s="76"/>
      <c r="Q2233" s="76"/>
      <c r="R2233" s="76"/>
      <c r="S2233" s="76"/>
      <c r="BD2233" s="99">
        <f t="shared" si="71"/>
        <v>0</v>
      </c>
      <c r="CC2233" s="99"/>
      <c r="CV2233" s="99"/>
      <c r="CW2233" s="63"/>
    </row>
    <row r="2234" spans="1:101" x14ac:dyDescent="0.15">
      <c r="A2234" s="76">
        <v>2103</v>
      </c>
      <c r="B2234" s="74" t="s">
        <v>2233</v>
      </c>
      <c r="C2234" s="74">
        <v>1066942269</v>
      </c>
      <c r="D2234" s="78" t="str">
        <f t="shared" si="72"/>
        <v>https://portal.dnb.de/opac.htm?method=simpleSearch&amp;cqlMode=true&amp;query=idn%3D1066942269</v>
      </c>
      <c r="E2234" s="74" t="s">
        <v>2234</v>
      </c>
      <c r="F2234" s="74"/>
      <c r="G2234" s="76"/>
      <c r="H2234" s="77"/>
      <c r="I2234" s="76"/>
      <c r="J2234" s="77"/>
      <c r="K2234" s="77"/>
      <c r="L2234" s="76"/>
      <c r="M2234" s="76"/>
      <c r="N2234" s="76"/>
      <c r="O2234" s="76"/>
      <c r="P2234" s="76"/>
      <c r="Q2234" s="76"/>
      <c r="R2234" s="76"/>
      <c r="S2234" s="76"/>
      <c r="BD2234" s="99">
        <f t="shared" si="71"/>
        <v>0</v>
      </c>
      <c r="CC2234" s="99"/>
      <c r="CV2234" s="99"/>
      <c r="CW2234" s="63"/>
    </row>
    <row r="2235" spans="1:101" x14ac:dyDescent="0.15">
      <c r="A2235" s="76">
        <v>2104</v>
      </c>
      <c r="B2235" s="74" t="s">
        <v>2235</v>
      </c>
      <c r="C2235" s="74">
        <v>1066769753</v>
      </c>
      <c r="D2235" s="78" t="str">
        <f t="shared" si="72"/>
        <v>https://portal.dnb.de/opac.htm?method=simpleSearch&amp;cqlMode=true&amp;query=idn%3D1066769753</v>
      </c>
      <c r="E2235" s="74" t="s">
        <v>2236</v>
      </c>
      <c r="F2235" s="74"/>
      <c r="G2235" s="76"/>
      <c r="H2235" s="77"/>
      <c r="I2235" s="76"/>
      <c r="J2235" s="77"/>
      <c r="K2235" s="77"/>
      <c r="L2235" s="76"/>
      <c r="M2235" s="76"/>
      <c r="N2235" s="76"/>
      <c r="O2235" s="76"/>
      <c r="P2235" s="76"/>
      <c r="Q2235" s="76"/>
      <c r="R2235" s="76"/>
      <c r="S2235" s="76"/>
      <c r="BD2235" s="99">
        <f t="shared" si="71"/>
        <v>0</v>
      </c>
      <c r="CC2235" s="99"/>
      <c r="CV2235" s="99"/>
      <c r="CW2235" s="63"/>
    </row>
    <row r="2236" spans="1:101" x14ac:dyDescent="0.15">
      <c r="A2236" s="76">
        <v>2105</v>
      </c>
      <c r="B2236" s="74" t="s">
        <v>2237</v>
      </c>
      <c r="C2236" s="74" t="s">
        <v>2238</v>
      </c>
      <c r="D2236" s="78" t="str">
        <f t="shared" si="72"/>
        <v>https://portal.dnb.de/opac.htm?method=simpleSearch&amp;cqlMode=true&amp;query=idn%3D106693830X</v>
      </c>
      <c r="E2236" s="74" t="s">
        <v>2239</v>
      </c>
      <c r="F2236" s="74"/>
      <c r="G2236" s="76"/>
      <c r="H2236" s="77"/>
      <c r="I2236" s="76"/>
      <c r="J2236" s="77"/>
      <c r="K2236" s="77"/>
      <c r="L2236" s="76"/>
      <c r="M2236" s="76"/>
      <c r="N2236" s="76"/>
      <c r="O2236" s="76"/>
      <c r="P2236" s="76"/>
      <c r="Q2236" s="76"/>
      <c r="R2236" s="76"/>
      <c r="S2236" s="76"/>
      <c r="BD2236" s="99">
        <f t="shared" si="71"/>
        <v>0</v>
      </c>
      <c r="CC2236" s="99"/>
      <c r="CV2236" s="99"/>
      <c r="CW2236" s="63"/>
    </row>
    <row r="2237" spans="1:101" x14ac:dyDescent="0.15">
      <c r="A2237" s="76">
        <v>2106</v>
      </c>
      <c r="B2237" s="74" t="s">
        <v>2240</v>
      </c>
      <c r="C2237" s="74">
        <v>1066941882</v>
      </c>
      <c r="D2237" s="78" t="str">
        <f t="shared" si="72"/>
        <v>https://portal.dnb.de/opac.htm?method=simpleSearch&amp;cqlMode=true&amp;query=idn%3D1066941882</v>
      </c>
      <c r="E2237" s="74" t="s">
        <v>2241</v>
      </c>
      <c r="F2237" s="74"/>
      <c r="G2237" s="76"/>
      <c r="H2237" s="77"/>
      <c r="I2237" s="76"/>
      <c r="J2237" s="77"/>
      <c r="K2237" s="77"/>
      <c r="L2237" s="76"/>
      <c r="M2237" s="76"/>
      <c r="N2237" s="76"/>
      <c r="O2237" s="76"/>
      <c r="P2237" s="76"/>
      <c r="Q2237" s="76"/>
      <c r="R2237" s="76"/>
      <c r="S2237" s="76"/>
      <c r="BD2237" s="99">
        <f t="shared" si="71"/>
        <v>0</v>
      </c>
      <c r="CC2237" s="99"/>
      <c r="CV2237" s="99"/>
      <c r="CW2237" s="63"/>
    </row>
    <row r="2238" spans="1:101" ht="22.5" x14ac:dyDescent="0.15">
      <c r="A2238" s="76">
        <v>2107</v>
      </c>
      <c r="B2238" s="74" t="s">
        <v>2242</v>
      </c>
      <c r="C2238" s="74">
        <v>1066870233</v>
      </c>
      <c r="D2238" s="78" t="str">
        <f t="shared" si="72"/>
        <v>https://portal.dnb.de/opac.htm?method=simpleSearch&amp;cqlMode=true&amp;query=idn%3D1066870233</v>
      </c>
      <c r="E2238" s="74" t="s">
        <v>2243</v>
      </c>
      <c r="F2238" s="74"/>
      <c r="G2238" s="76"/>
      <c r="H2238" s="77"/>
      <c r="I2238" s="76" t="s">
        <v>53</v>
      </c>
      <c r="J2238" s="77"/>
      <c r="K2238" s="77"/>
      <c r="L2238" s="76"/>
      <c r="M2238" s="76"/>
      <c r="N2238" s="76"/>
      <c r="O2238" s="76"/>
      <c r="P2238" s="76"/>
      <c r="Q2238" s="76"/>
      <c r="R2238" s="76"/>
      <c r="S2238" s="76"/>
      <c r="Y2238" s="95" t="s">
        <v>9736</v>
      </c>
      <c r="AB2238" s="95" t="s">
        <v>8541</v>
      </c>
      <c r="AC2238" s="95" t="s">
        <v>9739</v>
      </c>
      <c r="AD2238" s="95" t="s">
        <v>8541</v>
      </c>
      <c r="AI2238" s="95" t="s">
        <v>9725</v>
      </c>
      <c r="AU2238" s="95">
        <v>2</v>
      </c>
      <c r="AV2238" s="95" t="s">
        <v>8541</v>
      </c>
      <c r="AW2238" s="95">
        <v>60</v>
      </c>
      <c r="BC2238" s="96" t="s">
        <v>9734</v>
      </c>
      <c r="BD2238" s="99">
        <f t="shared" si="71"/>
        <v>0</v>
      </c>
      <c r="BG2238" s="95" t="s">
        <v>8541</v>
      </c>
      <c r="BL2238" s="70" t="s">
        <v>10130</v>
      </c>
      <c r="CC2238" s="99"/>
      <c r="CV2238" s="99"/>
      <c r="CW2238" s="63"/>
    </row>
    <row r="2239" spans="1:101" x14ac:dyDescent="0.15">
      <c r="A2239" s="76">
        <v>2108</v>
      </c>
      <c r="B2239" s="74" t="s">
        <v>2244</v>
      </c>
      <c r="C2239" s="74">
        <v>1066764522</v>
      </c>
      <c r="D2239" s="78" t="str">
        <f t="shared" si="72"/>
        <v>https://portal.dnb.de/opac.htm?method=simpleSearch&amp;cqlMode=true&amp;query=idn%3D1066764522</v>
      </c>
      <c r="E2239" s="74" t="s">
        <v>2245</v>
      </c>
      <c r="F2239" s="74"/>
      <c r="G2239" s="76"/>
      <c r="H2239" s="77"/>
      <c r="I2239" s="76"/>
      <c r="J2239" s="77"/>
      <c r="K2239" s="77"/>
      <c r="L2239" s="76"/>
      <c r="M2239" s="76"/>
      <c r="N2239" s="76"/>
      <c r="O2239" s="76"/>
      <c r="P2239" s="76"/>
      <c r="Q2239" s="76"/>
      <c r="R2239" s="76"/>
      <c r="S2239" s="76"/>
      <c r="BD2239" s="99">
        <f t="shared" si="71"/>
        <v>0</v>
      </c>
      <c r="CC2239" s="99"/>
      <c r="CV2239" s="99"/>
      <c r="CW2239" s="63"/>
    </row>
    <row r="2240" spans="1:101" x14ac:dyDescent="0.15">
      <c r="A2240" s="76">
        <v>2109</v>
      </c>
      <c r="B2240" s="74" t="s">
        <v>2246</v>
      </c>
      <c r="C2240" s="74" t="s">
        <v>2247</v>
      </c>
      <c r="D2240" s="78" t="str">
        <f t="shared" si="72"/>
        <v>https://portal.dnb.de/opac.htm?method=simpleSearch&amp;cqlMode=true&amp;query=idn%3D106679510X</v>
      </c>
      <c r="E2240" s="74" t="s">
        <v>2248</v>
      </c>
      <c r="F2240" s="74"/>
      <c r="G2240" s="76"/>
      <c r="H2240" s="77"/>
      <c r="I2240" s="76"/>
      <c r="J2240" s="77"/>
      <c r="K2240" s="77"/>
      <c r="L2240" s="76"/>
      <c r="M2240" s="76"/>
      <c r="N2240" s="76"/>
      <c r="O2240" s="76"/>
      <c r="P2240" s="76"/>
      <c r="Q2240" s="76"/>
      <c r="R2240" s="76"/>
      <c r="S2240" s="76"/>
      <c r="BD2240" s="99">
        <f t="shared" si="71"/>
        <v>0</v>
      </c>
      <c r="CC2240" s="99"/>
      <c r="CV2240" s="99"/>
      <c r="CW2240" s="63"/>
    </row>
    <row r="2241" spans="1:101" x14ac:dyDescent="0.15">
      <c r="A2241" s="76">
        <v>2110</v>
      </c>
      <c r="B2241" s="74" t="s">
        <v>2249</v>
      </c>
      <c r="C2241" s="74">
        <v>1066673918</v>
      </c>
      <c r="D2241" s="78" t="str">
        <f t="shared" si="72"/>
        <v>https://portal.dnb.de/opac.htm?method=simpleSearch&amp;cqlMode=true&amp;query=idn%3D1066673918</v>
      </c>
      <c r="E2241" s="74" t="s">
        <v>2250</v>
      </c>
      <c r="F2241" s="74"/>
      <c r="G2241" s="76"/>
      <c r="H2241" s="77"/>
      <c r="I2241" s="76"/>
      <c r="J2241" s="77"/>
      <c r="K2241" s="77"/>
      <c r="L2241" s="76"/>
      <c r="M2241" s="76"/>
      <c r="N2241" s="76"/>
      <c r="O2241" s="76"/>
      <c r="P2241" s="76"/>
      <c r="Q2241" s="76"/>
      <c r="R2241" s="76"/>
      <c r="S2241" s="76"/>
      <c r="BD2241" s="99">
        <f t="shared" si="71"/>
        <v>0</v>
      </c>
      <c r="CC2241" s="99"/>
      <c r="CV2241" s="99"/>
      <c r="CW2241" s="63"/>
    </row>
    <row r="2242" spans="1:101" x14ac:dyDescent="0.15">
      <c r="A2242" s="76">
        <v>2111</v>
      </c>
      <c r="B2242" s="74" t="s">
        <v>2251</v>
      </c>
      <c r="C2242" s="74">
        <v>999813811</v>
      </c>
      <c r="D2242" s="78" t="str">
        <f t="shared" si="72"/>
        <v>https://portal.dnb.de/opac.htm?method=simpleSearch&amp;cqlMode=true&amp;query=idn%3D999813811</v>
      </c>
      <c r="E2242" s="74" t="s">
        <v>2252</v>
      </c>
      <c r="F2242" s="74"/>
      <c r="G2242" s="76"/>
      <c r="H2242" s="77"/>
      <c r="I2242" s="76"/>
      <c r="J2242" s="77"/>
      <c r="K2242" s="77"/>
      <c r="L2242" s="76"/>
      <c r="M2242" s="76"/>
      <c r="N2242" s="76"/>
      <c r="O2242" s="76"/>
      <c r="P2242" s="76"/>
      <c r="Q2242" s="76"/>
      <c r="R2242" s="76"/>
      <c r="S2242" s="76"/>
      <c r="BD2242" s="99">
        <f t="shared" si="71"/>
        <v>0</v>
      </c>
      <c r="CC2242" s="99"/>
      <c r="CV2242" s="99"/>
      <c r="CW2242" s="63"/>
    </row>
    <row r="2243" spans="1:101" x14ac:dyDescent="0.15">
      <c r="A2243" s="76">
        <v>2112</v>
      </c>
      <c r="B2243" s="74" t="s">
        <v>2253</v>
      </c>
      <c r="C2243" s="74">
        <v>995443726</v>
      </c>
      <c r="D2243" s="78" t="str">
        <f t="shared" si="72"/>
        <v>https://portal.dnb.de/opac.htm?method=simpleSearch&amp;cqlMode=true&amp;query=idn%3D995443726</v>
      </c>
      <c r="E2243" s="74" t="s">
        <v>2254</v>
      </c>
      <c r="F2243" s="74"/>
      <c r="G2243" s="76"/>
      <c r="H2243" s="77"/>
      <c r="I2243" s="76"/>
      <c r="J2243" s="77"/>
      <c r="K2243" s="77"/>
      <c r="L2243" s="76"/>
      <c r="M2243" s="76"/>
      <c r="N2243" s="76"/>
      <c r="O2243" s="76"/>
      <c r="P2243" s="76"/>
      <c r="Q2243" s="76"/>
      <c r="R2243" s="76"/>
      <c r="S2243" s="76"/>
      <c r="BD2243" s="99">
        <f t="shared" ref="BD2243:BD2306" si="73">CC2243+CV2243</f>
        <v>0</v>
      </c>
      <c r="CC2243" s="99"/>
      <c r="CV2243" s="99"/>
      <c r="CW2243" s="63"/>
    </row>
    <row r="2244" spans="1:101" x14ac:dyDescent="0.15">
      <c r="A2244" s="76">
        <v>2113</v>
      </c>
      <c r="B2244" s="74" t="s">
        <v>2255</v>
      </c>
      <c r="C2244" s="74">
        <v>999813811</v>
      </c>
      <c r="D2244" s="78" t="str">
        <f t="shared" si="72"/>
        <v>https://portal.dnb.de/opac.htm?method=simpleSearch&amp;cqlMode=true&amp;query=idn%3D999813811</v>
      </c>
      <c r="E2244" s="74" t="s">
        <v>2256</v>
      </c>
      <c r="F2244" s="74"/>
      <c r="G2244" s="76"/>
      <c r="H2244" s="77"/>
      <c r="I2244" s="76"/>
      <c r="J2244" s="77"/>
      <c r="K2244" s="77"/>
      <c r="L2244" s="76"/>
      <c r="M2244" s="76"/>
      <c r="N2244" s="76"/>
      <c r="O2244" s="76"/>
      <c r="P2244" s="76"/>
      <c r="Q2244" s="76"/>
      <c r="R2244" s="76"/>
      <c r="S2244" s="76"/>
      <c r="BD2244" s="99">
        <f t="shared" si="73"/>
        <v>0</v>
      </c>
      <c r="CC2244" s="99"/>
      <c r="CV2244" s="99"/>
      <c r="CW2244" s="63"/>
    </row>
    <row r="2245" spans="1:101" x14ac:dyDescent="0.15">
      <c r="A2245" s="76">
        <v>2114</v>
      </c>
      <c r="B2245" s="74" t="s">
        <v>2270</v>
      </c>
      <c r="C2245" s="74">
        <v>1066962227</v>
      </c>
      <c r="D2245" s="78" t="str">
        <f t="shared" si="72"/>
        <v>https://portal.dnb.de/opac.htm?method=simpleSearch&amp;cqlMode=true&amp;query=idn%3D1066962227</v>
      </c>
      <c r="E2245" s="74" t="s">
        <v>2271</v>
      </c>
      <c r="F2245" s="74"/>
      <c r="G2245" s="76"/>
      <c r="H2245" s="77"/>
      <c r="I2245" s="76"/>
      <c r="J2245" s="77"/>
      <c r="K2245" s="77"/>
      <c r="L2245" s="76"/>
      <c r="M2245" s="76"/>
      <c r="N2245" s="76"/>
      <c r="O2245" s="76"/>
      <c r="P2245" s="76"/>
      <c r="Q2245" s="76"/>
      <c r="R2245" s="76"/>
      <c r="S2245" s="76"/>
      <c r="BD2245" s="99">
        <f t="shared" si="73"/>
        <v>0</v>
      </c>
      <c r="CC2245" s="99"/>
      <c r="CV2245" s="99"/>
      <c r="CW2245" s="63"/>
    </row>
    <row r="2246" spans="1:101" x14ac:dyDescent="0.15">
      <c r="A2246" s="76">
        <v>2115</v>
      </c>
      <c r="B2246" s="74" t="s">
        <v>2272</v>
      </c>
      <c r="C2246" s="74">
        <v>1066938008</v>
      </c>
      <c r="D2246" s="78" t="str">
        <f t="shared" si="72"/>
        <v>https://portal.dnb.de/opac.htm?method=simpleSearch&amp;cqlMode=true&amp;query=idn%3D1066938008</v>
      </c>
      <c r="E2246" s="74" t="s">
        <v>2273</v>
      </c>
      <c r="F2246" s="74"/>
      <c r="G2246" s="76"/>
      <c r="H2246" s="77"/>
      <c r="I2246" s="76"/>
      <c r="J2246" s="77"/>
      <c r="K2246" s="77"/>
      <c r="L2246" s="76"/>
      <c r="M2246" s="76"/>
      <c r="N2246" s="76"/>
      <c r="O2246" s="76"/>
      <c r="P2246" s="76"/>
      <c r="Q2246" s="76"/>
      <c r="R2246" s="76"/>
      <c r="S2246" s="76"/>
      <c r="BD2246" s="99">
        <f t="shared" si="73"/>
        <v>0</v>
      </c>
      <c r="CC2246" s="99"/>
      <c r="CV2246" s="99"/>
      <c r="CW2246" s="63"/>
    </row>
    <row r="2247" spans="1:101" ht="33.75" x14ac:dyDescent="0.15">
      <c r="A2247" s="76">
        <v>2116</v>
      </c>
      <c r="B2247" s="74" t="s">
        <v>2274</v>
      </c>
      <c r="C2247" s="74" t="s">
        <v>2275</v>
      </c>
      <c r="D2247" s="78" t="str">
        <f t="shared" si="72"/>
        <v>https://portal.dnb.de/opac.htm?method=simpleSearch&amp;cqlMode=true&amp;query=idn%3D99396396X</v>
      </c>
      <c r="E2247" s="74" t="s">
        <v>2276</v>
      </c>
      <c r="F2247" s="74"/>
      <c r="G2247" s="76" t="s">
        <v>8515</v>
      </c>
      <c r="H2247" s="77" t="s">
        <v>8673</v>
      </c>
      <c r="I2247" s="76" t="s">
        <v>54</v>
      </c>
      <c r="J2247" s="77" t="s">
        <v>58</v>
      </c>
      <c r="K2247" s="77" t="s">
        <v>84</v>
      </c>
      <c r="L2247" s="76"/>
      <c r="M2247" s="76" t="s">
        <v>37</v>
      </c>
      <c r="N2247" s="76" t="s">
        <v>8695</v>
      </c>
      <c r="O2247" s="76">
        <v>0</v>
      </c>
      <c r="P2247" s="76"/>
      <c r="Q2247" s="76"/>
      <c r="R2247" s="76"/>
      <c r="S2247" s="76"/>
      <c r="BD2247" s="99">
        <f t="shared" si="73"/>
        <v>0</v>
      </c>
      <c r="CC2247" s="99"/>
      <c r="CV2247" s="99"/>
      <c r="CW2247" s="63"/>
    </row>
    <row r="2248" spans="1:101" x14ac:dyDescent="0.15">
      <c r="A2248" s="76">
        <v>2117</v>
      </c>
      <c r="B2248" s="74" t="s">
        <v>2277</v>
      </c>
      <c r="C2248" s="74">
        <v>1132641888</v>
      </c>
      <c r="D2248" s="78" t="str">
        <f t="shared" si="72"/>
        <v>https://portal.dnb.de/opac.htm?method=simpleSearch&amp;cqlMode=true&amp;query=idn%3D1132641888</v>
      </c>
      <c r="E2248" s="74" t="s">
        <v>9182</v>
      </c>
      <c r="F2248" s="74"/>
      <c r="G2248" s="76" t="s">
        <v>8515</v>
      </c>
      <c r="H2248" s="77" t="s">
        <v>49</v>
      </c>
      <c r="I2248" s="76" t="s">
        <v>53</v>
      </c>
      <c r="J2248" s="77" t="s">
        <v>8516</v>
      </c>
      <c r="K2248" s="77" t="s">
        <v>84</v>
      </c>
      <c r="L2248" s="76"/>
      <c r="M2248" s="76"/>
      <c r="N2248" s="76" t="s">
        <v>8660</v>
      </c>
      <c r="O2248" s="76">
        <v>0</v>
      </c>
      <c r="P2248" s="76"/>
      <c r="Q2248" s="76"/>
      <c r="R2248" s="76"/>
      <c r="S2248" s="76"/>
      <c r="BD2248" s="99">
        <f t="shared" si="73"/>
        <v>0</v>
      </c>
      <c r="CC2248" s="99"/>
      <c r="CV2248" s="99"/>
      <c r="CW2248" s="63"/>
    </row>
    <row r="2249" spans="1:101" ht="22.5" x14ac:dyDescent="0.15">
      <c r="A2249" s="76">
        <v>2118</v>
      </c>
      <c r="B2249" s="74" t="s">
        <v>2278</v>
      </c>
      <c r="C2249" s="74">
        <v>1132641861</v>
      </c>
      <c r="D2249" s="82" t="str">
        <f>HYPERLINK(CONCATENATE("https://portal.dnb.de/opac.htm?method=simpleSearch&amp;cqlMode=true&amp;query=idn%3D",C2249))</f>
        <v>https://portal.dnb.de/opac.htm?method=simpleSearch&amp;cqlMode=true&amp;query=idn%3D1132641861</v>
      </c>
      <c r="E2249" s="74" t="s">
        <v>9180</v>
      </c>
      <c r="F2249" s="74"/>
      <c r="G2249" s="76" t="s">
        <v>8515</v>
      </c>
      <c r="H2249" s="77" t="s">
        <v>18</v>
      </c>
      <c r="I2249" s="76" t="s">
        <v>53</v>
      </c>
      <c r="J2249" s="77" t="s">
        <v>8516</v>
      </c>
      <c r="K2249" s="77" t="s">
        <v>84</v>
      </c>
      <c r="L2249" s="76"/>
      <c r="M2249" s="76"/>
      <c r="N2249" s="76" t="s">
        <v>8660</v>
      </c>
      <c r="O2249" s="76">
        <v>0</v>
      </c>
      <c r="P2249" s="76"/>
      <c r="Q2249" s="76"/>
      <c r="R2249" s="76"/>
      <c r="S2249" s="76"/>
      <c r="BD2249" s="99">
        <f t="shared" si="73"/>
        <v>0</v>
      </c>
      <c r="CC2249" s="99"/>
      <c r="CV2249" s="99"/>
      <c r="CW2249" s="63"/>
    </row>
    <row r="2250" spans="1:101" ht="22.5" x14ac:dyDescent="0.15">
      <c r="A2250" s="76">
        <v>2119</v>
      </c>
      <c r="B2250" s="74" t="s">
        <v>2279</v>
      </c>
      <c r="C2250" s="74" t="s">
        <v>2280</v>
      </c>
      <c r="D2250" s="78" t="str">
        <f t="shared" si="72"/>
        <v>https://portal.dnb.de/opac.htm?method=simpleSearch&amp;cqlMode=true&amp;query=idn%3D113264187X</v>
      </c>
      <c r="E2250" s="74" t="s">
        <v>9181</v>
      </c>
      <c r="F2250" s="74"/>
      <c r="G2250" s="76" t="s">
        <v>8515</v>
      </c>
      <c r="H2250" s="77" t="s">
        <v>18</v>
      </c>
      <c r="I2250" s="76" t="s">
        <v>53</v>
      </c>
      <c r="J2250" s="77" t="s">
        <v>8516</v>
      </c>
      <c r="K2250" s="77" t="s">
        <v>84</v>
      </c>
      <c r="L2250" s="76"/>
      <c r="M2250" s="76"/>
      <c r="N2250" s="76" t="s">
        <v>8660</v>
      </c>
      <c r="O2250" s="76">
        <v>0</v>
      </c>
      <c r="P2250" s="76"/>
      <c r="Q2250" s="76"/>
      <c r="R2250" s="76"/>
      <c r="S2250" s="76"/>
      <c r="BD2250" s="99">
        <f t="shared" si="73"/>
        <v>0</v>
      </c>
      <c r="CC2250" s="99"/>
      <c r="CV2250" s="99"/>
      <c r="CW2250" s="63"/>
    </row>
    <row r="2251" spans="1:101" ht="33.75" x14ac:dyDescent="0.15">
      <c r="A2251" s="76">
        <v>2120</v>
      </c>
      <c r="B2251" s="74" t="s">
        <v>2281</v>
      </c>
      <c r="C2251" s="74">
        <v>1066937311</v>
      </c>
      <c r="D2251" s="82" t="str">
        <f>HYPERLINK(CONCATENATE("https://portal.dnb.de/opac.E2248htm?method=simpleSearch&amp;cqlMode=true&amp;query=idn%3D",C2251))</f>
        <v>https://portal.dnb.de/opac.E2248htm?method=simpleSearch&amp;cqlMode=true&amp;query=idn%3D1066937311</v>
      </c>
      <c r="E2251" s="74" t="s">
        <v>2282</v>
      </c>
      <c r="F2251" s="74"/>
      <c r="G2251" s="76" t="s">
        <v>8515</v>
      </c>
      <c r="H2251" s="77" t="s">
        <v>48</v>
      </c>
      <c r="I2251" s="76" t="s">
        <v>53</v>
      </c>
      <c r="J2251" s="77" t="s">
        <v>89</v>
      </c>
      <c r="K2251" s="77" t="s">
        <v>84</v>
      </c>
      <c r="L2251" s="76"/>
      <c r="M2251" s="76"/>
      <c r="N2251" s="76" t="s">
        <v>8660</v>
      </c>
      <c r="O2251" s="76">
        <v>0</v>
      </c>
      <c r="P2251" s="76"/>
      <c r="Q2251" s="76"/>
      <c r="R2251" s="76"/>
      <c r="S2251" s="76"/>
      <c r="X2251" s="95" t="s">
        <v>8541</v>
      </c>
      <c r="Y2251" s="95" t="s">
        <v>9736</v>
      </c>
      <c r="AC2251" s="95" t="s">
        <v>9737</v>
      </c>
      <c r="AI2251" s="95" t="s">
        <v>9725</v>
      </c>
      <c r="AU2251" s="95">
        <v>2</v>
      </c>
      <c r="AV2251" s="95" t="s">
        <v>8541</v>
      </c>
      <c r="AW2251" s="95">
        <v>45</v>
      </c>
      <c r="BC2251" s="96" t="s">
        <v>9726</v>
      </c>
      <c r="BD2251" s="99">
        <f t="shared" si="73"/>
        <v>0.5</v>
      </c>
      <c r="BP2251" s="69" t="s">
        <v>8541</v>
      </c>
      <c r="BR2251" s="95" t="s">
        <v>8541</v>
      </c>
      <c r="CC2251" s="99">
        <v>0.5</v>
      </c>
      <c r="CD2251" s="90" t="s">
        <v>10131</v>
      </c>
      <c r="CV2251" s="99"/>
      <c r="CW2251" s="63"/>
    </row>
    <row r="2252" spans="1:101" x14ac:dyDescent="0.15">
      <c r="A2252" s="76">
        <v>2121</v>
      </c>
      <c r="B2252" s="74" t="s">
        <v>2283</v>
      </c>
      <c r="C2252" s="74">
        <v>1066927596</v>
      </c>
      <c r="D2252" s="78" t="str">
        <f t="shared" si="72"/>
        <v>https://portal.dnb.de/opac.htm?method=simpleSearch&amp;cqlMode=true&amp;query=idn%3D1066927596</v>
      </c>
      <c r="E2252" s="74" t="s">
        <v>2284</v>
      </c>
      <c r="F2252" s="74"/>
      <c r="G2252" s="76" t="s">
        <v>8515</v>
      </c>
      <c r="H2252" s="77" t="s">
        <v>5</v>
      </c>
      <c r="I2252" s="76" t="s">
        <v>53</v>
      </c>
      <c r="J2252" s="77" t="s">
        <v>89</v>
      </c>
      <c r="K2252" s="77" t="s">
        <v>8520</v>
      </c>
      <c r="L2252" s="76"/>
      <c r="M2252" s="76" t="s">
        <v>38</v>
      </c>
      <c r="N2252" s="76" t="s">
        <v>40</v>
      </c>
      <c r="O2252" s="76">
        <v>0</v>
      </c>
      <c r="P2252" s="76"/>
      <c r="Q2252" s="76"/>
      <c r="R2252" s="76"/>
      <c r="S2252" s="76"/>
      <c r="BD2252" s="99">
        <f t="shared" si="73"/>
        <v>0</v>
      </c>
      <c r="CC2252" s="99"/>
      <c r="CV2252" s="99"/>
      <c r="CW2252" s="63"/>
    </row>
    <row r="2253" spans="1:101" ht="90" x14ac:dyDescent="0.15">
      <c r="A2253" s="76">
        <v>2122</v>
      </c>
      <c r="B2253" s="74" t="s">
        <v>2289</v>
      </c>
      <c r="C2253" s="74">
        <v>1000044521</v>
      </c>
      <c r="D2253" s="78" t="str">
        <f t="shared" si="72"/>
        <v>https://portal.dnb.de/opac.htm?method=simpleSearch&amp;cqlMode=true&amp;query=idn%3D1000044521</v>
      </c>
      <c r="E2253" s="74" t="s">
        <v>10426</v>
      </c>
      <c r="F2253" s="74"/>
      <c r="G2253" s="76"/>
      <c r="H2253" s="77"/>
      <c r="I2253" s="76" t="s">
        <v>55</v>
      </c>
      <c r="J2253" s="77"/>
      <c r="K2253" s="77"/>
      <c r="L2253" s="76"/>
      <c r="M2253" s="76"/>
      <c r="N2253" s="76"/>
      <c r="O2253" s="76"/>
      <c r="P2253" s="76"/>
      <c r="Q2253" s="76"/>
      <c r="R2253" s="76"/>
      <c r="S2253" s="76"/>
      <c r="Y2253" s="95" t="s">
        <v>9723</v>
      </c>
      <c r="AC2253" s="95" t="s">
        <v>9724</v>
      </c>
      <c r="AI2253" s="95" t="s">
        <v>9725</v>
      </c>
      <c r="AW2253" s="95">
        <v>45</v>
      </c>
      <c r="BC2253" s="96" t="s">
        <v>9726</v>
      </c>
      <c r="BD2253" s="99">
        <f t="shared" si="73"/>
        <v>5</v>
      </c>
      <c r="BJ2253" s="95" t="s">
        <v>9741</v>
      </c>
      <c r="BK2253" s="95" t="s">
        <v>8541</v>
      </c>
      <c r="BP2253" s="69" t="s">
        <v>8541</v>
      </c>
      <c r="BQ2253" s="95" t="s">
        <v>8541</v>
      </c>
      <c r="BR2253" s="95" t="s">
        <v>8541</v>
      </c>
      <c r="BT2253" s="95" t="s">
        <v>9772</v>
      </c>
      <c r="CB2253" s="95" t="s">
        <v>9818</v>
      </c>
      <c r="CC2253" s="99">
        <v>5</v>
      </c>
      <c r="CD2253" s="90" t="s">
        <v>10428</v>
      </c>
      <c r="CV2253" s="99"/>
      <c r="CW2253" s="63"/>
    </row>
    <row r="2254" spans="1:101" ht="56.25" x14ac:dyDescent="0.15">
      <c r="A2254" s="76">
        <v>2123</v>
      </c>
      <c r="B2254" s="74" t="s">
        <v>2290</v>
      </c>
      <c r="C2254" s="74">
        <v>1000044599</v>
      </c>
      <c r="D2254" s="78" t="str">
        <f t="shared" si="72"/>
        <v>https://portal.dnb.de/opac.htm?method=simpleSearch&amp;cqlMode=true&amp;query=idn%3D1000044599</v>
      </c>
      <c r="E2254" s="74" t="s">
        <v>10427</v>
      </c>
      <c r="F2254" s="74"/>
      <c r="G2254" s="76"/>
      <c r="H2254" s="77"/>
      <c r="I2254" s="76" t="s">
        <v>55</v>
      </c>
      <c r="J2254" s="77"/>
      <c r="K2254" s="77"/>
      <c r="L2254" s="76"/>
      <c r="M2254" s="76"/>
      <c r="N2254" s="76"/>
      <c r="O2254" s="76"/>
      <c r="P2254" s="76"/>
      <c r="Q2254" s="76"/>
      <c r="R2254" s="76"/>
      <c r="S2254" s="76"/>
      <c r="Y2254" s="95" t="s">
        <v>9723</v>
      </c>
      <c r="AC2254" s="95" t="s">
        <v>9724</v>
      </c>
      <c r="AI2254" s="95" t="s">
        <v>9725</v>
      </c>
      <c r="AW2254" s="95">
        <v>45</v>
      </c>
      <c r="BC2254" s="96" t="s">
        <v>9726</v>
      </c>
      <c r="BD2254" s="99">
        <f t="shared" si="73"/>
        <v>2.5</v>
      </c>
      <c r="BJ2254" s="95" t="s">
        <v>9741</v>
      </c>
      <c r="BK2254" s="95" t="s">
        <v>8541</v>
      </c>
      <c r="BP2254" s="69" t="s">
        <v>8541</v>
      </c>
      <c r="BQ2254" s="95" t="s">
        <v>8541</v>
      </c>
      <c r="BR2254" s="95" t="s">
        <v>8541</v>
      </c>
      <c r="BT2254" s="95" t="s">
        <v>9775</v>
      </c>
      <c r="CB2254" s="95" t="s">
        <v>9818</v>
      </c>
      <c r="CC2254" s="99">
        <v>2.5</v>
      </c>
      <c r="CD2254" s="90" t="s">
        <v>10429</v>
      </c>
      <c r="CV2254" s="99"/>
      <c r="CW2254" s="63"/>
    </row>
    <row r="2255" spans="1:101" x14ac:dyDescent="0.15">
      <c r="A2255" s="76">
        <v>2124</v>
      </c>
      <c r="B2255" s="74" t="s">
        <v>2285</v>
      </c>
      <c r="C2255" s="74">
        <v>1207581542</v>
      </c>
      <c r="D2255" s="78" t="str">
        <f t="shared" si="72"/>
        <v>https://portal.dnb.de/opac.htm?method=simpleSearch&amp;cqlMode=true&amp;query=idn%3D1207581542</v>
      </c>
      <c r="E2255" s="74" t="s">
        <v>2286</v>
      </c>
      <c r="F2255" s="74"/>
      <c r="G2255" s="76"/>
      <c r="H2255" s="77"/>
      <c r="I2255" s="76"/>
      <c r="J2255" s="77"/>
      <c r="K2255" s="77"/>
      <c r="L2255" s="76"/>
      <c r="M2255" s="76"/>
      <c r="N2255" s="76"/>
      <c r="O2255" s="76"/>
      <c r="P2255" s="76"/>
      <c r="Q2255" s="76"/>
      <c r="R2255" s="76"/>
      <c r="S2255" s="76"/>
      <c r="BD2255" s="99">
        <f t="shared" si="73"/>
        <v>0</v>
      </c>
      <c r="CC2255" s="99"/>
      <c r="CV2255" s="99"/>
      <c r="CW2255" s="63"/>
    </row>
    <row r="2256" spans="1:101" x14ac:dyDescent="0.15">
      <c r="A2256" s="76">
        <v>2125</v>
      </c>
      <c r="B2256" s="74" t="s">
        <v>2287</v>
      </c>
      <c r="C2256" s="74">
        <v>1207581631</v>
      </c>
      <c r="D2256" s="78" t="str">
        <f t="shared" si="72"/>
        <v>https://portal.dnb.de/opac.htm?method=simpleSearch&amp;cqlMode=true&amp;query=idn%3D1207581631</v>
      </c>
      <c r="E2256" s="74" t="s">
        <v>2288</v>
      </c>
      <c r="F2256" s="74"/>
      <c r="G2256" s="76"/>
      <c r="H2256" s="77"/>
      <c r="I2256" s="76"/>
      <c r="J2256" s="77"/>
      <c r="K2256" s="77"/>
      <c r="L2256" s="76"/>
      <c r="M2256" s="76"/>
      <c r="N2256" s="76"/>
      <c r="O2256" s="76"/>
      <c r="P2256" s="76"/>
      <c r="Q2256" s="76"/>
      <c r="R2256" s="76"/>
      <c r="S2256" s="76"/>
      <c r="BD2256" s="99">
        <f t="shared" si="73"/>
        <v>0</v>
      </c>
      <c r="CC2256" s="99"/>
      <c r="CV2256" s="99"/>
      <c r="CW2256" s="63"/>
    </row>
    <row r="2257" spans="1:101" x14ac:dyDescent="0.15">
      <c r="A2257" s="76">
        <v>2126</v>
      </c>
      <c r="B2257" s="74" t="s">
        <v>2400</v>
      </c>
      <c r="C2257" s="74">
        <v>999497561</v>
      </c>
      <c r="D2257" s="78" t="str">
        <f t="shared" si="72"/>
        <v>https://portal.dnb.de/opac.htm?method=simpleSearch&amp;cqlMode=true&amp;query=idn%3D999497561</v>
      </c>
      <c r="E2257" s="74" t="s">
        <v>2401</v>
      </c>
      <c r="F2257" s="74"/>
      <c r="G2257" s="76"/>
      <c r="H2257" s="77"/>
      <c r="I2257" s="76"/>
      <c r="J2257" s="77"/>
      <c r="K2257" s="77"/>
      <c r="L2257" s="76"/>
      <c r="M2257" s="76"/>
      <c r="N2257" s="76"/>
      <c r="O2257" s="76"/>
      <c r="P2257" s="76"/>
      <c r="Q2257" s="76"/>
      <c r="R2257" s="76"/>
      <c r="S2257" s="76"/>
      <c r="BD2257" s="99">
        <f t="shared" si="73"/>
        <v>0</v>
      </c>
      <c r="CC2257" s="99"/>
      <c r="CV2257" s="99"/>
      <c r="CW2257" s="63"/>
    </row>
    <row r="2258" spans="1:101" x14ac:dyDescent="0.15">
      <c r="A2258" s="76">
        <v>2127</v>
      </c>
      <c r="B2258" s="74" t="s">
        <v>2291</v>
      </c>
      <c r="C2258" s="74">
        <v>1066799679</v>
      </c>
      <c r="D2258" s="78" t="str">
        <f t="shared" si="72"/>
        <v>https://portal.dnb.de/opac.htm?method=simpleSearch&amp;cqlMode=true&amp;query=idn%3D1066799679</v>
      </c>
      <c r="E2258" s="74" t="s">
        <v>2292</v>
      </c>
      <c r="F2258" s="74"/>
      <c r="G2258" s="76" t="s">
        <v>8515</v>
      </c>
      <c r="H2258" s="77" t="s">
        <v>48</v>
      </c>
      <c r="I2258" s="76" t="s">
        <v>53</v>
      </c>
      <c r="J2258" s="77" t="s">
        <v>8516</v>
      </c>
      <c r="K2258" s="77" t="s">
        <v>84</v>
      </c>
      <c r="L2258" s="76"/>
      <c r="M2258" s="76"/>
      <c r="N2258" s="76" t="s">
        <v>8660</v>
      </c>
      <c r="O2258" s="76">
        <v>0</v>
      </c>
      <c r="P2258" s="76"/>
      <c r="Q2258" s="76"/>
      <c r="R2258" s="76"/>
      <c r="S2258" s="76"/>
      <c r="BD2258" s="99">
        <f t="shared" si="73"/>
        <v>0</v>
      </c>
      <c r="CC2258" s="99"/>
      <c r="CV2258" s="99"/>
      <c r="CW2258" s="63"/>
    </row>
    <row r="2259" spans="1:101" ht="33.75" x14ac:dyDescent="0.15">
      <c r="A2259" s="76">
        <v>2128</v>
      </c>
      <c r="B2259" s="74" t="s">
        <v>2354</v>
      </c>
      <c r="C2259" s="74">
        <v>1066765006</v>
      </c>
      <c r="D2259" s="78" t="str">
        <f t="shared" si="72"/>
        <v>https://portal.dnb.de/opac.htm?method=simpleSearch&amp;cqlMode=true&amp;query=idn%3D1066765006</v>
      </c>
      <c r="E2259" s="74" t="s">
        <v>2355</v>
      </c>
      <c r="F2259" s="74"/>
      <c r="G2259" s="76" t="s">
        <v>8515</v>
      </c>
      <c r="H2259" s="77" t="s">
        <v>8546</v>
      </c>
      <c r="I2259" s="76" t="s">
        <v>53</v>
      </c>
      <c r="J2259" s="77" t="s">
        <v>89</v>
      </c>
      <c r="K2259" s="77" t="s">
        <v>8539</v>
      </c>
      <c r="L2259" s="76"/>
      <c r="M2259" s="76"/>
      <c r="N2259" s="76" t="s">
        <v>8660</v>
      </c>
      <c r="O2259" s="76">
        <v>0</v>
      </c>
      <c r="P2259" s="76"/>
      <c r="Q2259" s="76"/>
      <c r="R2259" s="76"/>
      <c r="S2259" s="76"/>
      <c r="BD2259" s="99">
        <f t="shared" si="73"/>
        <v>0</v>
      </c>
      <c r="CC2259" s="99"/>
      <c r="CV2259" s="99"/>
      <c r="CW2259" s="63"/>
    </row>
    <row r="2260" spans="1:101" x14ac:dyDescent="0.15">
      <c r="A2260" s="76">
        <v>2129</v>
      </c>
      <c r="B2260" s="74" t="s">
        <v>2392</v>
      </c>
      <c r="C2260" s="74">
        <v>1132654912</v>
      </c>
      <c r="D2260" s="78" t="str">
        <f t="shared" si="72"/>
        <v>https://portal.dnb.de/opac.htm?method=simpleSearch&amp;cqlMode=true&amp;query=idn%3D1132654912</v>
      </c>
      <c r="E2260" s="74" t="s">
        <v>10134</v>
      </c>
      <c r="F2260" s="74"/>
      <c r="G2260" s="76"/>
      <c r="H2260" s="77"/>
      <c r="I2260" s="76"/>
      <c r="J2260" s="77"/>
      <c r="K2260" s="77"/>
      <c r="L2260" s="76"/>
      <c r="M2260" s="76"/>
      <c r="N2260" s="76"/>
      <c r="O2260" s="76"/>
      <c r="P2260" s="76"/>
      <c r="Q2260" s="76"/>
      <c r="R2260" s="76"/>
      <c r="S2260" s="76"/>
      <c r="BD2260" s="99">
        <f t="shared" si="73"/>
        <v>0</v>
      </c>
      <c r="CC2260" s="99"/>
      <c r="CV2260" s="99"/>
      <c r="CW2260" s="63"/>
    </row>
    <row r="2261" spans="1:101" ht="33.75" x14ac:dyDescent="0.15">
      <c r="A2261" s="76">
        <v>2130</v>
      </c>
      <c r="B2261" s="74" t="s">
        <v>2394</v>
      </c>
      <c r="C2261" s="74">
        <v>1132654904</v>
      </c>
      <c r="D2261" s="78" t="str">
        <f t="shared" si="72"/>
        <v>https://portal.dnb.de/opac.htm?method=simpleSearch&amp;cqlMode=true&amp;query=idn%3D1132654904</v>
      </c>
      <c r="E2261" s="74" t="s">
        <v>2393</v>
      </c>
      <c r="F2261" s="74"/>
      <c r="G2261" s="76"/>
      <c r="H2261" s="77"/>
      <c r="I2261" s="76" t="s">
        <v>54</v>
      </c>
      <c r="J2261" s="77"/>
      <c r="K2261" s="77"/>
      <c r="L2261" s="76"/>
      <c r="M2261" s="76"/>
      <c r="N2261" s="76"/>
      <c r="O2261" s="76"/>
      <c r="P2261" s="76"/>
      <c r="Q2261" s="76"/>
      <c r="R2261" s="76"/>
      <c r="S2261" s="76"/>
      <c r="Y2261" s="95" t="s">
        <v>9736</v>
      </c>
      <c r="AC2261" s="95" t="s">
        <v>9730</v>
      </c>
      <c r="AI2261" s="95" t="s">
        <v>9725</v>
      </c>
      <c r="AP2261" s="96" t="s">
        <v>10252</v>
      </c>
      <c r="AW2261" s="95">
        <v>110</v>
      </c>
      <c r="BC2261" s="96" t="s">
        <v>9726</v>
      </c>
      <c r="BD2261" s="99">
        <f t="shared" si="73"/>
        <v>1.5</v>
      </c>
      <c r="BO2261" s="70" t="s">
        <v>10132</v>
      </c>
      <c r="BP2261" s="69" t="s">
        <v>8541</v>
      </c>
      <c r="BR2261" s="95" t="s">
        <v>8541</v>
      </c>
      <c r="CC2261" s="99">
        <v>1.5</v>
      </c>
      <c r="CD2261" s="90" t="s">
        <v>10133</v>
      </c>
      <c r="CV2261" s="99"/>
      <c r="CW2261" s="63"/>
    </row>
    <row r="2262" spans="1:101" ht="33.75" x14ac:dyDescent="0.15">
      <c r="A2262" s="76">
        <v>2131</v>
      </c>
      <c r="B2262" s="74" t="s">
        <v>2395</v>
      </c>
      <c r="C2262" s="74">
        <v>1132654890</v>
      </c>
      <c r="D2262" s="78" t="str">
        <f t="shared" si="72"/>
        <v>https://portal.dnb.de/opac.htm?method=simpleSearch&amp;cqlMode=true&amp;query=idn%3D1132654890</v>
      </c>
      <c r="E2262" s="74" t="s">
        <v>2393</v>
      </c>
      <c r="F2262" s="74"/>
      <c r="G2262" s="76"/>
      <c r="H2262" s="77"/>
      <c r="I2262" s="76" t="s">
        <v>54</v>
      </c>
      <c r="J2262" s="77"/>
      <c r="K2262" s="77"/>
      <c r="L2262" s="76"/>
      <c r="M2262" s="76"/>
      <c r="N2262" s="76"/>
      <c r="O2262" s="76"/>
      <c r="P2262" s="76"/>
      <c r="Q2262" s="76"/>
      <c r="R2262" s="76"/>
      <c r="S2262" s="76"/>
      <c r="Y2262" s="95" t="s">
        <v>9736</v>
      </c>
      <c r="AC2262" s="95" t="s">
        <v>9730</v>
      </c>
      <c r="AI2262" s="95" t="s">
        <v>9725</v>
      </c>
      <c r="AP2262" s="96" t="s">
        <v>10252</v>
      </c>
      <c r="AW2262" s="95">
        <v>110</v>
      </c>
      <c r="BC2262" s="96" t="s">
        <v>9726</v>
      </c>
      <c r="BD2262" s="99">
        <f t="shared" si="73"/>
        <v>4.5</v>
      </c>
      <c r="BO2262" s="70" t="s">
        <v>10132</v>
      </c>
      <c r="BP2262" s="69" t="s">
        <v>8541</v>
      </c>
      <c r="BR2262" s="95" t="s">
        <v>8541</v>
      </c>
      <c r="CC2262" s="99">
        <v>1.5</v>
      </c>
      <c r="CD2262" s="90" t="s">
        <v>10135</v>
      </c>
      <c r="CI2262" s="95" t="s">
        <v>8541</v>
      </c>
      <c r="CL2262" s="95" t="s">
        <v>8541</v>
      </c>
      <c r="CN2262" s="95" t="s">
        <v>8541</v>
      </c>
      <c r="CV2262" s="99">
        <v>3</v>
      </c>
      <c r="CW2262" s="90" t="s">
        <v>10136</v>
      </c>
    </row>
    <row r="2263" spans="1:101" ht="67.5" x14ac:dyDescent="0.15">
      <c r="A2263" s="76">
        <v>2132</v>
      </c>
      <c r="B2263" s="74" t="s">
        <v>2398</v>
      </c>
      <c r="C2263" s="74">
        <v>1066786364</v>
      </c>
      <c r="D2263" s="78" t="str">
        <f t="shared" si="72"/>
        <v>https://portal.dnb.de/opac.htm?method=simpleSearch&amp;cqlMode=true&amp;query=idn%3D1066786364</v>
      </c>
      <c r="E2263" s="74" t="s">
        <v>2399</v>
      </c>
      <c r="F2263" s="74"/>
      <c r="G2263" s="76"/>
      <c r="H2263" s="77"/>
      <c r="I2263" s="76" t="s">
        <v>53</v>
      </c>
      <c r="J2263" s="77"/>
      <c r="K2263" s="77"/>
      <c r="L2263" s="76"/>
      <c r="M2263" s="76"/>
      <c r="N2263" s="76"/>
      <c r="O2263" s="76"/>
      <c r="P2263" s="76"/>
      <c r="Q2263" s="76"/>
      <c r="R2263" s="76"/>
      <c r="S2263" s="76"/>
      <c r="X2263" s="95" t="s">
        <v>8541</v>
      </c>
      <c r="Y2263" s="95" t="s">
        <v>9723</v>
      </c>
      <c r="AC2263" s="95" t="s">
        <v>9724</v>
      </c>
      <c r="AI2263" s="95" t="s">
        <v>9725</v>
      </c>
      <c r="AW2263" s="95">
        <v>80</v>
      </c>
      <c r="BC2263" s="96" t="s">
        <v>9726</v>
      </c>
      <c r="BD2263" s="99">
        <f t="shared" si="73"/>
        <v>3</v>
      </c>
      <c r="BF2263" s="95" t="s">
        <v>10005</v>
      </c>
      <c r="BP2263" s="69" t="s">
        <v>8541</v>
      </c>
      <c r="BQ2263" s="95" t="s">
        <v>8541</v>
      </c>
      <c r="BR2263" s="95" t="s">
        <v>8541</v>
      </c>
      <c r="BT2263" s="95" t="s">
        <v>9775</v>
      </c>
      <c r="CC2263" s="99">
        <v>3</v>
      </c>
      <c r="CD2263" s="90" t="s">
        <v>10137</v>
      </c>
      <c r="CV2263" s="99"/>
      <c r="CW2263" s="63"/>
    </row>
    <row r="2264" spans="1:101" ht="56.25" x14ac:dyDescent="0.15">
      <c r="A2264" s="76">
        <v>2133</v>
      </c>
      <c r="B2264" s="74" t="s">
        <v>2429</v>
      </c>
      <c r="C2264" s="74">
        <v>1066843813</v>
      </c>
      <c r="D2264" s="78" t="str">
        <f t="shared" si="72"/>
        <v>https://portal.dnb.de/opac.htm?method=simpleSearch&amp;cqlMode=true&amp;query=idn%3D1066843813</v>
      </c>
      <c r="E2264" s="74" t="s">
        <v>2430</v>
      </c>
      <c r="F2264" s="74"/>
      <c r="G2264" s="76"/>
      <c r="H2264" s="77"/>
      <c r="I2264" s="76" t="s">
        <v>55</v>
      </c>
      <c r="J2264" s="77"/>
      <c r="K2264" s="77"/>
      <c r="L2264" s="76"/>
      <c r="M2264" s="76"/>
      <c r="N2264" s="76"/>
      <c r="O2264" s="76"/>
      <c r="P2264" s="76"/>
      <c r="Q2264" s="76"/>
      <c r="R2264" s="76"/>
      <c r="S2264" s="76"/>
      <c r="Y2264" s="95" t="s">
        <v>9723</v>
      </c>
      <c r="AA2264" s="95" t="s">
        <v>8541</v>
      </c>
      <c r="AC2264" s="95" t="s">
        <v>9739</v>
      </c>
      <c r="AI2264" s="95" t="s">
        <v>9725</v>
      </c>
      <c r="AW2264" s="95">
        <v>60</v>
      </c>
      <c r="BC2264" s="96" t="s">
        <v>9726</v>
      </c>
      <c r="BD2264" s="99">
        <f t="shared" si="73"/>
        <v>4.5</v>
      </c>
      <c r="BH2264" s="95" t="s">
        <v>8541</v>
      </c>
      <c r="BP2264" s="69" t="s">
        <v>8541</v>
      </c>
      <c r="BQ2264" s="95" t="s">
        <v>8541</v>
      </c>
      <c r="BR2264" s="95" t="s">
        <v>8541</v>
      </c>
      <c r="BT2264" s="95" t="s">
        <v>9775</v>
      </c>
      <c r="BU2264" s="95">
        <v>1</v>
      </c>
      <c r="CC2264" s="99">
        <v>2</v>
      </c>
      <c r="CD2264" s="90" t="s">
        <v>10430</v>
      </c>
      <c r="CI2264" s="95" t="s">
        <v>8541</v>
      </c>
      <c r="CV2264" s="99">
        <v>2.5</v>
      </c>
      <c r="CW2264" s="90" t="s">
        <v>10431</v>
      </c>
    </row>
    <row r="2265" spans="1:101" ht="33.75" x14ac:dyDescent="0.15">
      <c r="A2265" s="76">
        <v>2134</v>
      </c>
      <c r="B2265" s="74" t="s">
        <v>2438</v>
      </c>
      <c r="C2265" s="74">
        <v>1132656540</v>
      </c>
      <c r="D2265" s="78" t="str">
        <f t="shared" si="72"/>
        <v>https://portal.dnb.de/opac.htm?method=simpleSearch&amp;cqlMode=true&amp;query=idn%3D1132656540</v>
      </c>
      <c r="E2265" s="74" t="s">
        <v>2439</v>
      </c>
      <c r="F2265" s="74"/>
      <c r="G2265" s="76" t="s">
        <v>8515</v>
      </c>
      <c r="H2265" s="77" t="s">
        <v>8546</v>
      </c>
      <c r="I2265" s="76" t="s">
        <v>53</v>
      </c>
      <c r="J2265" s="77" t="s">
        <v>8516</v>
      </c>
      <c r="K2265" s="77" t="s">
        <v>8539</v>
      </c>
      <c r="L2265" s="76"/>
      <c r="M2265" s="76" t="s">
        <v>37</v>
      </c>
      <c r="N2265" s="76" t="s">
        <v>9183</v>
      </c>
      <c r="O2265" s="76">
        <v>0</v>
      </c>
      <c r="P2265" s="76"/>
      <c r="Q2265" s="76"/>
      <c r="R2265" s="76"/>
      <c r="S2265" s="76"/>
      <c r="X2265" s="95" t="s">
        <v>8541</v>
      </c>
      <c r="Y2265" s="95" t="s">
        <v>9736</v>
      </c>
      <c r="AA2265" s="95" t="s">
        <v>8541</v>
      </c>
      <c r="AC2265" s="95" t="s">
        <v>9737</v>
      </c>
      <c r="AD2265" s="95" t="s">
        <v>8541</v>
      </c>
      <c r="AI2265" s="95" t="s">
        <v>9725</v>
      </c>
      <c r="AW2265" s="95">
        <v>110</v>
      </c>
      <c r="BC2265" s="96" t="s">
        <v>9726</v>
      </c>
      <c r="BD2265" s="99">
        <f t="shared" si="73"/>
        <v>0.5</v>
      </c>
      <c r="BH2265" s="95" t="s">
        <v>8541</v>
      </c>
      <c r="BP2265" s="69" t="s">
        <v>8541</v>
      </c>
      <c r="BR2265" s="95" t="s">
        <v>8541</v>
      </c>
      <c r="CC2265" s="99">
        <v>0.5</v>
      </c>
      <c r="CV2265" s="99"/>
      <c r="CW2265" s="63"/>
    </row>
    <row r="2266" spans="1:101" ht="22.5" x14ac:dyDescent="0.15">
      <c r="A2266" s="76">
        <v>2135</v>
      </c>
      <c r="B2266" s="74" t="s">
        <v>2440</v>
      </c>
      <c r="C2266" s="74">
        <v>1066940703</v>
      </c>
      <c r="D2266" s="78" t="str">
        <f t="shared" si="72"/>
        <v>https://portal.dnb.de/opac.htm?method=simpleSearch&amp;cqlMode=true&amp;query=idn%3D1066940703</v>
      </c>
      <c r="E2266" s="74" t="s">
        <v>2441</v>
      </c>
      <c r="F2266" s="74"/>
      <c r="G2266" s="76" t="s">
        <v>8515</v>
      </c>
      <c r="H2266" s="77" t="s">
        <v>48</v>
      </c>
      <c r="I2266" s="76" t="s">
        <v>53</v>
      </c>
      <c r="J2266" s="77" t="s">
        <v>8516</v>
      </c>
      <c r="K2266" s="77" t="s">
        <v>8539</v>
      </c>
      <c r="L2266" s="76"/>
      <c r="M2266" s="76"/>
      <c r="N2266" s="76" t="s">
        <v>8660</v>
      </c>
      <c r="O2266" s="76">
        <v>0</v>
      </c>
      <c r="P2266" s="76"/>
      <c r="Q2266" s="76"/>
      <c r="R2266" s="76"/>
      <c r="S2266" s="76"/>
      <c r="BD2266" s="99">
        <f t="shared" si="73"/>
        <v>0</v>
      </c>
      <c r="CC2266" s="99"/>
      <c r="CV2266" s="99"/>
      <c r="CW2266" s="63"/>
    </row>
    <row r="2267" spans="1:101" x14ac:dyDescent="0.15">
      <c r="A2267" s="76">
        <v>2136</v>
      </c>
      <c r="B2267" s="74" t="s">
        <v>2442</v>
      </c>
      <c r="C2267" s="74">
        <v>1066940711</v>
      </c>
      <c r="D2267" s="78" t="str">
        <f t="shared" si="72"/>
        <v>https://portal.dnb.de/opac.htm?method=simpleSearch&amp;cqlMode=true&amp;query=idn%3D1066940711</v>
      </c>
      <c r="E2267" s="74" t="s">
        <v>2443</v>
      </c>
      <c r="F2267" s="74"/>
      <c r="G2267" s="76" t="s">
        <v>8515</v>
      </c>
      <c r="H2267" s="77" t="s">
        <v>48</v>
      </c>
      <c r="I2267" s="76" t="s">
        <v>53</v>
      </c>
      <c r="J2267" s="77" t="s">
        <v>8516</v>
      </c>
      <c r="K2267" s="77"/>
      <c r="L2267" s="76"/>
      <c r="M2267" s="76" t="s">
        <v>38</v>
      </c>
      <c r="N2267" s="76" t="s">
        <v>40</v>
      </c>
      <c r="O2267" s="76">
        <v>3</v>
      </c>
      <c r="P2267" s="76"/>
      <c r="Q2267" s="76"/>
      <c r="R2267" s="76"/>
      <c r="S2267" s="76"/>
      <c r="BD2267" s="99">
        <f t="shared" si="73"/>
        <v>0</v>
      </c>
      <c r="CC2267" s="99"/>
      <c r="CV2267" s="99"/>
      <c r="CW2267" s="63"/>
    </row>
    <row r="2268" spans="1:101" ht="22.5" x14ac:dyDescent="0.15">
      <c r="A2268" s="76"/>
      <c r="B2268" s="74"/>
      <c r="C2268" s="74"/>
      <c r="D2268" s="78"/>
      <c r="E2268" s="74" t="s">
        <v>9187</v>
      </c>
      <c r="F2268" s="74"/>
      <c r="G2268" s="76" t="s">
        <v>8515</v>
      </c>
      <c r="H2268" s="77" t="s">
        <v>48</v>
      </c>
      <c r="I2268" s="76" t="s">
        <v>53</v>
      </c>
      <c r="J2268" s="77" t="s">
        <v>89</v>
      </c>
      <c r="K2268" s="77" t="s">
        <v>8539</v>
      </c>
      <c r="L2268" s="76"/>
      <c r="M2268" s="76"/>
      <c r="N2268" s="76" t="s">
        <v>8660</v>
      </c>
      <c r="O2268" s="76">
        <v>2</v>
      </c>
      <c r="P2268" s="76"/>
      <c r="Q2268" s="76"/>
      <c r="R2268" s="76"/>
      <c r="S2268" s="76"/>
      <c r="BD2268" s="99">
        <f t="shared" si="73"/>
        <v>0</v>
      </c>
      <c r="CC2268" s="99"/>
      <c r="CV2268" s="99"/>
      <c r="CW2268" s="63"/>
    </row>
    <row r="2269" spans="1:101" x14ac:dyDescent="0.15">
      <c r="A2269" s="76">
        <v>2137</v>
      </c>
      <c r="B2269" s="74" t="s">
        <v>2301</v>
      </c>
      <c r="C2269" s="74">
        <v>1066800685</v>
      </c>
      <c r="D2269" s="78" t="str">
        <f t="shared" si="72"/>
        <v>https://portal.dnb.de/opac.htm?method=simpleSearch&amp;cqlMode=true&amp;query=idn%3D1066800685</v>
      </c>
      <c r="E2269" s="74" t="s">
        <v>2302</v>
      </c>
      <c r="F2269" s="74"/>
      <c r="G2269" s="76"/>
      <c r="H2269" s="77" t="s">
        <v>49</v>
      </c>
      <c r="I2269" s="76" t="s">
        <v>54</v>
      </c>
      <c r="J2269" s="77" t="s">
        <v>58</v>
      </c>
      <c r="K2269" s="77"/>
      <c r="L2269" s="76"/>
      <c r="M2269" s="76"/>
      <c r="N2269" s="76"/>
      <c r="O2269" s="76">
        <v>0</v>
      </c>
      <c r="P2269" s="76"/>
      <c r="Q2269" s="76"/>
      <c r="R2269" s="76"/>
      <c r="S2269" s="76"/>
      <c r="BD2269" s="99">
        <f t="shared" si="73"/>
        <v>0</v>
      </c>
      <c r="CC2269" s="99"/>
      <c r="CV2269" s="99"/>
      <c r="CW2269" s="63"/>
    </row>
    <row r="2270" spans="1:101" x14ac:dyDescent="0.15">
      <c r="A2270" s="76">
        <v>2138</v>
      </c>
      <c r="B2270" s="74" t="s">
        <v>2320</v>
      </c>
      <c r="C2270" s="74">
        <v>993914713</v>
      </c>
      <c r="D2270" s="78" t="str">
        <f t="shared" si="72"/>
        <v>https://portal.dnb.de/opac.htm?method=simpleSearch&amp;cqlMode=true&amp;query=idn%3D993914713</v>
      </c>
      <c r="E2270" s="74" t="s">
        <v>2321</v>
      </c>
      <c r="F2270" s="74"/>
      <c r="G2270" s="76"/>
      <c r="H2270" s="77"/>
      <c r="I2270" s="76"/>
      <c r="J2270" s="77"/>
      <c r="K2270" s="77"/>
      <c r="L2270" s="76"/>
      <c r="M2270" s="76"/>
      <c r="N2270" s="76"/>
      <c r="O2270" s="76"/>
      <c r="P2270" s="76"/>
      <c r="Q2270" s="76"/>
      <c r="R2270" s="76"/>
      <c r="S2270" s="76"/>
      <c r="BD2270" s="99">
        <f t="shared" si="73"/>
        <v>0</v>
      </c>
      <c r="CC2270" s="99"/>
      <c r="CV2270" s="99"/>
      <c r="CW2270" s="63"/>
    </row>
    <row r="2271" spans="1:101" x14ac:dyDescent="0.15">
      <c r="A2271" s="76">
        <v>2139</v>
      </c>
      <c r="B2271" s="74" t="s">
        <v>2322</v>
      </c>
      <c r="C2271" s="74">
        <v>994644698</v>
      </c>
      <c r="D2271" s="78" t="str">
        <f t="shared" ref="D2271:D2334" si="74">HYPERLINK(CONCATENATE("https://portal.dnb.de/opac.htm?method=simpleSearch&amp;cqlMode=true&amp;query=idn%3D",C2271))</f>
        <v>https://portal.dnb.de/opac.htm?method=simpleSearch&amp;cqlMode=true&amp;query=idn%3D994644698</v>
      </c>
      <c r="E2271" s="74" t="s">
        <v>2323</v>
      </c>
      <c r="F2271" s="74"/>
      <c r="G2271" s="76"/>
      <c r="H2271" s="77"/>
      <c r="I2271" s="76"/>
      <c r="J2271" s="77"/>
      <c r="K2271" s="77"/>
      <c r="L2271" s="76"/>
      <c r="M2271" s="76"/>
      <c r="N2271" s="76"/>
      <c r="O2271" s="76"/>
      <c r="P2271" s="76"/>
      <c r="Q2271" s="76"/>
      <c r="R2271" s="76"/>
      <c r="S2271" s="76"/>
      <c r="BD2271" s="99">
        <f t="shared" si="73"/>
        <v>0</v>
      </c>
      <c r="CC2271" s="99"/>
      <c r="CV2271" s="99"/>
      <c r="CW2271" s="63"/>
    </row>
    <row r="2272" spans="1:101" x14ac:dyDescent="0.15">
      <c r="A2272" s="76">
        <v>2140</v>
      </c>
      <c r="B2272" s="74" t="s">
        <v>2324</v>
      </c>
      <c r="C2272" s="74">
        <v>993836585</v>
      </c>
      <c r="D2272" s="78" t="str">
        <f t="shared" si="74"/>
        <v>https://portal.dnb.de/opac.htm?method=simpleSearch&amp;cqlMode=true&amp;query=idn%3D993836585</v>
      </c>
      <c r="E2272" s="74" t="s">
        <v>2325</v>
      </c>
      <c r="F2272" s="74"/>
      <c r="G2272" s="76"/>
      <c r="H2272" s="77"/>
      <c r="I2272" s="76"/>
      <c r="J2272" s="77"/>
      <c r="K2272" s="77"/>
      <c r="L2272" s="76"/>
      <c r="M2272" s="76"/>
      <c r="N2272" s="76"/>
      <c r="O2272" s="76"/>
      <c r="P2272" s="76"/>
      <c r="Q2272" s="76"/>
      <c r="R2272" s="76"/>
      <c r="S2272" s="76"/>
      <c r="BD2272" s="99">
        <f t="shared" si="73"/>
        <v>0</v>
      </c>
      <c r="CC2272" s="99"/>
      <c r="CV2272" s="99"/>
      <c r="CW2272" s="63"/>
    </row>
    <row r="2273" spans="1:101" x14ac:dyDescent="0.15">
      <c r="A2273" s="76">
        <v>2141</v>
      </c>
      <c r="B2273" s="74" t="s">
        <v>2326</v>
      </c>
      <c r="C2273" s="74">
        <v>993836496</v>
      </c>
      <c r="D2273" s="78" t="str">
        <f t="shared" si="74"/>
        <v>https://portal.dnb.de/opac.htm?method=simpleSearch&amp;cqlMode=true&amp;query=idn%3D993836496</v>
      </c>
      <c r="E2273" s="74" t="s">
        <v>2325</v>
      </c>
      <c r="F2273" s="74"/>
      <c r="G2273" s="76"/>
      <c r="H2273" s="77"/>
      <c r="I2273" s="76"/>
      <c r="J2273" s="77"/>
      <c r="K2273" s="77"/>
      <c r="L2273" s="76"/>
      <c r="M2273" s="76"/>
      <c r="N2273" s="76"/>
      <c r="O2273" s="76"/>
      <c r="P2273" s="76"/>
      <c r="Q2273" s="76"/>
      <c r="R2273" s="76"/>
      <c r="S2273" s="76"/>
      <c r="BD2273" s="99">
        <f t="shared" si="73"/>
        <v>0</v>
      </c>
      <c r="CC2273" s="99"/>
      <c r="CV2273" s="99"/>
      <c r="CW2273" s="63"/>
    </row>
    <row r="2274" spans="1:101" x14ac:dyDescent="0.15">
      <c r="A2274" s="76">
        <v>2142</v>
      </c>
      <c r="B2274" s="74" t="s">
        <v>2327</v>
      </c>
      <c r="C2274" s="74" t="s">
        <v>2328</v>
      </c>
      <c r="D2274" s="78" t="str">
        <f t="shared" si="74"/>
        <v>https://portal.dnb.de/opac.htm?method=simpleSearch&amp;cqlMode=true&amp;query=idn%3D99885445X</v>
      </c>
      <c r="E2274" s="74" t="s">
        <v>2329</v>
      </c>
      <c r="F2274" s="74"/>
      <c r="G2274" s="76"/>
      <c r="H2274" s="77"/>
      <c r="I2274" s="76"/>
      <c r="J2274" s="77"/>
      <c r="K2274" s="77"/>
      <c r="L2274" s="76"/>
      <c r="M2274" s="76"/>
      <c r="N2274" s="76"/>
      <c r="O2274" s="76"/>
      <c r="P2274" s="76"/>
      <c r="Q2274" s="76"/>
      <c r="R2274" s="76"/>
      <c r="S2274" s="76"/>
      <c r="BD2274" s="99">
        <f t="shared" si="73"/>
        <v>0</v>
      </c>
      <c r="CC2274" s="99"/>
      <c r="CV2274" s="99"/>
      <c r="CW2274" s="63"/>
    </row>
    <row r="2275" spans="1:101" x14ac:dyDescent="0.15">
      <c r="A2275" s="76">
        <v>2143</v>
      </c>
      <c r="B2275" s="74" t="s">
        <v>2330</v>
      </c>
      <c r="C2275" s="74">
        <v>998847798</v>
      </c>
      <c r="D2275" s="78" t="str">
        <f t="shared" si="74"/>
        <v>https://portal.dnb.de/opac.htm?method=simpleSearch&amp;cqlMode=true&amp;query=idn%3D998847798</v>
      </c>
      <c r="E2275" s="74" t="s">
        <v>2329</v>
      </c>
      <c r="F2275" s="74"/>
      <c r="G2275" s="76"/>
      <c r="H2275" s="77"/>
      <c r="I2275" s="76"/>
      <c r="J2275" s="77"/>
      <c r="K2275" s="77"/>
      <c r="L2275" s="76"/>
      <c r="M2275" s="76"/>
      <c r="N2275" s="76"/>
      <c r="O2275" s="76"/>
      <c r="P2275" s="76"/>
      <c r="Q2275" s="76"/>
      <c r="R2275" s="76"/>
      <c r="S2275" s="76"/>
      <c r="BD2275" s="99">
        <f t="shared" si="73"/>
        <v>0</v>
      </c>
      <c r="CC2275" s="99"/>
      <c r="CV2275" s="99"/>
      <c r="CW2275" s="63"/>
    </row>
    <row r="2276" spans="1:101" x14ac:dyDescent="0.15">
      <c r="A2276" s="76">
        <v>2144</v>
      </c>
      <c r="B2276" s="74" t="s">
        <v>2334</v>
      </c>
      <c r="C2276" s="74">
        <v>1000086399</v>
      </c>
      <c r="D2276" s="78" t="str">
        <f t="shared" si="74"/>
        <v>https://portal.dnb.de/opac.htm?method=simpleSearch&amp;cqlMode=true&amp;query=idn%3D1000086399</v>
      </c>
      <c r="E2276" s="74" t="s">
        <v>2335</v>
      </c>
      <c r="F2276" s="74"/>
      <c r="G2276" s="76"/>
      <c r="H2276" s="77"/>
      <c r="I2276" s="76"/>
      <c r="J2276" s="77"/>
      <c r="K2276" s="77"/>
      <c r="L2276" s="76"/>
      <c r="M2276" s="76"/>
      <c r="N2276" s="76"/>
      <c r="O2276" s="76"/>
      <c r="P2276" s="76"/>
      <c r="Q2276" s="76"/>
      <c r="R2276" s="76"/>
      <c r="S2276" s="76"/>
      <c r="BD2276" s="99">
        <f t="shared" si="73"/>
        <v>0</v>
      </c>
      <c r="CC2276" s="99"/>
      <c r="CV2276" s="99"/>
      <c r="CW2276" s="63"/>
    </row>
    <row r="2277" spans="1:101" x14ac:dyDescent="0.15">
      <c r="A2277" s="76">
        <v>2145</v>
      </c>
      <c r="B2277" s="74" t="s">
        <v>2336</v>
      </c>
      <c r="C2277" s="74">
        <v>999154176</v>
      </c>
      <c r="D2277" s="78" t="str">
        <f t="shared" si="74"/>
        <v>https://portal.dnb.de/opac.htm?method=simpleSearch&amp;cqlMode=true&amp;query=idn%3D999154176</v>
      </c>
      <c r="E2277" s="74" t="s">
        <v>2337</v>
      </c>
      <c r="F2277" s="74"/>
      <c r="G2277" s="76"/>
      <c r="H2277" s="77"/>
      <c r="I2277" s="76"/>
      <c r="J2277" s="77"/>
      <c r="K2277" s="77"/>
      <c r="L2277" s="76"/>
      <c r="M2277" s="76"/>
      <c r="N2277" s="76"/>
      <c r="O2277" s="76"/>
      <c r="P2277" s="76"/>
      <c r="Q2277" s="76"/>
      <c r="R2277" s="76"/>
      <c r="S2277" s="76"/>
      <c r="BD2277" s="99">
        <f t="shared" si="73"/>
        <v>0</v>
      </c>
      <c r="CC2277" s="99"/>
      <c r="CV2277" s="99"/>
      <c r="CW2277" s="63"/>
    </row>
    <row r="2278" spans="1:101" ht="22.5" x14ac:dyDescent="0.15">
      <c r="A2278" s="76">
        <v>2146</v>
      </c>
      <c r="B2278" s="74" t="s">
        <v>2340</v>
      </c>
      <c r="C2278" s="74">
        <v>1003252575</v>
      </c>
      <c r="D2278" s="78" t="str">
        <f t="shared" si="74"/>
        <v>https://portal.dnb.de/opac.htm?method=simpleSearch&amp;cqlMode=true&amp;query=idn%3D1003252575</v>
      </c>
      <c r="E2278" s="74" t="s">
        <v>2341</v>
      </c>
      <c r="F2278" s="74"/>
      <c r="G2278" s="76"/>
      <c r="H2278" s="77" t="s">
        <v>48</v>
      </c>
      <c r="I2278" s="76" t="s">
        <v>53</v>
      </c>
      <c r="J2278" s="77" t="s">
        <v>89</v>
      </c>
      <c r="K2278" s="77" t="s">
        <v>8564</v>
      </c>
      <c r="L2278" s="76"/>
      <c r="M2278" s="76"/>
      <c r="N2278" s="76"/>
      <c r="O2278" s="76">
        <v>0</v>
      </c>
      <c r="P2278" s="76"/>
      <c r="Q2278" s="76"/>
      <c r="R2278" s="76"/>
      <c r="S2278" s="76"/>
      <c r="BD2278" s="99">
        <f t="shared" si="73"/>
        <v>0</v>
      </c>
      <c r="CC2278" s="99"/>
      <c r="CV2278" s="99"/>
      <c r="CW2278" s="63"/>
    </row>
    <row r="2279" spans="1:101" x14ac:dyDescent="0.15">
      <c r="A2279" s="76">
        <v>2147</v>
      </c>
      <c r="B2279" s="74" t="s">
        <v>2342</v>
      </c>
      <c r="C2279" s="74">
        <v>995357714</v>
      </c>
      <c r="D2279" s="78" t="str">
        <f t="shared" si="74"/>
        <v>https://portal.dnb.de/opac.htm?method=simpleSearch&amp;cqlMode=true&amp;query=idn%3D995357714</v>
      </c>
      <c r="E2279" s="74" t="s">
        <v>2343</v>
      </c>
      <c r="F2279" s="74"/>
      <c r="G2279" s="76" t="s">
        <v>8515</v>
      </c>
      <c r="H2279" s="77" t="s">
        <v>5</v>
      </c>
      <c r="I2279" s="76" t="s">
        <v>53</v>
      </c>
      <c r="J2279" s="77" t="s">
        <v>89</v>
      </c>
      <c r="K2279" s="77" t="s">
        <v>72</v>
      </c>
      <c r="L2279" s="76"/>
      <c r="M2279" s="76" t="s">
        <v>38</v>
      </c>
      <c r="N2279" s="76" t="s">
        <v>40</v>
      </c>
      <c r="O2279" s="76">
        <v>0</v>
      </c>
      <c r="P2279" s="76"/>
      <c r="Q2279" s="76"/>
      <c r="R2279" s="76"/>
      <c r="S2279" s="76"/>
      <c r="BD2279" s="99">
        <f t="shared" si="73"/>
        <v>0</v>
      </c>
      <c r="CC2279" s="99"/>
      <c r="CV2279" s="99"/>
      <c r="CW2279" s="63"/>
    </row>
    <row r="2280" spans="1:101" x14ac:dyDescent="0.15">
      <c r="A2280" s="76">
        <v>2148</v>
      </c>
      <c r="B2280" s="74" t="s">
        <v>2344</v>
      </c>
      <c r="C2280" s="74">
        <v>1002092876</v>
      </c>
      <c r="D2280" s="78" t="str">
        <f t="shared" si="74"/>
        <v>https://portal.dnb.de/opac.htm?method=simpleSearch&amp;cqlMode=true&amp;query=idn%3D1002092876</v>
      </c>
      <c r="E2280" s="74" t="s">
        <v>2345</v>
      </c>
      <c r="F2280" s="74"/>
      <c r="G2280" s="76"/>
      <c r="H2280" s="77"/>
      <c r="I2280" s="76"/>
      <c r="J2280" s="77"/>
      <c r="K2280" s="77"/>
      <c r="L2280" s="76"/>
      <c r="M2280" s="76"/>
      <c r="N2280" s="76"/>
      <c r="O2280" s="76"/>
      <c r="P2280" s="76"/>
      <c r="Q2280" s="76"/>
      <c r="R2280" s="76"/>
      <c r="S2280" s="76"/>
      <c r="BD2280" s="99">
        <f t="shared" si="73"/>
        <v>0</v>
      </c>
      <c r="CC2280" s="99"/>
      <c r="CV2280" s="99"/>
      <c r="CW2280" s="63"/>
    </row>
    <row r="2281" spans="1:101" x14ac:dyDescent="0.15">
      <c r="A2281" s="76">
        <v>2149</v>
      </c>
      <c r="B2281" s="74" t="s">
        <v>2346</v>
      </c>
      <c r="C2281" s="74">
        <v>1002092612</v>
      </c>
      <c r="D2281" s="78" t="str">
        <f t="shared" si="74"/>
        <v>https://portal.dnb.de/opac.htm?method=simpleSearch&amp;cqlMode=true&amp;query=idn%3D1002092612</v>
      </c>
      <c r="E2281" s="74" t="s">
        <v>2345</v>
      </c>
      <c r="F2281" s="74"/>
      <c r="G2281" s="76"/>
      <c r="H2281" s="77"/>
      <c r="I2281" s="76"/>
      <c r="J2281" s="77"/>
      <c r="K2281" s="77"/>
      <c r="L2281" s="76"/>
      <c r="M2281" s="76"/>
      <c r="N2281" s="76"/>
      <c r="O2281" s="76"/>
      <c r="P2281" s="76"/>
      <c r="Q2281" s="76"/>
      <c r="R2281" s="76"/>
      <c r="S2281" s="76"/>
      <c r="BD2281" s="99">
        <f t="shared" si="73"/>
        <v>0</v>
      </c>
      <c r="CC2281" s="99"/>
      <c r="CV2281" s="99"/>
      <c r="CW2281" s="63"/>
    </row>
    <row r="2282" spans="1:101" x14ac:dyDescent="0.15">
      <c r="A2282" s="76">
        <v>2150</v>
      </c>
      <c r="B2282" s="74" t="s">
        <v>2347</v>
      </c>
      <c r="C2282" s="74">
        <v>1002092272</v>
      </c>
      <c r="D2282" s="78" t="str">
        <f t="shared" si="74"/>
        <v>https://portal.dnb.de/opac.htm?method=simpleSearch&amp;cqlMode=true&amp;query=idn%3D1002092272</v>
      </c>
      <c r="E2282" s="74" t="s">
        <v>2345</v>
      </c>
      <c r="F2282" s="74"/>
      <c r="G2282" s="76" t="s">
        <v>8515</v>
      </c>
      <c r="H2282" s="77" t="s">
        <v>48</v>
      </c>
      <c r="I2282" s="76" t="s">
        <v>53</v>
      </c>
      <c r="J2282" s="77" t="s">
        <v>8516</v>
      </c>
      <c r="K2282" s="77" t="s">
        <v>84</v>
      </c>
      <c r="L2282" s="76"/>
      <c r="M2282" s="76"/>
      <c r="N2282" s="76" t="s">
        <v>8660</v>
      </c>
      <c r="O2282" s="76">
        <v>0</v>
      </c>
      <c r="P2282" s="76"/>
      <c r="Q2282" s="76"/>
      <c r="R2282" s="76"/>
      <c r="S2282" s="76"/>
      <c r="BD2282" s="99">
        <f t="shared" si="73"/>
        <v>0</v>
      </c>
      <c r="CC2282" s="99"/>
      <c r="CV2282" s="99"/>
      <c r="CW2282" s="63"/>
    </row>
    <row r="2283" spans="1:101" x14ac:dyDescent="0.15">
      <c r="A2283" s="76">
        <v>2151</v>
      </c>
      <c r="B2283" s="74" t="s">
        <v>2348</v>
      </c>
      <c r="C2283" s="74">
        <v>1002092728</v>
      </c>
      <c r="D2283" s="78" t="str">
        <f t="shared" si="74"/>
        <v>https://portal.dnb.de/opac.htm?method=simpleSearch&amp;cqlMode=true&amp;query=idn%3D1002092728</v>
      </c>
      <c r="E2283" s="74" t="s">
        <v>2345</v>
      </c>
      <c r="F2283" s="74"/>
      <c r="G2283" s="76"/>
      <c r="H2283" s="77"/>
      <c r="I2283" s="76"/>
      <c r="J2283" s="77"/>
      <c r="K2283" s="77"/>
      <c r="L2283" s="76"/>
      <c r="M2283" s="76"/>
      <c r="N2283" s="76"/>
      <c r="O2283" s="76"/>
      <c r="P2283" s="76"/>
      <c r="Q2283" s="76"/>
      <c r="R2283" s="76"/>
      <c r="S2283" s="76"/>
      <c r="BD2283" s="99">
        <f t="shared" si="73"/>
        <v>0</v>
      </c>
      <c r="CC2283" s="99"/>
      <c r="CV2283" s="99"/>
      <c r="CW2283" s="63"/>
    </row>
    <row r="2284" spans="1:101" x14ac:dyDescent="0.15">
      <c r="A2284" s="76">
        <v>2152</v>
      </c>
      <c r="B2284" s="74" t="s">
        <v>2349</v>
      </c>
      <c r="C2284" s="74">
        <v>1002093171</v>
      </c>
      <c r="D2284" s="78" t="str">
        <f t="shared" si="74"/>
        <v>https://portal.dnb.de/opac.htm?method=simpleSearch&amp;cqlMode=true&amp;query=idn%3D1002093171</v>
      </c>
      <c r="E2284" s="74" t="s">
        <v>2345</v>
      </c>
      <c r="F2284" s="74"/>
      <c r="G2284" s="76"/>
      <c r="H2284" s="77"/>
      <c r="I2284" s="76"/>
      <c r="J2284" s="77"/>
      <c r="K2284" s="77"/>
      <c r="L2284" s="76"/>
      <c r="M2284" s="76"/>
      <c r="N2284" s="76"/>
      <c r="O2284" s="76"/>
      <c r="P2284" s="76"/>
      <c r="Q2284" s="76"/>
      <c r="R2284" s="76"/>
      <c r="S2284" s="76"/>
      <c r="BD2284" s="99">
        <f t="shared" si="73"/>
        <v>0</v>
      </c>
      <c r="CC2284" s="99"/>
      <c r="CV2284" s="99"/>
      <c r="CW2284" s="63"/>
    </row>
    <row r="2285" spans="1:101" x14ac:dyDescent="0.15">
      <c r="A2285" s="76">
        <v>2153</v>
      </c>
      <c r="B2285" s="74" t="s">
        <v>2350</v>
      </c>
      <c r="C2285" s="74">
        <v>1002093066</v>
      </c>
      <c r="D2285" s="78" t="str">
        <f t="shared" si="74"/>
        <v>https://portal.dnb.de/opac.htm?method=simpleSearch&amp;cqlMode=true&amp;query=idn%3D1002093066</v>
      </c>
      <c r="E2285" s="74" t="s">
        <v>2345</v>
      </c>
      <c r="F2285" s="74"/>
      <c r="G2285" s="76"/>
      <c r="H2285" s="77"/>
      <c r="I2285" s="76"/>
      <c r="J2285" s="77"/>
      <c r="K2285" s="77"/>
      <c r="L2285" s="76"/>
      <c r="M2285" s="76"/>
      <c r="N2285" s="76"/>
      <c r="O2285" s="76"/>
      <c r="P2285" s="76"/>
      <c r="Q2285" s="76"/>
      <c r="R2285" s="76"/>
      <c r="S2285" s="76"/>
      <c r="BD2285" s="99">
        <f t="shared" si="73"/>
        <v>0</v>
      </c>
      <c r="CC2285" s="99"/>
      <c r="CV2285" s="99"/>
      <c r="CW2285" s="63"/>
    </row>
    <row r="2286" spans="1:101" x14ac:dyDescent="0.15">
      <c r="A2286" s="76">
        <v>2154</v>
      </c>
      <c r="B2286" s="74" t="s">
        <v>2351</v>
      </c>
      <c r="C2286" s="74">
        <v>1002092507</v>
      </c>
      <c r="D2286" s="78" t="str">
        <f t="shared" si="74"/>
        <v>https://portal.dnb.de/opac.htm?method=simpleSearch&amp;cqlMode=true&amp;query=idn%3D1002092507</v>
      </c>
      <c r="E2286" s="74" t="s">
        <v>2345</v>
      </c>
      <c r="F2286" s="74"/>
      <c r="G2286" s="76"/>
      <c r="H2286" s="77"/>
      <c r="I2286" s="76"/>
      <c r="J2286" s="77"/>
      <c r="K2286" s="77"/>
      <c r="L2286" s="76"/>
      <c r="M2286" s="76"/>
      <c r="N2286" s="76"/>
      <c r="O2286" s="76"/>
      <c r="P2286" s="76"/>
      <c r="Q2286" s="76"/>
      <c r="R2286" s="76"/>
      <c r="S2286" s="76"/>
      <c r="BD2286" s="99">
        <f t="shared" si="73"/>
        <v>0</v>
      </c>
      <c r="CC2286" s="99"/>
      <c r="CV2286" s="99"/>
      <c r="CW2286" s="63"/>
    </row>
    <row r="2287" spans="1:101" x14ac:dyDescent="0.15">
      <c r="A2287" s="76">
        <v>2155</v>
      </c>
      <c r="B2287" s="74" t="s">
        <v>2358</v>
      </c>
      <c r="C2287" s="74">
        <v>997673532</v>
      </c>
      <c r="D2287" s="78" t="str">
        <f t="shared" si="74"/>
        <v>https://portal.dnb.de/opac.htm?method=simpleSearch&amp;cqlMode=true&amp;query=idn%3D997673532</v>
      </c>
      <c r="E2287" s="74" t="s">
        <v>2359</v>
      </c>
      <c r="F2287" s="74"/>
      <c r="G2287" s="76"/>
      <c r="H2287" s="77" t="s">
        <v>49</v>
      </c>
      <c r="I2287" s="76" t="s">
        <v>53</v>
      </c>
      <c r="J2287" s="77" t="s">
        <v>58</v>
      </c>
      <c r="K2287" s="77" t="s">
        <v>84</v>
      </c>
      <c r="L2287" s="76"/>
      <c r="M2287" s="76"/>
      <c r="N2287" s="76"/>
      <c r="O2287" s="76">
        <v>0</v>
      </c>
      <c r="P2287" s="76"/>
      <c r="Q2287" s="76"/>
      <c r="R2287" s="76"/>
      <c r="S2287" s="76"/>
      <c r="BD2287" s="99">
        <f t="shared" si="73"/>
        <v>0</v>
      </c>
      <c r="CC2287" s="99"/>
      <c r="CV2287" s="99"/>
      <c r="CW2287" s="63"/>
    </row>
    <row r="2288" spans="1:101" ht="22.5" x14ac:dyDescent="0.15">
      <c r="A2288" s="76">
        <v>2156</v>
      </c>
      <c r="B2288" s="74" t="s">
        <v>2362</v>
      </c>
      <c r="C2288" s="74">
        <v>998946788</v>
      </c>
      <c r="D2288" s="78" t="str">
        <f t="shared" si="74"/>
        <v>https://portal.dnb.de/opac.htm?method=simpleSearch&amp;cqlMode=true&amp;query=idn%3D998946788</v>
      </c>
      <c r="E2288" s="74" t="s">
        <v>2363</v>
      </c>
      <c r="F2288" s="74"/>
      <c r="G2288" s="76" t="s">
        <v>8515</v>
      </c>
      <c r="H2288" s="77" t="s">
        <v>48</v>
      </c>
      <c r="I2288" s="76" t="s">
        <v>53</v>
      </c>
      <c r="J2288" s="77" t="s">
        <v>8516</v>
      </c>
      <c r="K2288" s="77" t="s">
        <v>8564</v>
      </c>
      <c r="L2288" s="76"/>
      <c r="M2288" s="76"/>
      <c r="N2288" s="76"/>
      <c r="O2288" s="76">
        <v>0</v>
      </c>
      <c r="P2288" s="76"/>
      <c r="Q2288" s="76"/>
      <c r="R2288" s="76"/>
      <c r="S2288" s="76"/>
      <c r="BD2288" s="99">
        <f t="shared" si="73"/>
        <v>0</v>
      </c>
      <c r="CC2288" s="99"/>
      <c r="CV2288" s="99"/>
      <c r="CW2288" s="63"/>
    </row>
    <row r="2289" spans="1:101" x14ac:dyDescent="0.15">
      <c r="A2289" s="76">
        <v>2157</v>
      </c>
      <c r="B2289" s="74" t="s">
        <v>2364</v>
      </c>
      <c r="C2289" s="74" t="s">
        <v>2365</v>
      </c>
      <c r="D2289" s="78" t="str">
        <f t="shared" si="74"/>
        <v>https://portal.dnb.de/opac.htm?method=simpleSearch&amp;cqlMode=true&amp;query=idn%3D99494814X</v>
      </c>
      <c r="E2289" s="74" t="s">
        <v>2366</v>
      </c>
      <c r="F2289" s="74"/>
      <c r="G2289" s="76"/>
      <c r="H2289" s="77"/>
      <c r="I2289" s="76"/>
      <c r="J2289" s="77"/>
      <c r="K2289" s="77"/>
      <c r="L2289" s="76"/>
      <c r="M2289" s="76"/>
      <c r="N2289" s="76"/>
      <c r="O2289" s="76"/>
      <c r="P2289" s="76"/>
      <c r="Q2289" s="76"/>
      <c r="R2289" s="76"/>
      <c r="S2289" s="76"/>
      <c r="BD2289" s="99">
        <f t="shared" si="73"/>
        <v>0</v>
      </c>
      <c r="CC2289" s="99"/>
      <c r="CV2289" s="99"/>
      <c r="CW2289" s="63"/>
    </row>
    <row r="2290" spans="1:101" x14ac:dyDescent="0.15">
      <c r="A2290" s="76">
        <v>2158</v>
      </c>
      <c r="B2290" s="74" t="s">
        <v>2367</v>
      </c>
      <c r="C2290" s="74">
        <v>994948026</v>
      </c>
      <c r="D2290" s="78" t="str">
        <f t="shared" si="74"/>
        <v>https://portal.dnb.de/opac.htm?method=simpleSearch&amp;cqlMode=true&amp;query=idn%3D994948026</v>
      </c>
      <c r="E2290" s="74" t="s">
        <v>2366</v>
      </c>
      <c r="F2290" s="74"/>
      <c r="G2290" s="76"/>
      <c r="H2290" s="77"/>
      <c r="I2290" s="76"/>
      <c r="J2290" s="77"/>
      <c r="K2290" s="77"/>
      <c r="L2290" s="76"/>
      <c r="M2290" s="76"/>
      <c r="N2290" s="76"/>
      <c r="O2290" s="76"/>
      <c r="P2290" s="76"/>
      <c r="Q2290" s="76"/>
      <c r="R2290" s="76"/>
      <c r="S2290" s="76"/>
      <c r="BD2290" s="99">
        <f t="shared" si="73"/>
        <v>0</v>
      </c>
      <c r="CC2290" s="99"/>
      <c r="CV2290" s="99"/>
      <c r="CW2290" s="63"/>
    </row>
    <row r="2291" spans="1:101" x14ac:dyDescent="0.15">
      <c r="A2291" s="76">
        <v>2159</v>
      </c>
      <c r="B2291" s="74" t="s">
        <v>2368</v>
      </c>
      <c r="C2291" s="74">
        <v>994194005</v>
      </c>
      <c r="D2291" s="78" t="str">
        <f t="shared" si="74"/>
        <v>https://portal.dnb.de/opac.htm?method=simpleSearch&amp;cqlMode=true&amp;query=idn%3D994194005</v>
      </c>
      <c r="E2291" s="74" t="s">
        <v>10138</v>
      </c>
      <c r="F2291" s="74"/>
      <c r="G2291" s="76"/>
      <c r="H2291" s="77"/>
      <c r="I2291" s="76"/>
      <c r="J2291" s="77"/>
      <c r="K2291" s="77"/>
      <c r="L2291" s="76"/>
      <c r="M2291" s="76"/>
      <c r="N2291" s="76"/>
      <c r="O2291" s="76"/>
      <c r="P2291" s="76"/>
      <c r="Q2291" s="76"/>
      <c r="R2291" s="76"/>
      <c r="S2291" s="76"/>
      <c r="BD2291" s="99">
        <f t="shared" si="73"/>
        <v>0</v>
      </c>
      <c r="CC2291" s="99"/>
      <c r="CV2291" s="99"/>
      <c r="CW2291" s="63"/>
    </row>
    <row r="2292" spans="1:101" x14ac:dyDescent="0.15">
      <c r="A2292" s="76">
        <v>2160</v>
      </c>
      <c r="B2292" s="74" t="s">
        <v>2369</v>
      </c>
      <c r="C2292" s="74" t="s">
        <v>2370</v>
      </c>
      <c r="D2292" s="78" t="str">
        <f t="shared" si="74"/>
        <v>https://portal.dnb.de/opac.htm?method=simpleSearch&amp;cqlMode=true&amp;query=idn%3D99419398X</v>
      </c>
      <c r="E2292" s="74" t="s">
        <v>10138</v>
      </c>
      <c r="F2292" s="74"/>
      <c r="G2292" s="76"/>
      <c r="H2292" s="77"/>
      <c r="I2292" s="76"/>
      <c r="J2292" s="77"/>
      <c r="K2292" s="77"/>
      <c r="L2292" s="76"/>
      <c r="M2292" s="76"/>
      <c r="N2292" s="76"/>
      <c r="O2292" s="76"/>
      <c r="P2292" s="76"/>
      <c r="Q2292" s="76"/>
      <c r="R2292" s="76"/>
      <c r="S2292" s="76"/>
      <c r="BD2292" s="99">
        <f t="shared" si="73"/>
        <v>0</v>
      </c>
      <c r="CC2292" s="99"/>
      <c r="CV2292" s="99"/>
      <c r="CW2292" s="63"/>
    </row>
    <row r="2293" spans="1:101" ht="22.5" x14ac:dyDescent="0.15">
      <c r="A2293" s="76">
        <v>2161</v>
      </c>
      <c r="B2293" s="74" t="s">
        <v>2371</v>
      </c>
      <c r="C2293" s="74">
        <v>994193963</v>
      </c>
      <c r="D2293" s="78" t="str">
        <f t="shared" si="74"/>
        <v>https://portal.dnb.de/opac.htm?method=simpleSearch&amp;cqlMode=true&amp;query=idn%3D994193963</v>
      </c>
      <c r="E2293" s="74" t="s">
        <v>10140</v>
      </c>
      <c r="F2293" s="74"/>
      <c r="G2293" s="76"/>
      <c r="H2293" s="77"/>
      <c r="I2293" s="76" t="s">
        <v>53</v>
      </c>
      <c r="J2293" s="77"/>
      <c r="K2293" s="77"/>
      <c r="L2293" s="76"/>
      <c r="M2293" s="76"/>
      <c r="N2293" s="76"/>
      <c r="O2293" s="76"/>
      <c r="P2293" s="76"/>
      <c r="Q2293" s="76"/>
      <c r="R2293" s="76"/>
      <c r="S2293" s="76"/>
      <c r="Y2293" s="95" t="s">
        <v>9729</v>
      </c>
      <c r="AC2293" s="95" t="s">
        <v>9739</v>
      </c>
      <c r="AI2293" s="95" t="s">
        <v>9725</v>
      </c>
      <c r="AW2293" s="95">
        <v>45</v>
      </c>
      <c r="BC2293" s="96" t="s">
        <v>9726</v>
      </c>
      <c r="BD2293" s="99">
        <f t="shared" si="73"/>
        <v>2</v>
      </c>
      <c r="BP2293" s="69" t="s">
        <v>8541</v>
      </c>
      <c r="BQ2293" s="95" t="s">
        <v>8541</v>
      </c>
      <c r="BR2293" s="95" t="s">
        <v>8541</v>
      </c>
      <c r="BT2293" s="95" t="s">
        <v>9737</v>
      </c>
      <c r="BY2293" s="95" t="s">
        <v>8541</v>
      </c>
      <c r="CC2293" s="99">
        <v>2</v>
      </c>
      <c r="CD2293" s="90" t="s">
        <v>10141</v>
      </c>
      <c r="CV2293" s="99"/>
      <c r="CW2293" s="63"/>
    </row>
    <row r="2294" spans="1:101" x14ac:dyDescent="0.15">
      <c r="A2294" s="76">
        <v>2162</v>
      </c>
      <c r="B2294" s="74" t="s">
        <v>2372</v>
      </c>
      <c r="C2294" s="74">
        <v>994193939</v>
      </c>
      <c r="D2294" s="78" t="str">
        <f t="shared" si="74"/>
        <v>https://portal.dnb.de/opac.htm?method=simpleSearch&amp;cqlMode=true&amp;query=idn%3D994193939</v>
      </c>
      <c r="E2294" s="74" t="s">
        <v>10138</v>
      </c>
      <c r="F2294" s="74"/>
      <c r="G2294" s="76"/>
      <c r="H2294" s="77"/>
      <c r="I2294" s="76"/>
      <c r="J2294" s="77"/>
      <c r="K2294" s="77"/>
      <c r="L2294" s="76"/>
      <c r="M2294" s="76"/>
      <c r="N2294" s="76"/>
      <c r="O2294" s="76"/>
      <c r="P2294" s="76"/>
      <c r="Q2294" s="76"/>
      <c r="R2294" s="76"/>
      <c r="S2294" s="76"/>
      <c r="BD2294" s="99">
        <f t="shared" si="73"/>
        <v>0</v>
      </c>
      <c r="CC2294" s="99"/>
      <c r="CV2294" s="99"/>
      <c r="CW2294" s="63"/>
    </row>
    <row r="2295" spans="1:101" ht="22.5" x14ac:dyDescent="0.15">
      <c r="A2295" s="76">
        <v>2163</v>
      </c>
      <c r="B2295" s="74" t="s">
        <v>2373</v>
      </c>
      <c r="C2295" s="74">
        <v>994193912</v>
      </c>
      <c r="D2295" s="78" t="str">
        <f t="shared" si="74"/>
        <v>https://portal.dnb.de/opac.htm?method=simpleSearch&amp;cqlMode=true&amp;query=idn%3D994193912</v>
      </c>
      <c r="E2295" s="74" t="s">
        <v>10139</v>
      </c>
      <c r="F2295" s="74"/>
      <c r="G2295" s="76"/>
      <c r="H2295" s="77"/>
      <c r="I2295" s="76" t="s">
        <v>53</v>
      </c>
      <c r="J2295" s="77"/>
      <c r="K2295" s="77"/>
      <c r="L2295" s="76"/>
      <c r="M2295" s="76"/>
      <c r="N2295" s="76"/>
      <c r="O2295" s="76"/>
      <c r="P2295" s="76"/>
      <c r="Q2295" s="76"/>
      <c r="R2295" s="76"/>
      <c r="S2295" s="76"/>
      <c r="Y2295" s="95" t="s">
        <v>9729</v>
      </c>
      <c r="AC2295" s="95" t="s">
        <v>9739</v>
      </c>
      <c r="AI2295" s="95" t="s">
        <v>9725</v>
      </c>
      <c r="AW2295" s="95">
        <v>45</v>
      </c>
      <c r="BC2295" s="96" t="s">
        <v>9726</v>
      </c>
      <c r="BD2295" s="99">
        <f t="shared" si="73"/>
        <v>2</v>
      </c>
      <c r="BP2295" s="69" t="s">
        <v>8541</v>
      </c>
      <c r="BQ2295" s="95" t="s">
        <v>8541</v>
      </c>
      <c r="BR2295" s="95" t="s">
        <v>8541</v>
      </c>
      <c r="BT2295" s="95" t="s">
        <v>9772</v>
      </c>
      <c r="BV2295" s="95" t="s">
        <v>8541</v>
      </c>
      <c r="BY2295" s="95" t="s">
        <v>8541</v>
      </c>
      <c r="CC2295" s="99">
        <v>2</v>
      </c>
      <c r="CD2295" s="90" t="s">
        <v>10142</v>
      </c>
      <c r="CV2295" s="99"/>
      <c r="CW2295" s="63"/>
    </row>
    <row r="2296" spans="1:101" x14ac:dyDescent="0.15">
      <c r="A2296" s="76">
        <v>2164</v>
      </c>
      <c r="B2296" s="74" t="s">
        <v>2374</v>
      </c>
      <c r="C2296" s="74">
        <v>998855812</v>
      </c>
      <c r="D2296" s="78" t="str">
        <f t="shared" si="74"/>
        <v>https://portal.dnb.de/opac.htm?method=simpleSearch&amp;cqlMode=true&amp;query=idn%3D998855812</v>
      </c>
      <c r="E2296" s="74" t="s">
        <v>2375</v>
      </c>
      <c r="F2296" s="74"/>
      <c r="G2296" s="76"/>
      <c r="H2296" s="77"/>
      <c r="I2296" s="76"/>
      <c r="J2296" s="77"/>
      <c r="K2296" s="77"/>
      <c r="L2296" s="76"/>
      <c r="M2296" s="76"/>
      <c r="N2296" s="76"/>
      <c r="O2296" s="76"/>
      <c r="P2296" s="76"/>
      <c r="Q2296" s="76"/>
      <c r="R2296" s="76"/>
      <c r="S2296" s="76"/>
      <c r="BD2296" s="99">
        <f t="shared" si="73"/>
        <v>0</v>
      </c>
      <c r="CC2296" s="99"/>
      <c r="CV2296" s="99"/>
      <c r="CW2296" s="63"/>
    </row>
    <row r="2297" spans="1:101" x14ac:dyDescent="0.15">
      <c r="A2297" s="76">
        <v>2165</v>
      </c>
      <c r="B2297" s="74" t="s">
        <v>2376</v>
      </c>
      <c r="C2297" s="74">
        <v>996652779</v>
      </c>
      <c r="D2297" s="78" t="str">
        <f t="shared" si="74"/>
        <v>https://portal.dnb.de/opac.htm?method=simpleSearch&amp;cqlMode=true&amp;query=idn%3D996652779</v>
      </c>
      <c r="E2297" s="74" t="s">
        <v>2377</v>
      </c>
      <c r="F2297" s="74"/>
      <c r="G2297" s="76"/>
      <c r="H2297" s="77"/>
      <c r="I2297" s="76"/>
      <c r="J2297" s="77"/>
      <c r="K2297" s="77"/>
      <c r="L2297" s="76"/>
      <c r="M2297" s="76"/>
      <c r="N2297" s="76"/>
      <c r="O2297" s="76"/>
      <c r="P2297" s="76"/>
      <c r="Q2297" s="76"/>
      <c r="R2297" s="76"/>
      <c r="S2297" s="76"/>
      <c r="BD2297" s="99">
        <f t="shared" si="73"/>
        <v>0</v>
      </c>
      <c r="CC2297" s="99"/>
      <c r="CV2297" s="99"/>
      <c r="CW2297" s="63"/>
    </row>
    <row r="2298" spans="1:101" x14ac:dyDescent="0.15">
      <c r="A2298" s="76">
        <v>2166</v>
      </c>
      <c r="B2298" s="74" t="s">
        <v>2378</v>
      </c>
      <c r="C2298" s="74" t="s">
        <v>2379</v>
      </c>
      <c r="D2298" s="78" t="str">
        <f t="shared" si="74"/>
        <v>https://portal.dnb.de/opac.htm?method=simpleSearch&amp;cqlMode=true&amp;query=idn%3D99464258X</v>
      </c>
      <c r="E2298" s="74" t="s">
        <v>2380</v>
      </c>
      <c r="F2298" s="74"/>
      <c r="G2298" s="76"/>
      <c r="H2298" s="77"/>
      <c r="I2298" s="76"/>
      <c r="J2298" s="77"/>
      <c r="K2298" s="77"/>
      <c r="L2298" s="76"/>
      <c r="M2298" s="76"/>
      <c r="N2298" s="76"/>
      <c r="O2298" s="76"/>
      <c r="P2298" s="76"/>
      <c r="Q2298" s="76"/>
      <c r="R2298" s="76"/>
      <c r="S2298" s="76"/>
      <c r="BD2298" s="99">
        <f t="shared" si="73"/>
        <v>0</v>
      </c>
      <c r="CC2298" s="99"/>
      <c r="CV2298" s="99"/>
      <c r="CW2298" s="63"/>
    </row>
    <row r="2299" spans="1:101" x14ac:dyDescent="0.15">
      <c r="A2299" s="76">
        <v>2167</v>
      </c>
      <c r="B2299" s="74" t="s">
        <v>2381</v>
      </c>
      <c r="C2299" s="74">
        <v>994642318</v>
      </c>
      <c r="D2299" s="78" t="str">
        <f t="shared" si="74"/>
        <v>https://portal.dnb.de/opac.htm?method=simpleSearch&amp;cqlMode=true&amp;query=idn%3D994642318</v>
      </c>
      <c r="E2299" s="74" t="s">
        <v>2380</v>
      </c>
      <c r="F2299" s="74"/>
      <c r="G2299" s="76"/>
      <c r="H2299" s="77"/>
      <c r="I2299" s="76"/>
      <c r="J2299" s="77"/>
      <c r="K2299" s="77"/>
      <c r="L2299" s="76"/>
      <c r="M2299" s="76"/>
      <c r="N2299" s="76"/>
      <c r="O2299" s="76"/>
      <c r="P2299" s="76"/>
      <c r="Q2299" s="76"/>
      <c r="R2299" s="76"/>
      <c r="S2299" s="76"/>
      <c r="BD2299" s="99">
        <f t="shared" si="73"/>
        <v>0</v>
      </c>
      <c r="CC2299" s="99"/>
      <c r="CV2299" s="99"/>
      <c r="CW2299" s="63"/>
    </row>
    <row r="2300" spans="1:101" x14ac:dyDescent="0.15">
      <c r="A2300" s="76">
        <v>2168</v>
      </c>
      <c r="B2300" s="74" t="s">
        <v>2382</v>
      </c>
      <c r="C2300" s="74">
        <v>1000025543</v>
      </c>
      <c r="D2300" s="78" t="str">
        <f t="shared" si="74"/>
        <v>https://portal.dnb.de/opac.htm?method=simpleSearch&amp;cqlMode=true&amp;query=idn%3D1000025543</v>
      </c>
      <c r="E2300" s="74" t="s">
        <v>2383</v>
      </c>
      <c r="F2300" s="74"/>
      <c r="G2300" s="76"/>
      <c r="H2300" s="77"/>
      <c r="I2300" s="76"/>
      <c r="J2300" s="77"/>
      <c r="K2300" s="77"/>
      <c r="L2300" s="76"/>
      <c r="M2300" s="76"/>
      <c r="N2300" s="76"/>
      <c r="O2300" s="76"/>
      <c r="P2300" s="76"/>
      <c r="Q2300" s="76"/>
      <c r="R2300" s="76"/>
      <c r="S2300" s="76"/>
      <c r="BD2300" s="99">
        <f t="shared" si="73"/>
        <v>0</v>
      </c>
      <c r="CC2300" s="99"/>
      <c r="CV2300" s="99"/>
      <c r="CW2300" s="63"/>
    </row>
    <row r="2301" spans="1:101" x14ac:dyDescent="0.15">
      <c r="A2301" s="76">
        <v>2169</v>
      </c>
      <c r="B2301" s="74" t="s">
        <v>2384</v>
      </c>
      <c r="C2301" s="74">
        <v>1001482204</v>
      </c>
      <c r="D2301" s="78" t="str">
        <f t="shared" si="74"/>
        <v>https://portal.dnb.de/opac.htm?method=simpleSearch&amp;cqlMode=true&amp;query=idn%3D1001482204</v>
      </c>
      <c r="E2301" s="74" t="s">
        <v>2383</v>
      </c>
      <c r="F2301" s="74"/>
      <c r="G2301" s="76"/>
      <c r="H2301" s="77"/>
      <c r="I2301" s="76"/>
      <c r="J2301" s="77"/>
      <c r="K2301" s="77"/>
      <c r="L2301" s="76"/>
      <c r="M2301" s="76"/>
      <c r="N2301" s="76"/>
      <c r="O2301" s="76"/>
      <c r="P2301" s="76"/>
      <c r="Q2301" s="76"/>
      <c r="R2301" s="76"/>
      <c r="S2301" s="76"/>
      <c r="BD2301" s="99">
        <f t="shared" si="73"/>
        <v>0</v>
      </c>
      <c r="CC2301" s="99"/>
      <c r="CV2301" s="99"/>
      <c r="CW2301" s="63"/>
    </row>
    <row r="2302" spans="1:101" x14ac:dyDescent="0.15">
      <c r="A2302" s="76">
        <v>2170</v>
      </c>
      <c r="B2302" s="74" t="s">
        <v>2385</v>
      </c>
      <c r="C2302" s="74" t="s">
        <v>2386</v>
      </c>
      <c r="D2302" s="78" t="str">
        <f t="shared" si="74"/>
        <v>https://portal.dnb.de/opac.htm?method=simpleSearch&amp;cqlMode=true&amp;query=idn%3D99961827X</v>
      </c>
      <c r="E2302" s="74" t="s">
        <v>2387</v>
      </c>
      <c r="F2302" s="74"/>
      <c r="G2302" s="76"/>
      <c r="H2302" s="77"/>
      <c r="I2302" s="76"/>
      <c r="J2302" s="77"/>
      <c r="K2302" s="77"/>
      <c r="L2302" s="76"/>
      <c r="M2302" s="76"/>
      <c r="N2302" s="76"/>
      <c r="O2302" s="76"/>
      <c r="P2302" s="76"/>
      <c r="Q2302" s="76"/>
      <c r="R2302" s="76"/>
      <c r="S2302" s="76"/>
      <c r="BD2302" s="99">
        <f t="shared" si="73"/>
        <v>0</v>
      </c>
      <c r="CC2302" s="99"/>
      <c r="CV2302" s="99"/>
      <c r="CW2302" s="63"/>
    </row>
    <row r="2303" spans="1:101" ht="33.75" x14ac:dyDescent="0.15">
      <c r="A2303" s="76">
        <v>2171</v>
      </c>
      <c r="B2303" s="74" t="s">
        <v>2388</v>
      </c>
      <c r="C2303" s="74">
        <v>998087297</v>
      </c>
      <c r="D2303" s="78" t="str">
        <f t="shared" si="74"/>
        <v>https://portal.dnb.de/opac.htm?method=simpleSearch&amp;cqlMode=true&amp;query=idn%3D998087297</v>
      </c>
      <c r="E2303" s="74" t="s">
        <v>2389</v>
      </c>
      <c r="F2303" s="74"/>
      <c r="G2303" s="76"/>
      <c r="H2303" s="77"/>
      <c r="I2303" s="76" t="s">
        <v>54</v>
      </c>
      <c r="J2303" s="77"/>
      <c r="K2303" s="77"/>
      <c r="L2303" s="76"/>
      <c r="M2303" s="76"/>
      <c r="N2303" s="76"/>
      <c r="O2303" s="76"/>
      <c r="P2303" s="76"/>
      <c r="Q2303" s="76"/>
      <c r="R2303" s="76"/>
      <c r="S2303" s="76"/>
      <c r="Y2303" s="95" t="s">
        <v>9731</v>
      </c>
      <c r="AI2303" s="95" t="s">
        <v>9725</v>
      </c>
      <c r="AL2303" s="95" t="s">
        <v>8541</v>
      </c>
      <c r="AW2303" s="95" t="s">
        <v>9733</v>
      </c>
      <c r="BC2303" s="96" t="s">
        <v>9726</v>
      </c>
      <c r="BD2303" s="99">
        <f t="shared" si="73"/>
        <v>2</v>
      </c>
      <c r="BI2303" s="95" t="s">
        <v>8541</v>
      </c>
      <c r="BL2303" s="70" t="s">
        <v>10143</v>
      </c>
      <c r="BO2303" s="70" t="s">
        <v>10144</v>
      </c>
      <c r="BP2303" s="69" t="s">
        <v>8541</v>
      </c>
      <c r="BR2303" s="95" t="s">
        <v>8541</v>
      </c>
      <c r="CC2303" s="99">
        <v>2</v>
      </c>
      <c r="CD2303" s="90" t="s">
        <v>10145</v>
      </c>
      <c r="CV2303" s="99"/>
      <c r="CW2303" s="63"/>
    </row>
    <row r="2304" spans="1:101" ht="22.5" x14ac:dyDescent="0.15">
      <c r="A2304" s="76">
        <v>2172</v>
      </c>
      <c r="B2304" s="74" t="s">
        <v>2396</v>
      </c>
      <c r="C2304" s="74">
        <v>998087467</v>
      </c>
      <c r="D2304" s="78" t="str">
        <f t="shared" si="74"/>
        <v>https://portal.dnb.de/opac.htm?method=simpleSearch&amp;cqlMode=true&amp;query=idn%3D998087467</v>
      </c>
      <c r="E2304" s="74" t="s">
        <v>2397</v>
      </c>
      <c r="F2304" s="74"/>
      <c r="G2304" s="76"/>
      <c r="H2304" s="77"/>
      <c r="I2304" s="76" t="s">
        <v>54</v>
      </c>
      <c r="J2304" s="77"/>
      <c r="K2304" s="77"/>
      <c r="L2304" s="76"/>
      <c r="M2304" s="76"/>
      <c r="N2304" s="76"/>
      <c r="O2304" s="76"/>
      <c r="P2304" s="76"/>
      <c r="Q2304" s="76"/>
      <c r="R2304" s="76"/>
      <c r="S2304" s="76"/>
      <c r="Y2304" s="95" t="s">
        <v>9731</v>
      </c>
      <c r="AI2304" s="95" t="s">
        <v>9725</v>
      </c>
      <c r="AL2304" s="95" t="s">
        <v>8541</v>
      </c>
      <c r="AW2304" s="95" t="s">
        <v>9733</v>
      </c>
      <c r="BC2304" s="96" t="s">
        <v>9726</v>
      </c>
      <c r="BD2304" s="99">
        <f t="shared" si="73"/>
        <v>2.5</v>
      </c>
      <c r="BI2304" s="95" t="s">
        <v>8541</v>
      </c>
      <c r="BL2304" s="70" t="s">
        <v>10143</v>
      </c>
      <c r="BO2304" s="70" t="s">
        <v>10144</v>
      </c>
      <c r="BP2304" s="69" t="s">
        <v>8541</v>
      </c>
      <c r="BR2304" s="95" t="s">
        <v>8541</v>
      </c>
      <c r="CC2304" s="99">
        <v>2.5</v>
      </c>
      <c r="CD2304" s="90" t="s">
        <v>10146</v>
      </c>
      <c r="CV2304" s="99"/>
      <c r="CW2304" s="63"/>
    </row>
    <row r="2305" spans="1:101" x14ac:dyDescent="0.15">
      <c r="A2305" s="76">
        <v>2173</v>
      </c>
      <c r="B2305" s="74" t="s">
        <v>2413</v>
      </c>
      <c r="C2305" s="74">
        <v>997169117</v>
      </c>
      <c r="D2305" s="78" t="str">
        <f t="shared" si="74"/>
        <v>https://portal.dnb.de/opac.htm?method=simpleSearch&amp;cqlMode=true&amp;query=idn%3D997169117</v>
      </c>
      <c r="E2305" s="74" t="s">
        <v>2414</v>
      </c>
      <c r="F2305" s="74"/>
      <c r="G2305" s="76"/>
      <c r="H2305" s="77"/>
      <c r="I2305" s="76"/>
      <c r="J2305" s="77"/>
      <c r="K2305" s="77"/>
      <c r="L2305" s="76"/>
      <c r="M2305" s="76"/>
      <c r="N2305" s="76"/>
      <c r="O2305" s="76"/>
      <c r="P2305" s="76"/>
      <c r="Q2305" s="76"/>
      <c r="R2305" s="76"/>
      <c r="S2305" s="76"/>
      <c r="BD2305" s="99">
        <f t="shared" si="73"/>
        <v>0</v>
      </c>
      <c r="CC2305" s="99"/>
      <c r="CV2305" s="99"/>
      <c r="CW2305" s="63"/>
    </row>
    <row r="2306" spans="1:101" x14ac:dyDescent="0.15">
      <c r="A2306" s="76">
        <v>2174</v>
      </c>
      <c r="B2306" s="74" t="s">
        <v>2293</v>
      </c>
      <c r="C2306" s="74">
        <v>1211114090</v>
      </c>
      <c r="D2306" s="78" t="str">
        <f t="shared" si="74"/>
        <v>https://portal.dnb.de/opac.htm?method=simpleSearch&amp;cqlMode=true&amp;query=idn%3D1211114090</v>
      </c>
      <c r="E2306" s="74" t="s">
        <v>2294</v>
      </c>
      <c r="F2306" s="74"/>
      <c r="G2306" s="76"/>
      <c r="H2306" s="77"/>
      <c r="I2306" s="76"/>
      <c r="J2306" s="77"/>
      <c r="K2306" s="77"/>
      <c r="L2306" s="76"/>
      <c r="M2306" s="76"/>
      <c r="N2306" s="76"/>
      <c r="O2306" s="76"/>
      <c r="P2306" s="76"/>
      <c r="Q2306" s="76"/>
      <c r="R2306" s="76"/>
      <c r="S2306" s="76"/>
      <c r="BD2306" s="99">
        <f t="shared" si="73"/>
        <v>0</v>
      </c>
      <c r="CC2306" s="99"/>
      <c r="CV2306" s="99"/>
      <c r="CW2306" s="63"/>
    </row>
    <row r="2307" spans="1:101" x14ac:dyDescent="0.15">
      <c r="A2307" s="76">
        <v>2175</v>
      </c>
      <c r="B2307" s="74" t="s">
        <v>2295</v>
      </c>
      <c r="C2307" s="74">
        <v>1211107302</v>
      </c>
      <c r="D2307" s="78" t="str">
        <f t="shared" si="74"/>
        <v>https://portal.dnb.de/opac.htm?method=simpleSearch&amp;cqlMode=true&amp;query=idn%3D1211107302</v>
      </c>
      <c r="E2307" s="74" t="s">
        <v>2296</v>
      </c>
      <c r="F2307" s="74"/>
      <c r="G2307" s="76"/>
      <c r="H2307" s="77"/>
      <c r="I2307" s="76"/>
      <c r="J2307" s="77"/>
      <c r="K2307" s="77"/>
      <c r="L2307" s="76"/>
      <c r="M2307" s="76"/>
      <c r="N2307" s="76"/>
      <c r="O2307" s="76"/>
      <c r="P2307" s="76"/>
      <c r="Q2307" s="76"/>
      <c r="R2307" s="76"/>
      <c r="S2307" s="76"/>
      <c r="BD2307" s="99">
        <f t="shared" ref="BD2307:BD2370" si="75">CC2307+CV2307</f>
        <v>0</v>
      </c>
      <c r="CC2307" s="99"/>
      <c r="CV2307" s="99"/>
      <c r="CW2307" s="63"/>
    </row>
    <row r="2308" spans="1:101" x14ac:dyDescent="0.15">
      <c r="A2308" s="76">
        <v>2176</v>
      </c>
      <c r="B2308" s="74" t="s">
        <v>2297</v>
      </c>
      <c r="C2308" s="74">
        <v>1211128954</v>
      </c>
      <c r="D2308" s="78" t="str">
        <f t="shared" si="74"/>
        <v>https://portal.dnb.de/opac.htm?method=simpleSearch&amp;cqlMode=true&amp;query=idn%3D1211128954</v>
      </c>
      <c r="E2308" s="74" t="s">
        <v>2298</v>
      </c>
      <c r="F2308" s="74"/>
      <c r="G2308" s="76"/>
      <c r="H2308" s="77"/>
      <c r="I2308" s="76"/>
      <c r="J2308" s="77"/>
      <c r="K2308" s="77"/>
      <c r="L2308" s="76"/>
      <c r="M2308" s="76"/>
      <c r="N2308" s="76"/>
      <c r="O2308" s="76"/>
      <c r="P2308" s="76"/>
      <c r="Q2308" s="76"/>
      <c r="R2308" s="76"/>
      <c r="S2308" s="76"/>
      <c r="BD2308" s="99">
        <f t="shared" si="75"/>
        <v>0</v>
      </c>
      <c r="CC2308" s="99"/>
      <c r="CV2308" s="99"/>
      <c r="CW2308" s="63"/>
    </row>
    <row r="2309" spans="1:101" x14ac:dyDescent="0.15">
      <c r="A2309" s="76">
        <v>2177</v>
      </c>
      <c r="B2309" s="74" t="s">
        <v>2299</v>
      </c>
      <c r="C2309" s="74">
        <v>1211128652</v>
      </c>
      <c r="D2309" s="78" t="str">
        <f t="shared" si="74"/>
        <v>https://portal.dnb.de/opac.htm?method=simpleSearch&amp;cqlMode=true&amp;query=idn%3D1211128652</v>
      </c>
      <c r="E2309" s="74" t="s">
        <v>2300</v>
      </c>
      <c r="F2309" s="74"/>
      <c r="G2309" s="76"/>
      <c r="H2309" s="77"/>
      <c r="I2309" s="76"/>
      <c r="J2309" s="77"/>
      <c r="K2309" s="77"/>
      <c r="L2309" s="76"/>
      <c r="M2309" s="76"/>
      <c r="N2309" s="76"/>
      <c r="O2309" s="76"/>
      <c r="P2309" s="76"/>
      <c r="Q2309" s="76"/>
      <c r="R2309" s="76"/>
      <c r="S2309" s="76"/>
      <c r="BD2309" s="99">
        <f t="shared" si="75"/>
        <v>0</v>
      </c>
      <c r="CC2309" s="99"/>
      <c r="CV2309" s="99"/>
      <c r="CW2309" s="63"/>
    </row>
    <row r="2310" spans="1:101" x14ac:dyDescent="0.15">
      <c r="A2310" s="76">
        <v>2178</v>
      </c>
      <c r="B2310" s="74" t="s">
        <v>2303</v>
      </c>
      <c r="C2310" s="74">
        <v>1209233320</v>
      </c>
      <c r="D2310" s="78" t="str">
        <f t="shared" si="74"/>
        <v>https://portal.dnb.de/opac.htm?method=simpleSearch&amp;cqlMode=true&amp;query=idn%3D1209233320</v>
      </c>
      <c r="E2310" s="74" t="s">
        <v>2304</v>
      </c>
      <c r="F2310" s="74"/>
      <c r="G2310" s="76"/>
      <c r="H2310" s="77"/>
      <c r="I2310" s="76"/>
      <c r="J2310" s="77"/>
      <c r="K2310" s="77"/>
      <c r="L2310" s="76"/>
      <c r="M2310" s="76"/>
      <c r="N2310" s="76"/>
      <c r="O2310" s="76"/>
      <c r="P2310" s="76"/>
      <c r="Q2310" s="76"/>
      <c r="R2310" s="76"/>
      <c r="S2310" s="76"/>
      <c r="BD2310" s="99">
        <f t="shared" si="75"/>
        <v>0</v>
      </c>
      <c r="CC2310" s="99"/>
      <c r="CV2310" s="99"/>
      <c r="CW2310" s="63"/>
    </row>
    <row r="2311" spans="1:101" x14ac:dyDescent="0.15">
      <c r="A2311" s="76">
        <v>2179</v>
      </c>
      <c r="B2311" s="74" t="s">
        <v>2305</v>
      </c>
      <c r="C2311" s="74">
        <v>1209233118</v>
      </c>
      <c r="D2311" s="78" t="str">
        <f t="shared" si="74"/>
        <v>https://portal.dnb.de/opac.htm?method=simpleSearch&amp;cqlMode=true&amp;query=idn%3D1209233118</v>
      </c>
      <c r="E2311" s="74" t="s">
        <v>2306</v>
      </c>
      <c r="F2311" s="74"/>
      <c r="G2311" s="76"/>
      <c r="H2311" s="77"/>
      <c r="I2311" s="76"/>
      <c r="J2311" s="77"/>
      <c r="K2311" s="77"/>
      <c r="L2311" s="76"/>
      <c r="M2311" s="76"/>
      <c r="N2311" s="76"/>
      <c r="O2311" s="76"/>
      <c r="P2311" s="76"/>
      <c r="Q2311" s="76"/>
      <c r="R2311" s="76"/>
      <c r="S2311" s="76"/>
      <c r="BD2311" s="99">
        <f t="shared" si="75"/>
        <v>0</v>
      </c>
      <c r="CC2311" s="99"/>
      <c r="CV2311" s="99"/>
      <c r="CW2311" s="63"/>
    </row>
    <row r="2312" spans="1:101" x14ac:dyDescent="0.15">
      <c r="A2312" s="76">
        <v>2180</v>
      </c>
      <c r="B2312" s="74" t="s">
        <v>2307</v>
      </c>
      <c r="C2312" s="74">
        <v>1209232057</v>
      </c>
      <c r="D2312" s="78" t="str">
        <f t="shared" si="74"/>
        <v>https://portal.dnb.de/opac.htm?method=simpleSearch&amp;cqlMode=true&amp;query=idn%3D1209232057</v>
      </c>
      <c r="E2312" s="74" t="s">
        <v>2308</v>
      </c>
      <c r="F2312" s="74"/>
      <c r="G2312" s="76"/>
      <c r="H2312" s="77"/>
      <c r="I2312" s="76"/>
      <c r="J2312" s="77"/>
      <c r="K2312" s="77"/>
      <c r="L2312" s="76"/>
      <c r="M2312" s="76"/>
      <c r="N2312" s="76"/>
      <c r="O2312" s="76"/>
      <c r="P2312" s="76"/>
      <c r="Q2312" s="76"/>
      <c r="R2312" s="76"/>
      <c r="S2312" s="76"/>
      <c r="BD2312" s="99">
        <f t="shared" si="75"/>
        <v>0</v>
      </c>
      <c r="CC2312" s="99"/>
      <c r="CV2312" s="99"/>
      <c r="CW2312" s="63"/>
    </row>
    <row r="2313" spans="1:101" x14ac:dyDescent="0.15">
      <c r="A2313" s="76">
        <v>2181</v>
      </c>
      <c r="B2313" s="74" t="s">
        <v>2309</v>
      </c>
      <c r="C2313" s="74">
        <v>1209231751</v>
      </c>
      <c r="D2313" s="78" t="str">
        <f t="shared" si="74"/>
        <v>https://portal.dnb.de/opac.htm?method=simpleSearch&amp;cqlMode=true&amp;query=idn%3D1209231751</v>
      </c>
      <c r="E2313" s="74" t="s">
        <v>2310</v>
      </c>
      <c r="F2313" s="74"/>
      <c r="G2313" s="76"/>
      <c r="H2313" s="77"/>
      <c r="I2313" s="76"/>
      <c r="J2313" s="77"/>
      <c r="K2313" s="77"/>
      <c r="L2313" s="76"/>
      <c r="M2313" s="76"/>
      <c r="N2313" s="76"/>
      <c r="O2313" s="76"/>
      <c r="P2313" s="76"/>
      <c r="Q2313" s="76"/>
      <c r="R2313" s="76"/>
      <c r="S2313" s="76"/>
      <c r="BD2313" s="99">
        <f t="shared" si="75"/>
        <v>0</v>
      </c>
      <c r="CC2313" s="99"/>
      <c r="CV2313" s="99"/>
      <c r="CW2313" s="63"/>
    </row>
    <row r="2314" spans="1:101" x14ac:dyDescent="0.15">
      <c r="A2314" s="76">
        <v>2182</v>
      </c>
      <c r="B2314" s="74" t="s">
        <v>2311</v>
      </c>
      <c r="C2314" s="74">
        <v>1209231204</v>
      </c>
      <c r="D2314" s="78" t="str">
        <f t="shared" si="74"/>
        <v>https://portal.dnb.de/opac.htm?method=simpleSearch&amp;cqlMode=true&amp;query=idn%3D1209231204</v>
      </c>
      <c r="E2314" s="74" t="s">
        <v>2312</v>
      </c>
      <c r="F2314" s="74"/>
      <c r="G2314" s="76"/>
      <c r="H2314" s="77"/>
      <c r="I2314" s="76"/>
      <c r="J2314" s="77"/>
      <c r="K2314" s="77"/>
      <c r="L2314" s="76"/>
      <c r="M2314" s="76"/>
      <c r="N2314" s="76"/>
      <c r="O2314" s="76"/>
      <c r="P2314" s="76"/>
      <c r="Q2314" s="76"/>
      <c r="R2314" s="76"/>
      <c r="S2314" s="76"/>
      <c r="BD2314" s="99">
        <f t="shared" si="75"/>
        <v>0</v>
      </c>
      <c r="CC2314" s="99"/>
      <c r="CV2314" s="99"/>
      <c r="CW2314" s="63"/>
    </row>
    <row r="2315" spans="1:101" x14ac:dyDescent="0.15">
      <c r="A2315" s="76">
        <v>2183</v>
      </c>
      <c r="B2315" s="74" t="s">
        <v>2313</v>
      </c>
      <c r="C2315" s="74">
        <v>1000214702</v>
      </c>
      <c r="D2315" s="78" t="str">
        <f t="shared" si="74"/>
        <v>https://portal.dnb.de/opac.htm?method=simpleSearch&amp;cqlMode=true&amp;query=idn%3D1000214702</v>
      </c>
      <c r="E2315" s="74" t="s">
        <v>2314</v>
      </c>
      <c r="F2315" s="74"/>
      <c r="G2315" s="76"/>
      <c r="H2315" s="77"/>
      <c r="I2315" s="76"/>
      <c r="J2315" s="77"/>
      <c r="K2315" s="77"/>
      <c r="L2315" s="76"/>
      <c r="M2315" s="76"/>
      <c r="N2315" s="76"/>
      <c r="O2315" s="76"/>
      <c r="P2315" s="76"/>
      <c r="Q2315" s="76"/>
      <c r="R2315" s="76"/>
      <c r="S2315" s="76"/>
      <c r="BD2315" s="99">
        <f t="shared" si="75"/>
        <v>0</v>
      </c>
      <c r="CC2315" s="99"/>
      <c r="CV2315" s="99"/>
      <c r="CW2315" s="63"/>
    </row>
    <row r="2316" spans="1:101" x14ac:dyDescent="0.15">
      <c r="A2316" s="76">
        <v>2184</v>
      </c>
      <c r="B2316" s="74" t="s">
        <v>2315</v>
      </c>
      <c r="C2316" s="74" t="s">
        <v>2316</v>
      </c>
      <c r="D2316" s="78" t="str">
        <f t="shared" si="74"/>
        <v>https://portal.dnb.de/opac.htm?method=simpleSearch&amp;cqlMode=true&amp;query=idn%3D100088807X</v>
      </c>
      <c r="E2316" s="74" t="s">
        <v>2317</v>
      </c>
      <c r="F2316" s="74"/>
      <c r="G2316" s="76"/>
      <c r="H2316" s="77"/>
      <c r="I2316" s="76"/>
      <c r="J2316" s="77"/>
      <c r="K2316" s="77"/>
      <c r="L2316" s="76"/>
      <c r="M2316" s="76"/>
      <c r="N2316" s="76"/>
      <c r="O2316" s="76"/>
      <c r="P2316" s="76"/>
      <c r="Q2316" s="76"/>
      <c r="R2316" s="76"/>
      <c r="S2316" s="76"/>
      <c r="BD2316" s="99">
        <f t="shared" si="75"/>
        <v>0</v>
      </c>
      <c r="CC2316" s="99"/>
      <c r="CV2316" s="99"/>
      <c r="CW2316" s="63"/>
    </row>
    <row r="2317" spans="1:101" x14ac:dyDescent="0.15">
      <c r="A2317" s="76">
        <v>2185</v>
      </c>
      <c r="B2317" s="74" t="s">
        <v>2318</v>
      </c>
      <c r="C2317" s="74">
        <v>997337524</v>
      </c>
      <c r="D2317" s="78" t="str">
        <f t="shared" si="74"/>
        <v>https://portal.dnb.de/opac.htm?method=simpleSearch&amp;cqlMode=true&amp;query=idn%3D997337524</v>
      </c>
      <c r="E2317" s="74" t="s">
        <v>2319</v>
      </c>
      <c r="F2317" s="74"/>
      <c r="G2317" s="76"/>
      <c r="H2317" s="77"/>
      <c r="I2317" s="76"/>
      <c r="J2317" s="77"/>
      <c r="K2317" s="77"/>
      <c r="L2317" s="76"/>
      <c r="M2317" s="76"/>
      <c r="N2317" s="76"/>
      <c r="O2317" s="76"/>
      <c r="P2317" s="76"/>
      <c r="Q2317" s="76"/>
      <c r="R2317" s="76"/>
      <c r="S2317" s="76"/>
      <c r="BD2317" s="99">
        <f t="shared" si="75"/>
        <v>0</v>
      </c>
      <c r="CC2317" s="99"/>
      <c r="CV2317" s="99"/>
      <c r="CW2317" s="63"/>
    </row>
    <row r="2318" spans="1:101" x14ac:dyDescent="0.15">
      <c r="A2318" s="76">
        <v>2186</v>
      </c>
      <c r="B2318" s="74" t="s">
        <v>2331</v>
      </c>
      <c r="C2318" s="74">
        <v>1002659620</v>
      </c>
      <c r="D2318" s="78" t="str">
        <f t="shared" si="74"/>
        <v>https://portal.dnb.de/opac.htm?method=simpleSearch&amp;cqlMode=true&amp;query=idn%3D1002659620</v>
      </c>
      <c r="E2318" s="74" t="s">
        <v>2332</v>
      </c>
      <c r="F2318" s="74"/>
      <c r="G2318" s="76"/>
      <c r="H2318" s="77"/>
      <c r="I2318" s="76"/>
      <c r="J2318" s="77"/>
      <c r="K2318" s="77"/>
      <c r="L2318" s="76"/>
      <c r="M2318" s="76"/>
      <c r="N2318" s="76"/>
      <c r="O2318" s="76"/>
      <c r="P2318" s="76"/>
      <c r="Q2318" s="76"/>
      <c r="R2318" s="76"/>
      <c r="S2318" s="76"/>
      <c r="BD2318" s="99">
        <f t="shared" si="75"/>
        <v>0</v>
      </c>
      <c r="CC2318" s="99"/>
      <c r="CV2318" s="99"/>
      <c r="CW2318" s="63"/>
    </row>
    <row r="2319" spans="1:101" x14ac:dyDescent="0.15">
      <c r="A2319" s="76">
        <v>2187</v>
      </c>
      <c r="B2319" s="74" t="s">
        <v>2333</v>
      </c>
      <c r="C2319" s="74">
        <v>994065493</v>
      </c>
      <c r="D2319" s="78" t="str">
        <f t="shared" si="74"/>
        <v>https://portal.dnb.de/opac.htm?method=simpleSearch&amp;cqlMode=true&amp;query=idn%3D994065493</v>
      </c>
      <c r="E2319" s="74" t="s">
        <v>2332</v>
      </c>
      <c r="F2319" s="74"/>
      <c r="G2319" s="76"/>
      <c r="H2319" s="77"/>
      <c r="I2319" s="76"/>
      <c r="J2319" s="77"/>
      <c r="K2319" s="77"/>
      <c r="L2319" s="76"/>
      <c r="M2319" s="76"/>
      <c r="N2319" s="76"/>
      <c r="O2319" s="76"/>
      <c r="P2319" s="76"/>
      <c r="Q2319" s="76"/>
      <c r="R2319" s="76"/>
      <c r="S2319" s="76"/>
      <c r="BD2319" s="99">
        <f t="shared" si="75"/>
        <v>0</v>
      </c>
      <c r="CC2319" s="99"/>
      <c r="CV2319" s="99"/>
      <c r="CW2319" s="63"/>
    </row>
    <row r="2320" spans="1:101" x14ac:dyDescent="0.15">
      <c r="A2320" s="76">
        <v>2188</v>
      </c>
      <c r="B2320" s="74" t="s">
        <v>2338</v>
      </c>
      <c r="C2320" s="74">
        <v>994510314</v>
      </c>
      <c r="D2320" s="78" t="str">
        <f t="shared" si="74"/>
        <v>https://portal.dnb.de/opac.htm?method=simpleSearch&amp;cqlMode=true&amp;query=idn%3D994510314</v>
      </c>
      <c r="E2320" s="74" t="s">
        <v>2339</v>
      </c>
      <c r="F2320" s="74"/>
      <c r="G2320" s="76"/>
      <c r="H2320" s="77" t="s">
        <v>49</v>
      </c>
      <c r="I2320" s="76" t="s">
        <v>54</v>
      </c>
      <c r="J2320" s="77" t="s">
        <v>58</v>
      </c>
      <c r="K2320" s="77" t="s">
        <v>8554</v>
      </c>
      <c r="L2320" s="76"/>
      <c r="M2320" s="76"/>
      <c r="N2320" s="76" t="s">
        <v>8660</v>
      </c>
      <c r="O2320" s="76">
        <v>0</v>
      </c>
      <c r="P2320" s="76"/>
      <c r="Q2320" s="76"/>
      <c r="R2320" s="76"/>
      <c r="S2320" s="76"/>
      <c r="BD2320" s="99">
        <f t="shared" si="75"/>
        <v>0</v>
      </c>
      <c r="CC2320" s="99"/>
      <c r="CV2320" s="99"/>
      <c r="CW2320" s="63"/>
    </row>
    <row r="2321" spans="1:101" x14ac:dyDescent="0.15">
      <c r="A2321" s="76">
        <v>2189</v>
      </c>
      <c r="B2321" s="74" t="s">
        <v>2352</v>
      </c>
      <c r="C2321" s="74">
        <v>999838741</v>
      </c>
      <c r="D2321" s="78" t="str">
        <f t="shared" si="74"/>
        <v>https://portal.dnb.de/opac.htm?method=simpleSearch&amp;cqlMode=true&amp;query=idn%3D999838741</v>
      </c>
      <c r="E2321" s="74" t="s">
        <v>2353</v>
      </c>
      <c r="F2321" s="74"/>
      <c r="G2321" s="76"/>
      <c r="H2321" s="77"/>
      <c r="I2321" s="76"/>
      <c r="J2321" s="77"/>
      <c r="K2321" s="77"/>
      <c r="L2321" s="76"/>
      <c r="M2321" s="76"/>
      <c r="N2321" s="76"/>
      <c r="O2321" s="76"/>
      <c r="P2321" s="76"/>
      <c r="Q2321" s="76"/>
      <c r="R2321" s="76"/>
      <c r="S2321" s="76"/>
      <c r="BD2321" s="99">
        <f t="shared" si="75"/>
        <v>0</v>
      </c>
      <c r="CC2321" s="99"/>
      <c r="CV2321" s="99"/>
      <c r="CW2321" s="63"/>
    </row>
    <row r="2322" spans="1:101" x14ac:dyDescent="0.15">
      <c r="A2322" s="76">
        <v>2190</v>
      </c>
      <c r="B2322" s="74" t="s">
        <v>2356</v>
      </c>
      <c r="C2322" s="74">
        <v>1210936755</v>
      </c>
      <c r="D2322" s="78" t="str">
        <f t="shared" si="74"/>
        <v>https://portal.dnb.de/opac.htm?method=simpleSearch&amp;cqlMode=true&amp;query=idn%3D1210936755</v>
      </c>
      <c r="E2322" s="74" t="s">
        <v>2357</v>
      </c>
      <c r="F2322" s="74"/>
      <c r="G2322" s="76"/>
      <c r="H2322" s="77"/>
      <c r="I2322" s="76"/>
      <c r="J2322" s="77"/>
      <c r="K2322" s="77"/>
      <c r="L2322" s="76"/>
      <c r="M2322" s="76"/>
      <c r="N2322" s="76"/>
      <c r="O2322" s="76"/>
      <c r="P2322" s="76"/>
      <c r="Q2322" s="76"/>
      <c r="R2322" s="76"/>
      <c r="S2322" s="76"/>
      <c r="BD2322" s="99">
        <f t="shared" si="75"/>
        <v>0</v>
      </c>
      <c r="CC2322" s="99"/>
      <c r="CV2322" s="99"/>
      <c r="CW2322" s="63"/>
    </row>
    <row r="2323" spans="1:101" x14ac:dyDescent="0.15">
      <c r="A2323" s="76">
        <v>2191</v>
      </c>
      <c r="B2323" s="74" t="s">
        <v>2360</v>
      </c>
      <c r="C2323" s="74">
        <v>1000018105</v>
      </c>
      <c r="D2323" s="78" t="str">
        <f t="shared" si="74"/>
        <v>https://portal.dnb.de/opac.htm?method=simpleSearch&amp;cqlMode=true&amp;query=idn%3D1000018105</v>
      </c>
      <c r="E2323" s="74" t="s">
        <v>2361</v>
      </c>
      <c r="F2323" s="74"/>
      <c r="G2323" s="76"/>
      <c r="H2323" s="77" t="s">
        <v>48</v>
      </c>
      <c r="I2323" s="76" t="s">
        <v>53</v>
      </c>
      <c r="J2323" s="77" t="s">
        <v>8516</v>
      </c>
      <c r="K2323" s="77" t="s">
        <v>84</v>
      </c>
      <c r="L2323" s="76"/>
      <c r="M2323" s="76" t="s">
        <v>38</v>
      </c>
      <c r="N2323" s="76" t="s">
        <v>40</v>
      </c>
      <c r="O2323" s="76">
        <v>0</v>
      </c>
      <c r="P2323" s="76"/>
      <c r="Q2323" s="76"/>
      <c r="R2323" s="76"/>
      <c r="S2323" s="76"/>
      <c r="BD2323" s="99">
        <f t="shared" si="75"/>
        <v>0</v>
      </c>
      <c r="CC2323" s="99"/>
      <c r="CV2323" s="99"/>
      <c r="CW2323" s="63"/>
    </row>
    <row r="2324" spans="1:101" x14ac:dyDescent="0.15">
      <c r="A2324" s="76">
        <v>2192</v>
      </c>
      <c r="B2324" s="74" t="s">
        <v>2390</v>
      </c>
      <c r="C2324" s="74">
        <v>1037807448</v>
      </c>
      <c r="D2324" s="78" t="str">
        <f t="shared" si="74"/>
        <v>https://portal.dnb.de/opac.htm?method=simpleSearch&amp;cqlMode=true&amp;query=idn%3D1037807448</v>
      </c>
      <c r="E2324" s="74" t="s">
        <v>2391</v>
      </c>
      <c r="F2324" s="74"/>
      <c r="G2324" s="76"/>
      <c r="H2324" s="77"/>
      <c r="I2324" s="76"/>
      <c r="J2324" s="77"/>
      <c r="K2324" s="77"/>
      <c r="L2324" s="76"/>
      <c r="M2324" s="76"/>
      <c r="N2324" s="76"/>
      <c r="O2324" s="76"/>
      <c r="P2324" s="76"/>
      <c r="Q2324" s="76"/>
      <c r="R2324" s="76"/>
      <c r="S2324" s="76"/>
      <c r="BD2324" s="99">
        <f t="shared" si="75"/>
        <v>0</v>
      </c>
      <c r="CC2324" s="99"/>
      <c r="CV2324" s="99"/>
      <c r="CW2324" s="63"/>
    </row>
    <row r="2325" spans="1:101" x14ac:dyDescent="0.15">
      <c r="A2325" s="76">
        <v>2193</v>
      </c>
      <c r="B2325" s="74" t="s">
        <v>2402</v>
      </c>
      <c r="C2325" s="74">
        <v>993939082</v>
      </c>
      <c r="D2325" s="78" t="str">
        <f t="shared" si="74"/>
        <v>https://portal.dnb.de/opac.htm?method=simpleSearch&amp;cqlMode=true&amp;query=idn%3D993939082</v>
      </c>
      <c r="E2325" s="74" t="s">
        <v>2403</v>
      </c>
      <c r="F2325" s="74"/>
      <c r="G2325" s="76"/>
      <c r="H2325" s="77"/>
      <c r="I2325" s="76"/>
      <c r="J2325" s="77"/>
      <c r="K2325" s="77"/>
      <c r="L2325" s="76"/>
      <c r="M2325" s="76"/>
      <c r="N2325" s="76"/>
      <c r="O2325" s="76"/>
      <c r="P2325" s="76"/>
      <c r="Q2325" s="76"/>
      <c r="R2325" s="76"/>
      <c r="S2325" s="76"/>
      <c r="BD2325" s="99">
        <f t="shared" si="75"/>
        <v>0</v>
      </c>
      <c r="CC2325" s="99"/>
      <c r="CV2325" s="99"/>
      <c r="CW2325" s="63"/>
    </row>
    <row r="2326" spans="1:101" x14ac:dyDescent="0.15">
      <c r="A2326" s="76">
        <v>2194</v>
      </c>
      <c r="B2326" s="74" t="s">
        <v>2404</v>
      </c>
      <c r="C2326" s="74">
        <v>995315604</v>
      </c>
      <c r="D2326" s="78" t="str">
        <f t="shared" si="74"/>
        <v>https://portal.dnb.de/opac.htm?method=simpleSearch&amp;cqlMode=true&amp;query=idn%3D995315604</v>
      </c>
      <c r="E2326" s="74" t="s">
        <v>2405</v>
      </c>
      <c r="F2326" s="74"/>
      <c r="G2326" s="76"/>
      <c r="H2326" s="77"/>
      <c r="I2326" s="76"/>
      <c r="J2326" s="77"/>
      <c r="K2326" s="77"/>
      <c r="L2326" s="76"/>
      <c r="M2326" s="76"/>
      <c r="N2326" s="76"/>
      <c r="O2326" s="76"/>
      <c r="P2326" s="76"/>
      <c r="Q2326" s="76"/>
      <c r="R2326" s="76"/>
      <c r="S2326" s="76"/>
      <c r="BD2326" s="99">
        <f t="shared" si="75"/>
        <v>0</v>
      </c>
      <c r="CC2326" s="99"/>
      <c r="CV2326" s="99"/>
      <c r="CW2326" s="63"/>
    </row>
    <row r="2327" spans="1:101" x14ac:dyDescent="0.15">
      <c r="A2327" s="76">
        <v>2195</v>
      </c>
      <c r="B2327" s="74" t="s">
        <v>2406</v>
      </c>
      <c r="C2327" s="74">
        <v>1001498046</v>
      </c>
      <c r="D2327" s="78" t="str">
        <f t="shared" si="74"/>
        <v>https://portal.dnb.de/opac.htm?method=simpleSearch&amp;cqlMode=true&amp;query=idn%3D1001498046</v>
      </c>
      <c r="E2327" s="74" t="s">
        <v>2407</v>
      </c>
      <c r="F2327" s="74"/>
      <c r="G2327" s="76"/>
      <c r="H2327" s="77"/>
      <c r="I2327" s="76"/>
      <c r="J2327" s="77"/>
      <c r="K2327" s="77"/>
      <c r="L2327" s="76"/>
      <c r="M2327" s="76"/>
      <c r="N2327" s="76"/>
      <c r="O2327" s="76"/>
      <c r="P2327" s="76"/>
      <c r="Q2327" s="76"/>
      <c r="R2327" s="76"/>
      <c r="S2327" s="76"/>
      <c r="BD2327" s="99">
        <f t="shared" si="75"/>
        <v>0</v>
      </c>
      <c r="CC2327" s="99"/>
      <c r="CV2327" s="99"/>
      <c r="CW2327" s="63"/>
    </row>
    <row r="2328" spans="1:101" x14ac:dyDescent="0.15">
      <c r="A2328" s="76">
        <v>2196</v>
      </c>
      <c r="B2328" s="74" t="s">
        <v>2408</v>
      </c>
      <c r="C2328" s="74">
        <v>995320829</v>
      </c>
      <c r="D2328" s="78" t="str">
        <f t="shared" si="74"/>
        <v>https://portal.dnb.de/opac.htm?method=simpleSearch&amp;cqlMode=true&amp;query=idn%3D995320829</v>
      </c>
      <c r="E2328" s="74" t="s">
        <v>2409</v>
      </c>
      <c r="F2328" s="74"/>
      <c r="G2328" s="76"/>
      <c r="H2328" s="77"/>
      <c r="I2328" s="76"/>
      <c r="J2328" s="77"/>
      <c r="K2328" s="77"/>
      <c r="L2328" s="76"/>
      <c r="M2328" s="76"/>
      <c r="N2328" s="76"/>
      <c r="O2328" s="76"/>
      <c r="P2328" s="76"/>
      <c r="Q2328" s="76"/>
      <c r="R2328" s="76"/>
      <c r="S2328" s="76"/>
      <c r="BD2328" s="99">
        <f t="shared" si="75"/>
        <v>0</v>
      </c>
      <c r="CC2328" s="99"/>
      <c r="CV2328" s="99"/>
      <c r="CW2328" s="63"/>
    </row>
    <row r="2329" spans="1:101" x14ac:dyDescent="0.15">
      <c r="A2329" s="76">
        <v>2197</v>
      </c>
      <c r="B2329" s="74" t="s">
        <v>2410</v>
      </c>
      <c r="C2329" s="74">
        <v>995320780</v>
      </c>
      <c r="D2329" s="78" t="str">
        <f t="shared" si="74"/>
        <v>https://portal.dnb.de/opac.htm?method=simpleSearch&amp;cqlMode=true&amp;query=idn%3D995320780</v>
      </c>
      <c r="E2329" s="74" t="s">
        <v>2409</v>
      </c>
      <c r="F2329" s="74"/>
      <c r="G2329" s="76"/>
      <c r="H2329" s="77"/>
      <c r="I2329" s="76"/>
      <c r="J2329" s="77"/>
      <c r="K2329" s="77"/>
      <c r="L2329" s="76"/>
      <c r="M2329" s="76"/>
      <c r="N2329" s="76"/>
      <c r="O2329" s="76"/>
      <c r="P2329" s="76"/>
      <c r="Q2329" s="76"/>
      <c r="R2329" s="76"/>
      <c r="S2329" s="76"/>
      <c r="BD2329" s="99">
        <f t="shared" si="75"/>
        <v>0</v>
      </c>
      <c r="CC2329" s="99"/>
      <c r="CV2329" s="99"/>
      <c r="CW2329" s="63"/>
    </row>
    <row r="2330" spans="1:101" ht="33.75" x14ac:dyDescent="0.15">
      <c r="A2330" s="76">
        <v>2198</v>
      </c>
      <c r="B2330" s="74" t="s">
        <v>2411</v>
      </c>
      <c r="C2330" s="74">
        <v>994404301</v>
      </c>
      <c r="D2330" s="78" t="str">
        <f t="shared" si="74"/>
        <v>https://portal.dnb.de/opac.htm?method=simpleSearch&amp;cqlMode=true&amp;query=idn%3D994404301</v>
      </c>
      <c r="E2330" s="74" t="s">
        <v>2412</v>
      </c>
      <c r="F2330" s="74"/>
      <c r="G2330" s="76" t="s">
        <v>8515</v>
      </c>
      <c r="H2330" s="77" t="s">
        <v>48</v>
      </c>
      <c r="I2330" s="76" t="s">
        <v>53</v>
      </c>
      <c r="J2330" s="77" t="s">
        <v>89</v>
      </c>
      <c r="K2330" s="77" t="s">
        <v>9185</v>
      </c>
      <c r="L2330" s="76"/>
      <c r="M2330" s="76" t="s">
        <v>38</v>
      </c>
      <c r="N2330" s="76" t="s">
        <v>40</v>
      </c>
      <c r="O2330" s="76">
        <v>0</v>
      </c>
      <c r="P2330" s="76"/>
      <c r="Q2330" s="76"/>
      <c r="R2330" s="76"/>
      <c r="S2330" s="76"/>
      <c r="BD2330" s="99">
        <f t="shared" si="75"/>
        <v>0</v>
      </c>
      <c r="CC2330" s="99"/>
      <c r="CV2330" s="99"/>
      <c r="CW2330" s="63"/>
    </row>
    <row r="2331" spans="1:101" x14ac:dyDescent="0.15">
      <c r="A2331" s="76">
        <v>2199</v>
      </c>
      <c r="B2331" s="74" t="s">
        <v>2415</v>
      </c>
      <c r="C2331" s="74">
        <v>1000815471</v>
      </c>
      <c r="D2331" s="78" t="str">
        <f t="shared" si="74"/>
        <v>https://portal.dnb.de/opac.htm?method=simpleSearch&amp;cqlMode=true&amp;query=idn%3D1000815471</v>
      </c>
      <c r="E2331" s="74" t="s">
        <v>2416</v>
      </c>
      <c r="F2331" s="74"/>
      <c r="G2331" s="76"/>
      <c r="H2331" s="77"/>
      <c r="I2331" s="76"/>
      <c r="J2331" s="77"/>
      <c r="K2331" s="77"/>
      <c r="L2331" s="76"/>
      <c r="M2331" s="76"/>
      <c r="N2331" s="76"/>
      <c r="O2331" s="76"/>
      <c r="P2331" s="76"/>
      <c r="Q2331" s="76"/>
      <c r="R2331" s="76"/>
      <c r="S2331" s="76"/>
      <c r="BD2331" s="99">
        <f t="shared" si="75"/>
        <v>0</v>
      </c>
      <c r="CC2331" s="99"/>
      <c r="CV2331" s="99"/>
      <c r="CW2331" s="63"/>
    </row>
    <row r="2332" spans="1:101" x14ac:dyDescent="0.15">
      <c r="A2332" s="76">
        <v>2200</v>
      </c>
      <c r="B2332" s="74" t="s">
        <v>2417</v>
      </c>
      <c r="C2332" s="74">
        <v>1001982533</v>
      </c>
      <c r="D2332" s="78" t="str">
        <f t="shared" si="74"/>
        <v>https://portal.dnb.de/opac.htm?method=simpleSearch&amp;cqlMode=true&amp;query=idn%3D1001982533</v>
      </c>
      <c r="E2332" s="74" t="s">
        <v>2416</v>
      </c>
      <c r="F2332" s="74"/>
      <c r="G2332" s="76"/>
      <c r="H2332" s="77"/>
      <c r="I2332" s="76"/>
      <c r="J2332" s="77"/>
      <c r="K2332" s="77"/>
      <c r="L2332" s="76"/>
      <c r="M2332" s="76"/>
      <c r="N2332" s="76"/>
      <c r="O2332" s="76"/>
      <c r="P2332" s="76"/>
      <c r="Q2332" s="76"/>
      <c r="R2332" s="76"/>
      <c r="S2332" s="76"/>
      <c r="BD2332" s="99">
        <f t="shared" si="75"/>
        <v>0</v>
      </c>
      <c r="CC2332" s="99"/>
      <c r="CV2332" s="99"/>
      <c r="CW2332" s="63"/>
    </row>
    <row r="2333" spans="1:101" x14ac:dyDescent="0.15">
      <c r="A2333" s="76">
        <v>2201</v>
      </c>
      <c r="B2333" s="74" t="s">
        <v>2418</v>
      </c>
      <c r="C2333" s="74">
        <v>1002682312</v>
      </c>
      <c r="D2333" s="78" t="str">
        <f t="shared" si="74"/>
        <v>https://portal.dnb.de/opac.htm?method=simpleSearch&amp;cqlMode=true&amp;query=idn%3D1002682312</v>
      </c>
      <c r="E2333" s="74" t="s">
        <v>2416</v>
      </c>
      <c r="F2333" s="74"/>
      <c r="G2333" s="76"/>
      <c r="H2333" s="77"/>
      <c r="I2333" s="76"/>
      <c r="J2333" s="77"/>
      <c r="K2333" s="77"/>
      <c r="L2333" s="76"/>
      <c r="M2333" s="76"/>
      <c r="N2333" s="76"/>
      <c r="O2333" s="76"/>
      <c r="P2333" s="76"/>
      <c r="Q2333" s="76"/>
      <c r="R2333" s="76"/>
      <c r="S2333" s="76"/>
      <c r="BD2333" s="99">
        <f t="shared" si="75"/>
        <v>0</v>
      </c>
      <c r="CC2333" s="99"/>
      <c r="CV2333" s="99"/>
      <c r="CW2333" s="63"/>
    </row>
    <row r="2334" spans="1:101" x14ac:dyDescent="0.15">
      <c r="A2334" s="76">
        <v>2202</v>
      </c>
      <c r="B2334" s="74" t="s">
        <v>2419</v>
      </c>
      <c r="C2334" s="74">
        <v>1000466620</v>
      </c>
      <c r="D2334" s="78" t="str">
        <f t="shared" si="74"/>
        <v>https://portal.dnb.de/opac.htm?method=simpleSearch&amp;cqlMode=true&amp;query=idn%3D1000466620</v>
      </c>
      <c r="E2334" s="74" t="s">
        <v>2420</v>
      </c>
      <c r="F2334" s="74"/>
      <c r="G2334" s="76"/>
      <c r="H2334" s="77"/>
      <c r="I2334" s="76"/>
      <c r="J2334" s="77"/>
      <c r="K2334" s="77"/>
      <c r="L2334" s="76"/>
      <c r="M2334" s="76"/>
      <c r="N2334" s="76"/>
      <c r="O2334" s="76"/>
      <c r="P2334" s="76"/>
      <c r="Q2334" s="76"/>
      <c r="R2334" s="76"/>
      <c r="S2334" s="76"/>
      <c r="BD2334" s="99">
        <f t="shared" si="75"/>
        <v>0</v>
      </c>
      <c r="CC2334" s="99"/>
      <c r="CV2334" s="99"/>
      <c r="CW2334" s="63"/>
    </row>
    <row r="2335" spans="1:101" x14ac:dyDescent="0.15">
      <c r="A2335" s="76">
        <v>2203</v>
      </c>
      <c r="B2335" s="74" t="s">
        <v>2421</v>
      </c>
      <c r="C2335" s="74">
        <v>1001482530</v>
      </c>
      <c r="D2335" s="78" t="str">
        <f t="shared" ref="D2335:D2403" si="76">HYPERLINK(CONCATENATE("https://portal.dnb.de/opac.htm?method=simpleSearch&amp;cqlMode=true&amp;query=idn%3D",C2335))</f>
        <v>https://portal.dnb.de/opac.htm?method=simpleSearch&amp;cqlMode=true&amp;query=idn%3D1001482530</v>
      </c>
      <c r="E2335" s="74" t="s">
        <v>2422</v>
      </c>
      <c r="F2335" s="74"/>
      <c r="G2335" s="76"/>
      <c r="H2335" s="77"/>
      <c r="I2335" s="76"/>
      <c r="J2335" s="77"/>
      <c r="K2335" s="77"/>
      <c r="L2335" s="76"/>
      <c r="M2335" s="76"/>
      <c r="N2335" s="76"/>
      <c r="O2335" s="76"/>
      <c r="P2335" s="76"/>
      <c r="Q2335" s="76"/>
      <c r="R2335" s="76"/>
      <c r="S2335" s="76"/>
      <c r="BD2335" s="99">
        <f t="shared" si="75"/>
        <v>0</v>
      </c>
      <c r="CC2335" s="99"/>
      <c r="CV2335" s="99"/>
      <c r="CW2335" s="63"/>
    </row>
    <row r="2336" spans="1:101" x14ac:dyDescent="0.15">
      <c r="A2336" s="76">
        <v>2204</v>
      </c>
      <c r="B2336" s="74" t="s">
        <v>2423</v>
      </c>
      <c r="C2336" s="74">
        <v>1000466574</v>
      </c>
      <c r="D2336" s="78" t="str">
        <f t="shared" si="76"/>
        <v>https://portal.dnb.de/opac.htm?method=simpleSearch&amp;cqlMode=true&amp;query=idn%3D1000466574</v>
      </c>
      <c r="E2336" s="74" t="s">
        <v>2424</v>
      </c>
      <c r="F2336" s="74"/>
      <c r="G2336" s="76"/>
      <c r="H2336" s="77"/>
      <c r="I2336" s="76"/>
      <c r="J2336" s="77"/>
      <c r="K2336" s="77"/>
      <c r="L2336" s="76"/>
      <c r="M2336" s="76"/>
      <c r="N2336" s="76"/>
      <c r="O2336" s="76"/>
      <c r="P2336" s="76"/>
      <c r="Q2336" s="76"/>
      <c r="R2336" s="76"/>
      <c r="S2336" s="76"/>
      <c r="BD2336" s="99">
        <f t="shared" si="75"/>
        <v>0</v>
      </c>
      <c r="CC2336" s="99"/>
      <c r="CV2336" s="99"/>
      <c r="CW2336" s="63"/>
    </row>
    <row r="2337" spans="1:101" x14ac:dyDescent="0.15">
      <c r="A2337" s="76">
        <v>2205</v>
      </c>
      <c r="B2337" s="74" t="s">
        <v>2425</v>
      </c>
      <c r="C2337" s="74">
        <v>1001797450</v>
      </c>
      <c r="D2337" s="78" t="str">
        <f t="shared" si="76"/>
        <v>https://portal.dnb.de/opac.htm?method=simpleSearch&amp;cqlMode=true&amp;query=idn%3D1001797450</v>
      </c>
      <c r="E2337" s="74" t="s">
        <v>2426</v>
      </c>
      <c r="F2337" s="74"/>
      <c r="G2337" s="76"/>
      <c r="H2337" s="77"/>
      <c r="I2337" s="76"/>
      <c r="J2337" s="77"/>
      <c r="K2337" s="77"/>
      <c r="L2337" s="76"/>
      <c r="M2337" s="76"/>
      <c r="N2337" s="76"/>
      <c r="O2337" s="76"/>
      <c r="P2337" s="76"/>
      <c r="Q2337" s="76"/>
      <c r="R2337" s="76"/>
      <c r="S2337" s="76"/>
      <c r="BD2337" s="99">
        <f t="shared" si="75"/>
        <v>0</v>
      </c>
      <c r="CC2337" s="99"/>
      <c r="CV2337" s="99"/>
      <c r="CW2337" s="63"/>
    </row>
    <row r="2338" spans="1:101" ht="22.5" x14ac:dyDescent="0.15">
      <c r="A2338" s="76">
        <v>2206</v>
      </c>
      <c r="B2338" s="74" t="s">
        <v>2427</v>
      </c>
      <c r="C2338" s="74">
        <v>1000887677</v>
      </c>
      <c r="D2338" s="78" t="str">
        <f t="shared" si="76"/>
        <v>https://portal.dnb.de/opac.htm?method=simpleSearch&amp;cqlMode=true&amp;query=idn%3D1000887677</v>
      </c>
      <c r="E2338" s="74" t="s">
        <v>2428</v>
      </c>
      <c r="F2338" s="74"/>
      <c r="G2338" s="76"/>
      <c r="H2338" s="77" t="s">
        <v>48</v>
      </c>
      <c r="I2338" s="76" t="s">
        <v>53</v>
      </c>
      <c r="J2338" s="77" t="s">
        <v>89</v>
      </c>
      <c r="K2338" s="77" t="s">
        <v>8564</v>
      </c>
      <c r="L2338" s="76"/>
      <c r="M2338" s="76"/>
      <c r="N2338" s="76"/>
      <c r="O2338" s="76">
        <v>0</v>
      </c>
      <c r="P2338" s="76"/>
      <c r="Q2338" s="76"/>
      <c r="R2338" s="76"/>
      <c r="S2338" s="76"/>
      <c r="BD2338" s="99">
        <f t="shared" si="75"/>
        <v>0</v>
      </c>
      <c r="CC2338" s="99"/>
      <c r="CV2338" s="99"/>
      <c r="CW2338" s="63"/>
    </row>
    <row r="2339" spans="1:101" ht="22.5" x14ac:dyDescent="0.15">
      <c r="A2339" s="76"/>
      <c r="B2339" s="74"/>
      <c r="C2339" s="74"/>
      <c r="D2339" s="78"/>
      <c r="E2339" s="74" t="s">
        <v>9184</v>
      </c>
      <c r="F2339" s="74"/>
      <c r="G2339" s="76"/>
      <c r="H2339" s="77" t="s">
        <v>5</v>
      </c>
      <c r="I2339" s="76" t="s">
        <v>53</v>
      </c>
      <c r="J2339" s="77" t="s">
        <v>89</v>
      </c>
      <c r="K2339" s="77" t="s">
        <v>8615</v>
      </c>
      <c r="L2339" s="76"/>
      <c r="M2339" s="76" t="s">
        <v>38</v>
      </c>
      <c r="N2339" s="76" t="s">
        <v>40</v>
      </c>
      <c r="O2339" s="76">
        <v>0</v>
      </c>
      <c r="P2339" s="76"/>
      <c r="Q2339" s="76"/>
      <c r="R2339" s="76"/>
      <c r="S2339" s="76"/>
      <c r="BD2339" s="99">
        <f t="shared" si="75"/>
        <v>0</v>
      </c>
      <c r="CC2339" s="99"/>
      <c r="CV2339" s="99"/>
      <c r="CW2339" s="63"/>
    </row>
    <row r="2340" spans="1:101" ht="22.5" x14ac:dyDescent="0.15">
      <c r="A2340" s="76">
        <v>2207</v>
      </c>
      <c r="B2340" s="74" t="s">
        <v>2431</v>
      </c>
      <c r="C2340" s="74">
        <v>994563620</v>
      </c>
      <c r="D2340" s="78" t="str">
        <f t="shared" si="76"/>
        <v>https://portal.dnb.de/opac.htm?method=simpleSearch&amp;cqlMode=true&amp;query=idn%3D994563620</v>
      </c>
      <c r="E2340" s="74" t="s">
        <v>2432</v>
      </c>
      <c r="F2340" s="74"/>
      <c r="G2340" s="76"/>
      <c r="H2340" s="77" t="s">
        <v>5</v>
      </c>
      <c r="I2340" s="76" t="s">
        <v>53</v>
      </c>
      <c r="J2340" s="77" t="s">
        <v>89</v>
      </c>
      <c r="K2340" s="77" t="s">
        <v>8615</v>
      </c>
      <c r="L2340" s="76"/>
      <c r="M2340" s="76"/>
      <c r="N2340" s="76" t="s">
        <v>8660</v>
      </c>
      <c r="O2340" s="76">
        <v>0</v>
      </c>
      <c r="P2340" s="76"/>
      <c r="Q2340" s="76"/>
      <c r="R2340" s="76"/>
      <c r="S2340" s="76"/>
      <c r="BD2340" s="99">
        <f t="shared" si="75"/>
        <v>0</v>
      </c>
      <c r="CC2340" s="99"/>
      <c r="CV2340" s="99"/>
      <c r="CW2340" s="63"/>
    </row>
    <row r="2341" spans="1:101" x14ac:dyDescent="0.15">
      <c r="A2341" s="76">
        <v>2208</v>
      </c>
      <c r="B2341" s="74" t="s">
        <v>2433</v>
      </c>
      <c r="C2341" s="74">
        <v>994563647</v>
      </c>
      <c r="D2341" s="78" t="str">
        <f t="shared" si="76"/>
        <v>https://portal.dnb.de/opac.htm?method=simpleSearch&amp;cqlMode=true&amp;query=idn%3D994563647</v>
      </c>
      <c r="E2341" s="74" t="s">
        <v>2432</v>
      </c>
      <c r="F2341" s="74"/>
      <c r="G2341" s="76"/>
      <c r="H2341" s="77"/>
      <c r="I2341" s="76"/>
      <c r="J2341" s="77"/>
      <c r="K2341" s="77"/>
      <c r="L2341" s="76"/>
      <c r="M2341" s="76"/>
      <c r="N2341" s="76"/>
      <c r="O2341" s="76"/>
      <c r="P2341" s="76"/>
      <c r="Q2341" s="76"/>
      <c r="R2341" s="76"/>
      <c r="S2341" s="76"/>
      <c r="BD2341" s="99">
        <f t="shared" si="75"/>
        <v>0</v>
      </c>
      <c r="CC2341" s="99"/>
      <c r="CV2341" s="99"/>
      <c r="CW2341" s="63"/>
    </row>
    <row r="2342" spans="1:101" x14ac:dyDescent="0.15">
      <c r="A2342" s="76">
        <v>2209</v>
      </c>
      <c r="B2342" s="74" t="s">
        <v>2434</v>
      </c>
      <c r="C2342" s="74" t="s">
        <v>2435</v>
      </c>
      <c r="D2342" s="78" t="str">
        <f t="shared" si="76"/>
        <v>https://portal.dnb.de/opac.htm?method=simpleSearch&amp;cqlMode=true&amp;query=idn%3D99456368X</v>
      </c>
      <c r="E2342" s="74" t="s">
        <v>2432</v>
      </c>
      <c r="F2342" s="74"/>
      <c r="G2342" s="76"/>
      <c r="H2342" s="77"/>
      <c r="I2342" s="76"/>
      <c r="J2342" s="77"/>
      <c r="K2342" s="77"/>
      <c r="L2342" s="76"/>
      <c r="M2342" s="76"/>
      <c r="N2342" s="76"/>
      <c r="O2342" s="76"/>
      <c r="P2342" s="76"/>
      <c r="Q2342" s="76"/>
      <c r="R2342" s="76"/>
      <c r="S2342" s="76"/>
      <c r="BD2342" s="99">
        <f t="shared" si="75"/>
        <v>0</v>
      </c>
      <c r="CC2342" s="99"/>
      <c r="CV2342" s="99"/>
      <c r="CW2342" s="63"/>
    </row>
    <row r="2343" spans="1:101" x14ac:dyDescent="0.15">
      <c r="A2343" s="76">
        <v>2210</v>
      </c>
      <c r="B2343" s="74" t="s">
        <v>2436</v>
      </c>
      <c r="C2343" s="74">
        <v>994563728</v>
      </c>
      <c r="D2343" s="78" t="str">
        <f t="shared" si="76"/>
        <v>https://portal.dnb.de/opac.htm?method=simpleSearch&amp;cqlMode=true&amp;query=idn%3D994563728</v>
      </c>
      <c r="E2343" s="74" t="s">
        <v>2432</v>
      </c>
      <c r="F2343" s="74"/>
      <c r="G2343" s="76"/>
      <c r="H2343" s="77"/>
      <c r="I2343" s="76"/>
      <c r="J2343" s="77"/>
      <c r="K2343" s="77"/>
      <c r="L2343" s="76"/>
      <c r="M2343" s="76"/>
      <c r="N2343" s="76"/>
      <c r="O2343" s="76"/>
      <c r="P2343" s="76"/>
      <c r="Q2343" s="76"/>
      <c r="R2343" s="76"/>
      <c r="S2343" s="76"/>
      <c r="BD2343" s="99">
        <f t="shared" si="75"/>
        <v>0</v>
      </c>
      <c r="CC2343" s="99"/>
      <c r="CV2343" s="99"/>
      <c r="CW2343" s="63"/>
    </row>
    <row r="2344" spans="1:101" x14ac:dyDescent="0.15">
      <c r="A2344" s="76">
        <v>2211</v>
      </c>
      <c r="B2344" s="74" t="s">
        <v>2437</v>
      </c>
      <c r="C2344" s="74">
        <v>994563663</v>
      </c>
      <c r="D2344" s="78" t="str">
        <f t="shared" si="76"/>
        <v>https://portal.dnb.de/opac.htm?method=simpleSearch&amp;cqlMode=true&amp;query=idn%3D994563663</v>
      </c>
      <c r="E2344" s="74" t="s">
        <v>2432</v>
      </c>
      <c r="F2344" s="74"/>
      <c r="G2344" s="76"/>
      <c r="H2344" s="77"/>
      <c r="I2344" s="76"/>
      <c r="J2344" s="77"/>
      <c r="K2344" s="77"/>
      <c r="L2344" s="76"/>
      <c r="M2344" s="76"/>
      <c r="N2344" s="76"/>
      <c r="O2344" s="76"/>
      <c r="P2344" s="76"/>
      <c r="Q2344" s="76"/>
      <c r="R2344" s="76"/>
      <c r="S2344" s="76"/>
      <c r="BD2344" s="99">
        <f t="shared" si="75"/>
        <v>0</v>
      </c>
      <c r="CC2344" s="99"/>
      <c r="CV2344" s="99"/>
      <c r="CW2344" s="63"/>
    </row>
    <row r="2345" spans="1:101" ht="22.5" x14ac:dyDescent="0.15">
      <c r="A2345" s="76">
        <v>2212</v>
      </c>
      <c r="B2345" s="74" t="s">
        <v>2444</v>
      </c>
      <c r="C2345" s="74">
        <v>1001529529</v>
      </c>
      <c r="D2345" s="78" t="str">
        <f t="shared" si="76"/>
        <v>https://portal.dnb.de/opac.htm?method=simpleSearch&amp;cqlMode=true&amp;query=idn%3D1001529529</v>
      </c>
      <c r="E2345" s="74" t="s">
        <v>2445</v>
      </c>
      <c r="F2345" s="74"/>
      <c r="G2345" s="76"/>
      <c r="H2345" s="77" t="s">
        <v>18</v>
      </c>
      <c r="I2345" s="76" t="s">
        <v>53</v>
      </c>
      <c r="J2345" s="77" t="s">
        <v>89</v>
      </c>
      <c r="K2345" s="77" t="s">
        <v>84</v>
      </c>
      <c r="L2345" s="76"/>
      <c r="M2345" s="76"/>
      <c r="N2345" s="76"/>
      <c r="O2345" s="76">
        <v>0</v>
      </c>
      <c r="P2345" s="76"/>
      <c r="Q2345" s="76"/>
      <c r="R2345" s="76"/>
      <c r="S2345" s="76"/>
      <c r="BD2345" s="99">
        <f t="shared" si="75"/>
        <v>0</v>
      </c>
      <c r="CC2345" s="99"/>
      <c r="CV2345" s="99"/>
      <c r="CW2345" s="63"/>
    </row>
    <row r="2346" spans="1:101" ht="22.5" x14ac:dyDescent="0.15">
      <c r="A2346" s="76">
        <v>2213</v>
      </c>
      <c r="B2346" s="74" t="s">
        <v>2446</v>
      </c>
      <c r="C2346" s="74" t="s">
        <v>2447</v>
      </c>
      <c r="D2346" s="78" t="str">
        <f t="shared" si="76"/>
        <v>https://portal.dnb.de/opac.htm?method=simpleSearch&amp;cqlMode=true&amp;query=idn%3D100088936X</v>
      </c>
      <c r="E2346" s="74" t="s">
        <v>2448</v>
      </c>
      <c r="F2346" s="74"/>
      <c r="G2346" s="76" t="s">
        <v>8515</v>
      </c>
      <c r="H2346" s="77" t="s">
        <v>48</v>
      </c>
      <c r="I2346" s="76" t="s">
        <v>53</v>
      </c>
      <c r="J2346" s="77" t="s">
        <v>8516</v>
      </c>
      <c r="K2346" s="77" t="s">
        <v>8518</v>
      </c>
      <c r="L2346" s="76"/>
      <c r="M2346" s="76"/>
      <c r="N2346" s="76"/>
      <c r="O2346" s="76">
        <v>0</v>
      </c>
      <c r="P2346" s="76"/>
      <c r="Q2346" s="76"/>
      <c r="R2346" s="76"/>
      <c r="S2346" s="76"/>
      <c r="BD2346" s="99">
        <f t="shared" si="75"/>
        <v>0</v>
      </c>
      <c r="CC2346" s="99"/>
      <c r="CV2346" s="99"/>
      <c r="CW2346" s="63"/>
    </row>
    <row r="2347" spans="1:101" x14ac:dyDescent="0.15">
      <c r="A2347" s="76">
        <v>2214</v>
      </c>
      <c r="B2347" s="74" t="s">
        <v>2449</v>
      </c>
      <c r="C2347" s="74">
        <v>1001449088</v>
      </c>
      <c r="D2347" s="78" t="str">
        <f t="shared" si="76"/>
        <v>https://portal.dnb.de/opac.htm?method=simpleSearch&amp;cqlMode=true&amp;query=idn%3D1001449088</v>
      </c>
      <c r="E2347" s="74" t="s">
        <v>2450</v>
      </c>
      <c r="F2347" s="74"/>
      <c r="G2347" s="76"/>
      <c r="H2347" s="77" t="s">
        <v>48</v>
      </c>
      <c r="I2347" s="76" t="s">
        <v>53</v>
      </c>
      <c r="J2347" s="77" t="s">
        <v>8516</v>
      </c>
      <c r="K2347" s="77" t="s">
        <v>84</v>
      </c>
      <c r="L2347" s="76"/>
      <c r="M2347" s="76"/>
      <c r="N2347" s="76"/>
      <c r="O2347" s="76">
        <v>0</v>
      </c>
      <c r="P2347" s="76"/>
      <c r="Q2347" s="76"/>
      <c r="R2347" s="76"/>
      <c r="S2347" s="76"/>
      <c r="BD2347" s="99">
        <f t="shared" si="75"/>
        <v>0</v>
      </c>
      <c r="CC2347" s="99"/>
      <c r="CV2347" s="99"/>
      <c r="CW2347" s="63"/>
    </row>
    <row r="2348" spans="1:101" ht="22.5" x14ac:dyDescent="0.15">
      <c r="A2348" s="76">
        <v>2215</v>
      </c>
      <c r="B2348" s="74" t="s">
        <v>2451</v>
      </c>
      <c r="C2348" s="74">
        <v>1000193160</v>
      </c>
      <c r="D2348" s="78" t="str">
        <f t="shared" si="76"/>
        <v>https://portal.dnb.de/opac.htm?method=simpleSearch&amp;cqlMode=true&amp;query=idn%3D1000193160</v>
      </c>
      <c r="E2348" s="74" t="s">
        <v>2452</v>
      </c>
      <c r="F2348" s="74"/>
      <c r="G2348" s="76" t="s">
        <v>8515</v>
      </c>
      <c r="H2348" s="77" t="s">
        <v>8547</v>
      </c>
      <c r="I2348" s="76" t="s">
        <v>53</v>
      </c>
      <c r="J2348" s="77" t="s">
        <v>8516</v>
      </c>
      <c r="K2348" s="77" t="s">
        <v>8520</v>
      </c>
      <c r="L2348" s="76"/>
      <c r="M2348" s="76" t="s">
        <v>38</v>
      </c>
      <c r="N2348" s="76" t="s">
        <v>40</v>
      </c>
      <c r="O2348" s="76">
        <v>0</v>
      </c>
      <c r="P2348" s="76"/>
      <c r="Q2348" s="76"/>
      <c r="R2348" s="76"/>
      <c r="S2348" s="76"/>
      <c r="BD2348" s="99">
        <f t="shared" si="75"/>
        <v>0</v>
      </c>
      <c r="CC2348" s="99"/>
      <c r="CV2348" s="99"/>
      <c r="CW2348" s="63"/>
    </row>
    <row r="2349" spans="1:101" ht="22.5" x14ac:dyDescent="0.15">
      <c r="A2349" s="76">
        <v>2216</v>
      </c>
      <c r="B2349" s="74" t="s">
        <v>2453</v>
      </c>
      <c r="C2349" s="74">
        <v>1002318661</v>
      </c>
      <c r="D2349" s="78" t="str">
        <f t="shared" si="76"/>
        <v>https://portal.dnb.de/opac.htm?method=simpleSearch&amp;cqlMode=true&amp;query=idn%3D1002318661</v>
      </c>
      <c r="E2349" s="74" t="s">
        <v>2454</v>
      </c>
      <c r="F2349" s="74"/>
      <c r="G2349" s="76" t="s">
        <v>8515</v>
      </c>
      <c r="H2349" s="77" t="s">
        <v>8547</v>
      </c>
      <c r="I2349" s="76" t="s">
        <v>53</v>
      </c>
      <c r="J2349" s="77" t="s">
        <v>8516</v>
      </c>
      <c r="K2349" s="77" t="s">
        <v>8520</v>
      </c>
      <c r="L2349" s="76"/>
      <c r="M2349" s="76" t="s">
        <v>38</v>
      </c>
      <c r="N2349" s="76" t="s">
        <v>40</v>
      </c>
      <c r="O2349" s="76">
        <v>0</v>
      </c>
      <c r="P2349" s="76"/>
      <c r="Q2349" s="76"/>
      <c r="R2349" s="76"/>
      <c r="S2349" s="76"/>
      <c r="BD2349" s="99">
        <f t="shared" si="75"/>
        <v>0</v>
      </c>
      <c r="CC2349" s="99"/>
      <c r="CV2349" s="99"/>
      <c r="CW2349" s="63"/>
    </row>
    <row r="2350" spans="1:101" x14ac:dyDescent="0.15">
      <c r="A2350" s="76">
        <v>2217</v>
      </c>
      <c r="B2350" s="74" t="s">
        <v>2725</v>
      </c>
      <c r="C2350" s="74">
        <v>1132624843</v>
      </c>
      <c r="D2350" s="78" t="str">
        <f t="shared" si="76"/>
        <v>https://portal.dnb.de/opac.htm?method=simpleSearch&amp;cqlMode=true&amp;query=idn%3D1132624843</v>
      </c>
      <c r="E2350" s="74" t="s">
        <v>9360</v>
      </c>
      <c r="F2350" s="74"/>
      <c r="G2350" s="76"/>
      <c r="H2350" s="77" t="s">
        <v>4</v>
      </c>
      <c r="I2350" s="76" t="s">
        <v>53</v>
      </c>
      <c r="J2350" s="77" t="s">
        <v>58</v>
      </c>
      <c r="K2350" s="77" t="s">
        <v>84</v>
      </c>
      <c r="L2350" s="76"/>
      <c r="M2350" s="76" t="s">
        <v>36</v>
      </c>
      <c r="N2350" s="76" t="s">
        <v>40</v>
      </c>
      <c r="O2350" s="76">
        <v>1</v>
      </c>
      <c r="P2350" s="76"/>
      <c r="Q2350" s="76"/>
      <c r="R2350" s="76"/>
      <c r="S2350" s="76"/>
      <c r="BD2350" s="99">
        <f t="shared" si="75"/>
        <v>0</v>
      </c>
      <c r="CC2350" s="99"/>
      <c r="CV2350" s="99"/>
      <c r="CW2350" s="63"/>
    </row>
    <row r="2351" spans="1:101" x14ac:dyDescent="0.15">
      <c r="A2351" s="76">
        <v>2218</v>
      </c>
      <c r="B2351" s="74" t="s">
        <v>2726</v>
      </c>
      <c r="C2351" s="74" t="s">
        <v>2727</v>
      </c>
      <c r="D2351" s="82" t="str">
        <f>HYPERLINK(CONCATENATE("https://portal.dnb.de/opac.htm?method=simpleSearch&amp;cqlMode=true&amp;query=idn%3D",C2351))</f>
        <v>https://portal.dnb.de/opac.htm?method=simpleSearch&amp;cqlMode=true&amp;query=idn%3D113262486X</v>
      </c>
      <c r="E2351" s="74" t="s">
        <v>9361</v>
      </c>
      <c r="F2351" s="74"/>
      <c r="G2351" s="76"/>
      <c r="H2351" s="77" t="s">
        <v>4</v>
      </c>
      <c r="I2351" s="76" t="s">
        <v>53</v>
      </c>
      <c r="J2351" s="77" t="s">
        <v>58</v>
      </c>
      <c r="K2351" s="77" t="s">
        <v>84</v>
      </c>
      <c r="L2351" s="76"/>
      <c r="M2351" s="76" t="s">
        <v>36</v>
      </c>
      <c r="N2351" s="76" t="s">
        <v>40</v>
      </c>
      <c r="O2351" s="76">
        <v>1</v>
      </c>
      <c r="P2351" s="76"/>
      <c r="Q2351" s="76"/>
      <c r="R2351" s="76"/>
      <c r="S2351" s="76"/>
      <c r="BD2351" s="99">
        <f t="shared" si="75"/>
        <v>0</v>
      </c>
      <c r="CC2351" s="99"/>
      <c r="CV2351" s="99"/>
      <c r="CW2351" s="63"/>
    </row>
    <row r="2352" spans="1:101" x14ac:dyDescent="0.15">
      <c r="A2352" s="76">
        <v>2219</v>
      </c>
      <c r="B2352" s="74" t="s">
        <v>2728</v>
      </c>
      <c r="C2352" s="74">
        <v>1132624851</v>
      </c>
      <c r="D2352" s="82" t="str">
        <f>HYPERLINK(CONCATENATE("https://portal.dnb.de/opac.htm?method=simpleSearch&amp;cqlMode=true&amp;query=idn%3D",C2352))</f>
        <v>https://portal.dnb.de/opac.htm?method=simpleSearch&amp;cqlMode=true&amp;query=idn%3D1132624851</v>
      </c>
      <c r="E2352" s="74" t="s">
        <v>9362</v>
      </c>
      <c r="F2352" s="74"/>
      <c r="G2352" s="76"/>
      <c r="H2352" s="77" t="s">
        <v>4</v>
      </c>
      <c r="I2352" s="76" t="s">
        <v>53</v>
      </c>
      <c r="J2352" s="77" t="s">
        <v>58</v>
      </c>
      <c r="K2352" s="77" t="s">
        <v>84</v>
      </c>
      <c r="L2352" s="76"/>
      <c r="M2352" s="76" t="s">
        <v>36</v>
      </c>
      <c r="N2352" s="76" t="s">
        <v>40</v>
      </c>
      <c r="O2352" s="76">
        <v>1</v>
      </c>
      <c r="P2352" s="76"/>
      <c r="Q2352" s="76"/>
      <c r="R2352" s="76"/>
      <c r="S2352" s="76"/>
      <c r="BD2352" s="99">
        <f t="shared" si="75"/>
        <v>0</v>
      </c>
      <c r="CC2352" s="99"/>
      <c r="CV2352" s="99"/>
      <c r="CW2352" s="63"/>
    </row>
    <row r="2353" spans="1:101" x14ac:dyDescent="0.15">
      <c r="A2353" s="76">
        <v>2220</v>
      </c>
      <c r="B2353" s="74" t="s">
        <v>2729</v>
      </c>
      <c r="C2353" s="74">
        <v>1132624835</v>
      </c>
      <c r="D2353" s="82" t="str">
        <f>HYPERLINK(CONCATENATE("https://portal.dnb.de/opac.htm?method=simpleSearch&amp;cqlMode=true&amp;query=idn%3D",C2353))</f>
        <v>https://portal.dnb.de/opac.htm?method=simpleSearch&amp;cqlMode=true&amp;query=idn%3D1132624835</v>
      </c>
      <c r="E2353" s="74" t="s">
        <v>9363</v>
      </c>
      <c r="F2353" s="74"/>
      <c r="G2353" s="76" t="s">
        <v>8515</v>
      </c>
      <c r="H2353" s="77" t="s">
        <v>4</v>
      </c>
      <c r="I2353" s="76" t="s">
        <v>53</v>
      </c>
      <c r="J2353" s="77" t="s">
        <v>58</v>
      </c>
      <c r="K2353" s="77" t="s">
        <v>84</v>
      </c>
      <c r="L2353" s="76"/>
      <c r="M2353" s="76" t="s">
        <v>36</v>
      </c>
      <c r="N2353" s="76" t="s">
        <v>40</v>
      </c>
      <c r="O2353" s="76">
        <v>1</v>
      </c>
      <c r="P2353" s="76"/>
      <c r="Q2353" s="76"/>
      <c r="R2353" s="76"/>
      <c r="S2353" s="76"/>
      <c r="BD2353" s="99">
        <f t="shared" si="75"/>
        <v>0</v>
      </c>
      <c r="CC2353" s="99"/>
      <c r="CV2353" s="99"/>
      <c r="CW2353" s="63"/>
    </row>
    <row r="2354" spans="1:101" ht="22.5" x14ac:dyDescent="0.15">
      <c r="A2354" s="76">
        <v>2221</v>
      </c>
      <c r="B2354" s="74" t="s">
        <v>2730</v>
      </c>
      <c r="C2354" s="74">
        <v>1132624886</v>
      </c>
      <c r="D2354" s="78" t="str">
        <f t="shared" si="76"/>
        <v>https://portal.dnb.de/opac.htm?method=simpleSearch&amp;cqlMode=true&amp;query=idn%3D1132624886</v>
      </c>
      <c r="E2354" s="74" t="s">
        <v>9364</v>
      </c>
      <c r="F2354" s="74"/>
      <c r="G2354" s="76"/>
      <c r="H2354" s="77" t="s">
        <v>4</v>
      </c>
      <c r="I2354" s="76" t="s">
        <v>53</v>
      </c>
      <c r="J2354" s="77" t="s">
        <v>58</v>
      </c>
      <c r="K2354" s="77" t="s">
        <v>8565</v>
      </c>
      <c r="L2354" s="76"/>
      <c r="M2354" s="76" t="s">
        <v>36</v>
      </c>
      <c r="N2354" s="76" t="s">
        <v>40</v>
      </c>
      <c r="O2354" s="76">
        <v>1</v>
      </c>
      <c r="P2354" s="76"/>
      <c r="Q2354" s="76"/>
      <c r="R2354" s="76"/>
      <c r="S2354" s="76"/>
      <c r="BD2354" s="99">
        <f t="shared" si="75"/>
        <v>0</v>
      </c>
      <c r="CC2354" s="99"/>
      <c r="CV2354" s="99"/>
      <c r="CW2354" s="63"/>
    </row>
    <row r="2355" spans="1:101" x14ac:dyDescent="0.15">
      <c r="A2355" s="76">
        <v>2222</v>
      </c>
      <c r="B2355" s="74" t="s">
        <v>2731</v>
      </c>
      <c r="C2355" s="74">
        <v>1132624878</v>
      </c>
      <c r="D2355" s="82" t="str">
        <f>HYPERLINK(CONCATENATE("https://portal.dnb.de/opac.htm?method=simpleSearch&amp;cqlMode=true&amp;query=idn%3D",C2355))</f>
        <v>https://portal.dnb.de/opac.htm?method=simpleSearch&amp;cqlMode=true&amp;query=idn%3D1132624878</v>
      </c>
      <c r="E2355" s="74" t="s">
        <v>9365</v>
      </c>
      <c r="F2355" s="74"/>
      <c r="G2355" s="76"/>
      <c r="H2355" s="77" t="s">
        <v>4</v>
      </c>
      <c r="I2355" s="76" t="s">
        <v>53</v>
      </c>
      <c r="J2355" s="77" t="s">
        <v>58</v>
      </c>
      <c r="K2355" s="77" t="s">
        <v>84</v>
      </c>
      <c r="L2355" s="76"/>
      <c r="M2355" s="76" t="s">
        <v>36</v>
      </c>
      <c r="N2355" s="76" t="s">
        <v>40</v>
      </c>
      <c r="O2355" s="76">
        <v>1</v>
      </c>
      <c r="P2355" s="76"/>
      <c r="Q2355" s="76"/>
      <c r="R2355" s="76"/>
      <c r="S2355" s="76"/>
      <c r="BD2355" s="99">
        <f t="shared" si="75"/>
        <v>0</v>
      </c>
      <c r="CC2355" s="99"/>
      <c r="CV2355" s="99"/>
      <c r="CW2355" s="63"/>
    </row>
    <row r="2356" spans="1:101" x14ac:dyDescent="0.15">
      <c r="A2356" s="76">
        <v>2223</v>
      </c>
      <c r="B2356" s="74" t="s">
        <v>2457</v>
      </c>
      <c r="C2356" s="74">
        <v>995504423</v>
      </c>
      <c r="D2356" s="78" t="str">
        <f t="shared" si="76"/>
        <v>https://portal.dnb.de/opac.htm?method=simpleSearch&amp;cqlMode=true&amp;query=idn%3D995504423</v>
      </c>
      <c r="E2356" s="74" t="s">
        <v>2458</v>
      </c>
      <c r="F2356" s="74"/>
      <c r="G2356" s="76"/>
      <c r="H2356" s="77"/>
      <c r="I2356" s="76"/>
      <c r="J2356" s="77"/>
      <c r="K2356" s="77"/>
      <c r="L2356" s="76"/>
      <c r="M2356" s="76"/>
      <c r="N2356" s="76"/>
      <c r="O2356" s="76"/>
      <c r="P2356" s="76"/>
      <c r="Q2356" s="76"/>
      <c r="R2356" s="76"/>
      <c r="S2356" s="76"/>
      <c r="BD2356" s="99">
        <f t="shared" si="75"/>
        <v>0</v>
      </c>
      <c r="CC2356" s="99"/>
      <c r="CV2356" s="99"/>
      <c r="CW2356" s="63"/>
    </row>
    <row r="2357" spans="1:101" x14ac:dyDescent="0.15">
      <c r="A2357" s="76">
        <v>2224</v>
      </c>
      <c r="B2357" s="74" t="s">
        <v>2459</v>
      </c>
      <c r="C2357" s="74">
        <v>1000385280</v>
      </c>
      <c r="D2357" s="78" t="str">
        <f t="shared" si="76"/>
        <v>https://portal.dnb.de/opac.htm?method=simpleSearch&amp;cqlMode=true&amp;query=idn%3D1000385280</v>
      </c>
      <c r="E2357" s="74" t="s">
        <v>2458</v>
      </c>
      <c r="F2357" s="74"/>
      <c r="G2357" s="76"/>
      <c r="H2357" s="77"/>
      <c r="I2357" s="76"/>
      <c r="J2357" s="77"/>
      <c r="K2357" s="77"/>
      <c r="L2357" s="76"/>
      <c r="M2357" s="76"/>
      <c r="N2357" s="76"/>
      <c r="O2357" s="76"/>
      <c r="P2357" s="76"/>
      <c r="Q2357" s="76"/>
      <c r="R2357" s="76"/>
      <c r="S2357" s="76"/>
      <c r="BD2357" s="99">
        <f t="shared" si="75"/>
        <v>0</v>
      </c>
      <c r="CC2357" s="99"/>
      <c r="CV2357" s="99"/>
      <c r="CW2357" s="63"/>
    </row>
    <row r="2358" spans="1:101" ht="22.5" x14ac:dyDescent="0.15">
      <c r="A2358" s="76">
        <v>2225</v>
      </c>
      <c r="B2358" s="74" t="s">
        <v>3177</v>
      </c>
      <c r="C2358" s="74">
        <v>1002803829</v>
      </c>
      <c r="D2358" s="78" t="str">
        <f t="shared" si="76"/>
        <v>https://portal.dnb.de/opac.htm?method=simpleSearch&amp;cqlMode=true&amp;query=idn%3D1002803829</v>
      </c>
      <c r="E2358" s="74" t="s">
        <v>3178</v>
      </c>
      <c r="F2358" s="74"/>
      <c r="G2358" s="76"/>
      <c r="H2358" s="77" t="s">
        <v>18</v>
      </c>
      <c r="I2358" s="76" t="s">
        <v>53</v>
      </c>
      <c r="J2358" s="77" t="s">
        <v>58</v>
      </c>
      <c r="K2358" s="77" t="s">
        <v>84</v>
      </c>
      <c r="L2358" s="76"/>
      <c r="M2358" s="76" t="s">
        <v>36</v>
      </c>
      <c r="N2358" s="76" t="s">
        <v>39</v>
      </c>
      <c r="O2358" s="76">
        <v>0</v>
      </c>
      <c r="P2358" s="76"/>
      <c r="Q2358" s="76"/>
      <c r="R2358" s="76"/>
      <c r="S2358" s="76"/>
      <c r="BD2358" s="99">
        <f t="shared" si="75"/>
        <v>0</v>
      </c>
      <c r="CC2358" s="99"/>
      <c r="CV2358" s="99"/>
      <c r="CW2358" s="63"/>
    </row>
    <row r="2359" spans="1:101" x14ac:dyDescent="0.15">
      <c r="A2359" s="76">
        <v>2226</v>
      </c>
      <c r="B2359" s="74" t="s">
        <v>3261</v>
      </c>
      <c r="C2359" s="74">
        <v>995808600</v>
      </c>
      <c r="D2359" s="78" t="str">
        <f t="shared" si="76"/>
        <v>https://portal.dnb.de/opac.htm?method=simpleSearch&amp;cqlMode=true&amp;query=idn%3D995808600</v>
      </c>
      <c r="E2359" s="74" t="s">
        <v>3262</v>
      </c>
      <c r="F2359" s="74"/>
      <c r="G2359" s="76"/>
      <c r="H2359" s="77" t="s">
        <v>48</v>
      </c>
      <c r="I2359" s="76" t="s">
        <v>53</v>
      </c>
      <c r="J2359" s="77" t="s">
        <v>8516</v>
      </c>
      <c r="K2359" s="77" t="s">
        <v>84</v>
      </c>
      <c r="L2359" s="76"/>
      <c r="M2359" s="76"/>
      <c r="N2359" s="76"/>
      <c r="O2359" s="76">
        <v>0</v>
      </c>
      <c r="P2359" s="76"/>
      <c r="Q2359" s="76"/>
      <c r="R2359" s="76"/>
      <c r="S2359" s="76"/>
      <c r="BD2359" s="99">
        <f t="shared" si="75"/>
        <v>0</v>
      </c>
      <c r="CC2359" s="99"/>
      <c r="CV2359" s="99"/>
      <c r="CW2359" s="63"/>
    </row>
    <row r="2360" spans="1:101" ht="22.5" x14ac:dyDescent="0.15">
      <c r="A2360" s="76">
        <v>2227</v>
      </c>
      <c r="B2360" s="74" t="s">
        <v>3308</v>
      </c>
      <c r="C2360" s="74">
        <v>1000550923</v>
      </c>
      <c r="D2360" s="78" t="str">
        <f t="shared" si="76"/>
        <v>https://portal.dnb.de/opac.htm?method=simpleSearch&amp;cqlMode=true&amp;query=idn%3D1000550923</v>
      </c>
      <c r="E2360" s="74" t="s">
        <v>3309</v>
      </c>
      <c r="F2360" s="74"/>
      <c r="G2360" s="76" t="s">
        <v>8515</v>
      </c>
      <c r="H2360" s="77" t="s">
        <v>18</v>
      </c>
      <c r="I2360" s="76" t="s">
        <v>53</v>
      </c>
      <c r="J2360" s="77" t="s">
        <v>58</v>
      </c>
      <c r="K2360" s="77"/>
      <c r="L2360" s="76"/>
      <c r="M2360" s="76"/>
      <c r="N2360" s="76"/>
      <c r="O2360" s="76">
        <v>0</v>
      </c>
      <c r="P2360" s="76"/>
      <c r="Q2360" s="76"/>
      <c r="R2360" s="76"/>
      <c r="S2360" s="76"/>
      <c r="BD2360" s="99">
        <f t="shared" si="75"/>
        <v>0</v>
      </c>
      <c r="CC2360" s="99"/>
      <c r="CV2360" s="99"/>
      <c r="CW2360" s="63"/>
    </row>
    <row r="2361" spans="1:101" ht="22.5" x14ac:dyDescent="0.15">
      <c r="A2361" s="76">
        <v>2228</v>
      </c>
      <c r="B2361" s="74" t="s">
        <v>3352</v>
      </c>
      <c r="C2361" s="74" t="s">
        <v>3353</v>
      </c>
      <c r="D2361" s="78" t="str">
        <f t="shared" si="76"/>
        <v>https://portal.dnb.de/opac.htm?method=simpleSearch&amp;cqlMode=true&amp;query=idn%3D100148343X</v>
      </c>
      <c r="E2361" s="74" t="s">
        <v>3354</v>
      </c>
      <c r="F2361" s="74"/>
      <c r="G2361" s="76" t="s">
        <v>8515</v>
      </c>
      <c r="H2361" s="77" t="s">
        <v>48</v>
      </c>
      <c r="I2361" s="76" t="s">
        <v>54</v>
      </c>
      <c r="J2361" s="77" t="s">
        <v>8516</v>
      </c>
      <c r="K2361" s="77" t="s">
        <v>8564</v>
      </c>
      <c r="L2361" s="76"/>
      <c r="M2361" s="76"/>
      <c r="N2361" s="76"/>
      <c r="O2361" s="76">
        <v>1</v>
      </c>
      <c r="P2361" s="76"/>
      <c r="Q2361" s="76"/>
      <c r="R2361" s="76"/>
      <c r="S2361" s="76"/>
      <c r="BD2361" s="99">
        <f t="shared" si="75"/>
        <v>0</v>
      </c>
      <c r="CC2361" s="99"/>
      <c r="CV2361" s="99"/>
      <c r="CW2361" s="63"/>
    </row>
    <row r="2362" spans="1:101" ht="22.5" x14ac:dyDescent="0.15">
      <c r="A2362" s="76">
        <v>2229</v>
      </c>
      <c r="B2362" s="74" t="s">
        <v>3478</v>
      </c>
      <c r="C2362" s="74">
        <v>997103647</v>
      </c>
      <c r="D2362" s="78" t="str">
        <f t="shared" si="76"/>
        <v>https://portal.dnb.de/opac.htm?method=simpleSearch&amp;cqlMode=true&amp;query=idn%3D997103647</v>
      </c>
      <c r="E2362" s="74" t="s">
        <v>3479</v>
      </c>
      <c r="F2362" s="74"/>
      <c r="G2362" s="76" t="s">
        <v>8515</v>
      </c>
      <c r="H2362" s="77" t="s">
        <v>8547</v>
      </c>
      <c r="I2362" s="76" t="s">
        <v>55</v>
      </c>
      <c r="J2362" s="77" t="s">
        <v>8516</v>
      </c>
      <c r="K2362" s="77" t="s">
        <v>72</v>
      </c>
      <c r="L2362" s="76"/>
      <c r="M2362" s="76" t="s">
        <v>37</v>
      </c>
      <c r="N2362" s="76" t="s">
        <v>8695</v>
      </c>
      <c r="O2362" s="76">
        <v>2</v>
      </c>
      <c r="P2362" s="76"/>
      <c r="Q2362" s="76"/>
      <c r="R2362" s="76"/>
      <c r="S2362" s="76"/>
      <c r="BD2362" s="99">
        <f t="shared" si="75"/>
        <v>0</v>
      </c>
      <c r="CC2362" s="99"/>
      <c r="CV2362" s="99"/>
      <c r="CW2362" s="63"/>
    </row>
    <row r="2363" spans="1:101" x14ac:dyDescent="0.15">
      <c r="A2363" s="76">
        <v>2230</v>
      </c>
      <c r="B2363" s="74" t="s">
        <v>3480</v>
      </c>
      <c r="C2363" s="74">
        <v>997103736</v>
      </c>
      <c r="D2363" s="78" t="str">
        <f t="shared" si="76"/>
        <v>https://portal.dnb.de/opac.htm?method=simpleSearch&amp;cqlMode=true&amp;query=idn%3D997103736</v>
      </c>
      <c r="E2363" s="74" t="s">
        <v>3479</v>
      </c>
      <c r="F2363" s="74"/>
      <c r="G2363" s="76"/>
      <c r="H2363" s="77"/>
      <c r="I2363" s="76"/>
      <c r="J2363" s="77"/>
      <c r="K2363" s="77"/>
      <c r="L2363" s="76"/>
      <c r="M2363" s="76"/>
      <c r="N2363" s="76"/>
      <c r="O2363" s="76"/>
      <c r="P2363" s="76"/>
      <c r="Q2363" s="76"/>
      <c r="R2363" s="76"/>
      <c r="S2363" s="76"/>
      <c r="BD2363" s="99">
        <f t="shared" si="75"/>
        <v>0</v>
      </c>
      <c r="CC2363" s="99"/>
      <c r="CV2363" s="99"/>
      <c r="CW2363" s="63"/>
    </row>
    <row r="2364" spans="1:101" x14ac:dyDescent="0.15">
      <c r="A2364" s="76">
        <v>2231</v>
      </c>
      <c r="B2364" s="74" t="s">
        <v>2513</v>
      </c>
      <c r="C2364" s="74">
        <v>1001172043</v>
      </c>
      <c r="D2364" s="78" t="str">
        <f t="shared" si="76"/>
        <v>https://portal.dnb.de/opac.htm?method=simpleSearch&amp;cqlMode=true&amp;query=idn%3D1001172043</v>
      </c>
      <c r="E2364" s="74" t="s">
        <v>2514</v>
      </c>
      <c r="F2364" s="74"/>
      <c r="G2364" s="76" t="s">
        <v>8515</v>
      </c>
      <c r="H2364" s="77" t="s">
        <v>4</v>
      </c>
      <c r="I2364" s="76" t="s">
        <v>53</v>
      </c>
      <c r="J2364" s="77" t="s">
        <v>8516</v>
      </c>
      <c r="K2364" s="77" t="s">
        <v>8520</v>
      </c>
      <c r="L2364" s="76"/>
      <c r="M2364" s="76"/>
      <c r="N2364" s="76" t="s">
        <v>8660</v>
      </c>
      <c r="O2364" s="76">
        <v>0</v>
      </c>
      <c r="P2364" s="76"/>
      <c r="Q2364" s="76"/>
      <c r="R2364" s="76"/>
      <c r="S2364" s="76"/>
      <c r="BD2364" s="99">
        <f t="shared" si="75"/>
        <v>0</v>
      </c>
      <c r="CC2364" s="99"/>
      <c r="CV2364" s="99"/>
      <c r="CW2364" s="63"/>
    </row>
    <row r="2365" spans="1:101" x14ac:dyDescent="0.15">
      <c r="A2365" s="76">
        <v>2232</v>
      </c>
      <c r="B2365" s="74" t="s">
        <v>3387</v>
      </c>
      <c r="C2365" s="74">
        <v>1048756033</v>
      </c>
      <c r="D2365" s="82" t="str">
        <f>HYPERLINK(CONCATENATE("https://portal.dnb.de/opac.htm?method=simpleSearch&amp;cqlMode=true&amp;query=idn%3D",C2365))</f>
        <v>https://portal.dnb.de/opac.htm?method=simpleSearch&amp;cqlMode=true&amp;query=idn%3D1048756033</v>
      </c>
      <c r="E2365" s="74" t="s">
        <v>9192</v>
      </c>
      <c r="F2365" s="74"/>
      <c r="G2365" s="76" t="s">
        <v>8515</v>
      </c>
      <c r="H2365" s="77" t="s">
        <v>49</v>
      </c>
      <c r="I2365" s="76" t="s">
        <v>53</v>
      </c>
      <c r="J2365" s="77" t="s">
        <v>8516</v>
      </c>
      <c r="K2365" s="77" t="s">
        <v>8785</v>
      </c>
      <c r="L2365" s="76"/>
      <c r="M2365" s="76"/>
      <c r="N2365" s="76" t="s">
        <v>8660</v>
      </c>
      <c r="O2365" s="76">
        <v>0</v>
      </c>
      <c r="P2365" s="76"/>
      <c r="Q2365" s="76"/>
      <c r="R2365" s="76"/>
      <c r="S2365" s="76"/>
      <c r="Y2365" s="95" t="s">
        <v>9869</v>
      </c>
      <c r="AC2365" s="95" t="s">
        <v>9737</v>
      </c>
      <c r="AI2365" s="95" t="s">
        <v>9725</v>
      </c>
      <c r="AP2365" s="95" t="s">
        <v>8541</v>
      </c>
      <c r="AW2365" s="95">
        <v>45</v>
      </c>
      <c r="BC2365" s="96" t="s">
        <v>9734</v>
      </c>
      <c r="BD2365" s="99">
        <f t="shared" si="75"/>
        <v>0</v>
      </c>
      <c r="CC2365" s="99"/>
      <c r="CV2365" s="99"/>
      <c r="CW2365" s="63"/>
    </row>
    <row r="2366" spans="1:101" x14ac:dyDescent="0.15">
      <c r="A2366" s="76">
        <v>2233</v>
      </c>
      <c r="B2366" s="74" t="s">
        <v>3388</v>
      </c>
      <c r="C2366" s="74">
        <v>1049399242</v>
      </c>
      <c r="D2366" s="78" t="str">
        <f t="shared" si="76"/>
        <v>https://portal.dnb.de/opac.htm?method=simpleSearch&amp;cqlMode=true&amp;query=idn%3D1049399242</v>
      </c>
      <c r="E2366" s="74" t="s">
        <v>9191</v>
      </c>
      <c r="F2366" s="74"/>
      <c r="G2366" s="76"/>
      <c r="H2366" s="77" t="s">
        <v>49</v>
      </c>
      <c r="I2366" s="76" t="s">
        <v>53</v>
      </c>
      <c r="J2366" s="77" t="s">
        <v>8516</v>
      </c>
      <c r="K2366" s="77" t="s">
        <v>84</v>
      </c>
      <c r="L2366" s="76"/>
      <c r="M2366" s="76"/>
      <c r="N2366" s="76" t="s">
        <v>8660</v>
      </c>
      <c r="O2366" s="76">
        <v>1</v>
      </c>
      <c r="P2366" s="76"/>
      <c r="Q2366" s="76"/>
      <c r="R2366" s="76"/>
      <c r="S2366" s="76"/>
      <c r="Y2366" s="95" t="s">
        <v>9869</v>
      </c>
      <c r="AC2366" s="95" t="s">
        <v>9737</v>
      </c>
      <c r="AI2366" s="95" t="s">
        <v>9725</v>
      </c>
      <c r="AW2366" s="95">
        <v>45</v>
      </c>
      <c r="BC2366" s="96" t="s">
        <v>9734</v>
      </c>
      <c r="BD2366" s="99">
        <f t="shared" si="75"/>
        <v>0</v>
      </c>
      <c r="CC2366" s="99"/>
      <c r="CV2366" s="99"/>
      <c r="CW2366" s="63"/>
    </row>
    <row r="2367" spans="1:101" ht="33.75" x14ac:dyDescent="0.15">
      <c r="A2367" s="76">
        <v>2234</v>
      </c>
      <c r="B2367" s="74" t="s">
        <v>2645</v>
      </c>
      <c r="C2367" s="74">
        <v>993907768</v>
      </c>
      <c r="D2367" s="78" t="str">
        <f t="shared" si="76"/>
        <v>https://portal.dnb.de/opac.htm?method=simpleSearch&amp;cqlMode=true&amp;query=idn%3D993907768</v>
      </c>
      <c r="E2367" s="74" t="s">
        <v>2646</v>
      </c>
      <c r="F2367" s="74"/>
      <c r="G2367" s="76"/>
      <c r="H2367" s="77"/>
      <c r="I2367" s="76" t="s">
        <v>53</v>
      </c>
      <c r="J2367" s="77"/>
      <c r="K2367" s="77"/>
      <c r="L2367" s="76"/>
      <c r="M2367" s="76"/>
      <c r="N2367" s="76"/>
      <c r="O2367" s="76"/>
      <c r="P2367" s="76"/>
      <c r="Q2367" s="76"/>
      <c r="R2367" s="76"/>
      <c r="S2367" s="76"/>
      <c r="Y2367" s="95" t="s">
        <v>9725</v>
      </c>
      <c r="AC2367" s="95" t="s">
        <v>9739</v>
      </c>
      <c r="AI2367" s="95" t="s">
        <v>9725</v>
      </c>
      <c r="AW2367" s="95">
        <v>110</v>
      </c>
      <c r="BC2367" s="96" t="s">
        <v>9726</v>
      </c>
      <c r="BD2367" s="99">
        <f t="shared" si="75"/>
        <v>0.5</v>
      </c>
      <c r="BJ2367" s="95" t="s">
        <v>9741</v>
      </c>
      <c r="BK2367" s="95" t="s">
        <v>8541</v>
      </c>
      <c r="BP2367" s="69" t="s">
        <v>8541</v>
      </c>
      <c r="BR2367" s="95" t="s">
        <v>8541</v>
      </c>
      <c r="CC2367" s="99">
        <v>0.5</v>
      </c>
      <c r="CD2367" s="90" t="s">
        <v>10150</v>
      </c>
      <c r="CV2367" s="99"/>
      <c r="CW2367" s="63"/>
    </row>
    <row r="2368" spans="1:101" ht="22.5" x14ac:dyDescent="0.15">
      <c r="A2368" s="76">
        <v>2235</v>
      </c>
      <c r="B2368" s="74" t="s">
        <v>2455</v>
      </c>
      <c r="C2368" s="74">
        <v>1066964416</v>
      </c>
      <c r="D2368" s="78" t="str">
        <f t="shared" si="76"/>
        <v>https://portal.dnb.de/opac.htm?method=simpleSearch&amp;cqlMode=true&amp;query=idn%3D1066964416</v>
      </c>
      <c r="E2368" s="74" t="s">
        <v>2456</v>
      </c>
      <c r="F2368" s="74"/>
      <c r="G2368" s="76"/>
      <c r="H2368" s="77"/>
      <c r="I2368" s="76" t="s">
        <v>53</v>
      </c>
      <c r="J2368" s="77"/>
      <c r="K2368" s="77"/>
      <c r="L2368" s="76"/>
      <c r="M2368" s="76"/>
      <c r="N2368" s="76"/>
      <c r="O2368" s="76"/>
      <c r="P2368" s="76"/>
      <c r="Q2368" s="76"/>
      <c r="R2368" s="76"/>
      <c r="S2368" s="76"/>
      <c r="Y2368" s="95" t="s">
        <v>9723</v>
      </c>
      <c r="AA2368" s="95" t="s">
        <v>8541</v>
      </c>
      <c r="AB2368" s="95" t="s">
        <v>8541</v>
      </c>
      <c r="AC2368" s="95" t="s">
        <v>9724</v>
      </c>
      <c r="AI2368" s="95" t="s">
        <v>9725</v>
      </c>
      <c r="AW2368" s="95">
        <v>45</v>
      </c>
      <c r="BC2368" s="96" t="s">
        <v>9726</v>
      </c>
      <c r="BD2368" s="99">
        <f t="shared" si="75"/>
        <v>1.5</v>
      </c>
      <c r="BJ2368" s="95" t="s">
        <v>9741</v>
      </c>
      <c r="BK2368" s="95" t="s">
        <v>8541</v>
      </c>
      <c r="BO2368" s="70" t="s">
        <v>10147</v>
      </c>
      <c r="BP2368" s="69" t="s">
        <v>8541</v>
      </c>
      <c r="BQ2368" s="95" t="s">
        <v>8541</v>
      </c>
      <c r="BR2368" s="95" t="s">
        <v>8541</v>
      </c>
      <c r="BT2368" s="95" t="s">
        <v>9775</v>
      </c>
      <c r="CB2368" s="95" t="s">
        <v>9818</v>
      </c>
      <c r="CC2368" s="99">
        <v>1.5</v>
      </c>
      <c r="CD2368" s="90" t="s">
        <v>10148</v>
      </c>
      <c r="CV2368" s="99"/>
      <c r="CW2368" s="63"/>
    </row>
    <row r="2369" spans="1:101" x14ac:dyDescent="0.15">
      <c r="A2369" s="76">
        <v>2236</v>
      </c>
      <c r="B2369" s="74" t="s">
        <v>3002</v>
      </c>
      <c r="C2369" s="74">
        <v>1066956901</v>
      </c>
      <c r="D2369" s="78" t="str">
        <f t="shared" si="76"/>
        <v>https://portal.dnb.de/opac.htm?method=simpleSearch&amp;cqlMode=true&amp;query=idn%3D1066956901</v>
      </c>
      <c r="E2369" s="74" t="s">
        <v>3003</v>
      </c>
      <c r="F2369" s="74"/>
      <c r="G2369" s="76"/>
      <c r="H2369" s="77" t="s">
        <v>5</v>
      </c>
      <c r="I2369" s="76" t="s">
        <v>54</v>
      </c>
      <c r="J2369" s="77" t="s">
        <v>8516</v>
      </c>
      <c r="K2369" s="77" t="s">
        <v>84</v>
      </c>
      <c r="L2369" s="76"/>
      <c r="M2369" s="76"/>
      <c r="N2369" s="76"/>
      <c r="O2369" s="76">
        <v>1</v>
      </c>
      <c r="P2369" s="76"/>
      <c r="Q2369" s="76"/>
      <c r="R2369" s="76"/>
      <c r="S2369" s="76"/>
      <c r="BD2369" s="99">
        <f t="shared" si="75"/>
        <v>0</v>
      </c>
      <c r="CC2369" s="99"/>
      <c r="CV2369" s="99"/>
      <c r="CW2369" s="63"/>
    </row>
    <row r="2370" spans="1:101" ht="33.75" x14ac:dyDescent="0.15">
      <c r="A2370" s="76">
        <v>2237</v>
      </c>
      <c r="B2370" s="74" t="s">
        <v>3104</v>
      </c>
      <c r="C2370" s="74" t="s">
        <v>3105</v>
      </c>
      <c r="D2370" s="78" t="str">
        <f t="shared" si="76"/>
        <v>https://portal.dnb.de/opac.htm?method=simpleSearch&amp;cqlMode=true&amp;query=idn%3D106675358X</v>
      </c>
      <c r="E2370" s="74" t="s">
        <v>3106</v>
      </c>
      <c r="F2370" s="74"/>
      <c r="G2370" s="76" t="s">
        <v>8515</v>
      </c>
      <c r="H2370" s="77" t="s">
        <v>8549</v>
      </c>
      <c r="I2370" s="76" t="s">
        <v>53</v>
      </c>
      <c r="J2370" s="77" t="s">
        <v>8516</v>
      </c>
      <c r="K2370" s="77" t="s">
        <v>84</v>
      </c>
      <c r="L2370" s="76"/>
      <c r="M2370" s="76"/>
      <c r="N2370" s="76" t="s">
        <v>8660</v>
      </c>
      <c r="O2370" s="76">
        <v>0</v>
      </c>
      <c r="P2370" s="76"/>
      <c r="Q2370" s="76"/>
      <c r="R2370" s="76"/>
      <c r="S2370" s="76"/>
      <c r="BD2370" s="99">
        <f t="shared" si="75"/>
        <v>0</v>
      </c>
      <c r="CC2370" s="99"/>
      <c r="CV2370" s="99"/>
      <c r="CW2370" s="63"/>
    </row>
    <row r="2371" spans="1:101" ht="22.5" x14ac:dyDescent="0.15">
      <c r="A2371" s="76">
        <v>2238</v>
      </c>
      <c r="B2371" s="74" t="s">
        <v>3174</v>
      </c>
      <c r="C2371" s="74" t="s">
        <v>3175</v>
      </c>
      <c r="D2371" s="78" t="str">
        <f t="shared" si="76"/>
        <v>https://portal.dnb.de/opac.htm?method=simpleSearch&amp;cqlMode=true&amp;query=idn%3D106687705X</v>
      </c>
      <c r="E2371" s="74" t="s">
        <v>3176</v>
      </c>
      <c r="F2371" s="74"/>
      <c r="G2371" s="76" t="s">
        <v>8515</v>
      </c>
      <c r="H2371" s="77" t="s">
        <v>8547</v>
      </c>
      <c r="I2371" s="76" t="s">
        <v>53</v>
      </c>
      <c r="J2371" s="77" t="s">
        <v>8516</v>
      </c>
      <c r="K2371" s="77" t="s">
        <v>8565</v>
      </c>
      <c r="L2371" s="76"/>
      <c r="M2371" s="76" t="s">
        <v>37</v>
      </c>
      <c r="N2371" s="76" t="s">
        <v>9183</v>
      </c>
      <c r="O2371" s="76">
        <v>0</v>
      </c>
      <c r="P2371" s="76"/>
      <c r="Q2371" s="76"/>
      <c r="R2371" s="76"/>
      <c r="S2371" s="76"/>
      <c r="BD2371" s="99">
        <f t="shared" ref="BD2371:BD2434" si="77">CC2371+CV2371</f>
        <v>0</v>
      </c>
      <c r="CC2371" s="99"/>
      <c r="CV2371" s="99"/>
      <c r="CW2371" s="63"/>
    </row>
    <row r="2372" spans="1:101" x14ac:dyDescent="0.15">
      <c r="A2372" s="76">
        <v>2239</v>
      </c>
      <c r="B2372" s="74" t="s">
        <v>3258</v>
      </c>
      <c r="C2372" s="74" t="s">
        <v>3259</v>
      </c>
      <c r="D2372" s="78" t="str">
        <f t="shared" si="76"/>
        <v>https://portal.dnb.de/opac.htm?method=simpleSearch&amp;cqlMode=true&amp;query=idn%3D106685100X</v>
      </c>
      <c r="E2372" s="74" t="s">
        <v>3260</v>
      </c>
      <c r="F2372" s="74"/>
      <c r="G2372" s="76" t="s">
        <v>8515</v>
      </c>
      <c r="H2372" s="77" t="s">
        <v>5</v>
      </c>
      <c r="I2372" s="76" t="s">
        <v>53</v>
      </c>
      <c r="J2372" s="77" t="s">
        <v>89</v>
      </c>
      <c r="K2372" s="77" t="s">
        <v>72</v>
      </c>
      <c r="L2372" s="76"/>
      <c r="M2372" s="76"/>
      <c r="N2372" s="76" t="s">
        <v>8660</v>
      </c>
      <c r="O2372" s="76">
        <v>0</v>
      </c>
      <c r="P2372" s="76"/>
      <c r="Q2372" s="76"/>
      <c r="R2372" s="76"/>
      <c r="S2372" s="76"/>
      <c r="BD2372" s="99">
        <f t="shared" si="77"/>
        <v>0</v>
      </c>
      <c r="CC2372" s="99"/>
      <c r="CV2372" s="99"/>
      <c r="CW2372" s="63"/>
    </row>
    <row r="2373" spans="1:101" ht="22.5" x14ac:dyDescent="0.15">
      <c r="A2373" s="76">
        <v>2240</v>
      </c>
      <c r="B2373" s="74" t="s">
        <v>3303</v>
      </c>
      <c r="C2373" s="74" t="s">
        <v>3304</v>
      </c>
      <c r="D2373" s="78" t="str">
        <f t="shared" si="76"/>
        <v>https://portal.dnb.de/opac.htm?method=simpleSearch&amp;cqlMode=true&amp;query=idn%3D106693598X</v>
      </c>
      <c r="E2373" s="74" t="s">
        <v>3305</v>
      </c>
      <c r="F2373" s="74"/>
      <c r="G2373" s="76" t="s">
        <v>8515</v>
      </c>
      <c r="H2373" s="77" t="s">
        <v>18</v>
      </c>
      <c r="I2373" s="76" t="s">
        <v>53</v>
      </c>
      <c r="J2373" s="77" t="s">
        <v>8516</v>
      </c>
      <c r="K2373" s="77" t="s">
        <v>8709</v>
      </c>
      <c r="L2373" s="76"/>
      <c r="M2373" s="76" t="s">
        <v>38</v>
      </c>
      <c r="N2373" s="76" t="s">
        <v>8695</v>
      </c>
      <c r="O2373" s="76">
        <v>0</v>
      </c>
      <c r="P2373" s="76"/>
      <c r="Q2373" s="76"/>
      <c r="R2373" s="76"/>
      <c r="S2373" s="76"/>
      <c r="BD2373" s="99">
        <f t="shared" si="77"/>
        <v>0</v>
      </c>
      <c r="CC2373" s="99"/>
      <c r="CV2373" s="99"/>
      <c r="CW2373" s="63"/>
    </row>
    <row r="2374" spans="1:101" x14ac:dyDescent="0.15">
      <c r="A2374" s="76">
        <v>2241</v>
      </c>
      <c r="B2374" s="74" t="s">
        <v>3350</v>
      </c>
      <c r="C2374" s="74">
        <v>1066760659</v>
      </c>
      <c r="D2374" s="78" t="str">
        <f t="shared" si="76"/>
        <v>https://portal.dnb.de/opac.htm?method=simpleSearch&amp;cqlMode=true&amp;query=idn%3D1066760659</v>
      </c>
      <c r="E2374" s="74" t="s">
        <v>3351</v>
      </c>
      <c r="F2374" s="74"/>
      <c r="G2374" s="76" t="s">
        <v>8515</v>
      </c>
      <c r="H2374" s="77" t="s">
        <v>49</v>
      </c>
      <c r="I2374" s="76" t="s">
        <v>53</v>
      </c>
      <c r="J2374" s="77" t="s">
        <v>8516</v>
      </c>
      <c r="K2374" s="77" t="s">
        <v>84</v>
      </c>
      <c r="L2374" s="76"/>
      <c r="M2374" s="76"/>
      <c r="N2374" s="76"/>
      <c r="O2374" s="76">
        <v>0</v>
      </c>
      <c r="P2374" s="76"/>
      <c r="Q2374" s="76"/>
      <c r="R2374" s="76"/>
      <c r="S2374" s="76"/>
      <c r="BD2374" s="99">
        <f t="shared" si="77"/>
        <v>0</v>
      </c>
      <c r="CC2374" s="99"/>
      <c r="CV2374" s="99"/>
      <c r="CW2374" s="63"/>
    </row>
    <row r="2375" spans="1:101" x14ac:dyDescent="0.15">
      <c r="A2375" s="76">
        <v>2242</v>
      </c>
      <c r="B2375" s="74" t="s">
        <v>3476</v>
      </c>
      <c r="C2375" s="74">
        <v>1132638771</v>
      </c>
      <c r="D2375" s="78" t="str">
        <f t="shared" si="76"/>
        <v>https://portal.dnb.de/opac.htm?method=simpleSearch&amp;cqlMode=true&amp;query=idn%3D1132638771</v>
      </c>
      <c r="E2375" s="74" t="s">
        <v>9663</v>
      </c>
      <c r="F2375" s="74"/>
      <c r="G2375" s="76" t="s">
        <v>8515</v>
      </c>
      <c r="H2375" s="77" t="s">
        <v>5</v>
      </c>
      <c r="I2375" s="76" t="s">
        <v>54</v>
      </c>
      <c r="J2375" s="77" t="s">
        <v>8516</v>
      </c>
      <c r="K2375" s="77" t="s">
        <v>8520</v>
      </c>
      <c r="L2375" s="76"/>
      <c r="M2375" s="76"/>
      <c r="N2375" s="76" t="s">
        <v>8660</v>
      </c>
      <c r="O2375" s="76">
        <v>1</v>
      </c>
      <c r="P2375" s="76"/>
      <c r="Q2375" s="76" t="s">
        <v>9658</v>
      </c>
      <c r="R2375" s="76"/>
      <c r="S2375" s="76"/>
      <c r="BD2375" s="99">
        <f t="shared" si="77"/>
        <v>0</v>
      </c>
      <c r="CC2375" s="99"/>
      <c r="CV2375" s="99"/>
      <c r="CW2375" s="63"/>
    </row>
    <row r="2376" spans="1:101" x14ac:dyDescent="0.15">
      <c r="A2376" s="76">
        <v>2243</v>
      </c>
      <c r="B2376" s="74" t="s">
        <v>3477</v>
      </c>
      <c r="C2376" s="74">
        <v>1132638763</v>
      </c>
      <c r="D2376" s="78" t="str">
        <f t="shared" si="76"/>
        <v>https://portal.dnb.de/opac.htm?method=simpleSearch&amp;cqlMode=true&amp;query=idn%3D1132638763</v>
      </c>
      <c r="E2376" s="74" t="s">
        <v>9664</v>
      </c>
      <c r="F2376" s="74"/>
      <c r="G2376" s="76" t="s">
        <v>8515</v>
      </c>
      <c r="H2376" s="77" t="s">
        <v>5</v>
      </c>
      <c r="I2376" s="76" t="s">
        <v>54</v>
      </c>
      <c r="J2376" s="77" t="s">
        <v>8516</v>
      </c>
      <c r="K2376" s="77" t="s">
        <v>8520</v>
      </c>
      <c r="L2376" s="76"/>
      <c r="M2376" s="76"/>
      <c r="N2376" s="76" t="s">
        <v>8660</v>
      </c>
      <c r="O2376" s="76">
        <v>1</v>
      </c>
      <c r="P2376" s="76"/>
      <c r="Q2376" s="76" t="s">
        <v>9658</v>
      </c>
      <c r="R2376" s="76"/>
      <c r="S2376" s="76"/>
      <c r="BD2376" s="99">
        <f t="shared" si="77"/>
        <v>0</v>
      </c>
      <c r="CC2376" s="99"/>
      <c r="CV2376" s="99"/>
      <c r="CW2376" s="63"/>
    </row>
    <row r="2377" spans="1:101" ht="33.75" x14ac:dyDescent="0.15">
      <c r="A2377" s="76">
        <v>2244</v>
      </c>
      <c r="B2377" s="74" t="s">
        <v>3545</v>
      </c>
      <c r="C2377" s="74">
        <v>1066869103</v>
      </c>
      <c r="D2377" s="78" t="str">
        <f t="shared" si="76"/>
        <v>https://portal.dnb.de/opac.htm?method=simpleSearch&amp;cqlMode=true&amp;query=idn%3D1066869103</v>
      </c>
      <c r="E2377" s="74" t="s">
        <v>3546</v>
      </c>
      <c r="F2377" s="74"/>
      <c r="G2377" s="76" t="s">
        <v>8515</v>
      </c>
      <c r="H2377" s="77" t="s">
        <v>8673</v>
      </c>
      <c r="I2377" s="76" t="s">
        <v>54</v>
      </c>
      <c r="J2377" s="77" t="s">
        <v>58</v>
      </c>
      <c r="K2377" s="77" t="s">
        <v>8577</v>
      </c>
      <c r="L2377" s="76"/>
      <c r="M2377" s="76" t="s">
        <v>38</v>
      </c>
      <c r="N2377" s="76" t="s">
        <v>40</v>
      </c>
      <c r="O2377" s="76">
        <v>0</v>
      </c>
      <c r="P2377" s="76"/>
      <c r="Q2377" s="76"/>
      <c r="R2377" s="76"/>
      <c r="S2377" s="76"/>
      <c r="BD2377" s="99">
        <f t="shared" si="77"/>
        <v>0</v>
      </c>
      <c r="CC2377" s="99"/>
      <c r="CV2377" s="99"/>
      <c r="CW2377" s="63"/>
    </row>
    <row r="2378" spans="1:101" ht="22.5" x14ac:dyDescent="0.15">
      <c r="A2378" s="76">
        <v>2245</v>
      </c>
      <c r="B2378" s="74" t="s">
        <v>2476</v>
      </c>
      <c r="C2378" s="74" t="s">
        <v>2477</v>
      </c>
      <c r="D2378" s="82" t="str">
        <f>HYPERLINK(CONCATENATE("https://portal.dnb.de/opac.htm?method=simpleSearch&amp;cqlMode=true&amp;query=idn%3D",C2378))</f>
        <v>https://portal.dnb.de/opac.htm?method=simpleSearch&amp;cqlMode=true&amp;query=idn%3D99378299X</v>
      </c>
      <c r="E2378" s="74" t="s">
        <v>9222</v>
      </c>
      <c r="F2378" s="74"/>
      <c r="G2378" s="76" t="s">
        <v>8515</v>
      </c>
      <c r="H2378" s="77" t="s">
        <v>18</v>
      </c>
      <c r="I2378" s="76" t="s">
        <v>53</v>
      </c>
      <c r="J2378" s="77" t="s">
        <v>58</v>
      </c>
      <c r="K2378" s="77" t="s">
        <v>84</v>
      </c>
      <c r="L2378" s="76"/>
      <c r="M2378" s="76"/>
      <c r="N2378" s="76"/>
      <c r="O2378" s="76">
        <v>0</v>
      </c>
      <c r="P2378" s="76"/>
      <c r="Q2378" s="76"/>
      <c r="R2378" s="76"/>
      <c r="S2378" s="76"/>
      <c r="BD2378" s="99">
        <f t="shared" si="77"/>
        <v>0</v>
      </c>
      <c r="CC2378" s="99"/>
      <c r="CV2378" s="99"/>
      <c r="CW2378" s="63"/>
    </row>
    <row r="2379" spans="1:101" ht="22.5" x14ac:dyDescent="0.15">
      <c r="A2379" s="76"/>
      <c r="B2379" s="74"/>
      <c r="C2379" s="74"/>
      <c r="D2379" s="82"/>
      <c r="E2379" s="74" t="s">
        <v>9223</v>
      </c>
      <c r="F2379" s="74"/>
      <c r="G2379" s="76"/>
      <c r="H2379" s="77" t="s">
        <v>18</v>
      </c>
      <c r="I2379" s="76" t="s">
        <v>53</v>
      </c>
      <c r="J2379" s="77" t="s">
        <v>8516</v>
      </c>
      <c r="K2379" s="77"/>
      <c r="L2379" s="76"/>
      <c r="M2379" s="76" t="s">
        <v>38</v>
      </c>
      <c r="N2379" s="76" t="s">
        <v>40</v>
      </c>
      <c r="O2379" s="76">
        <v>3</v>
      </c>
      <c r="P2379" s="76"/>
      <c r="Q2379" s="76" t="s">
        <v>9224</v>
      </c>
      <c r="R2379" s="76"/>
      <c r="S2379" s="76"/>
      <c r="BD2379" s="99">
        <f t="shared" si="77"/>
        <v>0</v>
      </c>
      <c r="CC2379" s="99"/>
      <c r="CV2379" s="99"/>
      <c r="CW2379" s="63"/>
    </row>
    <row r="2380" spans="1:101" x14ac:dyDescent="0.15">
      <c r="A2380" s="76"/>
      <c r="B2380" s="74"/>
      <c r="C2380" s="74"/>
      <c r="D2380" s="82"/>
      <c r="E2380" s="74" t="s">
        <v>9665</v>
      </c>
      <c r="F2380" s="74"/>
      <c r="G2380" s="76" t="s">
        <v>8515</v>
      </c>
      <c r="H2380" s="77" t="s">
        <v>4</v>
      </c>
      <c r="I2380" s="76" t="s">
        <v>55</v>
      </c>
      <c r="J2380" s="77" t="s">
        <v>58</v>
      </c>
      <c r="K2380" s="77" t="s">
        <v>84</v>
      </c>
      <c r="L2380" s="76"/>
      <c r="M2380" s="76" t="s">
        <v>36</v>
      </c>
      <c r="N2380" s="76" t="s">
        <v>40</v>
      </c>
      <c r="O2380" s="76">
        <v>1</v>
      </c>
      <c r="P2380" s="76"/>
      <c r="Q2380" s="76"/>
      <c r="R2380" s="76"/>
      <c r="S2380" s="76"/>
      <c r="BD2380" s="99">
        <f t="shared" si="77"/>
        <v>0</v>
      </c>
      <c r="CC2380" s="99"/>
      <c r="CV2380" s="99"/>
      <c r="CW2380" s="63"/>
    </row>
    <row r="2381" spans="1:101" ht="22.5" x14ac:dyDescent="0.15">
      <c r="A2381" s="76">
        <v>2246</v>
      </c>
      <c r="B2381" s="74" t="s">
        <v>2723</v>
      </c>
      <c r="C2381" s="74">
        <v>1066699763</v>
      </c>
      <c r="D2381" s="78" t="str">
        <f t="shared" si="76"/>
        <v>https://portal.dnb.de/opac.htm?method=simpleSearch&amp;cqlMode=true&amp;query=idn%3D1066699763</v>
      </c>
      <c r="E2381" s="74" t="s">
        <v>2724</v>
      </c>
      <c r="F2381" s="74"/>
      <c r="G2381" s="76"/>
      <c r="H2381" s="77" t="s">
        <v>17</v>
      </c>
      <c r="I2381" s="76" t="s">
        <v>54</v>
      </c>
      <c r="J2381" s="77" t="s">
        <v>8516</v>
      </c>
      <c r="K2381" s="77" t="s">
        <v>8565</v>
      </c>
      <c r="L2381" s="76"/>
      <c r="M2381" s="76"/>
      <c r="N2381" s="76" t="s">
        <v>8660</v>
      </c>
      <c r="O2381" s="76">
        <v>0</v>
      </c>
      <c r="P2381" s="76"/>
      <c r="Q2381" s="76"/>
      <c r="R2381" s="76"/>
      <c r="S2381" s="76"/>
      <c r="BD2381" s="99">
        <f t="shared" si="77"/>
        <v>0</v>
      </c>
      <c r="CC2381" s="99"/>
      <c r="CV2381" s="99"/>
      <c r="CW2381" s="63"/>
    </row>
    <row r="2382" spans="1:101" x14ac:dyDescent="0.15">
      <c r="A2382" s="76"/>
      <c r="B2382" s="74"/>
      <c r="C2382" s="74"/>
      <c r="D2382" s="78"/>
      <c r="E2382" s="74" t="s">
        <v>9366</v>
      </c>
      <c r="F2382" s="74"/>
      <c r="G2382" s="76"/>
      <c r="H2382" s="77" t="s">
        <v>17</v>
      </c>
      <c r="I2382" s="76" t="s">
        <v>53</v>
      </c>
      <c r="J2382" s="77" t="s">
        <v>58</v>
      </c>
      <c r="K2382" s="77" t="s">
        <v>8520</v>
      </c>
      <c r="L2382" s="76"/>
      <c r="M2382" s="76"/>
      <c r="N2382" s="76" t="s">
        <v>8660</v>
      </c>
      <c r="O2382" s="76">
        <v>0</v>
      </c>
      <c r="P2382" s="76"/>
      <c r="Q2382" s="76"/>
      <c r="R2382" s="76"/>
      <c r="S2382" s="76"/>
      <c r="BD2382" s="99">
        <f t="shared" si="77"/>
        <v>0</v>
      </c>
      <c r="CC2382" s="99"/>
      <c r="CV2382" s="99"/>
      <c r="CW2382" s="63"/>
    </row>
    <row r="2383" spans="1:101" ht="22.5" x14ac:dyDescent="0.15">
      <c r="A2383" s="76"/>
      <c r="B2383" s="74"/>
      <c r="C2383" s="74"/>
      <c r="D2383" s="78"/>
      <c r="E2383" s="74" t="s">
        <v>9367</v>
      </c>
      <c r="F2383" s="74"/>
      <c r="G2383" s="76"/>
      <c r="H2383" s="77" t="s">
        <v>17</v>
      </c>
      <c r="I2383" s="76" t="s">
        <v>53</v>
      </c>
      <c r="J2383" s="77" t="s">
        <v>58</v>
      </c>
      <c r="K2383" s="77" t="s">
        <v>8565</v>
      </c>
      <c r="L2383" s="76"/>
      <c r="M2383" s="76"/>
      <c r="N2383" s="76" t="s">
        <v>8660</v>
      </c>
      <c r="O2383" s="76">
        <v>1</v>
      </c>
      <c r="P2383" s="76"/>
      <c r="Q2383" s="76"/>
      <c r="R2383" s="76"/>
      <c r="S2383" s="76"/>
      <c r="BD2383" s="99">
        <f t="shared" si="77"/>
        <v>0</v>
      </c>
      <c r="CC2383" s="99"/>
      <c r="CV2383" s="99"/>
      <c r="CW2383" s="63"/>
    </row>
    <row r="2384" spans="1:101" ht="22.5" x14ac:dyDescent="0.15">
      <c r="A2384" s="76">
        <v>2247</v>
      </c>
      <c r="B2384" s="74" t="s">
        <v>2773</v>
      </c>
      <c r="C2384" s="74">
        <v>1001692934</v>
      </c>
      <c r="D2384" s="78" t="str">
        <f t="shared" si="76"/>
        <v>https://portal.dnb.de/opac.htm?method=simpleSearch&amp;cqlMode=true&amp;query=idn%3D1001692934</v>
      </c>
      <c r="E2384" s="74" t="s">
        <v>10434</v>
      </c>
      <c r="F2384" s="79" t="s">
        <v>10525</v>
      </c>
      <c r="G2384" s="76"/>
      <c r="H2384" s="77" t="s">
        <v>18</v>
      </c>
      <c r="I2384" s="76" t="s">
        <v>55</v>
      </c>
      <c r="J2384" s="77" t="s">
        <v>8516</v>
      </c>
      <c r="K2384" s="77" t="s">
        <v>8771</v>
      </c>
      <c r="L2384" s="76"/>
      <c r="M2384" s="76"/>
      <c r="N2384" s="76" t="s">
        <v>8660</v>
      </c>
      <c r="O2384" s="76">
        <v>2</v>
      </c>
      <c r="P2384" s="76" t="s">
        <v>78</v>
      </c>
      <c r="Q2384" s="76"/>
      <c r="R2384" s="76"/>
      <c r="S2384" s="76"/>
      <c r="Y2384" s="95" t="s">
        <v>9723</v>
      </c>
      <c r="AC2384" s="95" t="s">
        <v>9724</v>
      </c>
      <c r="AI2384" s="95" t="s">
        <v>9725</v>
      </c>
      <c r="AP2384" s="95" t="s">
        <v>8541</v>
      </c>
      <c r="AQ2384" s="96" t="s">
        <v>10435</v>
      </c>
      <c r="AW2384" s="95">
        <v>60</v>
      </c>
      <c r="BC2384" s="96" t="s">
        <v>9734</v>
      </c>
      <c r="BD2384" s="99">
        <f t="shared" si="77"/>
        <v>0</v>
      </c>
      <c r="CC2384" s="99"/>
      <c r="CV2384" s="99"/>
      <c r="CW2384" s="63"/>
    </row>
    <row r="2385" spans="1:101" ht="67.5" x14ac:dyDescent="0.15">
      <c r="A2385" s="76">
        <v>2248</v>
      </c>
      <c r="B2385" s="74" t="s">
        <v>2774</v>
      </c>
      <c r="C2385" s="74" t="s">
        <v>2775</v>
      </c>
      <c r="D2385" s="78" t="str">
        <f t="shared" si="76"/>
        <v>https://portal.dnb.de/opac.htm?method=simpleSearch&amp;cqlMode=true&amp;query=idn%3D99866829X</v>
      </c>
      <c r="E2385" s="74" t="s">
        <v>10433</v>
      </c>
      <c r="F2385" s="79" t="s">
        <v>10525</v>
      </c>
      <c r="G2385" s="76" t="s">
        <v>8515</v>
      </c>
      <c r="H2385" s="77" t="s">
        <v>5</v>
      </c>
      <c r="I2385" s="76" t="s">
        <v>55</v>
      </c>
      <c r="J2385" s="77" t="s">
        <v>8516</v>
      </c>
      <c r="K2385" s="77" t="s">
        <v>9624</v>
      </c>
      <c r="L2385" s="76"/>
      <c r="M2385" s="76"/>
      <c r="N2385" s="76" t="s">
        <v>8660</v>
      </c>
      <c r="O2385" s="76">
        <v>3</v>
      </c>
      <c r="P2385" s="76"/>
      <c r="Q2385" s="76"/>
      <c r="R2385" s="76"/>
      <c r="S2385" s="76"/>
      <c r="Y2385" s="95" t="s">
        <v>9725</v>
      </c>
      <c r="AC2385" s="95" t="s">
        <v>9739</v>
      </c>
      <c r="AI2385" s="95" t="s">
        <v>9725</v>
      </c>
      <c r="AP2385" s="95" t="s">
        <v>8541</v>
      </c>
      <c r="AQ2385" s="96" t="s">
        <v>10436</v>
      </c>
      <c r="AR2385" s="95" t="s">
        <v>8541</v>
      </c>
      <c r="AT2385" s="95" t="s">
        <v>8541</v>
      </c>
      <c r="AW2385" s="95">
        <v>110</v>
      </c>
      <c r="BC2385" s="96" t="s">
        <v>9726</v>
      </c>
      <c r="BD2385" s="99">
        <f t="shared" si="77"/>
        <v>24</v>
      </c>
      <c r="BO2385" s="70" t="s">
        <v>10437</v>
      </c>
      <c r="BP2385" s="69" t="s">
        <v>8541</v>
      </c>
      <c r="BR2385" s="95" t="s">
        <v>8541</v>
      </c>
      <c r="CC2385" s="99">
        <v>2.5</v>
      </c>
      <c r="CD2385" s="90" t="s">
        <v>10438</v>
      </c>
      <c r="CE2385" s="95" t="s">
        <v>8541</v>
      </c>
      <c r="CN2385" s="95" t="s">
        <v>8541</v>
      </c>
      <c r="CQ2385" s="95" t="s">
        <v>8541</v>
      </c>
      <c r="CV2385" s="99">
        <v>21.5</v>
      </c>
      <c r="CW2385" s="90" t="s">
        <v>10439</v>
      </c>
    </row>
    <row r="2386" spans="1:101" ht="33.75" x14ac:dyDescent="0.15">
      <c r="A2386" s="76">
        <v>2249</v>
      </c>
      <c r="B2386" s="74" t="s">
        <v>2776</v>
      </c>
      <c r="C2386" s="74">
        <v>999906534</v>
      </c>
      <c r="D2386" s="78" t="str">
        <f t="shared" si="76"/>
        <v>https://portal.dnb.de/opac.htm?method=simpleSearch&amp;cqlMode=true&amp;query=idn%3D999906534</v>
      </c>
      <c r="E2386" s="74" t="s">
        <v>9389</v>
      </c>
      <c r="F2386" s="74"/>
      <c r="G2386" s="76"/>
      <c r="H2386" s="77" t="s">
        <v>4</v>
      </c>
      <c r="I2386" s="76" t="s">
        <v>53</v>
      </c>
      <c r="J2386" s="77" t="s">
        <v>89</v>
      </c>
      <c r="K2386" s="77" t="s">
        <v>8667</v>
      </c>
      <c r="L2386" s="76"/>
      <c r="M2386" s="76"/>
      <c r="N2386" s="76"/>
      <c r="O2386" s="76">
        <v>0</v>
      </c>
      <c r="P2386" s="76"/>
      <c r="Q2386" s="76"/>
      <c r="R2386" s="76"/>
      <c r="S2386" s="76"/>
      <c r="BD2386" s="99">
        <f t="shared" si="77"/>
        <v>0</v>
      </c>
      <c r="CC2386" s="99"/>
      <c r="CV2386" s="99"/>
      <c r="CW2386" s="63"/>
    </row>
    <row r="2387" spans="1:101" ht="22.5" x14ac:dyDescent="0.15">
      <c r="A2387" s="76">
        <v>2250</v>
      </c>
      <c r="B2387" s="74" t="s">
        <v>2777</v>
      </c>
      <c r="C2387" s="74">
        <v>999906518</v>
      </c>
      <c r="D2387" s="78" t="str">
        <f t="shared" si="76"/>
        <v>https://portal.dnb.de/opac.htm?method=simpleSearch&amp;cqlMode=true&amp;query=idn%3D999906518</v>
      </c>
      <c r="E2387" s="74" t="s">
        <v>9390</v>
      </c>
      <c r="F2387" s="74"/>
      <c r="G2387" s="76"/>
      <c r="H2387" s="77" t="s">
        <v>4</v>
      </c>
      <c r="I2387" s="76" t="s">
        <v>53</v>
      </c>
      <c r="J2387" s="77" t="s">
        <v>8516</v>
      </c>
      <c r="K2387" s="77" t="s">
        <v>9391</v>
      </c>
      <c r="L2387" s="76"/>
      <c r="M2387" s="76"/>
      <c r="N2387" s="76" t="s">
        <v>8660</v>
      </c>
      <c r="O2387" s="76">
        <v>2</v>
      </c>
      <c r="P2387" s="76"/>
      <c r="Q2387" s="76"/>
      <c r="R2387" s="76"/>
      <c r="S2387" s="76"/>
      <c r="BD2387" s="99">
        <f t="shared" si="77"/>
        <v>0</v>
      </c>
      <c r="CC2387" s="99"/>
      <c r="CV2387" s="99"/>
      <c r="CW2387" s="63"/>
    </row>
    <row r="2388" spans="1:101" ht="22.5" x14ac:dyDescent="0.15">
      <c r="A2388" s="76">
        <v>2251</v>
      </c>
      <c r="B2388" s="74" t="s">
        <v>2802</v>
      </c>
      <c r="C2388" s="74">
        <v>1000763498</v>
      </c>
      <c r="D2388" s="78" t="str">
        <f t="shared" si="76"/>
        <v>https://portal.dnb.de/opac.htm?method=simpleSearch&amp;cqlMode=true&amp;query=idn%3D1000763498</v>
      </c>
      <c r="E2388" s="74" t="s">
        <v>9394</v>
      </c>
      <c r="F2388" s="74"/>
      <c r="G2388" s="76"/>
      <c r="H2388" s="77" t="s">
        <v>18</v>
      </c>
      <c r="I2388" s="76" t="s">
        <v>53</v>
      </c>
      <c r="J2388" s="77" t="s">
        <v>58</v>
      </c>
      <c r="K2388" s="77" t="s">
        <v>84</v>
      </c>
      <c r="L2388" s="76"/>
      <c r="M2388" s="76" t="s">
        <v>38</v>
      </c>
      <c r="N2388" s="76" t="s">
        <v>40</v>
      </c>
      <c r="O2388" s="76">
        <v>0</v>
      </c>
      <c r="P2388" s="76"/>
      <c r="Q2388" s="76"/>
      <c r="R2388" s="76"/>
      <c r="S2388" s="76"/>
      <c r="BD2388" s="99">
        <f t="shared" si="77"/>
        <v>0</v>
      </c>
      <c r="CC2388" s="99"/>
      <c r="CV2388" s="99"/>
      <c r="CW2388" s="63"/>
    </row>
    <row r="2389" spans="1:101" ht="22.5" x14ac:dyDescent="0.15">
      <c r="A2389" s="76">
        <v>2252</v>
      </c>
      <c r="B2389" s="74" t="s">
        <v>2803</v>
      </c>
      <c r="C2389" s="74">
        <v>1000763722</v>
      </c>
      <c r="D2389" s="78" t="str">
        <f t="shared" si="76"/>
        <v>https://portal.dnb.de/opac.htm?method=simpleSearch&amp;cqlMode=true&amp;query=idn%3D1000763722</v>
      </c>
      <c r="E2389" s="74" t="s">
        <v>9395</v>
      </c>
      <c r="F2389" s="74"/>
      <c r="G2389" s="76"/>
      <c r="H2389" s="77" t="s">
        <v>18</v>
      </c>
      <c r="I2389" s="76" t="s">
        <v>53</v>
      </c>
      <c r="J2389" s="77" t="s">
        <v>58</v>
      </c>
      <c r="K2389" s="77" t="s">
        <v>84</v>
      </c>
      <c r="L2389" s="76"/>
      <c r="M2389" s="76" t="s">
        <v>38</v>
      </c>
      <c r="N2389" s="76" t="s">
        <v>40</v>
      </c>
      <c r="O2389" s="76">
        <v>0</v>
      </c>
      <c r="P2389" s="76"/>
      <c r="Q2389" s="76"/>
      <c r="R2389" s="76"/>
      <c r="S2389" s="76"/>
      <c r="BD2389" s="99">
        <f t="shared" si="77"/>
        <v>0</v>
      </c>
      <c r="CC2389" s="99"/>
      <c r="CV2389" s="99"/>
      <c r="CW2389" s="63"/>
    </row>
    <row r="2390" spans="1:101" ht="22.5" x14ac:dyDescent="0.15">
      <c r="A2390" s="76">
        <v>2253</v>
      </c>
      <c r="B2390" s="74" t="s">
        <v>2804</v>
      </c>
      <c r="C2390" s="74">
        <v>1000763765</v>
      </c>
      <c r="D2390" s="78" t="str">
        <f t="shared" si="76"/>
        <v>https://portal.dnb.de/opac.htm?method=simpleSearch&amp;cqlMode=true&amp;query=idn%3D1000763765</v>
      </c>
      <c r="E2390" s="74" t="s">
        <v>9396</v>
      </c>
      <c r="F2390" s="74"/>
      <c r="G2390" s="76"/>
      <c r="H2390" s="77" t="s">
        <v>18</v>
      </c>
      <c r="I2390" s="76" t="s">
        <v>53</v>
      </c>
      <c r="J2390" s="77" t="s">
        <v>58</v>
      </c>
      <c r="K2390" s="77" t="s">
        <v>84</v>
      </c>
      <c r="L2390" s="76"/>
      <c r="M2390" s="76" t="s">
        <v>38</v>
      </c>
      <c r="N2390" s="76" t="s">
        <v>40</v>
      </c>
      <c r="O2390" s="76"/>
      <c r="P2390" s="76"/>
      <c r="Q2390" s="76"/>
      <c r="R2390" s="76"/>
      <c r="S2390" s="76"/>
      <c r="BD2390" s="99">
        <f t="shared" si="77"/>
        <v>0</v>
      </c>
      <c r="CC2390" s="99"/>
      <c r="CV2390" s="99"/>
      <c r="CW2390" s="63"/>
    </row>
    <row r="2391" spans="1:101" ht="22.5" x14ac:dyDescent="0.15">
      <c r="A2391" s="76">
        <v>2254</v>
      </c>
      <c r="B2391" s="74" t="s">
        <v>2805</v>
      </c>
      <c r="C2391" s="74">
        <v>1000763595</v>
      </c>
      <c r="D2391" s="82" t="str">
        <f>HYPERLINK(CONCATENATE("https://portal.dnb.de/opac.htm?method=simpleSearch&amp;cqlMode=true&amp;query=idn%3D",C2391))</f>
        <v>https://portal.dnb.de/opac.htm?method=simpleSearch&amp;cqlMode=true&amp;query=idn%3D1000763595</v>
      </c>
      <c r="E2391" s="74" t="s">
        <v>9397</v>
      </c>
      <c r="F2391" s="74"/>
      <c r="G2391" s="76"/>
      <c r="H2391" s="77" t="s">
        <v>18</v>
      </c>
      <c r="I2391" s="76" t="s">
        <v>53</v>
      </c>
      <c r="J2391" s="77" t="s">
        <v>58</v>
      </c>
      <c r="K2391" s="77" t="s">
        <v>84</v>
      </c>
      <c r="L2391" s="76"/>
      <c r="M2391" s="76" t="s">
        <v>38</v>
      </c>
      <c r="N2391" s="76" t="s">
        <v>40</v>
      </c>
      <c r="O2391" s="76">
        <v>0</v>
      </c>
      <c r="P2391" s="76"/>
      <c r="Q2391" s="76"/>
      <c r="R2391" s="76"/>
      <c r="S2391" s="76"/>
      <c r="BD2391" s="99">
        <f t="shared" si="77"/>
        <v>0</v>
      </c>
      <c r="CC2391" s="99"/>
      <c r="CV2391" s="99"/>
      <c r="CW2391" s="63"/>
    </row>
    <row r="2392" spans="1:101" ht="22.5" x14ac:dyDescent="0.15">
      <c r="A2392" s="76">
        <v>2255</v>
      </c>
      <c r="B2392" s="74" t="s">
        <v>2806</v>
      </c>
      <c r="C2392" s="74">
        <v>1000763544</v>
      </c>
      <c r="D2392" s="78" t="str">
        <f t="shared" si="76"/>
        <v>https://portal.dnb.de/opac.htm?method=simpleSearch&amp;cqlMode=true&amp;query=idn%3D1000763544</v>
      </c>
      <c r="E2392" s="74" t="s">
        <v>9398</v>
      </c>
      <c r="F2392" s="74"/>
      <c r="G2392" s="76"/>
      <c r="H2392" s="77" t="s">
        <v>18</v>
      </c>
      <c r="I2392" s="76" t="s">
        <v>53</v>
      </c>
      <c r="J2392" s="77" t="s">
        <v>58</v>
      </c>
      <c r="K2392" s="77" t="s">
        <v>84</v>
      </c>
      <c r="L2392" s="76"/>
      <c r="M2392" s="76" t="s">
        <v>38</v>
      </c>
      <c r="N2392" s="76" t="s">
        <v>40</v>
      </c>
      <c r="O2392" s="76">
        <v>0</v>
      </c>
      <c r="P2392" s="76"/>
      <c r="Q2392" s="76"/>
      <c r="R2392" s="76"/>
      <c r="S2392" s="76"/>
      <c r="BD2392" s="99">
        <f t="shared" si="77"/>
        <v>0</v>
      </c>
      <c r="CC2392" s="99"/>
      <c r="CV2392" s="99"/>
      <c r="CW2392" s="63"/>
    </row>
    <row r="2393" spans="1:101" ht="22.5" x14ac:dyDescent="0.15">
      <c r="A2393" s="76">
        <v>2256</v>
      </c>
      <c r="B2393" s="74" t="s">
        <v>2807</v>
      </c>
      <c r="C2393" s="74">
        <v>1000763625</v>
      </c>
      <c r="D2393" s="78" t="str">
        <f t="shared" si="76"/>
        <v>https://portal.dnb.de/opac.htm?method=simpleSearch&amp;cqlMode=true&amp;query=idn%3D1000763625</v>
      </c>
      <c r="E2393" s="74" t="s">
        <v>9399</v>
      </c>
      <c r="F2393" s="74"/>
      <c r="G2393" s="76"/>
      <c r="H2393" s="77" t="s">
        <v>18</v>
      </c>
      <c r="I2393" s="76" t="s">
        <v>53</v>
      </c>
      <c r="J2393" s="77" t="s">
        <v>58</v>
      </c>
      <c r="K2393" s="77" t="s">
        <v>84</v>
      </c>
      <c r="L2393" s="76"/>
      <c r="M2393" s="76" t="s">
        <v>38</v>
      </c>
      <c r="N2393" s="76" t="s">
        <v>40</v>
      </c>
      <c r="O2393" s="76">
        <v>0</v>
      </c>
      <c r="P2393" s="76"/>
      <c r="Q2393" s="76"/>
      <c r="R2393" s="76"/>
      <c r="S2393" s="76"/>
      <c r="BD2393" s="99">
        <f t="shared" si="77"/>
        <v>0</v>
      </c>
      <c r="CC2393" s="99"/>
      <c r="CV2393" s="99"/>
      <c r="CW2393" s="63"/>
    </row>
    <row r="2394" spans="1:101" ht="22.5" x14ac:dyDescent="0.15">
      <c r="A2394" s="76">
        <v>2257</v>
      </c>
      <c r="B2394" s="74" t="s">
        <v>2851</v>
      </c>
      <c r="C2394" s="74">
        <v>1003227759</v>
      </c>
      <c r="D2394" s="82" t="str">
        <f>HYPERLINK(CONCATENATE("https://portal.dnb.de/opac.htm?method=simpleSearch&amp;cqlMode=true&amp;query=idn%3D",C2394))</f>
        <v>https://portal.dnb.de/opac.htm?method=simpleSearch&amp;cqlMode=true&amp;query=idn%3D1003227759</v>
      </c>
      <c r="E2394" s="74" t="s">
        <v>9414</v>
      </c>
      <c r="F2394" s="74"/>
      <c r="G2394" s="76"/>
      <c r="H2394" s="77" t="s">
        <v>18</v>
      </c>
      <c r="I2394" s="76" t="s">
        <v>53</v>
      </c>
      <c r="J2394" s="77" t="s">
        <v>58</v>
      </c>
      <c r="K2394" s="77" t="s">
        <v>84</v>
      </c>
      <c r="L2394" s="76"/>
      <c r="M2394" s="76" t="s">
        <v>32</v>
      </c>
      <c r="N2394" s="76" t="s">
        <v>40</v>
      </c>
      <c r="O2394" s="76">
        <v>1</v>
      </c>
      <c r="P2394" s="76"/>
      <c r="Q2394" s="76"/>
      <c r="R2394" s="76"/>
      <c r="S2394" s="76"/>
      <c r="BD2394" s="99">
        <f t="shared" si="77"/>
        <v>0</v>
      </c>
      <c r="CC2394" s="99"/>
      <c r="CV2394" s="99"/>
      <c r="CW2394" s="63"/>
    </row>
    <row r="2395" spans="1:101" ht="22.5" x14ac:dyDescent="0.15">
      <c r="A2395" s="76">
        <v>2258</v>
      </c>
      <c r="B2395" s="74" t="s">
        <v>2852</v>
      </c>
      <c r="C2395" s="74">
        <v>1003227775</v>
      </c>
      <c r="D2395" s="78" t="str">
        <f t="shared" si="76"/>
        <v>https://portal.dnb.de/opac.htm?method=simpleSearch&amp;cqlMode=true&amp;query=idn%3D1003227775</v>
      </c>
      <c r="E2395" s="74" t="s">
        <v>9415</v>
      </c>
      <c r="F2395" s="74"/>
      <c r="G2395" s="76"/>
      <c r="H2395" s="77" t="s">
        <v>18</v>
      </c>
      <c r="I2395" s="76" t="s">
        <v>53</v>
      </c>
      <c r="J2395" s="77" t="s">
        <v>58</v>
      </c>
      <c r="K2395" s="77" t="s">
        <v>84</v>
      </c>
      <c r="L2395" s="76"/>
      <c r="M2395" s="76" t="s">
        <v>32</v>
      </c>
      <c r="N2395" s="76" t="s">
        <v>40</v>
      </c>
      <c r="O2395" s="76">
        <v>1</v>
      </c>
      <c r="P2395" s="76"/>
      <c r="Q2395" s="76"/>
      <c r="R2395" s="76"/>
      <c r="S2395" s="76"/>
      <c r="BD2395" s="99">
        <f t="shared" si="77"/>
        <v>0</v>
      </c>
      <c r="CC2395" s="99"/>
      <c r="CV2395" s="99"/>
      <c r="CW2395" s="63"/>
    </row>
    <row r="2396" spans="1:101" x14ac:dyDescent="0.15">
      <c r="A2396" s="76">
        <v>2259</v>
      </c>
      <c r="B2396" s="74" t="s">
        <v>2853</v>
      </c>
      <c r="C2396" s="74">
        <v>1003227767</v>
      </c>
      <c r="D2396" s="82" t="str">
        <f t="shared" ref="D2396:D2401" si="78">HYPERLINK(CONCATENATE("https://portal.dnb.de/opac.htm?method=simpleSearch&amp;cqlMode=true&amp;query=idn%3D",C2396))</f>
        <v>https://portal.dnb.de/opac.htm?method=simpleSearch&amp;cqlMode=true&amp;query=idn%3D1003227767</v>
      </c>
      <c r="E2396" s="74" t="s">
        <v>9416</v>
      </c>
      <c r="F2396" s="74"/>
      <c r="G2396" s="76"/>
      <c r="H2396" s="77"/>
      <c r="I2396" s="76"/>
      <c r="J2396" s="77"/>
      <c r="K2396" s="77"/>
      <c r="L2396" s="76"/>
      <c r="M2396" s="76"/>
      <c r="N2396" s="76"/>
      <c r="O2396" s="76"/>
      <c r="P2396" s="76"/>
      <c r="Q2396" s="76"/>
      <c r="R2396" s="76"/>
      <c r="S2396" s="76"/>
      <c r="BD2396" s="99">
        <f t="shared" si="77"/>
        <v>0</v>
      </c>
      <c r="CC2396" s="99"/>
      <c r="CV2396" s="99"/>
      <c r="CW2396" s="63"/>
    </row>
    <row r="2397" spans="1:101" ht="22.5" x14ac:dyDescent="0.15">
      <c r="A2397" s="76">
        <v>2260</v>
      </c>
      <c r="B2397" s="74" t="s">
        <v>3000</v>
      </c>
      <c r="C2397" s="74">
        <v>1000365484</v>
      </c>
      <c r="D2397" s="82" t="str">
        <f t="shared" si="78"/>
        <v>https://portal.dnb.de/opac.htm?method=simpleSearch&amp;cqlMode=true&amp;query=idn%3D1000365484</v>
      </c>
      <c r="E2397" s="74" t="s">
        <v>3001</v>
      </c>
      <c r="F2397" s="74"/>
      <c r="G2397" s="76"/>
      <c r="H2397" s="77" t="s">
        <v>8575</v>
      </c>
      <c r="I2397" s="76" t="s">
        <v>54</v>
      </c>
      <c r="J2397" s="77" t="s">
        <v>8516</v>
      </c>
      <c r="K2397" s="77" t="s">
        <v>8616</v>
      </c>
      <c r="L2397" s="76"/>
      <c r="M2397" s="76" t="s">
        <v>38</v>
      </c>
      <c r="N2397" s="76" t="s">
        <v>40</v>
      </c>
      <c r="O2397" s="76">
        <v>3</v>
      </c>
      <c r="P2397" s="76"/>
      <c r="Q2397" s="76"/>
      <c r="R2397" s="76"/>
      <c r="S2397" s="76"/>
      <c r="BD2397" s="99">
        <f t="shared" si="77"/>
        <v>0</v>
      </c>
      <c r="CC2397" s="99"/>
      <c r="CV2397" s="99"/>
      <c r="CW2397" s="63"/>
    </row>
    <row r="2398" spans="1:101" x14ac:dyDescent="0.15">
      <c r="A2398" s="76">
        <v>2261</v>
      </c>
      <c r="B2398" s="74" t="s">
        <v>3004</v>
      </c>
      <c r="C2398" s="74">
        <v>999442805</v>
      </c>
      <c r="D2398" s="82" t="str">
        <f t="shared" si="78"/>
        <v>https://portal.dnb.de/opac.htm?method=simpleSearch&amp;cqlMode=true&amp;query=idn%3D999442805</v>
      </c>
      <c r="E2398" s="74" t="s">
        <v>3005</v>
      </c>
      <c r="F2398" s="74"/>
      <c r="G2398" s="76"/>
      <c r="H2398" s="77" t="s">
        <v>47</v>
      </c>
      <c r="I2398" s="76" t="s">
        <v>53</v>
      </c>
      <c r="J2398" s="77" t="s">
        <v>58</v>
      </c>
      <c r="K2398" s="77"/>
      <c r="L2398" s="76"/>
      <c r="M2398" s="76" t="s">
        <v>38</v>
      </c>
      <c r="N2398" s="76" t="s">
        <v>40</v>
      </c>
      <c r="O2398" s="76">
        <v>1</v>
      </c>
      <c r="P2398" s="76"/>
      <c r="Q2398" s="76" t="s">
        <v>9040</v>
      </c>
      <c r="R2398" s="76"/>
      <c r="S2398" s="76"/>
      <c r="BD2398" s="99">
        <f t="shared" si="77"/>
        <v>0</v>
      </c>
      <c r="CC2398" s="99"/>
      <c r="CV2398" s="99"/>
      <c r="CW2398" s="63"/>
    </row>
    <row r="2399" spans="1:101" x14ac:dyDescent="0.15">
      <c r="A2399" s="76">
        <v>2262</v>
      </c>
      <c r="B2399" s="74" t="s">
        <v>3010</v>
      </c>
      <c r="C2399" s="74">
        <v>1002336260</v>
      </c>
      <c r="D2399" s="82" t="str">
        <f t="shared" si="78"/>
        <v>https://portal.dnb.de/opac.htm?method=simpleSearch&amp;cqlMode=true&amp;query=idn%3D1002336260</v>
      </c>
      <c r="E2399" s="74" t="s">
        <v>3011</v>
      </c>
      <c r="F2399" s="74"/>
      <c r="G2399" s="76"/>
      <c r="H2399" s="77" t="s">
        <v>5</v>
      </c>
      <c r="I2399" s="76" t="s">
        <v>53</v>
      </c>
      <c r="J2399" s="77"/>
      <c r="K2399" s="77" t="s">
        <v>8520</v>
      </c>
      <c r="L2399" s="76"/>
      <c r="M2399" s="76"/>
      <c r="N2399" s="76" t="s">
        <v>8660</v>
      </c>
      <c r="O2399" s="76">
        <v>3</v>
      </c>
      <c r="P2399" s="76"/>
      <c r="Q2399" s="76"/>
      <c r="R2399" s="76"/>
      <c r="S2399" s="76"/>
      <c r="Y2399" s="95" t="s">
        <v>9723</v>
      </c>
      <c r="AC2399" s="95" t="s">
        <v>9724</v>
      </c>
      <c r="AI2399" s="95" t="s">
        <v>9725</v>
      </c>
      <c r="AW2399" s="95">
        <v>110</v>
      </c>
      <c r="BC2399" s="96" t="s">
        <v>9734</v>
      </c>
      <c r="BD2399" s="99">
        <f t="shared" si="77"/>
        <v>0</v>
      </c>
      <c r="BL2399" s="70" t="s">
        <v>10015</v>
      </c>
      <c r="CC2399" s="99"/>
      <c r="CV2399" s="99"/>
      <c r="CW2399" s="63"/>
    </row>
    <row r="2400" spans="1:101" x14ac:dyDescent="0.15">
      <c r="A2400" s="76">
        <v>2263</v>
      </c>
      <c r="B2400" s="74" t="s">
        <v>3012</v>
      </c>
      <c r="C2400" s="74">
        <v>1001868463</v>
      </c>
      <c r="D2400" s="82" t="str">
        <f t="shared" si="78"/>
        <v>https://portal.dnb.de/opac.htm?method=simpleSearch&amp;cqlMode=true&amp;query=idn%3D1001868463</v>
      </c>
      <c r="E2400" s="74" t="s">
        <v>9506</v>
      </c>
      <c r="F2400" s="74"/>
      <c r="G2400" s="76"/>
      <c r="H2400" s="77"/>
      <c r="I2400" s="76"/>
      <c r="J2400" s="77"/>
      <c r="K2400" s="77"/>
      <c r="L2400" s="76"/>
      <c r="M2400" s="76"/>
      <c r="N2400" s="76"/>
      <c r="O2400" s="76"/>
      <c r="P2400" s="76"/>
      <c r="Q2400" s="76"/>
      <c r="R2400" s="76"/>
      <c r="S2400" s="76"/>
      <c r="BD2400" s="99">
        <f t="shared" si="77"/>
        <v>0</v>
      </c>
      <c r="CC2400" s="99"/>
      <c r="CV2400" s="99"/>
      <c r="CW2400" s="63"/>
    </row>
    <row r="2401" spans="1:101" x14ac:dyDescent="0.15">
      <c r="A2401" s="76">
        <v>2264</v>
      </c>
      <c r="B2401" s="74" t="s">
        <v>3013</v>
      </c>
      <c r="C2401" s="74">
        <v>1001868366</v>
      </c>
      <c r="D2401" s="82" t="str">
        <f t="shared" si="78"/>
        <v>https://portal.dnb.de/opac.htm?method=simpleSearch&amp;cqlMode=true&amp;query=idn%3D1001868366</v>
      </c>
      <c r="E2401" s="74" t="s">
        <v>9501</v>
      </c>
      <c r="F2401" s="74"/>
      <c r="G2401" s="76"/>
      <c r="H2401" s="77"/>
      <c r="I2401" s="76"/>
      <c r="J2401" s="77"/>
      <c r="K2401" s="77"/>
      <c r="L2401" s="76"/>
      <c r="M2401" s="76"/>
      <c r="N2401" s="76"/>
      <c r="O2401" s="76"/>
      <c r="P2401" s="76"/>
      <c r="Q2401" s="76"/>
      <c r="R2401" s="76"/>
      <c r="S2401" s="76"/>
      <c r="BD2401" s="99">
        <f t="shared" si="77"/>
        <v>0</v>
      </c>
      <c r="CC2401" s="99"/>
      <c r="CV2401" s="99"/>
      <c r="CW2401" s="63"/>
    </row>
    <row r="2402" spans="1:101" x14ac:dyDescent="0.15">
      <c r="A2402" s="76">
        <v>2265</v>
      </c>
      <c r="B2402" s="74" t="s">
        <v>3014</v>
      </c>
      <c r="C2402" s="74">
        <v>1001868013</v>
      </c>
      <c r="D2402" s="78" t="str">
        <f t="shared" si="76"/>
        <v>https://portal.dnb.de/opac.htm?method=simpleSearch&amp;cqlMode=true&amp;query=idn%3D1001868013</v>
      </c>
      <c r="E2402" s="74" t="s">
        <v>9503</v>
      </c>
      <c r="F2402" s="74"/>
      <c r="G2402" s="76"/>
      <c r="H2402" s="77"/>
      <c r="I2402" s="76"/>
      <c r="J2402" s="77"/>
      <c r="K2402" s="77"/>
      <c r="L2402" s="76"/>
      <c r="M2402" s="76"/>
      <c r="N2402" s="76"/>
      <c r="O2402" s="76"/>
      <c r="P2402" s="76"/>
      <c r="Q2402" s="76"/>
      <c r="R2402" s="76"/>
      <c r="S2402" s="76"/>
      <c r="BD2402" s="99">
        <f t="shared" si="77"/>
        <v>0</v>
      </c>
      <c r="CC2402" s="99"/>
      <c r="CV2402" s="99"/>
      <c r="CW2402" s="63"/>
    </row>
    <row r="2403" spans="1:101" x14ac:dyDescent="0.15">
      <c r="A2403" s="76">
        <v>2266</v>
      </c>
      <c r="B2403" s="74" t="s">
        <v>3015</v>
      </c>
      <c r="C2403" s="74">
        <v>1001867661</v>
      </c>
      <c r="D2403" s="78" t="str">
        <f t="shared" si="76"/>
        <v>https://portal.dnb.de/opac.htm?method=simpleSearch&amp;cqlMode=true&amp;query=idn%3D1001867661</v>
      </c>
      <c r="E2403" s="74" t="s">
        <v>9502</v>
      </c>
      <c r="F2403" s="74"/>
      <c r="G2403" s="76"/>
      <c r="H2403" s="77"/>
      <c r="I2403" s="76"/>
      <c r="J2403" s="77"/>
      <c r="K2403" s="77"/>
      <c r="L2403" s="76"/>
      <c r="M2403" s="76"/>
      <c r="N2403" s="76"/>
      <c r="O2403" s="76"/>
      <c r="P2403" s="76"/>
      <c r="Q2403" s="76"/>
      <c r="R2403" s="76"/>
      <c r="S2403" s="76"/>
      <c r="BD2403" s="99">
        <f t="shared" si="77"/>
        <v>0</v>
      </c>
      <c r="CC2403" s="99"/>
      <c r="CV2403" s="99"/>
      <c r="CW2403" s="63"/>
    </row>
    <row r="2404" spans="1:101" ht="33.75" x14ac:dyDescent="0.15">
      <c r="A2404" s="76">
        <v>2267</v>
      </c>
      <c r="B2404" s="74" t="s">
        <v>3016</v>
      </c>
      <c r="C2404" s="74">
        <v>1001867408</v>
      </c>
      <c r="D2404" s="82" t="str">
        <f>HYPERLINK(CONCATENATE("https://portal.dnb.de/opac.htm?method=simpleSearch&amp;cqlMode=true&amp;query=idn%3D",C2404))</f>
        <v>https://portal.dnb.de/opac.htm?method=simpleSearch&amp;cqlMode=true&amp;query=idn%3D1001867408</v>
      </c>
      <c r="E2404" s="74" t="s">
        <v>9504</v>
      </c>
      <c r="F2404" s="74"/>
      <c r="G2404" s="76"/>
      <c r="H2404" s="77" t="s">
        <v>8547</v>
      </c>
      <c r="I2404" s="76" t="s">
        <v>53</v>
      </c>
      <c r="J2404" s="77" t="s">
        <v>89</v>
      </c>
      <c r="K2404" s="77" t="s">
        <v>8667</v>
      </c>
      <c r="L2404" s="76"/>
      <c r="M2404" s="76" t="s">
        <v>38</v>
      </c>
      <c r="N2404" s="76" t="s">
        <v>40</v>
      </c>
      <c r="O2404" s="76">
        <v>0</v>
      </c>
      <c r="P2404" s="76"/>
      <c r="Q2404" s="76"/>
      <c r="R2404" s="76"/>
      <c r="S2404" s="76"/>
      <c r="BD2404" s="99">
        <f t="shared" si="77"/>
        <v>0</v>
      </c>
      <c r="CC2404" s="99"/>
      <c r="CV2404" s="99"/>
      <c r="CW2404" s="63"/>
    </row>
    <row r="2405" spans="1:101" ht="33.75" x14ac:dyDescent="0.15">
      <c r="A2405" s="76">
        <v>2268</v>
      </c>
      <c r="B2405" s="74" t="s">
        <v>3017</v>
      </c>
      <c r="C2405" s="74">
        <v>1001866738</v>
      </c>
      <c r="D2405" s="82" t="str">
        <f>HYPERLINK(CONCATENATE("https://portal.dnb.de/opac.htm?method=simpleSearch&amp;cqlMode=true&amp;query=idn%3D",C2405))</f>
        <v>https://portal.dnb.de/opac.htm?method=simpleSearch&amp;cqlMode=true&amp;query=idn%3D1001866738</v>
      </c>
      <c r="E2405" s="74" t="s">
        <v>9507</v>
      </c>
      <c r="F2405" s="74"/>
      <c r="G2405" s="76"/>
      <c r="H2405" s="77" t="s">
        <v>48</v>
      </c>
      <c r="I2405" s="76" t="s">
        <v>54</v>
      </c>
      <c r="J2405" s="77" t="s">
        <v>8516</v>
      </c>
      <c r="K2405" s="77" t="s">
        <v>8566</v>
      </c>
      <c r="L2405" s="76"/>
      <c r="M2405" s="76" t="s">
        <v>38</v>
      </c>
      <c r="N2405" s="76" t="s">
        <v>40</v>
      </c>
      <c r="O2405" s="76">
        <v>0</v>
      </c>
      <c r="P2405" s="76"/>
      <c r="Q2405" s="76"/>
      <c r="R2405" s="76"/>
      <c r="S2405" s="76"/>
      <c r="BD2405" s="99">
        <f t="shared" si="77"/>
        <v>0</v>
      </c>
      <c r="CC2405" s="99"/>
      <c r="CV2405" s="99"/>
      <c r="CW2405" s="63"/>
    </row>
    <row r="2406" spans="1:101" ht="33.75" x14ac:dyDescent="0.15">
      <c r="A2406" s="76">
        <v>2269</v>
      </c>
      <c r="B2406" s="74" t="s">
        <v>3018</v>
      </c>
      <c r="C2406" s="74">
        <v>1001868269</v>
      </c>
      <c r="D2406" s="82" t="str">
        <f>HYPERLINK(CONCATENATE("https://portal.dnb.de/opac.htm?method=simpleSearch&amp;cqlMode=true&amp;query=idn%3D",C2406))</f>
        <v>https://portal.dnb.de/opac.htm?method=simpleSearch&amp;cqlMode=true&amp;query=idn%3D1001868269</v>
      </c>
      <c r="E2406" s="74" t="s">
        <v>9505</v>
      </c>
      <c r="F2406" s="74"/>
      <c r="G2406" s="76"/>
      <c r="H2406" s="77" t="s">
        <v>8547</v>
      </c>
      <c r="I2406" s="76" t="s">
        <v>54</v>
      </c>
      <c r="J2406" s="77" t="s">
        <v>89</v>
      </c>
      <c r="K2406" s="77" t="s">
        <v>8667</v>
      </c>
      <c r="L2406" s="76"/>
      <c r="M2406" s="76" t="s">
        <v>38</v>
      </c>
      <c r="N2406" s="76" t="s">
        <v>40</v>
      </c>
      <c r="O2406" s="76">
        <v>0</v>
      </c>
      <c r="P2406" s="76"/>
      <c r="Q2406" s="76"/>
      <c r="R2406" s="76"/>
      <c r="S2406" s="76"/>
      <c r="BD2406" s="99">
        <f t="shared" si="77"/>
        <v>0</v>
      </c>
      <c r="CC2406" s="99"/>
      <c r="CV2406" s="99"/>
      <c r="CW2406" s="63"/>
    </row>
    <row r="2407" spans="1:101" ht="33.75" x14ac:dyDescent="0.15">
      <c r="A2407" s="76">
        <v>2270</v>
      </c>
      <c r="B2407" s="74" t="s">
        <v>3054</v>
      </c>
      <c r="C2407" s="74" t="s">
        <v>3055</v>
      </c>
      <c r="D2407" s="78" t="str">
        <f t="shared" ref="D2407:D2467" si="79">HYPERLINK(CONCATENATE("https://portal.dnb.de/opac.htm?method=simpleSearch&amp;cqlMode=true&amp;query=idn%3D",C2407))</f>
        <v>https://portal.dnb.de/opac.htm?method=simpleSearch&amp;cqlMode=true&amp;query=idn%3D99982807X</v>
      </c>
      <c r="E2407" s="74" t="s">
        <v>3056</v>
      </c>
      <c r="F2407" s="74"/>
      <c r="G2407" s="76" t="s">
        <v>8515</v>
      </c>
      <c r="H2407" s="77" t="s">
        <v>5</v>
      </c>
      <c r="I2407" s="76" t="s">
        <v>54</v>
      </c>
      <c r="J2407" s="77" t="s">
        <v>58</v>
      </c>
      <c r="K2407" s="77" t="s">
        <v>9352</v>
      </c>
      <c r="L2407" s="76"/>
      <c r="M2407" s="76" t="s">
        <v>36</v>
      </c>
      <c r="N2407" s="76" t="s">
        <v>39</v>
      </c>
      <c r="O2407" s="76">
        <v>1</v>
      </c>
      <c r="P2407" s="76"/>
      <c r="Q2407" s="76"/>
      <c r="R2407" s="76"/>
      <c r="S2407" s="76"/>
      <c r="BD2407" s="99">
        <f t="shared" si="77"/>
        <v>0</v>
      </c>
      <c r="CC2407" s="99"/>
      <c r="CV2407" s="99"/>
      <c r="CW2407" s="63"/>
    </row>
    <row r="2408" spans="1:101" ht="33.75" x14ac:dyDescent="0.15">
      <c r="A2408" s="76">
        <v>2271</v>
      </c>
      <c r="B2408" s="74" t="s">
        <v>3057</v>
      </c>
      <c r="C2408" s="74">
        <v>999827979</v>
      </c>
      <c r="D2408" s="78" t="str">
        <f t="shared" si="79"/>
        <v>https://portal.dnb.de/opac.htm?method=simpleSearch&amp;cqlMode=true&amp;query=idn%3D999827979</v>
      </c>
      <c r="E2408" s="74" t="s">
        <v>3056</v>
      </c>
      <c r="F2408" s="74"/>
      <c r="G2408" s="76" t="s">
        <v>8515</v>
      </c>
      <c r="H2408" s="77" t="s">
        <v>5</v>
      </c>
      <c r="I2408" s="76" t="s">
        <v>54</v>
      </c>
      <c r="J2408" s="77" t="s">
        <v>58</v>
      </c>
      <c r="K2408" s="77" t="s">
        <v>9352</v>
      </c>
      <c r="L2408" s="76"/>
      <c r="M2408" s="76" t="s">
        <v>36</v>
      </c>
      <c r="N2408" s="76" t="s">
        <v>39</v>
      </c>
      <c r="O2408" s="76">
        <v>1</v>
      </c>
      <c r="P2408" s="76"/>
      <c r="Q2408" s="76"/>
      <c r="R2408" s="76"/>
      <c r="S2408" s="76"/>
      <c r="BD2408" s="99">
        <f t="shared" si="77"/>
        <v>0</v>
      </c>
      <c r="CC2408" s="99"/>
      <c r="CV2408" s="99"/>
      <c r="CW2408" s="63"/>
    </row>
    <row r="2409" spans="1:101" x14ac:dyDescent="0.15">
      <c r="A2409" s="76">
        <v>2272</v>
      </c>
      <c r="B2409" s="74" t="s">
        <v>3061</v>
      </c>
      <c r="C2409" s="74">
        <v>1000643859</v>
      </c>
      <c r="D2409" s="78" t="str">
        <f t="shared" si="79"/>
        <v>https://portal.dnb.de/opac.htm?method=simpleSearch&amp;cqlMode=true&amp;query=idn%3D1000643859</v>
      </c>
      <c r="E2409" s="74" t="s">
        <v>3062</v>
      </c>
      <c r="F2409" s="74"/>
      <c r="G2409" s="76"/>
      <c r="H2409" s="77"/>
      <c r="I2409" s="76"/>
      <c r="J2409" s="77"/>
      <c r="K2409" s="77"/>
      <c r="L2409" s="76"/>
      <c r="M2409" s="76"/>
      <c r="N2409" s="76"/>
      <c r="O2409" s="76"/>
      <c r="P2409" s="76"/>
      <c r="Q2409" s="76"/>
      <c r="R2409" s="76"/>
      <c r="S2409" s="76"/>
      <c r="BD2409" s="99">
        <f t="shared" si="77"/>
        <v>0</v>
      </c>
      <c r="CC2409" s="99"/>
      <c r="CV2409" s="99"/>
      <c r="CW2409" s="63"/>
    </row>
    <row r="2410" spans="1:101" x14ac:dyDescent="0.15">
      <c r="A2410" s="76">
        <v>2273</v>
      </c>
      <c r="B2410" s="74" t="s">
        <v>3078</v>
      </c>
      <c r="C2410" s="74">
        <v>1001952030</v>
      </c>
      <c r="D2410" s="78" t="str">
        <f t="shared" si="79"/>
        <v>https://portal.dnb.de/opac.htm?method=simpleSearch&amp;cqlMode=true&amp;query=idn%3D1001952030</v>
      </c>
      <c r="E2410" s="74" t="s">
        <v>3079</v>
      </c>
      <c r="F2410" s="74"/>
      <c r="G2410" s="76"/>
      <c r="H2410" s="77"/>
      <c r="I2410" s="76"/>
      <c r="J2410" s="77"/>
      <c r="K2410" s="77"/>
      <c r="L2410" s="76"/>
      <c r="M2410" s="76"/>
      <c r="N2410" s="76"/>
      <c r="O2410" s="76"/>
      <c r="P2410" s="76"/>
      <c r="Q2410" s="76"/>
      <c r="R2410" s="76"/>
      <c r="S2410" s="76"/>
      <c r="BD2410" s="99">
        <f t="shared" si="77"/>
        <v>0</v>
      </c>
      <c r="CC2410" s="99"/>
      <c r="CV2410" s="99"/>
      <c r="CW2410" s="63"/>
    </row>
    <row r="2411" spans="1:101" x14ac:dyDescent="0.15">
      <c r="A2411" s="76">
        <v>2274</v>
      </c>
      <c r="B2411" s="74" t="s">
        <v>3080</v>
      </c>
      <c r="C2411" s="74">
        <v>1001952014</v>
      </c>
      <c r="D2411" s="78" t="str">
        <f t="shared" si="79"/>
        <v>https://portal.dnb.de/opac.htm?method=simpleSearch&amp;cqlMode=true&amp;query=idn%3D1001952014</v>
      </c>
      <c r="E2411" s="74" t="s">
        <v>3079</v>
      </c>
      <c r="F2411" s="74"/>
      <c r="G2411" s="76"/>
      <c r="H2411" s="77"/>
      <c r="I2411" s="76"/>
      <c r="J2411" s="77"/>
      <c r="K2411" s="77"/>
      <c r="L2411" s="76"/>
      <c r="M2411" s="76"/>
      <c r="N2411" s="76"/>
      <c r="O2411" s="76"/>
      <c r="P2411" s="76"/>
      <c r="Q2411" s="76"/>
      <c r="R2411" s="76"/>
      <c r="S2411" s="76"/>
      <c r="BD2411" s="99">
        <f t="shared" si="77"/>
        <v>0</v>
      </c>
      <c r="CC2411" s="99"/>
      <c r="CV2411" s="99"/>
      <c r="CW2411" s="63"/>
    </row>
    <row r="2412" spans="1:101" x14ac:dyDescent="0.15">
      <c r="A2412" s="76">
        <v>2275</v>
      </c>
      <c r="B2412" s="74" t="s">
        <v>3081</v>
      </c>
      <c r="C2412" s="74">
        <v>999990373</v>
      </c>
      <c r="D2412" s="78" t="str">
        <f t="shared" si="79"/>
        <v>https://portal.dnb.de/opac.htm?method=simpleSearch&amp;cqlMode=true&amp;query=idn%3D999990373</v>
      </c>
      <c r="E2412" s="74" t="s">
        <v>3082</v>
      </c>
      <c r="F2412" s="74"/>
      <c r="G2412" s="76"/>
      <c r="H2412" s="77" t="s">
        <v>5</v>
      </c>
      <c r="I2412" s="76" t="s">
        <v>53</v>
      </c>
      <c r="J2412" s="77" t="s">
        <v>58</v>
      </c>
      <c r="K2412" s="77" t="s">
        <v>8520</v>
      </c>
      <c r="L2412" s="76"/>
      <c r="M2412" s="76" t="s">
        <v>36</v>
      </c>
      <c r="N2412" s="76" t="s">
        <v>39</v>
      </c>
      <c r="O2412" s="76">
        <v>2</v>
      </c>
      <c r="P2412" s="76"/>
      <c r="Q2412" s="76"/>
      <c r="R2412" s="76"/>
      <c r="S2412" s="76"/>
      <c r="BD2412" s="99">
        <f t="shared" si="77"/>
        <v>0</v>
      </c>
      <c r="CC2412" s="99"/>
      <c r="CV2412" s="99"/>
      <c r="CW2412" s="63"/>
    </row>
    <row r="2413" spans="1:101" ht="22.5" x14ac:dyDescent="0.15">
      <c r="A2413" s="76">
        <v>2276</v>
      </c>
      <c r="B2413" s="74" t="s">
        <v>3088</v>
      </c>
      <c r="C2413" s="74">
        <v>12743119</v>
      </c>
      <c r="D2413" s="82" t="str">
        <f>HYPERLINK(CONCATENATE("https://portal.dnb.de/opac.htm?method=simpleSearch&amp;cqlMode=true&amp;query=idn%3D",C2413))</f>
        <v>https://portal.dnb.de/opac.htm?method=simpleSearch&amp;cqlMode=true&amp;query=idn%3D12743119</v>
      </c>
      <c r="E2413" s="74" t="s">
        <v>9520</v>
      </c>
      <c r="F2413" s="74"/>
      <c r="G2413" s="76"/>
      <c r="H2413" s="77" t="s">
        <v>18</v>
      </c>
      <c r="I2413" s="76" t="s">
        <v>53</v>
      </c>
      <c r="J2413" s="77" t="s">
        <v>58</v>
      </c>
      <c r="K2413" s="77" t="s">
        <v>8785</v>
      </c>
      <c r="L2413" s="76"/>
      <c r="M2413" s="76" t="s">
        <v>36</v>
      </c>
      <c r="N2413" s="76" t="s">
        <v>39</v>
      </c>
      <c r="O2413" s="76">
        <v>1</v>
      </c>
      <c r="P2413" s="76"/>
      <c r="Q2413" s="76"/>
      <c r="R2413" s="76"/>
      <c r="S2413" s="76"/>
      <c r="X2413" s="95" t="s">
        <v>8541</v>
      </c>
      <c r="Y2413" s="95" t="s">
        <v>9725</v>
      </c>
      <c r="AC2413" s="95" t="s">
        <v>9739</v>
      </c>
      <c r="AI2413" s="95" t="s">
        <v>9725</v>
      </c>
      <c r="AS2413" s="95" t="s">
        <v>8541</v>
      </c>
      <c r="AT2413" s="95" t="s">
        <v>8541</v>
      </c>
      <c r="AU2413" s="95">
        <v>3</v>
      </c>
      <c r="AW2413" s="95">
        <v>110</v>
      </c>
      <c r="BC2413" s="96" t="s">
        <v>9734</v>
      </c>
      <c r="BD2413" s="99">
        <f t="shared" si="77"/>
        <v>0</v>
      </c>
      <c r="BJ2413" s="95" t="s">
        <v>9741</v>
      </c>
      <c r="BK2413" s="95" t="s">
        <v>8541</v>
      </c>
      <c r="CC2413" s="99"/>
      <c r="CV2413" s="99"/>
      <c r="CW2413" s="63"/>
    </row>
    <row r="2414" spans="1:101" x14ac:dyDescent="0.15">
      <c r="A2414" s="76">
        <v>2277</v>
      </c>
      <c r="B2414" s="74" t="s">
        <v>3100</v>
      </c>
      <c r="C2414" s="74">
        <v>1001445171</v>
      </c>
      <c r="D2414" s="78" t="str">
        <f t="shared" si="79"/>
        <v>https://portal.dnb.de/opac.htm?method=simpleSearch&amp;cqlMode=true&amp;query=idn%3D1001445171</v>
      </c>
      <c r="E2414" s="74" t="s">
        <v>3101</v>
      </c>
      <c r="F2414" s="74"/>
      <c r="G2414" s="76"/>
      <c r="H2414" s="77"/>
      <c r="I2414" s="76"/>
      <c r="J2414" s="77"/>
      <c r="K2414" s="77"/>
      <c r="L2414" s="76"/>
      <c r="M2414" s="76"/>
      <c r="N2414" s="76"/>
      <c r="O2414" s="76"/>
      <c r="P2414" s="76"/>
      <c r="Q2414" s="76"/>
      <c r="R2414" s="76"/>
      <c r="S2414" s="76"/>
      <c r="BD2414" s="99">
        <f t="shared" si="77"/>
        <v>0</v>
      </c>
      <c r="CC2414" s="99"/>
      <c r="CV2414" s="99"/>
      <c r="CW2414" s="63"/>
    </row>
    <row r="2415" spans="1:101" x14ac:dyDescent="0.15">
      <c r="A2415" s="76">
        <v>2278</v>
      </c>
      <c r="B2415" s="74" t="s">
        <v>3102</v>
      </c>
      <c r="C2415" s="74">
        <v>12743127</v>
      </c>
      <c r="D2415" s="78" t="str">
        <f t="shared" si="79"/>
        <v>https://portal.dnb.de/opac.htm?method=simpleSearch&amp;cqlMode=true&amp;query=idn%3D12743127</v>
      </c>
      <c r="E2415" s="74" t="s">
        <v>3103</v>
      </c>
      <c r="F2415" s="74"/>
      <c r="G2415" s="76"/>
      <c r="H2415" s="77"/>
      <c r="I2415" s="76"/>
      <c r="J2415" s="77"/>
      <c r="K2415" s="77"/>
      <c r="L2415" s="76"/>
      <c r="M2415" s="76"/>
      <c r="N2415" s="76"/>
      <c r="O2415" s="76"/>
      <c r="P2415" s="76"/>
      <c r="Q2415" s="76"/>
      <c r="R2415" s="76"/>
      <c r="S2415" s="76"/>
      <c r="BD2415" s="99">
        <f t="shared" si="77"/>
        <v>0</v>
      </c>
      <c r="CC2415" s="99"/>
      <c r="CV2415" s="99"/>
      <c r="CW2415" s="63"/>
    </row>
    <row r="2416" spans="1:101" x14ac:dyDescent="0.15">
      <c r="A2416" s="76">
        <v>2279</v>
      </c>
      <c r="B2416" s="74" t="s">
        <v>3109</v>
      </c>
      <c r="C2416" s="74">
        <v>994877552</v>
      </c>
      <c r="D2416" s="78" t="str">
        <f t="shared" si="79"/>
        <v>https://portal.dnb.de/opac.htm?method=simpleSearch&amp;cqlMode=true&amp;query=idn%3D994877552</v>
      </c>
      <c r="E2416" s="74" t="s">
        <v>3110</v>
      </c>
      <c r="F2416" s="74"/>
      <c r="G2416" s="76" t="s">
        <v>8515</v>
      </c>
      <c r="H2416" s="77" t="s">
        <v>49</v>
      </c>
      <c r="I2416" s="76" t="s">
        <v>53</v>
      </c>
      <c r="J2416" s="77" t="s">
        <v>58</v>
      </c>
      <c r="K2416" s="77" t="s">
        <v>84</v>
      </c>
      <c r="L2416" s="76"/>
      <c r="M2416" s="76"/>
      <c r="N2416" s="76"/>
      <c r="O2416" s="76">
        <v>0</v>
      </c>
      <c r="P2416" s="76"/>
      <c r="Q2416" s="76"/>
      <c r="R2416" s="76"/>
      <c r="S2416" s="76"/>
      <c r="BD2416" s="99">
        <f t="shared" si="77"/>
        <v>0</v>
      </c>
      <c r="CC2416" s="99"/>
      <c r="CV2416" s="99"/>
      <c r="CW2416" s="63"/>
    </row>
    <row r="2417" spans="1:101" x14ac:dyDescent="0.15">
      <c r="A2417" s="76">
        <v>2280</v>
      </c>
      <c r="B2417" s="74" t="s">
        <v>3111</v>
      </c>
      <c r="C2417" s="74">
        <v>994192177</v>
      </c>
      <c r="D2417" s="78" t="str">
        <f t="shared" si="79"/>
        <v>https://portal.dnb.de/opac.htm?method=simpleSearch&amp;cqlMode=true&amp;query=idn%3D994192177</v>
      </c>
      <c r="E2417" s="74" t="s">
        <v>3112</v>
      </c>
      <c r="F2417" s="74"/>
      <c r="G2417" s="76"/>
      <c r="H2417" s="77"/>
      <c r="I2417" s="76"/>
      <c r="J2417" s="77"/>
      <c r="K2417" s="77"/>
      <c r="L2417" s="76"/>
      <c r="M2417" s="76"/>
      <c r="N2417" s="76"/>
      <c r="O2417" s="76"/>
      <c r="P2417" s="76"/>
      <c r="Q2417" s="76"/>
      <c r="R2417" s="76"/>
      <c r="S2417" s="76"/>
      <c r="BD2417" s="99">
        <f t="shared" si="77"/>
        <v>0</v>
      </c>
      <c r="CC2417" s="99"/>
      <c r="CV2417" s="99"/>
      <c r="CW2417" s="63"/>
    </row>
    <row r="2418" spans="1:101" ht="33.75" x14ac:dyDescent="0.15">
      <c r="A2418" s="76">
        <v>2281</v>
      </c>
      <c r="B2418" s="74" t="s">
        <v>3113</v>
      </c>
      <c r="C2418" s="74">
        <v>994192150</v>
      </c>
      <c r="D2418" s="78" t="str">
        <f t="shared" si="79"/>
        <v>https://portal.dnb.de/opac.htm?method=simpleSearch&amp;cqlMode=true&amp;query=idn%3D994192150</v>
      </c>
      <c r="E2418" s="74" t="s">
        <v>3112</v>
      </c>
      <c r="F2418" s="74"/>
      <c r="G2418" s="76"/>
      <c r="H2418" s="77" t="s">
        <v>48</v>
      </c>
      <c r="I2418" s="76" t="s">
        <v>55</v>
      </c>
      <c r="J2418" s="77" t="s">
        <v>8516</v>
      </c>
      <c r="K2418" s="77" t="s">
        <v>9681</v>
      </c>
      <c r="L2418" s="76"/>
      <c r="M2418" s="76"/>
      <c r="N2418" s="76"/>
      <c r="O2418" s="76">
        <v>1</v>
      </c>
      <c r="P2418" s="76" t="s">
        <v>78</v>
      </c>
      <c r="Q2418" s="76"/>
      <c r="R2418" s="76"/>
      <c r="S2418" s="76"/>
      <c r="BD2418" s="99">
        <f t="shared" si="77"/>
        <v>0</v>
      </c>
      <c r="CC2418" s="99"/>
      <c r="CV2418" s="99"/>
      <c r="CW2418" s="63"/>
    </row>
    <row r="2419" spans="1:101" x14ac:dyDescent="0.15">
      <c r="A2419" s="76">
        <v>2282</v>
      </c>
      <c r="B2419" s="74" t="s">
        <v>3117</v>
      </c>
      <c r="C2419" s="74">
        <v>1002624851</v>
      </c>
      <c r="D2419" s="78" t="str">
        <f t="shared" si="79"/>
        <v>https://portal.dnb.de/opac.htm?method=simpleSearch&amp;cqlMode=true&amp;query=idn%3D1002624851</v>
      </c>
      <c r="E2419" s="74" t="s">
        <v>3118</v>
      </c>
      <c r="F2419" s="74"/>
      <c r="G2419" s="76"/>
      <c r="H2419" s="77"/>
      <c r="I2419" s="76"/>
      <c r="J2419" s="77"/>
      <c r="K2419" s="77"/>
      <c r="L2419" s="76"/>
      <c r="M2419" s="76"/>
      <c r="N2419" s="76"/>
      <c r="O2419" s="76"/>
      <c r="P2419" s="76"/>
      <c r="Q2419" s="76"/>
      <c r="R2419" s="76"/>
      <c r="S2419" s="76"/>
      <c r="BD2419" s="99">
        <f t="shared" si="77"/>
        <v>0</v>
      </c>
      <c r="CC2419" s="99"/>
      <c r="CV2419" s="99"/>
      <c r="CW2419" s="63"/>
    </row>
    <row r="2420" spans="1:101" ht="22.5" x14ac:dyDescent="0.15">
      <c r="A2420" s="76">
        <v>2283</v>
      </c>
      <c r="B2420" s="74" t="s">
        <v>3119</v>
      </c>
      <c r="C2420" s="74">
        <v>1002624797</v>
      </c>
      <c r="D2420" s="78" t="str">
        <f t="shared" si="79"/>
        <v>https://portal.dnb.de/opac.htm?method=simpleSearch&amp;cqlMode=true&amp;query=idn%3D1002624797</v>
      </c>
      <c r="E2420" s="74" t="s">
        <v>9526</v>
      </c>
      <c r="F2420" s="74"/>
      <c r="G2420" s="76"/>
      <c r="H2420" s="77" t="s">
        <v>48</v>
      </c>
      <c r="I2420" s="76" t="s">
        <v>53</v>
      </c>
      <c r="J2420" s="77" t="s">
        <v>8516</v>
      </c>
      <c r="K2420" s="77" t="s">
        <v>8565</v>
      </c>
      <c r="L2420" s="76"/>
      <c r="M2420" s="76"/>
      <c r="N2420" s="76"/>
      <c r="O2420" s="76">
        <v>0</v>
      </c>
      <c r="P2420" s="76"/>
      <c r="Q2420" s="76"/>
      <c r="R2420" s="76" t="s">
        <v>9525</v>
      </c>
      <c r="S2420" s="76"/>
      <c r="BD2420" s="99">
        <f t="shared" si="77"/>
        <v>0</v>
      </c>
      <c r="CC2420" s="99"/>
      <c r="CV2420" s="99"/>
      <c r="CW2420" s="63"/>
    </row>
    <row r="2421" spans="1:101" x14ac:dyDescent="0.15">
      <c r="A2421" s="76">
        <v>2284</v>
      </c>
      <c r="B2421" s="74" t="s">
        <v>3126</v>
      </c>
      <c r="C2421" s="74" t="s">
        <v>3127</v>
      </c>
      <c r="D2421" s="78" t="str">
        <f t="shared" si="79"/>
        <v>https://portal.dnb.de/opac.htm?method=simpleSearch&amp;cqlMode=true&amp;query=idn%3D100023410X</v>
      </c>
      <c r="E2421" s="74" t="s">
        <v>3128</v>
      </c>
      <c r="F2421" s="74"/>
      <c r="G2421" s="76"/>
      <c r="H2421" s="77" t="s">
        <v>49</v>
      </c>
      <c r="I2421" s="76" t="s">
        <v>53</v>
      </c>
      <c r="J2421" s="77" t="s">
        <v>58</v>
      </c>
      <c r="K2421" s="77" t="s">
        <v>84</v>
      </c>
      <c r="L2421" s="76"/>
      <c r="M2421" s="76"/>
      <c r="N2421" s="76"/>
      <c r="O2421" s="76">
        <v>0</v>
      </c>
      <c r="P2421" s="76"/>
      <c r="Q2421" s="76"/>
      <c r="R2421" s="76"/>
      <c r="S2421" s="76"/>
      <c r="BD2421" s="99">
        <f t="shared" si="77"/>
        <v>0</v>
      </c>
      <c r="CC2421" s="99"/>
      <c r="CV2421" s="99"/>
      <c r="CW2421" s="63"/>
    </row>
    <row r="2422" spans="1:101" x14ac:dyDescent="0.15">
      <c r="A2422" s="76">
        <v>2285</v>
      </c>
      <c r="B2422" s="74" t="s">
        <v>3137</v>
      </c>
      <c r="C2422" s="74">
        <v>999144316</v>
      </c>
      <c r="D2422" s="78" t="str">
        <f t="shared" si="79"/>
        <v>https://portal.dnb.de/opac.htm?method=simpleSearch&amp;cqlMode=true&amp;query=idn%3D999144316</v>
      </c>
      <c r="E2422" s="74" t="s">
        <v>3138</v>
      </c>
      <c r="F2422" s="74"/>
      <c r="G2422" s="76"/>
      <c r="H2422" s="77" t="s">
        <v>4</v>
      </c>
      <c r="I2422" s="76" t="s">
        <v>53</v>
      </c>
      <c r="J2422" s="77" t="s">
        <v>8516</v>
      </c>
      <c r="K2422" s="77" t="s">
        <v>8520</v>
      </c>
      <c r="L2422" s="76"/>
      <c r="M2422" s="76" t="s">
        <v>36</v>
      </c>
      <c r="N2422" s="76" t="s">
        <v>39</v>
      </c>
      <c r="O2422" s="76">
        <v>0</v>
      </c>
      <c r="P2422" s="76"/>
      <c r="Q2422" s="76"/>
      <c r="R2422" s="76"/>
      <c r="S2422" s="76"/>
      <c r="BD2422" s="99">
        <f t="shared" si="77"/>
        <v>0</v>
      </c>
      <c r="CC2422" s="99"/>
      <c r="CV2422" s="99"/>
      <c r="CW2422" s="63"/>
    </row>
    <row r="2423" spans="1:101" ht="22.5" x14ac:dyDescent="0.15">
      <c r="A2423" s="76">
        <v>2286</v>
      </c>
      <c r="B2423" s="74" t="s">
        <v>3147</v>
      </c>
      <c r="C2423" s="74">
        <v>1001948718</v>
      </c>
      <c r="D2423" s="78" t="str">
        <f t="shared" si="79"/>
        <v>https://portal.dnb.de/opac.htm?method=simpleSearch&amp;cqlMode=true&amp;query=idn%3D1001948718</v>
      </c>
      <c r="E2423" s="74" t="s">
        <v>9544</v>
      </c>
      <c r="F2423" s="74"/>
      <c r="G2423" s="76"/>
      <c r="H2423" s="77" t="s">
        <v>18</v>
      </c>
      <c r="I2423" s="76" t="s">
        <v>53</v>
      </c>
      <c r="J2423" s="77" t="s">
        <v>58</v>
      </c>
      <c r="K2423" s="77" t="s">
        <v>8785</v>
      </c>
      <c r="L2423" s="76"/>
      <c r="M2423" s="76" t="s">
        <v>36</v>
      </c>
      <c r="N2423" s="76" t="s">
        <v>39</v>
      </c>
      <c r="O2423" s="76">
        <v>1</v>
      </c>
      <c r="P2423" s="76"/>
      <c r="Q2423" s="76"/>
      <c r="R2423" s="76" t="s">
        <v>9540</v>
      </c>
      <c r="S2423" s="76"/>
      <c r="BD2423" s="99">
        <f t="shared" si="77"/>
        <v>0</v>
      </c>
      <c r="CC2423" s="99"/>
      <c r="CV2423" s="99"/>
      <c r="CW2423" s="63"/>
    </row>
    <row r="2424" spans="1:101" x14ac:dyDescent="0.15">
      <c r="A2424" s="76">
        <v>2287</v>
      </c>
      <c r="B2424" s="74" t="s">
        <v>3149</v>
      </c>
      <c r="C2424" s="74">
        <v>1001948742</v>
      </c>
      <c r="D2424" s="78" t="str">
        <f t="shared" si="79"/>
        <v>https://portal.dnb.de/opac.htm?method=simpleSearch&amp;cqlMode=true&amp;query=idn%3D1001948742</v>
      </c>
      <c r="E2424" s="74" t="s">
        <v>3148</v>
      </c>
      <c r="F2424" s="74"/>
      <c r="G2424" s="76"/>
      <c r="H2424" s="77"/>
      <c r="I2424" s="76"/>
      <c r="J2424" s="77"/>
      <c r="K2424" s="77"/>
      <c r="L2424" s="76"/>
      <c r="M2424" s="76"/>
      <c r="N2424" s="76"/>
      <c r="O2424" s="76"/>
      <c r="P2424" s="76"/>
      <c r="Q2424" s="76"/>
      <c r="R2424" s="76"/>
      <c r="S2424" s="76"/>
      <c r="BD2424" s="99">
        <f t="shared" si="77"/>
        <v>0</v>
      </c>
      <c r="CC2424" s="99"/>
      <c r="CV2424" s="99"/>
      <c r="CW2424" s="63"/>
    </row>
    <row r="2425" spans="1:101" x14ac:dyDescent="0.15">
      <c r="A2425" s="76">
        <v>2288</v>
      </c>
      <c r="B2425" s="74" t="s">
        <v>3152</v>
      </c>
      <c r="C2425" s="74">
        <v>1000379604</v>
      </c>
      <c r="D2425" s="78" t="str">
        <f t="shared" si="79"/>
        <v>https://portal.dnb.de/opac.htm?method=simpleSearch&amp;cqlMode=true&amp;query=idn%3D1000379604</v>
      </c>
      <c r="E2425" s="74" t="s">
        <v>3153</v>
      </c>
      <c r="F2425" s="74"/>
      <c r="G2425" s="76"/>
      <c r="H2425" s="77" t="s">
        <v>49</v>
      </c>
      <c r="I2425" s="76" t="s">
        <v>54</v>
      </c>
      <c r="J2425" s="77" t="s">
        <v>58</v>
      </c>
      <c r="K2425" s="77"/>
      <c r="L2425" s="76"/>
      <c r="M2425" s="76"/>
      <c r="N2425" s="76"/>
      <c r="O2425" s="76">
        <v>0</v>
      </c>
      <c r="P2425" s="76"/>
      <c r="Q2425" s="76"/>
      <c r="R2425" s="76"/>
      <c r="S2425" s="76"/>
      <c r="BD2425" s="99">
        <f t="shared" si="77"/>
        <v>0</v>
      </c>
      <c r="CC2425" s="99"/>
      <c r="CV2425" s="99"/>
      <c r="CW2425" s="63"/>
    </row>
    <row r="2426" spans="1:101" x14ac:dyDescent="0.15">
      <c r="A2426" s="76">
        <v>2289</v>
      </c>
      <c r="B2426" s="74" t="s">
        <v>3156</v>
      </c>
      <c r="C2426" s="74">
        <v>999917633</v>
      </c>
      <c r="D2426" s="78" t="str">
        <f t="shared" si="79"/>
        <v>https://portal.dnb.de/opac.htm?method=simpleSearch&amp;cqlMode=true&amp;query=idn%3D999917633</v>
      </c>
      <c r="E2426" s="74" t="s">
        <v>3157</v>
      </c>
      <c r="F2426" s="74"/>
      <c r="G2426" s="76"/>
      <c r="H2426" s="77"/>
      <c r="I2426" s="76"/>
      <c r="J2426" s="77"/>
      <c r="K2426" s="77"/>
      <c r="L2426" s="76"/>
      <c r="M2426" s="76"/>
      <c r="N2426" s="76"/>
      <c r="O2426" s="76"/>
      <c r="P2426" s="76"/>
      <c r="Q2426" s="76"/>
      <c r="R2426" s="76"/>
      <c r="S2426" s="76"/>
      <c r="BD2426" s="99">
        <f t="shared" si="77"/>
        <v>0</v>
      </c>
      <c r="CC2426" s="99"/>
      <c r="CV2426" s="99"/>
      <c r="CW2426" s="63"/>
    </row>
    <row r="2427" spans="1:101" x14ac:dyDescent="0.15">
      <c r="A2427" s="76">
        <v>2290</v>
      </c>
      <c r="B2427" s="74" t="s">
        <v>3165</v>
      </c>
      <c r="C2427" s="74">
        <v>999607839</v>
      </c>
      <c r="D2427" s="78" t="str">
        <f t="shared" si="79"/>
        <v>https://portal.dnb.de/opac.htm?method=simpleSearch&amp;cqlMode=true&amp;query=idn%3D999607839</v>
      </c>
      <c r="E2427" s="74" t="s">
        <v>3166</v>
      </c>
      <c r="F2427" s="74"/>
      <c r="G2427" s="76"/>
      <c r="H2427" s="77"/>
      <c r="I2427" s="76"/>
      <c r="J2427" s="77"/>
      <c r="K2427" s="77"/>
      <c r="L2427" s="76"/>
      <c r="M2427" s="76"/>
      <c r="N2427" s="76"/>
      <c r="O2427" s="76"/>
      <c r="P2427" s="76"/>
      <c r="Q2427" s="76"/>
      <c r="R2427" s="76"/>
      <c r="S2427" s="76"/>
      <c r="BD2427" s="99">
        <f t="shared" si="77"/>
        <v>0</v>
      </c>
      <c r="CC2427" s="99"/>
      <c r="CV2427" s="99"/>
      <c r="CW2427" s="63"/>
    </row>
    <row r="2428" spans="1:101" x14ac:dyDescent="0.15">
      <c r="A2428" s="76">
        <v>2291</v>
      </c>
      <c r="B2428" s="74" t="s">
        <v>3167</v>
      </c>
      <c r="C2428" s="74">
        <v>999607782</v>
      </c>
      <c r="D2428" s="78" t="str">
        <f t="shared" si="79"/>
        <v>https://portal.dnb.de/opac.htm?method=simpleSearch&amp;cqlMode=true&amp;query=idn%3D999607782</v>
      </c>
      <c r="E2428" s="74" t="s">
        <v>3166</v>
      </c>
      <c r="F2428" s="74"/>
      <c r="G2428" s="76"/>
      <c r="H2428" s="77"/>
      <c r="I2428" s="76"/>
      <c r="J2428" s="77"/>
      <c r="K2428" s="77"/>
      <c r="L2428" s="76"/>
      <c r="M2428" s="76"/>
      <c r="N2428" s="76"/>
      <c r="O2428" s="76"/>
      <c r="P2428" s="76"/>
      <c r="Q2428" s="76"/>
      <c r="R2428" s="76"/>
      <c r="S2428" s="76"/>
      <c r="BD2428" s="99">
        <f t="shared" si="77"/>
        <v>0</v>
      </c>
      <c r="CC2428" s="99"/>
      <c r="CV2428" s="99"/>
      <c r="CW2428" s="63"/>
    </row>
    <row r="2429" spans="1:101" x14ac:dyDescent="0.15">
      <c r="A2429" s="76">
        <v>2292</v>
      </c>
      <c r="B2429" s="74" t="s">
        <v>3171</v>
      </c>
      <c r="C2429" s="74">
        <v>1001482158</v>
      </c>
      <c r="D2429" s="78" t="str">
        <f t="shared" si="79"/>
        <v>https://portal.dnb.de/opac.htm?method=simpleSearch&amp;cqlMode=true&amp;query=idn%3D1001482158</v>
      </c>
      <c r="E2429" s="74" t="s">
        <v>3172</v>
      </c>
      <c r="F2429" s="74"/>
      <c r="G2429" s="76"/>
      <c r="H2429" s="77"/>
      <c r="I2429" s="76"/>
      <c r="J2429" s="77"/>
      <c r="K2429" s="77"/>
      <c r="L2429" s="76"/>
      <c r="M2429" s="76"/>
      <c r="N2429" s="76"/>
      <c r="O2429" s="76"/>
      <c r="P2429" s="76"/>
      <c r="Q2429" s="76"/>
      <c r="R2429" s="76"/>
      <c r="S2429" s="76"/>
      <c r="BD2429" s="99">
        <f t="shared" si="77"/>
        <v>0</v>
      </c>
      <c r="CC2429" s="99"/>
      <c r="CV2429" s="99"/>
      <c r="CW2429" s="63"/>
    </row>
    <row r="2430" spans="1:101" x14ac:dyDescent="0.15">
      <c r="A2430" s="76">
        <v>2293</v>
      </c>
      <c r="B2430" s="74" t="s">
        <v>3173</v>
      </c>
      <c r="C2430" s="74">
        <v>1001482166</v>
      </c>
      <c r="D2430" s="78" t="str">
        <f t="shared" si="79"/>
        <v>https://portal.dnb.de/opac.htm?method=simpleSearch&amp;cqlMode=true&amp;query=idn%3D1001482166</v>
      </c>
      <c r="E2430" s="74" t="s">
        <v>3172</v>
      </c>
      <c r="F2430" s="74"/>
      <c r="G2430" s="76"/>
      <c r="H2430" s="77"/>
      <c r="I2430" s="76"/>
      <c r="J2430" s="77"/>
      <c r="K2430" s="77"/>
      <c r="L2430" s="76"/>
      <c r="M2430" s="76"/>
      <c r="N2430" s="76"/>
      <c r="O2430" s="76"/>
      <c r="P2430" s="76"/>
      <c r="Q2430" s="76"/>
      <c r="R2430" s="76"/>
      <c r="S2430" s="76"/>
      <c r="BD2430" s="99">
        <f t="shared" si="77"/>
        <v>0</v>
      </c>
      <c r="CC2430" s="99"/>
      <c r="CV2430" s="99"/>
      <c r="CW2430" s="63"/>
    </row>
    <row r="2431" spans="1:101" ht="22.5" x14ac:dyDescent="0.15">
      <c r="A2431" s="76">
        <v>2294</v>
      </c>
      <c r="B2431" s="74" t="s">
        <v>3179</v>
      </c>
      <c r="C2431" s="74">
        <v>997404132</v>
      </c>
      <c r="D2431" s="82" t="str">
        <f>HYPERLINK(CONCATENATE("https://portal.dnb.de/B2437=simpleSearch&amp;cqlMode=true&amp;query=idn%3D",C2431))</f>
        <v>https://portal.dnb.de/B2437=simpleSearch&amp;cqlMode=true&amp;query=idn%3D997404132</v>
      </c>
      <c r="E2431" s="74" t="s">
        <v>3180</v>
      </c>
      <c r="F2431" s="74"/>
      <c r="G2431" s="76"/>
      <c r="H2431" s="77" t="s">
        <v>4</v>
      </c>
      <c r="I2431" s="76" t="s">
        <v>53</v>
      </c>
      <c r="J2431" s="77" t="s">
        <v>8516</v>
      </c>
      <c r="K2431" s="77" t="s">
        <v>8565</v>
      </c>
      <c r="L2431" s="76"/>
      <c r="M2431" s="76"/>
      <c r="N2431" s="76"/>
      <c r="O2431" s="76">
        <v>1</v>
      </c>
      <c r="P2431" s="76"/>
      <c r="Q2431" s="76"/>
      <c r="R2431" s="76"/>
      <c r="S2431" s="76"/>
      <c r="BD2431" s="99">
        <f t="shared" si="77"/>
        <v>0</v>
      </c>
      <c r="CC2431" s="99"/>
      <c r="CV2431" s="99"/>
      <c r="CW2431" s="63"/>
    </row>
    <row r="2432" spans="1:101" x14ac:dyDescent="0.15">
      <c r="A2432" s="76">
        <v>2295</v>
      </c>
      <c r="B2432" s="74" t="s">
        <v>3190</v>
      </c>
      <c r="C2432" s="74">
        <v>994450303</v>
      </c>
      <c r="D2432" s="78" t="str">
        <f t="shared" si="79"/>
        <v>https://portal.dnb.de/opac.htm?method=simpleSearch&amp;cqlMode=true&amp;query=idn%3D994450303</v>
      </c>
      <c r="E2432" s="74" t="s">
        <v>9550</v>
      </c>
      <c r="F2432" s="74"/>
      <c r="G2432" s="76" t="s">
        <v>8515</v>
      </c>
      <c r="H2432" s="77" t="s">
        <v>4</v>
      </c>
      <c r="I2432" s="76" t="s">
        <v>53</v>
      </c>
      <c r="J2432" s="77" t="s">
        <v>58</v>
      </c>
      <c r="K2432" s="77" t="s">
        <v>8577</v>
      </c>
      <c r="L2432" s="76"/>
      <c r="M2432" s="76" t="s">
        <v>36</v>
      </c>
      <c r="N2432" s="76" t="s">
        <v>39</v>
      </c>
      <c r="O2432" s="76">
        <v>3</v>
      </c>
      <c r="P2432" s="76"/>
      <c r="Q2432" s="76"/>
      <c r="R2432" s="76"/>
      <c r="S2432" s="76"/>
      <c r="BD2432" s="99">
        <f t="shared" si="77"/>
        <v>0</v>
      </c>
      <c r="CC2432" s="99"/>
      <c r="CV2432" s="99"/>
      <c r="CW2432" s="63"/>
    </row>
    <row r="2433" spans="1:101" x14ac:dyDescent="0.15">
      <c r="A2433" s="76">
        <v>2296</v>
      </c>
      <c r="B2433" s="74" t="s">
        <v>3192</v>
      </c>
      <c r="C2433" s="74">
        <v>997788720</v>
      </c>
      <c r="D2433" s="78" t="str">
        <f t="shared" si="79"/>
        <v>https://portal.dnb.de/opac.htm?method=simpleSearch&amp;cqlMode=true&amp;query=idn%3D997788720</v>
      </c>
      <c r="E2433" s="74" t="s">
        <v>9549</v>
      </c>
      <c r="F2433" s="74"/>
      <c r="G2433" s="76" t="s">
        <v>8515</v>
      </c>
      <c r="H2433" s="77" t="s">
        <v>4</v>
      </c>
      <c r="I2433" s="76" t="s">
        <v>53</v>
      </c>
      <c r="J2433" s="77" t="s">
        <v>58</v>
      </c>
      <c r="K2433" s="77" t="s">
        <v>8577</v>
      </c>
      <c r="L2433" s="76"/>
      <c r="M2433" s="76" t="s">
        <v>36</v>
      </c>
      <c r="N2433" s="76" t="s">
        <v>39</v>
      </c>
      <c r="O2433" s="76">
        <v>1</v>
      </c>
      <c r="P2433" s="76"/>
      <c r="Q2433" s="76" t="s">
        <v>9040</v>
      </c>
      <c r="R2433" s="76"/>
      <c r="S2433" s="76"/>
      <c r="BD2433" s="99">
        <f t="shared" si="77"/>
        <v>0</v>
      </c>
      <c r="CC2433" s="99"/>
      <c r="CV2433" s="99"/>
      <c r="CW2433" s="63"/>
    </row>
    <row r="2434" spans="1:101" x14ac:dyDescent="0.15">
      <c r="A2434" s="76">
        <v>2297</v>
      </c>
      <c r="B2434" s="74" t="s">
        <v>3193</v>
      </c>
      <c r="C2434" s="74">
        <v>997788682</v>
      </c>
      <c r="D2434" s="78" t="str">
        <f t="shared" si="79"/>
        <v>https://portal.dnb.de/opac.htm?method=simpleSearch&amp;cqlMode=true&amp;query=idn%3D997788682</v>
      </c>
      <c r="E2434" s="74" t="s">
        <v>9546</v>
      </c>
      <c r="F2434" s="74"/>
      <c r="G2434" s="76" t="s">
        <v>8515</v>
      </c>
      <c r="H2434" s="77" t="s">
        <v>4</v>
      </c>
      <c r="I2434" s="76" t="s">
        <v>53</v>
      </c>
      <c r="J2434" s="77" t="s">
        <v>58</v>
      </c>
      <c r="K2434" s="77" t="s">
        <v>84</v>
      </c>
      <c r="L2434" s="76"/>
      <c r="M2434" s="76" t="s">
        <v>36</v>
      </c>
      <c r="N2434" s="76" t="s">
        <v>39</v>
      </c>
      <c r="O2434" s="76">
        <v>1</v>
      </c>
      <c r="P2434" s="76"/>
      <c r="Q2434" s="76" t="s">
        <v>9040</v>
      </c>
      <c r="R2434" s="76"/>
      <c r="S2434" s="76"/>
      <c r="BD2434" s="99">
        <f t="shared" si="77"/>
        <v>0</v>
      </c>
      <c r="CC2434" s="99"/>
      <c r="CV2434" s="99"/>
      <c r="CW2434" s="63"/>
    </row>
    <row r="2435" spans="1:101" x14ac:dyDescent="0.15">
      <c r="A2435" s="76">
        <v>2298</v>
      </c>
      <c r="B2435" s="74" t="s">
        <v>3194</v>
      </c>
      <c r="C2435" s="74">
        <v>994041640</v>
      </c>
      <c r="D2435" s="78" t="str">
        <f t="shared" si="79"/>
        <v>https://portal.dnb.de/opac.htm?method=simpleSearch&amp;cqlMode=true&amp;query=idn%3D994041640</v>
      </c>
      <c r="E2435" s="74" t="s">
        <v>3191</v>
      </c>
      <c r="F2435" s="74"/>
      <c r="G2435" s="76"/>
      <c r="H2435" s="77"/>
      <c r="I2435" s="76"/>
      <c r="J2435" s="77"/>
      <c r="K2435" s="77"/>
      <c r="L2435" s="76"/>
      <c r="M2435" s="76"/>
      <c r="N2435" s="76"/>
      <c r="O2435" s="76"/>
      <c r="P2435" s="76"/>
      <c r="Q2435" s="76"/>
      <c r="R2435" s="76"/>
      <c r="S2435" s="76"/>
      <c r="BD2435" s="99">
        <f t="shared" ref="BD2435:BD2498" si="80">CC2435+CV2435</f>
        <v>0</v>
      </c>
      <c r="CC2435" s="99"/>
      <c r="CV2435" s="99"/>
      <c r="CW2435" s="63"/>
    </row>
    <row r="2436" spans="1:101" x14ac:dyDescent="0.15">
      <c r="A2436" s="76">
        <v>2299</v>
      </c>
      <c r="B2436" s="74" t="s">
        <v>3195</v>
      </c>
      <c r="C2436" s="74">
        <v>997788690</v>
      </c>
      <c r="D2436" s="78" t="str">
        <f t="shared" si="79"/>
        <v>https://portal.dnb.de/opac.htm?method=simpleSearch&amp;cqlMode=true&amp;query=idn%3D997788690</v>
      </c>
      <c r="E2436" s="74" t="s">
        <v>9545</v>
      </c>
      <c r="F2436" s="74"/>
      <c r="G2436" s="76" t="s">
        <v>8515</v>
      </c>
      <c r="H2436" s="77" t="s">
        <v>4</v>
      </c>
      <c r="I2436" s="76" t="s">
        <v>53</v>
      </c>
      <c r="J2436" s="77" t="s">
        <v>58</v>
      </c>
      <c r="K2436" s="77" t="s">
        <v>84</v>
      </c>
      <c r="L2436" s="76"/>
      <c r="M2436" s="76" t="s">
        <v>36</v>
      </c>
      <c r="N2436" s="76" t="s">
        <v>39</v>
      </c>
      <c r="O2436" s="76">
        <v>3</v>
      </c>
      <c r="P2436" s="76"/>
      <c r="Q2436" s="76"/>
      <c r="R2436" s="76"/>
      <c r="S2436" s="76"/>
      <c r="BD2436" s="99">
        <f t="shared" si="80"/>
        <v>0</v>
      </c>
      <c r="CC2436" s="99"/>
      <c r="CV2436" s="99"/>
      <c r="CW2436" s="63"/>
    </row>
    <row r="2437" spans="1:101" x14ac:dyDescent="0.15">
      <c r="A2437" s="76">
        <v>2300</v>
      </c>
      <c r="B2437" s="74" t="s">
        <v>3196</v>
      </c>
      <c r="C2437" s="74">
        <v>997788712</v>
      </c>
      <c r="D2437" s="78" t="str">
        <f t="shared" si="79"/>
        <v>https://portal.dnb.de/opac.htm?method=simpleSearch&amp;cqlMode=true&amp;query=idn%3D997788712</v>
      </c>
      <c r="E2437" s="74" t="s">
        <v>9548</v>
      </c>
      <c r="F2437" s="74"/>
      <c r="G2437" s="76" t="s">
        <v>8515</v>
      </c>
      <c r="H2437" s="77" t="s">
        <v>4</v>
      </c>
      <c r="I2437" s="76" t="s">
        <v>53</v>
      </c>
      <c r="J2437" s="77" t="s">
        <v>58</v>
      </c>
      <c r="K2437" s="77" t="s">
        <v>84</v>
      </c>
      <c r="L2437" s="76"/>
      <c r="M2437" s="76" t="s">
        <v>36</v>
      </c>
      <c r="N2437" s="76" t="s">
        <v>39</v>
      </c>
      <c r="O2437" s="76">
        <v>3</v>
      </c>
      <c r="P2437" s="76"/>
      <c r="Q2437" s="76"/>
      <c r="R2437" s="76"/>
      <c r="S2437" s="76"/>
      <c r="BD2437" s="99">
        <f t="shared" si="80"/>
        <v>0</v>
      </c>
      <c r="CC2437" s="99"/>
      <c r="CV2437" s="99"/>
      <c r="CW2437" s="63"/>
    </row>
    <row r="2438" spans="1:101" x14ac:dyDescent="0.15">
      <c r="A2438" s="76">
        <v>2301</v>
      </c>
      <c r="B2438" s="74" t="s">
        <v>3197</v>
      </c>
      <c r="C2438" s="74">
        <v>997788704</v>
      </c>
      <c r="D2438" s="78" t="str">
        <f t="shared" si="79"/>
        <v>https://portal.dnb.de/opac.htm?method=simpleSearch&amp;cqlMode=true&amp;query=idn%3D997788704</v>
      </c>
      <c r="E2438" s="74" t="s">
        <v>9547</v>
      </c>
      <c r="F2438" s="74"/>
      <c r="G2438" s="76" t="s">
        <v>8515</v>
      </c>
      <c r="H2438" s="77" t="s">
        <v>4</v>
      </c>
      <c r="I2438" s="76" t="s">
        <v>53</v>
      </c>
      <c r="J2438" s="77" t="s">
        <v>58</v>
      </c>
      <c r="K2438" s="77" t="s">
        <v>8577</v>
      </c>
      <c r="L2438" s="76"/>
      <c r="M2438" s="76" t="s">
        <v>36</v>
      </c>
      <c r="N2438" s="76" t="s">
        <v>39</v>
      </c>
      <c r="O2438" s="76">
        <v>1</v>
      </c>
      <c r="P2438" s="76"/>
      <c r="Q2438" s="76" t="s">
        <v>9040</v>
      </c>
      <c r="R2438" s="76"/>
      <c r="S2438" s="76"/>
      <c r="BD2438" s="99">
        <f t="shared" si="80"/>
        <v>0</v>
      </c>
      <c r="CC2438" s="99"/>
      <c r="CV2438" s="99"/>
      <c r="CW2438" s="63"/>
    </row>
    <row r="2439" spans="1:101" x14ac:dyDescent="0.15">
      <c r="A2439" s="76">
        <v>2302</v>
      </c>
      <c r="B2439" s="74" t="s">
        <v>3200</v>
      </c>
      <c r="C2439" s="74" t="s">
        <v>3201</v>
      </c>
      <c r="D2439" s="78" t="str">
        <f t="shared" si="79"/>
        <v>https://portal.dnb.de/opac.htm?method=simpleSearch&amp;cqlMode=true&amp;query=idn%3D99442485X</v>
      </c>
      <c r="E2439" s="74" t="s">
        <v>3202</v>
      </c>
      <c r="F2439" s="74"/>
      <c r="G2439" s="76"/>
      <c r="H2439" s="77"/>
      <c r="I2439" s="76"/>
      <c r="J2439" s="77"/>
      <c r="K2439" s="77"/>
      <c r="L2439" s="76"/>
      <c r="M2439" s="76"/>
      <c r="N2439" s="76"/>
      <c r="O2439" s="76"/>
      <c r="P2439" s="76"/>
      <c r="Q2439" s="76"/>
      <c r="R2439" s="76"/>
      <c r="S2439" s="76"/>
      <c r="BD2439" s="99">
        <f t="shared" si="80"/>
        <v>0</v>
      </c>
      <c r="CC2439" s="99"/>
      <c r="CV2439" s="99"/>
      <c r="CW2439" s="63"/>
    </row>
    <row r="2440" spans="1:101" x14ac:dyDescent="0.15">
      <c r="A2440" s="76">
        <v>2303</v>
      </c>
      <c r="B2440" s="74" t="s">
        <v>3208</v>
      </c>
      <c r="C2440" s="74">
        <v>16684885</v>
      </c>
      <c r="D2440" s="78" t="str">
        <f t="shared" si="79"/>
        <v>https://portal.dnb.de/opac.htm?method=simpleSearch&amp;cqlMode=true&amp;query=idn%3D16684885</v>
      </c>
      <c r="E2440" s="74" t="s">
        <v>3209</v>
      </c>
      <c r="F2440" s="74"/>
      <c r="G2440" s="76"/>
      <c r="H2440" s="77"/>
      <c r="I2440" s="76"/>
      <c r="J2440" s="77"/>
      <c r="K2440" s="77"/>
      <c r="L2440" s="76"/>
      <c r="M2440" s="76"/>
      <c r="N2440" s="76"/>
      <c r="O2440" s="76"/>
      <c r="P2440" s="76"/>
      <c r="Q2440" s="76"/>
      <c r="R2440" s="76"/>
      <c r="S2440" s="76"/>
      <c r="BD2440" s="99">
        <f t="shared" si="80"/>
        <v>0</v>
      </c>
      <c r="CC2440" s="99"/>
      <c r="CV2440" s="99"/>
      <c r="CW2440" s="63"/>
    </row>
    <row r="2441" spans="1:101" x14ac:dyDescent="0.15">
      <c r="A2441" s="76">
        <v>2304</v>
      </c>
      <c r="B2441" s="74" t="s">
        <v>3217</v>
      </c>
      <c r="C2441" s="74">
        <v>998828416</v>
      </c>
      <c r="D2441" s="78" t="str">
        <f t="shared" si="79"/>
        <v>https://portal.dnb.de/opac.htm?method=simpleSearch&amp;cqlMode=true&amp;query=idn%3D998828416</v>
      </c>
      <c r="E2441" s="74" t="s">
        <v>3218</v>
      </c>
      <c r="F2441" s="74"/>
      <c r="G2441" s="76"/>
      <c r="H2441" s="77"/>
      <c r="I2441" s="76"/>
      <c r="J2441" s="77"/>
      <c r="K2441" s="77"/>
      <c r="L2441" s="76"/>
      <c r="M2441" s="76"/>
      <c r="N2441" s="76"/>
      <c r="O2441" s="76"/>
      <c r="P2441" s="76"/>
      <c r="Q2441" s="76"/>
      <c r="R2441" s="76"/>
      <c r="S2441" s="76"/>
      <c r="BD2441" s="99">
        <f t="shared" si="80"/>
        <v>0</v>
      </c>
      <c r="CC2441" s="99"/>
      <c r="CV2441" s="99"/>
      <c r="CW2441" s="63"/>
    </row>
    <row r="2442" spans="1:101" x14ac:dyDescent="0.15">
      <c r="A2442" s="76">
        <v>2305</v>
      </c>
      <c r="B2442" s="74" t="s">
        <v>3235</v>
      </c>
      <c r="C2442" s="74">
        <v>1000109240</v>
      </c>
      <c r="D2442" s="78" t="str">
        <f t="shared" si="79"/>
        <v>https://portal.dnb.de/opac.htm?method=simpleSearch&amp;cqlMode=true&amp;query=idn%3D1000109240</v>
      </c>
      <c r="E2442" s="74" t="s">
        <v>3236</v>
      </c>
      <c r="F2442" s="74"/>
      <c r="G2442" s="76"/>
      <c r="H2442" s="77"/>
      <c r="I2442" s="76"/>
      <c r="J2442" s="77"/>
      <c r="K2442" s="77"/>
      <c r="L2442" s="76"/>
      <c r="M2442" s="76"/>
      <c r="N2442" s="76"/>
      <c r="O2442" s="76"/>
      <c r="P2442" s="76"/>
      <c r="Q2442" s="76"/>
      <c r="R2442" s="76"/>
      <c r="S2442" s="76"/>
      <c r="BD2442" s="99">
        <f t="shared" si="80"/>
        <v>0</v>
      </c>
      <c r="CC2442" s="99"/>
      <c r="CV2442" s="99"/>
      <c r="CW2442" s="63"/>
    </row>
    <row r="2443" spans="1:101" x14ac:dyDescent="0.15">
      <c r="A2443" s="76">
        <v>2306</v>
      </c>
      <c r="B2443" s="74" t="s">
        <v>3237</v>
      </c>
      <c r="C2443" s="74">
        <v>1000299333</v>
      </c>
      <c r="D2443" s="78" t="str">
        <f t="shared" si="79"/>
        <v>https://portal.dnb.de/opac.htm?method=simpleSearch&amp;cqlMode=true&amp;query=idn%3D1000299333</v>
      </c>
      <c r="E2443" s="74" t="s">
        <v>3236</v>
      </c>
      <c r="F2443" s="74"/>
      <c r="G2443" s="76"/>
      <c r="H2443" s="77"/>
      <c r="I2443" s="76"/>
      <c r="J2443" s="77"/>
      <c r="K2443" s="77"/>
      <c r="L2443" s="76"/>
      <c r="M2443" s="76"/>
      <c r="N2443" s="76"/>
      <c r="O2443" s="76"/>
      <c r="P2443" s="76"/>
      <c r="Q2443" s="76"/>
      <c r="R2443" s="76"/>
      <c r="S2443" s="76"/>
      <c r="BD2443" s="99">
        <f t="shared" si="80"/>
        <v>0</v>
      </c>
      <c r="CC2443" s="99"/>
      <c r="CV2443" s="99"/>
      <c r="CW2443" s="63"/>
    </row>
    <row r="2444" spans="1:101" x14ac:dyDescent="0.15">
      <c r="A2444" s="76">
        <v>2307</v>
      </c>
      <c r="B2444" s="74" t="s">
        <v>3241</v>
      </c>
      <c r="C2444" s="74">
        <v>1000337561</v>
      </c>
      <c r="D2444" s="78" t="str">
        <f t="shared" si="79"/>
        <v>https://portal.dnb.de/opac.htm?method=simpleSearch&amp;cqlMode=true&amp;query=idn%3D1000337561</v>
      </c>
      <c r="E2444" s="74" t="s">
        <v>3242</v>
      </c>
      <c r="F2444" s="74"/>
      <c r="G2444" s="76"/>
      <c r="H2444" s="77"/>
      <c r="I2444" s="76"/>
      <c r="J2444" s="77"/>
      <c r="K2444" s="77"/>
      <c r="L2444" s="76"/>
      <c r="M2444" s="76"/>
      <c r="N2444" s="76"/>
      <c r="O2444" s="76"/>
      <c r="P2444" s="76"/>
      <c r="Q2444" s="76"/>
      <c r="R2444" s="76"/>
      <c r="S2444" s="76"/>
      <c r="BD2444" s="99">
        <f t="shared" si="80"/>
        <v>0</v>
      </c>
      <c r="CC2444" s="99"/>
      <c r="CV2444" s="99"/>
      <c r="CW2444" s="63"/>
    </row>
    <row r="2445" spans="1:101" x14ac:dyDescent="0.15">
      <c r="A2445" s="76">
        <v>2308</v>
      </c>
      <c r="B2445" s="74" t="s">
        <v>3243</v>
      </c>
      <c r="C2445" s="74">
        <v>994554184</v>
      </c>
      <c r="D2445" s="78" t="str">
        <f t="shared" si="79"/>
        <v>https://portal.dnb.de/opac.htm?method=simpleSearch&amp;cqlMode=true&amp;query=idn%3D994554184</v>
      </c>
      <c r="E2445" s="74" t="s">
        <v>3242</v>
      </c>
      <c r="F2445" s="74"/>
      <c r="G2445" s="76"/>
      <c r="H2445" s="77"/>
      <c r="I2445" s="76"/>
      <c r="J2445" s="77"/>
      <c r="K2445" s="77"/>
      <c r="L2445" s="76"/>
      <c r="M2445" s="76"/>
      <c r="N2445" s="76"/>
      <c r="O2445" s="76"/>
      <c r="P2445" s="76"/>
      <c r="Q2445" s="76"/>
      <c r="R2445" s="76"/>
      <c r="S2445" s="76"/>
      <c r="BD2445" s="99">
        <f t="shared" si="80"/>
        <v>0</v>
      </c>
      <c r="CC2445" s="99"/>
      <c r="CV2445" s="99"/>
      <c r="CW2445" s="63"/>
    </row>
    <row r="2446" spans="1:101" x14ac:dyDescent="0.15">
      <c r="A2446" s="76">
        <v>2309</v>
      </c>
      <c r="B2446" s="74" t="s">
        <v>3244</v>
      </c>
      <c r="C2446" s="74">
        <v>1000216004</v>
      </c>
      <c r="D2446" s="78" t="str">
        <f t="shared" si="79"/>
        <v>https://portal.dnb.de/opac.htm?method=simpleSearch&amp;cqlMode=true&amp;query=idn%3D1000216004</v>
      </c>
      <c r="E2446" s="74" t="s">
        <v>3245</v>
      </c>
      <c r="F2446" s="74"/>
      <c r="G2446" s="76"/>
      <c r="H2446" s="77"/>
      <c r="I2446" s="76"/>
      <c r="J2446" s="77"/>
      <c r="K2446" s="77"/>
      <c r="L2446" s="76"/>
      <c r="M2446" s="76"/>
      <c r="N2446" s="76"/>
      <c r="O2446" s="76"/>
      <c r="P2446" s="76"/>
      <c r="Q2446" s="76"/>
      <c r="R2446" s="76"/>
      <c r="S2446" s="76"/>
      <c r="BD2446" s="99">
        <f t="shared" si="80"/>
        <v>0</v>
      </c>
      <c r="CC2446" s="99"/>
      <c r="CV2446" s="99"/>
      <c r="CW2446" s="63"/>
    </row>
    <row r="2447" spans="1:101" x14ac:dyDescent="0.15">
      <c r="A2447" s="76">
        <v>2310</v>
      </c>
      <c r="B2447" s="74" t="s">
        <v>3246</v>
      </c>
      <c r="C2447" s="74">
        <v>1000216160</v>
      </c>
      <c r="D2447" s="78" t="str">
        <f t="shared" si="79"/>
        <v>https://portal.dnb.de/opac.htm?method=simpleSearch&amp;cqlMode=true&amp;query=idn%3D1000216160</v>
      </c>
      <c r="E2447" s="74" t="s">
        <v>3245</v>
      </c>
      <c r="F2447" s="74"/>
      <c r="G2447" s="76"/>
      <c r="H2447" s="77"/>
      <c r="I2447" s="76"/>
      <c r="J2447" s="77"/>
      <c r="K2447" s="77"/>
      <c r="L2447" s="76"/>
      <c r="M2447" s="76"/>
      <c r="N2447" s="76"/>
      <c r="O2447" s="76"/>
      <c r="P2447" s="76"/>
      <c r="Q2447" s="76"/>
      <c r="R2447" s="76"/>
      <c r="S2447" s="76"/>
      <c r="BD2447" s="99">
        <f t="shared" si="80"/>
        <v>0</v>
      </c>
      <c r="CC2447" s="99"/>
      <c r="CV2447" s="99"/>
      <c r="CW2447" s="63"/>
    </row>
    <row r="2448" spans="1:101" x14ac:dyDescent="0.15">
      <c r="A2448" s="76">
        <v>2311</v>
      </c>
      <c r="B2448" s="74" t="s">
        <v>3247</v>
      </c>
      <c r="C2448" s="74">
        <v>996240969</v>
      </c>
      <c r="D2448" s="78" t="str">
        <f t="shared" si="79"/>
        <v>https://portal.dnb.de/opac.htm?method=simpleSearch&amp;cqlMode=true&amp;query=idn%3D996240969</v>
      </c>
      <c r="E2448" s="74" t="s">
        <v>3248</v>
      </c>
      <c r="F2448" s="74"/>
      <c r="G2448" s="76"/>
      <c r="H2448" s="77"/>
      <c r="I2448" s="76"/>
      <c r="J2448" s="77"/>
      <c r="K2448" s="77"/>
      <c r="L2448" s="76"/>
      <c r="M2448" s="76"/>
      <c r="N2448" s="76"/>
      <c r="O2448" s="76"/>
      <c r="P2448" s="76"/>
      <c r="Q2448" s="76"/>
      <c r="R2448" s="76"/>
      <c r="S2448" s="76"/>
      <c r="BD2448" s="99">
        <f t="shared" si="80"/>
        <v>0</v>
      </c>
      <c r="CC2448" s="99"/>
      <c r="CV2448" s="99"/>
      <c r="CW2448" s="63"/>
    </row>
    <row r="2449" spans="1:101" x14ac:dyDescent="0.15">
      <c r="A2449" s="76">
        <v>2312</v>
      </c>
      <c r="B2449" s="74" t="s">
        <v>3251</v>
      </c>
      <c r="C2449" s="74" t="s">
        <v>3252</v>
      </c>
      <c r="D2449" s="78" t="str">
        <f t="shared" si="79"/>
        <v>https://portal.dnb.de/opac.htm?method=simpleSearch&amp;cqlMode=true&amp;query=idn%3D100360627X</v>
      </c>
      <c r="E2449" s="74" t="s">
        <v>3253</v>
      </c>
      <c r="F2449" s="74"/>
      <c r="G2449" s="76"/>
      <c r="H2449" s="77"/>
      <c r="I2449" s="76"/>
      <c r="J2449" s="77"/>
      <c r="K2449" s="77"/>
      <c r="L2449" s="76"/>
      <c r="M2449" s="76"/>
      <c r="N2449" s="76"/>
      <c r="O2449" s="76"/>
      <c r="P2449" s="76"/>
      <c r="Q2449" s="76"/>
      <c r="R2449" s="76"/>
      <c r="S2449" s="76"/>
      <c r="BD2449" s="99">
        <f t="shared" si="80"/>
        <v>0</v>
      </c>
      <c r="CC2449" s="99"/>
      <c r="CV2449" s="99"/>
      <c r="CW2449" s="63"/>
    </row>
    <row r="2450" spans="1:101" x14ac:dyDescent="0.15">
      <c r="A2450" s="76">
        <v>2313</v>
      </c>
      <c r="B2450" s="74" t="s">
        <v>3266</v>
      </c>
      <c r="C2450" s="74">
        <v>18238858</v>
      </c>
      <c r="D2450" s="78" t="str">
        <f t="shared" si="79"/>
        <v>https://portal.dnb.de/opac.htm?method=simpleSearch&amp;cqlMode=true&amp;query=idn%3D18238858</v>
      </c>
      <c r="E2450" s="74" t="s">
        <v>3267</v>
      </c>
      <c r="F2450" s="74"/>
      <c r="G2450" s="76"/>
      <c r="H2450" s="77"/>
      <c r="I2450" s="76"/>
      <c r="J2450" s="77"/>
      <c r="K2450" s="77"/>
      <c r="L2450" s="76"/>
      <c r="M2450" s="76"/>
      <c r="N2450" s="76"/>
      <c r="O2450" s="76"/>
      <c r="P2450" s="76"/>
      <c r="Q2450" s="76"/>
      <c r="R2450" s="76"/>
      <c r="S2450" s="76"/>
      <c r="BD2450" s="99">
        <f t="shared" si="80"/>
        <v>0</v>
      </c>
      <c r="CC2450" s="99"/>
      <c r="CV2450" s="99"/>
      <c r="CW2450" s="63"/>
    </row>
    <row r="2451" spans="1:101" x14ac:dyDescent="0.15">
      <c r="A2451" s="76">
        <v>2314</v>
      </c>
      <c r="B2451" s="74" t="s">
        <v>3276</v>
      </c>
      <c r="C2451" s="74">
        <v>998491888</v>
      </c>
      <c r="D2451" s="78" t="str">
        <f t="shared" si="79"/>
        <v>https://portal.dnb.de/opac.htm?method=simpleSearch&amp;cqlMode=true&amp;query=idn%3D998491888</v>
      </c>
      <c r="E2451" s="74" t="s">
        <v>3277</v>
      </c>
      <c r="F2451" s="74"/>
      <c r="G2451" s="76"/>
      <c r="H2451" s="77"/>
      <c r="I2451" s="76"/>
      <c r="J2451" s="77"/>
      <c r="K2451" s="77"/>
      <c r="L2451" s="76"/>
      <c r="M2451" s="76"/>
      <c r="N2451" s="76"/>
      <c r="O2451" s="76"/>
      <c r="P2451" s="76"/>
      <c r="Q2451" s="76"/>
      <c r="R2451" s="76"/>
      <c r="S2451" s="76"/>
      <c r="BD2451" s="99">
        <f t="shared" si="80"/>
        <v>0</v>
      </c>
      <c r="CC2451" s="99"/>
      <c r="CV2451" s="99"/>
      <c r="CW2451" s="63"/>
    </row>
    <row r="2452" spans="1:101" x14ac:dyDescent="0.15">
      <c r="A2452" s="76">
        <v>2315</v>
      </c>
      <c r="B2452" s="74" t="s">
        <v>3278</v>
      </c>
      <c r="C2452" s="74">
        <v>997646950</v>
      </c>
      <c r="D2452" s="78" t="str">
        <f t="shared" si="79"/>
        <v>https://portal.dnb.de/opac.htm?method=simpleSearch&amp;cqlMode=true&amp;query=idn%3D997646950</v>
      </c>
      <c r="E2452" s="74" t="s">
        <v>3279</v>
      </c>
      <c r="F2452" s="74"/>
      <c r="G2452" s="76"/>
      <c r="H2452" s="77"/>
      <c r="I2452" s="76"/>
      <c r="J2452" s="77"/>
      <c r="K2452" s="77"/>
      <c r="L2452" s="76"/>
      <c r="M2452" s="76"/>
      <c r="N2452" s="76"/>
      <c r="O2452" s="76"/>
      <c r="P2452" s="76"/>
      <c r="Q2452" s="76"/>
      <c r="R2452" s="76"/>
      <c r="S2452" s="76"/>
      <c r="BD2452" s="99">
        <f t="shared" si="80"/>
        <v>0</v>
      </c>
      <c r="CC2452" s="99"/>
      <c r="CV2452" s="99"/>
      <c r="CW2452" s="63"/>
    </row>
    <row r="2453" spans="1:101" x14ac:dyDescent="0.15">
      <c r="A2453" s="76">
        <v>2316</v>
      </c>
      <c r="B2453" s="74" t="s">
        <v>3280</v>
      </c>
      <c r="C2453" s="74">
        <v>994879849</v>
      </c>
      <c r="D2453" s="78" t="str">
        <f t="shared" si="79"/>
        <v>https://portal.dnb.de/opac.htm?method=simpleSearch&amp;cqlMode=true&amp;query=idn%3D994879849</v>
      </c>
      <c r="E2453" s="74" t="s">
        <v>3281</v>
      </c>
      <c r="F2453" s="74"/>
      <c r="G2453" s="76"/>
      <c r="H2453" s="77"/>
      <c r="I2453" s="76"/>
      <c r="J2453" s="77"/>
      <c r="K2453" s="77"/>
      <c r="L2453" s="76"/>
      <c r="M2453" s="76"/>
      <c r="N2453" s="76"/>
      <c r="O2453" s="76"/>
      <c r="P2453" s="76"/>
      <c r="Q2453" s="76"/>
      <c r="R2453" s="76"/>
      <c r="S2453" s="76"/>
      <c r="BD2453" s="99">
        <f t="shared" si="80"/>
        <v>0</v>
      </c>
      <c r="CC2453" s="99"/>
      <c r="CV2453" s="99"/>
      <c r="CW2453" s="63"/>
    </row>
    <row r="2454" spans="1:101" x14ac:dyDescent="0.15">
      <c r="A2454" s="76">
        <v>2317</v>
      </c>
      <c r="B2454" s="74" t="s">
        <v>3284</v>
      </c>
      <c r="C2454" s="74">
        <v>997316667</v>
      </c>
      <c r="D2454" s="78" t="str">
        <f t="shared" si="79"/>
        <v>https://portal.dnb.de/opac.htm?method=simpleSearch&amp;cqlMode=true&amp;query=idn%3D997316667</v>
      </c>
      <c r="E2454" s="74" t="s">
        <v>3285</v>
      </c>
      <c r="F2454" s="74"/>
      <c r="G2454" s="76"/>
      <c r="H2454" s="77"/>
      <c r="I2454" s="76"/>
      <c r="J2454" s="77"/>
      <c r="K2454" s="77"/>
      <c r="L2454" s="76"/>
      <c r="M2454" s="76"/>
      <c r="N2454" s="76"/>
      <c r="O2454" s="76"/>
      <c r="P2454" s="76"/>
      <c r="Q2454" s="76"/>
      <c r="R2454" s="76"/>
      <c r="S2454" s="76"/>
      <c r="BD2454" s="99">
        <f t="shared" si="80"/>
        <v>0</v>
      </c>
      <c r="CC2454" s="99"/>
      <c r="CV2454" s="99"/>
      <c r="CW2454" s="63"/>
    </row>
    <row r="2455" spans="1:101" x14ac:dyDescent="0.15">
      <c r="A2455" s="76">
        <v>2318</v>
      </c>
      <c r="B2455" s="74" t="s">
        <v>3286</v>
      </c>
      <c r="C2455" s="74">
        <v>997316934</v>
      </c>
      <c r="D2455" s="78" t="str">
        <f t="shared" si="79"/>
        <v>https://portal.dnb.de/opac.htm?method=simpleSearch&amp;cqlMode=true&amp;query=idn%3D997316934</v>
      </c>
      <c r="E2455" s="74" t="s">
        <v>3285</v>
      </c>
      <c r="F2455" s="74"/>
      <c r="G2455" s="76"/>
      <c r="H2455" s="77"/>
      <c r="I2455" s="76"/>
      <c r="J2455" s="77"/>
      <c r="K2455" s="77"/>
      <c r="L2455" s="76"/>
      <c r="M2455" s="76"/>
      <c r="N2455" s="76"/>
      <c r="O2455" s="76"/>
      <c r="P2455" s="76"/>
      <c r="Q2455" s="76"/>
      <c r="R2455" s="76"/>
      <c r="S2455" s="76"/>
      <c r="BD2455" s="99">
        <f t="shared" si="80"/>
        <v>0</v>
      </c>
      <c r="CC2455" s="99"/>
      <c r="CV2455" s="99"/>
      <c r="CW2455" s="63"/>
    </row>
    <row r="2456" spans="1:101" x14ac:dyDescent="0.15">
      <c r="A2456" s="76">
        <v>2319</v>
      </c>
      <c r="B2456" s="74" t="s">
        <v>3287</v>
      </c>
      <c r="C2456" s="74">
        <v>997317221</v>
      </c>
      <c r="D2456" s="78" t="str">
        <f t="shared" si="79"/>
        <v>https://portal.dnb.de/opac.htm?method=simpleSearch&amp;cqlMode=true&amp;query=idn%3D997317221</v>
      </c>
      <c r="E2456" s="74" t="s">
        <v>3285</v>
      </c>
      <c r="F2456" s="74"/>
      <c r="G2456" s="76"/>
      <c r="H2456" s="77"/>
      <c r="I2456" s="76"/>
      <c r="J2456" s="77"/>
      <c r="K2456" s="77"/>
      <c r="L2456" s="76"/>
      <c r="M2456" s="76"/>
      <c r="N2456" s="76"/>
      <c r="O2456" s="76"/>
      <c r="P2456" s="76"/>
      <c r="Q2456" s="76"/>
      <c r="R2456" s="76"/>
      <c r="S2456" s="76"/>
      <c r="BD2456" s="99">
        <f t="shared" si="80"/>
        <v>0</v>
      </c>
      <c r="CC2456" s="99"/>
      <c r="CV2456" s="99"/>
      <c r="CW2456" s="63"/>
    </row>
    <row r="2457" spans="1:101" x14ac:dyDescent="0.15">
      <c r="A2457" s="76">
        <v>2320</v>
      </c>
      <c r="B2457" s="74" t="s">
        <v>3290</v>
      </c>
      <c r="C2457" s="74" t="s">
        <v>3291</v>
      </c>
      <c r="D2457" s="78" t="str">
        <f t="shared" si="79"/>
        <v>https://portal.dnb.de/opac.htm?method=simpleSearch&amp;cqlMode=true&amp;query=idn%3D99842157X</v>
      </c>
      <c r="E2457" s="74" t="s">
        <v>3292</v>
      </c>
      <c r="F2457" s="74"/>
      <c r="G2457" s="76"/>
      <c r="H2457" s="77"/>
      <c r="I2457" s="76"/>
      <c r="J2457" s="77"/>
      <c r="K2457" s="77"/>
      <c r="L2457" s="76"/>
      <c r="M2457" s="76"/>
      <c r="N2457" s="76"/>
      <c r="O2457" s="76"/>
      <c r="P2457" s="76"/>
      <c r="Q2457" s="76"/>
      <c r="R2457" s="76"/>
      <c r="S2457" s="76"/>
      <c r="BD2457" s="99">
        <f t="shared" si="80"/>
        <v>0</v>
      </c>
      <c r="CC2457" s="99"/>
      <c r="CV2457" s="99"/>
      <c r="CW2457" s="63"/>
    </row>
    <row r="2458" spans="1:101" x14ac:dyDescent="0.15">
      <c r="A2458" s="76">
        <v>2321</v>
      </c>
      <c r="B2458" s="74" t="s">
        <v>3293</v>
      </c>
      <c r="C2458" s="74">
        <v>361810431</v>
      </c>
      <c r="D2458" s="78" t="str">
        <f t="shared" si="79"/>
        <v>https://portal.dnb.de/opac.htm?method=simpleSearch&amp;cqlMode=true&amp;query=idn%3D361810431</v>
      </c>
      <c r="E2458" s="74" t="s">
        <v>3294</v>
      </c>
      <c r="F2458" s="74"/>
      <c r="G2458" s="76"/>
      <c r="H2458" s="77"/>
      <c r="I2458" s="76"/>
      <c r="J2458" s="77"/>
      <c r="K2458" s="77"/>
      <c r="L2458" s="76"/>
      <c r="M2458" s="76"/>
      <c r="N2458" s="76"/>
      <c r="O2458" s="76"/>
      <c r="P2458" s="76"/>
      <c r="Q2458" s="76"/>
      <c r="R2458" s="76"/>
      <c r="S2458" s="76"/>
      <c r="BD2458" s="99">
        <f t="shared" si="80"/>
        <v>0</v>
      </c>
      <c r="CC2458" s="99"/>
      <c r="CV2458" s="99"/>
      <c r="CW2458" s="63"/>
    </row>
    <row r="2459" spans="1:101" x14ac:dyDescent="0.15">
      <c r="A2459" s="76">
        <v>2322</v>
      </c>
      <c r="B2459" s="74" t="s">
        <v>3299</v>
      </c>
      <c r="C2459" s="74">
        <v>999550411</v>
      </c>
      <c r="D2459" s="78" t="str">
        <f t="shared" si="79"/>
        <v>https://portal.dnb.de/opac.htm?method=simpleSearch&amp;cqlMode=true&amp;query=idn%3D999550411</v>
      </c>
      <c r="E2459" s="74" t="s">
        <v>3300</v>
      </c>
      <c r="F2459" s="74"/>
      <c r="G2459" s="76"/>
      <c r="H2459" s="77"/>
      <c r="I2459" s="76"/>
      <c r="J2459" s="77"/>
      <c r="K2459" s="77"/>
      <c r="L2459" s="76"/>
      <c r="M2459" s="76"/>
      <c r="N2459" s="76"/>
      <c r="O2459" s="76"/>
      <c r="P2459" s="76"/>
      <c r="Q2459" s="76"/>
      <c r="R2459" s="76"/>
      <c r="S2459" s="76"/>
      <c r="BD2459" s="99">
        <f t="shared" si="80"/>
        <v>0</v>
      </c>
      <c r="CC2459" s="99"/>
      <c r="CV2459" s="99"/>
      <c r="CW2459" s="63"/>
    </row>
    <row r="2460" spans="1:101" x14ac:dyDescent="0.15">
      <c r="A2460" s="76">
        <v>2323</v>
      </c>
      <c r="B2460" s="74" t="s">
        <v>3301</v>
      </c>
      <c r="C2460" s="74">
        <v>1000215903</v>
      </c>
      <c r="D2460" s="78" t="str">
        <f t="shared" si="79"/>
        <v>https://portal.dnb.de/opac.htm?method=simpleSearch&amp;cqlMode=true&amp;query=idn%3D1000215903</v>
      </c>
      <c r="E2460" s="74" t="s">
        <v>3302</v>
      </c>
      <c r="F2460" s="74"/>
      <c r="G2460" s="76"/>
      <c r="H2460" s="77"/>
      <c r="I2460" s="76"/>
      <c r="J2460" s="77"/>
      <c r="K2460" s="77"/>
      <c r="L2460" s="76"/>
      <c r="M2460" s="76"/>
      <c r="N2460" s="76"/>
      <c r="O2460" s="76"/>
      <c r="P2460" s="76"/>
      <c r="Q2460" s="76"/>
      <c r="R2460" s="76"/>
      <c r="S2460" s="76"/>
      <c r="BD2460" s="99">
        <f t="shared" si="80"/>
        <v>0</v>
      </c>
      <c r="CC2460" s="99"/>
      <c r="CV2460" s="99"/>
      <c r="CW2460" s="63"/>
    </row>
    <row r="2461" spans="1:101" x14ac:dyDescent="0.15">
      <c r="A2461" s="76">
        <v>2324</v>
      </c>
      <c r="B2461" s="74" t="s">
        <v>3310</v>
      </c>
      <c r="C2461" s="74">
        <v>1001268598</v>
      </c>
      <c r="D2461" s="78" t="str">
        <f t="shared" si="79"/>
        <v>https://portal.dnb.de/opac.htm?method=simpleSearch&amp;cqlMode=true&amp;query=idn%3D1001268598</v>
      </c>
      <c r="E2461" s="74" t="s">
        <v>3311</v>
      </c>
      <c r="F2461" s="74"/>
      <c r="G2461" s="76"/>
      <c r="H2461" s="77"/>
      <c r="I2461" s="76"/>
      <c r="J2461" s="77"/>
      <c r="K2461" s="77"/>
      <c r="L2461" s="76"/>
      <c r="M2461" s="76"/>
      <c r="N2461" s="76"/>
      <c r="O2461" s="76"/>
      <c r="P2461" s="76"/>
      <c r="Q2461" s="76"/>
      <c r="R2461" s="76"/>
      <c r="S2461" s="76"/>
      <c r="BD2461" s="99">
        <f t="shared" si="80"/>
        <v>0</v>
      </c>
      <c r="CC2461" s="99"/>
      <c r="CV2461" s="99"/>
      <c r="CW2461" s="63"/>
    </row>
    <row r="2462" spans="1:101" x14ac:dyDescent="0.15">
      <c r="A2462" s="76">
        <v>2325</v>
      </c>
      <c r="B2462" s="74" t="s">
        <v>3312</v>
      </c>
      <c r="C2462" s="74">
        <v>997243937</v>
      </c>
      <c r="D2462" s="78" t="str">
        <f t="shared" si="79"/>
        <v>https://portal.dnb.de/opac.htm?method=simpleSearch&amp;cqlMode=true&amp;query=idn%3D997243937</v>
      </c>
      <c r="E2462" s="74" t="s">
        <v>3311</v>
      </c>
      <c r="F2462" s="74"/>
      <c r="G2462" s="76"/>
      <c r="H2462" s="77"/>
      <c r="I2462" s="76"/>
      <c r="J2462" s="77"/>
      <c r="K2462" s="77"/>
      <c r="L2462" s="76"/>
      <c r="M2462" s="76"/>
      <c r="N2462" s="76"/>
      <c r="O2462" s="76"/>
      <c r="P2462" s="76"/>
      <c r="Q2462" s="76"/>
      <c r="R2462" s="76"/>
      <c r="S2462" s="76"/>
      <c r="BD2462" s="99">
        <f t="shared" si="80"/>
        <v>0</v>
      </c>
      <c r="CC2462" s="99"/>
      <c r="CV2462" s="99"/>
      <c r="CW2462" s="63"/>
    </row>
    <row r="2463" spans="1:101" x14ac:dyDescent="0.15">
      <c r="A2463" s="76">
        <v>2326</v>
      </c>
      <c r="B2463" s="74" t="s">
        <v>3315</v>
      </c>
      <c r="C2463" s="74">
        <v>995725667</v>
      </c>
      <c r="D2463" s="78" t="str">
        <f t="shared" si="79"/>
        <v>https://portal.dnb.de/opac.htm?method=simpleSearch&amp;cqlMode=true&amp;query=idn%3D995725667</v>
      </c>
      <c r="E2463" s="74" t="s">
        <v>3316</v>
      </c>
      <c r="F2463" s="74"/>
      <c r="G2463" s="76"/>
      <c r="H2463" s="77"/>
      <c r="I2463" s="76"/>
      <c r="J2463" s="77"/>
      <c r="K2463" s="77"/>
      <c r="L2463" s="76"/>
      <c r="M2463" s="76"/>
      <c r="N2463" s="76"/>
      <c r="O2463" s="76"/>
      <c r="P2463" s="76"/>
      <c r="Q2463" s="76"/>
      <c r="R2463" s="76"/>
      <c r="S2463" s="76"/>
      <c r="BD2463" s="99">
        <f t="shared" si="80"/>
        <v>0</v>
      </c>
      <c r="CC2463" s="99"/>
      <c r="CV2463" s="99"/>
      <c r="CW2463" s="63"/>
    </row>
    <row r="2464" spans="1:101" x14ac:dyDescent="0.15">
      <c r="A2464" s="76">
        <v>2327</v>
      </c>
      <c r="B2464" s="74" t="s">
        <v>3317</v>
      </c>
      <c r="C2464" s="74">
        <v>1003036562</v>
      </c>
      <c r="D2464" s="78" t="str">
        <f t="shared" si="79"/>
        <v>https://portal.dnb.de/opac.htm?method=simpleSearch&amp;cqlMode=true&amp;query=idn%3D1003036562</v>
      </c>
      <c r="E2464" s="74" t="s">
        <v>3318</v>
      </c>
      <c r="F2464" s="74"/>
      <c r="G2464" s="76"/>
      <c r="H2464" s="77"/>
      <c r="I2464" s="76"/>
      <c r="J2464" s="77"/>
      <c r="K2464" s="77"/>
      <c r="L2464" s="76"/>
      <c r="M2464" s="76"/>
      <c r="N2464" s="76"/>
      <c r="O2464" s="76"/>
      <c r="P2464" s="76"/>
      <c r="Q2464" s="76"/>
      <c r="R2464" s="76"/>
      <c r="S2464" s="76"/>
      <c r="BD2464" s="99">
        <f t="shared" si="80"/>
        <v>0</v>
      </c>
      <c r="CC2464" s="99"/>
      <c r="CV2464" s="99"/>
      <c r="CW2464" s="63"/>
    </row>
    <row r="2465" spans="1:101" x14ac:dyDescent="0.15">
      <c r="A2465" s="76">
        <v>2328</v>
      </c>
      <c r="B2465" s="74" t="s">
        <v>3319</v>
      </c>
      <c r="C2465" s="74">
        <v>994661010</v>
      </c>
      <c r="D2465" s="78" t="str">
        <f t="shared" si="79"/>
        <v>https://portal.dnb.de/opac.htm?method=simpleSearch&amp;cqlMode=true&amp;query=idn%3D994661010</v>
      </c>
      <c r="E2465" s="74" t="s">
        <v>3318</v>
      </c>
      <c r="F2465" s="74"/>
      <c r="G2465" s="76"/>
      <c r="H2465" s="77"/>
      <c r="I2465" s="76"/>
      <c r="J2465" s="77"/>
      <c r="K2465" s="77"/>
      <c r="L2465" s="76"/>
      <c r="M2465" s="76"/>
      <c r="N2465" s="76"/>
      <c r="O2465" s="76"/>
      <c r="P2465" s="76"/>
      <c r="Q2465" s="76"/>
      <c r="R2465" s="76"/>
      <c r="S2465" s="76"/>
      <c r="BD2465" s="99">
        <f t="shared" si="80"/>
        <v>0</v>
      </c>
      <c r="CC2465" s="99"/>
      <c r="CV2465" s="99"/>
      <c r="CW2465" s="63"/>
    </row>
    <row r="2466" spans="1:101" x14ac:dyDescent="0.15">
      <c r="A2466" s="76">
        <v>2329</v>
      </c>
      <c r="B2466" s="74" t="s">
        <v>3320</v>
      </c>
      <c r="C2466" s="74">
        <v>994661134</v>
      </c>
      <c r="D2466" s="78" t="str">
        <f t="shared" si="79"/>
        <v>https://portal.dnb.de/opac.htm?method=simpleSearch&amp;cqlMode=true&amp;query=idn%3D994661134</v>
      </c>
      <c r="E2466" s="74" t="s">
        <v>3318</v>
      </c>
      <c r="F2466" s="74"/>
      <c r="G2466" s="76"/>
      <c r="H2466" s="77"/>
      <c r="I2466" s="76"/>
      <c r="J2466" s="77"/>
      <c r="K2466" s="77"/>
      <c r="L2466" s="76"/>
      <c r="M2466" s="76"/>
      <c r="N2466" s="76"/>
      <c r="O2466" s="76"/>
      <c r="P2466" s="76"/>
      <c r="Q2466" s="76"/>
      <c r="R2466" s="76"/>
      <c r="S2466" s="76"/>
      <c r="BD2466" s="99">
        <f t="shared" si="80"/>
        <v>0</v>
      </c>
      <c r="CC2466" s="99"/>
      <c r="CV2466" s="99"/>
      <c r="CW2466" s="63"/>
    </row>
    <row r="2467" spans="1:101" x14ac:dyDescent="0.15">
      <c r="A2467" s="76">
        <v>2330</v>
      </c>
      <c r="B2467" s="74" t="s">
        <v>3321</v>
      </c>
      <c r="C2467" s="74">
        <v>994045727</v>
      </c>
      <c r="D2467" s="78" t="str">
        <f t="shared" si="79"/>
        <v>https://portal.dnb.de/opac.htm?method=simpleSearch&amp;cqlMode=true&amp;query=idn%3D994045727</v>
      </c>
      <c r="E2467" s="74" t="s">
        <v>3322</v>
      </c>
      <c r="F2467" s="74"/>
      <c r="G2467" s="76"/>
      <c r="H2467" s="77"/>
      <c r="I2467" s="76"/>
      <c r="J2467" s="77"/>
      <c r="K2467" s="77"/>
      <c r="L2467" s="76"/>
      <c r="M2467" s="76"/>
      <c r="N2467" s="76"/>
      <c r="O2467" s="76"/>
      <c r="P2467" s="76"/>
      <c r="Q2467" s="76"/>
      <c r="R2467" s="76"/>
      <c r="S2467" s="76"/>
      <c r="BD2467" s="99">
        <f t="shared" si="80"/>
        <v>0</v>
      </c>
      <c r="CC2467" s="99"/>
      <c r="CV2467" s="99"/>
      <c r="CW2467" s="63"/>
    </row>
    <row r="2468" spans="1:101" x14ac:dyDescent="0.15">
      <c r="A2468" s="76">
        <v>2331</v>
      </c>
      <c r="B2468" s="74" t="s">
        <v>3323</v>
      </c>
      <c r="C2468" s="74">
        <v>997404558</v>
      </c>
      <c r="D2468" s="78" t="str">
        <f t="shared" ref="D2468:D2531" si="81">HYPERLINK(CONCATENATE("https://portal.dnb.de/opac.htm?method=simpleSearch&amp;cqlMode=true&amp;query=idn%3D",C2468))</f>
        <v>https://portal.dnb.de/opac.htm?method=simpleSearch&amp;cqlMode=true&amp;query=idn%3D997404558</v>
      </c>
      <c r="E2468" s="74" t="s">
        <v>3324</v>
      </c>
      <c r="F2468" s="74"/>
      <c r="G2468" s="76"/>
      <c r="H2468" s="77"/>
      <c r="I2468" s="76"/>
      <c r="J2468" s="77"/>
      <c r="K2468" s="77"/>
      <c r="L2468" s="76"/>
      <c r="M2468" s="76"/>
      <c r="N2468" s="76"/>
      <c r="O2468" s="76"/>
      <c r="P2468" s="76"/>
      <c r="Q2468" s="76"/>
      <c r="R2468" s="76"/>
      <c r="S2468" s="76"/>
      <c r="BD2468" s="99">
        <f t="shared" si="80"/>
        <v>0</v>
      </c>
      <c r="CC2468" s="99"/>
      <c r="CV2468" s="99"/>
      <c r="CW2468" s="63"/>
    </row>
    <row r="2469" spans="1:101" x14ac:dyDescent="0.15">
      <c r="A2469" s="76">
        <v>2332</v>
      </c>
      <c r="B2469" s="74" t="s">
        <v>3325</v>
      </c>
      <c r="C2469" s="74">
        <v>11278404</v>
      </c>
      <c r="D2469" s="78" t="str">
        <f t="shared" si="81"/>
        <v>https://portal.dnb.de/opac.htm?method=simpleSearch&amp;cqlMode=true&amp;query=idn%3D11278404</v>
      </c>
      <c r="E2469" s="74" t="s">
        <v>3326</v>
      </c>
      <c r="F2469" s="74"/>
      <c r="G2469" s="76"/>
      <c r="H2469" s="77"/>
      <c r="I2469" s="76"/>
      <c r="J2469" s="77"/>
      <c r="K2469" s="77"/>
      <c r="L2469" s="76"/>
      <c r="M2469" s="76"/>
      <c r="N2469" s="76"/>
      <c r="O2469" s="76"/>
      <c r="P2469" s="76"/>
      <c r="Q2469" s="76"/>
      <c r="R2469" s="76"/>
      <c r="S2469" s="76"/>
      <c r="BD2469" s="99">
        <f t="shared" si="80"/>
        <v>0</v>
      </c>
      <c r="CC2469" s="99"/>
      <c r="CV2469" s="99"/>
      <c r="CW2469" s="63"/>
    </row>
    <row r="2470" spans="1:101" x14ac:dyDescent="0.15">
      <c r="A2470" s="76">
        <v>2333</v>
      </c>
      <c r="B2470" s="74" t="s">
        <v>3327</v>
      </c>
      <c r="C2470" s="74">
        <v>12997978</v>
      </c>
      <c r="D2470" s="78" t="str">
        <f t="shared" si="81"/>
        <v>https://portal.dnb.de/opac.htm?method=simpleSearch&amp;cqlMode=true&amp;query=idn%3D12997978</v>
      </c>
      <c r="E2470" s="74" t="s">
        <v>3328</v>
      </c>
      <c r="F2470" s="74"/>
      <c r="G2470" s="76"/>
      <c r="H2470" s="77"/>
      <c r="I2470" s="76"/>
      <c r="J2470" s="77"/>
      <c r="K2470" s="77"/>
      <c r="L2470" s="76"/>
      <c r="M2470" s="76"/>
      <c r="N2470" s="76"/>
      <c r="O2470" s="76"/>
      <c r="P2470" s="76"/>
      <c r="Q2470" s="76"/>
      <c r="R2470" s="76"/>
      <c r="S2470" s="76"/>
      <c r="BD2470" s="99">
        <f t="shared" si="80"/>
        <v>0</v>
      </c>
      <c r="CC2470" s="99"/>
      <c r="CV2470" s="99"/>
      <c r="CW2470" s="63"/>
    </row>
    <row r="2471" spans="1:101" x14ac:dyDescent="0.15">
      <c r="A2471" s="76">
        <v>2334</v>
      </c>
      <c r="B2471" s="74" t="s">
        <v>3329</v>
      </c>
      <c r="C2471" s="74" t="s">
        <v>3330</v>
      </c>
      <c r="D2471" s="78" t="str">
        <f t="shared" si="81"/>
        <v>https://portal.dnb.de/opac.htm?method=simpleSearch&amp;cqlMode=true&amp;query=idn%3D100017171X</v>
      </c>
      <c r="E2471" s="74" t="s">
        <v>3331</v>
      </c>
      <c r="F2471" s="74"/>
      <c r="G2471" s="76" t="s">
        <v>8515</v>
      </c>
      <c r="H2471" s="77" t="s">
        <v>5</v>
      </c>
      <c r="I2471" s="76" t="s">
        <v>53</v>
      </c>
      <c r="J2471" s="77" t="s">
        <v>8516</v>
      </c>
      <c r="K2471" s="77" t="s">
        <v>8520</v>
      </c>
      <c r="L2471" s="76"/>
      <c r="M2471" s="76"/>
      <c r="N2471" s="76"/>
      <c r="O2471" s="76">
        <v>0</v>
      </c>
      <c r="P2471" s="76"/>
      <c r="Q2471" s="76"/>
      <c r="R2471" s="76"/>
      <c r="S2471" s="76"/>
      <c r="BD2471" s="99">
        <f t="shared" si="80"/>
        <v>0</v>
      </c>
      <c r="CC2471" s="99"/>
      <c r="CV2471" s="99"/>
      <c r="CW2471" s="63"/>
    </row>
    <row r="2472" spans="1:101" x14ac:dyDescent="0.15">
      <c r="A2472" s="76">
        <v>2335</v>
      </c>
      <c r="B2472" s="74" t="s">
        <v>3344</v>
      </c>
      <c r="C2472" s="74">
        <v>997564520</v>
      </c>
      <c r="D2472" s="78" t="str">
        <f t="shared" si="81"/>
        <v>https://portal.dnb.de/opac.htm?method=simpleSearch&amp;cqlMode=true&amp;query=idn%3D997564520</v>
      </c>
      <c r="E2472" s="74" t="s">
        <v>3345</v>
      </c>
      <c r="F2472" s="74"/>
      <c r="G2472" s="76"/>
      <c r="H2472" s="77"/>
      <c r="I2472" s="76"/>
      <c r="J2472" s="77"/>
      <c r="K2472" s="77"/>
      <c r="L2472" s="76"/>
      <c r="M2472" s="76"/>
      <c r="N2472" s="76"/>
      <c r="O2472" s="76"/>
      <c r="P2472" s="76"/>
      <c r="Q2472" s="76"/>
      <c r="R2472" s="76"/>
      <c r="S2472" s="76"/>
      <c r="BD2472" s="99">
        <f t="shared" si="80"/>
        <v>0</v>
      </c>
      <c r="CC2472" s="99"/>
      <c r="CV2472" s="99"/>
      <c r="CW2472" s="63"/>
    </row>
    <row r="2473" spans="1:101" x14ac:dyDescent="0.15">
      <c r="A2473" s="76">
        <v>2336</v>
      </c>
      <c r="B2473" s="74" t="s">
        <v>3407</v>
      </c>
      <c r="C2473" s="74">
        <v>994544839</v>
      </c>
      <c r="D2473" s="78" t="str">
        <f t="shared" si="81"/>
        <v>https://portal.dnb.de/opac.htm?method=simpleSearch&amp;cqlMode=true&amp;query=idn%3D994544839</v>
      </c>
      <c r="E2473" s="74" t="s">
        <v>3408</v>
      </c>
      <c r="F2473" s="74"/>
      <c r="G2473" s="76"/>
      <c r="H2473" s="77"/>
      <c r="I2473" s="76"/>
      <c r="J2473" s="77"/>
      <c r="K2473" s="77"/>
      <c r="L2473" s="76"/>
      <c r="M2473" s="76"/>
      <c r="N2473" s="76"/>
      <c r="O2473" s="76"/>
      <c r="P2473" s="76"/>
      <c r="Q2473" s="76"/>
      <c r="R2473" s="76"/>
      <c r="S2473" s="76"/>
      <c r="BD2473" s="99">
        <f t="shared" si="80"/>
        <v>0</v>
      </c>
      <c r="CC2473" s="99"/>
      <c r="CV2473" s="99"/>
      <c r="CW2473" s="63"/>
    </row>
    <row r="2474" spans="1:101" x14ac:dyDescent="0.15">
      <c r="A2474" s="76">
        <v>2337</v>
      </c>
      <c r="B2474" s="74" t="s">
        <v>3409</v>
      </c>
      <c r="C2474" s="74">
        <v>1001403045</v>
      </c>
      <c r="D2474" s="78" t="str">
        <f t="shared" si="81"/>
        <v>https://portal.dnb.de/opac.htm?method=simpleSearch&amp;cqlMode=true&amp;query=idn%3D1001403045</v>
      </c>
      <c r="E2474" s="74" t="s">
        <v>3408</v>
      </c>
      <c r="F2474" s="74"/>
      <c r="G2474" s="76"/>
      <c r="H2474" s="77"/>
      <c r="I2474" s="76"/>
      <c r="J2474" s="77"/>
      <c r="K2474" s="77"/>
      <c r="L2474" s="76"/>
      <c r="M2474" s="76"/>
      <c r="N2474" s="76"/>
      <c r="O2474" s="76"/>
      <c r="P2474" s="76"/>
      <c r="Q2474" s="76"/>
      <c r="R2474" s="76"/>
      <c r="S2474" s="76"/>
      <c r="BD2474" s="99">
        <f t="shared" si="80"/>
        <v>0</v>
      </c>
      <c r="CC2474" s="99"/>
      <c r="CV2474" s="99"/>
      <c r="CW2474" s="63"/>
    </row>
    <row r="2475" spans="1:101" x14ac:dyDescent="0.15">
      <c r="A2475" s="76">
        <v>2338</v>
      </c>
      <c r="B2475" s="74" t="s">
        <v>3416</v>
      </c>
      <c r="C2475" s="74">
        <v>994506937</v>
      </c>
      <c r="D2475" s="78" t="str">
        <f t="shared" si="81"/>
        <v>https://portal.dnb.de/opac.htm?method=simpleSearch&amp;cqlMode=true&amp;query=idn%3D994506937</v>
      </c>
      <c r="E2475" s="74" t="s">
        <v>3417</v>
      </c>
      <c r="F2475" s="74"/>
      <c r="G2475" s="76"/>
      <c r="H2475" s="77"/>
      <c r="I2475" s="76"/>
      <c r="J2475" s="77"/>
      <c r="K2475" s="77"/>
      <c r="L2475" s="76"/>
      <c r="M2475" s="76"/>
      <c r="N2475" s="76"/>
      <c r="O2475" s="76"/>
      <c r="P2475" s="76"/>
      <c r="Q2475" s="76"/>
      <c r="R2475" s="76"/>
      <c r="S2475" s="76"/>
      <c r="BD2475" s="99">
        <f t="shared" si="80"/>
        <v>0</v>
      </c>
      <c r="CC2475" s="99"/>
      <c r="CV2475" s="99"/>
      <c r="CW2475" s="63"/>
    </row>
    <row r="2476" spans="1:101" x14ac:dyDescent="0.15">
      <c r="A2476" s="76">
        <v>2339</v>
      </c>
      <c r="B2476" s="74" t="s">
        <v>3418</v>
      </c>
      <c r="C2476" s="74">
        <v>994506996</v>
      </c>
      <c r="D2476" s="78" t="str">
        <f t="shared" si="81"/>
        <v>https://portal.dnb.de/opac.htm?method=simpleSearch&amp;cqlMode=true&amp;query=idn%3D994506996</v>
      </c>
      <c r="E2476" s="74" t="s">
        <v>3417</v>
      </c>
      <c r="F2476" s="74"/>
      <c r="G2476" s="76"/>
      <c r="H2476" s="77"/>
      <c r="I2476" s="76"/>
      <c r="J2476" s="77"/>
      <c r="K2476" s="77"/>
      <c r="L2476" s="76"/>
      <c r="M2476" s="76"/>
      <c r="N2476" s="76"/>
      <c r="O2476" s="76"/>
      <c r="P2476" s="76"/>
      <c r="Q2476" s="76"/>
      <c r="R2476" s="76"/>
      <c r="S2476" s="76"/>
      <c r="BD2476" s="99">
        <f t="shared" si="80"/>
        <v>0</v>
      </c>
      <c r="CC2476" s="99"/>
      <c r="CV2476" s="99"/>
      <c r="CW2476" s="63"/>
    </row>
    <row r="2477" spans="1:101" x14ac:dyDescent="0.15">
      <c r="A2477" s="76">
        <v>2340</v>
      </c>
      <c r="B2477" s="74" t="s">
        <v>3419</v>
      </c>
      <c r="C2477" s="74">
        <v>994507054</v>
      </c>
      <c r="D2477" s="78" t="str">
        <f t="shared" si="81"/>
        <v>https://portal.dnb.de/opac.htm?method=simpleSearch&amp;cqlMode=true&amp;query=idn%3D994507054</v>
      </c>
      <c r="E2477" s="74" t="s">
        <v>3417</v>
      </c>
      <c r="F2477" s="74"/>
      <c r="G2477" s="76"/>
      <c r="H2477" s="77"/>
      <c r="I2477" s="76"/>
      <c r="J2477" s="77"/>
      <c r="K2477" s="77"/>
      <c r="L2477" s="76"/>
      <c r="M2477" s="76"/>
      <c r="N2477" s="76"/>
      <c r="O2477" s="76">
        <v>0</v>
      </c>
      <c r="P2477" s="76"/>
      <c r="Q2477" s="76"/>
      <c r="R2477" s="76"/>
      <c r="S2477" s="76"/>
      <c r="BD2477" s="99">
        <f t="shared" si="80"/>
        <v>0</v>
      </c>
      <c r="CC2477" s="99"/>
      <c r="CV2477" s="99"/>
      <c r="CW2477" s="63"/>
    </row>
    <row r="2478" spans="1:101" x14ac:dyDescent="0.15">
      <c r="A2478" s="76">
        <v>2341</v>
      </c>
      <c r="B2478" s="74" t="s">
        <v>3420</v>
      </c>
      <c r="C2478" s="74">
        <v>996646493</v>
      </c>
      <c r="D2478" s="78" t="str">
        <f t="shared" si="81"/>
        <v>https://portal.dnb.de/opac.htm?method=simpleSearch&amp;cqlMode=true&amp;query=idn%3D996646493</v>
      </c>
      <c r="E2478" s="74" t="s">
        <v>3421</v>
      </c>
      <c r="F2478" s="74"/>
      <c r="G2478" s="76" t="s">
        <v>8515</v>
      </c>
      <c r="H2478" s="77" t="s">
        <v>4</v>
      </c>
      <c r="I2478" s="76" t="s">
        <v>53</v>
      </c>
      <c r="J2478" s="77" t="s">
        <v>58</v>
      </c>
      <c r="K2478" s="77" t="s">
        <v>62</v>
      </c>
      <c r="L2478" s="76"/>
      <c r="M2478" s="76"/>
      <c r="N2478" s="76"/>
      <c r="O2478" s="76"/>
      <c r="P2478" s="76"/>
      <c r="Q2478" s="76"/>
      <c r="R2478" s="76"/>
      <c r="S2478" s="76"/>
      <c r="BD2478" s="99">
        <f t="shared" si="80"/>
        <v>0</v>
      </c>
      <c r="CC2478" s="99"/>
      <c r="CV2478" s="99"/>
      <c r="CW2478" s="63"/>
    </row>
    <row r="2479" spans="1:101" x14ac:dyDescent="0.15">
      <c r="A2479" s="76">
        <v>2342</v>
      </c>
      <c r="B2479" s="74" t="s">
        <v>95</v>
      </c>
      <c r="C2479" s="74">
        <v>993864015</v>
      </c>
      <c r="D2479" s="82" t="str">
        <f>HYPERLINK(CONCATENATE("https://portal.dnb.de/opac.htm?method=simpleSearch&amp;cqlMode=true&amp;query=idn%3D",C2479))</f>
        <v>https://portal.dnb.de/opac.htm?method=simpleSearch&amp;cqlMode=true&amp;query=idn%3D993864015</v>
      </c>
      <c r="E2479" s="74" t="s">
        <v>8525</v>
      </c>
      <c r="F2479" s="74"/>
      <c r="G2479" s="76" t="s">
        <v>8515</v>
      </c>
      <c r="H2479" s="77" t="s">
        <v>4</v>
      </c>
      <c r="I2479" s="76" t="s">
        <v>53</v>
      </c>
      <c r="J2479" s="77" t="s">
        <v>58</v>
      </c>
      <c r="K2479" s="77" t="s">
        <v>84</v>
      </c>
      <c r="L2479" s="76"/>
      <c r="M2479" s="76"/>
      <c r="N2479" s="76"/>
      <c r="O2479" s="76">
        <v>0</v>
      </c>
      <c r="P2479" s="76"/>
      <c r="Q2479" s="76"/>
      <c r="R2479" s="76"/>
      <c r="S2479" s="76"/>
      <c r="BD2479" s="99">
        <f t="shared" si="80"/>
        <v>0</v>
      </c>
      <c r="CC2479" s="99"/>
      <c r="CV2479" s="99"/>
      <c r="CW2479" s="63"/>
    </row>
    <row r="2480" spans="1:101" x14ac:dyDescent="0.15">
      <c r="A2480" s="76">
        <v>2343</v>
      </c>
      <c r="B2480" s="74" t="s">
        <v>3424</v>
      </c>
      <c r="C2480" s="74">
        <v>999455230</v>
      </c>
      <c r="D2480" s="78" t="str">
        <f t="shared" si="81"/>
        <v>https://portal.dnb.de/opac.htm?method=simpleSearch&amp;cqlMode=true&amp;query=idn%3D999455230</v>
      </c>
      <c r="E2480" s="74" t="s">
        <v>3425</v>
      </c>
      <c r="F2480" s="74"/>
      <c r="G2480" s="76"/>
      <c r="H2480" s="77" t="s">
        <v>5</v>
      </c>
      <c r="I2480" s="76" t="s">
        <v>53</v>
      </c>
      <c r="J2480" s="77" t="s">
        <v>58</v>
      </c>
      <c r="K2480" s="77" t="s">
        <v>8520</v>
      </c>
      <c r="L2480" s="76"/>
      <c r="M2480" s="76" t="s">
        <v>36</v>
      </c>
      <c r="N2480" s="76" t="s">
        <v>39</v>
      </c>
      <c r="O2480" s="76">
        <v>2</v>
      </c>
      <c r="P2480" s="76"/>
      <c r="Q2480" s="76"/>
      <c r="R2480" s="76"/>
      <c r="S2480" s="76"/>
      <c r="BD2480" s="99">
        <f t="shared" si="80"/>
        <v>0</v>
      </c>
      <c r="CC2480" s="99"/>
      <c r="CV2480" s="99"/>
      <c r="CW2480" s="63"/>
    </row>
    <row r="2481" spans="1:101" ht="33.75" x14ac:dyDescent="0.15">
      <c r="A2481" s="76">
        <v>2344</v>
      </c>
      <c r="B2481" s="74" t="s">
        <v>3435</v>
      </c>
      <c r="C2481" s="74">
        <v>999255444</v>
      </c>
      <c r="D2481" s="82" t="str">
        <f>HYPERLINK(CONCATENATE("https://portal.dnb.de/opac.htm?method=simpleSearch&amp;cqlMode=true&amp;query=idn%3D",C2481))</f>
        <v>https://portal.dnb.de/opac.htm?method=simpleSearch&amp;cqlMode=true&amp;query=idn%3D999255444</v>
      </c>
      <c r="E2481" s="74" t="s">
        <v>9578</v>
      </c>
      <c r="F2481" s="74"/>
      <c r="G2481" s="76" t="s">
        <v>8515</v>
      </c>
      <c r="H2481" s="77" t="s">
        <v>4</v>
      </c>
      <c r="I2481" s="76" t="s">
        <v>53</v>
      </c>
      <c r="J2481" s="77" t="s">
        <v>8516</v>
      </c>
      <c r="K2481" s="77" t="s">
        <v>8667</v>
      </c>
      <c r="L2481" s="76"/>
      <c r="M2481" s="76" t="s">
        <v>32</v>
      </c>
      <c r="N2481" s="76" t="s">
        <v>40</v>
      </c>
      <c r="O2481" s="76">
        <v>0</v>
      </c>
      <c r="P2481" s="76"/>
      <c r="Q2481" s="76"/>
      <c r="R2481" s="76"/>
      <c r="S2481" s="76"/>
      <c r="BD2481" s="99">
        <f t="shared" si="80"/>
        <v>0</v>
      </c>
      <c r="CC2481" s="99"/>
      <c r="CV2481" s="99"/>
      <c r="CW2481" s="63"/>
    </row>
    <row r="2482" spans="1:101" ht="33.75" x14ac:dyDescent="0.15">
      <c r="A2482" s="76">
        <v>2345</v>
      </c>
      <c r="B2482" s="74" t="s">
        <v>3436</v>
      </c>
      <c r="C2482" s="74">
        <v>999255606</v>
      </c>
      <c r="D2482" s="82" t="str">
        <f>HYPERLINK(CONCATENATE("https://portal.dnb.de/opac.htm?method=simpleSearch&amp;cqlMode=true&amp;query=idn%3D",C2482))</f>
        <v>https://portal.dnb.de/opac.htm?method=simpleSearch&amp;cqlMode=true&amp;query=idn%3D999255606</v>
      </c>
      <c r="E2482" s="74" t="s">
        <v>9579</v>
      </c>
      <c r="F2482" s="74"/>
      <c r="G2482" s="76" t="s">
        <v>8515</v>
      </c>
      <c r="H2482" s="77" t="s">
        <v>4</v>
      </c>
      <c r="I2482" s="76" t="s">
        <v>53</v>
      </c>
      <c r="J2482" s="77" t="s">
        <v>8516</v>
      </c>
      <c r="K2482" s="77" t="s">
        <v>8667</v>
      </c>
      <c r="L2482" s="76"/>
      <c r="M2482" s="76" t="s">
        <v>32</v>
      </c>
      <c r="N2482" s="76" t="s">
        <v>40</v>
      </c>
      <c r="O2482" s="76">
        <v>0</v>
      </c>
      <c r="P2482" s="76"/>
      <c r="Q2482" s="76"/>
      <c r="R2482" s="76"/>
      <c r="S2482" s="76"/>
      <c r="BD2482" s="99">
        <f t="shared" si="80"/>
        <v>0</v>
      </c>
      <c r="CC2482" s="99"/>
      <c r="CV2482" s="99"/>
      <c r="CW2482" s="63"/>
    </row>
    <row r="2483" spans="1:101" ht="33.75" x14ac:dyDescent="0.15">
      <c r="A2483" s="76">
        <v>2346</v>
      </c>
      <c r="B2483" s="74" t="s">
        <v>3437</v>
      </c>
      <c r="C2483" s="74">
        <v>999255576</v>
      </c>
      <c r="D2483" s="82" t="str">
        <f>HYPERLINK(CONCATENATE("https://portal.dnb.de/opac.htm?method=simpleSearch&amp;cqlMode=true&amp;query=idn%3D",C2483))</f>
        <v>https://portal.dnb.de/opac.htm?method=simpleSearch&amp;cqlMode=true&amp;query=idn%3D999255576</v>
      </c>
      <c r="E2483" s="74" t="s">
        <v>9580</v>
      </c>
      <c r="F2483" s="74"/>
      <c r="G2483" s="76" t="s">
        <v>8541</v>
      </c>
      <c r="H2483" s="77" t="s">
        <v>4</v>
      </c>
      <c r="I2483" s="76" t="s">
        <v>53</v>
      </c>
      <c r="J2483" s="77" t="s">
        <v>8516</v>
      </c>
      <c r="K2483" s="77" t="s">
        <v>8667</v>
      </c>
      <c r="L2483" s="76"/>
      <c r="M2483" s="76" t="s">
        <v>32</v>
      </c>
      <c r="N2483" s="76" t="s">
        <v>40</v>
      </c>
      <c r="O2483" s="76">
        <v>0</v>
      </c>
      <c r="P2483" s="76"/>
      <c r="Q2483" s="76"/>
      <c r="R2483" s="76"/>
      <c r="S2483" s="76"/>
      <c r="BD2483" s="99">
        <f t="shared" si="80"/>
        <v>0</v>
      </c>
      <c r="CC2483" s="99"/>
      <c r="CV2483" s="99"/>
      <c r="CW2483" s="63"/>
    </row>
    <row r="2484" spans="1:101" ht="33.75" x14ac:dyDescent="0.15">
      <c r="A2484" s="76">
        <v>2347</v>
      </c>
      <c r="B2484" s="74" t="s">
        <v>3438</v>
      </c>
      <c r="C2484" s="74">
        <v>999255487</v>
      </c>
      <c r="D2484" s="82" t="str">
        <f>HYPERLINK(CONCATENATE("https://portal.dnb.de/opac.htm?method=simpleSearch&amp;cqlMode=true&amp;query=idn%3D",C2484))</f>
        <v>https://portal.dnb.de/opac.htm?method=simpleSearch&amp;cqlMode=true&amp;query=idn%3D999255487</v>
      </c>
      <c r="E2484" s="74" t="s">
        <v>9581</v>
      </c>
      <c r="F2484" s="74"/>
      <c r="G2484" s="76" t="s">
        <v>8515</v>
      </c>
      <c r="H2484" s="77" t="s">
        <v>4</v>
      </c>
      <c r="I2484" s="76" t="s">
        <v>53</v>
      </c>
      <c r="J2484" s="77" t="s">
        <v>8516</v>
      </c>
      <c r="K2484" s="77" t="s">
        <v>8667</v>
      </c>
      <c r="L2484" s="76"/>
      <c r="M2484" s="76" t="s">
        <v>32</v>
      </c>
      <c r="N2484" s="76" t="s">
        <v>40</v>
      </c>
      <c r="O2484" s="76">
        <v>0</v>
      </c>
      <c r="P2484" s="76"/>
      <c r="Q2484" s="76"/>
      <c r="R2484" s="76"/>
      <c r="S2484" s="76"/>
      <c r="BD2484" s="99">
        <f t="shared" si="80"/>
        <v>0</v>
      </c>
      <c r="CC2484" s="99"/>
      <c r="CV2484" s="99"/>
      <c r="CW2484" s="63"/>
    </row>
    <row r="2485" spans="1:101" x14ac:dyDescent="0.15">
      <c r="A2485" s="76">
        <v>2348</v>
      </c>
      <c r="B2485" s="74" t="s">
        <v>3462</v>
      </c>
      <c r="C2485" s="74">
        <v>455169314</v>
      </c>
      <c r="D2485" s="78" t="str">
        <f t="shared" si="81"/>
        <v>https://portal.dnb.de/opac.htm?method=simpleSearch&amp;cqlMode=true&amp;query=idn%3D455169314</v>
      </c>
      <c r="E2485" s="74" t="s">
        <v>3463</v>
      </c>
      <c r="F2485" s="74"/>
      <c r="G2485" s="76"/>
      <c r="H2485" s="77"/>
      <c r="I2485" s="76"/>
      <c r="J2485" s="77"/>
      <c r="K2485" s="77"/>
      <c r="L2485" s="76"/>
      <c r="M2485" s="76"/>
      <c r="N2485" s="76"/>
      <c r="O2485" s="76"/>
      <c r="P2485" s="76"/>
      <c r="Q2485" s="76"/>
      <c r="R2485" s="76"/>
      <c r="S2485" s="76"/>
      <c r="BD2485" s="99">
        <f t="shared" si="80"/>
        <v>0</v>
      </c>
      <c r="CC2485" s="99"/>
      <c r="CV2485" s="99"/>
      <c r="CW2485" s="63"/>
    </row>
    <row r="2486" spans="1:101" x14ac:dyDescent="0.15">
      <c r="A2486" s="76">
        <v>2349</v>
      </c>
      <c r="B2486" s="74" t="s">
        <v>3464</v>
      </c>
      <c r="C2486" s="74">
        <v>455169322</v>
      </c>
      <c r="D2486" s="78" t="str">
        <f t="shared" si="81"/>
        <v>https://portal.dnb.de/opac.htm?method=simpleSearch&amp;cqlMode=true&amp;query=idn%3D455169322</v>
      </c>
      <c r="E2486" s="74" t="s">
        <v>3463</v>
      </c>
      <c r="F2486" s="74"/>
      <c r="G2486" s="76"/>
      <c r="H2486" s="77"/>
      <c r="I2486" s="76"/>
      <c r="J2486" s="77"/>
      <c r="K2486" s="77"/>
      <c r="L2486" s="76"/>
      <c r="M2486" s="76"/>
      <c r="N2486" s="76"/>
      <c r="O2486" s="76"/>
      <c r="P2486" s="76"/>
      <c r="Q2486" s="76"/>
      <c r="R2486" s="76"/>
      <c r="S2486" s="76"/>
      <c r="BD2486" s="99">
        <f t="shared" si="80"/>
        <v>0</v>
      </c>
      <c r="CC2486" s="99"/>
      <c r="CV2486" s="99"/>
      <c r="CW2486" s="63"/>
    </row>
    <row r="2487" spans="1:101" x14ac:dyDescent="0.15">
      <c r="A2487" s="76">
        <v>2350</v>
      </c>
      <c r="B2487" s="74" t="s">
        <v>3465</v>
      </c>
      <c r="C2487" s="74">
        <v>455169462</v>
      </c>
      <c r="D2487" s="78" t="str">
        <f t="shared" si="81"/>
        <v>https://portal.dnb.de/opac.htm?method=simpleSearch&amp;cqlMode=true&amp;query=idn%3D455169462</v>
      </c>
      <c r="E2487" s="74" t="s">
        <v>3463</v>
      </c>
      <c r="F2487" s="74"/>
      <c r="G2487" s="76"/>
      <c r="H2487" s="77"/>
      <c r="I2487" s="76"/>
      <c r="J2487" s="77"/>
      <c r="K2487" s="77"/>
      <c r="L2487" s="76"/>
      <c r="M2487" s="76"/>
      <c r="N2487" s="76"/>
      <c r="O2487" s="76"/>
      <c r="P2487" s="76"/>
      <c r="Q2487" s="76"/>
      <c r="R2487" s="76"/>
      <c r="S2487" s="76"/>
      <c r="BD2487" s="99">
        <f t="shared" si="80"/>
        <v>0</v>
      </c>
      <c r="CC2487" s="99"/>
      <c r="CV2487" s="99"/>
      <c r="CW2487" s="63"/>
    </row>
    <row r="2488" spans="1:101" x14ac:dyDescent="0.15">
      <c r="A2488" s="76">
        <v>2351</v>
      </c>
      <c r="B2488" s="74" t="s">
        <v>3466</v>
      </c>
      <c r="C2488" s="74">
        <v>999606689</v>
      </c>
      <c r="D2488" s="78" t="str">
        <f t="shared" si="81"/>
        <v>https://portal.dnb.de/opac.htm?method=simpleSearch&amp;cqlMode=true&amp;query=idn%3D999606689</v>
      </c>
      <c r="E2488" s="74" t="s">
        <v>3467</v>
      </c>
      <c r="F2488" s="74"/>
      <c r="G2488" s="76"/>
      <c r="H2488" s="77"/>
      <c r="I2488" s="76"/>
      <c r="J2488" s="77"/>
      <c r="K2488" s="77"/>
      <c r="L2488" s="76"/>
      <c r="M2488" s="76"/>
      <c r="N2488" s="76"/>
      <c r="O2488" s="76"/>
      <c r="P2488" s="76"/>
      <c r="Q2488" s="76"/>
      <c r="R2488" s="76"/>
      <c r="S2488" s="76"/>
      <c r="BD2488" s="99">
        <f t="shared" si="80"/>
        <v>0</v>
      </c>
      <c r="CC2488" s="99"/>
      <c r="CV2488" s="99"/>
      <c r="CW2488" s="63"/>
    </row>
    <row r="2489" spans="1:101" ht="33.75" x14ac:dyDescent="0.15">
      <c r="A2489" s="76">
        <v>2352</v>
      </c>
      <c r="B2489" s="74" t="s">
        <v>3468</v>
      </c>
      <c r="C2489" s="74">
        <v>1001755022</v>
      </c>
      <c r="D2489" s="78" t="str">
        <f t="shared" si="81"/>
        <v>https://portal.dnb.de/opac.htm?method=simpleSearch&amp;cqlMode=true&amp;query=idn%3D1001755022</v>
      </c>
      <c r="E2489" s="74" t="s">
        <v>3469</v>
      </c>
      <c r="F2489" s="74"/>
      <c r="G2489" s="76"/>
      <c r="H2489" s="77" t="s">
        <v>48</v>
      </c>
      <c r="I2489" s="76" t="s">
        <v>54</v>
      </c>
      <c r="J2489" s="77" t="s">
        <v>8516</v>
      </c>
      <c r="K2489" s="77" t="s">
        <v>9588</v>
      </c>
      <c r="L2489" s="76"/>
      <c r="M2489" s="76"/>
      <c r="N2489" s="76"/>
      <c r="O2489" s="76">
        <v>0</v>
      </c>
      <c r="P2489" s="76"/>
      <c r="Q2489" s="76"/>
      <c r="R2489" s="76"/>
      <c r="S2489" s="76"/>
      <c r="BD2489" s="99">
        <f t="shared" si="80"/>
        <v>0</v>
      </c>
      <c r="CC2489" s="99"/>
      <c r="CV2489" s="99"/>
      <c r="CW2489" s="63"/>
    </row>
    <row r="2490" spans="1:101" x14ac:dyDescent="0.15">
      <c r="A2490" s="76">
        <v>2353</v>
      </c>
      <c r="B2490" s="74" t="s">
        <v>3470</v>
      </c>
      <c r="C2490" s="74">
        <v>996228179</v>
      </c>
      <c r="D2490" s="78" t="str">
        <f t="shared" si="81"/>
        <v>https://portal.dnb.de/opac.htm?method=simpleSearch&amp;cqlMode=true&amp;query=idn%3D996228179</v>
      </c>
      <c r="E2490" s="74" t="s">
        <v>3471</v>
      </c>
      <c r="F2490" s="74"/>
      <c r="G2490" s="76"/>
      <c r="H2490" s="77"/>
      <c r="I2490" s="76"/>
      <c r="J2490" s="77"/>
      <c r="K2490" s="77"/>
      <c r="L2490" s="76"/>
      <c r="M2490" s="76"/>
      <c r="N2490" s="76"/>
      <c r="O2490" s="76"/>
      <c r="P2490" s="76"/>
      <c r="Q2490" s="76"/>
      <c r="R2490" s="76"/>
      <c r="S2490" s="76"/>
      <c r="BD2490" s="99">
        <f t="shared" si="80"/>
        <v>0</v>
      </c>
      <c r="CC2490" s="99"/>
      <c r="CV2490" s="99"/>
      <c r="CW2490" s="63"/>
    </row>
    <row r="2491" spans="1:101" x14ac:dyDescent="0.15">
      <c r="A2491" s="76">
        <v>2354</v>
      </c>
      <c r="B2491" s="74" t="s">
        <v>3472</v>
      </c>
      <c r="C2491" s="74">
        <v>994669011</v>
      </c>
      <c r="D2491" s="78" t="str">
        <f t="shared" si="81"/>
        <v>https://portal.dnb.de/opac.htm?method=simpleSearch&amp;cqlMode=true&amp;query=idn%3D994669011</v>
      </c>
      <c r="E2491" s="74" t="s">
        <v>3471</v>
      </c>
      <c r="F2491" s="74"/>
      <c r="G2491" s="76"/>
      <c r="H2491" s="77"/>
      <c r="I2491" s="76"/>
      <c r="J2491" s="77"/>
      <c r="K2491" s="77"/>
      <c r="L2491" s="76"/>
      <c r="M2491" s="76"/>
      <c r="N2491" s="76"/>
      <c r="O2491" s="76"/>
      <c r="P2491" s="76"/>
      <c r="Q2491" s="76"/>
      <c r="R2491" s="76"/>
      <c r="S2491" s="76"/>
      <c r="BD2491" s="99">
        <f t="shared" si="80"/>
        <v>0</v>
      </c>
      <c r="CC2491" s="99"/>
      <c r="CV2491" s="99"/>
      <c r="CW2491" s="63"/>
    </row>
    <row r="2492" spans="1:101" ht="33.75" x14ac:dyDescent="0.15">
      <c r="A2492" s="76">
        <v>2355</v>
      </c>
      <c r="B2492" s="74" t="s">
        <v>3505</v>
      </c>
      <c r="C2492" s="74">
        <v>994425651</v>
      </c>
      <c r="D2492" s="78" t="str">
        <f t="shared" si="81"/>
        <v>https://portal.dnb.de/opac.htm?method=simpleSearch&amp;cqlMode=true&amp;query=idn%3D994425651</v>
      </c>
      <c r="E2492" s="74" t="s">
        <v>3506</v>
      </c>
      <c r="F2492" s="74"/>
      <c r="G2492" s="76"/>
      <c r="H2492" s="77" t="s">
        <v>5</v>
      </c>
      <c r="I2492" s="76" t="s">
        <v>53</v>
      </c>
      <c r="J2492" s="77" t="s">
        <v>89</v>
      </c>
      <c r="K2492" s="77" t="s">
        <v>8667</v>
      </c>
      <c r="L2492" s="76"/>
      <c r="M2492" s="76" t="s">
        <v>38</v>
      </c>
      <c r="N2492" s="76"/>
      <c r="O2492" s="76">
        <v>0</v>
      </c>
      <c r="P2492" s="76"/>
      <c r="Q2492" s="76"/>
      <c r="R2492" s="76"/>
      <c r="S2492" s="76"/>
      <c r="BD2492" s="99">
        <f t="shared" si="80"/>
        <v>0</v>
      </c>
      <c r="CC2492" s="99"/>
      <c r="CV2492" s="99"/>
      <c r="CW2492" s="63"/>
    </row>
    <row r="2493" spans="1:101" x14ac:dyDescent="0.15">
      <c r="A2493" s="76">
        <v>2356</v>
      </c>
      <c r="B2493" s="74" t="s">
        <v>3507</v>
      </c>
      <c r="C2493" s="74">
        <v>994194439</v>
      </c>
      <c r="D2493" s="78" t="str">
        <f t="shared" si="81"/>
        <v>https://portal.dnb.de/opac.htm?method=simpleSearch&amp;cqlMode=true&amp;query=idn%3D994194439</v>
      </c>
      <c r="E2493" s="74" t="s">
        <v>3508</v>
      </c>
      <c r="F2493" s="74"/>
      <c r="G2493" s="76"/>
      <c r="H2493" s="77"/>
      <c r="I2493" s="76"/>
      <c r="J2493" s="77"/>
      <c r="K2493" s="77"/>
      <c r="L2493" s="76"/>
      <c r="M2493" s="76"/>
      <c r="N2493" s="76"/>
      <c r="O2493" s="76"/>
      <c r="P2493" s="76"/>
      <c r="Q2493" s="76"/>
      <c r="R2493" s="76"/>
      <c r="S2493" s="76"/>
      <c r="BD2493" s="99">
        <f t="shared" si="80"/>
        <v>0</v>
      </c>
      <c r="CC2493" s="99"/>
      <c r="CV2493" s="99"/>
      <c r="CW2493" s="63"/>
    </row>
    <row r="2494" spans="1:101" x14ac:dyDescent="0.15">
      <c r="A2494" s="76">
        <v>2357</v>
      </c>
      <c r="B2494" s="74" t="s">
        <v>3509</v>
      </c>
      <c r="C2494" s="74">
        <v>994194447</v>
      </c>
      <c r="D2494" s="78" t="str">
        <f t="shared" si="81"/>
        <v>https://portal.dnb.de/opac.htm?method=simpleSearch&amp;cqlMode=true&amp;query=idn%3D994194447</v>
      </c>
      <c r="E2494" s="74" t="s">
        <v>3508</v>
      </c>
      <c r="F2494" s="74"/>
      <c r="G2494" s="76"/>
      <c r="H2494" s="77"/>
      <c r="I2494" s="76"/>
      <c r="J2494" s="77"/>
      <c r="K2494" s="77"/>
      <c r="L2494" s="76"/>
      <c r="M2494" s="76"/>
      <c r="N2494" s="76"/>
      <c r="O2494" s="76"/>
      <c r="P2494" s="76"/>
      <c r="Q2494" s="76"/>
      <c r="R2494" s="76"/>
      <c r="S2494" s="76"/>
      <c r="BD2494" s="99">
        <f t="shared" si="80"/>
        <v>0</v>
      </c>
      <c r="CC2494" s="99"/>
      <c r="CV2494" s="99"/>
      <c r="CW2494" s="63"/>
    </row>
    <row r="2495" spans="1:101" x14ac:dyDescent="0.15">
      <c r="A2495" s="76">
        <v>2358</v>
      </c>
      <c r="B2495" s="74" t="s">
        <v>3510</v>
      </c>
      <c r="C2495" s="74">
        <v>995073902</v>
      </c>
      <c r="D2495" s="78" t="str">
        <f t="shared" si="81"/>
        <v>https://portal.dnb.de/opac.htm?method=simpleSearch&amp;cqlMode=true&amp;query=idn%3D995073902</v>
      </c>
      <c r="E2495" s="74" t="s">
        <v>3511</v>
      </c>
      <c r="F2495" s="74"/>
      <c r="G2495" s="76" t="s">
        <v>8515</v>
      </c>
      <c r="H2495" s="77" t="s">
        <v>49</v>
      </c>
      <c r="I2495" s="76" t="s">
        <v>53</v>
      </c>
      <c r="J2495" s="77" t="s">
        <v>58</v>
      </c>
      <c r="K2495" s="77" t="s">
        <v>8577</v>
      </c>
      <c r="L2495" s="76"/>
      <c r="M2495" s="76" t="s">
        <v>38</v>
      </c>
      <c r="N2495" s="76"/>
      <c r="O2495" s="76">
        <v>0</v>
      </c>
      <c r="P2495" s="76"/>
      <c r="Q2495" s="76"/>
      <c r="R2495" s="76"/>
      <c r="S2495" s="76"/>
      <c r="BD2495" s="99">
        <f t="shared" si="80"/>
        <v>0</v>
      </c>
      <c r="CC2495" s="99"/>
      <c r="CV2495" s="99"/>
      <c r="CW2495" s="63"/>
    </row>
    <row r="2496" spans="1:101" ht="22.5" x14ac:dyDescent="0.15">
      <c r="A2496" s="76">
        <v>2359</v>
      </c>
      <c r="B2496" s="74" t="s">
        <v>3512</v>
      </c>
      <c r="C2496" s="74">
        <v>997345411</v>
      </c>
      <c r="D2496" s="78" t="str">
        <f t="shared" si="81"/>
        <v>https://portal.dnb.de/opac.htm?method=simpleSearch&amp;cqlMode=true&amp;query=idn%3D997345411</v>
      </c>
      <c r="E2496" s="74" t="s">
        <v>3513</v>
      </c>
      <c r="F2496" s="74"/>
      <c r="G2496" s="76" t="s">
        <v>8515</v>
      </c>
      <c r="H2496" s="77" t="s">
        <v>18</v>
      </c>
      <c r="I2496" s="76" t="s">
        <v>53</v>
      </c>
      <c r="J2496" s="77" t="s">
        <v>8516</v>
      </c>
      <c r="K2496" s="77" t="s">
        <v>87</v>
      </c>
      <c r="L2496" s="76"/>
      <c r="M2496" s="76"/>
      <c r="N2496" s="76" t="s">
        <v>8660</v>
      </c>
      <c r="O2496" s="76">
        <v>0</v>
      </c>
      <c r="P2496" s="76"/>
      <c r="Q2496" s="76"/>
      <c r="R2496" s="76"/>
      <c r="S2496" s="76"/>
      <c r="BD2496" s="99">
        <f t="shared" si="80"/>
        <v>0</v>
      </c>
      <c r="CC2496" s="99"/>
      <c r="CV2496" s="99"/>
      <c r="CW2496" s="63"/>
    </row>
    <row r="2497" spans="1:101" x14ac:dyDescent="0.15">
      <c r="A2497" s="76">
        <v>2360</v>
      </c>
      <c r="B2497" s="74" t="s">
        <v>3514</v>
      </c>
      <c r="C2497" s="74">
        <v>997345365</v>
      </c>
      <c r="D2497" s="78" t="str">
        <f t="shared" si="81"/>
        <v>https://portal.dnb.de/opac.htm?method=simpleSearch&amp;cqlMode=true&amp;query=idn%3D997345365</v>
      </c>
      <c r="E2497" s="74" t="s">
        <v>3513</v>
      </c>
      <c r="F2497" s="74"/>
      <c r="G2497" s="76"/>
      <c r="H2497" s="77"/>
      <c r="I2497" s="76"/>
      <c r="J2497" s="77"/>
      <c r="K2497" s="77"/>
      <c r="L2497" s="76"/>
      <c r="M2497" s="76"/>
      <c r="N2497" s="76"/>
      <c r="O2497" s="76"/>
      <c r="P2497" s="76"/>
      <c r="Q2497" s="76"/>
      <c r="R2497" s="76"/>
      <c r="S2497" s="76"/>
      <c r="BD2497" s="99">
        <f t="shared" si="80"/>
        <v>0</v>
      </c>
      <c r="CC2497" s="99"/>
      <c r="CV2497" s="99"/>
      <c r="CW2497" s="63"/>
    </row>
    <row r="2498" spans="1:101" x14ac:dyDescent="0.15">
      <c r="A2498" s="76">
        <v>2361</v>
      </c>
      <c r="B2498" s="74" t="s">
        <v>3525</v>
      </c>
      <c r="C2498" s="74">
        <v>994226535</v>
      </c>
      <c r="D2498" s="78" t="str">
        <f t="shared" si="81"/>
        <v>https://portal.dnb.de/opac.htm?method=simpleSearch&amp;cqlMode=true&amp;query=idn%3D994226535</v>
      </c>
      <c r="E2498" s="74" t="s">
        <v>3526</v>
      </c>
      <c r="F2498" s="74"/>
      <c r="G2498" s="76"/>
      <c r="H2498" s="77" t="s">
        <v>48</v>
      </c>
      <c r="I2498" s="76" t="s">
        <v>53</v>
      </c>
      <c r="J2498" s="77" t="s">
        <v>89</v>
      </c>
      <c r="K2498" s="77" t="s">
        <v>84</v>
      </c>
      <c r="L2498" s="76"/>
      <c r="M2498" s="76" t="s">
        <v>38</v>
      </c>
      <c r="N2498" s="76"/>
      <c r="O2498" s="76">
        <v>0</v>
      </c>
      <c r="P2498" s="76"/>
      <c r="Q2498" s="76"/>
      <c r="R2498" s="76"/>
      <c r="S2498" s="76"/>
      <c r="BD2498" s="99">
        <f t="shared" si="80"/>
        <v>0</v>
      </c>
      <c r="CC2498" s="99"/>
      <c r="CV2498" s="99"/>
      <c r="CW2498" s="63"/>
    </row>
    <row r="2499" spans="1:101" x14ac:dyDescent="0.15">
      <c r="A2499" s="76">
        <v>2362</v>
      </c>
      <c r="B2499" s="74" t="s">
        <v>3527</v>
      </c>
      <c r="C2499" s="74">
        <v>1002802296</v>
      </c>
      <c r="D2499" s="78" t="str">
        <f t="shared" si="81"/>
        <v>https://portal.dnb.de/opac.htm?method=simpleSearch&amp;cqlMode=true&amp;query=idn%3D1002802296</v>
      </c>
      <c r="E2499" s="74" t="s">
        <v>3528</v>
      </c>
      <c r="F2499" s="74"/>
      <c r="G2499" s="76"/>
      <c r="H2499" s="77"/>
      <c r="I2499" s="76"/>
      <c r="J2499" s="77"/>
      <c r="K2499" s="77"/>
      <c r="L2499" s="76"/>
      <c r="M2499" s="76"/>
      <c r="N2499" s="76"/>
      <c r="O2499" s="76"/>
      <c r="P2499" s="76"/>
      <c r="Q2499" s="76"/>
      <c r="R2499" s="76"/>
      <c r="S2499" s="76"/>
      <c r="BD2499" s="99">
        <f t="shared" ref="BD2499:BD2562" si="82">CC2499+CV2499</f>
        <v>0</v>
      </c>
      <c r="CC2499" s="99"/>
      <c r="CV2499" s="99"/>
      <c r="CW2499" s="63"/>
    </row>
    <row r="2500" spans="1:101" x14ac:dyDescent="0.15">
      <c r="A2500" s="76">
        <v>2363</v>
      </c>
      <c r="B2500" s="74" t="s">
        <v>3529</v>
      </c>
      <c r="C2500" s="74">
        <v>994335938</v>
      </c>
      <c r="D2500" s="78" t="str">
        <f t="shared" si="81"/>
        <v>https://portal.dnb.de/opac.htm?method=simpleSearch&amp;cqlMode=true&amp;query=idn%3D994335938</v>
      </c>
      <c r="E2500" s="74" t="s">
        <v>3530</v>
      </c>
      <c r="F2500" s="74"/>
      <c r="G2500" s="76"/>
      <c r="H2500" s="77" t="s">
        <v>4</v>
      </c>
      <c r="I2500" s="76" t="s">
        <v>53</v>
      </c>
      <c r="J2500" s="77" t="s">
        <v>8516</v>
      </c>
      <c r="K2500" s="77" t="s">
        <v>8520</v>
      </c>
      <c r="L2500" s="76"/>
      <c r="M2500" s="76"/>
      <c r="N2500" s="76"/>
      <c r="O2500" s="76">
        <v>3</v>
      </c>
      <c r="P2500" s="76"/>
      <c r="Q2500" s="76"/>
      <c r="R2500" s="76"/>
      <c r="S2500" s="76"/>
      <c r="BD2500" s="99">
        <f t="shared" si="82"/>
        <v>0</v>
      </c>
      <c r="CC2500" s="99"/>
      <c r="CV2500" s="99"/>
      <c r="CW2500" s="63"/>
    </row>
    <row r="2501" spans="1:101" ht="22.5" x14ac:dyDescent="0.15">
      <c r="A2501" s="76">
        <v>2364</v>
      </c>
      <c r="B2501" s="74" t="s">
        <v>3531</v>
      </c>
      <c r="C2501" s="74">
        <v>995725640</v>
      </c>
      <c r="D2501" s="78" t="str">
        <f t="shared" si="81"/>
        <v>https://portal.dnb.de/opac.htm?method=simpleSearch&amp;cqlMode=true&amp;query=idn%3D995725640</v>
      </c>
      <c r="E2501" s="74" t="s">
        <v>3532</v>
      </c>
      <c r="F2501" s="74"/>
      <c r="G2501" s="76"/>
      <c r="H2501" s="77" t="s">
        <v>47</v>
      </c>
      <c r="I2501" s="76" t="s">
        <v>53</v>
      </c>
      <c r="J2501" s="77" t="s">
        <v>58</v>
      </c>
      <c r="K2501" s="77" t="s">
        <v>8803</v>
      </c>
      <c r="L2501" s="76"/>
      <c r="M2501" s="76" t="s">
        <v>38</v>
      </c>
      <c r="N2501" s="76"/>
      <c r="O2501" s="76">
        <v>1</v>
      </c>
      <c r="P2501" s="76"/>
      <c r="Q2501" s="76"/>
      <c r="R2501" s="76"/>
      <c r="S2501" s="76"/>
      <c r="BD2501" s="99">
        <f t="shared" si="82"/>
        <v>0</v>
      </c>
      <c r="CC2501" s="99"/>
      <c r="CV2501" s="99"/>
      <c r="CW2501" s="63"/>
    </row>
    <row r="2502" spans="1:101" x14ac:dyDescent="0.15">
      <c r="A2502" s="76">
        <v>2365</v>
      </c>
      <c r="B2502" s="74" t="s">
        <v>3533</v>
      </c>
      <c r="C2502" s="74">
        <v>994290764</v>
      </c>
      <c r="D2502" s="78" t="str">
        <f t="shared" si="81"/>
        <v>https://portal.dnb.de/opac.htm?method=simpleSearch&amp;cqlMode=true&amp;query=idn%3D994290764</v>
      </c>
      <c r="E2502" s="74" t="s">
        <v>3534</v>
      </c>
      <c r="F2502" s="74"/>
      <c r="G2502" s="76"/>
      <c r="H2502" s="77"/>
      <c r="I2502" s="76"/>
      <c r="J2502" s="77"/>
      <c r="K2502" s="77"/>
      <c r="L2502" s="76"/>
      <c r="M2502" s="76"/>
      <c r="N2502" s="76"/>
      <c r="O2502" s="76"/>
      <c r="P2502" s="76"/>
      <c r="Q2502" s="76"/>
      <c r="R2502" s="76"/>
      <c r="S2502" s="76"/>
      <c r="BD2502" s="99">
        <f t="shared" si="82"/>
        <v>0</v>
      </c>
      <c r="CC2502" s="99"/>
      <c r="CV2502" s="99"/>
      <c r="CW2502" s="63"/>
    </row>
    <row r="2503" spans="1:101" ht="33.75" x14ac:dyDescent="0.15">
      <c r="A2503" s="76">
        <v>2366</v>
      </c>
      <c r="B2503" s="74" t="s">
        <v>3535</v>
      </c>
      <c r="C2503" s="74">
        <v>994051026</v>
      </c>
      <c r="D2503" s="78" t="str">
        <f t="shared" si="81"/>
        <v>https://portal.dnb.de/opac.htm?method=simpleSearch&amp;cqlMode=true&amp;query=idn%3D994051026</v>
      </c>
      <c r="E2503" s="74" t="s">
        <v>3536</v>
      </c>
      <c r="F2503" s="74"/>
      <c r="G2503" s="76" t="s">
        <v>8515</v>
      </c>
      <c r="H2503" s="77" t="s">
        <v>4</v>
      </c>
      <c r="I2503" s="76" t="s">
        <v>53</v>
      </c>
      <c r="J2503" s="77" t="s">
        <v>8516</v>
      </c>
      <c r="K2503" s="77" t="s">
        <v>9590</v>
      </c>
      <c r="L2503" s="76"/>
      <c r="M2503" s="76" t="s">
        <v>36</v>
      </c>
      <c r="N2503" s="76" t="s">
        <v>39</v>
      </c>
      <c r="O2503" s="76">
        <v>3</v>
      </c>
      <c r="P2503" s="76"/>
      <c r="Q2503" s="76"/>
      <c r="R2503" s="76"/>
      <c r="S2503" s="76"/>
      <c r="BD2503" s="99">
        <f t="shared" si="82"/>
        <v>0</v>
      </c>
      <c r="CC2503" s="99"/>
      <c r="CV2503" s="99"/>
      <c r="CW2503" s="63"/>
    </row>
    <row r="2504" spans="1:101" x14ac:dyDescent="0.15">
      <c r="A2504" s="76">
        <v>2367</v>
      </c>
      <c r="B2504" s="74" t="s">
        <v>3567</v>
      </c>
      <c r="C2504" s="74">
        <v>994313845</v>
      </c>
      <c r="D2504" s="78" t="str">
        <f t="shared" si="81"/>
        <v>https://portal.dnb.de/opac.htm?method=simpleSearch&amp;cqlMode=true&amp;query=idn%3D994313845</v>
      </c>
      <c r="E2504" s="74" t="s">
        <v>3568</v>
      </c>
      <c r="F2504" s="74"/>
      <c r="G2504" s="76"/>
      <c r="H2504" s="77"/>
      <c r="I2504" s="76"/>
      <c r="J2504" s="77"/>
      <c r="K2504" s="77"/>
      <c r="L2504" s="76"/>
      <c r="M2504" s="76"/>
      <c r="N2504" s="76"/>
      <c r="O2504" s="76"/>
      <c r="P2504" s="76"/>
      <c r="Q2504" s="76"/>
      <c r="R2504" s="76"/>
      <c r="S2504" s="76"/>
      <c r="BD2504" s="99">
        <f t="shared" si="82"/>
        <v>0</v>
      </c>
      <c r="CC2504" s="99"/>
      <c r="CV2504" s="99"/>
      <c r="CW2504" s="63"/>
    </row>
    <row r="2505" spans="1:101" x14ac:dyDescent="0.15">
      <c r="A2505" s="76">
        <v>2368</v>
      </c>
      <c r="B2505" s="74" t="s">
        <v>3569</v>
      </c>
      <c r="C2505" s="74">
        <v>994090463</v>
      </c>
      <c r="D2505" s="78" t="str">
        <f t="shared" si="81"/>
        <v>https://portal.dnb.de/opac.htm?method=simpleSearch&amp;cqlMode=true&amp;query=idn%3D994090463</v>
      </c>
      <c r="E2505" s="74" t="s">
        <v>3568</v>
      </c>
      <c r="F2505" s="74"/>
      <c r="G2505" s="76"/>
      <c r="H2505" s="77"/>
      <c r="I2505" s="76"/>
      <c r="J2505" s="77"/>
      <c r="K2505" s="77"/>
      <c r="L2505" s="76"/>
      <c r="M2505" s="76"/>
      <c r="N2505" s="76"/>
      <c r="O2505" s="76"/>
      <c r="P2505" s="76"/>
      <c r="Q2505" s="76"/>
      <c r="R2505" s="76"/>
      <c r="S2505" s="76"/>
      <c r="BD2505" s="99">
        <f t="shared" si="82"/>
        <v>0</v>
      </c>
      <c r="CC2505" s="99"/>
      <c r="CV2505" s="99"/>
      <c r="CW2505" s="63"/>
    </row>
    <row r="2506" spans="1:101" x14ac:dyDescent="0.15">
      <c r="A2506" s="76">
        <v>2369</v>
      </c>
      <c r="B2506" s="74" t="s">
        <v>3570</v>
      </c>
      <c r="C2506" s="74" t="s">
        <v>3571</v>
      </c>
      <c r="D2506" s="78" t="str">
        <f t="shared" si="81"/>
        <v>https://portal.dnb.de/opac.htm?method=simpleSearch&amp;cqlMode=true&amp;query=idn%3D99386614X</v>
      </c>
      <c r="E2506" s="74" t="s">
        <v>3572</v>
      </c>
      <c r="F2506" s="74"/>
      <c r="G2506" s="76"/>
      <c r="H2506" s="77"/>
      <c r="I2506" s="76"/>
      <c r="J2506" s="77"/>
      <c r="K2506" s="77"/>
      <c r="L2506" s="76"/>
      <c r="M2506" s="76"/>
      <c r="N2506" s="76"/>
      <c r="O2506" s="76"/>
      <c r="P2506" s="76"/>
      <c r="Q2506" s="76"/>
      <c r="R2506" s="76"/>
      <c r="S2506" s="76"/>
      <c r="BD2506" s="99">
        <f t="shared" si="82"/>
        <v>0</v>
      </c>
      <c r="CC2506" s="99"/>
      <c r="CV2506" s="99"/>
      <c r="CW2506" s="63"/>
    </row>
    <row r="2507" spans="1:101" x14ac:dyDescent="0.15">
      <c r="A2507" s="76">
        <v>2370</v>
      </c>
      <c r="B2507" s="74" t="s">
        <v>3573</v>
      </c>
      <c r="C2507" s="74">
        <v>994129459</v>
      </c>
      <c r="D2507" s="78" t="str">
        <f t="shared" si="81"/>
        <v>https://portal.dnb.de/opac.htm?method=simpleSearch&amp;cqlMode=true&amp;query=idn%3D994129459</v>
      </c>
      <c r="E2507" s="74" t="s">
        <v>3572</v>
      </c>
      <c r="F2507" s="74"/>
      <c r="G2507" s="76"/>
      <c r="H2507" s="77" t="s">
        <v>49</v>
      </c>
      <c r="I2507" s="76" t="s">
        <v>53</v>
      </c>
      <c r="J2507" s="77" t="s">
        <v>8516</v>
      </c>
      <c r="K2507" s="77" t="s">
        <v>84</v>
      </c>
      <c r="L2507" s="76"/>
      <c r="M2507" s="76"/>
      <c r="N2507" s="76"/>
      <c r="O2507" s="76">
        <v>0</v>
      </c>
      <c r="P2507" s="76"/>
      <c r="Q2507" s="76"/>
      <c r="R2507" s="76"/>
      <c r="S2507" s="76"/>
      <c r="BD2507" s="99">
        <f t="shared" si="82"/>
        <v>0</v>
      </c>
      <c r="CC2507" s="99"/>
      <c r="CV2507" s="99"/>
      <c r="CW2507" s="63"/>
    </row>
    <row r="2508" spans="1:101" x14ac:dyDescent="0.15">
      <c r="A2508" s="76">
        <v>2371</v>
      </c>
      <c r="B2508" s="74" t="s">
        <v>3574</v>
      </c>
      <c r="C2508" s="74" t="s">
        <v>3575</v>
      </c>
      <c r="D2508" s="78" t="str">
        <f t="shared" si="81"/>
        <v>https://portal.dnb.de/opac.htm?method=simpleSearch&amp;cqlMode=true&amp;query=idn%3D100112586X</v>
      </c>
      <c r="E2508" s="74" t="s">
        <v>3576</v>
      </c>
      <c r="F2508" s="74"/>
      <c r="G2508" s="76"/>
      <c r="H2508" s="77"/>
      <c r="I2508" s="76"/>
      <c r="J2508" s="77"/>
      <c r="K2508" s="77"/>
      <c r="L2508" s="76"/>
      <c r="M2508" s="76"/>
      <c r="N2508" s="76"/>
      <c r="O2508" s="76"/>
      <c r="P2508" s="76"/>
      <c r="Q2508" s="76"/>
      <c r="R2508" s="76"/>
      <c r="S2508" s="76"/>
      <c r="BD2508" s="99">
        <f t="shared" si="82"/>
        <v>0</v>
      </c>
      <c r="CC2508" s="99"/>
      <c r="CV2508" s="99"/>
      <c r="CW2508" s="63"/>
    </row>
    <row r="2509" spans="1:101" x14ac:dyDescent="0.15">
      <c r="A2509" s="76">
        <v>2372</v>
      </c>
      <c r="B2509" s="74" t="s">
        <v>3577</v>
      </c>
      <c r="C2509" s="74">
        <v>1001874862</v>
      </c>
      <c r="D2509" s="78" t="str">
        <f t="shared" si="81"/>
        <v>https://portal.dnb.de/opac.htm?method=simpleSearch&amp;cqlMode=true&amp;query=idn%3D1001874862</v>
      </c>
      <c r="E2509" s="74" t="s">
        <v>3578</v>
      </c>
      <c r="F2509" s="74"/>
      <c r="G2509" s="76"/>
      <c r="H2509" s="77"/>
      <c r="I2509" s="76"/>
      <c r="J2509" s="77"/>
      <c r="K2509" s="77"/>
      <c r="L2509" s="76"/>
      <c r="M2509" s="76"/>
      <c r="N2509" s="76"/>
      <c r="O2509" s="76"/>
      <c r="P2509" s="76"/>
      <c r="Q2509" s="76"/>
      <c r="R2509" s="76"/>
      <c r="S2509" s="76"/>
      <c r="BD2509" s="99">
        <f t="shared" si="82"/>
        <v>0</v>
      </c>
      <c r="CC2509" s="99"/>
      <c r="CV2509" s="99"/>
      <c r="CW2509" s="63"/>
    </row>
    <row r="2510" spans="1:101" ht="22.5" x14ac:dyDescent="0.15">
      <c r="A2510" s="76">
        <v>2373</v>
      </c>
      <c r="B2510" s="74" t="s">
        <v>3579</v>
      </c>
      <c r="C2510" s="74">
        <v>995505454</v>
      </c>
      <c r="D2510" s="78" t="str">
        <f t="shared" si="81"/>
        <v>https://portal.dnb.de/opac.htm?method=simpleSearch&amp;cqlMode=true&amp;query=idn%3D995505454</v>
      </c>
      <c r="E2510" s="74" t="s">
        <v>3580</v>
      </c>
      <c r="F2510" s="74"/>
      <c r="G2510" s="76"/>
      <c r="H2510" s="77" t="s">
        <v>48</v>
      </c>
      <c r="I2510" s="76" t="s">
        <v>53</v>
      </c>
      <c r="J2510" s="77" t="s">
        <v>8516</v>
      </c>
      <c r="K2510" s="77" t="s">
        <v>8565</v>
      </c>
      <c r="L2510" s="76"/>
      <c r="M2510" s="76" t="s">
        <v>38</v>
      </c>
      <c r="N2510" s="76"/>
      <c r="O2510" s="76">
        <v>0</v>
      </c>
      <c r="P2510" s="76"/>
      <c r="Q2510" s="76"/>
      <c r="R2510" s="76"/>
      <c r="S2510" s="76"/>
      <c r="BD2510" s="99">
        <f t="shared" si="82"/>
        <v>0</v>
      </c>
      <c r="CC2510" s="99"/>
      <c r="CV2510" s="99"/>
      <c r="CW2510" s="63"/>
    </row>
    <row r="2511" spans="1:101" x14ac:dyDescent="0.15">
      <c r="A2511" s="76">
        <v>2374</v>
      </c>
      <c r="B2511" s="74" t="s">
        <v>3581</v>
      </c>
      <c r="C2511" s="74" t="s">
        <v>3582</v>
      </c>
      <c r="D2511" s="78" t="str">
        <f t="shared" si="81"/>
        <v>https://portal.dnb.de/opac.htm?method=simpleSearch&amp;cqlMode=true&amp;query=idn%3D99551142X</v>
      </c>
      <c r="E2511" s="74" t="s">
        <v>3580</v>
      </c>
      <c r="F2511" s="74"/>
      <c r="G2511" s="76"/>
      <c r="H2511" s="77"/>
      <c r="I2511" s="76"/>
      <c r="J2511" s="77"/>
      <c r="K2511" s="77"/>
      <c r="L2511" s="76"/>
      <c r="M2511" s="76"/>
      <c r="N2511" s="76"/>
      <c r="O2511" s="76"/>
      <c r="P2511" s="76"/>
      <c r="Q2511" s="76"/>
      <c r="R2511" s="76"/>
      <c r="S2511" s="76"/>
      <c r="BD2511" s="99">
        <f t="shared" si="82"/>
        <v>0</v>
      </c>
      <c r="CC2511" s="99"/>
      <c r="CV2511" s="99"/>
      <c r="CW2511" s="63"/>
    </row>
    <row r="2512" spans="1:101" ht="22.5" x14ac:dyDescent="0.15">
      <c r="A2512" s="76">
        <v>2375</v>
      </c>
      <c r="B2512" s="74" t="s">
        <v>3585</v>
      </c>
      <c r="C2512" s="74">
        <v>1003231144</v>
      </c>
      <c r="D2512" s="78" t="str">
        <f t="shared" si="81"/>
        <v>https://portal.dnb.de/opac.htm?method=simpleSearch&amp;cqlMode=true&amp;query=idn%3D1003231144</v>
      </c>
      <c r="E2512" s="74" t="s">
        <v>3586</v>
      </c>
      <c r="F2512" s="74"/>
      <c r="G2512" s="76"/>
      <c r="H2512" s="77" t="s">
        <v>48</v>
      </c>
      <c r="I2512" s="76" t="s">
        <v>53</v>
      </c>
      <c r="J2512" s="77" t="s">
        <v>8516</v>
      </c>
      <c r="K2512" s="77" t="s">
        <v>8565</v>
      </c>
      <c r="L2512" s="76"/>
      <c r="M2512" s="76" t="s">
        <v>38</v>
      </c>
      <c r="N2512" s="76" t="s">
        <v>40</v>
      </c>
      <c r="O2512" s="76">
        <v>0</v>
      </c>
      <c r="P2512" s="76"/>
      <c r="Q2512" s="76"/>
      <c r="R2512" s="76"/>
      <c r="S2512" s="76"/>
      <c r="BD2512" s="99">
        <f t="shared" si="82"/>
        <v>0</v>
      </c>
      <c r="CC2512" s="99"/>
      <c r="CV2512" s="99"/>
      <c r="CW2512" s="63"/>
    </row>
    <row r="2513" spans="1:101" ht="22.5" x14ac:dyDescent="0.15">
      <c r="A2513" s="76">
        <v>2376</v>
      </c>
      <c r="B2513" s="74" t="s">
        <v>3589</v>
      </c>
      <c r="C2513" s="74" t="s">
        <v>3590</v>
      </c>
      <c r="D2513" s="78" t="str">
        <f t="shared" si="81"/>
        <v>https://portal.dnb.de/opac.htm?method=simpleSearch&amp;cqlMode=true&amp;query=idn%3D99916791X</v>
      </c>
      <c r="E2513" s="74" t="s">
        <v>3591</v>
      </c>
      <c r="F2513" s="74"/>
      <c r="G2513" s="76"/>
      <c r="H2513" s="77" t="s">
        <v>48</v>
      </c>
      <c r="I2513" s="76" t="s">
        <v>53</v>
      </c>
      <c r="J2513" s="77" t="s">
        <v>8516</v>
      </c>
      <c r="K2513" s="77" t="s">
        <v>8565</v>
      </c>
      <c r="L2513" s="76"/>
      <c r="M2513" s="76" t="s">
        <v>38</v>
      </c>
      <c r="N2513" s="76" t="s">
        <v>40</v>
      </c>
      <c r="O2513" s="76">
        <v>0</v>
      </c>
      <c r="P2513" s="76"/>
      <c r="Q2513" s="76"/>
      <c r="R2513" s="76"/>
      <c r="S2513" s="76"/>
      <c r="BD2513" s="99">
        <f t="shared" si="82"/>
        <v>0</v>
      </c>
      <c r="CC2513" s="99"/>
      <c r="CV2513" s="99"/>
      <c r="CW2513" s="63"/>
    </row>
    <row r="2514" spans="1:101" x14ac:dyDescent="0.15">
      <c r="A2514" s="76">
        <v>2377</v>
      </c>
      <c r="B2514" s="74" t="s">
        <v>3592</v>
      </c>
      <c r="C2514" s="74" t="s">
        <v>3593</v>
      </c>
      <c r="D2514" s="78" t="str">
        <f t="shared" si="81"/>
        <v>https://portal.dnb.de/opac.htm?method=simpleSearch&amp;cqlMode=true&amp;query=idn%3D100120994X</v>
      </c>
      <c r="E2514" s="74" t="s">
        <v>3591</v>
      </c>
      <c r="F2514" s="74"/>
      <c r="G2514" s="76"/>
      <c r="H2514" s="77"/>
      <c r="I2514" s="76"/>
      <c r="J2514" s="77"/>
      <c r="K2514" s="77"/>
      <c r="L2514" s="76"/>
      <c r="M2514" s="76"/>
      <c r="N2514" s="76"/>
      <c r="O2514" s="76"/>
      <c r="P2514" s="76"/>
      <c r="Q2514" s="76"/>
      <c r="R2514" s="76"/>
      <c r="S2514" s="76"/>
      <c r="BD2514" s="99">
        <f t="shared" si="82"/>
        <v>0</v>
      </c>
      <c r="CC2514" s="99"/>
      <c r="CV2514" s="99"/>
      <c r="CW2514" s="63"/>
    </row>
    <row r="2515" spans="1:101" x14ac:dyDescent="0.15">
      <c r="A2515" s="76">
        <v>2378</v>
      </c>
      <c r="B2515" s="74" t="s">
        <v>3594</v>
      </c>
      <c r="C2515" s="74">
        <v>1001279948</v>
      </c>
      <c r="D2515" s="78" t="str">
        <f t="shared" si="81"/>
        <v>https://portal.dnb.de/opac.htm?method=simpleSearch&amp;cqlMode=true&amp;query=idn%3D1001279948</v>
      </c>
      <c r="E2515" s="74" t="s">
        <v>3595</v>
      </c>
      <c r="F2515" s="74"/>
      <c r="G2515" s="76"/>
      <c r="H2515" s="77" t="s">
        <v>4</v>
      </c>
      <c r="I2515" s="76" t="s">
        <v>53</v>
      </c>
      <c r="J2515" s="77" t="s">
        <v>58</v>
      </c>
      <c r="K2515" s="77" t="s">
        <v>8554</v>
      </c>
      <c r="L2515" s="76"/>
      <c r="M2515" s="76" t="s">
        <v>36</v>
      </c>
      <c r="N2515" s="76" t="s">
        <v>39</v>
      </c>
      <c r="O2515" s="76">
        <v>0</v>
      </c>
      <c r="P2515" s="76"/>
      <c r="Q2515" s="76"/>
      <c r="R2515" s="76"/>
      <c r="S2515" s="76"/>
      <c r="BD2515" s="99">
        <f t="shared" si="82"/>
        <v>0</v>
      </c>
      <c r="CC2515" s="99"/>
      <c r="CV2515" s="99"/>
      <c r="CW2515" s="63"/>
    </row>
    <row r="2516" spans="1:101" x14ac:dyDescent="0.15">
      <c r="A2516" s="76">
        <v>2379</v>
      </c>
      <c r="B2516" s="74" t="s">
        <v>3599</v>
      </c>
      <c r="C2516" s="74">
        <v>1003171192</v>
      </c>
      <c r="D2516" s="78" t="str">
        <f t="shared" si="81"/>
        <v>https://portal.dnb.de/opac.htm?method=simpleSearch&amp;cqlMode=true&amp;query=idn%3D1003171192</v>
      </c>
      <c r="E2516" s="74" t="s">
        <v>3600</v>
      </c>
      <c r="F2516" s="74"/>
      <c r="G2516" s="76"/>
      <c r="H2516" s="77"/>
      <c r="I2516" s="76"/>
      <c r="J2516" s="77"/>
      <c r="K2516" s="77"/>
      <c r="L2516" s="76"/>
      <c r="M2516" s="76"/>
      <c r="N2516" s="76"/>
      <c r="O2516" s="76"/>
      <c r="P2516" s="76"/>
      <c r="Q2516" s="76"/>
      <c r="R2516" s="76"/>
      <c r="S2516" s="76"/>
      <c r="BD2516" s="99">
        <f t="shared" si="82"/>
        <v>0</v>
      </c>
      <c r="CC2516" s="99"/>
      <c r="CV2516" s="99"/>
      <c r="CW2516" s="63"/>
    </row>
    <row r="2517" spans="1:101" ht="22.5" x14ac:dyDescent="0.15">
      <c r="A2517" s="76">
        <v>2380</v>
      </c>
      <c r="B2517" s="74" t="s">
        <v>3601</v>
      </c>
      <c r="C2517" s="74" t="s">
        <v>3602</v>
      </c>
      <c r="D2517" s="78" t="str">
        <f t="shared" si="81"/>
        <v>https://portal.dnb.de/opac.htm?method=simpleSearch&amp;cqlMode=true&amp;query=idn%3D100317034X</v>
      </c>
      <c r="E2517" s="74" t="s">
        <v>3600</v>
      </c>
      <c r="F2517" s="74"/>
      <c r="G2517" s="76" t="s">
        <v>8515</v>
      </c>
      <c r="H2517" s="77" t="s">
        <v>18</v>
      </c>
      <c r="I2517" s="76" t="s">
        <v>53</v>
      </c>
      <c r="J2517" s="77" t="s">
        <v>8516</v>
      </c>
      <c r="K2517" s="77" t="s">
        <v>84</v>
      </c>
      <c r="L2517" s="76"/>
      <c r="M2517" s="76" t="s">
        <v>36</v>
      </c>
      <c r="N2517" s="76" t="s">
        <v>39</v>
      </c>
      <c r="O2517" s="76">
        <v>0</v>
      </c>
      <c r="P2517" s="76"/>
      <c r="Q2517" s="76"/>
      <c r="R2517" s="76"/>
      <c r="S2517" s="76"/>
      <c r="BD2517" s="99">
        <f t="shared" si="82"/>
        <v>0</v>
      </c>
      <c r="CC2517" s="99"/>
      <c r="CV2517" s="99"/>
      <c r="CW2517" s="63"/>
    </row>
    <row r="2518" spans="1:101" x14ac:dyDescent="0.15">
      <c r="A2518" s="76">
        <v>2381</v>
      </c>
      <c r="B2518" s="74" t="s">
        <v>3605</v>
      </c>
      <c r="C2518" s="74" t="s">
        <v>3606</v>
      </c>
      <c r="D2518" s="78" t="str">
        <f t="shared" si="81"/>
        <v>https://portal.dnb.de/opac.htm?method=simpleSearch&amp;cqlMode=true&amp;query=idn%3D99988722X</v>
      </c>
      <c r="E2518" s="74" t="s">
        <v>3607</v>
      </c>
      <c r="F2518" s="74"/>
      <c r="G2518" s="76"/>
      <c r="H2518" s="77"/>
      <c r="I2518" s="76"/>
      <c r="J2518" s="77"/>
      <c r="K2518" s="77"/>
      <c r="L2518" s="76"/>
      <c r="M2518" s="76"/>
      <c r="N2518" s="76"/>
      <c r="O2518" s="76">
        <v>0</v>
      </c>
      <c r="P2518" s="76"/>
      <c r="Q2518" s="76"/>
      <c r="R2518" s="76"/>
      <c r="S2518" s="76"/>
      <c r="BD2518" s="99">
        <f t="shared" si="82"/>
        <v>0</v>
      </c>
      <c r="CC2518" s="99"/>
      <c r="CV2518" s="99"/>
      <c r="CW2518" s="63"/>
    </row>
    <row r="2519" spans="1:101" x14ac:dyDescent="0.15">
      <c r="A2519" s="76">
        <v>2382</v>
      </c>
      <c r="B2519" s="74" t="s">
        <v>3608</v>
      </c>
      <c r="C2519" s="74">
        <v>999887831</v>
      </c>
      <c r="D2519" s="78" t="str">
        <f t="shared" si="81"/>
        <v>https://portal.dnb.de/opac.htm?method=simpleSearch&amp;cqlMode=true&amp;query=idn%3D999887831</v>
      </c>
      <c r="E2519" s="74" t="s">
        <v>3607</v>
      </c>
      <c r="F2519" s="74"/>
      <c r="G2519" s="76"/>
      <c r="H2519" s="77" t="s">
        <v>48</v>
      </c>
      <c r="I2519" s="76" t="s">
        <v>53</v>
      </c>
      <c r="J2519" s="77" t="s">
        <v>8516</v>
      </c>
      <c r="K2519" s="77" t="s">
        <v>84</v>
      </c>
      <c r="L2519" s="76"/>
      <c r="M2519" s="76"/>
      <c r="N2519" s="76" t="s">
        <v>8660</v>
      </c>
      <c r="O2519" s="76">
        <v>0</v>
      </c>
      <c r="P2519" s="76"/>
      <c r="Q2519" s="76"/>
      <c r="R2519" s="76"/>
      <c r="S2519" s="76"/>
      <c r="BD2519" s="99">
        <f t="shared" si="82"/>
        <v>0</v>
      </c>
      <c r="CC2519" s="99"/>
      <c r="CV2519" s="99"/>
      <c r="CW2519" s="63"/>
    </row>
    <row r="2520" spans="1:101" ht="22.5" x14ac:dyDescent="0.15">
      <c r="A2520" s="76">
        <v>2383</v>
      </c>
      <c r="B2520" s="74" t="s">
        <v>2479</v>
      </c>
      <c r="C2520" s="74" t="s">
        <v>2480</v>
      </c>
      <c r="D2520" s="78" t="str">
        <f t="shared" si="81"/>
        <v>https://portal.dnb.de/opac.htm?method=simpleSearch&amp;cqlMode=true&amp;query=idn%3D99628673X</v>
      </c>
      <c r="E2520" s="74" t="s">
        <v>2481</v>
      </c>
      <c r="F2520" s="74"/>
      <c r="G2520" s="76" t="s">
        <v>8515</v>
      </c>
      <c r="H2520" s="77" t="s">
        <v>18</v>
      </c>
      <c r="I2520" s="76" t="s">
        <v>53</v>
      </c>
      <c r="J2520" s="77" t="s">
        <v>58</v>
      </c>
      <c r="K2520" s="77" t="s">
        <v>84</v>
      </c>
      <c r="L2520" s="76"/>
      <c r="M2520" s="76" t="s">
        <v>36</v>
      </c>
      <c r="N2520" s="76" t="s">
        <v>39</v>
      </c>
      <c r="O2520" s="76">
        <v>0</v>
      </c>
      <c r="P2520" s="76"/>
      <c r="Q2520" s="76"/>
      <c r="R2520" s="76"/>
      <c r="S2520" s="76"/>
      <c r="BD2520" s="99">
        <f t="shared" si="82"/>
        <v>0</v>
      </c>
      <c r="CC2520" s="99"/>
      <c r="CV2520" s="99"/>
      <c r="CW2520" s="63"/>
    </row>
    <row r="2521" spans="1:101" x14ac:dyDescent="0.15">
      <c r="A2521" s="76">
        <v>2384</v>
      </c>
      <c r="B2521" s="74" t="s">
        <v>2482</v>
      </c>
      <c r="C2521" s="74">
        <v>1000998401</v>
      </c>
      <c r="D2521" s="78" t="str">
        <f t="shared" si="81"/>
        <v>https://portal.dnb.de/opac.htm?method=simpleSearch&amp;cqlMode=true&amp;query=idn%3D1000998401</v>
      </c>
      <c r="E2521" s="74" t="s">
        <v>2483</v>
      </c>
      <c r="F2521" s="74"/>
      <c r="G2521" s="76"/>
      <c r="H2521" s="77"/>
      <c r="I2521" s="76"/>
      <c r="J2521" s="77"/>
      <c r="K2521" s="77"/>
      <c r="L2521" s="76"/>
      <c r="M2521" s="76"/>
      <c r="N2521" s="76"/>
      <c r="O2521" s="76"/>
      <c r="P2521" s="76"/>
      <c r="Q2521" s="76"/>
      <c r="R2521" s="76"/>
      <c r="S2521" s="76"/>
      <c r="BD2521" s="99">
        <f t="shared" si="82"/>
        <v>0</v>
      </c>
      <c r="CC2521" s="99"/>
      <c r="CV2521" s="99"/>
      <c r="CW2521" s="63"/>
    </row>
    <row r="2522" spans="1:101" ht="22.5" x14ac:dyDescent="0.15">
      <c r="A2522" s="76">
        <v>2385</v>
      </c>
      <c r="B2522" s="74" t="s">
        <v>2484</v>
      </c>
      <c r="C2522" s="74">
        <v>1000998398</v>
      </c>
      <c r="D2522" s="78" t="str">
        <f t="shared" si="81"/>
        <v>https://portal.dnb.de/opac.htm?method=simpleSearch&amp;cqlMode=true&amp;query=idn%3D1000998398</v>
      </c>
      <c r="E2522" s="74" t="s">
        <v>2483</v>
      </c>
      <c r="F2522" s="74"/>
      <c r="G2522" s="76"/>
      <c r="H2522" s="77" t="s">
        <v>4</v>
      </c>
      <c r="I2522" s="76" t="s">
        <v>53</v>
      </c>
      <c r="J2522" s="77" t="s">
        <v>8516</v>
      </c>
      <c r="K2522" s="77" t="s">
        <v>8552</v>
      </c>
      <c r="L2522" s="76"/>
      <c r="M2522" s="76" t="s">
        <v>36</v>
      </c>
      <c r="N2522" s="76" t="s">
        <v>39</v>
      </c>
      <c r="O2522" s="76">
        <v>0</v>
      </c>
      <c r="P2522" s="76"/>
      <c r="Q2522" s="76"/>
      <c r="R2522" s="76"/>
      <c r="S2522" s="76"/>
      <c r="BD2522" s="99">
        <f t="shared" si="82"/>
        <v>0</v>
      </c>
      <c r="CC2522" s="99"/>
      <c r="CV2522" s="99"/>
      <c r="CW2522" s="63"/>
    </row>
    <row r="2523" spans="1:101" x14ac:dyDescent="0.15">
      <c r="A2523" s="76">
        <v>2386</v>
      </c>
      <c r="B2523" s="74" t="s">
        <v>2485</v>
      </c>
      <c r="C2523" s="74">
        <v>1000998444</v>
      </c>
      <c r="D2523" s="78" t="str">
        <f t="shared" si="81"/>
        <v>https://portal.dnb.de/opac.htm?method=simpleSearch&amp;cqlMode=true&amp;query=idn%3D1000998444</v>
      </c>
      <c r="E2523" s="74" t="s">
        <v>2483</v>
      </c>
      <c r="F2523" s="74"/>
      <c r="G2523" s="76"/>
      <c r="H2523" s="77"/>
      <c r="I2523" s="76"/>
      <c r="J2523" s="77"/>
      <c r="K2523" s="77"/>
      <c r="L2523" s="76"/>
      <c r="M2523" s="76"/>
      <c r="N2523" s="76"/>
      <c r="O2523" s="76"/>
      <c r="P2523" s="76"/>
      <c r="Q2523" s="76"/>
      <c r="R2523" s="76"/>
      <c r="S2523" s="76"/>
      <c r="BD2523" s="99">
        <f t="shared" si="82"/>
        <v>0</v>
      </c>
      <c r="CC2523" s="99"/>
      <c r="CV2523" s="99"/>
      <c r="CW2523" s="63"/>
    </row>
    <row r="2524" spans="1:101" ht="33.75" x14ac:dyDescent="0.15">
      <c r="A2524" s="76">
        <v>2387</v>
      </c>
      <c r="B2524" s="74" t="s">
        <v>2486</v>
      </c>
      <c r="C2524" s="74">
        <v>996255613</v>
      </c>
      <c r="D2524" s="78" t="str">
        <f t="shared" si="81"/>
        <v>https://portal.dnb.de/opac.htm?method=simpleSearch&amp;cqlMode=true&amp;query=idn%3D996255613</v>
      </c>
      <c r="E2524" s="74" t="s">
        <v>2487</v>
      </c>
      <c r="F2524" s="74"/>
      <c r="G2524" s="76"/>
      <c r="H2524" s="77" t="s">
        <v>5</v>
      </c>
      <c r="I2524" s="76" t="s">
        <v>53</v>
      </c>
      <c r="J2524" s="77" t="s">
        <v>8516</v>
      </c>
      <c r="K2524" s="77" t="s">
        <v>8667</v>
      </c>
      <c r="L2524" s="76"/>
      <c r="M2524" s="76" t="s">
        <v>36</v>
      </c>
      <c r="N2524" s="76" t="s">
        <v>39</v>
      </c>
      <c r="O2524" s="76">
        <v>0</v>
      </c>
      <c r="P2524" s="76"/>
      <c r="Q2524" s="76"/>
      <c r="R2524" s="76"/>
      <c r="S2524" s="76"/>
      <c r="BD2524" s="99">
        <f t="shared" si="82"/>
        <v>0</v>
      </c>
      <c r="CC2524" s="99"/>
      <c r="CV2524" s="99"/>
      <c r="CW2524" s="63"/>
    </row>
    <row r="2525" spans="1:101" x14ac:dyDescent="0.15">
      <c r="A2525" s="76">
        <v>2388</v>
      </c>
      <c r="B2525" s="74" t="s">
        <v>2488</v>
      </c>
      <c r="C2525" s="74">
        <v>18605893</v>
      </c>
      <c r="D2525" s="78" t="str">
        <f t="shared" si="81"/>
        <v>https://portal.dnb.de/opac.htm?method=simpleSearch&amp;cqlMode=true&amp;query=idn%3D18605893</v>
      </c>
      <c r="E2525" s="74" t="s">
        <v>2489</v>
      </c>
      <c r="F2525" s="74"/>
      <c r="G2525" s="76"/>
      <c r="H2525" s="77" t="s">
        <v>8668</v>
      </c>
      <c r="I2525" s="76" t="s">
        <v>53</v>
      </c>
      <c r="J2525" s="77" t="s">
        <v>58</v>
      </c>
      <c r="K2525" s="77"/>
      <c r="L2525" s="76"/>
      <c r="M2525" s="76" t="s">
        <v>34</v>
      </c>
      <c r="N2525" s="76" t="s">
        <v>40</v>
      </c>
      <c r="O2525" s="76">
        <v>0</v>
      </c>
      <c r="P2525" s="76"/>
      <c r="Q2525" s="76"/>
      <c r="R2525" s="76"/>
      <c r="S2525" s="76"/>
      <c r="BD2525" s="99">
        <f t="shared" si="82"/>
        <v>0</v>
      </c>
      <c r="CC2525" s="99"/>
      <c r="CV2525" s="99"/>
      <c r="CW2525" s="63"/>
    </row>
    <row r="2526" spans="1:101" x14ac:dyDescent="0.15">
      <c r="A2526" s="76">
        <v>2389</v>
      </c>
      <c r="B2526" s="74" t="s">
        <v>2490</v>
      </c>
      <c r="C2526" s="74">
        <v>15460630</v>
      </c>
      <c r="D2526" s="78" t="str">
        <f t="shared" si="81"/>
        <v>https://portal.dnb.de/opac.htm?method=simpleSearch&amp;cqlMode=true&amp;query=idn%3D15460630</v>
      </c>
      <c r="E2526" s="74" t="s">
        <v>2491</v>
      </c>
      <c r="F2526" s="74"/>
      <c r="G2526" s="76"/>
      <c r="H2526" s="77" t="s">
        <v>8668</v>
      </c>
      <c r="I2526" s="76" t="s">
        <v>53</v>
      </c>
      <c r="J2526" s="77" t="s">
        <v>58</v>
      </c>
      <c r="K2526" s="77"/>
      <c r="L2526" s="76"/>
      <c r="M2526" s="76" t="s">
        <v>34</v>
      </c>
      <c r="N2526" s="76" t="s">
        <v>40</v>
      </c>
      <c r="O2526" s="76">
        <v>0</v>
      </c>
      <c r="P2526" s="76"/>
      <c r="Q2526" s="76"/>
      <c r="R2526" s="76"/>
      <c r="S2526" s="76"/>
      <c r="BD2526" s="99">
        <f t="shared" si="82"/>
        <v>0</v>
      </c>
      <c r="CC2526" s="99"/>
      <c r="CV2526" s="99"/>
      <c r="CW2526" s="63"/>
    </row>
    <row r="2527" spans="1:101" x14ac:dyDescent="0.15">
      <c r="A2527" s="76">
        <v>2390</v>
      </c>
      <c r="B2527" s="74" t="s">
        <v>2492</v>
      </c>
      <c r="C2527" s="74">
        <v>994336020</v>
      </c>
      <c r="D2527" s="78" t="str">
        <f t="shared" si="81"/>
        <v>https://portal.dnb.de/opac.htm?method=simpleSearch&amp;cqlMode=true&amp;query=idn%3D994336020</v>
      </c>
      <c r="E2527" s="74" t="s">
        <v>2493</v>
      </c>
      <c r="F2527" s="74"/>
      <c r="G2527" s="76"/>
      <c r="H2527" s="77"/>
      <c r="I2527" s="76"/>
      <c r="J2527" s="77"/>
      <c r="K2527" s="77"/>
      <c r="L2527" s="76"/>
      <c r="M2527" s="76"/>
      <c r="N2527" s="76"/>
      <c r="O2527" s="76"/>
      <c r="P2527" s="76"/>
      <c r="Q2527" s="76"/>
      <c r="R2527" s="76"/>
      <c r="S2527" s="76"/>
      <c r="BD2527" s="99">
        <f t="shared" si="82"/>
        <v>0</v>
      </c>
      <c r="CC2527" s="99"/>
      <c r="CV2527" s="99"/>
      <c r="CW2527" s="63"/>
    </row>
    <row r="2528" spans="1:101" x14ac:dyDescent="0.15">
      <c r="A2528" s="76">
        <v>2391</v>
      </c>
      <c r="B2528" s="74" t="s">
        <v>2494</v>
      </c>
      <c r="C2528" s="74">
        <v>1000905969</v>
      </c>
      <c r="D2528" s="78" t="str">
        <f t="shared" si="81"/>
        <v>https://portal.dnb.de/opac.htm?method=simpleSearch&amp;cqlMode=true&amp;query=idn%3D1000905969</v>
      </c>
      <c r="E2528" s="74" t="s">
        <v>2495</v>
      </c>
      <c r="F2528" s="74"/>
      <c r="G2528" s="76"/>
      <c r="H2528" s="77"/>
      <c r="I2528" s="76"/>
      <c r="J2528" s="77"/>
      <c r="K2528" s="77"/>
      <c r="L2528" s="76"/>
      <c r="M2528" s="76"/>
      <c r="N2528" s="76"/>
      <c r="O2528" s="76"/>
      <c r="P2528" s="76"/>
      <c r="Q2528" s="76"/>
      <c r="R2528" s="76"/>
      <c r="S2528" s="76"/>
      <c r="BD2528" s="99">
        <f t="shared" si="82"/>
        <v>0</v>
      </c>
      <c r="CC2528" s="99"/>
      <c r="CV2528" s="99"/>
      <c r="CW2528" s="63"/>
    </row>
    <row r="2529" spans="1:101" x14ac:dyDescent="0.15">
      <c r="A2529" s="76">
        <v>2392</v>
      </c>
      <c r="B2529" s="74" t="s">
        <v>2496</v>
      </c>
      <c r="C2529" s="74" t="s">
        <v>2497</v>
      </c>
      <c r="D2529" s="78" t="str">
        <f t="shared" si="81"/>
        <v>https://portal.dnb.de/opac.htm?method=simpleSearch&amp;cqlMode=true&amp;query=idn%3D100090654X</v>
      </c>
      <c r="E2529" s="74" t="s">
        <v>2495</v>
      </c>
      <c r="F2529" s="74"/>
      <c r="G2529" s="76"/>
      <c r="H2529" s="77" t="s">
        <v>5</v>
      </c>
      <c r="I2529" s="76" t="s">
        <v>53</v>
      </c>
      <c r="J2529" s="77" t="s">
        <v>8516</v>
      </c>
      <c r="K2529" s="77"/>
      <c r="L2529" s="76"/>
      <c r="M2529" s="76" t="s">
        <v>36</v>
      </c>
      <c r="N2529" s="76" t="s">
        <v>39</v>
      </c>
      <c r="O2529" s="76">
        <v>0</v>
      </c>
      <c r="P2529" s="76"/>
      <c r="Q2529" s="76"/>
      <c r="R2529" s="76"/>
      <c r="S2529" s="76"/>
      <c r="BD2529" s="99">
        <f t="shared" si="82"/>
        <v>0</v>
      </c>
      <c r="CC2529" s="99"/>
      <c r="CV2529" s="99"/>
      <c r="CW2529" s="63"/>
    </row>
    <row r="2530" spans="1:101" ht="33.75" x14ac:dyDescent="0.15">
      <c r="A2530" s="76">
        <v>2393</v>
      </c>
      <c r="B2530" s="74" t="s">
        <v>2498</v>
      </c>
      <c r="C2530" s="74">
        <v>994090730</v>
      </c>
      <c r="D2530" s="78" t="str">
        <f t="shared" si="81"/>
        <v>https://portal.dnb.de/opac.htm?method=simpleSearch&amp;cqlMode=true&amp;query=idn%3D994090730</v>
      </c>
      <c r="E2530" s="74" t="s">
        <v>2499</v>
      </c>
      <c r="F2530" s="74"/>
      <c r="G2530" s="76"/>
      <c r="H2530" s="77" t="s">
        <v>48</v>
      </c>
      <c r="I2530" s="76" t="s">
        <v>53</v>
      </c>
      <c r="J2530" s="77" t="s">
        <v>89</v>
      </c>
      <c r="K2530" s="77" t="s">
        <v>8566</v>
      </c>
      <c r="L2530" s="76"/>
      <c r="M2530" s="76"/>
      <c r="N2530" s="76"/>
      <c r="O2530" s="76">
        <v>0</v>
      </c>
      <c r="P2530" s="76"/>
      <c r="Q2530" s="76"/>
      <c r="R2530" s="76"/>
      <c r="S2530" s="76"/>
      <c r="BD2530" s="99">
        <f t="shared" si="82"/>
        <v>0</v>
      </c>
      <c r="CC2530" s="99"/>
      <c r="CV2530" s="99"/>
      <c r="CW2530" s="63"/>
    </row>
    <row r="2531" spans="1:101" x14ac:dyDescent="0.15">
      <c r="A2531" s="76">
        <v>2394</v>
      </c>
      <c r="B2531" s="74" t="s">
        <v>2500</v>
      </c>
      <c r="C2531" s="74">
        <v>994090773</v>
      </c>
      <c r="D2531" s="78" t="str">
        <f t="shared" si="81"/>
        <v>https://portal.dnb.de/opac.htm?method=simpleSearch&amp;cqlMode=true&amp;query=idn%3D994090773</v>
      </c>
      <c r="E2531" s="74" t="s">
        <v>2499</v>
      </c>
      <c r="F2531" s="74"/>
      <c r="G2531" s="76"/>
      <c r="H2531" s="77"/>
      <c r="I2531" s="76"/>
      <c r="J2531" s="77"/>
      <c r="K2531" s="77"/>
      <c r="L2531" s="76"/>
      <c r="M2531" s="76"/>
      <c r="N2531" s="76"/>
      <c r="O2531" s="76"/>
      <c r="P2531" s="76"/>
      <c r="Q2531" s="76"/>
      <c r="R2531" s="76"/>
      <c r="S2531" s="76"/>
      <c r="BD2531" s="99">
        <f t="shared" si="82"/>
        <v>0</v>
      </c>
      <c r="CC2531" s="99"/>
      <c r="CV2531" s="99"/>
      <c r="CW2531" s="63"/>
    </row>
    <row r="2532" spans="1:101" x14ac:dyDescent="0.15">
      <c r="A2532" s="76">
        <v>2395</v>
      </c>
      <c r="B2532" s="74" t="s">
        <v>2501</v>
      </c>
      <c r="C2532" s="74">
        <v>994090803</v>
      </c>
      <c r="D2532" s="78" t="str">
        <f t="shared" ref="D2532:D2626" si="83">HYPERLINK(CONCATENATE("https://portal.dnb.de/opac.htm?method=simpleSearch&amp;cqlMode=true&amp;query=idn%3D",C2532))</f>
        <v>https://portal.dnb.de/opac.htm?method=simpleSearch&amp;cqlMode=true&amp;query=idn%3D994090803</v>
      </c>
      <c r="E2532" s="74" t="s">
        <v>2499</v>
      </c>
      <c r="F2532" s="74"/>
      <c r="G2532" s="76"/>
      <c r="H2532" s="77"/>
      <c r="I2532" s="76"/>
      <c r="J2532" s="77"/>
      <c r="K2532" s="77"/>
      <c r="L2532" s="76"/>
      <c r="M2532" s="76"/>
      <c r="N2532" s="76"/>
      <c r="O2532" s="76"/>
      <c r="P2532" s="76"/>
      <c r="Q2532" s="76"/>
      <c r="R2532" s="76"/>
      <c r="S2532" s="76"/>
      <c r="BD2532" s="99">
        <f t="shared" si="82"/>
        <v>0</v>
      </c>
      <c r="CC2532" s="99"/>
      <c r="CV2532" s="99"/>
      <c r="CW2532" s="63"/>
    </row>
    <row r="2533" spans="1:101" x14ac:dyDescent="0.15">
      <c r="A2533" s="76">
        <v>2396</v>
      </c>
      <c r="B2533" s="74" t="s">
        <v>2502</v>
      </c>
      <c r="C2533" s="74">
        <v>999040146</v>
      </c>
      <c r="D2533" s="78" t="str">
        <f t="shared" si="83"/>
        <v>https://portal.dnb.de/opac.htm?method=simpleSearch&amp;cqlMode=true&amp;query=idn%3D999040146</v>
      </c>
      <c r="E2533" s="74" t="s">
        <v>2503</v>
      </c>
      <c r="F2533" s="74"/>
      <c r="G2533" s="76"/>
      <c r="H2533" s="77"/>
      <c r="I2533" s="76"/>
      <c r="J2533" s="77"/>
      <c r="K2533" s="77"/>
      <c r="L2533" s="76"/>
      <c r="M2533" s="76"/>
      <c r="N2533" s="76"/>
      <c r="O2533" s="76"/>
      <c r="P2533" s="76"/>
      <c r="Q2533" s="76"/>
      <c r="R2533" s="76"/>
      <c r="S2533" s="76"/>
      <c r="BD2533" s="99">
        <f t="shared" si="82"/>
        <v>0</v>
      </c>
      <c r="CC2533" s="99"/>
      <c r="CV2533" s="99"/>
      <c r="CW2533" s="63"/>
    </row>
    <row r="2534" spans="1:101" x14ac:dyDescent="0.15">
      <c r="A2534" s="76">
        <v>2397</v>
      </c>
      <c r="B2534" s="74" t="s">
        <v>2504</v>
      </c>
      <c r="C2534" s="74">
        <v>1002521270</v>
      </c>
      <c r="D2534" s="78" t="str">
        <f t="shared" si="83"/>
        <v>https://portal.dnb.de/opac.htm?method=simpleSearch&amp;cqlMode=true&amp;query=idn%3D1002521270</v>
      </c>
      <c r="E2534" s="74" t="s">
        <v>2505</v>
      </c>
      <c r="F2534" s="74"/>
      <c r="G2534" s="76"/>
      <c r="H2534" s="77"/>
      <c r="I2534" s="76"/>
      <c r="J2534" s="77"/>
      <c r="K2534" s="77"/>
      <c r="L2534" s="76"/>
      <c r="M2534" s="76"/>
      <c r="N2534" s="76"/>
      <c r="O2534" s="76"/>
      <c r="P2534" s="76"/>
      <c r="Q2534" s="76"/>
      <c r="R2534" s="76"/>
      <c r="S2534" s="76"/>
      <c r="BD2534" s="99">
        <f t="shared" si="82"/>
        <v>0</v>
      </c>
      <c r="CC2534" s="99"/>
      <c r="CV2534" s="99"/>
      <c r="CW2534" s="63"/>
    </row>
    <row r="2535" spans="1:101" x14ac:dyDescent="0.15">
      <c r="A2535" s="76">
        <v>2398</v>
      </c>
      <c r="B2535" s="74" t="s">
        <v>2677</v>
      </c>
      <c r="C2535" s="74">
        <v>994337671</v>
      </c>
      <c r="D2535" s="78" t="str">
        <f t="shared" si="83"/>
        <v>https://portal.dnb.de/opac.htm?method=simpleSearch&amp;cqlMode=true&amp;query=idn%3D994337671</v>
      </c>
      <c r="E2535" s="74" t="s">
        <v>2678</v>
      </c>
      <c r="F2535" s="74"/>
      <c r="G2535" s="76"/>
      <c r="H2535" s="77"/>
      <c r="I2535" s="76"/>
      <c r="J2535" s="77"/>
      <c r="K2535" s="77"/>
      <c r="L2535" s="76"/>
      <c r="M2535" s="76"/>
      <c r="N2535" s="76"/>
      <c r="O2535" s="76"/>
      <c r="P2535" s="76"/>
      <c r="Q2535" s="76"/>
      <c r="R2535" s="76"/>
      <c r="S2535" s="76"/>
      <c r="BD2535" s="99">
        <f t="shared" si="82"/>
        <v>0</v>
      </c>
      <c r="CC2535" s="99"/>
      <c r="CV2535" s="99"/>
      <c r="CW2535" s="63"/>
    </row>
    <row r="2536" spans="1:101" x14ac:dyDescent="0.15">
      <c r="A2536" s="76">
        <v>2399</v>
      </c>
      <c r="B2536" s="74" t="s">
        <v>2679</v>
      </c>
      <c r="C2536" s="74">
        <v>994337965</v>
      </c>
      <c r="D2536" s="78" t="str">
        <f t="shared" si="83"/>
        <v>https://portal.dnb.de/opac.htm?method=simpleSearch&amp;cqlMode=true&amp;query=idn%3D994337965</v>
      </c>
      <c r="E2536" s="74" t="s">
        <v>2678</v>
      </c>
      <c r="F2536" s="74"/>
      <c r="G2536" s="76"/>
      <c r="H2536" s="77"/>
      <c r="I2536" s="76"/>
      <c r="J2536" s="77"/>
      <c r="K2536" s="77"/>
      <c r="L2536" s="76"/>
      <c r="M2536" s="76"/>
      <c r="N2536" s="76"/>
      <c r="O2536" s="76"/>
      <c r="P2536" s="76"/>
      <c r="Q2536" s="76"/>
      <c r="R2536" s="76"/>
      <c r="S2536" s="76"/>
      <c r="BD2536" s="99">
        <f t="shared" si="82"/>
        <v>0</v>
      </c>
      <c r="CC2536" s="99"/>
      <c r="CV2536" s="99"/>
      <c r="CW2536" s="63"/>
    </row>
    <row r="2537" spans="1:101" x14ac:dyDescent="0.15">
      <c r="A2537" s="76">
        <v>2400</v>
      </c>
      <c r="B2537" s="74" t="s">
        <v>2680</v>
      </c>
      <c r="C2537" s="74">
        <v>994337728</v>
      </c>
      <c r="D2537" s="78" t="str">
        <f t="shared" si="83"/>
        <v>https://portal.dnb.de/opac.htm?method=simpleSearch&amp;cqlMode=true&amp;query=idn%3D994337728</v>
      </c>
      <c r="E2537" s="74" t="s">
        <v>2678</v>
      </c>
      <c r="F2537" s="74"/>
      <c r="G2537" s="76"/>
      <c r="H2537" s="77"/>
      <c r="I2537" s="76"/>
      <c r="J2537" s="77"/>
      <c r="K2537" s="77"/>
      <c r="L2537" s="76"/>
      <c r="M2537" s="76"/>
      <c r="N2537" s="76"/>
      <c r="O2537" s="76"/>
      <c r="P2537" s="76"/>
      <c r="Q2537" s="76"/>
      <c r="R2537" s="76"/>
      <c r="S2537" s="76"/>
      <c r="BD2537" s="99">
        <f t="shared" si="82"/>
        <v>0</v>
      </c>
      <c r="CC2537" s="99"/>
      <c r="CV2537" s="99"/>
      <c r="CW2537" s="63"/>
    </row>
    <row r="2538" spans="1:101" x14ac:dyDescent="0.15">
      <c r="A2538" s="76">
        <v>2401</v>
      </c>
      <c r="B2538" s="74" t="s">
        <v>2681</v>
      </c>
      <c r="C2538" s="74">
        <v>994337779</v>
      </c>
      <c r="D2538" s="78" t="str">
        <f t="shared" si="83"/>
        <v>https://portal.dnb.de/opac.htm?method=simpleSearch&amp;cqlMode=true&amp;query=idn%3D994337779</v>
      </c>
      <c r="E2538" s="74" t="s">
        <v>2678</v>
      </c>
      <c r="F2538" s="74"/>
      <c r="G2538" s="76"/>
      <c r="H2538" s="77"/>
      <c r="I2538" s="76"/>
      <c r="J2538" s="77"/>
      <c r="K2538" s="77"/>
      <c r="L2538" s="76"/>
      <c r="M2538" s="76"/>
      <c r="N2538" s="76"/>
      <c r="O2538" s="76"/>
      <c r="P2538" s="76"/>
      <c r="Q2538" s="76"/>
      <c r="R2538" s="76"/>
      <c r="S2538" s="76"/>
      <c r="BD2538" s="99">
        <f t="shared" si="82"/>
        <v>0</v>
      </c>
      <c r="CC2538" s="99"/>
      <c r="CV2538" s="99"/>
      <c r="CW2538" s="63"/>
    </row>
    <row r="2539" spans="1:101" x14ac:dyDescent="0.15">
      <c r="A2539" s="76">
        <v>2402</v>
      </c>
      <c r="B2539" s="74" t="s">
        <v>2682</v>
      </c>
      <c r="C2539" s="74">
        <v>994337795</v>
      </c>
      <c r="D2539" s="78" t="str">
        <f t="shared" si="83"/>
        <v>https://portal.dnb.de/opac.htm?method=simpleSearch&amp;cqlMode=true&amp;query=idn%3D994337795</v>
      </c>
      <c r="E2539" s="74" t="s">
        <v>2678</v>
      </c>
      <c r="F2539" s="74"/>
      <c r="G2539" s="76"/>
      <c r="H2539" s="77"/>
      <c r="I2539" s="76"/>
      <c r="J2539" s="77"/>
      <c r="K2539" s="77"/>
      <c r="L2539" s="76"/>
      <c r="M2539" s="76"/>
      <c r="N2539" s="76"/>
      <c r="O2539" s="76"/>
      <c r="P2539" s="76"/>
      <c r="Q2539" s="76"/>
      <c r="R2539" s="76"/>
      <c r="S2539" s="76"/>
      <c r="BD2539" s="99">
        <f t="shared" si="82"/>
        <v>0</v>
      </c>
      <c r="CC2539" s="99"/>
      <c r="CV2539" s="99"/>
      <c r="CW2539" s="63"/>
    </row>
    <row r="2540" spans="1:101" x14ac:dyDescent="0.15">
      <c r="A2540" s="76">
        <v>2403</v>
      </c>
      <c r="B2540" s="74" t="s">
        <v>2683</v>
      </c>
      <c r="C2540" s="74" t="s">
        <v>2684</v>
      </c>
      <c r="D2540" s="78" t="str">
        <f t="shared" si="83"/>
        <v>https://portal.dnb.de/opac.htm?method=simpleSearch&amp;cqlMode=true&amp;query=idn%3D99433785X</v>
      </c>
      <c r="E2540" s="74" t="s">
        <v>2678</v>
      </c>
      <c r="F2540" s="74"/>
      <c r="G2540" s="76"/>
      <c r="H2540" s="77"/>
      <c r="I2540" s="76"/>
      <c r="J2540" s="77"/>
      <c r="K2540" s="77"/>
      <c r="L2540" s="76"/>
      <c r="M2540" s="76"/>
      <c r="N2540" s="76"/>
      <c r="O2540" s="76"/>
      <c r="P2540" s="76"/>
      <c r="Q2540" s="76"/>
      <c r="R2540" s="76"/>
      <c r="S2540" s="76"/>
      <c r="BD2540" s="99">
        <f t="shared" si="82"/>
        <v>0</v>
      </c>
      <c r="CC2540" s="99"/>
      <c r="CV2540" s="99"/>
      <c r="CW2540" s="63"/>
    </row>
    <row r="2541" spans="1:101" x14ac:dyDescent="0.15">
      <c r="A2541" s="76">
        <v>2404</v>
      </c>
      <c r="B2541" s="74" t="s">
        <v>2685</v>
      </c>
      <c r="C2541" s="74">
        <v>996975802</v>
      </c>
      <c r="D2541" s="78" t="str">
        <f t="shared" si="83"/>
        <v>https://portal.dnb.de/opac.htm?method=simpleSearch&amp;cqlMode=true&amp;query=idn%3D996975802</v>
      </c>
      <c r="E2541" s="74" t="s">
        <v>2686</v>
      </c>
      <c r="F2541" s="74"/>
      <c r="G2541" s="76"/>
      <c r="H2541" s="77"/>
      <c r="I2541" s="76"/>
      <c r="J2541" s="77"/>
      <c r="K2541" s="77"/>
      <c r="L2541" s="76"/>
      <c r="M2541" s="76"/>
      <c r="N2541" s="76"/>
      <c r="O2541" s="76"/>
      <c r="P2541" s="76"/>
      <c r="Q2541" s="76"/>
      <c r="R2541" s="76"/>
      <c r="S2541" s="76"/>
      <c r="BD2541" s="99">
        <f t="shared" si="82"/>
        <v>0</v>
      </c>
      <c r="CC2541" s="99"/>
      <c r="CV2541" s="99"/>
      <c r="CW2541" s="63"/>
    </row>
    <row r="2542" spans="1:101" x14ac:dyDescent="0.15">
      <c r="A2542" s="76">
        <v>2405</v>
      </c>
      <c r="B2542" s="74" t="s">
        <v>2687</v>
      </c>
      <c r="C2542" s="74">
        <v>998538108</v>
      </c>
      <c r="D2542" s="78" t="str">
        <f t="shared" si="83"/>
        <v>https://portal.dnb.de/opac.htm?method=simpleSearch&amp;cqlMode=true&amp;query=idn%3D998538108</v>
      </c>
      <c r="E2542" s="74" t="s">
        <v>2688</v>
      </c>
      <c r="F2542" s="74"/>
      <c r="G2542" s="76"/>
      <c r="H2542" s="77"/>
      <c r="I2542" s="76"/>
      <c r="J2542" s="77"/>
      <c r="K2542" s="77"/>
      <c r="L2542" s="76"/>
      <c r="M2542" s="76"/>
      <c r="N2542" s="76"/>
      <c r="O2542" s="76"/>
      <c r="P2542" s="76"/>
      <c r="Q2542" s="76"/>
      <c r="R2542" s="76"/>
      <c r="S2542" s="76"/>
      <c r="BD2542" s="99">
        <f t="shared" si="82"/>
        <v>0</v>
      </c>
      <c r="CC2542" s="99"/>
      <c r="CV2542" s="99"/>
      <c r="CW2542" s="63"/>
    </row>
    <row r="2543" spans="1:101" x14ac:dyDescent="0.15">
      <c r="A2543" s="76">
        <v>2406</v>
      </c>
      <c r="B2543" s="74" t="s">
        <v>2689</v>
      </c>
      <c r="C2543" s="74">
        <v>1000917681</v>
      </c>
      <c r="D2543" s="78" t="str">
        <f t="shared" si="83"/>
        <v>https://portal.dnb.de/opac.htm?method=simpleSearch&amp;cqlMode=true&amp;query=idn%3D1000917681</v>
      </c>
      <c r="E2543" s="74" t="s">
        <v>2690</v>
      </c>
      <c r="F2543" s="74"/>
      <c r="G2543" s="76"/>
      <c r="H2543" s="77"/>
      <c r="I2543" s="76"/>
      <c r="J2543" s="77"/>
      <c r="K2543" s="77"/>
      <c r="L2543" s="76"/>
      <c r="M2543" s="76"/>
      <c r="N2543" s="76"/>
      <c r="O2543" s="76"/>
      <c r="P2543" s="76"/>
      <c r="Q2543" s="76"/>
      <c r="R2543" s="76"/>
      <c r="S2543" s="76"/>
      <c r="BD2543" s="99">
        <f t="shared" si="82"/>
        <v>0</v>
      </c>
      <c r="CC2543" s="99"/>
      <c r="CV2543" s="99"/>
      <c r="CW2543" s="63"/>
    </row>
    <row r="2544" spans="1:101" x14ac:dyDescent="0.15">
      <c r="A2544" s="76">
        <v>2407</v>
      </c>
      <c r="B2544" s="74" t="s">
        <v>2691</v>
      </c>
      <c r="C2544" s="74">
        <v>998426172</v>
      </c>
      <c r="D2544" s="78" t="str">
        <f t="shared" si="83"/>
        <v>https://portal.dnb.de/opac.htm?method=simpleSearch&amp;cqlMode=true&amp;query=idn%3D998426172</v>
      </c>
      <c r="E2544" s="74" t="s">
        <v>2692</v>
      </c>
      <c r="F2544" s="74"/>
      <c r="G2544" s="76"/>
      <c r="H2544" s="77"/>
      <c r="I2544" s="76"/>
      <c r="J2544" s="77"/>
      <c r="K2544" s="77"/>
      <c r="L2544" s="76"/>
      <c r="M2544" s="76"/>
      <c r="N2544" s="76"/>
      <c r="O2544" s="76"/>
      <c r="P2544" s="76"/>
      <c r="Q2544" s="76"/>
      <c r="R2544" s="76"/>
      <c r="S2544" s="76"/>
      <c r="BD2544" s="99">
        <f t="shared" si="82"/>
        <v>0</v>
      </c>
      <c r="CC2544" s="99"/>
      <c r="CV2544" s="99"/>
      <c r="CW2544" s="63"/>
    </row>
    <row r="2545" spans="1:101" x14ac:dyDescent="0.15">
      <c r="A2545" s="76">
        <v>2408</v>
      </c>
      <c r="B2545" s="74" t="s">
        <v>2693</v>
      </c>
      <c r="C2545" s="74">
        <v>19064063</v>
      </c>
      <c r="D2545" s="78" t="str">
        <f t="shared" si="83"/>
        <v>https://portal.dnb.de/opac.htm?method=simpleSearch&amp;cqlMode=true&amp;query=idn%3D19064063</v>
      </c>
      <c r="E2545" s="74" t="s">
        <v>2694</v>
      </c>
      <c r="F2545" s="74"/>
      <c r="G2545" s="76"/>
      <c r="H2545" s="77"/>
      <c r="I2545" s="76"/>
      <c r="J2545" s="77"/>
      <c r="K2545" s="77"/>
      <c r="L2545" s="76"/>
      <c r="M2545" s="76"/>
      <c r="N2545" s="76"/>
      <c r="O2545" s="76"/>
      <c r="P2545" s="76"/>
      <c r="Q2545" s="76"/>
      <c r="R2545" s="76"/>
      <c r="S2545" s="76"/>
      <c r="BD2545" s="99">
        <f t="shared" si="82"/>
        <v>0</v>
      </c>
      <c r="CC2545" s="99"/>
      <c r="CV2545" s="99"/>
      <c r="CW2545" s="63"/>
    </row>
    <row r="2546" spans="1:101" x14ac:dyDescent="0.15">
      <c r="A2546" s="76">
        <v>2409</v>
      </c>
      <c r="B2546" s="74" t="s">
        <v>2695</v>
      </c>
      <c r="C2546" s="74">
        <v>1066489718</v>
      </c>
      <c r="D2546" s="78" t="str">
        <f t="shared" si="83"/>
        <v>https://portal.dnb.de/opac.htm?method=simpleSearch&amp;cqlMode=true&amp;query=idn%3D1066489718</v>
      </c>
      <c r="E2546" s="74" t="s">
        <v>2696</v>
      </c>
      <c r="F2546" s="74"/>
      <c r="G2546" s="76"/>
      <c r="H2546" s="77"/>
      <c r="I2546" s="76"/>
      <c r="J2546" s="77"/>
      <c r="K2546" s="77"/>
      <c r="L2546" s="76"/>
      <c r="M2546" s="76"/>
      <c r="N2546" s="76"/>
      <c r="O2546" s="76"/>
      <c r="P2546" s="76"/>
      <c r="Q2546" s="76"/>
      <c r="R2546" s="76"/>
      <c r="S2546" s="76"/>
      <c r="Y2546" s="95" t="s">
        <v>9725</v>
      </c>
      <c r="AB2546" s="95" t="s">
        <v>8541</v>
      </c>
      <c r="AC2546" s="95" t="s">
        <v>9739</v>
      </c>
      <c r="AI2546" s="95" t="s">
        <v>9725</v>
      </c>
      <c r="AP2546" s="95" t="s">
        <v>8541</v>
      </c>
      <c r="AW2546" s="95">
        <v>110</v>
      </c>
      <c r="BC2546" s="96" t="s">
        <v>9734</v>
      </c>
      <c r="BD2546" s="99">
        <f t="shared" si="82"/>
        <v>0</v>
      </c>
      <c r="BJ2546" s="95" t="s">
        <v>9741</v>
      </c>
      <c r="BK2546" s="95" t="s">
        <v>8541</v>
      </c>
      <c r="CC2546" s="99"/>
      <c r="CV2546" s="99"/>
      <c r="CW2546" s="63"/>
    </row>
    <row r="2547" spans="1:101" x14ac:dyDescent="0.15">
      <c r="A2547" s="76">
        <v>2410</v>
      </c>
      <c r="B2547" s="74" t="s">
        <v>2697</v>
      </c>
      <c r="C2547" s="74">
        <v>1066776075</v>
      </c>
      <c r="D2547" s="78" t="str">
        <f t="shared" si="83"/>
        <v>https://portal.dnb.de/opac.htm?method=simpleSearch&amp;cqlMode=true&amp;query=idn%3D1066776075</v>
      </c>
      <c r="E2547" s="74" t="s">
        <v>2698</v>
      </c>
      <c r="F2547" s="74"/>
      <c r="G2547" s="76"/>
      <c r="H2547" s="77"/>
      <c r="I2547" s="76"/>
      <c r="J2547" s="77"/>
      <c r="K2547" s="77"/>
      <c r="L2547" s="76"/>
      <c r="M2547" s="76"/>
      <c r="N2547" s="76"/>
      <c r="O2547" s="76"/>
      <c r="P2547" s="76"/>
      <c r="Q2547" s="76"/>
      <c r="R2547" s="76"/>
      <c r="S2547" s="76"/>
      <c r="BD2547" s="99">
        <f t="shared" si="82"/>
        <v>0</v>
      </c>
      <c r="CC2547" s="99"/>
      <c r="CV2547" s="99"/>
      <c r="CW2547" s="63"/>
    </row>
    <row r="2548" spans="1:101" x14ac:dyDescent="0.15">
      <c r="A2548" s="76">
        <v>2411</v>
      </c>
      <c r="B2548" s="74" t="s">
        <v>2699</v>
      </c>
      <c r="C2548" s="74">
        <v>979106923</v>
      </c>
      <c r="D2548" s="78" t="str">
        <f t="shared" si="83"/>
        <v>https://portal.dnb.de/opac.htm?method=simpleSearch&amp;cqlMode=true&amp;query=idn%3D979106923</v>
      </c>
      <c r="E2548" s="74" t="s">
        <v>2700</v>
      </c>
      <c r="F2548" s="74"/>
      <c r="G2548" s="76"/>
      <c r="H2548" s="77"/>
      <c r="I2548" s="76"/>
      <c r="J2548" s="77"/>
      <c r="K2548" s="77"/>
      <c r="L2548" s="76"/>
      <c r="M2548" s="76"/>
      <c r="N2548" s="76"/>
      <c r="O2548" s="76"/>
      <c r="P2548" s="76"/>
      <c r="Q2548" s="76"/>
      <c r="R2548" s="76"/>
      <c r="S2548" s="76"/>
      <c r="BD2548" s="99">
        <f t="shared" si="82"/>
        <v>0</v>
      </c>
      <c r="CC2548" s="99"/>
      <c r="CV2548" s="99"/>
      <c r="CW2548" s="63"/>
    </row>
    <row r="2549" spans="1:101" x14ac:dyDescent="0.15">
      <c r="A2549" s="76">
        <v>2412</v>
      </c>
      <c r="B2549" s="74" t="s">
        <v>2701</v>
      </c>
      <c r="C2549" s="74" t="s">
        <v>2702</v>
      </c>
      <c r="D2549" s="78" t="str">
        <f t="shared" si="83"/>
        <v>https://portal.dnb.de/opac.htm?method=simpleSearch&amp;cqlMode=true&amp;query=idn%3D99198191X</v>
      </c>
      <c r="E2549" s="74" t="s">
        <v>2703</v>
      </c>
      <c r="F2549" s="74"/>
      <c r="G2549" s="76"/>
      <c r="H2549" s="77"/>
      <c r="I2549" s="76"/>
      <c r="J2549" s="77"/>
      <c r="K2549" s="77"/>
      <c r="L2549" s="76"/>
      <c r="M2549" s="76"/>
      <c r="N2549" s="76"/>
      <c r="O2549" s="76"/>
      <c r="P2549" s="76"/>
      <c r="Q2549" s="76"/>
      <c r="R2549" s="76"/>
      <c r="S2549" s="76"/>
      <c r="BD2549" s="99">
        <f t="shared" si="82"/>
        <v>0</v>
      </c>
      <c r="CC2549" s="99"/>
      <c r="CV2549" s="99"/>
      <c r="CW2549" s="63"/>
    </row>
    <row r="2550" spans="1:101" x14ac:dyDescent="0.15">
      <c r="A2550" s="76">
        <v>2413</v>
      </c>
      <c r="B2550" s="74" t="s">
        <v>2732</v>
      </c>
      <c r="C2550" s="74">
        <v>1014006570</v>
      </c>
      <c r="D2550" s="78" t="str">
        <f t="shared" si="83"/>
        <v>https://portal.dnb.de/opac.htm?method=simpleSearch&amp;cqlMode=true&amp;query=idn%3D1014006570</v>
      </c>
      <c r="E2550" s="74" t="s">
        <v>2733</v>
      </c>
      <c r="F2550" s="74"/>
      <c r="G2550" s="76"/>
      <c r="H2550" s="77"/>
      <c r="I2550" s="76"/>
      <c r="J2550" s="77"/>
      <c r="K2550" s="77"/>
      <c r="L2550" s="76"/>
      <c r="M2550" s="76"/>
      <c r="N2550" s="76"/>
      <c r="O2550" s="76"/>
      <c r="P2550" s="76"/>
      <c r="Q2550" s="76"/>
      <c r="R2550" s="76"/>
      <c r="S2550" s="76"/>
      <c r="BD2550" s="99">
        <f t="shared" si="82"/>
        <v>0</v>
      </c>
      <c r="CC2550" s="99"/>
      <c r="CV2550" s="99"/>
      <c r="CW2550" s="63"/>
    </row>
    <row r="2551" spans="1:101" x14ac:dyDescent="0.15">
      <c r="A2551" s="76">
        <v>2414</v>
      </c>
      <c r="B2551" s="74" t="s">
        <v>2734</v>
      </c>
      <c r="C2551" s="74" t="s">
        <v>2735</v>
      </c>
      <c r="D2551" s="78" t="str">
        <f t="shared" si="83"/>
        <v>https://portal.dnb.de/opac.htm?method=simpleSearch&amp;cqlMode=true&amp;query=idn%3D101057843X</v>
      </c>
      <c r="E2551" s="74" t="s">
        <v>2733</v>
      </c>
      <c r="F2551" s="74"/>
      <c r="G2551" s="76"/>
      <c r="H2551" s="77"/>
      <c r="I2551" s="76"/>
      <c r="J2551" s="77"/>
      <c r="K2551" s="77"/>
      <c r="L2551" s="76"/>
      <c r="M2551" s="76"/>
      <c r="N2551" s="76"/>
      <c r="O2551" s="76"/>
      <c r="P2551" s="76"/>
      <c r="Q2551" s="76"/>
      <c r="R2551" s="76"/>
      <c r="S2551" s="76"/>
      <c r="BD2551" s="99">
        <f t="shared" si="82"/>
        <v>0</v>
      </c>
      <c r="CC2551" s="99"/>
      <c r="CV2551" s="99"/>
      <c r="CW2551" s="63"/>
    </row>
    <row r="2552" spans="1:101" x14ac:dyDescent="0.15">
      <c r="A2552" s="76">
        <v>2415</v>
      </c>
      <c r="B2552" s="74" t="s">
        <v>2736</v>
      </c>
      <c r="C2552" s="74">
        <v>1014006457</v>
      </c>
      <c r="D2552" s="78" t="str">
        <f t="shared" si="83"/>
        <v>https://portal.dnb.de/opac.htm?method=simpleSearch&amp;cqlMode=true&amp;query=idn%3D1014006457</v>
      </c>
      <c r="E2552" s="74" t="s">
        <v>2733</v>
      </c>
      <c r="F2552" s="74"/>
      <c r="G2552" s="76"/>
      <c r="H2552" s="77"/>
      <c r="I2552" s="76"/>
      <c r="J2552" s="77"/>
      <c r="K2552" s="77"/>
      <c r="L2552" s="76"/>
      <c r="M2552" s="76"/>
      <c r="N2552" s="76"/>
      <c r="O2552" s="76"/>
      <c r="P2552" s="76"/>
      <c r="Q2552" s="76"/>
      <c r="R2552" s="76"/>
      <c r="S2552" s="76"/>
      <c r="BD2552" s="99">
        <f t="shared" si="82"/>
        <v>0</v>
      </c>
      <c r="CC2552" s="99"/>
      <c r="CV2552" s="99"/>
      <c r="CW2552" s="63"/>
    </row>
    <row r="2553" spans="1:101" x14ac:dyDescent="0.15">
      <c r="A2553" s="76">
        <v>2416</v>
      </c>
      <c r="B2553" s="74" t="s">
        <v>2737</v>
      </c>
      <c r="C2553" s="74">
        <v>1014006198</v>
      </c>
      <c r="D2553" s="78" t="str">
        <f t="shared" si="83"/>
        <v>https://portal.dnb.de/opac.htm?method=simpleSearch&amp;cqlMode=true&amp;query=idn%3D1014006198</v>
      </c>
      <c r="E2553" s="74" t="s">
        <v>2733</v>
      </c>
      <c r="F2553" s="74"/>
      <c r="G2553" s="76"/>
      <c r="H2553" s="77"/>
      <c r="I2553" s="76"/>
      <c r="J2553" s="77"/>
      <c r="K2553" s="77"/>
      <c r="L2553" s="76"/>
      <c r="M2553" s="76"/>
      <c r="N2553" s="76"/>
      <c r="O2553" s="76"/>
      <c r="P2553" s="76"/>
      <c r="Q2553" s="76"/>
      <c r="R2553" s="76"/>
      <c r="S2553" s="76"/>
      <c r="BD2553" s="99">
        <f t="shared" si="82"/>
        <v>0</v>
      </c>
      <c r="CC2553" s="99"/>
      <c r="CV2553" s="99"/>
      <c r="CW2553" s="63"/>
    </row>
    <row r="2554" spans="1:101" x14ac:dyDescent="0.15">
      <c r="A2554" s="76">
        <v>2417</v>
      </c>
      <c r="B2554" s="74" t="s">
        <v>2738</v>
      </c>
      <c r="C2554" s="74">
        <v>1014006376</v>
      </c>
      <c r="D2554" s="78" t="str">
        <f t="shared" si="83"/>
        <v>https://portal.dnb.de/opac.htm?method=simpleSearch&amp;cqlMode=true&amp;query=idn%3D1014006376</v>
      </c>
      <c r="E2554" s="74" t="s">
        <v>2733</v>
      </c>
      <c r="F2554" s="74"/>
      <c r="G2554" s="76"/>
      <c r="H2554" s="77"/>
      <c r="I2554" s="76"/>
      <c r="J2554" s="77"/>
      <c r="K2554" s="77"/>
      <c r="L2554" s="76"/>
      <c r="M2554" s="76"/>
      <c r="N2554" s="76"/>
      <c r="O2554" s="76"/>
      <c r="P2554" s="76"/>
      <c r="Q2554" s="76"/>
      <c r="R2554" s="76"/>
      <c r="S2554" s="76"/>
      <c r="BD2554" s="99">
        <f t="shared" si="82"/>
        <v>0</v>
      </c>
      <c r="CC2554" s="99"/>
      <c r="CV2554" s="99"/>
      <c r="CW2554" s="63"/>
    </row>
    <row r="2555" spans="1:101" ht="22.5" x14ac:dyDescent="0.15">
      <c r="A2555" s="76">
        <v>2418</v>
      </c>
      <c r="B2555" s="74" t="s">
        <v>2739</v>
      </c>
      <c r="C2555" s="74">
        <v>1021229512</v>
      </c>
      <c r="D2555" s="78" t="str">
        <f t="shared" si="83"/>
        <v>https://portal.dnb.de/opac.htm?method=simpleSearch&amp;cqlMode=true&amp;query=idn%3D1021229512</v>
      </c>
      <c r="E2555" s="74" t="s">
        <v>9609</v>
      </c>
      <c r="F2555" s="74"/>
      <c r="G2555" s="76"/>
      <c r="H2555" s="77" t="s">
        <v>18</v>
      </c>
      <c r="I2555" s="76" t="s">
        <v>53</v>
      </c>
      <c r="J2555" s="77" t="s">
        <v>8516</v>
      </c>
      <c r="K2555" s="77" t="s">
        <v>84</v>
      </c>
      <c r="L2555" s="76"/>
      <c r="M2555" s="76" t="s">
        <v>36</v>
      </c>
      <c r="N2555" s="76" t="s">
        <v>40</v>
      </c>
      <c r="O2555" s="76">
        <v>2</v>
      </c>
      <c r="P2555" s="76"/>
      <c r="Q2555" s="76"/>
      <c r="R2555" s="76"/>
      <c r="S2555" s="76"/>
      <c r="BD2555" s="99">
        <f t="shared" si="82"/>
        <v>0</v>
      </c>
      <c r="CC2555" s="99"/>
      <c r="CV2555" s="99"/>
      <c r="CW2555" s="63"/>
    </row>
    <row r="2556" spans="1:101" ht="22.5" x14ac:dyDescent="0.15">
      <c r="A2556" s="76">
        <v>2419</v>
      </c>
      <c r="B2556" s="74" t="s">
        <v>2740</v>
      </c>
      <c r="C2556" s="74" t="s">
        <v>2741</v>
      </c>
      <c r="D2556" s="78" t="str">
        <f t="shared" si="83"/>
        <v>https://portal.dnb.de/opac.htm?method=simpleSearch&amp;cqlMode=true&amp;query=idn%3D102122927X</v>
      </c>
      <c r="E2556" s="74" t="s">
        <v>9608</v>
      </c>
      <c r="F2556" s="74"/>
      <c r="G2556" s="76"/>
      <c r="H2556" s="77" t="s">
        <v>18</v>
      </c>
      <c r="I2556" s="76" t="s">
        <v>53</v>
      </c>
      <c r="J2556" s="77" t="s">
        <v>58</v>
      </c>
      <c r="K2556" s="77" t="s">
        <v>84</v>
      </c>
      <c r="L2556" s="76"/>
      <c r="M2556" s="76" t="s">
        <v>36</v>
      </c>
      <c r="N2556" s="76" t="s">
        <v>40</v>
      </c>
      <c r="O2556" s="76">
        <v>1</v>
      </c>
      <c r="P2556" s="76"/>
      <c r="Q2556" s="76"/>
      <c r="R2556" s="76"/>
      <c r="S2556" s="76"/>
      <c r="BD2556" s="99">
        <f t="shared" si="82"/>
        <v>0</v>
      </c>
      <c r="CC2556" s="99"/>
      <c r="CV2556" s="99"/>
      <c r="CW2556" s="63"/>
    </row>
    <row r="2557" spans="1:101" ht="22.5" x14ac:dyDescent="0.15">
      <c r="A2557" s="76">
        <v>2420</v>
      </c>
      <c r="B2557" s="74" t="s">
        <v>2742</v>
      </c>
      <c r="C2557" s="74">
        <v>1021229520</v>
      </c>
      <c r="D2557" s="78" t="str">
        <f t="shared" si="83"/>
        <v>https://portal.dnb.de/opac.htm?method=simpleSearch&amp;cqlMode=true&amp;query=idn%3D1021229520</v>
      </c>
      <c r="E2557" s="74" t="s">
        <v>9610</v>
      </c>
      <c r="F2557" s="74"/>
      <c r="G2557" s="76"/>
      <c r="H2557" s="77" t="s">
        <v>18</v>
      </c>
      <c r="I2557" s="76" t="s">
        <v>53</v>
      </c>
      <c r="J2557" s="77" t="s">
        <v>58</v>
      </c>
      <c r="K2557" s="77" t="s">
        <v>84</v>
      </c>
      <c r="L2557" s="76"/>
      <c r="M2557" s="76" t="s">
        <v>36</v>
      </c>
      <c r="N2557" s="76" t="s">
        <v>40</v>
      </c>
      <c r="O2557" s="76">
        <v>1</v>
      </c>
      <c r="P2557" s="76"/>
      <c r="Q2557" s="76"/>
      <c r="R2557" s="76"/>
      <c r="S2557" s="76"/>
      <c r="BD2557" s="99">
        <f t="shared" si="82"/>
        <v>0</v>
      </c>
      <c r="CC2557" s="99"/>
      <c r="CV2557" s="99"/>
      <c r="CW2557" s="63"/>
    </row>
    <row r="2558" spans="1:101" x14ac:dyDescent="0.15">
      <c r="A2558" s="76">
        <v>2421</v>
      </c>
      <c r="B2558" s="74" t="s">
        <v>3006</v>
      </c>
      <c r="C2558" s="74">
        <v>1164793470</v>
      </c>
      <c r="D2558" s="78" t="str">
        <f t="shared" si="83"/>
        <v>https://portal.dnb.de/opac.htm?method=simpleSearch&amp;cqlMode=true&amp;query=idn%3D1164793470</v>
      </c>
      <c r="E2558" s="74" t="s">
        <v>3007</v>
      </c>
      <c r="F2558" s="74"/>
      <c r="G2558" s="76" t="s">
        <v>8515</v>
      </c>
      <c r="H2558" s="77" t="s">
        <v>4</v>
      </c>
      <c r="I2558" s="76" t="s">
        <v>53</v>
      </c>
      <c r="J2558" s="77" t="s">
        <v>58</v>
      </c>
      <c r="K2558" s="77"/>
      <c r="L2558" s="76"/>
      <c r="M2558" s="76" t="s">
        <v>33</v>
      </c>
      <c r="N2558" s="76" t="s">
        <v>40</v>
      </c>
      <c r="O2558" s="76">
        <v>2</v>
      </c>
      <c r="P2558" s="76"/>
      <c r="Q2558" s="76"/>
      <c r="R2558" s="76"/>
      <c r="S2558" s="76"/>
      <c r="BD2558" s="99">
        <f t="shared" si="82"/>
        <v>0</v>
      </c>
      <c r="CC2558" s="99"/>
      <c r="CV2558" s="99"/>
      <c r="CW2558" s="63"/>
    </row>
    <row r="2559" spans="1:101" ht="22.5" x14ac:dyDescent="0.15">
      <c r="A2559" s="76">
        <v>2422</v>
      </c>
      <c r="B2559" s="74" t="s">
        <v>2460</v>
      </c>
      <c r="C2559" s="74">
        <v>1000396762</v>
      </c>
      <c r="D2559" s="78" t="str">
        <f t="shared" si="83"/>
        <v>https://portal.dnb.de/opac.htm?method=simpleSearch&amp;cqlMode=true&amp;query=idn%3D1000396762</v>
      </c>
      <c r="E2559" s="74" t="s">
        <v>9830</v>
      </c>
      <c r="F2559" s="74"/>
      <c r="G2559" s="76"/>
      <c r="H2559" s="77"/>
      <c r="I2559" s="76" t="s">
        <v>53</v>
      </c>
      <c r="J2559" s="77"/>
      <c r="K2559" s="77"/>
      <c r="L2559" s="76"/>
      <c r="M2559" s="76"/>
      <c r="N2559" s="76"/>
      <c r="O2559" s="76"/>
      <c r="P2559" s="76"/>
      <c r="Q2559" s="76"/>
      <c r="R2559" s="76"/>
      <c r="S2559" s="76"/>
      <c r="Y2559" s="95" t="s">
        <v>9723</v>
      </c>
      <c r="AC2559" s="95" t="s">
        <v>9730</v>
      </c>
      <c r="AI2559" s="95" t="s">
        <v>9725</v>
      </c>
      <c r="AP2559" s="95" t="s">
        <v>8541</v>
      </c>
      <c r="AQ2559" s="96" t="s">
        <v>9831</v>
      </c>
      <c r="AW2559" s="95">
        <v>110</v>
      </c>
      <c r="BC2559" s="96" t="s">
        <v>9734</v>
      </c>
      <c r="BD2559" s="99">
        <f t="shared" si="82"/>
        <v>0</v>
      </c>
      <c r="CC2559" s="99"/>
      <c r="CV2559" s="99"/>
      <c r="CW2559" s="63"/>
    </row>
    <row r="2560" spans="1:101" x14ac:dyDescent="0.15">
      <c r="A2560" s="76">
        <v>2423</v>
      </c>
      <c r="B2560" s="74" t="s">
        <v>2461</v>
      </c>
      <c r="C2560" s="74">
        <v>998108200</v>
      </c>
      <c r="D2560" s="78" t="str">
        <f t="shared" si="83"/>
        <v>https://portal.dnb.de/opac.htm?method=simpleSearch&amp;cqlMode=true&amp;query=idn%3D998108200</v>
      </c>
      <c r="E2560" s="74" t="s">
        <v>9829</v>
      </c>
      <c r="F2560" s="74"/>
      <c r="G2560" s="76"/>
      <c r="H2560" s="77"/>
      <c r="I2560" s="76" t="s">
        <v>53</v>
      </c>
      <c r="J2560" s="77"/>
      <c r="K2560" s="77"/>
      <c r="L2560" s="76"/>
      <c r="M2560" s="76"/>
      <c r="N2560" s="76"/>
      <c r="O2560" s="76"/>
      <c r="P2560" s="76"/>
      <c r="Q2560" s="76"/>
      <c r="R2560" s="76"/>
      <c r="S2560" s="76"/>
      <c r="BD2560" s="99">
        <f t="shared" si="82"/>
        <v>0</v>
      </c>
      <c r="CC2560" s="99"/>
      <c r="CV2560" s="99"/>
      <c r="CW2560" s="63"/>
    </row>
    <row r="2561" spans="1:101" x14ac:dyDescent="0.15">
      <c r="A2561" s="76">
        <v>2424</v>
      </c>
      <c r="B2561" s="74" t="s">
        <v>2462</v>
      </c>
      <c r="C2561" s="74">
        <v>995290725</v>
      </c>
      <c r="D2561" s="78" t="str">
        <f t="shared" si="83"/>
        <v>https://portal.dnb.de/opac.htm?method=simpleSearch&amp;cqlMode=true&amp;query=idn%3D995290725</v>
      </c>
      <c r="E2561" s="74" t="s">
        <v>2463</v>
      </c>
      <c r="F2561" s="74"/>
      <c r="G2561" s="76"/>
      <c r="H2561" s="77"/>
      <c r="I2561" s="76"/>
      <c r="J2561" s="77"/>
      <c r="K2561" s="77"/>
      <c r="L2561" s="76"/>
      <c r="M2561" s="76"/>
      <c r="N2561" s="76"/>
      <c r="O2561" s="76"/>
      <c r="P2561" s="76"/>
      <c r="Q2561" s="76"/>
      <c r="R2561" s="76"/>
      <c r="S2561" s="76"/>
      <c r="BD2561" s="99">
        <f t="shared" si="82"/>
        <v>0</v>
      </c>
      <c r="CC2561" s="99"/>
      <c r="CV2561" s="99"/>
      <c r="CW2561" s="63"/>
    </row>
    <row r="2562" spans="1:101" x14ac:dyDescent="0.15">
      <c r="A2562" s="76">
        <v>2425</v>
      </c>
      <c r="B2562" s="74" t="s">
        <v>2464</v>
      </c>
      <c r="C2562" s="74">
        <v>994427905</v>
      </c>
      <c r="D2562" s="78" t="str">
        <f t="shared" si="83"/>
        <v>https://portal.dnb.de/opac.htm?method=simpleSearch&amp;cqlMode=true&amp;query=idn%3D994427905</v>
      </c>
      <c r="E2562" s="74" t="s">
        <v>2465</v>
      </c>
      <c r="F2562" s="74"/>
      <c r="G2562" s="76" t="s">
        <v>8515</v>
      </c>
      <c r="H2562" s="77" t="s">
        <v>49</v>
      </c>
      <c r="I2562" s="76" t="s">
        <v>53</v>
      </c>
      <c r="J2562" s="77" t="s">
        <v>8516</v>
      </c>
      <c r="K2562" s="77" t="s">
        <v>62</v>
      </c>
      <c r="L2562" s="76"/>
      <c r="M2562" s="76" t="s">
        <v>36</v>
      </c>
      <c r="N2562" s="76" t="s">
        <v>39</v>
      </c>
      <c r="O2562" s="76">
        <v>0</v>
      </c>
      <c r="P2562" s="76"/>
      <c r="Q2562" s="76"/>
      <c r="R2562" s="76"/>
      <c r="S2562" s="76"/>
      <c r="BD2562" s="99">
        <f t="shared" si="82"/>
        <v>0</v>
      </c>
      <c r="CC2562" s="99"/>
      <c r="CV2562" s="99"/>
      <c r="CW2562" s="63"/>
    </row>
    <row r="2563" spans="1:101" ht="33.75" x14ac:dyDescent="0.15">
      <c r="A2563" s="76">
        <v>2426</v>
      </c>
      <c r="B2563" s="74" t="s">
        <v>2466</v>
      </c>
      <c r="C2563" s="74" t="s">
        <v>2467</v>
      </c>
      <c r="D2563" s="78" t="str">
        <f t="shared" si="83"/>
        <v>https://portal.dnb.de/opac.htm?method=simpleSearch&amp;cqlMode=true&amp;query=idn%3D99739515X</v>
      </c>
      <c r="E2563" s="74" t="s">
        <v>2468</v>
      </c>
      <c r="F2563" s="74"/>
      <c r="G2563" s="76" t="s">
        <v>8515</v>
      </c>
      <c r="H2563" s="77" t="s">
        <v>8546</v>
      </c>
      <c r="I2563" s="76" t="s">
        <v>53</v>
      </c>
      <c r="J2563" s="77" t="s">
        <v>8516</v>
      </c>
      <c r="K2563" s="77" t="s">
        <v>72</v>
      </c>
      <c r="L2563" s="76"/>
      <c r="M2563" s="76" t="s">
        <v>38</v>
      </c>
      <c r="N2563" s="76" t="s">
        <v>40</v>
      </c>
      <c r="O2563" s="76">
        <v>0</v>
      </c>
      <c r="P2563" s="76"/>
      <c r="Q2563" s="76"/>
      <c r="R2563" s="76"/>
      <c r="S2563" s="76"/>
      <c r="BD2563" s="99">
        <f t="shared" ref="BD2563:BD2626" si="84">CC2563+CV2563</f>
        <v>0</v>
      </c>
      <c r="CC2563" s="99"/>
      <c r="CV2563" s="99"/>
      <c r="CW2563" s="63"/>
    </row>
    <row r="2564" spans="1:101" ht="22.5" x14ac:dyDescent="0.15">
      <c r="A2564" s="76">
        <v>2427</v>
      </c>
      <c r="B2564" s="74" t="s">
        <v>2469</v>
      </c>
      <c r="C2564" s="74">
        <v>1002741920</v>
      </c>
      <c r="D2564" s="78" t="str">
        <f t="shared" si="83"/>
        <v>https://portal.dnb.de/opac.htm?method=simpleSearch&amp;cqlMode=true&amp;query=idn%3D1002741920</v>
      </c>
      <c r="E2564" s="74" t="s">
        <v>2470</v>
      </c>
      <c r="F2564" s="74"/>
      <c r="G2564" s="76"/>
      <c r="H2564" s="77" t="s">
        <v>48</v>
      </c>
      <c r="I2564" s="76" t="s">
        <v>53</v>
      </c>
      <c r="J2564" s="77" t="s">
        <v>8516</v>
      </c>
      <c r="K2564" s="77" t="s">
        <v>8565</v>
      </c>
      <c r="L2564" s="76"/>
      <c r="M2564" s="76" t="s">
        <v>38</v>
      </c>
      <c r="N2564" s="76" t="s">
        <v>40</v>
      </c>
      <c r="O2564" s="76">
        <v>0</v>
      </c>
      <c r="P2564" s="76"/>
      <c r="Q2564" s="76"/>
      <c r="R2564" s="76"/>
      <c r="S2564" s="76"/>
      <c r="BD2564" s="99">
        <f t="shared" si="84"/>
        <v>0</v>
      </c>
      <c r="CC2564" s="99"/>
      <c r="CV2564" s="99"/>
      <c r="CW2564" s="63"/>
    </row>
    <row r="2565" spans="1:101" ht="22.5" x14ac:dyDescent="0.15">
      <c r="A2565" s="76">
        <v>2428</v>
      </c>
      <c r="B2565" s="74" t="s">
        <v>2471</v>
      </c>
      <c r="C2565" s="74">
        <v>1000837130</v>
      </c>
      <c r="D2565" s="78" t="str">
        <f t="shared" si="83"/>
        <v>https://portal.dnb.de/opac.htm?method=simpleSearch&amp;cqlMode=true&amp;query=idn%3D1000837130</v>
      </c>
      <c r="E2565" s="74" t="s">
        <v>2472</v>
      </c>
      <c r="F2565" s="74"/>
      <c r="G2565" s="76" t="s">
        <v>8515</v>
      </c>
      <c r="H2565" s="77" t="s">
        <v>48</v>
      </c>
      <c r="I2565" s="76" t="s">
        <v>53</v>
      </c>
      <c r="J2565" s="77" t="s">
        <v>8516</v>
      </c>
      <c r="K2565" s="77" t="s">
        <v>8564</v>
      </c>
      <c r="L2565" s="76"/>
      <c r="M2565" s="76"/>
      <c r="N2565" s="76"/>
      <c r="O2565" s="76">
        <v>0</v>
      </c>
      <c r="P2565" s="76"/>
      <c r="Q2565" s="76" t="s">
        <v>9040</v>
      </c>
      <c r="R2565" s="76"/>
      <c r="S2565" s="76"/>
      <c r="BD2565" s="99">
        <f t="shared" si="84"/>
        <v>0</v>
      </c>
      <c r="CC2565" s="99"/>
      <c r="CV2565" s="99"/>
      <c r="CW2565" s="63"/>
    </row>
    <row r="2566" spans="1:101" ht="22.5" x14ac:dyDescent="0.15">
      <c r="A2566" s="76">
        <v>2429</v>
      </c>
      <c r="B2566" s="74" t="s">
        <v>2473</v>
      </c>
      <c r="C2566" s="74">
        <v>995502579</v>
      </c>
      <c r="D2566" s="78" t="str">
        <f t="shared" si="83"/>
        <v>https://portal.dnb.de/opac.htm?method=simpleSearch&amp;cqlMode=true&amp;query=idn%3D995502579</v>
      </c>
      <c r="E2566" s="74" t="s">
        <v>2474</v>
      </c>
      <c r="F2566" s="74"/>
      <c r="G2566" s="76" t="s">
        <v>8515</v>
      </c>
      <c r="H2566" s="77" t="s">
        <v>8547</v>
      </c>
      <c r="I2566" s="76" t="s">
        <v>54</v>
      </c>
      <c r="J2566" s="77" t="s">
        <v>58</v>
      </c>
      <c r="K2566" s="77" t="s">
        <v>72</v>
      </c>
      <c r="L2566" s="76"/>
      <c r="M2566" s="76" t="s">
        <v>38</v>
      </c>
      <c r="N2566" s="76" t="s">
        <v>40</v>
      </c>
      <c r="O2566" s="76">
        <v>0</v>
      </c>
      <c r="P2566" s="76"/>
      <c r="Q2566" s="76"/>
      <c r="R2566" s="76"/>
      <c r="S2566" s="76"/>
      <c r="BD2566" s="99">
        <f t="shared" si="84"/>
        <v>0</v>
      </c>
      <c r="CC2566" s="99"/>
      <c r="CV2566" s="99"/>
      <c r="CW2566" s="63"/>
    </row>
    <row r="2567" spans="1:101" x14ac:dyDescent="0.15">
      <c r="A2567" s="76">
        <v>2430</v>
      </c>
      <c r="B2567" s="74" t="s">
        <v>2475</v>
      </c>
      <c r="C2567" s="74">
        <v>996353038</v>
      </c>
      <c r="D2567" s="78" t="str">
        <f t="shared" si="83"/>
        <v>https://portal.dnb.de/opac.htm?method=simpleSearch&amp;cqlMode=true&amp;query=idn%3D996353038</v>
      </c>
      <c r="E2567" s="74" t="s">
        <v>2474</v>
      </c>
      <c r="F2567" s="74"/>
      <c r="G2567" s="76"/>
      <c r="H2567" s="77"/>
      <c r="I2567" s="76"/>
      <c r="J2567" s="77"/>
      <c r="K2567" s="77"/>
      <c r="L2567" s="76"/>
      <c r="M2567" s="76"/>
      <c r="N2567" s="76"/>
      <c r="O2567" s="76"/>
      <c r="P2567" s="76"/>
      <c r="Q2567" s="76"/>
      <c r="R2567" s="76"/>
      <c r="S2567" s="76"/>
      <c r="BD2567" s="99">
        <f t="shared" si="84"/>
        <v>0</v>
      </c>
      <c r="CC2567" s="99"/>
      <c r="CV2567" s="99"/>
      <c r="CW2567" s="63"/>
    </row>
    <row r="2568" spans="1:101" ht="22.5" x14ac:dyDescent="0.15">
      <c r="A2568" s="76">
        <v>2431</v>
      </c>
      <c r="B2568" s="74" t="s">
        <v>2478</v>
      </c>
      <c r="C2568" s="74">
        <v>15251608</v>
      </c>
      <c r="D2568" s="78" t="str">
        <f t="shared" si="83"/>
        <v>https://portal.dnb.de/opac.htm?method=simpleSearch&amp;cqlMode=true&amp;query=idn%3D15251608</v>
      </c>
      <c r="E2568" s="74" t="s">
        <v>9266</v>
      </c>
      <c r="F2568" s="74"/>
      <c r="G2568" s="76" t="s">
        <v>8515</v>
      </c>
      <c r="H2568" s="77" t="s">
        <v>18</v>
      </c>
      <c r="I2568" s="76" t="s">
        <v>53</v>
      </c>
      <c r="J2568" s="77" t="s">
        <v>8516</v>
      </c>
      <c r="K2568" s="77" t="s">
        <v>84</v>
      </c>
      <c r="L2568" s="76"/>
      <c r="M2568" s="76" t="s">
        <v>36</v>
      </c>
      <c r="N2568" s="76" t="s">
        <v>39</v>
      </c>
      <c r="O2568" s="76">
        <v>0</v>
      </c>
      <c r="P2568" s="76"/>
      <c r="Q2568" s="76"/>
      <c r="R2568" s="76"/>
      <c r="S2568" s="76"/>
      <c r="BD2568" s="99">
        <f t="shared" si="84"/>
        <v>0</v>
      </c>
      <c r="CC2568" s="99"/>
      <c r="CV2568" s="99"/>
      <c r="CW2568" s="63"/>
    </row>
    <row r="2569" spans="1:101" ht="22.5" x14ac:dyDescent="0.15">
      <c r="A2569" s="76"/>
      <c r="B2569" s="74"/>
      <c r="C2569" s="74"/>
      <c r="D2569" s="78"/>
      <c r="E2569" s="74" t="s">
        <v>9267</v>
      </c>
      <c r="F2569" s="74"/>
      <c r="G2569" s="76" t="s">
        <v>8515</v>
      </c>
      <c r="H2569" s="77" t="s">
        <v>18</v>
      </c>
      <c r="I2569" s="76" t="s">
        <v>53</v>
      </c>
      <c r="J2569" s="77" t="s">
        <v>8516</v>
      </c>
      <c r="K2569" s="77" t="s">
        <v>84</v>
      </c>
      <c r="L2569" s="76"/>
      <c r="M2569" s="76" t="s">
        <v>36</v>
      </c>
      <c r="N2569" s="76" t="s">
        <v>39</v>
      </c>
      <c r="O2569" s="76">
        <v>0</v>
      </c>
      <c r="P2569" s="76"/>
      <c r="Q2569" s="76"/>
      <c r="R2569" s="76"/>
      <c r="S2569" s="76"/>
      <c r="BD2569" s="99">
        <f t="shared" si="84"/>
        <v>0</v>
      </c>
      <c r="CC2569" s="99"/>
      <c r="CV2569" s="99"/>
      <c r="CW2569" s="63"/>
    </row>
    <row r="2570" spans="1:101" ht="22.5" x14ac:dyDescent="0.15">
      <c r="A2570" s="76"/>
      <c r="B2570" s="74"/>
      <c r="C2570" s="74"/>
      <c r="D2570" s="78"/>
      <c r="E2570" s="74" t="s">
        <v>9268</v>
      </c>
      <c r="F2570" s="74"/>
      <c r="G2570" s="76" t="s">
        <v>8515</v>
      </c>
      <c r="H2570" s="77" t="s">
        <v>18</v>
      </c>
      <c r="I2570" s="76" t="s">
        <v>53</v>
      </c>
      <c r="J2570" s="77" t="s">
        <v>58</v>
      </c>
      <c r="K2570" s="77" t="s">
        <v>84</v>
      </c>
      <c r="L2570" s="76"/>
      <c r="M2570" s="76" t="s">
        <v>36</v>
      </c>
      <c r="N2570" s="76" t="s">
        <v>39</v>
      </c>
      <c r="O2570" s="76">
        <v>0</v>
      </c>
      <c r="P2570" s="76"/>
      <c r="Q2570" s="76"/>
      <c r="R2570" s="76"/>
      <c r="S2570" s="76"/>
      <c r="BD2570" s="99">
        <f t="shared" si="84"/>
        <v>0</v>
      </c>
      <c r="CC2570" s="99"/>
      <c r="CV2570" s="99"/>
      <c r="CW2570" s="63"/>
    </row>
    <row r="2571" spans="1:101" ht="22.5" x14ac:dyDescent="0.15">
      <c r="A2571" s="76"/>
      <c r="B2571" s="74"/>
      <c r="C2571" s="74"/>
      <c r="D2571" s="78"/>
      <c r="E2571" s="74" t="s">
        <v>9269</v>
      </c>
      <c r="F2571" s="74"/>
      <c r="G2571" s="76" t="s">
        <v>8515</v>
      </c>
      <c r="H2571" s="77" t="s">
        <v>18</v>
      </c>
      <c r="I2571" s="76" t="s">
        <v>53</v>
      </c>
      <c r="J2571" s="77" t="s">
        <v>58</v>
      </c>
      <c r="K2571" s="77" t="s">
        <v>84</v>
      </c>
      <c r="L2571" s="76"/>
      <c r="M2571" s="76" t="s">
        <v>36</v>
      </c>
      <c r="N2571" s="76" t="s">
        <v>39</v>
      </c>
      <c r="O2571" s="76">
        <v>0</v>
      </c>
      <c r="P2571" s="76"/>
      <c r="Q2571" s="76"/>
      <c r="R2571" s="76"/>
      <c r="S2571" s="76"/>
      <c r="BD2571" s="99">
        <f t="shared" si="84"/>
        <v>0</v>
      </c>
      <c r="CC2571" s="99"/>
      <c r="CV2571" s="99"/>
      <c r="CW2571" s="63"/>
    </row>
    <row r="2572" spans="1:101" ht="22.5" x14ac:dyDescent="0.15">
      <c r="A2572" s="76">
        <v>2432</v>
      </c>
      <c r="B2572" s="74" t="s">
        <v>2506</v>
      </c>
      <c r="C2572" s="74">
        <v>12723738</v>
      </c>
      <c r="D2572" s="78" t="str">
        <f t="shared" si="83"/>
        <v>https://portal.dnb.de/opac.htm?method=simpleSearch&amp;cqlMode=true&amp;query=idn%3D12723738</v>
      </c>
      <c r="E2572" s="74" t="s">
        <v>9225</v>
      </c>
      <c r="F2572" s="74"/>
      <c r="G2572" s="76" t="s">
        <v>8515</v>
      </c>
      <c r="H2572" s="77" t="s">
        <v>18</v>
      </c>
      <c r="I2572" s="76" t="s">
        <v>53</v>
      </c>
      <c r="J2572" s="77" t="s">
        <v>8516</v>
      </c>
      <c r="K2572" s="77" t="s">
        <v>84</v>
      </c>
      <c r="L2572" s="76"/>
      <c r="M2572" s="76"/>
      <c r="N2572" s="76"/>
      <c r="O2572" s="76">
        <v>0</v>
      </c>
      <c r="P2572" s="76"/>
      <c r="Q2572" s="76"/>
      <c r="R2572" s="76"/>
      <c r="S2572" s="76"/>
      <c r="BD2572" s="99">
        <f t="shared" si="84"/>
        <v>0</v>
      </c>
      <c r="CC2572" s="99"/>
      <c r="CV2572" s="99"/>
      <c r="CW2572" s="63"/>
    </row>
    <row r="2573" spans="1:101" ht="22.5" x14ac:dyDescent="0.15">
      <c r="A2573" s="76">
        <v>2433</v>
      </c>
      <c r="B2573" s="74" t="s">
        <v>2507</v>
      </c>
      <c r="C2573" s="74">
        <v>12723878</v>
      </c>
      <c r="D2573" s="78" t="str">
        <f t="shared" si="83"/>
        <v>https://portal.dnb.de/opac.htm?method=simpleSearch&amp;cqlMode=true&amp;query=idn%3D12723878</v>
      </c>
      <c r="E2573" s="74" t="s">
        <v>9226</v>
      </c>
      <c r="F2573" s="74"/>
      <c r="G2573" s="76" t="s">
        <v>8515</v>
      </c>
      <c r="H2573" s="77" t="s">
        <v>18</v>
      </c>
      <c r="I2573" s="76" t="s">
        <v>53</v>
      </c>
      <c r="J2573" s="77" t="s">
        <v>8516</v>
      </c>
      <c r="K2573" s="77" t="s">
        <v>84</v>
      </c>
      <c r="L2573" s="76"/>
      <c r="M2573" s="76"/>
      <c r="N2573" s="76"/>
      <c r="O2573" s="76">
        <v>0</v>
      </c>
      <c r="P2573" s="76"/>
      <c r="Q2573" s="76"/>
      <c r="R2573" s="76"/>
      <c r="S2573" s="76"/>
      <c r="BD2573" s="99">
        <f t="shared" si="84"/>
        <v>0</v>
      </c>
      <c r="CC2573" s="99"/>
      <c r="CV2573" s="99"/>
      <c r="CW2573" s="63"/>
    </row>
    <row r="2574" spans="1:101" ht="22.5" x14ac:dyDescent="0.15">
      <c r="A2574" s="76">
        <v>2434</v>
      </c>
      <c r="B2574" s="74" t="s">
        <v>2508</v>
      </c>
      <c r="C2574" s="74">
        <v>24670383</v>
      </c>
      <c r="D2574" s="78" t="str">
        <f t="shared" si="83"/>
        <v>https://portal.dnb.de/opac.htm?method=simpleSearch&amp;cqlMode=true&amp;query=idn%3D24670383</v>
      </c>
      <c r="E2574" s="74" t="s">
        <v>9227</v>
      </c>
      <c r="F2574" s="74"/>
      <c r="G2574" s="76" t="s">
        <v>8515</v>
      </c>
      <c r="H2574" s="77" t="s">
        <v>18</v>
      </c>
      <c r="I2574" s="76" t="s">
        <v>53</v>
      </c>
      <c r="J2574" s="77" t="s">
        <v>8516</v>
      </c>
      <c r="K2574" s="77" t="s">
        <v>84</v>
      </c>
      <c r="L2574" s="76"/>
      <c r="M2574" s="76"/>
      <c r="N2574" s="76"/>
      <c r="O2574" s="76">
        <v>0</v>
      </c>
      <c r="P2574" s="76"/>
      <c r="Q2574" s="76"/>
      <c r="R2574" s="76"/>
      <c r="S2574" s="76"/>
      <c r="BD2574" s="99">
        <f t="shared" si="84"/>
        <v>0</v>
      </c>
      <c r="CC2574" s="99"/>
      <c r="CV2574" s="99"/>
      <c r="CW2574" s="63"/>
    </row>
    <row r="2575" spans="1:101" ht="22.5" x14ac:dyDescent="0.15">
      <c r="A2575" s="76">
        <v>2435</v>
      </c>
      <c r="B2575" s="74" t="s">
        <v>2509</v>
      </c>
      <c r="C2575" s="74">
        <v>12723819</v>
      </c>
      <c r="D2575" s="78" t="str">
        <f t="shared" si="83"/>
        <v>https://portal.dnb.de/opac.htm?method=simpleSearch&amp;cqlMode=true&amp;query=idn%3D12723819</v>
      </c>
      <c r="E2575" s="74" t="s">
        <v>9228</v>
      </c>
      <c r="F2575" s="74"/>
      <c r="G2575" s="76" t="s">
        <v>8515</v>
      </c>
      <c r="H2575" s="77" t="s">
        <v>18</v>
      </c>
      <c r="I2575" s="76" t="s">
        <v>53</v>
      </c>
      <c r="J2575" s="77" t="s">
        <v>8516</v>
      </c>
      <c r="K2575" s="77" t="s">
        <v>84</v>
      </c>
      <c r="L2575" s="76"/>
      <c r="M2575" s="76"/>
      <c r="N2575" s="76"/>
      <c r="O2575" s="76">
        <v>0</v>
      </c>
      <c r="P2575" s="76"/>
      <c r="Q2575" s="76"/>
      <c r="R2575" s="76"/>
      <c r="S2575" s="76"/>
      <c r="BD2575" s="99">
        <f t="shared" si="84"/>
        <v>0</v>
      </c>
      <c r="CC2575" s="99"/>
      <c r="CV2575" s="99"/>
      <c r="CW2575" s="63"/>
    </row>
    <row r="2576" spans="1:101" ht="22.5" x14ac:dyDescent="0.15">
      <c r="A2576" s="76">
        <v>2436</v>
      </c>
      <c r="B2576" s="74" t="s">
        <v>2510</v>
      </c>
      <c r="C2576" s="74">
        <v>15293629</v>
      </c>
      <c r="D2576" s="78" t="str">
        <f t="shared" si="83"/>
        <v>https://portal.dnb.de/opac.htm?method=simpleSearch&amp;cqlMode=true&amp;query=idn%3D15293629</v>
      </c>
      <c r="E2576" s="74" t="s">
        <v>9229</v>
      </c>
      <c r="F2576" s="74"/>
      <c r="G2576" s="76" t="s">
        <v>8515</v>
      </c>
      <c r="H2576" s="77" t="s">
        <v>18</v>
      </c>
      <c r="I2576" s="76" t="s">
        <v>53</v>
      </c>
      <c r="J2576" s="77" t="s">
        <v>8516</v>
      </c>
      <c r="K2576" s="77" t="s">
        <v>84</v>
      </c>
      <c r="L2576" s="76"/>
      <c r="M2576" s="76"/>
      <c r="N2576" s="76"/>
      <c r="O2576" s="76">
        <v>0</v>
      </c>
      <c r="P2576" s="76"/>
      <c r="Q2576" s="76"/>
      <c r="R2576" s="76"/>
      <c r="S2576" s="76"/>
      <c r="BD2576" s="99">
        <f t="shared" si="84"/>
        <v>0</v>
      </c>
      <c r="CC2576" s="99"/>
      <c r="CV2576" s="99"/>
      <c r="CW2576" s="63"/>
    </row>
    <row r="2577" spans="1:101" ht="22.5" x14ac:dyDescent="0.15">
      <c r="A2577" s="76"/>
      <c r="B2577" s="74"/>
      <c r="C2577" s="74"/>
      <c r="D2577" s="78"/>
      <c r="E2577" s="74" t="s">
        <v>9231</v>
      </c>
      <c r="F2577" s="74"/>
      <c r="G2577" s="76" t="s">
        <v>8515</v>
      </c>
      <c r="H2577" s="77" t="s">
        <v>18</v>
      </c>
      <c r="I2577" s="76" t="s">
        <v>53</v>
      </c>
      <c r="J2577" s="77" t="s">
        <v>8516</v>
      </c>
      <c r="K2577" s="77" t="s">
        <v>84</v>
      </c>
      <c r="L2577" s="76"/>
      <c r="M2577" s="76" t="s">
        <v>38</v>
      </c>
      <c r="N2577" s="76" t="s">
        <v>40</v>
      </c>
      <c r="O2577" s="76">
        <v>0</v>
      </c>
      <c r="P2577" s="76"/>
      <c r="Q2577" s="76" t="s">
        <v>9232</v>
      </c>
      <c r="R2577" s="76"/>
      <c r="S2577" s="76"/>
      <c r="BD2577" s="99">
        <f t="shared" si="84"/>
        <v>0</v>
      </c>
      <c r="CC2577" s="99"/>
      <c r="CV2577" s="99"/>
      <c r="CW2577" s="63"/>
    </row>
    <row r="2578" spans="1:101" ht="22.5" x14ac:dyDescent="0.15">
      <c r="A2578" s="76"/>
      <c r="B2578" s="74"/>
      <c r="C2578" s="74"/>
      <c r="D2578" s="78"/>
      <c r="E2578" s="74" t="s">
        <v>9230</v>
      </c>
      <c r="F2578" s="74"/>
      <c r="G2578" s="76" t="s">
        <v>8515</v>
      </c>
      <c r="H2578" s="77" t="s">
        <v>18</v>
      </c>
      <c r="I2578" s="76" t="s">
        <v>53</v>
      </c>
      <c r="J2578" s="77" t="s">
        <v>8516</v>
      </c>
      <c r="K2578" s="77" t="s">
        <v>84</v>
      </c>
      <c r="L2578" s="76"/>
      <c r="M2578" s="76" t="s">
        <v>38</v>
      </c>
      <c r="N2578" s="76" t="s">
        <v>40</v>
      </c>
      <c r="O2578" s="76">
        <v>0</v>
      </c>
      <c r="P2578" s="76"/>
      <c r="Q2578" s="76" t="s">
        <v>9233</v>
      </c>
      <c r="R2578" s="76"/>
      <c r="S2578" s="76"/>
      <c r="BD2578" s="99">
        <f t="shared" si="84"/>
        <v>0</v>
      </c>
      <c r="CC2578" s="99"/>
      <c r="CV2578" s="99"/>
      <c r="CW2578" s="63"/>
    </row>
    <row r="2579" spans="1:101" x14ac:dyDescent="0.15">
      <c r="A2579" s="76"/>
      <c r="B2579" s="74"/>
      <c r="C2579" s="74"/>
      <c r="D2579" s="78"/>
      <c r="E2579" s="74" t="s">
        <v>9234</v>
      </c>
      <c r="F2579" s="74"/>
      <c r="G2579" s="76"/>
      <c r="H2579" s="77"/>
      <c r="I2579" s="76"/>
      <c r="J2579" s="77"/>
      <c r="K2579" s="77"/>
      <c r="L2579" s="76"/>
      <c r="M2579" s="76"/>
      <c r="N2579" s="76"/>
      <c r="O2579" s="76"/>
      <c r="P2579" s="76"/>
      <c r="Q2579" s="76" t="s">
        <v>9236</v>
      </c>
      <c r="R2579" s="76"/>
      <c r="S2579" s="76"/>
      <c r="BD2579" s="99">
        <f t="shared" si="84"/>
        <v>0</v>
      </c>
      <c r="CC2579" s="99"/>
      <c r="CV2579" s="99"/>
      <c r="CW2579" s="63"/>
    </row>
    <row r="2580" spans="1:101" x14ac:dyDescent="0.15">
      <c r="A2580" s="76"/>
      <c r="B2580" s="74"/>
      <c r="C2580" s="74"/>
      <c r="D2580" s="78"/>
      <c r="E2580" s="74" t="s">
        <v>9235</v>
      </c>
      <c r="F2580" s="74"/>
      <c r="G2580" s="76"/>
      <c r="H2580" s="77"/>
      <c r="I2580" s="76"/>
      <c r="J2580" s="77"/>
      <c r="K2580" s="77"/>
      <c r="L2580" s="76"/>
      <c r="M2580" s="76"/>
      <c r="N2580" s="76"/>
      <c r="O2580" s="76"/>
      <c r="P2580" s="76"/>
      <c r="Q2580" s="76" t="s">
        <v>9236</v>
      </c>
      <c r="R2580" s="76"/>
      <c r="S2580" s="76"/>
      <c r="BD2580" s="99">
        <f t="shared" si="84"/>
        <v>0</v>
      </c>
      <c r="CC2580" s="99"/>
      <c r="CV2580" s="99"/>
      <c r="CW2580" s="63"/>
    </row>
    <row r="2581" spans="1:101" ht="22.5" x14ac:dyDescent="0.15">
      <c r="A2581" s="76"/>
      <c r="B2581" s="74"/>
      <c r="C2581" s="74"/>
      <c r="D2581" s="78"/>
      <c r="E2581" s="74" t="s">
        <v>9241</v>
      </c>
      <c r="F2581" s="74"/>
      <c r="G2581" s="76"/>
      <c r="H2581" s="77" t="s">
        <v>4</v>
      </c>
      <c r="I2581" s="76" t="s">
        <v>53</v>
      </c>
      <c r="J2581" s="77" t="s">
        <v>8516</v>
      </c>
      <c r="K2581" s="77" t="s">
        <v>8565</v>
      </c>
      <c r="L2581" s="76"/>
      <c r="M2581" s="76" t="s">
        <v>38</v>
      </c>
      <c r="N2581" s="76" t="s">
        <v>40</v>
      </c>
      <c r="O2581" s="76"/>
      <c r="P2581" s="76"/>
      <c r="Q2581" s="76"/>
      <c r="R2581" s="76"/>
      <c r="S2581" s="76"/>
      <c r="BD2581" s="99">
        <f t="shared" si="84"/>
        <v>0</v>
      </c>
      <c r="CC2581" s="99"/>
      <c r="CV2581" s="99"/>
      <c r="CW2581" s="63"/>
    </row>
    <row r="2582" spans="1:101" ht="22.5" x14ac:dyDescent="0.15">
      <c r="A2582" s="76"/>
      <c r="B2582" s="74"/>
      <c r="C2582" s="74"/>
      <c r="D2582" s="78"/>
      <c r="E2582" s="74" t="s">
        <v>9237</v>
      </c>
      <c r="F2582" s="74"/>
      <c r="G2582" s="76"/>
      <c r="H2582" s="77" t="s">
        <v>18</v>
      </c>
      <c r="I2582" s="76" t="s">
        <v>53</v>
      </c>
      <c r="J2582" s="77" t="s">
        <v>8516</v>
      </c>
      <c r="K2582" s="77" t="s">
        <v>84</v>
      </c>
      <c r="L2582" s="76"/>
      <c r="M2582" s="76" t="s">
        <v>38</v>
      </c>
      <c r="N2582" s="76" t="s">
        <v>40</v>
      </c>
      <c r="O2582" s="76">
        <v>0</v>
      </c>
      <c r="P2582" s="76"/>
      <c r="Q2582" s="76" t="s">
        <v>9239</v>
      </c>
      <c r="R2582" s="76"/>
      <c r="S2582" s="76"/>
      <c r="BD2582" s="99">
        <f t="shared" si="84"/>
        <v>0</v>
      </c>
      <c r="CC2582" s="99"/>
      <c r="CV2582" s="99"/>
      <c r="CW2582" s="63"/>
    </row>
    <row r="2583" spans="1:101" ht="22.5" x14ac:dyDescent="0.15">
      <c r="A2583" s="76"/>
      <c r="B2583" s="74"/>
      <c r="C2583" s="74"/>
      <c r="D2583" s="78"/>
      <c r="E2583" s="74" t="s">
        <v>9238</v>
      </c>
      <c r="F2583" s="74"/>
      <c r="G2583" s="76"/>
      <c r="H2583" s="77" t="s">
        <v>18</v>
      </c>
      <c r="I2583" s="76" t="s">
        <v>53</v>
      </c>
      <c r="J2583" s="77" t="s">
        <v>8516</v>
      </c>
      <c r="K2583" s="77" t="s">
        <v>84</v>
      </c>
      <c r="L2583" s="76"/>
      <c r="M2583" s="76" t="s">
        <v>38</v>
      </c>
      <c r="N2583" s="76" t="s">
        <v>40</v>
      </c>
      <c r="O2583" s="76">
        <v>0</v>
      </c>
      <c r="P2583" s="76"/>
      <c r="Q2583" s="76" t="s">
        <v>9240</v>
      </c>
      <c r="R2583" s="76"/>
      <c r="S2583" s="76"/>
      <c r="BD2583" s="99">
        <f t="shared" si="84"/>
        <v>0</v>
      </c>
      <c r="CC2583" s="99"/>
      <c r="CV2583" s="99"/>
      <c r="CW2583" s="63"/>
    </row>
    <row r="2584" spans="1:101" ht="22.5" x14ac:dyDescent="0.15">
      <c r="A2584" s="76"/>
      <c r="B2584" s="74"/>
      <c r="C2584" s="74"/>
      <c r="D2584" s="78"/>
      <c r="E2584" s="74" t="s">
        <v>9242</v>
      </c>
      <c r="F2584" s="74"/>
      <c r="G2584" s="76"/>
      <c r="H2584" s="77" t="s">
        <v>18</v>
      </c>
      <c r="I2584" s="76" t="s">
        <v>53</v>
      </c>
      <c r="J2584" s="77" t="s">
        <v>8516</v>
      </c>
      <c r="K2584" s="77" t="s">
        <v>84</v>
      </c>
      <c r="L2584" s="76"/>
      <c r="M2584" s="76" t="s">
        <v>38</v>
      </c>
      <c r="N2584" s="76" t="s">
        <v>40</v>
      </c>
      <c r="O2584" s="76">
        <v>0</v>
      </c>
      <c r="P2584" s="76"/>
      <c r="Q2584" s="76" t="s">
        <v>9246</v>
      </c>
      <c r="R2584" s="76"/>
      <c r="S2584" s="76"/>
      <c r="BD2584" s="99">
        <f t="shared" si="84"/>
        <v>0</v>
      </c>
      <c r="CC2584" s="99"/>
      <c r="CV2584" s="99"/>
      <c r="CW2584" s="63"/>
    </row>
    <row r="2585" spans="1:101" ht="22.5" x14ac:dyDescent="0.15">
      <c r="A2585" s="76"/>
      <c r="B2585" s="74"/>
      <c r="C2585" s="74"/>
      <c r="D2585" s="78"/>
      <c r="E2585" s="74" t="s">
        <v>9243</v>
      </c>
      <c r="F2585" s="74"/>
      <c r="G2585" s="76"/>
      <c r="H2585" s="77" t="s">
        <v>18</v>
      </c>
      <c r="I2585" s="76" t="s">
        <v>53</v>
      </c>
      <c r="J2585" s="77" t="s">
        <v>8516</v>
      </c>
      <c r="K2585" s="77" t="s">
        <v>84</v>
      </c>
      <c r="L2585" s="76"/>
      <c r="M2585" s="76" t="s">
        <v>38</v>
      </c>
      <c r="N2585" s="76" t="s">
        <v>40</v>
      </c>
      <c r="O2585" s="76">
        <v>0</v>
      </c>
      <c r="P2585" s="76"/>
      <c r="Q2585" s="76" t="s">
        <v>9246</v>
      </c>
      <c r="R2585" s="76"/>
      <c r="S2585" s="76"/>
      <c r="BD2585" s="99">
        <f t="shared" si="84"/>
        <v>0</v>
      </c>
      <c r="CC2585" s="99"/>
      <c r="CV2585" s="99"/>
      <c r="CW2585" s="63"/>
    </row>
    <row r="2586" spans="1:101" ht="22.5" x14ac:dyDescent="0.15">
      <c r="A2586" s="76"/>
      <c r="B2586" s="74"/>
      <c r="C2586" s="74"/>
      <c r="D2586" s="78"/>
      <c r="E2586" s="74" t="s">
        <v>9244</v>
      </c>
      <c r="F2586" s="74"/>
      <c r="G2586" s="76"/>
      <c r="H2586" s="77" t="s">
        <v>18</v>
      </c>
      <c r="I2586" s="76" t="s">
        <v>53</v>
      </c>
      <c r="J2586" s="77" t="s">
        <v>8516</v>
      </c>
      <c r="K2586" s="77" t="s">
        <v>84</v>
      </c>
      <c r="L2586" s="76"/>
      <c r="M2586" s="76" t="s">
        <v>38</v>
      </c>
      <c r="N2586" s="76" t="s">
        <v>40</v>
      </c>
      <c r="O2586" s="76">
        <v>0</v>
      </c>
      <c r="P2586" s="76"/>
      <c r="Q2586" s="76" t="s">
        <v>9246</v>
      </c>
      <c r="R2586" s="76"/>
      <c r="S2586" s="76"/>
      <c r="BD2586" s="99">
        <f t="shared" si="84"/>
        <v>0</v>
      </c>
      <c r="CC2586" s="99"/>
      <c r="CV2586" s="99"/>
      <c r="CW2586" s="63"/>
    </row>
    <row r="2587" spans="1:101" ht="22.5" x14ac:dyDescent="0.15">
      <c r="A2587" s="76"/>
      <c r="B2587" s="74"/>
      <c r="C2587" s="74"/>
      <c r="D2587" s="78"/>
      <c r="E2587" s="74" t="s">
        <v>9245</v>
      </c>
      <c r="F2587" s="74"/>
      <c r="G2587" s="76"/>
      <c r="H2587" s="77" t="s">
        <v>18</v>
      </c>
      <c r="I2587" s="76" t="s">
        <v>53</v>
      </c>
      <c r="J2587" s="77" t="s">
        <v>8516</v>
      </c>
      <c r="K2587" s="77" t="s">
        <v>84</v>
      </c>
      <c r="L2587" s="76"/>
      <c r="M2587" s="76" t="s">
        <v>38</v>
      </c>
      <c r="N2587" s="76" t="s">
        <v>40</v>
      </c>
      <c r="O2587" s="76">
        <v>0</v>
      </c>
      <c r="P2587" s="76"/>
      <c r="Q2587" s="76" t="s">
        <v>9246</v>
      </c>
      <c r="R2587" s="76"/>
      <c r="S2587" s="76"/>
      <c r="BD2587" s="99">
        <f t="shared" si="84"/>
        <v>0</v>
      </c>
      <c r="CC2587" s="99"/>
      <c r="CV2587" s="99"/>
      <c r="CW2587" s="63"/>
    </row>
    <row r="2588" spans="1:101" ht="22.5" x14ac:dyDescent="0.15">
      <c r="A2588" s="76"/>
      <c r="B2588" s="74"/>
      <c r="C2588" s="74"/>
      <c r="D2588" s="78"/>
      <c r="E2588" s="74" t="s">
        <v>9247</v>
      </c>
      <c r="F2588" s="74"/>
      <c r="G2588" s="76"/>
      <c r="H2588" s="77" t="s">
        <v>18</v>
      </c>
      <c r="I2588" s="76" t="s">
        <v>53</v>
      </c>
      <c r="J2588" s="77" t="s">
        <v>8516</v>
      </c>
      <c r="K2588" s="77" t="s">
        <v>84</v>
      </c>
      <c r="L2588" s="76"/>
      <c r="M2588" s="76" t="s">
        <v>38</v>
      </c>
      <c r="N2588" s="76" t="s">
        <v>40</v>
      </c>
      <c r="O2588" s="76">
        <v>0</v>
      </c>
      <c r="P2588" s="76"/>
      <c r="Q2588" s="76" t="s">
        <v>9252</v>
      </c>
      <c r="R2588" s="76"/>
      <c r="S2588" s="76"/>
      <c r="BD2588" s="99">
        <f t="shared" si="84"/>
        <v>0</v>
      </c>
      <c r="CC2588" s="99"/>
      <c r="CV2588" s="99"/>
      <c r="CW2588" s="63"/>
    </row>
    <row r="2589" spans="1:101" ht="22.5" x14ac:dyDescent="0.15">
      <c r="A2589" s="76"/>
      <c r="B2589" s="74"/>
      <c r="C2589" s="74"/>
      <c r="D2589" s="78"/>
      <c r="E2589" s="74" t="s">
        <v>9248</v>
      </c>
      <c r="F2589" s="74"/>
      <c r="G2589" s="76"/>
      <c r="H2589" s="77" t="s">
        <v>18</v>
      </c>
      <c r="I2589" s="76" t="s">
        <v>53</v>
      </c>
      <c r="J2589" s="77" t="s">
        <v>8516</v>
      </c>
      <c r="K2589" s="77" t="s">
        <v>84</v>
      </c>
      <c r="L2589" s="76"/>
      <c r="M2589" s="76" t="s">
        <v>38</v>
      </c>
      <c r="N2589" s="76" t="s">
        <v>40</v>
      </c>
      <c r="O2589" s="76">
        <v>0</v>
      </c>
      <c r="P2589" s="76"/>
      <c r="Q2589" s="76" t="s">
        <v>9252</v>
      </c>
      <c r="R2589" s="76"/>
      <c r="S2589" s="76"/>
      <c r="BD2589" s="99">
        <f t="shared" si="84"/>
        <v>0</v>
      </c>
      <c r="CC2589" s="99"/>
      <c r="CV2589" s="99"/>
      <c r="CW2589" s="63"/>
    </row>
    <row r="2590" spans="1:101" ht="22.5" x14ac:dyDescent="0.15">
      <c r="A2590" s="76"/>
      <c r="B2590" s="74"/>
      <c r="C2590" s="74"/>
      <c r="D2590" s="78"/>
      <c r="E2590" s="74" t="s">
        <v>9249</v>
      </c>
      <c r="F2590" s="74"/>
      <c r="G2590" s="76"/>
      <c r="H2590" s="77" t="s">
        <v>18</v>
      </c>
      <c r="I2590" s="76" t="s">
        <v>53</v>
      </c>
      <c r="J2590" s="77" t="s">
        <v>8516</v>
      </c>
      <c r="K2590" s="77" t="s">
        <v>84</v>
      </c>
      <c r="L2590" s="76"/>
      <c r="M2590" s="76" t="s">
        <v>38</v>
      </c>
      <c r="N2590" s="76" t="s">
        <v>40</v>
      </c>
      <c r="O2590" s="76">
        <v>0</v>
      </c>
      <c r="P2590" s="76"/>
      <c r="Q2590" s="76" t="s">
        <v>9252</v>
      </c>
      <c r="R2590" s="76"/>
      <c r="S2590" s="76"/>
      <c r="BD2590" s="99">
        <f t="shared" si="84"/>
        <v>0</v>
      </c>
      <c r="CC2590" s="99"/>
      <c r="CV2590" s="99"/>
      <c r="CW2590" s="63"/>
    </row>
    <row r="2591" spans="1:101" ht="22.5" x14ac:dyDescent="0.15">
      <c r="A2591" s="76"/>
      <c r="B2591" s="74"/>
      <c r="C2591" s="74"/>
      <c r="D2591" s="78"/>
      <c r="E2591" s="74" t="s">
        <v>9250</v>
      </c>
      <c r="F2591" s="74"/>
      <c r="G2591" s="76"/>
      <c r="H2591" s="77" t="s">
        <v>18</v>
      </c>
      <c r="I2591" s="76" t="s">
        <v>53</v>
      </c>
      <c r="J2591" s="77" t="s">
        <v>8516</v>
      </c>
      <c r="K2591" s="77" t="s">
        <v>84</v>
      </c>
      <c r="L2591" s="76"/>
      <c r="M2591" s="76" t="s">
        <v>38</v>
      </c>
      <c r="N2591" s="76" t="s">
        <v>40</v>
      </c>
      <c r="O2591" s="76">
        <v>0</v>
      </c>
      <c r="P2591" s="76"/>
      <c r="Q2591" s="76" t="s">
        <v>9252</v>
      </c>
      <c r="R2591" s="76"/>
      <c r="S2591" s="76"/>
      <c r="BD2591" s="99">
        <f t="shared" si="84"/>
        <v>0</v>
      </c>
      <c r="CC2591" s="99"/>
      <c r="CV2591" s="99"/>
      <c r="CW2591" s="63"/>
    </row>
    <row r="2592" spans="1:101" ht="22.5" x14ac:dyDescent="0.15">
      <c r="A2592" s="76"/>
      <c r="B2592" s="74"/>
      <c r="C2592" s="74"/>
      <c r="D2592" s="78"/>
      <c r="E2592" s="74" t="s">
        <v>9251</v>
      </c>
      <c r="F2592" s="74"/>
      <c r="G2592" s="76"/>
      <c r="H2592" s="77" t="s">
        <v>18</v>
      </c>
      <c r="I2592" s="76" t="s">
        <v>53</v>
      </c>
      <c r="J2592" s="77" t="s">
        <v>8516</v>
      </c>
      <c r="K2592" s="77" t="s">
        <v>84</v>
      </c>
      <c r="L2592" s="76"/>
      <c r="M2592" s="76" t="s">
        <v>38</v>
      </c>
      <c r="N2592" s="76" t="s">
        <v>40</v>
      </c>
      <c r="O2592" s="76">
        <v>0</v>
      </c>
      <c r="P2592" s="76"/>
      <c r="Q2592" s="76" t="s">
        <v>9252</v>
      </c>
      <c r="R2592" s="76"/>
      <c r="S2592" s="76"/>
      <c r="BD2592" s="99">
        <f t="shared" si="84"/>
        <v>0</v>
      </c>
      <c r="CC2592" s="99"/>
      <c r="CV2592" s="99"/>
      <c r="CW2592" s="63"/>
    </row>
    <row r="2593" spans="1:101" ht="22.5" x14ac:dyDescent="0.15">
      <c r="A2593" s="76"/>
      <c r="B2593" s="74"/>
      <c r="C2593" s="74"/>
      <c r="D2593" s="78"/>
      <c r="E2593" s="74" t="s">
        <v>9253</v>
      </c>
      <c r="F2593" s="74"/>
      <c r="G2593" s="76"/>
      <c r="H2593" s="77" t="s">
        <v>18</v>
      </c>
      <c r="I2593" s="76" t="s">
        <v>53</v>
      </c>
      <c r="J2593" s="77" t="s">
        <v>58</v>
      </c>
      <c r="K2593" s="77"/>
      <c r="L2593" s="76"/>
      <c r="M2593" s="76" t="s">
        <v>38</v>
      </c>
      <c r="N2593" s="76" t="s">
        <v>40</v>
      </c>
      <c r="O2593" s="76">
        <v>2</v>
      </c>
      <c r="P2593" s="76"/>
      <c r="Q2593" s="76"/>
      <c r="R2593" s="76"/>
      <c r="S2593" s="76"/>
      <c r="BD2593" s="99">
        <f t="shared" si="84"/>
        <v>0</v>
      </c>
      <c r="CC2593" s="99"/>
      <c r="CV2593" s="99"/>
      <c r="CW2593" s="63"/>
    </row>
    <row r="2594" spans="1:101" ht="22.5" x14ac:dyDescent="0.15">
      <c r="A2594" s="76"/>
      <c r="B2594" s="74"/>
      <c r="C2594" s="74"/>
      <c r="D2594" s="78"/>
      <c r="E2594" s="74" t="s">
        <v>9254</v>
      </c>
      <c r="F2594" s="74"/>
      <c r="G2594" s="76"/>
      <c r="H2594" s="77" t="s">
        <v>18</v>
      </c>
      <c r="I2594" s="76" t="s">
        <v>53</v>
      </c>
      <c r="J2594" s="77" t="s">
        <v>8516</v>
      </c>
      <c r="K2594" s="77" t="s">
        <v>84</v>
      </c>
      <c r="L2594" s="76"/>
      <c r="M2594" s="76" t="s">
        <v>38</v>
      </c>
      <c r="N2594" s="76" t="s">
        <v>40</v>
      </c>
      <c r="O2594" s="76">
        <v>0</v>
      </c>
      <c r="P2594" s="76"/>
      <c r="Q2594" s="76" t="s">
        <v>9256</v>
      </c>
      <c r="R2594" s="76"/>
      <c r="S2594" s="76"/>
      <c r="BD2594" s="99">
        <f t="shared" si="84"/>
        <v>0</v>
      </c>
      <c r="CC2594" s="99"/>
      <c r="CV2594" s="99"/>
      <c r="CW2594" s="63"/>
    </row>
    <row r="2595" spans="1:101" ht="22.5" x14ac:dyDescent="0.15">
      <c r="A2595" s="76"/>
      <c r="B2595" s="74"/>
      <c r="C2595" s="74"/>
      <c r="D2595" s="78"/>
      <c r="E2595" s="74" t="s">
        <v>9255</v>
      </c>
      <c r="F2595" s="74"/>
      <c r="G2595" s="76"/>
      <c r="H2595" s="77" t="s">
        <v>18</v>
      </c>
      <c r="I2595" s="76" t="s">
        <v>53</v>
      </c>
      <c r="J2595" s="77" t="s">
        <v>8516</v>
      </c>
      <c r="K2595" s="77" t="s">
        <v>84</v>
      </c>
      <c r="L2595" s="76"/>
      <c r="M2595" s="76" t="s">
        <v>38</v>
      </c>
      <c r="N2595" s="76" t="s">
        <v>40</v>
      </c>
      <c r="O2595" s="76">
        <v>1</v>
      </c>
      <c r="P2595" s="76"/>
      <c r="Q2595" s="76" t="s">
        <v>9256</v>
      </c>
      <c r="R2595" s="76"/>
      <c r="S2595" s="76"/>
      <c r="BD2595" s="99">
        <f t="shared" si="84"/>
        <v>0</v>
      </c>
      <c r="CC2595" s="99"/>
      <c r="CV2595" s="99"/>
      <c r="CW2595" s="63"/>
    </row>
    <row r="2596" spans="1:101" ht="22.5" x14ac:dyDescent="0.15">
      <c r="A2596" s="76"/>
      <c r="B2596" s="74"/>
      <c r="C2596" s="74"/>
      <c r="D2596" s="78"/>
      <c r="E2596" s="74" t="s">
        <v>9257</v>
      </c>
      <c r="F2596" s="74"/>
      <c r="G2596" s="76"/>
      <c r="H2596" s="77" t="s">
        <v>18</v>
      </c>
      <c r="I2596" s="76" t="s">
        <v>53</v>
      </c>
      <c r="J2596" s="77" t="s">
        <v>8516</v>
      </c>
      <c r="K2596" s="77" t="s">
        <v>84</v>
      </c>
      <c r="L2596" s="76"/>
      <c r="M2596" s="76" t="s">
        <v>38</v>
      </c>
      <c r="N2596" s="76" t="s">
        <v>40</v>
      </c>
      <c r="O2596" s="76">
        <v>0</v>
      </c>
      <c r="P2596" s="76"/>
      <c r="Q2596" s="76"/>
      <c r="R2596" s="76"/>
      <c r="S2596" s="76"/>
      <c r="BD2596" s="99">
        <f t="shared" si="84"/>
        <v>0</v>
      </c>
      <c r="CC2596" s="99"/>
      <c r="CV2596" s="99"/>
      <c r="CW2596" s="63"/>
    </row>
    <row r="2597" spans="1:101" ht="22.5" x14ac:dyDescent="0.15">
      <c r="A2597" s="76"/>
      <c r="B2597" s="74"/>
      <c r="C2597" s="74"/>
      <c r="D2597" s="78"/>
      <c r="E2597" s="74" t="s">
        <v>9258</v>
      </c>
      <c r="F2597" s="74"/>
      <c r="G2597" s="76" t="s">
        <v>8515</v>
      </c>
      <c r="H2597" s="77" t="s">
        <v>18</v>
      </c>
      <c r="I2597" s="76" t="s">
        <v>53</v>
      </c>
      <c r="J2597" s="77" t="s">
        <v>58</v>
      </c>
      <c r="K2597" s="77" t="s">
        <v>84</v>
      </c>
      <c r="L2597" s="76"/>
      <c r="M2597" s="76" t="s">
        <v>38</v>
      </c>
      <c r="N2597" s="76" t="s">
        <v>40</v>
      </c>
      <c r="O2597" s="76">
        <v>0</v>
      </c>
      <c r="P2597" s="76"/>
      <c r="Q2597" s="76"/>
      <c r="R2597" s="76"/>
      <c r="S2597" s="76"/>
      <c r="BD2597" s="99">
        <f t="shared" si="84"/>
        <v>0</v>
      </c>
      <c r="CC2597" s="99"/>
      <c r="CV2597" s="99"/>
      <c r="CW2597" s="63"/>
    </row>
    <row r="2598" spans="1:101" ht="22.5" x14ac:dyDescent="0.15">
      <c r="A2598" s="76"/>
      <c r="B2598" s="74"/>
      <c r="C2598" s="74"/>
      <c r="D2598" s="78"/>
      <c r="E2598" s="74" t="s">
        <v>9259</v>
      </c>
      <c r="F2598" s="74"/>
      <c r="G2598" s="76" t="s">
        <v>8515</v>
      </c>
      <c r="H2598" s="77" t="s">
        <v>18</v>
      </c>
      <c r="I2598" s="76" t="s">
        <v>53</v>
      </c>
      <c r="J2598" s="77" t="s">
        <v>58</v>
      </c>
      <c r="K2598" s="77" t="s">
        <v>84</v>
      </c>
      <c r="L2598" s="76"/>
      <c r="M2598" s="76" t="s">
        <v>38</v>
      </c>
      <c r="N2598" s="76" t="s">
        <v>40</v>
      </c>
      <c r="O2598" s="76">
        <v>0</v>
      </c>
      <c r="P2598" s="76"/>
      <c r="Q2598" s="76"/>
      <c r="R2598" s="76"/>
      <c r="S2598" s="76"/>
      <c r="BD2598" s="99">
        <f t="shared" si="84"/>
        <v>0</v>
      </c>
      <c r="CC2598" s="99"/>
      <c r="CV2598" s="99"/>
      <c r="CW2598" s="63"/>
    </row>
    <row r="2599" spans="1:101" ht="22.5" x14ac:dyDescent="0.15">
      <c r="A2599" s="76"/>
      <c r="B2599" s="74"/>
      <c r="C2599" s="74"/>
      <c r="D2599" s="78"/>
      <c r="E2599" s="74" t="s">
        <v>9260</v>
      </c>
      <c r="F2599" s="74"/>
      <c r="G2599" s="76"/>
      <c r="H2599" s="77" t="s">
        <v>18</v>
      </c>
      <c r="I2599" s="76" t="s">
        <v>53</v>
      </c>
      <c r="J2599" s="77" t="s">
        <v>8516</v>
      </c>
      <c r="K2599" s="77" t="s">
        <v>84</v>
      </c>
      <c r="L2599" s="76"/>
      <c r="M2599" s="76" t="s">
        <v>38</v>
      </c>
      <c r="N2599" s="76" t="s">
        <v>40</v>
      </c>
      <c r="O2599" s="76">
        <v>0</v>
      </c>
      <c r="P2599" s="76"/>
      <c r="Q2599" s="76"/>
      <c r="R2599" s="76"/>
      <c r="S2599" s="76"/>
      <c r="BD2599" s="99">
        <f t="shared" si="84"/>
        <v>0</v>
      </c>
      <c r="CC2599" s="99"/>
      <c r="CV2599" s="99"/>
      <c r="CW2599" s="63"/>
    </row>
    <row r="2600" spans="1:101" ht="22.5" x14ac:dyDescent="0.15">
      <c r="A2600" s="76"/>
      <c r="B2600" s="74"/>
      <c r="C2600" s="74"/>
      <c r="D2600" s="78"/>
      <c r="E2600" s="74" t="s">
        <v>9261</v>
      </c>
      <c r="F2600" s="74"/>
      <c r="G2600" s="76" t="s">
        <v>8515</v>
      </c>
      <c r="H2600" s="77" t="s">
        <v>18</v>
      </c>
      <c r="I2600" s="76" t="s">
        <v>53</v>
      </c>
      <c r="J2600" s="77" t="s">
        <v>8516</v>
      </c>
      <c r="K2600" s="77" t="s">
        <v>84</v>
      </c>
      <c r="L2600" s="76"/>
      <c r="M2600" s="76" t="s">
        <v>38</v>
      </c>
      <c r="N2600" s="76" t="s">
        <v>40</v>
      </c>
      <c r="O2600" s="76">
        <v>0</v>
      </c>
      <c r="P2600" s="76"/>
      <c r="Q2600" s="76"/>
      <c r="R2600" s="76"/>
      <c r="S2600" s="76"/>
      <c r="BD2600" s="99">
        <f t="shared" si="84"/>
        <v>0</v>
      </c>
      <c r="CC2600" s="99"/>
      <c r="CV2600" s="99"/>
      <c r="CW2600" s="63"/>
    </row>
    <row r="2601" spans="1:101" ht="22.5" x14ac:dyDescent="0.15">
      <c r="A2601" s="76"/>
      <c r="B2601" s="74"/>
      <c r="C2601" s="74"/>
      <c r="D2601" s="78"/>
      <c r="E2601" s="74" t="s">
        <v>9262</v>
      </c>
      <c r="F2601" s="74"/>
      <c r="G2601" s="76" t="s">
        <v>8515</v>
      </c>
      <c r="H2601" s="77" t="s">
        <v>18</v>
      </c>
      <c r="I2601" s="76" t="s">
        <v>53</v>
      </c>
      <c r="J2601" s="77" t="s">
        <v>58</v>
      </c>
      <c r="K2601" s="77" t="s">
        <v>84</v>
      </c>
      <c r="L2601" s="76"/>
      <c r="M2601" s="76" t="s">
        <v>38</v>
      </c>
      <c r="N2601" s="76" t="s">
        <v>40</v>
      </c>
      <c r="O2601" s="76">
        <v>0</v>
      </c>
      <c r="P2601" s="76"/>
      <c r="Q2601" s="76"/>
      <c r="R2601" s="76"/>
      <c r="S2601" s="76"/>
      <c r="BD2601" s="99">
        <f t="shared" si="84"/>
        <v>0</v>
      </c>
      <c r="CC2601" s="99"/>
      <c r="CV2601" s="99"/>
      <c r="CW2601" s="63"/>
    </row>
    <row r="2602" spans="1:101" ht="22.5" x14ac:dyDescent="0.15">
      <c r="A2602" s="76"/>
      <c r="B2602" s="74"/>
      <c r="C2602" s="74"/>
      <c r="D2602" s="78"/>
      <c r="E2602" s="74" t="s">
        <v>9263</v>
      </c>
      <c r="F2602" s="74"/>
      <c r="G2602" s="76"/>
      <c r="H2602" s="77" t="s">
        <v>18</v>
      </c>
      <c r="I2602" s="76" t="s">
        <v>53</v>
      </c>
      <c r="J2602" s="77" t="s">
        <v>8516</v>
      </c>
      <c r="K2602" s="77" t="s">
        <v>84</v>
      </c>
      <c r="L2602" s="76"/>
      <c r="M2602" s="76" t="s">
        <v>36</v>
      </c>
      <c r="N2602" s="76" t="s">
        <v>39</v>
      </c>
      <c r="O2602" s="76">
        <v>0</v>
      </c>
      <c r="P2602" s="76"/>
      <c r="Q2602" s="76"/>
      <c r="R2602" s="76"/>
      <c r="S2602" s="76"/>
      <c r="BD2602" s="99">
        <f t="shared" si="84"/>
        <v>0</v>
      </c>
      <c r="CC2602" s="99"/>
      <c r="CV2602" s="99"/>
      <c r="CW2602" s="63"/>
    </row>
    <row r="2603" spans="1:101" ht="22.5" x14ac:dyDescent="0.15">
      <c r="A2603" s="76"/>
      <c r="B2603" s="74"/>
      <c r="C2603" s="74"/>
      <c r="D2603" s="78"/>
      <c r="E2603" s="74" t="s">
        <v>9264</v>
      </c>
      <c r="F2603" s="74"/>
      <c r="G2603" s="76" t="s">
        <v>8515</v>
      </c>
      <c r="H2603" s="77" t="s">
        <v>18</v>
      </c>
      <c r="I2603" s="76" t="s">
        <v>53</v>
      </c>
      <c r="J2603" s="77" t="s">
        <v>58</v>
      </c>
      <c r="K2603" s="77" t="s">
        <v>84</v>
      </c>
      <c r="L2603" s="76"/>
      <c r="M2603" s="76" t="s">
        <v>38</v>
      </c>
      <c r="N2603" s="76" t="s">
        <v>40</v>
      </c>
      <c r="O2603" s="76">
        <v>0</v>
      </c>
      <c r="P2603" s="76"/>
      <c r="Q2603" s="76"/>
      <c r="R2603" s="76"/>
      <c r="S2603" s="76"/>
      <c r="BD2603" s="99">
        <f t="shared" si="84"/>
        <v>0</v>
      </c>
      <c r="CC2603" s="99"/>
      <c r="CV2603" s="99"/>
      <c r="CW2603" s="63"/>
    </row>
    <row r="2604" spans="1:101" ht="22.5" x14ac:dyDescent="0.15">
      <c r="A2604" s="76"/>
      <c r="B2604" s="74"/>
      <c r="C2604" s="74"/>
      <c r="D2604" s="78"/>
      <c r="E2604" s="74" t="s">
        <v>9265</v>
      </c>
      <c r="F2604" s="74"/>
      <c r="G2604" s="76"/>
      <c r="H2604" s="77" t="s">
        <v>18</v>
      </c>
      <c r="I2604" s="76" t="s">
        <v>53</v>
      </c>
      <c r="J2604" s="77" t="s">
        <v>8516</v>
      </c>
      <c r="K2604" s="77" t="s">
        <v>84</v>
      </c>
      <c r="L2604" s="76"/>
      <c r="M2604" s="76" t="s">
        <v>38</v>
      </c>
      <c r="N2604" s="76" t="s">
        <v>40</v>
      </c>
      <c r="O2604" s="76">
        <v>1</v>
      </c>
      <c r="P2604" s="76"/>
      <c r="Q2604" s="76"/>
      <c r="R2604" s="76"/>
      <c r="S2604" s="76"/>
      <c r="BD2604" s="99">
        <f t="shared" si="84"/>
        <v>0</v>
      </c>
      <c r="CC2604" s="99"/>
      <c r="CV2604" s="99"/>
      <c r="CW2604" s="63"/>
    </row>
    <row r="2605" spans="1:101" ht="22.5" x14ac:dyDescent="0.15">
      <c r="A2605" s="76">
        <v>2437</v>
      </c>
      <c r="B2605" s="74" t="s">
        <v>2511</v>
      </c>
      <c r="C2605" s="74">
        <v>998323357</v>
      </c>
      <c r="D2605" s="78" t="str">
        <f t="shared" si="83"/>
        <v>https://portal.dnb.de/opac.htm?method=simpleSearch&amp;cqlMode=true&amp;query=idn%3D998323357</v>
      </c>
      <c r="E2605" s="74" t="s">
        <v>9270</v>
      </c>
      <c r="F2605" s="74"/>
      <c r="G2605" s="76"/>
      <c r="H2605" s="77" t="s">
        <v>18</v>
      </c>
      <c r="I2605" s="76" t="s">
        <v>53</v>
      </c>
      <c r="J2605" s="77" t="s">
        <v>8516</v>
      </c>
      <c r="K2605" s="77" t="s">
        <v>84</v>
      </c>
      <c r="L2605" s="76"/>
      <c r="M2605" s="76" t="s">
        <v>36</v>
      </c>
      <c r="N2605" s="76" t="s">
        <v>39</v>
      </c>
      <c r="O2605" s="76">
        <v>0</v>
      </c>
      <c r="P2605" s="76"/>
      <c r="Q2605" s="76"/>
      <c r="R2605" s="76"/>
      <c r="S2605" s="76"/>
      <c r="BD2605" s="99">
        <f t="shared" si="84"/>
        <v>0</v>
      </c>
      <c r="CC2605" s="99"/>
      <c r="CV2605" s="99"/>
      <c r="CW2605" s="63"/>
    </row>
    <row r="2606" spans="1:101" ht="22.5" x14ac:dyDescent="0.15">
      <c r="A2606" s="76">
        <v>2438</v>
      </c>
      <c r="B2606" s="74" t="s">
        <v>2512</v>
      </c>
      <c r="C2606" s="74">
        <v>998323411</v>
      </c>
      <c r="D2606" s="78" t="str">
        <f t="shared" si="83"/>
        <v>https://portal.dnb.de/opac.htm?method=simpleSearch&amp;cqlMode=true&amp;query=idn%3D998323411</v>
      </c>
      <c r="E2606" s="74" t="s">
        <v>9271</v>
      </c>
      <c r="F2606" s="74"/>
      <c r="G2606" s="76"/>
      <c r="H2606" s="77" t="s">
        <v>18</v>
      </c>
      <c r="I2606" s="76" t="s">
        <v>53</v>
      </c>
      <c r="J2606" s="77" t="s">
        <v>58</v>
      </c>
      <c r="K2606" s="77" t="s">
        <v>8785</v>
      </c>
      <c r="L2606" s="76"/>
      <c r="M2606" s="76" t="s">
        <v>36</v>
      </c>
      <c r="N2606" s="76" t="s">
        <v>39</v>
      </c>
      <c r="O2606" s="76">
        <v>0</v>
      </c>
      <c r="P2606" s="76"/>
      <c r="Q2606" s="76"/>
      <c r="R2606" s="76"/>
      <c r="S2606" s="76"/>
      <c r="BD2606" s="99">
        <f t="shared" si="84"/>
        <v>0</v>
      </c>
      <c r="CC2606" s="99"/>
      <c r="CV2606" s="99"/>
      <c r="CW2606" s="63"/>
    </row>
    <row r="2607" spans="1:101" x14ac:dyDescent="0.15">
      <c r="A2607" s="76">
        <v>2439</v>
      </c>
      <c r="B2607" s="74" t="s">
        <v>2515</v>
      </c>
      <c r="C2607" s="74">
        <v>997666560</v>
      </c>
      <c r="D2607" s="78" t="str">
        <f t="shared" si="83"/>
        <v>https://portal.dnb.de/opac.htm?method=simpleSearch&amp;cqlMode=true&amp;query=idn%3D997666560</v>
      </c>
      <c r="E2607" s="74" t="s">
        <v>2516</v>
      </c>
      <c r="F2607" s="74"/>
      <c r="G2607" s="76"/>
      <c r="H2607" s="77"/>
      <c r="I2607" s="76"/>
      <c r="J2607" s="77"/>
      <c r="K2607" s="77"/>
      <c r="L2607" s="76"/>
      <c r="M2607" s="76"/>
      <c r="N2607" s="76"/>
      <c r="O2607" s="76"/>
      <c r="P2607" s="76"/>
      <c r="Q2607" s="76"/>
      <c r="R2607" s="76"/>
      <c r="S2607" s="76"/>
      <c r="BD2607" s="99">
        <f t="shared" si="84"/>
        <v>0</v>
      </c>
      <c r="CC2607" s="99"/>
      <c r="CV2607" s="99"/>
      <c r="CW2607" s="63"/>
    </row>
    <row r="2608" spans="1:101" ht="22.5" x14ac:dyDescent="0.15">
      <c r="A2608" s="76">
        <v>2440</v>
      </c>
      <c r="B2608" s="74" t="s">
        <v>2517</v>
      </c>
      <c r="C2608" s="74">
        <v>996586156</v>
      </c>
      <c r="D2608" s="78" t="str">
        <f t="shared" si="83"/>
        <v>https://portal.dnb.de/opac.htm?method=simpleSearch&amp;cqlMode=true&amp;query=idn%3D996586156</v>
      </c>
      <c r="E2608" s="74" t="s">
        <v>2518</v>
      </c>
      <c r="F2608" s="74"/>
      <c r="G2608" s="76" t="s">
        <v>8515</v>
      </c>
      <c r="H2608" s="77" t="s">
        <v>18</v>
      </c>
      <c r="I2608" s="76" t="s">
        <v>53</v>
      </c>
      <c r="J2608" s="77" t="s">
        <v>58</v>
      </c>
      <c r="K2608" s="77" t="s">
        <v>84</v>
      </c>
      <c r="L2608" s="76"/>
      <c r="M2608" s="76"/>
      <c r="N2608" s="76" t="s">
        <v>8660</v>
      </c>
      <c r="O2608" s="76">
        <v>0</v>
      </c>
      <c r="P2608" s="76"/>
      <c r="Q2608" s="76"/>
      <c r="R2608" s="76"/>
      <c r="S2608" s="76"/>
      <c r="BD2608" s="99">
        <f t="shared" si="84"/>
        <v>0</v>
      </c>
      <c r="CC2608" s="99"/>
      <c r="CV2608" s="99"/>
      <c r="CW2608" s="63"/>
    </row>
    <row r="2609" spans="1:101" x14ac:dyDescent="0.15">
      <c r="A2609" s="76">
        <v>2441</v>
      </c>
      <c r="B2609" s="74" t="s">
        <v>2519</v>
      </c>
      <c r="C2609" s="74">
        <v>997553219</v>
      </c>
      <c r="D2609" s="78" t="str">
        <f t="shared" si="83"/>
        <v>https://portal.dnb.de/opac.htm?method=simpleSearch&amp;cqlMode=true&amp;query=idn%3D997553219</v>
      </c>
      <c r="E2609" s="74" t="s">
        <v>2520</v>
      </c>
      <c r="F2609" s="74"/>
      <c r="G2609" s="76"/>
      <c r="H2609" s="77"/>
      <c r="I2609" s="76"/>
      <c r="J2609" s="77"/>
      <c r="K2609" s="77"/>
      <c r="L2609" s="76"/>
      <c r="M2609" s="76"/>
      <c r="N2609" s="76"/>
      <c r="O2609" s="76"/>
      <c r="P2609" s="76"/>
      <c r="Q2609" s="76"/>
      <c r="R2609" s="76"/>
      <c r="S2609" s="76"/>
      <c r="BD2609" s="99">
        <f t="shared" si="84"/>
        <v>0</v>
      </c>
      <c r="CC2609" s="99"/>
      <c r="CV2609" s="99"/>
      <c r="CW2609" s="63"/>
    </row>
    <row r="2610" spans="1:101" ht="22.5" x14ac:dyDescent="0.15">
      <c r="A2610" s="76">
        <v>2442</v>
      </c>
      <c r="B2610" s="74" t="s">
        <v>2521</v>
      </c>
      <c r="C2610" s="74">
        <v>996595783</v>
      </c>
      <c r="D2610" s="78" t="str">
        <f t="shared" si="83"/>
        <v>https://portal.dnb.de/opac.htm?method=simpleSearch&amp;cqlMode=true&amp;query=idn%3D996595783</v>
      </c>
      <c r="E2610" s="74" t="s">
        <v>2522</v>
      </c>
      <c r="F2610" s="74"/>
      <c r="G2610" s="76"/>
      <c r="H2610" s="77" t="s">
        <v>18</v>
      </c>
      <c r="I2610" s="76" t="s">
        <v>53</v>
      </c>
      <c r="J2610" s="77" t="s">
        <v>8516</v>
      </c>
      <c r="K2610" s="77" t="s">
        <v>84</v>
      </c>
      <c r="L2610" s="76"/>
      <c r="M2610" s="76"/>
      <c r="N2610" s="76"/>
      <c r="O2610" s="76">
        <v>0</v>
      </c>
      <c r="P2610" s="76"/>
      <c r="Q2610" s="76"/>
      <c r="R2610" s="76"/>
      <c r="S2610" s="76"/>
      <c r="BD2610" s="99">
        <f t="shared" si="84"/>
        <v>0</v>
      </c>
      <c r="CC2610" s="99"/>
      <c r="CV2610" s="99"/>
      <c r="CW2610" s="63"/>
    </row>
    <row r="2611" spans="1:101" x14ac:dyDescent="0.15">
      <c r="A2611" s="76">
        <v>2443</v>
      </c>
      <c r="B2611" s="74" t="s">
        <v>2523</v>
      </c>
      <c r="C2611" s="74">
        <v>1001994965</v>
      </c>
      <c r="D2611" s="78" t="str">
        <f t="shared" si="83"/>
        <v>https://portal.dnb.de/opac.htm?method=simpleSearch&amp;cqlMode=true&amp;query=idn%3D1001994965</v>
      </c>
      <c r="E2611" s="74" t="s">
        <v>2524</v>
      </c>
      <c r="F2611" s="74"/>
      <c r="G2611" s="76"/>
      <c r="H2611" s="77"/>
      <c r="I2611" s="76"/>
      <c r="J2611" s="77"/>
      <c r="K2611" s="77"/>
      <c r="L2611" s="76"/>
      <c r="M2611" s="76"/>
      <c r="N2611" s="76"/>
      <c r="O2611" s="76"/>
      <c r="P2611" s="76"/>
      <c r="Q2611" s="76"/>
      <c r="R2611" s="76"/>
      <c r="S2611" s="76"/>
      <c r="BD2611" s="99">
        <f t="shared" si="84"/>
        <v>0</v>
      </c>
      <c r="CC2611" s="99"/>
      <c r="CV2611" s="99"/>
      <c r="CW2611" s="63"/>
    </row>
    <row r="2612" spans="1:101" x14ac:dyDescent="0.15">
      <c r="A2612" s="76">
        <v>2444</v>
      </c>
      <c r="B2612" s="74" t="s">
        <v>2525</v>
      </c>
      <c r="C2612" s="74">
        <v>1001994892</v>
      </c>
      <c r="D2612" s="78" t="str">
        <f t="shared" si="83"/>
        <v>https://portal.dnb.de/opac.htm?method=simpleSearch&amp;cqlMode=true&amp;query=idn%3D1001994892</v>
      </c>
      <c r="E2612" s="74" t="s">
        <v>2524</v>
      </c>
      <c r="F2612" s="74"/>
      <c r="G2612" s="76"/>
      <c r="H2612" s="77"/>
      <c r="I2612" s="76"/>
      <c r="J2612" s="77"/>
      <c r="K2612" s="77"/>
      <c r="L2612" s="76"/>
      <c r="M2612" s="76"/>
      <c r="N2612" s="76"/>
      <c r="O2612" s="76"/>
      <c r="P2612" s="76"/>
      <c r="Q2612" s="76"/>
      <c r="R2612" s="76"/>
      <c r="S2612" s="76"/>
      <c r="BD2612" s="99">
        <f t="shared" si="84"/>
        <v>0</v>
      </c>
      <c r="CC2612" s="99"/>
      <c r="CV2612" s="99"/>
      <c r="CW2612" s="63"/>
    </row>
    <row r="2613" spans="1:101" x14ac:dyDescent="0.15">
      <c r="A2613" s="76">
        <v>2445</v>
      </c>
      <c r="B2613" s="74" t="s">
        <v>2526</v>
      </c>
      <c r="C2613" s="74">
        <v>1001994736</v>
      </c>
      <c r="D2613" s="78" t="str">
        <f t="shared" si="83"/>
        <v>https://portal.dnb.de/opac.htm?method=simpleSearch&amp;cqlMode=true&amp;query=idn%3D1001994736</v>
      </c>
      <c r="E2613" s="74" t="s">
        <v>2524</v>
      </c>
      <c r="F2613" s="74"/>
      <c r="G2613" s="76"/>
      <c r="H2613" s="77"/>
      <c r="I2613" s="76"/>
      <c r="J2613" s="77"/>
      <c r="K2613" s="77"/>
      <c r="L2613" s="76"/>
      <c r="M2613" s="76"/>
      <c r="N2613" s="76"/>
      <c r="O2613" s="76"/>
      <c r="P2613" s="76"/>
      <c r="Q2613" s="76"/>
      <c r="R2613" s="76"/>
      <c r="S2613" s="76"/>
      <c r="BD2613" s="99">
        <f t="shared" si="84"/>
        <v>0</v>
      </c>
      <c r="CC2613" s="99"/>
      <c r="CV2613" s="99"/>
      <c r="CW2613" s="63"/>
    </row>
    <row r="2614" spans="1:101" x14ac:dyDescent="0.15">
      <c r="A2614" s="76">
        <v>2446</v>
      </c>
      <c r="B2614" s="74" t="s">
        <v>2527</v>
      </c>
      <c r="C2614" s="74" t="s">
        <v>2528</v>
      </c>
      <c r="D2614" s="78" t="str">
        <f t="shared" si="83"/>
        <v>https://portal.dnb.de/opac.htm?method=simpleSearch&amp;cqlMode=true&amp;query=idn%3D100199454X</v>
      </c>
      <c r="E2614" s="74" t="s">
        <v>2524</v>
      </c>
      <c r="F2614" s="74"/>
      <c r="G2614" s="76"/>
      <c r="H2614" s="77"/>
      <c r="I2614" s="76"/>
      <c r="J2614" s="77"/>
      <c r="K2614" s="77"/>
      <c r="L2614" s="76"/>
      <c r="M2614" s="76"/>
      <c r="N2614" s="76"/>
      <c r="O2614" s="76"/>
      <c r="P2614" s="76"/>
      <c r="Q2614" s="76"/>
      <c r="R2614" s="76"/>
      <c r="S2614" s="76"/>
      <c r="BD2614" s="99">
        <f t="shared" si="84"/>
        <v>0</v>
      </c>
      <c r="CC2614" s="99"/>
      <c r="CV2614" s="99"/>
      <c r="CW2614" s="63"/>
    </row>
    <row r="2615" spans="1:101" x14ac:dyDescent="0.15">
      <c r="A2615" s="76">
        <v>2447</v>
      </c>
      <c r="B2615" s="74" t="s">
        <v>2529</v>
      </c>
      <c r="C2615" s="74">
        <v>1001994817</v>
      </c>
      <c r="D2615" s="78" t="str">
        <f t="shared" si="83"/>
        <v>https://portal.dnb.de/opac.htm?method=simpleSearch&amp;cqlMode=true&amp;query=idn%3D1001994817</v>
      </c>
      <c r="E2615" s="74" t="s">
        <v>2524</v>
      </c>
      <c r="F2615" s="74"/>
      <c r="G2615" s="76"/>
      <c r="H2615" s="77"/>
      <c r="I2615" s="76"/>
      <c r="J2615" s="77"/>
      <c r="K2615" s="77"/>
      <c r="L2615" s="76"/>
      <c r="M2615" s="76"/>
      <c r="N2615" s="76"/>
      <c r="O2615" s="76"/>
      <c r="P2615" s="76"/>
      <c r="Q2615" s="76"/>
      <c r="R2615" s="76"/>
      <c r="S2615" s="76"/>
      <c r="BD2615" s="99">
        <f t="shared" si="84"/>
        <v>0</v>
      </c>
      <c r="CC2615" s="99"/>
      <c r="CV2615" s="99"/>
      <c r="CW2615" s="63"/>
    </row>
    <row r="2616" spans="1:101" x14ac:dyDescent="0.15">
      <c r="A2616" s="76">
        <v>2448</v>
      </c>
      <c r="B2616" s="74" t="s">
        <v>2530</v>
      </c>
      <c r="C2616" s="74">
        <v>1002012791</v>
      </c>
      <c r="D2616" s="78" t="str">
        <f t="shared" si="83"/>
        <v>https://portal.dnb.de/opac.htm?method=simpleSearch&amp;cqlMode=true&amp;query=idn%3D1002012791</v>
      </c>
      <c r="E2616" s="74" t="s">
        <v>2524</v>
      </c>
      <c r="F2616" s="74"/>
      <c r="G2616" s="76"/>
      <c r="H2616" s="77"/>
      <c r="I2616" s="76"/>
      <c r="J2616" s="77"/>
      <c r="K2616" s="77"/>
      <c r="L2616" s="76"/>
      <c r="M2616" s="76"/>
      <c r="N2616" s="76"/>
      <c r="O2616" s="76"/>
      <c r="P2616" s="76"/>
      <c r="Q2616" s="76"/>
      <c r="R2616" s="76"/>
      <c r="S2616" s="76"/>
      <c r="BD2616" s="99">
        <f t="shared" si="84"/>
        <v>0</v>
      </c>
      <c r="CC2616" s="99"/>
      <c r="CV2616" s="99"/>
      <c r="CW2616" s="63"/>
    </row>
    <row r="2617" spans="1:101" x14ac:dyDescent="0.15">
      <c r="A2617" s="76">
        <v>2449</v>
      </c>
      <c r="B2617" s="74" t="s">
        <v>2531</v>
      </c>
      <c r="C2617" s="74">
        <v>1002012627</v>
      </c>
      <c r="D2617" s="78" t="str">
        <f t="shared" si="83"/>
        <v>https://portal.dnb.de/opac.htm?method=simpleSearch&amp;cqlMode=true&amp;query=idn%3D1002012627</v>
      </c>
      <c r="E2617" s="74" t="s">
        <v>2524</v>
      </c>
      <c r="F2617" s="74"/>
      <c r="G2617" s="76"/>
      <c r="H2617" s="77"/>
      <c r="I2617" s="76"/>
      <c r="J2617" s="77"/>
      <c r="K2617" s="77"/>
      <c r="L2617" s="76"/>
      <c r="M2617" s="76"/>
      <c r="N2617" s="76"/>
      <c r="O2617" s="76"/>
      <c r="P2617" s="76"/>
      <c r="Q2617" s="76"/>
      <c r="R2617" s="76"/>
      <c r="S2617" s="76"/>
      <c r="BD2617" s="99">
        <f t="shared" si="84"/>
        <v>0</v>
      </c>
      <c r="CC2617" s="99"/>
      <c r="CV2617" s="99"/>
      <c r="CW2617" s="63"/>
    </row>
    <row r="2618" spans="1:101" x14ac:dyDescent="0.15">
      <c r="A2618" s="76">
        <v>2450</v>
      </c>
      <c r="B2618" s="74" t="s">
        <v>2532</v>
      </c>
      <c r="C2618" s="74" t="s">
        <v>2533</v>
      </c>
      <c r="D2618" s="78" t="str">
        <f t="shared" si="83"/>
        <v>https://portal.dnb.de/opac.htm?method=simpleSearch&amp;cqlMode=true&amp;query=idn%3D100199499X</v>
      </c>
      <c r="E2618" s="74" t="s">
        <v>2524</v>
      </c>
      <c r="F2618" s="74"/>
      <c r="G2618" s="76"/>
      <c r="H2618" s="77"/>
      <c r="I2618" s="76"/>
      <c r="J2618" s="77"/>
      <c r="K2618" s="77"/>
      <c r="L2618" s="76"/>
      <c r="M2618" s="76"/>
      <c r="N2618" s="76"/>
      <c r="O2618" s="76"/>
      <c r="P2618" s="76"/>
      <c r="Q2618" s="76"/>
      <c r="R2618" s="76"/>
      <c r="S2618" s="76"/>
      <c r="BD2618" s="99">
        <f t="shared" si="84"/>
        <v>0</v>
      </c>
      <c r="CC2618" s="99"/>
      <c r="CV2618" s="99"/>
      <c r="CW2618" s="63"/>
    </row>
    <row r="2619" spans="1:101" x14ac:dyDescent="0.15">
      <c r="A2619" s="76">
        <v>2451</v>
      </c>
      <c r="B2619" s="74" t="s">
        <v>2534</v>
      </c>
      <c r="C2619" s="74">
        <v>1002012953</v>
      </c>
      <c r="D2619" s="78" t="str">
        <f t="shared" si="83"/>
        <v>https://portal.dnb.de/opac.htm?method=simpleSearch&amp;cqlMode=true&amp;query=idn%3D1002012953</v>
      </c>
      <c r="E2619" s="74" t="s">
        <v>2524</v>
      </c>
      <c r="F2619" s="74"/>
      <c r="G2619" s="76"/>
      <c r="H2619" s="77"/>
      <c r="I2619" s="76"/>
      <c r="J2619" s="77"/>
      <c r="K2619" s="77"/>
      <c r="L2619" s="76"/>
      <c r="M2619" s="76"/>
      <c r="N2619" s="76"/>
      <c r="O2619" s="76"/>
      <c r="P2619" s="76"/>
      <c r="Q2619" s="76"/>
      <c r="R2619" s="76"/>
      <c r="S2619" s="76"/>
      <c r="BD2619" s="99">
        <f t="shared" si="84"/>
        <v>0</v>
      </c>
      <c r="CC2619" s="99"/>
      <c r="CV2619" s="99"/>
      <c r="CW2619" s="63"/>
    </row>
    <row r="2620" spans="1:101" x14ac:dyDescent="0.15">
      <c r="A2620" s="76">
        <v>2452</v>
      </c>
      <c r="B2620" s="74" t="s">
        <v>2535</v>
      </c>
      <c r="C2620" s="74">
        <v>1002008301</v>
      </c>
      <c r="D2620" s="78" t="str">
        <f t="shared" si="83"/>
        <v>https://portal.dnb.de/opac.htm?method=simpleSearch&amp;cqlMode=true&amp;query=idn%3D1002008301</v>
      </c>
      <c r="E2620" s="74" t="s">
        <v>2524</v>
      </c>
      <c r="F2620" s="74"/>
      <c r="G2620" s="76"/>
      <c r="H2620" s="77"/>
      <c r="I2620" s="76"/>
      <c r="J2620" s="77"/>
      <c r="K2620" s="77"/>
      <c r="L2620" s="76"/>
      <c r="M2620" s="76"/>
      <c r="N2620" s="76"/>
      <c r="O2620" s="76"/>
      <c r="P2620" s="76"/>
      <c r="Q2620" s="76"/>
      <c r="R2620" s="76"/>
      <c r="S2620" s="76"/>
      <c r="BD2620" s="99">
        <f t="shared" si="84"/>
        <v>0</v>
      </c>
      <c r="CC2620" s="99"/>
      <c r="CV2620" s="99"/>
      <c r="CW2620" s="63"/>
    </row>
    <row r="2621" spans="1:101" x14ac:dyDescent="0.15">
      <c r="A2621" s="76">
        <v>2453</v>
      </c>
      <c r="B2621" s="74" t="s">
        <v>2536</v>
      </c>
      <c r="C2621" s="74">
        <v>1001995201</v>
      </c>
      <c r="D2621" s="78" t="str">
        <f t="shared" si="83"/>
        <v>https://portal.dnb.de/opac.htm?method=simpleSearch&amp;cqlMode=true&amp;query=idn%3D1001995201</v>
      </c>
      <c r="E2621" s="74" t="s">
        <v>2524</v>
      </c>
      <c r="F2621" s="74"/>
      <c r="G2621" s="76"/>
      <c r="H2621" s="77"/>
      <c r="I2621" s="76"/>
      <c r="J2621" s="77"/>
      <c r="K2621" s="77"/>
      <c r="L2621" s="76"/>
      <c r="M2621" s="76"/>
      <c r="N2621" s="76"/>
      <c r="O2621" s="76"/>
      <c r="P2621" s="76"/>
      <c r="Q2621" s="76"/>
      <c r="R2621" s="76"/>
      <c r="S2621" s="76"/>
      <c r="BD2621" s="99">
        <f t="shared" si="84"/>
        <v>0</v>
      </c>
      <c r="CC2621" s="99"/>
      <c r="CV2621" s="99"/>
      <c r="CW2621" s="63"/>
    </row>
    <row r="2622" spans="1:101" x14ac:dyDescent="0.15">
      <c r="A2622" s="76">
        <v>2454</v>
      </c>
      <c r="B2622" s="74" t="s">
        <v>2537</v>
      </c>
      <c r="C2622" s="74">
        <v>1002008441</v>
      </c>
      <c r="D2622" s="78" t="str">
        <f t="shared" si="83"/>
        <v>https://portal.dnb.de/opac.htm?method=simpleSearch&amp;cqlMode=true&amp;query=idn%3D1002008441</v>
      </c>
      <c r="E2622" s="74" t="s">
        <v>2524</v>
      </c>
      <c r="F2622" s="74"/>
      <c r="G2622" s="76"/>
      <c r="H2622" s="77"/>
      <c r="I2622" s="76"/>
      <c r="J2622" s="77"/>
      <c r="K2622" s="77"/>
      <c r="L2622" s="76"/>
      <c r="M2622" s="76"/>
      <c r="N2622" s="76"/>
      <c r="O2622" s="76"/>
      <c r="P2622" s="76"/>
      <c r="Q2622" s="76"/>
      <c r="R2622" s="76"/>
      <c r="S2622" s="76"/>
      <c r="BD2622" s="99">
        <f t="shared" si="84"/>
        <v>0</v>
      </c>
      <c r="CC2622" s="99"/>
      <c r="CV2622" s="99"/>
      <c r="CW2622" s="63"/>
    </row>
    <row r="2623" spans="1:101" x14ac:dyDescent="0.15">
      <c r="A2623" s="76">
        <v>2455</v>
      </c>
      <c r="B2623" s="74" t="s">
        <v>2538</v>
      </c>
      <c r="C2623" s="74">
        <v>1001995244</v>
      </c>
      <c r="D2623" s="78" t="str">
        <f t="shared" si="83"/>
        <v>https://portal.dnb.de/opac.htm?method=simpleSearch&amp;cqlMode=true&amp;query=idn%3D1001995244</v>
      </c>
      <c r="E2623" s="74" t="s">
        <v>2524</v>
      </c>
      <c r="F2623" s="74"/>
      <c r="G2623" s="76"/>
      <c r="H2623" s="77"/>
      <c r="I2623" s="76"/>
      <c r="J2623" s="77"/>
      <c r="K2623" s="77"/>
      <c r="L2623" s="76"/>
      <c r="M2623" s="76"/>
      <c r="N2623" s="76"/>
      <c r="O2623" s="76"/>
      <c r="P2623" s="76"/>
      <c r="Q2623" s="76"/>
      <c r="R2623" s="76"/>
      <c r="S2623" s="76"/>
      <c r="BD2623" s="99">
        <f t="shared" si="84"/>
        <v>0</v>
      </c>
      <c r="CC2623" s="99"/>
      <c r="CV2623" s="99"/>
      <c r="CW2623" s="63"/>
    </row>
    <row r="2624" spans="1:101" x14ac:dyDescent="0.15">
      <c r="A2624" s="76">
        <v>2456</v>
      </c>
      <c r="B2624" s="74" t="s">
        <v>2539</v>
      </c>
      <c r="C2624" s="74">
        <v>1002011043</v>
      </c>
      <c r="D2624" s="78" t="str">
        <f t="shared" si="83"/>
        <v>https://portal.dnb.de/opac.htm?method=simpleSearch&amp;cqlMode=true&amp;query=idn%3D1002011043</v>
      </c>
      <c r="E2624" s="74" t="s">
        <v>2524</v>
      </c>
      <c r="F2624" s="74"/>
      <c r="G2624" s="76"/>
      <c r="H2624" s="77"/>
      <c r="I2624" s="76"/>
      <c r="J2624" s="77"/>
      <c r="K2624" s="77"/>
      <c r="L2624" s="76"/>
      <c r="M2624" s="76"/>
      <c r="N2624" s="76"/>
      <c r="O2624" s="76"/>
      <c r="P2624" s="76"/>
      <c r="Q2624" s="76"/>
      <c r="R2624" s="76"/>
      <c r="S2624" s="76"/>
      <c r="BD2624" s="99">
        <f t="shared" si="84"/>
        <v>0</v>
      </c>
      <c r="CC2624" s="99"/>
      <c r="CV2624" s="99"/>
      <c r="CW2624" s="63"/>
    </row>
    <row r="2625" spans="1:101" x14ac:dyDescent="0.15">
      <c r="A2625" s="76">
        <v>2457</v>
      </c>
      <c r="B2625" s="74" t="s">
        <v>2540</v>
      </c>
      <c r="C2625" s="74">
        <v>1002013097</v>
      </c>
      <c r="D2625" s="78" t="str">
        <f t="shared" si="83"/>
        <v>https://portal.dnb.de/opac.htm?method=simpleSearch&amp;cqlMode=true&amp;query=idn%3D1002013097</v>
      </c>
      <c r="E2625" s="74" t="s">
        <v>2524</v>
      </c>
      <c r="F2625" s="74"/>
      <c r="G2625" s="76"/>
      <c r="H2625" s="77"/>
      <c r="I2625" s="76"/>
      <c r="J2625" s="77"/>
      <c r="K2625" s="77"/>
      <c r="L2625" s="76"/>
      <c r="M2625" s="76"/>
      <c r="N2625" s="76"/>
      <c r="O2625" s="76"/>
      <c r="P2625" s="76"/>
      <c r="Q2625" s="76"/>
      <c r="R2625" s="76"/>
      <c r="S2625" s="76"/>
      <c r="BD2625" s="99">
        <f t="shared" si="84"/>
        <v>0</v>
      </c>
      <c r="CC2625" s="99"/>
      <c r="CV2625" s="99"/>
      <c r="CW2625" s="63"/>
    </row>
    <row r="2626" spans="1:101" x14ac:dyDescent="0.15">
      <c r="A2626" s="76">
        <v>2458</v>
      </c>
      <c r="B2626" s="74" t="s">
        <v>2541</v>
      </c>
      <c r="C2626" s="74">
        <v>1002010586</v>
      </c>
      <c r="D2626" s="78" t="str">
        <f t="shared" si="83"/>
        <v>https://portal.dnb.de/opac.htm?method=simpleSearch&amp;cqlMode=true&amp;query=idn%3D1002010586</v>
      </c>
      <c r="E2626" s="74" t="s">
        <v>2524</v>
      </c>
      <c r="F2626" s="74"/>
      <c r="G2626" s="76"/>
      <c r="H2626" s="77"/>
      <c r="I2626" s="76"/>
      <c r="J2626" s="77"/>
      <c r="K2626" s="77"/>
      <c r="L2626" s="76"/>
      <c r="M2626" s="76"/>
      <c r="N2626" s="76"/>
      <c r="O2626" s="76"/>
      <c r="P2626" s="76"/>
      <c r="Q2626" s="76"/>
      <c r="R2626" s="76"/>
      <c r="S2626" s="76"/>
      <c r="BD2626" s="99">
        <f t="shared" si="84"/>
        <v>0</v>
      </c>
      <c r="CC2626" s="99"/>
      <c r="CV2626" s="99"/>
      <c r="CW2626" s="63"/>
    </row>
    <row r="2627" spans="1:101" x14ac:dyDescent="0.15">
      <c r="A2627" s="76">
        <v>2459</v>
      </c>
      <c r="B2627" s="74" t="s">
        <v>2542</v>
      </c>
      <c r="C2627" s="74">
        <v>1001995317</v>
      </c>
      <c r="D2627" s="78" t="str">
        <f t="shared" ref="D2627:D2690" si="85">HYPERLINK(CONCATENATE("https://portal.dnb.de/opac.htm?method=simpleSearch&amp;cqlMode=true&amp;query=idn%3D",C2627))</f>
        <v>https://portal.dnb.de/opac.htm?method=simpleSearch&amp;cqlMode=true&amp;query=idn%3D1001995317</v>
      </c>
      <c r="E2627" s="74" t="s">
        <v>2524</v>
      </c>
      <c r="F2627" s="74"/>
      <c r="G2627" s="76"/>
      <c r="H2627" s="77"/>
      <c r="I2627" s="76"/>
      <c r="J2627" s="77"/>
      <c r="K2627" s="77"/>
      <c r="L2627" s="76"/>
      <c r="M2627" s="76"/>
      <c r="N2627" s="76"/>
      <c r="O2627" s="76"/>
      <c r="P2627" s="76"/>
      <c r="Q2627" s="76"/>
      <c r="R2627" s="76"/>
      <c r="S2627" s="76"/>
      <c r="BD2627" s="99">
        <f t="shared" ref="BD2627:BD2690" si="86">CC2627+CV2627</f>
        <v>0</v>
      </c>
      <c r="CC2627" s="99"/>
      <c r="CV2627" s="99"/>
      <c r="CW2627" s="63"/>
    </row>
    <row r="2628" spans="1:101" x14ac:dyDescent="0.15">
      <c r="A2628" s="76">
        <v>2460</v>
      </c>
      <c r="B2628" s="74" t="s">
        <v>2543</v>
      </c>
      <c r="C2628" s="74">
        <v>1002010047</v>
      </c>
      <c r="D2628" s="78" t="str">
        <f t="shared" si="85"/>
        <v>https://portal.dnb.de/opac.htm?method=simpleSearch&amp;cqlMode=true&amp;query=idn%3D1002010047</v>
      </c>
      <c r="E2628" s="74" t="s">
        <v>2524</v>
      </c>
      <c r="F2628" s="74"/>
      <c r="G2628" s="76"/>
      <c r="H2628" s="77"/>
      <c r="I2628" s="76"/>
      <c r="J2628" s="77"/>
      <c r="K2628" s="77"/>
      <c r="L2628" s="76"/>
      <c r="M2628" s="76"/>
      <c r="N2628" s="76"/>
      <c r="O2628" s="76"/>
      <c r="P2628" s="76"/>
      <c r="Q2628" s="76"/>
      <c r="R2628" s="76"/>
      <c r="S2628" s="76"/>
      <c r="BD2628" s="99">
        <f t="shared" si="86"/>
        <v>0</v>
      </c>
      <c r="CC2628" s="99"/>
      <c r="CV2628" s="99"/>
      <c r="CW2628" s="63"/>
    </row>
    <row r="2629" spans="1:101" x14ac:dyDescent="0.15">
      <c r="A2629" s="76">
        <v>2461</v>
      </c>
      <c r="B2629" s="74" t="s">
        <v>2544</v>
      </c>
      <c r="C2629" s="74" t="s">
        <v>2545</v>
      </c>
      <c r="D2629" s="78" t="str">
        <f t="shared" si="85"/>
        <v>https://portal.dnb.de/opac.htm?method=simpleSearch&amp;cqlMode=true&amp;query=idn%3D100200991X</v>
      </c>
      <c r="E2629" s="74" t="s">
        <v>2524</v>
      </c>
      <c r="F2629" s="74"/>
      <c r="G2629" s="76"/>
      <c r="H2629" s="77"/>
      <c r="I2629" s="76"/>
      <c r="J2629" s="77"/>
      <c r="K2629" s="77"/>
      <c r="L2629" s="76"/>
      <c r="M2629" s="76"/>
      <c r="N2629" s="76"/>
      <c r="O2629" s="76"/>
      <c r="P2629" s="76"/>
      <c r="Q2629" s="76"/>
      <c r="R2629" s="76"/>
      <c r="S2629" s="76"/>
      <c r="BD2629" s="99">
        <f t="shared" si="86"/>
        <v>0</v>
      </c>
      <c r="CC2629" s="99"/>
      <c r="CV2629" s="99"/>
      <c r="CW2629" s="63"/>
    </row>
    <row r="2630" spans="1:101" x14ac:dyDescent="0.15">
      <c r="A2630" s="76">
        <v>2462</v>
      </c>
      <c r="B2630" s="74" t="s">
        <v>2546</v>
      </c>
      <c r="C2630" s="74">
        <v>1002007844</v>
      </c>
      <c r="D2630" s="78" t="str">
        <f t="shared" si="85"/>
        <v>https://portal.dnb.de/opac.htm?method=simpleSearch&amp;cqlMode=true&amp;query=idn%3D1002007844</v>
      </c>
      <c r="E2630" s="74" t="s">
        <v>2524</v>
      </c>
      <c r="F2630" s="74"/>
      <c r="G2630" s="76"/>
      <c r="H2630" s="77"/>
      <c r="I2630" s="76"/>
      <c r="J2630" s="77"/>
      <c r="K2630" s="77"/>
      <c r="L2630" s="76"/>
      <c r="M2630" s="76"/>
      <c r="N2630" s="76"/>
      <c r="O2630" s="76"/>
      <c r="P2630" s="76"/>
      <c r="Q2630" s="76"/>
      <c r="R2630" s="76"/>
      <c r="S2630" s="76"/>
      <c r="BD2630" s="99">
        <f t="shared" si="86"/>
        <v>0</v>
      </c>
      <c r="CC2630" s="99"/>
      <c r="CV2630" s="99"/>
      <c r="CW2630" s="63"/>
    </row>
    <row r="2631" spans="1:101" x14ac:dyDescent="0.15">
      <c r="A2631" s="76">
        <v>2463</v>
      </c>
      <c r="B2631" s="74" t="s">
        <v>2547</v>
      </c>
      <c r="C2631" s="74">
        <v>1002009618</v>
      </c>
      <c r="D2631" s="78" t="str">
        <f t="shared" si="85"/>
        <v>https://portal.dnb.de/opac.htm?method=simpleSearch&amp;cqlMode=true&amp;query=idn%3D1002009618</v>
      </c>
      <c r="E2631" s="74" t="s">
        <v>2524</v>
      </c>
      <c r="F2631" s="74"/>
      <c r="G2631" s="76"/>
      <c r="H2631" s="77"/>
      <c r="I2631" s="76"/>
      <c r="J2631" s="77"/>
      <c r="K2631" s="77"/>
      <c r="L2631" s="76"/>
      <c r="M2631" s="76"/>
      <c r="N2631" s="76"/>
      <c r="O2631" s="76"/>
      <c r="P2631" s="76"/>
      <c r="Q2631" s="76"/>
      <c r="R2631" s="76"/>
      <c r="S2631" s="76"/>
      <c r="BD2631" s="99">
        <f t="shared" si="86"/>
        <v>0</v>
      </c>
      <c r="CC2631" s="99"/>
      <c r="CV2631" s="99"/>
      <c r="CW2631" s="63"/>
    </row>
    <row r="2632" spans="1:101" x14ac:dyDescent="0.15">
      <c r="A2632" s="76">
        <v>2464</v>
      </c>
      <c r="B2632" s="74" t="s">
        <v>2548</v>
      </c>
      <c r="C2632" s="74">
        <v>1002008549</v>
      </c>
      <c r="D2632" s="78" t="str">
        <f t="shared" si="85"/>
        <v>https://portal.dnb.de/opac.htm?method=simpleSearch&amp;cqlMode=true&amp;query=idn%3D1002008549</v>
      </c>
      <c r="E2632" s="74" t="s">
        <v>2524</v>
      </c>
      <c r="F2632" s="74"/>
      <c r="G2632" s="76"/>
      <c r="H2632" s="77"/>
      <c r="I2632" s="76"/>
      <c r="J2632" s="77"/>
      <c r="K2632" s="77"/>
      <c r="L2632" s="76"/>
      <c r="M2632" s="76"/>
      <c r="N2632" s="76"/>
      <c r="O2632" s="76"/>
      <c r="P2632" s="76"/>
      <c r="Q2632" s="76"/>
      <c r="R2632" s="76"/>
      <c r="S2632" s="76"/>
      <c r="BD2632" s="99">
        <f t="shared" si="86"/>
        <v>0</v>
      </c>
      <c r="CC2632" s="99"/>
      <c r="CV2632" s="99"/>
      <c r="CW2632" s="63"/>
    </row>
    <row r="2633" spans="1:101" x14ac:dyDescent="0.15">
      <c r="A2633" s="76">
        <v>2465</v>
      </c>
      <c r="B2633" s="74" t="s">
        <v>2549</v>
      </c>
      <c r="C2633" s="74">
        <v>1002008182</v>
      </c>
      <c r="D2633" s="78" t="str">
        <f t="shared" si="85"/>
        <v>https://portal.dnb.de/opac.htm?method=simpleSearch&amp;cqlMode=true&amp;query=idn%3D1002008182</v>
      </c>
      <c r="E2633" s="74" t="s">
        <v>2524</v>
      </c>
      <c r="F2633" s="74"/>
      <c r="G2633" s="76"/>
      <c r="H2633" s="77"/>
      <c r="I2633" s="76"/>
      <c r="J2633" s="77"/>
      <c r="K2633" s="77"/>
      <c r="L2633" s="76"/>
      <c r="M2633" s="76"/>
      <c r="N2633" s="76"/>
      <c r="O2633" s="76"/>
      <c r="P2633" s="76"/>
      <c r="Q2633" s="76"/>
      <c r="R2633" s="76"/>
      <c r="S2633" s="76"/>
      <c r="BD2633" s="99">
        <f t="shared" si="86"/>
        <v>0</v>
      </c>
      <c r="CC2633" s="99"/>
      <c r="CV2633" s="99"/>
      <c r="CW2633" s="63"/>
    </row>
    <row r="2634" spans="1:101" x14ac:dyDescent="0.15">
      <c r="A2634" s="76">
        <v>2466</v>
      </c>
      <c r="B2634" s="74" t="s">
        <v>2550</v>
      </c>
      <c r="C2634" s="74">
        <v>1001995139</v>
      </c>
      <c r="D2634" s="78" t="str">
        <f t="shared" si="85"/>
        <v>https://portal.dnb.de/opac.htm?method=simpleSearch&amp;cqlMode=true&amp;query=idn%3D1001995139</v>
      </c>
      <c r="E2634" s="74" t="s">
        <v>2524</v>
      </c>
      <c r="F2634" s="74"/>
      <c r="G2634" s="76"/>
      <c r="H2634" s="77"/>
      <c r="I2634" s="76"/>
      <c r="J2634" s="77"/>
      <c r="K2634" s="77"/>
      <c r="L2634" s="76"/>
      <c r="M2634" s="76"/>
      <c r="N2634" s="76"/>
      <c r="O2634" s="76"/>
      <c r="P2634" s="76"/>
      <c r="Q2634" s="76"/>
      <c r="R2634" s="76"/>
      <c r="S2634" s="76"/>
      <c r="BD2634" s="99">
        <f t="shared" si="86"/>
        <v>0</v>
      </c>
      <c r="CC2634" s="99"/>
      <c r="CV2634" s="99"/>
      <c r="CW2634" s="63"/>
    </row>
    <row r="2635" spans="1:101" x14ac:dyDescent="0.15">
      <c r="A2635" s="76">
        <v>2467</v>
      </c>
      <c r="B2635" s="74" t="s">
        <v>2551</v>
      </c>
      <c r="C2635" s="74">
        <v>1002008050</v>
      </c>
      <c r="D2635" s="78" t="str">
        <f t="shared" si="85"/>
        <v>https://portal.dnb.de/opac.htm?method=simpleSearch&amp;cqlMode=true&amp;query=idn%3D1002008050</v>
      </c>
      <c r="E2635" s="74" t="s">
        <v>2524</v>
      </c>
      <c r="F2635" s="74"/>
      <c r="G2635" s="76"/>
      <c r="H2635" s="77"/>
      <c r="I2635" s="76"/>
      <c r="J2635" s="77"/>
      <c r="K2635" s="77"/>
      <c r="L2635" s="76"/>
      <c r="M2635" s="76"/>
      <c r="N2635" s="76"/>
      <c r="O2635" s="76"/>
      <c r="P2635" s="76"/>
      <c r="Q2635" s="76"/>
      <c r="R2635" s="76"/>
      <c r="S2635" s="76"/>
      <c r="BD2635" s="99">
        <f t="shared" si="86"/>
        <v>0</v>
      </c>
      <c r="CC2635" s="99"/>
      <c r="CV2635" s="99"/>
      <c r="CW2635" s="63"/>
    </row>
    <row r="2636" spans="1:101" x14ac:dyDescent="0.15">
      <c r="A2636" s="76">
        <v>2468</v>
      </c>
      <c r="B2636" s="74" t="s">
        <v>2552</v>
      </c>
      <c r="C2636" s="74">
        <v>1002013992</v>
      </c>
      <c r="D2636" s="78" t="str">
        <f t="shared" si="85"/>
        <v>https://portal.dnb.de/opac.htm?method=simpleSearch&amp;cqlMode=true&amp;query=idn%3D1002013992</v>
      </c>
      <c r="E2636" s="74" t="s">
        <v>2524</v>
      </c>
      <c r="F2636" s="74"/>
      <c r="G2636" s="76"/>
      <c r="H2636" s="77"/>
      <c r="I2636" s="76"/>
      <c r="J2636" s="77"/>
      <c r="K2636" s="77"/>
      <c r="L2636" s="76"/>
      <c r="M2636" s="76"/>
      <c r="N2636" s="76"/>
      <c r="O2636" s="76"/>
      <c r="P2636" s="76"/>
      <c r="Q2636" s="76"/>
      <c r="R2636" s="76"/>
      <c r="S2636" s="76"/>
      <c r="BD2636" s="99">
        <f t="shared" si="86"/>
        <v>0</v>
      </c>
      <c r="CC2636" s="99"/>
      <c r="CV2636" s="99"/>
      <c r="CW2636" s="63"/>
    </row>
    <row r="2637" spans="1:101" x14ac:dyDescent="0.15">
      <c r="A2637" s="76">
        <v>2469</v>
      </c>
      <c r="B2637" s="74" t="s">
        <v>2553</v>
      </c>
      <c r="C2637" s="74">
        <v>1002013259</v>
      </c>
      <c r="D2637" s="78" t="str">
        <f t="shared" si="85"/>
        <v>https://portal.dnb.de/opac.htm?method=simpleSearch&amp;cqlMode=true&amp;query=idn%3D1002013259</v>
      </c>
      <c r="E2637" s="74" t="s">
        <v>2524</v>
      </c>
      <c r="F2637" s="74"/>
      <c r="G2637" s="76"/>
      <c r="H2637" s="77"/>
      <c r="I2637" s="76"/>
      <c r="J2637" s="77"/>
      <c r="K2637" s="77"/>
      <c r="L2637" s="76"/>
      <c r="M2637" s="76"/>
      <c r="N2637" s="76"/>
      <c r="O2637" s="76"/>
      <c r="P2637" s="76"/>
      <c r="Q2637" s="76"/>
      <c r="R2637" s="76"/>
      <c r="S2637" s="76"/>
      <c r="BD2637" s="99">
        <f t="shared" si="86"/>
        <v>0</v>
      </c>
      <c r="CC2637" s="99"/>
      <c r="CV2637" s="99"/>
      <c r="CW2637" s="63"/>
    </row>
    <row r="2638" spans="1:101" x14ac:dyDescent="0.15">
      <c r="A2638" s="76">
        <v>2470</v>
      </c>
      <c r="B2638" s="74" t="s">
        <v>2554</v>
      </c>
      <c r="C2638" s="74">
        <v>368688119</v>
      </c>
      <c r="D2638" s="78" t="str">
        <f t="shared" si="85"/>
        <v>https://portal.dnb.de/opac.htm?method=simpleSearch&amp;cqlMode=true&amp;query=idn%3D368688119</v>
      </c>
      <c r="E2638" s="74" t="s">
        <v>2524</v>
      </c>
      <c r="F2638" s="74"/>
      <c r="G2638" s="76"/>
      <c r="H2638" s="77"/>
      <c r="I2638" s="76"/>
      <c r="J2638" s="77"/>
      <c r="K2638" s="77"/>
      <c r="L2638" s="76"/>
      <c r="M2638" s="76"/>
      <c r="N2638" s="76"/>
      <c r="O2638" s="76"/>
      <c r="P2638" s="76"/>
      <c r="Q2638" s="76"/>
      <c r="R2638" s="76"/>
      <c r="S2638" s="76"/>
      <c r="BD2638" s="99">
        <f t="shared" si="86"/>
        <v>0</v>
      </c>
      <c r="CC2638" s="99"/>
      <c r="CV2638" s="99"/>
      <c r="CW2638" s="63"/>
    </row>
    <row r="2639" spans="1:101" x14ac:dyDescent="0.15">
      <c r="A2639" s="76">
        <v>2471</v>
      </c>
      <c r="B2639" s="74" t="s">
        <v>2555</v>
      </c>
      <c r="C2639" s="74">
        <v>1002021723</v>
      </c>
      <c r="D2639" s="78" t="str">
        <f t="shared" si="85"/>
        <v>https://portal.dnb.de/opac.htm?method=simpleSearch&amp;cqlMode=true&amp;query=idn%3D1002021723</v>
      </c>
      <c r="E2639" s="74" t="s">
        <v>2524</v>
      </c>
      <c r="F2639" s="74"/>
      <c r="G2639" s="76"/>
      <c r="H2639" s="77"/>
      <c r="I2639" s="76"/>
      <c r="J2639" s="77"/>
      <c r="K2639" s="77"/>
      <c r="L2639" s="76"/>
      <c r="M2639" s="76"/>
      <c r="N2639" s="76"/>
      <c r="O2639" s="76"/>
      <c r="P2639" s="76"/>
      <c r="Q2639" s="76"/>
      <c r="R2639" s="76"/>
      <c r="S2639" s="76"/>
      <c r="BD2639" s="99">
        <f t="shared" si="86"/>
        <v>0</v>
      </c>
      <c r="CC2639" s="99"/>
      <c r="CV2639" s="99"/>
      <c r="CW2639" s="63"/>
    </row>
    <row r="2640" spans="1:101" x14ac:dyDescent="0.15">
      <c r="A2640" s="76">
        <v>2472</v>
      </c>
      <c r="B2640" s="74" t="s">
        <v>2556</v>
      </c>
      <c r="C2640" s="74">
        <v>1002020336</v>
      </c>
      <c r="D2640" s="78" t="str">
        <f t="shared" si="85"/>
        <v>https://portal.dnb.de/opac.htm?method=simpleSearch&amp;cqlMode=true&amp;query=idn%3D1002020336</v>
      </c>
      <c r="E2640" s="74" t="s">
        <v>2524</v>
      </c>
      <c r="F2640" s="74"/>
      <c r="G2640" s="76"/>
      <c r="H2640" s="77"/>
      <c r="I2640" s="76"/>
      <c r="J2640" s="77"/>
      <c r="K2640" s="77"/>
      <c r="L2640" s="76"/>
      <c r="M2640" s="76"/>
      <c r="N2640" s="76"/>
      <c r="O2640" s="76"/>
      <c r="P2640" s="76"/>
      <c r="Q2640" s="76"/>
      <c r="R2640" s="76"/>
      <c r="S2640" s="76"/>
      <c r="BD2640" s="99">
        <f t="shared" si="86"/>
        <v>0</v>
      </c>
      <c r="CC2640" s="99"/>
      <c r="CV2640" s="99"/>
      <c r="CW2640" s="63"/>
    </row>
    <row r="2641" spans="1:101" x14ac:dyDescent="0.15">
      <c r="A2641" s="76">
        <v>2473</v>
      </c>
      <c r="B2641" s="74" t="s">
        <v>2557</v>
      </c>
      <c r="C2641" s="74">
        <v>1002020247</v>
      </c>
      <c r="D2641" s="78" t="str">
        <f t="shared" si="85"/>
        <v>https://portal.dnb.de/opac.htm?method=simpleSearch&amp;cqlMode=true&amp;query=idn%3D1002020247</v>
      </c>
      <c r="E2641" s="74" t="s">
        <v>2524</v>
      </c>
      <c r="F2641" s="74"/>
      <c r="G2641" s="76"/>
      <c r="H2641" s="77"/>
      <c r="I2641" s="76"/>
      <c r="J2641" s="77"/>
      <c r="K2641" s="77"/>
      <c r="L2641" s="76"/>
      <c r="M2641" s="76"/>
      <c r="N2641" s="76"/>
      <c r="O2641" s="76"/>
      <c r="P2641" s="76"/>
      <c r="Q2641" s="76"/>
      <c r="R2641" s="76"/>
      <c r="S2641" s="76"/>
      <c r="BD2641" s="99">
        <f t="shared" si="86"/>
        <v>0</v>
      </c>
      <c r="CC2641" s="99"/>
      <c r="CV2641" s="99"/>
      <c r="CW2641" s="63"/>
    </row>
    <row r="2642" spans="1:101" x14ac:dyDescent="0.15">
      <c r="A2642" s="76">
        <v>2474</v>
      </c>
      <c r="B2642" s="74" t="s">
        <v>2558</v>
      </c>
      <c r="C2642" s="74">
        <v>1002022436</v>
      </c>
      <c r="D2642" s="78" t="str">
        <f t="shared" si="85"/>
        <v>https://portal.dnb.de/opac.htm?method=simpleSearch&amp;cqlMode=true&amp;query=idn%3D1002022436</v>
      </c>
      <c r="E2642" s="74" t="s">
        <v>2524</v>
      </c>
      <c r="F2642" s="74"/>
      <c r="G2642" s="76"/>
      <c r="H2642" s="77"/>
      <c r="I2642" s="76"/>
      <c r="J2642" s="77"/>
      <c r="K2642" s="77"/>
      <c r="L2642" s="76"/>
      <c r="M2642" s="76"/>
      <c r="N2642" s="76"/>
      <c r="O2642" s="76"/>
      <c r="P2642" s="76"/>
      <c r="Q2642" s="76"/>
      <c r="R2642" s="76"/>
      <c r="S2642" s="76"/>
      <c r="BD2642" s="99">
        <f t="shared" si="86"/>
        <v>0</v>
      </c>
      <c r="CC2642" s="99"/>
      <c r="CV2642" s="99"/>
      <c r="CW2642" s="63"/>
    </row>
    <row r="2643" spans="1:101" x14ac:dyDescent="0.15">
      <c r="A2643" s="76">
        <v>2475</v>
      </c>
      <c r="B2643" s="74" t="s">
        <v>2559</v>
      </c>
      <c r="C2643" s="74">
        <v>1002022320</v>
      </c>
      <c r="D2643" s="78" t="str">
        <f t="shared" si="85"/>
        <v>https://portal.dnb.de/opac.htm?method=simpleSearch&amp;cqlMode=true&amp;query=idn%3D1002022320</v>
      </c>
      <c r="E2643" s="74" t="s">
        <v>2524</v>
      </c>
      <c r="F2643" s="74"/>
      <c r="G2643" s="76"/>
      <c r="H2643" s="77"/>
      <c r="I2643" s="76"/>
      <c r="J2643" s="77"/>
      <c r="K2643" s="77"/>
      <c r="L2643" s="76"/>
      <c r="M2643" s="76"/>
      <c r="N2643" s="76"/>
      <c r="O2643" s="76"/>
      <c r="P2643" s="76"/>
      <c r="Q2643" s="76"/>
      <c r="R2643" s="76"/>
      <c r="S2643" s="76"/>
      <c r="BD2643" s="99">
        <f t="shared" si="86"/>
        <v>0</v>
      </c>
      <c r="CC2643" s="99"/>
      <c r="CV2643" s="99"/>
      <c r="CW2643" s="63"/>
    </row>
    <row r="2644" spans="1:101" x14ac:dyDescent="0.15">
      <c r="A2644" s="76">
        <v>2476</v>
      </c>
      <c r="B2644" s="74" t="s">
        <v>2560</v>
      </c>
      <c r="C2644" s="74">
        <v>1002020395</v>
      </c>
      <c r="D2644" s="78" t="str">
        <f t="shared" si="85"/>
        <v>https://portal.dnb.de/opac.htm?method=simpleSearch&amp;cqlMode=true&amp;query=idn%3D1002020395</v>
      </c>
      <c r="E2644" s="74" t="s">
        <v>2524</v>
      </c>
      <c r="F2644" s="74"/>
      <c r="G2644" s="76"/>
      <c r="H2644" s="77"/>
      <c r="I2644" s="76"/>
      <c r="J2644" s="77"/>
      <c r="K2644" s="77"/>
      <c r="L2644" s="76"/>
      <c r="M2644" s="76"/>
      <c r="N2644" s="76"/>
      <c r="O2644" s="76"/>
      <c r="P2644" s="76"/>
      <c r="Q2644" s="76"/>
      <c r="R2644" s="76"/>
      <c r="S2644" s="76"/>
      <c r="BD2644" s="99">
        <f t="shared" si="86"/>
        <v>0</v>
      </c>
      <c r="CC2644" s="99"/>
      <c r="CV2644" s="99"/>
      <c r="CW2644" s="63"/>
    </row>
    <row r="2645" spans="1:101" x14ac:dyDescent="0.15">
      <c r="A2645" s="76">
        <v>2477</v>
      </c>
      <c r="B2645" s="74" t="s">
        <v>2561</v>
      </c>
      <c r="C2645" s="74">
        <v>1002022096</v>
      </c>
      <c r="D2645" s="78" t="str">
        <f t="shared" si="85"/>
        <v>https://portal.dnb.de/opac.htm?method=simpleSearch&amp;cqlMode=true&amp;query=idn%3D1002022096</v>
      </c>
      <c r="E2645" s="74" t="s">
        <v>2524</v>
      </c>
      <c r="F2645" s="74"/>
      <c r="G2645" s="76"/>
      <c r="H2645" s="77"/>
      <c r="I2645" s="76"/>
      <c r="J2645" s="77"/>
      <c r="K2645" s="77"/>
      <c r="L2645" s="76"/>
      <c r="M2645" s="76"/>
      <c r="N2645" s="76"/>
      <c r="O2645" s="76"/>
      <c r="P2645" s="76"/>
      <c r="Q2645" s="76"/>
      <c r="R2645" s="76"/>
      <c r="S2645" s="76"/>
      <c r="BD2645" s="99">
        <f t="shared" si="86"/>
        <v>0</v>
      </c>
      <c r="CC2645" s="99"/>
      <c r="CV2645" s="99"/>
      <c r="CW2645" s="63"/>
    </row>
    <row r="2646" spans="1:101" x14ac:dyDescent="0.15">
      <c r="A2646" s="76">
        <v>2478</v>
      </c>
      <c r="B2646" s="74" t="s">
        <v>2562</v>
      </c>
      <c r="C2646" s="74">
        <v>1002022142</v>
      </c>
      <c r="D2646" s="78" t="str">
        <f t="shared" si="85"/>
        <v>https://portal.dnb.de/opac.htm?method=simpleSearch&amp;cqlMode=true&amp;query=idn%3D1002022142</v>
      </c>
      <c r="E2646" s="74" t="s">
        <v>2524</v>
      </c>
      <c r="F2646" s="74"/>
      <c r="G2646" s="76"/>
      <c r="H2646" s="77"/>
      <c r="I2646" s="76"/>
      <c r="J2646" s="77"/>
      <c r="K2646" s="77"/>
      <c r="L2646" s="76"/>
      <c r="M2646" s="76"/>
      <c r="N2646" s="76"/>
      <c r="O2646" s="76"/>
      <c r="P2646" s="76"/>
      <c r="Q2646" s="76"/>
      <c r="R2646" s="76"/>
      <c r="S2646" s="76"/>
      <c r="BD2646" s="99">
        <f t="shared" si="86"/>
        <v>0</v>
      </c>
      <c r="CC2646" s="99"/>
      <c r="CV2646" s="99"/>
      <c r="CW2646" s="63"/>
    </row>
    <row r="2647" spans="1:101" x14ac:dyDescent="0.15">
      <c r="A2647" s="76">
        <v>2479</v>
      </c>
      <c r="B2647" s="74" t="s">
        <v>2563</v>
      </c>
      <c r="C2647" s="74">
        <v>1002020107</v>
      </c>
      <c r="D2647" s="78" t="str">
        <f t="shared" si="85"/>
        <v>https://portal.dnb.de/opac.htm?method=simpleSearch&amp;cqlMode=true&amp;query=idn%3D1002020107</v>
      </c>
      <c r="E2647" s="74" t="s">
        <v>2524</v>
      </c>
      <c r="F2647" s="74"/>
      <c r="G2647" s="76"/>
      <c r="H2647" s="77"/>
      <c r="I2647" s="76"/>
      <c r="J2647" s="77"/>
      <c r="K2647" s="77"/>
      <c r="L2647" s="76"/>
      <c r="M2647" s="76"/>
      <c r="N2647" s="76"/>
      <c r="O2647" s="76"/>
      <c r="P2647" s="76"/>
      <c r="Q2647" s="76"/>
      <c r="R2647" s="76"/>
      <c r="S2647" s="76"/>
      <c r="BD2647" s="99">
        <f t="shared" si="86"/>
        <v>0</v>
      </c>
      <c r="CC2647" s="99"/>
      <c r="CV2647" s="99"/>
      <c r="CW2647" s="63"/>
    </row>
    <row r="2648" spans="1:101" x14ac:dyDescent="0.15">
      <c r="A2648" s="76">
        <v>2480</v>
      </c>
      <c r="B2648" s="74" t="s">
        <v>2564</v>
      </c>
      <c r="C2648" s="74">
        <v>1002020433</v>
      </c>
      <c r="D2648" s="78" t="str">
        <f t="shared" si="85"/>
        <v>https://portal.dnb.de/opac.htm?method=simpleSearch&amp;cqlMode=true&amp;query=idn%3D1002020433</v>
      </c>
      <c r="E2648" s="74" t="s">
        <v>2524</v>
      </c>
      <c r="F2648" s="74"/>
      <c r="G2648" s="76"/>
      <c r="H2648" s="77"/>
      <c r="I2648" s="76"/>
      <c r="J2648" s="77"/>
      <c r="K2648" s="77"/>
      <c r="L2648" s="76"/>
      <c r="M2648" s="76"/>
      <c r="N2648" s="76"/>
      <c r="O2648" s="76"/>
      <c r="P2648" s="76"/>
      <c r="Q2648" s="76"/>
      <c r="R2648" s="76"/>
      <c r="S2648" s="76"/>
      <c r="BD2648" s="99">
        <f t="shared" si="86"/>
        <v>0</v>
      </c>
      <c r="CC2648" s="99"/>
      <c r="CV2648" s="99"/>
      <c r="CW2648" s="63"/>
    </row>
    <row r="2649" spans="1:101" x14ac:dyDescent="0.15">
      <c r="A2649" s="76">
        <v>2481</v>
      </c>
      <c r="B2649" s="74" t="s">
        <v>2565</v>
      </c>
      <c r="C2649" s="74">
        <v>1002022274</v>
      </c>
      <c r="D2649" s="78" t="str">
        <f t="shared" si="85"/>
        <v>https://portal.dnb.de/opac.htm?method=simpleSearch&amp;cqlMode=true&amp;query=idn%3D1002022274</v>
      </c>
      <c r="E2649" s="74" t="s">
        <v>2524</v>
      </c>
      <c r="F2649" s="74"/>
      <c r="G2649" s="76"/>
      <c r="H2649" s="77"/>
      <c r="I2649" s="76"/>
      <c r="J2649" s="77"/>
      <c r="K2649" s="77"/>
      <c r="L2649" s="76"/>
      <c r="M2649" s="76"/>
      <c r="N2649" s="76"/>
      <c r="O2649" s="76"/>
      <c r="P2649" s="76"/>
      <c r="Q2649" s="76"/>
      <c r="R2649" s="76"/>
      <c r="S2649" s="76"/>
      <c r="BD2649" s="99">
        <f t="shared" si="86"/>
        <v>0</v>
      </c>
      <c r="CC2649" s="99"/>
      <c r="CV2649" s="99"/>
      <c r="CW2649" s="63"/>
    </row>
    <row r="2650" spans="1:101" x14ac:dyDescent="0.15">
      <c r="A2650" s="76">
        <v>2482</v>
      </c>
      <c r="B2650" s="74" t="s">
        <v>2566</v>
      </c>
      <c r="C2650" s="74">
        <v>1002013526</v>
      </c>
      <c r="D2650" s="78" t="str">
        <f t="shared" si="85"/>
        <v>https://portal.dnb.de/opac.htm?method=simpleSearch&amp;cqlMode=true&amp;query=idn%3D1002013526</v>
      </c>
      <c r="E2650" s="74" t="s">
        <v>2524</v>
      </c>
      <c r="F2650" s="74"/>
      <c r="G2650" s="76"/>
      <c r="H2650" s="77"/>
      <c r="I2650" s="76"/>
      <c r="J2650" s="77"/>
      <c r="K2650" s="77"/>
      <c r="L2650" s="76"/>
      <c r="M2650" s="76"/>
      <c r="N2650" s="76"/>
      <c r="O2650" s="76"/>
      <c r="P2650" s="76"/>
      <c r="Q2650" s="76"/>
      <c r="R2650" s="76"/>
      <c r="S2650" s="76"/>
      <c r="BD2650" s="99">
        <f t="shared" si="86"/>
        <v>0</v>
      </c>
      <c r="CC2650" s="99"/>
      <c r="CV2650" s="99"/>
      <c r="CW2650" s="63"/>
    </row>
    <row r="2651" spans="1:101" x14ac:dyDescent="0.15">
      <c r="A2651" s="76">
        <v>2483</v>
      </c>
      <c r="B2651" s="74" t="s">
        <v>2567</v>
      </c>
      <c r="C2651" s="74">
        <v>1002013674</v>
      </c>
      <c r="D2651" s="78" t="str">
        <f t="shared" si="85"/>
        <v>https://portal.dnb.de/opac.htm?method=simpleSearch&amp;cqlMode=true&amp;query=idn%3D1002013674</v>
      </c>
      <c r="E2651" s="74" t="s">
        <v>2524</v>
      </c>
      <c r="F2651" s="74"/>
      <c r="G2651" s="76"/>
      <c r="H2651" s="77"/>
      <c r="I2651" s="76"/>
      <c r="J2651" s="77"/>
      <c r="K2651" s="77"/>
      <c r="L2651" s="76"/>
      <c r="M2651" s="76"/>
      <c r="N2651" s="76"/>
      <c r="O2651" s="76"/>
      <c r="P2651" s="76"/>
      <c r="Q2651" s="76"/>
      <c r="R2651" s="76"/>
      <c r="S2651" s="76"/>
      <c r="BD2651" s="99">
        <f t="shared" si="86"/>
        <v>0</v>
      </c>
      <c r="CC2651" s="99"/>
      <c r="CV2651" s="99"/>
      <c r="CW2651" s="63"/>
    </row>
    <row r="2652" spans="1:101" x14ac:dyDescent="0.15">
      <c r="A2652" s="76">
        <v>2484</v>
      </c>
      <c r="B2652" s="74" t="s">
        <v>2568</v>
      </c>
      <c r="C2652" s="74">
        <v>1002014174</v>
      </c>
      <c r="D2652" s="78" t="str">
        <f t="shared" si="85"/>
        <v>https://portal.dnb.de/opac.htm?method=simpleSearch&amp;cqlMode=true&amp;query=idn%3D1002014174</v>
      </c>
      <c r="E2652" s="74" t="s">
        <v>2524</v>
      </c>
      <c r="F2652" s="74"/>
      <c r="G2652" s="76"/>
      <c r="H2652" s="77"/>
      <c r="I2652" s="76"/>
      <c r="J2652" s="77"/>
      <c r="K2652" s="77"/>
      <c r="L2652" s="76"/>
      <c r="M2652" s="76"/>
      <c r="N2652" s="76"/>
      <c r="O2652" s="76"/>
      <c r="P2652" s="76"/>
      <c r="Q2652" s="76"/>
      <c r="R2652" s="76"/>
      <c r="S2652" s="76"/>
      <c r="BD2652" s="99">
        <f t="shared" si="86"/>
        <v>0</v>
      </c>
      <c r="CC2652" s="99"/>
      <c r="CV2652" s="99"/>
      <c r="CW2652" s="63"/>
    </row>
    <row r="2653" spans="1:101" ht="22.5" x14ac:dyDescent="0.15">
      <c r="A2653" s="76">
        <v>2485</v>
      </c>
      <c r="B2653" s="74" t="s">
        <v>2569</v>
      </c>
      <c r="C2653" s="74">
        <v>996591915</v>
      </c>
      <c r="D2653" s="78" t="str">
        <f t="shared" si="85"/>
        <v>https://portal.dnb.de/opac.htm?method=simpleSearch&amp;cqlMode=true&amp;query=idn%3D996591915</v>
      </c>
      <c r="E2653" s="74" t="s">
        <v>2570</v>
      </c>
      <c r="F2653" s="74"/>
      <c r="G2653" s="76"/>
      <c r="H2653" s="77" t="s">
        <v>18</v>
      </c>
      <c r="I2653" s="76" t="s">
        <v>53</v>
      </c>
      <c r="J2653" s="77" t="s">
        <v>58</v>
      </c>
      <c r="K2653" s="77" t="s">
        <v>84</v>
      </c>
      <c r="L2653" s="76"/>
      <c r="M2653" s="76"/>
      <c r="N2653" s="76" t="s">
        <v>8660</v>
      </c>
      <c r="O2653" s="76">
        <v>0</v>
      </c>
      <c r="P2653" s="76"/>
      <c r="Q2653" s="76"/>
      <c r="R2653" s="76"/>
      <c r="S2653" s="76"/>
      <c r="BD2653" s="99">
        <f t="shared" si="86"/>
        <v>0</v>
      </c>
      <c r="CC2653" s="99"/>
      <c r="CV2653" s="99"/>
      <c r="CW2653" s="63"/>
    </row>
    <row r="2654" spans="1:101" x14ac:dyDescent="0.15">
      <c r="A2654" s="76">
        <v>2486</v>
      </c>
      <c r="B2654" s="74" t="s">
        <v>2571</v>
      </c>
      <c r="C2654" s="74">
        <v>1175121371</v>
      </c>
      <c r="D2654" s="78" t="str">
        <f t="shared" si="85"/>
        <v>https://portal.dnb.de/opac.htm?method=simpleSearch&amp;cqlMode=true&amp;query=idn%3D1175121371</v>
      </c>
      <c r="E2654" s="74" t="s">
        <v>2572</v>
      </c>
      <c r="F2654" s="74"/>
      <c r="G2654" s="76" t="s">
        <v>8515</v>
      </c>
      <c r="H2654" s="77" t="s">
        <v>4</v>
      </c>
      <c r="I2654" s="76" t="s">
        <v>53</v>
      </c>
      <c r="J2654" s="77" t="s">
        <v>58</v>
      </c>
      <c r="K2654" s="77" t="s">
        <v>84</v>
      </c>
      <c r="L2654" s="76"/>
      <c r="M2654" s="76" t="s">
        <v>36</v>
      </c>
      <c r="N2654" s="76" t="s">
        <v>40</v>
      </c>
      <c r="O2654" s="76">
        <v>1</v>
      </c>
      <c r="P2654" s="76"/>
      <c r="Q2654" s="76"/>
      <c r="R2654" s="76"/>
      <c r="S2654" s="76"/>
      <c r="BD2654" s="99">
        <f t="shared" si="86"/>
        <v>0</v>
      </c>
      <c r="CC2654" s="99"/>
      <c r="CV2654" s="99"/>
      <c r="CW2654" s="63"/>
    </row>
    <row r="2655" spans="1:101" ht="22.5" x14ac:dyDescent="0.15">
      <c r="A2655" s="76">
        <v>2487</v>
      </c>
      <c r="B2655" s="74" t="s">
        <v>2573</v>
      </c>
      <c r="C2655" s="74">
        <v>996561129</v>
      </c>
      <c r="D2655" s="78" t="str">
        <f t="shared" si="85"/>
        <v>https://portal.dnb.de/opac.htm?method=simpleSearch&amp;cqlMode=true&amp;query=idn%3D996561129</v>
      </c>
      <c r="E2655" s="74" t="s">
        <v>2574</v>
      </c>
      <c r="F2655" s="74"/>
      <c r="G2655" s="76"/>
      <c r="H2655" s="77" t="s">
        <v>18</v>
      </c>
      <c r="I2655" s="76" t="s">
        <v>53</v>
      </c>
      <c r="J2655" s="77" t="s">
        <v>58</v>
      </c>
      <c r="K2655" s="77"/>
      <c r="L2655" s="76"/>
      <c r="M2655" s="76"/>
      <c r="N2655" s="76" t="s">
        <v>8660</v>
      </c>
      <c r="O2655" s="76">
        <v>0</v>
      </c>
      <c r="P2655" s="76"/>
      <c r="Q2655" s="76"/>
      <c r="R2655" s="76"/>
      <c r="S2655" s="76"/>
      <c r="BD2655" s="99">
        <f t="shared" si="86"/>
        <v>0</v>
      </c>
      <c r="CC2655" s="99"/>
      <c r="CV2655" s="99"/>
      <c r="CW2655" s="63"/>
    </row>
    <row r="2656" spans="1:101" ht="22.5" x14ac:dyDescent="0.15">
      <c r="A2656" s="76">
        <v>2488</v>
      </c>
      <c r="B2656" s="74" t="s">
        <v>2575</v>
      </c>
      <c r="C2656" s="74">
        <v>13045784</v>
      </c>
      <c r="D2656" s="82" t="str">
        <f>HYPERLINK(CONCATENATE("https://portal.dnb.F2651de/I2656=simpleSearch&amp;cqlMode=true&amp;query=idn%3D",C2656))</f>
        <v>https://portal.dnb.F2651de/I2656=simpleSearch&amp;cqlMode=true&amp;query=idn%3D13045784</v>
      </c>
      <c r="E2656" s="74" t="s">
        <v>9272</v>
      </c>
      <c r="F2656" s="74"/>
      <c r="G2656" s="76"/>
      <c r="H2656" s="77" t="s">
        <v>18</v>
      </c>
      <c r="I2656" s="76" t="s">
        <v>53</v>
      </c>
      <c r="J2656" s="77" t="s">
        <v>8516</v>
      </c>
      <c r="K2656" s="77"/>
      <c r="L2656" s="76"/>
      <c r="M2656" s="76" t="s">
        <v>38</v>
      </c>
      <c r="N2656" s="76" t="s">
        <v>40</v>
      </c>
      <c r="O2656" s="76">
        <v>1</v>
      </c>
      <c r="P2656" s="76"/>
      <c r="Q2656" s="76"/>
      <c r="R2656" s="76"/>
      <c r="S2656" s="76"/>
      <c r="BD2656" s="99">
        <f t="shared" si="86"/>
        <v>0</v>
      </c>
      <c r="CC2656" s="99"/>
      <c r="CV2656" s="99"/>
      <c r="CW2656" s="63"/>
    </row>
    <row r="2657" spans="1:101" x14ac:dyDescent="0.15">
      <c r="A2657" s="76">
        <v>2489</v>
      </c>
      <c r="B2657" s="74" t="s">
        <v>2577</v>
      </c>
      <c r="C2657" s="74">
        <v>993944574</v>
      </c>
      <c r="D2657" s="78" t="str">
        <f t="shared" si="85"/>
        <v>https://portal.dnb.de/opac.htm?method=simpleSearch&amp;cqlMode=true&amp;query=idn%3D993944574</v>
      </c>
      <c r="E2657" s="74" t="s">
        <v>2576</v>
      </c>
      <c r="F2657" s="74"/>
      <c r="G2657" s="76"/>
      <c r="H2657" s="77"/>
      <c r="I2657" s="76"/>
      <c r="J2657" s="77"/>
      <c r="K2657" s="77"/>
      <c r="L2657" s="76"/>
      <c r="M2657" s="76"/>
      <c r="N2657" s="76"/>
      <c r="O2657" s="76"/>
      <c r="P2657" s="76"/>
      <c r="Q2657" s="76"/>
      <c r="R2657" s="76"/>
      <c r="S2657" s="76"/>
      <c r="BD2657" s="99">
        <f t="shared" si="86"/>
        <v>0</v>
      </c>
      <c r="CC2657" s="99"/>
      <c r="CV2657" s="99"/>
      <c r="CW2657" s="63"/>
    </row>
    <row r="2658" spans="1:101" ht="22.5" x14ac:dyDescent="0.15">
      <c r="A2658" s="76">
        <v>2490</v>
      </c>
      <c r="B2658" s="74" t="s">
        <v>2578</v>
      </c>
      <c r="C2658" s="74">
        <v>13045784</v>
      </c>
      <c r="D2658" s="78" t="str">
        <f t="shared" si="85"/>
        <v>https://portal.dnb.de/opac.htm?method=simpleSearch&amp;cqlMode=true&amp;query=idn%3D13045784</v>
      </c>
      <c r="E2658" s="74" t="s">
        <v>9273</v>
      </c>
      <c r="F2658" s="74"/>
      <c r="G2658" s="76"/>
      <c r="H2658" s="77" t="s">
        <v>18</v>
      </c>
      <c r="I2658" s="76" t="s">
        <v>53</v>
      </c>
      <c r="J2658" s="77" t="s">
        <v>8516</v>
      </c>
      <c r="K2658" s="77"/>
      <c r="L2658" s="76"/>
      <c r="M2658" s="76"/>
      <c r="N2658" s="76"/>
      <c r="O2658" s="76">
        <v>1</v>
      </c>
      <c r="P2658" s="76"/>
      <c r="Q2658" s="76"/>
      <c r="R2658" s="76"/>
      <c r="S2658" s="76"/>
      <c r="BD2658" s="99">
        <f t="shared" si="86"/>
        <v>0</v>
      </c>
      <c r="CC2658" s="99"/>
      <c r="CV2658" s="99"/>
      <c r="CW2658" s="63"/>
    </row>
    <row r="2659" spans="1:101" x14ac:dyDescent="0.15">
      <c r="A2659" s="76">
        <v>2491</v>
      </c>
      <c r="B2659" s="74" t="s">
        <v>2579</v>
      </c>
      <c r="C2659" s="74">
        <v>13045784</v>
      </c>
      <c r="D2659" s="78" t="str">
        <f t="shared" si="85"/>
        <v>https://portal.dnb.de/opac.htm?method=simpleSearch&amp;cqlMode=true&amp;query=idn%3D13045784</v>
      </c>
      <c r="E2659" s="74" t="s">
        <v>9274</v>
      </c>
      <c r="F2659" s="74"/>
      <c r="G2659" s="76"/>
      <c r="H2659" s="77" t="s">
        <v>6</v>
      </c>
      <c r="I2659" s="76" t="s">
        <v>53</v>
      </c>
      <c r="J2659" s="77" t="s">
        <v>8516</v>
      </c>
      <c r="K2659" s="77" t="s">
        <v>84</v>
      </c>
      <c r="L2659" s="76"/>
      <c r="M2659" s="76"/>
      <c r="N2659" s="76"/>
      <c r="O2659" s="76">
        <v>0</v>
      </c>
      <c r="P2659" s="76"/>
      <c r="Q2659" s="76"/>
      <c r="R2659" s="76"/>
      <c r="S2659" s="76"/>
      <c r="BD2659" s="99">
        <f t="shared" si="86"/>
        <v>0</v>
      </c>
      <c r="CC2659" s="99"/>
      <c r="CV2659" s="99"/>
      <c r="CW2659" s="63"/>
    </row>
    <row r="2660" spans="1:101" x14ac:dyDescent="0.15">
      <c r="A2660" s="76">
        <v>2492</v>
      </c>
      <c r="B2660" s="74" t="s">
        <v>2580</v>
      </c>
      <c r="C2660" s="74" t="s">
        <v>2581</v>
      </c>
      <c r="D2660" s="78" t="str">
        <f t="shared" si="85"/>
        <v>https://portal.dnb.de/opac.htm?method=simpleSearch&amp;cqlMode=true&amp;query=idn%3D100109316X</v>
      </c>
      <c r="E2660" s="74" t="s">
        <v>2576</v>
      </c>
      <c r="F2660" s="74"/>
      <c r="G2660" s="76"/>
      <c r="H2660" s="77"/>
      <c r="I2660" s="76"/>
      <c r="J2660" s="77"/>
      <c r="K2660" s="77"/>
      <c r="L2660" s="76"/>
      <c r="M2660" s="76"/>
      <c r="N2660" s="76"/>
      <c r="O2660" s="76"/>
      <c r="P2660" s="76"/>
      <c r="Q2660" s="76"/>
      <c r="R2660" s="76"/>
      <c r="S2660" s="76"/>
      <c r="BD2660" s="99">
        <f t="shared" si="86"/>
        <v>0</v>
      </c>
      <c r="CC2660" s="99"/>
      <c r="CV2660" s="99"/>
      <c r="CW2660" s="63"/>
    </row>
    <row r="2661" spans="1:101" x14ac:dyDescent="0.15">
      <c r="A2661" s="76"/>
      <c r="B2661" s="74"/>
      <c r="C2661" s="74"/>
      <c r="D2661" s="78"/>
      <c r="E2661" s="74" t="s">
        <v>9275</v>
      </c>
      <c r="F2661" s="74"/>
      <c r="G2661" s="76"/>
      <c r="H2661" s="77" t="s">
        <v>6</v>
      </c>
      <c r="I2661" s="76" t="s">
        <v>53</v>
      </c>
      <c r="J2661" s="77" t="s">
        <v>8516</v>
      </c>
      <c r="K2661" s="77" t="s">
        <v>84</v>
      </c>
      <c r="L2661" s="76"/>
      <c r="M2661" s="76"/>
      <c r="N2661" s="76"/>
      <c r="O2661" s="76">
        <v>0</v>
      </c>
      <c r="P2661" s="76"/>
      <c r="Q2661" s="76"/>
      <c r="R2661" s="76"/>
      <c r="S2661" s="76"/>
      <c r="BD2661" s="99">
        <f t="shared" si="86"/>
        <v>0</v>
      </c>
      <c r="CC2661" s="99"/>
      <c r="CV2661" s="99"/>
      <c r="CW2661" s="63"/>
    </row>
    <row r="2662" spans="1:101" ht="22.5" x14ac:dyDescent="0.15">
      <c r="A2662" s="76">
        <v>2493</v>
      </c>
      <c r="B2662" s="74" t="s">
        <v>2582</v>
      </c>
      <c r="C2662" s="74">
        <v>1003324711</v>
      </c>
      <c r="D2662" s="78" t="str">
        <f t="shared" si="85"/>
        <v>https://portal.dnb.de/opac.htm?method=simpleSearch&amp;cqlMode=true&amp;query=idn%3D1003324711</v>
      </c>
      <c r="E2662" s="74" t="s">
        <v>2583</v>
      </c>
      <c r="F2662" s="74"/>
      <c r="G2662" s="76"/>
      <c r="H2662" s="77" t="s">
        <v>18</v>
      </c>
      <c r="I2662" s="76" t="s">
        <v>53</v>
      </c>
      <c r="J2662" s="77" t="s">
        <v>8516</v>
      </c>
      <c r="K2662" s="77" t="s">
        <v>84</v>
      </c>
      <c r="L2662" s="76"/>
      <c r="M2662" s="76"/>
      <c r="N2662" s="76"/>
      <c r="O2662" s="76">
        <v>0</v>
      </c>
      <c r="P2662" s="76"/>
      <c r="Q2662" s="76"/>
      <c r="R2662" s="76"/>
      <c r="S2662" s="76"/>
      <c r="BD2662" s="99">
        <f t="shared" si="86"/>
        <v>0</v>
      </c>
      <c r="CC2662" s="99"/>
      <c r="CV2662" s="99"/>
      <c r="CW2662" s="63"/>
    </row>
    <row r="2663" spans="1:101" x14ac:dyDescent="0.15">
      <c r="A2663" s="76">
        <v>2494</v>
      </c>
      <c r="B2663" s="74" t="s">
        <v>2584</v>
      </c>
      <c r="C2663" s="74">
        <v>1002020433</v>
      </c>
      <c r="D2663" s="82" t="str">
        <f>HYPERLINK(CONCATENATE("https://portal.dnb.de/opac.htm?method=simpleSearch&amp;cqlMode=true&amp;query=idn%3D",C2663))</f>
        <v>https://portal.dnb.de/opac.htm?method=simpleSearch&amp;cqlMode=true&amp;query=idn%3D1002020433</v>
      </c>
      <c r="E2663" s="74" t="s">
        <v>9311</v>
      </c>
      <c r="F2663" s="74"/>
      <c r="G2663" s="76"/>
      <c r="H2663" s="77"/>
      <c r="I2663" s="76"/>
      <c r="J2663" s="77"/>
      <c r="K2663" s="77"/>
      <c r="L2663" s="76"/>
      <c r="M2663" s="76"/>
      <c r="N2663" s="76"/>
      <c r="O2663" s="76"/>
      <c r="P2663" s="76"/>
      <c r="Q2663" s="76"/>
      <c r="R2663" s="76"/>
      <c r="S2663" s="76"/>
      <c r="BD2663" s="99">
        <f t="shared" si="86"/>
        <v>0</v>
      </c>
      <c r="CC2663" s="99"/>
      <c r="CV2663" s="99"/>
      <c r="CW2663" s="63"/>
    </row>
    <row r="2664" spans="1:101" x14ac:dyDescent="0.15">
      <c r="A2664" s="76">
        <v>2495</v>
      </c>
      <c r="B2664" s="74" t="s">
        <v>2585</v>
      </c>
      <c r="C2664" s="74">
        <v>1132646456</v>
      </c>
      <c r="D2664" s="82" t="str">
        <f>HYPERLINK(CONCATENATE("https://portal.dnb.de/opac.htm?method=simpleSearch&amp;cqlMode=true&amp;query=idn%3D",C2664))</f>
        <v>https://portal.dnb.de/opac.htm?method=simpleSearch&amp;cqlMode=true&amp;query=idn%3D1132646456</v>
      </c>
      <c r="E2664" s="74" t="s">
        <v>9310</v>
      </c>
      <c r="F2664" s="74"/>
      <c r="G2664" s="76"/>
      <c r="H2664" s="77"/>
      <c r="I2664" s="76"/>
      <c r="J2664" s="77"/>
      <c r="K2664" s="77"/>
      <c r="L2664" s="76"/>
      <c r="M2664" s="76"/>
      <c r="N2664" s="76"/>
      <c r="O2664" s="76"/>
      <c r="P2664" s="76"/>
      <c r="Q2664" s="76"/>
      <c r="R2664" s="76"/>
      <c r="S2664" s="76"/>
      <c r="BD2664" s="99">
        <f t="shared" si="86"/>
        <v>0</v>
      </c>
      <c r="CC2664" s="99"/>
      <c r="CV2664" s="99"/>
      <c r="CW2664" s="63"/>
    </row>
    <row r="2665" spans="1:101" x14ac:dyDescent="0.15">
      <c r="A2665" s="76">
        <v>2496</v>
      </c>
      <c r="B2665" s="74" t="s">
        <v>2586</v>
      </c>
      <c r="C2665" s="74">
        <v>1132646308</v>
      </c>
      <c r="D2665" s="78" t="str">
        <f t="shared" si="85"/>
        <v>https://portal.dnb.de/opac.htm?method=simpleSearch&amp;cqlMode=true&amp;query=idn%3D1132646308</v>
      </c>
      <c r="E2665" s="74" t="s">
        <v>9276</v>
      </c>
      <c r="F2665" s="74"/>
      <c r="G2665" s="76" t="s">
        <v>8515</v>
      </c>
      <c r="H2665" s="77" t="s">
        <v>4</v>
      </c>
      <c r="I2665" s="76" t="s">
        <v>54</v>
      </c>
      <c r="J2665" s="77" t="s">
        <v>58</v>
      </c>
      <c r="K2665" s="77" t="s">
        <v>84</v>
      </c>
      <c r="L2665" s="76"/>
      <c r="M2665" s="76"/>
      <c r="N2665" s="76"/>
      <c r="O2665" s="76">
        <v>0</v>
      </c>
      <c r="P2665" s="76"/>
      <c r="Q2665" s="76"/>
      <c r="R2665" s="76"/>
      <c r="S2665" s="76"/>
      <c r="BD2665" s="99">
        <f t="shared" si="86"/>
        <v>0</v>
      </c>
      <c r="CC2665" s="99"/>
      <c r="CV2665" s="99"/>
      <c r="CW2665" s="63"/>
    </row>
    <row r="2666" spans="1:101" x14ac:dyDescent="0.15">
      <c r="A2666" s="76">
        <v>2497</v>
      </c>
      <c r="B2666" s="74" t="s">
        <v>2587</v>
      </c>
      <c r="C2666" s="74">
        <v>1132646316</v>
      </c>
      <c r="D2666" s="78" t="str">
        <f t="shared" si="85"/>
        <v>https://portal.dnb.de/opac.htm?method=simpleSearch&amp;cqlMode=true&amp;query=idn%3D1132646316</v>
      </c>
      <c r="E2666" s="74" t="s">
        <v>9277</v>
      </c>
      <c r="F2666" s="74"/>
      <c r="G2666" s="76"/>
      <c r="H2666" s="77"/>
      <c r="I2666" s="76"/>
      <c r="J2666" s="77"/>
      <c r="K2666" s="77"/>
      <c r="L2666" s="76"/>
      <c r="M2666" s="76"/>
      <c r="N2666" s="76"/>
      <c r="O2666" s="76"/>
      <c r="P2666" s="76"/>
      <c r="Q2666" s="76"/>
      <c r="R2666" s="76"/>
      <c r="S2666" s="76"/>
      <c r="BD2666" s="99">
        <f t="shared" si="86"/>
        <v>0</v>
      </c>
      <c r="CC2666" s="99"/>
      <c r="CV2666" s="99"/>
      <c r="CW2666" s="63"/>
    </row>
    <row r="2667" spans="1:101" x14ac:dyDescent="0.15">
      <c r="A2667" s="76">
        <v>2498</v>
      </c>
      <c r="B2667" s="74" t="s">
        <v>2588</v>
      </c>
      <c r="C2667" s="74">
        <v>1132646324</v>
      </c>
      <c r="D2667" s="82" t="str">
        <f>HYPERLINK(CONCATENATE("https://portal.dnb.L2667de/opac.htm?method=simpleSearch&amp;cqlMode=true&amp;query=idn%3D",C2667))</f>
        <v>https://portal.dnb.L2667de/opac.htm?method=simpleSearch&amp;cqlMode=true&amp;query=idn%3D1132646324</v>
      </c>
      <c r="E2667" s="74" t="s">
        <v>9278</v>
      </c>
      <c r="F2667" s="74"/>
      <c r="G2667" s="76" t="s">
        <v>8515</v>
      </c>
      <c r="H2667" s="77" t="s">
        <v>4</v>
      </c>
      <c r="I2667" s="76" t="s">
        <v>54</v>
      </c>
      <c r="J2667" s="77" t="s">
        <v>58</v>
      </c>
      <c r="K2667" s="77" t="s">
        <v>84</v>
      </c>
      <c r="L2667" s="76"/>
      <c r="M2667" s="76"/>
      <c r="N2667" s="76"/>
      <c r="O2667" s="76">
        <v>0</v>
      </c>
      <c r="P2667" s="76"/>
      <c r="Q2667" s="76"/>
      <c r="R2667" s="76"/>
      <c r="S2667" s="76"/>
      <c r="BD2667" s="99">
        <f t="shared" si="86"/>
        <v>0</v>
      </c>
      <c r="CC2667" s="99"/>
      <c r="CV2667" s="99"/>
      <c r="CW2667" s="63"/>
    </row>
    <row r="2668" spans="1:101" x14ac:dyDescent="0.15">
      <c r="A2668" s="76">
        <v>2499</v>
      </c>
      <c r="B2668" s="74" t="s">
        <v>2589</v>
      </c>
      <c r="C2668" s="74">
        <v>1132646332</v>
      </c>
      <c r="D2668" s="82" t="str">
        <f>HYPERLINK(CONCATENATE("https://portal.dnb.de/opac.htm?method=simpleSearch&amp;cqlMode=true&amp;query=idn%3D",C2668))</f>
        <v>https://portal.dnb.de/opac.htm?method=simpleSearch&amp;cqlMode=true&amp;query=idn%3D1132646332</v>
      </c>
      <c r="E2668" s="74" t="s">
        <v>9279</v>
      </c>
      <c r="F2668" s="74"/>
      <c r="G2668" s="76"/>
      <c r="H2668" s="77"/>
      <c r="I2668" s="76"/>
      <c r="J2668" s="77"/>
      <c r="K2668" s="77"/>
      <c r="L2668" s="76"/>
      <c r="M2668" s="76"/>
      <c r="N2668" s="76"/>
      <c r="O2668" s="76"/>
      <c r="P2668" s="76"/>
      <c r="Q2668" s="76"/>
      <c r="R2668" s="76"/>
      <c r="S2668" s="76"/>
      <c r="BD2668" s="99">
        <f t="shared" si="86"/>
        <v>0</v>
      </c>
      <c r="CC2668" s="99"/>
      <c r="CV2668" s="99"/>
      <c r="CW2668" s="63"/>
    </row>
    <row r="2669" spans="1:101" x14ac:dyDescent="0.15">
      <c r="A2669" s="76">
        <v>2500</v>
      </c>
      <c r="B2669" s="74" t="s">
        <v>2590</v>
      </c>
      <c r="C2669" s="74">
        <v>1132646340</v>
      </c>
      <c r="D2669" s="78" t="str">
        <f t="shared" si="85"/>
        <v>https://portal.dnb.de/opac.htm?method=simpleSearch&amp;cqlMode=true&amp;query=idn%3D1132646340</v>
      </c>
      <c r="E2669" s="74" t="s">
        <v>9280</v>
      </c>
      <c r="F2669" s="74"/>
      <c r="G2669" s="76" t="s">
        <v>8515</v>
      </c>
      <c r="H2669" s="77" t="s">
        <v>4</v>
      </c>
      <c r="I2669" s="76" t="s">
        <v>54</v>
      </c>
      <c r="J2669" s="77" t="s">
        <v>58</v>
      </c>
      <c r="K2669" s="77" t="s">
        <v>84</v>
      </c>
      <c r="L2669" s="76"/>
      <c r="M2669" s="76"/>
      <c r="N2669" s="76"/>
      <c r="O2669" s="76">
        <v>1</v>
      </c>
      <c r="P2669" s="76"/>
      <c r="Q2669" s="76"/>
      <c r="R2669" s="76"/>
      <c r="S2669" s="76"/>
      <c r="BD2669" s="99">
        <f t="shared" si="86"/>
        <v>0</v>
      </c>
      <c r="CC2669" s="99"/>
      <c r="CV2669" s="99"/>
      <c r="CW2669" s="63"/>
    </row>
    <row r="2670" spans="1:101" x14ac:dyDescent="0.15">
      <c r="A2670" s="76">
        <v>2501</v>
      </c>
      <c r="B2670" s="74" t="s">
        <v>2591</v>
      </c>
      <c r="C2670" s="74">
        <v>1132646480</v>
      </c>
      <c r="D2670" s="78" t="str">
        <f t="shared" si="85"/>
        <v>https://portal.dnb.de/opac.htm?method=simpleSearch&amp;cqlMode=true&amp;query=idn%3D1132646480</v>
      </c>
      <c r="E2670" s="74" t="s">
        <v>9282</v>
      </c>
      <c r="F2670" s="74"/>
      <c r="G2670" s="76"/>
      <c r="H2670" s="77"/>
      <c r="I2670" s="76"/>
      <c r="J2670" s="77"/>
      <c r="K2670" s="77"/>
      <c r="L2670" s="76"/>
      <c r="M2670" s="76"/>
      <c r="N2670" s="76"/>
      <c r="O2670" s="76"/>
      <c r="P2670" s="76"/>
      <c r="Q2670" s="76"/>
      <c r="R2670" s="76"/>
      <c r="S2670" s="76"/>
      <c r="BD2670" s="99">
        <f t="shared" si="86"/>
        <v>0</v>
      </c>
      <c r="CC2670" s="99"/>
      <c r="CV2670" s="99"/>
      <c r="CW2670" s="63"/>
    </row>
    <row r="2671" spans="1:101" x14ac:dyDescent="0.15">
      <c r="A2671" s="76">
        <v>2502</v>
      </c>
      <c r="B2671" s="74" t="s">
        <v>2592</v>
      </c>
      <c r="C2671" s="74">
        <v>1132646367</v>
      </c>
      <c r="D2671" s="78" t="str">
        <f t="shared" si="85"/>
        <v>https://portal.dnb.de/opac.htm?method=simpleSearch&amp;cqlMode=true&amp;query=idn%3D1132646367</v>
      </c>
      <c r="E2671" s="74" t="s">
        <v>9283</v>
      </c>
      <c r="F2671" s="74"/>
      <c r="G2671" s="76" t="s">
        <v>8515</v>
      </c>
      <c r="H2671" s="77" t="s">
        <v>4</v>
      </c>
      <c r="I2671" s="76" t="s">
        <v>54</v>
      </c>
      <c r="J2671" s="77" t="s">
        <v>58</v>
      </c>
      <c r="K2671" s="77" t="s">
        <v>84</v>
      </c>
      <c r="L2671" s="76"/>
      <c r="M2671" s="76"/>
      <c r="N2671" s="76"/>
      <c r="O2671" s="76">
        <v>1</v>
      </c>
      <c r="P2671" s="76"/>
      <c r="Q2671" s="76"/>
      <c r="R2671" s="76"/>
      <c r="S2671" s="76"/>
      <c r="BD2671" s="99">
        <f t="shared" si="86"/>
        <v>0</v>
      </c>
      <c r="CC2671" s="99"/>
      <c r="CV2671" s="99"/>
      <c r="CW2671" s="63"/>
    </row>
    <row r="2672" spans="1:101" x14ac:dyDescent="0.15">
      <c r="A2672" s="76">
        <v>2503</v>
      </c>
      <c r="B2672" s="74" t="s">
        <v>2593</v>
      </c>
      <c r="C2672" s="74">
        <v>1132646413</v>
      </c>
      <c r="D2672" s="82" t="str">
        <f>HYPERLINK(CONCATENATE("https://portal.dnb.de/opac.htm?method=simpleSearch&amp;cqlMode=true&amp;query=idn%3D",C2672))</f>
        <v>https://portal.dnb.de/opac.htm?method=simpleSearch&amp;cqlMode=true&amp;query=idn%3D1132646413</v>
      </c>
      <c r="E2672" s="74" t="s">
        <v>9284</v>
      </c>
      <c r="F2672" s="74"/>
      <c r="G2672" s="76"/>
      <c r="H2672" s="77"/>
      <c r="I2672" s="76"/>
      <c r="J2672" s="77"/>
      <c r="K2672" s="77"/>
      <c r="L2672" s="76"/>
      <c r="M2672" s="76"/>
      <c r="N2672" s="76"/>
      <c r="O2672" s="76"/>
      <c r="P2672" s="76"/>
      <c r="Q2672" s="76"/>
      <c r="R2672" s="76"/>
      <c r="S2672" s="76"/>
      <c r="BD2672" s="99">
        <f t="shared" si="86"/>
        <v>0</v>
      </c>
      <c r="CC2672" s="99"/>
      <c r="CV2672" s="99"/>
      <c r="CW2672" s="63"/>
    </row>
    <row r="2673" spans="1:101" x14ac:dyDescent="0.15">
      <c r="A2673" s="76">
        <v>2504</v>
      </c>
      <c r="B2673" s="74" t="s">
        <v>2594</v>
      </c>
      <c r="C2673" s="74">
        <v>1132646375</v>
      </c>
      <c r="D2673" s="78" t="str">
        <f t="shared" si="85"/>
        <v>https://portal.dnb.de/opac.htm?method=simpleSearch&amp;cqlMode=true&amp;query=idn%3D1132646375</v>
      </c>
      <c r="E2673" s="74" t="s">
        <v>9285</v>
      </c>
      <c r="F2673" s="74"/>
      <c r="G2673" s="76"/>
      <c r="H2673" s="77"/>
      <c r="I2673" s="76"/>
      <c r="J2673" s="77"/>
      <c r="K2673" s="77"/>
      <c r="L2673" s="76"/>
      <c r="M2673" s="76"/>
      <c r="N2673" s="76"/>
      <c r="O2673" s="76"/>
      <c r="P2673" s="76"/>
      <c r="Q2673" s="76"/>
      <c r="R2673" s="76"/>
      <c r="S2673" s="76"/>
      <c r="BD2673" s="99">
        <f t="shared" si="86"/>
        <v>0</v>
      </c>
      <c r="CC2673" s="99"/>
      <c r="CV2673" s="99"/>
      <c r="CW2673" s="63"/>
    </row>
    <row r="2674" spans="1:101" x14ac:dyDescent="0.15">
      <c r="A2674" s="76">
        <v>2505</v>
      </c>
      <c r="B2674" s="74" t="s">
        <v>2595</v>
      </c>
      <c r="C2674" s="74">
        <v>1132646383</v>
      </c>
      <c r="D2674" s="78" t="str">
        <f t="shared" si="85"/>
        <v>https://portal.dnb.de/opac.htm?method=simpleSearch&amp;cqlMode=true&amp;query=idn%3D1132646383</v>
      </c>
      <c r="E2674" s="74" t="s">
        <v>9286</v>
      </c>
      <c r="F2674" s="74"/>
      <c r="G2674" s="76" t="s">
        <v>8515</v>
      </c>
      <c r="H2674" s="77" t="s">
        <v>4</v>
      </c>
      <c r="I2674" s="76" t="s">
        <v>54</v>
      </c>
      <c r="J2674" s="77" t="s">
        <v>58</v>
      </c>
      <c r="K2674" s="77" t="s">
        <v>84</v>
      </c>
      <c r="L2674" s="76"/>
      <c r="M2674" s="76"/>
      <c r="N2674" s="76"/>
      <c r="O2674" s="76">
        <v>0</v>
      </c>
      <c r="P2674" s="76"/>
      <c r="Q2674" s="76"/>
      <c r="R2674" s="76"/>
      <c r="S2674" s="76"/>
      <c r="BD2674" s="99">
        <f t="shared" si="86"/>
        <v>0</v>
      </c>
      <c r="CC2674" s="99"/>
      <c r="CV2674" s="99"/>
      <c r="CW2674" s="63"/>
    </row>
    <row r="2675" spans="1:101" x14ac:dyDescent="0.15">
      <c r="A2675" s="76">
        <v>2506</v>
      </c>
      <c r="B2675" s="74" t="s">
        <v>2596</v>
      </c>
      <c r="C2675" s="74">
        <v>1132646391</v>
      </c>
      <c r="D2675" s="78" t="str">
        <f t="shared" si="85"/>
        <v>https://portal.dnb.de/opac.htm?method=simpleSearch&amp;cqlMode=true&amp;query=idn%3D1132646391</v>
      </c>
      <c r="E2675" s="74" t="s">
        <v>9287</v>
      </c>
      <c r="F2675" s="74"/>
      <c r="G2675" s="76"/>
      <c r="H2675" s="77"/>
      <c r="I2675" s="76"/>
      <c r="J2675" s="77"/>
      <c r="K2675" s="77"/>
      <c r="L2675" s="76"/>
      <c r="M2675" s="76"/>
      <c r="N2675" s="76"/>
      <c r="O2675" s="76"/>
      <c r="P2675" s="76"/>
      <c r="Q2675" s="76"/>
      <c r="R2675" s="76"/>
      <c r="S2675" s="76"/>
      <c r="BD2675" s="99">
        <f t="shared" si="86"/>
        <v>0</v>
      </c>
      <c r="CC2675" s="99"/>
      <c r="CV2675" s="99"/>
      <c r="CW2675" s="63"/>
    </row>
    <row r="2676" spans="1:101" x14ac:dyDescent="0.15">
      <c r="A2676" s="76">
        <v>2507</v>
      </c>
      <c r="B2676" s="74" t="s">
        <v>2597</v>
      </c>
      <c r="C2676" s="74">
        <v>1132646448</v>
      </c>
      <c r="D2676" s="82" t="str">
        <f>HYPERLINK(CONCATENATE("https://portal.dnb.de/opac.htm?method=simpleSearch&amp;cqlMode=true&amp;query=idn%3D",C2676))</f>
        <v>https://portal.dnb.de/opac.htm?method=simpleSearch&amp;cqlMode=true&amp;query=idn%3D1132646448</v>
      </c>
      <c r="E2676" s="74" t="s">
        <v>9309</v>
      </c>
      <c r="F2676" s="74"/>
      <c r="G2676" s="76"/>
      <c r="H2676" s="77"/>
      <c r="I2676" s="76"/>
      <c r="J2676" s="77"/>
      <c r="K2676" s="77"/>
      <c r="L2676" s="76"/>
      <c r="M2676" s="76"/>
      <c r="N2676" s="76"/>
      <c r="O2676" s="76"/>
      <c r="P2676" s="76"/>
      <c r="Q2676" s="76"/>
      <c r="R2676" s="76"/>
      <c r="S2676" s="76"/>
      <c r="BD2676" s="99">
        <f t="shared" si="86"/>
        <v>0</v>
      </c>
      <c r="CC2676" s="99"/>
      <c r="CV2676" s="99"/>
      <c r="CW2676" s="63"/>
    </row>
    <row r="2677" spans="1:101" x14ac:dyDescent="0.15">
      <c r="A2677" s="76">
        <v>2508</v>
      </c>
      <c r="B2677" s="74" t="s">
        <v>2598</v>
      </c>
      <c r="C2677" s="74" t="s">
        <v>2599</v>
      </c>
      <c r="D2677" s="82" t="str">
        <f>HYPERLINK(CONCATENATE("https://portal.dnb.de/opac.htm?method=simpleSearch&amp;cqlMode=true&amp;query=idn%3D",C2677))</f>
        <v>https://portal.dnb.de/opac.htm?method=simpleSearch&amp;cqlMode=true&amp;query=idn%3D113264643X</v>
      </c>
      <c r="E2677" s="74" t="s">
        <v>9288</v>
      </c>
      <c r="F2677" s="74"/>
      <c r="G2677" s="76" t="s">
        <v>8515</v>
      </c>
      <c r="H2677" s="77" t="s">
        <v>4</v>
      </c>
      <c r="I2677" s="76" t="s">
        <v>54</v>
      </c>
      <c r="J2677" s="77" t="s">
        <v>58</v>
      </c>
      <c r="K2677" s="77" t="s">
        <v>84</v>
      </c>
      <c r="L2677" s="76"/>
      <c r="M2677" s="76"/>
      <c r="N2677" s="76"/>
      <c r="O2677" s="76">
        <v>1</v>
      </c>
      <c r="P2677" s="76"/>
      <c r="Q2677" s="76"/>
      <c r="R2677" s="76"/>
      <c r="S2677" s="76"/>
      <c r="BD2677" s="99">
        <f t="shared" si="86"/>
        <v>0</v>
      </c>
      <c r="CC2677" s="99"/>
      <c r="CV2677" s="99"/>
      <c r="CW2677" s="63"/>
    </row>
    <row r="2678" spans="1:101" x14ac:dyDescent="0.15">
      <c r="A2678" s="76">
        <v>2509</v>
      </c>
      <c r="B2678" s="74" t="s">
        <v>2600</v>
      </c>
      <c r="C2678" s="74">
        <v>1132646472</v>
      </c>
      <c r="D2678" s="82" t="str">
        <f>HYPERLINK(CONCATENATE("https://portal.dnb.de/opac.htm?method=simpleSearch&amp;cqlMode=true&amp;query=idn%3D",C2678))</f>
        <v>https://portal.dnb.de/opac.htm?method=simpleSearch&amp;cqlMode=true&amp;query=idn%3D1132646472</v>
      </c>
      <c r="E2678" s="74" t="s">
        <v>9289</v>
      </c>
      <c r="F2678" s="74"/>
      <c r="G2678" s="76" t="s">
        <v>8515</v>
      </c>
      <c r="H2678" s="77" t="s">
        <v>4</v>
      </c>
      <c r="I2678" s="76" t="s">
        <v>54</v>
      </c>
      <c r="J2678" s="77" t="s">
        <v>58</v>
      </c>
      <c r="K2678" s="77" t="s">
        <v>84</v>
      </c>
      <c r="L2678" s="76"/>
      <c r="M2678" s="76"/>
      <c r="N2678" s="76"/>
      <c r="O2678" s="76">
        <v>0</v>
      </c>
      <c r="P2678" s="76"/>
      <c r="Q2678" s="76"/>
      <c r="R2678" s="76"/>
      <c r="S2678" s="76"/>
      <c r="BD2678" s="99">
        <f t="shared" si="86"/>
        <v>0</v>
      </c>
      <c r="CC2678" s="99"/>
      <c r="CV2678" s="99"/>
      <c r="CW2678" s="63"/>
    </row>
    <row r="2679" spans="1:101" x14ac:dyDescent="0.15">
      <c r="A2679" s="76">
        <v>2510</v>
      </c>
      <c r="B2679" s="74" t="s">
        <v>2601</v>
      </c>
      <c r="C2679" s="74">
        <v>1132646421</v>
      </c>
      <c r="D2679" s="82" t="str">
        <f>HYPERLINK(CONCATENATE("https://portal.dnb.de/opac.htm?method=simpleSearch&amp;cqlMode=true&amp;query=idn%3D",C2679))</f>
        <v>https://portal.dnb.de/opac.htm?method=simpleSearch&amp;cqlMode=true&amp;query=idn%3D1132646421</v>
      </c>
      <c r="E2679" s="74" t="s">
        <v>9290</v>
      </c>
      <c r="F2679" s="74"/>
      <c r="G2679" s="76" t="s">
        <v>8515</v>
      </c>
      <c r="H2679" s="77" t="s">
        <v>4</v>
      </c>
      <c r="I2679" s="76" t="s">
        <v>54</v>
      </c>
      <c r="J2679" s="77" t="s">
        <v>58</v>
      </c>
      <c r="K2679" s="77" t="s">
        <v>84</v>
      </c>
      <c r="L2679" s="76"/>
      <c r="M2679" s="76"/>
      <c r="N2679" s="76" t="s">
        <v>8660</v>
      </c>
      <c r="O2679" s="76">
        <v>0</v>
      </c>
      <c r="P2679" s="76"/>
      <c r="Q2679" s="76"/>
      <c r="R2679" s="76"/>
      <c r="S2679" s="76"/>
      <c r="BD2679" s="99">
        <f t="shared" si="86"/>
        <v>0</v>
      </c>
      <c r="CC2679" s="99"/>
      <c r="CV2679" s="99"/>
      <c r="CW2679" s="63"/>
    </row>
    <row r="2680" spans="1:101" x14ac:dyDescent="0.15">
      <c r="A2680" s="76">
        <v>2511</v>
      </c>
      <c r="B2680" s="74" t="s">
        <v>2602</v>
      </c>
      <c r="C2680" s="74">
        <v>1132646405</v>
      </c>
      <c r="D2680" s="78" t="str">
        <f t="shared" si="85"/>
        <v>https://portal.dnb.de/opac.htm?method=simpleSearch&amp;cqlMode=true&amp;query=idn%3D1132646405</v>
      </c>
      <c r="E2680" s="74" t="s">
        <v>9291</v>
      </c>
      <c r="F2680" s="74"/>
      <c r="G2680" s="76" t="s">
        <v>8515</v>
      </c>
      <c r="H2680" s="77" t="s">
        <v>4</v>
      </c>
      <c r="I2680" s="76" t="s">
        <v>54</v>
      </c>
      <c r="J2680" s="77" t="s">
        <v>58</v>
      </c>
      <c r="K2680" s="77" t="s">
        <v>84</v>
      </c>
      <c r="L2680" s="76"/>
      <c r="M2680" s="76"/>
      <c r="N2680" s="76"/>
      <c r="O2680" s="76">
        <v>0</v>
      </c>
      <c r="P2680" s="76"/>
      <c r="Q2680" s="76"/>
      <c r="R2680" s="76"/>
      <c r="S2680" s="76"/>
      <c r="BD2680" s="99">
        <f t="shared" si="86"/>
        <v>0</v>
      </c>
      <c r="CC2680" s="99"/>
      <c r="CV2680" s="99"/>
      <c r="CW2680" s="63"/>
    </row>
    <row r="2681" spans="1:101" x14ac:dyDescent="0.15">
      <c r="A2681" s="76">
        <v>2512</v>
      </c>
      <c r="B2681" s="74" t="s">
        <v>2603</v>
      </c>
      <c r="C2681" s="74">
        <v>1132646359</v>
      </c>
      <c r="D2681" s="78" t="str">
        <f t="shared" si="85"/>
        <v>https://portal.dnb.de/opac.htm?method=simpleSearch&amp;cqlMode=true&amp;query=idn%3D1132646359</v>
      </c>
      <c r="E2681" s="74" t="s">
        <v>9281</v>
      </c>
      <c r="F2681" s="74"/>
      <c r="G2681" s="76"/>
      <c r="H2681" s="77"/>
      <c r="I2681" s="76"/>
      <c r="J2681" s="77"/>
      <c r="K2681" s="77"/>
      <c r="L2681" s="76"/>
      <c r="M2681" s="76"/>
      <c r="N2681" s="76"/>
      <c r="O2681" s="76"/>
      <c r="P2681" s="76"/>
      <c r="Q2681" s="76"/>
      <c r="R2681" s="76"/>
      <c r="S2681" s="76"/>
      <c r="BD2681" s="99">
        <f t="shared" si="86"/>
        <v>0</v>
      </c>
      <c r="CC2681" s="99"/>
      <c r="CV2681" s="99"/>
      <c r="CW2681" s="63"/>
    </row>
    <row r="2682" spans="1:101" x14ac:dyDescent="0.15">
      <c r="A2682" s="76">
        <v>2513</v>
      </c>
      <c r="B2682" s="74" t="s">
        <v>2604</v>
      </c>
      <c r="C2682" s="74">
        <v>1132646464</v>
      </c>
      <c r="D2682" s="78" t="str">
        <f t="shared" si="85"/>
        <v>https://portal.dnb.de/opac.htm?method=simpleSearch&amp;cqlMode=true&amp;query=idn%3D1132646464</v>
      </c>
      <c r="E2682" s="74" t="s">
        <v>9292</v>
      </c>
      <c r="F2682" s="74"/>
      <c r="G2682" s="76" t="s">
        <v>8515</v>
      </c>
      <c r="H2682" s="77" t="s">
        <v>4</v>
      </c>
      <c r="I2682" s="76" t="s">
        <v>54</v>
      </c>
      <c r="J2682" s="77" t="s">
        <v>58</v>
      </c>
      <c r="K2682" s="77" t="s">
        <v>84</v>
      </c>
      <c r="L2682" s="76"/>
      <c r="M2682" s="76"/>
      <c r="N2682" s="76"/>
      <c r="O2682" s="76">
        <v>0</v>
      </c>
      <c r="P2682" s="76"/>
      <c r="Q2682" s="76"/>
      <c r="R2682" s="76"/>
      <c r="S2682" s="76"/>
      <c r="BD2682" s="99">
        <f t="shared" si="86"/>
        <v>0</v>
      </c>
      <c r="CC2682" s="99"/>
      <c r="CV2682" s="99"/>
      <c r="CW2682" s="63"/>
    </row>
    <row r="2683" spans="1:101" x14ac:dyDescent="0.15">
      <c r="A2683" s="76">
        <v>2514</v>
      </c>
      <c r="B2683" s="74" t="s">
        <v>2605</v>
      </c>
      <c r="C2683" s="74">
        <v>1002013097</v>
      </c>
      <c r="D2683" s="78" t="str">
        <f t="shared" si="85"/>
        <v>https://portal.dnb.de/opac.htm?method=simpleSearch&amp;cqlMode=true&amp;query=idn%3D1002013097</v>
      </c>
      <c r="E2683" s="74" t="s">
        <v>9293</v>
      </c>
      <c r="F2683" s="74"/>
      <c r="G2683" s="76"/>
      <c r="H2683" s="77"/>
      <c r="I2683" s="76"/>
      <c r="J2683" s="77"/>
      <c r="K2683" s="77"/>
      <c r="L2683" s="76"/>
      <c r="M2683" s="76"/>
      <c r="N2683" s="76"/>
      <c r="O2683" s="76"/>
      <c r="P2683" s="76"/>
      <c r="Q2683" s="76"/>
      <c r="R2683" s="76"/>
      <c r="S2683" s="76"/>
      <c r="BD2683" s="99">
        <f t="shared" si="86"/>
        <v>0</v>
      </c>
      <c r="CC2683" s="99"/>
      <c r="CV2683" s="99"/>
      <c r="CW2683" s="63"/>
    </row>
    <row r="2684" spans="1:101" x14ac:dyDescent="0.15">
      <c r="A2684" s="76">
        <v>2515</v>
      </c>
      <c r="B2684" s="74" t="s">
        <v>2606</v>
      </c>
      <c r="C2684" s="74">
        <v>1132646553</v>
      </c>
      <c r="D2684" s="78" t="str">
        <f t="shared" si="85"/>
        <v>https://portal.dnb.de/opac.htm?method=simpleSearch&amp;cqlMode=true&amp;query=idn%3D1132646553</v>
      </c>
      <c r="E2684" s="74" t="s">
        <v>9294</v>
      </c>
      <c r="F2684" s="74"/>
      <c r="G2684" s="76"/>
      <c r="H2684" s="77"/>
      <c r="I2684" s="76"/>
      <c r="J2684" s="77"/>
      <c r="K2684" s="77"/>
      <c r="L2684" s="76"/>
      <c r="M2684" s="76"/>
      <c r="N2684" s="76"/>
      <c r="O2684" s="76"/>
      <c r="P2684" s="76"/>
      <c r="Q2684" s="76"/>
      <c r="R2684" s="76"/>
      <c r="S2684" s="76"/>
      <c r="BD2684" s="99">
        <f t="shared" si="86"/>
        <v>0</v>
      </c>
      <c r="CC2684" s="99"/>
      <c r="CV2684" s="99"/>
      <c r="CW2684" s="63"/>
    </row>
    <row r="2685" spans="1:101" x14ac:dyDescent="0.15">
      <c r="A2685" s="76">
        <v>2516</v>
      </c>
      <c r="B2685" s="74" t="s">
        <v>2607</v>
      </c>
      <c r="C2685" s="74">
        <v>1132646510</v>
      </c>
      <c r="D2685" s="78" t="str">
        <f t="shared" si="85"/>
        <v>https://portal.dnb.de/opac.htm?method=simpleSearch&amp;cqlMode=true&amp;query=idn%3D1132646510</v>
      </c>
      <c r="E2685" s="74" t="s">
        <v>9295</v>
      </c>
      <c r="F2685" s="74"/>
      <c r="G2685" s="76" t="s">
        <v>8515</v>
      </c>
      <c r="H2685" s="77" t="s">
        <v>4</v>
      </c>
      <c r="I2685" s="76" t="s">
        <v>54</v>
      </c>
      <c r="J2685" s="77" t="s">
        <v>58</v>
      </c>
      <c r="K2685" s="77" t="s">
        <v>84</v>
      </c>
      <c r="L2685" s="76"/>
      <c r="M2685" s="76"/>
      <c r="N2685" s="76"/>
      <c r="O2685" s="76">
        <v>1</v>
      </c>
      <c r="P2685" s="76"/>
      <c r="Q2685" s="76"/>
      <c r="R2685" s="76"/>
      <c r="S2685" s="76"/>
      <c r="BD2685" s="99">
        <f t="shared" si="86"/>
        <v>0</v>
      </c>
      <c r="CC2685" s="99"/>
      <c r="CV2685" s="99"/>
      <c r="CW2685" s="63"/>
    </row>
    <row r="2686" spans="1:101" x14ac:dyDescent="0.15">
      <c r="A2686" s="76">
        <v>2517</v>
      </c>
      <c r="B2686" s="74" t="s">
        <v>2608</v>
      </c>
      <c r="C2686" s="74">
        <v>1002020107</v>
      </c>
      <c r="D2686" s="78" t="str">
        <f t="shared" si="85"/>
        <v>https://portal.dnb.de/opac.htm?method=simpleSearch&amp;cqlMode=true&amp;query=idn%3D1002020107</v>
      </c>
      <c r="E2686" s="74" t="s">
        <v>9296</v>
      </c>
      <c r="F2686" s="74"/>
      <c r="G2686" s="76"/>
      <c r="H2686" s="77"/>
      <c r="I2686" s="76"/>
      <c r="J2686" s="77"/>
      <c r="K2686" s="77"/>
      <c r="L2686" s="76"/>
      <c r="M2686" s="76"/>
      <c r="N2686" s="76"/>
      <c r="O2686" s="76"/>
      <c r="P2686" s="76"/>
      <c r="Q2686" s="76"/>
      <c r="R2686" s="76"/>
      <c r="S2686" s="76"/>
      <c r="BD2686" s="99">
        <f t="shared" si="86"/>
        <v>0</v>
      </c>
      <c r="CC2686" s="99"/>
      <c r="CV2686" s="99"/>
      <c r="CW2686" s="63"/>
    </row>
    <row r="2687" spans="1:101" x14ac:dyDescent="0.15">
      <c r="A2687" s="76">
        <v>2518</v>
      </c>
      <c r="B2687" s="74" t="s">
        <v>2609</v>
      </c>
      <c r="C2687" s="74">
        <v>1002008441</v>
      </c>
      <c r="D2687" s="78" t="str">
        <f t="shared" si="85"/>
        <v>https://portal.dnb.de/opac.htm?method=simpleSearch&amp;cqlMode=true&amp;query=idn%3D1002008441</v>
      </c>
      <c r="E2687" s="74" t="s">
        <v>9297</v>
      </c>
      <c r="F2687" s="74"/>
      <c r="G2687" s="76"/>
      <c r="H2687" s="77"/>
      <c r="I2687" s="76"/>
      <c r="J2687" s="77"/>
      <c r="K2687" s="77"/>
      <c r="L2687" s="76"/>
      <c r="M2687" s="76"/>
      <c r="N2687" s="76"/>
      <c r="O2687" s="76"/>
      <c r="P2687" s="76"/>
      <c r="Q2687" s="76"/>
      <c r="R2687" s="76"/>
      <c r="S2687" s="76"/>
      <c r="BD2687" s="99">
        <f t="shared" si="86"/>
        <v>0</v>
      </c>
      <c r="CC2687" s="99"/>
      <c r="CV2687" s="99"/>
      <c r="CW2687" s="63"/>
    </row>
    <row r="2688" spans="1:101" x14ac:dyDescent="0.15">
      <c r="A2688" s="76">
        <v>2519</v>
      </c>
      <c r="B2688" s="74" t="s">
        <v>2610</v>
      </c>
      <c r="C2688" s="74">
        <v>1002009618</v>
      </c>
      <c r="D2688" s="78" t="str">
        <f t="shared" si="85"/>
        <v>https://portal.dnb.de/opac.htm?method=simpleSearch&amp;cqlMode=true&amp;query=idn%3D1002009618</v>
      </c>
      <c r="E2688" s="74" t="s">
        <v>9298</v>
      </c>
      <c r="F2688" s="74"/>
      <c r="G2688" s="76"/>
      <c r="H2688" s="77"/>
      <c r="I2688" s="76"/>
      <c r="J2688" s="77"/>
      <c r="K2688" s="77"/>
      <c r="L2688" s="76"/>
      <c r="M2688" s="76"/>
      <c r="N2688" s="76"/>
      <c r="O2688" s="76"/>
      <c r="P2688" s="76"/>
      <c r="Q2688" s="76"/>
      <c r="R2688" s="76"/>
      <c r="S2688" s="76"/>
      <c r="BD2688" s="99">
        <f t="shared" si="86"/>
        <v>0</v>
      </c>
      <c r="CC2688" s="99"/>
      <c r="CV2688" s="99"/>
      <c r="CW2688" s="63"/>
    </row>
    <row r="2689" spans="1:101" x14ac:dyDescent="0.15">
      <c r="A2689" s="76">
        <v>2520</v>
      </c>
      <c r="B2689" s="74" t="s">
        <v>2611</v>
      </c>
      <c r="C2689" s="74">
        <v>1132646545</v>
      </c>
      <c r="D2689" s="78" t="str">
        <f t="shared" si="85"/>
        <v>https://portal.dnb.de/opac.htm?method=simpleSearch&amp;cqlMode=true&amp;query=idn%3D1132646545</v>
      </c>
      <c r="E2689" s="74" t="s">
        <v>9315</v>
      </c>
      <c r="F2689" s="74"/>
      <c r="G2689" s="76" t="s">
        <v>8515</v>
      </c>
      <c r="H2689" s="77" t="s">
        <v>4</v>
      </c>
      <c r="I2689" s="76" t="s">
        <v>54</v>
      </c>
      <c r="J2689" s="77" t="s">
        <v>58</v>
      </c>
      <c r="K2689" s="77" t="s">
        <v>84</v>
      </c>
      <c r="L2689" s="76"/>
      <c r="M2689" s="76"/>
      <c r="N2689" s="76"/>
      <c r="O2689" s="76">
        <v>0</v>
      </c>
      <c r="P2689" s="76"/>
      <c r="Q2689" s="76"/>
      <c r="R2689" s="76"/>
      <c r="S2689" s="76"/>
      <c r="BD2689" s="99">
        <f t="shared" si="86"/>
        <v>0</v>
      </c>
      <c r="CC2689" s="99"/>
      <c r="CV2689" s="99"/>
      <c r="CW2689" s="63"/>
    </row>
    <row r="2690" spans="1:101" x14ac:dyDescent="0.15">
      <c r="A2690" s="76">
        <v>2521</v>
      </c>
      <c r="B2690" s="74" t="s">
        <v>2612</v>
      </c>
      <c r="C2690" s="74">
        <v>1132646561</v>
      </c>
      <c r="D2690" s="78" t="str">
        <f t="shared" si="85"/>
        <v>https://portal.dnb.de/opac.htm?method=simpleSearch&amp;cqlMode=true&amp;query=idn%3D1132646561</v>
      </c>
      <c r="E2690" s="74" t="s">
        <v>9316</v>
      </c>
      <c r="F2690" s="74"/>
      <c r="G2690" s="76" t="s">
        <v>8515</v>
      </c>
      <c r="H2690" s="77" t="s">
        <v>4</v>
      </c>
      <c r="I2690" s="76" t="s">
        <v>54</v>
      </c>
      <c r="J2690" s="77" t="s">
        <v>58</v>
      </c>
      <c r="K2690" s="77" t="s">
        <v>84</v>
      </c>
      <c r="L2690" s="76"/>
      <c r="M2690" s="76"/>
      <c r="N2690" s="76"/>
      <c r="O2690" s="76">
        <v>0</v>
      </c>
      <c r="P2690" s="76"/>
      <c r="Q2690" s="76"/>
      <c r="R2690" s="76"/>
      <c r="S2690" s="76"/>
      <c r="BD2690" s="99">
        <f t="shared" si="86"/>
        <v>0</v>
      </c>
      <c r="CC2690" s="99"/>
      <c r="CV2690" s="99"/>
      <c r="CW2690" s="63"/>
    </row>
    <row r="2691" spans="1:101" x14ac:dyDescent="0.15">
      <c r="A2691" s="76">
        <v>2522</v>
      </c>
      <c r="B2691" s="74" t="s">
        <v>2613</v>
      </c>
      <c r="C2691" s="74">
        <v>1002008301</v>
      </c>
      <c r="D2691" s="82" t="str">
        <f>HYPERLINK(CONCATENATE("https://portal.dnb.de/opac.htm?method=simpleSearch&amp;cqlMode=true&amp;query=idn%3D",C2691))</f>
        <v>https://portal.dnb.de/opac.htm?method=simpleSearch&amp;cqlMode=true&amp;query=idn%3D1002008301</v>
      </c>
      <c r="E2691" s="74" t="s">
        <v>9299</v>
      </c>
      <c r="F2691" s="74"/>
      <c r="G2691" s="76" t="s">
        <v>8515</v>
      </c>
      <c r="H2691" s="77" t="s">
        <v>4</v>
      </c>
      <c r="I2691" s="76" t="s">
        <v>54</v>
      </c>
      <c r="J2691" s="77" t="s">
        <v>58</v>
      </c>
      <c r="K2691" s="77" t="s">
        <v>84</v>
      </c>
      <c r="L2691" s="76"/>
      <c r="M2691" s="76"/>
      <c r="N2691" s="76"/>
      <c r="O2691" s="76">
        <v>0</v>
      </c>
      <c r="P2691" s="76"/>
      <c r="Q2691" s="76"/>
      <c r="R2691" s="76"/>
      <c r="S2691" s="76"/>
      <c r="BD2691" s="99">
        <f t="shared" ref="BD2691:BD2754" si="87">CC2691+CV2691</f>
        <v>0</v>
      </c>
      <c r="CC2691" s="99"/>
      <c r="CV2691" s="99"/>
      <c r="CW2691" s="63"/>
    </row>
    <row r="2692" spans="1:101" x14ac:dyDescent="0.15">
      <c r="A2692" s="76">
        <v>2523</v>
      </c>
      <c r="B2692" s="74" t="s">
        <v>2614</v>
      </c>
      <c r="C2692" s="74">
        <v>1002010586</v>
      </c>
      <c r="D2692" s="78" t="str">
        <f t="shared" ref="D2692:D2754" si="88">HYPERLINK(CONCATENATE("https://portal.dnb.de/opac.htm?method=simpleSearch&amp;cqlMode=true&amp;query=idn%3D",C2692))</f>
        <v>https://portal.dnb.de/opac.htm?method=simpleSearch&amp;cqlMode=true&amp;query=idn%3D1002010586</v>
      </c>
      <c r="E2692" s="74" t="s">
        <v>9300</v>
      </c>
      <c r="F2692" s="74"/>
      <c r="G2692" s="76" t="s">
        <v>8515</v>
      </c>
      <c r="H2692" s="77" t="s">
        <v>4</v>
      </c>
      <c r="I2692" s="76" t="s">
        <v>54</v>
      </c>
      <c r="J2692" s="77" t="s">
        <v>58</v>
      </c>
      <c r="K2692" s="77" t="s">
        <v>84</v>
      </c>
      <c r="L2692" s="76"/>
      <c r="M2692" s="76"/>
      <c r="N2692" s="76"/>
      <c r="O2692" s="76">
        <v>0</v>
      </c>
      <c r="P2692" s="76"/>
      <c r="Q2692" s="76"/>
      <c r="R2692" s="76"/>
      <c r="S2692" s="76"/>
      <c r="BD2692" s="99">
        <f t="shared" si="87"/>
        <v>0</v>
      </c>
      <c r="CC2692" s="99"/>
      <c r="CV2692" s="99"/>
      <c r="CW2692" s="63"/>
    </row>
    <row r="2693" spans="1:101" x14ac:dyDescent="0.15">
      <c r="A2693" s="76">
        <v>2524</v>
      </c>
      <c r="B2693" s="74" t="s">
        <v>2615</v>
      </c>
      <c r="C2693" s="74">
        <v>1002014174</v>
      </c>
      <c r="D2693" s="78" t="str">
        <f t="shared" si="88"/>
        <v>https://portal.dnb.de/opac.htm?method=simpleSearch&amp;cqlMode=true&amp;query=idn%3D1002014174</v>
      </c>
      <c r="E2693" s="74" t="s">
        <v>9301</v>
      </c>
      <c r="F2693" s="74"/>
      <c r="G2693" s="76" t="s">
        <v>8515</v>
      </c>
      <c r="H2693" s="77" t="s">
        <v>4</v>
      </c>
      <c r="I2693" s="76" t="s">
        <v>54</v>
      </c>
      <c r="J2693" s="77" t="s">
        <v>58</v>
      </c>
      <c r="K2693" s="77" t="s">
        <v>84</v>
      </c>
      <c r="L2693" s="76"/>
      <c r="M2693" s="76"/>
      <c r="N2693" s="76"/>
      <c r="O2693" s="76">
        <v>1</v>
      </c>
      <c r="P2693" s="76"/>
      <c r="Q2693" s="76"/>
      <c r="R2693" s="76"/>
      <c r="S2693" s="76"/>
      <c r="BD2693" s="99">
        <f t="shared" si="87"/>
        <v>0</v>
      </c>
      <c r="CC2693" s="99"/>
      <c r="CV2693" s="99"/>
      <c r="CW2693" s="63"/>
    </row>
    <row r="2694" spans="1:101" x14ac:dyDescent="0.15">
      <c r="A2694" s="76">
        <v>2525</v>
      </c>
      <c r="B2694" s="74" t="s">
        <v>2616</v>
      </c>
      <c r="C2694" s="74" t="s">
        <v>2617</v>
      </c>
      <c r="D2694" s="78" t="str">
        <f t="shared" si="88"/>
        <v>https://portal.dnb.de/opac.htm?method=simpleSearch&amp;cqlMode=true&amp;query=idn%3D113264657X</v>
      </c>
      <c r="E2694" s="74" t="s">
        <v>9302</v>
      </c>
      <c r="F2694" s="74"/>
      <c r="G2694" s="76"/>
      <c r="H2694" s="77"/>
      <c r="I2694" s="76"/>
      <c r="J2694" s="77"/>
      <c r="K2694" s="77"/>
      <c r="L2694" s="76"/>
      <c r="M2694" s="76"/>
      <c r="N2694" s="76"/>
      <c r="O2694" s="76"/>
      <c r="P2694" s="76"/>
      <c r="Q2694" s="76"/>
      <c r="R2694" s="76"/>
      <c r="S2694" s="76"/>
      <c r="BD2694" s="99">
        <f t="shared" si="87"/>
        <v>0</v>
      </c>
      <c r="CC2694" s="99"/>
      <c r="CV2694" s="99"/>
      <c r="CW2694" s="63"/>
    </row>
    <row r="2695" spans="1:101" x14ac:dyDescent="0.15">
      <c r="A2695" s="76">
        <v>2526</v>
      </c>
      <c r="B2695" s="74" t="s">
        <v>2618</v>
      </c>
      <c r="C2695" s="74">
        <v>1002012791</v>
      </c>
      <c r="D2695" s="78" t="str">
        <f t="shared" si="88"/>
        <v>https://portal.dnb.de/opac.htm?method=simpleSearch&amp;cqlMode=true&amp;query=idn%3D1002012791</v>
      </c>
      <c r="E2695" s="74" t="s">
        <v>9303</v>
      </c>
      <c r="F2695" s="74"/>
      <c r="G2695" s="76"/>
      <c r="H2695" s="77"/>
      <c r="I2695" s="76"/>
      <c r="J2695" s="77"/>
      <c r="K2695" s="77"/>
      <c r="L2695" s="76"/>
      <c r="M2695" s="76"/>
      <c r="N2695" s="76"/>
      <c r="O2695" s="76"/>
      <c r="P2695" s="76"/>
      <c r="Q2695" s="76"/>
      <c r="R2695" s="76"/>
      <c r="S2695" s="76"/>
      <c r="BD2695" s="99">
        <f t="shared" si="87"/>
        <v>0</v>
      </c>
      <c r="CC2695" s="99"/>
      <c r="CV2695" s="99"/>
      <c r="CW2695" s="63"/>
    </row>
    <row r="2696" spans="1:101" x14ac:dyDescent="0.15">
      <c r="A2696" s="76">
        <v>2527</v>
      </c>
      <c r="B2696" s="74" t="s">
        <v>2619</v>
      </c>
      <c r="C2696" s="74">
        <v>1002008182</v>
      </c>
      <c r="D2696" s="78" t="str">
        <f t="shared" si="88"/>
        <v>https://portal.dnb.de/opac.htm?method=simpleSearch&amp;cqlMode=true&amp;query=idn%3D1002008182</v>
      </c>
      <c r="E2696" s="74" t="s">
        <v>9304</v>
      </c>
      <c r="F2696" s="74"/>
      <c r="G2696" s="76"/>
      <c r="H2696" s="77"/>
      <c r="I2696" s="76"/>
      <c r="J2696" s="77"/>
      <c r="K2696" s="77"/>
      <c r="L2696" s="76"/>
      <c r="M2696" s="76"/>
      <c r="N2696" s="76"/>
      <c r="O2696" s="76"/>
      <c r="P2696" s="76"/>
      <c r="Q2696" s="76"/>
      <c r="R2696" s="76"/>
      <c r="S2696" s="76"/>
      <c r="BD2696" s="99">
        <f t="shared" si="87"/>
        <v>0</v>
      </c>
      <c r="CC2696" s="99"/>
      <c r="CV2696" s="99"/>
      <c r="CW2696" s="63"/>
    </row>
    <row r="2697" spans="1:101" x14ac:dyDescent="0.15">
      <c r="A2697" s="76">
        <v>2528</v>
      </c>
      <c r="B2697" s="74" t="s">
        <v>2620</v>
      </c>
      <c r="C2697" s="74">
        <v>1132646596</v>
      </c>
      <c r="D2697" s="78" t="str">
        <f t="shared" si="88"/>
        <v>https://portal.dnb.de/opac.htm?method=simpleSearch&amp;cqlMode=true&amp;query=idn%3D1132646596</v>
      </c>
      <c r="E2697" s="74" t="s">
        <v>9317</v>
      </c>
      <c r="F2697" s="74"/>
      <c r="G2697" s="76"/>
      <c r="H2697" s="77"/>
      <c r="I2697" s="76"/>
      <c r="J2697" s="77"/>
      <c r="K2697" s="77"/>
      <c r="L2697" s="76"/>
      <c r="M2697" s="76"/>
      <c r="N2697" s="76"/>
      <c r="O2697" s="76"/>
      <c r="P2697" s="76"/>
      <c r="Q2697" s="76"/>
      <c r="R2697" s="76"/>
      <c r="S2697" s="76"/>
      <c r="BD2697" s="99">
        <f t="shared" si="87"/>
        <v>0</v>
      </c>
      <c r="CC2697" s="99"/>
      <c r="CV2697" s="99"/>
      <c r="CW2697" s="63"/>
    </row>
    <row r="2698" spans="1:101" x14ac:dyDescent="0.15">
      <c r="A2698" s="76">
        <v>2529</v>
      </c>
      <c r="B2698" s="74" t="s">
        <v>2621</v>
      </c>
      <c r="C2698" s="74">
        <v>1132646588</v>
      </c>
      <c r="D2698" s="78" t="str">
        <f t="shared" si="88"/>
        <v>https://portal.dnb.de/opac.htm?method=simpleSearch&amp;cqlMode=true&amp;query=idn%3D1132646588</v>
      </c>
      <c r="E2698" s="74" t="s">
        <v>9305</v>
      </c>
      <c r="F2698" s="74"/>
      <c r="G2698" s="76" t="s">
        <v>8515</v>
      </c>
      <c r="H2698" s="77" t="s">
        <v>4</v>
      </c>
      <c r="I2698" s="76" t="s">
        <v>54</v>
      </c>
      <c r="J2698" s="77" t="s">
        <v>58</v>
      </c>
      <c r="K2698" s="77" t="s">
        <v>84</v>
      </c>
      <c r="L2698" s="76"/>
      <c r="M2698" s="76"/>
      <c r="N2698" s="76"/>
      <c r="O2698" s="76">
        <v>0</v>
      </c>
      <c r="P2698" s="76"/>
      <c r="Q2698" s="76"/>
      <c r="R2698" s="76"/>
      <c r="S2698" s="76"/>
      <c r="BD2698" s="99">
        <f t="shared" si="87"/>
        <v>0</v>
      </c>
      <c r="CC2698" s="99"/>
      <c r="CV2698" s="99"/>
      <c r="CW2698" s="63"/>
    </row>
    <row r="2699" spans="1:101" x14ac:dyDescent="0.15">
      <c r="A2699" s="76">
        <v>2530</v>
      </c>
      <c r="B2699" s="74" t="s">
        <v>2622</v>
      </c>
      <c r="C2699" s="74">
        <v>1002012953</v>
      </c>
      <c r="D2699" s="82" t="str">
        <f t="shared" ref="D2699:D2707" si="89">HYPERLINK(CONCATENATE("https://portal.dnb.de/opac.htm?method=simpleSearch&amp;cqlMode=true&amp;query=idn%3D",C2699))</f>
        <v>https://portal.dnb.de/opac.htm?method=simpleSearch&amp;cqlMode=true&amp;query=idn%3D1002012953</v>
      </c>
      <c r="E2699" s="74" t="s">
        <v>9306</v>
      </c>
      <c r="F2699" s="74"/>
      <c r="G2699" s="76" t="s">
        <v>8515</v>
      </c>
      <c r="H2699" s="77" t="s">
        <v>4</v>
      </c>
      <c r="I2699" s="76" t="s">
        <v>54</v>
      </c>
      <c r="J2699" s="77" t="s">
        <v>58</v>
      </c>
      <c r="K2699" s="77" t="s">
        <v>84</v>
      </c>
      <c r="L2699" s="76"/>
      <c r="M2699" s="76"/>
      <c r="N2699" s="76"/>
      <c r="O2699" s="76">
        <v>0</v>
      </c>
      <c r="P2699" s="76"/>
      <c r="Q2699" s="76"/>
      <c r="R2699" s="76"/>
      <c r="S2699" s="76"/>
      <c r="BD2699" s="99">
        <f t="shared" si="87"/>
        <v>0</v>
      </c>
      <c r="CC2699" s="99"/>
      <c r="CV2699" s="99"/>
      <c r="CW2699" s="63"/>
    </row>
    <row r="2700" spans="1:101" x14ac:dyDescent="0.15">
      <c r="A2700" s="76">
        <v>2531</v>
      </c>
      <c r="B2700" s="74" t="s">
        <v>2623</v>
      </c>
      <c r="C2700" s="74">
        <v>1132646537</v>
      </c>
      <c r="D2700" s="82" t="str">
        <f t="shared" si="89"/>
        <v>https://portal.dnb.de/opac.htm?method=simpleSearch&amp;cqlMode=true&amp;query=idn%3D1132646537</v>
      </c>
      <c r="E2700" s="74" t="s">
        <v>9307</v>
      </c>
      <c r="F2700" s="74"/>
      <c r="G2700" s="76" t="s">
        <v>8515</v>
      </c>
      <c r="H2700" s="77" t="s">
        <v>4</v>
      </c>
      <c r="I2700" s="76" t="s">
        <v>54</v>
      </c>
      <c r="J2700" s="77" t="s">
        <v>58</v>
      </c>
      <c r="K2700" s="77" t="s">
        <v>84</v>
      </c>
      <c r="L2700" s="76"/>
      <c r="M2700" s="76"/>
      <c r="N2700" s="76"/>
      <c r="O2700" s="76">
        <v>0</v>
      </c>
      <c r="P2700" s="76"/>
      <c r="Q2700" s="76"/>
      <c r="R2700" s="76"/>
      <c r="S2700" s="76"/>
      <c r="BD2700" s="99">
        <f t="shared" si="87"/>
        <v>0</v>
      </c>
      <c r="CC2700" s="99"/>
      <c r="CV2700" s="99"/>
      <c r="CW2700" s="63"/>
    </row>
    <row r="2701" spans="1:101" x14ac:dyDescent="0.15">
      <c r="A2701" s="76">
        <v>2532</v>
      </c>
      <c r="B2701" s="74" t="s">
        <v>2624</v>
      </c>
      <c r="C2701" s="74">
        <v>1002008549</v>
      </c>
      <c r="D2701" s="82" t="str">
        <f t="shared" si="89"/>
        <v>https://portal.dnb.de/opac.htm?method=simpleSearch&amp;cqlMode=true&amp;query=idn%3D1002008549</v>
      </c>
      <c r="E2701" s="74" t="s">
        <v>9308</v>
      </c>
      <c r="F2701" s="74"/>
      <c r="G2701" s="76" t="s">
        <v>8515</v>
      </c>
      <c r="H2701" s="77" t="s">
        <v>4</v>
      </c>
      <c r="I2701" s="76" t="s">
        <v>54</v>
      </c>
      <c r="J2701" s="77" t="s">
        <v>58</v>
      </c>
      <c r="K2701" s="77" t="s">
        <v>84</v>
      </c>
      <c r="L2701" s="76"/>
      <c r="M2701" s="76"/>
      <c r="N2701" s="76"/>
      <c r="O2701" s="76">
        <v>0</v>
      </c>
      <c r="P2701" s="76"/>
      <c r="Q2701" s="76"/>
      <c r="R2701" s="76"/>
      <c r="S2701" s="76"/>
      <c r="BD2701" s="99">
        <f t="shared" si="87"/>
        <v>0</v>
      </c>
      <c r="CC2701" s="99"/>
      <c r="CV2701" s="99"/>
      <c r="CW2701" s="63"/>
    </row>
    <row r="2702" spans="1:101" ht="22.5" x14ac:dyDescent="0.15">
      <c r="A2702" s="76">
        <v>2533</v>
      </c>
      <c r="B2702" s="74" t="s">
        <v>2625</v>
      </c>
      <c r="C2702" s="74">
        <v>1003342213</v>
      </c>
      <c r="D2702" s="82" t="str">
        <f t="shared" si="89"/>
        <v>https://portal.dnb.de/opac.htm?method=simpleSearch&amp;cqlMode=true&amp;query=idn%3D1003342213</v>
      </c>
      <c r="E2702" s="74" t="s">
        <v>2626</v>
      </c>
      <c r="F2702" s="74"/>
      <c r="G2702" s="76"/>
      <c r="H2702" s="77" t="s">
        <v>18</v>
      </c>
      <c r="I2702" s="76" t="s">
        <v>54</v>
      </c>
      <c r="J2702" s="77" t="s">
        <v>8516</v>
      </c>
      <c r="K2702" s="77" t="s">
        <v>84</v>
      </c>
      <c r="L2702" s="76"/>
      <c r="M2702" s="76" t="s">
        <v>36</v>
      </c>
      <c r="N2702" s="76" t="s">
        <v>39</v>
      </c>
      <c r="O2702" s="76">
        <v>0</v>
      </c>
      <c r="P2702" s="76"/>
      <c r="Q2702" s="76"/>
      <c r="R2702" s="76"/>
      <c r="S2702" s="76"/>
      <c r="BD2702" s="99">
        <f t="shared" si="87"/>
        <v>0</v>
      </c>
      <c r="CC2702" s="99"/>
      <c r="CV2702" s="99"/>
      <c r="CW2702" s="63"/>
    </row>
    <row r="2703" spans="1:101" x14ac:dyDescent="0.15">
      <c r="A2703" s="76">
        <v>2534</v>
      </c>
      <c r="B2703" s="74" t="s">
        <v>2627</v>
      </c>
      <c r="C2703" s="74">
        <v>932294383</v>
      </c>
      <c r="D2703" s="82" t="str">
        <f t="shared" si="89"/>
        <v>https://portal.dnb.de/opac.htm?method=simpleSearch&amp;cqlMode=true&amp;query=idn%3D932294383</v>
      </c>
      <c r="E2703" s="74" t="s">
        <v>2628</v>
      </c>
      <c r="F2703" s="74"/>
      <c r="G2703" s="76"/>
      <c r="H2703" s="77" t="s">
        <v>4</v>
      </c>
      <c r="I2703" s="76" t="s">
        <v>53</v>
      </c>
      <c r="J2703" s="77" t="s">
        <v>58</v>
      </c>
      <c r="K2703" s="77" t="s">
        <v>84</v>
      </c>
      <c r="L2703" s="76"/>
      <c r="M2703" s="76" t="s">
        <v>36</v>
      </c>
      <c r="N2703" s="76" t="s">
        <v>39</v>
      </c>
      <c r="O2703" s="76">
        <v>0</v>
      </c>
      <c r="P2703" s="76"/>
      <c r="Q2703" s="76"/>
      <c r="R2703" s="76"/>
      <c r="S2703" s="76"/>
      <c r="BD2703" s="99">
        <f t="shared" si="87"/>
        <v>0</v>
      </c>
      <c r="CC2703" s="99"/>
      <c r="CV2703" s="99"/>
      <c r="CW2703" s="63"/>
    </row>
    <row r="2704" spans="1:101" x14ac:dyDescent="0.15">
      <c r="A2704" s="76">
        <v>2535</v>
      </c>
      <c r="B2704" s="74" t="s">
        <v>2629</v>
      </c>
      <c r="C2704" s="74">
        <v>1001132394</v>
      </c>
      <c r="D2704" s="82" t="str">
        <f t="shared" si="89"/>
        <v>https://portal.dnb.de/opac.htm?method=simpleSearch&amp;cqlMode=true&amp;query=idn%3D1001132394</v>
      </c>
      <c r="E2704" s="74" t="s">
        <v>9318</v>
      </c>
      <c r="F2704" s="74"/>
      <c r="G2704" s="76"/>
      <c r="H2704" s="77" t="s">
        <v>5</v>
      </c>
      <c r="I2704" s="76" t="s">
        <v>54</v>
      </c>
      <c r="J2704" s="77" t="s">
        <v>58</v>
      </c>
      <c r="K2704" s="77" t="s">
        <v>84</v>
      </c>
      <c r="L2704" s="76"/>
      <c r="M2704" s="76" t="s">
        <v>36</v>
      </c>
      <c r="N2704" s="76" t="s">
        <v>40</v>
      </c>
      <c r="O2704" s="76">
        <v>0</v>
      </c>
      <c r="P2704" s="76"/>
      <c r="Q2704" s="76"/>
      <c r="R2704" s="76"/>
      <c r="S2704" s="76"/>
      <c r="BD2704" s="99">
        <f t="shared" si="87"/>
        <v>0</v>
      </c>
      <c r="CC2704" s="99"/>
      <c r="CV2704" s="99"/>
      <c r="CW2704" s="63"/>
    </row>
    <row r="2705" spans="1:101" x14ac:dyDescent="0.15">
      <c r="A2705" s="76">
        <v>2536</v>
      </c>
      <c r="B2705" s="74" t="s">
        <v>2630</v>
      </c>
      <c r="C2705" s="74">
        <v>1001132459</v>
      </c>
      <c r="D2705" s="82" t="str">
        <f t="shared" si="89"/>
        <v>https://portal.dnb.de/opac.htm?method=simpleSearch&amp;cqlMode=true&amp;query=idn%3D1001132459</v>
      </c>
      <c r="E2705" s="74" t="s">
        <v>9320</v>
      </c>
      <c r="F2705" s="74"/>
      <c r="G2705" s="76"/>
      <c r="H2705" s="77" t="s">
        <v>5</v>
      </c>
      <c r="I2705" s="76" t="s">
        <v>54</v>
      </c>
      <c r="J2705" s="77" t="s">
        <v>58</v>
      </c>
      <c r="K2705" s="77" t="s">
        <v>84</v>
      </c>
      <c r="L2705" s="76"/>
      <c r="M2705" s="76" t="s">
        <v>36</v>
      </c>
      <c r="N2705" s="76" t="s">
        <v>39</v>
      </c>
      <c r="O2705" s="76">
        <v>0</v>
      </c>
      <c r="P2705" s="76"/>
      <c r="Q2705" s="76"/>
      <c r="R2705" s="76"/>
      <c r="S2705" s="76"/>
      <c r="BD2705" s="99">
        <f t="shared" si="87"/>
        <v>0</v>
      </c>
      <c r="CC2705" s="99"/>
      <c r="CV2705" s="99"/>
      <c r="CW2705" s="63"/>
    </row>
    <row r="2706" spans="1:101" x14ac:dyDescent="0.15">
      <c r="A2706" s="76">
        <v>2537</v>
      </c>
      <c r="B2706" s="74" t="s">
        <v>2631</v>
      </c>
      <c r="C2706" s="74">
        <v>1001132432</v>
      </c>
      <c r="D2706" s="82" t="str">
        <f t="shared" si="89"/>
        <v>https://portal.dnb.de/opac.htm?method=simpleSearch&amp;cqlMode=true&amp;query=idn%3D1001132432</v>
      </c>
      <c r="E2706" s="74" t="s">
        <v>9321</v>
      </c>
      <c r="F2706" s="74"/>
      <c r="G2706" s="76" t="s">
        <v>8515</v>
      </c>
      <c r="H2706" s="77" t="s">
        <v>4</v>
      </c>
      <c r="I2706" s="76" t="s">
        <v>54</v>
      </c>
      <c r="J2706" s="77" t="s">
        <v>58</v>
      </c>
      <c r="K2706" s="77" t="s">
        <v>84</v>
      </c>
      <c r="L2706" s="76"/>
      <c r="M2706" s="76" t="s">
        <v>36</v>
      </c>
      <c r="N2706" s="76" t="s">
        <v>39</v>
      </c>
      <c r="O2706" s="76">
        <v>0</v>
      </c>
      <c r="P2706" s="76"/>
      <c r="Q2706" s="76"/>
      <c r="R2706" s="76"/>
      <c r="S2706" s="76"/>
      <c r="BD2706" s="99">
        <f t="shared" si="87"/>
        <v>0</v>
      </c>
      <c r="CC2706" s="99"/>
      <c r="CV2706" s="99"/>
      <c r="CW2706" s="63"/>
    </row>
    <row r="2707" spans="1:101" x14ac:dyDescent="0.15">
      <c r="A2707" s="76">
        <v>2538</v>
      </c>
      <c r="B2707" s="74" t="s">
        <v>2632</v>
      </c>
      <c r="C2707" s="74">
        <v>1001132408</v>
      </c>
      <c r="D2707" s="82" t="str">
        <f t="shared" si="89"/>
        <v>https://portal.dnb.de/opac.htm?method=simpleSearch&amp;cqlMode=true&amp;query=idn%3D1001132408</v>
      </c>
      <c r="E2707" s="74" t="s">
        <v>9319</v>
      </c>
      <c r="F2707" s="74"/>
      <c r="G2707" s="76"/>
      <c r="H2707" s="77" t="s">
        <v>5</v>
      </c>
      <c r="I2707" s="76" t="s">
        <v>54</v>
      </c>
      <c r="J2707" s="77" t="s">
        <v>58</v>
      </c>
      <c r="K2707" s="77" t="s">
        <v>84</v>
      </c>
      <c r="L2707" s="76"/>
      <c r="M2707" s="76" t="s">
        <v>36</v>
      </c>
      <c r="N2707" s="76" t="s">
        <v>40</v>
      </c>
      <c r="O2707" s="76">
        <v>0</v>
      </c>
      <c r="P2707" s="76"/>
      <c r="Q2707" s="76"/>
      <c r="R2707" s="76"/>
      <c r="S2707" s="76"/>
      <c r="BD2707" s="99">
        <f t="shared" si="87"/>
        <v>0</v>
      </c>
      <c r="CC2707" s="99"/>
      <c r="CV2707" s="99"/>
      <c r="CW2707" s="63"/>
    </row>
    <row r="2708" spans="1:101" x14ac:dyDescent="0.15">
      <c r="A2708" s="76">
        <v>2539</v>
      </c>
      <c r="B2708" s="74" t="s">
        <v>2633</v>
      </c>
      <c r="C2708" s="74">
        <v>997968613</v>
      </c>
      <c r="D2708" s="78" t="str">
        <f t="shared" si="88"/>
        <v>https://portal.dnb.de/opac.htm?method=simpleSearch&amp;cqlMode=true&amp;query=idn%3D997968613</v>
      </c>
      <c r="E2708" s="74" t="s">
        <v>2634</v>
      </c>
      <c r="F2708" s="74"/>
      <c r="G2708" s="76"/>
      <c r="H2708" s="77"/>
      <c r="I2708" s="76"/>
      <c r="J2708" s="77"/>
      <c r="K2708" s="77"/>
      <c r="L2708" s="76"/>
      <c r="M2708" s="76"/>
      <c r="N2708" s="76"/>
      <c r="O2708" s="76"/>
      <c r="P2708" s="76"/>
      <c r="Q2708" s="76"/>
      <c r="R2708" s="76"/>
      <c r="S2708" s="76"/>
      <c r="BD2708" s="99">
        <f t="shared" si="87"/>
        <v>0</v>
      </c>
      <c r="CC2708" s="99"/>
      <c r="CV2708" s="99"/>
      <c r="CW2708" s="63"/>
    </row>
    <row r="2709" spans="1:101" x14ac:dyDescent="0.15">
      <c r="A2709" s="76">
        <v>2540</v>
      </c>
      <c r="B2709" s="74" t="s">
        <v>2635</v>
      </c>
      <c r="C2709" s="74">
        <v>997968451</v>
      </c>
      <c r="D2709" s="78" t="str">
        <f t="shared" si="88"/>
        <v>https://portal.dnb.de/opac.htm?method=simpleSearch&amp;cqlMode=true&amp;query=idn%3D997968451</v>
      </c>
      <c r="E2709" s="74" t="s">
        <v>2634</v>
      </c>
      <c r="F2709" s="74"/>
      <c r="G2709" s="76"/>
      <c r="H2709" s="77" t="s">
        <v>49</v>
      </c>
      <c r="I2709" s="76" t="s">
        <v>53</v>
      </c>
      <c r="J2709" s="77" t="s">
        <v>8516</v>
      </c>
      <c r="K2709" s="77" t="s">
        <v>84</v>
      </c>
      <c r="L2709" s="76"/>
      <c r="M2709" s="76" t="s">
        <v>36</v>
      </c>
      <c r="N2709" s="76" t="s">
        <v>40</v>
      </c>
      <c r="O2709" s="76">
        <v>0</v>
      </c>
      <c r="P2709" s="76"/>
      <c r="Q2709" s="76"/>
      <c r="R2709" s="76"/>
      <c r="S2709" s="76"/>
      <c r="BD2709" s="99">
        <f t="shared" si="87"/>
        <v>0</v>
      </c>
      <c r="CC2709" s="99"/>
      <c r="CV2709" s="99"/>
      <c r="CW2709" s="63"/>
    </row>
    <row r="2710" spans="1:101" ht="22.5" x14ac:dyDescent="0.15">
      <c r="A2710" s="76">
        <v>2541</v>
      </c>
      <c r="B2710" s="74" t="s">
        <v>2636</v>
      </c>
      <c r="C2710" s="74">
        <v>997402393</v>
      </c>
      <c r="D2710" s="82" t="str">
        <f>HYPERLINK(CONCATENATE("https://portal.dnb.de/opac.htm?method=simpleSearch&amp;cqlMode=true&amp;query=idn%3D",C2710))</f>
        <v>https://portal.dnb.de/opac.htm?method=simpleSearch&amp;cqlMode=true&amp;query=idn%3D997402393</v>
      </c>
      <c r="E2710" s="74" t="s">
        <v>9322</v>
      </c>
      <c r="F2710" s="74"/>
      <c r="G2710" s="76" t="s">
        <v>8515</v>
      </c>
      <c r="H2710" s="77" t="s">
        <v>18</v>
      </c>
      <c r="I2710" s="76" t="s">
        <v>53</v>
      </c>
      <c r="J2710" s="77" t="s">
        <v>58</v>
      </c>
      <c r="K2710" s="77" t="s">
        <v>8785</v>
      </c>
      <c r="L2710" s="76"/>
      <c r="M2710" s="76"/>
      <c r="N2710" s="76"/>
      <c r="O2710" s="76">
        <v>0</v>
      </c>
      <c r="P2710" s="76"/>
      <c r="Q2710" s="76"/>
      <c r="R2710" s="76"/>
      <c r="S2710" s="76"/>
      <c r="BD2710" s="99">
        <f t="shared" si="87"/>
        <v>0</v>
      </c>
      <c r="CC2710" s="99"/>
      <c r="CV2710" s="99"/>
      <c r="CW2710" s="63"/>
    </row>
    <row r="2711" spans="1:101" ht="22.5" x14ac:dyDescent="0.15">
      <c r="A2711" s="76">
        <v>2542</v>
      </c>
      <c r="B2711" s="74" t="s">
        <v>2637</v>
      </c>
      <c r="C2711" s="74">
        <v>997402555</v>
      </c>
      <c r="D2711" s="78" t="str">
        <f t="shared" si="88"/>
        <v>https://portal.dnb.de/opac.htm?method=simpleSearch&amp;cqlMode=true&amp;query=idn%3D997402555</v>
      </c>
      <c r="E2711" s="74" t="s">
        <v>9323</v>
      </c>
      <c r="F2711" s="74"/>
      <c r="G2711" s="76" t="s">
        <v>8515</v>
      </c>
      <c r="H2711" s="77" t="s">
        <v>18</v>
      </c>
      <c r="I2711" s="76" t="s">
        <v>53</v>
      </c>
      <c r="J2711" s="77" t="s">
        <v>58</v>
      </c>
      <c r="K2711" s="77" t="s">
        <v>8785</v>
      </c>
      <c r="L2711" s="76"/>
      <c r="M2711" s="76"/>
      <c r="N2711" s="76"/>
      <c r="O2711" s="76">
        <v>0</v>
      </c>
      <c r="P2711" s="76"/>
      <c r="Q2711" s="76"/>
      <c r="R2711" s="76"/>
      <c r="S2711" s="76"/>
      <c r="BD2711" s="99">
        <f t="shared" si="87"/>
        <v>0</v>
      </c>
      <c r="CC2711" s="99"/>
      <c r="CV2711" s="99"/>
      <c r="CW2711" s="63"/>
    </row>
    <row r="2712" spans="1:101" ht="22.5" x14ac:dyDescent="0.15">
      <c r="A2712" s="76">
        <v>2543</v>
      </c>
      <c r="B2712" s="74" t="s">
        <v>2638</v>
      </c>
      <c r="C2712" s="74">
        <v>997402431</v>
      </c>
      <c r="D2712" s="78" t="str">
        <f t="shared" si="88"/>
        <v>https://portal.dnb.de/opac.htm?method=simpleSearch&amp;cqlMode=true&amp;query=idn%3D997402431</v>
      </c>
      <c r="E2712" s="74" t="s">
        <v>9324</v>
      </c>
      <c r="F2712" s="74"/>
      <c r="G2712" s="76" t="s">
        <v>8515</v>
      </c>
      <c r="H2712" s="77" t="s">
        <v>18</v>
      </c>
      <c r="I2712" s="76" t="s">
        <v>53</v>
      </c>
      <c r="J2712" s="77" t="s">
        <v>58</v>
      </c>
      <c r="K2712" s="77" t="s">
        <v>8785</v>
      </c>
      <c r="L2712" s="76"/>
      <c r="M2712" s="76"/>
      <c r="N2712" s="76"/>
      <c r="O2712" s="76">
        <v>0</v>
      </c>
      <c r="P2712" s="76"/>
      <c r="Q2712" s="76"/>
      <c r="R2712" s="76"/>
      <c r="S2712" s="76"/>
      <c r="BD2712" s="99">
        <f t="shared" si="87"/>
        <v>0</v>
      </c>
      <c r="CC2712" s="99"/>
      <c r="CV2712" s="99"/>
      <c r="CW2712" s="63"/>
    </row>
    <row r="2713" spans="1:101" ht="33.75" x14ac:dyDescent="0.15">
      <c r="A2713" s="76">
        <v>2544</v>
      </c>
      <c r="B2713" s="74" t="s">
        <v>2639</v>
      </c>
      <c r="C2713" s="74">
        <v>12728853</v>
      </c>
      <c r="D2713" s="78" t="str">
        <f t="shared" si="88"/>
        <v>https://portal.dnb.de/opac.htm?method=simpleSearch&amp;cqlMode=true&amp;query=idn%3D12728853</v>
      </c>
      <c r="E2713" s="74" t="s">
        <v>2640</v>
      </c>
      <c r="F2713" s="79" t="s">
        <v>10526</v>
      </c>
      <c r="G2713" s="76"/>
      <c r="H2713" s="77"/>
      <c r="I2713" s="76" t="s">
        <v>53</v>
      </c>
      <c r="J2713" s="77"/>
      <c r="K2713" s="77"/>
      <c r="L2713" s="76"/>
      <c r="M2713" s="76"/>
      <c r="N2713" s="76"/>
      <c r="O2713" s="76"/>
      <c r="P2713" s="76"/>
      <c r="Q2713" s="76" t="s">
        <v>9679</v>
      </c>
      <c r="R2713" s="76"/>
      <c r="S2713" s="76"/>
      <c r="Y2713" s="95" t="s">
        <v>9731</v>
      </c>
      <c r="AC2713" s="95" t="s">
        <v>9730</v>
      </c>
      <c r="AI2713" s="95" t="s">
        <v>9725</v>
      </c>
      <c r="AO2713" s="95" t="s">
        <v>8541</v>
      </c>
      <c r="AW2713" s="95">
        <v>0</v>
      </c>
      <c r="BC2713" s="96" t="s">
        <v>9734</v>
      </c>
      <c r="BD2713" s="99">
        <f t="shared" si="87"/>
        <v>0</v>
      </c>
      <c r="BL2713" s="70" t="s">
        <v>10432</v>
      </c>
      <c r="CC2713" s="99"/>
      <c r="CV2713" s="99"/>
      <c r="CW2713" s="63"/>
    </row>
    <row r="2714" spans="1:101" ht="22.5" x14ac:dyDescent="0.15">
      <c r="A2714" s="76"/>
      <c r="B2714" s="74"/>
      <c r="C2714" s="74"/>
      <c r="D2714" s="78"/>
      <c r="E2714" s="74" t="s">
        <v>9359</v>
      </c>
      <c r="F2714" s="74"/>
      <c r="G2714" s="76"/>
      <c r="H2714" s="77" t="s">
        <v>18</v>
      </c>
      <c r="I2714" s="76" t="s">
        <v>53</v>
      </c>
      <c r="J2714" s="77" t="s">
        <v>8516</v>
      </c>
      <c r="K2714" s="77" t="s">
        <v>84</v>
      </c>
      <c r="L2714" s="76"/>
      <c r="M2714" s="76"/>
      <c r="N2714" s="76" t="s">
        <v>8660</v>
      </c>
      <c r="O2714" s="76">
        <v>0</v>
      </c>
      <c r="P2714" s="76"/>
      <c r="Q2714" s="76"/>
      <c r="R2714" s="76"/>
      <c r="S2714" s="76"/>
      <c r="BD2714" s="99">
        <f t="shared" si="87"/>
        <v>0</v>
      </c>
      <c r="CC2714" s="99"/>
      <c r="CV2714" s="99"/>
      <c r="CW2714" s="63"/>
    </row>
    <row r="2715" spans="1:101" x14ac:dyDescent="0.15">
      <c r="A2715" s="76">
        <v>2545</v>
      </c>
      <c r="B2715" s="74" t="s">
        <v>2641</v>
      </c>
      <c r="C2715" s="74">
        <v>1001091914</v>
      </c>
      <c r="D2715" s="78" t="str">
        <f t="shared" si="88"/>
        <v>https://portal.dnb.de/opac.htm?method=simpleSearch&amp;cqlMode=true&amp;query=idn%3D1001091914</v>
      </c>
      <c r="E2715" s="74" t="s">
        <v>2642</v>
      </c>
      <c r="F2715" s="74"/>
      <c r="G2715" s="76"/>
      <c r="H2715" s="77"/>
      <c r="I2715" s="76"/>
      <c r="J2715" s="77"/>
      <c r="K2715" s="77"/>
      <c r="L2715" s="76"/>
      <c r="M2715" s="76"/>
      <c r="N2715" s="76"/>
      <c r="O2715" s="76"/>
      <c r="P2715" s="76"/>
      <c r="Q2715" s="76"/>
      <c r="R2715" s="76"/>
      <c r="S2715" s="76"/>
      <c r="BD2715" s="99">
        <f t="shared" si="87"/>
        <v>0</v>
      </c>
      <c r="CC2715" s="99"/>
      <c r="CV2715" s="99"/>
      <c r="CW2715" s="63"/>
    </row>
    <row r="2716" spans="1:101" x14ac:dyDescent="0.15">
      <c r="A2716" s="76">
        <v>2546</v>
      </c>
      <c r="B2716" s="74" t="s">
        <v>2643</v>
      </c>
      <c r="C2716" s="74">
        <v>579464741</v>
      </c>
      <c r="D2716" s="78" t="str">
        <f t="shared" si="88"/>
        <v>https://portal.dnb.de/opac.htm?method=simpleSearch&amp;cqlMode=true&amp;query=idn%3D579464741</v>
      </c>
      <c r="E2716" s="74" t="s">
        <v>2644</v>
      </c>
      <c r="F2716" s="74"/>
      <c r="G2716" s="76"/>
      <c r="H2716" s="77"/>
      <c r="I2716" s="76"/>
      <c r="J2716" s="77"/>
      <c r="K2716" s="77"/>
      <c r="L2716" s="76"/>
      <c r="M2716" s="76"/>
      <c r="N2716" s="76"/>
      <c r="O2716" s="76"/>
      <c r="P2716" s="76"/>
      <c r="Q2716" s="76"/>
      <c r="R2716" s="76"/>
      <c r="S2716" s="76"/>
      <c r="BD2716" s="99">
        <f t="shared" si="87"/>
        <v>0</v>
      </c>
      <c r="CC2716" s="99"/>
      <c r="CV2716" s="99"/>
      <c r="CW2716" s="63"/>
    </row>
    <row r="2717" spans="1:101" x14ac:dyDescent="0.15">
      <c r="A2717" s="76">
        <v>2547</v>
      </c>
      <c r="B2717" s="74" t="s">
        <v>2647</v>
      </c>
      <c r="C2717" s="74">
        <v>997553030</v>
      </c>
      <c r="D2717" s="78" t="str">
        <f t="shared" si="88"/>
        <v>https://portal.dnb.de/opac.htm?method=simpleSearch&amp;cqlMode=true&amp;query=idn%3D997553030</v>
      </c>
      <c r="E2717" s="74" t="s">
        <v>2648</v>
      </c>
      <c r="F2717" s="74"/>
      <c r="G2717" s="76"/>
      <c r="H2717" s="77"/>
      <c r="I2717" s="76"/>
      <c r="J2717" s="77"/>
      <c r="K2717" s="77"/>
      <c r="L2717" s="76"/>
      <c r="M2717" s="76"/>
      <c r="N2717" s="76"/>
      <c r="O2717" s="76"/>
      <c r="P2717" s="76"/>
      <c r="Q2717" s="76"/>
      <c r="R2717" s="76"/>
      <c r="S2717" s="76"/>
      <c r="BD2717" s="99">
        <f t="shared" si="87"/>
        <v>0</v>
      </c>
      <c r="CC2717" s="99"/>
      <c r="CV2717" s="99"/>
      <c r="CW2717" s="63"/>
    </row>
    <row r="2718" spans="1:101" x14ac:dyDescent="0.15">
      <c r="A2718" s="76">
        <v>2548</v>
      </c>
      <c r="B2718" s="74" t="s">
        <v>2649</v>
      </c>
      <c r="C2718" s="74">
        <v>1003363717</v>
      </c>
      <c r="D2718" s="78" t="str">
        <f t="shared" si="88"/>
        <v>https://portal.dnb.de/opac.htm?method=simpleSearch&amp;cqlMode=true&amp;query=idn%3D1003363717</v>
      </c>
      <c r="E2718" s="74" t="s">
        <v>2650</v>
      </c>
      <c r="F2718" s="74"/>
      <c r="G2718" s="76"/>
      <c r="H2718" s="77"/>
      <c r="I2718" s="76"/>
      <c r="J2718" s="77"/>
      <c r="K2718" s="77"/>
      <c r="L2718" s="76"/>
      <c r="M2718" s="76"/>
      <c r="N2718" s="76"/>
      <c r="O2718" s="76"/>
      <c r="P2718" s="76"/>
      <c r="Q2718" s="76"/>
      <c r="R2718" s="76"/>
      <c r="S2718" s="76"/>
      <c r="BD2718" s="99">
        <f t="shared" si="87"/>
        <v>0</v>
      </c>
      <c r="CC2718" s="99"/>
      <c r="CV2718" s="99"/>
      <c r="CW2718" s="63"/>
    </row>
    <row r="2719" spans="1:101" x14ac:dyDescent="0.15">
      <c r="A2719" s="76">
        <v>2549</v>
      </c>
      <c r="B2719" s="74" t="s">
        <v>2651</v>
      </c>
      <c r="C2719" s="74">
        <v>1000303292</v>
      </c>
      <c r="D2719" s="78" t="str">
        <f t="shared" si="88"/>
        <v>https://portal.dnb.de/opac.htm?method=simpleSearch&amp;cqlMode=true&amp;query=idn%3D1000303292</v>
      </c>
      <c r="E2719" s="74" t="s">
        <v>2652</v>
      </c>
      <c r="F2719" s="74"/>
      <c r="G2719" s="76"/>
      <c r="H2719" s="77"/>
      <c r="I2719" s="76"/>
      <c r="J2719" s="77"/>
      <c r="K2719" s="77"/>
      <c r="L2719" s="76"/>
      <c r="M2719" s="76"/>
      <c r="N2719" s="76"/>
      <c r="O2719" s="76"/>
      <c r="P2719" s="76"/>
      <c r="Q2719" s="76"/>
      <c r="R2719" s="76"/>
      <c r="S2719" s="76"/>
      <c r="BD2719" s="99">
        <f t="shared" si="87"/>
        <v>0</v>
      </c>
      <c r="CC2719" s="99"/>
      <c r="CV2719" s="99"/>
      <c r="CW2719" s="63"/>
    </row>
    <row r="2720" spans="1:101" x14ac:dyDescent="0.15">
      <c r="A2720" s="76">
        <v>2550</v>
      </c>
      <c r="B2720" s="74" t="s">
        <v>2653</v>
      </c>
      <c r="C2720" s="74">
        <v>999618016</v>
      </c>
      <c r="D2720" s="78" t="str">
        <f t="shared" si="88"/>
        <v>https://portal.dnb.de/opac.htm?method=simpleSearch&amp;cqlMode=true&amp;query=idn%3D999618016</v>
      </c>
      <c r="E2720" s="74" t="s">
        <v>2654</v>
      </c>
      <c r="F2720" s="74"/>
      <c r="G2720" s="76"/>
      <c r="H2720" s="77"/>
      <c r="I2720" s="76"/>
      <c r="J2720" s="77"/>
      <c r="K2720" s="77"/>
      <c r="L2720" s="76"/>
      <c r="M2720" s="76"/>
      <c r="N2720" s="76"/>
      <c r="O2720" s="76"/>
      <c r="P2720" s="76"/>
      <c r="Q2720" s="76"/>
      <c r="R2720" s="76"/>
      <c r="S2720" s="76"/>
      <c r="BD2720" s="99">
        <f t="shared" si="87"/>
        <v>0</v>
      </c>
      <c r="CC2720" s="99"/>
      <c r="CV2720" s="99"/>
      <c r="CW2720" s="63"/>
    </row>
    <row r="2721" spans="1:101" x14ac:dyDescent="0.15">
      <c r="A2721" s="76">
        <v>2551</v>
      </c>
      <c r="B2721" s="74" t="s">
        <v>2655</v>
      </c>
      <c r="C2721" s="74" t="s">
        <v>2656</v>
      </c>
      <c r="D2721" s="78" t="str">
        <f t="shared" si="88"/>
        <v>https://portal.dnb.de/opac.htm?method=simpleSearch&amp;cqlMode=true&amp;query=idn%3D01312966X</v>
      </c>
      <c r="E2721" s="74" t="s">
        <v>2657</v>
      </c>
      <c r="F2721" s="74"/>
      <c r="G2721" s="76"/>
      <c r="H2721" s="77"/>
      <c r="I2721" s="76"/>
      <c r="J2721" s="77"/>
      <c r="K2721" s="77"/>
      <c r="L2721" s="76"/>
      <c r="M2721" s="76"/>
      <c r="N2721" s="76"/>
      <c r="O2721" s="76"/>
      <c r="P2721" s="76"/>
      <c r="Q2721" s="76"/>
      <c r="R2721" s="76"/>
      <c r="S2721" s="76"/>
      <c r="BD2721" s="99">
        <f t="shared" si="87"/>
        <v>0</v>
      </c>
      <c r="CC2721" s="99"/>
      <c r="CV2721" s="99"/>
      <c r="CW2721" s="63"/>
    </row>
    <row r="2722" spans="1:101" x14ac:dyDescent="0.15">
      <c r="A2722" s="76">
        <v>2552</v>
      </c>
      <c r="B2722" s="74" t="s">
        <v>2658</v>
      </c>
      <c r="C2722" s="74">
        <v>998755486</v>
      </c>
      <c r="D2722" s="78" t="str">
        <f t="shared" si="88"/>
        <v>https://portal.dnb.de/opac.htm?method=simpleSearch&amp;cqlMode=true&amp;query=idn%3D998755486</v>
      </c>
      <c r="E2722" s="74" t="s">
        <v>2657</v>
      </c>
      <c r="F2722" s="74"/>
      <c r="G2722" s="76"/>
      <c r="H2722" s="77"/>
      <c r="I2722" s="76"/>
      <c r="J2722" s="77"/>
      <c r="K2722" s="77"/>
      <c r="L2722" s="76"/>
      <c r="M2722" s="76"/>
      <c r="N2722" s="76"/>
      <c r="O2722" s="76"/>
      <c r="P2722" s="76"/>
      <c r="Q2722" s="76"/>
      <c r="R2722" s="76"/>
      <c r="S2722" s="76"/>
      <c r="BD2722" s="99">
        <f t="shared" si="87"/>
        <v>0</v>
      </c>
      <c r="CC2722" s="99"/>
      <c r="CV2722" s="99"/>
      <c r="CW2722" s="63"/>
    </row>
    <row r="2723" spans="1:101" x14ac:dyDescent="0.15">
      <c r="A2723" s="76">
        <v>2553</v>
      </c>
      <c r="B2723" s="74" t="s">
        <v>2659</v>
      </c>
      <c r="C2723" s="74">
        <v>996568506</v>
      </c>
      <c r="D2723" s="78" t="str">
        <f t="shared" si="88"/>
        <v>https://portal.dnb.de/opac.htm?method=simpleSearch&amp;cqlMode=true&amp;query=idn%3D996568506</v>
      </c>
      <c r="E2723" s="74" t="s">
        <v>2660</v>
      </c>
      <c r="F2723" s="74"/>
      <c r="G2723" s="76"/>
      <c r="H2723" s="77"/>
      <c r="I2723" s="76"/>
      <c r="J2723" s="77"/>
      <c r="K2723" s="77"/>
      <c r="L2723" s="76"/>
      <c r="M2723" s="76"/>
      <c r="N2723" s="76"/>
      <c r="O2723" s="76"/>
      <c r="P2723" s="76"/>
      <c r="Q2723" s="76"/>
      <c r="R2723" s="76"/>
      <c r="S2723" s="76"/>
      <c r="BD2723" s="99">
        <f t="shared" si="87"/>
        <v>0</v>
      </c>
      <c r="CC2723" s="99"/>
      <c r="CV2723" s="99"/>
      <c r="CW2723" s="63"/>
    </row>
    <row r="2724" spans="1:101" x14ac:dyDescent="0.15">
      <c r="A2724" s="76">
        <v>2554</v>
      </c>
      <c r="B2724" s="74" t="s">
        <v>2661</v>
      </c>
      <c r="C2724" s="74">
        <v>996609822</v>
      </c>
      <c r="D2724" s="78" t="str">
        <f t="shared" si="88"/>
        <v>https://portal.dnb.de/opac.htm?method=simpleSearch&amp;cqlMode=true&amp;query=idn%3D996609822</v>
      </c>
      <c r="E2724" s="74" t="s">
        <v>2662</v>
      </c>
      <c r="F2724" s="74"/>
      <c r="G2724" s="76"/>
      <c r="H2724" s="77"/>
      <c r="I2724" s="76"/>
      <c r="J2724" s="77"/>
      <c r="K2724" s="77"/>
      <c r="L2724" s="76"/>
      <c r="M2724" s="76"/>
      <c r="N2724" s="76"/>
      <c r="O2724" s="76"/>
      <c r="P2724" s="76"/>
      <c r="Q2724" s="76"/>
      <c r="R2724" s="76"/>
      <c r="S2724" s="76"/>
      <c r="BD2724" s="99">
        <f t="shared" si="87"/>
        <v>0</v>
      </c>
      <c r="CC2724" s="99"/>
      <c r="CV2724" s="99"/>
      <c r="CW2724" s="63"/>
    </row>
    <row r="2725" spans="1:101" x14ac:dyDescent="0.15">
      <c r="A2725" s="76">
        <v>2555</v>
      </c>
      <c r="B2725" s="74" t="s">
        <v>2663</v>
      </c>
      <c r="C2725" s="74">
        <v>996586008</v>
      </c>
      <c r="D2725" s="78" t="str">
        <f t="shared" si="88"/>
        <v>https://portal.dnb.de/opac.htm?method=simpleSearch&amp;cqlMode=true&amp;query=idn%3D996586008</v>
      </c>
      <c r="E2725" s="74" t="s">
        <v>2664</v>
      </c>
      <c r="F2725" s="74"/>
      <c r="G2725" s="76"/>
      <c r="H2725" s="77"/>
      <c r="I2725" s="76"/>
      <c r="J2725" s="77"/>
      <c r="K2725" s="77"/>
      <c r="L2725" s="76"/>
      <c r="M2725" s="76"/>
      <c r="N2725" s="76"/>
      <c r="O2725" s="76"/>
      <c r="P2725" s="76"/>
      <c r="Q2725" s="76"/>
      <c r="R2725" s="76"/>
      <c r="S2725" s="76"/>
      <c r="BD2725" s="99">
        <f t="shared" si="87"/>
        <v>0</v>
      </c>
      <c r="CC2725" s="99"/>
      <c r="CV2725" s="99"/>
      <c r="CW2725" s="63"/>
    </row>
    <row r="2726" spans="1:101" ht="22.5" x14ac:dyDescent="0.15">
      <c r="A2726" s="76">
        <v>2556</v>
      </c>
      <c r="B2726" s="74" t="s">
        <v>2665</v>
      </c>
      <c r="C2726" s="74">
        <v>996527486</v>
      </c>
      <c r="D2726" s="82" t="str">
        <f>HYPERLINK(CONCATENATE("https://portal.dnb.de/opac.htm?method=simpleSearch&amp;cqlMode=true&amp;query=idn%3D",C2726))</f>
        <v>https://portal.dnb.de/opac.htm?method=simpleSearch&amp;cqlMode=true&amp;query=idn%3D996527486</v>
      </c>
      <c r="E2726" s="74" t="s">
        <v>9342</v>
      </c>
      <c r="F2726" s="74"/>
      <c r="G2726" s="76" t="s">
        <v>8515</v>
      </c>
      <c r="H2726" s="77" t="s">
        <v>18</v>
      </c>
      <c r="I2726" s="76" t="s">
        <v>53</v>
      </c>
      <c r="J2726" s="77" t="s">
        <v>58</v>
      </c>
      <c r="K2726" s="77" t="s">
        <v>84</v>
      </c>
      <c r="L2726" s="76"/>
      <c r="M2726" s="76"/>
      <c r="N2726" s="76"/>
      <c r="O2726" s="76">
        <v>0</v>
      </c>
      <c r="P2726" s="76"/>
      <c r="Q2726" s="76"/>
      <c r="R2726" s="76"/>
      <c r="S2726" s="76"/>
      <c r="BD2726" s="99">
        <f t="shared" si="87"/>
        <v>0</v>
      </c>
      <c r="CC2726" s="99"/>
      <c r="CV2726" s="99"/>
      <c r="CW2726" s="63"/>
    </row>
    <row r="2727" spans="1:101" ht="22.5" x14ac:dyDescent="0.15">
      <c r="A2727" s="76">
        <v>2557</v>
      </c>
      <c r="B2727" s="74" t="s">
        <v>2666</v>
      </c>
      <c r="C2727" s="74">
        <v>996527400</v>
      </c>
      <c r="D2727" s="78" t="str">
        <f t="shared" si="88"/>
        <v>https://portal.dnb.de/opac.htm?method=simpleSearch&amp;cqlMode=true&amp;query=idn%3D996527400</v>
      </c>
      <c r="E2727" s="74" t="s">
        <v>9343</v>
      </c>
      <c r="F2727" s="74"/>
      <c r="G2727" s="76"/>
      <c r="H2727" s="77" t="s">
        <v>18</v>
      </c>
      <c r="I2727" s="76" t="s">
        <v>53</v>
      </c>
      <c r="J2727" s="77" t="s">
        <v>58</v>
      </c>
      <c r="K2727" s="77" t="s">
        <v>84</v>
      </c>
      <c r="L2727" s="76"/>
      <c r="M2727" s="76"/>
      <c r="N2727" s="76"/>
      <c r="O2727" s="76">
        <v>0</v>
      </c>
      <c r="P2727" s="76"/>
      <c r="Q2727" s="76"/>
      <c r="R2727" s="76"/>
      <c r="S2727" s="76"/>
      <c r="BD2727" s="99">
        <f t="shared" si="87"/>
        <v>0</v>
      </c>
      <c r="CC2727" s="99"/>
      <c r="CV2727" s="99"/>
      <c r="CW2727" s="63"/>
    </row>
    <row r="2728" spans="1:101" ht="22.5" x14ac:dyDescent="0.15">
      <c r="A2728" s="76">
        <v>2558</v>
      </c>
      <c r="B2728" s="74" t="s">
        <v>2667</v>
      </c>
      <c r="C2728" s="74">
        <v>996527249</v>
      </c>
      <c r="D2728" s="82" t="str">
        <f>HYPERLINK(CONCATENATE("https://portal.dnb.de/opac.htm?method=simpleSearch&amp;cqlMode=true&amp;query=idn%3D",C2728))</f>
        <v>https://portal.dnb.de/opac.htm?method=simpleSearch&amp;cqlMode=true&amp;query=idn%3D996527249</v>
      </c>
      <c r="E2728" s="74" t="s">
        <v>9344</v>
      </c>
      <c r="F2728" s="74"/>
      <c r="G2728" s="76"/>
      <c r="H2728" s="77" t="s">
        <v>18</v>
      </c>
      <c r="I2728" s="76" t="s">
        <v>53</v>
      </c>
      <c r="J2728" s="77" t="s">
        <v>58</v>
      </c>
      <c r="K2728" s="77" t="s">
        <v>84</v>
      </c>
      <c r="L2728" s="76"/>
      <c r="M2728" s="76"/>
      <c r="N2728" s="76"/>
      <c r="O2728" s="76">
        <v>0</v>
      </c>
      <c r="P2728" s="76"/>
      <c r="Q2728" s="76"/>
      <c r="R2728" s="76"/>
      <c r="S2728" s="76"/>
      <c r="BD2728" s="99">
        <f t="shared" si="87"/>
        <v>0</v>
      </c>
      <c r="CC2728" s="99"/>
      <c r="CV2728" s="99"/>
      <c r="CW2728" s="63"/>
    </row>
    <row r="2729" spans="1:101" ht="22.5" x14ac:dyDescent="0.15">
      <c r="A2729" s="76">
        <v>2559</v>
      </c>
      <c r="B2729" s="74" t="s">
        <v>2668</v>
      </c>
      <c r="C2729" s="74">
        <v>996528083</v>
      </c>
      <c r="D2729" s="82" t="str">
        <f>HYPERLINK(CONCATENATE("https://portal.dnb.de/opac.htm?method=simpleSearch&amp;cqlMode=true&amp;query=idn%3D",C2729))</f>
        <v>https://portal.dnb.de/opac.htm?method=simpleSearch&amp;cqlMode=true&amp;query=idn%3D996528083</v>
      </c>
      <c r="E2729" s="74" t="s">
        <v>9345</v>
      </c>
      <c r="F2729" s="74"/>
      <c r="G2729" s="76" t="s">
        <v>8515</v>
      </c>
      <c r="H2729" s="77" t="s">
        <v>18</v>
      </c>
      <c r="I2729" s="76" t="s">
        <v>53</v>
      </c>
      <c r="J2729" s="77" t="s">
        <v>58</v>
      </c>
      <c r="K2729" s="77" t="s">
        <v>84</v>
      </c>
      <c r="L2729" s="76"/>
      <c r="M2729" s="76"/>
      <c r="N2729" s="76"/>
      <c r="O2729" s="76">
        <v>0</v>
      </c>
      <c r="P2729" s="76"/>
      <c r="Q2729" s="76"/>
      <c r="R2729" s="76"/>
      <c r="S2729" s="76"/>
      <c r="BD2729" s="99">
        <f t="shared" si="87"/>
        <v>0</v>
      </c>
      <c r="CC2729" s="99"/>
      <c r="CV2729" s="99"/>
      <c r="CW2729" s="63"/>
    </row>
    <row r="2730" spans="1:101" ht="22.5" x14ac:dyDescent="0.15">
      <c r="A2730" s="76">
        <v>2560</v>
      </c>
      <c r="B2730" s="74" t="s">
        <v>2669</v>
      </c>
      <c r="C2730" s="74">
        <v>996527664</v>
      </c>
      <c r="D2730" s="82" t="str">
        <f>HYPERLINK(CONCATENATE("https://portal.dnb.de/opac.htm?method=simpleSearch&amp;cqlMode=true&amp;query=idn%3D",C2730))</f>
        <v>https://portal.dnb.de/opac.htm?method=simpleSearch&amp;cqlMode=true&amp;query=idn%3D996527664</v>
      </c>
      <c r="E2730" s="74" t="s">
        <v>9346</v>
      </c>
      <c r="F2730" s="74"/>
      <c r="G2730" s="76"/>
      <c r="H2730" s="77" t="s">
        <v>18</v>
      </c>
      <c r="I2730" s="76" t="s">
        <v>53</v>
      </c>
      <c r="J2730" s="77" t="s">
        <v>58</v>
      </c>
      <c r="K2730" s="77" t="s">
        <v>84</v>
      </c>
      <c r="L2730" s="76"/>
      <c r="M2730" s="76"/>
      <c r="N2730" s="76"/>
      <c r="O2730" s="76">
        <v>0</v>
      </c>
      <c r="P2730" s="76"/>
      <c r="Q2730" s="76"/>
      <c r="R2730" s="76"/>
      <c r="S2730" s="76"/>
      <c r="BD2730" s="99">
        <f t="shared" si="87"/>
        <v>0</v>
      </c>
      <c r="CC2730" s="99"/>
      <c r="CV2730" s="99"/>
      <c r="CW2730" s="63"/>
    </row>
    <row r="2731" spans="1:101" ht="22.5" x14ac:dyDescent="0.15">
      <c r="A2731" s="76">
        <v>2561</v>
      </c>
      <c r="B2731" s="74" t="s">
        <v>2670</v>
      </c>
      <c r="C2731" s="74">
        <v>996527826</v>
      </c>
      <c r="D2731" s="78" t="str">
        <f t="shared" si="88"/>
        <v>https://portal.dnb.de/opac.htm?method=simpleSearch&amp;cqlMode=true&amp;query=idn%3D996527826</v>
      </c>
      <c r="E2731" s="74" t="s">
        <v>9347</v>
      </c>
      <c r="F2731" s="74"/>
      <c r="G2731" s="76" t="s">
        <v>8515</v>
      </c>
      <c r="H2731" s="77" t="s">
        <v>18</v>
      </c>
      <c r="I2731" s="76" t="s">
        <v>53</v>
      </c>
      <c r="J2731" s="77" t="s">
        <v>58</v>
      </c>
      <c r="K2731" s="77" t="s">
        <v>84</v>
      </c>
      <c r="L2731" s="76"/>
      <c r="M2731" s="76"/>
      <c r="N2731" s="76"/>
      <c r="O2731" s="76">
        <v>0</v>
      </c>
      <c r="P2731" s="76"/>
      <c r="Q2731" s="76"/>
      <c r="R2731" s="76"/>
      <c r="S2731" s="76"/>
      <c r="BD2731" s="99">
        <f t="shared" si="87"/>
        <v>0</v>
      </c>
      <c r="CC2731" s="99"/>
      <c r="CV2731" s="99"/>
      <c r="CW2731" s="63"/>
    </row>
    <row r="2732" spans="1:101" ht="22.5" x14ac:dyDescent="0.15">
      <c r="A2732" s="76">
        <v>2562</v>
      </c>
      <c r="B2732" s="74" t="s">
        <v>2671</v>
      </c>
      <c r="C2732" s="74">
        <v>996528202</v>
      </c>
      <c r="D2732" s="82" t="str">
        <f>HYPERLINK(CONCATENATE("https://portal.dnb.de/opac.htm?method=simpleSearch&amp;cqlMode=true&amp;query=idn%3D",C2732))</f>
        <v>https://portal.dnb.de/opac.htm?method=simpleSearch&amp;cqlMode=true&amp;query=idn%3D996528202</v>
      </c>
      <c r="E2732" s="74" t="s">
        <v>9348</v>
      </c>
      <c r="F2732" s="74"/>
      <c r="G2732" s="76" t="s">
        <v>8515</v>
      </c>
      <c r="H2732" s="77" t="s">
        <v>18</v>
      </c>
      <c r="I2732" s="76" t="s">
        <v>53</v>
      </c>
      <c r="J2732" s="77" t="s">
        <v>58</v>
      </c>
      <c r="K2732" s="77" t="s">
        <v>84</v>
      </c>
      <c r="L2732" s="76"/>
      <c r="M2732" s="76"/>
      <c r="N2732" s="76"/>
      <c r="O2732" s="76">
        <v>0</v>
      </c>
      <c r="P2732" s="76"/>
      <c r="Q2732" s="76"/>
      <c r="R2732" s="76"/>
      <c r="S2732" s="76"/>
      <c r="BD2732" s="99">
        <f t="shared" si="87"/>
        <v>0</v>
      </c>
      <c r="CC2732" s="99"/>
      <c r="CV2732" s="99"/>
      <c r="CW2732" s="63"/>
    </row>
    <row r="2733" spans="1:101" ht="22.5" x14ac:dyDescent="0.15">
      <c r="A2733" s="76">
        <v>2563</v>
      </c>
      <c r="B2733" s="74" t="s">
        <v>2672</v>
      </c>
      <c r="C2733" s="74">
        <v>996527958</v>
      </c>
      <c r="D2733" s="82" t="str">
        <f>HYPERLINK(CONCATENATE("https://portal.dnb.de/opac.htm?method=simpleSearch&amp;cqlMode=true&amp;query=idn%3D",C2733))</f>
        <v>https://portal.dnb.de/opac.htm?method=simpleSearch&amp;cqlMode=true&amp;query=idn%3D996527958</v>
      </c>
      <c r="E2733" s="74" t="s">
        <v>9349</v>
      </c>
      <c r="F2733" s="74"/>
      <c r="G2733" s="76"/>
      <c r="H2733" s="77" t="s">
        <v>18</v>
      </c>
      <c r="I2733" s="76" t="s">
        <v>53</v>
      </c>
      <c r="J2733" s="77" t="s">
        <v>58</v>
      </c>
      <c r="K2733" s="77" t="s">
        <v>84</v>
      </c>
      <c r="L2733" s="76"/>
      <c r="M2733" s="76"/>
      <c r="N2733" s="76"/>
      <c r="O2733" s="76">
        <v>0</v>
      </c>
      <c r="P2733" s="76"/>
      <c r="Q2733" s="76"/>
      <c r="R2733" s="76"/>
      <c r="S2733" s="76"/>
      <c r="BD2733" s="99">
        <f t="shared" si="87"/>
        <v>0</v>
      </c>
      <c r="CC2733" s="99"/>
      <c r="CV2733" s="99"/>
      <c r="CW2733" s="63"/>
    </row>
    <row r="2734" spans="1:101" ht="22.5" x14ac:dyDescent="0.15">
      <c r="A2734" s="76">
        <v>2564</v>
      </c>
      <c r="B2734" s="74" t="s">
        <v>2673</v>
      </c>
      <c r="C2734" s="74">
        <v>1129391698</v>
      </c>
      <c r="D2734" s="78" t="str">
        <f t="shared" si="88"/>
        <v>https://portal.dnb.de/opac.htm?method=simpleSearch&amp;cqlMode=true&amp;query=idn%3D1129391698</v>
      </c>
      <c r="E2734" s="74" t="s">
        <v>2674</v>
      </c>
      <c r="F2734" s="74"/>
      <c r="G2734" s="76" t="s">
        <v>8515</v>
      </c>
      <c r="H2734" s="77" t="s">
        <v>18</v>
      </c>
      <c r="I2734" s="76" t="s">
        <v>53</v>
      </c>
      <c r="J2734" s="77" t="s">
        <v>8516</v>
      </c>
      <c r="K2734" s="77" t="s">
        <v>84</v>
      </c>
      <c r="L2734" s="76"/>
      <c r="M2734" s="76" t="s">
        <v>33</v>
      </c>
      <c r="N2734" s="76" t="s">
        <v>40</v>
      </c>
      <c r="O2734" s="76">
        <v>0</v>
      </c>
      <c r="P2734" s="76"/>
      <c r="Q2734" s="76"/>
      <c r="R2734" s="76"/>
      <c r="S2734" s="76"/>
      <c r="BD2734" s="99">
        <f t="shared" si="87"/>
        <v>0</v>
      </c>
      <c r="CC2734" s="99"/>
      <c r="CV2734" s="99"/>
      <c r="CW2734" s="63"/>
    </row>
    <row r="2735" spans="1:101" x14ac:dyDescent="0.15">
      <c r="A2735" s="76">
        <v>2565</v>
      </c>
      <c r="B2735" s="74" t="s">
        <v>2675</v>
      </c>
      <c r="C2735" s="74">
        <v>997667060</v>
      </c>
      <c r="D2735" s="82" t="str">
        <f>HYPERLINK(CONCATENATE("https://portal.dnb.de/opac.htm?method=simpleSearch&amp;cqlMode=true&amp;query=idn%3D",C2735))</f>
        <v>https://portal.dnb.de/opac.htm?method=simpleSearch&amp;cqlMode=true&amp;query=idn%3D997667060</v>
      </c>
      <c r="E2735" s="74" t="s">
        <v>2676</v>
      </c>
      <c r="F2735" s="74"/>
      <c r="G2735" s="76" t="s">
        <v>8515</v>
      </c>
      <c r="H2735" s="77" t="s">
        <v>4</v>
      </c>
      <c r="I2735" s="76" t="s">
        <v>53</v>
      </c>
      <c r="J2735" s="77" t="s">
        <v>58</v>
      </c>
      <c r="K2735" s="77" t="s">
        <v>8520</v>
      </c>
      <c r="L2735" s="76"/>
      <c r="M2735" s="76" t="s">
        <v>36</v>
      </c>
      <c r="N2735" s="76" t="s">
        <v>40</v>
      </c>
      <c r="O2735" s="76">
        <v>1</v>
      </c>
      <c r="P2735" s="76"/>
      <c r="Q2735" s="76"/>
      <c r="R2735" s="76"/>
      <c r="S2735" s="76"/>
      <c r="BD2735" s="99">
        <f t="shared" si="87"/>
        <v>0</v>
      </c>
      <c r="CC2735" s="99"/>
      <c r="CV2735" s="99"/>
      <c r="CW2735" s="63"/>
    </row>
    <row r="2736" spans="1:101" x14ac:dyDescent="0.15">
      <c r="A2736" s="76">
        <v>2566</v>
      </c>
      <c r="B2736" s="74" t="s">
        <v>2704</v>
      </c>
      <c r="C2736" s="74">
        <v>1132646529</v>
      </c>
      <c r="D2736" s="82" t="str">
        <f>HYPERLINK(CONCATENATE("https://portal.dnb.de/opac.htm?method=simpleSearch&amp;cqlMode=true&amp;query=idn%3D",C2736))</f>
        <v>https://portal.dnb.de/opac.htm?method=simpleSearch&amp;cqlMode=true&amp;query=idn%3D1132646529</v>
      </c>
      <c r="E2736" s="74" t="s">
        <v>9312</v>
      </c>
      <c r="F2736" s="74"/>
      <c r="G2736" s="76"/>
      <c r="H2736" s="77"/>
      <c r="I2736" s="76"/>
      <c r="J2736" s="77"/>
      <c r="K2736" s="77"/>
      <c r="L2736" s="76"/>
      <c r="M2736" s="76"/>
      <c r="N2736" s="76"/>
      <c r="O2736" s="76"/>
      <c r="P2736" s="76"/>
      <c r="Q2736" s="76"/>
      <c r="R2736" s="76"/>
      <c r="S2736" s="76"/>
      <c r="BD2736" s="99">
        <f t="shared" si="87"/>
        <v>0</v>
      </c>
      <c r="CC2736" s="99"/>
      <c r="CV2736" s="99"/>
      <c r="CW2736" s="63"/>
    </row>
    <row r="2737" spans="1:101" x14ac:dyDescent="0.15">
      <c r="A2737" s="76">
        <v>2567</v>
      </c>
      <c r="B2737" s="74" t="s">
        <v>2705</v>
      </c>
      <c r="C2737" s="74">
        <v>1132646502</v>
      </c>
      <c r="D2737" s="82" t="str">
        <f>HYPERLINK(CONCATENATE("https://portal.dnb.de/opac.htm?method=simpleSearch&amp;cqlMode=true&amp;query=idn%3D",C2737))</f>
        <v>https://portal.dnb.de/opac.htm?method=simpleSearch&amp;cqlMode=true&amp;query=idn%3D1132646502</v>
      </c>
      <c r="E2737" s="74" t="s">
        <v>9313</v>
      </c>
      <c r="F2737" s="74"/>
      <c r="G2737" s="76"/>
      <c r="H2737" s="77"/>
      <c r="I2737" s="76"/>
      <c r="J2737" s="77"/>
      <c r="K2737" s="77"/>
      <c r="L2737" s="76"/>
      <c r="M2737" s="76"/>
      <c r="N2737" s="76"/>
      <c r="O2737" s="76"/>
      <c r="P2737" s="76"/>
      <c r="Q2737" s="76"/>
      <c r="R2737" s="76"/>
      <c r="S2737" s="76"/>
      <c r="BD2737" s="99">
        <f t="shared" si="87"/>
        <v>0</v>
      </c>
      <c r="CC2737" s="99"/>
      <c r="CV2737" s="99"/>
      <c r="CW2737" s="63"/>
    </row>
    <row r="2738" spans="1:101" x14ac:dyDescent="0.15">
      <c r="A2738" s="76">
        <v>2568</v>
      </c>
      <c r="B2738" s="74" t="s">
        <v>2706</v>
      </c>
      <c r="C2738" s="74">
        <v>1132646499</v>
      </c>
      <c r="D2738" s="82" t="str">
        <f>HYPERLINK(CONCATENATE("https://portal.dnb.de/opac.htm?method=simpleSearch&amp;cqlMode=true&amp;query=idn%3D",C2738))</f>
        <v>https://portal.dnb.de/opac.htm?method=simpleSearch&amp;cqlMode=true&amp;query=idn%3D1132646499</v>
      </c>
      <c r="E2738" s="74" t="s">
        <v>9314</v>
      </c>
      <c r="F2738" s="74"/>
      <c r="G2738" s="76" t="s">
        <v>8515</v>
      </c>
      <c r="H2738" s="77" t="s">
        <v>4</v>
      </c>
      <c r="I2738" s="76" t="s">
        <v>54</v>
      </c>
      <c r="J2738" s="77" t="s">
        <v>58</v>
      </c>
      <c r="K2738" s="77" t="s">
        <v>84</v>
      </c>
      <c r="L2738" s="76"/>
      <c r="M2738" s="76"/>
      <c r="N2738" s="76"/>
      <c r="O2738" s="76">
        <v>1</v>
      </c>
      <c r="P2738" s="76"/>
      <c r="Q2738" s="76" t="s">
        <v>9554</v>
      </c>
      <c r="R2738" s="76"/>
      <c r="S2738" s="76"/>
      <c r="BD2738" s="99">
        <f t="shared" si="87"/>
        <v>0</v>
      </c>
      <c r="CC2738" s="99"/>
      <c r="CV2738" s="99"/>
      <c r="CW2738" s="63"/>
    </row>
    <row r="2739" spans="1:101" x14ac:dyDescent="0.15">
      <c r="A2739" s="76">
        <v>2569</v>
      </c>
      <c r="B2739" s="74" t="s">
        <v>2707</v>
      </c>
      <c r="C2739" s="74">
        <v>932272576</v>
      </c>
      <c r="D2739" s="82" t="str">
        <f>HYPERLINK(CONCATENATE("https://portal.dnb.de/opac.htm?method=simpleSearch&amp;cqlMode=true&amp;query=idn%3D",C2739))</f>
        <v>https://portal.dnb.de/opac.htm?method=simpleSearch&amp;cqlMode=true&amp;query=idn%3D932272576</v>
      </c>
      <c r="E2739" s="74" t="s">
        <v>9325</v>
      </c>
      <c r="F2739" s="74"/>
      <c r="G2739" s="76" t="s">
        <v>8541</v>
      </c>
      <c r="H2739" s="77" t="s">
        <v>4</v>
      </c>
      <c r="I2739" s="76" t="s">
        <v>53</v>
      </c>
      <c r="J2739" s="77" t="s">
        <v>58</v>
      </c>
      <c r="K2739" s="77" t="s">
        <v>84</v>
      </c>
      <c r="L2739" s="76"/>
      <c r="M2739" s="76" t="s">
        <v>36</v>
      </c>
      <c r="N2739" s="76" t="s">
        <v>39</v>
      </c>
      <c r="O2739" s="76">
        <v>0</v>
      </c>
      <c r="P2739" s="76"/>
      <c r="Q2739" s="76"/>
      <c r="R2739" s="76"/>
      <c r="S2739" s="76"/>
      <c r="BD2739" s="99">
        <f t="shared" si="87"/>
        <v>0</v>
      </c>
      <c r="CC2739" s="99"/>
      <c r="CV2739" s="99"/>
      <c r="CW2739" s="63"/>
    </row>
    <row r="2740" spans="1:101" x14ac:dyDescent="0.15">
      <c r="A2740" s="76">
        <v>2570</v>
      </c>
      <c r="B2740" s="74" t="s">
        <v>2708</v>
      </c>
      <c r="C2740" s="74">
        <v>932272568</v>
      </c>
      <c r="D2740" s="78" t="str">
        <f t="shared" si="88"/>
        <v>https://portal.dnb.de/opac.htm?method=simpleSearch&amp;cqlMode=true&amp;query=idn%3D932272568</v>
      </c>
      <c r="E2740" s="74" t="s">
        <v>9326</v>
      </c>
      <c r="F2740" s="74"/>
      <c r="G2740" s="76" t="s">
        <v>8541</v>
      </c>
      <c r="H2740" s="77" t="s">
        <v>4</v>
      </c>
      <c r="I2740" s="76" t="s">
        <v>53</v>
      </c>
      <c r="J2740" s="77" t="s">
        <v>58</v>
      </c>
      <c r="K2740" s="77" t="s">
        <v>84</v>
      </c>
      <c r="L2740" s="76"/>
      <c r="M2740" s="76" t="s">
        <v>36</v>
      </c>
      <c r="N2740" s="76" t="s">
        <v>39</v>
      </c>
      <c r="O2740" s="76">
        <v>0</v>
      </c>
      <c r="P2740" s="76"/>
      <c r="Q2740" s="76"/>
      <c r="R2740" s="76"/>
      <c r="S2740" s="76"/>
      <c r="BD2740" s="99">
        <f t="shared" si="87"/>
        <v>0</v>
      </c>
      <c r="CC2740" s="99"/>
      <c r="CV2740" s="99"/>
      <c r="CW2740" s="63"/>
    </row>
    <row r="2741" spans="1:101" x14ac:dyDescent="0.15">
      <c r="A2741" s="76">
        <v>2571</v>
      </c>
      <c r="B2741" s="74" t="s">
        <v>2709</v>
      </c>
      <c r="C2741" s="74">
        <v>932272657</v>
      </c>
      <c r="D2741" s="78" t="str">
        <f t="shared" si="88"/>
        <v>https://portal.dnb.de/opac.htm?method=simpleSearch&amp;cqlMode=true&amp;query=idn%3D932272657</v>
      </c>
      <c r="E2741" s="74" t="s">
        <v>9327</v>
      </c>
      <c r="F2741" s="74"/>
      <c r="G2741" s="76" t="s">
        <v>8541</v>
      </c>
      <c r="H2741" s="77" t="s">
        <v>4</v>
      </c>
      <c r="I2741" s="76" t="s">
        <v>53</v>
      </c>
      <c r="J2741" s="77" t="s">
        <v>58</v>
      </c>
      <c r="K2741" s="77" t="s">
        <v>84</v>
      </c>
      <c r="L2741" s="76"/>
      <c r="M2741" s="76" t="s">
        <v>36</v>
      </c>
      <c r="N2741" s="76" t="s">
        <v>39</v>
      </c>
      <c r="O2741" s="76">
        <v>0</v>
      </c>
      <c r="P2741" s="76"/>
      <c r="Q2741" s="76"/>
      <c r="R2741" s="76"/>
      <c r="S2741" s="76"/>
      <c r="BD2741" s="99">
        <f t="shared" si="87"/>
        <v>0</v>
      </c>
      <c r="CC2741" s="99"/>
      <c r="CV2741" s="99"/>
      <c r="CW2741" s="63"/>
    </row>
    <row r="2742" spans="1:101" ht="22.5" x14ac:dyDescent="0.15">
      <c r="A2742" s="76">
        <v>2572</v>
      </c>
      <c r="B2742" s="74" t="s">
        <v>2710</v>
      </c>
      <c r="C2742" s="74">
        <v>932272509</v>
      </c>
      <c r="D2742" s="78" t="str">
        <f t="shared" si="88"/>
        <v>https://portal.dnb.de/opac.htm?method=simpleSearch&amp;cqlMode=true&amp;query=idn%3D932272509</v>
      </c>
      <c r="E2742" s="74" t="s">
        <v>9328</v>
      </c>
      <c r="F2742" s="74"/>
      <c r="G2742" s="76" t="s">
        <v>8515</v>
      </c>
      <c r="H2742" s="77" t="s">
        <v>4</v>
      </c>
      <c r="I2742" s="76" t="s">
        <v>53</v>
      </c>
      <c r="J2742" s="77" t="s">
        <v>58</v>
      </c>
      <c r="K2742" s="77" t="s">
        <v>8688</v>
      </c>
      <c r="L2742" s="76"/>
      <c r="M2742" s="76" t="s">
        <v>36</v>
      </c>
      <c r="N2742" s="76" t="s">
        <v>39</v>
      </c>
      <c r="O2742" s="76">
        <v>0</v>
      </c>
      <c r="P2742" s="76"/>
      <c r="Q2742" s="76"/>
      <c r="R2742" s="76"/>
      <c r="S2742" s="76"/>
      <c r="BD2742" s="99">
        <f t="shared" si="87"/>
        <v>0</v>
      </c>
      <c r="CC2742" s="99"/>
      <c r="CV2742" s="99"/>
      <c r="CW2742" s="63"/>
    </row>
    <row r="2743" spans="1:101" x14ac:dyDescent="0.15">
      <c r="A2743" s="76">
        <v>2573</v>
      </c>
      <c r="B2743" s="74" t="s">
        <v>2711</v>
      </c>
      <c r="C2743" s="74">
        <v>932272614</v>
      </c>
      <c r="D2743" s="82" t="str">
        <f>HYPERLINK(CONCATENATE("https://portal.dnb.de/opac.htm?method=simpleSearch&amp;cqlMode=true&amp;query=idn%3D",C2743))</f>
        <v>https://portal.dnb.de/opac.htm?method=simpleSearch&amp;cqlMode=true&amp;query=idn%3D932272614</v>
      </c>
      <c r="E2743" s="74" t="s">
        <v>9329</v>
      </c>
      <c r="F2743" s="74"/>
      <c r="G2743" s="76"/>
      <c r="H2743" s="77" t="s">
        <v>4</v>
      </c>
      <c r="I2743" s="76" t="s">
        <v>53</v>
      </c>
      <c r="J2743" s="77" t="s">
        <v>58</v>
      </c>
      <c r="K2743" s="77" t="s">
        <v>8520</v>
      </c>
      <c r="L2743" s="76"/>
      <c r="M2743" s="76" t="s">
        <v>36</v>
      </c>
      <c r="N2743" s="76" t="s">
        <v>39</v>
      </c>
      <c r="O2743" s="76">
        <v>0</v>
      </c>
      <c r="P2743" s="76"/>
      <c r="Q2743" s="76"/>
      <c r="R2743" s="76"/>
      <c r="S2743" s="76"/>
      <c r="BD2743" s="99">
        <f t="shared" si="87"/>
        <v>0</v>
      </c>
      <c r="CC2743" s="99"/>
      <c r="CV2743" s="99"/>
      <c r="CW2743" s="63"/>
    </row>
    <row r="2744" spans="1:101" x14ac:dyDescent="0.15">
      <c r="A2744" s="76">
        <v>2574</v>
      </c>
      <c r="B2744" s="74" t="s">
        <v>2712</v>
      </c>
      <c r="C2744" s="74">
        <v>932272517</v>
      </c>
      <c r="D2744" s="82" t="str">
        <f>HYPERLINK(CONCATENATE("https://portal.dnb.G2742de/opac.htm?method=simpleSearch&amp;cqlMode=true&amp;query=idn%3D",C2744))</f>
        <v>https://portal.dnb.G2742de/opac.htm?method=simpleSearch&amp;cqlMode=true&amp;query=idn%3D932272517</v>
      </c>
      <c r="E2744" s="74" t="s">
        <v>9340</v>
      </c>
      <c r="F2744" s="74"/>
      <c r="G2744" s="76" t="s">
        <v>8541</v>
      </c>
      <c r="H2744" s="77" t="s">
        <v>4</v>
      </c>
      <c r="I2744" s="76" t="s">
        <v>53</v>
      </c>
      <c r="J2744" s="77" t="s">
        <v>58</v>
      </c>
      <c r="K2744" s="77" t="s">
        <v>8520</v>
      </c>
      <c r="L2744" s="76"/>
      <c r="M2744" s="76" t="s">
        <v>36</v>
      </c>
      <c r="N2744" s="76" t="s">
        <v>39</v>
      </c>
      <c r="O2744" s="76">
        <v>0</v>
      </c>
      <c r="P2744" s="76"/>
      <c r="Q2744" s="76"/>
      <c r="R2744" s="76"/>
      <c r="S2744" s="76"/>
      <c r="BD2744" s="99">
        <f t="shared" si="87"/>
        <v>0</v>
      </c>
      <c r="CC2744" s="99"/>
      <c r="CV2744" s="99"/>
      <c r="CW2744" s="63"/>
    </row>
    <row r="2745" spans="1:101" x14ac:dyDescent="0.15">
      <c r="A2745" s="76">
        <v>2575</v>
      </c>
      <c r="B2745" s="74" t="s">
        <v>2713</v>
      </c>
      <c r="C2745" s="74">
        <v>932272533</v>
      </c>
      <c r="D2745" s="78" t="str">
        <f t="shared" si="88"/>
        <v>https://portal.dnb.de/opac.htm?method=simpleSearch&amp;cqlMode=true&amp;query=idn%3D932272533</v>
      </c>
      <c r="E2745" s="74" t="s">
        <v>9330</v>
      </c>
      <c r="F2745" s="74"/>
      <c r="G2745" s="76" t="s">
        <v>8541</v>
      </c>
      <c r="H2745" s="77" t="s">
        <v>4</v>
      </c>
      <c r="I2745" s="76" t="s">
        <v>53</v>
      </c>
      <c r="J2745" s="77" t="s">
        <v>58</v>
      </c>
      <c r="K2745" s="77" t="s">
        <v>8520</v>
      </c>
      <c r="L2745" s="76"/>
      <c r="M2745" s="76" t="s">
        <v>36</v>
      </c>
      <c r="N2745" s="76" t="s">
        <v>39</v>
      </c>
      <c r="O2745" s="76">
        <v>0</v>
      </c>
      <c r="P2745" s="76"/>
      <c r="Q2745" s="76"/>
      <c r="R2745" s="76"/>
      <c r="S2745" s="76"/>
      <c r="BD2745" s="99">
        <f t="shared" si="87"/>
        <v>0</v>
      </c>
      <c r="CC2745" s="99"/>
      <c r="CV2745" s="99"/>
      <c r="CW2745" s="63"/>
    </row>
    <row r="2746" spans="1:101" x14ac:dyDescent="0.15">
      <c r="A2746" s="76">
        <v>2576</v>
      </c>
      <c r="B2746" s="74" t="s">
        <v>2714</v>
      </c>
      <c r="C2746" s="74">
        <v>932272592</v>
      </c>
      <c r="D2746" s="78" t="str">
        <f t="shared" si="88"/>
        <v>https://portal.dnb.de/opac.htm?method=simpleSearch&amp;cqlMode=true&amp;query=idn%3D932272592</v>
      </c>
      <c r="E2746" s="74" t="s">
        <v>9331</v>
      </c>
      <c r="F2746" s="74"/>
      <c r="G2746" s="76" t="s">
        <v>8541</v>
      </c>
      <c r="H2746" s="77" t="s">
        <v>4</v>
      </c>
      <c r="I2746" s="76" t="s">
        <v>53</v>
      </c>
      <c r="J2746" s="77" t="s">
        <v>58</v>
      </c>
      <c r="K2746" s="77" t="s">
        <v>84</v>
      </c>
      <c r="L2746" s="76"/>
      <c r="M2746" s="76" t="s">
        <v>36</v>
      </c>
      <c r="N2746" s="76" t="s">
        <v>39</v>
      </c>
      <c r="O2746" s="76">
        <v>0</v>
      </c>
      <c r="P2746" s="76"/>
      <c r="Q2746" s="76"/>
      <c r="R2746" s="76"/>
      <c r="S2746" s="76"/>
      <c r="BD2746" s="99">
        <f t="shared" si="87"/>
        <v>0</v>
      </c>
      <c r="CC2746" s="99"/>
      <c r="CV2746" s="99"/>
      <c r="CW2746" s="63"/>
    </row>
    <row r="2747" spans="1:101" x14ac:dyDescent="0.15">
      <c r="A2747" s="76">
        <v>2577</v>
      </c>
      <c r="B2747" s="74" t="s">
        <v>2715</v>
      </c>
      <c r="C2747" s="74">
        <v>932272622</v>
      </c>
      <c r="D2747" s="78" t="str">
        <f t="shared" si="88"/>
        <v>https://portal.dnb.de/opac.htm?method=simpleSearch&amp;cqlMode=true&amp;query=idn%3D932272622</v>
      </c>
      <c r="E2747" s="74" t="s">
        <v>9332</v>
      </c>
      <c r="F2747" s="74"/>
      <c r="G2747" s="76" t="s">
        <v>8541</v>
      </c>
      <c r="H2747" s="77" t="s">
        <v>4</v>
      </c>
      <c r="I2747" s="76" t="s">
        <v>53</v>
      </c>
      <c r="J2747" s="77" t="s">
        <v>58</v>
      </c>
      <c r="K2747" s="77" t="s">
        <v>8520</v>
      </c>
      <c r="L2747" s="76"/>
      <c r="M2747" s="76" t="s">
        <v>36</v>
      </c>
      <c r="N2747" s="76" t="s">
        <v>39</v>
      </c>
      <c r="O2747" s="76">
        <v>0</v>
      </c>
      <c r="P2747" s="76"/>
      <c r="Q2747" s="76"/>
      <c r="R2747" s="76"/>
      <c r="S2747" s="76"/>
      <c r="BD2747" s="99">
        <f t="shared" si="87"/>
        <v>0</v>
      </c>
      <c r="CC2747" s="99"/>
      <c r="CV2747" s="99"/>
      <c r="CW2747" s="63"/>
    </row>
    <row r="2748" spans="1:101" x14ac:dyDescent="0.15">
      <c r="A2748" s="76">
        <v>2578</v>
      </c>
      <c r="B2748" s="74" t="s">
        <v>2716</v>
      </c>
      <c r="C2748" s="74">
        <v>932272649</v>
      </c>
      <c r="D2748" s="78" t="str">
        <f t="shared" si="88"/>
        <v>https://portal.dnb.de/opac.htm?method=simpleSearch&amp;cqlMode=true&amp;query=idn%3D932272649</v>
      </c>
      <c r="E2748" s="74" t="s">
        <v>9333</v>
      </c>
      <c r="F2748" s="74"/>
      <c r="G2748" s="76" t="s">
        <v>8541</v>
      </c>
      <c r="H2748" s="77" t="s">
        <v>17</v>
      </c>
      <c r="I2748" s="76" t="s">
        <v>53</v>
      </c>
      <c r="J2748" s="77" t="s">
        <v>58</v>
      </c>
      <c r="K2748" s="77" t="s">
        <v>84</v>
      </c>
      <c r="L2748" s="76"/>
      <c r="M2748" s="76" t="s">
        <v>36</v>
      </c>
      <c r="N2748" s="76" t="s">
        <v>39</v>
      </c>
      <c r="O2748" s="76">
        <v>0</v>
      </c>
      <c r="P2748" s="76"/>
      <c r="Q2748" s="76"/>
      <c r="R2748" s="76"/>
      <c r="S2748" s="76"/>
      <c r="BD2748" s="99">
        <f t="shared" si="87"/>
        <v>0</v>
      </c>
      <c r="CC2748" s="99"/>
      <c r="CV2748" s="99"/>
      <c r="CW2748" s="63"/>
    </row>
    <row r="2749" spans="1:101" x14ac:dyDescent="0.15">
      <c r="A2749" s="76">
        <v>2579</v>
      </c>
      <c r="B2749" s="74" t="s">
        <v>2717</v>
      </c>
      <c r="C2749" s="74">
        <v>932272584</v>
      </c>
      <c r="D2749" s="78" t="str">
        <f t="shared" si="88"/>
        <v>https://portal.dnb.de/opac.htm?method=simpleSearch&amp;cqlMode=true&amp;query=idn%3D932272584</v>
      </c>
      <c r="E2749" s="74" t="s">
        <v>9334</v>
      </c>
      <c r="F2749" s="74"/>
      <c r="G2749" s="76" t="s">
        <v>8541</v>
      </c>
      <c r="H2749" s="77" t="s">
        <v>4</v>
      </c>
      <c r="I2749" s="76" t="s">
        <v>53</v>
      </c>
      <c r="J2749" s="77" t="s">
        <v>58</v>
      </c>
      <c r="K2749" s="77" t="s">
        <v>84</v>
      </c>
      <c r="L2749" s="76"/>
      <c r="M2749" s="76" t="s">
        <v>36</v>
      </c>
      <c r="N2749" s="76" t="s">
        <v>39</v>
      </c>
      <c r="O2749" s="76">
        <v>0</v>
      </c>
      <c r="P2749" s="76"/>
      <c r="Q2749" s="76"/>
      <c r="R2749" s="76"/>
      <c r="S2749" s="76"/>
      <c r="BD2749" s="99">
        <f t="shared" si="87"/>
        <v>0</v>
      </c>
      <c r="CC2749" s="99"/>
      <c r="CV2749" s="99"/>
      <c r="CW2749" s="63"/>
    </row>
    <row r="2750" spans="1:101" x14ac:dyDescent="0.15">
      <c r="A2750" s="76">
        <v>2580</v>
      </c>
      <c r="B2750" s="74" t="s">
        <v>2718</v>
      </c>
      <c r="C2750" s="74">
        <v>932272665</v>
      </c>
      <c r="D2750" s="78" t="str">
        <f t="shared" si="88"/>
        <v>https://portal.dnb.de/opac.htm?method=simpleSearch&amp;cqlMode=true&amp;query=idn%3D932272665</v>
      </c>
      <c r="E2750" s="74" t="s">
        <v>9335</v>
      </c>
      <c r="F2750" s="74"/>
      <c r="G2750" s="76" t="s">
        <v>8541</v>
      </c>
      <c r="H2750" s="77" t="s">
        <v>4</v>
      </c>
      <c r="I2750" s="76" t="s">
        <v>53</v>
      </c>
      <c r="J2750" s="77" t="s">
        <v>58</v>
      </c>
      <c r="K2750" s="77" t="s">
        <v>84</v>
      </c>
      <c r="L2750" s="76"/>
      <c r="M2750" s="76" t="s">
        <v>36</v>
      </c>
      <c r="N2750" s="76" t="s">
        <v>39</v>
      </c>
      <c r="O2750" s="76">
        <v>0</v>
      </c>
      <c r="P2750" s="76"/>
      <c r="Q2750" s="76"/>
      <c r="R2750" s="76"/>
      <c r="S2750" s="76"/>
      <c r="BD2750" s="99">
        <f t="shared" si="87"/>
        <v>0</v>
      </c>
      <c r="CC2750" s="99"/>
      <c r="CV2750" s="99"/>
      <c r="CW2750" s="63"/>
    </row>
    <row r="2751" spans="1:101" x14ac:dyDescent="0.15">
      <c r="A2751" s="76">
        <v>2581</v>
      </c>
      <c r="B2751" s="74" t="s">
        <v>2719</v>
      </c>
      <c r="C2751" s="74">
        <v>932272630</v>
      </c>
      <c r="D2751" s="78" t="str">
        <f t="shared" si="88"/>
        <v>https://portal.dnb.de/opac.htm?method=simpleSearch&amp;cqlMode=true&amp;query=idn%3D932272630</v>
      </c>
      <c r="E2751" s="74" t="s">
        <v>9336</v>
      </c>
      <c r="F2751" s="74"/>
      <c r="G2751" s="76" t="s">
        <v>8541</v>
      </c>
      <c r="H2751" s="77" t="s">
        <v>4</v>
      </c>
      <c r="I2751" s="76" t="s">
        <v>53</v>
      </c>
      <c r="J2751" s="77" t="s">
        <v>58</v>
      </c>
      <c r="K2751" s="77" t="s">
        <v>8520</v>
      </c>
      <c r="L2751" s="76"/>
      <c r="M2751" s="76" t="s">
        <v>36</v>
      </c>
      <c r="N2751" s="76" t="s">
        <v>39</v>
      </c>
      <c r="O2751" s="76">
        <v>0</v>
      </c>
      <c r="P2751" s="76"/>
      <c r="Q2751" s="76"/>
      <c r="R2751" s="76"/>
      <c r="S2751" s="76"/>
      <c r="BD2751" s="99">
        <f t="shared" si="87"/>
        <v>0</v>
      </c>
      <c r="CC2751" s="99"/>
      <c r="CV2751" s="99"/>
      <c r="CW2751" s="63"/>
    </row>
    <row r="2752" spans="1:101" x14ac:dyDescent="0.15">
      <c r="A2752" s="76">
        <v>2582</v>
      </c>
      <c r="B2752" s="74" t="s">
        <v>2720</v>
      </c>
      <c r="C2752" s="74">
        <v>932272541</v>
      </c>
      <c r="D2752" s="78" t="str">
        <f t="shared" si="88"/>
        <v>https://portal.dnb.de/opac.htm?method=simpleSearch&amp;cqlMode=true&amp;query=idn%3D932272541</v>
      </c>
      <c r="E2752" s="74" t="s">
        <v>9337</v>
      </c>
      <c r="F2752" s="74"/>
      <c r="G2752" s="76" t="s">
        <v>8541</v>
      </c>
      <c r="H2752" s="77" t="s">
        <v>4</v>
      </c>
      <c r="I2752" s="76" t="s">
        <v>53</v>
      </c>
      <c r="J2752" s="77" t="s">
        <v>58</v>
      </c>
      <c r="K2752" s="77" t="s">
        <v>8520</v>
      </c>
      <c r="L2752" s="76"/>
      <c r="M2752" s="76" t="s">
        <v>36</v>
      </c>
      <c r="N2752" s="76" t="s">
        <v>40</v>
      </c>
      <c r="O2752" s="76">
        <v>0</v>
      </c>
      <c r="P2752" s="76"/>
      <c r="Q2752" s="76"/>
      <c r="R2752" s="76"/>
      <c r="S2752" s="76"/>
      <c r="BD2752" s="99">
        <f t="shared" si="87"/>
        <v>0</v>
      </c>
      <c r="CC2752" s="99"/>
      <c r="CV2752" s="99"/>
      <c r="CW2752" s="63"/>
    </row>
    <row r="2753" spans="1:101" x14ac:dyDescent="0.15">
      <c r="A2753" s="76">
        <v>2583</v>
      </c>
      <c r="B2753" s="74" t="s">
        <v>2721</v>
      </c>
      <c r="C2753" s="74">
        <v>932272525</v>
      </c>
      <c r="D2753" s="78" t="str">
        <f t="shared" si="88"/>
        <v>https://portal.dnb.de/opac.htm?method=simpleSearch&amp;cqlMode=true&amp;query=idn%3D932272525</v>
      </c>
      <c r="E2753" s="74" t="s">
        <v>9338</v>
      </c>
      <c r="F2753" s="74"/>
      <c r="G2753" s="76" t="s">
        <v>8541</v>
      </c>
      <c r="H2753" s="77" t="s">
        <v>4</v>
      </c>
      <c r="I2753" s="76" t="s">
        <v>53</v>
      </c>
      <c r="J2753" s="77" t="s">
        <v>58</v>
      </c>
      <c r="K2753" s="77" t="s">
        <v>8520</v>
      </c>
      <c r="L2753" s="76"/>
      <c r="M2753" s="76" t="s">
        <v>36</v>
      </c>
      <c r="N2753" s="76" t="s">
        <v>39</v>
      </c>
      <c r="O2753" s="76">
        <v>0</v>
      </c>
      <c r="P2753" s="76"/>
      <c r="Q2753" s="76"/>
      <c r="R2753" s="76"/>
      <c r="S2753" s="76"/>
      <c r="BD2753" s="99">
        <f t="shared" si="87"/>
        <v>0</v>
      </c>
      <c r="CC2753" s="99"/>
      <c r="CV2753" s="99"/>
      <c r="CW2753" s="63"/>
    </row>
    <row r="2754" spans="1:101" x14ac:dyDescent="0.15">
      <c r="A2754" s="76">
        <v>2584</v>
      </c>
      <c r="B2754" s="74" t="s">
        <v>2722</v>
      </c>
      <c r="C2754" s="74">
        <v>932272606</v>
      </c>
      <c r="D2754" s="78" t="str">
        <f t="shared" si="88"/>
        <v>https://portal.dnb.de/opac.htm?method=simpleSearch&amp;cqlMode=true&amp;query=idn%3D932272606</v>
      </c>
      <c r="E2754" s="74" t="s">
        <v>9339</v>
      </c>
      <c r="F2754" s="74"/>
      <c r="G2754" s="76" t="s">
        <v>8541</v>
      </c>
      <c r="H2754" s="77" t="s">
        <v>4</v>
      </c>
      <c r="I2754" s="76" t="s">
        <v>53</v>
      </c>
      <c r="J2754" s="77" t="s">
        <v>58</v>
      </c>
      <c r="K2754" s="77" t="s">
        <v>8520</v>
      </c>
      <c r="L2754" s="76"/>
      <c r="M2754" s="76" t="s">
        <v>36</v>
      </c>
      <c r="N2754" s="76" t="s">
        <v>39</v>
      </c>
      <c r="O2754" s="76">
        <v>0</v>
      </c>
      <c r="P2754" s="76"/>
      <c r="Q2754" s="76"/>
      <c r="R2754" s="76"/>
      <c r="S2754" s="76"/>
      <c r="BD2754" s="99">
        <f t="shared" si="87"/>
        <v>0</v>
      </c>
      <c r="CC2754" s="99"/>
      <c r="CV2754" s="99"/>
      <c r="CW2754" s="63"/>
    </row>
    <row r="2755" spans="1:101" ht="22.5" x14ac:dyDescent="0.15">
      <c r="A2755" s="76"/>
      <c r="B2755" s="74"/>
      <c r="C2755" s="74"/>
      <c r="D2755" s="78"/>
      <c r="E2755" s="74" t="s">
        <v>9368</v>
      </c>
      <c r="F2755" s="74"/>
      <c r="G2755" s="76"/>
      <c r="H2755" s="77" t="s">
        <v>18</v>
      </c>
      <c r="I2755" s="76" t="s">
        <v>53</v>
      </c>
      <c r="J2755" s="77" t="s">
        <v>58</v>
      </c>
      <c r="K2755" s="77" t="s">
        <v>84</v>
      </c>
      <c r="L2755" s="76"/>
      <c r="M2755" s="76"/>
      <c r="N2755" s="76"/>
      <c r="O2755" s="76">
        <v>1</v>
      </c>
      <c r="P2755" s="76"/>
      <c r="Q2755" s="76"/>
      <c r="R2755" s="76"/>
      <c r="S2755" s="76"/>
      <c r="BD2755" s="99">
        <f t="shared" ref="BD2755:BD2818" si="90">CC2755+CV2755</f>
        <v>0</v>
      </c>
      <c r="CC2755" s="99"/>
      <c r="CV2755" s="99"/>
      <c r="CW2755" s="63"/>
    </row>
    <row r="2756" spans="1:101" ht="22.5" x14ac:dyDescent="0.15">
      <c r="A2756" s="76"/>
      <c r="B2756" s="74"/>
      <c r="C2756" s="74"/>
      <c r="D2756" s="78"/>
      <c r="E2756" s="74" t="s">
        <v>9369</v>
      </c>
      <c r="F2756" s="74"/>
      <c r="G2756" s="76"/>
      <c r="H2756" s="77" t="s">
        <v>18</v>
      </c>
      <c r="I2756" s="76" t="s">
        <v>53</v>
      </c>
      <c r="J2756" s="77" t="s">
        <v>58</v>
      </c>
      <c r="K2756" s="77" t="s">
        <v>84</v>
      </c>
      <c r="L2756" s="76"/>
      <c r="M2756" s="76"/>
      <c r="N2756" s="76"/>
      <c r="O2756" s="76">
        <v>0</v>
      </c>
      <c r="P2756" s="76"/>
      <c r="Q2756" s="76"/>
      <c r="R2756" s="76"/>
      <c r="S2756" s="76"/>
      <c r="BD2756" s="99">
        <f t="shared" si="90"/>
        <v>0</v>
      </c>
      <c r="CC2756" s="99"/>
      <c r="CV2756" s="99"/>
      <c r="CW2756" s="63"/>
    </row>
    <row r="2757" spans="1:101" ht="22.5" x14ac:dyDescent="0.15">
      <c r="A2757" s="76"/>
      <c r="B2757" s="74"/>
      <c r="C2757" s="74"/>
      <c r="D2757" s="78"/>
      <c r="E2757" s="74" t="s">
        <v>9370</v>
      </c>
      <c r="F2757" s="74"/>
      <c r="G2757" s="76"/>
      <c r="H2757" s="77" t="s">
        <v>18</v>
      </c>
      <c r="I2757" s="76" t="s">
        <v>53</v>
      </c>
      <c r="J2757" s="77" t="s">
        <v>58</v>
      </c>
      <c r="K2757" s="77" t="s">
        <v>84</v>
      </c>
      <c r="L2757" s="76"/>
      <c r="M2757" s="76"/>
      <c r="N2757" s="76"/>
      <c r="O2757" s="76">
        <v>1</v>
      </c>
      <c r="P2757" s="76"/>
      <c r="Q2757" s="76"/>
      <c r="R2757" s="76"/>
      <c r="S2757" s="76"/>
      <c r="BD2757" s="99">
        <f t="shared" si="90"/>
        <v>0</v>
      </c>
      <c r="CC2757" s="99"/>
      <c r="CV2757" s="99"/>
      <c r="CW2757" s="63"/>
    </row>
    <row r="2758" spans="1:101" ht="22.5" x14ac:dyDescent="0.15">
      <c r="A2758" s="76"/>
      <c r="B2758" s="74"/>
      <c r="C2758" s="74"/>
      <c r="D2758" s="78"/>
      <c r="E2758" s="74" t="s">
        <v>9371</v>
      </c>
      <c r="F2758" s="74"/>
      <c r="G2758" s="76"/>
      <c r="H2758" s="77" t="s">
        <v>18</v>
      </c>
      <c r="I2758" s="76" t="s">
        <v>53</v>
      </c>
      <c r="J2758" s="77" t="s">
        <v>58</v>
      </c>
      <c r="K2758" s="77" t="s">
        <v>84</v>
      </c>
      <c r="L2758" s="76"/>
      <c r="M2758" s="76"/>
      <c r="N2758" s="76"/>
      <c r="O2758" s="76">
        <v>1</v>
      </c>
      <c r="P2758" s="76"/>
      <c r="Q2758" s="76"/>
      <c r="R2758" s="76"/>
      <c r="S2758" s="76"/>
      <c r="BD2758" s="99">
        <f t="shared" si="90"/>
        <v>0</v>
      </c>
      <c r="CC2758" s="99"/>
      <c r="CV2758" s="99"/>
      <c r="CW2758" s="63"/>
    </row>
    <row r="2759" spans="1:101" ht="22.5" x14ac:dyDescent="0.15">
      <c r="A2759" s="76"/>
      <c r="B2759" s="74"/>
      <c r="C2759" s="74"/>
      <c r="D2759" s="78"/>
      <c r="E2759" s="74" t="s">
        <v>9372</v>
      </c>
      <c r="F2759" s="74"/>
      <c r="G2759" s="76"/>
      <c r="H2759" s="77" t="s">
        <v>18</v>
      </c>
      <c r="I2759" s="76" t="s">
        <v>53</v>
      </c>
      <c r="J2759" s="77" t="s">
        <v>58</v>
      </c>
      <c r="K2759" s="77" t="s">
        <v>84</v>
      </c>
      <c r="L2759" s="76"/>
      <c r="M2759" s="76"/>
      <c r="N2759" s="76"/>
      <c r="O2759" s="76">
        <v>1</v>
      </c>
      <c r="P2759" s="76"/>
      <c r="Q2759" s="76"/>
      <c r="R2759" s="76"/>
      <c r="S2759" s="76"/>
      <c r="BD2759" s="99">
        <f t="shared" si="90"/>
        <v>0</v>
      </c>
      <c r="CC2759" s="99"/>
      <c r="CV2759" s="99"/>
      <c r="CW2759" s="63"/>
    </row>
    <row r="2760" spans="1:101" ht="22.5" x14ac:dyDescent="0.15">
      <c r="A2760" s="76">
        <v>2585</v>
      </c>
      <c r="B2760" s="74" t="s">
        <v>2743</v>
      </c>
      <c r="C2760" s="74">
        <v>1001167872</v>
      </c>
      <c r="D2760" s="82" t="str">
        <f>HYPERLINK(CONCATENATE("https://portal.dnb.de/opac.htm?method=simpleSearch&amp;cqlMode=true&amp;query=idn%3D",C2760))</f>
        <v>https://portal.dnb.de/opac.htm?method=simpleSearch&amp;cqlMode=true&amp;query=idn%3D1001167872</v>
      </c>
      <c r="E2760" s="74" t="s">
        <v>9377</v>
      </c>
      <c r="F2760" s="74"/>
      <c r="G2760" s="76" t="s">
        <v>8515</v>
      </c>
      <c r="H2760" s="77" t="s">
        <v>18</v>
      </c>
      <c r="I2760" s="76" t="s">
        <v>53</v>
      </c>
      <c r="J2760" s="77" t="s">
        <v>58</v>
      </c>
      <c r="K2760" s="77" t="s">
        <v>62</v>
      </c>
      <c r="L2760" s="76"/>
      <c r="M2760" s="76" t="s">
        <v>36</v>
      </c>
      <c r="N2760" s="76" t="s">
        <v>39</v>
      </c>
      <c r="O2760" s="76">
        <v>2</v>
      </c>
      <c r="P2760" s="76"/>
      <c r="Q2760" s="76"/>
      <c r="R2760" s="76"/>
      <c r="S2760" s="76"/>
      <c r="BD2760" s="99">
        <f t="shared" si="90"/>
        <v>0</v>
      </c>
      <c r="CC2760" s="99"/>
      <c r="CV2760" s="99"/>
      <c r="CW2760" s="63"/>
    </row>
    <row r="2761" spans="1:101" x14ac:dyDescent="0.15">
      <c r="A2761" s="76">
        <v>2586</v>
      </c>
      <c r="B2761" s="74" t="s">
        <v>2744</v>
      </c>
      <c r="C2761" s="74">
        <v>1001167929</v>
      </c>
      <c r="D2761" s="82" t="str">
        <f>HYPERLINK(CONCATENATE("https://portal.dnb.de/opac.htm?method=simpleSearch&amp;cqlMode=true&amp;query=idn%3D",C2761))</f>
        <v>https://portal.dnb.de/opac.htm?method=simpleSearch&amp;cqlMode=true&amp;query=idn%3D1001167929</v>
      </c>
      <c r="E2761" s="74" t="s">
        <v>9378</v>
      </c>
      <c r="F2761" s="74"/>
      <c r="G2761" s="76"/>
      <c r="H2761" s="77" t="s">
        <v>4</v>
      </c>
      <c r="I2761" s="76" t="s">
        <v>53</v>
      </c>
      <c r="J2761" s="77" t="s">
        <v>58</v>
      </c>
      <c r="K2761" s="77" t="s">
        <v>84</v>
      </c>
      <c r="L2761" s="76"/>
      <c r="M2761" s="76" t="s">
        <v>36</v>
      </c>
      <c r="N2761" s="76" t="s">
        <v>39</v>
      </c>
      <c r="O2761" s="76">
        <v>1</v>
      </c>
      <c r="P2761" s="76"/>
      <c r="Q2761" s="76"/>
      <c r="R2761" s="76"/>
      <c r="S2761" s="76"/>
      <c r="BD2761" s="99">
        <f t="shared" si="90"/>
        <v>0</v>
      </c>
      <c r="CC2761" s="99"/>
      <c r="CV2761" s="99"/>
      <c r="CW2761" s="63"/>
    </row>
    <row r="2762" spans="1:101" ht="22.5" x14ac:dyDescent="0.15">
      <c r="A2762" s="76">
        <v>2587</v>
      </c>
      <c r="B2762" s="74" t="s">
        <v>2745</v>
      </c>
      <c r="C2762" s="74">
        <v>1000901645</v>
      </c>
      <c r="D2762" s="78" t="str">
        <f t="shared" ref="D2762:D2827" si="91">HYPERLINK(CONCATENATE("https://portal.dnb.de/opac.htm?method=simpleSearch&amp;cqlMode=true&amp;query=idn%3D",C2762))</f>
        <v>https://portal.dnb.de/opac.htm?method=simpleSearch&amp;cqlMode=true&amp;query=idn%3D1000901645</v>
      </c>
      <c r="E2762" s="74" t="s">
        <v>2746</v>
      </c>
      <c r="F2762" s="74"/>
      <c r="G2762" s="76"/>
      <c r="H2762" s="77" t="s">
        <v>47</v>
      </c>
      <c r="I2762" s="76" t="s">
        <v>53</v>
      </c>
      <c r="J2762" s="77" t="s">
        <v>58</v>
      </c>
      <c r="K2762" s="77" t="s">
        <v>8803</v>
      </c>
      <c r="L2762" s="76"/>
      <c r="M2762" s="76" t="s">
        <v>38</v>
      </c>
      <c r="N2762" s="76" t="s">
        <v>40</v>
      </c>
      <c r="O2762" s="76">
        <v>1</v>
      </c>
      <c r="P2762" s="76"/>
      <c r="Q2762" s="76"/>
      <c r="R2762" s="76"/>
      <c r="S2762" s="76"/>
      <c r="BD2762" s="99">
        <f t="shared" si="90"/>
        <v>0</v>
      </c>
      <c r="CC2762" s="99"/>
      <c r="CV2762" s="99"/>
      <c r="CW2762" s="63"/>
    </row>
    <row r="2763" spans="1:101" ht="22.5" x14ac:dyDescent="0.15">
      <c r="A2763" s="76">
        <v>2588</v>
      </c>
      <c r="B2763" s="74" t="s">
        <v>2747</v>
      </c>
      <c r="C2763" s="74">
        <v>994060831</v>
      </c>
      <c r="D2763" s="82" t="str">
        <f>HYPERLINK(CONCATENATE("https://portal.dnb.de/opac.htm?method=simpleSearch&amp;cqlMode=true&amp;query=idn%3D",C2763))</f>
        <v>https://portal.dnb.de/opac.htm?method=simpleSearch&amp;cqlMode=true&amp;query=idn%3D994060831</v>
      </c>
      <c r="E2763" s="74" t="s">
        <v>2748</v>
      </c>
      <c r="F2763" s="74"/>
      <c r="G2763" s="76" t="s">
        <v>8515</v>
      </c>
      <c r="H2763" s="77" t="s">
        <v>18</v>
      </c>
      <c r="I2763" s="76" t="s">
        <v>53</v>
      </c>
      <c r="J2763" s="77" t="s">
        <v>58</v>
      </c>
      <c r="K2763" s="77" t="s">
        <v>84</v>
      </c>
      <c r="L2763" s="76"/>
      <c r="M2763" s="76" t="s">
        <v>36</v>
      </c>
      <c r="N2763" s="76" t="s">
        <v>39</v>
      </c>
      <c r="O2763" s="76">
        <v>0</v>
      </c>
      <c r="P2763" s="76"/>
      <c r="Q2763" s="76"/>
      <c r="R2763" s="76"/>
      <c r="S2763" s="76"/>
      <c r="BD2763" s="99">
        <f t="shared" si="90"/>
        <v>0</v>
      </c>
      <c r="CC2763" s="99"/>
      <c r="CV2763" s="99"/>
      <c r="CW2763" s="63"/>
    </row>
    <row r="2764" spans="1:101" x14ac:dyDescent="0.15">
      <c r="A2764" s="76">
        <v>2589</v>
      </c>
      <c r="B2764" s="74" t="s">
        <v>2749</v>
      </c>
      <c r="C2764" s="74">
        <v>994060866</v>
      </c>
      <c r="D2764" s="82" t="str">
        <f>HYPERLINK(CONCATENATE("https://portal.dnb.de/opac.htm?method=simpleSearch&amp;cqlMode=true&amp;query=idn%3D",C2764))</f>
        <v>https://portal.dnb.de/opac.htm?method=simpleSearch&amp;cqlMode=true&amp;query=idn%3D994060866</v>
      </c>
      <c r="E2764" s="74" t="s">
        <v>9379</v>
      </c>
      <c r="F2764" s="74"/>
      <c r="G2764" s="76"/>
      <c r="H2764" s="77"/>
      <c r="I2764" s="76"/>
      <c r="J2764" s="77"/>
      <c r="K2764" s="77"/>
      <c r="L2764" s="76"/>
      <c r="M2764" s="76"/>
      <c r="N2764" s="76"/>
      <c r="O2764" s="76"/>
      <c r="P2764" s="76"/>
      <c r="Q2764" s="76"/>
      <c r="R2764" s="76"/>
      <c r="S2764" s="76"/>
      <c r="BD2764" s="99">
        <f t="shared" si="90"/>
        <v>0</v>
      </c>
      <c r="CC2764" s="99"/>
      <c r="CV2764" s="99"/>
      <c r="CW2764" s="63"/>
    </row>
    <row r="2765" spans="1:101" ht="22.5" x14ac:dyDescent="0.15">
      <c r="A2765" s="76">
        <v>2590</v>
      </c>
      <c r="B2765" s="74" t="s">
        <v>2750</v>
      </c>
      <c r="C2765" s="74">
        <v>996004998</v>
      </c>
      <c r="D2765" s="78" t="str">
        <f t="shared" si="91"/>
        <v>https://portal.dnb.de/opac.htm?method=simpleSearch&amp;cqlMode=true&amp;query=idn%3D996004998</v>
      </c>
      <c r="E2765" s="74" t="s">
        <v>2751</v>
      </c>
      <c r="F2765" s="74"/>
      <c r="G2765" s="76" t="s">
        <v>8515</v>
      </c>
      <c r="H2765" s="77" t="s">
        <v>18</v>
      </c>
      <c r="I2765" s="76" t="s">
        <v>53</v>
      </c>
      <c r="J2765" s="77" t="s">
        <v>58</v>
      </c>
      <c r="K2765" s="77" t="s">
        <v>84</v>
      </c>
      <c r="L2765" s="76"/>
      <c r="M2765" s="76" t="s">
        <v>36</v>
      </c>
      <c r="N2765" s="76" t="s">
        <v>40</v>
      </c>
      <c r="O2765" s="76">
        <v>2</v>
      </c>
      <c r="P2765" s="76"/>
      <c r="Q2765" s="76"/>
      <c r="R2765" s="76"/>
      <c r="S2765" s="76"/>
      <c r="BD2765" s="99">
        <f t="shared" si="90"/>
        <v>0</v>
      </c>
      <c r="CC2765" s="99"/>
      <c r="CV2765" s="99"/>
      <c r="CW2765" s="63"/>
    </row>
    <row r="2766" spans="1:101" ht="22.5" x14ac:dyDescent="0.15">
      <c r="A2766" s="76">
        <v>2591</v>
      </c>
      <c r="B2766" s="74" t="s">
        <v>2752</v>
      </c>
      <c r="C2766" s="74">
        <v>994507712</v>
      </c>
      <c r="D2766" s="78" t="str">
        <f t="shared" si="91"/>
        <v>https://portal.dnb.de/opac.htm?method=simpleSearch&amp;cqlMode=true&amp;query=idn%3D994507712</v>
      </c>
      <c r="E2766" s="74" t="s">
        <v>2753</v>
      </c>
      <c r="F2766" s="74"/>
      <c r="G2766" s="76" t="s">
        <v>8515</v>
      </c>
      <c r="H2766" s="77" t="s">
        <v>18</v>
      </c>
      <c r="I2766" s="76" t="s">
        <v>53</v>
      </c>
      <c r="J2766" s="77" t="s">
        <v>58</v>
      </c>
      <c r="K2766" s="77" t="s">
        <v>84</v>
      </c>
      <c r="L2766" s="76"/>
      <c r="M2766" s="76" t="s">
        <v>36</v>
      </c>
      <c r="N2766" s="76" t="s">
        <v>40</v>
      </c>
      <c r="O2766" s="76">
        <v>1</v>
      </c>
      <c r="P2766" s="76"/>
      <c r="Q2766" s="76"/>
      <c r="R2766" s="76"/>
      <c r="S2766" s="76"/>
      <c r="BD2766" s="99">
        <f t="shared" si="90"/>
        <v>0</v>
      </c>
      <c r="CC2766" s="99"/>
      <c r="CV2766" s="99"/>
      <c r="CW2766" s="63"/>
    </row>
    <row r="2767" spans="1:101" ht="22.5" x14ac:dyDescent="0.15">
      <c r="A2767" s="76">
        <v>2592</v>
      </c>
      <c r="B2767" s="74" t="s">
        <v>8504</v>
      </c>
      <c r="C2767" s="74">
        <v>1132629675</v>
      </c>
      <c r="D2767" s="78" t="str">
        <f t="shared" si="91"/>
        <v>https://portal.dnb.de/opac.htm?method=simpleSearch&amp;cqlMode=true&amp;query=idn%3D1132629675</v>
      </c>
      <c r="E2767" s="74" t="s">
        <v>9384</v>
      </c>
      <c r="F2767" s="74"/>
      <c r="G2767" s="76" t="s">
        <v>8515</v>
      </c>
      <c r="H2767" s="77" t="s">
        <v>18</v>
      </c>
      <c r="I2767" s="76" t="s">
        <v>53</v>
      </c>
      <c r="J2767" s="77" t="s">
        <v>58</v>
      </c>
      <c r="K2767" s="77" t="s">
        <v>8785</v>
      </c>
      <c r="L2767" s="76"/>
      <c r="M2767" s="76" t="s">
        <v>36</v>
      </c>
      <c r="N2767" s="76" t="s">
        <v>40</v>
      </c>
      <c r="O2767" s="76">
        <v>2</v>
      </c>
      <c r="P2767" s="76"/>
      <c r="Q2767" s="76"/>
      <c r="R2767" s="76"/>
      <c r="S2767" s="76"/>
      <c r="BD2767" s="99">
        <f t="shared" si="90"/>
        <v>0</v>
      </c>
      <c r="CC2767" s="99"/>
      <c r="CV2767" s="99"/>
      <c r="CW2767" s="63"/>
    </row>
    <row r="2768" spans="1:101" x14ac:dyDescent="0.15">
      <c r="A2768" s="76">
        <v>2593</v>
      </c>
      <c r="B2768" s="74" t="s">
        <v>8505</v>
      </c>
      <c r="C2768" s="74">
        <v>1132629721</v>
      </c>
      <c r="D2768" s="82" t="str">
        <f>HYPERLINK(CONCATENATE("https://portal.dnb.de/opac.htm?method=simpleSearch&amp;cqlMode=true&amp;query=idn%3D",C2768))</f>
        <v>https://portal.dnb.de/opac.htm?method=simpleSearch&amp;cqlMode=true&amp;query=idn%3D1132629721</v>
      </c>
      <c r="E2768" s="74" t="s">
        <v>9387</v>
      </c>
      <c r="F2768" s="74"/>
      <c r="G2768" s="76"/>
      <c r="H2768" s="77"/>
      <c r="I2768" s="76"/>
      <c r="J2768" s="77"/>
      <c r="K2768" s="77"/>
      <c r="L2768" s="76"/>
      <c r="M2768" s="76"/>
      <c r="N2768" s="76"/>
      <c r="O2768" s="76"/>
      <c r="P2768" s="76"/>
      <c r="Q2768" s="76"/>
      <c r="R2768" s="76"/>
      <c r="S2768" s="76"/>
      <c r="BD2768" s="99">
        <f t="shared" si="90"/>
        <v>0</v>
      </c>
      <c r="CC2768" s="99"/>
      <c r="CV2768" s="99"/>
      <c r="CW2768" s="63"/>
    </row>
    <row r="2769" spans="1:101" ht="22.5" x14ac:dyDescent="0.15">
      <c r="A2769" s="76">
        <v>2594</v>
      </c>
      <c r="B2769" s="74" t="s">
        <v>8506</v>
      </c>
      <c r="C2769" s="74">
        <v>1132629713</v>
      </c>
      <c r="D2769" s="82" t="str">
        <f>HYPERLINK(CONCATENATE("https://portal.dnb.de/opac.htm?method=simpleSearch&amp;cqlMode=true&amp;query=idn%3D",C2769))</f>
        <v>https://portal.dnb.de/opac.htm?method=simpleSearch&amp;cqlMode=true&amp;query=idn%3D1132629713</v>
      </c>
      <c r="E2769" s="74" t="s">
        <v>9388</v>
      </c>
      <c r="F2769" s="74"/>
      <c r="G2769" s="76" t="s">
        <v>8515</v>
      </c>
      <c r="H2769" s="77" t="s">
        <v>18</v>
      </c>
      <c r="I2769" s="76" t="s">
        <v>53</v>
      </c>
      <c r="J2769" s="77" t="s">
        <v>58</v>
      </c>
      <c r="K2769" s="77" t="s">
        <v>9061</v>
      </c>
      <c r="L2769" s="76"/>
      <c r="M2769" s="76" t="s">
        <v>36</v>
      </c>
      <c r="N2769" s="76" t="s">
        <v>40</v>
      </c>
      <c r="O2769" s="76">
        <v>2</v>
      </c>
      <c r="P2769" s="76"/>
      <c r="Q2769" s="76"/>
      <c r="R2769" s="76"/>
      <c r="S2769" s="76"/>
      <c r="BD2769" s="99">
        <f t="shared" si="90"/>
        <v>0</v>
      </c>
      <c r="CC2769" s="99"/>
      <c r="CV2769" s="99"/>
      <c r="CW2769" s="63"/>
    </row>
    <row r="2770" spans="1:101" x14ac:dyDescent="0.15">
      <c r="A2770" s="76">
        <v>2595</v>
      </c>
      <c r="B2770" s="74" t="s">
        <v>8507</v>
      </c>
      <c r="C2770" s="74">
        <v>1132629683</v>
      </c>
      <c r="D2770" s="82" t="str">
        <f>HYPERLINK(CONCATENATE("https://portal.dnb.de/opac.htm?method=simpleSearch&amp;cqlMode=true&amp;query=idn%3D",C2770))</f>
        <v>https://portal.dnb.de/opac.htm?method=simpleSearch&amp;cqlMode=true&amp;query=idn%3D1132629683</v>
      </c>
      <c r="E2770" s="74" t="s">
        <v>9385</v>
      </c>
      <c r="F2770" s="74"/>
      <c r="G2770" s="76"/>
      <c r="H2770" s="77"/>
      <c r="I2770" s="76"/>
      <c r="J2770" s="77"/>
      <c r="K2770" s="77"/>
      <c r="L2770" s="76"/>
      <c r="M2770" s="76"/>
      <c r="N2770" s="76"/>
      <c r="O2770" s="76"/>
      <c r="P2770" s="76"/>
      <c r="Q2770" s="76"/>
      <c r="R2770" s="76"/>
      <c r="S2770" s="76"/>
      <c r="BD2770" s="99">
        <f t="shared" si="90"/>
        <v>0</v>
      </c>
      <c r="CC2770" s="99"/>
      <c r="CV2770" s="99"/>
      <c r="CW2770" s="63"/>
    </row>
    <row r="2771" spans="1:101" x14ac:dyDescent="0.15">
      <c r="A2771" s="76">
        <v>2596</v>
      </c>
      <c r="B2771" s="74" t="s">
        <v>8508</v>
      </c>
      <c r="C2771" s="74">
        <v>1132629705</v>
      </c>
      <c r="D2771" s="82" t="str">
        <f>HYPERLINK(CONCATENATE("https://portal.dnb.de/opac.htm?method=simpleSearch&amp;cqlMode=true&amp;query=idn%3D",C2771))</f>
        <v>https://portal.dnb.de/opac.htm?method=simpleSearch&amp;cqlMode=true&amp;query=idn%3D1132629705</v>
      </c>
      <c r="E2771" s="74" t="s">
        <v>9386</v>
      </c>
      <c r="F2771" s="74"/>
      <c r="G2771" s="76"/>
      <c r="H2771" s="77"/>
      <c r="I2771" s="76"/>
      <c r="J2771" s="77"/>
      <c r="K2771" s="77"/>
      <c r="L2771" s="76"/>
      <c r="M2771" s="76"/>
      <c r="N2771" s="76"/>
      <c r="O2771" s="76"/>
      <c r="P2771" s="76"/>
      <c r="Q2771" s="76"/>
      <c r="R2771" s="76"/>
      <c r="S2771" s="76"/>
      <c r="BD2771" s="99">
        <f t="shared" si="90"/>
        <v>0</v>
      </c>
      <c r="CC2771" s="99"/>
      <c r="CV2771" s="99"/>
      <c r="CW2771" s="63"/>
    </row>
    <row r="2772" spans="1:101" x14ac:dyDescent="0.15">
      <c r="A2772" s="76">
        <v>2597</v>
      </c>
      <c r="B2772" s="74" t="s">
        <v>2754</v>
      </c>
      <c r="C2772" s="74">
        <v>1066696330</v>
      </c>
      <c r="D2772" s="78" t="str">
        <f t="shared" si="91"/>
        <v>https://portal.dnb.de/opac.htm?method=simpleSearch&amp;cqlMode=true&amp;query=idn%3D1066696330</v>
      </c>
      <c r="E2772" s="74" t="s">
        <v>2755</v>
      </c>
      <c r="F2772" s="74"/>
      <c r="G2772" s="76"/>
      <c r="H2772" s="77" t="s">
        <v>5</v>
      </c>
      <c r="I2772" s="76" t="s">
        <v>53</v>
      </c>
      <c r="J2772" s="77" t="s">
        <v>8516</v>
      </c>
      <c r="K2772" s="77" t="s">
        <v>8520</v>
      </c>
      <c r="L2772" s="76"/>
      <c r="M2772" s="76" t="s">
        <v>36</v>
      </c>
      <c r="N2772" s="76" t="s">
        <v>39</v>
      </c>
      <c r="O2772" s="76">
        <v>0</v>
      </c>
      <c r="P2772" s="76"/>
      <c r="Q2772" s="76" t="s">
        <v>9040</v>
      </c>
      <c r="R2772" s="76"/>
      <c r="S2772" s="76"/>
      <c r="BD2772" s="99">
        <f t="shared" si="90"/>
        <v>0</v>
      </c>
      <c r="CC2772" s="99"/>
      <c r="CV2772" s="99"/>
      <c r="CW2772" s="63"/>
    </row>
    <row r="2773" spans="1:101" ht="33.75" x14ac:dyDescent="0.15">
      <c r="A2773" s="76">
        <v>2598</v>
      </c>
      <c r="B2773" s="74" t="s">
        <v>2756</v>
      </c>
      <c r="C2773" s="74">
        <v>1066862974</v>
      </c>
      <c r="D2773" s="78" t="str">
        <f t="shared" si="91"/>
        <v>https://portal.dnb.de/opac.htm?method=simpleSearch&amp;cqlMode=true&amp;query=idn%3D1066862974</v>
      </c>
      <c r="E2773" s="74" t="s">
        <v>2757</v>
      </c>
      <c r="F2773" s="74"/>
      <c r="G2773" s="76"/>
      <c r="H2773" s="77" t="s">
        <v>5</v>
      </c>
      <c r="I2773" s="76" t="s">
        <v>53</v>
      </c>
      <c r="J2773" s="77" t="s">
        <v>8516</v>
      </c>
      <c r="K2773" s="77" t="s">
        <v>8667</v>
      </c>
      <c r="L2773" s="76"/>
      <c r="M2773" s="76" t="s">
        <v>36</v>
      </c>
      <c r="N2773" s="76" t="s">
        <v>39</v>
      </c>
      <c r="O2773" s="76">
        <v>0</v>
      </c>
      <c r="P2773" s="76"/>
      <c r="Q2773" s="76" t="s">
        <v>9040</v>
      </c>
      <c r="R2773" s="76"/>
      <c r="S2773" s="76"/>
      <c r="BD2773" s="99">
        <f t="shared" si="90"/>
        <v>0</v>
      </c>
      <c r="CC2773" s="99"/>
      <c r="CV2773" s="99"/>
      <c r="CW2773" s="63"/>
    </row>
    <row r="2774" spans="1:101" x14ac:dyDescent="0.15">
      <c r="A2774" s="76">
        <v>2599</v>
      </c>
      <c r="B2774" s="74" t="s">
        <v>2758</v>
      </c>
      <c r="C2774" s="74">
        <v>994404581</v>
      </c>
      <c r="D2774" s="82" t="str">
        <f>HYPERLINK(CONCATENATE("https://portal.dnb.de/opac.htm?method=simpleSearch&amp;cqlMode=true&amp;query=idn%3D",C2774))</f>
        <v>https://portal.dnb.de/opac.htm?method=simpleSearch&amp;cqlMode=true&amp;query=idn%3D994404581</v>
      </c>
      <c r="E2774" s="74" t="s">
        <v>9380</v>
      </c>
      <c r="F2774" s="74"/>
      <c r="G2774" s="76"/>
      <c r="H2774" s="77"/>
      <c r="I2774" s="76"/>
      <c r="J2774" s="77"/>
      <c r="K2774" s="77"/>
      <c r="L2774" s="76"/>
      <c r="M2774" s="76"/>
      <c r="N2774" s="76"/>
      <c r="O2774" s="76"/>
      <c r="P2774" s="76"/>
      <c r="Q2774" s="76"/>
      <c r="R2774" s="76"/>
      <c r="S2774" s="76"/>
      <c r="BD2774" s="99">
        <f t="shared" si="90"/>
        <v>0</v>
      </c>
      <c r="CC2774" s="99"/>
      <c r="CV2774" s="99"/>
      <c r="CW2774" s="63"/>
    </row>
    <row r="2775" spans="1:101" ht="33.75" x14ac:dyDescent="0.15">
      <c r="A2775" s="76">
        <v>2600</v>
      </c>
      <c r="B2775" s="74" t="s">
        <v>2759</v>
      </c>
      <c r="C2775" s="74">
        <v>1002902797</v>
      </c>
      <c r="D2775" s="82" t="str">
        <f>HYPERLINK(CONCATENATE("https://portal.dnb.de/opac.htm?method=simpleSearch&amp;cqlMode=true&amp;query=idn%3D",C2775))</f>
        <v>https://portal.dnb.de/opac.htm?method=simpleSearch&amp;cqlMode=true&amp;query=idn%3D1002902797</v>
      </c>
      <c r="E2775" s="74" t="s">
        <v>9373</v>
      </c>
      <c r="F2775" s="74"/>
      <c r="G2775" s="76" t="s">
        <v>8515</v>
      </c>
      <c r="H2775" s="77" t="s">
        <v>4</v>
      </c>
      <c r="I2775" s="76" t="s">
        <v>53</v>
      </c>
      <c r="J2775" s="77" t="s">
        <v>8516</v>
      </c>
      <c r="K2775" s="77" t="s">
        <v>8667</v>
      </c>
      <c r="L2775" s="76"/>
      <c r="M2775" s="76" t="s">
        <v>38</v>
      </c>
      <c r="N2775" s="76" t="s">
        <v>40</v>
      </c>
      <c r="O2775" s="76">
        <v>0</v>
      </c>
      <c r="P2775" s="76"/>
      <c r="Q2775" s="76"/>
      <c r="R2775" s="76"/>
      <c r="S2775" s="76"/>
      <c r="BD2775" s="99">
        <f t="shared" si="90"/>
        <v>0</v>
      </c>
      <c r="CC2775" s="99"/>
      <c r="CV2775" s="99"/>
      <c r="CW2775" s="63"/>
    </row>
    <row r="2776" spans="1:101" ht="33.75" x14ac:dyDescent="0.15">
      <c r="A2776" s="76">
        <v>2601</v>
      </c>
      <c r="B2776" s="74" t="s">
        <v>2760</v>
      </c>
      <c r="C2776" s="74">
        <v>1002902916</v>
      </c>
      <c r="D2776" s="82" t="str">
        <f>HYPERLINK(CONCATENATE("https://portal.dnb.de/opac.htm?method=simpleSearch&amp;cqlMode=true&amp;query=idn%3D",C2776))</f>
        <v>https://portal.dnb.de/opac.htm?method=simpleSearch&amp;cqlMode=true&amp;query=idn%3D1002902916</v>
      </c>
      <c r="E2776" s="74" t="s">
        <v>9374</v>
      </c>
      <c r="F2776" s="74"/>
      <c r="G2776" s="76"/>
      <c r="H2776" s="77" t="s">
        <v>4</v>
      </c>
      <c r="I2776" s="76" t="s">
        <v>53</v>
      </c>
      <c r="J2776" s="77" t="s">
        <v>8516</v>
      </c>
      <c r="K2776" s="77" t="s">
        <v>9375</v>
      </c>
      <c r="L2776" s="76"/>
      <c r="M2776" s="76" t="s">
        <v>38</v>
      </c>
      <c r="N2776" s="76" t="s">
        <v>40</v>
      </c>
      <c r="O2776" s="76">
        <v>0</v>
      </c>
      <c r="P2776" s="76"/>
      <c r="Q2776" s="76"/>
      <c r="R2776" s="76"/>
      <c r="S2776" s="76"/>
      <c r="BD2776" s="99">
        <f t="shared" si="90"/>
        <v>0</v>
      </c>
      <c r="CC2776" s="99"/>
      <c r="CV2776" s="99"/>
      <c r="CW2776" s="63"/>
    </row>
    <row r="2777" spans="1:101" ht="33.75" x14ac:dyDescent="0.15">
      <c r="A2777" s="76">
        <v>2602</v>
      </c>
      <c r="B2777" s="74" t="s">
        <v>2761</v>
      </c>
      <c r="C2777" s="74">
        <v>1002902835</v>
      </c>
      <c r="D2777" s="82" t="str">
        <f>HYPERLINK(CONCATENATE("https://portal.dnb.de/opac.htm?method=simpleSearch&amp;cqlMode=true&amp;query=idn%3D",C2777))</f>
        <v>https://portal.dnb.de/opac.htm?method=simpleSearch&amp;cqlMode=true&amp;query=idn%3D1002902835</v>
      </c>
      <c r="E2777" s="74" t="s">
        <v>9376</v>
      </c>
      <c r="F2777" s="74"/>
      <c r="G2777" s="76" t="s">
        <v>8515</v>
      </c>
      <c r="H2777" s="77" t="s">
        <v>4</v>
      </c>
      <c r="I2777" s="76" t="s">
        <v>53</v>
      </c>
      <c r="J2777" s="77" t="s">
        <v>8516</v>
      </c>
      <c r="K2777" s="77" t="s">
        <v>9375</v>
      </c>
      <c r="L2777" s="76"/>
      <c r="M2777" s="76" t="s">
        <v>38</v>
      </c>
      <c r="N2777" s="76" t="s">
        <v>40</v>
      </c>
      <c r="O2777" s="76">
        <v>0</v>
      </c>
      <c r="P2777" s="76"/>
      <c r="Q2777" s="76"/>
      <c r="R2777" s="76"/>
      <c r="S2777" s="76"/>
      <c r="BD2777" s="99">
        <f t="shared" si="90"/>
        <v>0</v>
      </c>
      <c r="CC2777" s="99"/>
      <c r="CV2777" s="99"/>
      <c r="CW2777" s="63"/>
    </row>
    <row r="2778" spans="1:101" ht="22.5" x14ac:dyDescent="0.15">
      <c r="A2778" s="76">
        <v>2603</v>
      </c>
      <c r="B2778" s="74" t="s">
        <v>2762</v>
      </c>
      <c r="C2778" s="74">
        <v>994404530</v>
      </c>
      <c r="D2778" s="82" t="str">
        <f>HYPERLINK(CONCATENATE("https://portal.dnb.de/opac.htm?method=simpleSearch&amp;cqlMode=true&amp;query=idn%3D",C2778))</f>
        <v>https://portal.dnb.de/opac.htm?method=simpleSearch&amp;cqlMode=true&amp;query=idn%3D994404530</v>
      </c>
      <c r="E2778" s="74" t="s">
        <v>2763</v>
      </c>
      <c r="F2778" s="74"/>
      <c r="G2778" s="76" t="s">
        <v>8515</v>
      </c>
      <c r="H2778" s="77" t="s">
        <v>18</v>
      </c>
      <c r="I2778" s="76" t="s">
        <v>53</v>
      </c>
      <c r="J2778" s="77" t="s">
        <v>58</v>
      </c>
      <c r="K2778" s="77" t="s">
        <v>8785</v>
      </c>
      <c r="L2778" s="76"/>
      <c r="M2778" s="76"/>
      <c r="N2778" s="76" t="s">
        <v>8660</v>
      </c>
      <c r="O2778" s="76">
        <v>0</v>
      </c>
      <c r="P2778" s="76"/>
      <c r="Q2778" s="76"/>
      <c r="R2778" s="76"/>
      <c r="S2778" s="76"/>
      <c r="BD2778" s="99">
        <f t="shared" si="90"/>
        <v>0</v>
      </c>
      <c r="CC2778" s="99"/>
      <c r="CV2778" s="99"/>
      <c r="CW2778" s="63"/>
    </row>
    <row r="2779" spans="1:101" ht="22.5" x14ac:dyDescent="0.15">
      <c r="A2779" s="76">
        <v>2604</v>
      </c>
      <c r="B2779" s="74" t="s">
        <v>2764</v>
      </c>
      <c r="C2779" s="74">
        <v>998390208</v>
      </c>
      <c r="D2779" s="78" t="str">
        <f t="shared" si="91"/>
        <v>https://portal.dnb.de/opac.htm?method=simpleSearch&amp;cqlMode=true&amp;query=idn%3D998390208</v>
      </c>
      <c r="E2779" s="74" t="s">
        <v>2765</v>
      </c>
      <c r="F2779" s="74"/>
      <c r="G2779" s="76" t="s">
        <v>8515</v>
      </c>
      <c r="H2779" s="77" t="s">
        <v>18</v>
      </c>
      <c r="I2779" s="76" t="s">
        <v>53</v>
      </c>
      <c r="J2779" s="77" t="s">
        <v>8516</v>
      </c>
      <c r="K2779" s="77" t="s">
        <v>9055</v>
      </c>
      <c r="L2779" s="76"/>
      <c r="M2779" s="76"/>
      <c r="N2779" s="76"/>
      <c r="O2779" s="76">
        <v>0</v>
      </c>
      <c r="P2779" s="76"/>
      <c r="Q2779" s="76"/>
      <c r="R2779" s="76"/>
      <c r="S2779" s="76"/>
      <c r="BD2779" s="99">
        <f t="shared" si="90"/>
        <v>0</v>
      </c>
      <c r="CC2779" s="99"/>
      <c r="CV2779" s="99"/>
      <c r="CW2779" s="63"/>
    </row>
    <row r="2780" spans="1:101" ht="22.5" x14ac:dyDescent="0.15">
      <c r="A2780" s="76">
        <v>2605</v>
      </c>
      <c r="B2780" s="74" t="s">
        <v>2766</v>
      </c>
      <c r="C2780" s="74">
        <v>1002333768</v>
      </c>
      <c r="D2780" s="78" t="str">
        <f t="shared" si="91"/>
        <v>https://portal.dnb.de/opac.htm?method=simpleSearch&amp;cqlMode=true&amp;query=idn%3D1002333768</v>
      </c>
      <c r="E2780" s="74" t="s">
        <v>2767</v>
      </c>
      <c r="F2780" s="74"/>
      <c r="G2780" s="76"/>
      <c r="H2780" s="77" t="s">
        <v>18</v>
      </c>
      <c r="I2780" s="76" t="s">
        <v>53</v>
      </c>
      <c r="J2780" s="77" t="s">
        <v>8516</v>
      </c>
      <c r="K2780" s="77" t="s">
        <v>9055</v>
      </c>
      <c r="L2780" s="76"/>
      <c r="M2780" s="76"/>
      <c r="N2780" s="76"/>
      <c r="O2780" s="76">
        <v>0</v>
      </c>
      <c r="P2780" s="76"/>
      <c r="Q2780" s="76"/>
      <c r="R2780" s="76"/>
      <c r="S2780" s="76"/>
      <c r="BD2780" s="99">
        <f t="shared" si="90"/>
        <v>0</v>
      </c>
      <c r="CC2780" s="99"/>
      <c r="CV2780" s="99"/>
      <c r="CW2780" s="63"/>
    </row>
    <row r="2781" spans="1:101" ht="22.5" x14ac:dyDescent="0.15">
      <c r="A2781" s="76">
        <v>2606</v>
      </c>
      <c r="B2781" s="74" t="s">
        <v>2768</v>
      </c>
      <c r="C2781" s="74">
        <v>997089601</v>
      </c>
      <c r="D2781" s="82" t="str">
        <f>HYPERLINK(CONCATENATE("https://portal.dnb.de/opac.htm?method=simpleSearch&amp;cqlMode=true&amp;query=idn%3D",C2781))</f>
        <v>https://portal.dnb.de/opac.htm?method=simpleSearch&amp;cqlMode=true&amp;query=idn%3D997089601</v>
      </c>
      <c r="E2781" s="74" t="s">
        <v>2769</v>
      </c>
      <c r="F2781" s="74"/>
      <c r="G2781" s="76" t="s">
        <v>8515</v>
      </c>
      <c r="H2781" s="77" t="s">
        <v>18</v>
      </c>
      <c r="I2781" s="76" t="s">
        <v>53</v>
      </c>
      <c r="J2781" s="77" t="s">
        <v>58</v>
      </c>
      <c r="K2781" s="77" t="s">
        <v>8577</v>
      </c>
      <c r="L2781" s="76"/>
      <c r="M2781" s="76" t="s">
        <v>36</v>
      </c>
      <c r="N2781" s="76" t="s">
        <v>39</v>
      </c>
      <c r="O2781" s="76">
        <v>0</v>
      </c>
      <c r="P2781" s="76"/>
      <c r="Q2781" s="76"/>
      <c r="R2781" s="76"/>
      <c r="S2781" s="76"/>
      <c r="BD2781" s="99">
        <f t="shared" si="90"/>
        <v>0</v>
      </c>
      <c r="CC2781" s="99"/>
      <c r="CV2781" s="99"/>
      <c r="CW2781" s="63"/>
    </row>
    <row r="2782" spans="1:101" ht="33.75" x14ac:dyDescent="0.15">
      <c r="A2782" s="76">
        <v>2607</v>
      </c>
      <c r="B2782" s="74" t="s">
        <v>2770</v>
      </c>
      <c r="C2782" s="74">
        <v>11742763</v>
      </c>
      <c r="D2782" s="82" t="str">
        <f>HYPERLINK(CONCATENATE("https://portal.dnb.de/opac.htm?method=simpleSearch&amp;cqlMode=true&amp;query=idn%3D",C2782))</f>
        <v>https://portal.dnb.de/opac.htm?method=simpleSearch&amp;cqlMode=true&amp;query=idn%3D11742763</v>
      </c>
      <c r="E2782" s="74" t="s">
        <v>9381</v>
      </c>
      <c r="F2782" s="74"/>
      <c r="G2782" s="76"/>
      <c r="H2782" s="77" t="s">
        <v>4</v>
      </c>
      <c r="I2782" s="76" t="s">
        <v>53</v>
      </c>
      <c r="J2782" s="77" t="s">
        <v>58</v>
      </c>
      <c r="K2782" s="77" t="s">
        <v>8667</v>
      </c>
      <c r="L2782" s="76"/>
      <c r="M2782" s="76" t="s">
        <v>36</v>
      </c>
      <c r="N2782" s="76" t="s">
        <v>39</v>
      </c>
      <c r="O2782" s="76">
        <v>0</v>
      </c>
      <c r="P2782" s="76"/>
      <c r="Q2782" s="76" t="s">
        <v>9032</v>
      </c>
      <c r="R2782" s="76"/>
      <c r="S2782" s="76"/>
      <c r="BD2782" s="99">
        <f t="shared" si="90"/>
        <v>0</v>
      </c>
      <c r="CC2782" s="99"/>
      <c r="CV2782" s="99"/>
      <c r="CW2782" s="63"/>
    </row>
    <row r="2783" spans="1:101" ht="22.5" x14ac:dyDescent="0.15">
      <c r="A2783" s="76"/>
      <c r="B2783" s="74"/>
      <c r="C2783" s="74"/>
      <c r="D2783" s="82"/>
      <c r="E2783" s="74" t="s">
        <v>9382</v>
      </c>
      <c r="F2783" s="74"/>
      <c r="G2783" s="76"/>
      <c r="H2783" s="77" t="s">
        <v>4</v>
      </c>
      <c r="I2783" s="76" t="s">
        <v>53</v>
      </c>
      <c r="J2783" s="77" t="s">
        <v>58</v>
      </c>
      <c r="K2783" s="77" t="s">
        <v>8688</v>
      </c>
      <c r="L2783" s="76"/>
      <c r="M2783" s="76" t="s">
        <v>36</v>
      </c>
      <c r="N2783" s="76" t="s">
        <v>39</v>
      </c>
      <c r="O2783" s="76">
        <v>1</v>
      </c>
      <c r="P2783" s="76"/>
      <c r="Q2783" s="76" t="s">
        <v>9032</v>
      </c>
      <c r="R2783" s="76"/>
      <c r="S2783" s="76"/>
      <c r="BD2783" s="99">
        <f t="shared" si="90"/>
        <v>0</v>
      </c>
      <c r="CC2783" s="99"/>
      <c r="CV2783" s="99"/>
      <c r="CW2783" s="63"/>
    </row>
    <row r="2784" spans="1:101" ht="33.75" x14ac:dyDescent="0.15">
      <c r="A2784" s="76"/>
      <c r="B2784" s="74"/>
      <c r="C2784" s="74"/>
      <c r="D2784" s="82"/>
      <c r="E2784" s="74" t="s">
        <v>9383</v>
      </c>
      <c r="F2784" s="74"/>
      <c r="G2784" s="76"/>
      <c r="H2784" s="77" t="s">
        <v>4</v>
      </c>
      <c r="I2784" s="76" t="s">
        <v>53</v>
      </c>
      <c r="J2784" s="77" t="s">
        <v>58</v>
      </c>
      <c r="K2784" s="77" t="s">
        <v>9352</v>
      </c>
      <c r="L2784" s="76"/>
      <c r="M2784" s="76" t="s">
        <v>36</v>
      </c>
      <c r="N2784" s="76" t="s">
        <v>39</v>
      </c>
      <c r="O2784" s="76">
        <v>2</v>
      </c>
      <c r="P2784" s="76"/>
      <c r="Q2784" s="76" t="s">
        <v>9032</v>
      </c>
      <c r="R2784" s="76"/>
      <c r="S2784" s="76"/>
      <c r="BD2784" s="99">
        <f t="shared" si="90"/>
        <v>0</v>
      </c>
      <c r="CC2784" s="99"/>
      <c r="CV2784" s="99"/>
      <c r="CW2784" s="63"/>
    </row>
    <row r="2785" spans="1:101" x14ac:dyDescent="0.15">
      <c r="A2785" s="76">
        <v>2608</v>
      </c>
      <c r="B2785" s="74" t="s">
        <v>2771</v>
      </c>
      <c r="C2785" s="74">
        <v>994508859</v>
      </c>
      <c r="D2785" s="78" t="str">
        <f t="shared" si="91"/>
        <v>https://portal.dnb.de/opac.htm?method=simpleSearch&amp;cqlMode=true&amp;query=idn%3D994508859</v>
      </c>
      <c r="E2785" s="74" t="s">
        <v>2772</v>
      </c>
      <c r="F2785" s="74"/>
      <c r="G2785" s="76"/>
      <c r="H2785" s="77"/>
      <c r="I2785" s="76"/>
      <c r="J2785" s="77"/>
      <c r="K2785" s="77"/>
      <c r="L2785" s="76"/>
      <c r="M2785" s="76"/>
      <c r="N2785" s="76"/>
      <c r="O2785" s="76"/>
      <c r="P2785" s="76"/>
      <c r="Q2785" s="76"/>
      <c r="R2785" s="76"/>
      <c r="S2785" s="76"/>
      <c r="BD2785" s="99">
        <f t="shared" si="90"/>
        <v>0</v>
      </c>
      <c r="CC2785" s="99"/>
      <c r="CV2785" s="99"/>
      <c r="CW2785" s="63"/>
    </row>
    <row r="2786" spans="1:101" ht="33.75" x14ac:dyDescent="0.15">
      <c r="A2786" s="76">
        <v>2609</v>
      </c>
      <c r="B2786" s="74" t="s">
        <v>2778</v>
      </c>
      <c r="C2786" s="74">
        <v>1001445333</v>
      </c>
      <c r="D2786" s="78" t="str">
        <f t="shared" si="91"/>
        <v>https://portal.dnb.de/opac.htm?method=simpleSearch&amp;cqlMode=true&amp;query=idn%3D1001445333</v>
      </c>
      <c r="E2786" s="74" t="s">
        <v>2779</v>
      </c>
      <c r="F2786" s="74"/>
      <c r="G2786" s="76" t="s">
        <v>8541</v>
      </c>
      <c r="H2786" s="77" t="s">
        <v>5</v>
      </c>
      <c r="I2786" s="76" t="s">
        <v>53</v>
      </c>
      <c r="J2786" s="77" t="s">
        <v>8516</v>
      </c>
      <c r="K2786" s="77" t="s">
        <v>8667</v>
      </c>
      <c r="L2786" s="76"/>
      <c r="M2786" s="76" t="s">
        <v>38</v>
      </c>
      <c r="N2786" s="76" t="s">
        <v>40</v>
      </c>
      <c r="O2786" s="76">
        <v>0</v>
      </c>
      <c r="P2786" s="76"/>
      <c r="Q2786" s="76"/>
      <c r="R2786" s="76"/>
      <c r="S2786" s="76"/>
      <c r="BD2786" s="99">
        <f t="shared" si="90"/>
        <v>0</v>
      </c>
      <c r="CC2786" s="99"/>
      <c r="CV2786" s="99"/>
      <c r="CW2786" s="63"/>
    </row>
    <row r="2787" spans="1:101" ht="22.5" x14ac:dyDescent="0.15">
      <c r="A2787" s="76">
        <v>2610</v>
      </c>
      <c r="B2787" s="74" t="s">
        <v>2780</v>
      </c>
      <c r="C2787" s="74">
        <v>12613657</v>
      </c>
      <c r="D2787" s="78" t="str">
        <f t="shared" si="91"/>
        <v>https://portal.dnb.de/opac.htm?method=simpleSearch&amp;cqlMode=true&amp;query=idn%3D12613657</v>
      </c>
      <c r="E2787" s="74" t="s">
        <v>2781</v>
      </c>
      <c r="F2787" s="74"/>
      <c r="G2787" s="76" t="s">
        <v>8541</v>
      </c>
      <c r="H2787" s="77" t="s">
        <v>18</v>
      </c>
      <c r="I2787" s="76" t="s">
        <v>53</v>
      </c>
      <c r="J2787" s="77" t="s">
        <v>8516</v>
      </c>
      <c r="K2787" s="77" t="s">
        <v>8520</v>
      </c>
      <c r="L2787" s="76"/>
      <c r="M2787" s="76" t="s">
        <v>38</v>
      </c>
      <c r="N2787" s="76" t="s">
        <v>40</v>
      </c>
      <c r="O2787" s="76">
        <v>0</v>
      </c>
      <c r="P2787" s="76"/>
      <c r="Q2787" s="76"/>
      <c r="R2787" s="76"/>
      <c r="S2787" s="76"/>
      <c r="BD2787" s="99">
        <f t="shared" si="90"/>
        <v>0</v>
      </c>
      <c r="CC2787" s="99"/>
      <c r="CV2787" s="99"/>
      <c r="CW2787" s="63"/>
    </row>
    <row r="2788" spans="1:101" x14ac:dyDescent="0.15">
      <c r="A2788" s="76">
        <v>2611</v>
      </c>
      <c r="B2788" s="74" t="s">
        <v>2782</v>
      </c>
      <c r="C2788" s="74" t="s">
        <v>2783</v>
      </c>
      <c r="D2788" s="78" t="str">
        <f t="shared" si="91"/>
        <v>https://portal.dnb.de/opac.htm?method=simpleSearch&amp;cqlMode=true&amp;query=idn%3D99405355X</v>
      </c>
      <c r="E2788" s="74" t="s">
        <v>2784</v>
      </c>
      <c r="F2788" s="74"/>
      <c r="G2788" s="76" t="s">
        <v>8541</v>
      </c>
      <c r="H2788" s="77" t="s">
        <v>48</v>
      </c>
      <c r="I2788" s="76" t="s">
        <v>53</v>
      </c>
      <c r="J2788" s="77" t="s">
        <v>8516</v>
      </c>
      <c r="K2788" s="77" t="s">
        <v>84</v>
      </c>
      <c r="L2788" s="76"/>
      <c r="M2788" s="76"/>
      <c r="N2788" s="76" t="s">
        <v>8660</v>
      </c>
      <c r="O2788" s="76">
        <v>0</v>
      </c>
      <c r="P2788" s="76"/>
      <c r="Q2788" s="76"/>
      <c r="R2788" s="76"/>
      <c r="S2788" s="76"/>
      <c r="BD2788" s="99">
        <f t="shared" si="90"/>
        <v>0</v>
      </c>
      <c r="CC2788" s="99"/>
      <c r="CV2788" s="99"/>
      <c r="CW2788" s="63"/>
    </row>
    <row r="2789" spans="1:101" ht="22.5" x14ac:dyDescent="0.15">
      <c r="A2789" s="76">
        <v>2612</v>
      </c>
      <c r="B2789" s="74" t="s">
        <v>2785</v>
      </c>
      <c r="C2789" s="74">
        <v>1066800669</v>
      </c>
      <c r="D2789" s="78" t="str">
        <f t="shared" si="91"/>
        <v>https://portal.dnb.de/opac.htm?method=simpleSearch&amp;cqlMode=true&amp;query=idn%3D1066800669</v>
      </c>
      <c r="E2789" s="74" t="s">
        <v>2786</v>
      </c>
      <c r="F2789" s="74"/>
      <c r="G2789" s="76"/>
      <c r="H2789" s="77" t="s">
        <v>48</v>
      </c>
      <c r="I2789" s="76" t="s">
        <v>54</v>
      </c>
      <c r="J2789" s="77" t="s">
        <v>89</v>
      </c>
      <c r="K2789" s="77" t="s">
        <v>8564</v>
      </c>
      <c r="L2789" s="76"/>
      <c r="M2789" s="76"/>
      <c r="N2789" s="76"/>
      <c r="O2789" s="76">
        <v>0</v>
      </c>
      <c r="P2789" s="76"/>
      <c r="Q2789" s="76"/>
      <c r="R2789" s="76"/>
      <c r="S2789" s="76"/>
      <c r="BD2789" s="99">
        <f t="shared" si="90"/>
        <v>0</v>
      </c>
      <c r="CC2789" s="99"/>
      <c r="CV2789" s="99"/>
      <c r="CW2789" s="63"/>
    </row>
    <row r="2790" spans="1:101" x14ac:dyDescent="0.15">
      <c r="A2790" s="76">
        <v>2613</v>
      </c>
      <c r="B2790" s="74" t="s">
        <v>2787</v>
      </c>
      <c r="C2790" s="74">
        <v>998373524</v>
      </c>
      <c r="D2790" s="78" t="str">
        <f t="shared" si="91"/>
        <v>https://portal.dnb.de/opac.htm?method=simpleSearch&amp;cqlMode=true&amp;query=idn%3D998373524</v>
      </c>
      <c r="E2790" s="74" t="s">
        <v>2788</v>
      </c>
      <c r="F2790" s="74"/>
      <c r="G2790" s="76"/>
      <c r="H2790" s="77" t="s">
        <v>4</v>
      </c>
      <c r="I2790" s="76" t="s">
        <v>53</v>
      </c>
      <c r="J2790" s="77" t="s">
        <v>58</v>
      </c>
      <c r="K2790" s="77" t="s">
        <v>84</v>
      </c>
      <c r="L2790" s="76"/>
      <c r="M2790" s="76" t="s">
        <v>34</v>
      </c>
      <c r="N2790" s="76" t="s">
        <v>40</v>
      </c>
      <c r="O2790" s="76">
        <v>0</v>
      </c>
      <c r="P2790" s="76"/>
      <c r="Q2790" s="76"/>
      <c r="R2790" s="76"/>
      <c r="S2790" s="76"/>
      <c r="BD2790" s="99">
        <f t="shared" si="90"/>
        <v>0</v>
      </c>
      <c r="CC2790" s="99"/>
      <c r="CV2790" s="99"/>
      <c r="CW2790" s="63"/>
    </row>
    <row r="2791" spans="1:101" x14ac:dyDescent="0.15">
      <c r="A2791" s="76">
        <v>2614</v>
      </c>
      <c r="B2791" s="74" t="s">
        <v>2789</v>
      </c>
      <c r="C2791" s="74">
        <v>994565151</v>
      </c>
      <c r="D2791" s="78" t="str">
        <f t="shared" si="91"/>
        <v>https://portal.dnb.de/opac.htm?method=simpleSearch&amp;cqlMode=true&amp;query=idn%3D994565151</v>
      </c>
      <c r="E2791" s="74" t="s">
        <v>2790</v>
      </c>
      <c r="F2791" s="74"/>
      <c r="G2791" s="76"/>
      <c r="H2791" s="77"/>
      <c r="I2791" s="76"/>
      <c r="J2791" s="77"/>
      <c r="K2791" s="77"/>
      <c r="L2791" s="76"/>
      <c r="M2791" s="76"/>
      <c r="N2791" s="76"/>
      <c r="O2791" s="76"/>
      <c r="P2791" s="76"/>
      <c r="Q2791" s="76"/>
      <c r="R2791" s="76"/>
      <c r="S2791" s="76"/>
      <c r="BD2791" s="99">
        <f t="shared" si="90"/>
        <v>0</v>
      </c>
      <c r="CC2791" s="99"/>
      <c r="CV2791" s="99"/>
      <c r="CW2791" s="63"/>
    </row>
    <row r="2792" spans="1:101" x14ac:dyDescent="0.15">
      <c r="A2792" s="76">
        <v>2615</v>
      </c>
      <c r="B2792" s="74" t="s">
        <v>2791</v>
      </c>
      <c r="C2792" s="74">
        <v>994565097</v>
      </c>
      <c r="D2792" s="78" t="str">
        <f t="shared" si="91"/>
        <v>https://portal.dnb.de/opac.htm?method=simpleSearch&amp;cqlMode=true&amp;query=idn%3D994565097</v>
      </c>
      <c r="E2792" s="74" t="s">
        <v>9392</v>
      </c>
      <c r="F2792" s="74"/>
      <c r="G2792" s="76"/>
      <c r="H2792" s="77" t="s">
        <v>48</v>
      </c>
      <c r="I2792" s="76" t="s">
        <v>54</v>
      </c>
      <c r="J2792" s="77" t="s">
        <v>8516</v>
      </c>
      <c r="K2792" s="77" t="s">
        <v>8520</v>
      </c>
      <c r="L2792" s="76"/>
      <c r="M2792" s="76"/>
      <c r="N2792" s="76" t="s">
        <v>8660</v>
      </c>
      <c r="O2792" s="76">
        <v>0</v>
      </c>
      <c r="P2792" s="76"/>
      <c r="Q2792" s="76" t="s">
        <v>9040</v>
      </c>
      <c r="R2792" s="76"/>
      <c r="S2792" s="76"/>
      <c r="BD2792" s="99">
        <f t="shared" si="90"/>
        <v>0</v>
      </c>
      <c r="CC2792" s="99"/>
      <c r="CV2792" s="99"/>
      <c r="CW2792" s="63"/>
    </row>
    <row r="2793" spans="1:101" x14ac:dyDescent="0.15">
      <c r="A2793" s="76">
        <v>2616</v>
      </c>
      <c r="B2793" s="74" t="s">
        <v>2792</v>
      </c>
      <c r="C2793" s="74">
        <v>994817746</v>
      </c>
      <c r="D2793" s="78" t="str">
        <f t="shared" si="91"/>
        <v>https://portal.dnb.de/opac.htm?method=simpleSearch&amp;cqlMode=true&amp;query=idn%3D994817746</v>
      </c>
      <c r="E2793" s="74" t="s">
        <v>2793</v>
      </c>
      <c r="F2793" s="74"/>
      <c r="G2793" s="76"/>
      <c r="H2793" s="77"/>
      <c r="I2793" s="76"/>
      <c r="J2793" s="77"/>
      <c r="K2793" s="77"/>
      <c r="L2793" s="76"/>
      <c r="M2793" s="76"/>
      <c r="N2793" s="76"/>
      <c r="O2793" s="76"/>
      <c r="P2793" s="76"/>
      <c r="Q2793" s="76"/>
      <c r="R2793" s="76"/>
      <c r="S2793" s="76"/>
      <c r="BD2793" s="99">
        <f t="shared" si="90"/>
        <v>0</v>
      </c>
      <c r="CC2793" s="99"/>
      <c r="CV2793" s="99"/>
      <c r="CW2793" s="63"/>
    </row>
    <row r="2794" spans="1:101" x14ac:dyDescent="0.15">
      <c r="A2794" s="76">
        <v>2617</v>
      </c>
      <c r="B2794" s="74" t="s">
        <v>2794</v>
      </c>
      <c r="C2794" s="74" t="s">
        <v>2795</v>
      </c>
      <c r="D2794" s="78" t="str">
        <f t="shared" si="91"/>
        <v>https://portal.dnb.de/opac.htm?method=simpleSearch&amp;cqlMode=true&amp;query=idn%3D99481772X</v>
      </c>
      <c r="E2794" s="74" t="s">
        <v>2793</v>
      </c>
      <c r="F2794" s="74"/>
      <c r="G2794" s="76"/>
      <c r="H2794" s="77"/>
      <c r="I2794" s="76"/>
      <c r="J2794" s="77"/>
      <c r="K2794" s="77"/>
      <c r="L2794" s="76"/>
      <c r="M2794" s="76"/>
      <c r="N2794" s="76"/>
      <c r="O2794" s="76"/>
      <c r="P2794" s="76"/>
      <c r="Q2794" s="76"/>
      <c r="R2794" s="76"/>
      <c r="S2794" s="76"/>
      <c r="BD2794" s="99">
        <f t="shared" si="90"/>
        <v>0</v>
      </c>
      <c r="CC2794" s="99"/>
      <c r="CV2794" s="99"/>
      <c r="CW2794" s="63"/>
    </row>
    <row r="2795" spans="1:101" ht="33.75" x14ac:dyDescent="0.15">
      <c r="A2795" s="76">
        <v>2618</v>
      </c>
      <c r="B2795" s="74" t="s">
        <v>2796</v>
      </c>
      <c r="C2795" s="74" t="s">
        <v>2797</v>
      </c>
      <c r="D2795" s="78" t="str">
        <f t="shared" si="91"/>
        <v>https://portal.dnb.de/opac.htm?method=simpleSearch&amp;cqlMode=true&amp;query=idn%3D99481769X</v>
      </c>
      <c r="E2795" s="74" t="s">
        <v>2793</v>
      </c>
      <c r="F2795" s="74"/>
      <c r="G2795" s="76"/>
      <c r="H2795" s="77" t="s">
        <v>48</v>
      </c>
      <c r="I2795" s="76" t="s">
        <v>54</v>
      </c>
      <c r="J2795" s="77" t="s">
        <v>8516</v>
      </c>
      <c r="K2795" s="77" t="s">
        <v>9680</v>
      </c>
      <c r="L2795" s="76"/>
      <c r="M2795" s="76"/>
      <c r="N2795" s="76" t="s">
        <v>8660</v>
      </c>
      <c r="O2795" s="76">
        <v>1</v>
      </c>
      <c r="P2795" s="76"/>
      <c r="Q2795" s="76"/>
      <c r="R2795" s="76"/>
      <c r="S2795" s="76"/>
      <c r="BD2795" s="99">
        <f t="shared" si="90"/>
        <v>0</v>
      </c>
      <c r="CC2795" s="99"/>
      <c r="CV2795" s="99"/>
      <c r="CW2795" s="63"/>
    </row>
    <row r="2796" spans="1:101" x14ac:dyDescent="0.15">
      <c r="A2796" s="76">
        <v>2619</v>
      </c>
      <c r="B2796" s="74" t="s">
        <v>2798</v>
      </c>
      <c r="C2796" s="74">
        <v>1000332268</v>
      </c>
      <c r="D2796" s="78" t="str">
        <f t="shared" si="91"/>
        <v>https://portal.dnb.de/opac.htm?method=simpleSearch&amp;cqlMode=true&amp;query=idn%3D1000332268</v>
      </c>
      <c r="E2796" s="74" t="s">
        <v>2799</v>
      </c>
      <c r="F2796" s="74"/>
      <c r="G2796" s="76"/>
      <c r="H2796" s="77" t="s">
        <v>4</v>
      </c>
      <c r="I2796" s="76" t="s">
        <v>53</v>
      </c>
      <c r="J2796" s="77" t="s">
        <v>8516</v>
      </c>
      <c r="K2796" s="77" t="s">
        <v>9393</v>
      </c>
      <c r="L2796" s="76"/>
      <c r="M2796" s="76" t="s">
        <v>36</v>
      </c>
      <c r="N2796" s="76" t="s">
        <v>39</v>
      </c>
      <c r="O2796" s="76">
        <v>0</v>
      </c>
      <c r="P2796" s="76"/>
      <c r="Q2796" s="76"/>
      <c r="R2796" s="76"/>
      <c r="S2796" s="76"/>
      <c r="BD2796" s="99">
        <f t="shared" si="90"/>
        <v>0</v>
      </c>
      <c r="CC2796" s="99"/>
      <c r="CV2796" s="99"/>
      <c r="CW2796" s="63"/>
    </row>
    <row r="2797" spans="1:101" x14ac:dyDescent="0.15">
      <c r="A2797" s="76">
        <v>2620</v>
      </c>
      <c r="B2797" s="74" t="s">
        <v>2800</v>
      </c>
      <c r="C2797" s="74">
        <v>1066675090</v>
      </c>
      <c r="D2797" s="78" t="str">
        <f t="shared" si="91"/>
        <v>https://portal.dnb.de/opac.htm?method=simpleSearch&amp;cqlMode=true&amp;query=idn%3D1066675090</v>
      </c>
      <c r="E2797" s="74" t="s">
        <v>2801</v>
      </c>
      <c r="F2797" s="74"/>
      <c r="G2797" s="76"/>
      <c r="H2797" s="77" t="s">
        <v>49</v>
      </c>
      <c r="I2797" s="76" t="s">
        <v>53</v>
      </c>
      <c r="J2797" s="77" t="s">
        <v>8516</v>
      </c>
      <c r="K2797" s="77" t="s">
        <v>84</v>
      </c>
      <c r="L2797" s="76"/>
      <c r="M2797" s="76" t="s">
        <v>36</v>
      </c>
      <c r="N2797" s="76" t="s">
        <v>39</v>
      </c>
      <c r="O2797" s="76">
        <v>0</v>
      </c>
      <c r="P2797" s="76"/>
      <c r="Q2797" s="76"/>
      <c r="R2797" s="76"/>
      <c r="S2797" s="76"/>
      <c r="BD2797" s="99">
        <f t="shared" si="90"/>
        <v>0</v>
      </c>
      <c r="CC2797" s="99"/>
      <c r="CV2797" s="99"/>
      <c r="CW2797" s="63"/>
    </row>
    <row r="2798" spans="1:101" ht="22.5" x14ac:dyDescent="0.15">
      <c r="A2798" s="76">
        <v>2621</v>
      </c>
      <c r="B2798" s="74" t="s">
        <v>2808</v>
      </c>
      <c r="C2798" s="74" t="s">
        <v>2809</v>
      </c>
      <c r="D2798" s="78" t="str">
        <f t="shared" si="91"/>
        <v>https://portal.dnb.de/opac.htm?method=simpleSearch&amp;cqlMode=true&amp;query=idn%3D99982337X</v>
      </c>
      <c r="E2798" s="74" t="s">
        <v>2810</v>
      </c>
      <c r="F2798" s="74"/>
      <c r="G2798" s="76"/>
      <c r="H2798" s="77" t="s">
        <v>48</v>
      </c>
      <c r="I2798" s="76" t="s">
        <v>53</v>
      </c>
      <c r="J2798" s="77" t="s">
        <v>89</v>
      </c>
      <c r="K2798" s="77" t="s">
        <v>8565</v>
      </c>
      <c r="L2798" s="76"/>
      <c r="M2798" s="76"/>
      <c r="N2798" s="76"/>
      <c r="O2798" s="76">
        <v>0</v>
      </c>
      <c r="P2798" s="76"/>
      <c r="Q2798" s="76"/>
      <c r="R2798" s="76"/>
      <c r="S2798" s="76"/>
      <c r="BD2798" s="99">
        <f t="shared" si="90"/>
        <v>0</v>
      </c>
      <c r="CC2798" s="99"/>
      <c r="CV2798" s="99"/>
      <c r="CW2798" s="63"/>
    </row>
    <row r="2799" spans="1:101" ht="33.75" x14ac:dyDescent="0.15">
      <c r="A2799" s="76">
        <v>2622</v>
      </c>
      <c r="B2799" s="74" t="s">
        <v>2811</v>
      </c>
      <c r="C2799" s="74">
        <v>994719019</v>
      </c>
      <c r="D2799" s="82" t="str">
        <f>HYPERLINK(CONCATENATE("https://portal.dnb.de/opac.htm?method=simpleSearch&amp;cqlMode=true&amp;query=idn%3D",C2799))</f>
        <v>https://portal.dnb.de/opac.htm?method=simpleSearch&amp;cqlMode=true&amp;query=idn%3D994719019</v>
      </c>
      <c r="E2799" s="74" t="s">
        <v>2812</v>
      </c>
      <c r="F2799" s="74"/>
      <c r="G2799" s="76"/>
      <c r="H2799" s="77" t="s">
        <v>5</v>
      </c>
      <c r="I2799" s="76" t="s">
        <v>53</v>
      </c>
      <c r="J2799" s="77" t="s">
        <v>89</v>
      </c>
      <c r="K2799" s="77" t="s">
        <v>8900</v>
      </c>
      <c r="L2799" s="76"/>
      <c r="M2799" s="76" t="s">
        <v>38</v>
      </c>
      <c r="N2799" s="76" t="s">
        <v>40</v>
      </c>
      <c r="O2799" s="76">
        <v>0</v>
      </c>
      <c r="P2799" s="76"/>
      <c r="Q2799" s="76"/>
      <c r="R2799" s="76"/>
      <c r="S2799" s="76"/>
      <c r="BD2799" s="99">
        <f t="shared" si="90"/>
        <v>0</v>
      </c>
      <c r="CC2799" s="99"/>
      <c r="CV2799" s="99"/>
      <c r="CW2799" s="63"/>
    </row>
    <row r="2800" spans="1:101" x14ac:dyDescent="0.15">
      <c r="A2800" s="76">
        <v>2623</v>
      </c>
      <c r="B2800" s="74" t="s">
        <v>2813</v>
      </c>
      <c r="C2800" s="74">
        <v>995982775</v>
      </c>
      <c r="D2800" s="82" t="str">
        <f>HYPERLINK(CONCATENATE("https://portal.dnb.de/opac.htm?method=simpleSearch&amp;cqlMode=true&amp;query=idn%3D",C2800))</f>
        <v>https://portal.dnb.de/opac.htm?method=simpleSearch&amp;cqlMode=true&amp;query=idn%3D995982775</v>
      </c>
      <c r="E2800" s="74" t="s">
        <v>9405</v>
      </c>
      <c r="F2800" s="74"/>
      <c r="G2800" s="76" t="s">
        <v>8515</v>
      </c>
      <c r="H2800" s="77" t="s">
        <v>4</v>
      </c>
      <c r="I2800" s="76" t="s">
        <v>53</v>
      </c>
      <c r="J2800" s="77" t="s">
        <v>58</v>
      </c>
      <c r="K2800" s="77" t="s">
        <v>8520</v>
      </c>
      <c r="L2800" s="76"/>
      <c r="M2800" s="76" t="s">
        <v>36</v>
      </c>
      <c r="N2800" s="76" t="s">
        <v>39</v>
      </c>
      <c r="O2800" s="76">
        <v>1</v>
      </c>
      <c r="P2800" s="76"/>
      <c r="Q2800" s="76"/>
      <c r="R2800" s="76"/>
      <c r="S2800" s="76"/>
      <c r="BD2800" s="99">
        <f t="shared" si="90"/>
        <v>0</v>
      </c>
      <c r="CC2800" s="99"/>
      <c r="CV2800" s="99"/>
      <c r="CW2800" s="63"/>
    </row>
    <row r="2801" spans="1:101" x14ac:dyDescent="0.15">
      <c r="A2801" s="76">
        <v>2624</v>
      </c>
      <c r="B2801" s="74" t="s">
        <v>2814</v>
      </c>
      <c r="C2801" s="74">
        <v>995980446</v>
      </c>
      <c r="D2801" s="82" t="str">
        <f>HYPERLINK(CONCATENATE("https://portal.dnb.de/opac.htm?method=simpleSearch&amp;cqlMode=true&amp;query=idn%3D",C2801))</f>
        <v>https://portal.dnb.de/opac.htm?method=simpleSearch&amp;cqlMode=true&amp;query=idn%3D995980446</v>
      </c>
      <c r="E2801" s="74" t="s">
        <v>9407</v>
      </c>
      <c r="F2801" s="74"/>
      <c r="G2801" s="76"/>
      <c r="H2801" s="77"/>
      <c r="I2801" s="76"/>
      <c r="J2801" s="77"/>
      <c r="K2801" s="77"/>
      <c r="L2801" s="76"/>
      <c r="M2801" s="76"/>
      <c r="N2801" s="76"/>
      <c r="O2801" s="76"/>
      <c r="P2801" s="76"/>
      <c r="Q2801" s="76"/>
      <c r="R2801" s="76"/>
      <c r="S2801" s="76"/>
      <c r="BD2801" s="99">
        <f t="shared" si="90"/>
        <v>0</v>
      </c>
      <c r="CC2801" s="99"/>
      <c r="CV2801" s="99"/>
      <c r="CW2801" s="63"/>
    </row>
    <row r="2802" spans="1:101" x14ac:dyDescent="0.15">
      <c r="A2802" s="76">
        <v>2625</v>
      </c>
      <c r="B2802" s="74" t="s">
        <v>2815</v>
      </c>
      <c r="C2802" s="74">
        <v>995983623</v>
      </c>
      <c r="D2802" s="78" t="str">
        <f t="shared" si="91"/>
        <v>https://portal.dnb.de/opac.htm?method=simpleSearch&amp;cqlMode=true&amp;query=idn%3D995983623</v>
      </c>
      <c r="E2802" s="74" t="s">
        <v>9406</v>
      </c>
      <c r="F2802" s="74"/>
      <c r="G2802" s="76"/>
      <c r="H2802" s="77"/>
      <c r="I2802" s="76"/>
      <c r="J2802" s="77"/>
      <c r="K2802" s="77"/>
      <c r="L2802" s="76"/>
      <c r="M2802" s="76"/>
      <c r="N2802" s="76"/>
      <c r="O2802" s="76"/>
      <c r="P2802" s="76"/>
      <c r="Q2802" s="76"/>
      <c r="R2802" s="76"/>
      <c r="S2802" s="76"/>
      <c r="BD2802" s="99">
        <f t="shared" si="90"/>
        <v>0</v>
      </c>
      <c r="CC2802" s="99"/>
      <c r="CV2802" s="99"/>
      <c r="CW2802" s="63"/>
    </row>
    <row r="2803" spans="1:101" x14ac:dyDescent="0.15">
      <c r="A2803" s="76">
        <v>2626</v>
      </c>
      <c r="B2803" s="74" t="s">
        <v>2816</v>
      </c>
      <c r="C2803" s="74">
        <v>995982775</v>
      </c>
      <c r="D2803" s="78" t="str">
        <f t="shared" si="91"/>
        <v>https://portal.dnb.de/opac.htm?method=simpleSearch&amp;cqlMode=true&amp;query=idn%3D995982775</v>
      </c>
      <c r="E2803" s="74" t="s">
        <v>2817</v>
      </c>
      <c r="F2803" s="74"/>
      <c r="G2803" s="76"/>
      <c r="H2803" s="77" t="s">
        <v>47</v>
      </c>
      <c r="I2803" s="76" t="s">
        <v>53</v>
      </c>
      <c r="J2803" s="77" t="s">
        <v>58</v>
      </c>
      <c r="K2803" s="77"/>
      <c r="L2803" s="76"/>
      <c r="M2803" s="76" t="s">
        <v>36</v>
      </c>
      <c r="N2803" s="76" t="s">
        <v>40</v>
      </c>
      <c r="O2803" s="76">
        <v>3</v>
      </c>
      <c r="P2803" s="76"/>
      <c r="Q2803" s="76"/>
      <c r="R2803" s="76"/>
      <c r="S2803" s="76"/>
      <c r="BD2803" s="99">
        <f t="shared" si="90"/>
        <v>0</v>
      </c>
      <c r="CC2803" s="99"/>
      <c r="CV2803" s="99"/>
      <c r="CW2803" s="63"/>
    </row>
    <row r="2804" spans="1:101" ht="33.75" x14ac:dyDescent="0.15">
      <c r="A2804" s="76">
        <v>2627</v>
      </c>
      <c r="B2804" s="74" t="s">
        <v>2818</v>
      </c>
      <c r="C2804" s="74">
        <v>1132637643</v>
      </c>
      <c r="D2804" s="82" t="str">
        <f>HYPERLINK(CONCATENATE("https://portal.dnb.de/opac.htm?method=simpleSearch&amp;cqlMode=true&amp;query=idn%3D",C2804))</f>
        <v>https://portal.dnb.de/opac.htm?method=simpleSearch&amp;cqlMode=true&amp;query=idn%3D1132637643</v>
      </c>
      <c r="E2804" s="74" t="s">
        <v>9408</v>
      </c>
      <c r="F2804" s="74"/>
      <c r="G2804" s="76"/>
      <c r="H2804" s="77" t="s">
        <v>48</v>
      </c>
      <c r="I2804" s="76" t="s">
        <v>53</v>
      </c>
      <c r="J2804" s="77" t="s">
        <v>89</v>
      </c>
      <c r="K2804" s="77" t="s">
        <v>8663</v>
      </c>
      <c r="L2804" s="76"/>
      <c r="M2804" s="76"/>
      <c r="N2804" s="76"/>
      <c r="O2804" s="76">
        <v>1</v>
      </c>
      <c r="P2804" s="76"/>
      <c r="Q2804" s="76"/>
      <c r="R2804" s="76"/>
      <c r="S2804" s="76"/>
      <c r="BD2804" s="99">
        <f t="shared" si="90"/>
        <v>0</v>
      </c>
      <c r="CC2804" s="99"/>
      <c r="CV2804" s="99"/>
      <c r="CW2804" s="63"/>
    </row>
    <row r="2805" spans="1:101" x14ac:dyDescent="0.15">
      <c r="A2805" s="76">
        <v>2628</v>
      </c>
      <c r="B2805" s="74" t="s">
        <v>2819</v>
      </c>
      <c r="C2805" s="74">
        <v>1132637686</v>
      </c>
      <c r="D2805" s="78" t="str">
        <f t="shared" si="91"/>
        <v>https://portal.dnb.de/opac.htm?method=simpleSearch&amp;cqlMode=true&amp;query=idn%3D1132637686</v>
      </c>
      <c r="E2805" s="74" t="s">
        <v>9412</v>
      </c>
      <c r="F2805" s="74"/>
      <c r="G2805" s="76"/>
      <c r="H2805" s="77"/>
      <c r="I2805" s="76"/>
      <c r="J2805" s="77"/>
      <c r="K2805" s="77"/>
      <c r="L2805" s="76"/>
      <c r="M2805" s="76"/>
      <c r="N2805" s="76"/>
      <c r="O2805" s="76"/>
      <c r="P2805" s="76"/>
      <c r="Q2805" s="76"/>
      <c r="R2805" s="76"/>
      <c r="S2805" s="76"/>
      <c r="BD2805" s="99">
        <f t="shared" si="90"/>
        <v>0</v>
      </c>
      <c r="CC2805" s="99"/>
      <c r="CV2805" s="99"/>
      <c r="CW2805" s="63"/>
    </row>
    <row r="2806" spans="1:101" x14ac:dyDescent="0.15">
      <c r="A2806" s="76">
        <v>2629</v>
      </c>
      <c r="B2806" s="74" t="s">
        <v>2820</v>
      </c>
      <c r="C2806" s="74">
        <v>1132637651</v>
      </c>
      <c r="D2806" s="82" t="str">
        <f>HYPERLINK(CONCATENATE("https://portal.dnb.de/opac.htm?method=simpleSearch&amp;cqlMode=true&amp;query=idn%3D",C2806))</f>
        <v>https://portal.dnb.de/opac.htm?method=simpleSearch&amp;cqlMode=true&amp;query=idn%3D1132637651</v>
      </c>
      <c r="E2806" s="74" t="s">
        <v>9409</v>
      </c>
      <c r="F2806" s="74"/>
      <c r="G2806" s="76"/>
      <c r="H2806" s="77"/>
      <c r="I2806" s="76"/>
      <c r="J2806" s="77"/>
      <c r="K2806" s="77"/>
      <c r="L2806" s="76"/>
      <c r="M2806" s="76"/>
      <c r="N2806" s="76"/>
      <c r="O2806" s="76"/>
      <c r="P2806" s="76"/>
      <c r="Q2806" s="76"/>
      <c r="R2806" s="76"/>
      <c r="S2806" s="76"/>
      <c r="BD2806" s="99">
        <f t="shared" si="90"/>
        <v>0</v>
      </c>
      <c r="CC2806" s="99"/>
      <c r="CV2806" s="99"/>
      <c r="CW2806" s="63"/>
    </row>
    <row r="2807" spans="1:101" ht="33.75" x14ac:dyDescent="0.15">
      <c r="A2807" s="76">
        <v>2630</v>
      </c>
      <c r="B2807" s="74" t="s">
        <v>2821</v>
      </c>
      <c r="C2807" s="74">
        <v>1132637678</v>
      </c>
      <c r="D2807" s="82" t="str">
        <f>HYPERLINK(CONCATENATE("https://portal.dnb.de/opac.htm?method=simpleSearch&amp;cqlMode=true&amp;query=idn%3D",C2807))</f>
        <v>https://portal.dnb.de/opac.htm?method=simpleSearch&amp;cqlMode=true&amp;query=idn%3D1132637678</v>
      </c>
      <c r="E2807" s="74" t="s">
        <v>9410</v>
      </c>
      <c r="F2807" s="74"/>
      <c r="G2807" s="76"/>
      <c r="H2807" s="77" t="s">
        <v>48</v>
      </c>
      <c r="I2807" s="76" t="s">
        <v>53</v>
      </c>
      <c r="J2807" s="77" t="s">
        <v>89</v>
      </c>
      <c r="K2807" s="77" t="s">
        <v>8663</v>
      </c>
      <c r="L2807" s="76"/>
      <c r="M2807" s="76"/>
      <c r="N2807" s="76"/>
      <c r="O2807" s="76">
        <v>0</v>
      </c>
      <c r="P2807" s="76"/>
      <c r="Q2807" s="76"/>
      <c r="R2807" s="76"/>
      <c r="S2807" s="76"/>
      <c r="BD2807" s="99">
        <f t="shared" si="90"/>
        <v>0</v>
      </c>
      <c r="CC2807" s="99"/>
      <c r="CV2807" s="99"/>
      <c r="CW2807" s="63"/>
    </row>
    <row r="2808" spans="1:101" x14ac:dyDescent="0.15">
      <c r="A2808" s="76">
        <v>2631</v>
      </c>
      <c r="B2808" s="74" t="s">
        <v>2822</v>
      </c>
      <c r="C2808" s="74" t="s">
        <v>2823</v>
      </c>
      <c r="D2808" s="82" t="str">
        <f>HYPERLINK(CONCATENATE("https://portal.dnb.de/opac.htm?method=simpleSearch&amp;cqlMode=true&amp;query=idn%3D",C2808))</f>
        <v>https://portal.dnb.de/opac.htm?method=simpleSearch&amp;cqlMode=true&amp;query=idn%3D113263766X</v>
      </c>
      <c r="E2808" s="74" t="s">
        <v>9411</v>
      </c>
      <c r="F2808" s="74"/>
      <c r="G2808" s="76"/>
      <c r="H2808" s="77"/>
      <c r="I2808" s="76"/>
      <c r="J2808" s="77"/>
      <c r="K2808" s="77"/>
      <c r="L2808" s="76"/>
      <c r="M2808" s="76"/>
      <c r="N2808" s="76"/>
      <c r="O2808" s="76"/>
      <c r="P2808" s="76"/>
      <c r="Q2808" s="76"/>
      <c r="R2808" s="76"/>
      <c r="S2808" s="76"/>
      <c r="BD2808" s="99">
        <f t="shared" si="90"/>
        <v>0</v>
      </c>
      <c r="CC2808" s="99"/>
      <c r="CV2808" s="99"/>
      <c r="CW2808" s="63"/>
    </row>
    <row r="2809" spans="1:101" x14ac:dyDescent="0.15">
      <c r="A2809" s="76">
        <v>2632</v>
      </c>
      <c r="B2809" s="74" t="s">
        <v>2824</v>
      </c>
      <c r="C2809" s="74">
        <v>1008603252</v>
      </c>
      <c r="D2809" s="78" t="str">
        <f t="shared" si="91"/>
        <v>https://portal.dnb.de/opac.htm?method=simpleSearch&amp;cqlMode=true&amp;query=idn%3D1008603252</v>
      </c>
      <c r="E2809" s="74" t="s">
        <v>2825</v>
      </c>
      <c r="F2809" s="74"/>
      <c r="G2809" s="76"/>
      <c r="H2809" s="77" t="s">
        <v>17</v>
      </c>
      <c r="I2809" s="76" t="s">
        <v>53</v>
      </c>
      <c r="J2809" s="77" t="s">
        <v>58</v>
      </c>
      <c r="K2809" s="77" t="s">
        <v>8577</v>
      </c>
      <c r="L2809" s="76"/>
      <c r="M2809" s="76" t="s">
        <v>36</v>
      </c>
      <c r="N2809" s="76" t="s">
        <v>40</v>
      </c>
      <c r="O2809" s="76">
        <v>0</v>
      </c>
      <c r="P2809" s="76"/>
      <c r="Q2809" s="76"/>
      <c r="R2809" s="76"/>
      <c r="S2809" s="76"/>
      <c r="BD2809" s="99">
        <f t="shared" si="90"/>
        <v>0</v>
      </c>
      <c r="CC2809" s="99"/>
      <c r="CV2809" s="99"/>
      <c r="CW2809" s="63"/>
    </row>
    <row r="2810" spans="1:101" ht="22.5" x14ac:dyDescent="0.15">
      <c r="A2810" s="76">
        <v>2633</v>
      </c>
      <c r="B2810" s="74" t="s">
        <v>2826</v>
      </c>
      <c r="C2810" s="74">
        <v>1024218619</v>
      </c>
      <c r="D2810" s="82" t="str">
        <f>HYPERLINK(CONCATENATE("https://portal.dnb.de/opac.htm?method=simpleSearch&amp;cqlMode=true&amp;query=idn%3D",C2810))</f>
        <v>https://portal.dnb.de/opac.htm?method=simpleSearch&amp;cqlMode=true&amp;query=idn%3D1024218619</v>
      </c>
      <c r="E2810" s="74" t="s">
        <v>2827</v>
      </c>
      <c r="F2810" s="74"/>
      <c r="G2810" s="76" t="s">
        <v>8515</v>
      </c>
      <c r="H2810" s="77" t="s">
        <v>48</v>
      </c>
      <c r="I2810" s="76" t="s">
        <v>53</v>
      </c>
      <c r="J2810" s="77" t="s">
        <v>58</v>
      </c>
      <c r="K2810" s="77" t="s">
        <v>8564</v>
      </c>
      <c r="L2810" s="76"/>
      <c r="M2810" s="76"/>
      <c r="N2810" s="76"/>
      <c r="O2810" s="76">
        <v>1</v>
      </c>
      <c r="P2810" s="76"/>
      <c r="Q2810" s="76"/>
      <c r="R2810" s="76"/>
      <c r="S2810" s="76"/>
      <c r="BD2810" s="99">
        <f t="shared" si="90"/>
        <v>0</v>
      </c>
      <c r="CC2810" s="99"/>
      <c r="CV2810" s="99"/>
      <c r="CW2810" s="63"/>
    </row>
    <row r="2811" spans="1:101" ht="22.5" x14ac:dyDescent="0.15">
      <c r="A2811" s="76">
        <v>2634</v>
      </c>
      <c r="B2811" s="74" t="s">
        <v>2828</v>
      </c>
      <c r="C2811" s="74">
        <v>1037661877</v>
      </c>
      <c r="D2811" s="82" t="str">
        <f>HYPERLINK(CONCATENATE("https://portal.dnb.de/opac.htm?method=simpleSearch&amp;cqlMode=true&amp;query=idn%3D",C2811))</f>
        <v>https://portal.dnb.de/opac.htm?method=simpleSearch&amp;cqlMode=true&amp;query=idn%3D1037661877</v>
      </c>
      <c r="E2811" s="74" t="s">
        <v>2829</v>
      </c>
      <c r="F2811" s="74"/>
      <c r="G2811" s="76" t="s">
        <v>8515</v>
      </c>
      <c r="H2811" s="77" t="s">
        <v>49</v>
      </c>
      <c r="I2811" s="76" t="s">
        <v>54</v>
      </c>
      <c r="J2811" s="77" t="s">
        <v>58</v>
      </c>
      <c r="K2811" s="77" t="s">
        <v>9413</v>
      </c>
      <c r="L2811" s="76"/>
      <c r="M2811" s="76" t="s">
        <v>36</v>
      </c>
      <c r="N2811" s="76" t="s">
        <v>40</v>
      </c>
      <c r="O2811" s="76">
        <v>1</v>
      </c>
      <c r="P2811" s="76"/>
      <c r="Q2811" s="76"/>
      <c r="R2811" s="76"/>
      <c r="S2811" s="76"/>
      <c r="BD2811" s="99">
        <f t="shared" si="90"/>
        <v>0</v>
      </c>
      <c r="CC2811" s="99"/>
      <c r="CV2811" s="99"/>
      <c r="CW2811" s="63"/>
    </row>
    <row r="2812" spans="1:101" ht="22.5" x14ac:dyDescent="0.15">
      <c r="A2812" s="76">
        <v>2635</v>
      </c>
      <c r="B2812" s="74" t="s">
        <v>2830</v>
      </c>
      <c r="C2812" s="74" t="s">
        <v>2831</v>
      </c>
      <c r="D2812" s="82" t="str">
        <f>HYPERLINK(CONCATENATE("https://portal.dnb.de/opac.htm?method=simpleSearch&amp;cqlMode=true&amp;query=idn%3D",C2812))</f>
        <v>https://portal.dnb.de/opac.htm?method=simpleSearch&amp;cqlMode=true&amp;query=idn%3D106931434X</v>
      </c>
      <c r="E2812" s="74" t="s">
        <v>2832</v>
      </c>
      <c r="F2812" s="74"/>
      <c r="G2812" s="76" t="s">
        <v>8515</v>
      </c>
      <c r="H2812" s="77" t="s">
        <v>18</v>
      </c>
      <c r="I2812" s="76" t="s">
        <v>53</v>
      </c>
      <c r="J2812" s="77" t="s">
        <v>58</v>
      </c>
      <c r="K2812" s="77" t="s">
        <v>84</v>
      </c>
      <c r="L2812" s="76"/>
      <c r="M2812" s="76" t="s">
        <v>36</v>
      </c>
      <c r="N2812" s="76" t="s">
        <v>40</v>
      </c>
      <c r="O2812" s="76">
        <v>1</v>
      </c>
      <c r="P2812" s="76"/>
      <c r="Q2812" s="76"/>
      <c r="R2812" s="76"/>
      <c r="S2812" s="76"/>
      <c r="BD2812" s="99">
        <f t="shared" si="90"/>
        <v>0</v>
      </c>
      <c r="CC2812" s="99"/>
      <c r="CV2812" s="99"/>
      <c r="CW2812" s="63"/>
    </row>
    <row r="2813" spans="1:101" x14ac:dyDescent="0.15">
      <c r="A2813" s="76">
        <v>2636</v>
      </c>
      <c r="B2813" s="74" t="s">
        <v>2833</v>
      </c>
      <c r="C2813" s="74">
        <v>997867914</v>
      </c>
      <c r="D2813" s="82" t="str">
        <f>HYPERLINK(CONCATENATE("https://portal.dnb.de/opac.htm?method=simpleSearch&amp;cqlMode=true&amp;query=idn%3D",C2813))</f>
        <v>https://portal.dnb.de/opac.htm?method=simpleSearch&amp;cqlMode=true&amp;query=idn%3D997867914</v>
      </c>
      <c r="E2813" s="74" t="s">
        <v>2834</v>
      </c>
      <c r="F2813" s="74"/>
      <c r="G2813" s="76"/>
      <c r="H2813" s="77" t="s">
        <v>5</v>
      </c>
      <c r="I2813" s="76" t="s">
        <v>55</v>
      </c>
      <c r="J2813" s="77" t="s">
        <v>8516</v>
      </c>
      <c r="K2813" s="77" t="s">
        <v>8520</v>
      </c>
      <c r="L2813" s="76"/>
      <c r="M2813" s="76"/>
      <c r="N2813" s="76" t="s">
        <v>8660</v>
      </c>
      <c r="O2813" s="76">
        <v>1</v>
      </c>
      <c r="P2813" s="76"/>
      <c r="Q2813" s="76"/>
      <c r="R2813" s="76"/>
      <c r="S2813" s="76"/>
      <c r="BD2813" s="99">
        <f t="shared" si="90"/>
        <v>0</v>
      </c>
      <c r="CC2813" s="99"/>
      <c r="CV2813" s="99"/>
      <c r="CW2813" s="63"/>
    </row>
    <row r="2814" spans="1:101" ht="33.75" x14ac:dyDescent="0.15">
      <c r="A2814" s="76">
        <v>2637</v>
      </c>
      <c r="B2814" s="74" t="s">
        <v>2835</v>
      </c>
      <c r="C2814" s="74">
        <v>997867574</v>
      </c>
      <c r="D2814" s="78" t="str">
        <f t="shared" si="91"/>
        <v>https://portal.dnb.de/opac.htm?method=simpleSearch&amp;cqlMode=true&amp;query=idn%3D997867574</v>
      </c>
      <c r="E2814" s="74" t="s">
        <v>2834</v>
      </c>
      <c r="F2814" s="74"/>
      <c r="G2814" s="76" t="s">
        <v>8515</v>
      </c>
      <c r="H2814" s="77" t="s">
        <v>5</v>
      </c>
      <c r="I2814" s="76" t="s">
        <v>54</v>
      </c>
      <c r="J2814" s="77" t="s">
        <v>8516</v>
      </c>
      <c r="K2814" s="77" t="s">
        <v>9375</v>
      </c>
      <c r="L2814" s="76"/>
      <c r="M2814" s="76" t="s">
        <v>38</v>
      </c>
      <c r="N2814" s="76" t="s">
        <v>40</v>
      </c>
      <c r="O2814" s="76">
        <v>0</v>
      </c>
      <c r="P2814" s="76"/>
      <c r="Q2814" s="76"/>
      <c r="R2814" s="76"/>
      <c r="S2814" s="76"/>
      <c r="BD2814" s="99">
        <f t="shared" si="90"/>
        <v>0</v>
      </c>
      <c r="CC2814" s="99"/>
      <c r="CV2814" s="99"/>
      <c r="CW2814" s="63"/>
    </row>
    <row r="2815" spans="1:101" x14ac:dyDescent="0.15">
      <c r="A2815" s="76">
        <v>2638</v>
      </c>
      <c r="B2815" s="74" t="s">
        <v>2836</v>
      </c>
      <c r="C2815" s="74">
        <v>997867337</v>
      </c>
      <c r="D2815" s="78" t="str">
        <f t="shared" si="91"/>
        <v>https://portal.dnb.de/opac.htm?method=simpleSearch&amp;cqlMode=true&amp;query=idn%3D997867337</v>
      </c>
      <c r="E2815" s="74" t="s">
        <v>2834</v>
      </c>
      <c r="F2815" s="74"/>
      <c r="G2815" s="76"/>
      <c r="H2815" s="77"/>
      <c r="I2815" s="76"/>
      <c r="J2815" s="77"/>
      <c r="K2815" s="77"/>
      <c r="L2815" s="76"/>
      <c r="M2815" s="76"/>
      <c r="N2815" s="76"/>
      <c r="O2815" s="76"/>
      <c r="P2815" s="76"/>
      <c r="Q2815" s="76"/>
      <c r="R2815" s="76"/>
      <c r="S2815" s="76"/>
      <c r="BD2815" s="99">
        <f t="shared" si="90"/>
        <v>0</v>
      </c>
      <c r="CC2815" s="99"/>
      <c r="CV2815" s="99"/>
      <c r="CW2815" s="63"/>
    </row>
    <row r="2816" spans="1:101" x14ac:dyDescent="0.15">
      <c r="A2816" s="76">
        <v>2639</v>
      </c>
      <c r="B2816" s="74" t="s">
        <v>2837</v>
      </c>
      <c r="C2816" s="74">
        <v>997867914</v>
      </c>
      <c r="D2816" s="78" t="str">
        <f t="shared" si="91"/>
        <v>https://portal.dnb.de/opac.htm?method=simpleSearch&amp;cqlMode=true&amp;query=idn%3D997867914</v>
      </c>
      <c r="E2816" s="74" t="s">
        <v>2834</v>
      </c>
      <c r="F2816" s="74"/>
      <c r="G2816" s="76"/>
      <c r="H2816" s="77" t="s">
        <v>8668</v>
      </c>
      <c r="I2816" s="76" t="s">
        <v>54</v>
      </c>
      <c r="J2816" s="77" t="s">
        <v>58</v>
      </c>
      <c r="K2816" s="77"/>
      <c r="L2816" s="76"/>
      <c r="M2816" s="76" t="s">
        <v>38</v>
      </c>
      <c r="N2816" s="76" t="s">
        <v>40</v>
      </c>
      <c r="O2816" s="76">
        <v>3</v>
      </c>
      <c r="P2816" s="76"/>
      <c r="Q2816" s="76" t="s">
        <v>9685</v>
      </c>
      <c r="R2816" s="76"/>
      <c r="S2816" s="76"/>
      <c r="BD2816" s="99">
        <f t="shared" si="90"/>
        <v>0</v>
      </c>
      <c r="CC2816" s="99"/>
      <c r="CV2816" s="99"/>
      <c r="CW2816" s="63"/>
    </row>
    <row r="2817" spans="1:101" x14ac:dyDescent="0.15">
      <c r="A2817" s="76">
        <v>2640</v>
      </c>
      <c r="B2817" s="74" t="s">
        <v>2838</v>
      </c>
      <c r="C2817" s="74">
        <v>1002180538</v>
      </c>
      <c r="D2817" s="78" t="str">
        <f t="shared" si="91"/>
        <v>https://portal.dnb.de/opac.htm?method=simpleSearch&amp;cqlMode=true&amp;query=idn%3D1002180538</v>
      </c>
      <c r="E2817" s="74" t="s">
        <v>9400</v>
      </c>
      <c r="F2817" s="74"/>
      <c r="G2817" s="76"/>
      <c r="H2817" s="77" t="s">
        <v>48</v>
      </c>
      <c r="I2817" s="76" t="s">
        <v>53</v>
      </c>
      <c r="J2817" s="77" t="s">
        <v>8516</v>
      </c>
      <c r="K2817" s="77" t="s">
        <v>84</v>
      </c>
      <c r="L2817" s="76"/>
      <c r="M2817" s="76" t="s">
        <v>36</v>
      </c>
      <c r="N2817" s="76" t="s">
        <v>39</v>
      </c>
      <c r="O2817" s="76">
        <v>0</v>
      </c>
      <c r="P2817" s="76"/>
      <c r="Q2817" s="76"/>
      <c r="R2817" s="76"/>
      <c r="S2817" s="76"/>
      <c r="BD2817" s="99">
        <f t="shared" si="90"/>
        <v>0</v>
      </c>
      <c r="CC2817" s="99"/>
      <c r="CV2817" s="99"/>
      <c r="CW2817" s="63"/>
    </row>
    <row r="2818" spans="1:101" x14ac:dyDescent="0.15">
      <c r="A2818" s="76">
        <v>2641</v>
      </c>
      <c r="B2818" s="74" t="s">
        <v>2839</v>
      </c>
      <c r="C2818" s="74">
        <v>1002180481</v>
      </c>
      <c r="D2818" s="78" t="str">
        <f t="shared" si="91"/>
        <v>https://portal.dnb.de/opac.htm?method=simpleSearch&amp;cqlMode=true&amp;query=idn%3D1002180481</v>
      </c>
      <c r="E2818" s="74" t="s">
        <v>9401</v>
      </c>
      <c r="F2818" s="74"/>
      <c r="G2818" s="76"/>
      <c r="H2818" s="77" t="s">
        <v>48</v>
      </c>
      <c r="I2818" s="76" t="s">
        <v>53</v>
      </c>
      <c r="J2818" s="77" t="s">
        <v>8516</v>
      </c>
      <c r="K2818" s="77" t="s">
        <v>84</v>
      </c>
      <c r="L2818" s="76"/>
      <c r="M2818" s="76" t="s">
        <v>36</v>
      </c>
      <c r="N2818" s="76" t="s">
        <v>39</v>
      </c>
      <c r="O2818" s="76">
        <v>0</v>
      </c>
      <c r="P2818" s="76"/>
      <c r="Q2818" s="76"/>
      <c r="R2818" s="76"/>
      <c r="S2818" s="76"/>
      <c r="BD2818" s="99">
        <f t="shared" si="90"/>
        <v>0</v>
      </c>
      <c r="CC2818" s="99"/>
      <c r="CV2818" s="99"/>
      <c r="CW2818" s="63"/>
    </row>
    <row r="2819" spans="1:101" ht="33.75" x14ac:dyDescent="0.15">
      <c r="A2819" s="76">
        <v>2642</v>
      </c>
      <c r="B2819" s="74" t="s">
        <v>2840</v>
      </c>
      <c r="C2819" s="74">
        <v>1003281257</v>
      </c>
      <c r="D2819" s="82" t="str">
        <f t="shared" ref="D2819:D2824" si="92">HYPERLINK(CONCATENATE("https://portal.dnb.de/opac.htm?method=simpleSearch&amp;cqlMode=true&amp;query=idn%3D",C2819))</f>
        <v>https://portal.dnb.de/opac.htm?method=simpleSearch&amp;cqlMode=true&amp;query=idn%3D1003281257</v>
      </c>
      <c r="E2819" s="74" t="s">
        <v>2841</v>
      </c>
      <c r="F2819" s="74"/>
      <c r="G2819" s="76"/>
      <c r="H2819" s="77" t="s">
        <v>5</v>
      </c>
      <c r="I2819" s="76" t="s">
        <v>53</v>
      </c>
      <c r="J2819" s="77" t="s">
        <v>89</v>
      </c>
      <c r="K2819" s="77" t="s">
        <v>8667</v>
      </c>
      <c r="L2819" s="76"/>
      <c r="M2819" s="76" t="s">
        <v>38</v>
      </c>
      <c r="N2819" s="76" t="s">
        <v>40</v>
      </c>
      <c r="O2819" s="76">
        <v>0</v>
      </c>
      <c r="P2819" s="76"/>
      <c r="Q2819" s="76"/>
      <c r="R2819" s="76"/>
      <c r="S2819" s="76"/>
      <c r="BD2819" s="99">
        <f t="shared" ref="BD2819:BD2882" si="93">CC2819+CV2819</f>
        <v>0</v>
      </c>
      <c r="CC2819" s="99"/>
      <c r="CV2819" s="99"/>
      <c r="CW2819" s="63"/>
    </row>
    <row r="2820" spans="1:101" x14ac:dyDescent="0.15">
      <c r="A2820" s="76">
        <v>2643</v>
      </c>
      <c r="B2820" s="74" t="s">
        <v>2842</v>
      </c>
      <c r="C2820" s="74">
        <v>998562661</v>
      </c>
      <c r="D2820" s="82" t="str">
        <f t="shared" si="92"/>
        <v>https://portal.dnb.de/opac.htm?method=simpleSearch&amp;cqlMode=true&amp;query=idn%3D998562661</v>
      </c>
      <c r="E2820" s="74" t="s">
        <v>2843</v>
      </c>
      <c r="F2820" s="74"/>
      <c r="G2820" s="76" t="s">
        <v>8515</v>
      </c>
      <c r="H2820" s="77" t="s">
        <v>5</v>
      </c>
      <c r="I2820" s="76" t="s">
        <v>53</v>
      </c>
      <c r="J2820" s="77" t="s">
        <v>58</v>
      </c>
      <c r="K2820" s="77" t="s">
        <v>8520</v>
      </c>
      <c r="L2820" s="76"/>
      <c r="M2820" s="76" t="s">
        <v>38</v>
      </c>
      <c r="N2820" s="76" t="s">
        <v>40</v>
      </c>
      <c r="O2820" s="76">
        <v>2</v>
      </c>
      <c r="P2820" s="76"/>
      <c r="Q2820" s="76"/>
      <c r="R2820" s="76"/>
      <c r="S2820" s="76"/>
      <c r="BD2820" s="99">
        <f t="shared" si="93"/>
        <v>0</v>
      </c>
      <c r="CC2820" s="99"/>
      <c r="CV2820" s="99"/>
      <c r="CW2820" s="63"/>
    </row>
    <row r="2821" spans="1:101" x14ac:dyDescent="0.15">
      <c r="A2821" s="76">
        <v>2644</v>
      </c>
      <c r="B2821" s="74" t="s">
        <v>2844</v>
      </c>
      <c r="C2821" s="74">
        <v>1003197566</v>
      </c>
      <c r="D2821" s="82" t="str">
        <f t="shared" si="92"/>
        <v>https://portal.dnb.de/opac.htm?method=simpleSearch&amp;cqlMode=true&amp;query=idn%3D1003197566</v>
      </c>
      <c r="E2821" s="74" t="s">
        <v>9402</v>
      </c>
      <c r="F2821" s="74"/>
      <c r="G2821" s="76" t="s">
        <v>8541</v>
      </c>
      <c r="H2821" s="77" t="s">
        <v>49</v>
      </c>
      <c r="I2821" s="76" t="s">
        <v>53</v>
      </c>
      <c r="J2821" s="77" t="s">
        <v>58</v>
      </c>
      <c r="K2821" s="77" t="s">
        <v>84</v>
      </c>
      <c r="L2821" s="76"/>
      <c r="M2821" s="76" t="s">
        <v>36</v>
      </c>
      <c r="N2821" s="76" t="s">
        <v>39</v>
      </c>
      <c r="O2821" s="76">
        <v>0</v>
      </c>
      <c r="P2821" s="76"/>
      <c r="Q2821" s="76"/>
      <c r="R2821" s="76"/>
      <c r="S2821" s="76"/>
      <c r="BD2821" s="99">
        <f t="shared" si="93"/>
        <v>0</v>
      </c>
      <c r="CC2821" s="99"/>
      <c r="CV2821" s="99"/>
      <c r="CW2821" s="63"/>
    </row>
    <row r="2822" spans="1:101" x14ac:dyDescent="0.15">
      <c r="A2822" s="76">
        <v>2645</v>
      </c>
      <c r="B2822" s="74" t="s">
        <v>2845</v>
      </c>
      <c r="C2822" s="74">
        <v>1003197477</v>
      </c>
      <c r="D2822" s="82" t="str">
        <f t="shared" si="92"/>
        <v>https://portal.dnb.de/opac.htm?method=simpleSearch&amp;cqlMode=true&amp;query=idn%3D1003197477</v>
      </c>
      <c r="E2822" s="74" t="s">
        <v>9403</v>
      </c>
      <c r="F2822" s="74"/>
      <c r="G2822" s="76"/>
      <c r="H2822" s="77"/>
      <c r="I2822" s="76"/>
      <c r="J2822" s="77"/>
      <c r="K2822" s="77"/>
      <c r="L2822" s="76"/>
      <c r="M2822" s="76"/>
      <c r="N2822" s="76"/>
      <c r="O2822" s="76"/>
      <c r="P2822" s="76"/>
      <c r="Q2822" s="76"/>
      <c r="R2822" s="76"/>
      <c r="S2822" s="76"/>
      <c r="BD2822" s="99">
        <f t="shared" si="93"/>
        <v>0</v>
      </c>
      <c r="CC2822" s="99"/>
      <c r="CV2822" s="99"/>
      <c r="CW2822" s="63"/>
    </row>
    <row r="2823" spans="1:101" x14ac:dyDescent="0.15">
      <c r="A2823" s="76">
        <v>2646</v>
      </c>
      <c r="B2823" s="74" t="s">
        <v>2846</v>
      </c>
      <c r="C2823" s="74">
        <v>1003197205</v>
      </c>
      <c r="D2823" s="82" t="str">
        <f t="shared" si="92"/>
        <v>https://portal.dnb.de/opac.htm?method=simpleSearch&amp;cqlMode=true&amp;query=idn%3D1003197205</v>
      </c>
      <c r="E2823" s="74" t="s">
        <v>9404</v>
      </c>
      <c r="F2823" s="74"/>
      <c r="G2823" s="76"/>
      <c r="H2823" s="77"/>
      <c r="I2823" s="76"/>
      <c r="J2823" s="77"/>
      <c r="K2823" s="77"/>
      <c r="L2823" s="76"/>
      <c r="M2823" s="76"/>
      <c r="N2823" s="76"/>
      <c r="O2823" s="76"/>
      <c r="P2823" s="76"/>
      <c r="Q2823" s="76"/>
      <c r="R2823" s="76"/>
      <c r="S2823" s="76"/>
      <c r="BD2823" s="99">
        <f t="shared" si="93"/>
        <v>0</v>
      </c>
      <c r="CC2823" s="99"/>
      <c r="CV2823" s="99"/>
      <c r="CW2823" s="63"/>
    </row>
    <row r="2824" spans="1:101" ht="22.5" x14ac:dyDescent="0.15">
      <c r="A2824" s="76">
        <v>2647</v>
      </c>
      <c r="B2824" s="74" t="s">
        <v>2847</v>
      </c>
      <c r="C2824" s="74">
        <v>994185642</v>
      </c>
      <c r="D2824" s="82" t="str">
        <f t="shared" si="92"/>
        <v>https://portal.dnb.de/opac.htm?method=simpleSearch&amp;cqlMode=true&amp;query=idn%3D994185642</v>
      </c>
      <c r="E2824" s="74" t="s">
        <v>2848</v>
      </c>
      <c r="F2824" s="74"/>
      <c r="G2824" s="76"/>
      <c r="H2824" s="77" t="s">
        <v>5</v>
      </c>
      <c r="I2824" s="76" t="s">
        <v>53</v>
      </c>
      <c r="J2824" s="77" t="s">
        <v>89</v>
      </c>
      <c r="K2824" s="77" t="s">
        <v>8565</v>
      </c>
      <c r="L2824" s="76"/>
      <c r="M2824" s="76" t="s">
        <v>38</v>
      </c>
      <c r="N2824" s="76" t="s">
        <v>40</v>
      </c>
      <c r="O2824" s="76"/>
      <c r="P2824" s="76"/>
      <c r="Q2824" s="76"/>
      <c r="R2824" s="76"/>
      <c r="S2824" s="76"/>
      <c r="BD2824" s="99">
        <f t="shared" si="93"/>
        <v>0</v>
      </c>
      <c r="CC2824" s="99"/>
      <c r="CV2824" s="99"/>
      <c r="CW2824" s="63"/>
    </row>
    <row r="2825" spans="1:101" ht="22.5" x14ac:dyDescent="0.15">
      <c r="A2825" s="76">
        <v>2648</v>
      </c>
      <c r="B2825" s="74" t="s">
        <v>2849</v>
      </c>
      <c r="C2825" s="74">
        <v>1003736548</v>
      </c>
      <c r="D2825" s="78" t="str">
        <f t="shared" si="91"/>
        <v>https://portal.dnb.de/opac.htm?method=simpleSearch&amp;cqlMode=true&amp;query=idn%3D1003736548</v>
      </c>
      <c r="E2825" s="74" t="s">
        <v>2850</v>
      </c>
      <c r="F2825" s="74"/>
      <c r="G2825" s="76" t="s">
        <v>8515</v>
      </c>
      <c r="H2825" s="77" t="s">
        <v>18</v>
      </c>
      <c r="I2825" s="76" t="s">
        <v>53</v>
      </c>
      <c r="J2825" s="77" t="s">
        <v>8516</v>
      </c>
      <c r="K2825" s="77" t="s">
        <v>8565</v>
      </c>
      <c r="L2825" s="76"/>
      <c r="M2825" s="76" t="s">
        <v>36</v>
      </c>
      <c r="N2825" s="76" t="s">
        <v>39</v>
      </c>
      <c r="O2825" s="76">
        <v>0</v>
      </c>
      <c r="P2825" s="76"/>
      <c r="Q2825" s="76"/>
      <c r="R2825" s="76"/>
      <c r="S2825" s="76"/>
      <c r="BD2825" s="99">
        <f t="shared" si="93"/>
        <v>0</v>
      </c>
      <c r="CC2825" s="99"/>
      <c r="CV2825" s="99"/>
      <c r="CW2825" s="63"/>
    </row>
    <row r="2826" spans="1:101" x14ac:dyDescent="0.15">
      <c r="A2826" s="76">
        <v>2649</v>
      </c>
      <c r="B2826" s="74" t="s">
        <v>2854</v>
      </c>
      <c r="C2826" s="74">
        <v>1000760448</v>
      </c>
      <c r="D2826" s="82" t="str">
        <f>HYPERLINK(CONCATENATE("https://portal.dnb.de/opac.htm?method=simpleSearch&amp;cqlMode=true&amp;query=idn%3D",C2826))</f>
        <v>https://portal.dnb.de/opac.htm?method=simpleSearch&amp;cqlMode=true&amp;query=idn%3D1000760448</v>
      </c>
      <c r="E2826" s="74" t="s">
        <v>9417</v>
      </c>
      <c r="F2826" s="74"/>
      <c r="G2826" s="76"/>
      <c r="H2826" s="77" t="s">
        <v>4</v>
      </c>
      <c r="I2826" s="76" t="s">
        <v>53</v>
      </c>
      <c r="J2826" s="77" t="s">
        <v>8516</v>
      </c>
      <c r="K2826" s="77" t="s">
        <v>84</v>
      </c>
      <c r="L2826" s="76"/>
      <c r="M2826" s="76" t="s">
        <v>36</v>
      </c>
      <c r="N2826" s="76" t="s">
        <v>39</v>
      </c>
      <c r="O2826" s="76">
        <v>0</v>
      </c>
      <c r="P2826" s="76"/>
      <c r="Q2826" s="76"/>
      <c r="R2826" s="76"/>
      <c r="S2826" s="76"/>
      <c r="BD2826" s="99">
        <f t="shared" si="93"/>
        <v>0</v>
      </c>
      <c r="CC2826" s="99"/>
      <c r="CV2826" s="99"/>
      <c r="CW2826" s="63"/>
    </row>
    <row r="2827" spans="1:101" x14ac:dyDescent="0.15">
      <c r="A2827" s="76">
        <v>2650</v>
      </c>
      <c r="B2827" s="74" t="s">
        <v>2855</v>
      </c>
      <c r="C2827" s="74">
        <v>1000760499</v>
      </c>
      <c r="D2827" s="78" t="str">
        <f t="shared" si="91"/>
        <v>https://portal.dnb.de/opac.htm?method=simpleSearch&amp;cqlMode=true&amp;query=idn%3D1000760499</v>
      </c>
      <c r="E2827" s="74" t="s">
        <v>9418</v>
      </c>
      <c r="F2827" s="74"/>
      <c r="G2827" s="76"/>
      <c r="H2827" s="77" t="s">
        <v>4</v>
      </c>
      <c r="I2827" s="76" t="s">
        <v>53</v>
      </c>
      <c r="J2827" s="77" t="s">
        <v>8516</v>
      </c>
      <c r="K2827" s="77" t="s">
        <v>84</v>
      </c>
      <c r="L2827" s="76"/>
      <c r="M2827" s="76" t="s">
        <v>36</v>
      </c>
      <c r="N2827" s="76" t="s">
        <v>39</v>
      </c>
      <c r="O2827" s="76">
        <v>0</v>
      </c>
      <c r="P2827" s="76"/>
      <c r="Q2827" s="76"/>
      <c r="R2827" s="76"/>
      <c r="S2827" s="76"/>
      <c r="BD2827" s="99">
        <f t="shared" si="93"/>
        <v>0</v>
      </c>
      <c r="CC2827" s="99"/>
      <c r="CV2827" s="99"/>
      <c r="CW2827" s="63"/>
    </row>
    <row r="2828" spans="1:101" x14ac:dyDescent="0.15">
      <c r="A2828" s="76">
        <v>2651</v>
      </c>
      <c r="B2828" s="74" t="s">
        <v>2856</v>
      </c>
      <c r="C2828" s="74">
        <v>1000760987</v>
      </c>
      <c r="D2828" s="78" t="str">
        <f t="shared" ref="D2828:D2901" si="94">HYPERLINK(CONCATENATE("https://portal.dnb.de/opac.htm?method=simpleSearch&amp;cqlMode=true&amp;query=idn%3D",C2828))</f>
        <v>https://portal.dnb.de/opac.htm?method=simpleSearch&amp;cqlMode=true&amp;query=idn%3D1000760987</v>
      </c>
      <c r="E2828" s="74" t="s">
        <v>9419</v>
      </c>
      <c r="F2828" s="74"/>
      <c r="G2828" s="76"/>
      <c r="H2828" s="77" t="s">
        <v>4</v>
      </c>
      <c r="I2828" s="76" t="s">
        <v>53</v>
      </c>
      <c r="J2828" s="77" t="s">
        <v>8516</v>
      </c>
      <c r="K2828" s="77" t="s">
        <v>84</v>
      </c>
      <c r="L2828" s="76"/>
      <c r="M2828" s="76" t="s">
        <v>36</v>
      </c>
      <c r="N2828" s="76" t="s">
        <v>39</v>
      </c>
      <c r="O2828" s="76">
        <v>0</v>
      </c>
      <c r="P2828" s="76"/>
      <c r="Q2828" s="76"/>
      <c r="R2828" s="76"/>
      <c r="S2828" s="76"/>
      <c r="BD2828" s="99">
        <f t="shared" si="93"/>
        <v>0</v>
      </c>
      <c r="CC2828" s="99"/>
      <c r="CV2828" s="99"/>
      <c r="CW2828" s="63"/>
    </row>
    <row r="2829" spans="1:101" x14ac:dyDescent="0.15">
      <c r="A2829" s="76">
        <v>2652</v>
      </c>
      <c r="B2829" s="74" t="s">
        <v>2857</v>
      </c>
      <c r="C2829" s="74">
        <v>1000760936</v>
      </c>
      <c r="D2829" s="78" t="str">
        <f t="shared" si="94"/>
        <v>https://portal.dnb.de/opac.htm?method=simpleSearch&amp;cqlMode=true&amp;query=idn%3D1000760936</v>
      </c>
      <c r="E2829" s="74" t="s">
        <v>9420</v>
      </c>
      <c r="F2829" s="74"/>
      <c r="G2829" s="76"/>
      <c r="H2829" s="77" t="s">
        <v>4</v>
      </c>
      <c r="I2829" s="76" t="s">
        <v>53</v>
      </c>
      <c r="J2829" s="77" t="s">
        <v>8516</v>
      </c>
      <c r="K2829" s="77" t="s">
        <v>84</v>
      </c>
      <c r="L2829" s="76"/>
      <c r="M2829" s="76" t="s">
        <v>36</v>
      </c>
      <c r="N2829" s="76" t="s">
        <v>39</v>
      </c>
      <c r="O2829" s="76">
        <v>0</v>
      </c>
      <c r="P2829" s="76"/>
      <c r="Q2829" s="76"/>
      <c r="R2829" s="76"/>
      <c r="S2829" s="76"/>
      <c r="BD2829" s="99">
        <f t="shared" si="93"/>
        <v>0</v>
      </c>
      <c r="CC2829" s="99"/>
      <c r="CV2829" s="99"/>
      <c r="CW2829" s="63"/>
    </row>
    <row r="2830" spans="1:101" x14ac:dyDescent="0.15">
      <c r="A2830" s="76">
        <v>2653</v>
      </c>
      <c r="B2830" s="74" t="s">
        <v>2858</v>
      </c>
      <c r="C2830" s="74">
        <v>1000492478</v>
      </c>
      <c r="D2830" s="82" t="str">
        <f>HYPERLINK(CONCATENATE("https://portal.dnb.de/opac.htm?method=simpleSearch&amp;cqlMode=true&amp;query=idn%3D",C2830))</f>
        <v>https://portal.dnb.de/opac.htm?method=simpleSearch&amp;cqlMode=true&amp;query=idn%3D1000492478</v>
      </c>
      <c r="E2830" s="74" t="s">
        <v>9487</v>
      </c>
      <c r="F2830" s="74"/>
      <c r="G2830" s="76"/>
      <c r="H2830" s="77" t="s">
        <v>4</v>
      </c>
      <c r="I2830" s="76" t="s">
        <v>53</v>
      </c>
      <c r="J2830" s="77" t="s">
        <v>8516</v>
      </c>
      <c r="K2830" s="77" t="s">
        <v>84</v>
      </c>
      <c r="L2830" s="76"/>
      <c r="M2830" s="76" t="s">
        <v>36</v>
      </c>
      <c r="N2830" s="76" t="s">
        <v>39</v>
      </c>
      <c r="O2830" s="76">
        <v>0</v>
      </c>
      <c r="P2830" s="76"/>
      <c r="Q2830" s="76"/>
      <c r="R2830" s="76"/>
      <c r="S2830" s="76"/>
      <c r="BD2830" s="99">
        <f t="shared" si="93"/>
        <v>0</v>
      </c>
      <c r="CC2830" s="99"/>
      <c r="CV2830" s="99"/>
      <c r="CW2830" s="63"/>
    </row>
    <row r="2831" spans="1:101" x14ac:dyDescent="0.15">
      <c r="A2831" s="76">
        <v>2654</v>
      </c>
      <c r="B2831" s="74" t="s">
        <v>2859</v>
      </c>
      <c r="C2831" s="74">
        <v>1000492591</v>
      </c>
      <c r="D2831" s="78" t="str">
        <f t="shared" si="94"/>
        <v>https://portal.dnb.de/opac.htm?method=simpleSearch&amp;cqlMode=true&amp;query=idn%3D1000492591</v>
      </c>
      <c r="E2831" s="74" t="s">
        <v>9488</v>
      </c>
      <c r="F2831" s="74"/>
      <c r="G2831" s="76"/>
      <c r="H2831" s="77" t="s">
        <v>4</v>
      </c>
      <c r="I2831" s="76" t="s">
        <v>53</v>
      </c>
      <c r="J2831" s="77" t="s">
        <v>8516</v>
      </c>
      <c r="K2831" s="77" t="s">
        <v>84</v>
      </c>
      <c r="L2831" s="76"/>
      <c r="M2831" s="76" t="s">
        <v>36</v>
      </c>
      <c r="N2831" s="76" t="s">
        <v>39</v>
      </c>
      <c r="O2831" s="76">
        <v>0</v>
      </c>
      <c r="P2831" s="76"/>
      <c r="Q2831" s="76"/>
      <c r="R2831" s="76"/>
      <c r="S2831" s="76"/>
      <c r="BD2831" s="99">
        <f t="shared" si="93"/>
        <v>0</v>
      </c>
      <c r="CC2831" s="99"/>
      <c r="CV2831" s="99"/>
      <c r="CW2831" s="63"/>
    </row>
    <row r="2832" spans="1:101" x14ac:dyDescent="0.15">
      <c r="A2832" s="76">
        <v>2655</v>
      </c>
      <c r="B2832" s="74" t="s">
        <v>2860</v>
      </c>
      <c r="C2832" s="74">
        <v>1000492648</v>
      </c>
      <c r="D2832" s="78" t="str">
        <f t="shared" si="94"/>
        <v>https://portal.dnb.de/opac.htm?method=simpleSearch&amp;cqlMode=true&amp;query=idn%3D1000492648</v>
      </c>
      <c r="E2832" s="74" t="s">
        <v>9489</v>
      </c>
      <c r="F2832" s="74"/>
      <c r="G2832" s="76"/>
      <c r="H2832" s="77" t="s">
        <v>4</v>
      </c>
      <c r="I2832" s="76" t="s">
        <v>53</v>
      </c>
      <c r="J2832" s="77" t="s">
        <v>8516</v>
      </c>
      <c r="K2832" s="77" t="s">
        <v>84</v>
      </c>
      <c r="L2832" s="76"/>
      <c r="M2832" s="76" t="s">
        <v>36</v>
      </c>
      <c r="N2832" s="76" t="s">
        <v>39</v>
      </c>
      <c r="O2832" s="76">
        <v>0</v>
      </c>
      <c r="P2832" s="76"/>
      <c r="Q2832" s="76"/>
      <c r="R2832" s="76"/>
      <c r="S2832" s="76"/>
      <c r="BD2832" s="99">
        <f t="shared" si="93"/>
        <v>0</v>
      </c>
      <c r="CC2832" s="99"/>
      <c r="CV2832" s="99"/>
      <c r="CW2832" s="63"/>
    </row>
    <row r="2833" spans="1:101" x14ac:dyDescent="0.15">
      <c r="A2833" s="76">
        <v>2656</v>
      </c>
      <c r="B2833" s="74" t="s">
        <v>2861</v>
      </c>
      <c r="C2833" s="74">
        <v>1000492672</v>
      </c>
      <c r="D2833" s="78" t="str">
        <f t="shared" si="94"/>
        <v>https://portal.dnb.de/opac.htm?method=simpleSearch&amp;cqlMode=true&amp;query=idn%3D1000492672</v>
      </c>
      <c r="E2833" s="74" t="s">
        <v>9490</v>
      </c>
      <c r="F2833" s="74"/>
      <c r="G2833" s="76"/>
      <c r="H2833" s="77" t="s">
        <v>4</v>
      </c>
      <c r="I2833" s="76" t="s">
        <v>53</v>
      </c>
      <c r="J2833" s="77" t="s">
        <v>8516</v>
      </c>
      <c r="K2833" s="77" t="s">
        <v>84</v>
      </c>
      <c r="L2833" s="76"/>
      <c r="M2833" s="76" t="s">
        <v>36</v>
      </c>
      <c r="N2833" s="76" t="s">
        <v>39</v>
      </c>
      <c r="O2833" s="76">
        <v>0</v>
      </c>
      <c r="P2833" s="76"/>
      <c r="Q2833" s="76"/>
      <c r="R2833" s="76"/>
      <c r="S2833" s="76"/>
      <c r="BD2833" s="99">
        <f t="shared" si="93"/>
        <v>0</v>
      </c>
      <c r="CC2833" s="99"/>
      <c r="CV2833" s="99"/>
      <c r="CW2833" s="63"/>
    </row>
    <row r="2834" spans="1:101" x14ac:dyDescent="0.15">
      <c r="A2834" s="76">
        <v>2657</v>
      </c>
      <c r="B2834" s="74" t="s">
        <v>2862</v>
      </c>
      <c r="C2834" s="74">
        <v>1000492745</v>
      </c>
      <c r="D2834" s="78" t="str">
        <f t="shared" si="94"/>
        <v>https://portal.dnb.de/opac.htm?method=simpleSearch&amp;cqlMode=true&amp;query=idn%3D1000492745</v>
      </c>
      <c r="E2834" s="74" t="s">
        <v>9491</v>
      </c>
      <c r="F2834" s="74"/>
      <c r="G2834" s="76"/>
      <c r="H2834" s="77" t="s">
        <v>4</v>
      </c>
      <c r="I2834" s="76" t="s">
        <v>53</v>
      </c>
      <c r="J2834" s="77" t="s">
        <v>8516</v>
      </c>
      <c r="K2834" s="77" t="s">
        <v>84</v>
      </c>
      <c r="L2834" s="76"/>
      <c r="M2834" s="76" t="s">
        <v>36</v>
      </c>
      <c r="N2834" s="76" t="s">
        <v>39</v>
      </c>
      <c r="O2834" s="76">
        <v>0</v>
      </c>
      <c r="P2834" s="76"/>
      <c r="Q2834" s="76"/>
      <c r="R2834" s="76"/>
      <c r="S2834" s="76"/>
      <c r="BD2834" s="99">
        <f t="shared" si="93"/>
        <v>0</v>
      </c>
      <c r="CC2834" s="99"/>
      <c r="CV2834" s="99"/>
      <c r="CW2834" s="63"/>
    </row>
    <row r="2835" spans="1:101" x14ac:dyDescent="0.15">
      <c r="A2835" s="76">
        <v>2658</v>
      </c>
      <c r="B2835" s="74" t="s">
        <v>2863</v>
      </c>
      <c r="C2835" s="74">
        <v>1000492869</v>
      </c>
      <c r="D2835" s="78" t="str">
        <f t="shared" si="94"/>
        <v>https://portal.dnb.de/opac.htm?method=simpleSearch&amp;cqlMode=true&amp;query=idn%3D1000492869</v>
      </c>
      <c r="E2835" s="74" t="s">
        <v>9492</v>
      </c>
      <c r="F2835" s="74"/>
      <c r="G2835" s="76"/>
      <c r="H2835" s="77" t="s">
        <v>4</v>
      </c>
      <c r="I2835" s="76" t="s">
        <v>53</v>
      </c>
      <c r="J2835" s="77" t="s">
        <v>8516</v>
      </c>
      <c r="K2835" s="77" t="s">
        <v>84</v>
      </c>
      <c r="L2835" s="76"/>
      <c r="M2835" s="76" t="s">
        <v>36</v>
      </c>
      <c r="N2835" s="76" t="s">
        <v>39</v>
      </c>
      <c r="O2835" s="76">
        <v>0</v>
      </c>
      <c r="P2835" s="76"/>
      <c r="Q2835" s="76"/>
      <c r="R2835" s="76"/>
      <c r="S2835" s="76"/>
      <c r="BD2835" s="99">
        <f t="shared" si="93"/>
        <v>0</v>
      </c>
      <c r="CC2835" s="99"/>
      <c r="CV2835" s="99"/>
      <c r="CW2835" s="63"/>
    </row>
    <row r="2836" spans="1:101" x14ac:dyDescent="0.15">
      <c r="A2836" s="76">
        <v>2659</v>
      </c>
      <c r="B2836" s="74" t="s">
        <v>2864</v>
      </c>
      <c r="C2836" s="74">
        <v>1000492540</v>
      </c>
      <c r="D2836" s="78" t="str">
        <f t="shared" si="94"/>
        <v>https://portal.dnb.de/opac.htm?method=simpleSearch&amp;cqlMode=true&amp;query=idn%3D1000492540</v>
      </c>
      <c r="E2836" s="74" t="s">
        <v>9493</v>
      </c>
      <c r="F2836" s="74"/>
      <c r="G2836" s="76"/>
      <c r="H2836" s="77" t="s">
        <v>4</v>
      </c>
      <c r="I2836" s="76" t="s">
        <v>53</v>
      </c>
      <c r="J2836" s="77" t="s">
        <v>8516</v>
      </c>
      <c r="K2836" s="77" t="s">
        <v>84</v>
      </c>
      <c r="L2836" s="76"/>
      <c r="M2836" s="76" t="s">
        <v>36</v>
      </c>
      <c r="N2836" s="76" t="s">
        <v>39</v>
      </c>
      <c r="O2836" s="76">
        <v>0</v>
      </c>
      <c r="P2836" s="76"/>
      <c r="Q2836" s="76"/>
      <c r="R2836" s="76"/>
      <c r="S2836" s="76"/>
      <c r="BD2836" s="99">
        <f t="shared" si="93"/>
        <v>0</v>
      </c>
      <c r="CC2836" s="99"/>
      <c r="CV2836" s="99"/>
      <c r="CW2836" s="63"/>
    </row>
    <row r="2837" spans="1:101" ht="22.5" x14ac:dyDescent="0.15">
      <c r="A2837" s="76">
        <v>2660</v>
      </c>
      <c r="B2837" s="74" t="s">
        <v>2865</v>
      </c>
      <c r="C2837" s="74">
        <v>1000276937</v>
      </c>
      <c r="D2837" s="78" t="str">
        <f t="shared" si="94"/>
        <v>https://portal.dnb.de/opac.htm?method=simpleSearch&amp;cqlMode=true&amp;query=idn%3D1000276937</v>
      </c>
      <c r="E2837" s="74" t="s">
        <v>9498</v>
      </c>
      <c r="F2837" s="74"/>
      <c r="G2837" s="76"/>
      <c r="H2837" s="77" t="s">
        <v>18</v>
      </c>
      <c r="I2837" s="76" t="s">
        <v>53</v>
      </c>
      <c r="J2837" s="77" t="s">
        <v>58</v>
      </c>
      <c r="K2837" s="77" t="s">
        <v>84</v>
      </c>
      <c r="L2837" s="76"/>
      <c r="M2837" s="76"/>
      <c r="N2837" s="76"/>
      <c r="O2837" s="76">
        <v>0</v>
      </c>
      <c r="P2837" s="76"/>
      <c r="Q2837" s="76"/>
      <c r="R2837" s="76"/>
      <c r="S2837" s="76"/>
      <c r="BD2837" s="99">
        <f t="shared" si="93"/>
        <v>0</v>
      </c>
      <c r="CC2837" s="99"/>
      <c r="CV2837" s="99"/>
      <c r="CW2837" s="63"/>
    </row>
    <row r="2838" spans="1:101" ht="22.5" x14ac:dyDescent="0.15">
      <c r="A2838" s="76">
        <v>2661</v>
      </c>
      <c r="B2838" s="74" t="s">
        <v>2866</v>
      </c>
      <c r="C2838" s="74">
        <v>1000276902</v>
      </c>
      <c r="D2838" s="78" t="str">
        <f t="shared" si="94"/>
        <v>https://portal.dnb.de/opac.htm?method=simpleSearch&amp;cqlMode=true&amp;query=idn%3D1000276902</v>
      </c>
      <c r="E2838" s="74" t="s">
        <v>9499</v>
      </c>
      <c r="F2838" s="74"/>
      <c r="G2838" s="76"/>
      <c r="H2838" s="77" t="s">
        <v>18</v>
      </c>
      <c r="I2838" s="76" t="s">
        <v>53</v>
      </c>
      <c r="J2838" s="77" t="s">
        <v>58</v>
      </c>
      <c r="K2838" s="77" t="s">
        <v>84</v>
      </c>
      <c r="L2838" s="76"/>
      <c r="M2838" s="76"/>
      <c r="N2838" s="76"/>
      <c r="O2838" s="76">
        <v>0</v>
      </c>
      <c r="P2838" s="76"/>
      <c r="Q2838" s="76"/>
      <c r="R2838" s="76"/>
      <c r="S2838" s="76"/>
      <c r="BD2838" s="99">
        <f t="shared" si="93"/>
        <v>0</v>
      </c>
      <c r="CC2838" s="99"/>
      <c r="CV2838" s="99"/>
      <c r="CW2838" s="63"/>
    </row>
    <row r="2839" spans="1:101" ht="22.5" x14ac:dyDescent="0.15">
      <c r="A2839" s="76">
        <v>2662</v>
      </c>
      <c r="B2839" s="74" t="s">
        <v>2867</v>
      </c>
      <c r="C2839" s="74">
        <v>1001375173</v>
      </c>
      <c r="D2839" s="78" t="str">
        <f t="shared" si="94"/>
        <v>https://portal.dnb.de/opac.htm?method=simpleSearch&amp;cqlMode=true&amp;query=idn%3D1001375173</v>
      </c>
      <c r="E2839" s="74" t="s">
        <v>9432</v>
      </c>
      <c r="F2839" s="74"/>
      <c r="G2839" s="76" t="s">
        <v>8541</v>
      </c>
      <c r="H2839" s="77" t="s">
        <v>18</v>
      </c>
      <c r="I2839" s="76" t="s">
        <v>53</v>
      </c>
      <c r="J2839" s="77" t="s">
        <v>8516</v>
      </c>
      <c r="K2839" s="77" t="s">
        <v>84</v>
      </c>
      <c r="L2839" s="76"/>
      <c r="M2839" s="76" t="s">
        <v>36</v>
      </c>
      <c r="N2839" s="76" t="s">
        <v>39</v>
      </c>
      <c r="O2839" s="76">
        <v>0</v>
      </c>
      <c r="P2839" s="76"/>
      <c r="Q2839" s="76"/>
      <c r="R2839" s="76"/>
      <c r="S2839" s="76"/>
      <c r="BD2839" s="99">
        <f t="shared" si="93"/>
        <v>0</v>
      </c>
      <c r="CC2839" s="99"/>
      <c r="CV2839" s="99"/>
      <c r="CW2839" s="63"/>
    </row>
    <row r="2840" spans="1:101" ht="22.5" x14ac:dyDescent="0.15">
      <c r="A2840" s="76">
        <v>2663</v>
      </c>
      <c r="B2840" s="74" t="s">
        <v>2868</v>
      </c>
      <c r="C2840" s="74" t="s">
        <v>2869</v>
      </c>
      <c r="D2840" s="78" t="str">
        <f t="shared" si="94"/>
        <v>https://portal.dnb.de/opac.htm?method=simpleSearch&amp;cqlMode=true&amp;query=idn%3D100137536X</v>
      </c>
      <c r="E2840" s="74" t="s">
        <v>9433</v>
      </c>
      <c r="F2840" s="74"/>
      <c r="G2840" s="76" t="s">
        <v>8541</v>
      </c>
      <c r="H2840" s="77" t="s">
        <v>18</v>
      </c>
      <c r="I2840" s="76" t="s">
        <v>53</v>
      </c>
      <c r="J2840" s="77" t="s">
        <v>8516</v>
      </c>
      <c r="K2840" s="77" t="s">
        <v>84</v>
      </c>
      <c r="L2840" s="76"/>
      <c r="M2840" s="76" t="s">
        <v>9438</v>
      </c>
      <c r="N2840" s="76" t="s">
        <v>39</v>
      </c>
      <c r="O2840" s="76">
        <v>0</v>
      </c>
      <c r="P2840" s="76"/>
      <c r="Q2840" s="76"/>
      <c r="R2840" s="76"/>
      <c r="S2840" s="76"/>
      <c r="BD2840" s="99">
        <f t="shared" si="93"/>
        <v>0</v>
      </c>
      <c r="CC2840" s="99"/>
      <c r="CV2840" s="99"/>
      <c r="CW2840" s="63"/>
    </row>
    <row r="2841" spans="1:101" ht="22.5" x14ac:dyDescent="0.15">
      <c r="A2841" s="76">
        <v>2664</v>
      </c>
      <c r="B2841" s="74" t="s">
        <v>2870</v>
      </c>
      <c r="C2841" s="74">
        <v>1001375408</v>
      </c>
      <c r="D2841" s="82" t="str">
        <f>HYPERLINK(CONCATENATE("https://portal.dnb.de/opac.htm?method=simpleSearch&amp;cqlMode=true&amp;query=idn%3D",C2841))</f>
        <v>https://portal.dnb.de/opac.htm?method=simpleSearch&amp;cqlMode=true&amp;query=idn%3D1001375408</v>
      </c>
      <c r="E2841" s="74" t="s">
        <v>9434</v>
      </c>
      <c r="F2841" s="74"/>
      <c r="G2841" s="76" t="s">
        <v>8541</v>
      </c>
      <c r="H2841" s="77" t="s">
        <v>18</v>
      </c>
      <c r="I2841" s="76" t="s">
        <v>53</v>
      </c>
      <c r="J2841" s="77" t="s">
        <v>8516</v>
      </c>
      <c r="K2841" s="77" t="s">
        <v>84</v>
      </c>
      <c r="L2841" s="76"/>
      <c r="M2841" s="76" t="s">
        <v>9438</v>
      </c>
      <c r="N2841" s="76" t="s">
        <v>39</v>
      </c>
      <c r="O2841" s="76">
        <v>0</v>
      </c>
      <c r="P2841" s="76"/>
      <c r="Q2841" s="76"/>
      <c r="R2841" s="76"/>
      <c r="S2841" s="76"/>
      <c r="BD2841" s="99">
        <f t="shared" si="93"/>
        <v>0</v>
      </c>
      <c r="CC2841" s="99"/>
      <c r="CV2841" s="99"/>
      <c r="CW2841" s="63"/>
    </row>
    <row r="2842" spans="1:101" ht="22.5" x14ac:dyDescent="0.15">
      <c r="A2842" s="76">
        <v>2665</v>
      </c>
      <c r="B2842" s="74" t="s">
        <v>2871</v>
      </c>
      <c r="C2842" s="74">
        <v>1001375556</v>
      </c>
      <c r="D2842" s="78" t="str">
        <f t="shared" si="94"/>
        <v>https://portal.dnb.de/opac.htm?method=simpleSearch&amp;cqlMode=true&amp;query=idn%3D1001375556</v>
      </c>
      <c r="E2842" s="74" t="s">
        <v>9435</v>
      </c>
      <c r="F2842" s="74"/>
      <c r="G2842" s="76" t="s">
        <v>8541</v>
      </c>
      <c r="H2842" s="77" t="s">
        <v>18</v>
      </c>
      <c r="I2842" s="76" t="s">
        <v>53</v>
      </c>
      <c r="J2842" s="77" t="s">
        <v>8516</v>
      </c>
      <c r="K2842" s="77" t="s">
        <v>84</v>
      </c>
      <c r="L2842" s="76"/>
      <c r="M2842" s="76" t="s">
        <v>9438</v>
      </c>
      <c r="N2842" s="76" t="s">
        <v>39</v>
      </c>
      <c r="O2842" s="76">
        <v>0</v>
      </c>
      <c r="P2842" s="76"/>
      <c r="Q2842" s="76"/>
      <c r="R2842" s="76"/>
      <c r="S2842" s="76"/>
      <c r="BD2842" s="99">
        <f t="shared" si="93"/>
        <v>0</v>
      </c>
      <c r="CC2842" s="99"/>
      <c r="CV2842" s="99"/>
      <c r="CW2842" s="63"/>
    </row>
    <row r="2843" spans="1:101" ht="22.5" x14ac:dyDescent="0.15">
      <c r="A2843" s="76">
        <v>2666</v>
      </c>
      <c r="B2843" s="74" t="s">
        <v>2872</v>
      </c>
      <c r="C2843" s="74">
        <v>1001375238</v>
      </c>
      <c r="D2843" s="78" t="str">
        <f t="shared" si="94"/>
        <v>https://portal.dnb.de/opac.htm?method=simpleSearch&amp;cqlMode=true&amp;query=idn%3D1001375238</v>
      </c>
      <c r="E2843" s="74" t="s">
        <v>9436</v>
      </c>
      <c r="F2843" s="74"/>
      <c r="G2843" s="76" t="s">
        <v>8541</v>
      </c>
      <c r="H2843" s="77" t="s">
        <v>18</v>
      </c>
      <c r="I2843" s="76" t="s">
        <v>53</v>
      </c>
      <c r="J2843" s="77" t="s">
        <v>8516</v>
      </c>
      <c r="K2843" s="77" t="s">
        <v>84</v>
      </c>
      <c r="L2843" s="76"/>
      <c r="M2843" s="76" t="s">
        <v>9438</v>
      </c>
      <c r="N2843" s="76" t="s">
        <v>39</v>
      </c>
      <c r="O2843" s="76">
        <v>0</v>
      </c>
      <c r="P2843" s="76"/>
      <c r="Q2843" s="76"/>
      <c r="R2843" s="76"/>
      <c r="S2843" s="76"/>
      <c r="BD2843" s="99">
        <f t="shared" si="93"/>
        <v>0</v>
      </c>
      <c r="CC2843" s="99"/>
      <c r="CV2843" s="99"/>
      <c r="CW2843" s="63"/>
    </row>
    <row r="2844" spans="1:101" ht="22.5" x14ac:dyDescent="0.15">
      <c r="A2844" s="76">
        <v>2667</v>
      </c>
      <c r="B2844" s="74" t="s">
        <v>2873</v>
      </c>
      <c r="C2844" s="74">
        <v>1001375459</v>
      </c>
      <c r="D2844" s="78" t="str">
        <f t="shared" si="94"/>
        <v>https://portal.dnb.de/opac.htm?method=simpleSearch&amp;cqlMode=true&amp;query=idn%3D1001375459</v>
      </c>
      <c r="E2844" s="74" t="s">
        <v>9437</v>
      </c>
      <c r="F2844" s="74"/>
      <c r="G2844" s="76" t="s">
        <v>8541</v>
      </c>
      <c r="H2844" s="77" t="s">
        <v>18</v>
      </c>
      <c r="I2844" s="76" t="s">
        <v>53</v>
      </c>
      <c r="J2844" s="77" t="s">
        <v>8516</v>
      </c>
      <c r="K2844" s="77" t="s">
        <v>84</v>
      </c>
      <c r="L2844" s="76"/>
      <c r="M2844" s="76" t="s">
        <v>9438</v>
      </c>
      <c r="N2844" s="76" t="s">
        <v>39</v>
      </c>
      <c r="O2844" s="76">
        <v>0</v>
      </c>
      <c r="P2844" s="76"/>
      <c r="Q2844" s="76"/>
      <c r="R2844" s="76"/>
      <c r="S2844" s="76"/>
      <c r="BD2844" s="99">
        <f t="shared" si="93"/>
        <v>0</v>
      </c>
      <c r="CC2844" s="99"/>
      <c r="CV2844" s="99"/>
      <c r="CW2844" s="63"/>
    </row>
    <row r="2845" spans="1:101" ht="22.5" x14ac:dyDescent="0.15">
      <c r="A2845" s="76">
        <v>2668</v>
      </c>
      <c r="B2845" s="74" t="s">
        <v>2874</v>
      </c>
      <c r="C2845" s="74">
        <v>996257071</v>
      </c>
      <c r="D2845" s="78" t="str">
        <f t="shared" si="94"/>
        <v>https://portal.dnb.de/opac.htm?method=simpleSearch&amp;cqlMode=true&amp;query=idn%3D996257071</v>
      </c>
      <c r="E2845" s="74" t="s">
        <v>2875</v>
      </c>
      <c r="F2845" s="74"/>
      <c r="G2845" s="76"/>
      <c r="H2845" s="77" t="s">
        <v>18</v>
      </c>
      <c r="I2845" s="76" t="s">
        <v>53</v>
      </c>
      <c r="J2845" s="77" t="s">
        <v>58</v>
      </c>
      <c r="K2845" s="77" t="s">
        <v>8577</v>
      </c>
      <c r="L2845" s="76"/>
      <c r="M2845" s="76" t="s">
        <v>36</v>
      </c>
      <c r="N2845" s="76" t="s">
        <v>39</v>
      </c>
      <c r="O2845" s="76">
        <v>0</v>
      </c>
      <c r="P2845" s="76"/>
      <c r="Q2845" s="76"/>
      <c r="R2845" s="76"/>
      <c r="S2845" s="76"/>
      <c r="BD2845" s="99">
        <f t="shared" si="93"/>
        <v>0</v>
      </c>
      <c r="CC2845" s="99"/>
      <c r="CV2845" s="99"/>
      <c r="CW2845" s="63"/>
    </row>
    <row r="2846" spans="1:101" ht="22.5" x14ac:dyDescent="0.15">
      <c r="A2846" s="76">
        <v>2669</v>
      </c>
      <c r="B2846" s="74" t="s">
        <v>2876</v>
      </c>
      <c r="C2846" s="74">
        <v>18410472</v>
      </c>
      <c r="D2846" s="78" t="str">
        <f t="shared" si="94"/>
        <v>https://portal.dnb.de/opac.htm?method=simpleSearch&amp;cqlMode=true&amp;query=idn%3D18410472</v>
      </c>
      <c r="E2846" s="74" t="s">
        <v>9439</v>
      </c>
      <c r="F2846" s="74"/>
      <c r="G2846" s="76"/>
      <c r="H2846" s="77" t="s">
        <v>18</v>
      </c>
      <c r="I2846" s="76" t="s">
        <v>53</v>
      </c>
      <c r="J2846" s="77" t="s">
        <v>8516</v>
      </c>
      <c r="K2846" s="77" t="s">
        <v>84</v>
      </c>
      <c r="L2846" s="76"/>
      <c r="M2846" s="76"/>
      <c r="N2846" s="76" t="s">
        <v>8660</v>
      </c>
      <c r="O2846" s="76">
        <v>0</v>
      </c>
      <c r="P2846" s="76"/>
      <c r="Q2846" s="76"/>
      <c r="R2846" s="76"/>
      <c r="S2846" s="76"/>
      <c r="BD2846" s="99">
        <f t="shared" si="93"/>
        <v>0</v>
      </c>
      <c r="CC2846" s="99"/>
      <c r="CV2846" s="99"/>
      <c r="CW2846" s="63"/>
    </row>
    <row r="2847" spans="1:101" ht="22.5" x14ac:dyDescent="0.15">
      <c r="A2847" s="76"/>
      <c r="B2847" s="74"/>
      <c r="C2847" s="74"/>
      <c r="D2847" s="78"/>
      <c r="E2847" s="74" t="s">
        <v>9440</v>
      </c>
      <c r="F2847" s="74"/>
      <c r="G2847" s="76"/>
      <c r="H2847" s="77" t="s">
        <v>18</v>
      </c>
      <c r="I2847" s="76" t="s">
        <v>53</v>
      </c>
      <c r="J2847" s="77" t="s">
        <v>8516</v>
      </c>
      <c r="K2847" s="77" t="s">
        <v>84</v>
      </c>
      <c r="L2847" s="76"/>
      <c r="M2847" s="76"/>
      <c r="N2847" s="76" t="s">
        <v>8660</v>
      </c>
      <c r="O2847" s="76">
        <v>0</v>
      </c>
      <c r="P2847" s="76"/>
      <c r="Q2847" s="76"/>
      <c r="R2847" s="76"/>
      <c r="S2847" s="76"/>
      <c r="BD2847" s="99">
        <f t="shared" si="93"/>
        <v>0</v>
      </c>
      <c r="CC2847" s="99"/>
      <c r="CV2847" s="99"/>
      <c r="CW2847" s="63"/>
    </row>
    <row r="2848" spans="1:101" ht="22.5" x14ac:dyDescent="0.15">
      <c r="A2848" s="76"/>
      <c r="B2848" s="74"/>
      <c r="C2848" s="74"/>
      <c r="D2848" s="78"/>
      <c r="E2848" s="74" t="s">
        <v>9440</v>
      </c>
      <c r="F2848" s="74"/>
      <c r="G2848" s="76"/>
      <c r="H2848" s="77" t="s">
        <v>18</v>
      </c>
      <c r="I2848" s="76" t="s">
        <v>53</v>
      </c>
      <c r="J2848" s="77" t="s">
        <v>8516</v>
      </c>
      <c r="K2848" s="77" t="s">
        <v>84</v>
      </c>
      <c r="L2848" s="76"/>
      <c r="M2848" s="76"/>
      <c r="N2848" s="76" t="s">
        <v>8660</v>
      </c>
      <c r="O2848" s="76">
        <v>0</v>
      </c>
      <c r="P2848" s="76"/>
      <c r="Q2848" s="76"/>
      <c r="R2848" s="76"/>
      <c r="S2848" s="76"/>
      <c r="BD2848" s="99">
        <f t="shared" si="93"/>
        <v>0</v>
      </c>
      <c r="CC2848" s="99"/>
      <c r="CV2848" s="99"/>
      <c r="CW2848" s="63"/>
    </row>
    <row r="2849" spans="1:101" ht="22.5" x14ac:dyDescent="0.15">
      <c r="A2849" s="76"/>
      <c r="B2849" s="74"/>
      <c r="C2849" s="74"/>
      <c r="D2849" s="78"/>
      <c r="E2849" s="74" t="s">
        <v>9441</v>
      </c>
      <c r="F2849" s="74"/>
      <c r="G2849" s="76"/>
      <c r="H2849" s="77" t="s">
        <v>18</v>
      </c>
      <c r="I2849" s="76" t="s">
        <v>53</v>
      </c>
      <c r="J2849" s="77" t="s">
        <v>8516</v>
      </c>
      <c r="K2849" s="77" t="s">
        <v>84</v>
      </c>
      <c r="L2849" s="76"/>
      <c r="M2849" s="76"/>
      <c r="N2849" s="76"/>
      <c r="O2849" s="76">
        <v>0</v>
      </c>
      <c r="P2849" s="76"/>
      <c r="Q2849" s="76"/>
      <c r="R2849" s="76"/>
      <c r="S2849" s="76"/>
      <c r="BD2849" s="99">
        <f t="shared" si="93"/>
        <v>0</v>
      </c>
      <c r="CC2849" s="99"/>
      <c r="CV2849" s="99"/>
      <c r="CW2849" s="63"/>
    </row>
    <row r="2850" spans="1:101" ht="22.5" x14ac:dyDescent="0.15">
      <c r="A2850" s="76"/>
      <c r="B2850" s="74"/>
      <c r="C2850" s="74"/>
      <c r="D2850" s="78"/>
      <c r="E2850" s="74" t="s">
        <v>9442</v>
      </c>
      <c r="F2850" s="74"/>
      <c r="G2850" s="76"/>
      <c r="H2850" s="77" t="s">
        <v>18</v>
      </c>
      <c r="I2850" s="76" t="s">
        <v>53</v>
      </c>
      <c r="J2850" s="77" t="s">
        <v>8516</v>
      </c>
      <c r="K2850" s="77" t="s">
        <v>84</v>
      </c>
      <c r="L2850" s="76"/>
      <c r="M2850" s="76"/>
      <c r="N2850" s="76"/>
      <c r="O2850" s="76">
        <v>0</v>
      </c>
      <c r="P2850" s="76"/>
      <c r="Q2850" s="76"/>
      <c r="R2850" s="76"/>
      <c r="S2850" s="76"/>
      <c r="BD2850" s="99">
        <f t="shared" si="93"/>
        <v>0</v>
      </c>
      <c r="CC2850" s="99"/>
      <c r="CV2850" s="99"/>
      <c r="CW2850" s="63"/>
    </row>
    <row r="2851" spans="1:101" ht="22.5" x14ac:dyDescent="0.15">
      <c r="A2851" s="76"/>
      <c r="B2851" s="74"/>
      <c r="C2851" s="74"/>
      <c r="D2851" s="78"/>
      <c r="E2851" s="74" t="s">
        <v>9443</v>
      </c>
      <c r="F2851" s="74"/>
      <c r="G2851" s="76"/>
      <c r="H2851" s="77" t="s">
        <v>18</v>
      </c>
      <c r="I2851" s="76" t="s">
        <v>53</v>
      </c>
      <c r="J2851" s="77" t="s">
        <v>8516</v>
      </c>
      <c r="K2851" s="77" t="s">
        <v>84</v>
      </c>
      <c r="L2851" s="76"/>
      <c r="M2851" s="76"/>
      <c r="N2851" s="76"/>
      <c r="O2851" s="76">
        <v>0</v>
      </c>
      <c r="P2851" s="76"/>
      <c r="Q2851" s="76"/>
      <c r="R2851" s="76" t="s">
        <v>9444</v>
      </c>
      <c r="S2851" s="76"/>
      <c r="BD2851" s="99">
        <f t="shared" si="93"/>
        <v>0</v>
      </c>
      <c r="CC2851" s="99"/>
      <c r="CV2851" s="99"/>
      <c r="CW2851" s="63"/>
    </row>
    <row r="2852" spans="1:101" ht="22.5" x14ac:dyDescent="0.15">
      <c r="A2852" s="76"/>
      <c r="B2852" s="74"/>
      <c r="C2852" s="74"/>
      <c r="D2852" s="78"/>
      <c r="E2852" s="74" t="s">
        <v>9445</v>
      </c>
      <c r="F2852" s="74"/>
      <c r="G2852" s="76"/>
      <c r="H2852" s="77" t="s">
        <v>18</v>
      </c>
      <c r="I2852" s="76" t="s">
        <v>53</v>
      </c>
      <c r="J2852" s="77" t="s">
        <v>8516</v>
      </c>
      <c r="K2852" s="77" t="s">
        <v>84</v>
      </c>
      <c r="L2852" s="76"/>
      <c r="M2852" s="76"/>
      <c r="N2852" s="76"/>
      <c r="O2852" s="76">
        <v>0</v>
      </c>
      <c r="P2852" s="76"/>
      <c r="Q2852" s="76"/>
      <c r="R2852" s="76"/>
      <c r="S2852" s="76"/>
      <c r="BD2852" s="99">
        <f t="shared" si="93"/>
        <v>0</v>
      </c>
      <c r="CC2852" s="99"/>
      <c r="CV2852" s="99"/>
      <c r="CW2852" s="63"/>
    </row>
    <row r="2853" spans="1:101" ht="22.5" x14ac:dyDescent="0.15">
      <c r="A2853" s="76"/>
      <c r="B2853" s="74"/>
      <c r="C2853" s="74"/>
      <c r="D2853" s="78"/>
      <c r="E2853" s="74" t="s">
        <v>9446</v>
      </c>
      <c r="F2853" s="74"/>
      <c r="G2853" s="76"/>
      <c r="H2853" s="77" t="s">
        <v>18</v>
      </c>
      <c r="I2853" s="76" t="s">
        <v>53</v>
      </c>
      <c r="J2853" s="77" t="s">
        <v>8516</v>
      </c>
      <c r="K2853" s="77" t="s">
        <v>84</v>
      </c>
      <c r="L2853" s="76"/>
      <c r="M2853" s="76"/>
      <c r="N2853" s="76"/>
      <c r="O2853" s="76">
        <v>0</v>
      </c>
      <c r="P2853" s="76"/>
      <c r="Q2853" s="76"/>
      <c r="R2853" s="76"/>
      <c r="S2853" s="76"/>
      <c r="BD2853" s="99">
        <f t="shared" si="93"/>
        <v>0</v>
      </c>
      <c r="CC2853" s="99"/>
      <c r="CV2853" s="99"/>
      <c r="CW2853" s="63"/>
    </row>
    <row r="2854" spans="1:101" ht="22.5" x14ac:dyDescent="0.15">
      <c r="A2854" s="76"/>
      <c r="B2854" s="74"/>
      <c r="C2854" s="74"/>
      <c r="D2854" s="78"/>
      <c r="E2854" s="74" t="s">
        <v>9447</v>
      </c>
      <c r="F2854" s="74"/>
      <c r="G2854" s="76"/>
      <c r="H2854" s="77" t="s">
        <v>18</v>
      </c>
      <c r="I2854" s="76" t="s">
        <v>53</v>
      </c>
      <c r="J2854" s="77" t="s">
        <v>8516</v>
      </c>
      <c r="K2854" s="77" t="s">
        <v>84</v>
      </c>
      <c r="L2854" s="76"/>
      <c r="M2854" s="76"/>
      <c r="N2854" s="76"/>
      <c r="O2854" s="76">
        <v>0</v>
      </c>
      <c r="P2854" s="76"/>
      <c r="Q2854" s="76"/>
      <c r="R2854" s="76" t="s">
        <v>9448</v>
      </c>
      <c r="S2854" s="76"/>
      <c r="BD2854" s="99">
        <f t="shared" si="93"/>
        <v>0</v>
      </c>
      <c r="CC2854" s="99"/>
      <c r="CV2854" s="99"/>
      <c r="CW2854" s="63"/>
    </row>
    <row r="2855" spans="1:101" ht="22.5" x14ac:dyDescent="0.15">
      <c r="A2855" s="76"/>
      <c r="B2855" s="74"/>
      <c r="C2855" s="74"/>
      <c r="D2855" s="78"/>
      <c r="E2855" s="74" t="s">
        <v>9449</v>
      </c>
      <c r="F2855" s="74"/>
      <c r="G2855" s="76"/>
      <c r="H2855" s="77" t="s">
        <v>18</v>
      </c>
      <c r="I2855" s="76" t="s">
        <v>53</v>
      </c>
      <c r="J2855" s="77" t="s">
        <v>8516</v>
      </c>
      <c r="K2855" s="77" t="s">
        <v>84</v>
      </c>
      <c r="L2855" s="76"/>
      <c r="M2855" s="76"/>
      <c r="N2855" s="76"/>
      <c r="O2855" s="76">
        <v>0</v>
      </c>
      <c r="P2855" s="76"/>
      <c r="Q2855" s="76"/>
      <c r="R2855" s="76"/>
      <c r="S2855" s="76"/>
      <c r="BD2855" s="99">
        <f t="shared" si="93"/>
        <v>0</v>
      </c>
      <c r="CC2855" s="99"/>
      <c r="CV2855" s="99"/>
      <c r="CW2855" s="63"/>
    </row>
    <row r="2856" spans="1:101" ht="22.5" x14ac:dyDescent="0.15">
      <c r="A2856" s="76"/>
      <c r="B2856" s="74"/>
      <c r="C2856" s="74"/>
      <c r="D2856" s="78"/>
      <c r="E2856" s="74" t="s">
        <v>9450</v>
      </c>
      <c r="F2856" s="74"/>
      <c r="G2856" s="76"/>
      <c r="H2856" s="77" t="s">
        <v>18</v>
      </c>
      <c r="I2856" s="76" t="s">
        <v>53</v>
      </c>
      <c r="J2856" s="77" t="s">
        <v>8516</v>
      </c>
      <c r="K2856" s="77" t="s">
        <v>84</v>
      </c>
      <c r="L2856" s="76"/>
      <c r="M2856" s="76"/>
      <c r="N2856" s="76"/>
      <c r="O2856" s="76">
        <v>0</v>
      </c>
      <c r="P2856" s="76"/>
      <c r="Q2856" s="76"/>
      <c r="R2856" s="76"/>
      <c r="S2856" s="76"/>
      <c r="BD2856" s="99">
        <f t="shared" si="93"/>
        <v>0</v>
      </c>
      <c r="CC2856" s="99"/>
      <c r="CV2856" s="99"/>
      <c r="CW2856" s="63"/>
    </row>
    <row r="2857" spans="1:101" ht="22.5" x14ac:dyDescent="0.15">
      <c r="A2857" s="76">
        <v>2670</v>
      </c>
      <c r="B2857" s="74" t="s">
        <v>2877</v>
      </c>
      <c r="C2857" s="74">
        <v>995983119</v>
      </c>
      <c r="D2857" s="78" t="str">
        <f t="shared" si="94"/>
        <v>https://portal.dnb.de/opac.htm?method=simpleSearch&amp;cqlMode=true&amp;query=idn%3D995983119</v>
      </c>
      <c r="E2857" s="74" t="s">
        <v>2878</v>
      </c>
      <c r="F2857" s="74"/>
      <c r="G2857" s="76"/>
      <c r="H2857" s="77" t="s">
        <v>18</v>
      </c>
      <c r="I2857" s="76" t="s">
        <v>53</v>
      </c>
      <c r="J2857" s="77" t="s">
        <v>8516</v>
      </c>
      <c r="K2857" s="77"/>
      <c r="L2857" s="76"/>
      <c r="M2857" s="76"/>
      <c r="N2857" s="76" t="s">
        <v>8660</v>
      </c>
      <c r="O2857" s="76">
        <v>0</v>
      </c>
      <c r="P2857" s="76"/>
      <c r="Q2857" s="76"/>
      <c r="R2857" s="76"/>
      <c r="S2857" s="76"/>
      <c r="BD2857" s="99">
        <f t="shared" si="93"/>
        <v>0</v>
      </c>
      <c r="CC2857" s="99"/>
      <c r="CV2857" s="99"/>
      <c r="CW2857" s="63"/>
    </row>
    <row r="2858" spans="1:101" ht="22.5" x14ac:dyDescent="0.15">
      <c r="A2858" s="76">
        <v>2671</v>
      </c>
      <c r="B2858" s="74" t="s">
        <v>2879</v>
      </c>
      <c r="C2858" s="74">
        <v>994317069</v>
      </c>
      <c r="D2858" s="78" t="str">
        <f t="shared" si="94"/>
        <v>https://portal.dnb.de/opac.htm?method=simpleSearch&amp;cqlMode=true&amp;query=idn%3D994317069</v>
      </c>
      <c r="E2858" s="74" t="s">
        <v>2880</v>
      </c>
      <c r="F2858" s="74"/>
      <c r="G2858" s="76"/>
      <c r="H2858" s="77" t="s">
        <v>18</v>
      </c>
      <c r="I2858" s="76" t="s">
        <v>53</v>
      </c>
      <c r="J2858" s="77" t="s">
        <v>58</v>
      </c>
      <c r="K2858" s="77" t="s">
        <v>8577</v>
      </c>
      <c r="L2858" s="76"/>
      <c r="M2858" s="76"/>
      <c r="N2858" s="76"/>
      <c r="O2858" s="76"/>
      <c r="P2858" s="76"/>
      <c r="Q2858" s="76"/>
      <c r="R2858" s="76"/>
      <c r="S2858" s="76"/>
      <c r="BD2858" s="99">
        <f t="shared" si="93"/>
        <v>0</v>
      </c>
      <c r="CC2858" s="99"/>
      <c r="CV2858" s="99"/>
      <c r="CW2858" s="63"/>
    </row>
    <row r="2859" spans="1:101" x14ac:dyDescent="0.15">
      <c r="A2859" s="76">
        <v>2672</v>
      </c>
      <c r="B2859" s="74" t="s">
        <v>2881</v>
      </c>
      <c r="C2859" s="74">
        <v>999764055</v>
      </c>
      <c r="D2859" s="78" t="str">
        <f t="shared" si="94"/>
        <v>https://portal.dnb.de/opac.htm?method=simpleSearch&amp;cqlMode=true&amp;query=idn%3D999764055</v>
      </c>
      <c r="E2859" s="74" t="s">
        <v>2882</v>
      </c>
      <c r="F2859" s="74"/>
      <c r="G2859" s="76"/>
      <c r="H2859" s="77"/>
      <c r="I2859" s="76"/>
      <c r="J2859" s="77"/>
      <c r="K2859" s="77"/>
      <c r="L2859" s="76"/>
      <c r="M2859" s="76" t="s">
        <v>36</v>
      </c>
      <c r="N2859" s="76" t="s">
        <v>39</v>
      </c>
      <c r="O2859" s="76">
        <v>0</v>
      </c>
      <c r="P2859" s="76"/>
      <c r="Q2859" s="76"/>
      <c r="R2859" s="76"/>
      <c r="S2859" s="76"/>
      <c r="BD2859" s="99">
        <f t="shared" si="93"/>
        <v>0</v>
      </c>
      <c r="CC2859" s="99"/>
      <c r="CV2859" s="99"/>
      <c r="CW2859" s="63"/>
    </row>
    <row r="2860" spans="1:101" x14ac:dyDescent="0.15">
      <c r="A2860" s="76">
        <v>2673</v>
      </c>
      <c r="B2860" s="74" t="s">
        <v>2883</v>
      </c>
      <c r="C2860" s="74">
        <v>999763989</v>
      </c>
      <c r="D2860" s="78" t="str">
        <f t="shared" si="94"/>
        <v>https://portal.dnb.de/opac.htm?method=simpleSearch&amp;cqlMode=true&amp;query=idn%3D999763989</v>
      </c>
      <c r="E2860" s="74" t="s">
        <v>2882</v>
      </c>
      <c r="F2860" s="74"/>
      <c r="G2860" s="76"/>
      <c r="H2860" s="77" t="s">
        <v>4</v>
      </c>
      <c r="I2860" s="76" t="s">
        <v>53</v>
      </c>
      <c r="J2860" s="77" t="s">
        <v>8516</v>
      </c>
      <c r="K2860" s="77" t="s">
        <v>8520</v>
      </c>
      <c r="L2860" s="76"/>
      <c r="M2860" s="76"/>
      <c r="N2860" s="76" t="s">
        <v>8660</v>
      </c>
      <c r="O2860" s="76">
        <v>0</v>
      </c>
      <c r="P2860" s="76"/>
      <c r="Q2860" s="76"/>
      <c r="R2860" s="76"/>
      <c r="S2860" s="76"/>
      <c r="BD2860" s="99">
        <f t="shared" si="93"/>
        <v>0</v>
      </c>
      <c r="CC2860" s="99"/>
      <c r="CV2860" s="99"/>
      <c r="CW2860" s="63"/>
    </row>
    <row r="2861" spans="1:101" x14ac:dyDescent="0.15">
      <c r="A2861" s="76">
        <v>2674</v>
      </c>
      <c r="B2861" s="74" t="s">
        <v>2884</v>
      </c>
      <c r="C2861" s="74">
        <v>1066456984</v>
      </c>
      <c r="D2861" s="78" t="str">
        <f t="shared" si="94"/>
        <v>https://portal.dnb.de/opac.htm?method=simpleSearch&amp;cqlMode=true&amp;query=idn%3D1066456984</v>
      </c>
      <c r="E2861" s="74" t="s">
        <v>2885</v>
      </c>
      <c r="F2861" s="74"/>
      <c r="G2861" s="76"/>
      <c r="H2861" s="77" t="s">
        <v>4</v>
      </c>
      <c r="I2861" s="76" t="s">
        <v>53</v>
      </c>
      <c r="J2861" s="77" t="s">
        <v>58</v>
      </c>
      <c r="K2861" s="77" t="s">
        <v>8520</v>
      </c>
      <c r="L2861" s="76"/>
      <c r="M2861" s="76" t="s">
        <v>36</v>
      </c>
      <c r="N2861" s="76" t="s">
        <v>39</v>
      </c>
      <c r="O2861" s="76">
        <v>0</v>
      </c>
      <c r="P2861" s="76"/>
      <c r="Q2861" s="76"/>
      <c r="R2861" s="76"/>
      <c r="S2861" s="76"/>
      <c r="BD2861" s="99">
        <f t="shared" si="93"/>
        <v>0</v>
      </c>
      <c r="CC2861" s="99"/>
      <c r="CV2861" s="99"/>
      <c r="CW2861" s="63"/>
    </row>
    <row r="2862" spans="1:101" x14ac:dyDescent="0.15">
      <c r="A2862" s="76">
        <v>2675</v>
      </c>
      <c r="B2862" s="74" t="s">
        <v>2886</v>
      </c>
      <c r="C2862" s="74">
        <v>1208740393</v>
      </c>
      <c r="D2862" s="78" t="str">
        <f t="shared" si="94"/>
        <v>https://portal.dnb.de/opac.htm?method=simpleSearch&amp;cqlMode=true&amp;query=idn%3D1208740393</v>
      </c>
      <c r="E2862" s="74" t="s">
        <v>2887</v>
      </c>
      <c r="F2862" s="74"/>
      <c r="G2862" s="76"/>
      <c r="H2862" s="77"/>
      <c r="I2862" s="76"/>
      <c r="J2862" s="77"/>
      <c r="K2862" s="77"/>
      <c r="L2862" s="76"/>
      <c r="M2862" s="76"/>
      <c r="N2862" s="76"/>
      <c r="O2862" s="76"/>
      <c r="P2862" s="76"/>
      <c r="Q2862" s="76"/>
      <c r="R2862" s="76"/>
      <c r="S2862" s="76"/>
      <c r="BD2862" s="99">
        <f t="shared" si="93"/>
        <v>0</v>
      </c>
      <c r="CC2862" s="99"/>
      <c r="CV2862" s="99"/>
      <c r="CW2862" s="63"/>
    </row>
    <row r="2863" spans="1:101" x14ac:dyDescent="0.15">
      <c r="A2863" s="76">
        <v>2676</v>
      </c>
      <c r="B2863" s="74" t="s">
        <v>2888</v>
      </c>
      <c r="C2863" s="74">
        <v>999764055</v>
      </c>
      <c r="D2863" s="78" t="str">
        <f t="shared" si="94"/>
        <v>https://portal.dnb.de/opac.htm?method=simpleSearch&amp;cqlMode=true&amp;query=idn%3D999764055</v>
      </c>
      <c r="E2863" s="74" t="s">
        <v>2889</v>
      </c>
      <c r="F2863" s="74"/>
      <c r="G2863" s="76"/>
      <c r="H2863" s="77"/>
      <c r="I2863" s="76"/>
      <c r="J2863" s="77"/>
      <c r="K2863" s="77"/>
      <c r="L2863" s="76"/>
      <c r="M2863" s="76"/>
      <c r="N2863" s="76"/>
      <c r="O2863" s="76"/>
      <c r="P2863" s="76"/>
      <c r="Q2863" s="76"/>
      <c r="R2863" s="76"/>
      <c r="S2863" s="76"/>
      <c r="BD2863" s="99">
        <f t="shared" si="93"/>
        <v>0</v>
      </c>
      <c r="CC2863" s="99"/>
      <c r="CV2863" s="99"/>
      <c r="CW2863" s="63"/>
    </row>
    <row r="2864" spans="1:101" x14ac:dyDescent="0.15">
      <c r="A2864" s="76">
        <v>2677</v>
      </c>
      <c r="B2864" s="74" t="s">
        <v>2890</v>
      </c>
      <c r="C2864" s="74">
        <v>999763989</v>
      </c>
      <c r="D2864" s="78" t="str">
        <f t="shared" si="94"/>
        <v>https://portal.dnb.de/opac.htm?method=simpleSearch&amp;cqlMode=true&amp;query=idn%3D999763989</v>
      </c>
      <c r="E2864" s="74" t="s">
        <v>2889</v>
      </c>
      <c r="F2864" s="74"/>
      <c r="G2864" s="76"/>
      <c r="H2864" s="77" t="s">
        <v>4</v>
      </c>
      <c r="I2864" s="76" t="s">
        <v>53</v>
      </c>
      <c r="J2864" s="77" t="s">
        <v>8516</v>
      </c>
      <c r="K2864" s="77" t="s">
        <v>84</v>
      </c>
      <c r="L2864" s="76"/>
      <c r="M2864" s="76"/>
      <c r="N2864" s="76" t="s">
        <v>8660</v>
      </c>
      <c r="O2864" s="76">
        <v>0</v>
      </c>
      <c r="P2864" s="76"/>
      <c r="Q2864" s="76"/>
      <c r="R2864" s="76"/>
      <c r="S2864" s="76"/>
      <c r="BD2864" s="99">
        <f t="shared" si="93"/>
        <v>0</v>
      </c>
      <c r="CC2864" s="99"/>
      <c r="CV2864" s="99"/>
      <c r="CW2864" s="63"/>
    </row>
    <row r="2865" spans="1:101" x14ac:dyDescent="0.15">
      <c r="A2865" s="76">
        <v>2678</v>
      </c>
      <c r="B2865" s="74" t="s">
        <v>2891</v>
      </c>
      <c r="C2865" s="74">
        <v>1132625335</v>
      </c>
      <c r="D2865" s="78" t="str">
        <f t="shared" si="94"/>
        <v>https://portal.dnb.de/opac.htm?method=simpleSearch&amp;cqlMode=true&amp;query=idn%3D1132625335</v>
      </c>
      <c r="E2865" s="74" t="s">
        <v>2892</v>
      </c>
      <c r="F2865" s="74"/>
      <c r="G2865" s="76"/>
      <c r="H2865" s="77"/>
      <c r="I2865" s="76"/>
      <c r="J2865" s="77"/>
      <c r="K2865" s="77"/>
      <c r="L2865" s="76"/>
      <c r="M2865" s="76"/>
      <c r="N2865" s="76"/>
      <c r="O2865" s="76"/>
      <c r="P2865" s="76"/>
      <c r="Q2865" s="76"/>
      <c r="R2865" s="76"/>
      <c r="S2865" s="76"/>
      <c r="BD2865" s="99">
        <f t="shared" si="93"/>
        <v>0</v>
      </c>
      <c r="CC2865" s="99"/>
      <c r="CV2865" s="99"/>
      <c r="CW2865" s="63"/>
    </row>
    <row r="2866" spans="1:101" x14ac:dyDescent="0.15">
      <c r="A2866" s="76">
        <v>2679</v>
      </c>
      <c r="B2866" s="74" t="s">
        <v>2893</v>
      </c>
      <c r="C2866" s="74">
        <v>1132625343</v>
      </c>
      <c r="D2866" s="78" t="str">
        <f t="shared" si="94"/>
        <v>https://portal.dnb.de/opac.htm?method=simpleSearch&amp;cqlMode=true&amp;query=idn%3D1132625343</v>
      </c>
      <c r="E2866" s="74" t="s">
        <v>2892</v>
      </c>
      <c r="F2866" s="74"/>
      <c r="G2866" s="76"/>
      <c r="H2866" s="77"/>
      <c r="I2866" s="76"/>
      <c r="J2866" s="77"/>
      <c r="K2866" s="77"/>
      <c r="L2866" s="76"/>
      <c r="M2866" s="76"/>
      <c r="N2866" s="76"/>
      <c r="O2866" s="76"/>
      <c r="P2866" s="76"/>
      <c r="Q2866" s="76"/>
      <c r="R2866" s="76"/>
      <c r="S2866" s="76"/>
      <c r="BD2866" s="99">
        <f t="shared" si="93"/>
        <v>0</v>
      </c>
      <c r="CC2866" s="99"/>
      <c r="CV2866" s="99"/>
      <c r="CW2866" s="63"/>
    </row>
    <row r="2867" spans="1:101" x14ac:dyDescent="0.15">
      <c r="A2867" s="76">
        <v>2680</v>
      </c>
      <c r="B2867" s="74" t="s">
        <v>2894</v>
      </c>
      <c r="C2867" s="74">
        <v>1132631629</v>
      </c>
      <c r="D2867" s="78" t="str">
        <f t="shared" si="94"/>
        <v>https://portal.dnb.de/opac.htm?method=simpleSearch&amp;cqlMode=true&amp;query=idn%3D1132631629</v>
      </c>
      <c r="E2867" s="74" t="s">
        <v>2895</v>
      </c>
      <c r="F2867" s="74"/>
      <c r="G2867" s="76"/>
      <c r="H2867" s="77"/>
      <c r="I2867" s="76"/>
      <c r="J2867" s="77"/>
      <c r="K2867" s="77"/>
      <c r="L2867" s="76"/>
      <c r="M2867" s="76"/>
      <c r="N2867" s="76"/>
      <c r="O2867" s="76"/>
      <c r="P2867" s="76"/>
      <c r="Q2867" s="76"/>
      <c r="R2867" s="76"/>
      <c r="S2867" s="76"/>
      <c r="BD2867" s="99">
        <f t="shared" si="93"/>
        <v>0</v>
      </c>
      <c r="CC2867" s="99"/>
      <c r="CV2867" s="99"/>
      <c r="CW2867" s="63"/>
    </row>
    <row r="2868" spans="1:101" x14ac:dyDescent="0.15">
      <c r="A2868" s="76">
        <v>2681</v>
      </c>
      <c r="B2868" s="74" t="s">
        <v>2896</v>
      </c>
      <c r="C2868" s="74">
        <v>1132631610</v>
      </c>
      <c r="D2868" s="78" t="str">
        <f t="shared" si="94"/>
        <v>https://portal.dnb.de/opac.htm?method=simpleSearch&amp;cqlMode=true&amp;query=idn%3D1132631610</v>
      </c>
      <c r="E2868" s="74" t="s">
        <v>2895</v>
      </c>
      <c r="F2868" s="74"/>
      <c r="G2868" s="76"/>
      <c r="H2868" s="77"/>
      <c r="I2868" s="76"/>
      <c r="J2868" s="77"/>
      <c r="K2868" s="77"/>
      <c r="L2868" s="76"/>
      <c r="M2868" s="76"/>
      <c r="N2868" s="76"/>
      <c r="O2868" s="76"/>
      <c r="P2868" s="76"/>
      <c r="Q2868" s="76"/>
      <c r="R2868" s="76"/>
      <c r="S2868" s="76"/>
      <c r="BD2868" s="99">
        <f t="shared" si="93"/>
        <v>0</v>
      </c>
      <c r="CC2868" s="99"/>
      <c r="CV2868" s="99"/>
      <c r="CW2868" s="63"/>
    </row>
    <row r="2869" spans="1:101" x14ac:dyDescent="0.15">
      <c r="A2869" s="76">
        <v>2682</v>
      </c>
      <c r="B2869" s="74" t="s">
        <v>2897</v>
      </c>
      <c r="C2869" s="74">
        <v>1132631599</v>
      </c>
      <c r="D2869" s="78" t="str">
        <f t="shared" si="94"/>
        <v>https://portal.dnb.de/opac.htm?method=simpleSearch&amp;cqlMode=true&amp;query=idn%3D1132631599</v>
      </c>
      <c r="E2869" s="74" t="s">
        <v>2895</v>
      </c>
      <c r="F2869" s="74"/>
      <c r="G2869" s="76"/>
      <c r="H2869" s="77"/>
      <c r="I2869" s="76"/>
      <c r="J2869" s="77"/>
      <c r="K2869" s="77"/>
      <c r="L2869" s="76"/>
      <c r="M2869" s="76"/>
      <c r="N2869" s="76"/>
      <c r="O2869" s="76"/>
      <c r="P2869" s="76"/>
      <c r="Q2869" s="76"/>
      <c r="R2869" s="76"/>
      <c r="S2869" s="76"/>
      <c r="BD2869" s="99">
        <f t="shared" si="93"/>
        <v>0</v>
      </c>
      <c r="CC2869" s="99"/>
      <c r="CV2869" s="99"/>
      <c r="CW2869" s="63"/>
    </row>
    <row r="2870" spans="1:101" x14ac:dyDescent="0.15">
      <c r="A2870" s="76">
        <v>2683</v>
      </c>
      <c r="B2870" s="74" t="s">
        <v>2898</v>
      </c>
      <c r="C2870" s="74">
        <v>1132631602</v>
      </c>
      <c r="D2870" s="78" t="str">
        <f t="shared" si="94"/>
        <v>https://portal.dnb.de/opac.htm?method=simpleSearch&amp;cqlMode=true&amp;query=idn%3D1132631602</v>
      </c>
      <c r="E2870" s="74" t="s">
        <v>2895</v>
      </c>
      <c r="F2870" s="74"/>
      <c r="G2870" s="76"/>
      <c r="H2870" s="77"/>
      <c r="I2870" s="76"/>
      <c r="J2870" s="77"/>
      <c r="K2870" s="77"/>
      <c r="L2870" s="76"/>
      <c r="M2870" s="76"/>
      <c r="N2870" s="76"/>
      <c r="O2870" s="76"/>
      <c r="P2870" s="76"/>
      <c r="Q2870" s="76"/>
      <c r="R2870" s="76"/>
      <c r="S2870" s="76"/>
      <c r="BD2870" s="99">
        <f t="shared" si="93"/>
        <v>0</v>
      </c>
      <c r="CC2870" s="99"/>
      <c r="CV2870" s="99"/>
      <c r="CW2870" s="63"/>
    </row>
    <row r="2871" spans="1:101" x14ac:dyDescent="0.15">
      <c r="A2871" s="76">
        <v>2684</v>
      </c>
      <c r="B2871" s="74" t="s">
        <v>2899</v>
      </c>
      <c r="C2871" s="74">
        <v>1017298106</v>
      </c>
      <c r="D2871" s="78" t="str">
        <f t="shared" si="94"/>
        <v>https://portal.dnb.de/opac.htm?method=simpleSearch&amp;cqlMode=true&amp;query=idn%3D1017298106</v>
      </c>
      <c r="E2871" s="74" t="s">
        <v>9835</v>
      </c>
      <c r="F2871" s="74"/>
      <c r="G2871" s="76"/>
      <c r="H2871" s="77"/>
      <c r="I2871" s="76" t="s">
        <v>54</v>
      </c>
      <c r="J2871" s="77"/>
      <c r="K2871" s="77"/>
      <c r="L2871" s="76"/>
      <c r="M2871" s="76"/>
      <c r="N2871" s="76"/>
      <c r="O2871" s="76"/>
      <c r="P2871" s="76"/>
      <c r="Q2871" s="76"/>
      <c r="R2871" s="76"/>
      <c r="S2871" s="76"/>
      <c r="Y2871" s="95" t="s">
        <v>9723</v>
      </c>
      <c r="AC2871" s="95" t="s">
        <v>9724</v>
      </c>
      <c r="AI2871" s="95" t="s">
        <v>9725</v>
      </c>
      <c r="AW2871" s="95">
        <v>45</v>
      </c>
      <c r="BC2871" s="96" t="s">
        <v>9726</v>
      </c>
      <c r="BD2871" s="99">
        <f t="shared" si="93"/>
        <v>0.5</v>
      </c>
      <c r="BQ2871" s="95" t="s">
        <v>8541</v>
      </c>
      <c r="BR2871" s="95" t="s">
        <v>8541</v>
      </c>
      <c r="CC2871" s="99">
        <v>0.5</v>
      </c>
      <c r="CV2871" s="99"/>
      <c r="CW2871" s="63"/>
    </row>
    <row r="2872" spans="1:101" x14ac:dyDescent="0.15">
      <c r="A2872" s="76">
        <v>2685</v>
      </c>
      <c r="B2872" s="74" t="s">
        <v>2900</v>
      </c>
      <c r="C2872" s="74">
        <v>1017298416</v>
      </c>
      <c r="D2872" s="78" t="str">
        <f t="shared" si="94"/>
        <v>https://portal.dnb.de/opac.htm?method=simpleSearch&amp;cqlMode=true&amp;query=idn%3D1017298416</v>
      </c>
      <c r="E2872" s="74" t="s">
        <v>9834</v>
      </c>
      <c r="F2872" s="74"/>
      <c r="G2872" s="76"/>
      <c r="H2872" s="77"/>
      <c r="I2872" s="76" t="s">
        <v>54</v>
      </c>
      <c r="J2872" s="77"/>
      <c r="K2872" s="77"/>
      <c r="L2872" s="76"/>
      <c r="M2872" s="76"/>
      <c r="N2872" s="76"/>
      <c r="O2872" s="76"/>
      <c r="P2872" s="76"/>
      <c r="Q2872" s="76"/>
      <c r="R2872" s="76"/>
      <c r="S2872" s="76"/>
      <c r="Y2872" s="95" t="s">
        <v>9723</v>
      </c>
      <c r="AC2872" s="95" t="s">
        <v>9724</v>
      </c>
      <c r="AI2872" s="95" t="s">
        <v>9725</v>
      </c>
      <c r="AW2872" s="95">
        <v>45</v>
      </c>
      <c r="BC2872" s="96" t="s">
        <v>9734</v>
      </c>
      <c r="BD2872" s="99">
        <f t="shared" si="93"/>
        <v>0</v>
      </c>
      <c r="CC2872" s="99"/>
      <c r="CV2872" s="99"/>
      <c r="CW2872" s="63"/>
    </row>
    <row r="2873" spans="1:101" x14ac:dyDescent="0.15">
      <c r="A2873" s="76">
        <v>2686</v>
      </c>
      <c r="B2873" s="74" t="s">
        <v>2901</v>
      </c>
      <c r="C2873" s="74">
        <v>1017208069</v>
      </c>
      <c r="D2873" s="78" t="str">
        <f t="shared" si="94"/>
        <v>https://portal.dnb.de/opac.htm?method=simpleSearch&amp;cqlMode=true&amp;query=idn%3D1017208069</v>
      </c>
      <c r="E2873" s="74" t="s">
        <v>9832</v>
      </c>
      <c r="F2873" s="74"/>
      <c r="G2873" s="76"/>
      <c r="H2873" s="77"/>
      <c r="I2873" s="76" t="s">
        <v>54</v>
      </c>
      <c r="J2873" s="77"/>
      <c r="K2873" s="77"/>
      <c r="L2873" s="76"/>
      <c r="M2873" s="76"/>
      <c r="N2873" s="76"/>
      <c r="O2873" s="76"/>
      <c r="P2873" s="76"/>
      <c r="Q2873" s="76"/>
      <c r="R2873" s="76"/>
      <c r="S2873" s="76"/>
      <c r="Y2873" s="95" t="s">
        <v>9723</v>
      </c>
      <c r="AC2873" s="95" t="s">
        <v>9724</v>
      </c>
      <c r="AI2873" s="95" t="s">
        <v>9725</v>
      </c>
      <c r="AW2873" s="95">
        <v>45</v>
      </c>
      <c r="BC2873" s="96" t="s">
        <v>9734</v>
      </c>
      <c r="BD2873" s="99">
        <f t="shared" si="93"/>
        <v>0</v>
      </c>
      <c r="CC2873" s="99"/>
      <c r="CV2873" s="99"/>
      <c r="CW2873" s="63"/>
    </row>
    <row r="2874" spans="1:101" x14ac:dyDescent="0.15">
      <c r="A2874" s="76">
        <v>2687</v>
      </c>
      <c r="B2874" s="74" t="s">
        <v>2902</v>
      </c>
      <c r="C2874" s="74">
        <v>1017297959</v>
      </c>
      <c r="D2874" s="78" t="str">
        <f t="shared" si="94"/>
        <v>https://portal.dnb.de/opac.htm?method=simpleSearch&amp;cqlMode=true&amp;query=idn%3D1017297959</v>
      </c>
      <c r="E2874" s="74" t="s">
        <v>9833</v>
      </c>
      <c r="F2874" s="74"/>
      <c r="G2874" s="76"/>
      <c r="H2874" s="77"/>
      <c r="I2874" s="76" t="s">
        <v>54</v>
      </c>
      <c r="J2874" s="77"/>
      <c r="K2874" s="77"/>
      <c r="L2874" s="76"/>
      <c r="M2874" s="76"/>
      <c r="N2874" s="76"/>
      <c r="O2874" s="76"/>
      <c r="P2874" s="76"/>
      <c r="Q2874" s="76"/>
      <c r="R2874" s="76"/>
      <c r="S2874" s="76"/>
      <c r="Y2874" s="95" t="s">
        <v>9723</v>
      </c>
      <c r="AC2874" s="95" t="s">
        <v>9724</v>
      </c>
      <c r="AI2874" s="95" t="s">
        <v>9725</v>
      </c>
      <c r="AW2874" s="95">
        <v>45</v>
      </c>
      <c r="BC2874" s="96" t="s">
        <v>9734</v>
      </c>
      <c r="BD2874" s="99">
        <f t="shared" si="93"/>
        <v>0</v>
      </c>
      <c r="CC2874" s="99"/>
      <c r="CV2874" s="99"/>
      <c r="CW2874" s="63"/>
    </row>
    <row r="2875" spans="1:101" x14ac:dyDescent="0.15">
      <c r="A2875" s="76">
        <v>2688</v>
      </c>
      <c r="B2875" s="74" t="s">
        <v>2903</v>
      </c>
      <c r="C2875" s="74">
        <v>999008323</v>
      </c>
      <c r="D2875" s="78" t="str">
        <f t="shared" si="94"/>
        <v>https://portal.dnb.de/opac.htm?method=simpleSearch&amp;cqlMode=true&amp;query=idn%3D999008323</v>
      </c>
      <c r="E2875" s="74" t="s">
        <v>2904</v>
      </c>
      <c r="F2875" s="74"/>
      <c r="G2875" s="76" t="s">
        <v>8515</v>
      </c>
      <c r="H2875" s="77" t="s">
        <v>17</v>
      </c>
      <c r="I2875" s="76" t="s">
        <v>53</v>
      </c>
      <c r="J2875" s="77" t="s">
        <v>8516</v>
      </c>
      <c r="K2875" s="77" t="s">
        <v>8785</v>
      </c>
      <c r="L2875" s="76"/>
      <c r="M2875" s="76" t="s">
        <v>36</v>
      </c>
      <c r="N2875" s="76" t="s">
        <v>39</v>
      </c>
      <c r="O2875" s="76">
        <v>0</v>
      </c>
      <c r="P2875" s="76"/>
      <c r="Q2875" s="76"/>
      <c r="R2875" s="76"/>
      <c r="S2875" s="76"/>
      <c r="BD2875" s="99">
        <f t="shared" si="93"/>
        <v>0</v>
      </c>
      <c r="CC2875" s="99"/>
      <c r="CV2875" s="99"/>
      <c r="CW2875" s="63"/>
    </row>
    <row r="2876" spans="1:101" x14ac:dyDescent="0.15">
      <c r="A2876" s="76">
        <v>2689</v>
      </c>
      <c r="B2876" s="74" t="s">
        <v>2905</v>
      </c>
      <c r="C2876" s="74" t="s">
        <v>2906</v>
      </c>
      <c r="D2876" s="78" t="str">
        <f t="shared" si="94"/>
        <v>https://portal.dnb.de/opac.htm?method=simpleSearch&amp;cqlMode=true&amp;query=idn%3D106931367X</v>
      </c>
      <c r="E2876" s="74" t="s">
        <v>2907</v>
      </c>
      <c r="F2876" s="74"/>
      <c r="G2876" s="76" t="s">
        <v>8515</v>
      </c>
      <c r="H2876" s="77" t="s">
        <v>4</v>
      </c>
      <c r="I2876" s="76" t="s">
        <v>53</v>
      </c>
      <c r="J2876" s="77" t="s">
        <v>8516</v>
      </c>
      <c r="K2876" s="77" t="s">
        <v>8520</v>
      </c>
      <c r="L2876" s="76"/>
      <c r="M2876" s="76" t="s">
        <v>32</v>
      </c>
      <c r="N2876" s="76" t="s">
        <v>40</v>
      </c>
      <c r="O2876" s="76">
        <v>0</v>
      </c>
      <c r="P2876" s="76"/>
      <c r="Q2876" s="76"/>
      <c r="R2876" s="76"/>
      <c r="S2876" s="76"/>
      <c r="BD2876" s="99">
        <f t="shared" si="93"/>
        <v>0</v>
      </c>
      <c r="CC2876" s="99"/>
      <c r="CV2876" s="99"/>
      <c r="CW2876" s="63"/>
    </row>
    <row r="2877" spans="1:101" x14ac:dyDescent="0.15">
      <c r="A2877" s="76">
        <v>2690</v>
      </c>
      <c r="B2877" s="74" t="s">
        <v>2908</v>
      </c>
      <c r="C2877" s="74">
        <v>1144659957</v>
      </c>
      <c r="D2877" s="78" t="str">
        <f t="shared" si="94"/>
        <v>https://portal.dnb.de/opac.htm?method=simpleSearch&amp;cqlMode=true&amp;query=idn%3D1144659957</v>
      </c>
      <c r="E2877" s="74" t="s">
        <v>2909</v>
      </c>
      <c r="F2877" s="74"/>
      <c r="G2877" s="76" t="s">
        <v>8515</v>
      </c>
      <c r="H2877" s="77" t="s">
        <v>4</v>
      </c>
      <c r="I2877" s="76" t="s">
        <v>53</v>
      </c>
      <c r="J2877" s="77" t="s">
        <v>58</v>
      </c>
      <c r="K2877" s="77" t="s">
        <v>84</v>
      </c>
      <c r="L2877" s="76"/>
      <c r="M2877" s="76" t="s">
        <v>33</v>
      </c>
      <c r="N2877" s="76" t="s">
        <v>40</v>
      </c>
      <c r="O2877" s="76">
        <v>1</v>
      </c>
      <c r="P2877" s="76"/>
      <c r="Q2877" s="76" t="s">
        <v>9500</v>
      </c>
      <c r="R2877" s="76"/>
      <c r="S2877" s="76"/>
      <c r="BD2877" s="99">
        <f t="shared" si="93"/>
        <v>0</v>
      </c>
      <c r="CC2877" s="99"/>
      <c r="CV2877" s="99"/>
      <c r="CW2877" s="63"/>
    </row>
    <row r="2878" spans="1:101" ht="22.5" x14ac:dyDescent="0.15">
      <c r="A2878" s="76">
        <v>2691</v>
      </c>
      <c r="B2878" s="74" t="s">
        <v>2910</v>
      </c>
      <c r="C2878" s="74">
        <v>996619135</v>
      </c>
      <c r="D2878" s="82" t="str">
        <f>HYPERLINK(CONCATENATE("https://portal.dnb.de/opac.htm?method=simpleSearch&amp;cqlMode=true&amp;query=idn%3D",C2878))</f>
        <v>https://portal.dnb.de/opac.htm?method=simpleSearch&amp;cqlMode=true&amp;query=idn%3D996619135</v>
      </c>
      <c r="E2878" s="74" t="s">
        <v>9469</v>
      </c>
      <c r="F2878" s="74"/>
      <c r="G2878" s="76" t="s">
        <v>8515</v>
      </c>
      <c r="H2878" s="77" t="s">
        <v>18</v>
      </c>
      <c r="I2878" s="76" t="s">
        <v>53</v>
      </c>
      <c r="J2878" s="77" t="s">
        <v>58</v>
      </c>
      <c r="K2878" s="77" t="s">
        <v>84</v>
      </c>
      <c r="L2878" s="76"/>
      <c r="M2878" s="76" t="s">
        <v>36</v>
      </c>
      <c r="N2878" s="76" t="s">
        <v>39</v>
      </c>
      <c r="O2878" s="76">
        <v>1</v>
      </c>
      <c r="P2878" s="76"/>
      <c r="Q2878" s="76"/>
      <c r="R2878" s="76"/>
      <c r="S2878" s="76"/>
      <c r="BD2878" s="99">
        <f t="shared" si="93"/>
        <v>0</v>
      </c>
      <c r="CC2878" s="99"/>
      <c r="CV2878" s="99"/>
      <c r="CW2878" s="63"/>
    </row>
    <row r="2879" spans="1:101" ht="22.5" x14ac:dyDescent="0.15">
      <c r="A2879" s="76">
        <v>2692</v>
      </c>
      <c r="B2879" s="74" t="s">
        <v>2911</v>
      </c>
      <c r="C2879" s="74">
        <v>12715786</v>
      </c>
      <c r="D2879" s="78" t="str">
        <f t="shared" si="94"/>
        <v>https://portal.dnb.de/opac.htm?method=simpleSearch&amp;cqlMode=true&amp;query=idn%3D12715786</v>
      </c>
      <c r="E2879" s="74" t="s">
        <v>2912</v>
      </c>
      <c r="F2879" s="74"/>
      <c r="G2879" s="76"/>
      <c r="H2879" s="77" t="s">
        <v>18</v>
      </c>
      <c r="I2879" s="76" t="s">
        <v>53</v>
      </c>
      <c r="J2879" s="77" t="s">
        <v>8516</v>
      </c>
      <c r="K2879" s="77" t="s">
        <v>84</v>
      </c>
      <c r="L2879" s="76"/>
      <c r="M2879" s="76" t="s">
        <v>36</v>
      </c>
      <c r="N2879" s="76" t="s">
        <v>39</v>
      </c>
      <c r="O2879" s="76">
        <v>0</v>
      </c>
      <c r="P2879" s="76"/>
      <c r="Q2879" s="76"/>
      <c r="R2879" s="76"/>
      <c r="S2879" s="76"/>
      <c r="BD2879" s="99">
        <f t="shared" si="93"/>
        <v>0</v>
      </c>
      <c r="CC2879" s="99"/>
      <c r="CV2879" s="99"/>
      <c r="CW2879" s="63"/>
    </row>
    <row r="2880" spans="1:101" x14ac:dyDescent="0.15">
      <c r="A2880" s="76">
        <v>2693</v>
      </c>
      <c r="B2880" s="74" t="s">
        <v>2913</v>
      </c>
      <c r="C2880" s="74">
        <v>997215216</v>
      </c>
      <c r="D2880" s="78" t="str">
        <f t="shared" si="94"/>
        <v>https://portal.dnb.de/opac.htm?method=simpleSearch&amp;cqlMode=true&amp;query=idn%3D997215216</v>
      </c>
      <c r="E2880" s="74" t="s">
        <v>2914</v>
      </c>
      <c r="F2880" s="74"/>
      <c r="G2880" s="76"/>
      <c r="H2880" s="77" t="s">
        <v>5</v>
      </c>
      <c r="I2880" s="76" t="s">
        <v>53</v>
      </c>
      <c r="J2880" s="77" t="s">
        <v>58</v>
      </c>
      <c r="K2880" s="77" t="s">
        <v>8520</v>
      </c>
      <c r="L2880" s="76"/>
      <c r="M2880" s="76" t="s">
        <v>36</v>
      </c>
      <c r="N2880" s="76" t="s">
        <v>39</v>
      </c>
      <c r="O2880" s="76">
        <v>0</v>
      </c>
      <c r="P2880" s="76"/>
      <c r="Q2880" s="76" t="s">
        <v>9040</v>
      </c>
      <c r="R2880" s="76"/>
      <c r="S2880" s="76"/>
      <c r="BD2880" s="99">
        <f t="shared" si="93"/>
        <v>0</v>
      </c>
      <c r="CC2880" s="99"/>
      <c r="CV2880" s="99"/>
      <c r="CW2880" s="63"/>
    </row>
    <row r="2881" spans="1:101" ht="22.5" x14ac:dyDescent="0.15">
      <c r="A2881" s="76">
        <v>2694</v>
      </c>
      <c r="B2881" s="74" t="s">
        <v>2915</v>
      </c>
      <c r="C2881" s="74">
        <v>995983313</v>
      </c>
      <c r="D2881" s="78" t="str">
        <f t="shared" si="94"/>
        <v>https://portal.dnb.de/opac.htm?method=simpleSearch&amp;cqlMode=true&amp;query=idn%3D995983313</v>
      </c>
      <c r="E2881" s="74" t="s">
        <v>2916</v>
      </c>
      <c r="F2881" s="74"/>
      <c r="G2881" s="76"/>
      <c r="H2881" s="77" t="s">
        <v>18</v>
      </c>
      <c r="I2881" s="76" t="s">
        <v>53</v>
      </c>
      <c r="J2881" s="77" t="s">
        <v>58</v>
      </c>
      <c r="K2881" s="77" t="s">
        <v>84</v>
      </c>
      <c r="L2881" s="76"/>
      <c r="M2881" s="76"/>
      <c r="N2881" s="76"/>
      <c r="O2881" s="76">
        <v>0</v>
      </c>
      <c r="P2881" s="76"/>
      <c r="Q2881" s="76"/>
      <c r="R2881" s="76"/>
      <c r="S2881" s="76"/>
      <c r="BD2881" s="99">
        <f t="shared" si="93"/>
        <v>0</v>
      </c>
      <c r="CC2881" s="99"/>
      <c r="CV2881" s="99"/>
      <c r="CW2881" s="63"/>
    </row>
    <row r="2882" spans="1:101" x14ac:dyDescent="0.15">
      <c r="A2882" s="76">
        <v>2695</v>
      </c>
      <c r="B2882" s="74" t="s">
        <v>2917</v>
      </c>
      <c r="C2882" s="74">
        <v>996243569</v>
      </c>
      <c r="D2882" s="78" t="str">
        <f t="shared" si="94"/>
        <v>https://portal.dnb.de/opac.htm?method=simpleSearch&amp;cqlMode=true&amp;query=idn%3D996243569</v>
      </c>
      <c r="E2882" s="74" t="s">
        <v>9457</v>
      </c>
      <c r="F2882" s="74"/>
      <c r="G2882" s="76"/>
      <c r="H2882" s="77" t="s">
        <v>4</v>
      </c>
      <c r="I2882" s="76" t="s">
        <v>53</v>
      </c>
      <c r="J2882" s="77" t="s">
        <v>8516</v>
      </c>
      <c r="K2882" s="77" t="s">
        <v>8520</v>
      </c>
      <c r="L2882" s="76"/>
      <c r="M2882" s="76" t="s">
        <v>36</v>
      </c>
      <c r="N2882" s="76" t="s">
        <v>39</v>
      </c>
      <c r="O2882" s="76">
        <v>0</v>
      </c>
      <c r="P2882" s="76"/>
      <c r="Q2882" s="76"/>
      <c r="R2882" s="76"/>
      <c r="S2882" s="76"/>
      <c r="BD2882" s="99">
        <f t="shared" si="93"/>
        <v>0</v>
      </c>
      <c r="CC2882" s="99"/>
      <c r="CV2882" s="99"/>
      <c r="CW2882" s="63"/>
    </row>
    <row r="2883" spans="1:101" x14ac:dyDescent="0.15">
      <c r="A2883" s="76">
        <v>2696</v>
      </c>
      <c r="B2883" s="74" t="s">
        <v>2918</v>
      </c>
      <c r="C2883" s="74">
        <v>996243704</v>
      </c>
      <c r="D2883" s="82" t="str">
        <f>HYPERLINK(CONCATENATE("https://portal.dnb.de/opac.htm?method=simpleSearch&amp;cqlMode=true&amp;query=idn%3D",C2883))</f>
        <v>https://portal.dnb.de/opac.htm?method=simpleSearch&amp;cqlMode=true&amp;query=idn%3D996243704</v>
      </c>
      <c r="E2883" s="74" t="s">
        <v>9456</v>
      </c>
      <c r="F2883" s="74"/>
      <c r="G2883" s="76"/>
      <c r="H2883" s="77" t="s">
        <v>4</v>
      </c>
      <c r="I2883" s="76" t="s">
        <v>53</v>
      </c>
      <c r="J2883" s="77" t="s">
        <v>8516</v>
      </c>
      <c r="K2883" s="77" t="s">
        <v>8520</v>
      </c>
      <c r="L2883" s="76"/>
      <c r="M2883" s="76" t="s">
        <v>36</v>
      </c>
      <c r="N2883" s="76" t="s">
        <v>39</v>
      </c>
      <c r="O2883" s="76">
        <v>1</v>
      </c>
      <c r="P2883" s="76"/>
      <c r="Q2883" s="76"/>
      <c r="R2883" s="76"/>
      <c r="S2883" s="76"/>
      <c r="BD2883" s="99">
        <f t="shared" ref="BD2883:BD2946" si="95">CC2883+CV2883</f>
        <v>0</v>
      </c>
      <c r="CC2883" s="99"/>
      <c r="CV2883" s="99"/>
      <c r="CW2883" s="63"/>
    </row>
    <row r="2884" spans="1:101" x14ac:dyDescent="0.15">
      <c r="A2884" s="76">
        <v>2697</v>
      </c>
      <c r="B2884" s="74" t="s">
        <v>2919</v>
      </c>
      <c r="C2884" s="74">
        <v>996243844</v>
      </c>
      <c r="D2884" s="78" t="str">
        <f t="shared" si="94"/>
        <v>https://portal.dnb.de/opac.htm?method=simpleSearch&amp;cqlMode=true&amp;query=idn%3D996243844</v>
      </c>
      <c r="E2884" s="74" t="s">
        <v>9458</v>
      </c>
      <c r="F2884" s="74"/>
      <c r="G2884" s="76"/>
      <c r="H2884" s="77" t="s">
        <v>4</v>
      </c>
      <c r="I2884" s="76" t="s">
        <v>53</v>
      </c>
      <c r="J2884" s="77" t="s">
        <v>8516</v>
      </c>
      <c r="K2884" s="77" t="s">
        <v>8520</v>
      </c>
      <c r="L2884" s="76"/>
      <c r="M2884" s="76" t="s">
        <v>36</v>
      </c>
      <c r="N2884" s="76" t="s">
        <v>39</v>
      </c>
      <c r="O2884" s="76">
        <v>0</v>
      </c>
      <c r="P2884" s="76"/>
      <c r="Q2884" s="76"/>
      <c r="R2884" s="76"/>
      <c r="S2884" s="76"/>
      <c r="BD2884" s="99">
        <f t="shared" si="95"/>
        <v>0</v>
      </c>
      <c r="CC2884" s="99"/>
      <c r="CV2884" s="99"/>
      <c r="CW2884" s="63"/>
    </row>
    <row r="2885" spans="1:101" x14ac:dyDescent="0.15">
      <c r="A2885" s="76">
        <v>2698</v>
      </c>
      <c r="B2885" s="74" t="s">
        <v>2920</v>
      </c>
      <c r="C2885" s="74">
        <v>996248803</v>
      </c>
      <c r="D2885" s="78" t="str">
        <f t="shared" si="94"/>
        <v>https://portal.dnb.de/opac.htm?method=simpleSearch&amp;cqlMode=true&amp;query=idn%3D996248803</v>
      </c>
      <c r="E2885" s="74" t="s">
        <v>9459</v>
      </c>
      <c r="F2885" s="74"/>
      <c r="G2885" s="76"/>
      <c r="H2885" s="77" t="s">
        <v>4</v>
      </c>
      <c r="I2885" s="76" t="s">
        <v>53</v>
      </c>
      <c r="J2885" s="77" t="s">
        <v>8516</v>
      </c>
      <c r="K2885" s="77" t="s">
        <v>8520</v>
      </c>
      <c r="L2885" s="76"/>
      <c r="M2885" s="76" t="s">
        <v>36</v>
      </c>
      <c r="N2885" s="76" t="s">
        <v>39</v>
      </c>
      <c r="O2885" s="76">
        <v>0</v>
      </c>
      <c r="P2885" s="76"/>
      <c r="Q2885" s="76"/>
      <c r="R2885" s="76"/>
      <c r="S2885" s="76"/>
      <c r="BD2885" s="99">
        <f t="shared" si="95"/>
        <v>0</v>
      </c>
      <c r="CC2885" s="99"/>
      <c r="CV2885" s="99"/>
      <c r="CW2885" s="63"/>
    </row>
    <row r="2886" spans="1:101" x14ac:dyDescent="0.15">
      <c r="A2886" s="76">
        <v>2699</v>
      </c>
      <c r="B2886" s="74" t="s">
        <v>2921</v>
      </c>
      <c r="C2886" s="74">
        <v>996249648</v>
      </c>
      <c r="D2886" s="78" t="str">
        <f t="shared" si="94"/>
        <v>https://portal.dnb.de/opac.htm?method=simpleSearch&amp;cqlMode=true&amp;query=idn%3D996249648</v>
      </c>
      <c r="E2886" s="74" t="s">
        <v>9460</v>
      </c>
      <c r="F2886" s="74"/>
      <c r="G2886" s="76"/>
      <c r="H2886" s="77" t="s">
        <v>4</v>
      </c>
      <c r="I2886" s="76" t="s">
        <v>53</v>
      </c>
      <c r="J2886" s="77" t="s">
        <v>8516</v>
      </c>
      <c r="K2886" s="77" t="s">
        <v>8520</v>
      </c>
      <c r="L2886" s="76"/>
      <c r="M2886" s="76" t="s">
        <v>36</v>
      </c>
      <c r="N2886" s="76" t="s">
        <v>39</v>
      </c>
      <c r="O2886" s="76">
        <v>1</v>
      </c>
      <c r="P2886" s="76"/>
      <c r="Q2886" s="76"/>
      <c r="R2886" s="76"/>
      <c r="S2886" s="76"/>
      <c r="BD2886" s="99">
        <f t="shared" si="95"/>
        <v>0</v>
      </c>
      <c r="CC2886" s="99"/>
      <c r="CV2886" s="99"/>
      <c r="CW2886" s="63"/>
    </row>
    <row r="2887" spans="1:101" x14ac:dyDescent="0.15">
      <c r="A2887" s="76">
        <v>2700</v>
      </c>
      <c r="B2887" s="74" t="s">
        <v>2922</v>
      </c>
      <c r="C2887" s="74">
        <v>996243968</v>
      </c>
      <c r="D2887" s="78" t="str">
        <f t="shared" si="94"/>
        <v>https://portal.dnb.de/opac.htm?method=simpleSearch&amp;cqlMode=true&amp;query=idn%3D996243968</v>
      </c>
      <c r="E2887" s="74" t="s">
        <v>9461</v>
      </c>
      <c r="F2887" s="74"/>
      <c r="G2887" s="76"/>
      <c r="H2887" s="77" t="s">
        <v>4</v>
      </c>
      <c r="I2887" s="76" t="s">
        <v>53</v>
      </c>
      <c r="J2887" s="77" t="s">
        <v>8516</v>
      </c>
      <c r="K2887" s="77" t="s">
        <v>8520</v>
      </c>
      <c r="L2887" s="76"/>
      <c r="M2887" s="76" t="s">
        <v>36</v>
      </c>
      <c r="N2887" s="76" t="s">
        <v>39</v>
      </c>
      <c r="O2887" s="76">
        <v>2</v>
      </c>
      <c r="P2887" s="76"/>
      <c r="Q2887" s="76"/>
      <c r="R2887" s="76"/>
      <c r="S2887" s="76"/>
      <c r="BD2887" s="99">
        <f t="shared" si="95"/>
        <v>0</v>
      </c>
      <c r="CC2887" s="99"/>
      <c r="CV2887" s="99"/>
      <c r="CW2887" s="63"/>
    </row>
    <row r="2888" spans="1:101" ht="33.75" x14ac:dyDescent="0.15">
      <c r="A2888" s="76">
        <v>2701</v>
      </c>
      <c r="B2888" s="74" t="s">
        <v>2923</v>
      </c>
      <c r="C2888" s="74">
        <v>996248919</v>
      </c>
      <c r="D2888" s="82" t="str">
        <f>HYPERLINK(CONCATENATE("https://portal.dnb.de/opac.htm?method=simpleSearch&amp;cqlMode=true&amp;query=idn%3D",C2888))</f>
        <v>https://portal.dnb.de/opac.htm?method=simpleSearch&amp;cqlMode=true&amp;query=idn%3D996248919</v>
      </c>
      <c r="E2888" s="74" t="s">
        <v>9462</v>
      </c>
      <c r="F2888" s="74"/>
      <c r="G2888" s="76"/>
      <c r="H2888" s="77" t="s">
        <v>4</v>
      </c>
      <c r="I2888" s="76" t="s">
        <v>53</v>
      </c>
      <c r="J2888" s="77" t="s">
        <v>8516</v>
      </c>
      <c r="K2888" s="77" t="s">
        <v>8667</v>
      </c>
      <c r="L2888" s="76"/>
      <c r="M2888" s="76" t="s">
        <v>36</v>
      </c>
      <c r="N2888" s="76" t="s">
        <v>39</v>
      </c>
      <c r="O2888" s="76">
        <v>2</v>
      </c>
      <c r="P2888" s="76"/>
      <c r="Q2888" s="76"/>
      <c r="R2888" s="76"/>
      <c r="S2888" s="76"/>
      <c r="BD2888" s="99">
        <f t="shared" si="95"/>
        <v>0</v>
      </c>
      <c r="CC2888" s="99"/>
      <c r="CV2888" s="99"/>
      <c r="CW2888" s="63"/>
    </row>
    <row r="2889" spans="1:101" x14ac:dyDescent="0.15">
      <c r="A2889" s="76">
        <v>2702</v>
      </c>
      <c r="B2889" s="74" t="s">
        <v>2924</v>
      </c>
      <c r="C2889" s="74">
        <v>996248986</v>
      </c>
      <c r="D2889" s="78" t="str">
        <f t="shared" si="94"/>
        <v>https://portal.dnb.de/opac.htm?method=simpleSearch&amp;cqlMode=true&amp;query=idn%3D996248986</v>
      </c>
      <c r="E2889" s="74" t="s">
        <v>9463</v>
      </c>
      <c r="F2889" s="74"/>
      <c r="G2889" s="76"/>
      <c r="H2889" s="77" t="s">
        <v>4</v>
      </c>
      <c r="I2889" s="76" t="s">
        <v>53</v>
      </c>
      <c r="J2889" s="77" t="s">
        <v>8516</v>
      </c>
      <c r="K2889" s="77" t="s">
        <v>8520</v>
      </c>
      <c r="L2889" s="76"/>
      <c r="M2889" s="76" t="s">
        <v>36</v>
      </c>
      <c r="N2889" s="76" t="s">
        <v>39</v>
      </c>
      <c r="O2889" s="76">
        <v>0</v>
      </c>
      <c r="P2889" s="76"/>
      <c r="Q2889" s="76"/>
      <c r="R2889" s="76"/>
      <c r="S2889" s="76"/>
      <c r="BD2889" s="99">
        <f t="shared" si="95"/>
        <v>0</v>
      </c>
      <c r="CC2889" s="99"/>
      <c r="CV2889" s="99"/>
      <c r="CW2889" s="63"/>
    </row>
    <row r="2890" spans="1:101" x14ac:dyDescent="0.15">
      <c r="A2890" s="76">
        <v>2703</v>
      </c>
      <c r="B2890" s="74" t="s">
        <v>2925</v>
      </c>
      <c r="C2890" s="74">
        <v>996249109</v>
      </c>
      <c r="D2890" s="78" t="str">
        <f t="shared" si="94"/>
        <v>https://portal.dnb.de/opac.htm?method=simpleSearch&amp;cqlMode=true&amp;query=idn%3D996249109</v>
      </c>
      <c r="E2890" s="74" t="s">
        <v>9464</v>
      </c>
      <c r="F2890" s="74"/>
      <c r="G2890" s="76"/>
      <c r="H2890" s="77" t="s">
        <v>4</v>
      </c>
      <c r="I2890" s="76" t="s">
        <v>53</v>
      </c>
      <c r="J2890" s="77" t="s">
        <v>8516</v>
      </c>
      <c r="K2890" s="77" t="s">
        <v>8520</v>
      </c>
      <c r="L2890" s="76"/>
      <c r="M2890" s="76" t="s">
        <v>36</v>
      </c>
      <c r="N2890" s="76" t="s">
        <v>39</v>
      </c>
      <c r="O2890" s="76">
        <v>0</v>
      </c>
      <c r="P2890" s="76"/>
      <c r="Q2890" s="76"/>
      <c r="R2890" s="76"/>
      <c r="S2890" s="76"/>
      <c r="BD2890" s="99">
        <f t="shared" si="95"/>
        <v>0</v>
      </c>
      <c r="CC2890" s="99"/>
      <c r="CV2890" s="99"/>
      <c r="CW2890" s="63"/>
    </row>
    <row r="2891" spans="1:101" x14ac:dyDescent="0.15">
      <c r="A2891" s="76">
        <v>2704</v>
      </c>
      <c r="B2891" s="74" t="s">
        <v>2926</v>
      </c>
      <c r="C2891" s="74">
        <v>996249230</v>
      </c>
      <c r="D2891" s="78" t="str">
        <f t="shared" si="94"/>
        <v>https://portal.dnb.de/opac.htm?method=simpleSearch&amp;cqlMode=true&amp;query=idn%3D996249230</v>
      </c>
      <c r="E2891" s="74" t="s">
        <v>9465</v>
      </c>
      <c r="F2891" s="74"/>
      <c r="G2891" s="76"/>
      <c r="H2891" s="77" t="s">
        <v>4</v>
      </c>
      <c r="I2891" s="76" t="s">
        <v>53</v>
      </c>
      <c r="J2891" s="77" t="s">
        <v>8516</v>
      </c>
      <c r="K2891" s="77" t="s">
        <v>8520</v>
      </c>
      <c r="L2891" s="76"/>
      <c r="M2891" s="76" t="s">
        <v>36</v>
      </c>
      <c r="N2891" s="76" t="s">
        <v>39</v>
      </c>
      <c r="O2891" s="76">
        <v>0</v>
      </c>
      <c r="P2891" s="76"/>
      <c r="Q2891" s="76"/>
      <c r="R2891" s="76"/>
      <c r="S2891" s="76"/>
      <c r="BD2891" s="99">
        <f t="shared" si="95"/>
        <v>0</v>
      </c>
      <c r="CC2891" s="99"/>
      <c r="CV2891" s="99"/>
      <c r="CW2891" s="63"/>
    </row>
    <row r="2892" spans="1:101" x14ac:dyDescent="0.15">
      <c r="A2892" s="76">
        <v>2705</v>
      </c>
      <c r="B2892" s="74" t="s">
        <v>2927</v>
      </c>
      <c r="C2892" s="74">
        <v>996251804</v>
      </c>
      <c r="D2892" s="82" t="str">
        <f>HYPERLINK(CONCATENATE("https://portal.dnb.de/opac.htm?method=simpleSearch&amp;cqlMode=true&amp;query=idn%3D",C2892))</f>
        <v>https://portal.dnb.de/opac.htm?method=simpleSearch&amp;cqlMode=true&amp;query=idn%3D996251804</v>
      </c>
      <c r="E2892" s="74" t="s">
        <v>9472</v>
      </c>
      <c r="F2892" s="74"/>
      <c r="G2892" s="76" t="s">
        <v>8515</v>
      </c>
      <c r="H2892" s="77" t="s">
        <v>5</v>
      </c>
      <c r="I2892" s="76" t="s">
        <v>53</v>
      </c>
      <c r="J2892" s="77" t="s">
        <v>58</v>
      </c>
      <c r="K2892" s="77" t="s">
        <v>8520</v>
      </c>
      <c r="L2892" s="76"/>
      <c r="M2892" s="76" t="s">
        <v>36</v>
      </c>
      <c r="N2892" s="76" t="s">
        <v>40</v>
      </c>
      <c r="O2892" s="76">
        <v>2</v>
      </c>
      <c r="P2892" s="76"/>
      <c r="Q2892" s="76"/>
      <c r="R2892" s="76"/>
      <c r="S2892" s="76"/>
      <c r="BD2892" s="99">
        <f t="shared" si="95"/>
        <v>0</v>
      </c>
      <c r="CC2892" s="99"/>
      <c r="CV2892" s="99"/>
      <c r="CW2892" s="63"/>
    </row>
    <row r="2893" spans="1:101" x14ac:dyDescent="0.15">
      <c r="A2893" s="76">
        <v>2706</v>
      </c>
      <c r="B2893" s="74" t="s">
        <v>2928</v>
      </c>
      <c r="C2893" s="74">
        <v>996252118</v>
      </c>
      <c r="D2893" s="78" t="str">
        <f t="shared" si="94"/>
        <v>https://portal.dnb.de/opac.htm?method=simpleSearch&amp;cqlMode=true&amp;query=idn%3D996252118</v>
      </c>
      <c r="E2893" s="74" t="s">
        <v>9473</v>
      </c>
      <c r="F2893" s="74"/>
      <c r="G2893" s="76"/>
      <c r="H2893" s="77" t="s">
        <v>5</v>
      </c>
      <c r="I2893" s="76" t="s">
        <v>53</v>
      </c>
      <c r="J2893" s="77" t="s">
        <v>58</v>
      </c>
      <c r="K2893" s="77" t="s">
        <v>8520</v>
      </c>
      <c r="L2893" s="76"/>
      <c r="M2893" s="76" t="s">
        <v>36</v>
      </c>
      <c r="N2893" s="76" t="s">
        <v>40</v>
      </c>
      <c r="O2893" s="76">
        <v>1</v>
      </c>
      <c r="P2893" s="76"/>
      <c r="Q2893" s="76"/>
      <c r="R2893" s="76"/>
      <c r="S2893" s="76"/>
      <c r="BD2893" s="99">
        <f t="shared" si="95"/>
        <v>0</v>
      </c>
      <c r="CC2893" s="99"/>
      <c r="CV2893" s="99"/>
      <c r="CW2893" s="63"/>
    </row>
    <row r="2894" spans="1:101" x14ac:dyDescent="0.15">
      <c r="A2894" s="76">
        <v>2707</v>
      </c>
      <c r="B2894" s="74" t="s">
        <v>2929</v>
      </c>
      <c r="C2894" s="74">
        <v>996252401</v>
      </c>
      <c r="D2894" s="82" t="str">
        <f t="shared" ref="D2894:D2900" si="96">HYPERLINK(CONCATENATE("https://portal.dnb.de/opac.htm?method=simpleSearch&amp;cqlMode=true&amp;query=idn%3D",C2894))</f>
        <v>https://portal.dnb.de/opac.htm?method=simpleSearch&amp;cqlMode=true&amp;query=idn%3D996252401</v>
      </c>
      <c r="E2894" s="74" t="s">
        <v>9474</v>
      </c>
      <c r="F2894" s="74"/>
      <c r="G2894" s="76" t="s">
        <v>8515</v>
      </c>
      <c r="H2894" s="77" t="s">
        <v>5</v>
      </c>
      <c r="I2894" s="76" t="s">
        <v>53</v>
      </c>
      <c r="J2894" s="77" t="s">
        <v>58</v>
      </c>
      <c r="K2894" s="77" t="s">
        <v>8520</v>
      </c>
      <c r="L2894" s="76"/>
      <c r="M2894" s="76" t="s">
        <v>36</v>
      </c>
      <c r="N2894" s="76" t="s">
        <v>39</v>
      </c>
      <c r="O2894" s="76">
        <v>2</v>
      </c>
      <c r="P2894" s="76"/>
      <c r="Q2894" s="76"/>
      <c r="R2894" s="76"/>
      <c r="S2894" s="76"/>
      <c r="BD2894" s="99">
        <f t="shared" si="95"/>
        <v>0</v>
      </c>
      <c r="CC2894" s="99"/>
      <c r="CV2894" s="99"/>
      <c r="CW2894" s="63"/>
    </row>
    <row r="2895" spans="1:101" x14ac:dyDescent="0.15">
      <c r="A2895" s="76">
        <v>2708</v>
      </c>
      <c r="B2895" s="74" t="s">
        <v>2930</v>
      </c>
      <c r="C2895" s="74">
        <v>996252495</v>
      </c>
      <c r="D2895" s="82" t="str">
        <f t="shared" si="96"/>
        <v>https://portal.dnb.de/opac.htm?method=simpleSearch&amp;cqlMode=true&amp;query=idn%3D996252495</v>
      </c>
      <c r="E2895" s="74" t="s">
        <v>9475</v>
      </c>
      <c r="F2895" s="74"/>
      <c r="G2895" s="76"/>
      <c r="H2895" s="77" t="s">
        <v>5</v>
      </c>
      <c r="I2895" s="76" t="s">
        <v>53</v>
      </c>
      <c r="J2895" s="77" t="s">
        <v>58</v>
      </c>
      <c r="K2895" s="77" t="s">
        <v>8520</v>
      </c>
      <c r="L2895" s="76"/>
      <c r="M2895" s="76" t="s">
        <v>36</v>
      </c>
      <c r="N2895" s="76" t="s">
        <v>39</v>
      </c>
      <c r="O2895" s="76">
        <v>1</v>
      </c>
      <c r="P2895" s="76"/>
      <c r="Q2895" s="76"/>
      <c r="R2895" s="76"/>
      <c r="S2895" s="76"/>
      <c r="BD2895" s="99">
        <f t="shared" si="95"/>
        <v>0</v>
      </c>
      <c r="CC2895" s="99"/>
      <c r="CV2895" s="99"/>
      <c r="CW2895" s="63"/>
    </row>
    <row r="2896" spans="1:101" x14ac:dyDescent="0.15">
      <c r="A2896" s="76">
        <v>2709</v>
      </c>
      <c r="B2896" s="74" t="s">
        <v>2931</v>
      </c>
      <c r="C2896" s="74">
        <v>996252916</v>
      </c>
      <c r="D2896" s="82" t="str">
        <f t="shared" si="96"/>
        <v>https://portal.dnb.de/opac.htm?method=simpleSearch&amp;cqlMode=true&amp;query=idn%3D996252916</v>
      </c>
      <c r="E2896" s="74" t="s">
        <v>9476</v>
      </c>
      <c r="F2896" s="74"/>
      <c r="G2896" s="76"/>
      <c r="H2896" s="77" t="s">
        <v>5</v>
      </c>
      <c r="I2896" s="76" t="s">
        <v>53</v>
      </c>
      <c r="J2896" s="77" t="s">
        <v>58</v>
      </c>
      <c r="K2896" s="77" t="s">
        <v>8520</v>
      </c>
      <c r="L2896" s="76"/>
      <c r="M2896" s="76" t="s">
        <v>36</v>
      </c>
      <c r="N2896" s="76" t="s">
        <v>39</v>
      </c>
      <c r="O2896" s="76">
        <v>1</v>
      </c>
      <c r="P2896" s="76"/>
      <c r="Q2896" s="76" t="s">
        <v>9040</v>
      </c>
      <c r="R2896" s="76"/>
      <c r="S2896" s="76"/>
      <c r="BD2896" s="99">
        <f t="shared" si="95"/>
        <v>0</v>
      </c>
      <c r="CC2896" s="99"/>
      <c r="CV2896" s="99"/>
      <c r="CW2896" s="63"/>
    </row>
    <row r="2897" spans="1:101" x14ac:dyDescent="0.15">
      <c r="A2897" s="76">
        <v>2710</v>
      </c>
      <c r="B2897" s="74" t="s">
        <v>2932</v>
      </c>
      <c r="C2897" s="74">
        <v>996252800</v>
      </c>
      <c r="D2897" s="82" t="str">
        <f t="shared" si="96"/>
        <v>https://portal.dnb.de/opac.htm?method=simpleSearch&amp;cqlMode=true&amp;query=idn%3D996252800</v>
      </c>
      <c r="E2897" s="74" t="s">
        <v>9477</v>
      </c>
      <c r="F2897" s="74"/>
      <c r="G2897" s="76" t="s">
        <v>8515</v>
      </c>
      <c r="H2897" s="77" t="s">
        <v>5</v>
      </c>
      <c r="I2897" s="76" t="s">
        <v>53</v>
      </c>
      <c r="J2897" s="77" t="s">
        <v>58</v>
      </c>
      <c r="K2897" s="77" t="s">
        <v>8520</v>
      </c>
      <c r="L2897" s="76"/>
      <c r="M2897" s="76" t="s">
        <v>36</v>
      </c>
      <c r="N2897" s="76" t="s">
        <v>39</v>
      </c>
      <c r="O2897" s="76">
        <v>1</v>
      </c>
      <c r="P2897" s="76"/>
      <c r="Q2897" s="76" t="s">
        <v>9040</v>
      </c>
      <c r="R2897" s="76"/>
      <c r="S2897" s="76"/>
      <c r="BD2897" s="99">
        <f t="shared" si="95"/>
        <v>0</v>
      </c>
      <c r="CC2897" s="99"/>
      <c r="CV2897" s="99"/>
      <c r="CW2897" s="63"/>
    </row>
    <row r="2898" spans="1:101" x14ac:dyDescent="0.15">
      <c r="A2898" s="76">
        <v>2711</v>
      </c>
      <c r="B2898" s="74" t="s">
        <v>2933</v>
      </c>
      <c r="C2898" s="74">
        <v>996252983</v>
      </c>
      <c r="D2898" s="82" t="str">
        <f t="shared" si="96"/>
        <v>https://portal.dnb.de/opac.htm?method=simpleSearch&amp;cqlMode=true&amp;query=idn%3D996252983</v>
      </c>
      <c r="E2898" s="74" t="s">
        <v>9478</v>
      </c>
      <c r="F2898" s="74"/>
      <c r="G2898" s="76"/>
      <c r="H2898" s="77" t="s">
        <v>5</v>
      </c>
      <c r="I2898" s="76" t="s">
        <v>53</v>
      </c>
      <c r="J2898" s="77" t="s">
        <v>58</v>
      </c>
      <c r="K2898" s="77" t="s">
        <v>8520</v>
      </c>
      <c r="L2898" s="76"/>
      <c r="M2898" s="76" t="s">
        <v>36</v>
      </c>
      <c r="N2898" s="76" t="s">
        <v>39</v>
      </c>
      <c r="O2898" s="76">
        <v>1</v>
      </c>
      <c r="P2898" s="76"/>
      <c r="Q2898" s="76" t="s">
        <v>9040</v>
      </c>
      <c r="R2898" s="76"/>
      <c r="S2898" s="76"/>
      <c r="BD2898" s="99">
        <f t="shared" si="95"/>
        <v>0</v>
      </c>
      <c r="CC2898" s="99"/>
      <c r="CV2898" s="99"/>
      <c r="CW2898" s="63"/>
    </row>
    <row r="2899" spans="1:101" x14ac:dyDescent="0.15">
      <c r="A2899" s="76">
        <v>2712</v>
      </c>
      <c r="B2899" s="74" t="s">
        <v>2934</v>
      </c>
      <c r="C2899" s="74">
        <v>996252584</v>
      </c>
      <c r="D2899" s="82" t="str">
        <f t="shared" si="96"/>
        <v>https://portal.dnb.de/opac.htm?method=simpleSearch&amp;cqlMode=true&amp;query=idn%3D996252584</v>
      </c>
      <c r="E2899" s="74" t="s">
        <v>9479</v>
      </c>
      <c r="F2899" s="74"/>
      <c r="G2899" s="76"/>
      <c r="H2899" s="77" t="s">
        <v>5</v>
      </c>
      <c r="I2899" s="76" t="s">
        <v>53</v>
      </c>
      <c r="J2899" s="77" t="s">
        <v>58</v>
      </c>
      <c r="K2899" s="77" t="s">
        <v>8520</v>
      </c>
      <c r="L2899" s="76"/>
      <c r="M2899" s="76" t="s">
        <v>36</v>
      </c>
      <c r="N2899" s="76" t="s">
        <v>39</v>
      </c>
      <c r="O2899" s="76">
        <v>1</v>
      </c>
      <c r="P2899" s="76"/>
      <c r="Q2899" s="76"/>
      <c r="R2899" s="76"/>
      <c r="S2899" s="76"/>
      <c r="BD2899" s="99">
        <f t="shared" si="95"/>
        <v>0</v>
      </c>
      <c r="CC2899" s="99"/>
      <c r="CV2899" s="99"/>
      <c r="CW2899" s="63"/>
    </row>
    <row r="2900" spans="1:101" x14ac:dyDescent="0.15">
      <c r="A2900" s="76">
        <v>2713</v>
      </c>
      <c r="B2900" s="74" t="s">
        <v>2935</v>
      </c>
      <c r="C2900" s="74">
        <v>996252681</v>
      </c>
      <c r="D2900" s="82" t="str">
        <f t="shared" si="96"/>
        <v>https://portal.dnb.de/opac.htm?method=simpleSearch&amp;cqlMode=true&amp;query=idn%3D996252681</v>
      </c>
      <c r="E2900" s="74" t="s">
        <v>9480</v>
      </c>
      <c r="F2900" s="74"/>
      <c r="G2900" s="76"/>
      <c r="H2900" s="77" t="s">
        <v>5</v>
      </c>
      <c r="I2900" s="76" t="s">
        <v>53</v>
      </c>
      <c r="J2900" s="77" t="s">
        <v>58</v>
      </c>
      <c r="K2900" s="77" t="s">
        <v>8520</v>
      </c>
      <c r="L2900" s="76"/>
      <c r="M2900" s="76" t="s">
        <v>36</v>
      </c>
      <c r="N2900" s="76" t="s">
        <v>39</v>
      </c>
      <c r="O2900" s="76">
        <v>0</v>
      </c>
      <c r="P2900" s="76"/>
      <c r="Q2900" s="76"/>
      <c r="R2900" s="76"/>
      <c r="S2900" s="76"/>
      <c r="BD2900" s="99">
        <f t="shared" si="95"/>
        <v>0</v>
      </c>
      <c r="CC2900" s="99"/>
      <c r="CV2900" s="99"/>
      <c r="CW2900" s="63"/>
    </row>
    <row r="2901" spans="1:101" ht="22.5" x14ac:dyDescent="0.15">
      <c r="A2901" s="76">
        <v>2714</v>
      </c>
      <c r="B2901" s="74" t="s">
        <v>2936</v>
      </c>
      <c r="C2901" s="74">
        <v>1003325432</v>
      </c>
      <c r="D2901" s="78" t="str">
        <f t="shared" si="94"/>
        <v>https://portal.dnb.de/opac.htm?method=simpleSearch&amp;cqlMode=true&amp;query=idn%3D1003325432</v>
      </c>
      <c r="E2901" s="74" t="s">
        <v>2937</v>
      </c>
      <c r="F2901" s="74"/>
      <c r="G2901" s="76"/>
      <c r="H2901" s="77" t="s">
        <v>18</v>
      </c>
      <c r="I2901" s="76" t="s">
        <v>53</v>
      </c>
      <c r="J2901" s="77" t="s">
        <v>58</v>
      </c>
      <c r="K2901" s="77" t="s">
        <v>84</v>
      </c>
      <c r="L2901" s="76"/>
      <c r="M2901" s="76"/>
      <c r="N2901" s="76"/>
      <c r="O2901" s="76">
        <v>0</v>
      </c>
      <c r="P2901" s="76"/>
      <c r="Q2901" s="76"/>
      <c r="R2901" s="76"/>
      <c r="S2901" s="76"/>
      <c r="BD2901" s="99">
        <f t="shared" si="95"/>
        <v>0</v>
      </c>
      <c r="CC2901" s="99"/>
      <c r="CV2901" s="99"/>
      <c r="CW2901" s="63"/>
    </row>
    <row r="2902" spans="1:101" ht="22.5" x14ac:dyDescent="0.15">
      <c r="A2902" s="76">
        <v>2715</v>
      </c>
      <c r="B2902" s="74" t="s">
        <v>2938</v>
      </c>
      <c r="C2902" s="74">
        <v>1003325653</v>
      </c>
      <c r="D2902" s="78" t="str">
        <f t="shared" ref="D2902:D2972" si="97">HYPERLINK(CONCATENATE("https://portal.dnb.de/opac.htm?method=simpleSearch&amp;cqlMode=true&amp;query=idn%3D",C2902))</f>
        <v>https://portal.dnb.de/opac.htm?method=simpleSearch&amp;cqlMode=true&amp;query=idn%3D1003325653</v>
      </c>
      <c r="E2902" s="74" t="s">
        <v>2939</v>
      </c>
      <c r="F2902" s="74"/>
      <c r="G2902" s="76"/>
      <c r="H2902" s="77" t="s">
        <v>18</v>
      </c>
      <c r="I2902" s="76" t="s">
        <v>53</v>
      </c>
      <c r="J2902" s="77" t="s">
        <v>8516</v>
      </c>
      <c r="K2902" s="77"/>
      <c r="L2902" s="76"/>
      <c r="M2902" s="76" t="s">
        <v>38</v>
      </c>
      <c r="N2902" s="76" t="s">
        <v>40</v>
      </c>
      <c r="O2902" s="76">
        <v>0</v>
      </c>
      <c r="P2902" s="76"/>
      <c r="Q2902" s="76"/>
      <c r="R2902" s="76"/>
      <c r="S2902" s="76"/>
      <c r="BD2902" s="99">
        <f t="shared" si="95"/>
        <v>0</v>
      </c>
      <c r="CC2902" s="99"/>
      <c r="CV2902" s="99"/>
      <c r="CW2902" s="63"/>
    </row>
    <row r="2903" spans="1:101" ht="22.5" x14ac:dyDescent="0.15">
      <c r="A2903" s="76">
        <v>2716</v>
      </c>
      <c r="B2903" s="74" t="s">
        <v>2940</v>
      </c>
      <c r="C2903" s="74">
        <v>998441384</v>
      </c>
      <c r="D2903" s="82" t="str">
        <f>HYPERLINK(CONCATENATE("https://portal.dnb.de/opac.htm?method=simpleSearch&amp;cqlMode=true&amp;query=idn%3D",C2903))</f>
        <v>https://portal.dnb.de/opac.htm?method=simpleSearch&amp;cqlMode=true&amp;query=idn%3D998441384</v>
      </c>
      <c r="E2903" s="74" t="s">
        <v>9485</v>
      </c>
      <c r="F2903" s="74"/>
      <c r="G2903" s="76"/>
      <c r="H2903" s="77" t="s">
        <v>18</v>
      </c>
      <c r="I2903" s="76" t="s">
        <v>53</v>
      </c>
      <c r="J2903" s="77" t="s">
        <v>58</v>
      </c>
      <c r="K2903" s="77" t="s">
        <v>84</v>
      </c>
      <c r="L2903" s="76"/>
      <c r="M2903" s="76" t="s">
        <v>36</v>
      </c>
      <c r="N2903" s="76" t="s">
        <v>39</v>
      </c>
      <c r="O2903" s="76">
        <v>0</v>
      </c>
      <c r="P2903" s="76"/>
      <c r="Q2903" s="76"/>
      <c r="R2903" s="76"/>
      <c r="S2903" s="76"/>
      <c r="BD2903" s="99">
        <f t="shared" si="95"/>
        <v>0</v>
      </c>
      <c r="CC2903" s="99"/>
      <c r="CV2903" s="99"/>
      <c r="CW2903" s="63"/>
    </row>
    <row r="2904" spans="1:101" ht="22.5" x14ac:dyDescent="0.15">
      <c r="A2904" s="76">
        <v>2717</v>
      </c>
      <c r="B2904" s="74" t="s">
        <v>2941</v>
      </c>
      <c r="C2904" s="74">
        <v>998441503</v>
      </c>
      <c r="D2904" s="78" t="str">
        <f t="shared" si="97"/>
        <v>https://portal.dnb.de/opac.htm?method=simpleSearch&amp;cqlMode=true&amp;query=idn%3D998441503</v>
      </c>
      <c r="E2904" s="74" t="s">
        <v>9486</v>
      </c>
      <c r="F2904" s="74"/>
      <c r="G2904" s="76"/>
      <c r="H2904" s="77" t="s">
        <v>18</v>
      </c>
      <c r="I2904" s="76" t="s">
        <v>53</v>
      </c>
      <c r="J2904" s="77" t="s">
        <v>58</v>
      </c>
      <c r="K2904" s="77" t="s">
        <v>84</v>
      </c>
      <c r="L2904" s="76"/>
      <c r="M2904" s="76" t="s">
        <v>36</v>
      </c>
      <c r="N2904" s="76" t="s">
        <v>39</v>
      </c>
      <c r="O2904" s="76">
        <v>0</v>
      </c>
      <c r="P2904" s="76"/>
      <c r="Q2904" s="76"/>
      <c r="R2904" s="76"/>
      <c r="S2904" s="76"/>
      <c r="BD2904" s="99">
        <f t="shared" si="95"/>
        <v>0</v>
      </c>
      <c r="CC2904" s="99"/>
      <c r="CV2904" s="99"/>
      <c r="CW2904" s="63"/>
    </row>
    <row r="2905" spans="1:101" ht="22.5" x14ac:dyDescent="0.15">
      <c r="A2905" s="76">
        <v>2718</v>
      </c>
      <c r="B2905" s="74" t="s">
        <v>2942</v>
      </c>
      <c r="C2905" s="74">
        <v>1003325076</v>
      </c>
      <c r="D2905" s="78" t="str">
        <f t="shared" si="97"/>
        <v>https://portal.dnb.de/opac.htm?method=simpleSearch&amp;cqlMode=true&amp;query=idn%3D1003325076</v>
      </c>
      <c r="E2905" s="74" t="s">
        <v>2943</v>
      </c>
      <c r="F2905" s="74"/>
      <c r="G2905" s="76"/>
      <c r="H2905" s="77" t="s">
        <v>18</v>
      </c>
      <c r="I2905" s="76" t="s">
        <v>53</v>
      </c>
      <c r="J2905" s="77" t="s">
        <v>8516</v>
      </c>
      <c r="K2905" s="77" t="s">
        <v>84</v>
      </c>
      <c r="L2905" s="76"/>
      <c r="M2905" s="76" t="s">
        <v>36</v>
      </c>
      <c r="N2905" s="76" t="s">
        <v>39</v>
      </c>
      <c r="O2905" s="76">
        <v>0</v>
      </c>
      <c r="P2905" s="76"/>
      <c r="Q2905" s="76"/>
      <c r="R2905" s="76"/>
      <c r="S2905" s="76"/>
      <c r="BD2905" s="99">
        <f t="shared" si="95"/>
        <v>0</v>
      </c>
      <c r="CC2905" s="99"/>
      <c r="CV2905" s="99"/>
      <c r="CW2905" s="63"/>
    </row>
    <row r="2906" spans="1:101" x14ac:dyDescent="0.15">
      <c r="A2906" s="76">
        <v>2719</v>
      </c>
      <c r="B2906" s="74" t="s">
        <v>2944</v>
      </c>
      <c r="C2906" s="74">
        <v>1002181941</v>
      </c>
      <c r="D2906" s="78" t="str">
        <f t="shared" si="97"/>
        <v>https://portal.dnb.de/opac.htm?method=simpleSearch&amp;cqlMode=true&amp;query=idn%3D1002181941</v>
      </c>
      <c r="E2906" s="74" t="s">
        <v>2945</v>
      </c>
      <c r="F2906" s="74"/>
      <c r="G2906" s="76"/>
      <c r="H2906" s="77" t="s">
        <v>5</v>
      </c>
      <c r="I2906" s="76" t="s">
        <v>53</v>
      </c>
      <c r="J2906" s="77" t="s">
        <v>58</v>
      </c>
      <c r="K2906" s="77" t="s">
        <v>84</v>
      </c>
      <c r="L2906" s="76"/>
      <c r="M2906" s="76" t="s">
        <v>36</v>
      </c>
      <c r="N2906" s="76" t="s">
        <v>39</v>
      </c>
      <c r="O2906" s="76">
        <v>0</v>
      </c>
      <c r="P2906" s="76"/>
      <c r="Q2906" s="76"/>
      <c r="R2906" s="76"/>
      <c r="S2906" s="76"/>
      <c r="BD2906" s="99">
        <f t="shared" si="95"/>
        <v>0</v>
      </c>
      <c r="CC2906" s="99"/>
      <c r="CV2906" s="99"/>
      <c r="CW2906" s="63"/>
    </row>
    <row r="2907" spans="1:101" ht="22.5" x14ac:dyDescent="0.15">
      <c r="A2907" s="76">
        <v>2720</v>
      </c>
      <c r="B2907" s="74" t="s">
        <v>2946</v>
      </c>
      <c r="C2907" s="74">
        <v>1003328970</v>
      </c>
      <c r="D2907" s="78" t="str">
        <f t="shared" si="97"/>
        <v>https://portal.dnb.de/opac.htm?method=simpleSearch&amp;cqlMode=true&amp;query=idn%3D1003328970</v>
      </c>
      <c r="E2907" s="74" t="s">
        <v>9421</v>
      </c>
      <c r="F2907" s="74"/>
      <c r="G2907" s="76" t="s">
        <v>8541</v>
      </c>
      <c r="H2907" s="77" t="s">
        <v>18</v>
      </c>
      <c r="I2907" s="76" t="s">
        <v>53</v>
      </c>
      <c r="J2907" s="77" t="s">
        <v>89</v>
      </c>
      <c r="K2907" s="77" t="s">
        <v>84</v>
      </c>
      <c r="L2907" s="76"/>
      <c r="M2907" s="76"/>
      <c r="N2907" s="76"/>
      <c r="O2907" s="76">
        <v>0</v>
      </c>
      <c r="P2907" s="76"/>
      <c r="Q2907" s="76"/>
      <c r="R2907" s="76"/>
      <c r="S2907" s="76"/>
      <c r="BD2907" s="99">
        <f t="shared" si="95"/>
        <v>0</v>
      </c>
      <c r="CC2907" s="99"/>
      <c r="CV2907" s="99"/>
      <c r="CW2907" s="63"/>
    </row>
    <row r="2908" spans="1:101" ht="22.5" x14ac:dyDescent="0.15">
      <c r="A2908" s="76">
        <v>2721</v>
      </c>
      <c r="B2908" s="74" t="s">
        <v>2947</v>
      </c>
      <c r="C2908" s="74">
        <v>1003328946</v>
      </c>
      <c r="D2908" s="78" t="str">
        <f t="shared" si="97"/>
        <v>https://portal.dnb.de/opac.htm?method=simpleSearch&amp;cqlMode=true&amp;query=idn%3D1003328946</v>
      </c>
      <c r="E2908" s="74" t="s">
        <v>9422</v>
      </c>
      <c r="F2908" s="74"/>
      <c r="G2908" s="76" t="s">
        <v>8541</v>
      </c>
      <c r="H2908" s="77" t="s">
        <v>18</v>
      </c>
      <c r="I2908" s="76" t="s">
        <v>53</v>
      </c>
      <c r="J2908" s="77" t="s">
        <v>89</v>
      </c>
      <c r="K2908" s="77" t="s">
        <v>84</v>
      </c>
      <c r="L2908" s="76"/>
      <c r="M2908" s="76"/>
      <c r="N2908" s="76"/>
      <c r="O2908" s="76">
        <v>0</v>
      </c>
      <c r="P2908" s="76"/>
      <c r="Q2908" s="76"/>
      <c r="R2908" s="76"/>
      <c r="S2908" s="76"/>
      <c r="BD2908" s="99">
        <f t="shared" si="95"/>
        <v>0</v>
      </c>
      <c r="CC2908" s="99"/>
      <c r="CV2908" s="99"/>
      <c r="CW2908" s="63"/>
    </row>
    <row r="2909" spans="1:101" ht="22.5" x14ac:dyDescent="0.15">
      <c r="A2909" s="76">
        <v>2722</v>
      </c>
      <c r="B2909" s="74" t="s">
        <v>2948</v>
      </c>
      <c r="C2909" s="74">
        <v>1003328989</v>
      </c>
      <c r="D2909" s="78" t="str">
        <f t="shared" si="97"/>
        <v>https://portal.dnb.de/opac.htm?method=simpleSearch&amp;cqlMode=true&amp;query=idn%3D1003328989</v>
      </c>
      <c r="E2909" s="74" t="s">
        <v>9423</v>
      </c>
      <c r="F2909" s="74"/>
      <c r="G2909" s="76" t="s">
        <v>8541</v>
      </c>
      <c r="H2909" s="77" t="s">
        <v>18</v>
      </c>
      <c r="I2909" s="76" t="s">
        <v>53</v>
      </c>
      <c r="J2909" s="77" t="s">
        <v>89</v>
      </c>
      <c r="K2909" s="77" t="s">
        <v>84</v>
      </c>
      <c r="L2909" s="76"/>
      <c r="M2909" s="76"/>
      <c r="N2909" s="76"/>
      <c r="O2909" s="76">
        <v>0</v>
      </c>
      <c r="P2909" s="76"/>
      <c r="Q2909" s="76"/>
      <c r="R2909" s="76"/>
      <c r="S2909" s="76"/>
      <c r="BD2909" s="99">
        <f t="shared" si="95"/>
        <v>0</v>
      </c>
      <c r="CC2909" s="99"/>
      <c r="CV2909" s="99"/>
      <c r="CW2909" s="63"/>
    </row>
    <row r="2910" spans="1:101" ht="22.5" x14ac:dyDescent="0.15">
      <c r="A2910" s="76">
        <v>2723</v>
      </c>
      <c r="B2910" s="74" t="s">
        <v>2949</v>
      </c>
      <c r="C2910" s="74">
        <v>1003328997</v>
      </c>
      <c r="D2910" s="78" t="str">
        <f t="shared" si="97"/>
        <v>https://portal.dnb.de/opac.htm?method=simpleSearch&amp;cqlMode=true&amp;query=idn%3D1003328997</v>
      </c>
      <c r="E2910" s="74" t="s">
        <v>9424</v>
      </c>
      <c r="F2910" s="74"/>
      <c r="G2910" s="76" t="s">
        <v>8541</v>
      </c>
      <c r="H2910" s="77" t="s">
        <v>18</v>
      </c>
      <c r="I2910" s="76" t="s">
        <v>53</v>
      </c>
      <c r="J2910" s="77" t="s">
        <v>89</v>
      </c>
      <c r="K2910" s="77" t="s">
        <v>84</v>
      </c>
      <c r="L2910" s="76"/>
      <c r="M2910" s="76"/>
      <c r="N2910" s="76"/>
      <c r="O2910" s="76">
        <v>0</v>
      </c>
      <c r="P2910" s="76"/>
      <c r="Q2910" s="76"/>
      <c r="R2910" s="76"/>
      <c r="S2910" s="76"/>
      <c r="BD2910" s="99">
        <f t="shared" si="95"/>
        <v>0</v>
      </c>
      <c r="CC2910" s="99"/>
      <c r="CV2910" s="99"/>
      <c r="CW2910" s="63"/>
    </row>
    <row r="2911" spans="1:101" ht="22.5" x14ac:dyDescent="0.15">
      <c r="A2911" s="76">
        <v>2724</v>
      </c>
      <c r="B2911" s="74" t="s">
        <v>2950</v>
      </c>
      <c r="C2911" s="74">
        <v>1003325890</v>
      </c>
      <c r="D2911" s="78" t="str">
        <f t="shared" si="97"/>
        <v>https://portal.dnb.de/opac.htm?method=simpleSearch&amp;cqlMode=true&amp;query=idn%3D1003325890</v>
      </c>
      <c r="E2911" s="74" t="s">
        <v>2951</v>
      </c>
      <c r="F2911" s="74"/>
      <c r="G2911" s="76" t="s">
        <v>8541</v>
      </c>
      <c r="H2911" s="77" t="s">
        <v>18</v>
      </c>
      <c r="I2911" s="76" t="s">
        <v>53</v>
      </c>
      <c r="J2911" s="77" t="s">
        <v>58</v>
      </c>
      <c r="K2911" s="77" t="s">
        <v>84</v>
      </c>
      <c r="L2911" s="76"/>
      <c r="M2911" s="76"/>
      <c r="N2911" s="76"/>
      <c r="O2911" s="76">
        <v>0</v>
      </c>
      <c r="P2911" s="76"/>
      <c r="Q2911" s="76"/>
      <c r="R2911" s="76"/>
      <c r="S2911" s="76"/>
      <c r="BD2911" s="99">
        <f t="shared" si="95"/>
        <v>0</v>
      </c>
      <c r="CC2911" s="99"/>
      <c r="CV2911" s="99"/>
      <c r="CW2911" s="63"/>
    </row>
    <row r="2912" spans="1:101" x14ac:dyDescent="0.15">
      <c r="A2912" s="76">
        <v>2725</v>
      </c>
      <c r="B2912" s="74" t="s">
        <v>2952</v>
      </c>
      <c r="C2912" s="74">
        <v>1002093384</v>
      </c>
      <c r="D2912" s="78" t="str">
        <f t="shared" si="97"/>
        <v>https://portal.dnb.de/opac.htm?method=simpleSearch&amp;cqlMode=true&amp;query=idn%3D1002093384</v>
      </c>
      <c r="E2912" s="74" t="s">
        <v>9425</v>
      </c>
      <c r="F2912" s="74"/>
      <c r="G2912" s="76"/>
      <c r="H2912" s="77" t="s">
        <v>4</v>
      </c>
      <c r="I2912" s="76" t="s">
        <v>53</v>
      </c>
      <c r="J2912" s="77" t="s">
        <v>8516</v>
      </c>
      <c r="K2912" s="77" t="s">
        <v>84</v>
      </c>
      <c r="L2912" s="76"/>
      <c r="M2912" s="76" t="s">
        <v>36</v>
      </c>
      <c r="N2912" s="76" t="s">
        <v>39</v>
      </c>
      <c r="O2912" s="76">
        <v>0</v>
      </c>
      <c r="P2912" s="76"/>
      <c r="Q2912" s="76"/>
      <c r="R2912" s="76"/>
      <c r="S2912" s="76"/>
      <c r="BD2912" s="99">
        <f t="shared" si="95"/>
        <v>0</v>
      </c>
      <c r="CC2912" s="99"/>
      <c r="CV2912" s="99"/>
      <c r="CW2912" s="63"/>
    </row>
    <row r="2913" spans="1:101" x14ac:dyDescent="0.15">
      <c r="A2913" s="76">
        <v>2726</v>
      </c>
      <c r="B2913" s="74" t="s">
        <v>2954</v>
      </c>
      <c r="C2913" s="74">
        <v>1002093260</v>
      </c>
      <c r="D2913" s="78" t="str">
        <f t="shared" si="97"/>
        <v>https://portal.dnb.de/opac.htm?method=simpleSearch&amp;cqlMode=true&amp;query=idn%3D1002093260</v>
      </c>
      <c r="E2913" s="74" t="s">
        <v>2953</v>
      </c>
      <c r="F2913" s="74"/>
      <c r="G2913" s="76"/>
      <c r="H2913" s="77"/>
      <c r="I2913" s="76"/>
      <c r="J2913" s="77"/>
      <c r="K2913" s="77"/>
      <c r="L2913" s="76"/>
      <c r="M2913" s="76"/>
      <c r="N2913" s="76"/>
      <c r="O2913" s="76"/>
      <c r="P2913" s="76"/>
      <c r="Q2913" s="76"/>
      <c r="R2913" s="76"/>
      <c r="S2913" s="76"/>
      <c r="BD2913" s="99">
        <f t="shared" si="95"/>
        <v>0</v>
      </c>
      <c r="CC2913" s="99"/>
      <c r="CV2913" s="99"/>
      <c r="CW2913" s="63"/>
    </row>
    <row r="2914" spans="1:101" x14ac:dyDescent="0.15">
      <c r="A2914" s="76">
        <v>2727</v>
      </c>
      <c r="B2914" s="74" t="s">
        <v>2955</v>
      </c>
      <c r="C2914" s="74">
        <v>1003364047</v>
      </c>
      <c r="D2914" s="78" t="str">
        <f t="shared" si="97"/>
        <v>https://portal.dnb.de/opac.htm?method=simpleSearch&amp;cqlMode=true&amp;query=idn%3D1003364047</v>
      </c>
      <c r="E2914" s="74" t="s">
        <v>9494</v>
      </c>
      <c r="F2914" s="74"/>
      <c r="G2914" s="76"/>
      <c r="H2914" s="77" t="s">
        <v>5</v>
      </c>
      <c r="I2914" s="76" t="s">
        <v>53</v>
      </c>
      <c r="J2914" s="77" t="s">
        <v>58</v>
      </c>
      <c r="K2914" s="77" t="s">
        <v>84</v>
      </c>
      <c r="L2914" s="76"/>
      <c r="M2914" s="76" t="s">
        <v>36</v>
      </c>
      <c r="N2914" s="76" t="s">
        <v>40</v>
      </c>
      <c r="O2914" s="76">
        <v>0</v>
      </c>
      <c r="P2914" s="76"/>
      <c r="Q2914" s="76"/>
      <c r="R2914" s="76"/>
      <c r="S2914" s="76"/>
      <c r="BD2914" s="99">
        <f t="shared" si="95"/>
        <v>0</v>
      </c>
      <c r="CC2914" s="99"/>
      <c r="CV2914" s="99"/>
      <c r="CW2914" s="63"/>
    </row>
    <row r="2915" spans="1:101" x14ac:dyDescent="0.15">
      <c r="A2915" s="76">
        <v>2728</v>
      </c>
      <c r="B2915" s="74" t="s">
        <v>2956</v>
      </c>
      <c r="C2915" s="74">
        <v>1003363962</v>
      </c>
      <c r="D2915" s="78" t="str">
        <f t="shared" si="97"/>
        <v>https://portal.dnb.de/opac.htm?method=simpleSearch&amp;cqlMode=true&amp;query=idn%3D1003363962</v>
      </c>
      <c r="E2915" s="74" t="s">
        <v>9495</v>
      </c>
      <c r="F2915" s="74"/>
      <c r="G2915" s="76"/>
      <c r="H2915" s="77" t="s">
        <v>5</v>
      </c>
      <c r="I2915" s="76" t="s">
        <v>53</v>
      </c>
      <c r="J2915" s="77" t="s">
        <v>58</v>
      </c>
      <c r="K2915" s="77" t="s">
        <v>84</v>
      </c>
      <c r="L2915" s="76"/>
      <c r="M2915" s="76" t="s">
        <v>36</v>
      </c>
      <c r="N2915" s="76" t="s">
        <v>40</v>
      </c>
      <c r="O2915" s="76">
        <v>0</v>
      </c>
      <c r="P2915" s="76"/>
      <c r="Q2915" s="76"/>
      <c r="R2915" s="76"/>
      <c r="S2915" s="76"/>
      <c r="BD2915" s="99">
        <f t="shared" si="95"/>
        <v>0</v>
      </c>
      <c r="CC2915" s="99"/>
      <c r="CV2915" s="99"/>
      <c r="CW2915" s="63"/>
    </row>
    <row r="2916" spans="1:101" x14ac:dyDescent="0.15">
      <c r="A2916" s="76">
        <v>2729</v>
      </c>
      <c r="B2916" s="74" t="s">
        <v>2957</v>
      </c>
      <c r="C2916" s="74">
        <v>1003363946</v>
      </c>
      <c r="D2916" s="78" t="str">
        <f t="shared" si="97"/>
        <v>https://portal.dnb.de/opac.htm?method=simpleSearch&amp;cqlMode=true&amp;query=idn%3D1003363946</v>
      </c>
      <c r="E2916" s="74" t="s">
        <v>9496</v>
      </c>
      <c r="F2916" s="74"/>
      <c r="G2916" s="76"/>
      <c r="H2916" s="77" t="s">
        <v>5</v>
      </c>
      <c r="I2916" s="76" t="s">
        <v>53</v>
      </c>
      <c r="J2916" s="77" t="s">
        <v>58</v>
      </c>
      <c r="K2916" s="77" t="s">
        <v>84</v>
      </c>
      <c r="L2916" s="76"/>
      <c r="M2916" s="76" t="s">
        <v>36</v>
      </c>
      <c r="N2916" s="76" t="s">
        <v>40</v>
      </c>
      <c r="O2916" s="76">
        <v>0</v>
      </c>
      <c r="P2916" s="76"/>
      <c r="Q2916" s="76"/>
      <c r="R2916" s="76"/>
      <c r="S2916" s="76"/>
      <c r="BD2916" s="99">
        <f t="shared" si="95"/>
        <v>0</v>
      </c>
      <c r="CC2916" s="99"/>
      <c r="CV2916" s="99"/>
      <c r="CW2916" s="63"/>
    </row>
    <row r="2917" spans="1:101" x14ac:dyDescent="0.15">
      <c r="A2917" s="76">
        <v>2730</v>
      </c>
      <c r="B2917" s="74" t="s">
        <v>2958</v>
      </c>
      <c r="C2917" s="74">
        <v>1003363989</v>
      </c>
      <c r="D2917" s="78" t="str">
        <f t="shared" si="97"/>
        <v>https://portal.dnb.de/opac.htm?method=simpleSearch&amp;cqlMode=true&amp;query=idn%3D1003363989</v>
      </c>
      <c r="E2917" s="74" t="s">
        <v>9497</v>
      </c>
      <c r="F2917" s="74"/>
      <c r="G2917" s="76"/>
      <c r="H2917" s="77" t="s">
        <v>5</v>
      </c>
      <c r="I2917" s="76" t="s">
        <v>53</v>
      </c>
      <c r="J2917" s="77" t="s">
        <v>58</v>
      </c>
      <c r="K2917" s="77" t="s">
        <v>84</v>
      </c>
      <c r="L2917" s="76"/>
      <c r="M2917" s="76" t="s">
        <v>36</v>
      </c>
      <c r="N2917" s="76" t="s">
        <v>40</v>
      </c>
      <c r="O2917" s="76">
        <v>0</v>
      </c>
      <c r="P2917" s="76"/>
      <c r="Q2917" s="76"/>
      <c r="R2917" s="76"/>
      <c r="S2917" s="76"/>
      <c r="BD2917" s="99">
        <f t="shared" si="95"/>
        <v>0</v>
      </c>
      <c r="CC2917" s="99"/>
      <c r="CV2917" s="99"/>
      <c r="CW2917" s="63"/>
    </row>
    <row r="2918" spans="1:101" x14ac:dyDescent="0.15">
      <c r="A2918" s="76">
        <v>2731</v>
      </c>
      <c r="B2918" s="74" t="s">
        <v>2959</v>
      </c>
      <c r="C2918" s="74">
        <v>1003324088</v>
      </c>
      <c r="D2918" s="78" t="str">
        <f t="shared" si="97"/>
        <v>https://portal.dnb.de/opac.htm?method=simpleSearch&amp;cqlMode=true&amp;query=idn%3D1003324088</v>
      </c>
      <c r="E2918" s="74" t="s">
        <v>9426</v>
      </c>
      <c r="F2918" s="74"/>
      <c r="G2918" s="76"/>
      <c r="H2918" s="77" t="s">
        <v>4</v>
      </c>
      <c r="I2918" s="76" t="s">
        <v>53</v>
      </c>
      <c r="J2918" s="77" t="s">
        <v>8516</v>
      </c>
      <c r="K2918" s="77" t="s">
        <v>8520</v>
      </c>
      <c r="L2918" s="76"/>
      <c r="M2918" s="76" t="s">
        <v>38</v>
      </c>
      <c r="N2918" s="76" t="s">
        <v>40</v>
      </c>
      <c r="O2918" s="76">
        <v>0</v>
      </c>
      <c r="P2918" s="76"/>
      <c r="Q2918" s="76"/>
      <c r="R2918" s="76"/>
      <c r="S2918" s="76"/>
      <c r="BD2918" s="99">
        <f t="shared" si="95"/>
        <v>0</v>
      </c>
      <c r="CC2918" s="99"/>
      <c r="CV2918" s="99"/>
      <c r="CW2918" s="63"/>
    </row>
    <row r="2919" spans="1:101" x14ac:dyDescent="0.15">
      <c r="A2919" s="76">
        <v>2732</v>
      </c>
      <c r="B2919" s="74" t="s">
        <v>2960</v>
      </c>
      <c r="C2919" s="74" t="s">
        <v>2961</v>
      </c>
      <c r="D2919" s="78" t="str">
        <f t="shared" si="97"/>
        <v>https://portal.dnb.de/opac.htm?method=simpleSearch&amp;cqlMode=true&amp;query=idn%3D100332410X</v>
      </c>
      <c r="E2919" s="74" t="s">
        <v>9427</v>
      </c>
      <c r="F2919" s="74"/>
      <c r="G2919" s="76"/>
      <c r="H2919" s="77" t="s">
        <v>4</v>
      </c>
      <c r="I2919" s="76" t="s">
        <v>53</v>
      </c>
      <c r="J2919" s="77" t="s">
        <v>8516</v>
      </c>
      <c r="K2919" s="77" t="s">
        <v>8520</v>
      </c>
      <c r="L2919" s="76"/>
      <c r="M2919" s="76" t="s">
        <v>38</v>
      </c>
      <c r="N2919" s="76" t="s">
        <v>40</v>
      </c>
      <c r="O2919" s="76">
        <v>0</v>
      </c>
      <c r="P2919" s="76"/>
      <c r="Q2919" s="76"/>
      <c r="R2919" s="76"/>
      <c r="S2919" s="76"/>
      <c r="BD2919" s="99">
        <f t="shared" si="95"/>
        <v>0</v>
      </c>
      <c r="CC2919" s="99"/>
      <c r="CV2919" s="99"/>
      <c r="CW2919" s="63"/>
    </row>
    <row r="2920" spans="1:101" x14ac:dyDescent="0.15">
      <c r="A2920" s="76">
        <v>2733</v>
      </c>
      <c r="B2920" s="74" t="s">
        <v>2962</v>
      </c>
      <c r="C2920" s="74">
        <v>1003323995</v>
      </c>
      <c r="D2920" s="78" t="str">
        <f t="shared" si="97"/>
        <v>https://portal.dnb.de/opac.htm?method=simpleSearch&amp;cqlMode=true&amp;query=idn%3D1003323995</v>
      </c>
      <c r="E2920" s="74" t="s">
        <v>9428</v>
      </c>
      <c r="F2920" s="74"/>
      <c r="G2920" s="76"/>
      <c r="H2920" s="77" t="s">
        <v>4</v>
      </c>
      <c r="I2920" s="76" t="s">
        <v>53</v>
      </c>
      <c r="J2920" s="77" t="s">
        <v>8516</v>
      </c>
      <c r="K2920" s="77" t="s">
        <v>8520</v>
      </c>
      <c r="L2920" s="76"/>
      <c r="M2920" s="76" t="s">
        <v>38</v>
      </c>
      <c r="N2920" s="76" t="s">
        <v>40</v>
      </c>
      <c r="O2920" s="76">
        <v>0</v>
      </c>
      <c r="P2920" s="76"/>
      <c r="Q2920" s="76"/>
      <c r="R2920" s="76"/>
      <c r="S2920" s="76"/>
      <c r="BD2920" s="99">
        <f t="shared" si="95"/>
        <v>0</v>
      </c>
      <c r="CC2920" s="99"/>
      <c r="CV2920" s="99"/>
      <c r="CW2920" s="63"/>
    </row>
    <row r="2921" spans="1:101" x14ac:dyDescent="0.15">
      <c r="A2921" s="76">
        <v>2734</v>
      </c>
      <c r="B2921" s="74" t="s">
        <v>2963</v>
      </c>
      <c r="C2921" s="74">
        <v>1003323987</v>
      </c>
      <c r="D2921" s="78" t="str">
        <f t="shared" si="97"/>
        <v>https://portal.dnb.de/opac.htm?method=simpleSearch&amp;cqlMode=true&amp;query=idn%3D1003323987</v>
      </c>
      <c r="E2921" s="74" t="s">
        <v>9429</v>
      </c>
      <c r="F2921" s="74"/>
      <c r="G2921" s="76"/>
      <c r="H2921" s="77" t="s">
        <v>4</v>
      </c>
      <c r="I2921" s="76" t="s">
        <v>53</v>
      </c>
      <c r="J2921" s="77" t="s">
        <v>8516</v>
      </c>
      <c r="K2921" s="77" t="s">
        <v>8520</v>
      </c>
      <c r="L2921" s="76"/>
      <c r="M2921" s="76" t="s">
        <v>38</v>
      </c>
      <c r="N2921" s="76" t="s">
        <v>40</v>
      </c>
      <c r="O2921" s="76">
        <v>0</v>
      </c>
      <c r="P2921" s="76"/>
      <c r="Q2921" s="76"/>
      <c r="R2921" s="76"/>
      <c r="S2921" s="76"/>
      <c r="BD2921" s="99">
        <f t="shared" si="95"/>
        <v>0</v>
      </c>
      <c r="CC2921" s="99"/>
      <c r="CV2921" s="99"/>
      <c r="CW2921" s="63"/>
    </row>
    <row r="2922" spans="1:101" x14ac:dyDescent="0.15">
      <c r="A2922" s="76">
        <v>2735</v>
      </c>
      <c r="B2922" s="74" t="s">
        <v>2964</v>
      </c>
      <c r="C2922" s="74">
        <v>1003324134</v>
      </c>
      <c r="D2922" s="78" t="str">
        <f t="shared" si="97"/>
        <v>https://portal.dnb.de/opac.htm?method=simpleSearch&amp;cqlMode=true&amp;query=idn%3D1003324134</v>
      </c>
      <c r="E2922" s="74" t="s">
        <v>9430</v>
      </c>
      <c r="F2922" s="74"/>
      <c r="G2922" s="76"/>
      <c r="H2922" s="77" t="s">
        <v>4</v>
      </c>
      <c r="I2922" s="76" t="s">
        <v>53</v>
      </c>
      <c r="J2922" s="77" t="s">
        <v>8516</v>
      </c>
      <c r="K2922" s="77" t="s">
        <v>8520</v>
      </c>
      <c r="L2922" s="76"/>
      <c r="M2922" s="76" t="s">
        <v>38</v>
      </c>
      <c r="N2922" s="76" t="s">
        <v>40</v>
      </c>
      <c r="O2922" s="76">
        <v>0</v>
      </c>
      <c r="P2922" s="76"/>
      <c r="Q2922" s="76"/>
      <c r="R2922" s="76"/>
      <c r="S2922" s="76"/>
      <c r="BD2922" s="99">
        <f t="shared" si="95"/>
        <v>0</v>
      </c>
      <c r="CC2922" s="99"/>
      <c r="CV2922" s="99"/>
      <c r="CW2922" s="63"/>
    </row>
    <row r="2923" spans="1:101" x14ac:dyDescent="0.15">
      <c r="A2923" s="76">
        <v>2736</v>
      </c>
      <c r="B2923" s="74" t="s">
        <v>2965</v>
      </c>
      <c r="C2923" s="74">
        <v>1003324045</v>
      </c>
      <c r="D2923" s="78" t="str">
        <f t="shared" si="97"/>
        <v>https://portal.dnb.de/opac.htm?method=simpleSearch&amp;cqlMode=true&amp;query=idn%3D1003324045</v>
      </c>
      <c r="E2923" s="74" t="s">
        <v>9431</v>
      </c>
      <c r="F2923" s="74"/>
      <c r="G2923" s="76"/>
      <c r="H2923" s="77" t="s">
        <v>4</v>
      </c>
      <c r="I2923" s="76" t="s">
        <v>53</v>
      </c>
      <c r="J2923" s="77" t="s">
        <v>8516</v>
      </c>
      <c r="K2923" s="77" t="s">
        <v>8520</v>
      </c>
      <c r="L2923" s="76"/>
      <c r="M2923" s="76" t="s">
        <v>38</v>
      </c>
      <c r="N2923" s="76" t="s">
        <v>40</v>
      </c>
      <c r="O2923" s="76">
        <v>0</v>
      </c>
      <c r="P2923" s="76"/>
      <c r="Q2923" s="76"/>
      <c r="R2923" s="76"/>
      <c r="S2923" s="76"/>
      <c r="BD2923" s="99">
        <f t="shared" si="95"/>
        <v>0</v>
      </c>
      <c r="CC2923" s="99"/>
      <c r="CV2923" s="99"/>
      <c r="CW2923" s="63"/>
    </row>
    <row r="2924" spans="1:101" x14ac:dyDescent="0.15">
      <c r="A2924" s="76">
        <v>2737</v>
      </c>
      <c r="B2924" s="74" t="s">
        <v>2966</v>
      </c>
      <c r="C2924" s="74">
        <v>1002027098</v>
      </c>
      <c r="D2924" s="78" t="str">
        <f t="shared" si="97"/>
        <v>https://portal.dnb.de/opac.htm?method=simpleSearch&amp;cqlMode=true&amp;query=idn%3D1002027098</v>
      </c>
      <c r="E2924" s="74" t="s">
        <v>2967</v>
      </c>
      <c r="F2924" s="74"/>
      <c r="G2924" s="76"/>
      <c r="H2924" s="77" t="s">
        <v>4</v>
      </c>
      <c r="I2924" s="76" t="s">
        <v>53</v>
      </c>
      <c r="J2924" s="77" t="s">
        <v>58</v>
      </c>
      <c r="K2924" s="77" t="s">
        <v>8520</v>
      </c>
      <c r="L2924" s="76"/>
      <c r="M2924" s="76" t="s">
        <v>36</v>
      </c>
      <c r="N2924" s="76" t="s">
        <v>39</v>
      </c>
      <c r="O2924" s="76">
        <v>1</v>
      </c>
      <c r="P2924" s="76"/>
      <c r="Q2924" s="76"/>
      <c r="R2924" s="76"/>
      <c r="S2924" s="76"/>
      <c r="BD2924" s="99">
        <f t="shared" si="95"/>
        <v>0</v>
      </c>
      <c r="CC2924" s="99"/>
      <c r="CV2924" s="99"/>
      <c r="CW2924" s="63"/>
    </row>
    <row r="2925" spans="1:101" x14ac:dyDescent="0.15">
      <c r="A2925" s="76">
        <v>2738</v>
      </c>
      <c r="B2925" s="74" t="s">
        <v>2968</v>
      </c>
      <c r="C2925" s="74">
        <v>1002379903</v>
      </c>
      <c r="D2925" s="78" t="str">
        <f t="shared" si="97"/>
        <v>https://portal.dnb.de/opac.htm?method=simpleSearch&amp;cqlMode=true&amp;query=idn%3D1002379903</v>
      </c>
      <c r="E2925" s="74" t="s">
        <v>2969</v>
      </c>
      <c r="F2925" s="74"/>
      <c r="G2925" s="76"/>
      <c r="H2925" s="77" t="s">
        <v>4</v>
      </c>
      <c r="I2925" s="76" t="s">
        <v>53</v>
      </c>
      <c r="J2925" s="77" t="s">
        <v>58</v>
      </c>
      <c r="K2925" s="77" t="s">
        <v>8520</v>
      </c>
      <c r="L2925" s="76"/>
      <c r="M2925" s="76" t="s">
        <v>36</v>
      </c>
      <c r="N2925" s="76" t="s">
        <v>40</v>
      </c>
      <c r="O2925" s="76">
        <v>2</v>
      </c>
      <c r="P2925" s="76"/>
      <c r="Q2925" s="76"/>
      <c r="R2925" s="76"/>
      <c r="S2925" s="76"/>
      <c r="BD2925" s="99">
        <f t="shared" si="95"/>
        <v>0</v>
      </c>
      <c r="CC2925" s="99"/>
      <c r="CV2925" s="99"/>
      <c r="CW2925" s="63"/>
    </row>
    <row r="2926" spans="1:101" x14ac:dyDescent="0.15">
      <c r="A2926" s="76">
        <v>2739</v>
      </c>
      <c r="B2926" s="74" t="s">
        <v>2970</v>
      </c>
      <c r="C2926" s="74">
        <v>1132624592</v>
      </c>
      <c r="D2926" s="78" t="str">
        <f t="shared" si="97"/>
        <v>https://portal.dnb.de/opac.htm?method=simpleSearch&amp;cqlMode=true&amp;query=idn%3D1132624592</v>
      </c>
      <c r="E2926" s="74" t="s">
        <v>2971</v>
      </c>
      <c r="F2926" s="74"/>
      <c r="G2926" s="76"/>
      <c r="H2926" s="77"/>
      <c r="I2926" s="76"/>
      <c r="J2926" s="77"/>
      <c r="K2926" s="77"/>
      <c r="L2926" s="76"/>
      <c r="M2926" s="76"/>
      <c r="N2926" s="76"/>
      <c r="O2926" s="76"/>
      <c r="P2926" s="76"/>
      <c r="Q2926" s="76"/>
      <c r="R2926" s="76"/>
      <c r="S2926" s="76"/>
      <c r="BD2926" s="99">
        <f t="shared" si="95"/>
        <v>0</v>
      </c>
      <c r="CC2926" s="99"/>
      <c r="CV2926" s="99"/>
      <c r="CW2926" s="63"/>
    </row>
    <row r="2927" spans="1:101" x14ac:dyDescent="0.15">
      <c r="A2927" s="76">
        <v>2740</v>
      </c>
      <c r="B2927" s="74" t="s">
        <v>2972</v>
      </c>
      <c r="C2927" s="74">
        <v>1132624622</v>
      </c>
      <c r="D2927" s="78" t="str">
        <f t="shared" si="97"/>
        <v>https://portal.dnb.de/opac.htm?method=simpleSearch&amp;cqlMode=true&amp;query=idn%3D1132624622</v>
      </c>
      <c r="E2927" s="74" t="s">
        <v>2971</v>
      </c>
      <c r="F2927" s="74"/>
      <c r="G2927" s="76"/>
      <c r="H2927" s="77"/>
      <c r="I2927" s="76"/>
      <c r="J2927" s="77"/>
      <c r="K2927" s="77"/>
      <c r="L2927" s="76"/>
      <c r="M2927" s="76"/>
      <c r="N2927" s="76"/>
      <c r="O2927" s="76"/>
      <c r="P2927" s="76"/>
      <c r="Q2927" s="76"/>
      <c r="R2927" s="76"/>
      <c r="S2927" s="76"/>
      <c r="BD2927" s="99">
        <f t="shared" si="95"/>
        <v>0</v>
      </c>
      <c r="CC2927" s="99"/>
      <c r="CV2927" s="99"/>
      <c r="CW2927" s="63"/>
    </row>
    <row r="2928" spans="1:101" x14ac:dyDescent="0.15">
      <c r="A2928" s="76">
        <v>2741</v>
      </c>
      <c r="B2928" s="74" t="s">
        <v>2973</v>
      </c>
      <c r="C2928" s="74">
        <v>1132624614</v>
      </c>
      <c r="D2928" s="78" t="str">
        <f t="shared" si="97"/>
        <v>https://portal.dnb.de/opac.htm?method=simpleSearch&amp;cqlMode=true&amp;query=idn%3D1132624614</v>
      </c>
      <c r="E2928" s="74" t="s">
        <v>2971</v>
      </c>
      <c r="F2928" s="74"/>
      <c r="G2928" s="76"/>
      <c r="H2928" s="77"/>
      <c r="I2928" s="76"/>
      <c r="J2928" s="77"/>
      <c r="K2928" s="77"/>
      <c r="L2928" s="76"/>
      <c r="M2928" s="76"/>
      <c r="N2928" s="76"/>
      <c r="O2928" s="76"/>
      <c r="P2928" s="76"/>
      <c r="Q2928" s="76"/>
      <c r="R2928" s="76"/>
      <c r="S2928" s="76"/>
      <c r="BD2928" s="99">
        <f t="shared" si="95"/>
        <v>0</v>
      </c>
      <c r="CC2928" s="99"/>
      <c r="CV2928" s="99"/>
      <c r="CW2928" s="63"/>
    </row>
    <row r="2929" spans="1:101" x14ac:dyDescent="0.15">
      <c r="A2929" s="76">
        <v>2742</v>
      </c>
      <c r="B2929" s="74" t="s">
        <v>2974</v>
      </c>
      <c r="C2929" s="74">
        <v>1132624622</v>
      </c>
      <c r="D2929" s="78" t="str">
        <f t="shared" si="97"/>
        <v>https://portal.dnb.de/opac.htm?method=simpleSearch&amp;cqlMode=true&amp;query=idn%3D1132624622</v>
      </c>
      <c r="E2929" s="74" t="s">
        <v>2971</v>
      </c>
      <c r="F2929" s="74"/>
      <c r="G2929" s="76"/>
      <c r="H2929" s="77"/>
      <c r="I2929" s="76"/>
      <c r="J2929" s="77"/>
      <c r="K2929" s="77"/>
      <c r="L2929" s="76"/>
      <c r="M2929" s="76"/>
      <c r="N2929" s="76"/>
      <c r="O2929" s="76"/>
      <c r="P2929" s="76"/>
      <c r="Q2929" s="76"/>
      <c r="R2929" s="76"/>
      <c r="S2929" s="76"/>
      <c r="BD2929" s="99">
        <f t="shared" si="95"/>
        <v>0</v>
      </c>
      <c r="CC2929" s="99"/>
      <c r="CV2929" s="99"/>
      <c r="CW2929" s="63"/>
    </row>
    <row r="2930" spans="1:101" x14ac:dyDescent="0.15">
      <c r="A2930" s="76">
        <v>2743</v>
      </c>
      <c r="B2930" s="74" t="s">
        <v>2975</v>
      </c>
      <c r="C2930" s="74">
        <v>1132624592</v>
      </c>
      <c r="D2930" s="78" t="str">
        <f t="shared" si="97"/>
        <v>https://portal.dnb.de/opac.htm?method=simpleSearch&amp;cqlMode=true&amp;query=idn%3D1132624592</v>
      </c>
      <c r="E2930" s="74" t="s">
        <v>2971</v>
      </c>
      <c r="F2930" s="74"/>
      <c r="G2930" s="76"/>
      <c r="H2930" s="77"/>
      <c r="I2930" s="76"/>
      <c r="J2930" s="77"/>
      <c r="K2930" s="77"/>
      <c r="L2930" s="76"/>
      <c r="M2930" s="76"/>
      <c r="N2930" s="76"/>
      <c r="O2930" s="76"/>
      <c r="P2930" s="76"/>
      <c r="Q2930" s="76"/>
      <c r="R2930" s="76"/>
      <c r="S2930" s="76"/>
      <c r="BD2930" s="99">
        <f t="shared" si="95"/>
        <v>0</v>
      </c>
      <c r="CC2930" s="99"/>
      <c r="CV2930" s="99"/>
      <c r="CW2930" s="63"/>
    </row>
    <row r="2931" spans="1:101" x14ac:dyDescent="0.15">
      <c r="A2931" s="76">
        <v>2744</v>
      </c>
      <c r="B2931" s="74" t="s">
        <v>2976</v>
      </c>
      <c r="C2931" s="74">
        <v>1132624614</v>
      </c>
      <c r="D2931" s="78" t="str">
        <f t="shared" si="97"/>
        <v>https://portal.dnb.de/opac.htm?method=simpleSearch&amp;cqlMode=true&amp;query=idn%3D1132624614</v>
      </c>
      <c r="E2931" s="74" t="s">
        <v>2971</v>
      </c>
      <c r="F2931" s="74"/>
      <c r="G2931" s="76"/>
      <c r="H2931" s="77"/>
      <c r="I2931" s="76"/>
      <c r="J2931" s="77"/>
      <c r="K2931" s="77"/>
      <c r="L2931" s="76"/>
      <c r="M2931" s="76"/>
      <c r="N2931" s="76"/>
      <c r="O2931" s="76"/>
      <c r="P2931" s="76"/>
      <c r="Q2931" s="76"/>
      <c r="R2931" s="76"/>
      <c r="S2931" s="76"/>
      <c r="BD2931" s="99">
        <f t="shared" si="95"/>
        <v>0</v>
      </c>
      <c r="CC2931" s="99"/>
      <c r="CV2931" s="99"/>
      <c r="CW2931" s="63"/>
    </row>
    <row r="2932" spans="1:101" x14ac:dyDescent="0.15">
      <c r="A2932" s="76">
        <v>2745</v>
      </c>
      <c r="B2932" s="74" t="s">
        <v>2977</v>
      </c>
      <c r="C2932" s="74">
        <v>1132624606</v>
      </c>
      <c r="D2932" s="78" t="str">
        <f t="shared" si="97"/>
        <v>https://portal.dnb.de/opac.htm?method=simpleSearch&amp;cqlMode=true&amp;query=idn%3D1132624606</v>
      </c>
      <c r="E2932" s="74" t="s">
        <v>2971</v>
      </c>
      <c r="F2932" s="74"/>
      <c r="G2932" s="76"/>
      <c r="H2932" s="77"/>
      <c r="I2932" s="76"/>
      <c r="J2932" s="77"/>
      <c r="K2932" s="77"/>
      <c r="L2932" s="76"/>
      <c r="M2932" s="76"/>
      <c r="N2932" s="76"/>
      <c r="O2932" s="76"/>
      <c r="P2932" s="76"/>
      <c r="Q2932" s="76"/>
      <c r="R2932" s="76"/>
      <c r="S2932" s="76"/>
      <c r="BD2932" s="99">
        <f t="shared" si="95"/>
        <v>0</v>
      </c>
      <c r="CC2932" s="99"/>
      <c r="CV2932" s="99"/>
      <c r="CW2932" s="63"/>
    </row>
    <row r="2933" spans="1:101" x14ac:dyDescent="0.15">
      <c r="A2933" s="76">
        <v>2746</v>
      </c>
      <c r="B2933" s="74" t="s">
        <v>2978</v>
      </c>
      <c r="C2933" s="74">
        <v>1132624606</v>
      </c>
      <c r="D2933" s="78" t="str">
        <f t="shared" si="97"/>
        <v>https://portal.dnb.de/opac.htm?method=simpleSearch&amp;cqlMode=true&amp;query=idn%3D1132624606</v>
      </c>
      <c r="E2933" s="74" t="s">
        <v>2971</v>
      </c>
      <c r="F2933" s="74"/>
      <c r="G2933" s="76"/>
      <c r="H2933" s="77"/>
      <c r="I2933" s="76"/>
      <c r="J2933" s="77"/>
      <c r="K2933" s="77"/>
      <c r="L2933" s="76"/>
      <c r="M2933" s="76"/>
      <c r="N2933" s="76"/>
      <c r="O2933" s="76"/>
      <c r="P2933" s="76"/>
      <c r="Q2933" s="76"/>
      <c r="R2933" s="76"/>
      <c r="S2933" s="76"/>
      <c r="BD2933" s="99">
        <f t="shared" si="95"/>
        <v>0</v>
      </c>
      <c r="CC2933" s="99"/>
      <c r="CV2933" s="99"/>
      <c r="CW2933" s="63"/>
    </row>
    <row r="2934" spans="1:101" x14ac:dyDescent="0.15">
      <c r="A2934" s="76">
        <v>2747</v>
      </c>
      <c r="B2934" s="74" t="s">
        <v>2979</v>
      </c>
      <c r="C2934" s="74">
        <v>1003364268</v>
      </c>
      <c r="D2934" s="78" t="str">
        <f t="shared" si="97"/>
        <v>https://portal.dnb.de/opac.htm?method=simpleSearch&amp;cqlMode=true&amp;query=idn%3D1003364268</v>
      </c>
      <c r="E2934" s="74" t="s">
        <v>2980</v>
      </c>
      <c r="F2934" s="74"/>
      <c r="G2934" s="76"/>
      <c r="H2934" s="77"/>
      <c r="I2934" s="76"/>
      <c r="J2934" s="77"/>
      <c r="K2934" s="77"/>
      <c r="L2934" s="76"/>
      <c r="M2934" s="76"/>
      <c r="N2934" s="76"/>
      <c r="O2934" s="76"/>
      <c r="P2934" s="76"/>
      <c r="Q2934" s="76"/>
      <c r="R2934" s="76"/>
      <c r="S2934" s="76"/>
      <c r="BD2934" s="99">
        <f t="shared" si="95"/>
        <v>0</v>
      </c>
      <c r="CC2934" s="99"/>
      <c r="CV2934" s="99"/>
      <c r="CW2934" s="63"/>
    </row>
    <row r="2935" spans="1:101" ht="22.5" x14ac:dyDescent="0.15">
      <c r="A2935" s="76">
        <v>2748</v>
      </c>
      <c r="B2935" s="74" t="s">
        <v>2981</v>
      </c>
      <c r="C2935" s="74">
        <v>1003364241</v>
      </c>
      <c r="D2935" s="78" t="str">
        <f t="shared" si="97"/>
        <v>https://portal.dnb.de/opac.htm?method=simpleSearch&amp;cqlMode=true&amp;query=idn%3D1003364241</v>
      </c>
      <c r="E2935" s="74" t="s">
        <v>2980</v>
      </c>
      <c r="F2935" s="74"/>
      <c r="G2935" s="76" t="s">
        <v>8515</v>
      </c>
      <c r="H2935" s="77" t="s">
        <v>18</v>
      </c>
      <c r="I2935" s="76" t="s">
        <v>53</v>
      </c>
      <c r="J2935" s="77" t="s">
        <v>8516</v>
      </c>
      <c r="K2935" s="77"/>
      <c r="L2935" s="76"/>
      <c r="M2935" s="76" t="s">
        <v>36</v>
      </c>
      <c r="N2935" s="76" t="s">
        <v>39</v>
      </c>
      <c r="O2935" s="76">
        <v>0</v>
      </c>
      <c r="P2935" s="76"/>
      <c r="Q2935" s="76"/>
      <c r="R2935" s="76"/>
      <c r="S2935" s="76"/>
      <c r="BD2935" s="99">
        <f t="shared" si="95"/>
        <v>0</v>
      </c>
      <c r="CC2935" s="99"/>
      <c r="CV2935" s="99"/>
      <c r="CW2935" s="63"/>
    </row>
    <row r="2936" spans="1:101" ht="22.5" x14ac:dyDescent="0.15">
      <c r="A2936" s="76">
        <v>2749</v>
      </c>
      <c r="B2936" s="74" t="s">
        <v>2982</v>
      </c>
      <c r="C2936" s="74">
        <v>995042128</v>
      </c>
      <c r="D2936" s="78" t="str">
        <f t="shared" si="97"/>
        <v>https://portal.dnb.de/opac.htm?method=simpleSearch&amp;cqlMode=true&amp;query=idn%3D995042128</v>
      </c>
      <c r="E2936" s="74" t="s">
        <v>2983</v>
      </c>
      <c r="F2936" s="74"/>
      <c r="G2936" s="76"/>
      <c r="H2936" s="77" t="s">
        <v>5</v>
      </c>
      <c r="I2936" s="76" t="s">
        <v>53</v>
      </c>
      <c r="J2936" s="77" t="s">
        <v>8516</v>
      </c>
      <c r="K2936" s="77" t="s">
        <v>9451</v>
      </c>
      <c r="L2936" s="76"/>
      <c r="M2936" s="76" t="s">
        <v>38</v>
      </c>
      <c r="N2936" s="76"/>
      <c r="O2936" s="76">
        <v>0</v>
      </c>
      <c r="P2936" s="76"/>
      <c r="Q2936" s="76"/>
      <c r="R2936" s="76"/>
      <c r="S2936" s="76"/>
      <c r="BD2936" s="99">
        <f t="shared" si="95"/>
        <v>0</v>
      </c>
      <c r="CC2936" s="99"/>
      <c r="CV2936" s="99"/>
      <c r="CW2936" s="63"/>
    </row>
    <row r="2937" spans="1:101" ht="22.5" x14ac:dyDescent="0.15">
      <c r="A2937" s="76">
        <v>2750</v>
      </c>
      <c r="B2937" s="74" t="s">
        <v>2984</v>
      </c>
      <c r="C2937" s="74">
        <v>1002116112</v>
      </c>
      <c r="D2937" s="78" t="str">
        <f t="shared" si="97"/>
        <v>https://portal.dnb.de/opac.htm?method=simpleSearch&amp;cqlMode=true&amp;query=idn%3D1002116112</v>
      </c>
      <c r="E2937" s="74" t="s">
        <v>9452</v>
      </c>
      <c r="F2937" s="74"/>
      <c r="G2937" s="76" t="s">
        <v>8515</v>
      </c>
      <c r="H2937" s="77" t="s">
        <v>18</v>
      </c>
      <c r="I2937" s="76" t="s">
        <v>53</v>
      </c>
      <c r="J2937" s="77" t="s">
        <v>58</v>
      </c>
      <c r="K2937" s="77" t="s">
        <v>84</v>
      </c>
      <c r="L2937" s="76"/>
      <c r="M2937" s="76" t="s">
        <v>36</v>
      </c>
      <c r="N2937" s="76" t="s">
        <v>39</v>
      </c>
      <c r="O2937" s="76">
        <v>1</v>
      </c>
      <c r="P2937" s="76"/>
      <c r="Q2937" s="76"/>
      <c r="R2937" s="76"/>
      <c r="S2937" s="76"/>
      <c r="BD2937" s="99">
        <f t="shared" si="95"/>
        <v>0</v>
      </c>
      <c r="CC2937" s="99"/>
      <c r="CV2937" s="99"/>
      <c r="CW2937" s="63"/>
    </row>
    <row r="2938" spans="1:101" ht="22.5" x14ac:dyDescent="0.15">
      <c r="A2938" s="76">
        <v>2751</v>
      </c>
      <c r="B2938" s="74" t="s">
        <v>2985</v>
      </c>
      <c r="C2938" s="74">
        <v>1002116252</v>
      </c>
      <c r="D2938" s="78" t="str">
        <f t="shared" si="97"/>
        <v>https://portal.dnb.de/opac.htm?method=simpleSearch&amp;cqlMode=true&amp;query=idn%3D1002116252</v>
      </c>
      <c r="E2938" s="74" t="s">
        <v>9453</v>
      </c>
      <c r="F2938" s="74"/>
      <c r="G2938" s="76" t="s">
        <v>8515</v>
      </c>
      <c r="H2938" s="77" t="s">
        <v>18</v>
      </c>
      <c r="I2938" s="76" t="s">
        <v>53</v>
      </c>
      <c r="J2938" s="77" t="s">
        <v>58</v>
      </c>
      <c r="K2938" s="77" t="s">
        <v>84</v>
      </c>
      <c r="L2938" s="76"/>
      <c r="M2938" s="76" t="s">
        <v>36</v>
      </c>
      <c r="N2938" s="76" t="s">
        <v>39</v>
      </c>
      <c r="O2938" s="76">
        <v>1</v>
      </c>
      <c r="P2938" s="76"/>
      <c r="Q2938" s="76"/>
      <c r="R2938" s="76"/>
      <c r="S2938" s="76"/>
      <c r="BD2938" s="99">
        <f t="shared" si="95"/>
        <v>0</v>
      </c>
      <c r="CC2938" s="99"/>
      <c r="CV2938" s="99"/>
      <c r="CW2938" s="63"/>
    </row>
    <row r="2939" spans="1:101" ht="22.5" x14ac:dyDescent="0.15">
      <c r="A2939" s="76">
        <v>2752</v>
      </c>
      <c r="B2939" s="74" t="s">
        <v>2986</v>
      </c>
      <c r="C2939" s="74">
        <v>1002116511</v>
      </c>
      <c r="D2939" s="78" t="str">
        <f t="shared" si="97"/>
        <v>https://portal.dnb.de/opac.htm?method=simpleSearch&amp;cqlMode=true&amp;query=idn%3D1002116511</v>
      </c>
      <c r="E2939" s="74" t="s">
        <v>9454</v>
      </c>
      <c r="F2939" s="74"/>
      <c r="G2939" s="76" t="s">
        <v>8515</v>
      </c>
      <c r="H2939" s="77" t="s">
        <v>18</v>
      </c>
      <c r="I2939" s="76" t="s">
        <v>53</v>
      </c>
      <c r="J2939" s="77" t="s">
        <v>58</v>
      </c>
      <c r="K2939" s="77" t="s">
        <v>84</v>
      </c>
      <c r="L2939" s="76"/>
      <c r="M2939" s="76" t="s">
        <v>36</v>
      </c>
      <c r="N2939" s="76" t="s">
        <v>39</v>
      </c>
      <c r="O2939" s="76">
        <v>1</v>
      </c>
      <c r="P2939" s="76"/>
      <c r="Q2939" s="76"/>
      <c r="R2939" s="76"/>
      <c r="S2939" s="76"/>
      <c r="BD2939" s="99">
        <f t="shared" si="95"/>
        <v>0</v>
      </c>
      <c r="CC2939" s="99"/>
      <c r="CV2939" s="99"/>
      <c r="CW2939" s="63"/>
    </row>
    <row r="2940" spans="1:101" ht="22.5" x14ac:dyDescent="0.15">
      <c r="A2940" s="76"/>
      <c r="B2940" s="74"/>
      <c r="C2940" s="74"/>
      <c r="D2940" s="78"/>
      <c r="E2940" s="74" t="s">
        <v>9455</v>
      </c>
      <c r="F2940" s="74"/>
      <c r="G2940" s="76" t="s">
        <v>8515</v>
      </c>
      <c r="H2940" s="77" t="s">
        <v>18</v>
      </c>
      <c r="I2940" s="76" t="s">
        <v>53</v>
      </c>
      <c r="J2940" s="77" t="s">
        <v>58</v>
      </c>
      <c r="K2940" s="77" t="s">
        <v>84</v>
      </c>
      <c r="L2940" s="76"/>
      <c r="M2940" s="76" t="s">
        <v>36</v>
      </c>
      <c r="N2940" s="76" t="s">
        <v>39</v>
      </c>
      <c r="O2940" s="76">
        <v>1</v>
      </c>
      <c r="P2940" s="76"/>
      <c r="Q2940" s="76"/>
      <c r="R2940" s="76"/>
      <c r="S2940" s="76"/>
      <c r="BD2940" s="99">
        <f t="shared" si="95"/>
        <v>0</v>
      </c>
      <c r="CC2940" s="99"/>
      <c r="CV2940" s="99"/>
      <c r="CW2940" s="63"/>
    </row>
    <row r="2941" spans="1:101" ht="33.75" x14ac:dyDescent="0.15">
      <c r="A2941" s="76">
        <v>2753</v>
      </c>
      <c r="B2941" s="74" t="s">
        <v>2987</v>
      </c>
      <c r="C2941" s="74">
        <v>994116373</v>
      </c>
      <c r="D2941" s="82" t="str">
        <f t="shared" ref="D2941:D2946" si="98">HYPERLINK(CONCATENATE("https://portal.dnb.de/opac.htm?method=simpleSearch&amp;cqlMode=true&amp;query=idn%3D",C2941))</f>
        <v>https://portal.dnb.de/opac.htm?method=simpleSearch&amp;cqlMode=true&amp;query=idn%3D994116373</v>
      </c>
      <c r="E2941" s="74" t="s">
        <v>2988</v>
      </c>
      <c r="F2941" s="74"/>
      <c r="G2941" s="76" t="s">
        <v>8515</v>
      </c>
      <c r="H2941" s="77" t="s">
        <v>4</v>
      </c>
      <c r="I2941" s="76" t="s">
        <v>53</v>
      </c>
      <c r="J2941" s="77" t="s">
        <v>89</v>
      </c>
      <c r="K2941" s="77" t="s">
        <v>8900</v>
      </c>
      <c r="L2941" s="76"/>
      <c r="M2941" s="76" t="s">
        <v>36</v>
      </c>
      <c r="N2941" s="76" t="s">
        <v>39</v>
      </c>
      <c r="O2941" s="76">
        <v>0</v>
      </c>
      <c r="P2941" s="76"/>
      <c r="Q2941" s="76"/>
      <c r="R2941" s="76"/>
      <c r="S2941" s="76"/>
      <c r="BD2941" s="99">
        <f t="shared" si="95"/>
        <v>0</v>
      </c>
      <c r="CC2941" s="99"/>
      <c r="CV2941" s="99"/>
      <c r="CW2941" s="63"/>
    </row>
    <row r="2942" spans="1:101" ht="22.5" x14ac:dyDescent="0.15">
      <c r="A2942" s="76">
        <v>2754</v>
      </c>
      <c r="B2942" s="74" t="s">
        <v>2989</v>
      </c>
      <c r="C2942" s="74">
        <v>996619461</v>
      </c>
      <c r="D2942" s="82" t="str">
        <f t="shared" si="98"/>
        <v>https://portal.dnb.de/opac.htm?method=simpleSearch&amp;cqlMode=true&amp;query=idn%3D996619461</v>
      </c>
      <c r="E2942" s="74" t="s">
        <v>9466</v>
      </c>
      <c r="F2942" s="74"/>
      <c r="G2942" s="76"/>
      <c r="H2942" s="77" t="s">
        <v>18</v>
      </c>
      <c r="I2942" s="76" t="s">
        <v>53</v>
      </c>
      <c r="J2942" s="77" t="s">
        <v>58</v>
      </c>
      <c r="K2942" s="77" t="s">
        <v>84</v>
      </c>
      <c r="L2942" s="76"/>
      <c r="M2942" s="76" t="s">
        <v>36</v>
      </c>
      <c r="N2942" s="76" t="s">
        <v>39</v>
      </c>
      <c r="O2942" s="76">
        <v>1</v>
      </c>
      <c r="P2942" s="76"/>
      <c r="Q2942" s="76"/>
      <c r="R2942" s="76"/>
      <c r="S2942" s="76"/>
      <c r="BD2942" s="99">
        <f t="shared" si="95"/>
        <v>0</v>
      </c>
      <c r="CC2942" s="99"/>
      <c r="CV2942" s="99"/>
      <c r="CW2942" s="63"/>
    </row>
    <row r="2943" spans="1:101" ht="22.5" x14ac:dyDescent="0.15">
      <c r="A2943" s="76">
        <v>2755</v>
      </c>
      <c r="B2943" s="74" t="s">
        <v>2990</v>
      </c>
      <c r="C2943" s="74">
        <v>996619720</v>
      </c>
      <c r="D2943" s="82" t="str">
        <f t="shared" si="98"/>
        <v>https://portal.dnb.de/opac.htm?method=simpleSearch&amp;cqlMode=true&amp;query=idn%3D996619720</v>
      </c>
      <c r="E2943" s="74" t="s">
        <v>9467</v>
      </c>
      <c r="F2943" s="74"/>
      <c r="G2943" s="76" t="s">
        <v>8515</v>
      </c>
      <c r="H2943" s="77" t="s">
        <v>18</v>
      </c>
      <c r="I2943" s="76" t="s">
        <v>53</v>
      </c>
      <c r="J2943" s="77" t="s">
        <v>58</v>
      </c>
      <c r="K2943" s="77" t="s">
        <v>84</v>
      </c>
      <c r="L2943" s="76"/>
      <c r="M2943" s="76" t="s">
        <v>36</v>
      </c>
      <c r="N2943" s="76" t="s">
        <v>39</v>
      </c>
      <c r="O2943" s="76">
        <v>2</v>
      </c>
      <c r="P2943" s="76"/>
      <c r="Q2943" s="76"/>
      <c r="R2943" s="76"/>
      <c r="S2943" s="76"/>
      <c r="BD2943" s="99">
        <f t="shared" si="95"/>
        <v>0</v>
      </c>
      <c r="CC2943" s="99"/>
      <c r="CV2943" s="99"/>
      <c r="CW2943" s="63"/>
    </row>
    <row r="2944" spans="1:101" ht="22.5" x14ac:dyDescent="0.15">
      <c r="A2944" s="76">
        <v>2756</v>
      </c>
      <c r="B2944" s="74" t="s">
        <v>2991</v>
      </c>
      <c r="C2944" s="74">
        <v>996619690</v>
      </c>
      <c r="D2944" s="82" t="str">
        <f t="shared" si="98"/>
        <v>https://portal.dnb.de/opac.htm?method=simpleSearch&amp;cqlMode=true&amp;query=idn%3D996619690</v>
      </c>
      <c r="E2944" s="74" t="s">
        <v>9468</v>
      </c>
      <c r="F2944" s="74"/>
      <c r="G2944" s="76" t="s">
        <v>8515</v>
      </c>
      <c r="H2944" s="77" t="s">
        <v>18</v>
      </c>
      <c r="I2944" s="76" t="s">
        <v>53</v>
      </c>
      <c r="J2944" s="77" t="s">
        <v>58</v>
      </c>
      <c r="K2944" s="77" t="s">
        <v>84</v>
      </c>
      <c r="L2944" s="76"/>
      <c r="M2944" s="76" t="s">
        <v>36</v>
      </c>
      <c r="N2944" s="76" t="s">
        <v>39</v>
      </c>
      <c r="O2944" s="76">
        <v>1</v>
      </c>
      <c r="P2944" s="76"/>
      <c r="Q2944" s="76"/>
      <c r="R2944" s="76"/>
      <c r="S2944" s="76"/>
      <c r="BD2944" s="99">
        <f t="shared" si="95"/>
        <v>0</v>
      </c>
      <c r="CC2944" s="99"/>
      <c r="CV2944" s="99"/>
      <c r="CW2944" s="63"/>
    </row>
    <row r="2945" spans="1:101" x14ac:dyDescent="0.15">
      <c r="A2945" s="76">
        <v>2757</v>
      </c>
      <c r="B2945" s="74" t="s">
        <v>2992</v>
      </c>
      <c r="C2945" s="74">
        <v>1003324444</v>
      </c>
      <c r="D2945" s="82" t="str">
        <f t="shared" si="98"/>
        <v>https://portal.dnb.de/opac.htm?method=simpleSearch&amp;cqlMode=true&amp;query=idn%3D1003324444</v>
      </c>
      <c r="E2945" s="74" t="s">
        <v>9470</v>
      </c>
      <c r="F2945" s="74"/>
      <c r="G2945" s="76"/>
      <c r="H2945" s="77"/>
      <c r="I2945" s="76"/>
      <c r="J2945" s="77"/>
      <c r="K2945" s="77"/>
      <c r="L2945" s="76"/>
      <c r="M2945" s="76"/>
      <c r="N2945" s="76"/>
      <c r="O2945" s="76"/>
      <c r="P2945" s="76"/>
      <c r="Q2945" s="76"/>
      <c r="R2945" s="76"/>
      <c r="S2945" s="76"/>
      <c r="BD2945" s="99">
        <f t="shared" si="95"/>
        <v>0</v>
      </c>
      <c r="CC2945" s="99"/>
      <c r="CV2945" s="99"/>
      <c r="CW2945" s="63"/>
    </row>
    <row r="2946" spans="1:101" ht="22.5" x14ac:dyDescent="0.15">
      <c r="A2946" s="76">
        <v>2758</v>
      </c>
      <c r="B2946" s="74" t="s">
        <v>2993</v>
      </c>
      <c r="C2946" s="74" t="s">
        <v>2994</v>
      </c>
      <c r="D2946" s="82" t="str">
        <f t="shared" si="98"/>
        <v>https://portal.dnb.de/opac.htm?method=simpleSearch&amp;cqlMode=true&amp;query=idn%3D100332441X</v>
      </c>
      <c r="E2946" s="74" t="s">
        <v>9471</v>
      </c>
      <c r="F2946" s="74"/>
      <c r="G2946" s="76"/>
      <c r="H2946" s="77" t="s">
        <v>18</v>
      </c>
      <c r="I2946" s="76" t="s">
        <v>53</v>
      </c>
      <c r="J2946" s="77" t="s">
        <v>58</v>
      </c>
      <c r="K2946" s="77" t="s">
        <v>84</v>
      </c>
      <c r="L2946" s="76"/>
      <c r="M2946" s="76" t="s">
        <v>36</v>
      </c>
      <c r="N2946" s="76" t="s">
        <v>39</v>
      </c>
      <c r="O2946" s="76">
        <v>0</v>
      </c>
      <c r="P2946" s="76"/>
      <c r="Q2946" s="76"/>
      <c r="R2946" s="76"/>
      <c r="S2946" s="76"/>
      <c r="BD2946" s="99">
        <f t="shared" si="95"/>
        <v>0</v>
      </c>
      <c r="CC2946" s="99"/>
      <c r="CV2946" s="99"/>
      <c r="CW2946" s="63"/>
    </row>
    <row r="2947" spans="1:101" ht="22.5" x14ac:dyDescent="0.15">
      <c r="A2947" s="76">
        <v>2759</v>
      </c>
      <c r="B2947" s="74" t="s">
        <v>2995</v>
      </c>
      <c r="C2947" s="74">
        <v>1003735983</v>
      </c>
      <c r="D2947" s="78" t="str">
        <f t="shared" si="97"/>
        <v>https://portal.dnb.de/opac.htm?method=simpleSearch&amp;cqlMode=true&amp;query=idn%3D1003735983</v>
      </c>
      <c r="E2947" s="74" t="s">
        <v>9481</v>
      </c>
      <c r="F2947" s="74"/>
      <c r="G2947" s="76"/>
      <c r="H2947" s="77" t="s">
        <v>18</v>
      </c>
      <c r="I2947" s="76" t="s">
        <v>53</v>
      </c>
      <c r="J2947" s="77" t="s">
        <v>58</v>
      </c>
      <c r="K2947" s="77" t="s">
        <v>84</v>
      </c>
      <c r="L2947" s="76"/>
      <c r="M2947" s="76" t="s">
        <v>36</v>
      </c>
      <c r="N2947" s="76" t="s">
        <v>39</v>
      </c>
      <c r="O2947" s="76">
        <v>0</v>
      </c>
      <c r="P2947" s="76"/>
      <c r="Q2947" s="76"/>
      <c r="R2947" s="76"/>
      <c r="S2947" s="76"/>
      <c r="BD2947" s="99">
        <f t="shared" ref="BD2947:BD3010" si="99">CC2947+CV2947</f>
        <v>0</v>
      </c>
      <c r="CC2947" s="99"/>
      <c r="CV2947" s="99"/>
      <c r="CW2947" s="63"/>
    </row>
    <row r="2948" spans="1:101" x14ac:dyDescent="0.15">
      <c r="A2948" s="76">
        <v>2760</v>
      </c>
      <c r="B2948" s="74" t="s">
        <v>2996</v>
      </c>
      <c r="C2948" s="74" t="s">
        <v>2997</v>
      </c>
      <c r="D2948" s="78" t="str">
        <f t="shared" si="97"/>
        <v>https://portal.dnb.de/opac.htm?method=simpleSearch&amp;cqlMode=true&amp;query=idn%3D100373605X</v>
      </c>
      <c r="E2948" s="74" t="s">
        <v>9482</v>
      </c>
      <c r="F2948" s="74"/>
      <c r="G2948" s="76"/>
      <c r="H2948" s="77" t="s">
        <v>4</v>
      </c>
      <c r="I2948" s="76" t="s">
        <v>53</v>
      </c>
      <c r="J2948" s="77" t="s">
        <v>58</v>
      </c>
      <c r="K2948" s="77" t="s">
        <v>8520</v>
      </c>
      <c r="L2948" s="76"/>
      <c r="M2948" s="76" t="s">
        <v>36</v>
      </c>
      <c r="N2948" s="76" t="s">
        <v>39</v>
      </c>
      <c r="O2948" s="76">
        <v>0</v>
      </c>
      <c r="P2948" s="76"/>
      <c r="Q2948" s="76"/>
      <c r="R2948" s="76"/>
      <c r="S2948" s="76"/>
      <c r="BD2948" s="99">
        <f t="shared" si="99"/>
        <v>0</v>
      </c>
      <c r="CC2948" s="99"/>
      <c r="CV2948" s="99"/>
      <c r="CW2948" s="63"/>
    </row>
    <row r="2949" spans="1:101" x14ac:dyDescent="0.15">
      <c r="A2949" s="76">
        <v>2761</v>
      </c>
      <c r="B2949" s="74" t="s">
        <v>2998</v>
      </c>
      <c r="C2949" s="74">
        <v>1003735991</v>
      </c>
      <c r="D2949" s="78" t="str">
        <f t="shared" si="97"/>
        <v>https://portal.dnb.de/opac.htm?method=simpleSearch&amp;cqlMode=true&amp;query=idn%3D1003735991</v>
      </c>
      <c r="E2949" s="74" t="s">
        <v>9483</v>
      </c>
      <c r="F2949" s="74"/>
      <c r="G2949" s="76"/>
      <c r="H2949" s="77" t="s">
        <v>4</v>
      </c>
      <c r="I2949" s="76" t="s">
        <v>53</v>
      </c>
      <c r="J2949" s="77" t="s">
        <v>58</v>
      </c>
      <c r="K2949" s="77" t="s">
        <v>8520</v>
      </c>
      <c r="L2949" s="76"/>
      <c r="M2949" s="76" t="s">
        <v>36</v>
      </c>
      <c r="N2949" s="76" t="s">
        <v>39</v>
      </c>
      <c r="O2949" s="76">
        <v>0</v>
      </c>
      <c r="P2949" s="76"/>
      <c r="Q2949" s="76"/>
      <c r="R2949" s="76"/>
      <c r="S2949" s="76"/>
      <c r="BD2949" s="99">
        <f t="shared" si="99"/>
        <v>0</v>
      </c>
      <c r="CC2949" s="99"/>
      <c r="CV2949" s="99"/>
      <c r="CW2949" s="63"/>
    </row>
    <row r="2950" spans="1:101" x14ac:dyDescent="0.15">
      <c r="A2950" s="76">
        <v>2762</v>
      </c>
      <c r="B2950" s="74" t="s">
        <v>2999</v>
      </c>
      <c r="C2950" s="74">
        <v>1003736076</v>
      </c>
      <c r="D2950" s="78" t="str">
        <f t="shared" si="97"/>
        <v>https://portal.dnb.de/opac.htm?method=simpleSearch&amp;cqlMode=true&amp;query=idn%3D1003736076</v>
      </c>
      <c r="E2950" s="74" t="s">
        <v>9484</v>
      </c>
      <c r="F2950" s="74"/>
      <c r="G2950" s="76"/>
      <c r="H2950" s="77" t="s">
        <v>4</v>
      </c>
      <c r="I2950" s="76" t="s">
        <v>53</v>
      </c>
      <c r="J2950" s="77" t="s">
        <v>58</v>
      </c>
      <c r="K2950" s="77" t="s">
        <v>8520</v>
      </c>
      <c r="L2950" s="76"/>
      <c r="M2950" s="76" t="s">
        <v>36</v>
      </c>
      <c r="N2950" s="76" t="s">
        <v>39</v>
      </c>
      <c r="O2950" s="76">
        <v>0</v>
      </c>
      <c r="P2950" s="76"/>
      <c r="Q2950" s="76"/>
      <c r="R2950" s="76"/>
      <c r="S2950" s="76"/>
      <c r="BD2950" s="99">
        <f t="shared" si="99"/>
        <v>0</v>
      </c>
      <c r="CC2950" s="99"/>
      <c r="CV2950" s="99"/>
      <c r="CW2950" s="63"/>
    </row>
    <row r="2951" spans="1:101" x14ac:dyDescent="0.15">
      <c r="A2951" s="76">
        <v>2763</v>
      </c>
      <c r="B2951" s="74" t="s">
        <v>3008</v>
      </c>
      <c r="C2951" s="74">
        <v>1186663456</v>
      </c>
      <c r="D2951" s="78" t="str">
        <f t="shared" si="97"/>
        <v>https://portal.dnb.de/opac.htm?method=simpleSearch&amp;cqlMode=true&amp;query=idn%3D1186663456</v>
      </c>
      <c r="E2951" s="74" t="s">
        <v>3009</v>
      </c>
      <c r="F2951" s="74"/>
      <c r="G2951" s="76"/>
      <c r="H2951" s="77"/>
      <c r="I2951" s="76"/>
      <c r="J2951" s="77"/>
      <c r="K2951" s="77"/>
      <c r="L2951" s="76"/>
      <c r="M2951" s="76"/>
      <c r="N2951" s="76"/>
      <c r="O2951" s="76"/>
      <c r="P2951" s="76"/>
      <c r="Q2951" s="76"/>
      <c r="R2951" s="76"/>
      <c r="S2951" s="76"/>
      <c r="BD2951" s="99">
        <f t="shared" si="99"/>
        <v>0</v>
      </c>
      <c r="CC2951" s="99"/>
      <c r="CV2951" s="99"/>
      <c r="CW2951" s="63"/>
    </row>
    <row r="2952" spans="1:101" ht="22.5" x14ac:dyDescent="0.15">
      <c r="A2952" s="76">
        <v>2764</v>
      </c>
      <c r="B2952" s="74" t="s">
        <v>3019</v>
      </c>
      <c r="C2952" s="74">
        <v>998840211</v>
      </c>
      <c r="D2952" s="78" t="str">
        <f t="shared" si="97"/>
        <v>https://portal.dnb.de/opac.htm?method=simpleSearch&amp;cqlMode=true&amp;query=idn%3D998840211</v>
      </c>
      <c r="E2952" s="74" t="s">
        <v>3020</v>
      </c>
      <c r="F2952" s="74"/>
      <c r="G2952" s="76" t="s">
        <v>8515</v>
      </c>
      <c r="H2952" s="77" t="s">
        <v>18</v>
      </c>
      <c r="I2952" s="76" t="s">
        <v>53</v>
      </c>
      <c r="J2952" s="77" t="s">
        <v>58</v>
      </c>
      <c r="K2952" s="77" t="s">
        <v>87</v>
      </c>
      <c r="L2952" s="76"/>
      <c r="M2952" s="76"/>
      <c r="N2952" s="76"/>
      <c r="O2952" s="76">
        <v>0</v>
      </c>
      <c r="P2952" s="76"/>
      <c r="Q2952" s="76"/>
      <c r="R2952" s="76"/>
      <c r="S2952" s="76"/>
      <c r="BD2952" s="99">
        <f t="shared" si="99"/>
        <v>0</v>
      </c>
      <c r="CC2952" s="99"/>
      <c r="CV2952" s="99"/>
      <c r="CW2952" s="63"/>
    </row>
    <row r="2953" spans="1:101" ht="22.5" x14ac:dyDescent="0.15">
      <c r="A2953" s="76">
        <v>2765</v>
      </c>
      <c r="B2953" s="74" t="s">
        <v>3021</v>
      </c>
      <c r="C2953" s="74">
        <v>999956205</v>
      </c>
      <c r="D2953" s="78" t="str">
        <f t="shared" si="97"/>
        <v>https://portal.dnb.de/opac.htm?method=simpleSearch&amp;cqlMode=true&amp;query=idn%3D999956205</v>
      </c>
      <c r="E2953" s="74" t="s">
        <v>3022</v>
      </c>
      <c r="F2953" s="74"/>
      <c r="G2953" s="76" t="s">
        <v>8515</v>
      </c>
      <c r="H2953" s="77" t="s">
        <v>18</v>
      </c>
      <c r="I2953" s="76" t="s">
        <v>53</v>
      </c>
      <c r="J2953" s="77" t="s">
        <v>8516</v>
      </c>
      <c r="K2953" s="77" t="s">
        <v>72</v>
      </c>
      <c r="L2953" s="76"/>
      <c r="M2953" s="76" t="s">
        <v>36</v>
      </c>
      <c r="N2953" s="76" t="s">
        <v>39</v>
      </c>
      <c r="O2953" s="76">
        <v>0</v>
      </c>
      <c r="P2953" s="76"/>
      <c r="Q2953" s="76"/>
      <c r="R2953" s="76"/>
      <c r="S2953" s="76"/>
      <c r="BD2953" s="99">
        <f t="shared" si="99"/>
        <v>0</v>
      </c>
      <c r="CC2953" s="99"/>
      <c r="CV2953" s="99"/>
      <c r="CW2953" s="63"/>
    </row>
    <row r="2954" spans="1:101" ht="22.5" x14ac:dyDescent="0.15">
      <c r="A2954" s="76">
        <v>2766</v>
      </c>
      <c r="B2954" s="74" t="s">
        <v>3023</v>
      </c>
      <c r="C2954" s="74">
        <v>996659315</v>
      </c>
      <c r="D2954" s="82" t="str">
        <f>HYPERLINK(CONCATENATE("https://portal.dnb.de/opac.htm?method=simpleSearch&amp;cqlMode=true&amp;query=idn%3D",C2954))</f>
        <v>https://portal.dnb.de/opac.htm?method=simpleSearch&amp;cqlMode=true&amp;query=idn%3D996659315</v>
      </c>
      <c r="E2954" s="74" t="s">
        <v>3024</v>
      </c>
      <c r="F2954" s="74"/>
      <c r="G2954" s="76"/>
      <c r="H2954" s="77" t="s">
        <v>48</v>
      </c>
      <c r="I2954" s="76" t="s">
        <v>53</v>
      </c>
      <c r="J2954" s="77" t="s">
        <v>8516</v>
      </c>
      <c r="K2954" s="77" t="s">
        <v>8564</v>
      </c>
      <c r="L2954" s="76"/>
      <c r="M2954" s="76"/>
      <c r="N2954" s="76"/>
      <c r="O2954" s="76">
        <v>0</v>
      </c>
      <c r="P2954" s="76"/>
      <c r="Q2954" s="76"/>
      <c r="R2954" s="76"/>
      <c r="S2954" s="76"/>
      <c r="BD2954" s="99">
        <f t="shared" si="99"/>
        <v>0</v>
      </c>
      <c r="CC2954" s="99"/>
      <c r="CV2954" s="99"/>
      <c r="CW2954" s="63"/>
    </row>
    <row r="2955" spans="1:101" ht="22.5" x14ac:dyDescent="0.15">
      <c r="A2955" s="76">
        <v>2767</v>
      </c>
      <c r="B2955" s="74" t="s">
        <v>3025</v>
      </c>
      <c r="C2955" s="74">
        <v>996655867</v>
      </c>
      <c r="D2955" s="82" t="str">
        <f>HYPERLINK(CONCATENATE("https://portal.dnb.de/opac.htm?method=simpleSearch&amp;cqlMode=true&amp;query=idn%3D",C2955))</f>
        <v>https://portal.dnb.de/opac.htm?method=simpleSearch&amp;cqlMode=true&amp;query=idn%3D996655867</v>
      </c>
      <c r="E2955" s="74" t="s">
        <v>9508</v>
      </c>
      <c r="F2955" s="74"/>
      <c r="G2955" s="76" t="s">
        <v>8515</v>
      </c>
      <c r="H2955" s="77" t="s">
        <v>5</v>
      </c>
      <c r="I2955" s="76" t="s">
        <v>53</v>
      </c>
      <c r="J2955" s="77" t="s">
        <v>58</v>
      </c>
      <c r="K2955" s="77" t="s">
        <v>8688</v>
      </c>
      <c r="L2955" s="76"/>
      <c r="M2955" s="76" t="s">
        <v>38</v>
      </c>
      <c r="N2955" s="76" t="s">
        <v>40</v>
      </c>
      <c r="O2955" s="76">
        <v>1</v>
      </c>
      <c r="P2955" s="76"/>
      <c r="Q2955" s="76"/>
      <c r="R2955" s="76"/>
      <c r="S2955" s="76"/>
      <c r="BD2955" s="99">
        <f t="shared" si="99"/>
        <v>0</v>
      </c>
      <c r="CC2955" s="99"/>
      <c r="CV2955" s="99"/>
      <c r="CW2955" s="63"/>
    </row>
    <row r="2956" spans="1:101" ht="22.5" x14ac:dyDescent="0.15">
      <c r="A2956" s="76">
        <v>2768</v>
      </c>
      <c r="B2956" s="74" t="s">
        <v>3026</v>
      </c>
      <c r="C2956" s="74">
        <v>996656170</v>
      </c>
      <c r="D2956" s="82" t="str">
        <f>HYPERLINK(CONCATENATE("https://portal.dnb.de/opac.htm?method=simpleSearch&amp;cqlMode=true&amp;query=idn%3D",C2956))</f>
        <v>https://portal.dnb.de/opac.htm?method=simpleSearch&amp;cqlMode=true&amp;query=idn%3D996656170</v>
      </c>
      <c r="E2956" s="74" t="s">
        <v>9509</v>
      </c>
      <c r="F2956" s="74"/>
      <c r="G2956" s="76" t="s">
        <v>8515</v>
      </c>
      <c r="H2956" s="77" t="s">
        <v>5</v>
      </c>
      <c r="I2956" s="76" t="s">
        <v>53</v>
      </c>
      <c r="J2956" s="77" t="s">
        <v>58</v>
      </c>
      <c r="K2956" s="77" t="s">
        <v>9510</v>
      </c>
      <c r="L2956" s="76"/>
      <c r="M2956" s="76" t="s">
        <v>36</v>
      </c>
      <c r="N2956" s="76" t="s">
        <v>40</v>
      </c>
      <c r="O2956" s="76">
        <v>1</v>
      </c>
      <c r="P2956" s="76"/>
      <c r="Q2956" s="76"/>
      <c r="R2956" s="76"/>
      <c r="S2956" s="76"/>
      <c r="BD2956" s="99">
        <f t="shared" si="99"/>
        <v>0</v>
      </c>
      <c r="CC2956" s="99"/>
      <c r="CV2956" s="99"/>
      <c r="CW2956" s="63"/>
    </row>
    <row r="2957" spans="1:101" x14ac:dyDescent="0.15">
      <c r="A2957" s="76">
        <v>2769</v>
      </c>
      <c r="B2957" s="74" t="s">
        <v>3027</v>
      </c>
      <c r="C2957" s="74">
        <v>361288832</v>
      </c>
      <c r="D2957" s="78" t="str">
        <f t="shared" si="97"/>
        <v>https://portal.dnb.de/opac.htm?method=simpleSearch&amp;cqlMode=true&amp;query=idn%3D361288832</v>
      </c>
      <c r="E2957" s="74" t="s">
        <v>3028</v>
      </c>
      <c r="F2957" s="74"/>
      <c r="G2957" s="76"/>
      <c r="H2957" s="77" t="s">
        <v>5</v>
      </c>
      <c r="I2957" s="76" t="s">
        <v>55</v>
      </c>
      <c r="J2957" s="77" t="s">
        <v>8516</v>
      </c>
      <c r="K2957" s="77"/>
      <c r="L2957" s="76"/>
      <c r="M2957" s="76" t="s">
        <v>38</v>
      </c>
      <c r="N2957" s="76" t="s">
        <v>40</v>
      </c>
      <c r="O2957" s="76">
        <v>0</v>
      </c>
      <c r="P2957" s="76"/>
      <c r="Q2957" s="76"/>
      <c r="R2957" s="76"/>
      <c r="S2957" s="76"/>
      <c r="BD2957" s="99">
        <f t="shared" si="99"/>
        <v>0</v>
      </c>
      <c r="CC2957" s="99"/>
      <c r="CV2957" s="99"/>
      <c r="CW2957" s="63"/>
    </row>
    <row r="2958" spans="1:101" ht="22.5" x14ac:dyDescent="0.15">
      <c r="A2958" s="76">
        <v>2770</v>
      </c>
      <c r="B2958" s="74" t="s">
        <v>3029</v>
      </c>
      <c r="C2958" s="74" t="s">
        <v>3030</v>
      </c>
      <c r="D2958" s="82" t="str">
        <f>HYPERLINK(CONCATENATE("https://portal.dnb.de/opac.htm?method=simpleSearch&amp;cqlMode=true&amp;query=idn%3D",C2958))</f>
        <v>https://portal.dnb.de/opac.htm?method=simpleSearch&amp;cqlMode=true&amp;query=idn%3D99665657X</v>
      </c>
      <c r="E2958" s="74" t="s">
        <v>3031</v>
      </c>
      <c r="F2958" s="74"/>
      <c r="G2958" s="76" t="s">
        <v>8515</v>
      </c>
      <c r="H2958" s="77" t="s">
        <v>18</v>
      </c>
      <c r="I2958" s="76" t="s">
        <v>53</v>
      </c>
      <c r="J2958" s="77" t="s">
        <v>58</v>
      </c>
      <c r="K2958" s="77" t="s">
        <v>84</v>
      </c>
      <c r="L2958" s="76"/>
      <c r="M2958" s="76"/>
      <c r="N2958" s="76" t="s">
        <v>8660</v>
      </c>
      <c r="O2958" s="76">
        <v>3</v>
      </c>
      <c r="P2958" s="76"/>
      <c r="Q2958" s="76"/>
      <c r="R2958" s="76"/>
      <c r="S2958" s="76"/>
      <c r="BD2958" s="99">
        <f t="shared" si="99"/>
        <v>0</v>
      </c>
      <c r="CC2958" s="99"/>
      <c r="CV2958" s="99"/>
      <c r="CW2958" s="63"/>
    </row>
    <row r="2959" spans="1:101" x14ac:dyDescent="0.15">
      <c r="A2959" s="76">
        <v>2771</v>
      </c>
      <c r="B2959" s="74" t="s">
        <v>3032</v>
      </c>
      <c r="C2959" s="74" t="s">
        <v>3033</v>
      </c>
      <c r="D2959" s="78" t="str">
        <f t="shared" si="97"/>
        <v>https://portal.dnb.de/opac.htm?method=simpleSearch&amp;cqlMode=true&amp;query=idn%3D100013413X</v>
      </c>
      <c r="E2959" s="74" t="s">
        <v>3034</v>
      </c>
      <c r="F2959" s="74"/>
      <c r="G2959" s="76"/>
      <c r="H2959" s="77" t="s">
        <v>48</v>
      </c>
      <c r="I2959" s="76" t="s">
        <v>53</v>
      </c>
      <c r="J2959" s="77" t="s">
        <v>89</v>
      </c>
      <c r="K2959" s="77" t="s">
        <v>84</v>
      </c>
      <c r="L2959" s="76"/>
      <c r="M2959" s="76" t="s">
        <v>36</v>
      </c>
      <c r="N2959" s="76" t="s">
        <v>39</v>
      </c>
      <c r="O2959" s="76">
        <v>0</v>
      </c>
      <c r="P2959" s="76"/>
      <c r="Q2959" s="76"/>
      <c r="R2959" s="76"/>
      <c r="S2959" s="76"/>
      <c r="BD2959" s="99">
        <f t="shared" si="99"/>
        <v>0</v>
      </c>
      <c r="CC2959" s="99"/>
      <c r="CV2959" s="99"/>
      <c r="CW2959" s="63"/>
    </row>
    <row r="2960" spans="1:101" x14ac:dyDescent="0.15">
      <c r="A2960" s="76">
        <v>2772</v>
      </c>
      <c r="B2960" s="74" t="s">
        <v>3035</v>
      </c>
      <c r="C2960" s="74">
        <v>361513917</v>
      </c>
      <c r="D2960" s="78" t="str">
        <f t="shared" si="97"/>
        <v>https://portal.dnb.de/opac.htm?method=simpleSearch&amp;cqlMode=true&amp;query=idn%3D361513917</v>
      </c>
      <c r="E2960" s="74" t="s">
        <v>3036</v>
      </c>
      <c r="F2960" s="74"/>
      <c r="G2960" s="76"/>
      <c r="H2960" s="77" t="s">
        <v>4</v>
      </c>
      <c r="I2960" s="76" t="s">
        <v>53</v>
      </c>
      <c r="J2960" s="77" t="s">
        <v>58</v>
      </c>
      <c r="K2960" s="77" t="s">
        <v>84</v>
      </c>
      <c r="L2960" s="76"/>
      <c r="M2960" s="76" t="s">
        <v>36</v>
      </c>
      <c r="N2960" s="76" t="s">
        <v>39</v>
      </c>
      <c r="O2960" s="76">
        <v>0</v>
      </c>
      <c r="P2960" s="76"/>
      <c r="Q2960" s="76"/>
      <c r="R2960" s="76"/>
      <c r="S2960" s="76"/>
      <c r="BD2960" s="99">
        <f t="shared" si="99"/>
        <v>0</v>
      </c>
      <c r="CC2960" s="99"/>
      <c r="CV2960" s="99"/>
      <c r="CW2960" s="63"/>
    </row>
    <row r="2961" spans="1:101" ht="22.5" x14ac:dyDescent="0.15">
      <c r="A2961" s="76">
        <v>2773</v>
      </c>
      <c r="B2961" s="74" t="s">
        <v>3037</v>
      </c>
      <c r="C2961" s="74">
        <v>1066836833</v>
      </c>
      <c r="D2961" s="78" t="str">
        <f t="shared" si="97"/>
        <v>https://portal.dnb.de/opac.htm?method=simpleSearch&amp;cqlMode=true&amp;query=idn%3D1066836833</v>
      </c>
      <c r="E2961" s="74" t="s">
        <v>3038</v>
      </c>
      <c r="F2961" s="74"/>
      <c r="G2961" s="76"/>
      <c r="H2961" s="77" t="s">
        <v>18</v>
      </c>
      <c r="I2961" s="76" t="s">
        <v>55</v>
      </c>
      <c r="J2961" s="77" t="s">
        <v>8516</v>
      </c>
      <c r="K2961" s="77" t="s">
        <v>84</v>
      </c>
      <c r="L2961" s="76"/>
      <c r="M2961" s="76" t="s">
        <v>36</v>
      </c>
      <c r="N2961" s="76" t="s">
        <v>39</v>
      </c>
      <c r="O2961" s="76">
        <v>2</v>
      </c>
      <c r="P2961" s="76"/>
      <c r="Q2961" s="76"/>
      <c r="R2961" s="76"/>
      <c r="S2961" s="76"/>
      <c r="BD2961" s="99">
        <f t="shared" si="99"/>
        <v>0</v>
      </c>
      <c r="CC2961" s="99"/>
      <c r="CV2961" s="99"/>
      <c r="CW2961" s="63"/>
    </row>
    <row r="2962" spans="1:101" x14ac:dyDescent="0.15">
      <c r="A2962" s="76">
        <v>2774</v>
      </c>
      <c r="B2962" s="74" t="s">
        <v>3039</v>
      </c>
      <c r="C2962" s="74">
        <v>12731692</v>
      </c>
      <c r="D2962" s="78" t="str">
        <f t="shared" si="97"/>
        <v>https://portal.dnb.de/opac.htm?method=simpleSearch&amp;cqlMode=true&amp;query=idn%3D12731692</v>
      </c>
      <c r="E2962" s="74" t="s">
        <v>3040</v>
      </c>
      <c r="F2962" s="74"/>
      <c r="G2962" s="76" t="s">
        <v>8541</v>
      </c>
      <c r="H2962" s="77" t="s">
        <v>49</v>
      </c>
      <c r="I2962" s="76" t="s">
        <v>53</v>
      </c>
      <c r="J2962" s="77" t="s">
        <v>8516</v>
      </c>
      <c r="K2962" s="77" t="s">
        <v>8785</v>
      </c>
      <c r="L2962" s="76"/>
      <c r="M2962" s="76"/>
      <c r="N2962" s="76"/>
      <c r="O2962" s="76">
        <v>0</v>
      </c>
      <c r="P2962" s="76"/>
      <c r="Q2962" s="76"/>
      <c r="R2962" s="76"/>
      <c r="S2962" s="76"/>
      <c r="BD2962" s="99">
        <f t="shared" si="99"/>
        <v>0</v>
      </c>
      <c r="CC2962" s="99"/>
      <c r="CV2962" s="99"/>
      <c r="CW2962" s="63"/>
    </row>
    <row r="2963" spans="1:101" x14ac:dyDescent="0.15">
      <c r="A2963" s="76"/>
      <c r="B2963" s="74"/>
      <c r="C2963" s="74"/>
      <c r="D2963" s="78"/>
      <c r="E2963" s="74" t="s">
        <v>9512</v>
      </c>
      <c r="F2963" s="74"/>
      <c r="G2963" s="76" t="s">
        <v>8541</v>
      </c>
      <c r="H2963" s="77" t="s">
        <v>49</v>
      </c>
      <c r="I2963" s="76" t="s">
        <v>53</v>
      </c>
      <c r="J2963" s="77" t="s">
        <v>8516</v>
      </c>
      <c r="K2963" s="77" t="s">
        <v>8785</v>
      </c>
      <c r="L2963" s="76"/>
      <c r="M2963" s="76" t="s">
        <v>36</v>
      </c>
      <c r="N2963" s="76" t="s">
        <v>39</v>
      </c>
      <c r="O2963" s="76">
        <v>0</v>
      </c>
      <c r="P2963" s="76"/>
      <c r="Q2963" s="76"/>
      <c r="R2963" s="76"/>
      <c r="S2963" s="76"/>
      <c r="BD2963" s="99">
        <f t="shared" si="99"/>
        <v>0</v>
      </c>
      <c r="CC2963" s="99"/>
      <c r="CV2963" s="99"/>
      <c r="CW2963" s="63"/>
    </row>
    <row r="2964" spans="1:101" x14ac:dyDescent="0.15">
      <c r="A2964" s="76"/>
      <c r="B2964" s="74"/>
      <c r="C2964" s="74"/>
      <c r="D2964" s="78"/>
      <c r="E2964" s="74" t="s">
        <v>9513</v>
      </c>
      <c r="F2964" s="74"/>
      <c r="G2964" s="76" t="s">
        <v>8541</v>
      </c>
      <c r="H2964" s="77" t="s">
        <v>49</v>
      </c>
      <c r="I2964" s="76" t="s">
        <v>53</v>
      </c>
      <c r="J2964" s="77" t="s">
        <v>8516</v>
      </c>
      <c r="K2964" s="77" t="s">
        <v>84</v>
      </c>
      <c r="L2964" s="76"/>
      <c r="M2964" s="76" t="s">
        <v>36</v>
      </c>
      <c r="N2964" s="76" t="s">
        <v>39</v>
      </c>
      <c r="O2964" s="76">
        <v>0</v>
      </c>
      <c r="P2964" s="76"/>
      <c r="Q2964" s="76"/>
      <c r="R2964" s="76"/>
      <c r="S2964" s="76"/>
      <c r="BD2964" s="99">
        <f t="shared" si="99"/>
        <v>0</v>
      </c>
      <c r="CC2964" s="99"/>
      <c r="CV2964" s="99"/>
      <c r="CW2964" s="63"/>
    </row>
    <row r="2965" spans="1:101" x14ac:dyDescent="0.15">
      <c r="A2965" s="76"/>
      <c r="B2965" s="74"/>
      <c r="C2965" s="74"/>
      <c r="D2965" s="78"/>
      <c r="E2965" s="74" t="s">
        <v>9514</v>
      </c>
      <c r="F2965" s="74"/>
      <c r="G2965" s="76" t="s">
        <v>8541</v>
      </c>
      <c r="H2965" s="77" t="s">
        <v>49</v>
      </c>
      <c r="I2965" s="76" t="s">
        <v>53</v>
      </c>
      <c r="J2965" s="77" t="s">
        <v>8516</v>
      </c>
      <c r="K2965" s="77" t="s">
        <v>84</v>
      </c>
      <c r="L2965" s="76"/>
      <c r="M2965" s="76" t="s">
        <v>36</v>
      </c>
      <c r="N2965" s="76" t="s">
        <v>39</v>
      </c>
      <c r="O2965" s="76">
        <v>0</v>
      </c>
      <c r="P2965" s="76"/>
      <c r="Q2965" s="76"/>
      <c r="R2965" s="76"/>
      <c r="S2965" s="76"/>
      <c r="BD2965" s="99">
        <f t="shared" si="99"/>
        <v>0</v>
      </c>
      <c r="CC2965" s="99"/>
      <c r="CV2965" s="99"/>
      <c r="CW2965" s="63"/>
    </row>
    <row r="2966" spans="1:101" x14ac:dyDescent="0.15">
      <c r="A2966" s="76"/>
      <c r="B2966" s="74"/>
      <c r="C2966" s="74"/>
      <c r="D2966" s="78"/>
      <c r="E2966" s="74" t="s">
        <v>9511</v>
      </c>
      <c r="F2966" s="74"/>
      <c r="G2966" s="76" t="s">
        <v>8541</v>
      </c>
      <c r="H2966" s="77" t="s">
        <v>49</v>
      </c>
      <c r="I2966" s="76" t="s">
        <v>53</v>
      </c>
      <c r="J2966" s="77" t="s">
        <v>8516</v>
      </c>
      <c r="K2966" s="77" t="s">
        <v>84</v>
      </c>
      <c r="L2966" s="76"/>
      <c r="M2966" s="76"/>
      <c r="N2966" s="76"/>
      <c r="O2966" s="76">
        <v>0</v>
      </c>
      <c r="P2966" s="76"/>
      <c r="Q2966" s="76"/>
      <c r="R2966" s="76"/>
      <c r="S2966" s="76"/>
      <c r="BD2966" s="99">
        <f t="shared" si="99"/>
        <v>0</v>
      </c>
      <c r="CC2966" s="99"/>
      <c r="CV2966" s="99"/>
      <c r="CW2966" s="63"/>
    </row>
    <row r="2967" spans="1:101" x14ac:dyDescent="0.15">
      <c r="A2967" s="76"/>
      <c r="B2967" s="74"/>
      <c r="C2967" s="74"/>
      <c r="D2967" s="78"/>
      <c r="E2967" s="74" t="s">
        <v>9515</v>
      </c>
      <c r="F2967" s="74"/>
      <c r="G2967" s="76" t="s">
        <v>8541</v>
      </c>
      <c r="H2967" s="77" t="s">
        <v>49</v>
      </c>
      <c r="I2967" s="76" t="s">
        <v>53</v>
      </c>
      <c r="J2967" s="77" t="s">
        <v>8516</v>
      </c>
      <c r="K2967" s="77" t="s">
        <v>84</v>
      </c>
      <c r="L2967" s="76"/>
      <c r="M2967" s="76"/>
      <c r="N2967" s="76"/>
      <c r="O2967" s="76">
        <v>0</v>
      </c>
      <c r="P2967" s="76"/>
      <c r="Q2967" s="76"/>
      <c r="R2967" s="76"/>
      <c r="S2967" s="76"/>
      <c r="BD2967" s="99">
        <f t="shared" si="99"/>
        <v>0</v>
      </c>
      <c r="CC2967" s="99"/>
      <c r="CV2967" s="99"/>
      <c r="CW2967" s="63"/>
    </row>
    <row r="2968" spans="1:101" x14ac:dyDescent="0.15">
      <c r="A2968" s="76"/>
      <c r="B2968" s="74"/>
      <c r="C2968" s="74"/>
      <c r="D2968" s="78"/>
      <c r="E2968" s="74" t="s">
        <v>9516</v>
      </c>
      <c r="F2968" s="74"/>
      <c r="G2968" s="76" t="s">
        <v>8541</v>
      </c>
      <c r="H2968" s="77" t="s">
        <v>49</v>
      </c>
      <c r="I2968" s="76" t="s">
        <v>53</v>
      </c>
      <c r="J2968" s="77" t="s">
        <v>8516</v>
      </c>
      <c r="K2968" s="77" t="s">
        <v>84</v>
      </c>
      <c r="L2968" s="76"/>
      <c r="M2968" s="76"/>
      <c r="N2968" s="76"/>
      <c r="O2968" s="76">
        <v>0</v>
      </c>
      <c r="P2968" s="76"/>
      <c r="Q2968" s="76"/>
      <c r="R2968" s="76"/>
      <c r="S2968" s="76"/>
      <c r="BD2968" s="99">
        <f t="shared" si="99"/>
        <v>0</v>
      </c>
      <c r="CC2968" s="99"/>
      <c r="CV2968" s="99"/>
      <c r="CW2968" s="63"/>
    </row>
    <row r="2969" spans="1:101" x14ac:dyDescent="0.15">
      <c r="A2969" s="76"/>
      <c r="B2969" s="74"/>
      <c r="C2969" s="74"/>
      <c r="D2969" s="78"/>
      <c r="E2969" s="74" t="s">
        <v>9517</v>
      </c>
      <c r="F2969" s="74"/>
      <c r="G2969" s="76" t="s">
        <v>8541</v>
      </c>
      <c r="H2969" s="77" t="s">
        <v>49</v>
      </c>
      <c r="I2969" s="76" t="s">
        <v>53</v>
      </c>
      <c r="J2969" s="77" t="s">
        <v>8516</v>
      </c>
      <c r="K2969" s="77" t="s">
        <v>84</v>
      </c>
      <c r="L2969" s="76"/>
      <c r="M2969" s="76"/>
      <c r="N2969" s="76"/>
      <c r="O2969" s="76">
        <v>0</v>
      </c>
      <c r="P2969" s="76"/>
      <c r="Q2969" s="76"/>
      <c r="R2969" s="76"/>
      <c r="S2969" s="76"/>
      <c r="BD2969" s="99">
        <f t="shared" si="99"/>
        <v>0</v>
      </c>
      <c r="CC2969" s="99"/>
      <c r="CV2969" s="99"/>
      <c r="CW2969" s="63"/>
    </row>
    <row r="2970" spans="1:101" x14ac:dyDescent="0.15">
      <c r="A2970" s="76"/>
      <c r="B2970" s="74"/>
      <c r="C2970" s="74"/>
      <c r="D2970" s="78"/>
      <c r="E2970" s="74" t="s">
        <v>9518</v>
      </c>
      <c r="F2970" s="74"/>
      <c r="G2970" s="76" t="s">
        <v>8541</v>
      </c>
      <c r="H2970" s="77" t="s">
        <v>49</v>
      </c>
      <c r="I2970" s="76" t="s">
        <v>53</v>
      </c>
      <c r="J2970" s="77" t="s">
        <v>8516</v>
      </c>
      <c r="K2970" s="77" t="s">
        <v>84</v>
      </c>
      <c r="L2970" s="76"/>
      <c r="M2970" s="76"/>
      <c r="N2970" s="76"/>
      <c r="O2970" s="76">
        <v>0</v>
      </c>
      <c r="P2970" s="76"/>
      <c r="Q2970" s="76"/>
      <c r="R2970" s="76"/>
      <c r="S2970" s="76"/>
      <c r="BD2970" s="99">
        <f t="shared" si="99"/>
        <v>0</v>
      </c>
      <c r="CC2970" s="99"/>
      <c r="CV2970" s="99"/>
      <c r="CW2970" s="63"/>
    </row>
    <row r="2971" spans="1:101" x14ac:dyDescent="0.15">
      <c r="A2971" s="76">
        <v>2775</v>
      </c>
      <c r="B2971" s="74" t="s">
        <v>3041</v>
      </c>
      <c r="C2971" s="74">
        <v>1066672970</v>
      </c>
      <c r="D2971" s="78" t="str">
        <f t="shared" si="97"/>
        <v>https://portal.dnb.de/opac.htm?method=simpleSearch&amp;cqlMode=true&amp;query=idn%3D1066672970</v>
      </c>
      <c r="E2971" s="74" t="s">
        <v>3042</v>
      </c>
      <c r="F2971" s="74"/>
      <c r="G2971" s="76"/>
      <c r="H2971" s="77" t="s">
        <v>49</v>
      </c>
      <c r="I2971" s="76" t="s">
        <v>53</v>
      </c>
      <c r="J2971" s="77" t="s">
        <v>8516</v>
      </c>
      <c r="K2971" s="77" t="s">
        <v>84</v>
      </c>
      <c r="L2971" s="76"/>
      <c r="M2971" s="76" t="s">
        <v>36</v>
      </c>
      <c r="N2971" s="76" t="s">
        <v>39</v>
      </c>
      <c r="O2971" s="76">
        <v>0</v>
      </c>
      <c r="P2971" s="76"/>
      <c r="Q2971" s="76"/>
      <c r="R2971" s="76"/>
      <c r="S2971" s="76"/>
      <c r="BD2971" s="99">
        <f t="shared" si="99"/>
        <v>0</v>
      </c>
      <c r="CC2971" s="99"/>
      <c r="CV2971" s="99"/>
      <c r="CW2971" s="63"/>
    </row>
    <row r="2972" spans="1:101" ht="22.5" x14ac:dyDescent="0.15">
      <c r="A2972" s="76">
        <v>2776</v>
      </c>
      <c r="B2972" s="74" t="s">
        <v>3043</v>
      </c>
      <c r="C2972" s="74" t="s">
        <v>3044</v>
      </c>
      <c r="D2972" s="78" t="str">
        <f t="shared" si="97"/>
        <v>https://portal.dnb.de/opac.htm?method=simpleSearch&amp;cqlMode=true&amp;query=idn%3D106669639X</v>
      </c>
      <c r="E2972" s="74" t="s">
        <v>3045</v>
      </c>
      <c r="F2972" s="74"/>
      <c r="G2972" s="76" t="s">
        <v>8541</v>
      </c>
      <c r="H2972" s="77" t="s">
        <v>18</v>
      </c>
      <c r="I2972" s="76" t="s">
        <v>53</v>
      </c>
      <c r="J2972" s="77" t="s">
        <v>8516</v>
      </c>
      <c r="K2972" s="77" t="s">
        <v>84</v>
      </c>
      <c r="L2972" s="76"/>
      <c r="M2972" s="76" t="s">
        <v>36</v>
      </c>
      <c r="N2972" s="76" t="s">
        <v>39</v>
      </c>
      <c r="O2972" s="76">
        <v>0</v>
      </c>
      <c r="P2972" s="76"/>
      <c r="Q2972" s="76"/>
      <c r="R2972" s="76"/>
      <c r="S2972" s="76"/>
      <c r="BD2972" s="99">
        <f t="shared" si="99"/>
        <v>0</v>
      </c>
      <c r="CC2972" s="99"/>
      <c r="CV2972" s="99"/>
      <c r="CW2972" s="63"/>
    </row>
    <row r="2973" spans="1:101" ht="33.75" x14ac:dyDescent="0.15">
      <c r="A2973" s="76">
        <v>2777</v>
      </c>
      <c r="B2973" s="74" t="s">
        <v>3046</v>
      </c>
      <c r="C2973" s="74">
        <v>995703116</v>
      </c>
      <c r="D2973" s="82" t="str">
        <f>HYPERLINK(CONCATENATE("https://portal.dnb.de/opac.htm?method=simpleSearch&amp;cqlMode=true&amp;query=idn%3D",C2973))</f>
        <v>https://portal.dnb.de/opac.htm?method=simpleSearch&amp;cqlMode=true&amp;query=idn%3D995703116</v>
      </c>
      <c r="E2973" s="74" t="s">
        <v>3047</v>
      </c>
      <c r="F2973" s="74"/>
      <c r="G2973" s="76"/>
      <c r="H2973" s="77" t="s">
        <v>5</v>
      </c>
      <c r="I2973" s="76" t="s">
        <v>53</v>
      </c>
      <c r="J2973" s="77" t="s">
        <v>8516</v>
      </c>
      <c r="K2973" s="77" t="s">
        <v>8667</v>
      </c>
      <c r="L2973" s="76"/>
      <c r="M2973" s="76" t="s">
        <v>36</v>
      </c>
      <c r="N2973" s="76" t="s">
        <v>39</v>
      </c>
      <c r="O2973" s="76">
        <v>0</v>
      </c>
      <c r="P2973" s="76"/>
      <c r="Q2973" s="76"/>
      <c r="R2973" s="76"/>
      <c r="S2973" s="76"/>
      <c r="BD2973" s="99">
        <f t="shared" si="99"/>
        <v>0</v>
      </c>
      <c r="CC2973" s="99"/>
      <c r="CV2973" s="99"/>
      <c r="CW2973" s="63"/>
    </row>
    <row r="2974" spans="1:101" ht="22.5" x14ac:dyDescent="0.15">
      <c r="A2974" s="76">
        <v>2778</v>
      </c>
      <c r="B2974" s="74" t="s">
        <v>3048</v>
      </c>
      <c r="C2974" s="74">
        <v>998842613</v>
      </c>
      <c r="D2974" s="82" t="str">
        <f>HYPERLINK(CONCATENATE("https://portal.dnb.de/opac.htm?method=simpleSearch&amp;cqlMode=true&amp;query=idn%3D",C2974))</f>
        <v>https://portal.dnb.de/opac.htm?method=simpleSearch&amp;cqlMode=true&amp;query=idn%3D998842613</v>
      </c>
      <c r="E2974" s="74" t="s">
        <v>3049</v>
      </c>
      <c r="F2974" s="74"/>
      <c r="G2974" s="76" t="s">
        <v>8515</v>
      </c>
      <c r="H2974" s="77" t="s">
        <v>48</v>
      </c>
      <c r="I2974" s="76" t="s">
        <v>53</v>
      </c>
      <c r="J2974" s="77" t="s">
        <v>8516</v>
      </c>
      <c r="K2974" s="77" t="s">
        <v>8518</v>
      </c>
      <c r="L2974" s="76"/>
      <c r="M2974" s="76"/>
      <c r="N2974" s="76"/>
      <c r="O2974" s="76">
        <v>0</v>
      </c>
      <c r="P2974" s="76"/>
      <c r="Q2974" s="76"/>
      <c r="R2974" s="76"/>
      <c r="S2974" s="76"/>
      <c r="BD2974" s="99">
        <f t="shared" si="99"/>
        <v>0</v>
      </c>
      <c r="CC2974" s="99"/>
      <c r="CV2974" s="99"/>
      <c r="CW2974" s="63"/>
    </row>
    <row r="2975" spans="1:101" ht="22.5" x14ac:dyDescent="0.15">
      <c r="A2975" s="76">
        <v>2779</v>
      </c>
      <c r="B2975" s="74" t="s">
        <v>3050</v>
      </c>
      <c r="C2975" s="74">
        <v>13090755</v>
      </c>
      <c r="D2975" s="82" t="str">
        <f>HYPERLINK(CONCATENATE("https://portal.dnb.de/opac.htm?method=simpleSearch&amp;cqlMode=true&amp;query=idn%3D",C2975))</f>
        <v>https://portal.dnb.de/opac.htm?method=simpleSearch&amp;cqlMode=true&amp;query=idn%3D13090755</v>
      </c>
      <c r="E2975" s="74" t="s">
        <v>3051</v>
      </c>
      <c r="F2975" s="74"/>
      <c r="G2975" s="76"/>
      <c r="H2975" s="77" t="s">
        <v>18</v>
      </c>
      <c r="I2975" s="76" t="s">
        <v>53</v>
      </c>
      <c r="J2975" s="77" t="s">
        <v>58</v>
      </c>
      <c r="K2975" s="77" t="s">
        <v>84</v>
      </c>
      <c r="L2975" s="76"/>
      <c r="M2975" s="76" t="s">
        <v>36</v>
      </c>
      <c r="N2975" s="76" t="s">
        <v>40</v>
      </c>
      <c r="O2975" s="76">
        <v>0</v>
      </c>
      <c r="P2975" s="76"/>
      <c r="Q2975" s="76"/>
      <c r="R2975" s="76"/>
      <c r="S2975" s="76"/>
      <c r="BD2975" s="99">
        <f t="shared" si="99"/>
        <v>0</v>
      </c>
      <c r="CC2975" s="99"/>
      <c r="CV2975" s="99"/>
      <c r="CW2975" s="63"/>
    </row>
    <row r="2976" spans="1:101" ht="22.5" x14ac:dyDescent="0.15">
      <c r="A2976" s="76">
        <v>2780</v>
      </c>
      <c r="B2976" s="74" t="s">
        <v>3052</v>
      </c>
      <c r="C2976" s="74">
        <v>994304919</v>
      </c>
      <c r="D2976" s="78" t="str">
        <f t="shared" ref="D2976:D3049" si="100">HYPERLINK(CONCATENATE("https://portal.dnb.de/opac.htm?method=simpleSearch&amp;cqlMode=true&amp;query=idn%3D",C2976))</f>
        <v>https://portal.dnb.de/opac.htm?method=simpleSearch&amp;cqlMode=true&amp;query=idn%3D994304919</v>
      </c>
      <c r="E2976" s="74" t="s">
        <v>3053</v>
      </c>
      <c r="F2976" s="74"/>
      <c r="G2976" s="76" t="s">
        <v>8541</v>
      </c>
      <c r="H2976" s="77" t="s">
        <v>18</v>
      </c>
      <c r="I2976" s="76" t="s">
        <v>53</v>
      </c>
      <c r="J2976" s="77" t="s">
        <v>8516</v>
      </c>
      <c r="K2976" s="77" t="s">
        <v>84</v>
      </c>
      <c r="L2976" s="76"/>
      <c r="M2976" s="76" t="s">
        <v>36</v>
      </c>
      <c r="N2976" s="76" t="s">
        <v>39</v>
      </c>
      <c r="O2976" s="76">
        <v>0</v>
      </c>
      <c r="P2976" s="76"/>
      <c r="Q2976" s="76"/>
      <c r="R2976" s="76"/>
      <c r="S2976" s="76"/>
      <c r="BD2976" s="99">
        <f t="shared" si="99"/>
        <v>0</v>
      </c>
      <c r="CC2976" s="99"/>
      <c r="CV2976" s="99"/>
      <c r="CW2976" s="63"/>
    </row>
    <row r="2977" spans="1:101" x14ac:dyDescent="0.15">
      <c r="A2977" s="76">
        <v>2781</v>
      </c>
      <c r="B2977" s="74" t="s">
        <v>3058</v>
      </c>
      <c r="C2977" s="74" t="s">
        <v>3059</v>
      </c>
      <c r="D2977" s="78" t="str">
        <f t="shared" si="100"/>
        <v>https://portal.dnb.de/opac.htm?method=simpleSearch&amp;cqlMode=true&amp;query=idn%3D100333427X</v>
      </c>
      <c r="E2977" s="74" t="s">
        <v>3060</v>
      </c>
      <c r="F2977" s="74"/>
      <c r="G2977" s="76"/>
      <c r="H2977" s="77"/>
      <c r="I2977" s="76"/>
      <c r="J2977" s="77"/>
      <c r="K2977" s="77"/>
      <c r="L2977" s="76"/>
      <c r="M2977" s="76"/>
      <c r="N2977" s="76"/>
      <c r="O2977" s="76"/>
      <c r="P2977" s="76"/>
      <c r="Q2977" s="76"/>
      <c r="R2977" s="76"/>
      <c r="S2977" s="76"/>
      <c r="BD2977" s="99">
        <f t="shared" si="99"/>
        <v>0</v>
      </c>
      <c r="CC2977" s="99"/>
      <c r="CV2977" s="99"/>
      <c r="CW2977" s="63"/>
    </row>
    <row r="2978" spans="1:101" x14ac:dyDescent="0.15">
      <c r="A2978" s="76">
        <v>2782</v>
      </c>
      <c r="B2978" s="74" t="s">
        <v>3063</v>
      </c>
      <c r="C2978" s="74">
        <v>997933429</v>
      </c>
      <c r="D2978" s="78" t="str">
        <f t="shared" si="100"/>
        <v>https://portal.dnb.de/opac.htm?method=simpleSearch&amp;cqlMode=true&amp;query=idn%3D997933429</v>
      </c>
      <c r="E2978" s="74" t="s">
        <v>3064</v>
      </c>
      <c r="F2978" s="74"/>
      <c r="G2978" s="76"/>
      <c r="H2978" s="77"/>
      <c r="I2978" s="76"/>
      <c r="J2978" s="77"/>
      <c r="K2978" s="77"/>
      <c r="L2978" s="76"/>
      <c r="M2978" s="76"/>
      <c r="N2978" s="76"/>
      <c r="O2978" s="76"/>
      <c r="P2978" s="76"/>
      <c r="Q2978" s="76"/>
      <c r="R2978" s="76"/>
      <c r="S2978" s="76"/>
      <c r="BD2978" s="99">
        <f t="shared" si="99"/>
        <v>0</v>
      </c>
      <c r="CC2978" s="99"/>
      <c r="CV2978" s="99"/>
      <c r="CW2978" s="63"/>
    </row>
    <row r="2979" spans="1:101" x14ac:dyDescent="0.15">
      <c r="A2979" s="76">
        <v>2783</v>
      </c>
      <c r="B2979" s="74" t="s">
        <v>3065</v>
      </c>
      <c r="C2979" s="74">
        <v>18601839</v>
      </c>
      <c r="D2979" s="78" t="str">
        <f t="shared" si="100"/>
        <v>https://portal.dnb.de/opac.htm?method=simpleSearch&amp;cqlMode=true&amp;query=idn%3D18601839</v>
      </c>
      <c r="E2979" s="74" t="s">
        <v>3066</v>
      </c>
      <c r="F2979" s="74"/>
      <c r="G2979" s="76"/>
      <c r="H2979" s="77"/>
      <c r="I2979" s="76"/>
      <c r="J2979" s="77"/>
      <c r="K2979" s="77"/>
      <c r="L2979" s="76"/>
      <c r="M2979" s="76"/>
      <c r="N2979" s="76"/>
      <c r="O2979" s="76"/>
      <c r="P2979" s="76"/>
      <c r="Q2979" s="76"/>
      <c r="R2979" s="76"/>
      <c r="S2979" s="76"/>
      <c r="BD2979" s="99">
        <f t="shared" si="99"/>
        <v>0</v>
      </c>
      <c r="CC2979" s="99"/>
      <c r="CV2979" s="99"/>
      <c r="CW2979" s="63"/>
    </row>
    <row r="2980" spans="1:101" x14ac:dyDescent="0.15">
      <c r="A2980" s="76">
        <v>2784</v>
      </c>
      <c r="B2980" s="74" t="s">
        <v>3067</v>
      </c>
      <c r="C2980" s="74">
        <v>994820860</v>
      </c>
      <c r="D2980" s="78" t="str">
        <f t="shared" si="100"/>
        <v>https://portal.dnb.de/opac.htm?method=simpleSearch&amp;cqlMode=true&amp;query=idn%3D994820860</v>
      </c>
      <c r="E2980" s="74" t="s">
        <v>3068</v>
      </c>
      <c r="F2980" s="74"/>
      <c r="G2980" s="76"/>
      <c r="H2980" s="77"/>
      <c r="I2980" s="76"/>
      <c r="J2980" s="77"/>
      <c r="K2980" s="77"/>
      <c r="L2980" s="76"/>
      <c r="M2980" s="76"/>
      <c r="N2980" s="76"/>
      <c r="O2980" s="76"/>
      <c r="P2980" s="76"/>
      <c r="Q2980" s="76"/>
      <c r="R2980" s="76"/>
      <c r="S2980" s="76"/>
      <c r="BD2980" s="99">
        <f t="shared" si="99"/>
        <v>0</v>
      </c>
      <c r="CC2980" s="99"/>
      <c r="CV2980" s="99"/>
      <c r="CW2980" s="63"/>
    </row>
    <row r="2981" spans="1:101" x14ac:dyDescent="0.15">
      <c r="A2981" s="76">
        <v>2785</v>
      </c>
      <c r="B2981" s="74" t="s">
        <v>3069</v>
      </c>
      <c r="C2981" s="74">
        <v>994820690</v>
      </c>
      <c r="D2981" s="78" t="str">
        <f t="shared" si="100"/>
        <v>https://portal.dnb.de/opac.htm?method=simpleSearch&amp;cqlMode=true&amp;query=idn%3D994820690</v>
      </c>
      <c r="E2981" s="74" t="s">
        <v>3070</v>
      </c>
      <c r="F2981" s="74"/>
      <c r="G2981" s="76" t="s">
        <v>8515</v>
      </c>
      <c r="H2981" s="77" t="s">
        <v>4</v>
      </c>
      <c r="I2981" s="76" t="s">
        <v>53</v>
      </c>
      <c r="J2981" s="77" t="s">
        <v>58</v>
      </c>
      <c r="K2981" s="77" t="s">
        <v>84</v>
      </c>
      <c r="L2981" s="76"/>
      <c r="M2981" s="76"/>
      <c r="N2981" s="76"/>
      <c r="O2981" s="76">
        <v>0</v>
      </c>
      <c r="P2981" s="76"/>
      <c r="Q2981" s="76"/>
      <c r="R2981" s="76"/>
      <c r="S2981" s="76"/>
      <c r="BD2981" s="99">
        <f t="shared" si="99"/>
        <v>0</v>
      </c>
      <c r="CC2981" s="99"/>
      <c r="CV2981" s="99"/>
      <c r="CW2981" s="63"/>
    </row>
    <row r="2982" spans="1:101" x14ac:dyDescent="0.15">
      <c r="A2982" s="76">
        <v>2786</v>
      </c>
      <c r="B2982" s="74" t="s">
        <v>3071</v>
      </c>
      <c r="C2982" s="74">
        <v>998008478</v>
      </c>
      <c r="D2982" s="78" t="str">
        <f t="shared" si="100"/>
        <v>https://portal.dnb.de/opac.htm?method=simpleSearch&amp;cqlMode=true&amp;query=idn%3D998008478</v>
      </c>
      <c r="E2982" s="74" t="s">
        <v>3072</v>
      </c>
      <c r="F2982" s="74"/>
      <c r="G2982" s="76"/>
      <c r="H2982" s="77" t="s">
        <v>4</v>
      </c>
      <c r="I2982" s="76" t="s">
        <v>53</v>
      </c>
      <c r="J2982" s="77" t="s">
        <v>58</v>
      </c>
      <c r="K2982" s="77"/>
      <c r="L2982" s="76"/>
      <c r="M2982" s="76"/>
      <c r="N2982" s="76" t="s">
        <v>8660</v>
      </c>
      <c r="O2982" s="76">
        <v>1</v>
      </c>
      <c r="P2982" s="76"/>
      <c r="Q2982" s="76"/>
      <c r="R2982" s="76"/>
      <c r="S2982" s="76"/>
      <c r="BD2982" s="99">
        <f t="shared" si="99"/>
        <v>0</v>
      </c>
      <c r="CC2982" s="99"/>
      <c r="CV2982" s="99"/>
      <c r="CW2982" s="63"/>
    </row>
    <row r="2983" spans="1:101" ht="33.75" x14ac:dyDescent="0.15">
      <c r="A2983" s="76">
        <v>2787</v>
      </c>
      <c r="B2983" s="74" t="s">
        <v>3073</v>
      </c>
      <c r="C2983" s="74">
        <v>1000289583</v>
      </c>
      <c r="D2983" s="78" t="str">
        <f t="shared" si="100"/>
        <v>https://portal.dnb.de/opac.htm?method=simpleSearch&amp;cqlMode=true&amp;query=idn%3D1000289583</v>
      </c>
      <c r="E2983" s="74" t="s">
        <v>3074</v>
      </c>
      <c r="F2983" s="74"/>
      <c r="G2983" s="76"/>
      <c r="H2983" s="77"/>
      <c r="I2983" s="76" t="s">
        <v>53</v>
      </c>
      <c r="J2983" s="77"/>
      <c r="K2983" s="77"/>
      <c r="L2983" s="76"/>
      <c r="M2983" s="76"/>
      <c r="N2983" s="76"/>
      <c r="O2983" s="76"/>
      <c r="P2983" s="76"/>
      <c r="Q2983" s="76"/>
      <c r="R2983" s="76"/>
      <c r="S2983" s="76"/>
      <c r="Y2983" s="95" t="s">
        <v>9780</v>
      </c>
      <c r="AC2983" s="95" t="s">
        <v>9739</v>
      </c>
      <c r="AI2983" s="95" t="s">
        <v>9725</v>
      </c>
      <c r="AP2983" s="95" t="s">
        <v>8541</v>
      </c>
      <c r="AQ2983" s="96" t="s">
        <v>10151</v>
      </c>
      <c r="AW2983" s="95">
        <v>110</v>
      </c>
      <c r="BC2983" s="96" t="s">
        <v>9726</v>
      </c>
      <c r="BD2983" s="99">
        <f t="shared" si="99"/>
        <v>6</v>
      </c>
      <c r="BJ2983" s="95" t="s">
        <v>9741</v>
      </c>
      <c r="BK2983" s="95" t="s">
        <v>8541</v>
      </c>
      <c r="BL2983" s="70" t="s">
        <v>10152</v>
      </c>
      <c r="BP2983" s="69" t="s">
        <v>8541</v>
      </c>
      <c r="CC2983" s="99"/>
      <c r="CE2983" s="95" t="s">
        <v>8541</v>
      </c>
      <c r="CJ2983" s="95" t="s">
        <v>8541</v>
      </c>
      <c r="CM2983" s="95" t="s">
        <v>8541</v>
      </c>
      <c r="CN2983" s="95" t="s">
        <v>8541</v>
      </c>
      <c r="CV2983" s="99">
        <v>6</v>
      </c>
      <c r="CW2983" s="90" t="s">
        <v>10153</v>
      </c>
    </row>
    <row r="2984" spans="1:101" ht="22.5" x14ac:dyDescent="0.15">
      <c r="A2984" s="76">
        <v>2788</v>
      </c>
      <c r="B2984" s="74" t="s">
        <v>3075</v>
      </c>
      <c r="C2984" s="74">
        <v>12944041</v>
      </c>
      <c r="D2984" s="78" t="str">
        <f t="shared" si="100"/>
        <v>https://portal.dnb.de/opac.htm?method=simpleSearch&amp;cqlMode=true&amp;query=idn%3D12944041</v>
      </c>
      <c r="E2984" s="74" t="s">
        <v>9519</v>
      </c>
      <c r="F2984" s="74"/>
      <c r="G2984" s="76"/>
      <c r="H2984" s="77" t="s">
        <v>18</v>
      </c>
      <c r="I2984" s="76" t="s">
        <v>53</v>
      </c>
      <c r="J2984" s="77" t="s">
        <v>58</v>
      </c>
      <c r="K2984" s="77" t="s">
        <v>84</v>
      </c>
      <c r="L2984" s="76"/>
      <c r="M2984" s="76" t="s">
        <v>36</v>
      </c>
      <c r="N2984" s="76" t="s">
        <v>39</v>
      </c>
      <c r="O2984" s="76">
        <v>2</v>
      </c>
      <c r="P2984" s="76"/>
      <c r="Q2984" s="76"/>
      <c r="R2984" s="76"/>
      <c r="S2984" s="76"/>
      <c r="BD2984" s="99">
        <f t="shared" si="99"/>
        <v>0</v>
      </c>
      <c r="CC2984" s="99"/>
      <c r="CV2984" s="99"/>
      <c r="CW2984" s="63"/>
    </row>
    <row r="2985" spans="1:101" ht="22.5" x14ac:dyDescent="0.15">
      <c r="A2985" s="76">
        <v>2789</v>
      </c>
      <c r="B2985" s="74" t="s">
        <v>3076</v>
      </c>
      <c r="C2985" s="74">
        <v>1002749727</v>
      </c>
      <c r="D2985" s="78" t="str">
        <f t="shared" si="100"/>
        <v>https://portal.dnb.de/opac.htm?method=simpleSearch&amp;cqlMode=true&amp;query=idn%3D1002749727</v>
      </c>
      <c r="E2985" s="74" t="s">
        <v>3077</v>
      </c>
      <c r="F2985" s="74"/>
      <c r="G2985" s="76"/>
      <c r="H2985" s="77" t="s">
        <v>47</v>
      </c>
      <c r="I2985" s="76" t="s">
        <v>53</v>
      </c>
      <c r="J2985" s="77" t="s">
        <v>58</v>
      </c>
      <c r="K2985" s="77" t="s">
        <v>8803</v>
      </c>
      <c r="L2985" s="76"/>
      <c r="M2985" s="76" t="s">
        <v>34</v>
      </c>
      <c r="N2985" s="76" t="s">
        <v>39</v>
      </c>
      <c r="O2985" s="76">
        <v>2</v>
      </c>
      <c r="P2985" s="76"/>
      <c r="Q2985" s="76"/>
      <c r="R2985" s="76"/>
      <c r="S2985" s="76"/>
      <c r="BD2985" s="99">
        <f t="shared" si="99"/>
        <v>0</v>
      </c>
      <c r="CC2985" s="99"/>
      <c r="CV2985" s="99"/>
      <c r="CW2985" s="63"/>
    </row>
    <row r="2986" spans="1:101" x14ac:dyDescent="0.15">
      <c r="A2986" s="76">
        <v>2790</v>
      </c>
      <c r="B2986" s="74" t="s">
        <v>3083</v>
      </c>
      <c r="C2986" s="74">
        <v>994121431</v>
      </c>
      <c r="D2986" s="78" t="str">
        <f t="shared" si="100"/>
        <v>https://portal.dnb.de/opac.htm?method=simpleSearch&amp;cqlMode=true&amp;query=idn%3D994121431</v>
      </c>
      <c r="E2986" s="74" t="s">
        <v>3084</v>
      </c>
      <c r="F2986" s="74"/>
      <c r="G2986" s="76"/>
      <c r="H2986" s="77"/>
      <c r="I2986" s="76"/>
      <c r="J2986" s="77"/>
      <c r="K2986" s="77"/>
      <c r="L2986" s="76"/>
      <c r="M2986" s="76"/>
      <c r="N2986" s="76"/>
      <c r="O2986" s="76"/>
      <c r="P2986" s="76"/>
      <c r="Q2986" s="76"/>
      <c r="R2986" s="76"/>
      <c r="S2986" s="76"/>
      <c r="BD2986" s="99">
        <f t="shared" si="99"/>
        <v>0</v>
      </c>
      <c r="CC2986" s="99"/>
      <c r="CV2986" s="99"/>
      <c r="CW2986" s="63"/>
    </row>
    <row r="2987" spans="1:101" x14ac:dyDescent="0.15">
      <c r="A2987" s="76">
        <v>2791</v>
      </c>
      <c r="B2987" s="74" t="s">
        <v>3085</v>
      </c>
      <c r="C2987" s="74">
        <v>994121385</v>
      </c>
      <c r="D2987" s="78" t="str">
        <f t="shared" si="100"/>
        <v>https://portal.dnb.de/opac.htm?method=simpleSearch&amp;cqlMode=true&amp;query=idn%3D994121385</v>
      </c>
      <c r="E2987" s="74" t="s">
        <v>3084</v>
      </c>
      <c r="F2987" s="74"/>
      <c r="G2987" s="76"/>
      <c r="H2987" s="77"/>
      <c r="I2987" s="76"/>
      <c r="J2987" s="77"/>
      <c r="K2987" s="77"/>
      <c r="L2987" s="76"/>
      <c r="M2987" s="76"/>
      <c r="N2987" s="76"/>
      <c r="O2987" s="76"/>
      <c r="P2987" s="76"/>
      <c r="Q2987" s="76"/>
      <c r="R2987" s="76"/>
      <c r="S2987" s="76"/>
      <c r="BD2987" s="99">
        <f t="shared" si="99"/>
        <v>0</v>
      </c>
      <c r="CC2987" s="99"/>
      <c r="CV2987" s="99"/>
      <c r="CW2987" s="63"/>
    </row>
    <row r="2988" spans="1:101" x14ac:dyDescent="0.15">
      <c r="A2988" s="76">
        <v>2792</v>
      </c>
      <c r="B2988" s="74" t="s">
        <v>3086</v>
      </c>
      <c r="C2988" s="74">
        <v>994121342</v>
      </c>
      <c r="D2988" s="78" t="str">
        <f t="shared" si="100"/>
        <v>https://portal.dnb.de/opac.htm?method=simpleSearch&amp;cqlMode=true&amp;query=idn%3D994121342</v>
      </c>
      <c r="E2988" s="74" t="s">
        <v>3084</v>
      </c>
      <c r="F2988" s="74"/>
      <c r="G2988" s="76"/>
      <c r="H2988" s="77"/>
      <c r="I2988" s="76"/>
      <c r="J2988" s="77"/>
      <c r="K2988" s="77"/>
      <c r="L2988" s="76"/>
      <c r="M2988" s="76"/>
      <c r="N2988" s="76"/>
      <c r="O2988" s="76"/>
      <c r="P2988" s="76"/>
      <c r="Q2988" s="76"/>
      <c r="R2988" s="76"/>
      <c r="S2988" s="76"/>
      <c r="BD2988" s="99">
        <f t="shared" si="99"/>
        <v>0</v>
      </c>
      <c r="CC2988" s="99"/>
      <c r="CV2988" s="99"/>
      <c r="CW2988" s="63"/>
    </row>
    <row r="2989" spans="1:101" x14ac:dyDescent="0.15">
      <c r="A2989" s="76">
        <v>2793</v>
      </c>
      <c r="B2989" s="74" t="s">
        <v>3087</v>
      </c>
      <c r="C2989" s="74">
        <v>994121539</v>
      </c>
      <c r="D2989" s="78" t="str">
        <f t="shared" si="100"/>
        <v>https://portal.dnb.de/opac.htm?method=simpleSearch&amp;cqlMode=true&amp;query=idn%3D994121539</v>
      </c>
      <c r="E2989" s="74" t="s">
        <v>3084</v>
      </c>
      <c r="F2989" s="74"/>
      <c r="G2989" s="76"/>
      <c r="H2989" s="77"/>
      <c r="I2989" s="76"/>
      <c r="J2989" s="77"/>
      <c r="K2989" s="77"/>
      <c r="L2989" s="76"/>
      <c r="M2989" s="76"/>
      <c r="N2989" s="76"/>
      <c r="O2989" s="76"/>
      <c r="P2989" s="76"/>
      <c r="Q2989" s="76"/>
      <c r="R2989" s="76"/>
      <c r="S2989" s="76"/>
      <c r="BD2989" s="99">
        <f t="shared" si="99"/>
        <v>0</v>
      </c>
      <c r="CC2989" s="99"/>
      <c r="CV2989" s="99"/>
      <c r="CW2989" s="63"/>
    </row>
    <row r="2990" spans="1:101" x14ac:dyDescent="0.15">
      <c r="A2990" s="76">
        <v>2794</v>
      </c>
      <c r="B2990" s="74" t="s">
        <v>3089</v>
      </c>
      <c r="C2990" s="74">
        <v>1203632606</v>
      </c>
      <c r="D2990" s="78" t="str">
        <f t="shared" si="100"/>
        <v>https://portal.dnb.de/opac.htm?method=simpleSearch&amp;cqlMode=true&amp;query=idn%3D1203632606</v>
      </c>
      <c r="E2990" s="74" t="s">
        <v>3090</v>
      </c>
      <c r="F2990" s="74"/>
      <c r="G2990" s="76"/>
      <c r="H2990" s="77"/>
      <c r="I2990" s="76" t="s">
        <v>53</v>
      </c>
      <c r="J2990" s="77"/>
      <c r="K2990" s="77"/>
      <c r="L2990" s="76"/>
      <c r="M2990" s="76"/>
      <c r="N2990" s="76"/>
      <c r="O2990" s="76"/>
      <c r="P2990" s="76"/>
      <c r="Q2990" s="76"/>
      <c r="R2990" s="76"/>
      <c r="S2990" s="76"/>
      <c r="X2990" s="95" t="s">
        <v>8541</v>
      </c>
      <c r="Y2990" s="95" t="s">
        <v>9731</v>
      </c>
      <c r="AB2990" s="95" t="s">
        <v>8541</v>
      </c>
      <c r="AC2990" s="95" t="s">
        <v>9730</v>
      </c>
      <c r="AI2990" s="95" t="s">
        <v>9725</v>
      </c>
      <c r="AN2990" s="95" t="s">
        <v>8541</v>
      </c>
      <c r="AU2990" s="95">
        <v>0</v>
      </c>
      <c r="AW2990" s="95">
        <v>80</v>
      </c>
      <c r="BC2990" s="96" t="s">
        <v>9734</v>
      </c>
      <c r="BD2990" s="99">
        <f t="shared" si="99"/>
        <v>0</v>
      </c>
      <c r="BI2990" s="95" t="s">
        <v>8541</v>
      </c>
      <c r="CC2990" s="99"/>
      <c r="CV2990" s="99"/>
      <c r="CW2990" s="63"/>
    </row>
    <row r="2991" spans="1:101" ht="22.5" x14ac:dyDescent="0.15">
      <c r="A2991" s="76">
        <v>2795</v>
      </c>
      <c r="B2991" s="74" t="s">
        <v>3091</v>
      </c>
      <c r="C2991" s="74">
        <v>1001238109</v>
      </c>
      <c r="D2991" s="78" t="str">
        <f t="shared" si="100"/>
        <v>https://portal.dnb.de/opac.htm?method=simpleSearch&amp;cqlMode=true&amp;query=idn%3D1001238109</v>
      </c>
      <c r="E2991" s="74" t="s">
        <v>3092</v>
      </c>
      <c r="F2991" s="74"/>
      <c r="G2991" s="76" t="s">
        <v>8515</v>
      </c>
      <c r="H2991" s="77" t="s">
        <v>18</v>
      </c>
      <c r="I2991" s="76" t="s">
        <v>53</v>
      </c>
      <c r="J2991" s="77" t="s">
        <v>8516</v>
      </c>
      <c r="K2991" s="77" t="s">
        <v>72</v>
      </c>
      <c r="L2991" s="76"/>
      <c r="M2991" s="76"/>
      <c r="N2991" s="76" t="s">
        <v>8660</v>
      </c>
      <c r="O2991" s="76">
        <v>0</v>
      </c>
      <c r="P2991" s="76"/>
      <c r="Q2991" s="76"/>
      <c r="R2991" s="76"/>
      <c r="S2991" s="76"/>
      <c r="BD2991" s="99">
        <f t="shared" si="99"/>
        <v>0</v>
      </c>
      <c r="CC2991" s="99"/>
      <c r="CV2991" s="99"/>
      <c r="CW2991" s="63"/>
    </row>
    <row r="2992" spans="1:101" ht="22.5" x14ac:dyDescent="0.15">
      <c r="A2992" s="76">
        <v>2796</v>
      </c>
      <c r="B2992" s="74" t="s">
        <v>3093</v>
      </c>
      <c r="C2992" s="74">
        <v>998008788</v>
      </c>
      <c r="D2992" s="78" t="str">
        <f t="shared" si="100"/>
        <v>https://portal.dnb.de/opac.htm?method=simpleSearch&amp;cqlMode=true&amp;query=idn%3D998008788</v>
      </c>
      <c r="E2992" s="74" t="s">
        <v>3094</v>
      </c>
      <c r="F2992" s="74"/>
      <c r="G2992" s="76" t="s">
        <v>8515</v>
      </c>
      <c r="H2992" s="77" t="s">
        <v>18</v>
      </c>
      <c r="I2992" s="76" t="s">
        <v>53</v>
      </c>
      <c r="J2992" s="77" t="s">
        <v>58</v>
      </c>
      <c r="K2992" s="77" t="s">
        <v>8785</v>
      </c>
      <c r="L2992" s="76"/>
      <c r="M2992" s="76" t="s">
        <v>38</v>
      </c>
      <c r="N2992" s="76" t="s">
        <v>40</v>
      </c>
      <c r="O2992" s="76">
        <v>0</v>
      </c>
      <c r="P2992" s="76"/>
      <c r="Q2992" s="76" t="s">
        <v>9040</v>
      </c>
      <c r="R2992" s="76"/>
      <c r="S2992" s="76"/>
      <c r="BD2992" s="99">
        <f t="shared" si="99"/>
        <v>0</v>
      </c>
      <c r="CC2992" s="99"/>
      <c r="CV2992" s="99"/>
      <c r="CW2992" s="63"/>
    </row>
    <row r="2993" spans="1:101" x14ac:dyDescent="0.15">
      <c r="A2993" s="76">
        <v>2797</v>
      </c>
      <c r="B2993" s="74" t="s">
        <v>3095</v>
      </c>
      <c r="C2993" s="74" t="s">
        <v>3096</v>
      </c>
      <c r="D2993" s="78" t="str">
        <f t="shared" si="100"/>
        <v>https://portal.dnb.de/opac.htm?method=simpleSearch&amp;cqlMode=true&amp;query=idn%3D99421992X</v>
      </c>
      <c r="E2993" s="74" t="s">
        <v>3097</v>
      </c>
      <c r="F2993" s="74"/>
      <c r="G2993" s="76"/>
      <c r="H2993" s="77" t="s">
        <v>5</v>
      </c>
      <c r="I2993" s="76" t="s">
        <v>53</v>
      </c>
      <c r="J2993" s="77" t="s">
        <v>58</v>
      </c>
      <c r="K2993" s="77" t="s">
        <v>8520</v>
      </c>
      <c r="L2993" s="76"/>
      <c r="M2993" s="76" t="s">
        <v>36</v>
      </c>
      <c r="N2993" s="76" t="s">
        <v>39</v>
      </c>
      <c r="O2993" s="76">
        <v>0</v>
      </c>
      <c r="P2993" s="76"/>
      <c r="Q2993" s="76"/>
      <c r="R2993" s="76"/>
      <c r="S2993" s="76"/>
      <c r="Y2993" s="95" t="s">
        <v>9723</v>
      </c>
      <c r="AC2993" s="95" t="s">
        <v>9724</v>
      </c>
      <c r="AI2993" s="95" t="s">
        <v>9725</v>
      </c>
      <c r="AW2993" s="95">
        <v>110</v>
      </c>
      <c r="BC2993" s="96" t="s">
        <v>9734</v>
      </c>
      <c r="BD2993" s="99">
        <f t="shared" si="99"/>
        <v>0</v>
      </c>
      <c r="BJ2993" s="95" t="s">
        <v>9741</v>
      </c>
      <c r="BK2993" s="95" t="s">
        <v>8541</v>
      </c>
      <c r="CC2993" s="99"/>
      <c r="CV2993" s="99"/>
      <c r="CW2993" s="63"/>
    </row>
    <row r="2994" spans="1:101" x14ac:dyDescent="0.15">
      <c r="A2994" s="76">
        <v>2798</v>
      </c>
      <c r="B2994" s="74" t="s">
        <v>3098</v>
      </c>
      <c r="C2994" s="74">
        <v>1177953757</v>
      </c>
      <c r="D2994" s="78" t="str">
        <f t="shared" si="100"/>
        <v>https://portal.dnb.de/opac.htm?method=simpleSearch&amp;cqlMode=true&amp;query=idn%3D1177953757</v>
      </c>
      <c r="E2994" s="74" t="s">
        <v>3099</v>
      </c>
      <c r="F2994" s="74"/>
      <c r="G2994" s="76"/>
      <c r="H2994" s="77"/>
      <c r="I2994" s="76"/>
      <c r="J2994" s="77"/>
      <c r="K2994" s="77"/>
      <c r="L2994" s="76"/>
      <c r="M2994" s="76"/>
      <c r="N2994" s="76"/>
      <c r="O2994" s="76"/>
      <c r="P2994" s="76"/>
      <c r="Q2994" s="76"/>
      <c r="R2994" s="76"/>
      <c r="S2994" s="76"/>
      <c r="BD2994" s="99">
        <f t="shared" si="99"/>
        <v>0</v>
      </c>
      <c r="CC2994" s="99"/>
      <c r="CV2994" s="99"/>
      <c r="CW2994" s="63"/>
    </row>
    <row r="2995" spans="1:101" x14ac:dyDescent="0.15">
      <c r="A2995" s="76">
        <v>2799</v>
      </c>
      <c r="B2995" s="74" t="s">
        <v>3107</v>
      </c>
      <c r="C2995" s="74">
        <v>1208654713</v>
      </c>
      <c r="D2995" s="78" t="str">
        <f t="shared" si="100"/>
        <v>https://portal.dnb.de/opac.htm?method=simpleSearch&amp;cqlMode=true&amp;query=idn%3D1208654713</v>
      </c>
      <c r="E2995" s="74" t="s">
        <v>3108</v>
      </c>
      <c r="F2995" s="74"/>
      <c r="G2995" s="76"/>
      <c r="H2995" s="77"/>
      <c r="I2995" s="76"/>
      <c r="J2995" s="77"/>
      <c r="K2995" s="77"/>
      <c r="L2995" s="76"/>
      <c r="M2995" s="76"/>
      <c r="N2995" s="76"/>
      <c r="O2995" s="76"/>
      <c r="P2995" s="76"/>
      <c r="Q2995" s="76"/>
      <c r="R2995" s="76"/>
      <c r="S2995" s="76"/>
      <c r="BD2995" s="99">
        <f t="shared" si="99"/>
        <v>0</v>
      </c>
      <c r="CC2995" s="99"/>
      <c r="CV2995" s="99"/>
      <c r="CW2995" s="63"/>
    </row>
    <row r="2996" spans="1:101" x14ac:dyDescent="0.15">
      <c r="A2996" s="76">
        <v>2800</v>
      </c>
      <c r="B2996" s="74" t="s">
        <v>3114</v>
      </c>
      <c r="C2996" s="74">
        <v>996358471</v>
      </c>
      <c r="D2996" s="78" t="str">
        <f t="shared" si="100"/>
        <v>https://portal.dnb.de/opac.htm?method=simpleSearch&amp;cqlMode=true&amp;query=idn%3D996358471</v>
      </c>
      <c r="E2996" s="74" t="s">
        <v>9521</v>
      </c>
      <c r="F2996" s="74"/>
      <c r="G2996" s="76"/>
      <c r="H2996" s="77" t="s">
        <v>49</v>
      </c>
      <c r="I2996" s="76" t="s">
        <v>53</v>
      </c>
      <c r="J2996" s="77" t="s">
        <v>8516</v>
      </c>
      <c r="K2996" s="77" t="s">
        <v>84</v>
      </c>
      <c r="L2996" s="76"/>
      <c r="M2996" s="76" t="s">
        <v>36</v>
      </c>
      <c r="N2996" s="76" t="s">
        <v>39</v>
      </c>
      <c r="O2996" s="76">
        <v>0</v>
      </c>
      <c r="P2996" s="76"/>
      <c r="Q2996" s="76"/>
      <c r="R2996" s="76"/>
      <c r="S2996" s="76"/>
      <c r="BD2996" s="99">
        <f t="shared" si="99"/>
        <v>0</v>
      </c>
      <c r="CC2996" s="99"/>
      <c r="CV2996" s="99"/>
      <c r="CW2996" s="63"/>
    </row>
    <row r="2997" spans="1:101" ht="22.5" x14ac:dyDescent="0.15">
      <c r="A2997" s="76">
        <v>2801</v>
      </c>
      <c r="B2997" s="74" t="s">
        <v>3115</v>
      </c>
      <c r="C2997" s="74">
        <v>996358307</v>
      </c>
      <c r="D2997" s="82" t="str">
        <f>HYPERLINK(CONCATENATE("https://portal.dnb.de/opac.htm?method=simpleSearch&amp;cqlMode=true&amp;query=idn%3D",C2997))</f>
        <v>https://portal.dnb.de/opac.htm?method=simpleSearch&amp;cqlMode=true&amp;query=idn%3D996358307</v>
      </c>
      <c r="E2997" s="74" t="s">
        <v>9522</v>
      </c>
      <c r="F2997" s="74"/>
      <c r="G2997" s="76"/>
      <c r="H2997" s="77" t="s">
        <v>18</v>
      </c>
      <c r="I2997" s="76" t="s">
        <v>53</v>
      </c>
      <c r="J2997" s="77" t="s">
        <v>58</v>
      </c>
      <c r="K2997" s="77" t="s">
        <v>84</v>
      </c>
      <c r="L2997" s="76"/>
      <c r="M2997" s="76" t="s">
        <v>36</v>
      </c>
      <c r="N2997" s="76" t="s">
        <v>39</v>
      </c>
      <c r="O2997" s="76">
        <v>2</v>
      </c>
      <c r="P2997" s="76"/>
      <c r="Q2997" s="76" t="s">
        <v>9040</v>
      </c>
      <c r="R2997" s="76"/>
      <c r="S2997" s="76"/>
      <c r="BD2997" s="99">
        <f t="shared" si="99"/>
        <v>0</v>
      </c>
      <c r="CC2997" s="99"/>
      <c r="CV2997" s="99"/>
      <c r="CW2997" s="63"/>
    </row>
    <row r="2998" spans="1:101" ht="22.5" x14ac:dyDescent="0.15">
      <c r="A2998" s="76">
        <v>2802</v>
      </c>
      <c r="B2998" s="74" t="s">
        <v>3116</v>
      </c>
      <c r="C2998" s="74">
        <v>996358161</v>
      </c>
      <c r="D2998" s="78" t="str">
        <f t="shared" si="100"/>
        <v>https://portal.dnb.de/opac.htm?method=simpleSearch&amp;cqlMode=true&amp;query=idn%3D996358161</v>
      </c>
      <c r="E2998" s="74" t="s">
        <v>9523</v>
      </c>
      <c r="F2998" s="74"/>
      <c r="G2998" s="76"/>
      <c r="H2998" s="77" t="s">
        <v>49</v>
      </c>
      <c r="I2998" s="76" t="s">
        <v>53</v>
      </c>
      <c r="J2998" s="77" t="s">
        <v>58</v>
      </c>
      <c r="K2998" s="77" t="s">
        <v>9524</v>
      </c>
      <c r="L2998" s="76"/>
      <c r="M2998" s="76" t="s">
        <v>36</v>
      </c>
      <c r="N2998" s="76" t="s">
        <v>39</v>
      </c>
      <c r="O2998" s="76">
        <v>1</v>
      </c>
      <c r="P2998" s="76"/>
      <c r="Q2998" s="76" t="s">
        <v>9040</v>
      </c>
      <c r="R2998" s="76" t="s">
        <v>9001</v>
      </c>
      <c r="S2998" s="76"/>
      <c r="BD2998" s="99">
        <f t="shared" si="99"/>
        <v>0</v>
      </c>
      <c r="CC2998" s="99"/>
      <c r="CV2998" s="99"/>
      <c r="CW2998" s="63"/>
    </row>
    <row r="2999" spans="1:101" ht="22.5" x14ac:dyDescent="0.15">
      <c r="A2999" s="76">
        <v>2803</v>
      </c>
      <c r="B2999" s="74" t="s">
        <v>3120</v>
      </c>
      <c r="C2999" s="74">
        <v>1000239012</v>
      </c>
      <c r="D2999" s="82" t="str">
        <f>HYPERLINK(CONCATENATE("https://portal.dnb.de/opac.htm?method=simpleSearch&amp;cqlMode=true&amp;query=idn%3D",C2999))</f>
        <v>https://portal.dnb.de/opac.htm?method=simpleSearch&amp;cqlMode=true&amp;query=idn%3D1000239012</v>
      </c>
      <c r="E2999" s="74" t="s">
        <v>9539</v>
      </c>
      <c r="F2999" s="74"/>
      <c r="G2999" s="76"/>
      <c r="H2999" s="77" t="s">
        <v>48</v>
      </c>
      <c r="I2999" s="76" t="s">
        <v>53</v>
      </c>
      <c r="J2999" s="77" t="s">
        <v>58</v>
      </c>
      <c r="K2999" s="77" t="s">
        <v>8564</v>
      </c>
      <c r="L2999" s="76"/>
      <c r="M2999" s="76" t="s">
        <v>36</v>
      </c>
      <c r="N2999" s="76" t="s">
        <v>39</v>
      </c>
      <c r="O2999" s="76"/>
      <c r="P2999" s="76"/>
      <c r="Q2999" s="76"/>
      <c r="R2999" s="76" t="s">
        <v>9540</v>
      </c>
      <c r="S2999" s="76"/>
      <c r="BD2999" s="99">
        <f t="shared" si="99"/>
        <v>0</v>
      </c>
      <c r="CC2999" s="99"/>
      <c r="CV2999" s="99"/>
      <c r="CW2999" s="63"/>
    </row>
    <row r="3000" spans="1:101" x14ac:dyDescent="0.15">
      <c r="A3000" s="76">
        <v>2804</v>
      </c>
      <c r="B3000" s="74" t="s">
        <v>3122</v>
      </c>
      <c r="C3000" s="74">
        <v>1000239039</v>
      </c>
      <c r="D3000" s="78" t="str">
        <f t="shared" si="100"/>
        <v>https://portal.dnb.de/opac.htm?method=simpleSearch&amp;cqlMode=true&amp;query=idn%3D1000239039</v>
      </c>
      <c r="E3000" s="74" t="s">
        <v>3121</v>
      </c>
      <c r="F3000" s="74"/>
      <c r="G3000" s="76"/>
      <c r="H3000" s="77"/>
      <c r="I3000" s="76"/>
      <c r="J3000" s="77"/>
      <c r="K3000" s="77"/>
      <c r="L3000" s="76"/>
      <c r="M3000" s="76"/>
      <c r="N3000" s="76"/>
      <c r="O3000" s="76"/>
      <c r="P3000" s="76"/>
      <c r="Q3000" s="76"/>
      <c r="R3000" s="76"/>
      <c r="S3000" s="76"/>
      <c r="BD3000" s="99">
        <f t="shared" si="99"/>
        <v>0</v>
      </c>
      <c r="CC3000" s="99"/>
      <c r="CV3000" s="99"/>
      <c r="CW3000" s="63"/>
    </row>
    <row r="3001" spans="1:101" x14ac:dyDescent="0.15">
      <c r="A3001" s="76">
        <v>2805</v>
      </c>
      <c r="B3001" s="74" t="s">
        <v>3123</v>
      </c>
      <c r="C3001" s="74">
        <v>11244542</v>
      </c>
      <c r="D3001" s="82" t="str">
        <f>HYPERLINK(CONCATENATE("https://portal.dnb.de/opac.htm?method=simpleSearch&amp;cqlMode=true&amp;query=idn%3D",C3001))</f>
        <v>https://portal.dnb.de/opac.htm?method=simpleSearch&amp;cqlMode=true&amp;query=idn%3D11244542</v>
      </c>
      <c r="E3001" s="74" t="s">
        <v>9527</v>
      </c>
      <c r="F3001" s="74"/>
      <c r="G3001" s="76"/>
      <c r="H3001" s="77" t="s">
        <v>5</v>
      </c>
      <c r="I3001" s="76" t="s">
        <v>53</v>
      </c>
      <c r="J3001" s="77" t="s">
        <v>8516</v>
      </c>
      <c r="K3001" s="77" t="s">
        <v>8520</v>
      </c>
      <c r="L3001" s="76"/>
      <c r="M3001" s="76" t="s">
        <v>36</v>
      </c>
      <c r="N3001" s="76" t="s">
        <v>40</v>
      </c>
      <c r="O3001" s="76">
        <v>1</v>
      </c>
      <c r="P3001" s="76"/>
      <c r="Q3001" s="76"/>
      <c r="R3001" s="76"/>
      <c r="S3001" s="76"/>
      <c r="BD3001" s="99">
        <f t="shared" si="99"/>
        <v>0</v>
      </c>
      <c r="CC3001" s="99"/>
      <c r="CV3001" s="99"/>
      <c r="CW3001" s="63"/>
    </row>
    <row r="3002" spans="1:101" x14ac:dyDescent="0.15">
      <c r="A3002" s="76"/>
      <c r="B3002" s="74"/>
      <c r="C3002" s="74"/>
      <c r="D3002" s="82"/>
      <c r="E3002" s="74" t="s">
        <v>9528</v>
      </c>
      <c r="F3002" s="74"/>
      <c r="G3002" s="76"/>
      <c r="H3002" s="77" t="s">
        <v>5</v>
      </c>
      <c r="I3002" s="76" t="s">
        <v>53</v>
      </c>
      <c r="J3002" s="77" t="s">
        <v>8516</v>
      </c>
      <c r="K3002" s="77" t="s">
        <v>8520</v>
      </c>
      <c r="L3002" s="76"/>
      <c r="M3002" s="76" t="s">
        <v>36</v>
      </c>
      <c r="N3002" s="76" t="s">
        <v>40</v>
      </c>
      <c r="O3002" s="76">
        <v>1</v>
      </c>
      <c r="P3002" s="76"/>
      <c r="Q3002" s="76"/>
      <c r="R3002" s="76"/>
      <c r="S3002" s="76"/>
      <c r="BD3002" s="99">
        <f t="shared" si="99"/>
        <v>0</v>
      </c>
      <c r="CC3002" s="99"/>
      <c r="CV3002" s="99"/>
      <c r="CW3002" s="63"/>
    </row>
    <row r="3003" spans="1:101" x14ac:dyDescent="0.15">
      <c r="A3003" s="76"/>
      <c r="B3003" s="74"/>
      <c r="C3003" s="74"/>
      <c r="D3003" s="82"/>
      <c r="E3003" s="74" t="s">
        <v>9529</v>
      </c>
      <c r="F3003" s="74"/>
      <c r="G3003" s="76"/>
      <c r="H3003" s="77" t="s">
        <v>5</v>
      </c>
      <c r="I3003" s="76" t="s">
        <v>53</v>
      </c>
      <c r="J3003" s="77" t="s">
        <v>8516</v>
      </c>
      <c r="K3003" s="77" t="s">
        <v>8520</v>
      </c>
      <c r="L3003" s="76"/>
      <c r="M3003" s="76" t="s">
        <v>36</v>
      </c>
      <c r="N3003" s="76" t="s">
        <v>40</v>
      </c>
      <c r="O3003" s="76">
        <v>0</v>
      </c>
      <c r="P3003" s="76"/>
      <c r="Q3003" s="76"/>
      <c r="R3003" s="76"/>
      <c r="S3003" s="76"/>
      <c r="BD3003" s="99">
        <f t="shared" si="99"/>
        <v>0</v>
      </c>
      <c r="CC3003" s="99"/>
      <c r="CV3003" s="99"/>
      <c r="CW3003" s="63"/>
    </row>
    <row r="3004" spans="1:101" x14ac:dyDescent="0.15">
      <c r="A3004" s="76"/>
      <c r="B3004" s="74"/>
      <c r="C3004" s="74"/>
      <c r="D3004" s="82"/>
      <c r="E3004" s="74" t="s">
        <v>9530</v>
      </c>
      <c r="F3004" s="74"/>
      <c r="G3004" s="76"/>
      <c r="H3004" s="77" t="s">
        <v>5</v>
      </c>
      <c r="I3004" s="76" t="s">
        <v>53</v>
      </c>
      <c r="J3004" s="77" t="s">
        <v>8516</v>
      </c>
      <c r="K3004" s="77" t="s">
        <v>8520</v>
      </c>
      <c r="L3004" s="76"/>
      <c r="M3004" s="76" t="s">
        <v>36</v>
      </c>
      <c r="N3004" s="76" t="s">
        <v>40</v>
      </c>
      <c r="O3004" s="76">
        <v>0</v>
      </c>
      <c r="P3004" s="76"/>
      <c r="Q3004" s="76"/>
      <c r="R3004" s="76"/>
      <c r="S3004" s="76"/>
      <c r="BD3004" s="99">
        <f t="shared" si="99"/>
        <v>0</v>
      </c>
      <c r="CC3004" s="99"/>
      <c r="CV3004" s="99"/>
      <c r="CW3004" s="63"/>
    </row>
    <row r="3005" spans="1:101" x14ac:dyDescent="0.15">
      <c r="A3005" s="76"/>
      <c r="B3005" s="74"/>
      <c r="C3005" s="74"/>
      <c r="D3005" s="82"/>
      <c r="E3005" s="74" t="s">
        <v>9531</v>
      </c>
      <c r="F3005" s="74"/>
      <c r="G3005" s="76"/>
      <c r="H3005" s="77" t="s">
        <v>5</v>
      </c>
      <c r="I3005" s="76" t="s">
        <v>53</v>
      </c>
      <c r="J3005" s="77" t="s">
        <v>8516</v>
      </c>
      <c r="K3005" s="77" t="s">
        <v>8520</v>
      </c>
      <c r="L3005" s="76"/>
      <c r="M3005" s="76" t="s">
        <v>36</v>
      </c>
      <c r="N3005" s="76" t="s">
        <v>40</v>
      </c>
      <c r="O3005" s="76">
        <v>1</v>
      </c>
      <c r="P3005" s="76"/>
      <c r="Q3005" s="76"/>
      <c r="R3005" s="76"/>
      <c r="S3005" s="76"/>
      <c r="BD3005" s="99">
        <f t="shared" si="99"/>
        <v>0</v>
      </c>
      <c r="CC3005" s="99"/>
      <c r="CV3005" s="99"/>
      <c r="CW3005" s="63"/>
    </row>
    <row r="3006" spans="1:101" x14ac:dyDescent="0.15">
      <c r="A3006" s="76"/>
      <c r="B3006" s="74"/>
      <c r="C3006" s="74"/>
      <c r="D3006" s="82"/>
      <c r="E3006" s="74" t="s">
        <v>9532</v>
      </c>
      <c r="F3006" s="74"/>
      <c r="G3006" s="76"/>
      <c r="H3006" s="77" t="s">
        <v>5</v>
      </c>
      <c r="I3006" s="76" t="s">
        <v>53</v>
      </c>
      <c r="J3006" s="77" t="s">
        <v>8516</v>
      </c>
      <c r="K3006" s="77" t="s">
        <v>8520</v>
      </c>
      <c r="L3006" s="76"/>
      <c r="M3006" s="76" t="s">
        <v>36</v>
      </c>
      <c r="N3006" s="76" t="s">
        <v>40</v>
      </c>
      <c r="O3006" s="76">
        <v>0</v>
      </c>
      <c r="P3006" s="76"/>
      <c r="Q3006" s="76"/>
      <c r="R3006" s="76"/>
      <c r="S3006" s="76"/>
      <c r="BD3006" s="99">
        <f t="shared" si="99"/>
        <v>0</v>
      </c>
      <c r="CC3006" s="99"/>
      <c r="CV3006" s="99"/>
      <c r="CW3006" s="63"/>
    </row>
    <row r="3007" spans="1:101" x14ac:dyDescent="0.15">
      <c r="A3007" s="76"/>
      <c r="B3007" s="74"/>
      <c r="C3007" s="74"/>
      <c r="D3007" s="82"/>
      <c r="E3007" s="74" t="s">
        <v>9533</v>
      </c>
      <c r="F3007" s="74"/>
      <c r="G3007" s="76"/>
      <c r="H3007" s="77" t="s">
        <v>5</v>
      </c>
      <c r="I3007" s="76" t="s">
        <v>53</v>
      </c>
      <c r="J3007" s="77" t="s">
        <v>8516</v>
      </c>
      <c r="K3007" s="77" t="s">
        <v>8520</v>
      </c>
      <c r="L3007" s="76"/>
      <c r="M3007" s="76" t="s">
        <v>36</v>
      </c>
      <c r="N3007" s="76" t="s">
        <v>40</v>
      </c>
      <c r="O3007" s="76">
        <v>1</v>
      </c>
      <c r="P3007" s="76"/>
      <c r="Q3007" s="76"/>
      <c r="R3007" s="76"/>
      <c r="S3007" s="76"/>
      <c r="BD3007" s="99">
        <f t="shared" si="99"/>
        <v>0</v>
      </c>
      <c r="CC3007" s="99"/>
      <c r="CV3007" s="99"/>
      <c r="CW3007" s="63"/>
    </row>
    <row r="3008" spans="1:101" x14ac:dyDescent="0.15">
      <c r="A3008" s="76"/>
      <c r="B3008" s="74"/>
      <c r="C3008" s="74"/>
      <c r="D3008" s="82"/>
      <c r="E3008" s="74" t="s">
        <v>9534</v>
      </c>
      <c r="F3008" s="74"/>
      <c r="G3008" s="76"/>
      <c r="H3008" s="77" t="s">
        <v>5</v>
      </c>
      <c r="I3008" s="76" t="s">
        <v>53</v>
      </c>
      <c r="J3008" s="77" t="s">
        <v>8516</v>
      </c>
      <c r="K3008" s="77" t="s">
        <v>8520</v>
      </c>
      <c r="L3008" s="76"/>
      <c r="M3008" s="76" t="s">
        <v>36</v>
      </c>
      <c r="N3008" s="76" t="s">
        <v>40</v>
      </c>
      <c r="O3008" s="76">
        <v>1</v>
      </c>
      <c r="P3008" s="76"/>
      <c r="Q3008" s="76"/>
      <c r="R3008" s="76"/>
      <c r="S3008" s="76"/>
      <c r="BD3008" s="99">
        <f t="shared" si="99"/>
        <v>0</v>
      </c>
      <c r="CC3008" s="99"/>
      <c r="CV3008" s="99"/>
      <c r="CW3008" s="63"/>
    </row>
    <row r="3009" spans="1:101" x14ac:dyDescent="0.15">
      <c r="A3009" s="76"/>
      <c r="B3009" s="74"/>
      <c r="C3009" s="74"/>
      <c r="D3009" s="82"/>
      <c r="E3009" s="74" t="s">
        <v>9535</v>
      </c>
      <c r="F3009" s="74"/>
      <c r="G3009" s="76"/>
      <c r="H3009" s="77" t="s">
        <v>5</v>
      </c>
      <c r="I3009" s="76" t="s">
        <v>53</v>
      </c>
      <c r="J3009" s="77" t="s">
        <v>8516</v>
      </c>
      <c r="K3009" s="77" t="s">
        <v>8520</v>
      </c>
      <c r="L3009" s="76"/>
      <c r="M3009" s="76" t="s">
        <v>36</v>
      </c>
      <c r="N3009" s="76" t="s">
        <v>40</v>
      </c>
      <c r="O3009" s="76">
        <v>0</v>
      </c>
      <c r="P3009" s="76"/>
      <c r="Q3009" s="76"/>
      <c r="R3009" s="76"/>
      <c r="S3009" s="76"/>
      <c r="BD3009" s="99">
        <f t="shared" si="99"/>
        <v>0</v>
      </c>
      <c r="CC3009" s="99"/>
      <c r="CV3009" s="99"/>
      <c r="CW3009" s="63"/>
    </row>
    <row r="3010" spans="1:101" x14ac:dyDescent="0.15">
      <c r="A3010" s="76"/>
      <c r="B3010" s="74"/>
      <c r="C3010" s="74"/>
      <c r="D3010" s="82"/>
      <c r="E3010" s="74" t="s">
        <v>9536</v>
      </c>
      <c r="F3010" s="74"/>
      <c r="G3010" s="76"/>
      <c r="H3010" s="77" t="s">
        <v>5</v>
      </c>
      <c r="I3010" s="76" t="s">
        <v>53</v>
      </c>
      <c r="J3010" s="77" t="s">
        <v>8516</v>
      </c>
      <c r="K3010" s="77" t="s">
        <v>8520</v>
      </c>
      <c r="L3010" s="76"/>
      <c r="M3010" s="76" t="s">
        <v>36</v>
      </c>
      <c r="N3010" s="76" t="s">
        <v>40</v>
      </c>
      <c r="O3010" s="76">
        <v>0</v>
      </c>
      <c r="P3010" s="76"/>
      <c r="Q3010" s="76"/>
      <c r="R3010" s="76"/>
      <c r="S3010" s="76"/>
      <c r="BD3010" s="99">
        <f t="shared" si="99"/>
        <v>0</v>
      </c>
      <c r="CC3010" s="99"/>
      <c r="CV3010" s="99"/>
      <c r="CW3010" s="63"/>
    </row>
    <row r="3011" spans="1:101" x14ac:dyDescent="0.15">
      <c r="A3011" s="76"/>
      <c r="B3011" s="74"/>
      <c r="C3011" s="74"/>
      <c r="D3011" s="82"/>
      <c r="E3011" s="74" t="s">
        <v>9537</v>
      </c>
      <c r="F3011" s="74"/>
      <c r="G3011" s="76"/>
      <c r="H3011" s="77" t="s">
        <v>5</v>
      </c>
      <c r="I3011" s="76" t="s">
        <v>53</v>
      </c>
      <c r="J3011" s="77" t="s">
        <v>8516</v>
      </c>
      <c r="K3011" s="77" t="s">
        <v>8520</v>
      </c>
      <c r="L3011" s="76"/>
      <c r="M3011" s="76" t="s">
        <v>36</v>
      </c>
      <c r="N3011" s="76" t="s">
        <v>40</v>
      </c>
      <c r="O3011" s="76">
        <v>1</v>
      </c>
      <c r="P3011" s="76"/>
      <c r="Q3011" s="76"/>
      <c r="R3011" s="76"/>
      <c r="S3011" s="76"/>
      <c r="BD3011" s="99">
        <f t="shared" ref="BD3011:BD3074" si="101">CC3011+CV3011</f>
        <v>0</v>
      </c>
      <c r="CC3011" s="99"/>
      <c r="CV3011" s="99"/>
      <c r="CW3011" s="63"/>
    </row>
    <row r="3012" spans="1:101" x14ac:dyDescent="0.15">
      <c r="A3012" s="76"/>
      <c r="B3012" s="74"/>
      <c r="C3012" s="74"/>
      <c r="D3012" s="82"/>
      <c r="E3012" s="74" t="s">
        <v>9538</v>
      </c>
      <c r="F3012" s="74"/>
      <c r="G3012" s="76"/>
      <c r="H3012" s="77" t="s">
        <v>5</v>
      </c>
      <c r="I3012" s="76" t="s">
        <v>53</v>
      </c>
      <c r="J3012" s="77" t="s">
        <v>8516</v>
      </c>
      <c r="K3012" s="77" t="s">
        <v>8520</v>
      </c>
      <c r="L3012" s="76"/>
      <c r="M3012" s="76" t="s">
        <v>36</v>
      </c>
      <c r="N3012" s="76" t="s">
        <v>40</v>
      </c>
      <c r="O3012" s="76">
        <v>0</v>
      </c>
      <c r="P3012" s="76"/>
      <c r="Q3012" s="76"/>
      <c r="R3012" s="76"/>
      <c r="S3012" s="76"/>
      <c r="BD3012" s="99">
        <f t="shared" si="101"/>
        <v>0</v>
      </c>
      <c r="CC3012" s="99"/>
      <c r="CV3012" s="99"/>
      <c r="CW3012" s="63"/>
    </row>
    <row r="3013" spans="1:101" ht="22.5" x14ac:dyDescent="0.15">
      <c r="A3013" s="76">
        <v>2806</v>
      </c>
      <c r="B3013" s="74" t="s">
        <v>3124</v>
      </c>
      <c r="C3013" s="74">
        <v>1066786038</v>
      </c>
      <c r="D3013" s="78" t="str">
        <f t="shared" si="100"/>
        <v>https://portal.dnb.de/opac.htm?method=simpleSearch&amp;cqlMode=true&amp;query=idn%3D1066786038</v>
      </c>
      <c r="E3013" s="74" t="s">
        <v>3125</v>
      </c>
      <c r="F3013" s="74"/>
      <c r="G3013" s="76"/>
      <c r="H3013" s="77" t="s">
        <v>18</v>
      </c>
      <c r="I3013" s="76" t="s">
        <v>53</v>
      </c>
      <c r="J3013" s="77" t="s">
        <v>58</v>
      </c>
      <c r="K3013" s="77" t="s">
        <v>84</v>
      </c>
      <c r="L3013" s="76"/>
      <c r="M3013" s="76" t="s">
        <v>36</v>
      </c>
      <c r="N3013" s="76" t="s">
        <v>40</v>
      </c>
      <c r="O3013" s="76">
        <v>1</v>
      </c>
      <c r="P3013" s="76"/>
      <c r="Q3013" s="76"/>
      <c r="R3013" s="76"/>
      <c r="S3013" s="76"/>
      <c r="BD3013" s="99">
        <f t="shared" si="101"/>
        <v>0</v>
      </c>
      <c r="CC3013" s="99"/>
      <c r="CV3013" s="99"/>
      <c r="CW3013" s="63"/>
    </row>
    <row r="3014" spans="1:101" ht="22.5" x14ac:dyDescent="0.15">
      <c r="A3014" s="76">
        <v>2807</v>
      </c>
      <c r="B3014" s="74" t="s">
        <v>3129</v>
      </c>
      <c r="C3014" s="74" t="s">
        <v>3130</v>
      </c>
      <c r="D3014" s="78" t="str">
        <f t="shared" si="100"/>
        <v>https://portal.dnb.de/opac.htm?method=simpleSearch&amp;cqlMode=true&amp;query=idn%3D99533420X</v>
      </c>
      <c r="E3014" s="74" t="s">
        <v>3131</v>
      </c>
      <c r="F3014" s="74"/>
      <c r="G3014" s="76" t="s">
        <v>8515</v>
      </c>
      <c r="H3014" s="77" t="s">
        <v>5</v>
      </c>
      <c r="I3014" s="76" t="s">
        <v>53</v>
      </c>
      <c r="J3014" s="77" t="s">
        <v>58</v>
      </c>
      <c r="K3014" s="77" t="s">
        <v>8520</v>
      </c>
      <c r="L3014" s="76"/>
      <c r="M3014" s="76" t="s">
        <v>38</v>
      </c>
      <c r="N3014" s="76" t="s">
        <v>40</v>
      </c>
      <c r="O3014" s="76">
        <v>3</v>
      </c>
      <c r="P3014" s="76" t="s">
        <v>9</v>
      </c>
      <c r="Q3014" s="76"/>
      <c r="R3014" s="76"/>
      <c r="S3014" s="76"/>
      <c r="Y3014" s="95" t="s">
        <v>9723</v>
      </c>
      <c r="AC3014" s="95" t="s">
        <v>9724</v>
      </c>
      <c r="AI3014" s="95" t="s">
        <v>9725</v>
      </c>
      <c r="AW3014" s="95" t="s">
        <v>9733</v>
      </c>
      <c r="BC3014" s="96" t="s">
        <v>9726</v>
      </c>
      <c r="BD3014" s="99">
        <f t="shared" si="101"/>
        <v>2.5</v>
      </c>
      <c r="BF3014" s="95" t="s">
        <v>10005</v>
      </c>
      <c r="BP3014" s="69" t="s">
        <v>8541</v>
      </c>
      <c r="BQ3014" s="95" t="s">
        <v>8541</v>
      </c>
      <c r="BR3014" s="95" t="s">
        <v>8541</v>
      </c>
      <c r="BT3014" s="95" t="s">
        <v>9775</v>
      </c>
      <c r="BU3014" s="95">
        <v>3</v>
      </c>
      <c r="CA3014" s="95" t="s">
        <v>9911</v>
      </c>
      <c r="CC3014" s="99">
        <v>2.5</v>
      </c>
      <c r="CD3014" s="90" t="s">
        <v>10154</v>
      </c>
      <c r="CV3014" s="99"/>
      <c r="CW3014" s="63"/>
    </row>
    <row r="3015" spans="1:101" x14ac:dyDescent="0.15">
      <c r="A3015" s="76">
        <v>2808</v>
      </c>
      <c r="B3015" s="74" t="s">
        <v>3132</v>
      </c>
      <c r="C3015" s="74">
        <v>995907501</v>
      </c>
      <c r="D3015" s="78" t="str">
        <f t="shared" si="100"/>
        <v>https://portal.dnb.de/opac.htm?method=simpleSearch&amp;cqlMode=true&amp;query=idn%3D995907501</v>
      </c>
      <c r="E3015" s="74" t="s">
        <v>3133</v>
      </c>
      <c r="F3015" s="74"/>
      <c r="G3015" s="76"/>
      <c r="H3015" s="77" t="s">
        <v>4</v>
      </c>
      <c r="I3015" s="76" t="s">
        <v>53</v>
      </c>
      <c r="J3015" s="77" t="s">
        <v>58</v>
      </c>
      <c r="K3015" s="77" t="s">
        <v>8520</v>
      </c>
      <c r="L3015" s="76"/>
      <c r="M3015" s="76" t="s">
        <v>36</v>
      </c>
      <c r="N3015" s="76" t="s">
        <v>39</v>
      </c>
      <c r="O3015" s="76">
        <v>0</v>
      </c>
      <c r="P3015" s="76"/>
      <c r="Q3015" s="76"/>
      <c r="R3015" s="76"/>
      <c r="S3015" s="76"/>
      <c r="BD3015" s="99">
        <f t="shared" si="101"/>
        <v>0</v>
      </c>
      <c r="CC3015" s="99"/>
      <c r="CV3015" s="99"/>
      <c r="CW3015" s="63"/>
    </row>
    <row r="3016" spans="1:101" ht="22.5" x14ac:dyDescent="0.15">
      <c r="A3016" s="76">
        <v>2809</v>
      </c>
      <c r="B3016" s="74" t="s">
        <v>3134</v>
      </c>
      <c r="C3016" s="74">
        <v>993944310</v>
      </c>
      <c r="D3016" s="82" t="str">
        <f>HYPERLINK(CONCATENATE("https://portal.dnb.I3019de/opac.htm?method=simpleSearch&amp;cqlMode=true&amp;query=idn%3D",C3016))</f>
        <v>https://portal.dnb.I3019de/opac.htm?method=simpleSearch&amp;cqlMode=true&amp;query=idn%3D993944310</v>
      </c>
      <c r="E3016" s="74" t="s">
        <v>9542</v>
      </c>
      <c r="F3016" s="74"/>
      <c r="G3016" s="76"/>
      <c r="H3016" s="77" t="s">
        <v>18</v>
      </c>
      <c r="I3016" s="76" t="s">
        <v>53</v>
      </c>
      <c r="J3016" s="77" t="s">
        <v>58</v>
      </c>
      <c r="K3016" s="77" t="s">
        <v>84</v>
      </c>
      <c r="L3016" s="76"/>
      <c r="M3016" s="76"/>
      <c r="N3016" s="76" t="s">
        <v>8660</v>
      </c>
      <c r="O3016" s="76">
        <v>0</v>
      </c>
      <c r="P3016" s="76"/>
      <c r="Q3016" s="76"/>
      <c r="R3016" s="76"/>
      <c r="S3016" s="76"/>
      <c r="BD3016" s="99">
        <f t="shared" si="101"/>
        <v>0</v>
      </c>
      <c r="CC3016" s="99"/>
      <c r="CV3016" s="99"/>
      <c r="CW3016" s="63"/>
    </row>
    <row r="3017" spans="1:101" x14ac:dyDescent="0.15">
      <c r="A3017" s="76">
        <v>2810</v>
      </c>
      <c r="B3017" s="74" t="s">
        <v>3135</v>
      </c>
      <c r="C3017" s="74">
        <v>993944426</v>
      </c>
      <c r="D3017" s="82" t="str">
        <f>HYPERLINK(CONCATENATE("https://portal.dnb.de/opac.htm?method=simpleSearch&amp;cqlMode=true&amp;query=idn%3D",C3017))</f>
        <v>https://portal.dnb.de/opac.htm?method=simpleSearch&amp;cqlMode=true&amp;query=idn%3D993944426</v>
      </c>
      <c r="E3017" s="74" t="s">
        <v>9543</v>
      </c>
      <c r="F3017" s="74"/>
      <c r="G3017" s="76"/>
      <c r="H3017" s="77"/>
      <c r="I3017" s="76"/>
      <c r="J3017" s="77"/>
      <c r="K3017" s="77"/>
      <c r="L3017" s="76"/>
      <c r="M3017" s="76"/>
      <c r="N3017" s="76"/>
      <c r="O3017" s="76"/>
      <c r="P3017" s="76"/>
      <c r="Q3017" s="76"/>
      <c r="R3017" s="76"/>
      <c r="S3017" s="76"/>
      <c r="BD3017" s="99">
        <f t="shared" si="101"/>
        <v>0</v>
      </c>
      <c r="CC3017" s="99"/>
      <c r="CV3017" s="99"/>
      <c r="CW3017" s="63"/>
    </row>
    <row r="3018" spans="1:101" ht="22.5" x14ac:dyDescent="0.15">
      <c r="A3018" s="76">
        <v>2811</v>
      </c>
      <c r="B3018" s="74" t="s">
        <v>3136</v>
      </c>
      <c r="C3018" s="74">
        <v>993944485</v>
      </c>
      <c r="D3018" s="78" t="str">
        <f t="shared" si="100"/>
        <v>https://portal.dnb.de/opac.htm?method=simpleSearch&amp;cqlMode=true&amp;query=idn%3D993944485</v>
      </c>
      <c r="E3018" s="74" t="s">
        <v>9541</v>
      </c>
      <c r="F3018" s="74"/>
      <c r="G3018" s="76"/>
      <c r="H3018" s="77" t="s">
        <v>18</v>
      </c>
      <c r="I3018" s="76" t="s">
        <v>53</v>
      </c>
      <c r="J3018" s="77" t="s">
        <v>58</v>
      </c>
      <c r="K3018" s="77" t="s">
        <v>84</v>
      </c>
      <c r="L3018" s="76"/>
      <c r="M3018" s="76"/>
      <c r="N3018" s="76" t="s">
        <v>8660</v>
      </c>
      <c r="O3018" s="76">
        <v>0</v>
      </c>
      <c r="P3018" s="76"/>
      <c r="Q3018" s="76"/>
      <c r="R3018" s="76"/>
      <c r="S3018" s="76"/>
      <c r="BD3018" s="99">
        <f t="shared" si="101"/>
        <v>0</v>
      </c>
      <c r="CC3018" s="99"/>
      <c r="CV3018" s="99"/>
      <c r="CW3018" s="63"/>
    </row>
    <row r="3019" spans="1:101" x14ac:dyDescent="0.15">
      <c r="A3019" s="76">
        <v>2812</v>
      </c>
      <c r="B3019" s="74" t="s">
        <v>3139</v>
      </c>
      <c r="C3019" s="74">
        <v>1066677492</v>
      </c>
      <c r="D3019" s="78" t="str">
        <f t="shared" si="100"/>
        <v>https://portal.dnb.de/opac.htm?method=simpleSearch&amp;cqlMode=true&amp;query=idn%3D1066677492</v>
      </c>
      <c r="E3019" s="74" t="s">
        <v>3140</v>
      </c>
      <c r="F3019" s="74"/>
      <c r="G3019" s="76"/>
      <c r="H3019" s="77" t="s">
        <v>4</v>
      </c>
      <c r="I3019" s="76" t="s">
        <v>53</v>
      </c>
      <c r="J3019" s="77" t="s">
        <v>8516</v>
      </c>
      <c r="K3019" s="77" t="s">
        <v>8520</v>
      </c>
      <c r="L3019" s="76"/>
      <c r="M3019" s="76" t="s">
        <v>36</v>
      </c>
      <c r="N3019" s="76" t="s">
        <v>40</v>
      </c>
      <c r="O3019" s="76">
        <v>0</v>
      </c>
      <c r="P3019" s="76"/>
      <c r="Q3019" s="76"/>
      <c r="R3019" s="76"/>
      <c r="S3019" s="76"/>
      <c r="BD3019" s="99">
        <f t="shared" si="101"/>
        <v>0</v>
      </c>
      <c r="CC3019" s="99"/>
      <c r="CV3019" s="99"/>
      <c r="CW3019" s="63"/>
    </row>
    <row r="3020" spans="1:101" x14ac:dyDescent="0.15">
      <c r="A3020" s="76">
        <v>2813</v>
      </c>
      <c r="B3020" s="74" t="s">
        <v>3141</v>
      </c>
      <c r="C3020" s="74">
        <v>1003124054</v>
      </c>
      <c r="D3020" s="78" t="str">
        <f t="shared" si="100"/>
        <v>https://portal.dnb.de/opac.htm?method=simpleSearch&amp;cqlMode=true&amp;query=idn%3D1003124054</v>
      </c>
      <c r="E3020" s="74" t="s">
        <v>3142</v>
      </c>
      <c r="F3020" s="74"/>
      <c r="G3020" s="76"/>
      <c r="H3020" s="77" t="s">
        <v>5</v>
      </c>
      <c r="I3020" s="76" t="s">
        <v>53</v>
      </c>
      <c r="J3020" s="77" t="s">
        <v>8516</v>
      </c>
      <c r="K3020" s="77"/>
      <c r="L3020" s="76"/>
      <c r="M3020" s="76" t="s">
        <v>36</v>
      </c>
      <c r="N3020" s="76" t="s">
        <v>39</v>
      </c>
      <c r="O3020" s="76">
        <v>0</v>
      </c>
      <c r="P3020" s="76"/>
      <c r="Q3020" s="76"/>
      <c r="R3020" s="76"/>
      <c r="S3020" s="76"/>
      <c r="BD3020" s="99">
        <f t="shared" si="101"/>
        <v>0</v>
      </c>
      <c r="CC3020" s="99"/>
      <c r="CV3020" s="99"/>
      <c r="CW3020" s="63"/>
    </row>
    <row r="3021" spans="1:101" x14ac:dyDescent="0.15">
      <c r="A3021" s="76">
        <v>2814</v>
      </c>
      <c r="B3021" s="74" t="s">
        <v>3143</v>
      </c>
      <c r="C3021" s="74">
        <v>998434221</v>
      </c>
      <c r="D3021" s="78" t="str">
        <f t="shared" si="100"/>
        <v>https://portal.dnb.de/opac.htm?method=simpleSearch&amp;cqlMode=true&amp;query=idn%3D998434221</v>
      </c>
      <c r="E3021" s="74" t="s">
        <v>3144</v>
      </c>
      <c r="F3021" s="74"/>
      <c r="G3021" s="76" t="s">
        <v>8515</v>
      </c>
      <c r="H3021" s="77" t="s">
        <v>47</v>
      </c>
      <c r="I3021" s="76" t="s">
        <v>53</v>
      </c>
      <c r="J3021" s="77" t="s">
        <v>8516</v>
      </c>
      <c r="K3021" s="77"/>
      <c r="L3021" s="76"/>
      <c r="M3021" s="76" t="s">
        <v>34</v>
      </c>
      <c r="N3021" s="76" t="s">
        <v>40</v>
      </c>
      <c r="O3021" s="76">
        <v>0</v>
      </c>
      <c r="P3021" s="76"/>
      <c r="Q3021" s="76"/>
      <c r="R3021" s="76"/>
      <c r="S3021" s="76"/>
      <c r="BD3021" s="99">
        <f t="shared" si="101"/>
        <v>0</v>
      </c>
      <c r="CC3021" s="99"/>
      <c r="CV3021" s="99"/>
      <c r="CW3021" s="63"/>
    </row>
    <row r="3022" spans="1:101" x14ac:dyDescent="0.15">
      <c r="A3022" s="76">
        <v>2815</v>
      </c>
      <c r="B3022" s="74" t="s">
        <v>3145</v>
      </c>
      <c r="C3022" s="74">
        <v>998978272</v>
      </c>
      <c r="D3022" s="78" t="str">
        <f t="shared" si="100"/>
        <v>https://portal.dnb.de/opac.htm?method=simpleSearch&amp;cqlMode=true&amp;query=idn%3D998978272</v>
      </c>
      <c r="E3022" s="74" t="s">
        <v>3146</v>
      </c>
      <c r="F3022" s="74"/>
      <c r="G3022" s="76"/>
      <c r="H3022" s="77" t="s">
        <v>4</v>
      </c>
      <c r="I3022" s="76" t="s">
        <v>53</v>
      </c>
      <c r="J3022" s="77" t="s">
        <v>58</v>
      </c>
      <c r="K3022" s="77" t="s">
        <v>8520</v>
      </c>
      <c r="L3022" s="76"/>
      <c r="M3022" s="76" t="s">
        <v>36</v>
      </c>
      <c r="N3022" s="76" t="s">
        <v>39</v>
      </c>
      <c r="O3022" s="76">
        <v>0</v>
      </c>
      <c r="P3022" s="76"/>
      <c r="Q3022" s="76"/>
      <c r="R3022" s="76"/>
      <c r="S3022" s="76"/>
      <c r="BD3022" s="99">
        <f t="shared" si="101"/>
        <v>0</v>
      </c>
      <c r="CC3022" s="99"/>
      <c r="CV3022" s="99"/>
      <c r="CW3022" s="63"/>
    </row>
    <row r="3023" spans="1:101" ht="22.5" x14ac:dyDescent="0.15">
      <c r="A3023" s="76">
        <v>2816</v>
      </c>
      <c r="B3023" s="74" t="s">
        <v>3150</v>
      </c>
      <c r="C3023" s="74">
        <v>995281041</v>
      </c>
      <c r="D3023" s="78" t="str">
        <f t="shared" si="100"/>
        <v>https://portal.dnb.de/opac.htm?method=simpleSearch&amp;cqlMode=true&amp;query=idn%3D995281041</v>
      </c>
      <c r="E3023" s="74" t="s">
        <v>3151</v>
      </c>
      <c r="F3023" s="74"/>
      <c r="G3023" s="76"/>
      <c r="H3023" s="77" t="s">
        <v>18</v>
      </c>
      <c r="I3023" s="76" t="s">
        <v>53</v>
      </c>
      <c r="J3023" s="77" t="s">
        <v>58</v>
      </c>
      <c r="K3023" s="77" t="s">
        <v>84</v>
      </c>
      <c r="L3023" s="76"/>
      <c r="M3023" s="76"/>
      <c r="N3023" s="76"/>
      <c r="O3023" s="76">
        <v>1</v>
      </c>
      <c r="P3023" s="76"/>
      <c r="Q3023" s="76"/>
      <c r="R3023" s="76"/>
      <c r="S3023" s="76"/>
      <c r="BD3023" s="99">
        <f t="shared" si="101"/>
        <v>0</v>
      </c>
      <c r="CC3023" s="99"/>
      <c r="CV3023" s="99"/>
      <c r="CW3023" s="63"/>
    </row>
    <row r="3024" spans="1:101" x14ac:dyDescent="0.15">
      <c r="A3024" s="76">
        <v>2817</v>
      </c>
      <c r="B3024" s="74" t="s">
        <v>3154</v>
      </c>
      <c r="C3024" s="74">
        <v>1000737187</v>
      </c>
      <c r="D3024" s="78" t="str">
        <f t="shared" si="100"/>
        <v>https://portal.dnb.de/opac.htm?method=simpleSearch&amp;cqlMode=true&amp;query=idn%3D1000737187</v>
      </c>
      <c r="E3024" s="74" t="s">
        <v>3155</v>
      </c>
      <c r="F3024" s="74"/>
      <c r="G3024" s="76"/>
      <c r="H3024" s="77" t="s">
        <v>4</v>
      </c>
      <c r="I3024" s="76" t="s">
        <v>53</v>
      </c>
      <c r="J3024" s="77" t="s">
        <v>58</v>
      </c>
      <c r="K3024" s="77" t="s">
        <v>8520</v>
      </c>
      <c r="L3024" s="76"/>
      <c r="M3024" s="76" t="s">
        <v>36</v>
      </c>
      <c r="N3024" s="76" t="s">
        <v>39</v>
      </c>
      <c r="O3024" s="76">
        <v>2</v>
      </c>
      <c r="P3024" s="76"/>
      <c r="Q3024" s="76"/>
      <c r="R3024" s="76"/>
      <c r="S3024" s="76"/>
      <c r="BD3024" s="99">
        <f t="shared" si="101"/>
        <v>0</v>
      </c>
      <c r="CC3024" s="99"/>
      <c r="CV3024" s="99"/>
      <c r="CW3024" s="63"/>
    </row>
    <row r="3025" spans="1:101" x14ac:dyDescent="0.15">
      <c r="A3025" s="76">
        <v>2818</v>
      </c>
      <c r="B3025" s="74" t="s">
        <v>3158</v>
      </c>
      <c r="C3025" s="74">
        <v>995503303</v>
      </c>
      <c r="D3025" s="78" t="str">
        <f t="shared" si="100"/>
        <v>https://portal.dnb.de/opac.htm?method=simpleSearch&amp;cqlMode=true&amp;query=idn%3D995503303</v>
      </c>
      <c r="E3025" s="74" t="s">
        <v>3159</v>
      </c>
      <c r="F3025" s="74"/>
      <c r="G3025" s="76" t="s">
        <v>8515</v>
      </c>
      <c r="H3025" s="77" t="s">
        <v>5</v>
      </c>
      <c r="I3025" s="76" t="s">
        <v>54</v>
      </c>
      <c r="J3025" s="77" t="s">
        <v>89</v>
      </c>
      <c r="K3025" s="77"/>
      <c r="L3025" s="76"/>
      <c r="M3025" s="76"/>
      <c r="N3025" s="76" t="s">
        <v>8660</v>
      </c>
      <c r="O3025" s="76">
        <v>0</v>
      </c>
      <c r="P3025" s="76"/>
      <c r="Q3025" s="76"/>
      <c r="R3025" s="76"/>
      <c r="S3025" s="76"/>
      <c r="BD3025" s="99">
        <f t="shared" si="101"/>
        <v>0</v>
      </c>
      <c r="CC3025" s="99"/>
      <c r="CV3025" s="99"/>
      <c r="CW3025" s="63"/>
    </row>
    <row r="3026" spans="1:101" x14ac:dyDescent="0.15">
      <c r="A3026" s="76">
        <v>2819</v>
      </c>
      <c r="B3026" s="74" t="s">
        <v>3160</v>
      </c>
      <c r="C3026" s="74">
        <v>995503443</v>
      </c>
      <c r="D3026" s="78" t="str">
        <f t="shared" si="100"/>
        <v>https://portal.dnb.de/opac.htm?method=simpleSearch&amp;cqlMode=true&amp;query=idn%3D995503443</v>
      </c>
      <c r="E3026" s="74" t="s">
        <v>3159</v>
      </c>
      <c r="F3026" s="74"/>
      <c r="G3026" s="76"/>
      <c r="H3026" s="77"/>
      <c r="I3026" s="76"/>
      <c r="J3026" s="77"/>
      <c r="K3026" s="77"/>
      <c r="L3026" s="76"/>
      <c r="M3026" s="76"/>
      <c r="N3026" s="76"/>
      <c r="O3026" s="76"/>
      <c r="P3026" s="76"/>
      <c r="Q3026" s="76"/>
      <c r="R3026" s="76"/>
      <c r="S3026" s="76"/>
      <c r="BD3026" s="99">
        <f t="shared" si="101"/>
        <v>0</v>
      </c>
      <c r="CC3026" s="99"/>
      <c r="CV3026" s="99"/>
      <c r="CW3026" s="63"/>
    </row>
    <row r="3027" spans="1:101" x14ac:dyDescent="0.15">
      <c r="A3027" s="76">
        <v>2820</v>
      </c>
      <c r="B3027" s="74" t="s">
        <v>3161</v>
      </c>
      <c r="C3027" s="74">
        <v>993966187</v>
      </c>
      <c r="D3027" s="78" t="str">
        <f t="shared" si="100"/>
        <v>https://portal.dnb.de/opac.htm?method=simpleSearch&amp;cqlMode=true&amp;query=idn%3D993966187</v>
      </c>
      <c r="E3027" s="74" t="s">
        <v>3162</v>
      </c>
      <c r="F3027" s="74"/>
      <c r="G3027" s="76"/>
      <c r="H3027" s="77"/>
      <c r="I3027" s="76"/>
      <c r="J3027" s="77"/>
      <c r="K3027" s="77"/>
      <c r="L3027" s="76"/>
      <c r="M3027" s="76"/>
      <c r="N3027" s="76"/>
      <c r="O3027" s="76"/>
      <c r="P3027" s="76"/>
      <c r="Q3027" s="76"/>
      <c r="R3027" s="76"/>
      <c r="S3027" s="76"/>
      <c r="BD3027" s="99">
        <f t="shared" si="101"/>
        <v>0</v>
      </c>
      <c r="CC3027" s="99"/>
      <c r="CV3027" s="99"/>
      <c r="CW3027" s="63"/>
    </row>
    <row r="3028" spans="1:101" x14ac:dyDescent="0.15">
      <c r="A3028" s="76">
        <v>2821</v>
      </c>
      <c r="B3028" s="74" t="s">
        <v>3163</v>
      </c>
      <c r="C3028" s="74">
        <v>993965776</v>
      </c>
      <c r="D3028" s="78" t="str">
        <f t="shared" si="100"/>
        <v>https://portal.dnb.de/opac.htm?method=simpleSearch&amp;cqlMode=true&amp;query=idn%3D993965776</v>
      </c>
      <c r="E3028" s="74" t="s">
        <v>3162</v>
      </c>
      <c r="F3028" s="74"/>
      <c r="G3028" s="76"/>
      <c r="H3028" s="77"/>
      <c r="I3028" s="76"/>
      <c r="J3028" s="77"/>
      <c r="K3028" s="77"/>
      <c r="L3028" s="76"/>
      <c r="M3028" s="76"/>
      <c r="N3028" s="76"/>
      <c r="O3028" s="76"/>
      <c r="P3028" s="76"/>
      <c r="Q3028" s="76"/>
      <c r="R3028" s="76"/>
      <c r="S3028" s="76"/>
      <c r="BD3028" s="99">
        <f t="shared" si="101"/>
        <v>0</v>
      </c>
      <c r="CC3028" s="99"/>
      <c r="CV3028" s="99"/>
      <c r="CW3028" s="63"/>
    </row>
    <row r="3029" spans="1:101" ht="33.75" x14ac:dyDescent="0.15">
      <c r="A3029" s="76">
        <v>2822</v>
      </c>
      <c r="B3029" s="74" t="s">
        <v>3164</v>
      </c>
      <c r="C3029" s="74">
        <v>993965725</v>
      </c>
      <c r="D3029" s="82" t="str">
        <f>HYPERLINK(CONCATENATE("https://portal.dnb.de/opac.htm?method=simpleSearch&amp;cqlMode=true&amp;query=idn%3D",C3029))</f>
        <v>https://portal.dnb.de/opac.htm?method=simpleSearch&amp;cqlMode=true&amp;query=idn%3D993965725</v>
      </c>
      <c r="E3029" s="74" t="s">
        <v>3162</v>
      </c>
      <c r="F3029" s="74"/>
      <c r="G3029" s="76"/>
      <c r="H3029" s="77" t="s">
        <v>48</v>
      </c>
      <c r="I3029" s="76" t="s">
        <v>53</v>
      </c>
      <c r="J3029" s="77" t="s">
        <v>58</v>
      </c>
      <c r="K3029" s="77" t="s">
        <v>8663</v>
      </c>
      <c r="L3029" s="76"/>
      <c r="M3029" s="76"/>
      <c r="N3029" s="76" t="s">
        <v>8660</v>
      </c>
      <c r="O3029" s="76">
        <v>0</v>
      </c>
      <c r="P3029" s="76"/>
      <c r="Q3029" s="76"/>
      <c r="R3029" s="76"/>
      <c r="S3029" s="76"/>
      <c r="BD3029" s="99">
        <f t="shared" si="101"/>
        <v>0</v>
      </c>
      <c r="CC3029" s="99"/>
      <c r="CV3029" s="99"/>
      <c r="CW3029" s="63"/>
    </row>
    <row r="3030" spans="1:101" ht="33.75" x14ac:dyDescent="0.15">
      <c r="A3030" s="76">
        <v>2823</v>
      </c>
      <c r="B3030" s="74" t="s">
        <v>3168</v>
      </c>
      <c r="C3030" s="74">
        <v>951651404</v>
      </c>
      <c r="D3030" s="78" t="str">
        <f t="shared" si="100"/>
        <v>https://portal.dnb.de/opac.htm?method=simpleSearch&amp;cqlMode=true&amp;query=idn%3D951651404</v>
      </c>
      <c r="E3030" s="74" t="s">
        <v>9684</v>
      </c>
      <c r="F3030" s="74"/>
      <c r="G3030" s="76"/>
      <c r="H3030" s="77" t="s">
        <v>5</v>
      </c>
      <c r="I3030" s="76" t="s">
        <v>55</v>
      </c>
      <c r="J3030" s="77" t="s">
        <v>8516</v>
      </c>
      <c r="K3030" s="77" t="s">
        <v>8928</v>
      </c>
      <c r="L3030" s="76"/>
      <c r="M3030" s="76"/>
      <c r="N3030" s="76" t="s">
        <v>8660</v>
      </c>
      <c r="O3030" s="76">
        <v>2</v>
      </c>
      <c r="P3030" s="76"/>
      <c r="Q3030" s="76"/>
      <c r="R3030" s="76"/>
      <c r="S3030" s="76"/>
      <c r="BD3030" s="99">
        <f t="shared" si="101"/>
        <v>0</v>
      </c>
      <c r="CC3030" s="99"/>
      <c r="CV3030" s="99"/>
      <c r="CW3030" s="63"/>
    </row>
    <row r="3031" spans="1:101" ht="33.75" x14ac:dyDescent="0.15">
      <c r="A3031" s="76">
        <v>2824</v>
      </c>
      <c r="B3031" s="74" t="s">
        <v>3169</v>
      </c>
      <c r="C3031" s="74">
        <v>998669970</v>
      </c>
      <c r="D3031" s="78" t="str">
        <f t="shared" si="100"/>
        <v>https://portal.dnb.de/opac.htm?method=simpleSearch&amp;cqlMode=true&amp;query=idn%3D998669970</v>
      </c>
      <c r="E3031" s="74" t="s">
        <v>9683</v>
      </c>
      <c r="F3031" s="74"/>
      <c r="G3031" s="76" t="s">
        <v>8515</v>
      </c>
      <c r="H3031" s="77" t="s">
        <v>5</v>
      </c>
      <c r="I3031" s="76" t="s">
        <v>55</v>
      </c>
      <c r="J3031" s="77" t="s">
        <v>8516</v>
      </c>
      <c r="K3031" s="77" t="s">
        <v>8928</v>
      </c>
      <c r="L3031" s="76"/>
      <c r="M3031" s="76"/>
      <c r="N3031" s="76"/>
      <c r="O3031" s="76">
        <v>1</v>
      </c>
      <c r="P3031" s="76"/>
      <c r="Q3031" s="76"/>
      <c r="R3031" s="76"/>
      <c r="S3031" s="76"/>
      <c r="BD3031" s="99">
        <f t="shared" si="101"/>
        <v>0</v>
      </c>
      <c r="CC3031" s="99"/>
      <c r="CV3031" s="99"/>
      <c r="CW3031" s="63"/>
    </row>
    <row r="3032" spans="1:101" x14ac:dyDescent="0.15">
      <c r="A3032" s="76">
        <v>2825</v>
      </c>
      <c r="B3032" s="74" t="s">
        <v>3170</v>
      </c>
      <c r="C3032" s="74">
        <v>998669857</v>
      </c>
      <c r="D3032" s="78" t="str">
        <f t="shared" si="100"/>
        <v>https://portal.dnb.de/opac.htm?method=simpleSearch&amp;cqlMode=true&amp;query=idn%3D998669857</v>
      </c>
      <c r="E3032" s="74" t="s">
        <v>9682</v>
      </c>
      <c r="F3032" s="74"/>
      <c r="G3032" s="76" t="s">
        <v>8515</v>
      </c>
      <c r="H3032" s="77" t="s">
        <v>5</v>
      </c>
      <c r="I3032" s="76" t="s">
        <v>55</v>
      </c>
      <c r="J3032" s="77" t="s">
        <v>8516</v>
      </c>
      <c r="K3032" s="77" t="s">
        <v>8520</v>
      </c>
      <c r="L3032" s="76"/>
      <c r="M3032" s="76"/>
      <c r="N3032" s="76"/>
      <c r="O3032" s="76">
        <v>1</v>
      </c>
      <c r="P3032" s="76"/>
      <c r="Q3032" s="76"/>
      <c r="R3032" s="76"/>
      <c r="S3032" s="76"/>
      <c r="BD3032" s="99">
        <f t="shared" si="101"/>
        <v>0</v>
      </c>
      <c r="CC3032" s="99"/>
      <c r="CV3032" s="99"/>
      <c r="CW3032" s="63"/>
    </row>
    <row r="3033" spans="1:101" x14ac:dyDescent="0.15">
      <c r="A3033" s="76">
        <v>2826</v>
      </c>
      <c r="B3033" s="74" t="s">
        <v>3181</v>
      </c>
      <c r="C3033" s="74">
        <v>999780085</v>
      </c>
      <c r="D3033" s="82" t="str">
        <f>HYPERLINK(CONCATENATE("https://portal.dnb.de/opac.htm?method=simpleSearch&amp;cqlMode=true&amp;query=idn%3D",C3033))</f>
        <v>https://portal.dnb.de/opac.htm?method=simpleSearch&amp;cqlMode=true&amp;query=idn%3D999780085</v>
      </c>
      <c r="E3033" s="74" t="s">
        <v>3182</v>
      </c>
      <c r="F3033" s="74"/>
      <c r="G3033" s="76"/>
      <c r="H3033" s="77"/>
      <c r="I3033" s="76"/>
      <c r="J3033" s="77"/>
      <c r="K3033" s="77"/>
      <c r="L3033" s="76"/>
      <c r="M3033" s="76"/>
      <c r="N3033" s="76"/>
      <c r="O3033" s="76"/>
      <c r="P3033" s="76"/>
      <c r="Q3033" s="76"/>
      <c r="R3033" s="76"/>
      <c r="S3033" s="76"/>
      <c r="BD3033" s="99">
        <f t="shared" si="101"/>
        <v>0</v>
      </c>
      <c r="CC3033" s="99"/>
      <c r="CV3033" s="99"/>
      <c r="CW3033" s="63"/>
    </row>
    <row r="3034" spans="1:101" x14ac:dyDescent="0.15">
      <c r="A3034" s="76">
        <v>2827</v>
      </c>
      <c r="B3034" s="74" t="s">
        <v>3183</v>
      </c>
      <c r="C3034" s="74">
        <v>997391782</v>
      </c>
      <c r="D3034" s="82" t="e">
        <v>#VALUE!</v>
      </c>
      <c r="E3034" s="74" t="s">
        <v>3184</v>
      </c>
      <c r="F3034" s="74"/>
      <c r="G3034" s="76"/>
      <c r="H3034" s="77"/>
      <c r="I3034" s="76"/>
      <c r="J3034" s="77"/>
      <c r="K3034" s="77"/>
      <c r="L3034" s="76"/>
      <c r="M3034" s="76"/>
      <c r="N3034" s="76"/>
      <c r="O3034" s="76"/>
      <c r="P3034" s="76"/>
      <c r="Q3034" s="76"/>
      <c r="R3034" s="76"/>
      <c r="S3034" s="76"/>
      <c r="BD3034" s="99">
        <f t="shared" si="101"/>
        <v>0</v>
      </c>
      <c r="CC3034" s="99"/>
      <c r="CV3034" s="99"/>
      <c r="CW3034" s="63"/>
    </row>
    <row r="3035" spans="1:101" x14ac:dyDescent="0.15">
      <c r="A3035" s="76">
        <v>2828</v>
      </c>
      <c r="B3035" s="74" t="s">
        <v>3185</v>
      </c>
      <c r="C3035" s="74">
        <v>997391871</v>
      </c>
      <c r="D3035" s="82" t="str">
        <f>HYPERLINK(CONCATENATE("https://portal.dnb.de/opac.htm?method=simpleSearch&amp;cqlMode=true&amp;query=idn%3D",C3035))</f>
        <v>https://portal.dnb.de/opac.htm?method=simpleSearch&amp;cqlMode=true&amp;query=idn%3D997391871</v>
      </c>
      <c r="E3035" s="74" t="s">
        <v>3184</v>
      </c>
      <c r="F3035" s="74"/>
      <c r="G3035" s="76"/>
      <c r="H3035" s="77"/>
      <c r="I3035" s="76"/>
      <c r="J3035" s="77"/>
      <c r="K3035" s="77"/>
      <c r="L3035" s="76"/>
      <c r="M3035" s="76"/>
      <c r="N3035" s="76"/>
      <c r="O3035" s="76"/>
      <c r="P3035" s="76"/>
      <c r="Q3035" s="76"/>
      <c r="R3035" s="76"/>
      <c r="S3035" s="76"/>
      <c r="BD3035" s="99">
        <f t="shared" si="101"/>
        <v>0</v>
      </c>
      <c r="CC3035" s="99"/>
      <c r="CV3035" s="99"/>
      <c r="CW3035" s="63"/>
    </row>
    <row r="3036" spans="1:101" x14ac:dyDescent="0.15">
      <c r="A3036" s="76">
        <v>2829</v>
      </c>
      <c r="B3036" s="74" t="s">
        <v>3186</v>
      </c>
      <c r="C3036" s="74">
        <v>1070182400</v>
      </c>
      <c r="D3036" s="78" t="str">
        <f t="shared" si="100"/>
        <v>https://portal.dnb.de/opac.htm?method=simpleSearch&amp;cqlMode=true&amp;query=idn%3D1070182400</v>
      </c>
      <c r="E3036" s="74" t="s">
        <v>3187</v>
      </c>
      <c r="F3036" s="74"/>
      <c r="G3036" s="76"/>
      <c r="H3036" s="77"/>
      <c r="I3036" s="76"/>
      <c r="J3036" s="77"/>
      <c r="K3036" s="77"/>
      <c r="L3036" s="76"/>
      <c r="M3036" s="76"/>
      <c r="N3036" s="76"/>
      <c r="O3036" s="76"/>
      <c r="P3036" s="76"/>
      <c r="Q3036" s="76"/>
      <c r="R3036" s="76"/>
      <c r="S3036" s="76"/>
      <c r="BD3036" s="99">
        <f t="shared" si="101"/>
        <v>0</v>
      </c>
      <c r="CC3036" s="99"/>
      <c r="CV3036" s="99"/>
      <c r="CW3036" s="63"/>
    </row>
    <row r="3037" spans="1:101" x14ac:dyDescent="0.15">
      <c r="A3037" s="76">
        <v>2830</v>
      </c>
      <c r="B3037" s="74" t="s">
        <v>3188</v>
      </c>
      <c r="C3037" s="74">
        <v>994895763</v>
      </c>
      <c r="D3037" s="78" t="str">
        <f t="shared" si="100"/>
        <v>https://portal.dnb.de/opac.htm?method=simpleSearch&amp;cqlMode=true&amp;query=idn%3D994895763</v>
      </c>
      <c r="E3037" s="74" t="s">
        <v>3189</v>
      </c>
      <c r="F3037" s="74"/>
      <c r="G3037" s="76"/>
      <c r="H3037" s="77"/>
      <c r="I3037" s="76"/>
      <c r="J3037" s="77"/>
      <c r="K3037" s="77"/>
      <c r="L3037" s="76"/>
      <c r="M3037" s="76"/>
      <c r="N3037" s="76"/>
      <c r="O3037" s="76"/>
      <c r="P3037" s="76"/>
      <c r="Q3037" s="76"/>
      <c r="R3037" s="76"/>
      <c r="S3037" s="76"/>
      <c r="BD3037" s="99">
        <f t="shared" si="101"/>
        <v>0</v>
      </c>
      <c r="CC3037" s="99"/>
      <c r="CV3037" s="99"/>
      <c r="CW3037" s="63"/>
    </row>
    <row r="3038" spans="1:101" x14ac:dyDescent="0.15">
      <c r="A3038" s="76">
        <v>2831</v>
      </c>
      <c r="B3038" s="74" t="s">
        <v>3198</v>
      </c>
      <c r="C3038" s="74">
        <v>996259562</v>
      </c>
      <c r="D3038" s="78" t="str">
        <f t="shared" si="100"/>
        <v>https://portal.dnb.de/opac.htm?method=simpleSearch&amp;cqlMode=true&amp;query=idn%3D996259562</v>
      </c>
      <c r="E3038" s="74" t="s">
        <v>3199</v>
      </c>
      <c r="F3038" s="74"/>
      <c r="G3038" s="76"/>
      <c r="H3038" s="77"/>
      <c r="I3038" s="76"/>
      <c r="J3038" s="77"/>
      <c r="K3038" s="77"/>
      <c r="L3038" s="76"/>
      <c r="M3038" s="76"/>
      <c r="N3038" s="76"/>
      <c r="O3038" s="76"/>
      <c r="P3038" s="76"/>
      <c r="Q3038" s="76"/>
      <c r="R3038" s="76"/>
      <c r="S3038" s="76"/>
      <c r="BD3038" s="99">
        <f t="shared" si="101"/>
        <v>0</v>
      </c>
      <c r="CC3038" s="99"/>
      <c r="CV3038" s="99"/>
      <c r="CW3038" s="63"/>
    </row>
    <row r="3039" spans="1:101" x14ac:dyDescent="0.15">
      <c r="A3039" s="76">
        <v>2832</v>
      </c>
      <c r="B3039" s="74" t="s">
        <v>3203</v>
      </c>
      <c r="C3039" s="74">
        <v>1002389321</v>
      </c>
      <c r="D3039" s="78" t="str">
        <f t="shared" si="100"/>
        <v>https://portal.dnb.de/opac.htm?method=simpleSearch&amp;cqlMode=true&amp;query=idn%3D1002389321</v>
      </c>
      <c r="E3039" s="74" t="s">
        <v>3204</v>
      </c>
      <c r="F3039" s="74"/>
      <c r="G3039" s="76"/>
      <c r="H3039" s="77"/>
      <c r="I3039" s="76"/>
      <c r="J3039" s="77"/>
      <c r="K3039" s="77"/>
      <c r="L3039" s="76"/>
      <c r="M3039" s="76"/>
      <c r="N3039" s="76"/>
      <c r="O3039" s="76"/>
      <c r="P3039" s="76"/>
      <c r="Q3039" s="76"/>
      <c r="R3039" s="76"/>
      <c r="S3039" s="76"/>
      <c r="BD3039" s="99">
        <f t="shared" si="101"/>
        <v>0</v>
      </c>
      <c r="CC3039" s="99"/>
      <c r="CV3039" s="99"/>
      <c r="CW3039" s="63"/>
    </row>
    <row r="3040" spans="1:101" x14ac:dyDescent="0.15">
      <c r="A3040" s="76">
        <v>2833</v>
      </c>
      <c r="B3040" s="74" t="s">
        <v>3205</v>
      </c>
      <c r="C3040" s="74">
        <v>1002382378</v>
      </c>
      <c r="D3040" s="78" t="str">
        <f t="shared" si="100"/>
        <v>https://portal.dnb.de/opac.htm?method=simpleSearch&amp;cqlMode=true&amp;query=idn%3D1002382378</v>
      </c>
      <c r="E3040" s="74" t="s">
        <v>3204</v>
      </c>
      <c r="F3040" s="74"/>
      <c r="G3040" s="76"/>
      <c r="H3040" s="77"/>
      <c r="I3040" s="76"/>
      <c r="J3040" s="77"/>
      <c r="K3040" s="77"/>
      <c r="L3040" s="76"/>
      <c r="M3040" s="76"/>
      <c r="N3040" s="76"/>
      <c r="O3040" s="76"/>
      <c r="P3040" s="76"/>
      <c r="Q3040" s="76"/>
      <c r="R3040" s="76"/>
      <c r="S3040" s="76"/>
      <c r="BD3040" s="99">
        <f t="shared" si="101"/>
        <v>0</v>
      </c>
      <c r="CC3040" s="99"/>
      <c r="CV3040" s="99"/>
      <c r="CW3040" s="63"/>
    </row>
    <row r="3041" spans="1:101" x14ac:dyDescent="0.15">
      <c r="A3041" s="76">
        <v>2834</v>
      </c>
      <c r="B3041" s="74" t="s">
        <v>3206</v>
      </c>
      <c r="C3041" s="74">
        <v>1002389135</v>
      </c>
      <c r="D3041" s="78" t="str">
        <f t="shared" si="100"/>
        <v>https://portal.dnb.de/opac.htm?method=simpleSearch&amp;cqlMode=true&amp;query=idn%3D1002389135</v>
      </c>
      <c r="E3041" s="74" t="s">
        <v>3204</v>
      </c>
      <c r="F3041" s="74"/>
      <c r="G3041" s="76"/>
      <c r="H3041" s="77"/>
      <c r="I3041" s="76"/>
      <c r="J3041" s="77"/>
      <c r="K3041" s="77"/>
      <c r="L3041" s="76"/>
      <c r="M3041" s="76"/>
      <c r="N3041" s="76"/>
      <c r="O3041" s="76"/>
      <c r="P3041" s="76"/>
      <c r="Q3041" s="76"/>
      <c r="R3041" s="76"/>
      <c r="S3041" s="76"/>
      <c r="BD3041" s="99">
        <f t="shared" si="101"/>
        <v>0</v>
      </c>
      <c r="CC3041" s="99"/>
      <c r="CV3041" s="99"/>
      <c r="CW3041" s="63"/>
    </row>
    <row r="3042" spans="1:101" x14ac:dyDescent="0.15">
      <c r="A3042" s="76">
        <v>2835</v>
      </c>
      <c r="B3042" s="74" t="s">
        <v>3207</v>
      </c>
      <c r="C3042" s="74">
        <v>1002382564</v>
      </c>
      <c r="D3042" s="78" t="str">
        <f t="shared" si="100"/>
        <v>https://portal.dnb.de/opac.htm?method=simpleSearch&amp;cqlMode=true&amp;query=idn%3D1002382564</v>
      </c>
      <c r="E3042" s="74" t="s">
        <v>3204</v>
      </c>
      <c r="F3042" s="74"/>
      <c r="G3042" s="76"/>
      <c r="H3042" s="77"/>
      <c r="I3042" s="76"/>
      <c r="J3042" s="77"/>
      <c r="K3042" s="77"/>
      <c r="L3042" s="76"/>
      <c r="M3042" s="76"/>
      <c r="N3042" s="76"/>
      <c r="O3042" s="76"/>
      <c r="P3042" s="76"/>
      <c r="Q3042" s="76"/>
      <c r="R3042" s="76"/>
      <c r="S3042" s="76"/>
      <c r="BD3042" s="99">
        <f t="shared" si="101"/>
        <v>0</v>
      </c>
      <c r="CC3042" s="99"/>
      <c r="CV3042" s="99"/>
      <c r="CW3042" s="63"/>
    </row>
    <row r="3043" spans="1:101" x14ac:dyDescent="0.15">
      <c r="A3043" s="76">
        <v>2836</v>
      </c>
      <c r="B3043" s="74" t="s">
        <v>3210</v>
      </c>
      <c r="C3043" s="74">
        <v>1003030114</v>
      </c>
      <c r="D3043" s="78" t="str">
        <f t="shared" si="100"/>
        <v>https://portal.dnb.de/opac.htm?method=simpleSearch&amp;cqlMode=true&amp;query=idn%3D1003030114</v>
      </c>
      <c r="E3043" s="74" t="s">
        <v>3211</v>
      </c>
      <c r="F3043" s="74"/>
      <c r="G3043" s="76"/>
      <c r="H3043" s="77"/>
      <c r="I3043" s="76"/>
      <c r="J3043" s="77"/>
      <c r="K3043" s="77"/>
      <c r="L3043" s="76"/>
      <c r="M3043" s="76"/>
      <c r="N3043" s="76"/>
      <c r="O3043" s="76"/>
      <c r="P3043" s="76"/>
      <c r="Q3043" s="76"/>
      <c r="R3043" s="76"/>
      <c r="S3043" s="76"/>
      <c r="BD3043" s="99">
        <f t="shared" si="101"/>
        <v>0</v>
      </c>
      <c r="CC3043" s="99"/>
      <c r="CV3043" s="99"/>
      <c r="CW3043" s="63"/>
    </row>
    <row r="3044" spans="1:101" x14ac:dyDescent="0.15">
      <c r="A3044" s="76">
        <v>2837</v>
      </c>
      <c r="B3044" s="74" t="s">
        <v>3212</v>
      </c>
      <c r="C3044" s="74" t="s">
        <v>3213</v>
      </c>
      <c r="D3044" s="78" t="str">
        <f t="shared" si="100"/>
        <v>https://portal.dnb.de/opac.htm?method=simpleSearch&amp;cqlMode=true&amp;query=idn%3D100303022X</v>
      </c>
      <c r="E3044" s="74" t="s">
        <v>3211</v>
      </c>
      <c r="F3044" s="74"/>
      <c r="G3044" s="76"/>
      <c r="H3044" s="77"/>
      <c r="I3044" s="76"/>
      <c r="J3044" s="77"/>
      <c r="K3044" s="77"/>
      <c r="L3044" s="76"/>
      <c r="M3044" s="76"/>
      <c r="N3044" s="76"/>
      <c r="O3044" s="76"/>
      <c r="P3044" s="76"/>
      <c r="Q3044" s="76"/>
      <c r="R3044" s="76"/>
      <c r="S3044" s="76"/>
      <c r="BD3044" s="99">
        <f t="shared" si="101"/>
        <v>0</v>
      </c>
      <c r="CC3044" s="99"/>
      <c r="CV3044" s="99"/>
      <c r="CW3044" s="63"/>
    </row>
    <row r="3045" spans="1:101" x14ac:dyDescent="0.15">
      <c r="A3045" s="76">
        <v>2838</v>
      </c>
      <c r="B3045" s="74" t="s">
        <v>3214</v>
      </c>
      <c r="C3045" s="74">
        <v>1003030106</v>
      </c>
      <c r="D3045" s="78" t="str">
        <f t="shared" si="100"/>
        <v>https://portal.dnb.de/opac.htm?method=simpleSearch&amp;cqlMode=true&amp;query=idn%3D1003030106</v>
      </c>
      <c r="E3045" s="74" t="s">
        <v>3211</v>
      </c>
      <c r="F3045" s="74"/>
      <c r="G3045" s="76"/>
      <c r="H3045" s="77"/>
      <c r="I3045" s="76"/>
      <c r="J3045" s="77"/>
      <c r="K3045" s="77"/>
      <c r="L3045" s="76"/>
      <c r="M3045" s="76"/>
      <c r="N3045" s="76"/>
      <c r="O3045" s="76"/>
      <c r="P3045" s="76"/>
      <c r="Q3045" s="76"/>
      <c r="R3045" s="76"/>
      <c r="S3045" s="76"/>
      <c r="BD3045" s="99">
        <f t="shared" si="101"/>
        <v>0</v>
      </c>
      <c r="CC3045" s="99"/>
      <c r="CV3045" s="99"/>
      <c r="CW3045" s="63"/>
    </row>
    <row r="3046" spans="1:101" x14ac:dyDescent="0.15">
      <c r="A3046" s="76">
        <v>2839</v>
      </c>
      <c r="B3046" s="74" t="s">
        <v>3215</v>
      </c>
      <c r="C3046" s="74">
        <v>1003227821</v>
      </c>
      <c r="D3046" s="78" t="str">
        <f t="shared" si="100"/>
        <v>https://portal.dnb.de/opac.htm?method=simpleSearch&amp;cqlMode=true&amp;query=idn%3D1003227821</v>
      </c>
      <c r="E3046" s="74" t="s">
        <v>3216</v>
      </c>
      <c r="F3046" s="74"/>
      <c r="G3046" s="76"/>
      <c r="H3046" s="77"/>
      <c r="I3046" s="76"/>
      <c r="J3046" s="77"/>
      <c r="K3046" s="77"/>
      <c r="L3046" s="76"/>
      <c r="M3046" s="76"/>
      <c r="N3046" s="76"/>
      <c r="O3046" s="76"/>
      <c r="P3046" s="76"/>
      <c r="Q3046" s="76"/>
      <c r="R3046" s="76"/>
      <c r="S3046" s="76"/>
      <c r="BD3046" s="99">
        <f t="shared" si="101"/>
        <v>0</v>
      </c>
      <c r="CC3046" s="99"/>
      <c r="CV3046" s="99"/>
      <c r="CW3046" s="63"/>
    </row>
    <row r="3047" spans="1:101" x14ac:dyDescent="0.15">
      <c r="A3047" s="76">
        <v>2840</v>
      </c>
      <c r="B3047" s="74" t="s">
        <v>3219</v>
      </c>
      <c r="C3047" s="74">
        <v>994505248</v>
      </c>
      <c r="D3047" s="78" t="str">
        <f t="shared" si="100"/>
        <v>https://portal.dnb.de/opac.htm?method=simpleSearch&amp;cqlMode=true&amp;query=idn%3D994505248</v>
      </c>
      <c r="E3047" s="74" t="s">
        <v>3220</v>
      </c>
      <c r="F3047" s="74"/>
      <c r="G3047" s="76"/>
      <c r="H3047" s="77"/>
      <c r="I3047" s="76"/>
      <c r="J3047" s="77"/>
      <c r="K3047" s="77"/>
      <c r="L3047" s="76"/>
      <c r="M3047" s="76"/>
      <c r="N3047" s="76"/>
      <c r="O3047" s="76"/>
      <c r="P3047" s="76"/>
      <c r="Q3047" s="76"/>
      <c r="R3047" s="76"/>
      <c r="S3047" s="76"/>
      <c r="BD3047" s="99">
        <f t="shared" si="101"/>
        <v>0</v>
      </c>
      <c r="CC3047" s="99"/>
      <c r="CV3047" s="99"/>
      <c r="CW3047" s="63"/>
    </row>
    <row r="3048" spans="1:101" x14ac:dyDescent="0.15">
      <c r="A3048" s="76">
        <v>2841</v>
      </c>
      <c r="B3048" s="74" t="s">
        <v>3221</v>
      </c>
      <c r="C3048" s="74">
        <v>1000467392</v>
      </c>
      <c r="D3048" s="78" t="str">
        <f t="shared" si="100"/>
        <v>https://portal.dnb.de/opac.htm?method=simpleSearch&amp;cqlMode=true&amp;query=idn%3D1000467392</v>
      </c>
      <c r="E3048" s="74" t="s">
        <v>3222</v>
      </c>
      <c r="F3048" s="74"/>
      <c r="G3048" s="76"/>
      <c r="H3048" s="77"/>
      <c r="I3048" s="76"/>
      <c r="J3048" s="77"/>
      <c r="K3048" s="77"/>
      <c r="L3048" s="76"/>
      <c r="M3048" s="76"/>
      <c r="N3048" s="76"/>
      <c r="O3048" s="76"/>
      <c r="P3048" s="76"/>
      <c r="Q3048" s="76"/>
      <c r="R3048" s="76"/>
      <c r="S3048" s="76"/>
      <c r="BD3048" s="99">
        <f t="shared" si="101"/>
        <v>0</v>
      </c>
      <c r="CC3048" s="99"/>
      <c r="CV3048" s="99"/>
      <c r="CW3048" s="63"/>
    </row>
    <row r="3049" spans="1:101" x14ac:dyDescent="0.15">
      <c r="A3049" s="76">
        <v>2842</v>
      </c>
      <c r="B3049" s="74" t="s">
        <v>3223</v>
      </c>
      <c r="C3049" s="74">
        <v>999811193</v>
      </c>
      <c r="D3049" s="78" t="str">
        <f t="shared" si="100"/>
        <v>https://portal.dnb.de/opac.htm?method=simpleSearch&amp;cqlMode=true&amp;query=idn%3D999811193</v>
      </c>
      <c r="E3049" s="74" t="s">
        <v>3224</v>
      </c>
      <c r="F3049" s="74"/>
      <c r="G3049" s="76"/>
      <c r="H3049" s="77"/>
      <c r="I3049" s="76"/>
      <c r="J3049" s="77"/>
      <c r="K3049" s="77"/>
      <c r="L3049" s="76"/>
      <c r="M3049" s="76"/>
      <c r="N3049" s="76"/>
      <c r="O3049" s="76"/>
      <c r="P3049" s="76"/>
      <c r="Q3049" s="76"/>
      <c r="R3049" s="76"/>
      <c r="S3049" s="76"/>
      <c r="BD3049" s="99">
        <f t="shared" si="101"/>
        <v>0</v>
      </c>
      <c r="CC3049" s="99"/>
      <c r="CV3049" s="99"/>
      <c r="CW3049" s="63"/>
    </row>
    <row r="3050" spans="1:101" x14ac:dyDescent="0.15">
      <c r="A3050" s="76">
        <v>2843</v>
      </c>
      <c r="B3050" s="74" t="s">
        <v>3225</v>
      </c>
      <c r="C3050" s="74" t="s">
        <v>3226</v>
      </c>
      <c r="D3050" s="78" t="str">
        <f t="shared" ref="D3050:D3119" si="102">HYPERLINK(CONCATENATE("https://portal.dnb.de/opac.htm?method=simpleSearch&amp;cqlMode=true&amp;query=idn%3D",C3050))</f>
        <v>https://portal.dnb.de/opac.htm?method=simpleSearch&amp;cqlMode=true&amp;query=idn%3D99981141X</v>
      </c>
      <c r="E3050" s="74" t="s">
        <v>3224</v>
      </c>
      <c r="F3050" s="74"/>
      <c r="G3050" s="76"/>
      <c r="H3050" s="77"/>
      <c r="I3050" s="76"/>
      <c r="J3050" s="77"/>
      <c r="K3050" s="77"/>
      <c r="L3050" s="76"/>
      <c r="M3050" s="76"/>
      <c r="N3050" s="76"/>
      <c r="O3050" s="76"/>
      <c r="P3050" s="76"/>
      <c r="Q3050" s="76"/>
      <c r="R3050" s="76"/>
      <c r="S3050" s="76"/>
      <c r="BD3050" s="99">
        <f t="shared" si="101"/>
        <v>0</v>
      </c>
      <c r="CC3050" s="99"/>
      <c r="CV3050" s="99"/>
      <c r="CW3050" s="63"/>
    </row>
    <row r="3051" spans="1:101" x14ac:dyDescent="0.15">
      <c r="A3051" s="76">
        <v>2844</v>
      </c>
      <c r="B3051" s="74" t="s">
        <v>3227</v>
      </c>
      <c r="C3051" s="74">
        <v>998957968</v>
      </c>
      <c r="D3051" s="78" t="str">
        <f t="shared" si="102"/>
        <v>https://portal.dnb.de/opac.htm?method=simpleSearch&amp;cqlMode=true&amp;query=idn%3D998957968</v>
      </c>
      <c r="E3051" s="74" t="s">
        <v>3228</v>
      </c>
      <c r="F3051" s="74"/>
      <c r="G3051" s="76"/>
      <c r="H3051" s="77"/>
      <c r="I3051" s="76"/>
      <c r="J3051" s="77"/>
      <c r="K3051" s="77"/>
      <c r="L3051" s="76"/>
      <c r="M3051" s="76"/>
      <c r="N3051" s="76"/>
      <c r="O3051" s="76"/>
      <c r="P3051" s="76"/>
      <c r="Q3051" s="76"/>
      <c r="R3051" s="76"/>
      <c r="S3051" s="76"/>
      <c r="BD3051" s="99">
        <f t="shared" si="101"/>
        <v>0</v>
      </c>
      <c r="CC3051" s="99"/>
      <c r="CV3051" s="99"/>
      <c r="CW3051" s="63"/>
    </row>
    <row r="3052" spans="1:101" x14ac:dyDescent="0.15">
      <c r="A3052" s="76">
        <v>2845</v>
      </c>
      <c r="B3052" s="74" t="s">
        <v>3229</v>
      </c>
      <c r="C3052" s="74">
        <v>1003453937</v>
      </c>
      <c r="D3052" s="78" t="str">
        <f t="shared" si="102"/>
        <v>https://portal.dnb.de/opac.htm?method=simpleSearch&amp;cqlMode=true&amp;query=idn%3D1003453937</v>
      </c>
      <c r="E3052" s="74" t="s">
        <v>3230</v>
      </c>
      <c r="F3052" s="74"/>
      <c r="G3052" s="76"/>
      <c r="H3052" s="77"/>
      <c r="I3052" s="76"/>
      <c r="J3052" s="77"/>
      <c r="K3052" s="77"/>
      <c r="L3052" s="76"/>
      <c r="M3052" s="76"/>
      <c r="N3052" s="76"/>
      <c r="O3052" s="76"/>
      <c r="P3052" s="76"/>
      <c r="Q3052" s="76"/>
      <c r="R3052" s="76"/>
      <c r="S3052" s="76"/>
      <c r="BD3052" s="99">
        <f t="shared" si="101"/>
        <v>0</v>
      </c>
      <c r="CC3052" s="99"/>
      <c r="CV3052" s="99"/>
      <c r="CW3052" s="63"/>
    </row>
    <row r="3053" spans="1:101" x14ac:dyDescent="0.15">
      <c r="A3053" s="76">
        <v>2846</v>
      </c>
      <c r="B3053" s="74" t="s">
        <v>3231</v>
      </c>
      <c r="C3053" s="74">
        <v>1003453252</v>
      </c>
      <c r="D3053" s="78" t="str">
        <f t="shared" si="102"/>
        <v>https://portal.dnb.de/opac.htm?method=simpleSearch&amp;cqlMode=true&amp;query=idn%3D1003453252</v>
      </c>
      <c r="E3053" s="74" t="s">
        <v>3230</v>
      </c>
      <c r="F3053" s="74"/>
      <c r="G3053" s="76"/>
      <c r="H3053" s="77"/>
      <c r="I3053" s="76"/>
      <c r="J3053" s="77"/>
      <c r="K3053" s="77"/>
      <c r="L3053" s="76"/>
      <c r="M3053" s="76"/>
      <c r="N3053" s="76"/>
      <c r="O3053" s="76"/>
      <c r="P3053" s="76"/>
      <c r="Q3053" s="76"/>
      <c r="R3053" s="76"/>
      <c r="S3053" s="76"/>
      <c r="BD3053" s="99">
        <f t="shared" si="101"/>
        <v>0</v>
      </c>
      <c r="CC3053" s="99"/>
      <c r="CV3053" s="99"/>
      <c r="CW3053" s="63"/>
    </row>
    <row r="3054" spans="1:101" x14ac:dyDescent="0.15">
      <c r="A3054" s="76">
        <v>2847</v>
      </c>
      <c r="B3054" s="74" t="s">
        <v>3232</v>
      </c>
      <c r="C3054" s="74" t="s">
        <v>3233</v>
      </c>
      <c r="D3054" s="78" t="str">
        <f t="shared" si="102"/>
        <v>https://portal.dnb.de/opac.htm?method=simpleSearch&amp;cqlMode=true&amp;query=idn%3D100089729X</v>
      </c>
      <c r="E3054" s="74" t="s">
        <v>3234</v>
      </c>
      <c r="F3054" s="74"/>
      <c r="G3054" s="76"/>
      <c r="H3054" s="77" t="s">
        <v>48</v>
      </c>
      <c r="I3054" s="76" t="s">
        <v>53</v>
      </c>
      <c r="J3054" s="77" t="s">
        <v>8516</v>
      </c>
      <c r="K3054" s="77" t="s">
        <v>72</v>
      </c>
      <c r="L3054" s="76"/>
      <c r="M3054" s="76"/>
      <c r="N3054" s="76"/>
      <c r="O3054" s="76">
        <v>3</v>
      </c>
      <c r="P3054" s="76"/>
      <c r="Q3054" s="76" t="s">
        <v>9040</v>
      </c>
      <c r="R3054" s="76"/>
      <c r="S3054" s="76"/>
      <c r="BD3054" s="99">
        <f t="shared" si="101"/>
        <v>0</v>
      </c>
      <c r="CC3054" s="99"/>
      <c r="CV3054" s="99"/>
      <c r="CW3054" s="63"/>
    </row>
    <row r="3055" spans="1:101" x14ac:dyDescent="0.15">
      <c r="A3055" s="76">
        <v>2848</v>
      </c>
      <c r="B3055" s="74" t="s">
        <v>3238</v>
      </c>
      <c r="C3055" s="74">
        <v>998775436</v>
      </c>
      <c r="D3055" s="78" t="str">
        <f t="shared" si="102"/>
        <v>https://portal.dnb.de/opac.htm?method=simpleSearch&amp;cqlMode=true&amp;query=idn%3D998775436</v>
      </c>
      <c r="E3055" s="74" t="s">
        <v>3239</v>
      </c>
      <c r="F3055" s="74"/>
      <c r="G3055" s="76"/>
      <c r="H3055" s="77"/>
      <c r="I3055" s="76"/>
      <c r="J3055" s="77"/>
      <c r="K3055" s="77"/>
      <c r="L3055" s="76"/>
      <c r="M3055" s="76"/>
      <c r="N3055" s="76"/>
      <c r="O3055" s="76"/>
      <c r="P3055" s="76"/>
      <c r="Q3055" s="76"/>
      <c r="R3055" s="76"/>
      <c r="S3055" s="76"/>
      <c r="BD3055" s="99">
        <f t="shared" si="101"/>
        <v>0</v>
      </c>
      <c r="CC3055" s="99"/>
      <c r="CV3055" s="99"/>
      <c r="CW3055" s="63"/>
    </row>
    <row r="3056" spans="1:101" x14ac:dyDescent="0.15">
      <c r="A3056" s="76">
        <v>2849</v>
      </c>
      <c r="B3056" s="74" t="s">
        <v>3240</v>
      </c>
      <c r="C3056" s="74">
        <v>998775541</v>
      </c>
      <c r="D3056" s="78" t="str">
        <f t="shared" si="102"/>
        <v>https://portal.dnb.de/opac.htm?method=simpleSearch&amp;cqlMode=true&amp;query=idn%3D998775541</v>
      </c>
      <c r="E3056" s="74" t="s">
        <v>3239</v>
      </c>
      <c r="F3056" s="74"/>
      <c r="G3056" s="76"/>
      <c r="H3056" s="77"/>
      <c r="I3056" s="76"/>
      <c r="J3056" s="77"/>
      <c r="K3056" s="77"/>
      <c r="L3056" s="76"/>
      <c r="M3056" s="76"/>
      <c r="N3056" s="76"/>
      <c r="O3056" s="76"/>
      <c r="P3056" s="76"/>
      <c r="Q3056" s="76"/>
      <c r="R3056" s="76"/>
      <c r="S3056" s="76"/>
      <c r="BD3056" s="99">
        <f t="shared" si="101"/>
        <v>0</v>
      </c>
      <c r="CC3056" s="99"/>
      <c r="CV3056" s="99"/>
      <c r="CW3056" s="63"/>
    </row>
    <row r="3057" spans="1:101" ht="22.5" x14ac:dyDescent="0.15">
      <c r="A3057" s="76"/>
      <c r="B3057" s="74"/>
      <c r="C3057" s="74"/>
      <c r="D3057" s="78"/>
      <c r="E3057" s="74" t="s">
        <v>10155</v>
      </c>
      <c r="F3057" s="74"/>
      <c r="G3057" s="76"/>
      <c r="H3057" s="77"/>
      <c r="I3057" s="76" t="s">
        <v>53</v>
      </c>
      <c r="J3057" s="77"/>
      <c r="K3057" s="77"/>
      <c r="L3057" s="76"/>
      <c r="M3057" s="76"/>
      <c r="N3057" s="76"/>
      <c r="O3057" s="76"/>
      <c r="P3057" s="76"/>
      <c r="Q3057" s="76"/>
      <c r="R3057" s="76"/>
      <c r="S3057" s="76"/>
      <c r="Y3057" s="95" t="s">
        <v>9729</v>
      </c>
      <c r="AB3057" s="95" t="s">
        <v>8541</v>
      </c>
      <c r="AC3057" s="95" t="s">
        <v>9724</v>
      </c>
      <c r="AI3057" s="95" t="s">
        <v>9725</v>
      </c>
      <c r="AP3057" s="95" t="s">
        <v>8541</v>
      </c>
      <c r="AQ3057" s="96" t="s">
        <v>10156</v>
      </c>
      <c r="AW3057" s="95">
        <v>45</v>
      </c>
      <c r="BC3057" s="96" t="s">
        <v>9726</v>
      </c>
      <c r="BD3057" s="99">
        <f t="shared" si="101"/>
        <v>1</v>
      </c>
      <c r="BP3057" s="69" t="s">
        <v>8541</v>
      </c>
      <c r="BQ3057" s="95" t="s">
        <v>8541</v>
      </c>
      <c r="BR3057" s="95" t="s">
        <v>8541</v>
      </c>
      <c r="CC3057" s="99">
        <v>1</v>
      </c>
      <c r="CV3057" s="99"/>
      <c r="CW3057" s="63"/>
    </row>
    <row r="3058" spans="1:101" ht="22.5" x14ac:dyDescent="0.15">
      <c r="A3058" s="76"/>
      <c r="B3058" s="74"/>
      <c r="C3058" s="74"/>
      <c r="D3058" s="78"/>
      <c r="E3058" s="74" t="s">
        <v>10157</v>
      </c>
      <c r="F3058" s="74"/>
      <c r="G3058" s="76"/>
      <c r="H3058" s="77"/>
      <c r="I3058" s="76" t="s">
        <v>53</v>
      </c>
      <c r="J3058" s="77"/>
      <c r="K3058" s="77"/>
      <c r="L3058" s="76"/>
      <c r="M3058" s="76"/>
      <c r="N3058" s="76"/>
      <c r="O3058" s="76"/>
      <c r="P3058" s="76"/>
      <c r="Q3058" s="76"/>
      <c r="R3058" s="76"/>
      <c r="S3058" s="76"/>
      <c r="Y3058" s="95" t="s">
        <v>9729</v>
      </c>
      <c r="AC3058" s="95" t="s">
        <v>9724</v>
      </c>
      <c r="AI3058" s="95" t="s">
        <v>9725</v>
      </c>
      <c r="AP3058" s="95" t="s">
        <v>8541</v>
      </c>
      <c r="AQ3058" s="96" t="s">
        <v>10158</v>
      </c>
      <c r="AW3058" s="95">
        <v>45</v>
      </c>
      <c r="BC3058" s="96" t="s">
        <v>9726</v>
      </c>
      <c r="BD3058" s="99">
        <f t="shared" si="101"/>
        <v>1</v>
      </c>
      <c r="BP3058" s="69" t="s">
        <v>8541</v>
      </c>
      <c r="BQ3058" s="95" t="s">
        <v>8541</v>
      </c>
      <c r="BR3058" s="95" t="s">
        <v>8541</v>
      </c>
      <c r="BT3058" s="95" t="s">
        <v>9772</v>
      </c>
      <c r="CC3058" s="99">
        <v>1</v>
      </c>
      <c r="CV3058" s="99"/>
      <c r="CW3058" s="63"/>
    </row>
    <row r="3059" spans="1:101" ht="22.5" x14ac:dyDescent="0.15">
      <c r="A3059" s="76"/>
      <c r="B3059" s="74"/>
      <c r="C3059" s="74"/>
      <c r="D3059" s="78"/>
      <c r="E3059" s="74" t="s">
        <v>10159</v>
      </c>
      <c r="F3059" s="74"/>
      <c r="G3059" s="76"/>
      <c r="H3059" s="77"/>
      <c r="I3059" s="76" t="s">
        <v>53</v>
      </c>
      <c r="J3059" s="77"/>
      <c r="K3059" s="77"/>
      <c r="L3059" s="76"/>
      <c r="M3059" s="76"/>
      <c r="N3059" s="76"/>
      <c r="O3059" s="76"/>
      <c r="P3059" s="76"/>
      <c r="Q3059" s="76"/>
      <c r="R3059" s="76"/>
      <c r="S3059" s="76"/>
      <c r="Y3059" s="95" t="s">
        <v>9729</v>
      </c>
      <c r="AC3059" s="95" t="s">
        <v>9724</v>
      </c>
      <c r="AI3059" s="95" t="s">
        <v>9725</v>
      </c>
      <c r="AP3059" s="95" t="s">
        <v>8541</v>
      </c>
      <c r="AQ3059" s="96" t="s">
        <v>10160</v>
      </c>
      <c r="AW3059" s="95">
        <v>45</v>
      </c>
      <c r="BC3059" s="96" t="s">
        <v>9726</v>
      </c>
      <c r="BD3059" s="99">
        <f t="shared" si="101"/>
        <v>1</v>
      </c>
      <c r="BP3059" s="69" t="s">
        <v>8541</v>
      </c>
      <c r="BQ3059" s="95" t="s">
        <v>8541</v>
      </c>
      <c r="BR3059" s="95" t="s">
        <v>8541</v>
      </c>
      <c r="CC3059" s="99">
        <v>1</v>
      </c>
      <c r="CV3059" s="99"/>
      <c r="CW3059" s="63"/>
    </row>
    <row r="3060" spans="1:101" ht="22.5" x14ac:dyDescent="0.15">
      <c r="A3060" s="76"/>
      <c r="B3060" s="74"/>
      <c r="C3060" s="74"/>
      <c r="D3060" s="78"/>
      <c r="E3060" s="74" t="s">
        <v>10161</v>
      </c>
      <c r="F3060" s="74"/>
      <c r="G3060" s="76"/>
      <c r="H3060" s="77"/>
      <c r="I3060" s="76" t="s">
        <v>53</v>
      </c>
      <c r="J3060" s="77"/>
      <c r="K3060" s="77"/>
      <c r="L3060" s="76"/>
      <c r="M3060" s="76"/>
      <c r="N3060" s="76"/>
      <c r="O3060" s="76"/>
      <c r="P3060" s="76"/>
      <c r="Q3060" s="76"/>
      <c r="R3060" s="76"/>
      <c r="S3060" s="76"/>
      <c r="Y3060" s="95" t="s">
        <v>9729</v>
      </c>
      <c r="AC3060" s="95" t="s">
        <v>9724</v>
      </c>
      <c r="AI3060" s="95" t="s">
        <v>9725</v>
      </c>
      <c r="AP3060" s="95" t="s">
        <v>8541</v>
      </c>
      <c r="AQ3060" s="96" t="s">
        <v>10162</v>
      </c>
      <c r="AW3060" s="95">
        <v>45</v>
      </c>
      <c r="BC3060" s="96" t="s">
        <v>9726</v>
      </c>
      <c r="BD3060" s="99">
        <f t="shared" si="101"/>
        <v>1</v>
      </c>
      <c r="BP3060" s="69" t="s">
        <v>8541</v>
      </c>
      <c r="BQ3060" s="95" t="s">
        <v>8541</v>
      </c>
      <c r="BR3060" s="95" t="s">
        <v>8541</v>
      </c>
      <c r="BT3060" s="95" t="s">
        <v>9772</v>
      </c>
      <c r="CC3060" s="99">
        <v>1</v>
      </c>
      <c r="CD3060" s="90" t="s">
        <v>10163</v>
      </c>
      <c r="CV3060" s="99"/>
      <c r="CW3060" s="63"/>
    </row>
    <row r="3061" spans="1:101" ht="22.5" x14ac:dyDescent="0.15">
      <c r="A3061" s="76"/>
      <c r="B3061" s="74"/>
      <c r="C3061" s="74"/>
      <c r="D3061" s="78"/>
      <c r="E3061" s="74" t="s">
        <v>10164</v>
      </c>
      <c r="F3061" s="74"/>
      <c r="G3061" s="76"/>
      <c r="H3061" s="77"/>
      <c r="I3061" s="76" t="s">
        <v>53</v>
      </c>
      <c r="J3061" s="77"/>
      <c r="K3061" s="77"/>
      <c r="L3061" s="76"/>
      <c r="M3061" s="76"/>
      <c r="N3061" s="76"/>
      <c r="O3061" s="76"/>
      <c r="P3061" s="76"/>
      <c r="Q3061" s="76"/>
      <c r="R3061" s="76"/>
      <c r="S3061" s="76"/>
      <c r="Y3061" s="95" t="s">
        <v>9729</v>
      </c>
      <c r="AC3061" s="95" t="s">
        <v>9724</v>
      </c>
      <c r="AI3061" s="95" t="s">
        <v>9725</v>
      </c>
      <c r="AP3061" s="95" t="s">
        <v>8541</v>
      </c>
      <c r="AQ3061" s="96" t="s">
        <v>10165</v>
      </c>
      <c r="AW3061" s="95">
        <v>45</v>
      </c>
      <c r="BC3061" s="96" t="s">
        <v>9726</v>
      </c>
      <c r="BD3061" s="99">
        <f t="shared" si="101"/>
        <v>1</v>
      </c>
      <c r="BP3061" s="69" t="s">
        <v>8541</v>
      </c>
      <c r="BQ3061" s="95" t="s">
        <v>8541</v>
      </c>
      <c r="BR3061" s="95" t="s">
        <v>8541</v>
      </c>
      <c r="CC3061" s="99">
        <v>1</v>
      </c>
      <c r="CV3061" s="99"/>
      <c r="CW3061" s="63"/>
    </row>
    <row r="3062" spans="1:101" x14ac:dyDescent="0.15">
      <c r="A3062" s="76"/>
      <c r="B3062" s="74"/>
      <c r="C3062" s="74"/>
      <c r="D3062" s="78"/>
      <c r="E3062" s="74" t="s">
        <v>10166</v>
      </c>
      <c r="F3062" s="74"/>
      <c r="G3062" s="76"/>
      <c r="H3062" s="77"/>
      <c r="I3062" s="76" t="s">
        <v>53</v>
      </c>
      <c r="J3062" s="77"/>
      <c r="K3062" s="77"/>
      <c r="L3062" s="76"/>
      <c r="M3062" s="76"/>
      <c r="N3062" s="76"/>
      <c r="O3062" s="76"/>
      <c r="P3062" s="76"/>
      <c r="Q3062" s="76"/>
      <c r="R3062" s="76"/>
      <c r="S3062" s="76"/>
      <c r="Y3062" s="95" t="s">
        <v>9723</v>
      </c>
      <c r="AC3062" s="95" t="s">
        <v>9724</v>
      </c>
      <c r="AI3062" s="95" t="s">
        <v>9725</v>
      </c>
      <c r="AQ3062" s="96"/>
      <c r="AW3062" s="95">
        <v>45</v>
      </c>
      <c r="BC3062" s="96" t="s">
        <v>9726</v>
      </c>
      <c r="BD3062" s="99">
        <f t="shared" si="101"/>
        <v>1.5</v>
      </c>
      <c r="BP3062" s="69" t="s">
        <v>8541</v>
      </c>
      <c r="BQ3062" s="95" t="s">
        <v>8541</v>
      </c>
      <c r="BR3062" s="95" t="s">
        <v>8541</v>
      </c>
      <c r="CC3062" s="99">
        <v>1</v>
      </c>
      <c r="CQ3062" s="95" t="s">
        <v>8541</v>
      </c>
      <c r="CV3062" s="99">
        <v>0.5</v>
      </c>
      <c r="CW3062" s="63"/>
    </row>
    <row r="3063" spans="1:101" x14ac:dyDescent="0.15">
      <c r="A3063" s="76">
        <v>2850</v>
      </c>
      <c r="B3063" s="74" t="s">
        <v>3249</v>
      </c>
      <c r="C3063" s="74">
        <v>1000133915</v>
      </c>
      <c r="D3063" s="78" t="str">
        <f t="shared" si="102"/>
        <v>https://portal.dnb.de/opac.htm?method=simpleSearch&amp;cqlMode=true&amp;query=idn%3D1000133915</v>
      </c>
      <c r="E3063" s="74" t="s">
        <v>3250</v>
      </c>
      <c r="F3063" s="74"/>
      <c r="G3063" s="76"/>
      <c r="H3063" s="77"/>
      <c r="I3063" s="76"/>
      <c r="J3063" s="77"/>
      <c r="K3063" s="77"/>
      <c r="L3063" s="76"/>
      <c r="M3063" s="76"/>
      <c r="N3063" s="76"/>
      <c r="O3063" s="76"/>
      <c r="P3063" s="76"/>
      <c r="Q3063" s="76"/>
      <c r="R3063" s="76"/>
      <c r="S3063" s="76"/>
      <c r="BD3063" s="99">
        <f t="shared" si="101"/>
        <v>0</v>
      </c>
      <c r="CC3063" s="99"/>
      <c r="CV3063" s="99"/>
      <c r="CW3063" s="63"/>
    </row>
    <row r="3064" spans="1:101" x14ac:dyDescent="0.15">
      <c r="A3064" s="76">
        <v>2851</v>
      </c>
      <c r="B3064" s="74" t="s">
        <v>3254</v>
      </c>
      <c r="C3064" s="74">
        <v>989847977</v>
      </c>
      <c r="D3064" s="78" t="str">
        <f t="shared" si="102"/>
        <v>https://portal.dnb.de/opac.htm?method=simpleSearch&amp;cqlMode=true&amp;query=idn%3D989847977</v>
      </c>
      <c r="E3064" s="74" t="s">
        <v>3255</v>
      </c>
      <c r="F3064" s="74"/>
      <c r="G3064" s="76"/>
      <c r="H3064" s="77"/>
      <c r="I3064" s="76"/>
      <c r="J3064" s="77"/>
      <c r="K3064" s="77"/>
      <c r="L3064" s="76"/>
      <c r="M3064" s="76"/>
      <c r="N3064" s="76"/>
      <c r="O3064" s="76"/>
      <c r="P3064" s="76"/>
      <c r="Q3064" s="76"/>
      <c r="R3064" s="76"/>
      <c r="S3064" s="76"/>
      <c r="BD3064" s="99">
        <f t="shared" si="101"/>
        <v>0</v>
      </c>
      <c r="CC3064" s="99"/>
      <c r="CV3064" s="99"/>
      <c r="CW3064" s="63"/>
    </row>
    <row r="3065" spans="1:101" x14ac:dyDescent="0.15">
      <c r="A3065" s="76">
        <v>2852</v>
      </c>
      <c r="B3065" s="74" t="s">
        <v>3256</v>
      </c>
      <c r="C3065" s="74">
        <v>1066683085</v>
      </c>
      <c r="D3065" s="78" t="str">
        <f t="shared" si="102"/>
        <v>https://portal.dnb.de/opac.htm?method=simpleSearch&amp;cqlMode=true&amp;query=idn%3D1066683085</v>
      </c>
      <c r="E3065" s="74" t="s">
        <v>3257</v>
      </c>
      <c r="F3065" s="74"/>
      <c r="G3065" s="76"/>
      <c r="H3065" s="77"/>
      <c r="I3065" s="76"/>
      <c r="J3065" s="77"/>
      <c r="K3065" s="77"/>
      <c r="L3065" s="76"/>
      <c r="M3065" s="76"/>
      <c r="N3065" s="76"/>
      <c r="O3065" s="76"/>
      <c r="P3065" s="76"/>
      <c r="Q3065" s="76"/>
      <c r="R3065" s="76"/>
      <c r="S3065" s="76"/>
      <c r="BD3065" s="99">
        <f t="shared" si="101"/>
        <v>0</v>
      </c>
      <c r="CC3065" s="99"/>
      <c r="CV3065" s="99"/>
      <c r="CW3065" s="63"/>
    </row>
    <row r="3066" spans="1:101" x14ac:dyDescent="0.15">
      <c r="A3066" s="76">
        <v>2853</v>
      </c>
      <c r="B3066" s="74" t="s">
        <v>3263</v>
      </c>
      <c r="C3066" s="74" t="s">
        <v>3264</v>
      </c>
      <c r="D3066" s="78" t="str">
        <f t="shared" si="102"/>
        <v>https://portal.dnb.de/opac.htm?method=simpleSearch&amp;cqlMode=true&amp;query=idn%3D99690686X</v>
      </c>
      <c r="E3066" s="74" t="s">
        <v>3265</v>
      </c>
      <c r="F3066" s="74"/>
      <c r="G3066" s="76"/>
      <c r="H3066" s="77" t="s">
        <v>48</v>
      </c>
      <c r="I3066" s="76" t="s">
        <v>53</v>
      </c>
      <c r="J3066" s="77" t="s">
        <v>58</v>
      </c>
      <c r="K3066" s="77" t="s">
        <v>84</v>
      </c>
      <c r="L3066" s="76"/>
      <c r="M3066" s="76" t="s">
        <v>36</v>
      </c>
      <c r="N3066" s="76" t="s">
        <v>39</v>
      </c>
      <c r="O3066" s="76">
        <v>0</v>
      </c>
      <c r="P3066" s="76"/>
      <c r="Q3066" s="76"/>
      <c r="R3066" s="76"/>
      <c r="S3066" s="76"/>
      <c r="BD3066" s="99">
        <f t="shared" si="101"/>
        <v>0</v>
      </c>
      <c r="CC3066" s="99"/>
      <c r="CV3066" s="99"/>
      <c r="CW3066" s="63"/>
    </row>
    <row r="3067" spans="1:101" x14ac:dyDescent="0.15">
      <c r="A3067" s="76">
        <v>2854</v>
      </c>
      <c r="B3067" s="74" t="s">
        <v>3268</v>
      </c>
      <c r="C3067" s="74">
        <v>999831127</v>
      </c>
      <c r="D3067" s="78" t="str">
        <f t="shared" si="102"/>
        <v>https://portal.dnb.de/opac.htm?method=simpleSearch&amp;cqlMode=true&amp;query=idn%3D999831127</v>
      </c>
      <c r="E3067" s="74" t="s">
        <v>3269</v>
      </c>
      <c r="F3067" s="74"/>
      <c r="G3067" s="76"/>
      <c r="H3067" s="77"/>
      <c r="I3067" s="76"/>
      <c r="J3067" s="77"/>
      <c r="K3067" s="77"/>
      <c r="L3067" s="76"/>
      <c r="M3067" s="76"/>
      <c r="N3067" s="76"/>
      <c r="O3067" s="76"/>
      <c r="P3067" s="76"/>
      <c r="Q3067" s="76"/>
      <c r="R3067" s="76"/>
      <c r="S3067" s="76"/>
      <c r="BD3067" s="99">
        <f t="shared" si="101"/>
        <v>0</v>
      </c>
      <c r="CC3067" s="99"/>
      <c r="CV3067" s="99"/>
      <c r="CW3067" s="63"/>
    </row>
    <row r="3068" spans="1:101" x14ac:dyDescent="0.15">
      <c r="A3068" s="76">
        <v>2855</v>
      </c>
      <c r="B3068" s="74" t="s">
        <v>3270</v>
      </c>
      <c r="C3068" s="74">
        <v>11954639</v>
      </c>
      <c r="D3068" s="78" t="str">
        <f t="shared" si="102"/>
        <v>https://portal.dnb.de/opac.htm?method=simpleSearch&amp;cqlMode=true&amp;query=idn%3D11954639</v>
      </c>
      <c r="E3068" s="74" t="s">
        <v>3269</v>
      </c>
      <c r="F3068" s="74"/>
      <c r="G3068" s="76"/>
      <c r="H3068" s="77"/>
      <c r="I3068" s="76"/>
      <c r="J3068" s="77"/>
      <c r="K3068" s="77"/>
      <c r="L3068" s="76"/>
      <c r="M3068" s="76"/>
      <c r="N3068" s="76"/>
      <c r="O3068" s="76"/>
      <c r="P3068" s="76"/>
      <c r="Q3068" s="76"/>
      <c r="R3068" s="76"/>
      <c r="S3068" s="76"/>
      <c r="BD3068" s="99">
        <f t="shared" si="101"/>
        <v>0</v>
      </c>
      <c r="CC3068" s="99"/>
      <c r="CV3068" s="99"/>
      <c r="CW3068" s="63"/>
    </row>
    <row r="3069" spans="1:101" x14ac:dyDescent="0.15">
      <c r="A3069" s="76">
        <v>2856</v>
      </c>
      <c r="B3069" s="74" t="s">
        <v>3271</v>
      </c>
      <c r="C3069" s="74">
        <v>997935863</v>
      </c>
      <c r="D3069" s="78" t="str">
        <f t="shared" si="102"/>
        <v>https://portal.dnb.de/opac.htm?method=simpleSearch&amp;cqlMode=true&amp;query=idn%3D997935863</v>
      </c>
      <c r="E3069" s="74" t="s">
        <v>3272</v>
      </c>
      <c r="F3069" s="74"/>
      <c r="G3069" s="76"/>
      <c r="H3069" s="77"/>
      <c r="I3069" s="76"/>
      <c r="J3069" s="77"/>
      <c r="K3069" s="77"/>
      <c r="L3069" s="76"/>
      <c r="M3069" s="76"/>
      <c r="N3069" s="76"/>
      <c r="O3069" s="76"/>
      <c r="P3069" s="76"/>
      <c r="Q3069" s="76"/>
      <c r="R3069" s="76"/>
      <c r="S3069" s="76"/>
      <c r="BD3069" s="99">
        <f t="shared" si="101"/>
        <v>0</v>
      </c>
      <c r="CC3069" s="99"/>
      <c r="CV3069" s="99"/>
      <c r="CW3069" s="63"/>
    </row>
    <row r="3070" spans="1:101" x14ac:dyDescent="0.15">
      <c r="A3070" s="76">
        <v>2857</v>
      </c>
      <c r="B3070" s="74" t="s">
        <v>3273</v>
      </c>
      <c r="C3070" s="74">
        <v>997935871</v>
      </c>
      <c r="D3070" s="78" t="str">
        <f t="shared" si="102"/>
        <v>https://portal.dnb.de/opac.htm?method=simpleSearch&amp;cqlMode=true&amp;query=idn%3D997935871</v>
      </c>
      <c r="E3070" s="74" t="s">
        <v>3272</v>
      </c>
      <c r="F3070" s="74"/>
      <c r="G3070" s="76"/>
      <c r="H3070" s="77"/>
      <c r="I3070" s="76"/>
      <c r="J3070" s="77"/>
      <c r="K3070" s="77"/>
      <c r="L3070" s="76"/>
      <c r="M3070" s="76"/>
      <c r="N3070" s="76"/>
      <c r="O3070" s="76"/>
      <c r="P3070" s="76"/>
      <c r="Q3070" s="76"/>
      <c r="R3070" s="76"/>
      <c r="S3070" s="76"/>
      <c r="BD3070" s="99">
        <f t="shared" si="101"/>
        <v>0</v>
      </c>
      <c r="CC3070" s="99"/>
      <c r="CV3070" s="99"/>
      <c r="CW3070" s="63"/>
    </row>
    <row r="3071" spans="1:101" x14ac:dyDescent="0.15">
      <c r="A3071" s="76">
        <v>2858</v>
      </c>
      <c r="B3071" s="74" t="s">
        <v>3274</v>
      </c>
      <c r="C3071" s="74">
        <v>1001650808</v>
      </c>
      <c r="D3071" s="78" t="str">
        <f t="shared" si="102"/>
        <v>https://portal.dnb.de/opac.htm?method=simpleSearch&amp;cqlMode=true&amp;query=idn%3D1001650808</v>
      </c>
      <c r="E3071" s="74" t="s">
        <v>3275</v>
      </c>
      <c r="F3071" s="74"/>
      <c r="G3071" s="76"/>
      <c r="H3071" s="77"/>
      <c r="I3071" s="76"/>
      <c r="J3071" s="77"/>
      <c r="K3071" s="77"/>
      <c r="L3071" s="76"/>
      <c r="M3071" s="76"/>
      <c r="N3071" s="76"/>
      <c r="O3071" s="76"/>
      <c r="P3071" s="76"/>
      <c r="Q3071" s="76"/>
      <c r="R3071" s="76"/>
      <c r="S3071" s="76"/>
      <c r="BD3071" s="99">
        <f t="shared" si="101"/>
        <v>0</v>
      </c>
      <c r="CC3071" s="99"/>
      <c r="CV3071" s="99"/>
      <c r="CW3071" s="63"/>
    </row>
    <row r="3072" spans="1:101" x14ac:dyDescent="0.15">
      <c r="A3072" s="76">
        <v>2859</v>
      </c>
      <c r="B3072" s="74" t="s">
        <v>3282</v>
      </c>
      <c r="C3072" s="74">
        <v>994518757</v>
      </c>
      <c r="D3072" s="78" t="str">
        <f t="shared" si="102"/>
        <v>https://portal.dnb.de/opac.htm?method=simpleSearch&amp;cqlMode=true&amp;query=idn%3D994518757</v>
      </c>
      <c r="E3072" s="74" t="s">
        <v>3283</v>
      </c>
      <c r="F3072" s="74"/>
      <c r="G3072" s="76"/>
      <c r="H3072" s="77"/>
      <c r="I3072" s="76"/>
      <c r="J3072" s="77"/>
      <c r="K3072" s="77"/>
      <c r="L3072" s="76"/>
      <c r="M3072" s="76"/>
      <c r="N3072" s="76"/>
      <c r="O3072" s="76"/>
      <c r="P3072" s="76"/>
      <c r="Q3072" s="76"/>
      <c r="R3072" s="76"/>
      <c r="S3072" s="76"/>
      <c r="BD3072" s="99">
        <f t="shared" si="101"/>
        <v>0</v>
      </c>
      <c r="CC3072" s="99"/>
      <c r="CV3072" s="99"/>
      <c r="CW3072" s="63"/>
    </row>
    <row r="3073" spans="1:101" x14ac:dyDescent="0.15">
      <c r="A3073" s="76">
        <v>2860</v>
      </c>
      <c r="B3073" s="74" t="s">
        <v>3288</v>
      </c>
      <c r="C3073" s="74">
        <v>999506234</v>
      </c>
      <c r="D3073" s="78" t="str">
        <f t="shared" si="102"/>
        <v>https://portal.dnb.de/opac.htm?method=simpleSearch&amp;cqlMode=true&amp;query=idn%3D999506234</v>
      </c>
      <c r="E3073" s="74" t="s">
        <v>3289</v>
      </c>
      <c r="F3073" s="74"/>
      <c r="G3073" s="76"/>
      <c r="H3073" s="77"/>
      <c r="I3073" s="76"/>
      <c r="J3073" s="77"/>
      <c r="K3073" s="77"/>
      <c r="L3073" s="76"/>
      <c r="M3073" s="76"/>
      <c r="N3073" s="76"/>
      <c r="O3073" s="76"/>
      <c r="P3073" s="76"/>
      <c r="Q3073" s="76"/>
      <c r="R3073" s="76"/>
      <c r="S3073" s="76"/>
      <c r="BD3073" s="99">
        <f t="shared" si="101"/>
        <v>0</v>
      </c>
      <c r="CC3073" s="99"/>
      <c r="CV3073" s="99"/>
      <c r="CW3073" s="63"/>
    </row>
    <row r="3074" spans="1:101" x14ac:dyDescent="0.15">
      <c r="A3074" s="76">
        <v>2861</v>
      </c>
      <c r="B3074" s="74" t="s">
        <v>3295</v>
      </c>
      <c r="C3074" s="74">
        <v>1001939832</v>
      </c>
      <c r="D3074" s="78" t="str">
        <f t="shared" si="102"/>
        <v>https://portal.dnb.de/opac.htm?method=simpleSearch&amp;cqlMode=true&amp;query=idn%3D1001939832</v>
      </c>
      <c r="E3074" s="74" t="s">
        <v>3296</v>
      </c>
      <c r="F3074" s="74"/>
      <c r="G3074" s="76"/>
      <c r="H3074" s="77"/>
      <c r="I3074" s="76"/>
      <c r="J3074" s="77"/>
      <c r="K3074" s="77"/>
      <c r="L3074" s="76"/>
      <c r="M3074" s="76"/>
      <c r="N3074" s="76"/>
      <c r="O3074" s="76"/>
      <c r="P3074" s="76"/>
      <c r="Q3074" s="76"/>
      <c r="R3074" s="76"/>
      <c r="S3074" s="76"/>
      <c r="BD3074" s="99">
        <f t="shared" si="101"/>
        <v>0</v>
      </c>
      <c r="CC3074" s="99"/>
      <c r="CV3074" s="99"/>
      <c r="CW3074" s="63"/>
    </row>
    <row r="3075" spans="1:101" x14ac:dyDescent="0.15">
      <c r="A3075" s="76">
        <v>2862</v>
      </c>
      <c r="B3075" s="74" t="s">
        <v>3297</v>
      </c>
      <c r="C3075" s="74">
        <v>12705233</v>
      </c>
      <c r="D3075" s="78" t="str">
        <f t="shared" si="102"/>
        <v>https://portal.dnb.de/opac.htm?method=simpleSearch&amp;cqlMode=true&amp;query=idn%3D12705233</v>
      </c>
      <c r="E3075" s="74" t="s">
        <v>3298</v>
      </c>
      <c r="F3075" s="74"/>
      <c r="G3075" s="76"/>
      <c r="H3075" s="77"/>
      <c r="I3075" s="76"/>
      <c r="J3075" s="77"/>
      <c r="K3075" s="77"/>
      <c r="L3075" s="76"/>
      <c r="M3075" s="76"/>
      <c r="N3075" s="76"/>
      <c r="O3075" s="76"/>
      <c r="P3075" s="76"/>
      <c r="Q3075" s="76"/>
      <c r="R3075" s="76"/>
      <c r="S3075" s="76"/>
      <c r="BD3075" s="99">
        <f t="shared" ref="BD3075:BD3138" si="103">CC3075+CV3075</f>
        <v>0</v>
      </c>
      <c r="CC3075" s="99"/>
      <c r="CV3075" s="99"/>
      <c r="CW3075" s="63"/>
    </row>
    <row r="3076" spans="1:101" x14ac:dyDescent="0.15">
      <c r="A3076" s="76">
        <v>2863</v>
      </c>
      <c r="B3076" s="74" t="s">
        <v>3306</v>
      </c>
      <c r="C3076" s="74">
        <v>1066871388</v>
      </c>
      <c r="D3076" s="78" t="str">
        <f t="shared" si="102"/>
        <v>https://portal.dnb.de/opac.htm?method=simpleSearch&amp;cqlMode=true&amp;query=idn%3D1066871388</v>
      </c>
      <c r="E3076" s="74" t="s">
        <v>3307</v>
      </c>
      <c r="F3076" s="74"/>
      <c r="G3076" s="76"/>
      <c r="H3076" s="77"/>
      <c r="I3076" s="76" t="s">
        <v>53</v>
      </c>
      <c r="J3076" s="77"/>
      <c r="K3076" s="77"/>
      <c r="L3076" s="76"/>
      <c r="M3076" s="76"/>
      <c r="N3076" s="76"/>
      <c r="O3076" s="76"/>
      <c r="P3076" s="76"/>
      <c r="Q3076" s="76"/>
      <c r="R3076" s="76"/>
      <c r="S3076" s="76"/>
      <c r="Y3076" s="95" t="s">
        <v>9736</v>
      </c>
      <c r="AC3076" s="95" t="s">
        <v>9737</v>
      </c>
      <c r="AI3076" s="95" t="s">
        <v>9725</v>
      </c>
      <c r="AP3076" s="95" t="s">
        <v>8541</v>
      </c>
      <c r="AU3076" s="95">
        <v>2</v>
      </c>
      <c r="AW3076" s="95">
        <v>110</v>
      </c>
      <c r="BC3076" s="96" t="s">
        <v>9734</v>
      </c>
      <c r="BD3076" s="99">
        <f t="shared" si="103"/>
        <v>0</v>
      </c>
      <c r="BF3076" s="95" t="s">
        <v>10005</v>
      </c>
      <c r="CC3076" s="99"/>
      <c r="CV3076" s="99"/>
      <c r="CW3076" s="63"/>
    </row>
    <row r="3077" spans="1:101" x14ac:dyDescent="0.15">
      <c r="A3077" s="76">
        <v>2864</v>
      </c>
      <c r="B3077" s="74" t="s">
        <v>3313</v>
      </c>
      <c r="C3077" s="74">
        <v>1066684839</v>
      </c>
      <c r="D3077" s="78" t="str">
        <f t="shared" si="102"/>
        <v>https://portal.dnb.de/opac.htm?method=simpleSearch&amp;cqlMode=true&amp;query=idn%3D1066684839</v>
      </c>
      <c r="E3077" s="74" t="s">
        <v>3314</v>
      </c>
      <c r="F3077" s="74"/>
      <c r="G3077" s="76"/>
      <c r="H3077" s="77"/>
      <c r="I3077" s="76"/>
      <c r="J3077" s="77"/>
      <c r="K3077" s="77"/>
      <c r="L3077" s="76"/>
      <c r="M3077" s="76"/>
      <c r="N3077" s="76"/>
      <c r="O3077" s="76"/>
      <c r="P3077" s="76"/>
      <c r="Q3077" s="76"/>
      <c r="R3077" s="76"/>
      <c r="S3077" s="76"/>
      <c r="BD3077" s="99">
        <f t="shared" si="103"/>
        <v>0</v>
      </c>
      <c r="CC3077" s="99"/>
      <c r="CV3077" s="99"/>
      <c r="CW3077" s="63"/>
    </row>
    <row r="3078" spans="1:101" x14ac:dyDescent="0.15">
      <c r="A3078" s="76">
        <v>2865</v>
      </c>
      <c r="B3078" s="74" t="s">
        <v>3332</v>
      </c>
      <c r="C3078" s="74">
        <v>995718091</v>
      </c>
      <c r="D3078" s="78" t="str">
        <f t="shared" si="102"/>
        <v>https://portal.dnb.de/opac.htm?method=simpleSearch&amp;cqlMode=true&amp;query=idn%3D995718091</v>
      </c>
      <c r="E3078" s="74" t="s">
        <v>3333</v>
      </c>
      <c r="F3078" s="74"/>
      <c r="G3078" s="76"/>
      <c r="H3078" s="77"/>
      <c r="I3078" s="76"/>
      <c r="J3078" s="77"/>
      <c r="K3078" s="77"/>
      <c r="L3078" s="76"/>
      <c r="M3078" s="76"/>
      <c r="N3078" s="76"/>
      <c r="O3078" s="76"/>
      <c r="P3078" s="76"/>
      <c r="Q3078" s="76"/>
      <c r="R3078" s="76"/>
      <c r="S3078" s="76"/>
      <c r="BD3078" s="99">
        <f t="shared" si="103"/>
        <v>0</v>
      </c>
      <c r="CC3078" s="99"/>
      <c r="CV3078" s="99"/>
      <c r="CW3078" s="63"/>
    </row>
    <row r="3079" spans="1:101" x14ac:dyDescent="0.15">
      <c r="A3079" s="76">
        <v>2866</v>
      </c>
      <c r="B3079" s="74" t="s">
        <v>3334</v>
      </c>
      <c r="C3079" s="74" t="s">
        <v>3335</v>
      </c>
      <c r="D3079" s="78" t="str">
        <f t="shared" si="102"/>
        <v>https://portal.dnb.de/opac.htm?method=simpleSearch&amp;cqlMode=true&amp;query=idn%3D99661754X</v>
      </c>
      <c r="E3079" s="74" t="s">
        <v>3336</v>
      </c>
      <c r="F3079" s="74"/>
      <c r="G3079" s="76"/>
      <c r="H3079" s="77"/>
      <c r="I3079" s="76"/>
      <c r="J3079" s="77"/>
      <c r="K3079" s="77"/>
      <c r="L3079" s="76"/>
      <c r="M3079" s="76"/>
      <c r="N3079" s="76"/>
      <c r="O3079" s="76"/>
      <c r="P3079" s="76"/>
      <c r="Q3079" s="76"/>
      <c r="R3079" s="76"/>
      <c r="S3079" s="76"/>
      <c r="BD3079" s="99">
        <f t="shared" si="103"/>
        <v>0</v>
      </c>
      <c r="CC3079" s="99"/>
      <c r="CV3079" s="99"/>
      <c r="CW3079" s="63"/>
    </row>
    <row r="3080" spans="1:101" x14ac:dyDescent="0.15">
      <c r="A3080" s="76">
        <v>2867</v>
      </c>
      <c r="B3080" s="74" t="s">
        <v>3337</v>
      </c>
      <c r="C3080" s="74">
        <v>994251882</v>
      </c>
      <c r="D3080" s="78" t="str">
        <f t="shared" si="102"/>
        <v>https://portal.dnb.de/opac.htm?method=simpleSearch&amp;cqlMode=true&amp;query=idn%3D994251882</v>
      </c>
      <c r="E3080" s="74" t="s">
        <v>3338</v>
      </c>
      <c r="F3080" s="74"/>
      <c r="G3080" s="76" t="s">
        <v>8515</v>
      </c>
      <c r="H3080" s="77" t="s">
        <v>49</v>
      </c>
      <c r="I3080" s="76" t="s">
        <v>53</v>
      </c>
      <c r="J3080" s="77" t="s">
        <v>8516</v>
      </c>
      <c r="K3080" s="77" t="s">
        <v>84</v>
      </c>
      <c r="L3080" s="76"/>
      <c r="M3080" s="76"/>
      <c r="N3080" s="76"/>
      <c r="O3080" s="76">
        <v>0</v>
      </c>
      <c r="P3080" s="76"/>
      <c r="Q3080" s="76"/>
      <c r="R3080" s="76"/>
      <c r="S3080" s="76"/>
      <c r="BD3080" s="99">
        <f t="shared" si="103"/>
        <v>0</v>
      </c>
      <c r="CC3080" s="99"/>
      <c r="CV3080" s="99"/>
      <c r="CW3080" s="63"/>
    </row>
    <row r="3081" spans="1:101" x14ac:dyDescent="0.15">
      <c r="A3081" s="76">
        <v>2868</v>
      </c>
      <c r="B3081" s="74" t="s">
        <v>3339</v>
      </c>
      <c r="C3081" s="74">
        <v>994251904</v>
      </c>
      <c r="D3081" s="78" t="str">
        <f t="shared" si="102"/>
        <v>https://portal.dnb.de/opac.htm?method=simpleSearch&amp;cqlMode=true&amp;query=idn%3D994251904</v>
      </c>
      <c r="E3081" s="74" t="s">
        <v>3338</v>
      </c>
      <c r="F3081" s="74"/>
      <c r="G3081" s="76"/>
      <c r="H3081" s="77"/>
      <c r="I3081" s="76"/>
      <c r="J3081" s="77"/>
      <c r="K3081" s="77"/>
      <c r="L3081" s="76"/>
      <c r="M3081" s="76"/>
      <c r="N3081" s="76"/>
      <c r="O3081" s="76"/>
      <c r="P3081" s="76"/>
      <c r="Q3081" s="76"/>
      <c r="R3081" s="76"/>
      <c r="S3081" s="76"/>
      <c r="BD3081" s="99">
        <f t="shared" si="103"/>
        <v>0</v>
      </c>
      <c r="CC3081" s="99"/>
      <c r="CV3081" s="99"/>
      <c r="CW3081" s="63"/>
    </row>
    <row r="3082" spans="1:101" x14ac:dyDescent="0.15">
      <c r="A3082" s="76">
        <v>2869</v>
      </c>
      <c r="B3082" s="74" t="s">
        <v>3340</v>
      </c>
      <c r="C3082" s="74">
        <v>998485640</v>
      </c>
      <c r="D3082" s="78" t="str">
        <f t="shared" si="102"/>
        <v>https://portal.dnb.de/opac.htm?method=simpleSearch&amp;cqlMode=true&amp;query=idn%3D998485640</v>
      </c>
      <c r="E3082" s="74" t="s">
        <v>3341</v>
      </c>
      <c r="F3082" s="74"/>
      <c r="G3082" s="76"/>
      <c r="H3082" s="77"/>
      <c r="I3082" s="76"/>
      <c r="J3082" s="77"/>
      <c r="K3082" s="77"/>
      <c r="L3082" s="76"/>
      <c r="M3082" s="76"/>
      <c r="N3082" s="76"/>
      <c r="O3082" s="76"/>
      <c r="P3082" s="76"/>
      <c r="Q3082" s="76"/>
      <c r="R3082" s="76"/>
      <c r="S3082" s="76"/>
      <c r="BD3082" s="99">
        <f t="shared" si="103"/>
        <v>0</v>
      </c>
      <c r="CC3082" s="99"/>
      <c r="CV3082" s="99"/>
      <c r="CW3082" s="63"/>
    </row>
    <row r="3083" spans="1:101" x14ac:dyDescent="0.15">
      <c r="A3083" s="76">
        <v>2870</v>
      </c>
      <c r="B3083" s="74" t="s">
        <v>3342</v>
      </c>
      <c r="C3083" s="74">
        <v>996617639</v>
      </c>
      <c r="D3083" s="78" t="str">
        <f t="shared" si="102"/>
        <v>https://portal.dnb.de/opac.htm?method=simpleSearch&amp;cqlMode=true&amp;query=idn%3D996617639</v>
      </c>
      <c r="E3083" s="74" t="s">
        <v>3343</v>
      </c>
      <c r="F3083" s="74"/>
      <c r="G3083" s="76"/>
      <c r="H3083" s="77"/>
      <c r="I3083" s="76"/>
      <c r="J3083" s="77"/>
      <c r="K3083" s="77"/>
      <c r="L3083" s="76"/>
      <c r="M3083" s="76"/>
      <c r="N3083" s="76"/>
      <c r="O3083" s="76"/>
      <c r="P3083" s="76"/>
      <c r="Q3083" s="76"/>
      <c r="R3083" s="76"/>
      <c r="S3083" s="76"/>
      <c r="BD3083" s="99">
        <f t="shared" si="103"/>
        <v>0</v>
      </c>
      <c r="CC3083" s="99"/>
      <c r="CV3083" s="99"/>
      <c r="CW3083" s="63"/>
    </row>
    <row r="3084" spans="1:101" x14ac:dyDescent="0.15">
      <c r="A3084" s="76">
        <v>2871</v>
      </c>
      <c r="B3084" s="74" t="s">
        <v>3346</v>
      </c>
      <c r="C3084" s="74">
        <v>996222154</v>
      </c>
      <c r="D3084" s="78" t="str">
        <f t="shared" si="102"/>
        <v>https://portal.dnb.de/opac.htm?method=simpleSearch&amp;cqlMode=true&amp;query=idn%3D996222154</v>
      </c>
      <c r="E3084" s="74" t="s">
        <v>3347</v>
      </c>
      <c r="F3084" s="74"/>
      <c r="G3084" s="76"/>
      <c r="H3084" s="77"/>
      <c r="I3084" s="76"/>
      <c r="J3084" s="77"/>
      <c r="K3084" s="77"/>
      <c r="L3084" s="76"/>
      <c r="M3084" s="76"/>
      <c r="N3084" s="76"/>
      <c r="O3084" s="76"/>
      <c r="P3084" s="76"/>
      <c r="Q3084" s="76"/>
      <c r="R3084" s="76"/>
      <c r="S3084" s="76"/>
      <c r="BD3084" s="99">
        <f t="shared" si="103"/>
        <v>0</v>
      </c>
      <c r="CC3084" s="99"/>
      <c r="CV3084" s="99"/>
      <c r="CW3084" s="63"/>
    </row>
    <row r="3085" spans="1:101" x14ac:dyDescent="0.15">
      <c r="A3085" s="76">
        <v>2872</v>
      </c>
      <c r="B3085" s="74" t="s">
        <v>3348</v>
      </c>
      <c r="C3085" s="74">
        <v>1003656625</v>
      </c>
      <c r="D3085" s="78" t="str">
        <f t="shared" si="102"/>
        <v>https://portal.dnb.de/opac.htm?method=simpleSearch&amp;cqlMode=true&amp;query=idn%3D1003656625</v>
      </c>
      <c r="E3085" s="74" t="s">
        <v>3349</v>
      </c>
      <c r="F3085" s="74"/>
      <c r="G3085" s="76"/>
      <c r="H3085" s="77"/>
      <c r="I3085" s="76"/>
      <c r="J3085" s="77"/>
      <c r="K3085" s="77"/>
      <c r="L3085" s="76"/>
      <c r="M3085" s="76"/>
      <c r="N3085" s="76"/>
      <c r="O3085" s="76"/>
      <c r="P3085" s="76"/>
      <c r="Q3085" s="76"/>
      <c r="R3085" s="76"/>
      <c r="S3085" s="76"/>
      <c r="BD3085" s="99">
        <f t="shared" si="103"/>
        <v>0</v>
      </c>
      <c r="CC3085" s="99"/>
      <c r="CV3085" s="99"/>
      <c r="CW3085" s="63"/>
    </row>
    <row r="3086" spans="1:101" x14ac:dyDescent="0.15">
      <c r="A3086" s="76">
        <v>2873</v>
      </c>
      <c r="B3086" s="74" t="s">
        <v>3355</v>
      </c>
      <c r="C3086" s="74">
        <v>1067597549</v>
      </c>
      <c r="D3086" s="78" t="str">
        <f t="shared" si="102"/>
        <v>https://portal.dnb.de/opac.htm?method=simpleSearch&amp;cqlMode=true&amp;query=idn%3D1067597549</v>
      </c>
      <c r="E3086" s="74" t="s">
        <v>3356</v>
      </c>
      <c r="F3086" s="74" t="s">
        <v>10527</v>
      </c>
      <c r="G3086" s="76"/>
      <c r="H3086" s="77" t="s">
        <v>49</v>
      </c>
      <c r="I3086" s="76" t="s">
        <v>54</v>
      </c>
      <c r="J3086" s="77" t="s">
        <v>58</v>
      </c>
      <c r="K3086" s="77" t="s">
        <v>84</v>
      </c>
      <c r="L3086" s="76"/>
      <c r="M3086" s="76" t="s">
        <v>34</v>
      </c>
      <c r="N3086" s="76"/>
      <c r="O3086" s="76">
        <v>0</v>
      </c>
      <c r="P3086" s="76" t="s">
        <v>78</v>
      </c>
      <c r="Q3086" s="76"/>
      <c r="R3086" s="76"/>
      <c r="S3086" s="76"/>
      <c r="Y3086" s="95" t="s">
        <v>9869</v>
      </c>
      <c r="AB3086" s="95" t="s">
        <v>8541</v>
      </c>
      <c r="AC3086" s="95" t="s">
        <v>9739</v>
      </c>
      <c r="AI3086" s="95" t="s">
        <v>9725</v>
      </c>
      <c r="AW3086" s="95">
        <v>110</v>
      </c>
      <c r="BC3086" s="96" t="s">
        <v>9734</v>
      </c>
      <c r="BD3086" s="99">
        <f t="shared" si="103"/>
        <v>0</v>
      </c>
      <c r="BI3086" s="95" t="s">
        <v>8541</v>
      </c>
      <c r="CC3086" s="99"/>
      <c r="CV3086" s="99"/>
      <c r="CW3086" s="63"/>
    </row>
    <row r="3087" spans="1:101" ht="22.5" x14ac:dyDescent="0.15">
      <c r="A3087" s="76">
        <v>2874</v>
      </c>
      <c r="B3087" s="74" t="s">
        <v>3357</v>
      </c>
      <c r="C3087" s="74">
        <v>994456417</v>
      </c>
      <c r="D3087" s="78" t="str">
        <f t="shared" si="102"/>
        <v>https://portal.dnb.de/opac.htm?method=simpleSearch&amp;cqlMode=true&amp;query=idn%3D994456417</v>
      </c>
      <c r="E3087" s="74" t="s">
        <v>9188</v>
      </c>
      <c r="F3087" s="74"/>
      <c r="G3087" s="76"/>
      <c r="H3087" s="77" t="s">
        <v>4</v>
      </c>
      <c r="I3087" s="76" t="s">
        <v>54</v>
      </c>
      <c r="J3087" s="77" t="s">
        <v>8516</v>
      </c>
      <c r="K3087" s="77" t="s">
        <v>9190</v>
      </c>
      <c r="L3087" s="76"/>
      <c r="M3087" s="76"/>
      <c r="N3087" s="76"/>
      <c r="O3087" s="76">
        <v>0</v>
      </c>
      <c r="P3087" s="76"/>
      <c r="Q3087" s="76"/>
      <c r="R3087" s="76"/>
      <c r="S3087" s="76"/>
      <c r="BD3087" s="99">
        <f t="shared" si="103"/>
        <v>0</v>
      </c>
      <c r="CC3087" s="99"/>
      <c r="CV3087" s="99"/>
      <c r="CW3087" s="63"/>
    </row>
    <row r="3088" spans="1:101" x14ac:dyDescent="0.15">
      <c r="A3088" s="76">
        <v>2875</v>
      </c>
      <c r="B3088" s="74" t="s">
        <v>3358</v>
      </c>
      <c r="C3088" s="74">
        <v>361243200</v>
      </c>
      <c r="D3088" s="78" t="str">
        <f t="shared" si="102"/>
        <v>https://portal.dnb.de/opac.htm?method=simpleSearch&amp;cqlMode=true&amp;query=idn%3D361243200</v>
      </c>
      <c r="E3088" s="74" t="s">
        <v>3359</v>
      </c>
      <c r="F3088" s="74"/>
      <c r="G3088" s="76"/>
      <c r="H3088" s="77" t="s">
        <v>48</v>
      </c>
      <c r="I3088" s="76" t="s">
        <v>54</v>
      </c>
      <c r="J3088" s="77" t="s">
        <v>8516</v>
      </c>
      <c r="K3088" s="77" t="s">
        <v>84</v>
      </c>
      <c r="L3088" s="76"/>
      <c r="M3088" s="76" t="s">
        <v>38</v>
      </c>
      <c r="N3088" s="76" t="s">
        <v>40</v>
      </c>
      <c r="O3088" s="76">
        <v>0</v>
      </c>
      <c r="P3088" s="76"/>
      <c r="Q3088" s="76"/>
      <c r="R3088" s="76" t="s">
        <v>9662</v>
      </c>
      <c r="S3088" s="76"/>
      <c r="BD3088" s="99">
        <f t="shared" si="103"/>
        <v>0</v>
      </c>
      <c r="CC3088" s="99"/>
      <c r="CV3088" s="99"/>
      <c r="CW3088" s="63"/>
    </row>
    <row r="3089" spans="1:101" x14ac:dyDescent="0.15">
      <c r="A3089" s="76">
        <v>2876</v>
      </c>
      <c r="B3089" s="74" t="s">
        <v>3360</v>
      </c>
      <c r="C3089" s="74">
        <v>361243200</v>
      </c>
      <c r="D3089" s="78" t="str">
        <f t="shared" si="102"/>
        <v>https://portal.dnb.de/opac.htm?method=simpleSearch&amp;cqlMode=true&amp;query=idn%3D361243200</v>
      </c>
      <c r="E3089" s="74" t="s">
        <v>3359</v>
      </c>
      <c r="F3089" s="74"/>
      <c r="G3089" s="76"/>
      <c r="H3089" s="77"/>
      <c r="I3089" s="76"/>
      <c r="J3089" s="77"/>
      <c r="K3089" s="77"/>
      <c r="L3089" s="76"/>
      <c r="M3089" s="76"/>
      <c r="N3089" s="76"/>
      <c r="O3089" s="76"/>
      <c r="P3089" s="76"/>
      <c r="Q3089" s="76"/>
      <c r="R3089" s="76"/>
      <c r="S3089" s="76"/>
      <c r="BD3089" s="99">
        <f t="shared" si="103"/>
        <v>0</v>
      </c>
      <c r="CC3089" s="99"/>
      <c r="CV3089" s="99"/>
      <c r="CW3089" s="63"/>
    </row>
    <row r="3090" spans="1:101" x14ac:dyDescent="0.15">
      <c r="A3090" s="76">
        <v>2877</v>
      </c>
      <c r="B3090" s="74" t="s">
        <v>3361</v>
      </c>
      <c r="C3090" s="74">
        <v>997869410</v>
      </c>
      <c r="D3090" s="78" t="str">
        <f t="shared" si="102"/>
        <v>https://portal.dnb.de/opac.htm?method=simpleSearch&amp;cqlMode=true&amp;query=idn%3D997869410</v>
      </c>
      <c r="E3090" s="74" t="s">
        <v>3362</v>
      </c>
      <c r="F3090" s="74"/>
      <c r="G3090" s="76"/>
      <c r="H3090" s="77"/>
      <c r="I3090" s="76"/>
      <c r="J3090" s="77"/>
      <c r="K3090" s="77"/>
      <c r="L3090" s="76"/>
      <c r="M3090" s="76"/>
      <c r="N3090" s="76"/>
      <c r="O3090" s="76"/>
      <c r="P3090" s="76"/>
      <c r="Q3090" s="76"/>
      <c r="R3090" s="76"/>
      <c r="S3090" s="76"/>
      <c r="BD3090" s="99">
        <f t="shared" si="103"/>
        <v>0</v>
      </c>
      <c r="CC3090" s="99"/>
      <c r="CV3090" s="99"/>
      <c r="CW3090" s="63"/>
    </row>
    <row r="3091" spans="1:101" x14ac:dyDescent="0.15">
      <c r="A3091" s="76">
        <v>2878</v>
      </c>
      <c r="B3091" s="74" t="s">
        <v>3363</v>
      </c>
      <c r="C3091" s="74">
        <v>997869453</v>
      </c>
      <c r="D3091" s="78" t="str">
        <f t="shared" si="102"/>
        <v>https://portal.dnb.de/opac.htm?method=simpleSearch&amp;cqlMode=true&amp;query=idn%3D997869453</v>
      </c>
      <c r="E3091" s="74" t="s">
        <v>3362</v>
      </c>
      <c r="F3091" s="74"/>
      <c r="G3091" s="76"/>
      <c r="H3091" s="77" t="s">
        <v>4</v>
      </c>
      <c r="I3091" s="76" t="s">
        <v>53</v>
      </c>
      <c r="J3091" s="77" t="s">
        <v>8516</v>
      </c>
      <c r="K3091" s="77" t="s">
        <v>72</v>
      </c>
      <c r="L3091" s="76"/>
      <c r="M3091" s="76"/>
      <c r="N3091" s="76" t="s">
        <v>8660</v>
      </c>
      <c r="O3091" s="76">
        <v>0</v>
      </c>
      <c r="P3091" s="76"/>
      <c r="Q3091" s="76"/>
      <c r="R3091" s="76"/>
      <c r="S3091" s="76"/>
      <c r="BD3091" s="99">
        <f t="shared" si="103"/>
        <v>0</v>
      </c>
      <c r="CC3091" s="99"/>
      <c r="CV3091" s="99"/>
      <c r="CW3091" s="63"/>
    </row>
    <row r="3092" spans="1:101" x14ac:dyDescent="0.15">
      <c r="A3092" s="76">
        <v>2879</v>
      </c>
      <c r="B3092" s="74" t="s">
        <v>3364</v>
      </c>
      <c r="C3092" s="74">
        <v>993910203</v>
      </c>
      <c r="D3092" s="78" t="str">
        <f t="shared" si="102"/>
        <v>https://portal.dnb.de/opac.htm?method=simpleSearch&amp;cqlMode=true&amp;query=idn%3D993910203</v>
      </c>
      <c r="E3092" s="74" t="s">
        <v>3365</v>
      </c>
      <c r="F3092" s="74"/>
      <c r="G3092" s="76"/>
      <c r="H3092" s="77" t="s">
        <v>4</v>
      </c>
      <c r="I3092" s="76" t="s">
        <v>53</v>
      </c>
      <c r="J3092" s="77" t="s">
        <v>8516</v>
      </c>
      <c r="K3092" s="77" t="s">
        <v>72</v>
      </c>
      <c r="L3092" s="76"/>
      <c r="M3092" s="76"/>
      <c r="N3092" s="76" t="s">
        <v>8660</v>
      </c>
      <c r="O3092" s="76">
        <v>0</v>
      </c>
      <c r="P3092" s="76"/>
      <c r="Q3092" s="76"/>
      <c r="R3092" s="76"/>
      <c r="S3092" s="76"/>
      <c r="BD3092" s="99">
        <f t="shared" si="103"/>
        <v>0</v>
      </c>
      <c r="CC3092" s="99"/>
      <c r="CV3092" s="99"/>
      <c r="CW3092" s="63"/>
    </row>
    <row r="3093" spans="1:101" ht="22.5" x14ac:dyDescent="0.15">
      <c r="A3093" s="76">
        <v>2880</v>
      </c>
      <c r="B3093" s="74" t="s">
        <v>3366</v>
      </c>
      <c r="C3093" s="74">
        <v>1003655777</v>
      </c>
      <c r="D3093" s="78" t="str">
        <f t="shared" si="102"/>
        <v>https://portal.dnb.de/opac.htm?method=simpleSearch&amp;cqlMode=true&amp;query=idn%3D1003655777</v>
      </c>
      <c r="E3093" s="74" t="s">
        <v>3367</v>
      </c>
      <c r="F3093" s="74"/>
      <c r="G3093" s="76"/>
      <c r="H3093" s="77" t="s">
        <v>48</v>
      </c>
      <c r="I3093" s="76" t="s">
        <v>53</v>
      </c>
      <c r="J3093" s="77" t="s">
        <v>8516</v>
      </c>
      <c r="K3093" s="77" t="s">
        <v>9186</v>
      </c>
      <c r="L3093" s="76"/>
      <c r="M3093" s="76"/>
      <c r="N3093" s="76"/>
      <c r="O3093" s="76">
        <v>0</v>
      </c>
      <c r="P3093" s="76"/>
      <c r="Q3093" s="76"/>
      <c r="R3093" s="76"/>
      <c r="S3093" s="76"/>
      <c r="BD3093" s="99">
        <f t="shared" si="103"/>
        <v>0</v>
      </c>
      <c r="CC3093" s="99"/>
      <c r="CV3093" s="99"/>
      <c r="CW3093" s="63"/>
    </row>
    <row r="3094" spans="1:101" ht="22.5" x14ac:dyDescent="0.15">
      <c r="A3094" s="76">
        <v>2881</v>
      </c>
      <c r="B3094" s="74" t="s">
        <v>3368</v>
      </c>
      <c r="C3094" s="74">
        <v>994215584</v>
      </c>
      <c r="D3094" s="78" t="str">
        <f t="shared" si="102"/>
        <v>https://portal.dnb.de/opac.htm?method=simpleSearch&amp;cqlMode=true&amp;query=idn%3D994215584</v>
      </c>
      <c r="E3094" s="74" t="s">
        <v>3369</v>
      </c>
      <c r="F3094" s="74"/>
      <c r="G3094" s="76"/>
      <c r="H3094" s="77" t="s">
        <v>8547</v>
      </c>
      <c r="I3094" s="76" t="s">
        <v>55</v>
      </c>
      <c r="J3094" s="77" t="s">
        <v>8516</v>
      </c>
      <c r="K3094" s="77" t="s">
        <v>8965</v>
      </c>
      <c r="L3094" s="76"/>
      <c r="M3094" s="76" t="s">
        <v>38</v>
      </c>
      <c r="N3094" s="76" t="s">
        <v>40</v>
      </c>
      <c r="O3094" s="76">
        <v>0</v>
      </c>
      <c r="P3094" s="76"/>
      <c r="Q3094" s="76" t="s">
        <v>9658</v>
      </c>
      <c r="R3094" s="76"/>
      <c r="S3094" s="76"/>
      <c r="BD3094" s="99">
        <f t="shared" si="103"/>
        <v>0</v>
      </c>
      <c r="CC3094" s="99"/>
      <c r="CV3094" s="99"/>
      <c r="CW3094" s="63"/>
    </row>
    <row r="3095" spans="1:101" x14ac:dyDescent="0.15">
      <c r="A3095" s="76">
        <v>2882</v>
      </c>
      <c r="B3095" s="74" t="s">
        <v>3370</v>
      </c>
      <c r="C3095" s="74">
        <v>994820119</v>
      </c>
      <c r="D3095" s="78" t="str">
        <f t="shared" si="102"/>
        <v>https://portal.dnb.de/opac.htm?method=simpleSearch&amp;cqlMode=true&amp;query=idn%3D994820119</v>
      </c>
      <c r="E3095" s="74" t="s">
        <v>3371</v>
      </c>
      <c r="F3095" s="74"/>
      <c r="G3095" s="76" t="s">
        <v>8515</v>
      </c>
      <c r="H3095" s="77" t="s">
        <v>5</v>
      </c>
      <c r="I3095" s="76" t="s">
        <v>54</v>
      </c>
      <c r="J3095" s="77" t="s">
        <v>8516</v>
      </c>
      <c r="K3095" s="77" t="s">
        <v>62</v>
      </c>
      <c r="L3095" s="76"/>
      <c r="M3095" s="76" t="s">
        <v>36</v>
      </c>
      <c r="N3095" s="76" t="s">
        <v>8790</v>
      </c>
      <c r="O3095" s="76">
        <v>2</v>
      </c>
      <c r="P3095" s="76"/>
      <c r="Q3095" s="76"/>
      <c r="R3095" s="76"/>
      <c r="S3095" s="76"/>
      <c r="BD3095" s="99">
        <f t="shared" si="103"/>
        <v>0</v>
      </c>
      <c r="CC3095" s="99"/>
      <c r="CV3095" s="99"/>
      <c r="CW3095" s="63"/>
    </row>
    <row r="3096" spans="1:101" x14ac:dyDescent="0.15">
      <c r="A3096" s="76">
        <v>2883</v>
      </c>
      <c r="B3096" s="74" t="s">
        <v>3372</v>
      </c>
      <c r="C3096" s="74">
        <v>1070492493</v>
      </c>
      <c r="D3096" s="78" t="str">
        <f t="shared" si="102"/>
        <v>https://portal.dnb.de/opac.htm?method=simpleSearch&amp;cqlMode=true&amp;query=idn%3D1070492493</v>
      </c>
      <c r="E3096" s="74" t="s">
        <v>3373</v>
      </c>
      <c r="F3096" s="74" t="s">
        <v>10527</v>
      </c>
      <c r="G3096" s="76"/>
      <c r="H3096" s="77" t="s">
        <v>48</v>
      </c>
      <c r="I3096" s="76" t="s">
        <v>54</v>
      </c>
      <c r="J3096" s="77" t="s">
        <v>8516</v>
      </c>
      <c r="K3096" s="77" t="s">
        <v>84</v>
      </c>
      <c r="L3096" s="76"/>
      <c r="M3096" s="76" t="s">
        <v>32</v>
      </c>
      <c r="N3096" s="76"/>
      <c r="O3096" s="76">
        <v>0</v>
      </c>
      <c r="P3096" s="76"/>
      <c r="Q3096" s="76"/>
      <c r="R3096" s="76"/>
      <c r="S3096" s="76"/>
      <c r="Y3096" s="95" t="s">
        <v>9736</v>
      </c>
      <c r="AC3096" s="95" t="s">
        <v>9737</v>
      </c>
      <c r="AD3096" s="95" t="s">
        <v>8541</v>
      </c>
      <c r="AI3096" s="95" t="s">
        <v>9725</v>
      </c>
      <c r="AW3096" s="95">
        <v>60</v>
      </c>
      <c r="BC3096" s="96" t="s">
        <v>9734</v>
      </c>
      <c r="BD3096" s="99">
        <f t="shared" si="103"/>
        <v>0</v>
      </c>
      <c r="BG3096" s="95" t="s">
        <v>8541</v>
      </c>
      <c r="CC3096" s="99"/>
      <c r="CV3096" s="99"/>
      <c r="CW3096" s="63"/>
    </row>
    <row r="3097" spans="1:101" x14ac:dyDescent="0.15">
      <c r="A3097" s="76">
        <v>2884</v>
      </c>
      <c r="B3097" s="74" t="s">
        <v>3374</v>
      </c>
      <c r="C3097" s="74">
        <v>366239074</v>
      </c>
      <c r="D3097" s="78" t="str">
        <f t="shared" si="102"/>
        <v>https://portal.dnb.de/opac.htm?method=simpleSearch&amp;cqlMode=true&amp;query=idn%3D366239074</v>
      </c>
      <c r="E3097" s="74" t="s">
        <v>9695</v>
      </c>
      <c r="F3097" s="74"/>
      <c r="G3097" s="76"/>
      <c r="H3097" s="77" t="s">
        <v>48</v>
      </c>
      <c r="I3097" s="76" t="s">
        <v>53</v>
      </c>
      <c r="J3097" s="77" t="s">
        <v>8516</v>
      </c>
      <c r="K3097" s="77" t="s">
        <v>8577</v>
      </c>
      <c r="L3097" s="76"/>
      <c r="M3097" s="76"/>
      <c r="N3097" s="76"/>
      <c r="O3097" s="76">
        <v>1</v>
      </c>
      <c r="P3097" s="76"/>
      <c r="Q3097" s="76" t="s">
        <v>9697</v>
      </c>
      <c r="R3097" s="76"/>
      <c r="S3097" s="76"/>
      <c r="BD3097" s="99">
        <f t="shared" si="103"/>
        <v>0</v>
      </c>
      <c r="CC3097" s="99"/>
      <c r="CV3097" s="99"/>
      <c r="CW3097" s="63"/>
    </row>
    <row r="3098" spans="1:101" ht="45" x14ac:dyDescent="0.15">
      <c r="A3098" s="76">
        <v>2885</v>
      </c>
      <c r="B3098" s="74" t="s">
        <v>3376</v>
      </c>
      <c r="C3098" s="74">
        <v>997419377</v>
      </c>
      <c r="D3098" s="78" t="str">
        <f t="shared" si="102"/>
        <v>https://portal.dnb.de/opac.htm?method=simpleSearch&amp;cqlMode=true&amp;query=idn%3D997419377</v>
      </c>
      <c r="E3098" s="74" t="s">
        <v>3375</v>
      </c>
      <c r="F3098" s="79" t="s">
        <v>10528</v>
      </c>
      <c r="G3098" s="76"/>
      <c r="H3098" s="77"/>
      <c r="I3098" s="76" t="s">
        <v>53</v>
      </c>
      <c r="J3098" s="77"/>
      <c r="K3098" s="77"/>
      <c r="L3098" s="76"/>
      <c r="M3098" s="76"/>
      <c r="N3098" s="76"/>
      <c r="O3098" s="76"/>
      <c r="P3098" s="76"/>
      <c r="Q3098" s="76"/>
      <c r="R3098" s="76"/>
      <c r="S3098" s="76"/>
      <c r="Y3098" s="95" t="s">
        <v>9736</v>
      </c>
      <c r="AB3098" s="95" t="s">
        <v>8541</v>
      </c>
      <c r="AC3098" s="95" t="s">
        <v>9737</v>
      </c>
      <c r="AI3098" s="95" t="s">
        <v>9725</v>
      </c>
      <c r="AW3098" s="95">
        <v>110</v>
      </c>
      <c r="BC3098" s="96" t="s">
        <v>9734</v>
      </c>
      <c r="BD3098" s="99">
        <f t="shared" si="103"/>
        <v>0</v>
      </c>
      <c r="CC3098" s="99"/>
      <c r="CV3098" s="99"/>
      <c r="CW3098" s="63"/>
    </row>
    <row r="3099" spans="1:101" x14ac:dyDescent="0.15">
      <c r="A3099" s="76">
        <v>2886</v>
      </c>
      <c r="B3099" s="74" t="s">
        <v>3377</v>
      </c>
      <c r="C3099" s="74">
        <v>1001483308</v>
      </c>
      <c r="D3099" s="78" t="str">
        <f t="shared" si="102"/>
        <v>https://portal.dnb.de/opac.htm?method=simpleSearch&amp;cqlMode=true&amp;query=idn%3D1001483308</v>
      </c>
      <c r="E3099" s="74" t="s">
        <v>3378</v>
      </c>
      <c r="F3099" s="74"/>
      <c r="G3099" s="76"/>
      <c r="H3099" s="77" t="s">
        <v>48</v>
      </c>
      <c r="I3099" s="76" t="s">
        <v>53</v>
      </c>
      <c r="J3099" s="77" t="s">
        <v>8516</v>
      </c>
      <c r="K3099" s="77" t="s">
        <v>84</v>
      </c>
      <c r="L3099" s="76"/>
      <c r="M3099" s="76"/>
      <c r="N3099" s="76" t="s">
        <v>8660</v>
      </c>
      <c r="O3099" s="76">
        <v>0</v>
      </c>
      <c r="P3099" s="76"/>
      <c r="Q3099" s="76"/>
      <c r="R3099" s="76"/>
      <c r="S3099" s="76"/>
      <c r="BD3099" s="99">
        <f t="shared" si="103"/>
        <v>0</v>
      </c>
      <c r="CC3099" s="99"/>
      <c r="CV3099" s="99"/>
      <c r="CW3099" s="63"/>
    </row>
    <row r="3100" spans="1:101" x14ac:dyDescent="0.15">
      <c r="A3100" s="76">
        <v>2887</v>
      </c>
      <c r="B3100" s="74" t="s">
        <v>3379</v>
      </c>
      <c r="C3100" s="74">
        <v>1066677646</v>
      </c>
      <c r="D3100" s="78" t="str">
        <f t="shared" si="102"/>
        <v>https://portal.dnb.de/opac.htm?method=simpleSearch&amp;cqlMode=true&amp;query=idn%3D1066677646</v>
      </c>
      <c r="E3100" s="74" t="s">
        <v>3380</v>
      </c>
      <c r="F3100" s="74"/>
      <c r="G3100" s="76"/>
      <c r="H3100" s="77" t="s">
        <v>48</v>
      </c>
      <c r="I3100" s="76" t="s">
        <v>53</v>
      </c>
      <c r="J3100" s="77" t="s">
        <v>8516</v>
      </c>
      <c r="K3100" s="77" t="s">
        <v>84</v>
      </c>
      <c r="L3100" s="76"/>
      <c r="M3100" s="76"/>
      <c r="N3100" s="76"/>
      <c r="O3100" s="76">
        <v>1</v>
      </c>
      <c r="P3100" s="76"/>
      <c r="Q3100" s="76" t="s">
        <v>9040</v>
      </c>
      <c r="R3100" s="76"/>
      <c r="S3100" s="76"/>
      <c r="BD3100" s="99">
        <f t="shared" si="103"/>
        <v>0</v>
      </c>
      <c r="CC3100" s="99"/>
      <c r="CV3100" s="99"/>
      <c r="CW3100" s="63"/>
    </row>
    <row r="3101" spans="1:101" x14ac:dyDescent="0.15">
      <c r="A3101" s="76">
        <v>2888</v>
      </c>
      <c r="B3101" s="74" t="s">
        <v>3381</v>
      </c>
      <c r="C3101" s="74">
        <v>997759895</v>
      </c>
      <c r="D3101" s="78" t="str">
        <f t="shared" si="102"/>
        <v>https://portal.dnb.de/opac.htm?method=simpleSearch&amp;cqlMode=true&amp;query=idn%3D997759895</v>
      </c>
      <c r="E3101" s="74" t="s">
        <v>3382</v>
      </c>
      <c r="F3101" s="74"/>
      <c r="G3101" s="76" t="s">
        <v>8515</v>
      </c>
      <c r="H3101" s="77" t="s">
        <v>5</v>
      </c>
      <c r="I3101" s="76" t="s">
        <v>53</v>
      </c>
      <c r="J3101" s="77" t="s">
        <v>8516</v>
      </c>
      <c r="K3101" s="77" t="s">
        <v>72</v>
      </c>
      <c r="L3101" s="76"/>
      <c r="M3101" s="76" t="s">
        <v>36</v>
      </c>
      <c r="N3101" s="76" t="s">
        <v>40</v>
      </c>
      <c r="O3101" s="76">
        <v>1</v>
      </c>
      <c r="P3101" s="76"/>
      <c r="Q3101" s="76"/>
      <c r="R3101" s="76"/>
      <c r="S3101" s="76"/>
      <c r="BD3101" s="99">
        <f t="shared" si="103"/>
        <v>0</v>
      </c>
      <c r="CC3101" s="99"/>
      <c r="CV3101" s="99"/>
      <c r="CW3101" s="63"/>
    </row>
    <row r="3102" spans="1:101" ht="22.5" x14ac:dyDescent="0.15">
      <c r="A3102" s="76">
        <v>2889</v>
      </c>
      <c r="B3102" s="74" t="s">
        <v>3383</v>
      </c>
      <c r="C3102" s="74">
        <v>12663921</v>
      </c>
      <c r="D3102" s="78" t="str">
        <f t="shared" si="102"/>
        <v>https://portal.dnb.de/opac.htm?method=simpleSearch&amp;cqlMode=true&amp;query=idn%3D12663921</v>
      </c>
      <c r="E3102" s="74" t="s">
        <v>3384</v>
      </c>
      <c r="F3102" s="74"/>
      <c r="G3102" s="76" t="s">
        <v>8515</v>
      </c>
      <c r="H3102" s="77" t="s">
        <v>48</v>
      </c>
      <c r="I3102" s="76" t="s">
        <v>53</v>
      </c>
      <c r="J3102" s="77" t="s">
        <v>8516</v>
      </c>
      <c r="K3102" s="77" t="s">
        <v>8565</v>
      </c>
      <c r="L3102" s="76"/>
      <c r="M3102" s="76" t="s">
        <v>36</v>
      </c>
      <c r="N3102" s="76" t="s">
        <v>40</v>
      </c>
      <c r="O3102" s="76">
        <v>1</v>
      </c>
      <c r="P3102" s="76"/>
      <c r="Q3102" s="76"/>
      <c r="R3102" s="76"/>
      <c r="S3102" s="76"/>
      <c r="BD3102" s="99">
        <f t="shared" si="103"/>
        <v>0</v>
      </c>
      <c r="CC3102" s="99"/>
      <c r="CV3102" s="99"/>
      <c r="CW3102" s="63"/>
    </row>
    <row r="3103" spans="1:101" ht="22.5" x14ac:dyDescent="0.15">
      <c r="A3103" s="76">
        <v>2890</v>
      </c>
      <c r="B3103" s="74" t="s">
        <v>3385</v>
      </c>
      <c r="C3103" s="74">
        <v>12663921</v>
      </c>
      <c r="D3103" s="78" t="str">
        <f t="shared" si="102"/>
        <v>https://portal.dnb.de/opac.htm?method=simpleSearch&amp;cqlMode=true&amp;query=idn%3D12663921</v>
      </c>
      <c r="E3103" s="74" t="s">
        <v>3386</v>
      </c>
      <c r="F3103" s="74"/>
      <c r="G3103" s="76" t="s">
        <v>8515</v>
      </c>
      <c r="H3103" s="77" t="s">
        <v>5</v>
      </c>
      <c r="I3103" s="76" t="s">
        <v>53</v>
      </c>
      <c r="J3103" s="77" t="s">
        <v>8516</v>
      </c>
      <c r="K3103" s="77" t="s">
        <v>72</v>
      </c>
      <c r="L3103" s="76"/>
      <c r="M3103" s="76" t="s">
        <v>36</v>
      </c>
      <c r="N3103" s="76" t="s">
        <v>40</v>
      </c>
      <c r="O3103" s="76">
        <v>0</v>
      </c>
      <c r="P3103" s="76"/>
      <c r="Q3103" s="76"/>
      <c r="R3103" s="76"/>
      <c r="S3103" s="76"/>
      <c r="Y3103" s="95" t="s">
        <v>9723</v>
      </c>
      <c r="AC3103" s="95" t="s">
        <v>9730</v>
      </c>
      <c r="AI3103" s="95" t="s">
        <v>9725</v>
      </c>
      <c r="AU3103" s="95">
        <v>3</v>
      </c>
      <c r="AV3103" s="95" t="s">
        <v>8541</v>
      </c>
      <c r="AW3103" s="95">
        <v>45</v>
      </c>
      <c r="BC3103" s="96" t="s">
        <v>9726</v>
      </c>
      <c r="BD3103" s="99">
        <f t="shared" si="103"/>
        <v>2.5</v>
      </c>
      <c r="BJ3103" s="95" t="s">
        <v>9741</v>
      </c>
      <c r="BK3103" s="95" t="s">
        <v>8541</v>
      </c>
      <c r="BP3103" s="69" t="s">
        <v>8541</v>
      </c>
      <c r="BQ3103" s="95" t="s">
        <v>8541</v>
      </c>
      <c r="BR3103" s="95" t="s">
        <v>8541</v>
      </c>
      <c r="CB3103" s="95" t="s">
        <v>9882</v>
      </c>
      <c r="CC3103" s="99">
        <v>2.5</v>
      </c>
      <c r="CD3103" s="90" t="s">
        <v>10149</v>
      </c>
      <c r="CV3103" s="99"/>
      <c r="CW3103" s="63"/>
    </row>
    <row r="3104" spans="1:101" ht="22.5" x14ac:dyDescent="0.15">
      <c r="A3104" s="76">
        <v>2891</v>
      </c>
      <c r="B3104" s="74" t="s">
        <v>3389</v>
      </c>
      <c r="C3104" s="74">
        <v>1067572171</v>
      </c>
      <c r="D3104" s="78" t="str">
        <f t="shared" si="102"/>
        <v>https://portal.dnb.de/opac.htm?method=simpleSearch&amp;cqlMode=true&amp;query=idn%3D1067572171</v>
      </c>
      <c r="E3104" s="74" t="s">
        <v>3390</v>
      </c>
      <c r="F3104" s="74"/>
      <c r="G3104" s="76"/>
      <c r="H3104" s="77" t="s">
        <v>48</v>
      </c>
      <c r="I3104" s="76" t="s">
        <v>53</v>
      </c>
      <c r="J3104" s="77" t="s">
        <v>8516</v>
      </c>
      <c r="K3104" s="77" t="s">
        <v>8565</v>
      </c>
      <c r="L3104" s="76"/>
      <c r="M3104" s="76" t="s">
        <v>37</v>
      </c>
      <c r="N3104" s="76" t="s">
        <v>40</v>
      </c>
      <c r="O3104" s="76">
        <v>0</v>
      </c>
      <c r="P3104" s="76"/>
      <c r="Q3104" s="76"/>
      <c r="R3104" s="76"/>
      <c r="S3104" s="76"/>
      <c r="BD3104" s="99">
        <f t="shared" si="103"/>
        <v>0</v>
      </c>
      <c r="CC3104" s="99"/>
      <c r="CV3104" s="99"/>
      <c r="CW3104" s="63"/>
    </row>
    <row r="3105" spans="1:101" x14ac:dyDescent="0.15">
      <c r="A3105" s="76">
        <v>2892</v>
      </c>
      <c r="B3105" s="74" t="s">
        <v>3391</v>
      </c>
      <c r="C3105" s="74">
        <v>1067595252</v>
      </c>
      <c r="D3105" s="78" t="str">
        <f t="shared" si="102"/>
        <v>https://portal.dnb.de/opac.htm?method=simpleSearch&amp;cqlMode=true&amp;query=idn%3D1067595252</v>
      </c>
      <c r="E3105" s="74" t="s">
        <v>3392</v>
      </c>
      <c r="F3105" s="74"/>
      <c r="G3105" s="76" t="s">
        <v>8515</v>
      </c>
      <c r="H3105" s="77" t="s">
        <v>49</v>
      </c>
      <c r="I3105" s="76" t="s">
        <v>53</v>
      </c>
      <c r="J3105" s="77" t="s">
        <v>8516</v>
      </c>
      <c r="K3105" s="77" t="s">
        <v>84</v>
      </c>
      <c r="L3105" s="76"/>
      <c r="M3105" s="76" t="s">
        <v>37</v>
      </c>
      <c r="N3105" s="76" t="s">
        <v>40</v>
      </c>
      <c r="O3105" s="76">
        <v>0</v>
      </c>
      <c r="P3105" s="76"/>
      <c r="Q3105" s="76"/>
      <c r="R3105" s="76"/>
      <c r="S3105" s="76"/>
      <c r="BD3105" s="99">
        <f t="shared" si="103"/>
        <v>0</v>
      </c>
      <c r="CC3105" s="99"/>
      <c r="CV3105" s="99"/>
      <c r="CW3105" s="63"/>
    </row>
    <row r="3106" spans="1:101" ht="22.5" x14ac:dyDescent="0.15">
      <c r="A3106" s="76">
        <v>2893</v>
      </c>
      <c r="B3106" s="74" t="s">
        <v>3393</v>
      </c>
      <c r="C3106" s="74">
        <v>1067598367</v>
      </c>
      <c r="D3106" s="78" t="str">
        <f t="shared" si="102"/>
        <v>https://portal.dnb.de/opac.htm?method=simpleSearch&amp;cqlMode=true&amp;query=idn%3D1067598367</v>
      </c>
      <c r="E3106" s="74" t="s">
        <v>3394</v>
      </c>
      <c r="F3106" s="74"/>
      <c r="G3106" s="76" t="s">
        <v>8515</v>
      </c>
      <c r="H3106" s="77" t="s">
        <v>48</v>
      </c>
      <c r="I3106" s="76" t="s">
        <v>53</v>
      </c>
      <c r="J3106" s="77" t="s">
        <v>8516</v>
      </c>
      <c r="K3106" s="77" t="s">
        <v>8564</v>
      </c>
      <c r="L3106" s="76"/>
      <c r="M3106" s="76" t="s">
        <v>37</v>
      </c>
      <c r="N3106" s="76" t="s">
        <v>40</v>
      </c>
      <c r="O3106" s="76">
        <v>1</v>
      </c>
      <c r="P3106" s="76"/>
      <c r="Q3106" s="76"/>
      <c r="R3106" s="76"/>
      <c r="S3106" s="76"/>
      <c r="Y3106" s="95" t="s">
        <v>9736</v>
      </c>
      <c r="AC3106" s="95" t="s">
        <v>9737</v>
      </c>
      <c r="AD3106" s="95" t="s">
        <v>8541</v>
      </c>
      <c r="AI3106" s="95" t="s">
        <v>9725</v>
      </c>
      <c r="AW3106" s="95">
        <v>0</v>
      </c>
      <c r="BC3106" s="96" t="s">
        <v>9734</v>
      </c>
      <c r="BD3106" s="99">
        <f t="shared" si="103"/>
        <v>0</v>
      </c>
      <c r="BH3106" s="95" t="s">
        <v>8541</v>
      </c>
      <c r="CC3106" s="99"/>
      <c r="CV3106" s="99"/>
      <c r="CW3106" s="63"/>
    </row>
    <row r="3107" spans="1:101" ht="33.75" x14ac:dyDescent="0.15">
      <c r="A3107" s="76">
        <v>2894</v>
      </c>
      <c r="B3107" s="74" t="s">
        <v>3395</v>
      </c>
      <c r="C3107" s="74">
        <v>1067607048</v>
      </c>
      <c r="D3107" s="78" t="str">
        <f t="shared" si="102"/>
        <v>https://portal.dnb.de/opac.htm?method=simpleSearch&amp;cqlMode=true&amp;query=idn%3D1067607048</v>
      </c>
      <c r="E3107" s="74" t="s">
        <v>3396</v>
      </c>
      <c r="F3107" s="74"/>
      <c r="G3107" s="76" t="s">
        <v>8515</v>
      </c>
      <c r="H3107" s="77" t="s">
        <v>5</v>
      </c>
      <c r="I3107" s="76" t="s">
        <v>54</v>
      </c>
      <c r="J3107" s="77" t="s">
        <v>8516</v>
      </c>
      <c r="K3107" s="77" t="s">
        <v>8928</v>
      </c>
      <c r="L3107" s="76"/>
      <c r="M3107" s="76" t="s">
        <v>37</v>
      </c>
      <c r="N3107" s="76" t="s">
        <v>40</v>
      </c>
      <c r="O3107" s="76">
        <v>1</v>
      </c>
      <c r="P3107" s="76"/>
      <c r="Q3107" s="76"/>
      <c r="R3107" s="76"/>
      <c r="S3107" s="76"/>
      <c r="Y3107" s="95" t="s">
        <v>9723</v>
      </c>
      <c r="AB3107" s="95" t="s">
        <v>8541</v>
      </c>
      <c r="AC3107" s="95" t="s">
        <v>9724</v>
      </c>
      <c r="AI3107" s="95" t="s">
        <v>9725</v>
      </c>
      <c r="AW3107" s="95">
        <v>60</v>
      </c>
      <c r="BC3107" s="96" t="s">
        <v>9726</v>
      </c>
      <c r="BD3107" s="99">
        <f t="shared" si="103"/>
        <v>1</v>
      </c>
      <c r="BH3107" s="95" t="s">
        <v>8541</v>
      </c>
      <c r="BP3107" s="69" t="s">
        <v>8541</v>
      </c>
      <c r="BQ3107" s="95" t="s">
        <v>8541</v>
      </c>
      <c r="BR3107" s="95" t="s">
        <v>8541</v>
      </c>
      <c r="CC3107" s="99">
        <v>1</v>
      </c>
      <c r="CV3107" s="99"/>
      <c r="CW3107" s="63"/>
    </row>
    <row r="3108" spans="1:101" x14ac:dyDescent="0.15">
      <c r="A3108" s="76">
        <v>2895</v>
      </c>
      <c r="B3108" s="74" t="s">
        <v>3397</v>
      </c>
      <c r="C3108" s="74" t="s">
        <v>3398</v>
      </c>
      <c r="D3108" s="78" t="str">
        <f t="shared" si="102"/>
        <v>https://portal.dnb.de/opac.htm?method=simpleSearch&amp;cqlMode=true&amp;query=idn%3D36590015X</v>
      </c>
      <c r="E3108" s="74" t="s">
        <v>3399</v>
      </c>
      <c r="F3108" s="74"/>
      <c r="G3108" s="76" t="s">
        <v>8515</v>
      </c>
      <c r="H3108" s="77" t="s">
        <v>48</v>
      </c>
      <c r="I3108" s="76" t="s">
        <v>53</v>
      </c>
      <c r="J3108" s="77" t="s">
        <v>8516</v>
      </c>
      <c r="K3108" s="77" t="s">
        <v>84</v>
      </c>
      <c r="L3108" s="76"/>
      <c r="M3108" s="76"/>
      <c r="N3108" s="76" t="s">
        <v>8660</v>
      </c>
      <c r="O3108" s="76">
        <v>0</v>
      </c>
      <c r="P3108" s="76"/>
      <c r="Q3108" s="76"/>
      <c r="R3108" s="76"/>
      <c r="S3108" s="76"/>
      <c r="BD3108" s="99">
        <f t="shared" si="103"/>
        <v>0</v>
      </c>
      <c r="CC3108" s="99"/>
      <c r="CV3108" s="99"/>
      <c r="CW3108" s="63"/>
    </row>
    <row r="3109" spans="1:101" x14ac:dyDescent="0.15">
      <c r="A3109" s="76">
        <v>2896</v>
      </c>
      <c r="B3109" s="74" t="s">
        <v>3400</v>
      </c>
      <c r="C3109" s="74">
        <v>1070192333</v>
      </c>
      <c r="D3109" s="78" t="str">
        <f t="shared" si="102"/>
        <v>https://portal.dnb.de/opac.htm?method=simpleSearch&amp;cqlMode=true&amp;query=idn%3D1070192333</v>
      </c>
      <c r="E3109" s="74" t="s">
        <v>3401</v>
      </c>
      <c r="F3109" s="74"/>
      <c r="G3109" s="76" t="s">
        <v>8515</v>
      </c>
      <c r="H3109" s="77" t="s">
        <v>49</v>
      </c>
      <c r="I3109" s="76" t="s">
        <v>53</v>
      </c>
      <c r="J3109" s="77" t="s">
        <v>8516</v>
      </c>
      <c r="K3109" s="77" t="s">
        <v>84</v>
      </c>
      <c r="L3109" s="76"/>
      <c r="M3109" s="76" t="s">
        <v>36</v>
      </c>
      <c r="N3109" s="76" t="s">
        <v>40</v>
      </c>
      <c r="O3109" s="76">
        <v>0</v>
      </c>
      <c r="P3109" s="76"/>
      <c r="Q3109" s="76"/>
      <c r="R3109" s="76"/>
      <c r="S3109" s="76"/>
      <c r="BD3109" s="99">
        <f t="shared" si="103"/>
        <v>0</v>
      </c>
      <c r="CC3109" s="99"/>
      <c r="CV3109" s="99"/>
      <c r="CW3109" s="63"/>
    </row>
    <row r="3110" spans="1:101" ht="33.75" x14ac:dyDescent="0.15">
      <c r="A3110" s="76">
        <v>2897</v>
      </c>
      <c r="B3110" s="74" t="s">
        <v>3402</v>
      </c>
      <c r="C3110" s="74">
        <v>1070591068</v>
      </c>
      <c r="D3110" s="78" t="str">
        <f t="shared" si="102"/>
        <v>https://portal.dnb.de/opac.htm?method=simpleSearch&amp;cqlMode=true&amp;query=idn%3D1070591068</v>
      </c>
      <c r="E3110" s="74" t="s">
        <v>3403</v>
      </c>
      <c r="F3110" s="74"/>
      <c r="G3110" s="76"/>
      <c r="H3110" s="77" t="s">
        <v>5</v>
      </c>
      <c r="I3110" s="76" t="s">
        <v>53</v>
      </c>
      <c r="J3110" s="77" t="s">
        <v>8516</v>
      </c>
      <c r="K3110" s="77" t="s">
        <v>8667</v>
      </c>
      <c r="L3110" s="76"/>
      <c r="M3110" s="76" t="s">
        <v>37</v>
      </c>
      <c r="N3110" s="76" t="s">
        <v>40</v>
      </c>
      <c r="O3110" s="76">
        <v>1</v>
      </c>
      <c r="P3110" s="76"/>
      <c r="Q3110" s="76"/>
      <c r="R3110" s="76"/>
      <c r="S3110" s="76"/>
      <c r="BD3110" s="99">
        <f t="shared" si="103"/>
        <v>0</v>
      </c>
      <c r="CC3110" s="99"/>
      <c r="CV3110" s="99"/>
      <c r="CW3110" s="63"/>
    </row>
    <row r="3111" spans="1:101" x14ac:dyDescent="0.15">
      <c r="A3111" s="76">
        <v>2898</v>
      </c>
      <c r="B3111" s="74" t="s">
        <v>3404</v>
      </c>
      <c r="C3111" s="74">
        <v>12673455</v>
      </c>
      <c r="D3111" s="78" t="str">
        <f t="shared" si="102"/>
        <v>https://portal.dnb.de/opac.htm?method=simpleSearch&amp;cqlMode=true&amp;query=idn%3D12673455</v>
      </c>
      <c r="E3111" s="74" t="s">
        <v>9193</v>
      </c>
      <c r="F3111" s="74"/>
      <c r="G3111" s="76"/>
      <c r="H3111" s="77" t="s">
        <v>49</v>
      </c>
      <c r="I3111" s="76" t="s">
        <v>53</v>
      </c>
      <c r="J3111" s="77" t="s">
        <v>8516</v>
      </c>
      <c r="K3111" s="77" t="s">
        <v>84</v>
      </c>
      <c r="L3111" s="76"/>
      <c r="M3111" s="76" t="s">
        <v>33</v>
      </c>
      <c r="N3111" s="76" t="s">
        <v>40</v>
      </c>
      <c r="O3111" s="76">
        <v>1</v>
      </c>
      <c r="P3111" s="76"/>
      <c r="Q3111" s="76"/>
      <c r="R3111" s="76"/>
      <c r="S3111" s="76"/>
      <c r="BD3111" s="99">
        <f t="shared" si="103"/>
        <v>0</v>
      </c>
      <c r="CC3111" s="99"/>
      <c r="CV3111" s="99"/>
      <c r="CW3111" s="63"/>
    </row>
    <row r="3112" spans="1:101" x14ac:dyDescent="0.15">
      <c r="A3112" s="76"/>
      <c r="B3112" s="74"/>
      <c r="C3112" s="74"/>
      <c r="D3112" s="78"/>
      <c r="E3112" s="74" t="s">
        <v>9194</v>
      </c>
      <c r="F3112" s="74"/>
      <c r="G3112" s="76"/>
      <c r="H3112" s="77" t="s">
        <v>49</v>
      </c>
      <c r="I3112" s="76" t="s">
        <v>53</v>
      </c>
      <c r="J3112" s="77" t="s">
        <v>8516</v>
      </c>
      <c r="K3112" s="77" t="s">
        <v>84</v>
      </c>
      <c r="L3112" s="76"/>
      <c r="M3112" s="76" t="s">
        <v>33</v>
      </c>
      <c r="N3112" s="76" t="s">
        <v>40</v>
      </c>
      <c r="O3112" s="76">
        <v>1</v>
      </c>
      <c r="P3112" s="76"/>
      <c r="Q3112" s="76"/>
      <c r="R3112" s="76"/>
      <c r="S3112" s="76"/>
      <c r="BD3112" s="99">
        <f t="shared" si="103"/>
        <v>0</v>
      </c>
      <c r="CC3112" s="99"/>
      <c r="CV3112" s="99"/>
      <c r="CW3112" s="63"/>
    </row>
    <row r="3113" spans="1:101" ht="22.5" x14ac:dyDescent="0.15">
      <c r="A3113" s="76">
        <v>2899</v>
      </c>
      <c r="B3113" s="74" t="s">
        <v>3405</v>
      </c>
      <c r="C3113" s="74" t="s">
        <v>3406</v>
      </c>
      <c r="D3113" s="78" t="str">
        <f t="shared" si="102"/>
        <v>https://portal.dnb.de/opac.htm?method=simpleSearch&amp;cqlMode=true&amp;query=idn%3D99445659X</v>
      </c>
      <c r="E3113" s="74" t="s">
        <v>9189</v>
      </c>
      <c r="F3113" s="74"/>
      <c r="G3113" s="76"/>
      <c r="H3113" s="77" t="s">
        <v>4</v>
      </c>
      <c r="I3113" s="76" t="s">
        <v>54</v>
      </c>
      <c r="J3113" s="77" t="s">
        <v>8516</v>
      </c>
      <c r="K3113" s="77" t="s">
        <v>9061</v>
      </c>
      <c r="L3113" s="76"/>
      <c r="M3113" s="76"/>
      <c r="N3113" s="76"/>
      <c r="O3113" s="76">
        <v>0</v>
      </c>
      <c r="P3113" s="76"/>
      <c r="Q3113" s="76"/>
      <c r="R3113" s="76"/>
      <c r="S3113" s="76"/>
      <c r="BD3113" s="99">
        <f t="shared" si="103"/>
        <v>0</v>
      </c>
      <c r="CC3113" s="99"/>
      <c r="CV3113" s="99"/>
      <c r="CW3113" s="63"/>
    </row>
    <row r="3114" spans="1:101" x14ac:dyDescent="0.15">
      <c r="A3114" s="76">
        <v>2900</v>
      </c>
      <c r="B3114" s="74" t="s">
        <v>3410</v>
      </c>
      <c r="C3114" s="74">
        <v>1066935041</v>
      </c>
      <c r="D3114" s="78" t="str">
        <f t="shared" si="102"/>
        <v>https://portal.dnb.de/opac.htm?method=simpleSearch&amp;cqlMode=true&amp;query=idn%3D1066935041</v>
      </c>
      <c r="E3114" s="74" t="s">
        <v>3411</v>
      </c>
      <c r="F3114" s="74"/>
      <c r="G3114" s="76"/>
      <c r="H3114" s="77"/>
      <c r="I3114" s="76"/>
      <c r="J3114" s="77"/>
      <c r="K3114" s="77"/>
      <c r="L3114" s="76"/>
      <c r="M3114" s="76"/>
      <c r="N3114" s="76"/>
      <c r="O3114" s="76"/>
      <c r="P3114" s="76"/>
      <c r="Q3114" s="76"/>
      <c r="R3114" s="76"/>
      <c r="S3114" s="76"/>
      <c r="BD3114" s="99">
        <f t="shared" si="103"/>
        <v>0</v>
      </c>
      <c r="CC3114" s="99"/>
      <c r="CV3114" s="99"/>
      <c r="CW3114" s="63"/>
    </row>
    <row r="3115" spans="1:101" x14ac:dyDescent="0.15">
      <c r="A3115" s="76">
        <v>2901</v>
      </c>
      <c r="B3115" s="74" t="s">
        <v>3412</v>
      </c>
      <c r="C3115" s="74">
        <v>999582364</v>
      </c>
      <c r="D3115" s="78" t="str">
        <f t="shared" si="102"/>
        <v>https://portal.dnb.de/opac.htm?method=simpleSearch&amp;cqlMode=true&amp;query=idn%3D999582364</v>
      </c>
      <c r="E3115" s="74" t="s">
        <v>3413</v>
      </c>
      <c r="F3115" s="74"/>
      <c r="G3115" s="76"/>
      <c r="H3115" s="77"/>
      <c r="I3115" s="76"/>
      <c r="J3115" s="77"/>
      <c r="K3115" s="77"/>
      <c r="L3115" s="76"/>
      <c r="M3115" s="76"/>
      <c r="N3115" s="76"/>
      <c r="O3115" s="76"/>
      <c r="P3115" s="76"/>
      <c r="Q3115" s="76"/>
      <c r="R3115" s="76"/>
      <c r="S3115" s="76"/>
      <c r="BD3115" s="99">
        <f t="shared" si="103"/>
        <v>0</v>
      </c>
      <c r="CC3115" s="99"/>
      <c r="CV3115" s="99"/>
      <c r="CW3115" s="63"/>
    </row>
    <row r="3116" spans="1:101" x14ac:dyDescent="0.15">
      <c r="A3116" s="76">
        <v>2902</v>
      </c>
      <c r="B3116" s="74" t="s">
        <v>3414</v>
      </c>
      <c r="C3116" s="74">
        <v>1001520726</v>
      </c>
      <c r="D3116" s="78" t="str">
        <f t="shared" si="102"/>
        <v>https://portal.dnb.de/opac.htm?method=simpleSearch&amp;cqlMode=true&amp;query=idn%3D1001520726</v>
      </c>
      <c r="E3116" s="74" t="s">
        <v>3415</v>
      </c>
      <c r="F3116" s="74"/>
      <c r="G3116" s="76"/>
      <c r="H3116" s="77"/>
      <c r="I3116" s="76"/>
      <c r="J3116" s="77"/>
      <c r="K3116" s="77"/>
      <c r="L3116" s="76"/>
      <c r="M3116" s="76"/>
      <c r="N3116" s="76"/>
      <c r="O3116" s="76"/>
      <c r="P3116" s="76"/>
      <c r="Q3116" s="76"/>
      <c r="R3116" s="76"/>
      <c r="S3116" s="76"/>
      <c r="BD3116" s="99">
        <f t="shared" si="103"/>
        <v>0</v>
      </c>
      <c r="CC3116" s="99"/>
      <c r="CV3116" s="99"/>
      <c r="CW3116" s="63"/>
    </row>
    <row r="3117" spans="1:101" x14ac:dyDescent="0.15">
      <c r="A3117" s="76">
        <v>2903</v>
      </c>
      <c r="B3117" s="74" t="s">
        <v>3422</v>
      </c>
      <c r="C3117" s="74">
        <v>998978183</v>
      </c>
      <c r="D3117" s="78" t="str">
        <f t="shared" si="102"/>
        <v>https://portal.dnb.de/opac.htm?method=simpleSearch&amp;cqlMode=true&amp;query=idn%3D998978183</v>
      </c>
      <c r="E3117" s="74" t="s">
        <v>3423</v>
      </c>
      <c r="F3117" s="74"/>
      <c r="G3117" s="76" t="s">
        <v>8515</v>
      </c>
      <c r="H3117" s="77" t="s">
        <v>49</v>
      </c>
      <c r="I3117" s="76" t="s">
        <v>53</v>
      </c>
      <c r="J3117" s="77" t="s">
        <v>58</v>
      </c>
      <c r="K3117" s="77" t="s">
        <v>84</v>
      </c>
      <c r="L3117" s="76"/>
      <c r="M3117" s="76"/>
      <c r="N3117" s="76"/>
      <c r="O3117" s="76">
        <v>2</v>
      </c>
      <c r="P3117" s="76"/>
      <c r="Q3117" s="76"/>
      <c r="R3117" s="76"/>
      <c r="S3117" s="76"/>
      <c r="BD3117" s="99">
        <f t="shared" si="103"/>
        <v>0</v>
      </c>
      <c r="CC3117" s="99"/>
      <c r="CV3117" s="99"/>
      <c r="CW3117" s="63"/>
    </row>
    <row r="3118" spans="1:101" x14ac:dyDescent="0.15">
      <c r="A3118" s="76">
        <v>2904</v>
      </c>
      <c r="B3118" s="74" t="s">
        <v>3426</v>
      </c>
      <c r="C3118" s="74">
        <v>1000072266</v>
      </c>
      <c r="D3118" s="78" t="str">
        <f t="shared" si="102"/>
        <v>https://portal.dnb.de/opac.htm?method=simpleSearch&amp;cqlMode=true&amp;query=idn%3D1000072266</v>
      </c>
      <c r="E3118" s="74" t="s">
        <v>3427</v>
      </c>
      <c r="F3118" s="74"/>
      <c r="G3118" s="76"/>
      <c r="H3118" s="77" t="s">
        <v>49</v>
      </c>
      <c r="I3118" s="76" t="s">
        <v>53</v>
      </c>
      <c r="J3118" s="77" t="s">
        <v>58</v>
      </c>
      <c r="K3118" s="77" t="s">
        <v>84</v>
      </c>
      <c r="L3118" s="76"/>
      <c r="M3118" s="76" t="s">
        <v>36</v>
      </c>
      <c r="N3118" s="76" t="s">
        <v>39</v>
      </c>
      <c r="O3118" s="76">
        <v>0</v>
      </c>
      <c r="P3118" s="76"/>
      <c r="Q3118" s="76"/>
      <c r="R3118" s="76"/>
      <c r="S3118" s="76"/>
      <c r="BD3118" s="99">
        <f t="shared" si="103"/>
        <v>0</v>
      </c>
      <c r="CC3118" s="99"/>
      <c r="CV3118" s="99"/>
      <c r="CW3118" s="63"/>
    </row>
    <row r="3119" spans="1:101" ht="22.5" x14ac:dyDescent="0.15">
      <c r="A3119" s="76">
        <v>2905</v>
      </c>
      <c r="B3119" s="74" t="s">
        <v>3428</v>
      </c>
      <c r="C3119" s="74">
        <v>12730068</v>
      </c>
      <c r="D3119" s="78" t="str">
        <f t="shared" si="102"/>
        <v>https://portal.dnb.de/opac.htm?method=simpleSearch&amp;cqlMode=true&amp;query=idn%3D12730068</v>
      </c>
      <c r="E3119" s="74" t="s">
        <v>9560</v>
      </c>
      <c r="F3119" s="74"/>
      <c r="G3119" s="76"/>
      <c r="H3119" s="77" t="s">
        <v>18</v>
      </c>
      <c r="I3119" s="76" t="s">
        <v>53</v>
      </c>
      <c r="J3119" s="77" t="s">
        <v>8516</v>
      </c>
      <c r="K3119" s="77" t="s">
        <v>84</v>
      </c>
      <c r="L3119" s="76"/>
      <c r="M3119" s="76" t="s">
        <v>36</v>
      </c>
      <c r="N3119" s="76" t="s">
        <v>39</v>
      </c>
      <c r="O3119" s="76">
        <v>1</v>
      </c>
      <c r="P3119" s="76"/>
      <c r="Q3119" s="76"/>
      <c r="R3119" s="76"/>
      <c r="S3119" s="76"/>
      <c r="BD3119" s="99">
        <f t="shared" si="103"/>
        <v>0</v>
      </c>
      <c r="CC3119" s="99"/>
      <c r="CV3119" s="99"/>
      <c r="CW3119" s="63"/>
    </row>
    <row r="3120" spans="1:101" ht="22.5" x14ac:dyDescent="0.15">
      <c r="A3120" s="76"/>
      <c r="B3120" s="74"/>
      <c r="C3120" s="74"/>
      <c r="D3120" s="78"/>
      <c r="E3120" s="74" t="s">
        <v>9561</v>
      </c>
      <c r="F3120" s="74"/>
      <c r="G3120" s="76"/>
      <c r="H3120" s="77" t="s">
        <v>18</v>
      </c>
      <c r="I3120" s="76" t="s">
        <v>53</v>
      </c>
      <c r="J3120" s="77" t="s">
        <v>8516</v>
      </c>
      <c r="K3120" s="77" t="s">
        <v>9589</v>
      </c>
      <c r="L3120" s="76"/>
      <c r="M3120" s="76" t="s">
        <v>36</v>
      </c>
      <c r="N3120" s="76" t="s">
        <v>39</v>
      </c>
      <c r="O3120" s="76">
        <v>2</v>
      </c>
      <c r="P3120" s="76"/>
      <c r="Q3120" s="76"/>
      <c r="R3120" s="76"/>
      <c r="S3120" s="76"/>
      <c r="BD3120" s="99">
        <f t="shared" si="103"/>
        <v>0</v>
      </c>
      <c r="CC3120" s="99"/>
      <c r="CV3120" s="99"/>
      <c r="CW3120" s="63"/>
    </row>
    <row r="3121" spans="1:101" ht="22.5" x14ac:dyDescent="0.15">
      <c r="A3121" s="76"/>
      <c r="B3121" s="74"/>
      <c r="C3121" s="74"/>
      <c r="D3121" s="78"/>
      <c r="E3121" s="74" t="s">
        <v>9562</v>
      </c>
      <c r="F3121" s="74"/>
      <c r="G3121" s="76"/>
      <c r="H3121" s="77" t="s">
        <v>18</v>
      </c>
      <c r="I3121" s="76" t="s">
        <v>53</v>
      </c>
      <c r="J3121" s="77" t="s">
        <v>8516</v>
      </c>
      <c r="K3121" s="77" t="s">
        <v>8577</v>
      </c>
      <c r="L3121" s="76"/>
      <c r="M3121" s="76" t="s">
        <v>36</v>
      </c>
      <c r="N3121" s="76" t="s">
        <v>39</v>
      </c>
      <c r="O3121" s="76">
        <v>2</v>
      </c>
      <c r="P3121" s="76"/>
      <c r="Q3121" s="76"/>
      <c r="R3121" s="76"/>
      <c r="S3121" s="76"/>
      <c r="BD3121" s="99">
        <f t="shared" si="103"/>
        <v>0</v>
      </c>
      <c r="CC3121" s="99"/>
      <c r="CV3121" s="99"/>
      <c r="CW3121" s="63"/>
    </row>
    <row r="3122" spans="1:101" ht="22.5" x14ac:dyDescent="0.15">
      <c r="A3122" s="76"/>
      <c r="B3122" s="74"/>
      <c r="C3122" s="74"/>
      <c r="D3122" s="78"/>
      <c r="E3122" s="74" t="s">
        <v>9563</v>
      </c>
      <c r="F3122" s="74"/>
      <c r="G3122" s="76"/>
      <c r="H3122" s="77" t="s">
        <v>18</v>
      </c>
      <c r="I3122" s="76" t="s">
        <v>53</v>
      </c>
      <c r="J3122" s="77" t="s">
        <v>8516</v>
      </c>
      <c r="K3122" s="77" t="s">
        <v>8577</v>
      </c>
      <c r="L3122" s="76"/>
      <c r="M3122" s="76" t="s">
        <v>36</v>
      </c>
      <c r="N3122" s="76" t="s">
        <v>39</v>
      </c>
      <c r="O3122" s="76">
        <v>2</v>
      </c>
      <c r="P3122" s="76"/>
      <c r="Q3122" s="76" t="s">
        <v>9040</v>
      </c>
      <c r="R3122" s="76"/>
      <c r="S3122" s="76"/>
      <c r="BD3122" s="99">
        <f t="shared" si="103"/>
        <v>0</v>
      </c>
      <c r="CC3122" s="99"/>
      <c r="CV3122" s="99"/>
      <c r="CW3122" s="63"/>
    </row>
    <row r="3123" spans="1:101" x14ac:dyDescent="0.15">
      <c r="A3123" s="76"/>
      <c r="B3123" s="74"/>
      <c r="C3123" s="74"/>
      <c r="D3123" s="78"/>
      <c r="E3123" s="74" t="s">
        <v>9564</v>
      </c>
      <c r="F3123" s="74"/>
      <c r="G3123" s="76"/>
      <c r="H3123" s="77"/>
      <c r="I3123" s="76"/>
      <c r="J3123" s="77"/>
      <c r="K3123" s="77"/>
      <c r="L3123" s="76"/>
      <c r="M3123" s="76"/>
      <c r="N3123" s="76"/>
      <c r="O3123" s="76"/>
      <c r="P3123" s="76"/>
      <c r="Q3123" s="76"/>
      <c r="R3123" s="76"/>
      <c r="S3123" s="76"/>
      <c r="BD3123" s="99">
        <f t="shared" si="103"/>
        <v>0</v>
      </c>
      <c r="CC3123" s="99"/>
      <c r="CV3123" s="99"/>
      <c r="CW3123" s="63"/>
    </row>
    <row r="3124" spans="1:101" x14ac:dyDescent="0.15">
      <c r="A3124" s="76"/>
      <c r="B3124" s="74"/>
      <c r="C3124" s="74"/>
      <c r="D3124" s="78"/>
      <c r="E3124" s="74" t="s">
        <v>9565</v>
      </c>
      <c r="F3124" s="74"/>
      <c r="G3124" s="76"/>
      <c r="H3124" s="77"/>
      <c r="I3124" s="76"/>
      <c r="J3124" s="77"/>
      <c r="K3124" s="77"/>
      <c r="L3124" s="76"/>
      <c r="M3124" s="76"/>
      <c r="N3124" s="76"/>
      <c r="O3124" s="76"/>
      <c r="P3124" s="76"/>
      <c r="Q3124" s="76"/>
      <c r="R3124" s="76"/>
      <c r="S3124" s="76"/>
      <c r="BD3124" s="99">
        <f t="shared" si="103"/>
        <v>0</v>
      </c>
      <c r="CC3124" s="99"/>
      <c r="CV3124" s="99"/>
      <c r="CW3124" s="63"/>
    </row>
    <row r="3125" spans="1:101" ht="22.5" x14ac:dyDescent="0.15">
      <c r="A3125" s="76"/>
      <c r="B3125" s="74"/>
      <c r="C3125" s="74"/>
      <c r="D3125" s="78"/>
      <c r="E3125" s="74" t="s">
        <v>9696</v>
      </c>
      <c r="F3125" s="74"/>
      <c r="G3125" s="76"/>
      <c r="H3125" s="77" t="s">
        <v>18</v>
      </c>
      <c r="I3125" s="76" t="s">
        <v>53</v>
      </c>
      <c r="J3125" s="77" t="s">
        <v>8516</v>
      </c>
      <c r="K3125" s="77" t="s">
        <v>9589</v>
      </c>
      <c r="L3125" s="76"/>
      <c r="M3125" s="76" t="s">
        <v>36</v>
      </c>
      <c r="N3125" s="76" t="s">
        <v>39</v>
      </c>
      <c r="O3125" s="76">
        <v>2</v>
      </c>
      <c r="P3125" s="76"/>
      <c r="Q3125" s="76" t="s">
        <v>9040</v>
      </c>
      <c r="R3125" s="76"/>
      <c r="S3125" s="76"/>
      <c r="BD3125" s="99">
        <f t="shared" si="103"/>
        <v>0</v>
      </c>
      <c r="CC3125" s="99"/>
      <c r="CV3125" s="99"/>
      <c r="CW3125" s="63"/>
    </row>
    <row r="3126" spans="1:101" ht="22.5" x14ac:dyDescent="0.15">
      <c r="A3126" s="76"/>
      <c r="B3126" s="74"/>
      <c r="C3126" s="74"/>
      <c r="D3126" s="78"/>
      <c r="E3126" s="74" t="s">
        <v>9699</v>
      </c>
      <c r="F3126" s="74"/>
      <c r="G3126" s="76"/>
      <c r="H3126" s="77" t="s">
        <v>18</v>
      </c>
      <c r="I3126" s="76" t="s">
        <v>53</v>
      </c>
      <c r="J3126" s="77" t="s">
        <v>8516</v>
      </c>
      <c r="K3126" s="77" t="s">
        <v>9589</v>
      </c>
      <c r="L3126" s="76"/>
      <c r="M3126" s="76" t="s">
        <v>36</v>
      </c>
      <c r="N3126" s="76" t="s">
        <v>39</v>
      </c>
      <c r="O3126" s="76">
        <v>2</v>
      </c>
      <c r="P3126" s="76"/>
      <c r="Q3126" s="76" t="s">
        <v>9040</v>
      </c>
      <c r="R3126" s="76"/>
      <c r="S3126" s="76"/>
      <c r="BD3126" s="99">
        <f t="shared" si="103"/>
        <v>0</v>
      </c>
      <c r="CC3126" s="99"/>
      <c r="CV3126" s="99"/>
      <c r="CW3126" s="63"/>
    </row>
    <row r="3127" spans="1:101" ht="22.5" x14ac:dyDescent="0.15">
      <c r="A3127" s="76"/>
      <c r="B3127" s="74"/>
      <c r="C3127" s="74"/>
      <c r="D3127" s="78"/>
      <c r="E3127" s="74" t="s">
        <v>9566</v>
      </c>
      <c r="F3127" s="74"/>
      <c r="G3127" s="76"/>
      <c r="H3127" s="77" t="s">
        <v>18</v>
      </c>
      <c r="I3127" s="76" t="s">
        <v>53</v>
      </c>
      <c r="J3127" s="77" t="s">
        <v>8516</v>
      </c>
      <c r="K3127" s="77" t="s">
        <v>8577</v>
      </c>
      <c r="L3127" s="76"/>
      <c r="M3127" s="76" t="s">
        <v>36</v>
      </c>
      <c r="N3127" s="76" t="s">
        <v>39</v>
      </c>
      <c r="O3127" s="76">
        <v>2</v>
      </c>
      <c r="P3127" s="76"/>
      <c r="Q3127" s="76"/>
      <c r="R3127" s="76"/>
      <c r="S3127" s="76"/>
      <c r="BD3127" s="99">
        <f t="shared" si="103"/>
        <v>0</v>
      </c>
      <c r="CC3127" s="99"/>
      <c r="CV3127" s="99"/>
      <c r="CW3127" s="63"/>
    </row>
    <row r="3128" spans="1:101" ht="22.5" x14ac:dyDescent="0.15">
      <c r="A3128" s="76"/>
      <c r="B3128" s="74"/>
      <c r="C3128" s="74"/>
      <c r="D3128" s="78"/>
      <c r="E3128" s="74" t="s">
        <v>9567</v>
      </c>
      <c r="F3128" s="74"/>
      <c r="G3128" s="76"/>
      <c r="H3128" s="77" t="s">
        <v>18</v>
      </c>
      <c r="I3128" s="76" t="s">
        <v>53</v>
      </c>
      <c r="J3128" s="77" t="s">
        <v>8516</v>
      </c>
      <c r="K3128" s="77" t="s">
        <v>8577</v>
      </c>
      <c r="L3128" s="76"/>
      <c r="M3128" s="76" t="s">
        <v>36</v>
      </c>
      <c r="N3128" s="76" t="s">
        <v>39</v>
      </c>
      <c r="O3128" s="76">
        <v>2</v>
      </c>
      <c r="P3128" s="76"/>
      <c r="Q3128" s="76"/>
      <c r="R3128" s="76"/>
      <c r="S3128" s="76"/>
      <c r="BD3128" s="99">
        <f t="shared" si="103"/>
        <v>0</v>
      </c>
      <c r="CC3128" s="99"/>
      <c r="CV3128" s="99"/>
      <c r="CW3128" s="63"/>
    </row>
    <row r="3129" spans="1:101" ht="22.5" x14ac:dyDescent="0.15">
      <c r="A3129" s="76"/>
      <c r="B3129" s="74"/>
      <c r="C3129" s="74"/>
      <c r="D3129" s="78"/>
      <c r="E3129" s="74" t="s">
        <v>9568</v>
      </c>
      <c r="F3129" s="74"/>
      <c r="G3129" s="76"/>
      <c r="H3129" s="77" t="s">
        <v>18</v>
      </c>
      <c r="I3129" s="76" t="s">
        <v>53</v>
      </c>
      <c r="J3129" s="77" t="s">
        <v>8516</v>
      </c>
      <c r="K3129" s="77" t="s">
        <v>8785</v>
      </c>
      <c r="L3129" s="76"/>
      <c r="M3129" s="76" t="s">
        <v>36</v>
      </c>
      <c r="N3129" s="76" t="s">
        <v>39</v>
      </c>
      <c r="O3129" s="76">
        <v>3</v>
      </c>
      <c r="P3129" s="76"/>
      <c r="Q3129" s="76"/>
      <c r="R3129" s="76"/>
      <c r="S3129" s="76"/>
      <c r="BD3129" s="99">
        <f t="shared" si="103"/>
        <v>0</v>
      </c>
      <c r="CC3129" s="99"/>
      <c r="CV3129" s="99"/>
      <c r="CW3129" s="63"/>
    </row>
    <row r="3130" spans="1:101" ht="22.5" x14ac:dyDescent="0.15">
      <c r="A3130" s="76"/>
      <c r="B3130" s="74"/>
      <c r="C3130" s="74"/>
      <c r="D3130" s="78"/>
      <c r="E3130" s="74" t="s">
        <v>9569</v>
      </c>
      <c r="F3130" s="74"/>
      <c r="G3130" s="76"/>
      <c r="H3130" s="77" t="s">
        <v>18</v>
      </c>
      <c r="I3130" s="76" t="s">
        <v>53</v>
      </c>
      <c r="J3130" s="77" t="s">
        <v>8516</v>
      </c>
      <c r="K3130" s="77" t="s">
        <v>8785</v>
      </c>
      <c r="L3130" s="76"/>
      <c r="M3130" s="76" t="s">
        <v>36</v>
      </c>
      <c r="N3130" s="76" t="s">
        <v>39</v>
      </c>
      <c r="O3130" s="76">
        <v>3</v>
      </c>
      <c r="P3130" s="76"/>
      <c r="Q3130" s="76"/>
      <c r="R3130" s="76"/>
      <c r="S3130" s="76"/>
      <c r="BD3130" s="99">
        <f t="shared" si="103"/>
        <v>0</v>
      </c>
      <c r="CC3130" s="99"/>
      <c r="CV3130" s="99"/>
      <c r="CW3130" s="63"/>
    </row>
    <row r="3131" spans="1:101" ht="22.5" x14ac:dyDescent="0.15">
      <c r="A3131" s="76"/>
      <c r="B3131" s="74"/>
      <c r="C3131" s="74"/>
      <c r="D3131" s="78"/>
      <c r="E3131" s="74" t="s">
        <v>9570</v>
      </c>
      <c r="F3131" s="74"/>
      <c r="G3131" s="76"/>
      <c r="H3131" s="77" t="s">
        <v>18</v>
      </c>
      <c r="I3131" s="76" t="s">
        <v>53</v>
      </c>
      <c r="J3131" s="77" t="s">
        <v>8516</v>
      </c>
      <c r="K3131" s="77" t="s">
        <v>8785</v>
      </c>
      <c r="L3131" s="76"/>
      <c r="M3131" s="76" t="s">
        <v>36</v>
      </c>
      <c r="N3131" s="76" t="s">
        <v>39</v>
      </c>
      <c r="O3131" s="76">
        <v>1</v>
      </c>
      <c r="P3131" s="76"/>
      <c r="Q3131" s="76"/>
      <c r="R3131" s="76"/>
      <c r="S3131" s="76"/>
      <c r="BD3131" s="99">
        <f t="shared" si="103"/>
        <v>0</v>
      </c>
      <c r="CC3131" s="99"/>
      <c r="CV3131" s="99"/>
      <c r="CW3131" s="63"/>
    </row>
    <row r="3132" spans="1:101" ht="22.5" x14ac:dyDescent="0.15">
      <c r="A3132" s="76"/>
      <c r="B3132" s="74"/>
      <c r="C3132" s="74"/>
      <c r="D3132" s="78"/>
      <c r="E3132" s="74" t="s">
        <v>9571</v>
      </c>
      <c r="F3132" s="74"/>
      <c r="G3132" s="76"/>
      <c r="H3132" s="77" t="s">
        <v>18</v>
      </c>
      <c r="I3132" s="76" t="s">
        <v>53</v>
      </c>
      <c r="J3132" s="77" t="s">
        <v>58</v>
      </c>
      <c r="K3132" s="77" t="s">
        <v>8785</v>
      </c>
      <c r="L3132" s="76"/>
      <c r="M3132" s="76" t="s">
        <v>36</v>
      </c>
      <c r="N3132" s="76" t="s">
        <v>39</v>
      </c>
      <c r="O3132" s="76">
        <v>1</v>
      </c>
      <c r="P3132" s="76"/>
      <c r="Q3132" s="76"/>
      <c r="R3132" s="76"/>
      <c r="S3132" s="76"/>
      <c r="BD3132" s="99">
        <f t="shared" si="103"/>
        <v>0</v>
      </c>
      <c r="CC3132" s="99"/>
      <c r="CV3132" s="99"/>
      <c r="CW3132" s="63"/>
    </row>
    <row r="3133" spans="1:101" ht="22.5" x14ac:dyDescent="0.15">
      <c r="A3133" s="76"/>
      <c r="B3133" s="74"/>
      <c r="C3133" s="74"/>
      <c r="D3133" s="78"/>
      <c r="E3133" s="74" t="s">
        <v>9572</v>
      </c>
      <c r="F3133" s="74"/>
      <c r="G3133" s="76"/>
      <c r="H3133" s="77" t="s">
        <v>18</v>
      </c>
      <c r="I3133" s="76" t="s">
        <v>53</v>
      </c>
      <c r="J3133" s="77" t="s">
        <v>8516</v>
      </c>
      <c r="K3133" s="77" t="s">
        <v>84</v>
      </c>
      <c r="L3133" s="76"/>
      <c r="M3133" s="76" t="s">
        <v>36</v>
      </c>
      <c r="N3133" s="76" t="s">
        <v>39</v>
      </c>
      <c r="O3133" s="76">
        <v>1</v>
      </c>
      <c r="P3133" s="76"/>
      <c r="Q3133" s="76"/>
      <c r="R3133" s="76"/>
      <c r="S3133" s="76"/>
      <c r="BD3133" s="99">
        <f t="shared" si="103"/>
        <v>0</v>
      </c>
      <c r="CC3133" s="99"/>
      <c r="CV3133" s="99"/>
      <c r="CW3133" s="63"/>
    </row>
    <row r="3134" spans="1:101" ht="22.5" x14ac:dyDescent="0.15">
      <c r="A3134" s="76"/>
      <c r="B3134" s="74"/>
      <c r="C3134" s="74"/>
      <c r="D3134" s="78"/>
      <c r="E3134" s="74" t="s">
        <v>9573</v>
      </c>
      <c r="F3134" s="74"/>
      <c r="G3134" s="76"/>
      <c r="H3134" s="77" t="s">
        <v>18</v>
      </c>
      <c r="I3134" s="76" t="s">
        <v>53</v>
      </c>
      <c r="J3134" s="77" t="s">
        <v>58</v>
      </c>
      <c r="K3134" s="77" t="s">
        <v>84</v>
      </c>
      <c r="L3134" s="76"/>
      <c r="M3134" s="76" t="s">
        <v>36</v>
      </c>
      <c r="N3134" s="76" t="s">
        <v>39</v>
      </c>
      <c r="O3134" s="76">
        <v>1</v>
      </c>
      <c r="P3134" s="76"/>
      <c r="Q3134" s="76"/>
      <c r="R3134" s="76"/>
      <c r="S3134" s="76"/>
      <c r="BD3134" s="99">
        <f t="shared" si="103"/>
        <v>0</v>
      </c>
      <c r="CC3134" s="99"/>
      <c r="CV3134" s="99"/>
      <c r="CW3134" s="63"/>
    </row>
    <row r="3135" spans="1:101" ht="22.5" x14ac:dyDescent="0.15">
      <c r="A3135" s="76"/>
      <c r="B3135" s="74"/>
      <c r="C3135" s="74"/>
      <c r="D3135" s="78"/>
      <c r="E3135" s="74" t="s">
        <v>9574</v>
      </c>
      <c r="F3135" s="74"/>
      <c r="G3135" s="76"/>
      <c r="H3135" s="77" t="s">
        <v>18</v>
      </c>
      <c r="I3135" s="76" t="s">
        <v>53</v>
      </c>
      <c r="J3135" s="77" t="s">
        <v>8516</v>
      </c>
      <c r="K3135" s="77" t="s">
        <v>8577</v>
      </c>
      <c r="L3135" s="76"/>
      <c r="M3135" s="76" t="s">
        <v>36</v>
      </c>
      <c r="N3135" s="76" t="s">
        <v>39</v>
      </c>
      <c r="O3135" s="76">
        <v>2</v>
      </c>
      <c r="P3135" s="76"/>
      <c r="Q3135" s="76"/>
      <c r="R3135" s="76"/>
      <c r="S3135" s="76"/>
      <c r="BD3135" s="99">
        <f t="shared" si="103"/>
        <v>0</v>
      </c>
      <c r="CC3135" s="99"/>
      <c r="CV3135" s="99"/>
      <c r="CW3135" s="63"/>
    </row>
    <row r="3136" spans="1:101" ht="22.5" x14ac:dyDescent="0.15">
      <c r="A3136" s="76"/>
      <c r="B3136" s="74"/>
      <c r="C3136" s="74"/>
      <c r="D3136" s="78"/>
      <c r="E3136" s="74" t="s">
        <v>9575</v>
      </c>
      <c r="F3136" s="74"/>
      <c r="G3136" s="76"/>
      <c r="H3136" s="77" t="s">
        <v>18</v>
      </c>
      <c r="I3136" s="76" t="s">
        <v>53</v>
      </c>
      <c r="J3136" s="77" t="s">
        <v>8516</v>
      </c>
      <c r="K3136" s="77" t="s">
        <v>8577</v>
      </c>
      <c r="L3136" s="76"/>
      <c r="M3136" s="76" t="s">
        <v>36</v>
      </c>
      <c r="N3136" s="76" t="s">
        <v>39</v>
      </c>
      <c r="O3136" s="76">
        <v>1</v>
      </c>
      <c r="P3136" s="76"/>
      <c r="Q3136" s="76" t="s">
        <v>9040</v>
      </c>
      <c r="R3136" s="76"/>
      <c r="S3136" s="76"/>
      <c r="BD3136" s="99">
        <f t="shared" si="103"/>
        <v>0</v>
      </c>
      <c r="CC3136" s="99"/>
      <c r="CV3136" s="99"/>
      <c r="CW3136" s="63"/>
    </row>
    <row r="3137" spans="1:101" ht="22.5" x14ac:dyDescent="0.15">
      <c r="A3137" s="76"/>
      <c r="B3137" s="74"/>
      <c r="C3137" s="74"/>
      <c r="D3137" s="78"/>
      <c r="E3137" s="74" t="s">
        <v>9576</v>
      </c>
      <c r="F3137" s="74"/>
      <c r="G3137" s="76"/>
      <c r="H3137" s="77" t="s">
        <v>18</v>
      </c>
      <c r="I3137" s="76" t="s">
        <v>53</v>
      </c>
      <c r="J3137" s="77" t="s">
        <v>8516</v>
      </c>
      <c r="K3137" s="77" t="s">
        <v>8785</v>
      </c>
      <c r="L3137" s="76"/>
      <c r="M3137" s="76" t="s">
        <v>36</v>
      </c>
      <c r="N3137" s="76" t="s">
        <v>39</v>
      </c>
      <c r="O3137" s="76">
        <v>1</v>
      </c>
      <c r="P3137" s="76"/>
      <c r="Q3137" s="76"/>
      <c r="R3137" s="76"/>
      <c r="S3137" s="76"/>
      <c r="BD3137" s="99">
        <f t="shared" si="103"/>
        <v>0</v>
      </c>
      <c r="CC3137" s="99"/>
      <c r="CV3137" s="99"/>
      <c r="CW3137" s="63"/>
    </row>
    <row r="3138" spans="1:101" ht="22.5" x14ac:dyDescent="0.15">
      <c r="A3138" s="76"/>
      <c r="B3138" s="74"/>
      <c r="C3138" s="74"/>
      <c r="D3138" s="78"/>
      <c r="E3138" s="74" t="s">
        <v>9577</v>
      </c>
      <c r="F3138" s="74"/>
      <c r="G3138" s="76"/>
      <c r="H3138" s="77" t="s">
        <v>18</v>
      </c>
      <c r="I3138" s="76" t="s">
        <v>53</v>
      </c>
      <c r="J3138" s="77" t="s">
        <v>58</v>
      </c>
      <c r="K3138" s="77" t="s">
        <v>84</v>
      </c>
      <c r="L3138" s="76"/>
      <c r="M3138" s="76" t="s">
        <v>36</v>
      </c>
      <c r="N3138" s="76" t="s">
        <v>39</v>
      </c>
      <c r="O3138" s="76">
        <v>2</v>
      </c>
      <c r="P3138" s="76"/>
      <c r="Q3138" s="76"/>
      <c r="R3138" s="76"/>
      <c r="S3138" s="76"/>
      <c r="BD3138" s="99">
        <f t="shared" si="103"/>
        <v>0</v>
      </c>
      <c r="CC3138" s="99"/>
      <c r="CV3138" s="99"/>
      <c r="CW3138" s="63"/>
    </row>
    <row r="3139" spans="1:101" ht="22.5" x14ac:dyDescent="0.15">
      <c r="A3139" s="76">
        <v>2906</v>
      </c>
      <c r="B3139" s="74" t="s">
        <v>3429</v>
      </c>
      <c r="C3139" s="74">
        <v>996255273</v>
      </c>
      <c r="D3139" s="82" t="str">
        <f>HYPERLINK(CONCATENATE("https://portal.dnb.de/opac.htm?method=simpleSearch&amp;cqlMode=true&amp;query=idn%3D",C3139))</f>
        <v>https://portal.dnb.de/opac.htm?method=simpleSearch&amp;cqlMode=true&amp;query=idn%3D996255273</v>
      </c>
      <c r="E3139" s="74" t="s">
        <v>9555</v>
      </c>
      <c r="F3139" s="74"/>
      <c r="G3139" s="76" t="s">
        <v>8515</v>
      </c>
      <c r="H3139" s="77" t="s">
        <v>17</v>
      </c>
      <c r="I3139" s="76" t="s">
        <v>53</v>
      </c>
      <c r="J3139" s="77" t="s">
        <v>58</v>
      </c>
      <c r="K3139" s="77" t="s">
        <v>9035</v>
      </c>
      <c r="L3139" s="76"/>
      <c r="M3139" s="76" t="s">
        <v>36</v>
      </c>
      <c r="N3139" s="76" t="s">
        <v>39</v>
      </c>
      <c r="O3139" s="76">
        <v>3</v>
      </c>
      <c r="P3139" s="76"/>
      <c r="Q3139" s="76"/>
      <c r="R3139" s="76"/>
      <c r="S3139" s="76"/>
      <c r="BD3139" s="99">
        <f t="shared" ref="BD3139:BD3202" si="104">CC3139+CV3139</f>
        <v>0</v>
      </c>
      <c r="CC3139" s="99"/>
      <c r="CV3139" s="99"/>
      <c r="CW3139" s="63"/>
    </row>
    <row r="3140" spans="1:101" x14ac:dyDescent="0.15">
      <c r="A3140" s="76">
        <v>2907</v>
      </c>
      <c r="B3140" s="74" t="s">
        <v>3430</v>
      </c>
      <c r="C3140" s="74">
        <v>995980705</v>
      </c>
      <c r="D3140" s="82" t="str">
        <f>HYPERLINK(CONCATENATE("https://portal.dnb.de/opac.htm?method=simpleSearch&amp;cqlMode=true&amp;query=idn%3D",C3140))</f>
        <v>https://portal.dnb.de/opac.htm?method=simpleSearch&amp;cqlMode=true&amp;query=idn%3D995980705</v>
      </c>
      <c r="E3140" s="74" t="s">
        <v>9558</v>
      </c>
      <c r="F3140" s="74"/>
      <c r="G3140" s="76"/>
      <c r="H3140" s="77"/>
      <c r="I3140" s="76"/>
      <c r="J3140" s="77"/>
      <c r="K3140" s="77"/>
      <c r="L3140" s="76"/>
      <c r="M3140" s="76"/>
      <c r="N3140" s="76"/>
      <c r="O3140" s="76"/>
      <c r="P3140" s="76"/>
      <c r="Q3140" s="76"/>
      <c r="R3140" s="76"/>
      <c r="S3140" s="76"/>
      <c r="BD3140" s="99">
        <f t="shared" si="104"/>
        <v>0</v>
      </c>
      <c r="CC3140" s="99"/>
      <c r="CV3140" s="99"/>
      <c r="CW3140" s="63"/>
    </row>
    <row r="3141" spans="1:101" x14ac:dyDescent="0.15">
      <c r="A3141" s="76">
        <v>2908</v>
      </c>
      <c r="B3141" s="74" t="s">
        <v>3431</v>
      </c>
      <c r="C3141" s="74">
        <v>996259147</v>
      </c>
      <c r="D3141" s="78" t="str">
        <f t="shared" ref="D3141:D3207" si="105">HYPERLINK(CONCATENATE("https://portal.dnb.de/opac.htm?method=simpleSearch&amp;cqlMode=true&amp;query=idn%3D",C3141))</f>
        <v>https://portal.dnb.de/opac.htm?method=simpleSearch&amp;cqlMode=true&amp;query=idn%3D996259147</v>
      </c>
      <c r="E3141" s="74" t="s">
        <v>9556</v>
      </c>
      <c r="F3141" s="74"/>
      <c r="G3141" s="76"/>
      <c r="H3141" s="77"/>
      <c r="I3141" s="76"/>
      <c r="J3141" s="77"/>
      <c r="K3141" s="77"/>
      <c r="L3141" s="76"/>
      <c r="M3141" s="76"/>
      <c r="N3141" s="76"/>
      <c r="O3141" s="76"/>
      <c r="P3141" s="76"/>
      <c r="Q3141" s="76"/>
      <c r="R3141" s="76"/>
      <c r="S3141" s="76"/>
      <c r="BD3141" s="99">
        <f t="shared" si="104"/>
        <v>0</v>
      </c>
      <c r="CC3141" s="99"/>
      <c r="CV3141" s="99"/>
      <c r="CW3141" s="63"/>
    </row>
    <row r="3142" spans="1:101" x14ac:dyDescent="0.15">
      <c r="A3142" s="76">
        <v>2909</v>
      </c>
      <c r="B3142" s="74" t="s">
        <v>3432</v>
      </c>
      <c r="C3142" s="74">
        <v>996259260</v>
      </c>
      <c r="D3142" s="82" t="str">
        <f>HYPERLINK(CONCATENATE("https://portal.dnb.de/opac.htm?method=simpleSearch&amp;cqlMode=true&amp;query=idn%3D",C3142))</f>
        <v>https://portal.dnb.de/opac.htm?method=simpleSearch&amp;cqlMode=true&amp;query=idn%3D996259260</v>
      </c>
      <c r="E3142" s="74" t="s">
        <v>9557</v>
      </c>
      <c r="F3142" s="74"/>
      <c r="G3142" s="76"/>
      <c r="H3142" s="77"/>
      <c r="I3142" s="76"/>
      <c r="J3142" s="77"/>
      <c r="K3142" s="77"/>
      <c r="L3142" s="76"/>
      <c r="M3142" s="76"/>
      <c r="N3142" s="76"/>
      <c r="O3142" s="76"/>
      <c r="P3142" s="76"/>
      <c r="Q3142" s="76"/>
      <c r="R3142" s="76"/>
      <c r="S3142" s="76"/>
      <c r="BD3142" s="99">
        <f t="shared" si="104"/>
        <v>0</v>
      </c>
      <c r="CC3142" s="99"/>
      <c r="CV3142" s="99"/>
      <c r="CW3142" s="63"/>
    </row>
    <row r="3143" spans="1:101" x14ac:dyDescent="0.15">
      <c r="A3143" s="76">
        <v>2910</v>
      </c>
      <c r="B3143" s="74" t="s">
        <v>3433</v>
      </c>
      <c r="C3143" s="74" t="s">
        <v>3434</v>
      </c>
      <c r="D3143" s="82" t="str">
        <f>HYPERLINK(CONCATENATE("https://portal.dnb.de/opac.htm?method=simpleSearch&amp;cqlMode=true&amp;query=idn%3D",C3143))</f>
        <v>https://portal.dnb.de/opac.htm?method=simpleSearch&amp;cqlMode=true&amp;query=idn%3D99598221X</v>
      </c>
      <c r="E3143" s="74" t="s">
        <v>9559</v>
      </c>
      <c r="F3143" s="74"/>
      <c r="G3143" s="76"/>
      <c r="H3143" s="77"/>
      <c r="I3143" s="76"/>
      <c r="J3143" s="77"/>
      <c r="K3143" s="77"/>
      <c r="L3143" s="76"/>
      <c r="M3143" s="76"/>
      <c r="N3143" s="76"/>
      <c r="O3143" s="76"/>
      <c r="P3143" s="76"/>
      <c r="Q3143" s="76"/>
      <c r="R3143" s="76"/>
      <c r="S3143" s="76"/>
      <c r="BD3143" s="99">
        <f t="shared" si="104"/>
        <v>0</v>
      </c>
      <c r="CC3143" s="99"/>
      <c r="CV3143" s="99"/>
      <c r="CW3143" s="63"/>
    </row>
    <row r="3144" spans="1:101" ht="22.5" x14ac:dyDescent="0.15">
      <c r="A3144" s="76">
        <v>2911</v>
      </c>
      <c r="B3144" s="74" t="s">
        <v>3439</v>
      </c>
      <c r="C3144" s="74">
        <v>999255827</v>
      </c>
      <c r="D3144" s="78" t="str">
        <f t="shared" si="105"/>
        <v>https://portal.dnb.de/opac.htm?method=simpleSearch&amp;cqlMode=true&amp;query=idn%3D999255827</v>
      </c>
      <c r="E3144" s="74" t="s">
        <v>3440</v>
      </c>
      <c r="F3144" s="74"/>
      <c r="G3144" s="76" t="s">
        <v>8515</v>
      </c>
      <c r="H3144" s="77" t="s">
        <v>18</v>
      </c>
      <c r="I3144" s="76" t="s">
        <v>53</v>
      </c>
      <c r="J3144" s="77"/>
      <c r="K3144" s="77"/>
      <c r="L3144" s="76"/>
      <c r="M3144" s="76"/>
      <c r="N3144" s="76"/>
      <c r="O3144" s="76"/>
      <c r="P3144" s="76"/>
      <c r="Q3144" s="76"/>
      <c r="R3144" s="76"/>
      <c r="S3144" s="76"/>
      <c r="BD3144" s="99">
        <f t="shared" si="104"/>
        <v>0</v>
      </c>
      <c r="CC3144" s="99"/>
      <c r="CV3144" s="99"/>
      <c r="CW3144" s="63"/>
    </row>
    <row r="3145" spans="1:101" x14ac:dyDescent="0.15">
      <c r="A3145" s="76">
        <v>2912</v>
      </c>
      <c r="B3145" s="74" t="s">
        <v>3441</v>
      </c>
      <c r="C3145" s="74">
        <v>996591680</v>
      </c>
      <c r="D3145" s="82" t="str">
        <f>HYPERLINK(CONCATENATE("https://portal.dnb.de/opac.htm?method=simpleSearch&amp;cqlMode=true&amp;query=idn%3D",C3145))</f>
        <v>https://portal.dnb.de/opac.htm?method=simpleSearch&amp;cqlMode=true&amp;query=idn%3D996591680</v>
      </c>
      <c r="E3145" s="74" t="s">
        <v>9584</v>
      </c>
      <c r="F3145" s="74"/>
      <c r="G3145" s="76" t="s">
        <v>8515</v>
      </c>
      <c r="H3145" s="77" t="s">
        <v>48</v>
      </c>
      <c r="I3145" s="76" t="s">
        <v>53</v>
      </c>
      <c r="J3145" s="77" t="s">
        <v>58</v>
      </c>
      <c r="K3145" s="77" t="s">
        <v>84</v>
      </c>
      <c r="L3145" s="76"/>
      <c r="M3145" s="76" t="s">
        <v>36</v>
      </c>
      <c r="N3145" s="76" t="s">
        <v>39</v>
      </c>
      <c r="O3145" s="76">
        <v>0</v>
      </c>
      <c r="P3145" s="76"/>
      <c r="Q3145" s="76"/>
      <c r="R3145" s="76"/>
      <c r="S3145" s="76"/>
      <c r="BD3145" s="99">
        <f t="shared" si="104"/>
        <v>0</v>
      </c>
      <c r="CC3145" s="99"/>
      <c r="CV3145" s="99"/>
      <c r="CW3145" s="63"/>
    </row>
    <row r="3146" spans="1:101" x14ac:dyDescent="0.15">
      <c r="A3146" s="76">
        <v>2913</v>
      </c>
      <c r="B3146" s="74" t="s">
        <v>3442</v>
      </c>
      <c r="C3146" s="74">
        <v>996591710</v>
      </c>
      <c r="D3146" s="82" t="str">
        <f>HYPERLINK(CONCATENATE("https://portal.dnb.de/opac.htm?method=simpleSearch&amp;cqlMode=true&amp;query=idn%3D",C3146))</f>
        <v>https://portal.dnb.de/opac.htm?method=simpleSearch&amp;cqlMode=true&amp;query=idn%3D996591710</v>
      </c>
      <c r="E3146" s="74" t="s">
        <v>9585</v>
      </c>
      <c r="F3146" s="74"/>
      <c r="G3146" s="76"/>
      <c r="H3146" s="77"/>
      <c r="I3146" s="76"/>
      <c r="J3146" s="77"/>
      <c r="K3146" s="77"/>
      <c r="L3146" s="76"/>
      <c r="M3146" s="76"/>
      <c r="N3146" s="76"/>
      <c r="O3146" s="76"/>
      <c r="P3146" s="76"/>
      <c r="Q3146" s="76"/>
      <c r="R3146" s="76"/>
      <c r="S3146" s="76"/>
      <c r="BD3146" s="99">
        <f t="shared" si="104"/>
        <v>0</v>
      </c>
      <c r="CC3146" s="99"/>
      <c r="CV3146" s="99"/>
      <c r="CW3146" s="63"/>
    </row>
    <row r="3147" spans="1:101" x14ac:dyDescent="0.15">
      <c r="A3147" s="76">
        <v>2914</v>
      </c>
      <c r="B3147" s="74" t="s">
        <v>3443</v>
      </c>
      <c r="C3147" s="74" t="s">
        <v>3444</v>
      </c>
      <c r="D3147" s="78" t="str">
        <f t="shared" si="105"/>
        <v>https://portal.dnb.de/opac.htm?method=simpleSearch&amp;cqlMode=true&amp;query=idn%3D99556390X</v>
      </c>
      <c r="E3147" s="74" t="s">
        <v>3445</v>
      </c>
      <c r="F3147" s="74"/>
      <c r="G3147" s="76"/>
      <c r="H3147" s="77"/>
      <c r="I3147" s="76"/>
      <c r="J3147" s="77"/>
      <c r="K3147" s="77"/>
      <c r="L3147" s="76"/>
      <c r="M3147" s="76"/>
      <c r="N3147" s="76"/>
      <c r="O3147" s="76"/>
      <c r="P3147" s="76"/>
      <c r="Q3147" s="76"/>
      <c r="R3147" s="76"/>
      <c r="S3147" s="76"/>
      <c r="BD3147" s="99">
        <f t="shared" si="104"/>
        <v>0</v>
      </c>
      <c r="CC3147" s="99"/>
      <c r="CV3147" s="99"/>
      <c r="CW3147" s="63"/>
    </row>
    <row r="3148" spans="1:101" x14ac:dyDescent="0.15">
      <c r="A3148" s="76">
        <v>2915</v>
      </c>
      <c r="B3148" s="74" t="s">
        <v>3446</v>
      </c>
      <c r="C3148" s="74">
        <v>995564086</v>
      </c>
      <c r="D3148" s="78" t="str">
        <f t="shared" si="105"/>
        <v>https://portal.dnb.de/opac.htm?method=simpleSearch&amp;cqlMode=true&amp;query=idn%3D995564086</v>
      </c>
      <c r="E3148" s="74" t="s">
        <v>3445</v>
      </c>
      <c r="F3148" s="74"/>
      <c r="G3148" s="76"/>
      <c r="H3148" s="77"/>
      <c r="I3148" s="76"/>
      <c r="J3148" s="77"/>
      <c r="K3148" s="77"/>
      <c r="L3148" s="76"/>
      <c r="M3148" s="76"/>
      <c r="N3148" s="76"/>
      <c r="O3148" s="76"/>
      <c r="P3148" s="76"/>
      <c r="Q3148" s="76"/>
      <c r="R3148" s="76"/>
      <c r="S3148" s="76"/>
      <c r="BD3148" s="99">
        <f t="shared" si="104"/>
        <v>0</v>
      </c>
      <c r="CC3148" s="99"/>
      <c r="CV3148" s="99"/>
      <c r="CW3148" s="63"/>
    </row>
    <row r="3149" spans="1:101" x14ac:dyDescent="0.15">
      <c r="A3149" s="76">
        <v>2916</v>
      </c>
      <c r="B3149" s="74" t="s">
        <v>3447</v>
      </c>
      <c r="C3149" s="74">
        <v>999638041</v>
      </c>
      <c r="D3149" s="78" t="str">
        <f t="shared" si="105"/>
        <v>https://portal.dnb.de/opac.htm?method=simpleSearch&amp;cqlMode=true&amp;query=idn%3D999638041</v>
      </c>
      <c r="E3149" s="74" t="s">
        <v>3448</v>
      </c>
      <c r="F3149" s="74"/>
      <c r="G3149" s="76"/>
      <c r="H3149" s="77"/>
      <c r="I3149" s="76"/>
      <c r="J3149" s="77"/>
      <c r="K3149" s="77"/>
      <c r="L3149" s="76"/>
      <c r="M3149" s="76"/>
      <c r="N3149" s="76"/>
      <c r="O3149" s="76"/>
      <c r="P3149" s="76"/>
      <c r="Q3149" s="76"/>
      <c r="R3149" s="76"/>
      <c r="S3149" s="76"/>
      <c r="BD3149" s="99">
        <f t="shared" si="104"/>
        <v>0</v>
      </c>
      <c r="CC3149" s="99"/>
      <c r="CV3149" s="99"/>
      <c r="CW3149" s="63"/>
    </row>
    <row r="3150" spans="1:101" x14ac:dyDescent="0.15">
      <c r="A3150" s="76">
        <v>2917</v>
      </c>
      <c r="B3150" s="74" t="s">
        <v>3449</v>
      </c>
      <c r="C3150" s="74">
        <v>1002026105</v>
      </c>
      <c r="D3150" s="78" t="str">
        <f t="shared" si="105"/>
        <v>https://portal.dnb.de/opac.htm?method=simpleSearch&amp;cqlMode=true&amp;query=idn%3D1002026105</v>
      </c>
      <c r="E3150" s="74" t="s">
        <v>3450</v>
      </c>
      <c r="F3150" s="74"/>
      <c r="G3150" s="76"/>
      <c r="H3150" s="77"/>
      <c r="I3150" s="76"/>
      <c r="J3150" s="77"/>
      <c r="K3150" s="77"/>
      <c r="L3150" s="76"/>
      <c r="M3150" s="76"/>
      <c r="N3150" s="76"/>
      <c r="O3150" s="76"/>
      <c r="P3150" s="76"/>
      <c r="Q3150" s="76"/>
      <c r="R3150" s="76"/>
      <c r="S3150" s="76"/>
      <c r="BD3150" s="99">
        <f t="shared" si="104"/>
        <v>0</v>
      </c>
      <c r="CC3150" s="99"/>
      <c r="CV3150" s="99"/>
      <c r="CW3150" s="63"/>
    </row>
    <row r="3151" spans="1:101" x14ac:dyDescent="0.15">
      <c r="A3151" s="76">
        <v>2918</v>
      </c>
      <c r="B3151" s="74" t="s">
        <v>3451</v>
      </c>
      <c r="C3151" s="74" t="s">
        <v>3452</v>
      </c>
      <c r="D3151" s="78" t="str">
        <f t="shared" si="105"/>
        <v>https://portal.dnb.de/opac.htm?method=simpleSearch&amp;cqlMode=true&amp;query=idn%3D99440607X</v>
      </c>
      <c r="E3151" s="74" t="s">
        <v>3453</v>
      </c>
      <c r="F3151" s="74"/>
      <c r="G3151" s="76"/>
      <c r="H3151" s="77"/>
      <c r="I3151" s="76"/>
      <c r="J3151" s="77"/>
      <c r="K3151" s="77"/>
      <c r="L3151" s="76"/>
      <c r="M3151" s="76"/>
      <c r="N3151" s="76"/>
      <c r="O3151" s="76"/>
      <c r="P3151" s="76"/>
      <c r="Q3151" s="76"/>
      <c r="R3151" s="76"/>
      <c r="S3151" s="76"/>
      <c r="BD3151" s="99">
        <f t="shared" si="104"/>
        <v>0</v>
      </c>
      <c r="CC3151" s="99"/>
      <c r="CV3151" s="99"/>
      <c r="CW3151" s="63"/>
    </row>
    <row r="3152" spans="1:101" ht="22.5" x14ac:dyDescent="0.15">
      <c r="A3152" s="76">
        <v>2919</v>
      </c>
      <c r="B3152" s="74" t="s">
        <v>3454</v>
      </c>
      <c r="C3152" s="74">
        <v>997107642</v>
      </c>
      <c r="D3152" s="78" t="str">
        <f t="shared" si="105"/>
        <v>https://portal.dnb.de/opac.htm?method=simpleSearch&amp;cqlMode=true&amp;query=idn%3D997107642</v>
      </c>
      <c r="E3152" s="74" t="s">
        <v>9586</v>
      </c>
      <c r="F3152" s="74"/>
      <c r="G3152" s="76"/>
      <c r="H3152" s="77" t="s">
        <v>18</v>
      </c>
      <c r="I3152" s="76" t="s">
        <v>53</v>
      </c>
      <c r="J3152" s="77" t="s">
        <v>58</v>
      </c>
      <c r="K3152" s="77" t="s">
        <v>84</v>
      </c>
      <c r="L3152" s="76"/>
      <c r="M3152" s="76"/>
      <c r="N3152" s="76"/>
      <c r="O3152" s="76">
        <v>1</v>
      </c>
      <c r="P3152" s="76"/>
      <c r="Q3152" s="76"/>
      <c r="R3152" s="76"/>
      <c r="S3152" s="76"/>
      <c r="BD3152" s="99">
        <f t="shared" si="104"/>
        <v>0</v>
      </c>
      <c r="CC3152" s="99"/>
      <c r="CV3152" s="99"/>
      <c r="CW3152" s="63"/>
    </row>
    <row r="3153" spans="1:101" ht="22.5" x14ac:dyDescent="0.15">
      <c r="A3153" s="76">
        <v>2920</v>
      </c>
      <c r="B3153" s="74" t="s">
        <v>3455</v>
      </c>
      <c r="C3153" s="74">
        <v>997107596</v>
      </c>
      <c r="D3153" s="78" t="str">
        <f t="shared" si="105"/>
        <v>https://portal.dnb.de/opac.htm?method=simpleSearch&amp;cqlMode=true&amp;query=idn%3D997107596</v>
      </c>
      <c r="E3153" s="74" t="s">
        <v>9587</v>
      </c>
      <c r="F3153" s="74"/>
      <c r="G3153" s="76"/>
      <c r="H3153" s="77" t="s">
        <v>18</v>
      </c>
      <c r="I3153" s="76" t="s">
        <v>53</v>
      </c>
      <c r="J3153" s="77" t="s">
        <v>58</v>
      </c>
      <c r="K3153" s="77" t="s">
        <v>84</v>
      </c>
      <c r="L3153" s="76"/>
      <c r="M3153" s="76"/>
      <c r="N3153" s="76"/>
      <c r="O3153" s="76">
        <v>2</v>
      </c>
      <c r="P3153" s="76"/>
      <c r="Q3153" s="76"/>
      <c r="R3153" s="76"/>
      <c r="S3153" s="76"/>
      <c r="BD3153" s="99">
        <f t="shared" si="104"/>
        <v>0</v>
      </c>
      <c r="CC3153" s="99"/>
      <c r="CV3153" s="99"/>
      <c r="CW3153" s="63"/>
    </row>
    <row r="3154" spans="1:101" x14ac:dyDescent="0.15">
      <c r="A3154" s="76">
        <v>2921</v>
      </c>
      <c r="B3154" s="74" t="s">
        <v>3456</v>
      </c>
      <c r="C3154" s="74" t="s">
        <v>3457</v>
      </c>
      <c r="D3154" s="82" t="str">
        <f>HYPERLINK(CONCATENATE("https://portal.dnb.de/opac.htm?method=simpleSearch&amp;cqlMode=true&amp;query=idn%3D",C3154))</f>
        <v>https://portal.dnb.de/opac.htm?method=simpleSearch&amp;cqlMode=true&amp;query=idn%3D100153882X</v>
      </c>
      <c r="E3154" s="74" t="s">
        <v>9582</v>
      </c>
      <c r="F3154" s="74"/>
      <c r="G3154" s="76" t="s">
        <v>8515</v>
      </c>
      <c r="H3154" s="77" t="s">
        <v>4</v>
      </c>
      <c r="I3154" s="76" t="s">
        <v>53</v>
      </c>
      <c r="J3154" s="77" t="s">
        <v>58</v>
      </c>
      <c r="K3154" s="77" t="s">
        <v>8520</v>
      </c>
      <c r="L3154" s="76"/>
      <c r="M3154" s="76"/>
      <c r="N3154" s="76" t="s">
        <v>8660</v>
      </c>
      <c r="O3154" s="76">
        <v>2</v>
      </c>
      <c r="P3154" s="76"/>
      <c r="Q3154" s="76"/>
      <c r="R3154" s="76"/>
      <c r="S3154" s="76"/>
      <c r="BD3154" s="99">
        <f t="shared" si="104"/>
        <v>0</v>
      </c>
      <c r="CC3154" s="99"/>
      <c r="CV3154" s="99"/>
      <c r="CW3154" s="63"/>
    </row>
    <row r="3155" spans="1:101" x14ac:dyDescent="0.15">
      <c r="A3155" s="76">
        <v>2922</v>
      </c>
      <c r="B3155" s="74" t="s">
        <v>3458</v>
      </c>
      <c r="C3155" s="74">
        <v>1001538870</v>
      </c>
      <c r="D3155" s="78" t="str">
        <f t="shared" si="105"/>
        <v>https://portal.dnb.de/opac.htm?method=simpleSearch&amp;cqlMode=true&amp;query=idn%3D1001538870</v>
      </c>
      <c r="E3155" s="74" t="s">
        <v>9583</v>
      </c>
      <c r="F3155" s="74"/>
      <c r="G3155" s="76"/>
      <c r="H3155" s="77"/>
      <c r="I3155" s="76"/>
      <c r="J3155" s="77"/>
      <c r="K3155" s="77"/>
      <c r="L3155" s="76"/>
      <c r="M3155" s="76"/>
      <c r="N3155" s="76"/>
      <c r="O3155" s="76"/>
      <c r="P3155" s="76"/>
      <c r="Q3155" s="76"/>
      <c r="R3155" s="76"/>
      <c r="S3155" s="76"/>
      <c r="BD3155" s="99">
        <f t="shared" si="104"/>
        <v>0</v>
      </c>
      <c r="CC3155" s="99"/>
      <c r="CV3155" s="99"/>
      <c r="CW3155" s="63"/>
    </row>
    <row r="3156" spans="1:101" x14ac:dyDescent="0.15">
      <c r="A3156" s="76">
        <v>2923</v>
      </c>
      <c r="B3156" s="74" t="s">
        <v>3459</v>
      </c>
      <c r="C3156" s="74">
        <v>994261004</v>
      </c>
      <c r="D3156" s="78" t="str">
        <f t="shared" si="105"/>
        <v>https://portal.dnb.de/opac.htm?method=simpleSearch&amp;cqlMode=true&amp;query=idn%3D994261004</v>
      </c>
      <c r="E3156" s="74" t="s">
        <v>3460</v>
      </c>
      <c r="F3156" s="74"/>
      <c r="G3156" s="76"/>
      <c r="H3156" s="77"/>
      <c r="I3156" s="76"/>
      <c r="J3156" s="77"/>
      <c r="K3156" s="77"/>
      <c r="L3156" s="76"/>
      <c r="M3156" s="76"/>
      <c r="N3156" s="76"/>
      <c r="O3156" s="76"/>
      <c r="P3156" s="76"/>
      <c r="Q3156" s="76"/>
      <c r="R3156" s="76"/>
      <c r="S3156" s="76"/>
      <c r="BD3156" s="99">
        <f t="shared" si="104"/>
        <v>0</v>
      </c>
      <c r="CC3156" s="99"/>
      <c r="CV3156" s="99"/>
      <c r="CW3156" s="63"/>
    </row>
    <row r="3157" spans="1:101" x14ac:dyDescent="0.15">
      <c r="A3157" s="76">
        <v>2924</v>
      </c>
      <c r="B3157" s="74" t="s">
        <v>3461</v>
      </c>
      <c r="C3157" s="74">
        <v>994261039</v>
      </c>
      <c r="D3157" s="78" t="str">
        <f t="shared" si="105"/>
        <v>https://portal.dnb.de/opac.htm?method=simpleSearch&amp;cqlMode=true&amp;query=idn%3D994261039</v>
      </c>
      <c r="E3157" s="74" t="s">
        <v>3460</v>
      </c>
      <c r="F3157" s="74"/>
      <c r="G3157" s="76"/>
      <c r="H3157" s="77"/>
      <c r="I3157" s="76"/>
      <c r="J3157" s="77"/>
      <c r="K3157" s="77"/>
      <c r="L3157" s="76"/>
      <c r="M3157" s="76"/>
      <c r="N3157" s="76"/>
      <c r="O3157" s="76"/>
      <c r="P3157" s="76"/>
      <c r="Q3157" s="76"/>
      <c r="R3157" s="76"/>
      <c r="S3157" s="76"/>
      <c r="BD3157" s="99">
        <f t="shared" si="104"/>
        <v>0</v>
      </c>
      <c r="CC3157" s="99"/>
      <c r="CV3157" s="99"/>
      <c r="CW3157" s="63"/>
    </row>
    <row r="3158" spans="1:101" x14ac:dyDescent="0.15">
      <c r="A3158" s="76">
        <v>2925</v>
      </c>
      <c r="B3158" s="74" t="s">
        <v>3473</v>
      </c>
      <c r="C3158" s="74">
        <v>996228470</v>
      </c>
      <c r="D3158" s="78" t="str">
        <f t="shared" si="105"/>
        <v>https://portal.dnb.de/opac.htm?method=simpleSearch&amp;cqlMode=true&amp;query=idn%3D996228470</v>
      </c>
      <c r="E3158" s="74" t="s">
        <v>3474</v>
      </c>
      <c r="F3158" s="74"/>
      <c r="G3158" s="76"/>
      <c r="H3158" s="77" t="s">
        <v>5</v>
      </c>
      <c r="I3158" s="76" t="s">
        <v>53</v>
      </c>
      <c r="J3158" s="77" t="s">
        <v>8516</v>
      </c>
      <c r="K3158" s="77" t="s">
        <v>62</v>
      </c>
      <c r="L3158" s="76"/>
      <c r="M3158" s="76" t="s">
        <v>36</v>
      </c>
      <c r="N3158" s="76" t="s">
        <v>40</v>
      </c>
      <c r="O3158" s="76">
        <v>1</v>
      </c>
      <c r="P3158" s="76"/>
      <c r="Q3158" s="76"/>
      <c r="R3158" s="76"/>
      <c r="S3158" s="76"/>
      <c r="BD3158" s="99">
        <f t="shared" si="104"/>
        <v>0</v>
      </c>
      <c r="CC3158" s="99"/>
      <c r="CV3158" s="99"/>
      <c r="CW3158" s="63"/>
    </row>
    <row r="3159" spans="1:101" x14ac:dyDescent="0.15">
      <c r="A3159" s="76">
        <v>2926</v>
      </c>
      <c r="B3159" s="74" t="s">
        <v>3475</v>
      </c>
      <c r="C3159" s="74">
        <v>1000344177</v>
      </c>
      <c r="D3159" s="78" t="str">
        <f t="shared" si="105"/>
        <v>https://portal.dnb.de/opac.htm?method=simpleSearch&amp;cqlMode=true&amp;query=idn%3D1000344177</v>
      </c>
      <c r="E3159" s="74" t="s">
        <v>3474</v>
      </c>
      <c r="F3159" s="74"/>
      <c r="G3159" s="76"/>
      <c r="H3159" s="77"/>
      <c r="I3159" s="76"/>
      <c r="J3159" s="77"/>
      <c r="K3159" s="77"/>
      <c r="L3159" s="76"/>
      <c r="M3159" s="76"/>
      <c r="N3159" s="76"/>
      <c r="O3159" s="76"/>
      <c r="P3159" s="76"/>
      <c r="Q3159" s="76"/>
      <c r="R3159" s="76"/>
      <c r="S3159" s="76"/>
      <c r="BD3159" s="99">
        <f t="shared" si="104"/>
        <v>0</v>
      </c>
      <c r="CC3159" s="99"/>
      <c r="CV3159" s="99"/>
      <c r="CW3159" s="63"/>
    </row>
    <row r="3160" spans="1:101" x14ac:dyDescent="0.15">
      <c r="A3160" s="76">
        <v>2927</v>
      </c>
      <c r="B3160" s="74" t="s">
        <v>3481</v>
      </c>
      <c r="C3160" s="74">
        <v>994563612</v>
      </c>
      <c r="D3160" s="78" t="str">
        <f t="shared" si="105"/>
        <v>https://portal.dnb.de/opac.htm?method=simpleSearch&amp;cqlMode=true&amp;query=idn%3D994563612</v>
      </c>
      <c r="E3160" s="74" t="s">
        <v>3482</v>
      </c>
      <c r="F3160" s="74"/>
      <c r="G3160" s="76" t="s">
        <v>8515</v>
      </c>
      <c r="H3160" s="77" t="s">
        <v>49</v>
      </c>
      <c r="I3160" s="76" t="s">
        <v>53</v>
      </c>
      <c r="J3160" s="77" t="s">
        <v>8516</v>
      </c>
      <c r="K3160" s="77" t="s">
        <v>84</v>
      </c>
      <c r="L3160" s="76"/>
      <c r="M3160" s="76"/>
      <c r="N3160" s="76"/>
      <c r="O3160" s="76"/>
      <c r="P3160" s="76"/>
      <c r="Q3160" s="76"/>
      <c r="R3160" s="76"/>
      <c r="S3160" s="76"/>
      <c r="BD3160" s="99">
        <f t="shared" si="104"/>
        <v>0</v>
      </c>
      <c r="CC3160" s="99"/>
      <c r="CV3160" s="99"/>
      <c r="CW3160" s="63"/>
    </row>
    <row r="3161" spans="1:101" x14ac:dyDescent="0.15">
      <c r="A3161" s="76">
        <v>2928</v>
      </c>
      <c r="B3161" s="74" t="s">
        <v>3483</v>
      </c>
      <c r="C3161" s="74">
        <v>997419245</v>
      </c>
      <c r="D3161" s="78" t="str">
        <f t="shared" si="105"/>
        <v>https://portal.dnb.de/opac.htm?method=simpleSearch&amp;cqlMode=true&amp;query=idn%3D997419245</v>
      </c>
      <c r="E3161" s="74" t="s">
        <v>3484</v>
      </c>
      <c r="F3161" s="74"/>
      <c r="G3161" s="76"/>
      <c r="H3161" s="77" t="s">
        <v>5</v>
      </c>
      <c r="I3161" s="76" t="s">
        <v>53</v>
      </c>
      <c r="J3161" s="77" t="s">
        <v>8516</v>
      </c>
      <c r="K3161" s="77" t="s">
        <v>72</v>
      </c>
      <c r="L3161" s="76"/>
      <c r="M3161" s="76" t="s">
        <v>36</v>
      </c>
      <c r="N3161" s="76" t="s">
        <v>39</v>
      </c>
      <c r="O3161" s="76">
        <v>0</v>
      </c>
      <c r="P3161" s="76"/>
      <c r="Q3161" s="76"/>
      <c r="R3161" s="76"/>
      <c r="S3161" s="76"/>
      <c r="BD3161" s="99">
        <f t="shared" si="104"/>
        <v>0</v>
      </c>
      <c r="CC3161" s="99"/>
      <c r="CV3161" s="99"/>
      <c r="CW3161" s="63"/>
    </row>
    <row r="3162" spans="1:101" x14ac:dyDescent="0.15">
      <c r="A3162" s="76">
        <v>2929</v>
      </c>
      <c r="B3162" s="74" t="s">
        <v>3485</v>
      </c>
      <c r="C3162" s="74">
        <v>997038292</v>
      </c>
      <c r="D3162" s="78" t="str">
        <f t="shared" si="105"/>
        <v>https://portal.dnb.de/opac.htm?method=simpleSearch&amp;cqlMode=true&amp;query=idn%3D997038292</v>
      </c>
      <c r="E3162" s="74" t="s">
        <v>3486</v>
      </c>
      <c r="F3162" s="74"/>
      <c r="G3162" s="76" t="s">
        <v>8515</v>
      </c>
      <c r="H3162" s="77" t="s">
        <v>5</v>
      </c>
      <c r="I3162" s="76" t="s">
        <v>53</v>
      </c>
      <c r="J3162" s="77" t="s">
        <v>8516</v>
      </c>
      <c r="K3162" s="77" t="s">
        <v>8520</v>
      </c>
      <c r="L3162" s="76"/>
      <c r="M3162" s="76"/>
      <c r="N3162" s="76"/>
      <c r="O3162" s="76">
        <v>1</v>
      </c>
      <c r="P3162" s="76"/>
      <c r="Q3162" s="76"/>
      <c r="R3162" s="76"/>
      <c r="S3162" s="76"/>
      <c r="BD3162" s="99">
        <f t="shared" si="104"/>
        <v>0</v>
      </c>
      <c r="CC3162" s="99"/>
      <c r="CV3162" s="99"/>
      <c r="CW3162" s="63"/>
    </row>
    <row r="3163" spans="1:101" x14ac:dyDescent="0.15">
      <c r="A3163" s="76">
        <v>2930</v>
      </c>
      <c r="B3163" s="74" t="s">
        <v>3487</v>
      </c>
      <c r="C3163" s="74">
        <v>996066071</v>
      </c>
      <c r="D3163" s="78" t="str">
        <f t="shared" si="105"/>
        <v>https://portal.dnb.de/opac.htm?method=simpleSearch&amp;cqlMode=true&amp;query=idn%3D996066071</v>
      </c>
      <c r="E3163" s="74" t="s">
        <v>3488</v>
      </c>
      <c r="F3163" s="74"/>
      <c r="G3163" s="76"/>
      <c r="H3163" s="77"/>
      <c r="I3163" s="76"/>
      <c r="J3163" s="77"/>
      <c r="K3163" s="77"/>
      <c r="L3163" s="76"/>
      <c r="M3163" s="76"/>
      <c r="N3163" s="76"/>
      <c r="O3163" s="76"/>
      <c r="P3163" s="76"/>
      <c r="Q3163" s="76"/>
      <c r="R3163" s="76"/>
      <c r="S3163" s="76"/>
      <c r="BD3163" s="99">
        <f t="shared" si="104"/>
        <v>0</v>
      </c>
      <c r="CC3163" s="99"/>
      <c r="CV3163" s="99"/>
      <c r="CW3163" s="63"/>
    </row>
    <row r="3164" spans="1:101" ht="22.5" x14ac:dyDescent="0.15">
      <c r="A3164" s="76">
        <v>2931</v>
      </c>
      <c r="B3164" s="74" t="s">
        <v>3489</v>
      </c>
      <c r="C3164" s="74">
        <v>996066667</v>
      </c>
      <c r="D3164" s="78" t="str">
        <f t="shared" si="105"/>
        <v>https://portal.dnb.de/opac.htm?method=simpleSearch&amp;cqlMode=true&amp;query=idn%3D996066667</v>
      </c>
      <c r="E3164" s="74" t="s">
        <v>3488</v>
      </c>
      <c r="F3164" s="74"/>
      <c r="G3164" s="76"/>
      <c r="H3164" s="77" t="s">
        <v>48</v>
      </c>
      <c r="I3164" s="76" t="s">
        <v>53</v>
      </c>
      <c r="J3164" s="77" t="s">
        <v>8516</v>
      </c>
      <c r="K3164" s="77" t="s">
        <v>8565</v>
      </c>
      <c r="L3164" s="76"/>
      <c r="M3164" s="76" t="s">
        <v>38</v>
      </c>
      <c r="N3164" s="76" t="s">
        <v>40</v>
      </c>
      <c r="O3164" s="76">
        <v>0</v>
      </c>
      <c r="P3164" s="76"/>
      <c r="Q3164" s="76"/>
      <c r="R3164" s="76"/>
      <c r="S3164" s="76"/>
      <c r="BD3164" s="99">
        <f t="shared" si="104"/>
        <v>0</v>
      </c>
      <c r="CC3164" s="99"/>
      <c r="CV3164" s="99"/>
      <c r="CW3164" s="63"/>
    </row>
    <row r="3165" spans="1:101" x14ac:dyDescent="0.15">
      <c r="A3165" s="76">
        <v>2932</v>
      </c>
      <c r="B3165" s="74" t="s">
        <v>3490</v>
      </c>
      <c r="C3165" s="74">
        <v>12951668</v>
      </c>
      <c r="D3165" s="78" t="str">
        <f t="shared" si="105"/>
        <v>https://portal.dnb.de/opac.htm?method=simpleSearch&amp;cqlMode=true&amp;query=idn%3D12951668</v>
      </c>
      <c r="E3165" s="74" t="s">
        <v>3491</v>
      </c>
      <c r="F3165" s="74"/>
      <c r="G3165" s="76"/>
      <c r="H3165" s="77" t="s">
        <v>4</v>
      </c>
      <c r="I3165" s="76" t="s">
        <v>53</v>
      </c>
      <c r="J3165" s="77" t="s">
        <v>8516</v>
      </c>
      <c r="K3165" s="77" t="s">
        <v>84</v>
      </c>
      <c r="L3165" s="76"/>
      <c r="M3165" s="76" t="s">
        <v>36</v>
      </c>
      <c r="N3165" s="76" t="s">
        <v>39</v>
      </c>
      <c r="O3165" s="76">
        <v>0</v>
      </c>
      <c r="P3165" s="76"/>
      <c r="Q3165" s="76" t="s">
        <v>9195</v>
      </c>
      <c r="R3165" s="76"/>
      <c r="S3165" s="76"/>
      <c r="BD3165" s="99">
        <f t="shared" si="104"/>
        <v>0</v>
      </c>
      <c r="CC3165" s="99"/>
      <c r="CV3165" s="99"/>
      <c r="CW3165" s="63"/>
    </row>
    <row r="3166" spans="1:101" x14ac:dyDescent="0.15">
      <c r="A3166" s="76">
        <v>2933</v>
      </c>
      <c r="B3166" s="74" t="s">
        <v>3492</v>
      </c>
      <c r="C3166" s="74">
        <v>1003230733</v>
      </c>
      <c r="D3166" s="78" t="str">
        <f t="shared" si="105"/>
        <v>https://portal.dnb.de/opac.htm?method=simpleSearch&amp;cqlMode=true&amp;query=idn%3D1003230733</v>
      </c>
      <c r="E3166" s="74" t="s">
        <v>3493</v>
      </c>
      <c r="F3166" s="74"/>
      <c r="G3166" s="76" t="s">
        <v>8515</v>
      </c>
      <c r="H3166" s="77" t="s">
        <v>48</v>
      </c>
      <c r="I3166" s="76" t="s">
        <v>53</v>
      </c>
      <c r="J3166" s="77" t="s">
        <v>8516</v>
      </c>
      <c r="K3166" s="77" t="s">
        <v>84</v>
      </c>
      <c r="L3166" s="76"/>
      <c r="M3166" s="76"/>
      <c r="N3166" s="76" t="s">
        <v>8660</v>
      </c>
      <c r="O3166" s="76">
        <v>0</v>
      </c>
      <c r="P3166" s="76"/>
      <c r="Q3166" s="76"/>
      <c r="R3166" s="76"/>
      <c r="S3166" s="76"/>
      <c r="BD3166" s="99">
        <f t="shared" si="104"/>
        <v>0</v>
      </c>
      <c r="CC3166" s="99"/>
      <c r="CV3166" s="99"/>
      <c r="CW3166" s="63"/>
    </row>
    <row r="3167" spans="1:101" x14ac:dyDescent="0.15">
      <c r="A3167" s="76">
        <v>2934</v>
      </c>
      <c r="B3167" s="74" t="s">
        <v>3494</v>
      </c>
      <c r="C3167" s="74">
        <v>1003232116</v>
      </c>
      <c r="D3167" s="78" t="str">
        <f t="shared" si="105"/>
        <v>https://portal.dnb.de/opac.htm?method=simpleSearch&amp;cqlMode=true&amp;query=idn%3D1003232116</v>
      </c>
      <c r="E3167" s="74" t="s">
        <v>3493</v>
      </c>
      <c r="F3167" s="74"/>
      <c r="G3167" s="76"/>
      <c r="H3167" s="77"/>
      <c r="I3167" s="76"/>
      <c r="J3167" s="77"/>
      <c r="K3167" s="77"/>
      <c r="L3167" s="76"/>
      <c r="M3167" s="76"/>
      <c r="N3167" s="76"/>
      <c r="O3167" s="76"/>
      <c r="P3167" s="76"/>
      <c r="Q3167" s="76"/>
      <c r="R3167" s="76"/>
      <c r="S3167" s="76"/>
      <c r="BD3167" s="99">
        <f t="shared" si="104"/>
        <v>0</v>
      </c>
      <c r="CC3167" s="99"/>
      <c r="CV3167" s="99"/>
      <c r="CW3167" s="63"/>
    </row>
    <row r="3168" spans="1:101" x14ac:dyDescent="0.15">
      <c r="A3168" s="76">
        <v>2935</v>
      </c>
      <c r="B3168" s="74" t="s">
        <v>3495</v>
      </c>
      <c r="C3168" s="74">
        <v>12608971</v>
      </c>
      <c r="D3168" s="82" t="str">
        <f>HYPERLINK(CONCATENATE("https://portal.dnb.de/opac.htm?method=simpleSearch&amp;cqlMode=true&amp;query=idn%3D",C3168))</f>
        <v>https://portal.dnb.de/opac.htm?method=simpleSearch&amp;cqlMode=true&amp;query=idn%3D12608971</v>
      </c>
      <c r="E3168" s="74" t="s">
        <v>9197</v>
      </c>
      <c r="F3168" s="74"/>
      <c r="G3168" s="76"/>
      <c r="H3168" s="77" t="s">
        <v>47</v>
      </c>
      <c r="I3168" s="76" t="s">
        <v>53</v>
      </c>
      <c r="J3168" s="77" t="s">
        <v>58</v>
      </c>
      <c r="K3168" s="77"/>
      <c r="L3168" s="76"/>
      <c r="M3168" s="76" t="s">
        <v>36</v>
      </c>
      <c r="N3168" s="76" t="s">
        <v>40</v>
      </c>
      <c r="O3168" s="76">
        <v>0</v>
      </c>
      <c r="P3168" s="76"/>
      <c r="Q3168" s="76"/>
      <c r="R3168" s="76"/>
      <c r="S3168" s="76"/>
      <c r="BD3168" s="99">
        <f t="shared" si="104"/>
        <v>0</v>
      </c>
      <c r="CC3168" s="99"/>
      <c r="CV3168" s="99"/>
      <c r="CW3168" s="63"/>
    </row>
    <row r="3169" spans="1:101" ht="22.5" x14ac:dyDescent="0.15">
      <c r="A3169" s="76">
        <v>2936</v>
      </c>
      <c r="B3169" s="74" t="s">
        <v>3496</v>
      </c>
      <c r="C3169" s="74" t="s">
        <v>3497</v>
      </c>
      <c r="D3169" s="78" t="str">
        <f t="shared" si="105"/>
        <v>https://portal.dnb.de/opac.htm?method=simpleSearch&amp;cqlMode=true&amp;query=idn%3D01260903X</v>
      </c>
      <c r="E3169" s="74" t="s">
        <v>9196</v>
      </c>
      <c r="F3169" s="74"/>
      <c r="G3169" s="76"/>
      <c r="H3169" s="77" t="s">
        <v>49</v>
      </c>
      <c r="I3169" s="76" t="s">
        <v>53</v>
      </c>
      <c r="J3169" s="77" t="s">
        <v>8516</v>
      </c>
      <c r="K3169" s="77" t="s">
        <v>8565</v>
      </c>
      <c r="L3169" s="76"/>
      <c r="M3169" s="76"/>
      <c r="N3169" s="76" t="s">
        <v>8660</v>
      </c>
      <c r="O3169" s="76">
        <v>0</v>
      </c>
      <c r="P3169" s="76"/>
      <c r="Q3169" s="76"/>
      <c r="R3169" s="76"/>
      <c r="S3169" s="76"/>
      <c r="BD3169" s="99">
        <f t="shared" si="104"/>
        <v>0</v>
      </c>
      <c r="CC3169" s="99"/>
      <c r="CV3169" s="99"/>
      <c r="CW3169" s="63"/>
    </row>
    <row r="3170" spans="1:101" x14ac:dyDescent="0.15">
      <c r="A3170" s="76"/>
      <c r="B3170" s="74"/>
      <c r="C3170" s="74"/>
      <c r="D3170" s="78"/>
      <c r="E3170" s="74" t="s">
        <v>9198</v>
      </c>
      <c r="F3170" s="74"/>
      <c r="G3170" s="76"/>
      <c r="H3170" s="77" t="s">
        <v>47</v>
      </c>
      <c r="I3170" s="76" t="s">
        <v>53</v>
      </c>
      <c r="J3170" s="77" t="s">
        <v>58</v>
      </c>
      <c r="K3170" s="77"/>
      <c r="L3170" s="76"/>
      <c r="M3170" s="76" t="s">
        <v>36</v>
      </c>
      <c r="N3170" s="76" t="s">
        <v>40</v>
      </c>
      <c r="O3170" s="76">
        <v>0</v>
      </c>
      <c r="P3170" s="76"/>
      <c r="Q3170" s="76"/>
      <c r="R3170" s="76"/>
      <c r="S3170" s="76"/>
      <c r="BD3170" s="99">
        <f t="shared" si="104"/>
        <v>0</v>
      </c>
      <c r="CC3170" s="99"/>
      <c r="CV3170" s="99"/>
      <c r="CW3170" s="63"/>
    </row>
    <row r="3171" spans="1:101" x14ac:dyDescent="0.15">
      <c r="A3171" s="76">
        <v>2937</v>
      </c>
      <c r="B3171" s="74" t="s">
        <v>3498</v>
      </c>
      <c r="C3171" s="74">
        <v>12673463</v>
      </c>
      <c r="D3171" s="78" t="str">
        <f t="shared" si="105"/>
        <v>https://portal.dnb.de/opac.htm?method=simpleSearch&amp;cqlMode=true&amp;query=idn%3D12673463</v>
      </c>
      <c r="E3171" s="74" t="s">
        <v>9199</v>
      </c>
      <c r="F3171" s="74"/>
      <c r="G3171" s="76" t="s">
        <v>8515</v>
      </c>
      <c r="H3171" s="77" t="s">
        <v>48</v>
      </c>
      <c r="I3171" s="76" t="s">
        <v>53</v>
      </c>
      <c r="J3171" s="77" t="s">
        <v>8516</v>
      </c>
      <c r="K3171" s="77" t="s">
        <v>84</v>
      </c>
      <c r="L3171" s="76"/>
      <c r="M3171" s="76" t="s">
        <v>36</v>
      </c>
      <c r="N3171" s="76" t="s">
        <v>39</v>
      </c>
      <c r="O3171" s="76">
        <v>1</v>
      </c>
      <c r="P3171" s="76"/>
      <c r="Q3171" s="76"/>
      <c r="R3171" s="76"/>
      <c r="S3171" s="76"/>
      <c r="BD3171" s="99">
        <f t="shared" si="104"/>
        <v>0</v>
      </c>
      <c r="CC3171" s="99"/>
      <c r="CV3171" s="99"/>
      <c r="CW3171" s="63"/>
    </row>
    <row r="3172" spans="1:101" x14ac:dyDescent="0.15">
      <c r="A3172" s="76"/>
      <c r="B3172" s="74"/>
      <c r="C3172" s="74"/>
      <c r="D3172" s="78"/>
      <c r="E3172" s="74" t="s">
        <v>9200</v>
      </c>
      <c r="F3172" s="74"/>
      <c r="G3172" s="76" t="s">
        <v>8515</v>
      </c>
      <c r="H3172" s="77" t="s">
        <v>49</v>
      </c>
      <c r="I3172" s="76" t="s">
        <v>53</v>
      </c>
      <c r="J3172" s="77" t="s">
        <v>8516</v>
      </c>
      <c r="K3172" s="77" t="s">
        <v>84</v>
      </c>
      <c r="L3172" s="76"/>
      <c r="M3172" s="76" t="s">
        <v>36</v>
      </c>
      <c r="N3172" s="76" t="s">
        <v>39</v>
      </c>
      <c r="O3172" s="76">
        <v>0</v>
      </c>
      <c r="P3172" s="76"/>
      <c r="Q3172" s="76"/>
      <c r="R3172" s="76"/>
      <c r="S3172" s="76"/>
      <c r="BD3172" s="99">
        <f t="shared" si="104"/>
        <v>0</v>
      </c>
      <c r="CC3172" s="99"/>
      <c r="CV3172" s="99"/>
      <c r="CW3172" s="63"/>
    </row>
    <row r="3173" spans="1:101" x14ac:dyDescent="0.15">
      <c r="A3173" s="76">
        <v>2938</v>
      </c>
      <c r="B3173" s="74" t="s">
        <v>3499</v>
      </c>
      <c r="C3173" s="74">
        <v>994457243</v>
      </c>
      <c r="D3173" s="78" t="str">
        <f t="shared" si="105"/>
        <v>https://portal.dnb.de/opac.htm?method=simpleSearch&amp;cqlMode=true&amp;query=idn%3D994457243</v>
      </c>
      <c r="E3173" s="74" t="s">
        <v>3500</v>
      </c>
      <c r="F3173" s="74"/>
      <c r="G3173" s="76"/>
      <c r="H3173" s="77" t="s">
        <v>48</v>
      </c>
      <c r="I3173" s="76" t="s">
        <v>53</v>
      </c>
      <c r="J3173" s="77" t="s">
        <v>8516</v>
      </c>
      <c r="K3173" s="77" t="s">
        <v>8785</v>
      </c>
      <c r="L3173" s="76"/>
      <c r="M3173" s="76" t="s">
        <v>36</v>
      </c>
      <c r="N3173" s="76" t="s">
        <v>39</v>
      </c>
      <c r="O3173" s="76">
        <v>1</v>
      </c>
      <c r="P3173" s="76"/>
      <c r="Q3173" s="76"/>
      <c r="R3173" s="76"/>
      <c r="S3173" s="76"/>
      <c r="BD3173" s="99">
        <f t="shared" si="104"/>
        <v>0</v>
      </c>
      <c r="CC3173" s="99"/>
      <c r="CV3173" s="99"/>
      <c r="CW3173" s="63"/>
    </row>
    <row r="3174" spans="1:101" ht="22.5" x14ac:dyDescent="0.15">
      <c r="A3174" s="76">
        <v>2939</v>
      </c>
      <c r="B3174" s="74" t="s">
        <v>3501</v>
      </c>
      <c r="C3174" s="74">
        <v>16673581</v>
      </c>
      <c r="D3174" s="78" t="str">
        <f t="shared" si="105"/>
        <v>https://portal.dnb.de/opac.htm?method=simpleSearch&amp;cqlMode=true&amp;query=idn%3D16673581</v>
      </c>
      <c r="E3174" s="74" t="s">
        <v>3502</v>
      </c>
      <c r="F3174" s="74"/>
      <c r="G3174" s="76"/>
      <c r="H3174" s="77" t="s">
        <v>48</v>
      </c>
      <c r="I3174" s="76" t="s">
        <v>53</v>
      </c>
      <c r="J3174" s="77" t="s">
        <v>8516</v>
      </c>
      <c r="K3174" s="77" t="s">
        <v>8675</v>
      </c>
      <c r="L3174" s="76"/>
      <c r="M3174" s="76" t="s">
        <v>36</v>
      </c>
      <c r="N3174" s="76" t="s">
        <v>39</v>
      </c>
      <c r="O3174" s="76">
        <v>1</v>
      </c>
      <c r="P3174" s="76"/>
      <c r="Q3174" s="76"/>
      <c r="R3174" s="76"/>
      <c r="S3174" s="76"/>
      <c r="BD3174" s="99">
        <f t="shared" si="104"/>
        <v>0</v>
      </c>
      <c r="CC3174" s="99"/>
      <c r="CV3174" s="99"/>
      <c r="CW3174" s="63"/>
    </row>
    <row r="3175" spans="1:101" x14ac:dyDescent="0.15">
      <c r="A3175" s="76">
        <v>2940</v>
      </c>
      <c r="B3175" s="74" t="s">
        <v>3503</v>
      </c>
      <c r="C3175" s="74">
        <v>999712322</v>
      </c>
      <c r="D3175" s="78" t="str">
        <f t="shared" si="105"/>
        <v>https://portal.dnb.de/opac.htm?method=simpleSearch&amp;cqlMode=true&amp;query=idn%3D999712322</v>
      </c>
      <c r="E3175" s="74" t="s">
        <v>3504</v>
      </c>
      <c r="F3175" s="74"/>
      <c r="G3175" s="76"/>
      <c r="H3175" s="77"/>
      <c r="I3175" s="76"/>
      <c r="J3175" s="77"/>
      <c r="K3175" s="77"/>
      <c r="L3175" s="76"/>
      <c r="M3175" s="76"/>
      <c r="N3175" s="76"/>
      <c r="O3175" s="76"/>
      <c r="P3175" s="76"/>
      <c r="Q3175" s="76"/>
      <c r="R3175" s="76"/>
      <c r="S3175" s="76"/>
      <c r="BD3175" s="99">
        <f t="shared" si="104"/>
        <v>0</v>
      </c>
      <c r="CC3175" s="99"/>
      <c r="CV3175" s="99"/>
      <c r="CW3175" s="63"/>
    </row>
    <row r="3176" spans="1:101" x14ac:dyDescent="0.15">
      <c r="A3176" s="76">
        <v>2941</v>
      </c>
      <c r="B3176" s="74" t="s">
        <v>3515</v>
      </c>
      <c r="C3176" s="74">
        <v>997156104</v>
      </c>
      <c r="D3176" s="78" t="str">
        <f t="shared" si="105"/>
        <v>https://portal.dnb.de/opac.htm?method=simpleSearch&amp;cqlMode=true&amp;query=idn%3D997156104</v>
      </c>
      <c r="E3176" s="74" t="s">
        <v>3516</v>
      </c>
      <c r="F3176" s="74"/>
      <c r="G3176" s="76"/>
      <c r="H3176" s="77"/>
      <c r="I3176" s="76"/>
      <c r="J3176" s="77"/>
      <c r="K3176" s="77"/>
      <c r="L3176" s="76"/>
      <c r="M3176" s="76"/>
      <c r="N3176" s="76"/>
      <c r="O3176" s="76"/>
      <c r="P3176" s="76"/>
      <c r="Q3176" s="76"/>
      <c r="R3176" s="76"/>
      <c r="S3176" s="76"/>
      <c r="BD3176" s="99">
        <f t="shared" si="104"/>
        <v>0</v>
      </c>
      <c r="CC3176" s="99"/>
      <c r="CV3176" s="99"/>
      <c r="CW3176" s="63"/>
    </row>
    <row r="3177" spans="1:101" x14ac:dyDescent="0.15">
      <c r="A3177" s="76">
        <v>2942</v>
      </c>
      <c r="B3177" s="74" t="s">
        <v>3517</v>
      </c>
      <c r="C3177" s="74">
        <v>997156570</v>
      </c>
      <c r="D3177" s="78" t="str">
        <f t="shared" si="105"/>
        <v>https://portal.dnb.de/opac.htm?method=simpleSearch&amp;cqlMode=true&amp;query=idn%3D997156570</v>
      </c>
      <c r="E3177" s="74" t="s">
        <v>3516</v>
      </c>
      <c r="F3177" s="74"/>
      <c r="G3177" s="76"/>
      <c r="H3177" s="77"/>
      <c r="I3177" s="76"/>
      <c r="J3177" s="77"/>
      <c r="K3177" s="77"/>
      <c r="L3177" s="76"/>
      <c r="M3177" s="76"/>
      <c r="N3177" s="76"/>
      <c r="O3177" s="76"/>
      <c r="P3177" s="76"/>
      <c r="Q3177" s="76"/>
      <c r="R3177" s="76"/>
      <c r="S3177" s="76"/>
      <c r="BD3177" s="99">
        <f t="shared" si="104"/>
        <v>0</v>
      </c>
      <c r="CC3177" s="99"/>
      <c r="CV3177" s="99"/>
      <c r="CW3177" s="63"/>
    </row>
    <row r="3178" spans="1:101" x14ac:dyDescent="0.15">
      <c r="A3178" s="76">
        <v>2943</v>
      </c>
      <c r="B3178" s="74" t="s">
        <v>3518</v>
      </c>
      <c r="C3178" s="74">
        <v>1000348229</v>
      </c>
      <c r="D3178" s="78" t="str">
        <f t="shared" si="105"/>
        <v>https://portal.dnb.de/opac.htm?method=simpleSearch&amp;cqlMode=true&amp;query=idn%3D1000348229</v>
      </c>
      <c r="E3178" s="74" t="s">
        <v>3519</v>
      </c>
      <c r="F3178" s="74"/>
      <c r="G3178" s="76"/>
      <c r="H3178" s="77" t="s">
        <v>49</v>
      </c>
      <c r="I3178" s="76" t="s">
        <v>53</v>
      </c>
      <c r="J3178" s="77" t="s">
        <v>58</v>
      </c>
      <c r="K3178" s="77" t="s">
        <v>8577</v>
      </c>
      <c r="L3178" s="76"/>
      <c r="M3178" s="76"/>
      <c r="N3178" s="76" t="s">
        <v>8660</v>
      </c>
      <c r="O3178" s="76">
        <v>0</v>
      </c>
      <c r="P3178" s="76"/>
      <c r="Q3178" s="76"/>
      <c r="R3178" s="76"/>
      <c r="S3178" s="76"/>
      <c r="BD3178" s="99">
        <f t="shared" si="104"/>
        <v>0</v>
      </c>
      <c r="CC3178" s="99"/>
      <c r="CV3178" s="99"/>
      <c r="CW3178" s="63"/>
    </row>
    <row r="3179" spans="1:101" ht="22.5" x14ac:dyDescent="0.15">
      <c r="A3179" s="76">
        <v>2944</v>
      </c>
      <c r="B3179" s="74" t="s">
        <v>3520</v>
      </c>
      <c r="C3179" s="74">
        <v>1066677565</v>
      </c>
      <c r="D3179" s="78" t="str">
        <f t="shared" si="105"/>
        <v>https://portal.dnb.de/opac.htm?method=simpleSearch&amp;cqlMode=true&amp;query=idn%3D1066677565</v>
      </c>
      <c r="E3179" s="74" t="s">
        <v>3521</v>
      </c>
      <c r="F3179" s="74"/>
      <c r="G3179" s="76"/>
      <c r="H3179" s="77" t="s">
        <v>18</v>
      </c>
      <c r="I3179" s="76" t="s">
        <v>53</v>
      </c>
      <c r="J3179" s="77" t="s">
        <v>58</v>
      </c>
      <c r="K3179" s="77" t="s">
        <v>9589</v>
      </c>
      <c r="L3179" s="76"/>
      <c r="M3179" s="76" t="s">
        <v>36</v>
      </c>
      <c r="N3179" s="76" t="s">
        <v>39</v>
      </c>
      <c r="O3179" s="76">
        <v>1</v>
      </c>
      <c r="P3179" s="76"/>
      <c r="Q3179" s="76"/>
      <c r="R3179" s="76"/>
      <c r="S3179" s="76"/>
      <c r="Y3179" s="95" t="s">
        <v>9725</v>
      </c>
      <c r="AC3179" s="95" t="s">
        <v>9739</v>
      </c>
      <c r="AI3179" s="95" t="s">
        <v>9725</v>
      </c>
      <c r="AP3179" s="95" t="s">
        <v>8541</v>
      </c>
      <c r="AQ3179" s="96" t="s">
        <v>9836</v>
      </c>
      <c r="AR3179" s="95" t="s">
        <v>8541</v>
      </c>
      <c r="AW3179" s="95">
        <v>110</v>
      </c>
      <c r="BC3179" s="96" t="s">
        <v>9734</v>
      </c>
      <c r="BD3179" s="99">
        <f t="shared" si="104"/>
        <v>0</v>
      </c>
      <c r="BJ3179" s="95" t="s">
        <v>9741</v>
      </c>
      <c r="BK3179" s="95" t="s">
        <v>8541</v>
      </c>
      <c r="CC3179" s="99"/>
      <c r="CV3179" s="99"/>
      <c r="CW3179" s="63"/>
    </row>
    <row r="3180" spans="1:101" x14ac:dyDescent="0.15">
      <c r="A3180" s="76">
        <v>2945</v>
      </c>
      <c r="B3180" s="74" t="s">
        <v>3522</v>
      </c>
      <c r="C3180" s="74">
        <v>997883790</v>
      </c>
      <c r="D3180" s="78" t="str">
        <f t="shared" si="105"/>
        <v>https://portal.dnb.de/opac.htm?method=simpleSearch&amp;cqlMode=true&amp;query=idn%3D997883790</v>
      </c>
      <c r="E3180" s="74" t="s">
        <v>3523</v>
      </c>
      <c r="F3180" s="74"/>
      <c r="G3180" s="76"/>
      <c r="H3180" s="77"/>
      <c r="I3180" s="76"/>
      <c r="J3180" s="77"/>
      <c r="K3180" s="77"/>
      <c r="L3180" s="76"/>
      <c r="M3180" s="76"/>
      <c r="N3180" s="76"/>
      <c r="O3180" s="76"/>
      <c r="P3180" s="76"/>
      <c r="Q3180" s="76"/>
      <c r="R3180" s="76"/>
      <c r="S3180" s="76"/>
      <c r="BD3180" s="99">
        <f t="shared" si="104"/>
        <v>0</v>
      </c>
      <c r="CC3180" s="99"/>
      <c r="CV3180" s="99"/>
      <c r="CW3180" s="63"/>
    </row>
    <row r="3181" spans="1:101" x14ac:dyDescent="0.15">
      <c r="A3181" s="76">
        <v>2946</v>
      </c>
      <c r="B3181" s="74" t="s">
        <v>3524</v>
      </c>
      <c r="C3181" s="74">
        <v>1001606906</v>
      </c>
      <c r="D3181" s="78" t="str">
        <f t="shared" si="105"/>
        <v>https://portal.dnb.de/opac.htm?method=simpleSearch&amp;cqlMode=true&amp;query=idn%3D1001606906</v>
      </c>
      <c r="E3181" s="74" t="s">
        <v>3523</v>
      </c>
      <c r="F3181" s="74"/>
      <c r="G3181" s="76"/>
      <c r="H3181" s="77"/>
      <c r="I3181" s="76"/>
      <c r="J3181" s="77"/>
      <c r="K3181" s="77"/>
      <c r="L3181" s="76"/>
      <c r="M3181" s="76"/>
      <c r="N3181" s="76"/>
      <c r="O3181" s="76"/>
      <c r="P3181" s="76"/>
      <c r="Q3181" s="76"/>
      <c r="R3181" s="76"/>
      <c r="S3181" s="76"/>
      <c r="BD3181" s="99">
        <f t="shared" si="104"/>
        <v>0</v>
      </c>
      <c r="CC3181" s="99"/>
      <c r="CV3181" s="99"/>
      <c r="CW3181" s="63"/>
    </row>
    <row r="3182" spans="1:101" ht="33.75" x14ac:dyDescent="0.15">
      <c r="A3182" s="76">
        <v>2947</v>
      </c>
      <c r="B3182" s="74" t="s">
        <v>3537</v>
      </c>
      <c r="C3182" s="74">
        <v>997417935</v>
      </c>
      <c r="D3182" s="78" t="str">
        <f t="shared" si="105"/>
        <v>https://portal.dnb.de/opac.htm?method=simpleSearch&amp;cqlMode=true&amp;query=idn%3D997417935</v>
      </c>
      <c r="E3182" s="74" t="s">
        <v>9201</v>
      </c>
      <c r="F3182" s="74"/>
      <c r="G3182" s="76"/>
      <c r="H3182" s="77" t="s">
        <v>48</v>
      </c>
      <c r="I3182" s="76" t="s">
        <v>53</v>
      </c>
      <c r="J3182" s="77" t="s">
        <v>8516</v>
      </c>
      <c r="K3182" s="77" t="s">
        <v>8663</v>
      </c>
      <c r="L3182" s="76"/>
      <c r="M3182" s="76"/>
      <c r="N3182" s="76"/>
      <c r="O3182" s="76">
        <v>0</v>
      </c>
      <c r="P3182" s="76"/>
      <c r="Q3182" s="76"/>
      <c r="R3182" s="76"/>
      <c r="S3182" s="76"/>
      <c r="BD3182" s="99">
        <f t="shared" si="104"/>
        <v>0</v>
      </c>
      <c r="CC3182" s="99"/>
      <c r="CV3182" s="99"/>
      <c r="CW3182" s="63"/>
    </row>
    <row r="3183" spans="1:101" ht="33.75" x14ac:dyDescent="0.15">
      <c r="A3183" s="76">
        <v>2948</v>
      </c>
      <c r="B3183" s="74" t="s">
        <v>3538</v>
      </c>
      <c r="C3183" s="74" t="s">
        <v>3539</v>
      </c>
      <c r="D3183" s="78" t="str">
        <f t="shared" si="105"/>
        <v>https://portal.dnb.de/opac.htm?method=simpleSearch&amp;cqlMode=true&amp;query=idn%3D99741779X</v>
      </c>
      <c r="E3183" s="74" t="s">
        <v>9202</v>
      </c>
      <c r="F3183" s="74"/>
      <c r="G3183" s="76"/>
      <c r="H3183" s="77" t="s">
        <v>48</v>
      </c>
      <c r="I3183" s="76" t="s">
        <v>53</v>
      </c>
      <c r="J3183" s="77" t="s">
        <v>89</v>
      </c>
      <c r="K3183" s="77" t="s">
        <v>8566</v>
      </c>
      <c r="L3183" s="76"/>
      <c r="M3183" s="76" t="s">
        <v>38</v>
      </c>
      <c r="N3183" s="76" t="s">
        <v>40</v>
      </c>
      <c r="O3183" s="76">
        <v>0</v>
      </c>
      <c r="P3183" s="76"/>
      <c r="Q3183" s="76"/>
      <c r="R3183" s="76"/>
      <c r="S3183" s="76"/>
      <c r="BD3183" s="99">
        <f t="shared" si="104"/>
        <v>0</v>
      </c>
      <c r="CC3183" s="99"/>
      <c r="CV3183" s="99"/>
      <c r="CW3183" s="63"/>
    </row>
    <row r="3184" spans="1:101" ht="33.75" x14ac:dyDescent="0.15">
      <c r="A3184" s="76"/>
      <c r="B3184" s="74"/>
      <c r="C3184" s="74"/>
      <c r="D3184" s="78"/>
      <c r="E3184" s="74" t="s">
        <v>9203</v>
      </c>
      <c r="F3184" s="74"/>
      <c r="G3184" s="76"/>
      <c r="H3184" s="77" t="s">
        <v>48</v>
      </c>
      <c r="I3184" s="76" t="s">
        <v>53</v>
      </c>
      <c r="J3184" s="77" t="s">
        <v>89</v>
      </c>
      <c r="K3184" s="77" t="s">
        <v>8566</v>
      </c>
      <c r="L3184" s="76"/>
      <c r="M3184" s="76" t="s">
        <v>38</v>
      </c>
      <c r="N3184" s="76" t="s">
        <v>40</v>
      </c>
      <c r="O3184" s="76">
        <v>0</v>
      </c>
      <c r="P3184" s="76"/>
      <c r="Q3184" s="76"/>
      <c r="R3184" s="76"/>
      <c r="S3184" s="76"/>
      <c r="BD3184" s="99">
        <f t="shared" si="104"/>
        <v>0</v>
      </c>
      <c r="CC3184" s="99"/>
      <c r="CV3184" s="99"/>
      <c r="CW3184" s="63"/>
    </row>
    <row r="3185" spans="1:101" x14ac:dyDescent="0.15">
      <c r="A3185" s="76">
        <v>2949</v>
      </c>
      <c r="B3185" s="74" t="s">
        <v>3540</v>
      </c>
      <c r="C3185" s="74">
        <v>999964240</v>
      </c>
      <c r="D3185" s="78" t="str">
        <f t="shared" si="105"/>
        <v>https://portal.dnb.de/opac.htm?method=simpleSearch&amp;cqlMode=true&amp;query=idn%3D999964240</v>
      </c>
      <c r="E3185" s="74" t="s">
        <v>3541</v>
      </c>
      <c r="F3185" s="74"/>
      <c r="G3185" s="76"/>
      <c r="H3185" s="77"/>
      <c r="I3185" s="76"/>
      <c r="J3185" s="77"/>
      <c r="K3185" s="77"/>
      <c r="L3185" s="76"/>
      <c r="M3185" s="76"/>
      <c r="N3185" s="76"/>
      <c r="O3185" s="76"/>
      <c r="P3185" s="76"/>
      <c r="Q3185" s="76"/>
      <c r="R3185" s="76"/>
      <c r="S3185" s="76"/>
      <c r="BD3185" s="99">
        <f t="shared" si="104"/>
        <v>0</v>
      </c>
      <c r="CC3185" s="99"/>
      <c r="CV3185" s="99"/>
      <c r="CW3185" s="63"/>
    </row>
    <row r="3186" spans="1:101" ht="22.5" x14ac:dyDescent="0.15">
      <c r="A3186" s="76">
        <v>2950</v>
      </c>
      <c r="B3186" s="74" t="s">
        <v>3542</v>
      </c>
      <c r="C3186" s="74">
        <v>998388181</v>
      </c>
      <c r="D3186" s="78" t="str">
        <f t="shared" si="105"/>
        <v>https://portal.dnb.de/opac.htm?method=simpleSearch&amp;cqlMode=true&amp;query=idn%3D998388181</v>
      </c>
      <c r="E3186" s="74" t="s">
        <v>3541</v>
      </c>
      <c r="F3186" s="74"/>
      <c r="G3186" s="76" t="s">
        <v>8515</v>
      </c>
      <c r="H3186" s="77" t="s">
        <v>48</v>
      </c>
      <c r="I3186" s="76" t="s">
        <v>53</v>
      </c>
      <c r="J3186" s="77" t="s">
        <v>8516</v>
      </c>
      <c r="K3186" s="77" t="s">
        <v>8675</v>
      </c>
      <c r="L3186" s="76"/>
      <c r="M3186" s="76" t="s">
        <v>36</v>
      </c>
      <c r="N3186" s="76" t="s">
        <v>39</v>
      </c>
      <c r="O3186" s="76">
        <v>0</v>
      </c>
      <c r="P3186" s="76"/>
      <c r="Q3186" s="76"/>
      <c r="R3186" s="76"/>
      <c r="S3186" s="76"/>
      <c r="BD3186" s="99">
        <f t="shared" si="104"/>
        <v>0</v>
      </c>
      <c r="CC3186" s="99"/>
      <c r="CV3186" s="99"/>
      <c r="CW3186" s="63"/>
    </row>
    <row r="3187" spans="1:101" x14ac:dyDescent="0.15">
      <c r="A3187" s="76">
        <v>2951</v>
      </c>
      <c r="B3187" s="74" t="s">
        <v>3543</v>
      </c>
      <c r="C3187" s="74">
        <v>1001230272</v>
      </c>
      <c r="D3187" s="78" t="str">
        <f t="shared" si="105"/>
        <v>https://portal.dnb.de/opac.htm?method=simpleSearch&amp;cqlMode=true&amp;query=idn%3D1001230272</v>
      </c>
      <c r="E3187" s="74" t="s">
        <v>3544</v>
      </c>
      <c r="F3187" s="74"/>
      <c r="G3187" s="76" t="s">
        <v>8515</v>
      </c>
      <c r="H3187" s="77" t="s">
        <v>48</v>
      </c>
      <c r="I3187" s="76" t="s">
        <v>53</v>
      </c>
      <c r="J3187" s="77" t="s">
        <v>8516</v>
      </c>
      <c r="K3187" s="77" t="s">
        <v>84</v>
      </c>
      <c r="L3187" s="76"/>
      <c r="M3187" s="76"/>
      <c r="N3187" s="76"/>
      <c r="O3187" s="76">
        <v>0</v>
      </c>
      <c r="P3187" s="76"/>
      <c r="Q3187" s="76"/>
      <c r="R3187" s="76"/>
      <c r="S3187" s="76"/>
      <c r="BD3187" s="99">
        <f t="shared" si="104"/>
        <v>0</v>
      </c>
      <c r="CC3187" s="99"/>
      <c r="CV3187" s="99"/>
      <c r="CW3187" s="63"/>
    </row>
    <row r="3188" spans="1:101" x14ac:dyDescent="0.15">
      <c r="A3188" s="76">
        <v>2952</v>
      </c>
      <c r="B3188" s="74" t="s">
        <v>3547</v>
      </c>
      <c r="C3188" s="74">
        <v>1001154398</v>
      </c>
      <c r="D3188" s="82" t="str">
        <f>HYPERLINK(CONCATENATE("https://portal.dnb.de/opac.htm?method=simpleSearch&amp;cqlMode=true&amp;query=idn%3D",C3188))</f>
        <v>https://portal.dnb.de/opac.htm?method=simpleSearch&amp;cqlMode=true&amp;query=idn%3D1001154398</v>
      </c>
      <c r="E3188" s="74" t="s">
        <v>9213</v>
      </c>
      <c r="F3188" s="74"/>
      <c r="G3188" s="76" t="s">
        <v>8515</v>
      </c>
      <c r="H3188" s="77" t="s">
        <v>4</v>
      </c>
      <c r="I3188" s="76" t="s">
        <v>53</v>
      </c>
      <c r="J3188" s="77" t="s">
        <v>58</v>
      </c>
      <c r="K3188" s="77" t="s">
        <v>8520</v>
      </c>
      <c r="L3188" s="76"/>
      <c r="M3188" s="76" t="s">
        <v>38</v>
      </c>
      <c r="N3188" s="76" t="s">
        <v>40</v>
      </c>
      <c r="O3188" s="76">
        <v>1</v>
      </c>
      <c r="P3188" s="76"/>
      <c r="Q3188" s="76"/>
      <c r="R3188" s="76" t="s">
        <v>9216</v>
      </c>
      <c r="S3188" s="76"/>
      <c r="BD3188" s="99">
        <f t="shared" si="104"/>
        <v>0</v>
      </c>
      <c r="CC3188" s="99"/>
      <c r="CV3188" s="99"/>
      <c r="CW3188" s="63"/>
    </row>
    <row r="3189" spans="1:101" x14ac:dyDescent="0.15">
      <c r="A3189" s="76">
        <v>2953</v>
      </c>
      <c r="B3189" s="74" t="s">
        <v>3548</v>
      </c>
      <c r="C3189" s="74">
        <v>1001154258</v>
      </c>
      <c r="D3189" s="78" t="str">
        <f t="shared" si="105"/>
        <v>https://portal.dnb.de/opac.htm?method=simpleSearch&amp;cqlMode=true&amp;query=idn%3D1001154258</v>
      </c>
      <c r="E3189" s="74" t="s">
        <v>9214</v>
      </c>
      <c r="F3189" s="74"/>
      <c r="G3189" s="76" t="s">
        <v>8515</v>
      </c>
      <c r="H3189" s="77" t="s">
        <v>4</v>
      </c>
      <c r="I3189" s="76" t="s">
        <v>53</v>
      </c>
      <c r="J3189" s="77" t="s">
        <v>8516</v>
      </c>
      <c r="K3189" s="77" t="s">
        <v>84</v>
      </c>
      <c r="L3189" s="76"/>
      <c r="M3189" s="76" t="s">
        <v>38</v>
      </c>
      <c r="N3189" s="76" t="s">
        <v>40</v>
      </c>
      <c r="O3189" s="76">
        <v>0</v>
      </c>
      <c r="P3189" s="76"/>
      <c r="Q3189" s="76"/>
      <c r="R3189" s="76" t="s">
        <v>9219</v>
      </c>
      <c r="S3189" s="76"/>
      <c r="BD3189" s="99">
        <f t="shared" si="104"/>
        <v>0</v>
      </c>
      <c r="CC3189" s="99"/>
      <c r="CV3189" s="99"/>
      <c r="CW3189" s="63"/>
    </row>
    <row r="3190" spans="1:101" x14ac:dyDescent="0.15">
      <c r="A3190" s="76">
        <v>2954</v>
      </c>
      <c r="B3190" s="74" t="s">
        <v>3549</v>
      </c>
      <c r="C3190" s="74" t="s">
        <v>3550</v>
      </c>
      <c r="D3190" s="78" t="str">
        <f t="shared" si="105"/>
        <v>https://portal.dnb.de/opac.htm?method=simpleSearch&amp;cqlMode=true&amp;query=idn%3D100115410X</v>
      </c>
      <c r="E3190" s="74" t="s">
        <v>9217</v>
      </c>
      <c r="F3190" s="74"/>
      <c r="G3190" s="76" t="s">
        <v>8515</v>
      </c>
      <c r="H3190" s="77" t="s">
        <v>4</v>
      </c>
      <c r="I3190" s="76" t="s">
        <v>53</v>
      </c>
      <c r="J3190" s="77" t="s">
        <v>58</v>
      </c>
      <c r="K3190" s="77" t="s">
        <v>8520</v>
      </c>
      <c r="L3190" s="76"/>
      <c r="M3190" s="76" t="s">
        <v>38</v>
      </c>
      <c r="N3190" s="76" t="s">
        <v>40</v>
      </c>
      <c r="O3190" s="76">
        <v>1</v>
      </c>
      <c r="P3190" s="76"/>
      <c r="Q3190" s="76"/>
      <c r="R3190" s="76" t="s">
        <v>9209</v>
      </c>
      <c r="S3190" s="76"/>
      <c r="BD3190" s="99">
        <f t="shared" si="104"/>
        <v>0</v>
      </c>
      <c r="CC3190" s="99"/>
      <c r="CV3190" s="99"/>
      <c r="CW3190" s="63"/>
    </row>
    <row r="3191" spans="1:101" x14ac:dyDescent="0.15">
      <c r="A3191" s="76">
        <v>2955</v>
      </c>
      <c r="B3191" s="74" t="s">
        <v>3551</v>
      </c>
      <c r="C3191" s="74">
        <v>1001154185</v>
      </c>
      <c r="D3191" s="82" t="str">
        <f>HYPERLINK(CONCATENATE("https://portal.dnb.de/opac.htm?method=simpleSearch&amp;cqlMode=true&amp;query=idn%3D",C3191))</f>
        <v>https://portal.dnb.de/opac.htm?method=simpleSearch&amp;cqlMode=true&amp;query=idn%3D1001154185</v>
      </c>
      <c r="E3191" s="74" t="s">
        <v>9218</v>
      </c>
      <c r="F3191" s="74"/>
      <c r="G3191" s="76" t="s">
        <v>8515</v>
      </c>
      <c r="H3191" s="77" t="s">
        <v>4</v>
      </c>
      <c r="I3191" s="76" t="s">
        <v>53</v>
      </c>
      <c r="J3191" s="77" t="s">
        <v>58</v>
      </c>
      <c r="K3191" s="77" t="s">
        <v>8520</v>
      </c>
      <c r="L3191" s="76"/>
      <c r="M3191" s="76" t="s">
        <v>38</v>
      </c>
      <c r="N3191" s="76" t="s">
        <v>40</v>
      </c>
      <c r="O3191" s="76">
        <v>1</v>
      </c>
      <c r="P3191" s="76"/>
      <c r="Q3191" s="76"/>
      <c r="R3191" s="76" t="s">
        <v>9209</v>
      </c>
      <c r="S3191" s="76"/>
      <c r="BD3191" s="99">
        <f t="shared" si="104"/>
        <v>0</v>
      </c>
      <c r="CC3191" s="99"/>
      <c r="CV3191" s="99"/>
      <c r="CW3191" s="63"/>
    </row>
    <row r="3192" spans="1:101" x14ac:dyDescent="0.15">
      <c r="A3192" s="76">
        <v>2956</v>
      </c>
      <c r="B3192" s="74" t="s">
        <v>3552</v>
      </c>
      <c r="C3192" s="74">
        <v>1001154452</v>
      </c>
      <c r="D3192" s="78"/>
      <c r="E3192" s="74" t="s">
        <v>9215</v>
      </c>
      <c r="F3192" s="74"/>
      <c r="G3192" s="76" t="s">
        <v>8515</v>
      </c>
      <c r="H3192" s="77" t="s">
        <v>4</v>
      </c>
      <c r="I3192" s="76" t="s">
        <v>53</v>
      </c>
      <c r="J3192" s="77" t="s">
        <v>58</v>
      </c>
      <c r="K3192" s="77" t="s">
        <v>8520</v>
      </c>
      <c r="L3192" s="76"/>
      <c r="M3192" s="76" t="s">
        <v>38</v>
      </c>
      <c r="N3192" s="76" t="s">
        <v>40</v>
      </c>
      <c r="O3192" s="76">
        <v>0</v>
      </c>
      <c r="P3192" s="76"/>
      <c r="Q3192" s="76"/>
      <c r="R3192" s="76" t="s">
        <v>9219</v>
      </c>
      <c r="S3192" s="76"/>
      <c r="BD3192" s="99">
        <f t="shared" si="104"/>
        <v>0</v>
      </c>
      <c r="CC3192" s="99"/>
      <c r="CV3192" s="99"/>
      <c r="CW3192" s="63"/>
    </row>
    <row r="3193" spans="1:101" x14ac:dyDescent="0.15">
      <c r="A3193" s="76">
        <v>2957</v>
      </c>
      <c r="B3193" s="74" t="s">
        <v>3553</v>
      </c>
      <c r="C3193" s="74">
        <v>361300557</v>
      </c>
      <c r="D3193" s="78" t="str">
        <f t="shared" si="105"/>
        <v>https://portal.dnb.de/opac.htm?method=simpleSearch&amp;cqlMode=true&amp;query=idn%3D361300557</v>
      </c>
      <c r="E3193" s="74" t="s">
        <v>3554</v>
      </c>
      <c r="F3193" s="74"/>
      <c r="G3193" s="76" t="s">
        <v>8515</v>
      </c>
      <c r="H3193" s="77" t="s">
        <v>17</v>
      </c>
      <c r="I3193" s="76" t="s">
        <v>53</v>
      </c>
      <c r="J3193" s="77" t="s">
        <v>58</v>
      </c>
      <c r="K3193" s="77"/>
      <c r="L3193" s="76"/>
      <c r="M3193" s="76"/>
      <c r="N3193" s="76"/>
      <c r="O3193" s="76">
        <v>0</v>
      </c>
      <c r="P3193" s="76"/>
      <c r="Q3193" s="76"/>
      <c r="R3193" s="76"/>
      <c r="S3193" s="76"/>
      <c r="BD3193" s="99">
        <f t="shared" si="104"/>
        <v>0</v>
      </c>
      <c r="CC3193" s="99"/>
      <c r="CV3193" s="99"/>
      <c r="CW3193" s="63"/>
    </row>
    <row r="3194" spans="1:101" x14ac:dyDescent="0.15">
      <c r="A3194" s="76">
        <v>2958</v>
      </c>
      <c r="B3194" s="74" t="s">
        <v>3555</v>
      </c>
      <c r="C3194" s="74">
        <v>997156325</v>
      </c>
      <c r="D3194" s="78" t="str">
        <f t="shared" si="105"/>
        <v>https://portal.dnb.de/opac.htm?method=simpleSearch&amp;cqlMode=true&amp;query=idn%3D997156325</v>
      </c>
      <c r="E3194" s="74" t="s">
        <v>3556</v>
      </c>
      <c r="F3194" s="74"/>
      <c r="G3194" s="76"/>
      <c r="H3194" s="77" t="s">
        <v>4</v>
      </c>
      <c r="I3194" s="76" t="s">
        <v>53</v>
      </c>
      <c r="J3194" s="77" t="s">
        <v>58</v>
      </c>
      <c r="K3194" s="77"/>
      <c r="L3194" s="76"/>
      <c r="M3194" s="76" t="s">
        <v>36</v>
      </c>
      <c r="N3194" s="76" t="s">
        <v>39</v>
      </c>
      <c r="O3194" s="76">
        <v>1</v>
      </c>
      <c r="P3194" s="76"/>
      <c r="Q3194" s="76"/>
      <c r="R3194" s="76"/>
      <c r="S3194" s="76"/>
      <c r="BD3194" s="99">
        <f t="shared" si="104"/>
        <v>0</v>
      </c>
      <c r="CC3194" s="99"/>
      <c r="CV3194" s="99"/>
      <c r="CW3194" s="63"/>
    </row>
    <row r="3195" spans="1:101" x14ac:dyDescent="0.15">
      <c r="A3195" s="76">
        <v>2959</v>
      </c>
      <c r="B3195" s="74" t="s">
        <v>3557</v>
      </c>
      <c r="C3195" s="74" t="s">
        <v>3558</v>
      </c>
      <c r="D3195" s="78" t="str">
        <f t="shared" si="105"/>
        <v>https://portal.dnb.de/opac.htm?method=simpleSearch&amp;cqlMode=true&amp;query=idn%3D99972746X</v>
      </c>
      <c r="E3195" s="74" t="s">
        <v>3559</v>
      </c>
      <c r="F3195" s="74"/>
      <c r="G3195" s="76"/>
      <c r="H3195" s="77" t="s">
        <v>49</v>
      </c>
      <c r="I3195" s="76" t="s">
        <v>53</v>
      </c>
      <c r="J3195" s="77" t="s">
        <v>58</v>
      </c>
      <c r="K3195" s="77" t="s">
        <v>87</v>
      </c>
      <c r="L3195" s="76"/>
      <c r="M3195" s="76"/>
      <c r="N3195" s="76"/>
      <c r="O3195" s="76">
        <v>1</v>
      </c>
      <c r="P3195" s="76"/>
      <c r="Q3195" s="76"/>
      <c r="R3195" s="76"/>
      <c r="S3195" s="76"/>
      <c r="BD3195" s="99">
        <f t="shared" si="104"/>
        <v>0</v>
      </c>
      <c r="CC3195" s="99"/>
      <c r="CV3195" s="99"/>
      <c r="CW3195" s="63"/>
    </row>
    <row r="3196" spans="1:101" ht="22.5" x14ac:dyDescent="0.15">
      <c r="A3196" s="76">
        <v>2960</v>
      </c>
      <c r="B3196" s="74" t="s">
        <v>3560</v>
      </c>
      <c r="C3196" s="74">
        <v>999145053</v>
      </c>
      <c r="D3196" s="78" t="str">
        <f t="shared" si="105"/>
        <v>https://portal.dnb.de/opac.htm?method=simpleSearch&amp;cqlMode=true&amp;query=idn%3D999145053</v>
      </c>
      <c r="E3196" s="74" t="s">
        <v>3561</v>
      </c>
      <c r="F3196" s="74"/>
      <c r="G3196" s="76"/>
      <c r="H3196" s="77" t="s">
        <v>18</v>
      </c>
      <c r="I3196" s="76" t="s">
        <v>53</v>
      </c>
      <c r="J3196" s="77" t="s">
        <v>58</v>
      </c>
      <c r="K3196" s="77"/>
      <c r="L3196" s="76"/>
      <c r="M3196" s="76" t="s">
        <v>34</v>
      </c>
      <c r="N3196" s="76" t="s">
        <v>39</v>
      </c>
      <c r="O3196" s="76">
        <v>2</v>
      </c>
      <c r="P3196" s="76"/>
      <c r="Q3196" s="76"/>
      <c r="R3196" s="76"/>
      <c r="S3196" s="76"/>
      <c r="BD3196" s="99">
        <f t="shared" si="104"/>
        <v>0</v>
      </c>
      <c r="CC3196" s="99"/>
      <c r="CV3196" s="99"/>
      <c r="CW3196" s="63"/>
    </row>
    <row r="3197" spans="1:101" x14ac:dyDescent="0.15">
      <c r="A3197" s="76">
        <v>2961</v>
      </c>
      <c r="B3197" s="74" t="s">
        <v>3562</v>
      </c>
      <c r="C3197" s="74" t="s">
        <v>3563</v>
      </c>
      <c r="D3197" s="78" t="str">
        <f t="shared" si="105"/>
        <v>https://portal.dnb.de/opac.htm?method=simpleSearch&amp;cqlMode=true&amp;query=idn%3D120851881X</v>
      </c>
      <c r="E3197" s="74" t="s">
        <v>3564</v>
      </c>
      <c r="F3197" s="74"/>
      <c r="G3197" s="76"/>
      <c r="H3197" s="77"/>
      <c r="I3197" s="76"/>
      <c r="J3197" s="77"/>
      <c r="K3197" s="77"/>
      <c r="L3197" s="76"/>
      <c r="M3197" s="76"/>
      <c r="N3197" s="76"/>
      <c r="O3197" s="76"/>
      <c r="P3197" s="76"/>
      <c r="Q3197" s="76"/>
      <c r="R3197" s="76"/>
      <c r="S3197" s="76"/>
      <c r="BD3197" s="99">
        <f t="shared" si="104"/>
        <v>0</v>
      </c>
      <c r="CC3197" s="99"/>
      <c r="CV3197" s="99"/>
      <c r="CW3197" s="63"/>
    </row>
    <row r="3198" spans="1:101" x14ac:dyDescent="0.15">
      <c r="A3198" s="76">
        <v>2962</v>
      </c>
      <c r="B3198" s="74" t="s">
        <v>3565</v>
      </c>
      <c r="C3198" s="74">
        <v>12010669</v>
      </c>
      <c r="D3198" s="78" t="str">
        <f t="shared" si="105"/>
        <v>https://portal.dnb.de/opac.htm?method=simpleSearch&amp;cqlMode=true&amp;query=idn%3D12010669</v>
      </c>
      <c r="E3198" s="74" t="s">
        <v>3566</v>
      </c>
      <c r="F3198" s="74"/>
      <c r="G3198" s="76"/>
      <c r="H3198" s="77" t="s">
        <v>8668</v>
      </c>
      <c r="I3198" s="76" t="s">
        <v>53</v>
      </c>
      <c r="J3198" s="77" t="s">
        <v>58</v>
      </c>
      <c r="K3198" s="77"/>
      <c r="L3198" s="76"/>
      <c r="M3198" s="76" t="s">
        <v>38</v>
      </c>
      <c r="N3198" s="76" t="s">
        <v>40</v>
      </c>
      <c r="O3198" s="76">
        <v>1</v>
      </c>
      <c r="P3198" s="76"/>
      <c r="Q3198" s="76"/>
      <c r="R3198" s="76"/>
      <c r="S3198" s="76"/>
      <c r="BD3198" s="99">
        <f t="shared" si="104"/>
        <v>0</v>
      </c>
      <c r="CC3198" s="99"/>
      <c r="CV3198" s="99"/>
      <c r="CW3198" s="63"/>
    </row>
    <row r="3199" spans="1:101" x14ac:dyDescent="0.15">
      <c r="A3199" s="76">
        <v>2963</v>
      </c>
      <c r="B3199" s="74" t="s">
        <v>3583</v>
      </c>
      <c r="C3199" s="74">
        <v>997015276</v>
      </c>
      <c r="D3199" s="78" t="str">
        <f t="shared" si="105"/>
        <v>https://portal.dnb.de/opac.htm?method=simpleSearch&amp;cqlMode=true&amp;query=idn%3D997015276</v>
      </c>
      <c r="E3199" s="74" t="s">
        <v>3584</v>
      </c>
      <c r="F3199" s="74"/>
      <c r="G3199" s="76"/>
      <c r="H3199" s="77"/>
      <c r="I3199" s="76"/>
      <c r="J3199" s="77"/>
      <c r="K3199" s="77"/>
      <c r="L3199" s="76"/>
      <c r="M3199" s="76"/>
      <c r="N3199" s="76"/>
      <c r="O3199" s="76"/>
      <c r="P3199" s="76"/>
      <c r="Q3199" s="76"/>
      <c r="R3199" s="76"/>
      <c r="S3199" s="76"/>
      <c r="BD3199" s="99">
        <f t="shared" si="104"/>
        <v>0</v>
      </c>
      <c r="CC3199" s="99"/>
      <c r="CV3199" s="99"/>
      <c r="CW3199" s="63"/>
    </row>
    <row r="3200" spans="1:101" ht="22.5" x14ac:dyDescent="0.15">
      <c r="A3200" s="76">
        <v>2964</v>
      </c>
      <c r="B3200" s="74" t="s">
        <v>3587</v>
      </c>
      <c r="C3200" s="74">
        <v>1003231551</v>
      </c>
      <c r="D3200" s="78" t="str">
        <f t="shared" si="105"/>
        <v>https://portal.dnb.de/opac.htm?method=simpleSearch&amp;cqlMode=true&amp;query=idn%3D1003231551</v>
      </c>
      <c r="E3200" s="74" t="s">
        <v>3588</v>
      </c>
      <c r="F3200" s="74"/>
      <c r="G3200" s="76" t="s">
        <v>8515</v>
      </c>
      <c r="H3200" s="77" t="s">
        <v>48</v>
      </c>
      <c r="I3200" s="76" t="s">
        <v>53</v>
      </c>
      <c r="J3200" s="77" t="s">
        <v>8516</v>
      </c>
      <c r="K3200" s="77" t="s">
        <v>8565</v>
      </c>
      <c r="L3200" s="76"/>
      <c r="M3200" s="76"/>
      <c r="N3200" s="76" t="s">
        <v>8660</v>
      </c>
      <c r="O3200" s="76">
        <v>0</v>
      </c>
      <c r="P3200" s="76"/>
      <c r="Q3200" s="76"/>
      <c r="R3200" s="76"/>
      <c r="S3200" s="76"/>
      <c r="BD3200" s="99">
        <f t="shared" si="104"/>
        <v>0</v>
      </c>
      <c r="CC3200" s="99"/>
      <c r="CV3200" s="99"/>
      <c r="CW3200" s="63"/>
    </row>
    <row r="3201" spans="1:101" x14ac:dyDescent="0.15">
      <c r="A3201" s="76">
        <v>2965</v>
      </c>
      <c r="B3201" s="74" t="s">
        <v>3596</v>
      </c>
      <c r="C3201" s="74">
        <v>12010677</v>
      </c>
      <c r="D3201" s="78" t="str">
        <f t="shared" si="105"/>
        <v>https://portal.dnb.de/opac.htm?method=simpleSearch&amp;cqlMode=true&amp;query=idn%3D12010677</v>
      </c>
      <c r="E3201" s="74" t="s">
        <v>9591</v>
      </c>
      <c r="F3201" s="74"/>
      <c r="G3201" s="76"/>
      <c r="H3201" s="77" t="s">
        <v>48</v>
      </c>
      <c r="I3201" s="76" t="s">
        <v>53</v>
      </c>
      <c r="J3201" s="77" t="s">
        <v>8516</v>
      </c>
      <c r="K3201" s="77" t="s">
        <v>84</v>
      </c>
      <c r="L3201" s="76"/>
      <c r="M3201" s="76"/>
      <c r="N3201" s="76"/>
      <c r="O3201" s="76">
        <v>0</v>
      </c>
      <c r="P3201" s="76"/>
      <c r="Q3201" s="76"/>
      <c r="R3201" s="76"/>
      <c r="S3201" s="76"/>
      <c r="BD3201" s="99">
        <f t="shared" si="104"/>
        <v>0</v>
      </c>
      <c r="CC3201" s="99"/>
      <c r="CV3201" s="99"/>
      <c r="CW3201" s="63"/>
    </row>
    <row r="3202" spans="1:101" x14ac:dyDescent="0.15">
      <c r="A3202" s="76">
        <v>2966</v>
      </c>
      <c r="B3202" s="74" t="s">
        <v>3597</v>
      </c>
      <c r="C3202" s="74" t="s">
        <v>3598</v>
      </c>
      <c r="D3202" s="78" t="str">
        <f t="shared" si="105"/>
        <v>https://portal.dnb.de/opac.htm?method=simpleSearch&amp;cqlMode=true&amp;query=idn%3D01191811X</v>
      </c>
      <c r="E3202" s="74" t="s">
        <v>9592</v>
      </c>
      <c r="F3202" s="74"/>
      <c r="G3202" s="76"/>
      <c r="H3202" s="77" t="s">
        <v>48</v>
      </c>
      <c r="I3202" s="76" t="s">
        <v>53</v>
      </c>
      <c r="J3202" s="77" t="s">
        <v>8516</v>
      </c>
      <c r="K3202" s="77" t="s">
        <v>84</v>
      </c>
      <c r="L3202" s="76"/>
      <c r="M3202" s="76"/>
      <c r="N3202" s="76"/>
      <c r="O3202" s="76">
        <v>0</v>
      </c>
      <c r="P3202" s="76"/>
      <c r="Q3202" s="76"/>
      <c r="R3202" s="76"/>
      <c r="S3202" s="76"/>
      <c r="BD3202" s="99">
        <f t="shared" si="104"/>
        <v>0</v>
      </c>
      <c r="CC3202" s="99"/>
      <c r="CV3202" s="99"/>
      <c r="CW3202" s="63"/>
    </row>
    <row r="3203" spans="1:101" x14ac:dyDescent="0.15">
      <c r="A3203" s="76"/>
      <c r="B3203" s="74"/>
      <c r="C3203" s="74"/>
      <c r="D3203" s="78"/>
      <c r="E3203" s="74" t="s">
        <v>9593</v>
      </c>
      <c r="F3203" s="74"/>
      <c r="G3203" s="76"/>
      <c r="H3203" s="77" t="s">
        <v>48</v>
      </c>
      <c r="I3203" s="76" t="s">
        <v>53</v>
      </c>
      <c r="J3203" s="77" t="s">
        <v>8516</v>
      </c>
      <c r="K3203" s="77" t="s">
        <v>8554</v>
      </c>
      <c r="L3203" s="76"/>
      <c r="M3203" s="76"/>
      <c r="N3203" s="76"/>
      <c r="O3203" s="76">
        <v>0</v>
      </c>
      <c r="P3203" s="76"/>
      <c r="Q3203" s="76"/>
      <c r="R3203" s="76"/>
      <c r="S3203" s="76"/>
      <c r="BD3203" s="99">
        <f t="shared" ref="BD3203:BD3266" si="106">CC3203+CV3203</f>
        <v>0</v>
      </c>
      <c r="CC3203" s="99"/>
      <c r="CV3203" s="99"/>
      <c r="CW3203" s="63"/>
    </row>
    <row r="3204" spans="1:101" x14ac:dyDescent="0.15">
      <c r="A3204" s="76"/>
      <c r="B3204" s="74"/>
      <c r="C3204" s="74"/>
      <c r="D3204" s="78"/>
      <c r="E3204" s="74" t="s">
        <v>9594</v>
      </c>
      <c r="F3204" s="74"/>
      <c r="G3204" s="76"/>
      <c r="H3204" s="77" t="s">
        <v>48</v>
      </c>
      <c r="I3204" s="76" t="s">
        <v>53</v>
      </c>
      <c r="J3204" s="77" t="s">
        <v>8516</v>
      </c>
      <c r="K3204" s="77" t="s">
        <v>8785</v>
      </c>
      <c r="L3204" s="76"/>
      <c r="M3204" s="76"/>
      <c r="N3204" s="76"/>
      <c r="O3204" s="76">
        <v>1</v>
      </c>
      <c r="P3204" s="76"/>
      <c r="Q3204" s="76"/>
      <c r="R3204" s="76"/>
      <c r="S3204" s="76"/>
      <c r="BD3204" s="99">
        <f t="shared" si="106"/>
        <v>0</v>
      </c>
      <c r="CC3204" s="99"/>
      <c r="CV3204" s="99"/>
      <c r="CW3204" s="63"/>
    </row>
    <row r="3205" spans="1:101" x14ac:dyDescent="0.15">
      <c r="A3205" s="76"/>
      <c r="B3205" s="74"/>
      <c r="C3205" s="74"/>
      <c r="D3205" s="78"/>
      <c r="E3205" s="74" t="s">
        <v>9595</v>
      </c>
      <c r="F3205" s="74"/>
      <c r="G3205" s="76"/>
      <c r="H3205" s="77" t="s">
        <v>48</v>
      </c>
      <c r="I3205" s="76" t="s">
        <v>53</v>
      </c>
      <c r="J3205" s="77" t="s">
        <v>8516</v>
      </c>
      <c r="K3205" s="77" t="s">
        <v>84</v>
      </c>
      <c r="L3205" s="76"/>
      <c r="M3205" s="76"/>
      <c r="N3205" s="76"/>
      <c r="O3205" s="76">
        <v>0</v>
      </c>
      <c r="P3205" s="76"/>
      <c r="Q3205" s="76"/>
      <c r="R3205" s="76"/>
      <c r="S3205" s="76"/>
      <c r="BD3205" s="99">
        <f t="shared" si="106"/>
        <v>0</v>
      </c>
      <c r="CC3205" s="99"/>
      <c r="CV3205" s="99"/>
      <c r="CW3205" s="63"/>
    </row>
    <row r="3206" spans="1:101" ht="22.5" x14ac:dyDescent="0.15">
      <c r="A3206" s="76">
        <v>2967</v>
      </c>
      <c r="B3206" s="74" t="s">
        <v>3603</v>
      </c>
      <c r="C3206" s="74">
        <v>1003307612</v>
      </c>
      <c r="D3206" s="78" t="str">
        <f t="shared" si="105"/>
        <v>https://portal.dnb.de/opac.htm?method=simpleSearch&amp;cqlMode=true&amp;query=idn%3D1003307612</v>
      </c>
      <c r="E3206" s="74" t="s">
        <v>3604</v>
      </c>
      <c r="F3206" s="74"/>
      <c r="G3206" s="76"/>
      <c r="H3206" s="77" t="s">
        <v>48</v>
      </c>
      <c r="I3206" s="76" t="s">
        <v>53</v>
      </c>
      <c r="J3206" s="77" t="s">
        <v>8516</v>
      </c>
      <c r="K3206" s="77" t="s">
        <v>8564</v>
      </c>
      <c r="L3206" s="76"/>
      <c r="M3206" s="76" t="s">
        <v>36</v>
      </c>
      <c r="N3206" s="76" t="s">
        <v>39</v>
      </c>
      <c r="O3206" s="76">
        <v>0</v>
      </c>
      <c r="P3206" s="76"/>
      <c r="Q3206" s="76"/>
      <c r="R3206" s="76"/>
      <c r="S3206" s="76"/>
      <c r="BD3206" s="99">
        <f t="shared" si="106"/>
        <v>0</v>
      </c>
      <c r="CC3206" s="99"/>
      <c r="CV3206" s="99"/>
      <c r="CW3206" s="63"/>
    </row>
    <row r="3207" spans="1:101" ht="33.75" x14ac:dyDescent="0.15">
      <c r="A3207" s="76">
        <v>2968</v>
      </c>
      <c r="B3207" s="74" t="s">
        <v>3609</v>
      </c>
      <c r="C3207" s="74">
        <v>999143689</v>
      </c>
      <c r="D3207" s="78" t="str">
        <f t="shared" si="105"/>
        <v>https://portal.dnb.de/opac.htm?method=simpleSearch&amp;cqlMode=true&amp;query=idn%3D999143689</v>
      </c>
      <c r="E3207" s="74" t="s">
        <v>9204</v>
      </c>
      <c r="F3207" s="74"/>
      <c r="G3207" s="76"/>
      <c r="H3207" s="77" t="s">
        <v>4</v>
      </c>
      <c r="I3207" s="76" t="s">
        <v>53</v>
      </c>
      <c r="J3207" s="77" t="s">
        <v>8516</v>
      </c>
      <c r="K3207" s="77" t="s">
        <v>8928</v>
      </c>
      <c r="L3207" s="76"/>
      <c r="M3207" s="76" t="s">
        <v>38</v>
      </c>
      <c r="N3207" s="76" t="s">
        <v>40</v>
      </c>
      <c r="O3207" s="76">
        <v>0</v>
      </c>
      <c r="P3207" s="76"/>
      <c r="Q3207" s="76"/>
      <c r="R3207" s="76"/>
      <c r="S3207" s="76"/>
      <c r="BD3207" s="99">
        <f t="shared" si="106"/>
        <v>0</v>
      </c>
      <c r="CC3207" s="99"/>
      <c r="CV3207" s="99"/>
      <c r="CW3207" s="63"/>
    </row>
    <row r="3208" spans="1:101" ht="33.75" x14ac:dyDescent="0.15">
      <c r="A3208" s="76">
        <v>2969</v>
      </c>
      <c r="B3208" s="74" t="s">
        <v>3610</v>
      </c>
      <c r="C3208" s="74">
        <v>999143581</v>
      </c>
      <c r="D3208" s="82" t="str">
        <f>HYPERLINK(CONCATENATE("https://portal.dnb.de/opac.htm?method=simpleSearch&amp;cqlMode=true&amp;query=idn%3D",C3208))</f>
        <v>https://portal.dnb.de/opac.htm?method=simpleSearch&amp;cqlMode=true&amp;query=idn%3D999143581</v>
      </c>
      <c r="E3208" s="74" t="s">
        <v>9205</v>
      </c>
      <c r="F3208" s="74"/>
      <c r="G3208" s="76"/>
      <c r="H3208" s="77" t="s">
        <v>4</v>
      </c>
      <c r="I3208" s="76" t="s">
        <v>53</v>
      </c>
      <c r="J3208" s="77" t="s">
        <v>8516</v>
      </c>
      <c r="K3208" s="77" t="s">
        <v>8928</v>
      </c>
      <c r="L3208" s="76"/>
      <c r="M3208" s="76" t="s">
        <v>38</v>
      </c>
      <c r="N3208" s="76" t="s">
        <v>40</v>
      </c>
      <c r="O3208" s="76">
        <v>0</v>
      </c>
      <c r="P3208" s="76"/>
      <c r="Q3208" s="76"/>
      <c r="R3208" s="76"/>
      <c r="S3208" s="76"/>
      <c r="BD3208" s="99">
        <f t="shared" si="106"/>
        <v>0</v>
      </c>
      <c r="CC3208" s="99"/>
      <c r="CV3208" s="99"/>
      <c r="CW3208" s="63"/>
    </row>
    <row r="3209" spans="1:101" ht="33.75" x14ac:dyDescent="0.15">
      <c r="A3209" s="76">
        <v>2970</v>
      </c>
      <c r="B3209" s="74" t="s">
        <v>3611</v>
      </c>
      <c r="C3209" s="74">
        <v>999143867</v>
      </c>
      <c r="D3209" s="82" t="str">
        <f>HYPERLINK(CONCATENATE("https://portal.dnb.de/opac.htm?method=simpleSearch&amp;cqlMode=true&amp;query=idn%3D",C3209))</f>
        <v>https://portal.dnb.de/opac.htm?method=simpleSearch&amp;cqlMode=true&amp;query=idn%3D999143867</v>
      </c>
      <c r="E3209" s="74" t="s">
        <v>9206</v>
      </c>
      <c r="F3209" s="74"/>
      <c r="G3209" s="76"/>
      <c r="H3209" s="77" t="s">
        <v>4</v>
      </c>
      <c r="I3209" s="76" t="s">
        <v>53</v>
      </c>
      <c r="J3209" s="77" t="s">
        <v>8516</v>
      </c>
      <c r="K3209" s="77" t="s">
        <v>8928</v>
      </c>
      <c r="L3209" s="76"/>
      <c r="M3209" s="76" t="s">
        <v>38</v>
      </c>
      <c r="N3209" s="76" t="s">
        <v>40</v>
      </c>
      <c r="O3209" s="76">
        <v>0</v>
      </c>
      <c r="P3209" s="76"/>
      <c r="Q3209" s="76"/>
      <c r="R3209" s="76"/>
      <c r="S3209" s="76"/>
      <c r="BD3209" s="99">
        <f t="shared" si="106"/>
        <v>0</v>
      </c>
      <c r="CC3209" s="99"/>
      <c r="CV3209" s="99"/>
      <c r="CW3209" s="63"/>
    </row>
    <row r="3210" spans="1:101" ht="33.75" x14ac:dyDescent="0.15">
      <c r="A3210" s="76">
        <v>2971</v>
      </c>
      <c r="B3210" s="74" t="s">
        <v>3612</v>
      </c>
      <c r="C3210" s="74">
        <v>999143794</v>
      </c>
      <c r="D3210" s="78" t="str">
        <f t="shared" ref="D3210:D3274" si="107">HYPERLINK(CONCATENATE("https://portal.dnb.de/opac.htm?method=simpleSearch&amp;cqlMode=true&amp;query=idn%3D",C3210))</f>
        <v>https://portal.dnb.de/opac.htm?method=simpleSearch&amp;cqlMode=true&amp;query=idn%3D999143794</v>
      </c>
      <c r="E3210" s="74" t="s">
        <v>9207</v>
      </c>
      <c r="F3210" s="74"/>
      <c r="G3210" s="76"/>
      <c r="H3210" s="77" t="s">
        <v>4</v>
      </c>
      <c r="I3210" s="76" t="s">
        <v>53</v>
      </c>
      <c r="J3210" s="77" t="s">
        <v>8516</v>
      </c>
      <c r="K3210" s="77" t="s">
        <v>8928</v>
      </c>
      <c r="L3210" s="76"/>
      <c r="M3210" s="76" t="s">
        <v>38</v>
      </c>
      <c r="N3210" s="76" t="s">
        <v>40</v>
      </c>
      <c r="O3210" s="76">
        <v>0</v>
      </c>
      <c r="P3210" s="76"/>
      <c r="Q3210" s="76"/>
      <c r="R3210" s="76"/>
      <c r="S3210" s="76"/>
      <c r="BD3210" s="99">
        <f t="shared" si="106"/>
        <v>0</v>
      </c>
      <c r="CC3210" s="99"/>
      <c r="CV3210" s="99"/>
      <c r="CW3210" s="63"/>
    </row>
    <row r="3211" spans="1:101" x14ac:dyDescent="0.15">
      <c r="A3211" s="76">
        <v>2972</v>
      </c>
      <c r="B3211" s="74" t="s">
        <v>3613</v>
      </c>
      <c r="C3211" s="74">
        <v>999144480</v>
      </c>
      <c r="D3211" s="78" t="str">
        <f t="shared" si="107"/>
        <v>https://portal.dnb.de/opac.htm?method=simpleSearch&amp;cqlMode=true&amp;query=idn%3D999144480</v>
      </c>
      <c r="E3211" s="74" t="s">
        <v>9210</v>
      </c>
      <c r="F3211" s="74"/>
      <c r="G3211" s="76"/>
      <c r="H3211" s="77" t="s">
        <v>5</v>
      </c>
      <c r="I3211" s="76" t="s">
        <v>53</v>
      </c>
      <c r="J3211" s="77" t="s">
        <v>58</v>
      </c>
      <c r="K3211" s="77" t="s">
        <v>8520</v>
      </c>
      <c r="L3211" s="76"/>
      <c r="M3211" s="76" t="s">
        <v>38</v>
      </c>
      <c r="N3211" s="76" t="s">
        <v>40</v>
      </c>
      <c r="O3211" s="76">
        <v>2</v>
      </c>
      <c r="P3211" s="76"/>
      <c r="Q3211" s="76"/>
      <c r="R3211" s="76" t="s">
        <v>9212</v>
      </c>
      <c r="S3211" s="76"/>
      <c r="BD3211" s="99">
        <f t="shared" si="106"/>
        <v>0</v>
      </c>
      <c r="CC3211" s="99"/>
      <c r="CV3211" s="99"/>
      <c r="CW3211" s="63"/>
    </row>
    <row r="3212" spans="1:101" x14ac:dyDescent="0.15">
      <c r="A3212" s="76">
        <v>2973</v>
      </c>
      <c r="B3212" s="74" t="s">
        <v>3614</v>
      </c>
      <c r="C3212" s="74">
        <v>999144537</v>
      </c>
      <c r="D3212" s="82" t="str">
        <f>HYPERLINK(CONCATENATE("https://portal.dnb.de/opac.htm?method=simpleSearch&amp;cqlMode=true&amp;query=idn%3D",C3212))</f>
        <v>https://portal.dnb.de/opac.htm?method=simpleSearch&amp;cqlMode=true&amp;query=idn%3D999144537</v>
      </c>
      <c r="E3212" s="74" t="s">
        <v>9211</v>
      </c>
      <c r="F3212" s="74"/>
      <c r="G3212" s="76"/>
      <c r="H3212" s="77"/>
      <c r="I3212" s="76"/>
      <c r="J3212" s="77"/>
      <c r="K3212" s="77"/>
      <c r="L3212" s="76"/>
      <c r="M3212" s="76"/>
      <c r="N3212" s="76"/>
      <c r="O3212" s="76"/>
      <c r="P3212" s="76"/>
      <c r="Q3212" s="76"/>
      <c r="R3212" s="76"/>
      <c r="S3212" s="76"/>
      <c r="BD3212" s="99">
        <f t="shared" si="106"/>
        <v>0</v>
      </c>
      <c r="CC3212" s="99"/>
      <c r="CV3212" s="99"/>
      <c r="CW3212" s="63"/>
    </row>
    <row r="3213" spans="1:101" x14ac:dyDescent="0.15">
      <c r="A3213" s="76">
        <v>2974</v>
      </c>
      <c r="B3213" s="74" t="s">
        <v>3615</v>
      </c>
      <c r="C3213" s="74">
        <v>999144553</v>
      </c>
      <c r="D3213" s="78" t="str">
        <f t="shared" si="107"/>
        <v>https://portal.dnb.de/opac.htm?method=simpleSearch&amp;cqlMode=true&amp;query=idn%3D999144553</v>
      </c>
      <c r="E3213" s="74" t="s">
        <v>9208</v>
      </c>
      <c r="F3213" s="74"/>
      <c r="G3213" s="76"/>
      <c r="H3213" s="77" t="s">
        <v>5</v>
      </c>
      <c r="I3213" s="76" t="s">
        <v>53</v>
      </c>
      <c r="J3213" s="77" t="s">
        <v>58</v>
      </c>
      <c r="K3213" s="77" t="s">
        <v>8520</v>
      </c>
      <c r="L3213" s="76"/>
      <c r="M3213" s="76" t="s">
        <v>38</v>
      </c>
      <c r="N3213" s="76" t="s">
        <v>40</v>
      </c>
      <c r="O3213" s="76">
        <v>2</v>
      </c>
      <c r="P3213" s="76"/>
      <c r="Q3213" s="76"/>
      <c r="R3213" s="76" t="s">
        <v>9209</v>
      </c>
      <c r="S3213" s="76"/>
      <c r="BD3213" s="99">
        <f t="shared" si="106"/>
        <v>0</v>
      </c>
      <c r="CC3213" s="99"/>
      <c r="CV3213" s="99"/>
      <c r="CW3213" s="63"/>
    </row>
    <row r="3214" spans="1:101" x14ac:dyDescent="0.15">
      <c r="A3214" s="76">
        <v>2975</v>
      </c>
      <c r="B3214" s="74" t="s">
        <v>3616</v>
      </c>
      <c r="C3214" s="74">
        <v>579249956</v>
      </c>
      <c r="D3214" s="78" t="str">
        <f t="shared" si="107"/>
        <v>https://portal.dnb.de/opac.htm?method=simpleSearch&amp;cqlMode=true&amp;query=idn%3D579249956</v>
      </c>
      <c r="E3214" s="74" t="s">
        <v>3617</v>
      </c>
      <c r="F3214" s="74"/>
      <c r="G3214" s="76"/>
      <c r="H3214" s="77" t="s">
        <v>6</v>
      </c>
      <c r="I3214" s="76" t="s">
        <v>53</v>
      </c>
      <c r="J3214" s="77" t="s">
        <v>58</v>
      </c>
      <c r="K3214" s="77" t="s">
        <v>84</v>
      </c>
      <c r="L3214" s="76"/>
      <c r="M3214" s="76" t="s">
        <v>36</v>
      </c>
      <c r="N3214" s="76" t="s">
        <v>39</v>
      </c>
      <c r="O3214" s="76">
        <v>0</v>
      </c>
      <c r="P3214" s="76"/>
      <c r="Q3214" s="76"/>
      <c r="R3214" s="76"/>
      <c r="S3214" s="76"/>
      <c r="BD3214" s="99">
        <f t="shared" si="106"/>
        <v>0</v>
      </c>
      <c r="CC3214" s="99"/>
      <c r="CV3214" s="99"/>
      <c r="CW3214" s="63"/>
    </row>
    <row r="3215" spans="1:101" x14ac:dyDescent="0.15">
      <c r="A3215" s="76">
        <v>2976</v>
      </c>
      <c r="B3215" s="74" t="s">
        <v>3618</v>
      </c>
      <c r="C3215" s="74">
        <v>993860486</v>
      </c>
      <c r="D3215" s="78" t="str">
        <f t="shared" si="107"/>
        <v>https://portal.dnb.de/opac.htm?method=simpleSearch&amp;cqlMode=true&amp;query=idn%3D993860486</v>
      </c>
      <c r="E3215" s="74" t="s">
        <v>9220</v>
      </c>
      <c r="F3215" s="74"/>
      <c r="G3215" s="76"/>
      <c r="H3215" s="77" t="s">
        <v>4</v>
      </c>
      <c r="I3215" s="76" t="s">
        <v>53</v>
      </c>
      <c r="J3215" s="77" t="s">
        <v>8516</v>
      </c>
      <c r="K3215" s="77" t="s">
        <v>8520</v>
      </c>
      <c r="L3215" s="76"/>
      <c r="M3215" s="76" t="s">
        <v>36</v>
      </c>
      <c r="N3215" s="76" t="s">
        <v>39</v>
      </c>
      <c r="O3215" s="76">
        <v>1</v>
      </c>
      <c r="P3215" s="76"/>
      <c r="Q3215" s="76" t="s">
        <v>9040</v>
      </c>
      <c r="R3215" s="76"/>
      <c r="S3215" s="76"/>
      <c r="BD3215" s="99">
        <f t="shared" si="106"/>
        <v>0</v>
      </c>
      <c r="CC3215" s="99"/>
      <c r="CV3215" s="99"/>
      <c r="CW3215" s="63"/>
    </row>
    <row r="3216" spans="1:101" x14ac:dyDescent="0.15">
      <c r="A3216" s="76">
        <v>2977</v>
      </c>
      <c r="B3216" s="74" t="s">
        <v>3619</v>
      </c>
      <c r="C3216" s="74" t="s">
        <v>3620</v>
      </c>
      <c r="D3216" s="78" t="str">
        <f t="shared" si="107"/>
        <v>https://portal.dnb.de/opac.htm?method=simpleSearch&amp;cqlMode=true&amp;query=idn%3D99386046X</v>
      </c>
      <c r="E3216" s="74" t="s">
        <v>9221</v>
      </c>
      <c r="F3216" s="74"/>
      <c r="G3216" s="76"/>
      <c r="H3216" s="77" t="s">
        <v>4</v>
      </c>
      <c r="I3216" s="76" t="s">
        <v>53</v>
      </c>
      <c r="J3216" s="77" t="s">
        <v>8516</v>
      </c>
      <c r="K3216" s="77" t="s">
        <v>8520</v>
      </c>
      <c r="L3216" s="76"/>
      <c r="M3216" s="76" t="s">
        <v>36</v>
      </c>
      <c r="N3216" s="76" t="s">
        <v>39</v>
      </c>
      <c r="O3216" s="76">
        <v>1</v>
      </c>
      <c r="P3216" s="76"/>
      <c r="Q3216" s="76" t="s">
        <v>9040</v>
      </c>
      <c r="R3216" s="76"/>
      <c r="S3216" s="76"/>
      <c r="BD3216" s="99">
        <f t="shared" si="106"/>
        <v>0</v>
      </c>
      <c r="CC3216" s="99"/>
      <c r="CV3216" s="99"/>
      <c r="CW3216" s="63"/>
    </row>
    <row r="3217" spans="1:101" ht="22.5" x14ac:dyDescent="0.15">
      <c r="A3217" s="76">
        <v>2978</v>
      </c>
      <c r="B3217" s="74" t="s">
        <v>3621</v>
      </c>
      <c r="C3217" s="74">
        <v>994217897</v>
      </c>
      <c r="D3217" s="78" t="str">
        <f t="shared" si="107"/>
        <v>https://portal.dnb.de/opac.htm?method=simpleSearch&amp;cqlMode=true&amp;query=idn%3D994217897</v>
      </c>
      <c r="E3217" s="74" t="s">
        <v>3622</v>
      </c>
      <c r="F3217" s="74"/>
      <c r="G3217" s="76" t="s">
        <v>8515</v>
      </c>
      <c r="H3217" s="77" t="s">
        <v>18</v>
      </c>
      <c r="I3217" s="76" t="s">
        <v>53</v>
      </c>
      <c r="J3217" s="77" t="s">
        <v>58</v>
      </c>
      <c r="K3217" s="77" t="s">
        <v>84</v>
      </c>
      <c r="L3217" s="76"/>
      <c r="M3217" s="76"/>
      <c r="N3217" s="76"/>
      <c r="O3217" s="76">
        <v>1</v>
      </c>
      <c r="P3217" s="76"/>
      <c r="Q3217" s="76"/>
      <c r="R3217" s="76"/>
      <c r="S3217" s="76"/>
      <c r="BD3217" s="99">
        <f t="shared" si="106"/>
        <v>0</v>
      </c>
      <c r="CC3217" s="99"/>
      <c r="CV3217" s="99"/>
      <c r="CW3217" s="63"/>
    </row>
    <row r="3218" spans="1:101" x14ac:dyDescent="0.15">
      <c r="A3218" s="76">
        <v>2979</v>
      </c>
      <c r="B3218" s="74" t="s">
        <v>3623</v>
      </c>
      <c r="C3218" s="74">
        <v>999145053</v>
      </c>
      <c r="D3218" s="78" t="str">
        <f t="shared" si="107"/>
        <v>https://portal.dnb.de/opac.htm?method=simpleSearch&amp;cqlMode=true&amp;query=idn%3D999145053</v>
      </c>
      <c r="E3218" s="74" t="s">
        <v>3624</v>
      </c>
      <c r="F3218" s="74"/>
      <c r="G3218" s="76"/>
      <c r="H3218" s="77" t="s">
        <v>17</v>
      </c>
      <c r="I3218" s="76" t="s">
        <v>53</v>
      </c>
      <c r="J3218" s="77" t="s">
        <v>58</v>
      </c>
      <c r="K3218" s="77" t="s">
        <v>84</v>
      </c>
      <c r="L3218" s="76"/>
      <c r="M3218" s="76"/>
      <c r="N3218" s="76"/>
      <c r="O3218" s="76">
        <v>1</v>
      </c>
      <c r="P3218" s="76"/>
      <c r="Q3218" s="76"/>
      <c r="R3218" s="76"/>
      <c r="S3218" s="76"/>
      <c r="BD3218" s="99">
        <f t="shared" si="106"/>
        <v>0</v>
      </c>
      <c r="CC3218" s="99"/>
      <c r="CV3218" s="99"/>
      <c r="CW3218" s="63"/>
    </row>
    <row r="3219" spans="1:101" x14ac:dyDescent="0.15">
      <c r="A3219" s="76">
        <v>2980</v>
      </c>
      <c r="B3219" s="74" t="s">
        <v>3625</v>
      </c>
      <c r="C3219" s="74">
        <v>1066835926</v>
      </c>
      <c r="D3219" s="78" t="str">
        <f t="shared" si="107"/>
        <v>https://portal.dnb.de/opac.htm?method=simpleSearch&amp;cqlMode=true&amp;query=idn%3D1066835926</v>
      </c>
      <c r="E3219" s="74" t="s">
        <v>3626</v>
      </c>
      <c r="F3219" s="74"/>
      <c r="G3219" s="76"/>
      <c r="H3219" s="77" t="s">
        <v>17</v>
      </c>
      <c r="I3219" s="76" t="s">
        <v>53</v>
      </c>
      <c r="J3219" s="77" t="s">
        <v>58</v>
      </c>
      <c r="K3219" s="77" t="s">
        <v>84</v>
      </c>
      <c r="L3219" s="76"/>
      <c r="M3219" s="76"/>
      <c r="N3219" s="76" t="s">
        <v>8660</v>
      </c>
      <c r="O3219" s="76">
        <v>0</v>
      </c>
      <c r="P3219" s="76"/>
      <c r="Q3219" s="76"/>
      <c r="R3219" s="76"/>
      <c r="S3219" s="76"/>
      <c r="BD3219" s="99">
        <f t="shared" si="106"/>
        <v>0</v>
      </c>
      <c r="CC3219" s="99"/>
      <c r="CV3219" s="99"/>
      <c r="CW3219" s="63"/>
    </row>
    <row r="3220" spans="1:101" ht="22.5" x14ac:dyDescent="0.15">
      <c r="A3220" s="76">
        <v>2981</v>
      </c>
      <c r="B3220" s="74" t="s">
        <v>3627</v>
      </c>
      <c r="C3220" s="74">
        <v>1066956707</v>
      </c>
      <c r="D3220" s="78" t="str">
        <f t="shared" si="107"/>
        <v>https://portal.dnb.de/opac.htm?method=simpleSearch&amp;cqlMode=true&amp;query=idn%3D1066956707</v>
      </c>
      <c r="E3220" s="74" t="s">
        <v>3628</v>
      </c>
      <c r="F3220" s="74"/>
      <c r="G3220" s="76" t="s">
        <v>8515</v>
      </c>
      <c r="H3220" s="77" t="s">
        <v>8547</v>
      </c>
      <c r="I3220" s="76" t="s">
        <v>53</v>
      </c>
      <c r="J3220" s="77" t="s">
        <v>58</v>
      </c>
      <c r="K3220" s="77" t="s">
        <v>84</v>
      </c>
      <c r="L3220" s="76"/>
      <c r="M3220" s="76" t="s">
        <v>37</v>
      </c>
      <c r="N3220" s="76" t="s">
        <v>8695</v>
      </c>
      <c r="O3220" s="76">
        <v>0</v>
      </c>
      <c r="P3220" s="76"/>
      <c r="Q3220" s="76"/>
      <c r="R3220" s="76"/>
      <c r="S3220" s="76"/>
      <c r="BD3220" s="99">
        <f t="shared" si="106"/>
        <v>0</v>
      </c>
      <c r="CC3220" s="99"/>
      <c r="CV3220" s="99"/>
      <c r="CW3220" s="63"/>
    </row>
    <row r="3221" spans="1:101" ht="22.5" x14ac:dyDescent="0.15">
      <c r="A3221" s="76">
        <v>2982</v>
      </c>
      <c r="B3221" s="74" t="s">
        <v>3629</v>
      </c>
      <c r="C3221" s="74">
        <v>1066937842</v>
      </c>
      <c r="D3221" s="78" t="str">
        <f t="shared" si="107"/>
        <v>https://portal.dnb.de/opac.htm?method=simpleSearch&amp;cqlMode=true&amp;query=idn%3D1066937842</v>
      </c>
      <c r="E3221" s="74" t="s">
        <v>3630</v>
      </c>
      <c r="F3221" s="74"/>
      <c r="G3221" s="76" t="s">
        <v>8515</v>
      </c>
      <c r="H3221" s="77" t="s">
        <v>8547</v>
      </c>
      <c r="I3221" s="76" t="s">
        <v>53</v>
      </c>
      <c r="J3221" s="77" t="s">
        <v>58</v>
      </c>
      <c r="K3221" s="77" t="s">
        <v>9611</v>
      </c>
      <c r="L3221" s="76"/>
      <c r="M3221" s="76" t="s">
        <v>37</v>
      </c>
      <c r="N3221" s="76" t="s">
        <v>8695</v>
      </c>
      <c r="O3221" s="76">
        <v>0</v>
      </c>
      <c r="P3221" s="76"/>
      <c r="Q3221" s="76"/>
      <c r="R3221" s="76"/>
      <c r="S3221" s="76"/>
      <c r="BD3221" s="99">
        <f t="shared" si="106"/>
        <v>0</v>
      </c>
      <c r="CC3221" s="99"/>
      <c r="CV3221" s="99"/>
      <c r="CW3221" s="63"/>
    </row>
    <row r="3222" spans="1:101" x14ac:dyDescent="0.15">
      <c r="A3222" s="76">
        <v>2983</v>
      </c>
      <c r="B3222" s="74" t="s">
        <v>3631</v>
      </c>
      <c r="C3222" s="74">
        <v>997417137</v>
      </c>
      <c r="D3222" s="78" t="str">
        <f t="shared" si="107"/>
        <v>https://portal.dnb.de/opac.htm?method=simpleSearch&amp;cqlMode=true&amp;query=idn%3D997417137</v>
      </c>
      <c r="E3222" s="74" t="s">
        <v>3632</v>
      </c>
      <c r="F3222" s="74"/>
      <c r="G3222" s="76"/>
      <c r="H3222" s="77"/>
      <c r="I3222" s="76"/>
      <c r="J3222" s="77"/>
      <c r="K3222" s="77"/>
      <c r="L3222" s="76"/>
      <c r="M3222" s="76"/>
      <c r="N3222" s="76"/>
      <c r="O3222" s="76"/>
      <c r="P3222" s="76"/>
      <c r="Q3222" s="76"/>
      <c r="R3222" s="76"/>
      <c r="S3222" s="76"/>
      <c r="BD3222" s="99">
        <f t="shared" si="106"/>
        <v>0</v>
      </c>
      <c r="CC3222" s="99"/>
      <c r="CV3222" s="99"/>
      <c r="CW3222" s="63"/>
    </row>
    <row r="3223" spans="1:101" ht="22.5" x14ac:dyDescent="0.15">
      <c r="A3223" s="76">
        <v>2984</v>
      </c>
      <c r="B3223" s="74" t="s">
        <v>3633</v>
      </c>
      <c r="C3223" s="74" t="s">
        <v>3634</v>
      </c>
      <c r="D3223" s="78" t="str">
        <f t="shared" si="107"/>
        <v>https://portal.dnb.de/opac.htm?method=simpleSearch&amp;cqlMode=true&amp;query=idn%3D106687817X</v>
      </c>
      <c r="E3223" s="74" t="s">
        <v>3635</v>
      </c>
      <c r="F3223" s="74"/>
      <c r="G3223" s="76" t="s">
        <v>8515</v>
      </c>
      <c r="H3223" s="77" t="s">
        <v>6</v>
      </c>
      <c r="I3223" s="76" t="s">
        <v>53</v>
      </c>
      <c r="J3223" s="77" t="s">
        <v>58</v>
      </c>
      <c r="K3223" s="77" t="s">
        <v>8565</v>
      </c>
      <c r="L3223" s="76"/>
      <c r="M3223" s="76"/>
      <c r="N3223" s="76" t="s">
        <v>8660</v>
      </c>
      <c r="O3223" s="76">
        <v>0</v>
      </c>
      <c r="P3223" s="76"/>
      <c r="Q3223" s="76"/>
      <c r="R3223" s="76"/>
      <c r="S3223" s="76"/>
      <c r="BD3223" s="99">
        <f t="shared" si="106"/>
        <v>0</v>
      </c>
      <c r="CC3223" s="99"/>
      <c r="CV3223" s="99"/>
      <c r="CW3223" s="63"/>
    </row>
    <row r="3224" spans="1:101" ht="22.5" x14ac:dyDescent="0.15">
      <c r="A3224" s="76">
        <v>2985</v>
      </c>
      <c r="B3224" s="74" t="s">
        <v>3642</v>
      </c>
      <c r="C3224" s="74">
        <v>1066962596</v>
      </c>
      <c r="D3224" s="82" t="str">
        <f>HYPERLINK(CONCATENATE("https://portal.dnb.de/opac.htm?method=simpleSearch&amp;cqlMode=true&amp;query=idn%3D",C3224))</f>
        <v>https://portal.dnb.de/opac.htm?method=simpleSearch&amp;cqlMode=true&amp;query=idn%3D1066962596</v>
      </c>
      <c r="E3224" s="74" t="s">
        <v>9612</v>
      </c>
      <c r="F3224" s="74"/>
      <c r="G3224" s="76" t="s">
        <v>8515</v>
      </c>
      <c r="H3224" s="77" t="s">
        <v>18</v>
      </c>
      <c r="I3224" s="76" t="s">
        <v>53</v>
      </c>
      <c r="J3224" s="77" t="s">
        <v>8516</v>
      </c>
      <c r="K3224" s="77" t="s">
        <v>72</v>
      </c>
      <c r="L3224" s="76"/>
      <c r="M3224" s="76"/>
      <c r="N3224" s="76" t="s">
        <v>8660</v>
      </c>
      <c r="O3224" s="76">
        <v>0</v>
      </c>
      <c r="P3224" s="76"/>
      <c r="Q3224" s="76"/>
      <c r="R3224" s="76"/>
      <c r="S3224" s="76"/>
      <c r="BD3224" s="99">
        <f t="shared" si="106"/>
        <v>0</v>
      </c>
      <c r="CC3224" s="99"/>
      <c r="CV3224" s="99"/>
      <c r="CW3224" s="63"/>
    </row>
    <row r="3225" spans="1:101" ht="33.75" x14ac:dyDescent="0.15">
      <c r="A3225" s="76">
        <v>2986</v>
      </c>
      <c r="B3225" s="74" t="s">
        <v>3644</v>
      </c>
      <c r="C3225" s="74">
        <v>1066961700</v>
      </c>
      <c r="D3225" s="82" t="str">
        <f>HYPERLINK(CONCATENATE("https://portal.dnb.de/opac.htm?method=simpleSearch&amp;cqlMode=true&amp;query=idn%3D",C3225))</f>
        <v>https://portal.dnb.de/opac.htm?method=simpleSearch&amp;cqlMode=true&amp;query=idn%3D1066961700</v>
      </c>
      <c r="E3225" s="74" t="s">
        <v>3643</v>
      </c>
      <c r="F3225" s="74"/>
      <c r="G3225" s="76" t="s">
        <v>8515</v>
      </c>
      <c r="H3225" s="77" t="s">
        <v>48</v>
      </c>
      <c r="I3225" s="76" t="s">
        <v>53</v>
      </c>
      <c r="J3225" s="77" t="s">
        <v>8516</v>
      </c>
      <c r="K3225" s="77" t="s">
        <v>8663</v>
      </c>
      <c r="L3225" s="76"/>
      <c r="M3225" s="76" t="s">
        <v>32</v>
      </c>
      <c r="N3225" s="76" t="s">
        <v>40</v>
      </c>
      <c r="O3225" s="76">
        <v>0</v>
      </c>
      <c r="P3225" s="76"/>
      <c r="Q3225" s="76"/>
      <c r="R3225" s="76"/>
      <c r="S3225" s="76"/>
      <c r="BD3225" s="99">
        <f t="shared" si="106"/>
        <v>0</v>
      </c>
      <c r="CC3225" s="99"/>
      <c r="CV3225" s="99"/>
      <c r="CW3225" s="63"/>
    </row>
    <row r="3226" spans="1:101" ht="22.5" x14ac:dyDescent="0.15">
      <c r="A3226" s="76">
        <v>2987</v>
      </c>
      <c r="B3226" s="74" t="s">
        <v>3645</v>
      </c>
      <c r="C3226" s="74">
        <v>1066962618</v>
      </c>
      <c r="D3226" s="78" t="str">
        <f t="shared" si="107"/>
        <v>https://portal.dnb.de/opac.htm?method=simpleSearch&amp;cqlMode=true&amp;query=idn%3D1066962618</v>
      </c>
      <c r="E3226" s="74" t="s">
        <v>3646</v>
      </c>
      <c r="F3226" s="74"/>
      <c r="G3226" s="76" t="s">
        <v>8515</v>
      </c>
      <c r="H3226" s="77" t="s">
        <v>49</v>
      </c>
      <c r="I3226" s="76" t="s">
        <v>53</v>
      </c>
      <c r="J3226" s="77" t="s">
        <v>8516</v>
      </c>
      <c r="K3226" s="77" t="s">
        <v>8565</v>
      </c>
      <c r="L3226" s="76"/>
      <c r="M3226" s="76"/>
      <c r="N3226" s="76" t="s">
        <v>8660</v>
      </c>
      <c r="O3226" s="76">
        <v>0</v>
      </c>
      <c r="P3226" s="76"/>
      <c r="Q3226" s="76"/>
      <c r="R3226" s="76"/>
      <c r="S3226" s="76"/>
      <c r="BD3226" s="99">
        <f t="shared" si="106"/>
        <v>0</v>
      </c>
      <c r="CC3226" s="99"/>
      <c r="CV3226" s="99"/>
      <c r="CW3226" s="63"/>
    </row>
    <row r="3227" spans="1:101" x14ac:dyDescent="0.15">
      <c r="A3227" s="76">
        <v>2988</v>
      </c>
      <c r="B3227" s="74" t="s">
        <v>3647</v>
      </c>
      <c r="C3227" s="74">
        <v>1066959706</v>
      </c>
      <c r="D3227" s="78" t="str">
        <f t="shared" si="107"/>
        <v>https://portal.dnb.de/opac.htm?method=simpleSearch&amp;cqlMode=true&amp;query=idn%3D1066959706</v>
      </c>
      <c r="E3227" s="74" t="s">
        <v>3648</v>
      </c>
      <c r="F3227" s="74"/>
      <c r="G3227" s="76" t="s">
        <v>8515</v>
      </c>
      <c r="H3227" s="77" t="s">
        <v>6</v>
      </c>
      <c r="I3227" s="76" t="s">
        <v>53</v>
      </c>
      <c r="J3227" s="77" t="s">
        <v>58</v>
      </c>
      <c r="K3227" s="77" t="s">
        <v>84</v>
      </c>
      <c r="L3227" s="76"/>
      <c r="M3227" s="76"/>
      <c r="N3227" s="76" t="s">
        <v>8660</v>
      </c>
      <c r="O3227" s="76">
        <v>0</v>
      </c>
      <c r="P3227" s="76"/>
      <c r="Q3227" s="76"/>
      <c r="R3227" s="76"/>
      <c r="S3227" s="76"/>
      <c r="BD3227" s="99">
        <f t="shared" si="106"/>
        <v>0</v>
      </c>
      <c r="CC3227" s="99"/>
      <c r="CV3227" s="99"/>
      <c r="CW3227" s="63"/>
    </row>
    <row r="3228" spans="1:101" ht="22.5" x14ac:dyDescent="0.15">
      <c r="A3228" s="76">
        <v>2989</v>
      </c>
      <c r="B3228" s="74" t="s">
        <v>3649</v>
      </c>
      <c r="C3228" s="74">
        <v>1000067874</v>
      </c>
      <c r="D3228" s="82" t="str">
        <f>HYPERLINK(CONCATENATE("https://portal.dnb.de/opac.htm?method=simpleSearch&amp;cqlMode=true&amp;query=idn%3D",C3228))</f>
        <v>https://portal.dnb.de/opac.htm?method=simpleSearch&amp;cqlMode=true&amp;query=idn%3D1000067874</v>
      </c>
      <c r="E3228" s="74" t="s">
        <v>3650</v>
      </c>
      <c r="F3228" s="74"/>
      <c r="G3228" s="76"/>
      <c r="H3228" s="77" t="s">
        <v>18</v>
      </c>
      <c r="I3228" s="76" t="s">
        <v>53</v>
      </c>
      <c r="J3228" s="77" t="s">
        <v>58</v>
      </c>
      <c r="K3228" s="77" t="s">
        <v>8785</v>
      </c>
      <c r="L3228" s="76"/>
      <c r="M3228" s="76" t="s">
        <v>36</v>
      </c>
      <c r="N3228" s="76" t="s">
        <v>40</v>
      </c>
      <c r="O3228" s="76">
        <v>0</v>
      </c>
      <c r="P3228" s="76"/>
      <c r="Q3228" s="76"/>
      <c r="R3228" s="76"/>
      <c r="S3228" s="76"/>
      <c r="BD3228" s="99">
        <f t="shared" si="106"/>
        <v>0</v>
      </c>
      <c r="CC3228" s="99"/>
      <c r="CV3228" s="99"/>
      <c r="CW3228" s="63"/>
    </row>
    <row r="3229" spans="1:101" ht="33.75" x14ac:dyDescent="0.15">
      <c r="A3229" s="76">
        <v>2990</v>
      </c>
      <c r="B3229" s="74" t="s">
        <v>3651</v>
      </c>
      <c r="C3229" s="74">
        <v>1066963630</v>
      </c>
      <c r="D3229" s="78" t="str">
        <f t="shared" si="107"/>
        <v>https://portal.dnb.de/opac.htm?method=simpleSearch&amp;cqlMode=true&amp;query=idn%3D1066963630</v>
      </c>
      <c r="E3229" s="74" t="s">
        <v>3652</v>
      </c>
      <c r="F3229" s="74"/>
      <c r="G3229" s="76" t="s">
        <v>8515</v>
      </c>
      <c r="H3229" s="77" t="s">
        <v>8674</v>
      </c>
      <c r="I3229" s="76" t="s">
        <v>53</v>
      </c>
      <c r="J3229" s="77" t="s">
        <v>58</v>
      </c>
      <c r="K3229" s="77" t="s">
        <v>84</v>
      </c>
      <c r="L3229" s="76"/>
      <c r="M3229" s="76" t="s">
        <v>37</v>
      </c>
      <c r="N3229" s="76" t="s">
        <v>40</v>
      </c>
      <c r="O3229" s="76">
        <v>2</v>
      </c>
      <c r="P3229" s="76"/>
      <c r="Q3229" s="76"/>
      <c r="R3229" s="76"/>
      <c r="S3229" s="76"/>
      <c r="BD3229" s="99">
        <f t="shared" si="106"/>
        <v>0</v>
      </c>
      <c r="CC3229" s="99"/>
      <c r="CV3229" s="99"/>
      <c r="CW3229" s="63"/>
    </row>
    <row r="3230" spans="1:101" ht="33.75" x14ac:dyDescent="0.15">
      <c r="A3230" s="76">
        <v>2991</v>
      </c>
      <c r="B3230" s="74" t="s">
        <v>3653</v>
      </c>
      <c r="C3230" s="74">
        <v>1066798532</v>
      </c>
      <c r="D3230" s="82" t="str">
        <f>HYPERLINK(CONCATENATE("https://portal.dnb.de/opac.htm?method=simpleSearch&amp;cqlMode=true&amp;query=idn%3D",C3230))</f>
        <v>https://portal.dnb.de/opac.htm?method=simpleSearch&amp;cqlMode=true&amp;query=idn%3D1066798532</v>
      </c>
      <c r="E3230" s="74" t="s">
        <v>3654</v>
      </c>
      <c r="F3230" s="74"/>
      <c r="G3230" s="76" t="s">
        <v>8515</v>
      </c>
      <c r="H3230" s="77" t="s">
        <v>8673</v>
      </c>
      <c r="I3230" s="76" t="s">
        <v>54</v>
      </c>
      <c r="J3230" s="77" t="s">
        <v>58</v>
      </c>
      <c r="K3230" s="77" t="s">
        <v>8565</v>
      </c>
      <c r="L3230" s="76"/>
      <c r="M3230" s="76" t="s">
        <v>37</v>
      </c>
      <c r="N3230" s="76" t="s">
        <v>40</v>
      </c>
      <c r="O3230" s="76">
        <v>3</v>
      </c>
      <c r="P3230" s="76"/>
      <c r="Q3230" s="76"/>
      <c r="R3230" s="76"/>
      <c r="S3230" s="76"/>
      <c r="BD3230" s="99">
        <f t="shared" si="106"/>
        <v>0</v>
      </c>
      <c r="CC3230" s="99"/>
      <c r="CV3230" s="99"/>
      <c r="CW3230" s="63"/>
    </row>
    <row r="3231" spans="1:101" ht="45" x14ac:dyDescent="0.15">
      <c r="A3231" s="76">
        <v>2992</v>
      </c>
      <c r="B3231" s="74" t="s">
        <v>3655</v>
      </c>
      <c r="C3231" s="74">
        <v>993909493</v>
      </c>
      <c r="D3231" s="78" t="str">
        <f t="shared" si="107"/>
        <v>https://portal.dnb.de/opac.htm?method=simpleSearch&amp;cqlMode=true&amp;query=idn%3D993909493</v>
      </c>
      <c r="E3231" s="74" t="s">
        <v>3656</v>
      </c>
      <c r="F3231" s="74"/>
      <c r="G3231" s="76"/>
      <c r="H3231" s="77" t="s">
        <v>5</v>
      </c>
      <c r="I3231" s="76" t="s">
        <v>53</v>
      </c>
      <c r="J3231" s="77" t="s">
        <v>58</v>
      </c>
      <c r="K3231" s="77"/>
      <c r="L3231" s="76"/>
      <c r="M3231" s="76" t="s">
        <v>36</v>
      </c>
      <c r="N3231" s="76" t="s">
        <v>39</v>
      </c>
      <c r="O3231" s="76">
        <v>2</v>
      </c>
      <c r="P3231" s="76"/>
      <c r="Q3231" s="76"/>
      <c r="R3231" s="76"/>
      <c r="S3231" s="76"/>
      <c r="X3231" s="95" t="s">
        <v>8541</v>
      </c>
      <c r="Y3231" s="95" t="s">
        <v>9763</v>
      </c>
      <c r="AC3231" s="95" t="s">
        <v>9730</v>
      </c>
      <c r="AI3231" s="95" t="s">
        <v>9725</v>
      </c>
      <c r="AW3231" s="95">
        <v>110</v>
      </c>
      <c r="BC3231" s="96" t="s">
        <v>9726</v>
      </c>
      <c r="BD3231" s="99">
        <f t="shared" si="106"/>
        <v>1</v>
      </c>
      <c r="BJ3231" s="95" t="s">
        <v>9741</v>
      </c>
      <c r="BK3231" s="95" t="s">
        <v>8541</v>
      </c>
      <c r="BO3231" s="70" t="s">
        <v>10092</v>
      </c>
      <c r="BP3231" s="69" t="s">
        <v>8541</v>
      </c>
      <c r="BQ3231" s="95" t="s">
        <v>8541</v>
      </c>
      <c r="BR3231" s="95" t="s">
        <v>8541</v>
      </c>
      <c r="BU3231" s="95">
        <v>1</v>
      </c>
      <c r="CC3231" s="99">
        <v>1</v>
      </c>
      <c r="CD3231" s="90" t="s">
        <v>10093</v>
      </c>
      <c r="CV3231" s="99"/>
      <c r="CW3231" s="63"/>
    </row>
    <row r="3232" spans="1:101" ht="22.5" x14ac:dyDescent="0.15">
      <c r="A3232" s="76">
        <v>2993</v>
      </c>
      <c r="B3232" s="74" t="s">
        <v>3657</v>
      </c>
      <c r="C3232" s="74">
        <v>1066866694</v>
      </c>
      <c r="D3232" s="78" t="str">
        <f t="shared" si="107"/>
        <v>https://portal.dnb.de/opac.htm?method=simpleSearch&amp;cqlMode=true&amp;query=idn%3D1066866694</v>
      </c>
      <c r="E3232" s="74" t="s">
        <v>3658</v>
      </c>
      <c r="F3232" s="74"/>
      <c r="G3232" s="76" t="s">
        <v>8515</v>
      </c>
      <c r="H3232" s="77" t="s">
        <v>6</v>
      </c>
      <c r="I3232" s="76" t="s">
        <v>53</v>
      </c>
      <c r="J3232" s="77" t="s">
        <v>58</v>
      </c>
      <c r="K3232" s="77" t="s">
        <v>8565</v>
      </c>
      <c r="L3232" s="76"/>
      <c r="M3232" s="76"/>
      <c r="N3232" s="76" t="s">
        <v>8660</v>
      </c>
      <c r="O3232" s="76">
        <v>2</v>
      </c>
      <c r="P3232" s="76"/>
      <c r="Q3232" s="76"/>
      <c r="R3232" s="76"/>
      <c r="S3232" s="76"/>
      <c r="BD3232" s="99">
        <f t="shared" si="106"/>
        <v>0</v>
      </c>
      <c r="CC3232" s="99"/>
      <c r="CV3232" s="99"/>
      <c r="CW3232" s="63"/>
    </row>
    <row r="3233" spans="1:101" x14ac:dyDescent="0.15">
      <c r="A3233" s="76"/>
      <c r="B3233" s="74"/>
      <c r="C3233" s="74"/>
      <c r="D3233" s="78"/>
      <c r="E3233" s="74" t="s">
        <v>9613</v>
      </c>
      <c r="F3233" s="74"/>
      <c r="G3233" s="76" t="s">
        <v>8515</v>
      </c>
      <c r="H3233" s="77" t="s">
        <v>48</v>
      </c>
      <c r="I3233" s="76" t="s">
        <v>53</v>
      </c>
      <c r="J3233" s="77" t="s">
        <v>8516</v>
      </c>
      <c r="K3233" s="77" t="s">
        <v>84</v>
      </c>
      <c r="L3233" s="76"/>
      <c r="M3233" s="76" t="s">
        <v>38</v>
      </c>
      <c r="N3233" s="76" t="s">
        <v>40</v>
      </c>
      <c r="O3233" s="76">
        <v>0</v>
      </c>
      <c r="P3233" s="76"/>
      <c r="Q3233" s="76"/>
      <c r="R3233" s="76"/>
      <c r="S3233" s="76"/>
      <c r="BD3233" s="99">
        <f t="shared" si="106"/>
        <v>0</v>
      </c>
      <c r="CC3233" s="99"/>
      <c r="CV3233" s="99"/>
      <c r="CW3233" s="63"/>
    </row>
    <row r="3234" spans="1:101" x14ac:dyDescent="0.15">
      <c r="A3234" s="76">
        <v>2994</v>
      </c>
      <c r="B3234" s="74" t="s">
        <v>3659</v>
      </c>
      <c r="C3234" s="74">
        <v>1066799717</v>
      </c>
      <c r="D3234" s="82" t="str">
        <f t="shared" ref="D3234:D3239" si="108">HYPERLINK(CONCATENATE("https://portal.dnb.de/opac.htm?method=simpleSearch&amp;cqlMode=true&amp;query=idn%3D",C3234))</f>
        <v>https://portal.dnb.de/opac.htm?method=simpleSearch&amp;cqlMode=true&amp;query=idn%3D1066799717</v>
      </c>
      <c r="E3234" s="74" t="s">
        <v>3660</v>
      </c>
      <c r="F3234" s="74"/>
      <c r="G3234" s="76" t="s">
        <v>8515</v>
      </c>
      <c r="H3234" s="77" t="s">
        <v>6</v>
      </c>
      <c r="I3234" s="76" t="s">
        <v>53</v>
      </c>
      <c r="J3234" s="77" t="s">
        <v>58</v>
      </c>
      <c r="K3234" s="77" t="s">
        <v>84</v>
      </c>
      <c r="L3234" s="76"/>
      <c r="M3234" s="76"/>
      <c r="N3234" s="76" t="s">
        <v>8660</v>
      </c>
      <c r="O3234" s="76">
        <v>2</v>
      </c>
      <c r="P3234" s="76"/>
      <c r="Q3234" s="76"/>
      <c r="R3234" s="76"/>
      <c r="S3234" s="76"/>
      <c r="BD3234" s="99">
        <f t="shared" si="106"/>
        <v>0</v>
      </c>
      <c r="CC3234" s="99"/>
      <c r="CV3234" s="99"/>
      <c r="CW3234" s="63"/>
    </row>
    <row r="3235" spans="1:101" ht="22.5" x14ac:dyDescent="0.15">
      <c r="A3235" s="76">
        <v>2995</v>
      </c>
      <c r="B3235" s="74" t="s">
        <v>3661</v>
      </c>
      <c r="C3235" s="74" t="s">
        <v>3662</v>
      </c>
      <c r="D3235" s="82" t="str">
        <f t="shared" si="108"/>
        <v>https://portal.dnb.de/opac.htm?method=simpleSearch&amp;cqlMode=true&amp;query=idn%3D106677403X</v>
      </c>
      <c r="E3235" s="74" t="s">
        <v>3663</v>
      </c>
      <c r="F3235" s="74"/>
      <c r="G3235" s="76" t="s">
        <v>8515</v>
      </c>
      <c r="H3235" s="77" t="s">
        <v>8547</v>
      </c>
      <c r="I3235" s="76" t="s">
        <v>53</v>
      </c>
      <c r="J3235" s="77" t="s">
        <v>58</v>
      </c>
      <c r="K3235" s="77" t="s">
        <v>84</v>
      </c>
      <c r="L3235" s="76"/>
      <c r="M3235" s="76" t="s">
        <v>37</v>
      </c>
      <c r="N3235" s="76" t="s">
        <v>40</v>
      </c>
      <c r="O3235" s="76">
        <v>1</v>
      </c>
      <c r="P3235" s="76"/>
      <c r="Q3235" s="76"/>
      <c r="R3235" s="76"/>
      <c r="S3235" s="76"/>
      <c r="BD3235" s="99">
        <f t="shared" si="106"/>
        <v>0</v>
      </c>
      <c r="CC3235" s="99"/>
      <c r="CV3235" s="99"/>
      <c r="CW3235" s="63"/>
    </row>
    <row r="3236" spans="1:101" x14ac:dyDescent="0.15">
      <c r="A3236" s="76">
        <v>2996</v>
      </c>
      <c r="B3236" s="74" t="s">
        <v>3679</v>
      </c>
      <c r="C3236" s="74" t="s">
        <v>3680</v>
      </c>
      <c r="D3236" s="82" t="str">
        <f t="shared" si="108"/>
        <v>https://portal.dnb.de/opac.htm?method=simpleSearch&amp;cqlMode=true&amp;query=idn%3D106687347X</v>
      </c>
      <c r="E3236" s="74" t="s">
        <v>3681</v>
      </c>
      <c r="F3236" s="74"/>
      <c r="G3236" s="76" t="s">
        <v>8515</v>
      </c>
      <c r="H3236" s="77" t="s">
        <v>49</v>
      </c>
      <c r="I3236" s="76" t="s">
        <v>54</v>
      </c>
      <c r="J3236" s="77" t="s">
        <v>58</v>
      </c>
      <c r="K3236" s="77" t="s">
        <v>84</v>
      </c>
      <c r="L3236" s="76"/>
      <c r="M3236" s="76"/>
      <c r="N3236" s="76" t="s">
        <v>8660</v>
      </c>
      <c r="O3236" s="76">
        <v>0</v>
      </c>
      <c r="P3236" s="76"/>
      <c r="Q3236" s="76"/>
      <c r="R3236" s="76"/>
      <c r="S3236" s="76"/>
      <c r="Y3236" s="95" t="s">
        <v>9865</v>
      </c>
      <c r="AC3236" s="95" t="s">
        <v>9739</v>
      </c>
      <c r="AI3236" s="95" t="s">
        <v>9725</v>
      </c>
      <c r="AW3236" s="95">
        <v>110</v>
      </c>
      <c r="BC3236" s="96" t="s">
        <v>9734</v>
      </c>
      <c r="BD3236" s="99">
        <f t="shared" si="106"/>
        <v>0</v>
      </c>
      <c r="BL3236" s="70" t="s">
        <v>10015</v>
      </c>
      <c r="CC3236" s="99"/>
      <c r="CV3236" s="99"/>
      <c r="CW3236" s="63"/>
    </row>
    <row r="3237" spans="1:101" ht="112.5" x14ac:dyDescent="0.15">
      <c r="A3237" s="76">
        <v>2997</v>
      </c>
      <c r="B3237" s="74" t="s">
        <v>3682</v>
      </c>
      <c r="C3237" s="74">
        <v>1066933596</v>
      </c>
      <c r="D3237" s="82" t="str">
        <f t="shared" si="108"/>
        <v>https://portal.dnb.de/opac.htm?method=simpleSearch&amp;cqlMode=true&amp;query=idn%3D1066933596</v>
      </c>
      <c r="E3237" s="74" t="s">
        <v>3683</v>
      </c>
      <c r="F3237" s="74"/>
      <c r="G3237" s="76"/>
      <c r="H3237" s="77"/>
      <c r="I3237" s="76" t="s">
        <v>55</v>
      </c>
      <c r="J3237" s="77"/>
      <c r="K3237" s="77"/>
      <c r="L3237" s="76"/>
      <c r="M3237" s="76"/>
      <c r="N3237" s="76"/>
      <c r="O3237" s="76"/>
      <c r="P3237" s="76"/>
      <c r="Q3237" s="76"/>
      <c r="R3237" s="76"/>
      <c r="S3237" s="76"/>
      <c r="Y3237" s="95" t="s">
        <v>9723</v>
      </c>
      <c r="AC3237" s="95" t="s">
        <v>9724</v>
      </c>
      <c r="AI3237" s="95" t="s">
        <v>9725</v>
      </c>
      <c r="AW3237" s="95">
        <v>60</v>
      </c>
      <c r="BC3237" s="96" t="s">
        <v>9726</v>
      </c>
      <c r="BD3237" s="99">
        <f t="shared" si="106"/>
        <v>15</v>
      </c>
      <c r="BG3237" s="95" t="s">
        <v>8541</v>
      </c>
      <c r="BP3237" s="69" t="s">
        <v>8541</v>
      </c>
      <c r="BQ3237" s="95" t="s">
        <v>8541</v>
      </c>
      <c r="BR3237" s="95" t="s">
        <v>8541</v>
      </c>
      <c r="BT3237" s="95" t="s">
        <v>9772</v>
      </c>
      <c r="BU3237" s="95">
        <v>5</v>
      </c>
      <c r="CA3237" s="95" t="s">
        <v>9911</v>
      </c>
      <c r="CC3237" s="99">
        <v>12</v>
      </c>
      <c r="CD3237" s="90" t="s">
        <v>10440</v>
      </c>
      <c r="CE3237" s="95" t="s">
        <v>8541</v>
      </c>
      <c r="CI3237" s="95" t="s">
        <v>8541</v>
      </c>
      <c r="CV3237" s="99">
        <v>3</v>
      </c>
      <c r="CW3237" s="90" t="s">
        <v>10441</v>
      </c>
    </row>
    <row r="3238" spans="1:101" x14ac:dyDescent="0.15">
      <c r="A3238" s="76">
        <v>2998</v>
      </c>
      <c r="B3238" s="74" t="s">
        <v>3684</v>
      </c>
      <c r="C3238" s="74" t="s">
        <v>3685</v>
      </c>
      <c r="D3238" s="82" t="str">
        <f t="shared" si="108"/>
        <v>https://portal.dnb.de/opac.htm?method=simpleSearch&amp;cqlMode=true&amp;query=idn%3D99402777X</v>
      </c>
      <c r="E3238" s="74" t="s">
        <v>3686</v>
      </c>
      <c r="F3238" s="74"/>
      <c r="G3238" s="76" t="s">
        <v>8515</v>
      </c>
      <c r="H3238" s="77" t="s">
        <v>5</v>
      </c>
      <c r="I3238" s="76" t="s">
        <v>53</v>
      </c>
      <c r="J3238" s="77" t="s">
        <v>58</v>
      </c>
      <c r="K3238" s="77" t="s">
        <v>8520</v>
      </c>
      <c r="L3238" s="76"/>
      <c r="M3238" s="76" t="s">
        <v>36</v>
      </c>
      <c r="N3238" s="76" t="s">
        <v>39</v>
      </c>
      <c r="O3238" s="76">
        <v>0</v>
      </c>
      <c r="P3238" s="76"/>
      <c r="Q3238" s="76"/>
      <c r="R3238" s="76"/>
      <c r="S3238" s="76"/>
      <c r="BD3238" s="99">
        <f t="shared" si="106"/>
        <v>0</v>
      </c>
      <c r="CC3238" s="99"/>
      <c r="CV3238" s="99"/>
      <c r="CW3238" s="63"/>
    </row>
    <row r="3239" spans="1:101" x14ac:dyDescent="0.15">
      <c r="A3239" s="76">
        <v>2999</v>
      </c>
      <c r="B3239" s="74" t="s">
        <v>3687</v>
      </c>
      <c r="C3239" s="74">
        <v>1066932034</v>
      </c>
      <c r="D3239" s="82" t="str">
        <f t="shared" si="108"/>
        <v>https://portal.dnb.de/opac.htm?method=simpleSearch&amp;cqlMode=true&amp;query=idn%3D1066932034</v>
      </c>
      <c r="E3239" s="74" t="s">
        <v>3688</v>
      </c>
      <c r="F3239" s="74"/>
      <c r="G3239" s="76" t="s">
        <v>8515</v>
      </c>
      <c r="H3239" s="77" t="s">
        <v>5</v>
      </c>
      <c r="I3239" s="76" t="s">
        <v>53</v>
      </c>
      <c r="J3239" s="77" t="s">
        <v>58</v>
      </c>
      <c r="K3239" s="77"/>
      <c r="L3239" s="76"/>
      <c r="M3239" s="76"/>
      <c r="N3239" s="76" t="s">
        <v>8660</v>
      </c>
      <c r="O3239" s="76">
        <v>1</v>
      </c>
      <c r="P3239" s="76"/>
      <c r="Q3239" s="76"/>
      <c r="R3239" s="76"/>
      <c r="S3239" s="76"/>
      <c r="BD3239" s="99">
        <f t="shared" si="106"/>
        <v>0</v>
      </c>
      <c r="CC3239" s="99"/>
      <c r="CV3239" s="99"/>
      <c r="CW3239" s="63"/>
    </row>
    <row r="3240" spans="1:101" ht="33.75" x14ac:dyDescent="0.15">
      <c r="A3240" s="76">
        <v>3000</v>
      </c>
      <c r="B3240" s="74" t="s">
        <v>3779</v>
      </c>
      <c r="C3240" s="74">
        <v>993855881</v>
      </c>
      <c r="D3240" s="82" t="str">
        <f>HYPERLINK(CONCATENATE("https://portal.dnb.de/opac.htm?method=simpleSearch&amp;cqlMode=true&amp;query=idn%3D",C3240))</f>
        <v>https://portal.dnb.de/opac.htm?method=simpleSearch&amp;cqlMode=true&amp;query=idn%3D993855881</v>
      </c>
      <c r="E3240" s="74" t="s">
        <v>9618</v>
      </c>
      <c r="F3240" s="74"/>
      <c r="G3240" s="76" t="s">
        <v>8515</v>
      </c>
      <c r="H3240" s="77" t="s">
        <v>5</v>
      </c>
      <c r="I3240" s="76" t="s">
        <v>54</v>
      </c>
      <c r="J3240" s="77" t="s">
        <v>58</v>
      </c>
      <c r="K3240" s="77" t="s">
        <v>8928</v>
      </c>
      <c r="L3240" s="76"/>
      <c r="M3240" s="76"/>
      <c r="N3240" s="76" t="s">
        <v>8660</v>
      </c>
      <c r="O3240" s="76">
        <v>0</v>
      </c>
      <c r="P3240" s="76"/>
      <c r="Q3240" s="76"/>
      <c r="R3240" s="76"/>
      <c r="S3240" s="76"/>
      <c r="BD3240" s="99">
        <f t="shared" si="106"/>
        <v>0</v>
      </c>
      <c r="CC3240" s="99"/>
      <c r="CV3240" s="99"/>
      <c r="CW3240" s="63"/>
    </row>
    <row r="3241" spans="1:101" ht="33.75" x14ac:dyDescent="0.15">
      <c r="A3241" s="76">
        <v>3001</v>
      </c>
      <c r="B3241" s="74" t="s">
        <v>3780</v>
      </c>
      <c r="C3241" s="74">
        <v>993856012</v>
      </c>
      <c r="D3241" s="82" t="str">
        <f>HYPERLINK(CONCATENATE("https://portal.dnb.de/opac.htm?method=simpleSearch&amp;cqlMode=true&amp;query=idn%3D",C3241))</f>
        <v>https://portal.dnb.de/opac.htm?method=simpleSearch&amp;cqlMode=true&amp;query=idn%3D993856012</v>
      </c>
      <c r="E3241" s="74" t="s">
        <v>9619</v>
      </c>
      <c r="F3241" s="74"/>
      <c r="G3241" s="76" t="s">
        <v>8515</v>
      </c>
      <c r="H3241" s="77" t="s">
        <v>5</v>
      </c>
      <c r="I3241" s="76" t="s">
        <v>54</v>
      </c>
      <c r="J3241" s="77" t="s">
        <v>58</v>
      </c>
      <c r="K3241" s="77" t="s">
        <v>8928</v>
      </c>
      <c r="L3241" s="76"/>
      <c r="M3241" s="76"/>
      <c r="N3241" s="76" t="s">
        <v>8660</v>
      </c>
      <c r="O3241" s="76">
        <v>0</v>
      </c>
      <c r="P3241" s="76"/>
      <c r="Q3241" s="76"/>
      <c r="R3241" s="76"/>
      <c r="S3241" s="76"/>
      <c r="BD3241" s="99">
        <f t="shared" si="106"/>
        <v>0</v>
      </c>
      <c r="CC3241" s="99"/>
      <c r="CV3241" s="99"/>
      <c r="CW3241" s="63"/>
    </row>
    <row r="3242" spans="1:101" ht="33.75" x14ac:dyDescent="0.15">
      <c r="A3242" s="76">
        <v>3002</v>
      </c>
      <c r="B3242" s="74" t="s">
        <v>3781</v>
      </c>
      <c r="C3242" s="74">
        <v>993855903</v>
      </c>
      <c r="D3242" s="82" t="str">
        <f>HYPERLINK(CONCATENATE("https://portal.dnb.de/opac.htm?method=simpleSearch&amp;cqlMode=true&amp;query=idn%3D",C3242))</f>
        <v>https://portal.dnb.de/opac.htm?method=simpleSearch&amp;cqlMode=true&amp;query=idn%3D993855903</v>
      </c>
      <c r="E3242" s="74" t="s">
        <v>9620</v>
      </c>
      <c r="F3242" s="74"/>
      <c r="G3242" s="76" t="s">
        <v>8515</v>
      </c>
      <c r="H3242" s="77" t="s">
        <v>5</v>
      </c>
      <c r="I3242" s="76" t="s">
        <v>54</v>
      </c>
      <c r="J3242" s="77" t="s">
        <v>58</v>
      </c>
      <c r="K3242" s="77" t="s">
        <v>8928</v>
      </c>
      <c r="L3242" s="76"/>
      <c r="M3242" s="76"/>
      <c r="N3242" s="76" t="s">
        <v>8660</v>
      </c>
      <c r="O3242" s="76">
        <v>0</v>
      </c>
      <c r="P3242" s="76"/>
      <c r="Q3242" s="76"/>
      <c r="R3242" s="76"/>
      <c r="S3242" s="76"/>
      <c r="BD3242" s="99">
        <f t="shared" si="106"/>
        <v>0</v>
      </c>
      <c r="CC3242" s="99"/>
      <c r="CV3242" s="99"/>
      <c r="CW3242" s="63"/>
    </row>
    <row r="3243" spans="1:101" ht="33.75" x14ac:dyDescent="0.15">
      <c r="A3243" s="76">
        <v>3003</v>
      </c>
      <c r="B3243" s="74" t="s">
        <v>3782</v>
      </c>
      <c r="C3243" s="74">
        <v>993855806</v>
      </c>
      <c r="D3243" s="78" t="str">
        <f t="shared" si="107"/>
        <v>https://portal.dnb.de/opac.htm?method=simpleSearch&amp;cqlMode=true&amp;query=idn%3D993855806</v>
      </c>
      <c r="E3243" s="74" t="s">
        <v>9621</v>
      </c>
      <c r="F3243" s="74"/>
      <c r="G3243" s="76" t="s">
        <v>8515</v>
      </c>
      <c r="H3243" s="77" t="s">
        <v>5</v>
      </c>
      <c r="I3243" s="76" t="s">
        <v>54</v>
      </c>
      <c r="J3243" s="77" t="s">
        <v>58</v>
      </c>
      <c r="K3243" s="77" t="s">
        <v>8928</v>
      </c>
      <c r="L3243" s="76"/>
      <c r="M3243" s="76"/>
      <c r="N3243" s="76" t="s">
        <v>8660</v>
      </c>
      <c r="O3243" s="76">
        <v>0</v>
      </c>
      <c r="P3243" s="76"/>
      <c r="Q3243" s="76"/>
      <c r="R3243" s="76"/>
      <c r="S3243" s="76"/>
      <c r="BD3243" s="99">
        <f t="shared" si="106"/>
        <v>0</v>
      </c>
      <c r="CC3243" s="99"/>
      <c r="CV3243" s="99"/>
      <c r="CW3243" s="63"/>
    </row>
    <row r="3244" spans="1:101" x14ac:dyDescent="0.15">
      <c r="A3244" s="76">
        <v>3004</v>
      </c>
      <c r="B3244" s="74" t="s">
        <v>3816</v>
      </c>
      <c r="C3244" s="74">
        <v>1000124754</v>
      </c>
      <c r="D3244" s="78" t="str">
        <f t="shared" si="107"/>
        <v>https://portal.dnb.de/opac.htm?method=simpleSearch&amp;cqlMode=true&amp;query=idn%3D1000124754</v>
      </c>
      <c r="E3244" s="74" t="s">
        <v>3817</v>
      </c>
      <c r="F3244" s="74"/>
      <c r="G3244" s="76"/>
      <c r="H3244" s="77"/>
      <c r="I3244" s="76"/>
      <c r="J3244" s="77"/>
      <c r="K3244" s="77"/>
      <c r="L3244" s="76"/>
      <c r="M3244" s="76"/>
      <c r="N3244" s="76"/>
      <c r="O3244" s="76"/>
      <c r="P3244" s="76"/>
      <c r="Q3244" s="76"/>
      <c r="R3244" s="76"/>
      <c r="S3244" s="76"/>
      <c r="BD3244" s="99">
        <f t="shared" si="106"/>
        <v>0</v>
      </c>
      <c r="CC3244" s="99"/>
      <c r="CV3244" s="99"/>
      <c r="CW3244" s="63"/>
    </row>
    <row r="3245" spans="1:101" x14ac:dyDescent="0.15">
      <c r="A3245" s="76">
        <v>3005</v>
      </c>
      <c r="B3245" s="74" t="s">
        <v>3818</v>
      </c>
      <c r="C3245" s="74">
        <v>1000125408</v>
      </c>
      <c r="D3245" s="78" t="str">
        <f t="shared" si="107"/>
        <v>https://portal.dnb.de/opac.htm?method=simpleSearch&amp;cqlMode=true&amp;query=idn%3D1000125408</v>
      </c>
      <c r="E3245" s="74" t="s">
        <v>3817</v>
      </c>
      <c r="F3245" s="74"/>
      <c r="G3245" s="76"/>
      <c r="H3245" s="77"/>
      <c r="I3245" s="76"/>
      <c r="J3245" s="77"/>
      <c r="K3245" s="77"/>
      <c r="L3245" s="76"/>
      <c r="M3245" s="76"/>
      <c r="N3245" s="76"/>
      <c r="O3245" s="76"/>
      <c r="P3245" s="76"/>
      <c r="Q3245" s="76"/>
      <c r="R3245" s="76"/>
      <c r="S3245" s="76"/>
      <c r="BD3245" s="99">
        <f t="shared" si="106"/>
        <v>0</v>
      </c>
      <c r="CC3245" s="99"/>
      <c r="CV3245" s="99"/>
      <c r="CW3245" s="63"/>
    </row>
    <row r="3246" spans="1:101" x14ac:dyDescent="0.15">
      <c r="A3246" s="76">
        <v>3006</v>
      </c>
      <c r="B3246" s="74" t="s">
        <v>3819</v>
      </c>
      <c r="C3246" s="74">
        <v>1000124843</v>
      </c>
      <c r="D3246" s="78" t="str">
        <f t="shared" si="107"/>
        <v>https://portal.dnb.de/opac.htm?method=simpleSearch&amp;cqlMode=true&amp;query=idn%3D1000124843</v>
      </c>
      <c r="E3246" s="74" t="s">
        <v>3817</v>
      </c>
      <c r="F3246" s="74"/>
      <c r="G3246" s="76"/>
      <c r="H3246" s="77"/>
      <c r="I3246" s="76"/>
      <c r="J3246" s="77"/>
      <c r="K3246" s="77"/>
      <c r="L3246" s="76"/>
      <c r="M3246" s="76"/>
      <c r="N3246" s="76"/>
      <c r="O3246" s="76"/>
      <c r="P3246" s="76"/>
      <c r="Q3246" s="76"/>
      <c r="R3246" s="76"/>
      <c r="S3246" s="76"/>
      <c r="BD3246" s="99">
        <f t="shared" si="106"/>
        <v>0</v>
      </c>
      <c r="CC3246" s="99"/>
      <c r="CV3246" s="99"/>
      <c r="CW3246" s="63"/>
    </row>
    <row r="3247" spans="1:101" x14ac:dyDescent="0.15">
      <c r="A3247" s="76">
        <v>3007</v>
      </c>
      <c r="B3247" s="74" t="s">
        <v>3820</v>
      </c>
      <c r="C3247" s="74">
        <v>1000125173</v>
      </c>
      <c r="D3247" s="78" t="str">
        <f t="shared" si="107"/>
        <v>https://portal.dnb.de/opac.htm?method=simpleSearch&amp;cqlMode=true&amp;query=idn%3D1000125173</v>
      </c>
      <c r="E3247" s="74" t="s">
        <v>3817</v>
      </c>
      <c r="F3247" s="74"/>
      <c r="G3247" s="76"/>
      <c r="H3247" s="77"/>
      <c r="I3247" s="76"/>
      <c r="J3247" s="77"/>
      <c r="K3247" s="77"/>
      <c r="L3247" s="76"/>
      <c r="M3247" s="76"/>
      <c r="N3247" s="76"/>
      <c r="O3247" s="76"/>
      <c r="P3247" s="76"/>
      <c r="Q3247" s="76"/>
      <c r="R3247" s="76"/>
      <c r="S3247" s="76"/>
      <c r="BD3247" s="99">
        <f t="shared" si="106"/>
        <v>0</v>
      </c>
      <c r="CC3247" s="99"/>
      <c r="CV3247" s="99"/>
      <c r="CW3247" s="63"/>
    </row>
    <row r="3248" spans="1:101" x14ac:dyDescent="0.15">
      <c r="A3248" s="76">
        <v>3008</v>
      </c>
      <c r="B3248" s="74" t="s">
        <v>3821</v>
      </c>
      <c r="C3248" s="74">
        <v>1000125386</v>
      </c>
      <c r="D3248" s="78" t="str">
        <f t="shared" si="107"/>
        <v>https://portal.dnb.de/opac.htm?method=simpleSearch&amp;cqlMode=true&amp;query=idn%3D1000125386</v>
      </c>
      <c r="E3248" s="74" t="s">
        <v>3817</v>
      </c>
      <c r="F3248" s="74"/>
      <c r="G3248" s="76"/>
      <c r="H3248" s="77"/>
      <c r="I3248" s="76"/>
      <c r="J3248" s="77"/>
      <c r="K3248" s="77"/>
      <c r="L3248" s="76"/>
      <c r="M3248" s="76"/>
      <c r="N3248" s="76"/>
      <c r="O3248" s="76"/>
      <c r="P3248" s="76"/>
      <c r="Q3248" s="76"/>
      <c r="R3248" s="76"/>
      <c r="S3248" s="76"/>
      <c r="BD3248" s="99">
        <f t="shared" si="106"/>
        <v>0</v>
      </c>
      <c r="CC3248" s="99"/>
      <c r="CV3248" s="99"/>
      <c r="CW3248" s="63"/>
    </row>
    <row r="3249" spans="1:101" x14ac:dyDescent="0.15">
      <c r="A3249" s="76">
        <v>3009</v>
      </c>
      <c r="B3249" s="74" t="s">
        <v>3822</v>
      </c>
      <c r="C3249" s="74">
        <v>1000125432</v>
      </c>
      <c r="D3249" s="78" t="str">
        <f t="shared" si="107"/>
        <v>https://portal.dnb.de/opac.htm?method=simpleSearch&amp;cqlMode=true&amp;query=idn%3D1000125432</v>
      </c>
      <c r="E3249" s="74" t="s">
        <v>3817</v>
      </c>
      <c r="F3249" s="74"/>
      <c r="G3249" s="76"/>
      <c r="H3249" s="77"/>
      <c r="I3249" s="76"/>
      <c r="J3249" s="77"/>
      <c r="K3249" s="77"/>
      <c r="L3249" s="76"/>
      <c r="M3249" s="76"/>
      <c r="N3249" s="76"/>
      <c r="O3249" s="76"/>
      <c r="P3249" s="76"/>
      <c r="Q3249" s="76"/>
      <c r="R3249" s="76"/>
      <c r="S3249" s="76"/>
      <c r="BD3249" s="99">
        <f t="shared" si="106"/>
        <v>0</v>
      </c>
      <c r="CC3249" s="99"/>
      <c r="CV3249" s="99"/>
      <c r="CW3249" s="63"/>
    </row>
    <row r="3250" spans="1:101" x14ac:dyDescent="0.15">
      <c r="A3250" s="76">
        <v>3010</v>
      </c>
      <c r="B3250" s="74" t="s">
        <v>3823</v>
      </c>
      <c r="C3250" s="74">
        <v>1000125297</v>
      </c>
      <c r="D3250" s="78" t="str">
        <f t="shared" si="107"/>
        <v>https://portal.dnb.de/opac.htm?method=simpleSearch&amp;cqlMode=true&amp;query=idn%3D1000125297</v>
      </c>
      <c r="E3250" s="74" t="s">
        <v>3817</v>
      </c>
      <c r="F3250" s="74"/>
      <c r="G3250" s="76"/>
      <c r="H3250" s="77"/>
      <c r="I3250" s="76"/>
      <c r="J3250" s="77"/>
      <c r="K3250" s="77"/>
      <c r="L3250" s="76"/>
      <c r="M3250" s="76"/>
      <c r="N3250" s="76"/>
      <c r="O3250" s="76"/>
      <c r="P3250" s="76"/>
      <c r="Q3250" s="76"/>
      <c r="R3250" s="76"/>
      <c r="S3250" s="76"/>
      <c r="BD3250" s="99">
        <f t="shared" si="106"/>
        <v>0</v>
      </c>
      <c r="CC3250" s="99"/>
      <c r="CV3250" s="99"/>
      <c r="CW3250" s="63"/>
    </row>
    <row r="3251" spans="1:101" x14ac:dyDescent="0.15">
      <c r="A3251" s="76">
        <v>3011</v>
      </c>
      <c r="B3251" s="74" t="s">
        <v>3824</v>
      </c>
      <c r="C3251" s="74">
        <v>1000125343</v>
      </c>
      <c r="D3251" s="78" t="str">
        <f t="shared" si="107"/>
        <v>https://portal.dnb.de/opac.htm?method=simpleSearch&amp;cqlMode=true&amp;query=idn%3D1000125343</v>
      </c>
      <c r="E3251" s="74" t="s">
        <v>3817</v>
      </c>
      <c r="F3251" s="74"/>
      <c r="G3251" s="76"/>
      <c r="H3251" s="77"/>
      <c r="I3251" s="76"/>
      <c r="J3251" s="77"/>
      <c r="K3251" s="77"/>
      <c r="L3251" s="76"/>
      <c r="M3251" s="76"/>
      <c r="N3251" s="76"/>
      <c r="O3251" s="76"/>
      <c r="P3251" s="76"/>
      <c r="Q3251" s="76"/>
      <c r="R3251" s="76"/>
      <c r="S3251" s="76"/>
      <c r="BD3251" s="99">
        <f t="shared" si="106"/>
        <v>0</v>
      </c>
      <c r="CC3251" s="99"/>
      <c r="CV3251" s="99"/>
      <c r="CW3251" s="63"/>
    </row>
    <row r="3252" spans="1:101" x14ac:dyDescent="0.15">
      <c r="A3252" s="76">
        <v>3012</v>
      </c>
      <c r="B3252" s="74" t="s">
        <v>3825</v>
      </c>
      <c r="C3252" s="74">
        <v>1000125289</v>
      </c>
      <c r="D3252" s="78" t="str">
        <f t="shared" si="107"/>
        <v>https://portal.dnb.de/opac.htm?method=simpleSearch&amp;cqlMode=true&amp;query=idn%3D1000125289</v>
      </c>
      <c r="E3252" s="74" t="s">
        <v>3817</v>
      </c>
      <c r="F3252" s="74"/>
      <c r="G3252" s="76"/>
      <c r="H3252" s="77"/>
      <c r="I3252" s="76"/>
      <c r="J3252" s="77"/>
      <c r="K3252" s="77"/>
      <c r="L3252" s="76"/>
      <c r="M3252" s="76"/>
      <c r="N3252" s="76"/>
      <c r="O3252" s="76"/>
      <c r="P3252" s="76"/>
      <c r="Q3252" s="76"/>
      <c r="R3252" s="76"/>
      <c r="S3252" s="76"/>
      <c r="BD3252" s="99">
        <f t="shared" si="106"/>
        <v>0</v>
      </c>
      <c r="CC3252" s="99"/>
      <c r="CV3252" s="99"/>
      <c r="CW3252" s="63"/>
    </row>
    <row r="3253" spans="1:101" ht="22.5" x14ac:dyDescent="0.15">
      <c r="A3253" s="76">
        <v>3013</v>
      </c>
      <c r="B3253" s="74" t="s">
        <v>3689</v>
      </c>
      <c r="C3253" s="74">
        <v>1066786623</v>
      </c>
      <c r="D3253" s="78" t="str">
        <f t="shared" si="107"/>
        <v>https://portal.dnb.de/opac.htm?method=simpleSearch&amp;cqlMode=true&amp;query=idn%3D1066786623</v>
      </c>
      <c r="E3253" s="74" t="s">
        <v>3690</v>
      </c>
      <c r="F3253" s="74"/>
      <c r="G3253" s="76"/>
      <c r="H3253" s="77" t="s">
        <v>18</v>
      </c>
      <c r="I3253" s="76" t="s">
        <v>53</v>
      </c>
      <c r="J3253" s="77" t="s">
        <v>58</v>
      </c>
      <c r="K3253" s="77" t="s">
        <v>84</v>
      </c>
      <c r="L3253" s="76"/>
      <c r="M3253" s="76"/>
      <c r="N3253" s="76" t="s">
        <v>8660</v>
      </c>
      <c r="O3253" s="76">
        <v>1</v>
      </c>
      <c r="P3253" s="76"/>
      <c r="Q3253" s="76" t="s">
        <v>9040</v>
      </c>
      <c r="R3253" s="76"/>
      <c r="S3253" s="76"/>
      <c r="BD3253" s="99">
        <f t="shared" si="106"/>
        <v>0</v>
      </c>
      <c r="CC3253" s="99"/>
      <c r="CV3253" s="99"/>
      <c r="CW3253" s="63"/>
    </row>
    <row r="3254" spans="1:101" x14ac:dyDescent="0.15">
      <c r="A3254" s="76">
        <v>3014</v>
      </c>
      <c r="B3254" s="74" t="s">
        <v>3718</v>
      </c>
      <c r="C3254" s="74">
        <v>1066937508</v>
      </c>
      <c r="D3254" s="78" t="str">
        <f t="shared" si="107"/>
        <v>https://portal.dnb.de/opac.htm?method=simpleSearch&amp;cqlMode=true&amp;query=idn%3D1066937508</v>
      </c>
      <c r="E3254" s="74" t="s">
        <v>3719</v>
      </c>
      <c r="F3254" s="74"/>
      <c r="G3254" s="76"/>
      <c r="H3254" s="77"/>
      <c r="I3254" s="76"/>
      <c r="J3254" s="77"/>
      <c r="K3254" s="77"/>
      <c r="L3254" s="76"/>
      <c r="M3254" s="76"/>
      <c r="N3254" s="76"/>
      <c r="O3254" s="76"/>
      <c r="P3254" s="76"/>
      <c r="Q3254" s="76"/>
      <c r="R3254" s="76"/>
      <c r="S3254" s="76"/>
      <c r="BD3254" s="99">
        <f t="shared" si="106"/>
        <v>0</v>
      </c>
      <c r="CC3254" s="99"/>
      <c r="CV3254" s="99"/>
      <c r="CW3254" s="63"/>
    </row>
    <row r="3255" spans="1:101" x14ac:dyDescent="0.15">
      <c r="A3255" s="76">
        <v>3015</v>
      </c>
      <c r="B3255" s="74" t="s">
        <v>3751</v>
      </c>
      <c r="C3255" s="74">
        <v>1132657776</v>
      </c>
      <c r="D3255" s="78" t="str">
        <f t="shared" si="107"/>
        <v>https://portal.dnb.de/opac.htm?method=simpleSearch&amp;cqlMode=true&amp;query=idn%3D1132657776</v>
      </c>
      <c r="E3255" s="74" t="s">
        <v>3752</v>
      </c>
      <c r="F3255" s="74"/>
      <c r="G3255" s="76"/>
      <c r="H3255" s="77"/>
      <c r="I3255" s="76"/>
      <c r="J3255" s="77"/>
      <c r="K3255" s="77"/>
      <c r="L3255" s="76"/>
      <c r="M3255" s="76"/>
      <c r="N3255" s="76"/>
      <c r="O3255" s="76"/>
      <c r="P3255" s="76"/>
      <c r="Q3255" s="76"/>
      <c r="R3255" s="76"/>
      <c r="S3255" s="76"/>
      <c r="BD3255" s="99">
        <f t="shared" si="106"/>
        <v>0</v>
      </c>
      <c r="CC3255" s="99"/>
      <c r="CV3255" s="99"/>
      <c r="CW3255" s="63"/>
    </row>
    <row r="3256" spans="1:101" x14ac:dyDescent="0.15">
      <c r="A3256" s="76">
        <v>3016</v>
      </c>
      <c r="B3256" s="74" t="s">
        <v>3753</v>
      </c>
      <c r="C3256" s="74">
        <v>1132657784</v>
      </c>
      <c r="D3256" s="78" t="str">
        <f t="shared" si="107"/>
        <v>https://portal.dnb.de/opac.htm?method=simpleSearch&amp;cqlMode=true&amp;query=idn%3D1132657784</v>
      </c>
      <c r="E3256" s="74" t="s">
        <v>3752</v>
      </c>
      <c r="F3256" s="74"/>
      <c r="G3256" s="76"/>
      <c r="H3256" s="77"/>
      <c r="I3256" s="76"/>
      <c r="J3256" s="77"/>
      <c r="K3256" s="77"/>
      <c r="L3256" s="76"/>
      <c r="M3256" s="76"/>
      <c r="N3256" s="76"/>
      <c r="O3256" s="76"/>
      <c r="P3256" s="76"/>
      <c r="Q3256" s="76"/>
      <c r="R3256" s="76"/>
      <c r="S3256" s="76"/>
      <c r="BD3256" s="99">
        <f t="shared" si="106"/>
        <v>0</v>
      </c>
      <c r="CC3256" s="99"/>
      <c r="CV3256" s="99"/>
      <c r="CW3256" s="63"/>
    </row>
    <row r="3257" spans="1:101" x14ac:dyDescent="0.15">
      <c r="A3257" s="76">
        <v>3017</v>
      </c>
      <c r="B3257" s="74" t="s">
        <v>3777</v>
      </c>
      <c r="C3257" s="74">
        <v>1066938016</v>
      </c>
      <c r="D3257" s="78" t="str">
        <f t="shared" si="107"/>
        <v>https://portal.dnb.de/opac.htm?method=simpleSearch&amp;cqlMode=true&amp;query=idn%3D1066938016</v>
      </c>
      <c r="E3257" s="74" t="s">
        <v>3778</v>
      </c>
      <c r="F3257" s="74"/>
      <c r="G3257" s="76"/>
      <c r="H3257" s="77"/>
      <c r="I3257" s="76"/>
      <c r="J3257" s="77"/>
      <c r="K3257" s="77"/>
      <c r="L3257" s="76"/>
      <c r="M3257" s="76"/>
      <c r="N3257" s="76"/>
      <c r="O3257" s="76"/>
      <c r="P3257" s="76"/>
      <c r="Q3257" s="76"/>
      <c r="R3257" s="76"/>
      <c r="S3257" s="76"/>
      <c r="BD3257" s="99">
        <f t="shared" si="106"/>
        <v>0</v>
      </c>
      <c r="CC3257" s="99"/>
      <c r="CV3257" s="99"/>
      <c r="CW3257" s="63"/>
    </row>
    <row r="3258" spans="1:101" x14ac:dyDescent="0.15">
      <c r="A3258" s="76">
        <v>3018</v>
      </c>
      <c r="B3258" s="74" t="s">
        <v>3812</v>
      </c>
      <c r="C3258" s="74">
        <v>1132642973</v>
      </c>
      <c r="D3258" s="78" t="str">
        <f t="shared" si="107"/>
        <v>https://portal.dnb.de/opac.htm?method=simpleSearch&amp;cqlMode=true&amp;query=idn%3D1132642973</v>
      </c>
      <c r="E3258" s="74" t="s">
        <v>3813</v>
      </c>
      <c r="F3258" s="74"/>
      <c r="G3258" s="76"/>
      <c r="H3258" s="77"/>
      <c r="I3258" s="76"/>
      <c r="J3258" s="77"/>
      <c r="K3258" s="77"/>
      <c r="L3258" s="76"/>
      <c r="M3258" s="76"/>
      <c r="N3258" s="76"/>
      <c r="O3258" s="76"/>
      <c r="P3258" s="76"/>
      <c r="Q3258" s="76"/>
      <c r="R3258" s="76"/>
      <c r="S3258" s="76"/>
      <c r="BD3258" s="99">
        <f t="shared" si="106"/>
        <v>0</v>
      </c>
      <c r="CC3258" s="99"/>
      <c r="CV3258" s="99"/>
      <c r="CW3258" s="63"/>
    </row>
    <row r="3259" spans="1:101" x14ac:dyDescent="0.15">
      <c r="A3259" s="76">
        <v>3019</v>
      </c>
      <c r="B3259" s="74" t="s">
        <v>3814</v>
      </c>
      <c r="C3259" s="74">
        <v>1132642981</v>
      </c>
      <c r="D3259" s="78" t="str">
        <f t="shared" si="107"/>
        <v>https://portal.dnb.de/opac.htm?method=simpleSearch&amp;cqlMode=true&amp;query=idn%3D1132642981</v>
      </c>
      <c r="E3259" s="74" t="s">
        <v>3813</v>
      </c>
      <c r="F3259" s="74"/>
      <c r="G3259" s="76"/>
      <c r="H3259" s="77"/>
      <c r="I3259" s="76"/>
      <c r="J3259" s="77"/>
      <c r="K3259" s="77"/>
      <c r="L3259" s="76"/>
      <c r="M3259" s="76"/>
      <c r="N3259" s="76"/>
      <c r="O3259" s="76"/>
      <c r="P3259" s="76"/>
      <c r="Q3259" s="76"/>
      <c r="R3259" s="76"/>
      <c r="S3259" s="76"/>
      <c r="BD3259" s="99">
        <f t="shared" si="106"/>
        <v>0</v>
      </c>
      <c r="CC3259" s="99"/>
      <c r="CV3259" s="99"/>
      <c r="CW3259" s="63"/>
    </row>
    <row r="3260" spans="1:101" x14ac:dyDescent="0.15">
      <c r="A3260" s="76">
        <v>3020</v>
      </c>
      <c r="B3260" s="74" t="s">
        <v>3815</v>
      </c>
      <c r="C3260" s="74">
        <v>1132642957</v>
      </c>
      <c r="D3260" s="78" t="str">
        <f t="shared" si="107"/>
        <v>https://portal.dnb.de/opac.htm?method=simpleSearch&amp;cqlMode=true&amp;query=idn%3D1132642957</v>
      </c>
      <c r="E3260" s="74" t="s">
        <v>3813</v>
      </c>
      <c r="F3260" s="74"/>
      <c r="G3260" s="76"/>
      <c r="H3260" s="77"/>
      <c r="I3260" s="76"/>
      <c r="J3260" s="77"/>
      <c r="K3260" s="77"/>
      <c r="L3260" s="76"/>
      <c r="M3260" s="76"/>
      <c r="N3260" s="76"/>
      <c r="O3260" s="76"/>
      <c r="P3260" s="76"/>
      <c r="Q3260" s="76"/>
      <c r="R3260" s="76"/>
      <c r="S3260" s="76"/>
      <c r="BD3260" s="99">
        <f t="shared" si="106"/>
        <v>0</v>
      </c>
      <c r="CC3260" s="99"/>
      <c r="CV3260" s="99"/>
      <c r="CW3260" s="63"/>
    </row>
    <row r="3261" spans="1:101" x14ac:dyDescent="0.15">
      <c r="A3261" s="76">
        <v>3021</v>
      </c>
      <c r="B3261" s="74" t="s">
        <v>3856</v>
      </c>
      <c r="C3261" s="74">
        <v>1132656699</v>
      </c>
      <c r="D3261" s="78" t="str">
        <f t="shared" si="107"/>
        <v>https://portal.dnb.de/opac.htm?method=simpleSearch&amp;cqlMode=true&amp;query=idn%3D1132656699</v>
      </c>
      <c r="E3261" s="74" t="s">
        <v>3857</v>
      </c>
      <c r="F3261" s="74"/>
      <c r="G3261" s="76"/>
      <c r="H3261" s="77"/>
      <c r="I3261" s="76"/>
      <c r="J3261" s="77"/>
      <c r="K3261" s="77"/>
      <c r="L3261" s="76"/>
      <c r="M3261" s="76"/>
      <c r="N3261" s="76"/>
      <c r="O3261" s="76"/>
      <c r="P3261" s="76"/>
      <c r="Q3261" s="76"/>
      <c r="R3261" s="76"/>
      <c r="S3261" s="76"/>
      <c r="BD3261" s="99">
        <f t="shared" si="106"/>
        <v>0</v>
      </c>
      <c r="CC3261" s="99"/>
      <c r="CV3261" s="99"/>
      <c r="CW3261" s="63"/>
    </row>
    <row r="3262" spans="1:101" x14ac:dyDescent="0.15">
      <c r="A3262" s="76">
        <v>3022</v>
      </c>
      <c r="B3262" s="74" t="s">
        <v>3858</v>
      </c>
      <c r="C3262" s="74">
        <v>1132656680</v>
      </c>
      <c r="D3262" s="78" t="str">
        <f t="shared" si="107"/>
        <v>https://portal.dnb.de/opac.htm?method=simpleSearch&amp;cqlMode=true&amp;query=idn%3D1132656680</v>
      </c>
      <c r="E3262" s="74" t="s">
        <v>3857</v>
      </c>
      <c r="F3262" s="74"/>
      <c r="G3262" s="76"/>
      <c r="H3262" s="77"/>
      <c r="I3262" s="76"/>
      <c r="J3262" s="77"/>
      <c r="K3262" s="77"/>
      <c r="L3262" s="76"/>
      <c r="M3262" s="76"/>
      <c r="N3262" s="76"/>
      <c r="O3262" s="76"/>
      <c r="P3262" s="76"/>
      <c r="Q3262" s="76"/>
      <c r="R3262" s="76"/>
      <c r="S3262" s="76"/>
      <c r="BD3262" s="99">
        <f t="shared" si="106"/>
        <v>0</v>
      </c>
      <c r="CC3262" s="99"/>
      <c r="CV3262" s="99"/>
      <c r="CW3262" s="63"/>
    </row>
    <row r="3263" spans="1:101" x14ac:dyDescent="0.15">
      <c r="A3263" s="76">
        <v>3023</v>
      </c>
      <c r="B3263" s="74" t="s">
        <v>3859</v>
      </c>
      <c r="C3263" s="74">
        <v>1132656710</v>
      </c>
      <c r="D3263" s="78" t="str">
        <f t="shared" si="107"/>
        <v>https://portal.dnb.de/opac.htm?method=simpleSearch&amp;cqlMode=true&amp;query=idn%3D1132656710</v>
      </c>
      <c r="E3263" s="74" t="s">
        <v>3857</v>
      </c>
      <c r="F3263" s="74"/>
      <c r="G3263" s="76"/>
      <c r="H3263" s="77"/>
      <c r="I3263" s="76"/>
      <c r="J3263" s="77"/>
      <c r="K3263" s="77"/>
      <c r="L3263" s="76"/>
      <c r="M3263" s="76"/>
      <c r="N3263" s="76"/>
      <c r="O3263" s="76"/>
      <c r="P3263" s="76"/>
      <c r="Q3263" s="76"/>
      <c r="R3263" s="76"/>
      <c r="S3263" s="76"/>
      <c r="BD3263" s="99">
        <f t="shared" si="106"/>
        <v>0</v>
      </c>
      <c r="CC3263" s="99"/>
      <c r="CV3263" s="99"/>
      <c r="CW3263" s="63"/>
    </row>
    <row r="3264" spans="1:101" x14ac:dyDescent="0.15">
      <c r="A3264" s="76">
        <v>3024</v>
      </c>
      <c r="B3264" s="74" t="s">
        <v>3860</v>
      </c>
      <c r="C3264" s="74">
        <v>1132656664</v>
      </c>
      <c r="D3264" s="78" t="str">
        <f t="shared" si="107"/>
        <v>https://portal.dnb.de/opac.htm?method=simpleSearch&amp;cqlMode=true&amp;query=idn%3D1132656664</v>
      </c>
      <c r="E3264" s="74" t="s">
        <v>3857</v>
      </c>
      <c r="F3264" s="74"/>
      <c r="G3264" s="76"/>
      <c r="H3264" s="77"/>
      <c r="I3264" s="76"/>
      <c r="J3264" s="77"/>
      <c r="K3264" s="77"/>
      <c r="L3264" s="76"/>
      <c r="M3264" s="76"/>
      <c r="N3264" s="76"/>
      <c r="O3264" s="76"/>
      <c r="P3264" s="76"/>
      <c r="Q3264" s="76"/>
      <c r="R3264" s="76"/>
      <c r="S3264" s="76"/>
      <c r="BD3264" s="99">
        <f t="shared" si="106"/>
        <v>0</v>
      </c>
      <c r="CC3264" s="99"/>
      <c r="CV3264" s="99"/>
      <c r="CW3264" s="63"/>
    </row>
    <row r="3265" spans="1:101" x14ac:dyDescent="0.15">
      <c r="A3265" s="76">
        <v>3025</v>
      </c>
      <c r="B3265" s="74" t="s">
        <v>3861</v>
      </c>
      <c r="C3265" s="74">
        <v>1132656672</v>
      </c>
      <c r="D3265" s="78" t="str">
        <f t="shared" si="107"/>
        <v>https://portal.dnb.de/opac.htm?method=simpleSearch&amp;cqlMode=true&amp;query=idn%3D1132656672</v>
      </c>
      <c r="E3265" s="74" t="s">
        <v>3857</v>
      </c>
      <c r="F3265" s="74"/>
      <c r="G3265" s="76"/>
      <c r="H3265" s="77"/>
      <c r="I3265" s="76"/>
      <c r="J3265" s="77"/>
      <c r="K3265" s="77"/>
      <c r="L3265" s="76"/>
      <c r="M3265" s="76"/>
      <c r="N3265" s="76"/>
      <c r="O3265" s="76"/>
      <c r="P3265" s="76"/>
      <c r="Q3265" s="76"/>
      <c r="R3265" s="76"/>
      <c r="S3265" s="76"/>
      <c r="BD3265" s="99">
        <f t="shared" si="106"/>
        <v>0</v>
      </c>
      <c r="CC3265" s="99"/>
      <c r="CV3265" s="99"/>
      <c r="CW3265" s="63"/>
    </row>
    <row r="3266" spans="1:101" x14ac:dyDescent="0.15">
      <c r="A3266" s="76">
        <v>3026</v>
      </c>
      <c r="B3266" s="74" t="s">
        <v>3862</v>
      </c>
      <c r="C3266" s="74">
        <v>1132656702</v>
      </c>
      <c r="D3266" s="78" t="str">
        <f t="shared" si="107"/>
        <v>https://portal.dnb.de/opac.htm?method=simpleSearch&amp;cqlMode=true&amp;query=idn%3D1132656702</v>
      </c>
      <c r="E3266" s="74" t="s">
        <v>3857</v>
      </c>
      <c r="F3266" s="74"/>
      <c r="G3266" s="76"/>
      <c r="H3266" s="77"/>
      <c r="I3266" s="76"/>
      <c r="J3266" s="77"/>
      <c r="K3266" s="77"/>
      <c r="L3266" s="76"/>
      <c r="M3266" s="76"/>
      <c r="N3266" s="76"/>
      <c r="O3266" s="76"/>
      <c r="P3266" s="76"/>
      <c r="Q3266" s="76"/>
      <c r="R3266" s="76"/>
      <c r="S3266" s="76"/>
      <c r="BD3266" s="99">
        <f t="shared" si="106"/>
        <v>0</v>
      </c>
      <c r="CC3266" s="99"/>
      <c r="CV3266" s="99"/>
      <c r="CW3266" s="63"/>
    </row>
    <row r="3267" spans="1:101" x14ac:dyDescent="0.15">
      <c r="A3267" s="76">
        <v>3027</v>
      </c>
      <c r="B3267" s="74" t="s">
        <v>3863</v>
      </c>
      <c r="C3267" s="74">
        <v>1132656656</v>
      </c>
      <c r="D3267" s="78" t="str">
        <f t="shared" si="107"/>
        <v>https://portal.dnb.de/opac.htm?method=simpleSearch&amp;cqlMode=true&amp;query=idn%3D1132656656</v>
      </c>
      <c r="E3267" s="74" t="s">
        <v>3857</v>
      </c>
      <c r="F3267" s="74"/>
      <c r="G3267" s="76"/>
      <c r="H3267" s="77"/>
      <c r="I3267" s="76"/>
      <c r="J3267" s="77"/>
      <c r="K3267" s="77"/>
      <c r="L3267" s="76"/>
      <c r="M3267" s="76"/>
      <c r="N3267" s="76"/>
      <c r="O3267" s="76"/>
      <c r="P3267" s="76"/>
      <c r="Q3267" s="76"/>
      <c r="R3267" s="76"/>
      <c r="S3267" s="76"/>
      <c r="BD3267" s="99">
        <f t="shared" ref="BD3267:BD3330" si="109">CC3267+CV3267</f>
        <v>0</v>
      </c>
      <c r="CC3267" s="99"/>
      <c r="CV3267" s="99"/>
      <c r="CW3267" s="63"/>
    </row>
    <row r="3268" spans="1:101" x14ac:dyDescent="0.15">
      <c r="A3268" s="76">
        <v>3028</v>
      </c>
      <c r="B3268" s="74" t="s">
        <v>3864</v>
      </c>
      <c r="C3268" s="74">
        <v>1066799644</v>
      </c>
      <c r="D3268" s="78" t="str">
        <f t="shared" si="107"/>
        <v>https://portal.dnb.de/opac.htm?method=simpleSearch&amp;cqlMode=true&amp;query=idn%3D1066799644</v>
      </c>
      <c r="E3268" s="74" t="s">
        <v>3865</v>
      </c>
      <c r="F3268" s="74"/>
      <c r="G3268" s="76"/>
      <c r="H3268" s="77"/>
      <c r="I3268" s="76"/>
      <c r="J3268" s="77"/>
      <c r="K3268" s="77"/>
      <c r="L3268" s="76"/>
      <c r="M3268" s="76"/>
      <c r="N3268" s="76"/>
      <c r="O3268" s="76"/>
      <c r="P3268" s="76"/>
      <c r="Q3268" s="76"/>
      <c r="R3268" s="76"/>
      <c r="S3268" s="76"/>
      <c r="BD3268" s="99">
        <f t="shared" si="109"/>
        <v>0</v>
      </c>
      <c r="CC3268" s="99"/>
      <c r="CV3268" s="99"/>
      <c r="CW3268" s="63"/>
    </row>
    <row r="3269" spans="1:101" x14ac:dyDescent="0.15">
      <c r="A3269" s="76">
        <v>3029</v>
      </c>
      <c r="B3269" s="74" t="s">
        <v>3866</v>
      </c>
      <c r="C3269" s="74">
        <v>1132654882</v>
      </c>
      <c r="D3269" s="78" t="str">
        <f t="shared" si="107"/>
        <v>https://portal.dnb.de/opac.htm?method=simpleSearch&amp;cqlMode=true&amp;query=idn%3D1132654882</v>
      </c>
      <c r="E3269" s="74" t="s">
        <v>3867</v>
      </c>
      <c r="F3269" s="74"/>
      <c r="G3269" s="76"/>
      <c r="H3269" s="77"/>
      <c r="I3269" s="76"/>
      <c r="J3269" s="77"/>
      <c r="K3269" s="77"/>
      <c r="L3269" s="76"/>
      <c r="M3269" s="76"/>
      <c r="N3269" s="76"/>
      <c r="O3269" s="76"/>
      <c r="P3269" s="76"/>
      <c r="Q3269" s="76"/>
      <c r="R3269" s="76"/>
      <c r="S3269" s="76"/>
      <c r="BD3269" s="99">
        <f t="shared" si="109"/>
        <v>0</v>
      </c>
      <c r="CC3269" s="99"/>
      <c r="CV3269" s="99"/>
      <c r="CW3269" s="63"/>
    </row>
    <row r="3270" spans="1:101" x14ac:dyDescent="0.15">
      <c r="A3270" s="76">
        <v>3030</v>
      </c>
      <c r="B3270" s="74" t="s">
        <v>3868</v>
      </c>
      <c r="C3270" s="74">
        <v>1132654874</v>
      </c>
      <c r="D3270" s="78" t="str">
        <f t="shared" si="107"/>
        <v>https://portal.dnb.de/opac.htm?method=simpleSearch&amp;cqlMode=true&amp;query=idn%3D1132654874</v>
      </c>
      <c r="E3270" s="74" t="s">
        <v>3867</v>
      </c>
      <c r="F3270" s="74"/>
      <c r="G3270" s="76"/>
      <c r="H3270" s="77"/>
      <c r="I3270" s="76"/>
      <c r="J3270" s="77"/>
      <c r="K3270" s="77"/>
      <c r="L3270" s="76"/>
      <c r="M3270" s="76"/>
      <c r="N3270" s="76"/>
      <c r="O3270" s="76"/>
      <c r="P3270" s="76"/>
      <c r="Q3270" s="76"/>
      <c r="R3270" s="76"/>
      <c r="S3270" s="76"/>
      <c r="BD3270" s="99">
        <f t="shared" si="109"/>
        <v>0</v>
      </c>
      <c r="CC3270" s="99"/>
      <c r="CV3270" s="99"/>
      <c r="CW3270" s="63"/>
    </row>
    <row r="3271" spans="1:101" x14ac:dyDescent="0.15">
      <c r="A3271" s="76">
        <v>3031</v>
      </c>
      <c r="B3271" s="74" t="s">
        <v>3869</v>
      </c>
      <c r="C3271" s="74">
        <v>1066837104</v>
      </c>
      <c r="D3271" s="78" t="str">
        <f t="shared" si="107"/>
        <v>https://portal.dnb.de/opac.htm?method=simpleSearch&amp;cqlMode=true&amp;query=idn%3D1066837104</v>
      </c>
      <c r="E3271" s="74" t="s">
        <v>3870</v>
      </c>
      <c r="F3271" s="74"/>
      <c r="G3271" s="76"/>
      <c r="H3271" s="77"/>
      <c r="I3271" s="76"/>
      <c r="J3271" s="77"/>
      <c r="K3271" s="77"/>
      <c r="L3271" s="76"/>
      <c r="M3271" s="76"/>
      <c r="N3271" s="76"/>
      <c r="O3271" s="76"/>
      <c r="P3271" s="76"/>
      <c r="Q3271" s="76"/>
      <c r="R3271" s="76"/>
      <c r="S3271" s="76"/>
      <c r="BD3271" s="99">
        <f t="shared" si="109"/>
        <v>0</v>
      </c>
      <c r="CC3271" s="99"/>
      <c r="CV3271" s="99"/>
      <c r="CW3271" s="63"/>
    </row>
    <row r="3272" spans="1:101" x14ac:dyDescent="0.15">
      <c r="A3272" s="76">
        <v>3032</v>
      </c>
      <c r="B3272" s="74" t="s">
        <v>3691</v>
      </c>
      <c r="C3272" s="74">
        <v>1066798508</v>
      </c>
      <c r="D3272" s="78" t="str">
        <f t="shared" si="107"/>
        <v>https://portal.dnb.de/opac.htm?method=simpleSearch&amp;cqlMode=true&amp;query=idn%3D1066798508</v>
      </c>
      <c r="E3272" s="74" t="s">
        <v>3692</v>
      </c>
      <c r="F3272" s="74"/>
      <c r="G3272" s="76"/>
      <c r="H3272" s="77"/>
      <c r="I3272" s="76"/>
      <c r="J3272" s="77"/>
      <c r="K3272" s="77"/>
      <c r="L3272" s="76"/>
      <c r="M3272" s="76"/>
      <c r="N3272" s="76"/>
      <c r="O3272" s="76"/>
      <c r="P3272" s="76"/>
      <c r="Q3272" s="76"/>
      <c r="R3272" s="76"/>
      <c r="S3272" s="76"/>
      <c r="BD3272" s="99">
        <f t="shared" si="109"/>
        <v>0</v>
      </c>
      <c r="CC3272" s="99"/>
      <c r="CV3272" s="99"/>
      <c r="CW3272" s="63"/>
    </row>
    <row r="3273" spans="1:101" x14ac:dyDescent="0.15">
      <c r="A3273" s="76">
        <v>3033</v>
      </c>
      <c r="B3273" s="74" t="s">
        <v>3693</v>
      </c>
      <c r="C3273" s="74" t="s">
        <v>3694</v>
      </c>
      <c r="D3273" s="78" t="str">
        <f t="shared" si="107"/>
        <v>https://portal.dnb.de/opac.htm?method=simpleSearch&amp;cqlMode=true&amp;query=idn%3D01948139X</v>
      </c>
      <c r="E3273" s="74" t="s">
        <v>3695</v>
      </c>
      <c r="F3273" s="74"/>
      <c r="G3273" s="76"/>
      <c r="H3273" s="77"/>
      <c r="I3273" s="76" t="s">
        <v>53</v>
      </c>
      <c r="J3273" s="77"/>
      <c r="K3273" s="77"/>
      <c r="L3273" s="76"/>
      <c r="M3273" s="76"/>
      <c r="N3273" s="76"/>
      <c r="O3273" s="76"/>
      <c r="P3273" s="76"/>
      <c r="Q3273" s="76"/>
      <c r="R3273" s="76"/>
      <c r="S3273" s="76"/>
      <c r="X3273" s="95" t="s">
        <v>8541</v>
      </c>
      <c r="Y3273" s="95" t="s">
        <v>9723</v>
      </c>
      <c r="AC3273" s="95" t="s">
        <v>9724</v>
      </c>
      <c r="AI3273" s="95" t="s">
        <v>9725</v>
      </c>
      <c r="AW3273" s="95" t="s">
        <v>9764</v>
      </c>
      <c r="BB3273" s="95" t="s">
        <v>8541</v>
      </c>
      <c r="BC3273" s="96" t="s">
        <v>9726</v>
      </c>
      <c r="BD3273" s="99">
        <f t="shared" si="109"/>
        <v>1</v>
      </c>
      <c r="BL3273" s="70" t="s">
        <v>10095</v>
      </c>
      <c r="BP3273" s="69" t="s">
        <v>8541</v>
      </c>
      <c r="BQ3273" s="95" t="s">
        <v>8541</v>
      </c>
      <c r="BT3273" s="95" t="s">
        <v>9772</v>
      </c>
      <c r="CB3273" s="95" t="s">
        <v>9882</v>
      </c>
      <c r="CC3273" s="99">
        <v>1</v>
      </c>
      <c r="CD3273" s="90" t="s">
        <v>10094</v>
      </c>
      <c r="CV3273" s="99"/>
      <c r="CW3273" s="63"/>
    </row>
    <row r="3274" spans="1:101" x14ac:dyDescent="0.15">
      <c r="A3274" s="76">
        <v>3034</v>
      </c>
      <c r="B3274" s="74" t="s">
        <v>3696</v>
      </c>
      <c r="C3274" s="74">
        <v>1001576950</v>
      </c>
      <c r="D3274" s="78" t="str">
        <f t="shared" si="107"/>
        <v>https://portal.dnb.de/opac.htm?method=simpleSearch&amp;cqlMode=true&amp;query=idn%3D1001576950</v>
      </c>
      <c r="E3274" s="74" t="s">
        <v>3697</v>
      </c>
      <c r="F3274" s="74"/>
      <c r="G3274" s="76"/>
      <c r="H3274" s="77"/>
      <c r="I3274" s="76"/>
      <c r="J3274" s="77"/>
      <c r="K3274" s="77"/>
      <c r="L3274" s="76"/>
      <c r="M3274" s="76"/>
      <c r="N3274" s="76"/>
      <c r="O3274" s="76"/>
      <c r="P3274" s="76"/>
      <c r="Q3274" s="76"/>
      <c r="R3274" s="76"/>
      <c r="S3274" s="76"/>
      <c r="BD3274" s="99">
        <f t="shared" si="109"/>
        <v>0</v>
      </c>
      <c r="CC3274" s="99"/>
      <c r="CV3274" s="99"/>
      <c r="CW3274" s="63"/>
    </row>
    <row r="3275" spans="1:101" x14ac:dyDescent="0.15">
      <c r="A3275" s="76">
        <v>3035</v>
      </c>
      <c r="B3275" s="74" t="s">
        <v>3698</v>
      </c>
      <c r="C3275" s="74">
        <v>1066938520</v>
      </c>
      <c r="D3275" s="78" t="str">
        <f t="shared" ref="D3275:D3338" si="110">HYPERLINK(CONCATENATE("https://portal.dnb.de/opac.htm?method=simpleSearch&amp;cqlMode=true&amp;query=idn%3D",C3275))</f>
        <v>https://portal.dnb.de/opac.htm?method=simpleSearch&amp;cqlMode=true&amp;query=idn%3D1066938520</v>
      </c>
      <c r="E3275" s="74" t="s">
        <v>3699</v>
      </c>
      <c r="F3275" s="74"/>
      <c r="G3275" s="76"/>
      <c r="H3275" s="77"/>
      <c r="I3275" s="76"/>
      <c r="J3275" s="77"/>
      <c r="K3275" s="77"/>
      <c r="L3275" s="76"/>
      <c r="M3275" s="76"/>
      <c r="N3275" s="76"/>
      <c r="O3275" s="76"/>
      <c r="P3275" s="76"/>
      <c r="Q3275" s="76"/>
      <c r="R3275" s="76"/>
      <c r="S3275" s="76"/>
      <c r="BD3275" s="99">
        <f t="shared" si="109"/>
        <v>0</v>
      </c>
      <c r="CC3275" s="99"/>
      <c r="CV3275" s="99"/>
      <c r="CW3275" s="63"/>
    </row>
    <row r="3276" spans="1:101" x14ac:dyDescent="0.15">
      <c r="A3276" s="76">
        <v>3036</v>
      </c>
      <c r="B3276" s="74" t="s">
        <v>3700</v>
      </c>
      <c r="C3276" s="74">
        <v>999265083</v>
      </c>
      <c r="D3276" s="78" t="str">
        <f t="shared" si="110"/>
        <v>https://portal.dnb.de/opac.htm?method=simpleSearch&amp;cqlMode=true&amp;query=idn%3D999265083</v>
      </c>
      <c r="E3276" s="74" t="s">
        <v>3701</v>
      </c>
      <c r="F3276" s="74"/>
      <c r="G3276" s="76"/>
      <c r="H3276" s="77"/>
      <c r="I3276" s="76"/>
      <c r="J3276" s="77"/>
      <c r="K3276" s="77"/>
      <c r="L3276" s="76"/>
      <c r="M3276" s="76"/>
      <c r="N3276" s="76"/>
      <c r="O3276" s="76"/>
      <c r="P3276" s="76"/>
      <c r="Q3276" s="76"/>
      <c r="R3276" s="76"/>
      <c r="S3276" s="76"/>
      <c r="BD3276" s="99">
        <f t="shared" si="109"/>
        <v>0</v>
      </c>
      <c r="CC3276" s="99"/>
      <c r="CV3276" s="99"/>
      <c r="CW3276" s="63"/>
    </row>
    <row r="3277" spans="1:101" x14ac:dyDescent="0.15">
      <c r="A3277" s="76">
        <v>3037</v>
      </c>
      <c r="B3277" s="74" t="s">
        <v>3702</v>
      </c>
      <c r="C3277" s="74">
        <v>999265164</v>
      </c>
      <c r="D3277" s="78" t="str">
        <f t="shared" si="110"/>
        <v>https://portal.dnb.de/opac.htm?method=simpleSearch&amp;cqlMode=true&amp;query=idn%3D999265164</v>
      </c>
      <c r="E3277" s="74" t="s">
        <v>3701</v>
      </c>
      <c r="F3277" s="74"/>
      <c r="G3277" s="76"/>
      <c r="H3277" s="77"/>
      <c r="I3277" s="76"/>
      <c r="J3277" s="77"/>
      <c r="K3277" s="77"/>
      <c r="L3277" s="76"/>
      <c r="M3277" s="76"/>
      <c r="N3277" s="76"/>
      <c r="O3277" s="76"/>
      <c r="P3277" s="76"/>
      <c r="Q3277" s="76"/>
      <c r="R3277" s="76"/>
      <c r="S3277" s="76"/>
      <c r="BD3277" s="99">
        <f t="shared" si="109"/>
        <v>0</v>
      </c>
      <c r="CC3277" s="99"/>
      <c r="CV3277" s="99"/>
      <c r="CW3277" s="63"/>
    </row>
    <row r="3278" spans="1:101" x14ac:dyDescent="0.15">
      <c r="A3278" s="76">
        <v>3038</v>
      </c>
      <c r="B3278" s="74" t="s">
        <v>3703</v>
      </c>
      <c r="C3278" s="74">
        <v>1001763920</v>
      </c>
      <c r="D3278" s="78" t="str">
        <f t="shared" si="110"/>
        <v>https://portal.dnb.de/opac.htm?method=simpleSearch&amp;cqlMode=true&amp;query=idn%3D1001763920</v>
      </c>
      <c r="E3278" s="74" t="s">
        <v>3704</v>
      </c>
      <c r="F3278" s="74"/>
      <c r="G3278" s="76"/>
      <c r="H3278" s="77"/>
      <c r="I3278" s="76"/>
      <c r="J3278" s="77"/>
      <c r="K3278" s="77"/>
      <c r="L3278" s="76"/>
      <c r="M3278" s="76"/>
      <c r="N3278" s="76"/>
      <c r="O3278" s="76"/>
      <c r="P3278" s="76"/>
      <c r="Q3278" s="76"/>
      <c r="R3278" s="76"/>
      <c r="S3278" s="76"/>
      <c r="BD3278" s="99">
        <f t="shared" si="109"/>
        <v>0</v>
      </c>
      <c r="CC3278" s="99"/>
      <c r="CV3278" s="99"/>
      <c r="CW3278" s="63"/>
    </row>
    <row r="3279" spans="1:101" x14ac:dyDescent="0.15">
      <c r="A3279" s="76">
        <v>3039</v>
      </c>
      <c r="B3279" s="74" t="s">
        <v>3705</v>
      </c>
      <c r="C3279" s="74">
        <v>999266322</v>
      </c>
      <c r="D3279" s="78" t="str">
        <f t="shared" si="110"/>
        <v>https://portal.dnb.de/opac.htm?method=simpleSearch&amp;cqlMode=true&amp;query=idn%3D999266322</v>
      </c>
      <c r="E3279" s="74" t="s">
        <v>3706</v>
      </c>
      <c r="F3279" s="74"/>
      <c r="G3279" s="76"/>
      <c r="H3279" s="77"/>
      <c r="I3279" s="76"/>
      <c r="J3279" s="77"/>
      <c r="K3279" s="77"/>
      <c r="L3279" s="76"/>
      <c r="M3279" s="76"/>
      <c r="N3279" s="76"/>
      <c r="O3279" s="76"/>
      <c r="P3279" s="76"/>
      <c r="Q3279" s="76"/>
      <c r="R3279" s="76"/>
      <c r="S3279" s="76"/>
      <c r="BD3279" s="99">
        <f t="shared" si="109"/>
        <v>0</v>
      </c>
      <c r="CC3279" s="99"/>
      <c r="CV3279" s="99"/>
      <c r="CW3279" s="63"/>
    </row>
    <row r="3280" spans="1:101" x14ac:dyDescent="0.15">
      <c r="A3280" s="76">
        <v>3040</v>
      </c>
      <c r="B3280" s="74" t="s">
        <v>3707</v>
      </c>
      <c r="C3280" s="74">
        <v>998856169</v>
      </c>
      <c r="D3280" s="78" t="str">
        <f t="shared" si="110"/>
        <v>https://portal.dnb.de/opac.htm?method=simpleSearch&amp;cqlMode=true&amp;query=idn%3D998856169</v>
      </c>
      <c r="E3280" s="74" t="s">
        <v>3708</v>
      </c>
      <c r="F3280" s="74"/>
      <c r="G3280" s="76"/>
      <c r="H3280" s="77"/>
      <c r="I3280" s="76"/>
      <c r="J3280" s="77"/>
      <c r="K3280" s="77"/>
      <c r="L3280" s="76"/>
      <c r="M3280" s="76"/>
      <c r="N3280" s="76"/>
      <c r="O3280" s="76"/>
      <c r="P3280" s="76"/>
      <c r="Q3280" s="76"/>
      <c r="R3280" s="76"/>
      <c r="S3280" s="76"/>
      <c r="BD3280" s="99">
        <f t="shared" si="109"/>
        <v>0</v>
      </c>
      <c r="CC3280" s="99"/>
      <c r="CV3280" s="99"/>
      <c r="CW3280" s="63"/>
    </row>
    <row r="3281" spans="1:101" x14ac:dyDescent="0.15">
      <c r="A3281" s="76">
        <v>3041</v>
      </c>
      <c r="B3281" s="74" t="s">
        <v>3709</v>
      </c>
      <c r="C3281" s="74">
        <v>998843776</v>
      </c>
      <c r="D3281" s="78" t="str">
        <f t="shared" si="110"/>
        <v>https://portal.dnb.de/opac.htm?method=simpleSearch&amp;cqlMode=true&amp;query=idn%3D998843776</v>
      </c>
      <c r="E3281" s="74" t="s">
        <v>3710</v>
      </c>
      <c r="F3281" s="74"/>
      <c r="G3281" s="76"/>
      <c r="H3281" s="77"/>
      <c r="I3281" s="76"/>
      <c r="J3281" s="77"/>
      <c r="K3281" s="77"/>
      <c r="L3281" s="76"/>
      <c r="M3281" s="76"/>
      <c r="N3281" s="76"/>
      <c r="O3281" s="76"/>
      <c r="P3281" s="76"/>
      <c r="Q3281" s="76"/>
      <c r="R3281" s="76"/>
      <c r="S3281" s="76"/>
      <c r="BD3281" s="99">
        <f t="shared" si="109"/>
        <v>0</v>
      </c>
      <c r="CC3281" s="99"/>
      <c r="CV3281" s="99"/>
      <c r="CW3281" s="63"/>
    </row>
    <row r="3282" spans="1:101" x14ac:dyDescent="0.15">
      <c r="A3282" s="76">
        <v>3042</v>
      </c>
      <c r="B3282" s="74" t="s">
        <v>3711</v>
      </c>
      <c r="C3282" s="74">
        <v>999264680</v>
      </c>
      <c r="D3282" s="78" t="str">
        <f t="shared" si="110"/>
        <v>https://portal.dnb.de/opac.htm?method=simpleSearch&amp;cqlMode=true&amp;query=idn%3D999264680</v>
      </c>
      <c r="E3282" s="74" t="s">
        <v>3712</v>
      </c>
      <c r="F3282" s="74"/>
      <c r="G3282" s="76"/>
      <c r="H3282" s="77"/>
      <c r="I3282" s="76"/>
      <c r="J3282" s="77"/>
      <c r="K3282" s="77"/>
      <c r="L3282" s="76"/>
      <c r="M3282" s="76"/>
      <c r="N3282" s="76"/>
      <c r="O3282" s="76"/>
      <c r="P3282" s="76"/>
      <c r="Q3282" s="76"/>
      <c r="R3282" s="76"/>
      <c r="S3282" s="76"/>
      <c r="BD3282" s="99">
        <f t="shared" si="109"/>
        <v>0</v>
      </c>
      <c r="CC3282" s="99"/>
      <c r="CV3282" s="99"/>
      <c r="CW3282" s="63"/>
    </row>
    <row r="3283" spans="1:101" x14ac:dyDescent="0.15">
      <c r="A3283" s="76">
        <v>3043</v>
      </c>
      <c r="B3283" s="74" t="s">
        <v>3713</v>
      </c>
      <c r="C3283" s="74">
        <v>999264710</v>
      </c>
      <c r="D3283" s="78" t="str">
        <f t="shared" si="110"/>
        <v>https://portal.dnb.de/opac.htm?method=simpleSearch&amp;cqlMode=true&amp;query=idn%3D999264710</v>
      </c>
      <c r="E3283" s="74" t="s">
        <v>3712</v>
      </c>
      <c r="F3283" s="74"/>
      <c r="G3283" s="76"/>
      <c r="H3283" s="77"/>
      <c r="I3283" s="76"/>
      <c r="J3283" s="77"/>
      <c r="K3283" s="77"/>
      <c r="L3283" s="76"/>
      <c r="M3283" s="76"/>
      <c r="N3283" s="76"/>
      <c r="O3283" s="76"/>
      <c r="P3283" s="76"/>
      <c r="Q3283" s="76"/>
      <c r="R3283" s="76"/>
      <c r="S3283" s="76"/>
      <c r="BD3283" s="99">
        <f t="shared" si="109"/>
        <v>0</v>
      </c>
      <c r="CC3283" s="99"/>
      <c r="CV3283" s="99"/>
      <c r="CW3283" s="63"/>
    </row>
    <row r="3284" spans="1:101" x14ac:dyDescent="0.15">
      <c r="A3284" s="76">
        <v>3044</v>
      </c>
      <c r="B3284" s="74" t="s">
        <v>3714</v>
      </c>
      <c r="C3284" s="74">
        <v>993856268</v>
      </c>
      <c r="D3284" s="78" t="str">
        <f t="shared" si="110"/>
        <v>https://portal.dnb.de/opac.htm?method=simpleSearch&amp;cqlMode=true&amp;query=idn%3D993856268</v>
      </c>
      <c r="E3284" s="74" t="s">
        <v>3712</v>
      </c>
      <c r="F3284" s="74"/>
      <c r="G3284" s="76"/>
      <c r="H3284" s="77"/>
      <c r="I3284" s="76"/>
      <c r="J3284" s="77"/>
      <c r="K3284" s="77"/>
      <c r="L3284" s="76"/>
      <c r="M3284" s="76"/>
      <c r="N3284" s="76"/>
      <c r="O3284" s="76"/>
      <c r="P3284" s="76"/>
      <c r="Q3284" s="76"/>
      <c r="R3284" s="76"/>
      <c r="S3284" s="76"/>
      <c r="BD3284" s="99">
        <f t="shared" si="109"/>
        <v>0</v>
      </c>
      <c r="CC3284" s="99"/>
      <c r="CV3284" s="99"/>
      <c r="CW3284" s="63"/>
    </row>
    <row r="3285" spans="1:101" x14ac:dyDescent="0.15">
      <c r="A3285" s="76">
        <v>3045</v>
      </c>
      <c r="B3285" s="74" t="s">
        <v>3720</v>
      </c>
      <c r="C3285" s="74">
        <v>999813692</v>
      </c>
      <c r="D3285" s="78" t="str">
        <f t="shared" si="110"/>
        <v>https://portal.dnb.de/opac.htm?method=simpleSearch&amp;cqlMode=true&amp;query=idn%3D999813692</v>
      </c>
      <c r="E3285" s="74" t="s">
        <v>3721</v>
      </c>
      <c r="F3285" s="74"/>
      <c r="G3285" s="76"/>
      <c r="H3285" s="77"/>
      <c r="I3285" s="76"/>
      <c r="J3285" s="77"/>
      <c r="K3285" s="77"/>
      <c r="L3285" s="76"/>
      <c r="M3285" s="76"/>
      <c r="N3285" s="76"/>
      <c r="O3285" s="76"/>
      <c r="P3285" s="76"/>
      <c r="Q3285" s="76"/>
      <c r="R3285" s="76"/>
      <c r="S3285" s="76"/>
      <c r="BD3285" s="99">
        <f t="shared" si="109"/>
        <v>0</v>
      </c>
      <c r="CC3285" s="99"/>
      <c r="CV3285" s="99"/>
      <c r="CW3285" s="63"/>
    </row>
    <row r="3286" spans="1:101" x14ac:dyDescent="0.15">
      <c r="A3286" s="76">
        <v>3046</v>
      </c>
      <c r="B3286" s="74" t="s">
        <v>3722</v>
      </c>
      <c r="C3286" s="74">
        <v>999813617</v>
      </c>
      <c r="D3286" s="78" t="str">
        <f t="shared" si="110"/>
        <v>https://portal.dnb.de/opac.htm?method=simpleSearch&amp;cqlMode=true&amp;query=idn%3D999813617</v>
      </c>
      <c r="E3286" s="74" t="s">
        <v>3721</v>
      </c>
      <c r="F3286" s="74"/>
      <c r="G3286" s="76"/>
      <c r="H3286" s="77"/>
      <c r="I3286" s="76"/>
      <c r="J3286" s="77"/>
      <c r="K3286" s="77"/>
      <c r="L3286" s="76"/>
      <c r="M3286" s="76"/>
      <c r="N3286" s="76"/>
      <c r="O3286" s="76"/>
      <c r="P3286" s="76"/>
      <c r="Q3286" s="76"/>
      <c r="R3286" s="76"/>
      <c r="S3286" s="76"/>
      <c r="BD3286" s="99">
        <f t="shared" si="109"/>
        <v>0</v>
      </c>
      <c r="CC3286" s="99"/>
      <c r="CV3286" s="99"/>
      <c r="CW3286" s="63"/>
    </row>
    <row r="3287" spans="1:101" x14ac:dyDescent="0.15">
      <c r="A3287" s="76">
        <v>3047</v>
      </c>
      <c r="B3287" s="74" t="s">
        <v>3723</v>
      </c>
      <c r="C3287" s="74">
        <v>1004109199</v>
      </c>
      <c r="D3287" s="78" t="str">
        <f t="shared" si="110"/>
        <v>https://portal.dnb.de/opac.htm?method=simpleSearch&amp;cqlMode=true&amp;query=idn%3D1004109199</v>
      </c>
      <c r="E3287" s="74" t="s">
        <v>3724</v>
      </c>
      <c r="F3287" s="74"/>
      <c r="G3287" s="76"/>
      <c r="H3287" s="77"/>
      <c r="I3287" s="76"/>
      <c r="J3287" s="77"/>
      <c r="K3287" s="77"/>
      <c r="L3287" s="76"/>
      <c r="M3287" s="76"/>
      <c r="N3287" s="76"/>
      <c r="O3287" s="76"/>
      <c r="P3287" s="76"/>
      <c r="Q3287" s="76"/>
      <c r="R3287" s="76"/>
      <c r="S3287" s="76"/>
      <c r="BD3287" s="99">
        <f t="shared" si="109"/>
        <v>0</v>
      </c>
      <c r="CC3287" s="99"/>
      <c r="CV3287" s="99"/>
      <c r="CW3287" s="63"/>
    </row>
    <row r="3288" spans="1:101" x14ac:dyDescent="0.15">
      <c r="A3288" s="76">
        <v>3048</v>
      </c>
      <c r="B3288" s="74" t="s">
        <v>3725</v>
      </c>
      <c r="C3288" s="74">
        <v>1004109253</v>
      </c>
      <c r="D3288" s="78" t="str">
        <f t="shared" si="110"/>
        <v>https://portal.dnb.de/opac.htm?method=simpleSearch&amp;cqlMode=true&amp;query=idn%3D1004109253</v>
      </c>
      <c r="E3288" s="74" t="s">
        <v>3724</v>
      </c>
      <c r="F3288" s="74"/>
      <c r="G3288" s="76"/>
      <c r="H3288" s="77"/>
      <c r="I3288" s="76"/>
      <c r="J3288" s="77"/>
      <c r="K3288" s="77"/>
      <c r="L3288" s="76"/>
      <c r="M3288" s="76"/>
      <c r="N3288" s="76"/>
      <c r="O3288" s="76"/>
      <c r="P3288" s="76"/>
      <c r="Q3288" s="76"/>
      <c r="R3288" s="76"/>
      <c r="S3288" s="76"/>
      <c r="BD3288" s="99">
        <f t="shared" si="109"/>
        <v>0</v>
      </c>
      <c r="CC3288" s="99"/>
      <c r="CV3288" s="99"/>
      <c r="CW3288" s="63"/>
    </row>
    <row r="3289" spans="1:101" x14ac:dyDescent="0.15">
      <c r="A3289" s="76">
        <v>3049</v>
      </c>
      <c r="B3289" s="74" t="s">
        <v>3726</v>
      </c>
      <c r="C3289" s="74">
        <v>1003075878</v>
      </c>
      <c r="D3289" s="78" t="str">
        <f t="shared" si="110"/>
        <v>https://portal.dnb.de/opac.htm?method=simpleSearch&amp;cqlMode=true&amp;query=idn%3D1003075878</v>
      </c>
      <c r="E3289" s="74" t="s">
        <v>3727</v>
      </c>
      <c r="F3289" s="74"/>
      <c r="G3289" s="76"/>
      <c r="H3289" s="77"/>
      <c r="I3289" s="76"/>
      <c r="J3289" s="77"/>
      <c r="K3289" s="77"/>
      <c r="L3289" s="76"/>
      <c r="M3289" s="76"/>
      <c r="N3289" s="76"/>
      <c r="O3289" s="76"/>
      <c r="P3289" s="76"/>
      <c r="Q3289" s="76"/>
      <c r="R3289" s="76"/>
      <c r="S3289" s="76"/>
      <c r="BD3289" s="99">
        <f t="shared" si="109"/>
        <v>0</v>
      </c>
      <c r="CC3289" s="99"/>
      <c r="CV3289" s="99"/>
      <c r="CW3289" s="63"/>
    </row>
    <row r="3290" spans="1:101" x14ac:dyDescent="0.15">
      <c r="A3290" s="76">
        <v>3050</v>
      </c>
      <c r="B3290" s="74" t="s">
        <v>3728</v>
      </c>
      <c r="C3290" s="74">
        <v>1003628664</v>
      </c>
      <c r="D3290" s="78" t="str">
        <f t="shared" si="110"/>
        <v>https://portal.dnb.de/opac.htm?method=simpleSearch&amp;cqlMode=true&amp;query=idn%3D1003628664</v>
      </c>
      <c r="E3290" s="74" t="s">
        <v>3729</v>
      </c>
      <c r="F3290" s="74"/>
      <c r="G3290" s="76"/>
      <c r="H3290" s="77"/>
      <c r="I3290" s="76"/>
      <c r="J3290" s="77"/>
      <c r="K3290" s="77"/>
      <c r="L3290" s="76"/>
      <c r="M3290" s="76"/>
      <c r="N3290" s="76"/>
      <c r="O3290" s="76"/>
      <c r="P3290" s="76"/>
      <c r="Q3290" s="76"/>
      <c r="R3290" s="76"/>
      <c r="S3290" s="76"/>
      <c r="BD3290" s="99">
        <f t="shared" si="109"/>
        <v>0</v>
      </c>
      <c r="CC3290" s="99"/>
      <c r="CV3290" s="99"/>
      <c r="CW3290" s="63"/>
    </row>
    <row r="3291" spans="1:101" x14ac:dyDescent="0.15">
      <c r="A3291" s="76">
        <v>3051</v>
      </c>
      <c r="B3291" s="74" t="s">
        <v>3730</v>
      </c>
      <c r="C3291" s="74">
        <v>994538839</v>
      </c>
      <c r="D3291" s="78" t="str">
        <f t="shared" si="110"/>
        <v>https://portal.dnb.de/opac.htm?method=simpleSearch&amp;cqlMode=true&amp;query=idn%3D994538839</v>
      </c>
      <c r="E3291" s="74" t="s">
        <v>3731</v>
      </c>
      <c r="F3291" s="74"/>
      <c r="G3291" s="76"/>
      <c r="H3291" s="77"/>
      <c r="I3291" s="76"/>
      <c r="J3291" s="77"/>
      <c r="K3291" s="77"/>
      <c r="L3291" s="76"/>
      <c r="M3291" s="76"/>
      <c r="N3291" s="76"/>
      <c r="O3291" s="76"/>
      <c r="P3291" s="76"/>
      <c r="Q3291" s="76"/>
      <c r="R3291" s="76"/>
      <c r="S3291" s="76"/>
      <c r="BD3291" s="99">
        <f t="shared" si="109"/>
        <v>0</v>
      </c>
      <c r="CC3291" s="99"/>
      <c r="CV3291" s="99"/>
      <c r="CW3291" s="63"/>
    </row>
    <row r="3292" spans="1:101" x14ac:dyDescent="0.15">
      <c r="A3292" s="76">
        <v>3052</v>
      </c>
      <c r="B3292" s="74" t="s">
        <v>3732</v>
      </c>
      <c r="C3292" s="74">
        <v>994538898</v>
      </c>
      <c r="D3292" s="78" t="str">
        <f t="shared" si="110"/>
        <v>https://portal.dnb.de/opac.htm?method=simpleSearch&amp;cqlMode=true&amp;query=idn%3D994538898</v>
      </c>
      <c r="E3292" s="74" t="s">
        <v>3731</v>
      </c>
      <c r="F3292" s="74"/>
      <c r="G3292" s="76"/>
      <c r="H3292" s="77"/>
      <c r="I3292" s="76"/>
      <c r="J3292" s="77"/>
      <c r="K3292" s="77"/>
      <c r="L3292" s="76"/>
      <c r="M3292" s="76"/>
      <c r="N3292" s="76"/>
      <c r="O3292" s="76"/>
      <c r="P3292" s="76"/>
      <c r="Q3292" s="76"/>
      <c r="R3292" s="76"/>
      <c r="S3292" s="76"/>
      <c r="BD3292" s="99">
        <f t="shared" si="109"/>
        <v>0</v>
      </c>
      <c r="CC3292" s="99"/>
      <c r="CV3292" s="99"/>
      <c r="CW3292" s="63"/>
    </row>
    <row r="3293" spans="1:101" x14ac:dyDescent="0.15">
      <c r="A3293" s="76">
        <v>3053</v>
      </c>
      <c r="B3293" s="74" t="s">
        <v>3733</v>
      </c>
      <c r="C3293" s="74">
        <v>994538871</v>
      </c>
      <c r="D3293" s="78" t="str">
        <f t="shared" si="110"/>
        <v>https://portal.dnb.de/opac.htm?method=simpleSearch&amp;cqlMode=true&amp;query=idn%3D994538871</v>
      </c>
      <c r="E3293" s="74" t="s">
        <v>3731</v>
      </c>
      <c r="F3293" s="74"/>
      <c r="G3293" s="76"/>
      <c r="H3293" s="77"/>
      <c r="I3293" s="76"/>
      <c r="J3293" s="77"/>
      <c r="K3293" s="77"/>
      <c r="L3293" s="76"/>
      <c r="M3293" s="76"/>
      <c r="N3293" s="76"/>
      <c r="O3293" s="76"/>
      <c r="P3293" s="76"/>
      <c r="Q3293" s="76"/>
      <c r="R3293" s="76"/>
      <c r="S3293" s="76"/>
      <c r="BD3293" s="99">
        <f t="shared" si="109"/>
        <v>0</v>
      </c>
      <c r="CC3293" s="99"/>
      <c r="CV3293" s="99"/>
      <c r="CW3293" s="63"/>
    </row>
    <row r="3294" spans="1:101" x14ac:dyDescent="0.15">
      <c r="A3294" s="76">
        <v>3054</v>
      </c>
      <c r="B3294" s="74" t="s">
        <v>3734</v>
      </c>
      <c r="C3294" s="74">
        <v>994538855</v>
      </c>
      <c r="D3294" s="78" t="str">
        <f t="shared" si="110"/>
        <v>https://portal.dnb.de/opac.htm?method=simpleSearch&amp;cqlMode=true&amp;query=idn%3D994538855</v>
      </c>
      <c r="E3294" s="74" t="s">
        <v>3731</v>
      </c>
      <c r="F3294" s="74"/>
      <c r="G3294" s="76"/>
      <c r="H3294" s="77"/>
      <c r="I3294" s="76"/>
      <c r="J3294" s="77"/>
      <c r="K3294" s="77"/>
      <c r="L3294" s="76"/>
      <c r="M3294" s="76"/>
      <c r="N3294" s="76"/>
      <c r="O3294" s="76"/>
      <c r="P3294" s="76"/>
      <c r="Q3294" s="76"/>
      <c r="R3294" s="76"/>
      <c r="S3294" s="76"/>
      <c r="BD3294" s="99">
        <f t="shared" si="109"/>
        <v>0</v>
      </c>
      <c r="CC3294" s="99"/>
      <c r="CV3294" s="99"/>
      <c r="CW3294" s="63"/>
    </row>
    <row r="3295" spans="1:101" x14ac:dyDescent="0.15">
      <c r="A3295" s="76">
        <v>3055</v>
      </c>
      <c r="B3295" s="74" t="s">
        <v>3735</v>
      </c>
      <c r="C3295" s="74">
        <v>994538847</v>
      </c>
      <c r="D3295" s="78" t="str">
        <f t="shared" si="110"/>
        <v>https://portal.dnb.de/opac.htm?method=simpleSearch&amp;cqlMode=true&amp;query=idn%3D994538847</v>
      </c>
      <c r="E3295" s="74" t="s">
        <v>3731</v>
      </c>
      <c r="F3295" s="74"/>
      <c r="G3295" s="76"/>
      <c r="H3295" s="77"/>
      <c r="I3295" s="76"/>
      <c r="J3295" s="77"/>
      <c r="K3295" s="77"/>
      <c r="L3295" s="76"/>
      <c r="M3295" s="76"/>
      <c r="N3295" s="76"/>
      <c r="O3295" s="76"/>
      <c r="P3295" s="76"/>
      <c r="Q3295" s="76"/>
      <c r="R3295" s="76"/>
      <c r="S3295" s="76"/>
      <c r="BD3295" s="99">
        <f t="shared" si="109"/>
        <v>0</v>
      </c>
      <c r="CC3295" s="99"/>
      <c r="CV3295" s="99"/>
      <c r="CW3295" s="63"/>
    </row>
    <row r="3296" spans="1:101" x14ac:dyDescent="0.15">
      <c r="A3296" s="76">
        <v>3056</v>
      </c>
      <c r="B3296" s="74" t="s">
        <v>3736</v>
      </c>
      <c r="C3296" s="74">
        <v>994538901</v>
      </c>
      <c r="D3296" s="78" t="str">
        <f t="shared" si="110"/>
        <v>https://portal.dnb.de/opac.htm?method=simpleSearch&amp;cqlMode=true&amp;query=idn%3D994538901</v>
      </c>
      <c r="E3296" s="74" t="s">
        <v>3731</v>
      </c>
      <c r="F3296" s="74"/>
      <c r="G3296" s="76"/>
      <c r="H3296" s="77"/>
      <c r="I3296" s="76"/>
      <c r="J3296" s="77"/>
      <c r="K3296" s="77"/>
      <c r="L3296" s="76"/>
      <c r="M3296" s="76"/>
      <c r="N3296" s="76"/>
      <c r="O3296" s="76"/>
      <c r="P3296" s="76"/>
      <c r="Q3296" s="76"/>
      <c r="R3296" s="76"/>
      <c r="S3296" s="76"/>
      <c r="BD3296" s="99">
        <f t="shared" si="109"/>
        <v>0</v>
      </c>
      <c r="CC3296" s="99"/>
      <c r="CV3296" s="99"/>
      <c r="CW3296" s="63"/>
    </row>
    <row r="3297" spans="1:101" x14ac:dyDescent="0.15">
      <c r="A3297" s="76">
        <v>3057</v>
      </c>
      <c r="B3297" s="74" t="s">
        <v>3739</v>
      </c>
      <c r="C3297" s="74">
        <v>1001876164</v>
      </c>
      <c r="D3297" s="78" t="str">
        <f t="shared" si="110"/>
        <v>https://portal.dnb.de/opac.htm?method=simpleSearch&amp;cqlMode=true&amp;query=idn%3D1001876164</v>
      </c>
      <c r="E3297" s="74" t="s">
        <v>3740</v>
      </c>
      <c r="F3297" s="74"/>
      <c r="G3297" s="76"/>
      <c r="H3297" s="77"/>
      <c r="I3297" s="76"/>
      <c r="J3297" s="77"/>
      <c r="K3297" s="77"/>
      <c r="L3297" s="76"/>
      <c r="M3297" s="76"/>
      <c r="N3297" s="76"/>
      <c r="O3297" s="76"/>
      <c r="P3297" s="76"/>
      <c r="Q3297" s="76"/>
      <c r="R3297" s="76"/>
      <c r="S3297" s="76"/>
      <c r="BD3297" s="99">
        <f t="shared" si="109"/>
        <v>0</v>
      </c>
      <c r="CC3297" s="99"/>
      <c r="CV3297" s="99"/>
      <c r="CW3297" s="63"/>
    </row>
    <row r="3298" spans="1:101" x14ac:dyDescent="0.15">
      <c r="A3298" s="76">
        <v>3058</v>
      </c>
      <c r="B3298" s="74" t="s">
        <v>3741</v>
      </c>
      <c r="C3298" s="74">
        <v>994577869</v>
      </c>
      <c r="D3298" s="78" t="str">
        <f t="shared" si="110"/>
        <v>https://portal.dnb.de/opac.htm?method=simpleSearch&amp;cqlMode=true&amp;query=idn%3D994577869</v>
      </c>
      <c r="E3298" s="74" t="s">
        <v>3742</v>
      </c>
      <c r="F3298" s="74"/>
      <c r="G3298" s="76"/>
      <c r="H3298" s="77"/>
      <c r="I3298" s="76"/>
      <c r="J3298" s="77"/>
      <c r="K3298" s="77"/>
      <c r="L3298" s="76"/>
      <c r="M3298" s="76"/>
      <c r="N3298" s="76"/>
      <c r="O3298" s="76"/>
      <c r="P3298" s="76"/>
      <c r="Q3298" s="76"/>
      <c r="R3298" s="76"/>
      <c r="S3298" s="76"/>
      <c r="BD3298" s="99">
        <f t="shared" si="109"/>
        <v>0</v>
      </c>
      <c r="CC3298" s="99"/>
      <c r="CV3298" s="99"/>
      <c r="CW3298" s="63"/>
    </row>
    <row r="3299" spans="1:101" x14ac:dyDescent="0.15">
      <c r="A3299" s="76">
        <v>3059</v>
      </c>
      <c r="B3299" s="74" t="s">
        <v>3743</v>
      </c>
      <c r="C3299" s="74">
        <v>994577826</v>
      </c>
      <c r="D3299" s="78" t="str">
        <f t="shared" si="110"/>
        <v>https://portal.dnb.de/opac.htm?method=simpleSearch&amp;cqlMode=true&amp;query=idn%3D994577826</v>
      </c>
      <c r="E3299" s="74" t="s">
        <v>3742</v>
      </c>
      <c r="F3299" s="74"/>
      <c r="G3299" s="76"/>
      <c r="H3299" s="77"/>
      <c r="I3299" s="76"/>
      <c r="J3299" s="77"/>
      <c r="K3299" s="77"/>
      <c r="L3299" s="76"/>
      <c r="M3299" s="76"/>
      <c r="N3299" s="76"/>
      <c r="O3299" s="76"/>
      <c r="P3299" s="76"/>
      <c r="Q3299" s="76"/>
      <c r="R3299" s="76"/>
      <c r="S3299" s="76"/>
      <c r="BD3299" s="99">
        <f t="shared" si="109"/>
        <v>0</v>
      </c>
      <c r="CC3299" s="99"/>
      <c r="CV3299" s="99"/>
      <c r="CW3299" s="63"/>
    </row>
    <row r="3300" spans="1:101" ht="45" x14ac:dyDescent="0.15">
      <c r="A3300" s="76">
        <v>3060</v>
      </c>
      <c r="B3300" s="74" t="s">
        <v>3744</v>
      </c>
      <c r="C3300" s="74">
        <v>1002394635</v>
      </c>
      <c r="D3300" s="78" t="str">
        <f t="shared" si="110"/>
        <v>https://portal.dnb.de/opac.htm?method=simpleSearch&amp;cqlMode=true&amp;query=idn%3D1002394635</v>
      </c>
      <c r="E3300" s="74" t="s">
        <v>3745</v>
      </c>
      <c r="F3300" s="74"/>
      <c r="G3300" s="76"/>
      <c r="H3300" s="77"/>
      <c r="I3300" s="76" t="s">
        <v>53</v>
      </c>
      <c r="J3300" s="77"/>
      <c r="K3300" s="77"/>
      <c r="L3300" s="76"/>
      <c r="M3300" s="76"/>
      <c r="N3300" s="76"/>
      <c r="O3300" s="76"/>
      <c r="P3300" s="76"/>
      <c r="Q3300" s="76"/>
      <c r="R3300" s="76"/>
      <c r="S3300" s="76"/>
      <c r="Y3300" s="95" t="s">
        <v>9723</v>
      </c>
      <c r="AC3300" s="95" t="s">
        <v>9724</v>
      </c>
      <c r="AI3300" s="95" t="s">
        <v>9725</v>
      </c>
      <c r="AW3300" s="95">
        <v>45</v>
      </c>
      <c r="BC3300" s="96" t="s">
        <v>9726</v>
      </c>
      <c r="BD3300" s="99">
        <f t="shared" si="109"/>
        <v>1</v>
      </c>
      <c r="BJ3300" s="95" t="s">
        <v>9741</v>
      </c>
      <c r="BK3300" s="95" t="s">
        <v>8541</v>
      </c>
      <c r="BP3300" s="69" t="s">
        <v>8541</v>
      </c>
      <c r="BQ3300" s="95" t="s">
        <v>8541</v>
      </c>
      <c r="BR3300" s="95" t="s">
        <v>8541</v>
      </c>
      <c r="BT3300" s="95" t="s">
        <v>9775</v>
      </c>
      <c r="BU3300" s="95">
        <v>3</v>
      </c>
      <c r="CC3300" s="99">
        <v>1</v>
      </c>
      <c r="CD3300" s="90" t="s">
        <v>10096</v>
      </c>
      <c r="CV3300" s="99"/>
      <c r="CW3300" s="63"/>
    </row>
    <row r="3301" spans="1:101" x14ac:dyDescent="0.15">
      <c r="A3301" s="76">
        <v>3061</v>
      </c>
      <c r="B3301" s="74" t="s">
        <v>3746</v>
      </c>
      <c r="C3301" s="74">
        <v>999254332</v>
      </c>
      <c r="D3301" s="78" t="str">
        <f t="shared" si="110"/>
        <v>https://portal.dnb.de/opac.htm?method=simpleSearch&amp;cqlMode=true&amp;query=idn%3D999254332</v>
      </c>
      <c r="E3301" s="74" t="s">
        <v>3747</v>
      </c>
      <c r="F3301" s="74"/>
      <c r="G3301" s="76"/>
      <c r="H3301" s="77"/>
      <c r="I3301" s="76"/>
      <c r="J3301" s="77"/>
      <c r="K3301" s="77"/>
      <c r="L3301" s="76"/>
      <c r="M3301" s="76"/>
      <c r="N3301" s="76"/>
      <c r="O3301" s="76"/>
      <c r="P3301" s="76"/>
      <c r="Q3301" s="76"/>
      <c r="R3301" s="76"/>
      <c r="S3301" s="76"/>
      <c r="BD3301" s="99">
        <f t="shared" si="109"/>
        <v>0</v>
      </c>
      <c r="CC3301" s="99"/>
      <c r="CV3301" s="99"/>
      <c r="CW3301" s="63"/>
    </row>
    <row r="3302" spans="1:101" x14ac:dyDescent="0.15">
      <c r="A3302" s="76">
        <v>3062</v>
      </c>
      <c r="B3302" s="74" t="s">
        <v>3748</v>
      </c>
      <c r="C3302" s="74">
        <v>994056338</v>
      </c>
      <c r="D3302" s="78" t="str">
        <f t="shared" si="110"/>
        <v>https://portal.dnb.de/opac.htm?method=simpleSearch&amp;cqlMode=true&amp;query=idn%3D994056338</v>
      </c>
      <c r="E3302" s="74" t="s">
        <v>3747</v>
      </c>
      <c r="F3302" s="74"/>
      <c r="G3302" s="76"/>
      <c r="H3302" s="77"/>
      <c r="I3302" s="76"/>
      <c r="J3302" s="77"/>
      <c r="K3302" s="77"/>
      <c r="L3302" s="76"/>
      <c r="M3302" s="76"/>
      <c r="N3302" s="76"/>
      <c r="O3302" s="76"/>
      <c r="P3302" s="76"/>
      <c r="Q3302" s="76"/>
      <c r="R3302" s="76"/>
      <c r="S3302" s="76"/>
      <c r="BD3302" s="99">
        <f t="shared" si="109"/>
        <v>0</v>
      </c>
      <c r="CC3302" s="99"/>
      <c r="CV3302" s="99"/>
      <c r="CW3302" s="63"/>
    </row>
    <row r="3303" spans="1:101" x14ac:dyDescent="0.15">
      <c r="A3303" s="76">
        <v>3063</v>
      </c>
      <c r="B3303" s="74" t="s">
        <v>3749</v>
      </c>
      <c r="C3303" s="74">
        <v>1001001486</v>
      </c>
      <c r="D3303" s="78" t="str">
        <f t="shared" si="110"/>
        <v>https://portal.dnb.de/opac.htm?method=simpleSearch&amp;cqlMode=true&amp;query=idn%3D1001001486</v>
      </c>
      <c r="E3303" s="74" t="s">
        <v>3750</v>
      </c>
      <c r="F3303" s="74"/>
      <c r="G3303" s="76"/>
      <c r="H3303" s="77"/>
      <c r="I3303" s="76"/>
      <c r="J3303" s="77"/>
      <c r="K3303" s="77"/>
      <c r="L3303" s="76"/>
      <c r="M3303" s="76"/>
      <c r="N3303" s="76"/>
      <c r="O3303" s="76"/>
      <c r="P3303" s="76"/>
      <c r="Q3303" s="76"/>
      <c r="R3303" s="76"/>
      <c r="S3303" s="76"/>
      <c r="BD3303" s="99">
        <f t="shared" si="109"/>
        <v>0</v>
      </c>
      <c r="CC3303" s="99"/>
      <c r="CV3303" s="99"/>
      <c r="CW3303" s="63"/>
    </row>
    <row r="3304" spans="1:101" x14ac:dyDescent="0.15">
      <c r="A3304" s="76">
        <v>3064</v>
      </c>
      <c r="B3304" s="74" t="s">
        <v>3754</v>
      </c>
      <c r="C3304" s="74">
        <v>994508964</v>
      </c>
      <c r="D3304" s="78" t="str">
        <f t="shared" si="110"/>
        <v>https://portal.dnb.de/opac.htm?method=simpleSearch&amp;cqlMode=true&amp;query=idn%3D994508964</v>
      </c>
      <c r="E3304" s="74" t="s">
        <v>3755</v>
      </c>
      <c r="F3304" s="74"/>
      <c r="G3304" s="76"/>
      <c r="H3304" s="77"/>
      <c r="I3304" s="76"/>
      <c r="J3304" s="77"/>
      <c r="K3304" s="77"/>
      <c r="L3304" s="76"/>
      <c r="M3304" s="76"/>
      <c r="N3304" s="76"/>
      <c r="O3304" s="76"/>
      <c r="P3304" s="76"/>
      <c r="Q3304" s="76"/>
      <c r="R3304" s="76"/>
      <c r="S3304" s="76"/>
      <c r="BD3304" s="99">
        <f t="shared" si="109"/>
        <v>0</v>
      </c>
      <c r="CC3304" s="99"/>
      <c r="CV3304" s="99"/>
      <c r="CW3304" s="63"/>
    </row>
    <row r="3305" spans="1:101" x14ac:dyDescent="0.15">
      <c r="A3305" s="76">
        <v>3065</v>
      </c>
      <c r="B3305" s="74" t="s">
        <v>3756</v>
      </c>
      <c r="C3305" s="74">
        <v>996820841</v>
      </c>
      <c r="D3305" s="78" t="str">
        <f t="shared" si="110"/>
        <v>https://portal.dnb.de/opac.htm?method=simpleSearch&amp;cqlMode=true&amp;query=idn%3D996820841</v>
      </c>
      <c r="E3305" s="74" t="s">
        <v>3757</v>
      </c>
      <c r="F3305" s="74"/>
      <c r="G3305" s="76"/>
      <c r="H3305" s="77"/>
      <c r="I3305" s="76"/>
      <c r="J3305" s="77"/>
      <c r="K3305" s="77"/>
      <c r="L3305" s="76"/>
      <c r="M3305" s="76"/>
      <c r="N3305" s="76"/>
      <c r="O3305" s="76"/>
      <c r="P3305" s="76"/>
      <c r="Q3305" s="76"/>
      <c r="R3305" s="76"/>
      <c r="S3305" s="76"/>
      <c r="BD3305" s="99">
        <f t="shared" si="109"/>
        <v>0</v>
      </c>
      <c r="CC3305" s="99"/>
      <c r="CV3305" s="99"/>
      <c r="CW3305" s="63"/>
    </row>
    <row r="3306" spans="1:101" ht="33.75" x14ac:dyDescent="0.15">
      <c r="A3306" s="76">
        <v>3066</v>
      </c>
      <c r="B3306" s="74" t="s">
        <v>3758</v>
      </c>
      <c r="C3306" s="74">
        <v>994083483</v>
      </c>
      <c r="D3306" s="78" t="str">
        <f t="shared" si="110"/>
        <v>https://portal.dnb.de/opac.htm?method=simpleSearch&amp;cqlMode=true&amp;query=idn%3D994083483</v>
      </c>
      <c r="E3306" s="74" t="s">
        <v>3759</v>
      </c>
      <c r="F3306" s="74"/>
      <c r="G3306" s="76"/>
      <c r="H3306" s="77"/>
      <c r="I3306" s="76" t="s">
        <v>53</v>
      </c>
      <c r="J3306" s="77"/>
      <c r="K3306" s="77"/>
      <c r="L3306" s="76"/>
      <c r="M3306" s="76"/>
      <c r="N3306" s="76"/>
      <c r="O3306" s="76"/>
      <c r="P3306" s="76"/>
      <c r="Q3306" s="76"/>
      <c r="R3306" s="76"/>
      <c r="S3306" s="76"/>
      <c r="Y3306" s="95" t="s">
        <v>9723</v>
      </c>
      <c r="AC3306" s="95" t="s">
        <v>9730</v>
      </c>
      <c r="AI3306" s="95" t="s">
        <v>9725</v>
      </c>
      <c r="AW3306" s="95">
        <v>80</v>
      </c>
      <c r="BB3306" s="95" t="s">
        <v>8541</v>
      </c>
      <c r="BC3306" s="96" t="s">
        <v>9726</v>
      </c>
      <c r="BD3306" s="99">
        <f t="shared" si="109"/>
        <v>1.5</v>
      </c>
      <c r="BJ3306" s="95" t="s">
        <v>9741</v>
      </c>
      <c r="BK3306" s="95" t="s">
        <v>8541</v>
      </c>
      <c r="BP3306" s="69" t="s">
        <v>8541</v>
      </c>
      <c r="BQ3306" s="95" t="s">
        <v>8541</v>
      </c>
      <c r="BR3306" s="95" t="s">
        <v>8541</v>
      </c>
      <c r="BT3306" s="95" t="s">
        <v>9772</v>
      </c>
      <c r="CC3306" s="99">
        <v>0.5</v>
      </c>
      <c r="CD3306" s="90" t="s">
        <v>10098</v>
      </c>
      <c r="CI3306" s="95" t="s">
        <v>8541</v>
      </c>
      <c r="CL3306" s="95" t="s">
        <v>8541</v>
      </c>
      <c r="CV3306" s="99">
        <v>1</v>
      </c>
      <c r="CW3306" s="90" t="s">
        <v>10097</v>
      </c>
    </row>
    <row r="3307" spans="1:101" x14ac:dyDescent="0.15">
      <c r="A3307" s="76">
        <v>3067</v>
      </c>
      <c r="B3307" s="74" t="s">
        <v>3760</v>
      </c>
      <c r="C3307" s="74">
        <v>993861180</v>
      </c>
      <c r="D3307" s="78" t="str">
        <f t="shared" si="110"/>
        <v>https://portal.dnb.de/opac.htm?method=simpleSearch&amp;cqlMode=true&amp;query=idn%3D993861180</v>
      </c>
      <c r="E3307" s="74" t="s">
        <v>3761</v>
      </c>
      <c r="F3307" s="74"/>
      <c r="G3307" s="76"/>
      <c r="H3307" s="77"/>
      <c r="I3307" s="76"/>
      <c r="J3307" s="77"/>
      <c r="K3307" s="77"/>
      <c r="L3307" s="76"/>
      <c r="M3307" s="76"/>
      <c r="N3307" s="76"/>
      <c r="O3307" s="76"/>
      <c r="P3307" s="76"/>
      <c r="Q3307" s="76"/>
      <c r="R3307" s="76"/>
      <c r="S3307" s="76"/>
      <c r="BD3307" s="99">
        <f t="shared" si="109"/>
        <v>0</v>
      </c>
      <c r="CC3307" s="99"/>
      <c r="CV3307" s="99"/>
      <c r="CW3307" s="63"/>
    </row>
    <row r="3308" spans="1:101" x14ac:dyDescent="0.15">
      <c r="A3308" s="76">
        <v>3068</v>
      </c>
      <c r="B3308" s="74" t="s">
        <v>3762</v>
      </c>
      <c r="C3308" s="74">
        <v>993861148</v>
      </c>
      <c r="D3308" s="78" t="str">
        <f t="shared" si="110"/>
        <v>https://portal.dnb.de/opac.htm?method=simpleSearch&amp;cqlMode=true&amp;query=idn%3D993861148</v>
      </c>
      <c r="E3308" s="74" t="s">
        <v>3761</v>
      </c>
      <c r="F3308" s="74"/>
      <c r="G3308" s="76"/>
      <c r="H3308" s="77"/>
      <c r="I3308" s="76"/>
      <c r="J3308" s="77"/>
      <c r="K3308" s="77"/>
      <c r="L3308" s="76"/>
      <c r="M3308" s="76"/>
      <c r="N3308" s="76"/>
      <c r="O3308" s="76"/>
      <c r="P3308" s="76"/>
      <c r="Q3308" s="76"/>
      <c r="R3308" s="76"/>
      <c r="S3308" s="76"/>
      <c r="BD3308" s="99">
        <f t="shared" si="109"/>
        <v>0</v>
      </c>
      <c r="CC3308" s="99"/>
      <c r="CV3308" s="99"/>
      <c r="CW3308" s="63"/>
    </row>
    <row r="3309" spans="1:101" x14ac:dyDescent="0.15">
      <c r="A3309" s="76">
        <v>3069</v>
      </c>
      <c r="B3309" s="74" t="s">
        <v>3763</v>
      </c>
      <c r="C3309" s="74">
        <v>1002396026</v>
      </c>
      <c r="D3309" s="78" t="str">
        <f t="shared" si="110"/>
        <v>https://portal.dnb.de/opac.htm?method=simpleSearch&amp;cqlMode=true&amp;query=idn%3D1002396026</v>
      </c>
      <c r="E3309" s="74" t="s">
        <v>3764</v>
      </c>
      <c r="F3309" s="74"/>
      <c r="G3309" s="76"/>
      <c r="H3309" s="77"/>
      <c r="I3309" s="76"/>
      <c r="J3309" s="77"/>
      <c r="K3309" s="77"/>
      <c r="L3309" s="76"/>
      <c r="M3309" s="76"/>
      <c r="N3309" s="76"/>
      <c r="O3309" s="76"/>
      <c r="P3309" s="76"/>
      <c r="Q3309" s="76"/>
      <c r="R3309" s="76"/>
      <c r="S3309" s="76"/>
      <c r="BD3309" s="99">
        <f t="shared" si="109"/>
        <v>0</v>
      </c>
      <c r="CC3309" s="99"/>
      <c r="CV3309" s="99"/>
      <c r="CW3309" s="63"/>
    </row>
    <row r="3310" spans="1:101" x14ac:dyDescent="0.15">
      <c r="A3310" s="76">
        <v>3070</v>
      </c>
      <c r="B3310" s="74" t="s">
        <v>3765</v>
      </c>
      <c r="C3310" s="74">
        <v>994404808</v>
      </c>
      <c r="D3310" s="78" t="str">
        <f t="shared" si="110"/>
        <v>https://portal.dnb.de/opac.htm?method=simpleSearch&amp;cqlMode=true&amp;query=idn%3D994404808</v>
      </c>
      <c r="E3310" s="74" t="s">
        <v>3766</v>
      </c>
      <c r="F3310" s="74"/>
      <c r="G3310" s="76"/>
      <c r="H3310" s="77"/>
      <c r="I3310" s="76"/>
      <c r="J3310" s="77"/>
      <c r="K3310" s="77"/>
      <c r="L3310" s="76"/>
      <c r="M3310" s="76"/>
      <c r="N3310" s="76"/>
      <c r="O3310" s="76"/>
      <c r="P3310" s="76"/>
      <c r="Q3310" s="76"/>
      <c r="R3310" s="76"/>
      <c r="S3310" s="76"/>
      <c r="BD3310" s="99">
        <f t="shared" si="109"/>
        <v>0</v>
      </c>
      <c r="CC3310" s="99"/>
      <c r="CV3310" s="99"/>
      <c r="CW3310" s="63"/>
    </row>
    <row r="3311" spans="1:101" x14ac:dyDescent="0.15">
      <c r="A3311" s="76">
        <v>3071</v>
      </c>
      <c r="B3311" s="74" t="s">
        <v>3767</v>
      </c>
      <c r="C3311" s="74">
        <v>994481195</v>
      </c>
      <c r="D3311" s="78" t="str">
        <f t="shared" si="110"/>
        <v>https://portal.dnb.de/opac.htm?method=simpleSearch&amp;cqlMode=true&amp;query=idn%3D994481195</v>
      </c>
      <c r="E3311" s="74" t="s">
        <v>3768</v>
      </c>
      <c r="F3311" s="74"/>
      <c r="G3311" s="76"/>
      <c r="H3311" s="77"/>
      <c r="I3311" s="76"/>
      <c r="J3311" s="77"/>
      <c r="K3311" s="77"/>
      <c r="L3311" s="76"/>
      <c r="M3311" s="76"/>
      <c r="N3311" s="76"/>
      <c r="O3311" s="76"/>
      <c r="P3311" s="76"/>
      <c r="Q3311" s="76"/>
      <c r="R3311" s="76"/>
      <c r="S3311" s="76"/>
      <c r="BD3311" s="99">
        <f t="shared" si="109"/>
        <v>0</v>
      </c>
      <c r="CC3311" s="99"/>
      <c r="CV3311" s="99"/>
      <c r="CW3311" s="63"/>
    </row>
    <row r="3312" spans="1:101" x14ac:dyDescent="0.15">
      <c r="A3312" s="76">
        <v>3072</v>
      </c>
      <c r="B3312" s="74" t="s">
        <v>3769</v>
      </c>
      <c r="C3312" s="74">
        <v>994754434</v>
      </c>
      <c r="D3312" s="78" t="str">
        <f t="shared" si="110"/>
        <v>https://portal.dnb.de/opac.htm?method=simpleSearch&amp;cqlMode=true&amp;query=idn%3D994754434</v>
      </c>
      <c r="E3312" s="74" t="s">
        <v>3770</v>
      </c>
      <c r="F3312" s="74"/>
      <c r="G3312" s="76"/>
      <c r="H3312" s="77"/>
      <c r="I3312" s="76"/>
      <c r="J3312" s="77"/>
      <c r="K3312" s="77"/>
      <c r="L3312" s="76"/>
      <c r="M3312" s="76"/>
      <c r="N3312" s="76"/>
      <c r="O3312" s="76"/>
      <c r="P3312" s="76"/>
      <c r="Q3312" s="76"/>
      <c r="R3312" s="76"/>
      <c r="S3312" s="76"/>
      <c r="BD3312" s="99">
        <f t="shared" si="109"/>
        <v>0</v>
      </c>
      <c r="CC3312" s="99"/>
      <c r="CV3312" s="99"/>
      <c r="CW3312" s="63"/>
    </row>
    <row r="3313" spans="1:101" x14ac:dyDescent="0.15">
      <c r="A3313" s="76">
        <v>3073</v>
      </c>
      <c r="B3313" s="74" t="s">
        <v>3771</v>
      </c>
      <c r="C3313" s="74">
        <v>1003629040</v>
      </c>
      <c r="D3313" s="78" t="str">
        <f t="shared" si="110"/>
        <v>https://portal.dnb.de/opac.htm?method=simpleSearch&amp;cqlMode=true&amp;query=idn%3D1003629040</v>
      </c>
      <c r="E3313" s="74" t="s">
        <v>3772</v>
      </c>
      <c r="F3313" s="74"/>
      <c r="G3313" s="76"/>
      <c r="H3313" s="77"/>
      <c r="I3313" s="76"/>
      <c r="J3313" s="77"/>
      <c r="K3313" s="77"/>
      <c r="L3313" s="76"/>
      <c r="M3313" s="76"/>
      <c r="N3313" s="76"/>
      <c r="O3313" s="76"/>
      <c r="P3313" s="76"/>
      <c r="Q3313" s="76"/>
      <c r="R3313" s="76"/>
      <c r="S3313" s="76"/>
      <c r="BD3313" s="99">
        <f t="shared" si="109"/>
        <v>0</v>
      </c>
      <c r="CC3313" s="99"/>
      <c r="CV3313" s="99"/>
      <c r="CW3313" s="63"/>
    </row>
    <row r="3314" spans="1:101" x14ac:dyDescent="0.15">
      <c r="A3314" s="76">
        <v>3074</v>
      </c>
      <c r="B3314" s="74" t="s">
        <v>3773</v>
      </c>
      <c r="C3314" s="74">
        <v>1003628958</v>
      </c>
      <c r="D3314" s="78" t="str">
        <f t="shared" si="110"/>
        <v>https://portal.dnb.de/opac.htm?method=simpleSearch&amp;cqlMode=true&amp;query=idn%3D1003628958</v>
      </c>
      <c r="E3314" s="74" t="s">
        <v>3772</v>
      </c>
      <c r="F3314" s="74"/>
      <c r="G3314" s="76"/>
      <c r="H3314" s="77"/>
      <c r="I3314" s="76"/>
      <c r="J3314" s="77"/>
      <c r="K3314" s="77"/>
      <c r="L3314" s="76"/>
      <c r="M3314" s="76"/>
      <c r="N3314" s="76"/>
      <c r="O3314" s="76"/>
      <c r="P3314" s="76"/>
      <c r="Q3314" s="76"/>
      <c r="R3314" s="76"/>
      <c r="S3314" s="76"/>
      <c r="BD3314" s="99">
        <f t="shared" si="109"/>
        <v>0</v>
      </c>
      <c r="CC3314" s="99"/>
      <c r="CV3314" s="99"/>
      <c r="CW3314" s="63"/>
    </row>
    <row r="3315" spans="1:101" x14ac:dyDescent="0.15">
      <c r="A3315" s="76">
        <v>3075</v>
      </c>
      <c r="B3315" s="74" t="s">
        <v>3774</v>
      </c>
      <c r="C3315" s="74">
        <v>1003629253</v>
      </c>
      <c r="D3315" s="78" t="str">
        <f t="shared" si="110"/>
        <v>https://portal.dnb.de/opac.htm?method=simpleSearch&amp;cqlMode=true&amp;query=idn%3D1003629253</v>
      </c>
      <c r="E3315" s="74" t="s">
        <v>3772</v>
      </c>
      <c r="F3315" s="74"/>
      <c r="G3315" s="76"/>
      <c r="H3315" s="77"/>
      <c r="I3315" s="76"/>
      <c r="J3315" s="77"/>
      <c r="K3315" s="77"/>
      <c r="L3315" s="76"/>
      <c r="M3315" s="76"/>
      <c r="N3315" s="76"/>
      <c r="O3315" s="76"/>
      <c r="P3315" s="76"/>
      <c r="Q3315" s="76"/>
      <c r="R3315" s="76"/>
      <c r="S3315" s="76"/>
      <c r="BD3315" s="99">
        <f t="shared" si="109"/>
        <v>0</v>
      </c>
      <c r="CC3315" s="99"/>
      <c r="CV3315" s="99"/>
      <c r="CW3315" s="63"/>
    </row>
    <row r="3316" spans="1:101" x14ac:dyDescent="0.15">
      <c r="A3316" s="76">
        <v>3076</v>
      </c>
      <c r="B3316" s="74" t="s">
        <v>3775</v>
      </c>
      <c r="C3316" s="74">
        <v>1000186474</v>
      </c>
      <c r="D3316" s="78" t="str">
        <f t="shared" si="110"/>
        <v>https://portal.dnb.de/opac.htm?method=simpleSearch&amp;cqlMode=true&amp;query=idn%3D1000186474</v>
      </c>
      <c r="E3316" s="74" t="s">
        <v>3776</v>
      </c>
      <c r="F3316" s="74"/>
      <c r="G3316" s="76"/>
      <c r="H3316" s="77"/>
      <c r="I3316" s="76"/>
      <c r="J3316" s="77"/>
      <c r="K3316" s="77"/>
      <c r="L3316" s="76"/>
      <c r="M3316" s="76"/>
      <c r="N3316" s="76"/>
      <c r="O3316" s="76"/>
      <c r="P3316" s="76"/>
      <c r="Q3316" s="76"/>
      <c r="R3316" s="76"/>
      <c r="S3316" s="76"/>
      <c r="BD3316" s="99">
        <f t="shared" si="109"/>
        <v>0</v>
      </c>
      <c r="CC3316" s="99"/>
      <c r="CV3316" s="99"/>
      <c r="CW3316" s="63"/>
    </row>
    <row r="3317" spans="1:101" x14ac:dyDescent="0.15">
      <c r="A3317" s="76">
        <v>3077</v>
      </c>
      <c r="B3317" s="74" t="s">
        <v>3785</v>
      </c>
      <c r="C3317" s="74">
        <v>998388262</v>
      </c>
      <c r="D3317" s="78" t="str">
        <f t="shared" si="110"/>
        <v>https://portal.dnb.de/opac.htm?method=simpleSearch&amp;cqlMode=true&amp;query=idn%3D998388262</v>
      </c>
      <c r="E3317" s="74" t="s">
        <v>3786</v>
      </c>
      <c r="F3317" s="74"/>
      <c r="G3317" s="76"/>
      <c r="H3317" s="77"/>
      <c r="I3317" s="76"/>
      <c r="J3317" s="77"/>
      <c r="K3317" s="77"/>
      <c r="L3317" s="76"/>
      <c r="M3317" s="76"/>
      <c r="N3317" s="76"/>
      <c r="O3317" s="76"/>
      <c r="P3317" s="76"/>
      <c r="Q3317" s="76"/>
      <c r="R3317" s="76"/>
      <c r="S3317" s="76"/>
      <c r="BD3317" s="99">
        <f t="shared" si="109"/>
        <v>0</v>
      </c>
      <c r="CC3317" s="99"/>
      <c r="CV3317" s="99"/>
      <c r="CW3317" s="63"/>
    </row>
    <row r="3318" spans="1:101" x14ac:dyDescent="0.15">
      <c r="A3318" s="76">
        <v>3078</v>
      </c>
      <c r="B3318" s="74" t="s">
        <v>3787</v>
      </c>
      <c r="C3318" s="74">
        <v>998388319</v>
      </c>
      <c r="D3318" s="78" t="str">
        <f t="shared" si="110"/>
        <v>https://portal.dnb.de/opac.htm?method=simpleSearch&amp;cqlMode=true&amp;query=idn%3D998388319</v>
      </c>
      <c r="E3318" s="74" t="s">
        <v>3786</v>
      </c>
      <c r="F3318" s="74"/>
      <c r="G3318" s="76"/>
      <c r="H3318" s="77"/>
      <c r="I3318" s="76"/>
      <c r="J3318" s="77"/>
      <c r="K3318" s="77"/>
      <c r="L3318" s="76"/>
      <c r="M3318" s="76"/>
      <c r="N3318" s="76"/>
      <c r="O3318" s="76"/>
      <c r="P3318" s="76"/>
      <c r="Q3318" s="76"/>
      <c r="R3318" s="76"/>
      <c r="S3318" s="76"/>
      <c r="BD3318" s="99">
        <f t="shared" si="109"/>
        <v>0</v>
      </c>
      <c r="CC3318" s="99"/>
      <c r="CV3318" s="99"/>
      <c r="CW3318" s="63"/>
    </row>
    <row r="3319" spans="1:101" x14ac:dyDescent="0.15">
      <c r="A3319" s="76">
        <v>3079</v>
      </c>
      <c r="B3319" s="74" t="s">
        <v>3788</v>
      </c>
      <c r="C3319" s="74">
        <v>995339813</v>
      </c>
      <c r="D3319" s="78" t="str">
        <f t="shared" si="110"/>
        <v>https://portal.dnb.de/opac.htm?method=simpleSearch&amp;cqlMode=true&amp;query=idn%3D995339813</v>
      </c>
      <c r="E3319" s="74" t="s">
        <v>3789</v>
      </c>
      <c r="F3319" s="74"/>
      <c r="G3319" s="76"/>
      <c r="H3319" s="77"/>
      <c r="I3319" s="76"/>
      <c r="J3319" s="77"/>
      <c r="K3319" s="77"/>
      <c r="L3319" s="76"/>
      <c r="M3319" s="76"/>
      <c r="N3319" s="76"/>
      <c r="O3319" s="76"/>
      <c r="P3319" s="76"/>
      <c r="Q3319" s="76"/>
      <c r="R3319" s="76"/>
      <c r="S3319" s="76"/>
      <c r="BD3319" s="99">
        <f t="shared" si="109"/>
        <v>0</v>
      </c>
      <c r="CC3319" s="99"/>
      <c r="CV3319" s="99"/>
      <c r="CW3319" s="63"/>
    </row>
    <row r="3320" spans="1:101" x14ac:dyDescent="0.15">
      <c r="A3320" s="76">
        <v>3080</v>
      </c>
      <c r="B3320" s="74" t="s">
        <v>3790</v>
      </c>
      <c r="C3320" s="74">
        <v>996699635</v>
      </c>
      <c r="D3320" s="78" t="str">
        <f t="shared" si="110"/>
        <v>https://portal.dnb.de/opac.htm?method=simpleSearch&amp;cqlMode=true&amp;query=idn%3D996699635</v>
      </c>
      <c r="E3320" s="74" t="s">
        <v>3789</v>
      </c>
      <c r="F3320" s="74"/>
      <c r="G3320" s="76"/>
      <c r="H3320" s="77"/>
      <c r="I3320" s="76"/>
      <c r="J3320" s="77"/>
      <c r="K3320" s="77"/>
      <c r="L3320" s="76"/>
      <c r="M3320" s="76"/>
      <c r="N3320" s="76"/>
      <c r="O3320" s="76"/>
      <c r="P3320" s="76"/>
      <c r="Q3320" s="76"/>
      <c r="R3320" s="76"/>
      <c r="S3320" s="76"/>
      <c r="BD3320" s="99">
        <f t="shared" si="109"/>
        <v>0</v>
      </c>
      <c r="CC3320" s="99"/>
      <c r="CV3320" s="99"/>
      <c r="CW3320" s="63"/>
    </row>
    <row r="3321" spans="1:101" ht="33.75" x14ac:dyDescent="0.15">
      <c r="A3321" s="76">
        <v>3081</v>
      </c>
      <c r="B3321" s="74" t="s">
        <v>3791</v>
      </c>
      <c r="C3321" s="74">
        <v>994538715</v>
      </c>
      <c r="D3321" s="78" t="str">
        <f t="shared" si="110"/>
        <v>https://portal.dnb.de/opac.htm?method=simpleSearch&amp;cqlMode=true&amp;query=idn%3D994538715</v>
      </c>
      <c r="E3321" s="74" t="s">
        <v>10443</v>
      </c>
      <c r="F3321" s="74"/>
      <c r="G3321" s="76"/>
      <c r="H3321" s="77"/>
      <c r="I3321" s="76" t="s">
        <v>56</v>
      </c>
      <c r="J3321" s="77"/>
      <c r="K3321" s="77"/>
      <c r="L3321" s="76"/>
      <c r="M3321" s="76"/>
      <c r="N3321" s="76"/>
      <c r="O3321" s="76"/>
      <c r="P3321" s="76"/>
      <c r="Q3321" s="76"/>
      <c r="R3321" s="76"/>
      <c r="S3321" s="76"/>
      <c r="Y3321" s="95" t="s">
        <v>9731</v>
      </c>
      <c r="AC3321" s="95" t="s">
        <v>9730</v>
      </c>
      <c r="AI3321" s="95" t="s">
        <v>9725</v>
      </c>
      <c r="AR3321" s="95" t="s">
        <v>8541</v>
      </c>
      <c r="AT3321" s="95" t="s">
        <v>8541</v>
      </c>
      <c r="AW3321" s="95" t="s">
        <v>9764</v>
      </c>
      <c r="BC3321" s="96" t="s">
        <v>9726</v>
      </c>
      <c r="BD3321" s="99">
        <f t="shared" si="109"/>
        <v>2.5</v>
      </c>
      <c r="BF3321" s="95" t="s">
        <v>10005</v>
      </c>
      <c r="BP3321" s="69" t="s">
        <v>8541</v>
      </c>
      <c r="BR3321" s="95" t="s">
        <v>8541</v>
      </c>
      <c r="BT3321" s="95" t="s">
        <v>9737</v>
      </c>
      <c r="CC3321" s="99">
        <v>2</v>
      </c>
      <c r="CD3321" s="90" t="s">
        <v>10446</v>
      </c>
      <c r="CQ3321" s="95" t="s">
        <v>8541</v>
      </c>
      <c r="CV3321" s="99">
        <v>0.5</v>
      </c>
      <c r="CW3321" s="63" t="s">
        <v>10447</v>
      </c>
    </row>
    <row r="3322" spans="1:101" ht="67.5" x14ac:dyDescent="0.15">
      <c r="A3322" s="76">
        <v>3082</v>
      </c>
      <c r="B3322" s="74" t="s">
        <v>3792</v>
      </c>
      <c r="C3322" s="74">
        <v>994538707</v>
      </c>
      <c r="D3322" s="78" t="str">
        <f t="shared" si="110"/>
        <v>https://portal.dnb.de/opac.htm?method=simpleSearch&amp;cqlMode=true&amp;query=idn%3D994538707</v>
      </c>
      <c r="E3322" s="74" t="s">
        <v>10442</v>
      </c>
      <c r="F3322" s="74"/>
      <c r="G3322" s="76"/>
      <c r="H3322" s="77"/>
      <c r="I3322" s="76" t="s">
        <v>56</v>
      </c>
      <c r="J3322" s="77"/>
      <c r="K3322" s="77"/>
      <c r="L3322" s="76"/>
      <c r="M3322" s="76"/>
      <c r="N3322" s="76"/>
      <c r="O3322" s="76"/>
      <c r="P3322" s="76"/>
      <c r="Q3322" s="76"/>
      <c r="R3322" s="76"/>
      <c r="S3322" s="76"/>
      <c r="Y3322" s="95" t="s">
        <v>9731</v>
      </c>
      <c r="AC3322" s="95" t="s">
        <v>9730</v>
      </c>
      <c r="AI3322" s="95" t="s">
        <v>9725</v>
      </c>
      <c r="AR3322" s="95" t="s">
        <v>8541</v>
      </c>
      <c r="AT3322" s="95" t="s">
        <v>8541</v>
      </c>
      <c r="AW3322" s="95" t="s">
        <v>9764</v>
      </c>
      <c r="BC3322" s="96" t="s">
        <v>9726</v>
      </c>
      <c r="BD3322" s="99">
        <f t="shared" si="109"/>
        <v>6</v>
      </c>
      <c r="BF3322" s="95" t="s">
        <v>10005</v>
      </c>
      <c r="BP3322" s="69" t="s">
        <v>8541</v>
      </c>
      <c r="BR3322" s="95" t="s">
        <v>8541</v>
      </c>
      <c r="BT3322" s="95" t="s">
        <v>9775</v>
      </c>
      <c r="BU3322" s="95">
        <v>2</v>
      </c>
      <c r="CA3322" s="95" t="s">
        <v>9911</v>
      </c>
      <c r="CC3322" s="99">
        <v>4</v>
      </c>
      <c r="CD3322" s="90" t="s">
        <v>10444</v>
      </c>
      <c r="CL3322" s="95" t="s">
        <v>8541</v>
      </c>
      <c r="CN3322" s="95" t="s">
        <v>8541</v>
      </c>
      <c r="CQ3322" s="95" t="s">
        <v>8541</v>
      </c>
      <c r="CV3322" s="99">
        <v>2</v>
      </c>
      <c r="CW3322" s="90" t="s">
        <v>10445</v>
      </c>
    </row>
    <row r="3323" spans="1:101" x14ac:dyDescent="0.15">
      <c r="A3323" s="76">
        <v>3083</v>
      </c>
      <c r="B3323" s="74" t="s">
        <v>3793</v>
      </c>
      <c r="C3323" s="74">
        <v>1000192075</v>
      </c>
      <c r="D3323" s="78" t="str">
        <f t="shared" si="110"/>
        <v>https://portal.dnb.de/opac.htm?method=simpleSearch&amp;cqlMode=true&amp;query=idn%3D1000192075</v>
      </c>
      <c r="E3323" s="74" t="s">
        <v>3794</v>
      </c>
      <c r="F3323" s="74"/>
      <c r="G3323" s="76"/>
      <c r="H3323" s="77"/>
      <c r="I3323" s="76"/>
      <c r="J3323" s="77"/>
      <c r="K3323" s="77"/>
      <c r="L3323" s="76"/>
      <c r="M3323" s="76"/>
      <c r="N3323" s="76"/>
      <c r="O3323" s="76"/>
      <c r="P3323" s="76"/>
      <c r="Q3323" s="76"/>
      <c r="R3323" s="76"/>
      <c r="S3323" s="76"/>
      <c r="BD3323" s="99">
        <f t="shared" si="109"/>
        <v>0</v>
      </c>
      <c r="CC3323" s="99"/>
      <c r="CV3323" s="99"/>
      <c r="CW3323" s="63"/>
    </row>
    <row r="3324" spans="1:101" x14ac:dyDescent="0.15">
      <c r="A3324" s="76">
        <v>3084</v>
      </c>
      <c r="B3324" s="74" t="s">
        <v>3795</v>
      </c>
      <c r="C3324" s="74">
        <v>994291477</v>
      </c>
      <c r="D3324" s="78" t="str">
        <f t="shared" si="110"/>
        <v>https://portal.dnb.de/opac.htm?method=simpleSearch&amp;cqlMode=true&amp;query=idn%3D994291477</v>
      </c>
      <c r="E3324" s="74" t="s">
        <v>3794</v>
      </c>
      <c r="F3324" s="74"/>
      <c r="G3324" s="76"/>
      <c r="H3324" s="77"/>
      <c r="I3324" s="76"/>
      <c r="J3324" s="77"/>
      <c r="K3324" s="77"/>
      <c r="L3324" s="76"/>
      <c r="M3324" s="76"/>
      <c r="N3324" s="76"/>
      <c r="O3324" s="76"/>
      <c r="P3324" s="76"/>
      <c r="Q3324" s="76"/>
      <c r="R3324" s="76"/>
      <c r="S3324" s="76"/>
      <c r="BD3324" s="99">
        <f t="shared" si="109"/>
        <v>0</v>
      </c>
      <c r="CC3324" s="99"/>
      <c r="CV3324" s="99"/>
      <c r="CW3324" s="63"/>
    </row>
    <row r="3325" spans="1:101" x14ac:dyDescent="0.15">
      <c r="A3325" s="76">
        <v>3085</v>
      </c>
      <c r="B3325" s="74" t="s">
        <v>3796</v>
      </c>
      <c r="C3325" s="74">
        <v>998856428</v>
      </c>
      <c r="D3325" s="78" t="str">
        <f t="shared" si="110"/>
        <v>https://portal.dnb.de/opac.htm?method=simpleSearch&amp;cqlMode=true&amp;query=idn%3D998856428</v>
      </c>
      <c r="E3325" s="74" t="s">
        <v>3797</v>
      </c>
      <c r="F3325" s="74"/>
      <c r="G3325" s="76"/>
      <c r="H3325" s="77"/>
      <c r="I3325" s="76"/>
      <c r="J3325" s="77"/>
      <c r="K3325" s="77"/>
      <c r="L3325" s="76"/>
      <c r="M3325" s="76"/>
      <c r="N3325" s="76"/>
      <c r="O3325" s="76"/>
      <c r="P3325" s="76"/>
      <c r="Q3325" s="76"/>
      <c r="R3325" s="76"/>
      <c r="S3325" s="76"/>
      <c r="BD3325" s="99">
        <f t="shared" si="109"/>
        <v>0</v>
      </c>
      <c r="CC3325" s="99"/>
      <c r="CV3325" s="99"/>
      <c r="CW3325" s="63"/>
    </row>
    <row r="3326" spans="1:101" x14ac:dyDescent="0.15">
      <c r="A3326" s="76">
        <v>3086</v>
      </c>
      <c r="B3326" s="74" t="s">
        <v>3798</v>
      </c>
      <c r="C3326" s="74">
        <v>998856401</v>
      </c>
      <c r="D3326" s="78" t="str">
        <f t="shared" si="110"/>
        <v>https://portal.dnb.de/opac.htm?method=simpleSearch&amp;cqlMode=true&amp;query=idn%3D998856401</v>
      </c>
      <c r="E3326" s="74" t="s">
        <v>3797</v>
      </c>
      <c r="F3326" s="74"/>
      <c r="G3326" s="76"/>
      <c r="H3326" s="77"/>
      <c r="I3326" s="76"/>
      <c r="J3326" s="77"/>
      <c r="K3326" s="77"/>
      <c r="L3326" s="76"/>
      <c r="M3326" s="76"/>
      <c r="N3326" s="76"/>
      <c r="O3326" s="76"/>
      <c r="P3326" s="76"/>
      <c r="Q3326" s="76"/>
      <c r="R3326" s="76"/>
      <c r="S3326" s="76"/>
      <c r="BD3326" s="99">
        <f t="shared" si="109"/>
        <v>0</v>
      </c>
      <c r="CC3326" s="99"/>
      <c r="CV3326" s="99"/>
      <c r="CW3326" s="63"/>
    </row>
    <row r="3327" spans="1:101" x14ac:dyDescent="0.15">
      <c r="A3327" s="76">
        <v>3087</v>
      </c>
      <c r="B3327" s="74" t="s">
        <v>3799</v>
      </c>
      <c r="C3327" s="74">
        <v>999395653</v>
      </c>
      <c r="D3327" s="78" t="str">
        <f t="shared" si="110"/>
        <v>https://portal.dnb.de/opac.htm?method=simpleSearch&amp;cqlMode=true&amp;query=idn%3D999395653</v>
      </c>
      <c r="E3327" s="74" t="s">
        <v>3800</v>
      </c>
      <c r="F3327" s="74"/>
      <c r="G3327" s="76"/>
      <c r="H3327" s="77"/>
      <c r="I3327" s="76"/>
      <c r="J3327" s="77"/>
      <c r="K3327" s="77"/>
      <c r="L3327" s="76"/>
      <c r="M3327" s="76"/>
      <c r="N3327" s="76"/>
      <c r="O3327" s="76"/>
      <c r="P3327" s="76"/>
      <c r="Q3327" s="76"/>
      <c r="R3327" s="76"/>
      <c r="S3327" s="76"/>
      <c r="BD3327" s="99">
        <f t="shared" si="109"/>
        <v>0</v>
      </c>
      <c r="CC3327" s="99"/>
      <c r="CV3327" s="99"/>
      <c r="CW3327" s="63"/>
    </row>
    <row r="3328" spans="1:101" x14ac:dyDescent="0.15">
      <c r="A3328" s="76">
        <v>3088</v>
      </c>
      <c r="B3328" s="74" t="s">
        <v>3801</v>
      </c>
      <c r="C3328" s="74">
        <v>994692846</v>
      </c>
      <c r="D3328" s="78" t="str">
        <f t="shared" si="110"/>
        <v>https://portal.dnb.de/opac.htm?method=simpleSearch&amp;cqlMode=true&amp;query=idn%3D994692846</v>
      </c>
      <c r="E3328" s="74" t="s">
        <v>3802</v>
      </c>
      <c r="F3328" s="74"/>
      <c r="G3328" s="76"/>
      <c r="H3328" s="77"/>
      <c r="I3328" s="76"/>
      <c r="J3328" s="77"/>
      <c r="K3328" s="77"/>
      <c r="L3328" s="76"/>
      <c r="M3328" s="76"/>
      <c r="N3328" s="76"/>
      <c r="O3328" s="76"/>
      <c r="P3328" s="76"/>
      <c r="Q3328" s="76"/>
      <c r="R3328" s="76"/>
      <c r="S3328" s="76"/>
      <c r="BD3328" s="99">
        <f t="shared" si="109"/>
        <v>0</v>
      </c>
      <c r="CC3328" s="99"/>
      <c r="CV3328" s="99"/>
      <c r="CW3328" s="63"/>
    </row>
    <row r="3329" spans="1:101" x14ac:dyDescent="0.15">
      <c r="A3329" s="76">
        <v>3089</v>
      </c>
      <c r="B3329" s="74" t="s">
        <v>3803</v>
      </c>
      <c r="C3329" s="74" t="s">
        <v>3804</v>
      </c>
      <c r="D3329" s="78" t="str">
        <f t="shared" si="110"/>
        <v>https://portal.dnb.de/opac.htm?method=simpleSearch&amp;cqlMode=true&amp;query=idn%3D99592600X</v>
      </c>
      <c r="E3329" s="74" t="s">
        <v>3805</v>
      </c>
      <c r="F3329" s="74"/>
      <c r="G3329" s="76"/>
      <c r="H3329" s="77"/>
      <c r="I3329" s="76"/>
      <c r="J3329" s="77"/>
      <c r="K3329" s="77"/>
      <c r="L3329" s="76"/>
      <c r="M3329" s="76"/>
      <c r="N3329" s="76"/>
      <c r="O3329" s="76"/>
      <c r="P3329" s="76"/>
      <c r="Q3329" s="76"/>
      <c r="R3329" s="76"/>
      <c r="S3329" s="76"/>
      <c r="BD3329" s="99">
        <f t="shared" si="109"/>
        <v>0</v>
      </c>
      <c r="CC3329" s="99"/>
      <c r="CV3329" s="99"/>
      <c r="CW3329" s="63"/>
    </row>
    <row r="3330" spans="1:101" x14ac:dyDescent="0.15">
      <c r="A3330" s="76">
        <v>3090</v>
      </c>
      <c r="B3330" s="74" t="s">
        <v>3806</v>
      </c>
      <c r="C3330" s="74">
        <v>995118221</v>
      </c>
      <c r="D3330" s="78" t="str">
        <f t="shared" si="110"/>
        <v>https://portal.dnb.de/opac.htm?method=simpleSearch&amp;cqlMode=true&amp;query=idn%3D995118221</v>
      </c>
      <c r="E3330" s="74" t="s">
        <v>3807</v>
      </c>
      <c r="F3330" s="74"/>
      <c r="G3330" s="76"/>
      <c r="H3330" s="77"/>
      <c r="I3330" s="76"/>
      <c r="J3330" s="77"/>
      <c r="K3330" s="77"/>
      <c r="L3330" s="76"/>
      <c r="M3330" s="76"/>
      <c r="N3330" s="76"/>
      <c r="O3330" s="76"/>
      <c r="P3330" s="76"/>
      <c r="Q3330" s="76"/>
      <c r="R3330" s="76"/>
      <c r="S3330" s="76"/>
      <c r="BD3330" s="99">
        <f t="shared" si="109"/>
        <v>0</v>
      </c>
      <c r="CC3330" s="99"/>
      <c r="CV3330" s="99"/>
      <c r="CW3330" s="63"/>
    </row>
    <row r="3331" spans="1:101" x14ac:dyDescent="0.15">
      <c r="A3331" s="76">
        <v>3091</v>
      </c>
      <c r="B3331" s="74" t="s">
        <v>3826</v>
      </c>
      <c r="C3331" s="74">
        <v>1001541243</v>
      </c>
      <c r="D3331" s="78" t="str">
        <f t="shared" si="110"/>
        <v>https://portal.dnb.de/opac.htm?method=simpleSearch&amp;cqlMode=true&amp;query=idn%3D1001541243</v>
      </c>
      <c r="E3331" s="74" t="s">
        <v>3827</v>
      </c>
      <c r="F3331" s="74"/>
      <c r="G3331" s="76"/>
      <c r="H3331" s="77"/>
      <c r="I3331" s="76"/>
      <c r="J3331" s="77"/>
      <c r="K3331" s="77"/>
      <c r="L3331" s="76"/>
      <c r="M3331" s="76"/>
      <c r="N3331" s="76"/>
      <c r="O3331" s="76"/>
      <c r="P3331" s="76"/>
      <c r="Q3331" s="76"/>
      <c r="R3331" s="76"/>
      <c r="S3331" s="76"/>
      <c r="BD3331" s="99">
        <f t="shared" ref="BD3331:BD3394" si="111">CC3331+CV3331</f>
        <v>0</v>
      </c>
      <c r="CC3331" s="99"/>
      <c r="CV3331" s="99"/>
      <c r="CW3331" s="63"/>
    </row>
    <row r="3332" spans="1:101" x14ac:dyDescent="0.15">
      <c r="A3332" s="76">
        <v>3092</v>
      </c>
      <c r="B3332" s="74" t="s">
        <v>3828</v>
      </c>
      <c r="C3332" s="74" t="s">
        <v>3829</v>
      </c>
      <c r="D3332" s="78" t="str">
        <f t="shared" si="110"/>
        <v>https://portal.dnb.de/opac.htm?method=simpleSearch&amp;cqlMode=true&amp;query=idn%3D100154109X</v>
      </c>
      <c r="E3332" s="74" t="s">
        <v>3827</v>
      </c>
      <c r="F3332" s="74"/>
      <c r="G3332" s="76"/>
      <c r="H3332" s="77"/>
      <c r="I3332" s="76"/>
      <c r="J3332" s="77"/>
      <c r="K3332" s="77"/>
      <c r="L3332" s="76"/>
      <c r="M3332" s="76"/>
      <c r="N3332" s="76"/>
      <c r="O3332" s="76"/>
      <c r="P3332" s="76"/>
      <c r="Q3332" s="76"/>
      <c r="R3332" s="76"/>
      <c r="S3332" s="76"/>
      <c r="BD3332" s="99">
        <f t="shared" si="111"/>
        <v>0</v>
      </c>
      <c r="CC3332" s="99"/>
      <c r="CV3332" s="99"/>
      <c r="CW3332" s="63"/>
    </row>
    <row r="3333" spans="1:101" x14ac:dyDescent="0.15">
      <c r="A3333" s="76">
        <v>3093</v>
      </c>
      <c r="B3333" s="74" t="s">
        <v>3830</v>
      </c>
      <c r="C3333" s="74">
        <v>998016829</v>
      </c>
      <c r="D3333" s="78" t="str">
        <f t="shared" si="110"/>
        <v>https://portal.dnb.de/opac.htm?method=simpleSearch&amp;cqlMode=true&amp;query=idn%3D998016829</v>
      </c>
      <c r="E3333" s="74" t="s">
        <v>3831</v>
      </c>
      <c r="F3333" s="74"/>
      <c r="G3333" s="76"/>
      <c r="H3333" s="77"/>
      <c r="I3333" s="76" t="s">
        <v>53</v>
      </c>
      <c r="J3333" s="77"/>
      <c r="K3333" s="77"/>
      <c r="L3333" s="76"/>
      <c r="M3333" s="76"/>
      <c r="N3333" s="76"/>
      <c r="O3333" s="76"/>
      <c r="P3333" s="76"/>
      <c r="Q3333" s="76"/>
      <c r="R3333" s="76"/>
      <c r="S3333" s="76"/>
      <c r="Y3333" s="95" t="s">
        <v>9725</v>
      </c>
      <c r="AC3333" s="95" t="s">
        <v>9739</v>
      </c>
      <c r="AI3333" s="95" t="s">
        <v>9725</v>
      </c>
      <c r="AW3333" s="95" t="s">
        <v>9733</v>
      </c>
      <c r="BC3333" s="96" t="s">
        <v>9734</v>
      </c>
      <c r="BD3333" s="99">
        <f t="shared" si="111"/>
        <v>0</v>
      </c>
      <c r="BL3333" s="70" t="s">
        <v>10015</v>
      </c>
      <c r="CC3333" s="99"/>
      <c r="CV3333" s="99"/>
      <c r="CW3333" s="63"/>
    </row>
    <row r="3334" spans="1:101" x14ac:dyDescent="0.15">
      <c r="A3334" s="76">
        <v>3094</v>
      </c>
      <c r="B3334" s="74" t="s">
        <v>3832</v>
      </c>
      <c r="C3334" s="74">
        <v>998386804</v>
      </c>
      <c r="D3334" s="78" t="str">
        <f t="shared" si="110"/>
        <v>https://portal.dnb.de/opac.htm?method=simpleSearch&amp;cqlMode=true&amp;query=idn%3D998386804</v>
      </c>
      <c r="E3334" s="74" t="s">
        <v>3833</v>
      </c>
      <c r="F3334" s="74"/>
      <c r="G3334" s="76"/>
      <c r="H3334" s="77"/>
      <c r="I3334" s="76"/>
      <c r="J3334" s="77"/>
      <c r="K3334" s="77"/>
      <c r="L3334" s="76"/>
      <c r="M3334" s="76"/>
      <c r="N3334" s="76"/>
      <c r="O3334" s="76"/>
      <c r="P3334" s="76"/>
      <c r="Q3334" s="76"/>
      <c r="R3334" s="76"/>
      <c r="S3334" s="76"/>
      <c r="BD3334" s="99">
        <f t="shared" si="111"/>
        <v>0</v>
      </c>
      <c r="CC3334" s="99"/>
      <c r="CV3334" s="99"/>
      <c r="CW3334" s="63"/>
    </row>
    <row r="3335" spans="1:101" x14ac:dyDescent="0.15">
      <c r="A3335" s="76">
        <v>3095</v>
      </c>
      <c r="B3335" s="74" t="s">
        <v>3834</v>
      </c>
      <c r="C3335" s="74">
        <v>997128666</v>
      </c>
      <c r="D3335" s="78" t="str">
        <f t="shared" si="110"/>
        <v>https://portal.dnb.de/opac.htm?method=simpleSearch&amp;cqlMode=true&amp;query=idn%3D997128666</v>
      </c>
      <c r="E3335" s="74" t="s">
        <v>3835</v>
      </c>
      <c r="F3335" s="74"/>
      <c r="G3335" s="76"/>
      <c r="H3335" s="77"/>
      <c r="I3335" s="76"/>
      <c r="J3335" s="77"/>
      <c r="K3335" s="77"/>
      <c r="L3335" s="76"/>
      <c r="M3335" s="76"/>
      <c r="N3335" s="76"/>
      <c r="O3335" s="76"/>
      <c r="P3335" s="76"/>
      <c r="Q3335" s="76"/>
      <c r="R3335" s="76"/>
      <c r="S3335" s="76"/>
      <c r="BD3335" s="99">
        <f t="shared" si="111"/>
        <v>0</v>
      </c>
      <c r="CC3335" s="99"/>
      <c r="CV3335" s="99"/>
      <c r="CW3335" s="63"/>
    </row>
    <row r="3336" spans="1:101" x14ac:dyDescent="0.15">
      <c r="A3336" s="76">
        <v>3096</v>
      </c>
      <c r="B3336" s="74" t="s">
        <v>3836</v>
      </c>
      <c r="C3336" s="74">
        <v>998947210</v>
      </c>
      <c r="D3336" s="78" t="str">
        <f t="shared" si="110"/>
        <v>https://portal.dnb.de/opac.htm?method=simpleSearch&amp;cqlMode=true&amp;query=idn%3D998947210</v>
      </c>
      <c r="E3336" s="74" t="s">
        <v>3835</v>
      </c>
      <c r="F3336" s="74"/>
      <c r="G3336" s="76"/>
      <c r="H3336" s="77"/>
      <c r="I3336" s="76"/>
      <c r="J3336" s="77"/>
      <c r="K3336" s="77"/>
      <c r="L3336" s="76"/>
      <c r="M3336" s="76"/>
      <c r="N3336" s="76"/>
      <c r="O3336" s="76"/>
      <c r="P3336" s="76"/>
      <c r="Q3336" s="76"/>
      <c r="R3336" s="76"/>
      <c r="S3336" s="76"/>
      <c r="BD3336" s="99">
        <f t="shared" si="111"/>
        <v>0</v>
      </c>
      <c r="CC3336" s="99"/>
      <c r="CV3336" s="99"/>
      <c r="CW3336" s="63"/>
    </row>
    <row r="3337" spans="1:101" x14ac:dyDescent="0.15">
      <c r="A3337" s="76">
        <v>3097</v>
      </c>
      <c r="B3337" s="74" t="s">
        <v>3837</v>
      </c>
      <c r="C3337" s="74">
        <v>990027813</v>
      </c>
      <c r="D3337" s="78" t="str">
        <f t="shared" si="110"/>
        <v>https://portal.dnb.de/opac.htm?method=simpleSearch&amp;cqlMode=true&amp;query=idn%3D990027813</v>
      </c>
      <c r="E3337" s="74" t="s">
        <v>3838</v>
      </c>
      <c r="F3337" s="74"/>
      <c r="G3337" s="76"/>
      <c r="H3337" s="77"/>
      <c r="I3337" s="76"/>
      <c r="J3337" s="77"/>
      <c r="K3337" s="77"/>
      <c r="L3337" s="76"/>
      <c r="M3337" s="76"/>
      <c r="N3337" s="76"/>
      <c r="O3337" s="76"/>
      <c r="P3337" s="76"/>
      <c r="Q3337" s="76"/>
      <c r="R3337" s="76"/>
      <c r="S3337" s="76"/>
      <c r="BD3337" s="99">
        <f t="shared" si="111"/>
        <v>0</v>
      </c>
      <c r="CC3337" s="99"/>
      <c r="CV3337" s="99"/>
      <c r="CW3337" s="63"/>
    </row>
    <row r="3338" spans="1:101" x14ac:dyDescent="0.15">
      <c r="A3338" s="76">
        <v>3098</v>
      </c>
      <c r="B3338" s="74" t="s">
        <v>3843</v>
      </c>
      <c r="C3338" s="74">
        <v>1165610833</v>
      </c>
      <c r="D3338" s="78" t="str">
        <f t="shared" si="110"/>
        <v>https://portal.dnb.de/opac.htm?method=simpleSearch&amp;cqlMode=true&amp;query=idn%3D1165610833</v>
      </c>
      <c r="E3338" s="74" t="s">
        <v>3844</v>
      </c>
      <c r="F3338" s="74"/>
      <c r="G3338" s="76"/>
      <c r="H3338" s="77"/>
      <c r="I3338" s="76"/>
      <c r="J3338" s="77"/>
      <c r="K3338" s="77"/>
      <c r="L3338" s="76"/>
      <c r="M3338" s="76"/>
      <c r="N3338" s="76"/>
      <c r="O3338" s="76"/>
      <c r="P3338" s="76"/>
      <c r="Q3338" s="76"/>
      <c r="R3338" s="76"/>
      <c r="S3338" s="76"/>
      <c r="BD3338" s="99">
        <f t="shared" si="111"/>
        <v>0</v>
      </c>
      <c r="CC3338" s="99"/>
      <c r="CV3338" s="99"/>
      <c r="CW3338" s="63"/>
    </row>
    <row r="3339" spans="1:101" x14ac:dyDescent="0.15">
      <c r="A3339" s="76">
        <v>3099</v>
      </c>
      <c r="B3339" s="74" t="s">
        <v>3849</v>
      </c>
      <c r="C3339" s="74" t="s">
        <v>3850</v>
      </c>
      <c r="D3339" s="78" t="str">
        <f t="shared" ref="D3339:D3402" si="112">HYPERLINK(CONCATENATE("https://portal.dnb.de/opac.htm?method=simpleSearch&amp;cqlMode=true&amp;query=idn%3D",C3339))</f>
        <v>https://portal.dnb.de/opac.htm?method=simpleSearch&amp;cqlMode=true&amp;query=idn%3D117921790X</v>
      </c>
      <c r="E3339" s="74" t="s">
        <v>3851</v>
      </c>
      <c r="F3339" s="74"/>
      <c r="G3339" s="76"/>
      <c r="H3339" s="77"/>
      <c r="I3339" s="76"/>
      <c r="J3339" s="77"/>
      <c r="K3339" s="77"/>
      <c r="L3339" s="76"/>
      <c r="M3339" s="76"/>
      <c r="N3339" s="76"/>
      <c r="O3339" s="76"/>
      <c r="P3339" s="76"/>
      <c r="Q3339" s="76"/>
      <c r="R3339" s="76"/>
      <c r="S3339" s="76"/>
      <c r="BD3339" s="99">
        <f t="shared" si="111"/>
        <v>0</v>
      </c>
      <c r="CC3339" s="99"/>
      <c r="CV3339" s="99"/>
      <c r="CW3339" s="63"/>
    </row>
    <row r="3340" spans="1:101" x14ac:dyDescent="0.15">
      <c r="A3340" s="76">
        <v>3100</v>
      </c>
      <c r="B3340" s="74" t="s">
        <v>3715</v>
      </c>
      <c r="C3340" s="74">
        <v>993856195</v>
      </c>
      <c r="D3340" s="78" t="str">
        <f t="shared" si="112"/>
        <v>https://portal.dnb.de/opac.htm?method=simpleSearch&amp;cqlMode=true&amp;query=idn%3D993856195</v>
      </c>
      <c r="E3340" s="74" t="s">
        <v>3716</v>
      </c>
      <c r="F3340" s="74"/>
      <c r="G3340" s="76"/>
      <c r="H3340" s="77"/>
      <c r="I3340" s="76"/>
      <c r="J3340" s="77"/>
      <c r="K3340" s="77"/>
      <c r="L3340" s="76"/>
      <c r="M3340" s="76"/>
      <c r="N3340" s="76"/>
      <c r="O3340" s="76"/>
      <c r="P3340" s="76"/>
      <c r="Q3340" s="76"/>
      <c r="R3340" s="76"/>
      <c r="S3340" s="76"/>
      <c r="BD3340" s="99">
        <f t="shared" si="111"/>
        <v>0</v>
      </c>
      <c r="CC3340" s="99"/>
      <c r="CV3340" s="99"/>
      <c r="CW3340" s="63"/>
    </row>
    <row r="3341" spans="1:101" x14ac:dyDescent="0.15">
      <c r="A3341" s="76">
        <v>3101</v>
      </c>
      <c r="B3341" s="74" t="s">
        <v>3717</v>
      </c>
      <c r="C3341" s="74">
        <v>999264559</v>
      </c>
      <c r="D3341" s="78" t="str">
        <f t="shared" si="112"/>
        <v>https://portal.dnb.de/opac.htm?method=simpleSearch&amp;cqlMode=true&amp;query=idn%3D999264559</v>
      </c>
      <c r="E3341" s="74" t="s">
        <v>3716</v>
      </c>
      <c r="F3341" s="74"/>
      <c r="G3341" s="76"/>
      <c r="H3341" s="77"/>
      <c r="I3341" s="76"/>
      <c r="J3341" s="77"/>
      <c r="K3341" s="77"/>
      <c r="L3341" s="76"/>
      <c r="M3341" s="76"/>
      <c r="N3341" s="76"/>
      <c r="O3341" s="76"/>
      <c r="P3341" s="76"/>
      <c r="Q3341" s="76"/>
      <c r="R3341" s="76"/>
      <c r="S3341" s="76"/>
      <c r="BD3341" s="99">
        <f t="shared" si="111"/>
        <v>0</v>
      </c>
      <c r="CC3341" s="99"/>
      <c r="CV3341" s="99"/>
      <c r="CW3341" s="63"/>
    </row>
    <row r="3342" spans="1:101" x14ac:dyDescent="0.15">
      <c r="A3342" s="76">
        <v>3102</v>
      </c>
      <c r="B3342" s="74" t="s">
        <v>3737</v>
      </c>
      <c r="C3342" s="74">
        <v>1000133370</v>
      </c>
      <c r="D3342" s="78" t="str">
        <f t="shared" si="112"/>
        <v>https://portal.dnb.de/opac.htm?method=simpleSearch&amp;cqlMode=true&amp;query=idn%3D1000133370</v>
      </c>
      <c r="E3342" s="74" t="s">
        <v>3738</v>
      </c>
      <c r="F3342" s="74"/>
      <c r="G3342" s="76"/>
      <c r="H3342" s="77"/>
      <c r="I3342" s="76"/>
      <c r="J3342" s="77"/>
      <c r="K3342" s="77"/>
      <c r="L3342" s="76"/>
      <c r="M3342" s="76"/>
      <c r="N3342" s="76"/>
      <c r="O3342" s="76"/>
      <c r="P3342" s="76"/>
      <c r="Q3342" s="76"/>
      <c r="R3342" s="76"/>
      <c r="S3342" s="76"/>
      <c r="BD3342" s="99">
        <f t="shared" si="111"/>
        <v>0</v>
      </c>
      <c r="CC3342" s="99"/>
      <c r="CV3342" s="99"/>
      <c r="CW3342" s="63"/>
    </row>
    <row r="3343" spans="1:101" x14ac:dyDescent="0.15">
      <c r="A3343" s="76">
        <v>3103</v>
      </c>
      <c r="B3343" s="74" t="s">
        <v>3783</v>
      </c>
      <c r="C3343" s="74">
        <v>999265709</v>
      </c>
      <c r="D3343" s="82" t="str">
        <f>HYPERLINK(CONCATENATE("https://portal.dnb.de/opac.htm?method=simpleSearch&amp;cqlMode=true&amp;query=idn%3D",C3343))</f>
        <v>https://portal.dnb.de/opac.htm?method=simpleSearch&amp;cqlMode=true&amp;query=idn%3D999265709</v>
      </c>
      <c r="E3343" s="74" t="s">
        <v>3784</v>
      </c>
      <c r="F3343" s="74"/>
      <c r="G3343" s="76"/>
      <c r="H3343" s="77" t="s">
        <v>5</v>
      </c>
      <c r="I3343" s="76" t="s">
        <v>54</v>
      </c>
      <c r="J3343" s="77" t="s">
        <v>58</v>
      </c>
      <c r="K3343" s="77" t="s">
        <v>8520</v>
      </c>
      <c r="L3343" s="76"/>
      <c r="M3343" s="76" t="s">
        <v>38</v>
      </c>
      <c r="N3343" s="76" t="s">
        <v>40</v>
      </c>
      <c r="O3343" s="76">
        <v>1</v>
      </c>
      <c r="P3343" s="76"/>
      <c r="Q3343" s="76"/>
      <c r="R3343" s="76"/>
      <c r="S3343" s="76"/>
      <c r="BD3343" s="99">
        <f t="shared" si="111"/>
        <v>0</v>
      </c>
      <c r="CC3343" s="99"/>
      <c r="CV3343" s="99"/>
      <c r="CW3343" s="63"/>
    </row>
    <row r="3344" spans="1:101" x14ac:dyDescent="0.15">
      <c r="A3344" s="76">
        <v>3104</v>
      </c>
      <c r="B3344" s="74" t="s">
        <v>3808</v>
      </c>
      <c r="C3344" s="74" t="s">
        <v>3809</v>
      </c>
      <c r="D3344" s="78" t="str">
        <f t="shared" si="112"/>
        <v>https://portal.dnb.de/opac.htm?method=simpleSearch&amp;cqlMode=true&amp;query=idn%3D100191810X</v>
      </c>
      <c r="E3344" s="74" t="s">
        <v>3810</v>
      </c>
      <c r="F3344" s="74"/>
      <c r="G3344" s="76"/>
      <c r="H3344" s="77"/>
      <c r="I3344" s="76"/>
      <c r="J3344" s="77"/>
      <c r="K3344" s="77"/>
      <c r="L3344" s="76"/>
      <c r="M3344" s="76"/>
      <c r="N3344" s="76"/>
      <c r="O3344" s="76"/>
      <c r="P3344" s="76"/>
      <c r="Q3344" s="76"/>
      <c r="R3344" s="76"/>
      <c r="S3344" s="76"/>
      <c r="BD3344" s="99">
        <f t="shared" si="111"/>
        <v>0</v>
      </c>
      <c r="CC3344" s="99"/>
      <c r="CV3344" s="99"/>
      <c r="CW3344" s="63"/>
    </row>
    <row r="3345" spans="1:101" x14ac:dyDescent="0.15">
      <c r="A3345" s="76">
        <v>3105</v>
      </c>
      <c r="B3345" s="74" t="s">
        <v>3811</v>
      </c>
      <c r="C3345" s="74">
        <v>1001917944</v>
      </c>
      <c r="D3345" s="78" t="str">
        <f t="shared" si="112"/>
        <v>https://portal.dnb.de/opac.htm?method=simpleSearch&amp;cqlMode=true&amp;query=idn%3D1001917944</v>
      </c>
      <c r="E3345" s="74" t="s">
        <v>3810</v>
      </c>
      <c r="F3345" s="74"/>
      <c r="G3345" s="76"/>
      <c r="H3345" s="77"/>
      <c r="I3345" s="76"/>
      <c r="J3345" s="77"/>
      <c r="K3345" s="77"/>
      <c r="L3345" s="76"/>
      <c r="M3345" s="76"/>
      <c r="N3345" s="76"/>
      <c r="O3345" s="76"/>
      <c r="P3345" s="76"/>
      <c r="Q3345" s="76"/>
      <c r="R3345" s="76"/>
      <c r="S3345" s="76"/>
      <c r="BD3345" s="99">
        <f t="shared" si="111"/>
        <v>0</v>
      </c>
      <c r="CC3345" s="99"/>
      <c r="CV3345" s="99"/>
      <c r="CW3345" s="63"/>
    </row>
    <row r="3346" spans="1:101" x14ac:dyDescent="0.15">
      <c r="A3346" s="76">
        <v>3106</v>
      </c>
      <c r="B3346" s="74" t="s">
        <v>3839</v>
      </c>
      <c r="C3346" s="74">
        <v>1150990449</v>
      </c>
      <c r="D3346" s="78" t="str">
        <f t="shared" si="112"/>
        <v>https://portal.dnb.de/opac.htm?method=simpleSearch&amp;cqlMode=true&amp;query=idn%3D1150990449</v>
      </c>
      <c r="E3346" s="74" t="s">
        <v>3840</v>
      </c>
      <c r="F3346" s="74"/>
      <c r="G3346" s="76"/>
      <c r="H3346" s="77"/>
      <c r="I3346" s="76"/>
      <c r="J3346" s="77"/>
      <c r="K3346" s="77"/>
      <c r="L3346" s="76"/>
      <c r="M3346" s="76"/>
      <c r="N3346" s="76"/>
      <c r="O3346" s="76"/>
      <c r="P3346" s="76"/>
      <c r="Q3346" s="76"/>
      <c r="R3346" s="76"/>
      <c r="S3346" s="76"/>
      <c r="BD3346" s="99">
        <f t="shared" si="111"/>
        <v>0</v>
      </c>
      <c r="CC3346" s="99"/>
      <c r="CV3346" s="99"/>
      <c r="CW3346" s="63"/>
    </row>
    <row r="3347" spans="1:101" x14ac:dyDescent="0.15">
      <c r="A3347" s="76">
        <v>3107</v>
      </c>
      <c r="B3347" s="74" t="s">
        <v>3841</v>
      </c>
      <c r="C3347" s="74">
        <v>1154952096</v>
      </c>
      <c r="D3347" s="78" t="str">
        <f t="shared" si="112"/>
        <v>https://portal.dnb.de/opac.htm?method=simpleSearch&amp;cqlMode=true&amp;query=idn%3D1154952096</v>
      </c>
      <c r="E3347" s="74" t="s">
        <v>3842</v>
      </c>
      <c r="F3347" s="74"/>
      <c r="G3347" s="76"/>
      <c r="H3347" s="77"/>
      <c r="I3347" s="76"/>
      <c r="J3347" s="77"/>
      <c r="K3347" s="77"/>
      <c r="L3347" s="76"/>
      <c r="M3347" s="76"/>
      <c r="N3347" s="76"/>
      <c r="O3347" s="76"/>
      <c r="P3347" s="76"/>
      <c r="Q3347" s="76"/>
      <c r="R3347" s="76"/>
      <c r="S3347" s="76"/>
      <c r="BD3347" s="99">
        <f t="shared" si="111"/>
        <v>0</v>
      </c>
      <c r="CC3347" s="99"/>
      <c r="CV3347" s="99"/>
      <c r="CW3347" s="63"/>
    </row>
    <row r="3348" spans="1:101" x14ac:dyDescent="0.15">
      <c r="A3348" s="76">
        <v>3108</v>
      </c>
      <c r="B3348" s="74" t="s">
        <v>3845</v>
      </c>
      <c r="C3348" s="74">
        <v>1179218175</v>
      </c>
      <c r="D3348" s="78" t="str">
        <f t="shared" si="112"/>
        <v>https://portal.dnb.de/opac.htm?method=simpleSearch&amp;cqlMode=true&amp;query=idn%3D1179218175</v>
      </c>
      <c r="E3348" s="74" t="s">
        <v>3846</v>
      </c>
      <c r="F3348" s="74"/>
      <c r="G3348" s="76"/>
      <c r="H3348" s="77"/>
      <c r="I3348" s="76" t="s">
        <v>54</v>
      </c>
      <c r="J3348" s="77"/>
      <c r="K3348" s="77"/>
      <c r="L3348" s="76"/>
      <c r="M3348" s="76"/>
      <c r="N3348" s="76"/>
      <c r="O3348" s="76"/>
      <c r="P3348" s="76"/>
      <c r="Q3348" s="76"/>
      <c r="R3348" s="76"/>
      <c r="S3348" s="76"/>
      <c r="Y3348" s="95" t="s">
        <v>9723</v>
      </c>
      <c r="AB3348" s="95" t="s">
        <v>8541</v>
      </c>
      <c r="AC3348" s="95" t="s">
        <v>9724</v>
      </c>
      <c r="AI3348" s="95" t="s">
        <v>9725</v>
      </c>
      <c r="AP3348" s="95" t="s">
        <v>8541</v>
      </c>
      <c r="AW3348" s="95">
        <v>110</v>
      </c>
      <c r="BC3348" s="96" t="s">
        <v>9734</v>
      </c>
      <c r="BD3348" s="99">
        <f t="shared" si="111"/>
        <v>0</v>
      </c>
      <c r="CC3348" s="99"/>
      <c r="CV3348" s="99"/>
      <c r="CW3348" s="63"/>
    </row>
    <row r="3349" spans="1:101" x14ac:dyDescent="0.15">
      <c r="A3349" s="76">
        <v>3109</v>
      </c>
      <c r="B3349" s="74" t="s">
        <v>3847</v>
      </c>
      <c r="C3349" s="74">
        <v>1183152248</v>
      </c>
      <c r="D3349" s="78" t="str">
        <f t="shared" si="112"/>
        <v>https://portal.dnb.de/opac.htm?method=simpleSearch&amp;cqlMode=true&amp;query=idn%3D1183152248</v>
      </c>
      <c r="E3349" s="74" t="s">
        <v>3848</v>
      </c>
      <c r="F3349" s="74"/>
      <c r="G3349" s="76"/>
      <c r="H3349" s="77"/>
      <c r="I3349" s="76" t="s">
        <v>54</v>
      </c>
      <c r="J3349" s="77"/>
      <c r="K3349" s="77"/>
      <c r="L3349" s="76"/>
      <c r="M3349" s="76"/>
      <c r="N3349" s="76"/>
      <c r="O3349" s="76"/>
      <c r="P3349" s="76"/>
      <c r="Q3349" s="76"/>
      <c r="R3349" s="76"/>
      <c r="S3349" s="76"/>
      <c r="Y3349" s="95" t="s">
        <v>9723</v>
      </c>
      <c r="AB3349" s="95" t="s">
        <v>8541</v>
      </c>
      <c r="AC3349" s="95" t="s">
        <v>9724</v>
      </c>
      <c r="AI3349" s="95" t="s">
        <v>9725</v>
      </c>
      <c r="AW3349" s="95">
        <v>110</v>
      </c>
      <c r="BC3349" s="96" t="s">
        <v>9734</v>
      </c>
      <c r="BD3349" s="99">
        <f t="shared" si="111"/>
        <v>0</v>
      </c>
      <c r="CC3349" s="99"/>
      <c r="CV3349" s="99"/>
      <c r="CW3349" s="63"/>
    </row>
    <row r="3350" spans="1:101" x14ac:dyDescent="0.15">
      <c r="A3350" s="76">
        <v>3110</v>
      </c>
      <c r="B3350" s="74" t="s">
        <v>3852</v>
      </c>
      <c r="C3350" s="74">
        <v>1002733618</v>
      </c>
      <c r="D3350" s="78" t="str">
        <f t="shared" si="112"/>
        <v>https://portal.dnb.de/opac.htm?method=simpleSearch&amp;cqlMode=true&amp;query=idn%3D1002733618</v>
      </c>
      <c r="E3350" s="74" t="s">
        <v>3853</v>
      </c>
      <c r="F3350" s="74"/>
      <c r="G3350" s="76"/>
      <c r="H3350" s="77"/>
      <c r="I3350" s="76"/>
      <c r="J3350" s="77"/>
      <c r="K3350" s="77"/>
      <c r="L3350" s="76"/>
      <c r="M3350" s="76"/>
      <c r="N3350" s="76"/>
      <c r="O3350" s="76"/>
      <c r="P3350" s="76"/>
      <c r="Q3350" s="76"/>
      <c r="R3350" s="76"/>
      <c r="S3350" s="76"/>
      <c r="BD3350" s="99">
        <f t="shared" si="111"/>
        <v>0</v>
      </c>
      <c r="CC3350" s="99"/>
      <c r="CV3350" s="99"/>
      <c r="CW3350" s="63"/>
    </row>
    <row r="3351" spans="1:101" x14ac:dyDescent="0.15">
      <c r="A3351" s="76">
        <v>3111</v>
      </c>
      <c r="B3351" s="74" t="s">
        <v>3854</v>
      </c>
      <c r="C3351" s="74" t="s">
        <v>3855</v>
      </c>
      <c r="D3351" s="78" t="str">
        <f t="shared" si="112"/>
        <v>https://portal.dnb.de/opac.htm?method=simpleSearch&amp;cqlMode=true&amp;query=idn%3D100273374X</v>
      </c>
      <c r="E3351" s="74" t="s">
        <v>3853</v>
      </c>
      <c r="F3351" s="74"/>
      <c r="G3351" s="76"/>
      <c r="H3351" s="77"/>
      <c r="I3351" s="76"/>
      <c r="J3351" s="77"/>
      <c r="K3351" s="77"/>
      <c r="L3351" s="76"/>
      <c r="M3351" s="76"/>
      <c r="N3351" s="76"/>
      <c r="O3351" s="76"/>
      <c r="P3351" s="76"/>
      <c r="Q3351" s="76"/>
      <c r="R3351" s="76"/>
      <c r="S3351" s="76"/>
      <c r="BD3351" s="99">
        <f t="shared" si="111"/>
        <v>0</v>
      </c>
      <c r="CC3351" s="99"/>
      <c r="CV3351" s="99"/>
      <c r="CW3351" s="63"/>
    </row>
    <row r="3352" spans="1:101" x14ac:dyDescent="0.15">
      <c r="A3352" s="76">
        <v>3112</v>
      </c>
      <c r="B3352" s="74" t="s">
        <v>3871</v>
      </c>
      <c r="C3352" s="74">
        <v>1066857865</v>
      </c>
      <c r="D3352" s="78" t="str">
        <f t="shared" si="112"/>
        <v>https://portal.dnb.de/opac.htm?method=simpleSearch&amp;cqlMode=true&amp;query=idn%3D1066857865</v>
      </c>
      <c r="E3352" s="74" t="s">
        <v>3872</v>
      </c>
      <c r="F3352" s="74"/>
      <c r="G3352" s="76"/>
      <c r="H3352" s="77"/>
      <c r="I3352" s="76"/>
      <c r="J3352" s="77"/>
      <c r="K3352" s="77"/>
      <c r="L3352" s="76"/>
      <c r="M3352" s="76"/>
      <c r="N3352" s="76"/>
      <c r="O3352" s="76"/>
      <c r="P3352" s="76"/>
      <c r="Q3352" s="76"/>
      <c r="R3352" s="76"/>
      <c r="S3352" s="76"/>
      <c r="BD3352" s="99">
        <f t="shared" si="111"/>
        <v>0</v>
      </c>
      <c r="CC3352" s="99"/>
      <c r="CV3352" s="99"/>
      <c r="CW3352" s="63"/>
    </row>
    <row r="3353" spans="1:101" x14ac:dyDescent="0.15">
      <c r="A3353" s="76">
        <v>3113</v>
      </c>
      <c r="B3353" s="74" t="s">
        <v>3873</v>
      </c>
      <c r="C3353" s="74" t="s">
        <v>3874</v>
      </c>
      <c r="D3353" s="78" t="str">
        <f t="shared" si="112"/>
        <v>https://portal.dnb.de/opac.htm?method=simpleSearch&amp;cqlMode=true&amp;query=idn%3D106693410X</v>
      </c>
      <c r="E3353" s="74" t="s">
        <v>3875</v>
      </c>
      <c r="F3353" s="74"/>
      <c r="G3353" s="76"/>
      <c r="H3353" s="77"/>
      <c r="I3353" s="76"/>
      <c r="J3353" s="77"/>
      <c r="K3353" s="77"/>
      <c r="L3353" s="76"/>
      <c r="M3353" s="76"/>
      <c r="N3353" s="76"/>
      <c r="O3353" s="76"/>
      <c r="P3353" s="76"/>
      <c r="Q3353" s="76"/>
      <c r="R3353" s="76"/>
      <c r="S3353" s="76"/>
      <c r="BD3353" s="99">
        <f t="shared" si="111"/>
        <v>0</v>
      </c>
      <c r="CC3353" s="99"/>
      <c r="CV3353" s="99"/>
      <c r="CW3353" s="63"/>
    </row>
    <row r="3354" spans="1:101" x14ac:dyDescent="0.15">
      <c r="A3354" s="76">
        <v>3114</v>
      </c>
      <c r="B3354" s="74" t="s">
        <v>3876</v>
      </c>
      <c r="C3354" s="74">
        <v>994120648</v>
      </c>
      <c r="D3354" s="78" t="str">
        <f t="shared" si="112"/>
        <v>https://portal.dnb.de/opac.htm?method=simpleSearch&amp;cqlMode=true&amp;query=idn%3D994120648</v>
      </c>
      <c r="E3354" s="74" t="s">
        <v>3877</v>
      </c>
      <c r="F3354" s="74"/>
      <c r="G3354" s="76"/>
      <c r="H3354" s="77"/>
      <c r="I3354" s="76"/>
      <c r="J3354" s="77"/>
      <c r="K3354" s="77"/>
      <c r="L3354" s="76"/>
      <c r="M3354" s="76"/>
      <c r="N3354" s="76"/>
      <c r="O3354" s="76"/>
      <c r="P3354" s="76"/>
      <c r="Q3354" s="76"/>
      <c r="R3354" s="76"/>
      <c r="S3354" s="76"/>
      <c r="BD3354" s="99">
        <f t="shared" si="111"/>
        <v>0</v>
      </c>
      <c r="CC3354" s="99"/>
      <c r="CV3354" s="99"/>
      <c r="CW3354" s="63"/>
    </row>
    <row r="3355" spans="1:101" x14ac:dyDescent="0.15">
      <c r="A3355" s="76">
        <v>3115</v>
      </c>
      <c r="B3355" s="74" t="s">
        <v>3881</v>
      </c>
      <c r="C3355" s="74">
        <v>1066937451</v>
      </c>
      <c r="D3355" s="78" t="str">
        <f t="shared" si="112"/>
        <v>https://portal.dnb.de/opac.htm?method=simpleSearch&amp;cqlMode=true&amp;query=idn%3D1066937451</v>
      </c>
      <c r="E3355" s="74" t="s">
        <v>3882</v>
      </c>
      <c r="F3355" s="74"/>
      <c r="G3355" s="76"/>
      <c r="H3355" s="77"/>
      <c r="I3355" s="76"/>
      <c r="J3355" s="77"/>
      <c r="K3355" s="77"/>
      <c r="L3355" s="76"/>
      <c r="M3355" s="76"/>
      <c r="N3355" s="76"/>
      <c r="O3355" s="76"/>
      <c r="P3355" s="76"/>
      <c r="Q3355" s="76"/>
      <c r="R3355" s="76"/>
      <c r="S3355" s="76"/>
      <c r="BD3355" s="99">
        <f t="shared" si="111"/>
        <v>0</v>
      </c>
      <c r="CC3355" s="99"/>
      <c r="CV3355" s="99"/>
      <c r="CW3355" s="63"/>
    </row>
    <row r="3356" spans="1:101" x14ac:dyDescent="0.15">
      <c r="A3356" s="76">
        <v>3116</v>
      </c>
      <c r="B3356" s="74" t="s">
        <v>3883</v>
      </c>
      <c r="C3356" s="74">
        <v>1066962162</v>
      </c>
      <c r="D3356" s="78" t="str">
        <f t="shared" si="112"/>
        <v>https://portal.dnb.de/opac.htm?method=simpleSearch&amp;cqlMode=true&amp;query=idn%3D1066962162</v>
      </c>
      <c r="E3356" s="74" t="s">
        <v>3884</v>
      </c>
      <c r="F3356" s="74"/>
      <c r="G3356" s="76"/>
      <c r="H3356" s="77"/>
      <c r="I3356" s="76"/>
      <c r="J3356" s="77"/>
      <c r="K3356" s="77"/>
      <c r="L3356" s="76"/>
      <c r="M3356" s="76"/>
      <c r="N3356" s="76"/>
      <c r="O3356" s="76"/>
      <c r="P3356" s="76"/>
      <c r="Q3356" s="76"/>
      <c r="R3356" s="76"/>
      <c r="S3356" s="76"/>
      <c r="BD3356" s="99">
        <f t="shared" si="111"/>
        <v>0</v>
      </c>
      <c r="CC3356" s="99"/>
      <c r="CV3356" s="99"/>
      <c r="CW3356" s="63"/>
    </row>
    <row r="3357" spans="1:101" x14ac:dyDescent="0.15">
      <c r="A3357" s="76">
        <v>3117</v>
      </c>
      <c r="B3357" s="74" t="s">
        <v>3885</v>
      </c>
      <c r="C3357" s="74">
        <v>1066964386</v>
      </c>
      <c r="D3357" s="78" t="str">
        <f t="shared" si="112"/>
        <v>https://portal.dnb.de/opac.htm?method=simpleSearch&amp;cqlMode=true&amp;query=idn%3D1066964386</v>
      </c>
      <c r="E3357" s="74" t="s">
        <v>3886</v>
      </c>
      <c r="F3357" s="74"/>
      <c r="G3357" s="76"/>
      <c r="H3357" s="77"/>
      <c r="I3357" s="76"/>
      <c r="J3357" s="77"/>
      <c r="K3357" s="77"/>
      <c r="L3357" s="76"/>
      <c r="M3357" s="76"/>
      <c r="N3357" s="76"/>
      <c r="O3357" s="76"/>
      <c r="P3357" s="76"/>
      <c r="Q3357" s="76"/>
      <c r="R3357" s="76"/>
      <c r="S3357" s="76"/>
      <c r="BD3357" s="99">
        <f t="shared" si="111"/>
        <v>0</v>
      </c>
      <c r="CC3357" s="99"/>
      <c r="CV3357" s="99"/>
      <c r="CW3357" s="63"/>
    </row>
    <row r="3358" spans="1:101" x14ac:dyDescent="0.15">
      <c r="A3358" s="76">
        <v>3118</v>
      </c>
      <c r="B3358" s="74" t="s">
        <v>3887</v>
      </c>
      <c r="C3358" s="74">
        <v>1066786186</v>
      </c>
      <c r="D3358" s="78" t="str">
        <f t="shared" si="112"/>
        <v>https://portal.dnb.de/opac.htm?method=simpleSearch&amp;cqlMode=true&amp;query=idn%3D1066786186</v>
      </c>
      <c r="E3358" s="74" t="s">
        <v>3888</v>
      </c>
      <c r="F3358" s="74"/>
      <c r="G3358" s="76"/>
      <c r="H3358" s="77"/>
      <c r="I3358" s="76"/>
      <c r="J3358" s="77"/>
      <c r="K3358" s="77"/>
      <c r="L3358" s="76"/>
      <c r="M3358" s="76"/>
      <c r="N3358" s="76"/>
      <c r="O3358" s="76"/>
      <c r="P3358" s="76"/>
      <c r="Q3358" s="76"/>
      <c r="R3358" s="76"/>
      <c r="S3358" s="76"/>
      <c r="BD3358" s="99">
        <f t="shared" si="111"/>
        <v>0</v>
      </c>
      <c r="CC3358" s="99"/>
      <c r="CV3358" s="99"/>
      <c r="CW3358" s="63"/>
    </row>
    <row r="3359" spans="1:101" x14ac:dyDescent="0.15">
      <c r="A3359" s="76">
        <v>3119</v>
      </c>
      <c r="B3359" s="74" t="s">
        <v>3889</v>
      </c>
      <c r="C3359" s="74">
        <v>1066839581</v>
      </c>
      <c r="D3359" s="78" t="str">
        <f t="shared" si="112"/>
        <v>https://portal.dnb.de/opac.htm?method=simpleSearch&amp;cqlMode=true&amp;query=idn%3D1066839581</v>
      </c>
      <c r="E3359" s="74" t="s">
        <v>3890</v>
      </c>
      <c r="F3359" s="74"/>
      <c r="G3359" s="76"/>
      <c r="H3359" s="77"/>
      <c r="I3359" s="76"/>
      <c r="J3359" s="77"/>
      <c r="K3359" s="77"/>
      <c r="L3359" s="76"/>
      <c r="M3359" s="76"/>
      <c r="N3359" s="76"/>
      <c r="O3359" s="76"/>
      <c r="P3359" s="76"/>
      <c r="Q3359" s="76"/>
      <c r="R3359" s="76"/>
      <c r="S3359" s="76"/>
      <c r="BD3359" s="99">
        <f t="shared" si="111"/>
        <v>0</v>
      </c>
      <c r="CC3359" s="99"/>
      <c r="CV3359" s="99"/>
      <c r="CW3359" s="63"/>
    </row>
    <row r="3360" spans="1:101" x14ac:dyDescent="0.15">
      <c r="A3360" s="76">
        <v>3120</v>
      </c>
      <c r="B3360" s="74" t="s">
        <v>3891</v>
      </c>
      <c r="C3360" s="74">
        <v>995937532</v>
      </c>
      <c r="D3360" s="78" t="str">
        <f t="shared" si="112"/>
        <v>https://portal.dnb.de/opac.htm?method=simpleSearch&amp;cqlMode=true&amp;query=idn%3D995937532</v>
      </c>
      <c r="E3360" s="74" t="s">
        <v>3892</v>
      </c>
      <c r="F3360" s="74"/>
      <c r="G3360" s="76"/>
      <c r="H3360" s="77"/>
      <c r="I3360" s="76"/>
      <c r="J3360" s="77"/>
      <c r="K3360" s="77"/>
      <c r="L3360" s="76"/>
      <c r="M3360" s="76"/>
      <c r="N3360" s="76"/>
      <c r="O3360" s="76"/>
      <c r="P3360" s="76"/>
      <c r="Q3360" s="76"/>
      <c r="R3360" s="76"/>
      <c r="S3360" s="76"/>
      <c r="BD3360" s="99">
        <f t="shared" si="111"/>
        <v>0</v>
      </c>
      <c r="CC3360" s="99"/>
      <c r="CV3360" s="99"/>
      <c r="CW3360" s="63"/>
    </row>
    <row r="3361" spans="1:101" x14ac:dyDescent="0.15">
      <c r="A3361" s="76">
        <v>3121</v>
      </c>
      <c r="B3361" s="74" t="s">
        <v>3893</v>
      </c>
      <c r="C3361" s="74">
        <v>1001267435</v>
      </c>
      <c r="D3361" s="78" t="str">
        <f t="shared" si="112"/>
        <v>https://portal.dnb.de/opac.htm?method=simpleSearch&amp;cqlMode=true&amp;query=idn%3D1001267435</v>
      </c>
      <c r="E3361" s="74" t="s">
        <v>3892</v>
      </c>
      <c r="F3361" s="74"/>
      <c r="G3361" s="76"/>
      <c r="H3361" s="77"/>
      <c r="I3361" s="76"/>
      <c r="J3361" s="77"/>
      <c r="K3361" s="77"/>
      <c r="L3361" s="76"/>
      <c r="M3361" s="76"/>
      <c r="N3361" s="76"/>
      <c r="O3361" s="76"/>
      <c r="P3361" s="76"/>
      <c r="Q3361" s="76"/>
      <c r="R3361" s="76"/>
      <c r="S3361" s="76"/>
      <c r="BD3361" s="99">
        <f t="shared" si="111"/>
        <v>0</v>
      </c>
      <c r="CC3361" s="99"/>
      <c r="CV3361" s="99"/>
      <c r="CW3361" s="63"/>
    </row>
    <row r="3362" spans="1:101" x14ac:dyDescent="0.15">
      <c r="A3362" s="76">
        <v>3122</v>
      </c>
      <c r="B3362" s="74" t="s">
        <v>3894</v>
      </c>
      <c r="C3362" s="74">
        <v>1000189074</v>
      </c>
      <c r="D3362" s="78" t="str">
        <f t="shared" si="112"/>
        <v>https://portal.dnb.de/opac.htm?method=simpleSearch&amp;cqlMode=true&amp;query=idn%3D1000189074</v>
      </c>
      <c r="E3362" s="74" t="s">
        <v>3892</v>
      </c>
      <c r="F3362" s="74"/>
      <c r="G3362" s="76"/>
      <c r="H3362" s="77"/>
      <c r="I3362" s="76"/>
      <c r="J3362" s="77"/>
      <c r="K3362" s="77"/>
      <c r="L3362" s="76"/>
      <c r="M3362" s="76"/>
      <c r="N3362" s="76"/>
      <c r="O3362" s="76"/>
      <c r="P3362" s="76"/>
      <c r="Q3362" s="76"/>
      <c r="R3362" s="76"/>
      <c r="S3362" s="76"/>
      <c r="BD3362" s="99">
        <f t="shared" si="111"/>
        <v>0</v>
      </c>
      <c r="CC3362" s="99"/>
      <c r="CV3362" s="99"/>
      <c r="CW3362" s="63"/>
    </row>
    <row r="3363" spans="1:101" x14ac:dyDescent="0.15">
      <c r="A3363" s="76">
        <v>3123</v>
      </c>
      <c r="B3363" s="74" t="s">
        <v>3895</v>
      </c>
      <c r="C3363" s="74">
        <v>996224475</v>
      </c>
      <c r="D3363" s="78" t="str">
        <f t="shared" si="112"/>
        <v>https://portal.dnb.de/opac.htm?method=simpleSearch&amp;cqlMode=true&amp;query=idn%3D996224475</v>
      </c>
      <c r="E3363" s="74" t="s">
        <v>3892</v>
      </c>
      <c r="F3363" s="74"/>
      <c r="G3363" s="76"/>
      <c r="H3363" s="77"/>
      <c r="I3363" s="76"/>
      <c r="J3363" s="77"/>
      <c r="K3363" s="77"/>
      <c r="L3363" s="76"/>
      <c r="M3363" s="76"/>
      <c r="N3363" s="76"/>
      <c r="O3363" s="76"/>
      <c r="P3363" s="76"/>
      <c r="Q3363" s="76"/>
      <c r="R3363" s="76"/>
      <c r="S3363" s="76"/>
      <c r="BD3363" s="99">
        <f t="shared" si="111"/>
        <v>0</v>
      </c>
      <c r="CC3363" s="99"/>
      <c r="CV3363" s="99"/>
      <c r="CW3363" s="63"/>
    </row>
    <row r="3364" spans="1:101" x14ac:dyDescent="0.15">
      <c r="A3364" s="76">
        <v>3124</v>
      </c>
      <c r="B3364" s="74" t="s">
        <v>3896</v>
      </c>
      <c r="C3364" s="74">
        <v>995383057</v>
      </c>
      <c r="D3364" s="78" t="str">
        <f t="shared" si="112"/>
        <v>https://portal.dnb.de/opac.htm?method=simpleSearch&amp;cqlMode=true&amp;query=idn%3D995383057</v>
      </c>
      <c r="E3364" s="74" t="s">
        <v>3892</v>
      </c>
      <c r="F3364" s="74"/>
      <c r="G3364" s="76"/>
      <c r="H3364" s="77"/>
      <c r="I3364" s="76"/>
      <c r="J3364" s="77"/>
      <c r="K3364" s="77"/>
      <c r="L3364" s="76"/>
      <c r="M3364" s="76"/>
      <c r="N3364" s="76"/>
      <c r="O3364" s="76"/>
      <c r="P3364" s="76"/>
      <c r="Q3364" s="76"/>
      <c r="R3364" s="76"/>
      <c r="S3364" s="76"/>
      <c r="BD3364" s="99">
        <f t="shared" si="111"/>
        <v>0</v>
      </c>
      <c r="CC3364" s="99"/>
      <c r="CV3364" s="99"/>
      <c r="CW3364" s="63"/>
    </row>
    <row r="3365" spans="1:101" x14ac:dyDescent="0.15">
      <c r="A3365" s="76">
        <v>3125</v>
      </c>
      <c r="B3365" s="74" t="s">
        <v>3897</v>
      </c>
      <c r="C3365" s="74">
        <v>997107006</v>
      </c>
      <c r="D3365" s="78" t="str">
        <f t="shared" si="112"/>
        <v>https://portal.dnb.de/opac.htm?method=simpleSearch&amp;cqlMode=true&amp;query=idn%3D997107006</v>
      </c>
      <c r="E3365" s="74" t="s">
        <v>3898</v>
      </c>
      <c r="F3365" s="74"/>
      <c r="G3365" s="76"/>
      <c r="H3365" s="77"/>
      <c r="I3365" s="76"/>
      <c r="J3365" s="77"/>
      <c r="K3365" s="77"/>
      <c r="L3365" s="76"/>
      <c r="M3365" s="76"/>
      <c r="N3365" s="76"/>
      <c r="O3365" s="76"/>
      <c r="P3365" s="76"/>
      <c r="Q3365" s="76"/>
      <c r="R3365" s="76"/>
      <c r="S3365" s="76"/>
      <c r="BD3365" s="99">
        <f t="shared" si="111"/>
        <v>0</v>
      </c>
      <c r="CC3365" s="99"/>
      <c r="CV3365" s="99"/>
      <c r="CW3365" s="63"/>
    </row>
    <row r="3366" spans="1:101" x14ac:dyDescent="0.15">
      <c r="A3366" s="76">
        <v>3126</v>
      </c>
      <c r="B3366" s="74" t="s">
        <v>3899</v>
      </c>
      <c r="C3366" s="74">
        <v>1011281457</v>
      </c>
      <c r="D3366" s="78" t="str">
        <f t="shared" si="112"/>
        <v>https://portal.dnb.de/opac.htm?method=simpleSearch&amp;cqlMode=true&amp;query=idn%3D1011281457</v>
      </c>
      <c r="E3366" s="74" t="s">
        <v>3900</v>
      </c>
      <c r="F3366" s="74"/>
      <c r="G3366" s="76"/>
      <c r="H3366" s="77"/>
      <c r="I3366" s="76"/>
      <c r="J3366" s="77"/>
      <c r="K3366" s="77"/>
      <c r="L3366" s="76"/>
      <c r="M3366" s="76"/>
      <c r="N3366" s="76"/>
      <c r="O3366" s="76"/>
      <c r="P3366" s="76"/>
      <c r="Q3366" s="76"/>
      <c r="R3366" s="76"/>
      <c r="S3366" s="76"/>
      <c r="BD3366" s="99">
        <f t="shared" si="111"/>
        <v>0</v>
      </c>
      <c r="CC3366" s="99"/>
      <c r="CV3366" s="99"/>
      <c r="CW3366" s="63"/>
    </row>
    <row r="3367" spans="1:101" x14ac:dyDescent="0.15">
      <c r="A3367" s="76">
        <v>3127</v>
      </c>
      <c r="B3367" s="74" t="s">
        <v>3899</v>
      </c>
      <c r="C3367" s="74">
        <v>1025445864</v>
      </c>
      <c r="D3367" s="78" t="str">
        <f t="shared" si="112"/>
        <v>https://portal.dnb.de/opac.htm?method=simpleSearch&amp;cqlMode=true&amp;query=idn%3D1025445864</v>
      </c>
      <c r="E3367" s="74" t="s">
        <v>3900</v>
      </c>
      <c r="F3367" s="74"/>
      <c r="G3367" s="76"/>
      <c r="H3367" s="77"/>
      <c r="I3367" s="76"/>
      <c r="J3367" s="77"/>
      <c r="K3367" s="77"/>
      <c r="L3367" s="76"/>
      <c r="M3367" s="76"/>
      <c r="N3367" s="76"/>
      <c r="O3367" s="76"/>
      <c r="P3367" s="76"/>
      <c r="Q3367" s="76"/>
      <c r="R3367" s="76"/>
      <c r="S3367" s="76"/>
      <c r="BD3367" s="99">
        <f t="shared" si="111"/>
        <v>0</v>
      </c>
      <c r="CC3367" s="99"/>
      <c r="CV3367" s="99"/>
      <c r="CW3367" s="63"/>
    </row>
    <row r="3368" spans="1:101" x14ac:dyDescent="0.15">
      <c r="A3368" s="76">
        <v>3128</v>
      </c>
      <c r="B3368" s="74" t="s">
        <v>3919</v>
      </c>
      <c r="C3368" s="74">
        <v>1132658098</v>
      </c>
      <c r="D3368" s="78" t="str">
        <f t="shared" si="112"/>
        <v>https://portal.dnb.de/opac.htm?method=simpleSearch&amp;cqlMode=true&amp;query=idn%3D1132658098</v>
      </c>
      <c r="E3368" s="74" t="s">
        <v>3920</v>
      </c>
      <c r="F3368" s="74"/>
      <c r="G3368" s="76"/>
      <c r="H3368" s="77"/>
      <c r="I3368" s="76"/>
      <c r="J3368" s="77"/>
      <c r="K3368" s="77"/>
      <c r="L3368" s="76"/>
      <c r="M3368" s="76"/>
      <c r="N3368" s="76"/>
      <c r="O3368" s="76"/>
      <c r="P3368" s="76"/>
      <c r="Q3368" s="76"/>
      <c r="R3368" s="76"/>
      <c r="S3368" s="76"/>
      <c r="BD3368" s="99">
        <f t="shared" si="111"/>
        <v>0</v>
      </c>
      <c r="CC3368" s="99"/>
      <c r="CV3368" s="99"/>
      <c r="CW3368" s="63"/>
    </row>
    <row r="3369" spans="1:101" x14ac:dyDescent="0.15">
      <c r="A3369" s="76">
        <v>3129</v>
      </c>
      <c r="B3369" s="74" t="s">
        <v>3921</v>
      </c>
      <c r="C3369" s="74" t="s">
        <v>3922</v>
      </c>
      <c r="D3369" s="78" t="str">
        <f t="shared" si="112"/>
        <v>https://portal.dnb.de/opac.htm?method=simpleSearch&amp;cqlMode=true&amp;query=idn%3D113265808X</v>
      </c>
      <c r="E3369" s="74" t="s">
        <v>3920</v>
      </c>
      <c r="F3369" s="74"/>
      <c r="G3369" s="76"/>
      <c r="H3369" s="77"/>
      <c r="I3369" s="76"/>
      <c r="J3369" s="77"/>
      <c r="K3369" s="77"/>
      <c r="L3369" s="76"/>
      <c r="M3369" s="76"/>
      <c r="N3369" s="76"/>
      <c r="O3369" s="76"/>
      <c r="P3369" s="76"/>
      <c r="Q3369" s="76"/>
      <c r="R3369" s="76"/>
      <c r="S3369" s="76"/>
      <c r="BD3369" s="99">
        <f t="shared" si="111"/>
        <v>0</v>
      </c>
      <c r="CC3369" s="99"/>
      <c r="CV3369" s="99"/>
      <c r="CW3369" s="63"/>
    </row>
    <row r="3370" spans="1:101" x14ac:dyDescent="0.15">
      <c r="A3370" s="76">
        <v>3130</v>
      </c>
      <c r="B3370" s="74" t="s">
        <v>3933</v>
      </c>
      <c r="C3370" s="74">
        <v>994200250</v>
      </c>
      <c r="D3370" s="78" t="str">
        <f t="shared" si="112"/>
        <v>https://portal.dnb.de/opac.htm?method=simpleSearch&amp;cqlMode=true&amp;query=idn%3D994200250</v>
      </c>
      <c r="E3370" s="74" t="s">
        <v>3934</v>
      </c>
      <c r="F3370" s="74"/>
      <c r="G3370" s="76"/>
      <c r="H3370" s="77"/>
      <c r="I3370" s="76"/>
      <c r="J3370" s="77"/>
      <c r="K3370" s="77"/>
      <c r="L3370" s="76"/>
      <c r="M3370" s="76"/>
      <c r="N3370" s="76"/>
      <c r="O3370" s="76"/>
      <c r="P3370" s="76"/>
      <c r="Q3370" s="76"/>
      <c r="R3370" s="76"/>
      <c r="S3370" s="76"/>
      <c r="BD3370" s="99">
        <f t="shared" si="111"/>
        <v>0</v>
      </c>
      <c r="CC3370" s="99"/>
      <c r="CV3370" s="99"/>
      <c r="CW3370" s="63"/>
    </row>
    <row r="3371" spans="1:101" x14ac:dyDescent="0.15">
      <c r="A3371" s="76">
        <v>3131</v>
      </c>
      <c r="B3371" s="74" t="s">
        <v>3901</v>
      </c>
      <c r="C3371" s="74">
        <v>1066870969</v>
      </c>
      <c r="D3371" s="78" t="str">
        <f t="shared" si="112"/>
        <v>https://portal.dnb.de/opac.htm?method=simpleSearch&amp;cqlMode=true&amp;query=idn%3D1066870969</v>
      </c>
      <c r="E3371" s="74" t="s">
        <v>3902</v>
      </c>
      <c r="F3371" s="74"/>
      <c r="G3371" s="76"/>
      <c r="H3371" s="77"/>
      <c r="I3371" s="76" t="s">
        <v>53</v>
      </c>
      <c r="J3371" s="77"/>
      <c r="K3371" s="77"/>
      <c r="L3371" s="76"/>
      <c r="M3371" s="76"/>
      <c r="N3371" s="76"/>
      <c r="O3371" s="76"/>
      <c r="P3371" s="76"/>
      <c r="Q3371" s="76"/>
      <c r="R3371" s="76"/>
      <c r="S3371" s="76"/>
      <c r="Y3371" s="95" t="s">
        <v>9736</v>
      </c>
      <c r="AA3371" s="95" t="s">
        <v>8541</v>
      </c>
      <c r="AC3371" s="95" t="s">
        <v>9737</v>
      </c>
      <c r="AI3371" s="95" t="s">
        <v>9725</v>
      </c>
      <c r="AU3371" s="95">
        <v>2</v>
      </c>
      <c r="AV3371" s="95" t="s">
        <v>8541</v>
      </c>
      <c r="AW3371" s="95">
        <v>45</v>
      </c>
      <c r="BC3371" s="96" t="s">
        <v>9726</v>
      </c>
      <c r="BD3371" s="99">
        <f t="shared" si="111"/>
        <v>0.5</v>
      </c>
      <c r="BM3371" s="69" t="s">
        <v>10008</v>
      </c>
      <c r="BP3371" s="69" t="s">
        <v>8541</v>
      </c>
      <c r="BQ3371" s="95" t="s">
        <v>8541</v>
      </c>
      <c r="BR3371" s="95" t="s">
        <v>8541</v>
      </c>
      <c r="CC3371" s="99">
        <v>0.5</v>
      </c>
      <c r="CV3371" s="99"/>
      <c r="CW3371" s="63"/>
    </row>
    <row r="3372" spans="1:101" ht="56.25" x14ac:dyDescent="0.15">
      <c r="A3372" s="76">
        <v>3132</v>
      </c>
      <c r="B3372" s="74" t="s">
        <v>3917</v>
      </c>
      <c r="C3372" s="74">
        <v>1066937206</v>
      </c>
      <c r="D3372" s="78" t="str">
        <f t="shared" si="112"/>
        <v>https://portal.dnb.de/opac.htm?method=simpleSearch&amp;cqlMode=true&amp;query=idn%3D1066937206</v>
      </c>
      <c r="E3372" s="74" t="s">
        <v>3918</v>
      </c>
      <c r="F3372" s="74"/>
      <c r="G3372" s="76"/>
      <c r="H3372" s="77"/>
      <c r="I3372" s="76" t="s">
        <v>56</v>
      </c>
      <c r="J3372" s="77"/>
      <c r="K3372" s="77"/>
      <c r="L3372" s="76"/>
      <c r="M3372" s="76"/>
      <c r="N3372" s="76"/>
      <c r="O3372" s="76"/>
      <c r="P3372" s="76"/>
      <c r="Q3372" s="76"/>
      <c r="R3372" s="76"/>
      <c r="S3372" s="76"/>
      <c r="W3372" s="95" t="s">
        <v>8541</v>
      </c>
      <c r="Y3372" s="95" t="s">
        <v>9723</v>
      </c>
      <c r="AC3372" s="95" t="s">
        <v>9724</v>
      </c>
      <c r="AE3372" s="95" t="s">
        <v>8541</v>
      </c>
      <c r="AI3372" s="95" t="s">
        <v>9725</v>
      </c>
      <c r="AN3372" s="95" t="s">
        <v>8541</v>
      </c>
      <c r="AW3372" s="95">
        <v>45</v>
      </c>
      <c r="BC3372" s="96" t="s">
        <v>9726</v>
      </c>
      <c r="BD3372" s="99">
        <f t="shared" si="111"/>
        <v>7</v>
      </c>
      <c r="BH3372" s="95" t="s">
        <v>8541</v>
      </c>
      <c r="BJ3372" s="95" t="s">
        <v>8541</v>
      </c>
      <c r="BL3372" s="70" t="s">
        <v>10448</v>
      </c>
      <c r="BO3372" s="70" t="s">
        <v>10036</v>
      </c>
      <c r="BP3372" s="69" t="s">
        <v>8541</v>
      </c>
      <c r="BQ3372" s="95" t="s">
        <v>8541</v>
      </c>
      <c r="BR3372" s="95" t="s">
        <v>8541</v>
      </c>
      <c r="BT3372" s="95" t="s">
        <v>9772</v>
      </c>
      <c r="CC3372" s="99">
        <v>7</v>
      </c>
      <c r="CD3372" s="90" t="s">
        <v>10449</v>
      </c>
      <c r="CV3372" s="99"/>
      <c r="CW3372" s="63"/>
    </row>
    <row r="3373" spans="1:101" x14ac:dyDescent="0.15">
      <c r="A3373" s="76">
        <v>3133</v>
      </c>
      <c r="B3373" s="74" t="s">
        <v>3923</v>
      </c>
      <c r="C3373" s="74">
        <v>1066755558</v>
      </c>
      <c r="D3373" s="78" t="str">
        <f t="shared" si="112"/>
        <v>https://portal.dnb.de/opac.htm?method=simpleSearch&amp;cqlMode=true&amp;query=idn%3D1066755558</v>
      </c>
      <c r="E3373" s="74" t="s">
        <v>3924</v>
      </c>
      <c r="F3373" s="74"/>
      <c r="G3373" s="76"/>
      <c r="H3373" s="77"/>
      <c r="I3373" s="76"/>
      <c r="J3373" s="77"/>
      <c r="K3373" s="77"/>
      <c r="L3373" s="76"/>
      <c r="M3373" s="76"/>
      <c r="N3373" s="76"/>
      <c r="O3373" s="76"/>
      <c r="P3373" s="76"/>
      <c r="Q3373" s="76"/>
      <c r="R3373" s="76"/>
      <c r="S3373" s="76"/>
      <c r="BD3373" s="99">
        <f t="shared" si="111"/>
        <v>0</v>
      </c>
      <c r="CC3373" s="99"/>
      <c r="CV3373" s="99"/>
      <c r="CW3373" s="63"/>
    </row>
    <row r="3374" spans="1:101" x14ac:dyDescent="0.15">
      <c r="A3374" s="76">
        <v>3134</v>
      </c>
      <c r="B3374" s="74" t="s">
        <v>3925</v>
      </c>
      <c r="C3374" s="74">
        <v>1066791236</v>
      </c>
      <c r="D3374" s="78" t="str">
        <f t="shared" si="112"/>
        <v>https://portal.dnb.de/opac.htm?method=simpleSearch&amp;cqlMode=true&amp;query=idn%3D1066791236</v>
      </c>
      <c r="E3374" s="74" t="s">
        <v>3926</v>
      </c>
      <c r="F3374" s="74"/>
      <c r="G3374" s="76"/>
      <c r="H3374" s="77"/>
      <c r="I3374" s="76"/>
      <c r="J3374" s="77"/>
      <c r="K3374" s="77"/>
      <c r="L3374" s="76"/>
      <c r="M3374" s="76"/>
      <c r="N3374" s="76"/>
      <c r="O3374" s="76"/>
      <c r="P3374" s="76"/>
      <c r="Q3374" s="76"/>
      <c r="R3374" s="76"/>
      <c r="S3374" s="76"/>
      <c r="BD3374" s="99">
        <f t="shared" si="111"/>
        <v>0</v>
      </c>
      <c r="CC3374" s="99"/>
      <c r="CV3374" s="99"/>
      <c r="CW3374" s="63"/>
    </row>
    <row r="3375" spans="1:101" x14ac:dyDescent="0.15">
      <c r="A3375" s="76">
        <v>3135</v>
      </c>
      <c r="B3375" s="74" t="s">
        <v>3927</v>
      </c>
      <c r="C3375" s="74">
        <v>994197594</v>
      </c>
      <c r="D3375" s="78" t="str">
        <f t="shared" si="112"/>
        <v>https://portal.dnb.de/opac.htm?method=simpleSearch&amp;cqlMode=true&amp;query=idn%3D994197594</v>
      </c>
      <c r="E3375" s="74" t="s">
        <v>3928</v>
      </c>
      <c r="F3375" s="74"/>
      <c r="G3375" s="76"/>
      <c r="H3375" s="77"/>
      <c r="I3375" s="76"/>
      <c r="J3375" s="77"/>
      <c r="K3375" s="77"/>
      <c r="L3375" s="76"/>
      <c r="M3375" s="76"/>
      <c r="N3375" s="76"/>
      <c r="O3375" s="76"/>
      <c r="P3375" s="76"/>
      <c r="Q3375" s="76"/>
      <c r="R3375" s="76"/>
      <c r="S3375" s="76"/>
      <c r="BD3375" s="99">
        <f t="shared" si="111"/>
        <v>0</v>
      </c>
      <c r="CC3375" s="99"/>
      <c r="CV3375" s="99"/>
      <c r="CW3375" s="63"/>
    </row>
    <row r="3376" spans="1:101" x14ac:dyDescent="0.15">
      <c r="A3376" s="76">
        <v>3136</v>
      </c>
      <c r="B3376" s="74" t="s">
        <v>3929</v>
      </c>
      <c r="C3376" s="74">
        <v>994197667</v>
      </c>
      <c r="D3376" s="78" t="str">
        <f t="shared" si="112"/>
        <v>https://portal.dnb.de/opac.htm?method=simpleSearch&amp;cqlMode=true&amp;query=idn%3D994197667</v>
      </c>
      <c r="E3376" s="74" t="s">
        <v>3928</v>
      </c>
      <c r="F3376" s="74"/>
      <c r="G3376" s="76"/>
      <c r="H3376" s="77"/>
      <c r="I3376" s="76"/>
      <c r="J3376" s="77"/>
      <c r="K3376" s="77"/>
      <c r="L3376" s="76"/>
      <c r="M3376" s="76"/>
      <c r="N3376" s="76"/>
      <c r="O3376" s="76"/>
      <c r="P3376" s="76"/>
      <c r="Q3376" s="76"/>
      <c r="R3376" s="76"/>
      <c r="S3376" s="76"/>
      <c r="BD3376" s="99">
        <f t="shared" si="111"/>
        <v>0</v>
      </c>
      <c r="CC3376" s="99"/>
      <c r="CV3376" s="99"/>
      <c r="CW3376" s="63"/>
    </row>
    <row r="3377" spans="1:101" x14ac:dyDescent="0.15">
      <c r="A3377" s="76">
        <v>3137</v>
      </c>
      <c r="B3377" s="74" t="s">
        <v>3930</v>
      </c>
      <c r="C3377" s="74">
        <v>994197764</v>
      </c>
      <c r="D3377" s="78" t="str">
        <f t="shared" si="112"/>
        <v>https://portal.dnb.de/opac.htm?method=simpleSearch&amp;cqlMode=true&amp;query=idn%3D994197764</v>
      </c>
      <c r="E3377" s="74" t="s">
        <v>3928</v>
      </c>
      <c r="F3377" s="74"/>
      <c r="G3377" s="76"/>
      <c r="H3377" s="77"/>
      <c r="I3377" s="76"/>
      <c r="J3377" s="77"/>
      <c r="K3377" s="77"/>
      <c r="L3377" s="76"/>
      <c r="M3377" s="76"/>
      <c r="N3377" s="76"/>
      <c r="O3377" s="76"/>
      <c r="P3377" s="76"/>
      <c r="Q3377" s="76"/>
      <c r="R3377" s="76"/>
      <c r="S3377" s="76"/>
      <c r="BD3377" s="99">
        <f t="shared" si="111"/>
        <v>0</v>
      </c>
      <c r="CC3377" s="99"/>
      <c r="CV3377" s="99"/>
      <c r="CW3377" s="63"/>
    </row>
    <row r="3378" spans="1:101" x14ac:dyDescent="0.15">
      <c r="A3378" s="76">
        <v>3138</v>
      </c>
      <c r="B3378" s="74" t="s">
        <v>3931</v>
      </c>
      <c r="C3378" s="74">
        <v>994201419</v>
      </c>
      <c r="D3378" s="78" t="str">
        <f t="shared" si="112"/>
        <v>https://portal.dnb.de/opac.htm?method=simpleSearch&amp;cqlMode=true&amp;query=idn%3D994201419</v>
      </c>
      <c r="E3378" s="74" t="s">
        <v>3932</v>
      </c>
      <c r="F3378" s="74"/>
      <c r="G3378" s="76"/>
      <c r="H3378" s="77"/>
      <c r="I3378" s="76"/>
      <c r="J3378" s="77"/>
      <c r="K3378" s="77"/>
      <c r="L3378" s="76"/>
      <c r="M3378" s="76"/>
      <c r="N3378" s="76"/>
      <c r="O3378" s="76"/>
      <c r="P3378" s="76"/>
      <c r="Q3378" s="76"/>
      <c r="R3378" s="76"/>
      <c r="S3378" s="76"/>
      <c r="BD3378" s="99">
        <f t="shared" si="111"/>
        <v>0</v>
      </c>
      <c r="CC3378" s="99"/>
      <c r="CV3378" s="99"/>
      <c r="CW3378" s="63"/>
    </row>
    <row r="3379" spans="1:101" x14ac:dyDescent="0.15">
      <c r="A3379" s="76">
        <v>3139</v>
      </c>
      <c r="B3379" s="74" t="s">
        <v>3935</v>
      </c>
      <c r="C3379" s="74">
        <v>1002320488</v>
      </c>
      <c r="D3379" s="78" t="str">
        <f t="shared" si="112"/>
        <v>https://portal.dnb.de/opac.htm?method=simpleSearch&amp;cqlMode=true&amp;query=idn%3D1002320488</v>
      </c>
      <c r="E3379" s="74" t="s">
        <v>3936</v>
      </c>
      <c r="F3379" s="74"/>
      <c r="G3379" s="76"/>
      <c r="H3379" s="77"/>
      <c r="I3379" s="76"/>
      <c r="J3379" s="77"/>
      <c r="K3379" s="77"/>
      <c r="L3379" s="76"/>
      <c r="M3379" s="76"/>
      <c r="N3379" s="76"/>
      <c r="O3379" s="76"/>
      <c r="P3379" s="76"/>
      <c r="Q3379" s="76"/>
      <c r="R3379" s="76"/>
      <c r="S3379" s="76"/>
      <c r="BD3379" s="99">
        <f t="shared" si="111"/>
        <v>0</v>
      </c>
      <c r="CC3379" s="99"/>
      <c r="CV3379" s="99"/>
      <c r="CW3379" s="63"/>
    </row>
    <row r="3380" spans="1:101" x14ac:dyDescent="0.15">
      <c r="A3380" s="76">
        <v>3140</v>
      </c>
      <c r="B3380" s="74" t="s">
        <v>3937</v>
      </c>
      <c r="C3380" s="74">
        <v>1002494974</v>
      </c>
      <c r="D3380" s="78" t="str">
        <f t="shared" si="112"/>
        <v>https://portal.dnb.de/opac.htm?method=simpleSearch&amp;cqlMode=true&amp;query=idn%3D1002494974</v>
      </c>
      <c r="E3380" s="74" t="s">
        <v>3938</v>
      </c>
      <c r="F3380" s="74"/>
      <c r="G3380" s="76"/>
      <c r="H3380" s="77"/>
      <c r="I3380" s="76"/>
      <c r="J3380" s="77"/>
      <c r="K3380" s="77"/>
      <c r="L3380" s="76"/>
      <c r="M3380" s="76"/>
      <c r="N3380" s="76"/>
      <c r="O3380" s="76"/>
      <c r="P3380" s="76"/>
      <c r="Q3380" s="76"/>
      <c r="R3380" s="76"/>
      <c r="S3380" s="76"/>
      <c r="BD3380" s="99">
        <f t="shared" si="111"/>
        <v>0</v>
      </c>
      <c r="CC3380" s="99"/>
      <c r="CV3380" s="99"/>
      <c r="CW3380" s="63"/>
    </row>
    <row r="3381" spans="1:101" x14ac:dyDescent="0.15">
      <c r="A3381" s="76">
        <v>3141</v>
      </c>
      <c r="B3381" s="74" t="s">
        <v>3939</v>
      </c>
      <c r="C3381" s="74">
        <v>999338838</v>
      </c>
      <c r="D3381" s="78" t="str">
        <f t="shared" si="112"/>
        <v>https://portal.dnb.de/opac.htm?method=simpleSearch&amp;cqlMode=true&amp;query=idn%3D999338838</v>
      </c>
      <c r="E3381" s="74" t="s">
        <v>3938</v>
      </c>
      <c r="F3381" s="74"/>
      <c r="G3381" s="76"/>
      <c r="H3381" s="77"/>
      <c r="I3381" s="76"/>
      <c r="J3381" s="77"/>
      <c r="K3381" s="77"/>
      <c r="L3381" s="76"/>
      <c r="M3381" s="76"/>
      <c r="N3381" s="76"/>
      <c r="O3381" s="76"/>
      <c r="P3381" s="76"/>
      <c r="Q3381" s="76"/>
      <c r="R3381" s="76"/>
      <c r="S3381" s="76"/>
      <c r="BD3381" s="99">
        <f t="shared" si="111"/>
        <v>0</v>
      </c>
      <c r="CC3381" s="99"/>
      <c r="CV3381" s="99"/>
      <c r="CW3381" s="63"/>
    </row>
    <row r="3382" spans="1:101" x14ac:dyDescent="0.15">
      <c r="A3382" s="76">
        <v>3142</v>
      </c>
      <c r="B3382" s="74" t="s">
        <v>3940</v>
      </c>
      <c r="C3382" s="74">
        <v>1002494877</v>
      </c>
      <c r="D3382" s="78" t="str">
        <f t="shared" si="112"/>
        <v>https://portal.dnb.de/opac.htm?method=simpleSearch&amp;cqlMode=true&amp;query=idn%3D1002494877</v>
      </c>
      <c r="E3382" s="74" t="s">
        <v>3938</v>
      </c>
      <c r="F3382" s="74"/>
      <c r="G3382" s="76"/>
      <c r="H3382" s="77"/>
      <c r="I3382" s="76"/>
      <c r="J3382" s="77"/>
      <c r="K3382" s="77"/>
      <c r="L3382" s="76"/>
      <c r="M3382" s="76"/>
      <c r="N3382" s="76"/>
      <c r="O3382" s="76"/>
      <c r="P3382" s="76"/>
      <c r="Q3382" s="76"/>
      <c r="R3382" s="76"/>
      <c r="S3382" s="76"/>
      <c r="BD3382" s="99">
        <f t="shared" si="111"/>
        <v>0</v>
      </c>
      <c r="CC3382" s="99"/>
      <c r="CV3382" s="99"/>
      <c r="CW3382" s="63"/>
    </row>
    <row r="3383" spans="1:101" x14ac:dyDescent="0.15">
      <c r="A3383" s="76">
        <v>3143</v>
      </c>
      <c r="B3383" s="74" t="s">
        <v>3941</v>
      </c>
      <c r="C3383" s="74">
        <v>994213956</v>
      </c>
      <c r="D3383" s="78" t="str">
        <f t="shared" si="112"/>
        <v>https://portal.dnb.de/opac.htm?method=simpleSearch&amp;cqlMode=true&amp;query=idn%3D994213956</v>
      </c>
      <c r="E3383" s="74" t="s">
        <v>3942</v>
      </c>
      <c r="F3383" s="74"/>
      <c r="G3383" s="76"/>
      <c r="H3383" s="77"/>
      <c r="I3383" s="76"/>
      <c r="J3383" s="77"/>
      <c r="K3383" s="77"/>
      <c r="L3383" s="76"/>
      <c r="M3383" s="76"/>
      <c r="N3383" s="76"/>
      <c r="O3383" s="76"/>
      <c r="P3383" s="76"/>
      <c r="Q3383" s="76"/>
      <c r="R3383" s="76"/>
      <c r="S3383" s="76"/>
      <c r="BD3383" s="99">
        <f t="shared" si="111"/>
        <v>0</v>
      </c>
      <c r="CC3383" s="99"/>
      <c r="CV3383" s="99"/>
      <c r="CW3383" s="63"/>
    </row>
    <row r="3384" spans="1:101" x14ac:dyDescent="0.15">
      <c r="A3384" s="76">
        <v>3144</v>
      </c>
      <c r="B3384" s="74" t="s">
        <v>3943</v>
      </c>
      <c r="C3384" s="74">
        <v>994214014</v>
      </c>
      <c r="D3384" s="78" t="str">
        <f t="shared" si="112"/>
        <v>https://portal.dnb.de/opac.htm?method=simpleSearch&amp;cqlMode=true&amp;query=idn%3D994214014</v>
      </c>
      <c r="E3384" s="74" t="s">
        <v>3942</v>
      </c>
      <c r="F3384" s="74"/>
      <c r="G3384" s="76"/>
      <c r="H3384" s="77"/>
      <c r="I3384" s="76"/>
      <c r="J3384" s="77"/>
      <c r="K3384" s="77"/>
      <c r="L3384" s="76"/>
      <c r="M3384" s="76"/>
      <c r="N3384" s="76"/>
      <c r="O3384" s="76"/>
      <c r="P3384" s="76"/>
      <c r="Q3384" s="76"/>
      <c r="R3384" s="76"/>
      <c r="S3384" s="76"/>
      <c r="BD3384" s="99">
        <f t="shared" si="111"/>
        <v>0</v>
      </c>
      <c r="CC3384" s="99"/>
      <c r="CV3384" s="99"/>
      <c r="CW3384" s="63"/>
    </row>
    <row r="3385" spans="1:101" x14ac:dyDescent="0.15">
      <c r="A3385" s="76">
        <v>3145</v>
      </c>
      <c r="B3385" s="74" t="s">
        <v>3944</v>
      </c>
      <c r="C3385" s="74">
        <v>994214154</v>
      </c>
      <c r="D3385" s="78" t="str">
        <f t="shared" si="112"/>
        <v>https://portal.dnb.de/opac.htm?method=simpleSearch&amp;cqlMode=true&amp;query=idn%3D994214154</v>
      </c>
      <c r="E3385" s="74" t="s">
        <v>3942</v>
      </c>
      <c r="F3385" s="74"/>
      <c r="G3385" s="76"/>
      <c r="H3385" s="77"/>
      <c r="I3385" s="76"/>
      <c r="J3385" s="77"/>
      <c r="K3385" s="77"/>
      <c r="L3385" s="76"/>
      <c r="M3385" s="76"/>
      <c r="N3385" s="76"/>
      <c r="O3385" s="76"/>
      <c r="P3385" s="76"/>
      <c r="Q3385" s="76"/>
      <c r="R3385" s="76"/>
      <c r="S3385" s="76"/>
      <c r="BD3385" s="99">
        <f t="shared" si="111"/>
        <v>0</v>
      </c>
      <c r="CC3385" s="99"/>
      <c r="CV3385" s="99"/>
      <c r="CW3385" s="63"/>
    </row>
    <row r="3386" spans="1:101" x14ac:dyDescent="0.15">
      <c r="A3386" s="76">
        <v>3146</v>
      </c>
      <c r="B3386" s="74" t="s">
        <v>3907</v>
      </c>
      <c r="C3386" s="74">
        <v>1001072499</v>
      </c>
      <c r="D3386" s="78" t="str">
        <f t="shared" si="112"/>
        <v>https://portal.dnb.de/opac.htm?method=simpleSearch&amp;cqlMode=true&amp;query=idn%3D1001072499</v>
      </c>
      <c r="E3386" s="74" t="s">
        <v>3908</v>
      </c>
      <c r="F3386" s="74"/>
      <c r="G3386" s="76"/>
      <c r="H3386" s="77"/>
      <c r="I3386" s="76"/>
      <c r="J3386" s="77"/>
      <c r="K3386" s="77"/>
      <c r="L3386" s="76"/>
      <c r="M3386" s="76"/>
      <c r="N3386" s="76"/>
      <c r="O3386" s="76"/>
      <c r="P3386" s="76"/>
      <c r="Q3386" s="76"/>
      <c r="R3386" s="76"/>
      <c r="S3386" s="76"/>
      <c r="BD3386" s="99">
        <f t="shared" si="111"/>
        <v>0</v>
      </c>
      <c r="CC3386" s="99"/>
      <c r="CV3386" s="99"/>
      <c r="CW3386" s="63"/>
    </row>
    <row r="3387" spans="1:101" x14ac:dyDescent="0.15">
      <c r="A3387" s="76">
        <v>3147</v>
      </c>
      <c r="B3387" s="74" t="s">
        <v>3909</v>
      </c>
      <c r="C3387" s="74">
        <v>1001072642</v>
      </c>
      <c r="D3387" s="78" t="str">
        <f t="shared" si="112"/>
        <v>https://portal.dnb.de/opac.htm?method=simpleSearch&amp;cqlMode=true&amp;query=idn%3D1001072642</v>
      </c>
      <c r="E3387" s="74" t="s">
        <v>3908</v>
      </c>
      <c r="F3387" s="74"/>
      <c r="G3387" s="76"/>
      <c r="H3387" s="77"/>
      <c r="I3387" s="76"/>
      <c r="J3387" s="77"/>
      <c r="K3387" s="77"/>
      <c r="L3387" s="76"/>
      <c r="M3387" s="76"/>
      <c r="N3387" s="76"/>
      <c r="O3387" s="76"/>
      <c r="P3387" s="76"/>
      <c r="Q3387" s="76"/>
      <c r="R3387" s="76"/>
      <c r="S3387" s="76"/>
      <c r="BD3387" s="99">
        <f t="shared" si="111"/>
        <v>0</v>
      </c>
      <c r="CC3387" s="99"/>
      <c r="CV3387" s="99"/>
      <c r="CW3387" s="63"/>
    </row>
    <row r="3388" spans="1:101" x14ac:dyDescent="0.15">
      <c r="A3388" s="76">
        <v>3148</v>
      </c>
      <c r="B3388" s="74" t="s">
        <v>3910</v>
      </c>
      <c r="C3388" s="74">
        <v>1001072782</v>
      </c>
      <c r="D3388" s="78" t="str">
        <f t="shared" si="112"/>
        <v>https://portal.dnb.de/opac.htm?method=simpleSearch&amp;cqlMode=true&amp;query=idn%3D1001072782</v>
      </c>
      <c r="E3388" s="74" t="s">
        <v>3908</v>
      </c>
      <c r="F3388" s="74"/>
      <c r="G3388" s="76"/>
      <c r="H3388" s="77"/>
      <c r="I3388" s="76"/>
      <c r="J3388" s="77"/>
      <c r="K3388" s="77"/>
      <c r="L3388" s="76"/>
      <c r="M3388" s="76"/>
      <c r="N3388" s="76"/>
      <c r="O3388" s="76"/>
      <c r="P3388" s="76"/>
      <c r="Q3388" s="76"/>
      <c r="R3388" s="76"/>
      <c r="S3388" s="76"/>
      <c r="BD3388" s="99">
        <f t="shared" si="111"/>
        <v>0</v>
      </c>
      <c r="CC3388" s="99"/>
      <c r="CV3388" s="99"/>
      <c r="CW3388" s="63"/>
    </row>
    <row r="3389" spans="1:101" x14ac:dyDescent="0.15">
      <c r="A3389" s="76">
        <v>3149</v>
      </c>
      <c r="B3389" s="74" t="s">
        <v>3911</v>
      </c>
      <c r="C3389" s="74">
        <v>998905399</v>
      </c>
      <c r="D3389" s="78" t="str">
        <f t="shared" si="112"/>
        <v>https://portal.dnb.de/opac.htm?method=simpleSearch&amp;cqlMode=true&amp;query=idn%3D998905399</v>
      </c>
      <c r="E3389" s="74" t="s">
        <v>3912</v>
      </c>
      <c r="F3389" s="74"/>
      <c r="G3389" s="76"/>
      <c r="H3389" s="77"/>
      <c r="I3389" s="76"/>
      <c r="J3389" s="77"/>
      <c r="K3389" s="77"/>
      <c r="L3389" s="76"/>
      <c r="M3389" s="76"/>
      <c r="N3389" s="76"/>
      <c r="O3389" s="76"/>
      <c r="P3389" s="76"/>
      <c r="Q3389" s="76"/>
      <c r="R3389" s="76"/>
      <c r="S3389" s="76"/>
      <c r="BD3389" s="99">
        <f t="shared" si="111"/>
        <v>0</v>
      </c>
      <c r="CC3389" s="99"/>
      <c r="CV3389" s="99"/>
      <c r="CW3389" s="63"/>
    </row>
    <row r="3390" spans="1:101" x14ac:dyDescent="0.15">
      <c r="A3390" s="76">
        <v>3150</v>
      </c>
      <c r="B3390" s="74" t="s">
        <v>3913</v>
      </c>
      <c r="C3390" s="74">
        <v>994263090</v>
      </c>
      <c r="D3390" s="78" t="str">
        <f t="shared" si="112"/>
        <v>https://portal.dnb.de/opac.htm?method=simpleSearch&amp;cqlMode=true&amp;query=idn%3D994263090</v>
      </c>
      <c r="E3390" s="74" t="s">
        <v>3914</v>
      </c>
      <c r="F3390" s="74"/>
      <c r="G3390" s="76"/>
      <c r="H3390" s="77"/>
      <c r="I3390" s="76"/>
      <c r="J3390" s="77"/>
      <c r="K3390" s="77"/>
      <c r="L3390" s="76"/>
      <c r="M3390" s="76"/>
      <c r="N3390" s="76"/>
      <c r="O3390" s="76"/>
      <c r="P3390" s="76"/>
      <c r="Q3390" s="76"/>
      <c r="R3390" s="76"/>
      <c r="S3390" s="76"/>
      <c r="BD3390" s="99">
        <f t="shared" si="111"/>
        <v>0</v>
      </c>
      <c r="CC3390" s="99"/>
      <c r="CV3390" s="99"/>
      <c r="CW3390" s="63"/>
    </row>
    <row r="3391" spans="1:101" x14ac:dyDescent="0.15">
      <c r="A3391" s="76">
        <v>3151</v>
      </c>
      <c r="B3391" s="74" t="s">
        <v>3915</v>
      </c>
      <c r="C3391" s="74">
        <v>997905387</v>
      </c>
      <c r="D3391" s="78" t="str">
        <f t="shared" si="112"/>
        <v>https://portal.dnb.de/opac.htm?method=simpleSearch&amp;cqlMode=true&amp;query=idn%3D997905387</v>
      </c>
      <c r="E3391" s="74" t="s">
        <v>3916</v>
      </c>
      <c r="F3391" s="74"/>
      <c r="G3391" s="76"/>
      <c r="H3391" s="77"/>
      <c r="I3391" s="76"/>
      <c r="J3391" s="77"/>
      <c r="K3391" s="77"/>
      <c r="L3391" s="76"/>
      <c r="M3391" s="76"/>
      <c r="N3391" s="76"/>
      <c r="O3391" s="76"/>
      <c r="P3391" s="76"/>
      <c r="Q3391" s="76"/>
      <c r="R3391" s="76"/>
      <c r="S3391" s="76"/>
      <c r="BD3391" s="99">
        <f t="shared" si="111"/>
        <v>0</v>
      </c>
      <c r="CC3391" s="99"/>
      <c r="CV3391" s="99"/>
      <c r="CW3391" s="63"/>
    </row>
    <row r="3392" spans="1:101" x14ac:dyDescent="0.15">
      <c r="A3392" s="76">
        <v>3152</v>
      </c>
      <c r="B3392" s="74" t="s">
        <v>3903</v>
      </c>
      <c r="C3392" s="74">
        <v>1208537776</v>
      </c>
      <c r="D3392" s="78" t="str">
        <f t="shared" si="112"/>
        <v>https://portal.dnb.de/opac.htm?method=simpleSearch&amp;cqlMode=true&amp;query=idn%3D1208537776</v>
      </c>
      <c r="E3392" s="74" t="s">
        <v>3904</v>
      </c>
      <c r="F3392" s="74"/>
      <c r="G3392" s="76"/>
      <c r="H3392" s="77"/>
      <c r="I3392" s="76"/>
      <c r="J3392" s="77"/>
      <c r="K3392" s="77"/>
      <c r="L3392" s="76"/>
      <c r="M3392" s="76"/>
      <c r="N3392" s="76"/>
      <c r="O3392" s="76"/>
      <c r="P3392" s="76"/>
      <c r="Q3392" s="76"/>
      <c r="R3392" s="76"/>
      <c r="S3392" s="76"/>
      <c r="BD3392" s="99">
        <f t="shared" si="111"/>
        <v>0</v>
      </c>
      <c r="CC3392" s="99"/>
      <c r="CV3392" s="99"/>
      <c r="CW3392" s="63"/>
    </row>
    <row r="3393" spans="1:101" x14ac:dyDescent="0.15">
      <c r="A3393" s="76">
        <v>3153</v>
      </c>
      <c r="B3393" s="74" t="s">
        <v>3905</v>
      </c>
      <c r="C3393" s="74">
        <v>1208925954</v>
      </c>
      <c r="D3393" s="78" t="str">
        <f t="shared" si="112"/>
        <v>https://portal.dnb.de/opac.htm?method=simpleSearch&amp;cqlMode=true&amp;query=idn%3D1208925954</v>
      </c>
      <c r="E3393" s="74" t="s">
        <v>3906</v>
      </c>
      <c r="F3393" s="74"/>
      <c r="G3393" s="76"/>
      <c r="H3393" s="77"/>
      <c r="I3393" s="76"/>
      <c r="J3393" s="77"/>
      <c r="K3393" s="77"/>
      <c r="L3393" s="76"/>
      <c r="M3393" s="76"/>
      <c r="N3393" s="76"/>
      <c r="O3393" s="76"/>
      <c r="P3393" s="76"/>
      <c r="Q3393" s="76"/>
      <c r="R3393" s="76"/>
      <c r="S3393" s="76"/>
      <c r="BD3393" s="99">
        <f t="shared" si="111"/>
        <v>0</v>
      </c>
      <c r="CC3393" s="99"/>
      <c r="CV3393" s="99"/>
      <c r="CW3393" s="63"/>
    </row>
    <row r="3394" spans="1:101" x14ac:dyDescent="0.15">
      <c r="A3394" s="76">
        <v>3154</v>
      </c>
      <c r="B3394" s="74" t="s">
        <v>3945</v>
      </c>
      <c r="C3394" s="74">
        <v>1002643775</v>
      </c>
      <c r="D3394" s="78" t="str">
        <f t="shared" si="112"/>
        <v>https://portal.dnb.de/opac.htm?method=simpleSearch&amp;cqlMode=true&amp;query=idn%3D1002643775</v>
      </c>
      <c r="E3394" s="74" t="s">
        <v>3946</v>
      </c>
      <c r="F3394" s="74"/>
      <c r="G3394" s="76"/>
      <c r="H3394" s="77"/>
      <c r="I3394" s="76"/>
      <c r="J3394" s="77"/>
      <c r="K3394" s="77"/>
      <c r="L3394" s="76"/>
      <c r="M3394" s="76"/>
      <c r="N3394" s="76"/>
      <c r="O3394" s="76"/>
      <c r="P3394" s="76"/>
      <c r="Q3394" s="76"/>
      <c r="R3394" s="76"/>
      <c r="S3394" s="76"/>
      <c r="BD3394" s="99">
        <f t="shared" si="111"/>
        <v>0</v>
      </c>
      <c r="CC3394" s="99"/>
      <c r="CV3394" s="99"/>
      <c r="CW3394" s="63"/>
    </row>
    <row r="3395" spans="1:101" x14ac:dyDescent="0.15">
      <c r="A3395" s="76">
        <v>3155</v>
      </c>
      <c r="B3395" s="74" t="s">
        <v>3947</v>
      </c>
      <c r="C3395" s="74">
        <v>1211126099</v>
      </c>
      <c r="D3395" s="78" t="str">
        <f t="shared" si="112"/>
        <v>https://portal.dnb.de/opac.htm?method=simpleSearch&amp;cqlMode=true&amp;query=idn%3D1211126099</v>
      </c>
      <c r="E3395" s="74" t="s">
        <v>3948</v>
      </c>
      <c r="F3395" s="74"/>
      <c r="G3395" s="76"/>
      <c r="H3395" s="77"/>
      <c r="I3395" s="76"/>
      <c r="J3395" s="77"/>
      <c r="K3395" s="77"/>
      <c r="L3395" s="76"/>
      <c r="M3395" s="76"/>
      <c r="N3395" s="76"/>
      <c r="O3395" s="76"/>
      <c r="P3395" s="76"/>
      <c r="Q3395" s="76"/>
      <c r="R3395" s="76"/>
      <c r="S3395" s="76"/>
      <c r="BD3395" s="99">
        <f t="shared" ref="BD3395:BD3458" si="113">CC3395+CV3395</f>
        <v>0</v>
      </c>
      <c r="CC3395" s="99"/>
      <c r="CV3395" s="99"/>
      <c r="CW3395" s="63"/>
    </row>
    <row r="3396" spans="1:101" x14ac:dyDescent="0.15">
      <c r="A3396" s="76">
        <v>3156</v>
      </c>
      <c r="B3396" s="74" t="s">
        <v>3949</v>
      </c>
      <c r="C3396" s="74">
        <v>1066865779</v>
      </c>
      <c r="D3396" s="78" t="str">
        <f t="shared" si="112"/>
        <v>https://portal.dnb.de/opac.htm?method=simpleSearch&amp;cqlMode=true&amp;query=idn%3D1066865779</v>
      </c>
      <c r="E3396" s="74" t="s">
        <v>3950</v>
      </c>
      <c r="F3396" s="74"/>
      <c r="G3396" s="76"/>
      <c r="H3396" s="77"/>
      <c r="I3396" s="76" t="s">
        <v>53</v>
      </c>
      <c r="J3396" s="77"/>
      <c r="K3396" s="77"/>
      <c r="L3396" s="76"/>
      <c r="M3396" s="76"/>
      <c r="N3396" s="76"/>
      <c r="O3396" s="76"/>
      <c r="P3396" s="76"/>
      <c r="Q3396" s="76"/>
      <c r="R3396" s="76"/>
      <c r="S3396" s="76"/>
      <c r="X3396" s="95" t="s">
        <v>8541</v>
      </c>
      <c r="Y3396" s="95" t="s">
        <v>9735</v>
      </c>
      <c r="AA3396" s="95" t="s">
        <v>8541</v>
      </c>
      <c r="AC3396" s="95" t="s">
        <v>9739</v>
      </c>
      <c r="AI3396" s="95" t="s">
        <v>9725</v>
      </c>
      <c r="AJ3396" s="95" t="s">
        <v>8541</v>
      </c>
      <c r="AW3396" s="95">
        <v>110</v>
      </c>
      <c r="BC3396" s="96" t="s">
        <v>9726</v>
      </c>
      <c r="BD3396" s="99">
        <f t="shared" si="113"/>
        <v>1</v>
      </c>
      <c r="BH3396" s="95" t="s">
        <v>8541</v>
      </c>
      <c r="BM3396" s="69" t="s">
        <v>10007</v>
      </c>
      <c r="BP3396" s="69" t="s">
        <v>8541</v>
      </c>
      <c r="BR3396" s="95" t="s">
        <v>8541</v>
      </c>
      <c r="CC3396" s="99">
        <v>1</v>
      </c>
      <c r="CV3396" s="99"/>
      <c r="CW3396" s="63"/>
    </row>
    <row r="3397" spans="1:101" x14ac:dyDescent="0.15">
      <c r="A3397" s="76">
        <v>3157</v>
      </c>
      <c r="B3397" s="74" t="s">
        <v>3957</v>
      </c>
      <c r="C3397" s="74">
        <v>1066755485</v>
      </c>
      <c r="D3397" s="78" t="str">
        <f t="shared" si="112"/>
        <v>https://portal.dnb.de/opac.htm?method=simpleSearch&amp;cqlMode=true&amp;query=idn%3D1066755485</v>
      </c>
      <c r="E3397" s="74" t="s">
        <v>3958</v>
      </c>
      <c r="F3397" s="74"/>
      <c r="G3397" s="76"/>
      <c r="H3397" s="77"/>
      <c r="I3397" s="76"/>
      <c r="J3397" s="77"/>
      <c r="K3397" s="77"/>
      <c r="L3397" s="76"/>
      <c r="M3397" s="76"/>
      <c r="N3397" s="76"/>
      <c r="O3397" s="76"/>
      <c r="P3397" s="76"/>
      <c r="Q3397" s="76"/>
      <c r="R3397" s="76"/>
      <c r="S3397" s="76"/>
      <c r="BD3397" s="99">
        <f t="shared" si="113"/>
        <v>0</v>
      </c>
      <c r="CC3397" s="99"/>
      <c r="CV3397" s="99"/>
      <c r="CW3397" s="63"/>
    </row>
    <row r="3398" spans="1:101" x14ac:dyDescent="0.15">
      <c r="A3398" s="76">
        <v>3158</v>
      </c>
      <c r="B3398" s="74" t="s">
        <v>3959</v>
      </c>
      <c r="C3398" s="74">
        <v>1066940797</v>
      </c>
      <c r="D3398" s="78" t="str">
        <f t="shared" si="112"/>
        <v>https://portal.dnb.de/opac.htm?method=simpleSearch&amp;cqlMode=true&amp;query=idn%3D1066940797</v>
      </c>
      <c r="E3398" s="74" t="s">
        <v>3960</v>
      </c>
      <c r="F3398" s="74"/>
      <c r="G3398" s="76"/>
      <c r="H3398" s="77"/>
      <c r="I3398" s="76"/>
      <c r="J3398" s="77"/>
      <c r="K3398" s="77"/>
      <c r="L3398" s="76"/>
      <c r="M3398" s="76"/>
      <c r="N3398" s="76"/>
      <c r="O3398" s="76"/>
      <c r="P3398" s="76"/>
      <c r="Q3398" s="76"/>
      <c r="R3398" s="76"/>
      <c r="S3398" s="76"/>
      <c r="BD3398" s="99">
        <f t="shared" si="113"/>
        <v>0</v>
      </c>
      <c r="CC3398" s="99"/>
      <c r="CV3398" s="99"/>
      <c r="CW3398" s="63"/>
    </row>
    <row r="3399" spans="1:101" x14ac:dyDescent="0.15">
      <c r="A3399" s="76">
        <v>3159</v>
      </c>
      <c r="B3399" s="74" t="s">
        <v>4001</v>
      </c>
      <c r="C3399" s="74">
        <v>994215932</v>
      </c>
      <c r="D3399" s="78" t="str">
        <f t="shared" si="112"/>
        <v>https://portal.dnb.de/opac.htm?method=simpleSearch&amp;cqlMode=true&amp;query=idn%3D994215932</v>
      </c>
      <c r="E3399" s="74" t="s">
        <v>4002</v>
      </c>
      <c r="F3399" s="74"/>
      <c r="G3399" s="76"/>
      <c r="H3399" s="77"/>
      <c r="I3399" s="76"/>
      <c r="J3399" s="77"/>
      <c r="K3399" s="77"/>
      <c r="L3399" s="76"/>
      <c r="M3399" s="76"/>
      <c r="N3399" s="76"/>
      <c r="O3399" s="76"/>
      <c r="P3399" s="76"/>
      <c r="Q3399" s="76"/>
      <c r="R3399" s="76"/>
      <c r="S3399" s="76"/>
      <c r="BD3399" s="99">
        <f t="shared" si="113"/>
        <v>0</v>
      </c>
      <c r="CC3399" s="99"/>
      <c r="CV3399" s="99"/>
      <c r="CW3399" s="63"/>
    </row>
    <row r="3400" spans="1:101" x14ac:dyDescent="0.15">
      <c r="A3400" s="76">
        <v>3160</v>
      </c>
      <c r="B3400" s="74" t="s">
        <v>3966</v>
      </c>
      <c r="C3400" s="74">
        <v>1132652014</v>
      </c>
      <c r="D3400" s="78" t="str">
        <f t="shared" si="112"/>
        <v>https://portal.dnb.de/opac.htm?method=simpleSearch&amp;cqlMode=true&amp;query=idn%3D1132652014</v>
      </c>
      <c r="E3400" s="74" t="s">
        <v>3967</v>
      </c>
      <c r="F3400" s="74"/>
      <c r="G3400" s="76"/>
      <c r="H3400" s="77"/>
      <c r="I3400" s="76"/>
      <c r="J3400" s="77"/>
      <c r="K3400" s="77"/>
      <c r="L3400" s="76"/>
      <c r="M3400" s="76"/>
      <c r="N3400" s="76"/>
      <c r="O3400" s="76"/>
      <c r="P3400" s="76"/>
      <c r="Q3400" s="76"/>
      <c r="R3400" s="76"/>
      <c r="S3400" s="76"/>
      <c r="BD3400" s="99">
        <f t="shared" si="113"/>
        <v>0</v>
      </c>
      <c r="CC3400" s="99"/>
      <c r="CV3400" s="99"/>
      <c r="CW3400" s="63"/>
    </row>
    <row r="3401" spans="1:101" x14ac:dyDescent="0.15">
      <c r="A3401" s="76">
        <v>3161</v>
      </c>
      <c r="B3401" s="74" t="s">
        <v>3968</v>
      </c>
      <c r="C3401" s="74">
        <v>1132652022</v>
      </c>
      <c r="D3401" s="78" t="str">
        <f t="shared" si="112"/>
        <v>https://portal.dnb.de/opac.htm?method=simpleSearch&amp;cqlMode=true&amp;query=idn%3D1132652022</v>
      </c>
      <c r="E3401" s="74" t="s">
        <v>3967</v>
      </c>
      <c r="F3401" s="74"/>
      <c r="G3401" s="76"/>
      <c r="H3401" s="77"/>
      <c r="I3401" s="76"/>
      <c r="J3401" s="77"/>
      <c r="K3401" s="77"/>
      <c r="L3401" s="76"/>
      <c r="M3401" s="76"/>
      <c r="N3401" s="76"/>
      <c r="O3401" s="76"/>
      <c r="P3401" s="76"/>
      <c r="Q3401" s="76"/>
      <c r="R3401" s="76"/>
      <c r="S3401" s="76"/>
      <c r="BD3401" s="99">
        <f t="shared" si="113"/>
        <v>0</v>
      </c>
      <c r="CC3401" s="99"/>
      <c r="CV3401" s="99"/>
      <c r="CW3401" s="63"/>
    </row>
    <row r="3402" spans="1:101" x14ac:dyDescent="0.15">
      <c r="A3402" s="76">
        <v>3162</v>
      </c>
      <c r="B3402" s="74" t="s">
        <v>3985</v>
      </c>
      <c r="C3402" s="74">
        <v>1066940908</v>
      </c>
      <c r="D3402" s="78" t="str">
        <f t="shared" si="112"/>
        <v>https://portal.dnb.de/opac.htm?method=simpleSearch&amp;cqlMode=true&amp;query=idn%3D1066940908</v>
      </c>
      <c r="E3402" s="74" t="s">
        <v>3986</v>
      </c>
      <c r="F3402" s="74"/>
      <c r="G3402" s="76"/>
      <c r="H3402" s="77"/>
      <c r="I3402" s="76"/>
      <c r="J3402" s="77"/>
      <c r="K3402" s="77"/>
      <c r="L3402" s="76"/>
      <c r="M3402" s="76"/>
      <c r="N3402" s="76"/>
      <c r="O3402" s="76"/>
      <c r="P3402" s="76"/>
      <c r="Q3402" s="76"/>
      <c r="R3402" s="76"/>
      <c r="S3402" s="76"/>
      <c r="BD3402" s="99">
        <f t="shared" si="113"/>
        <v>0</v>
      </c>
      <c r="CC3402" s="99"/>
      <c r="CV3402" s="99"/>
      <c r="CW3402" s="63"/>
    </row>
    <row r="3403" spans="1:101" x14ac:dyDescent="0.15">
      <c r="A3403" s="76">
        <v>3163</v>
      </c>
      <c r="B3403" s="74" t="s">
        <v>3987</v>
      </c>
      <c r="C3403" s="74">
        <v>1066940770</v>
      </c>
      <c r="D3403" s="78" t="str">
        <f t="shared" ref="D3403:D3466" si="114">HYPERLINK(CONCATENATE("https://portal.dnb.de/opac.htm?method=simpleSearch&amp;cqlMode=true&amp;query=idn%3D",C3403))</f>
        <v>https://portal.dnb.de/opac.htm?method=simpleSearch&amp;cqlMode=true&amp;query=idn%3D1066940770</v>
      </c>
      <c r="E3403" s="74" t="s">
        <v>3988</v>
      </c>
      <c r="F3403" s="74"/>
      <c r="G3403" s="76"/>
      <c r="H3403" s="77"/>
      <c r="I3403" s="76"/>
      <c r="J3403" s="77"/>
      <c r="K3403" s="77"/>
      <c r="L3403" s="76"/>
      <c r="M3403" s="76"/>
      <c r="N3403" s="76"/>
      <c r="O3403" s="76"/>
      <c r="P3403" s="76"/>
      <c r="Q3403" s="76"/>
      <c r="R3403" s="76"/>
      <c r="S3403" s="76"/>
      <c r="BD3403" s="99">
        <f t="shared" si="113"/>
        <v>0</v>
      </c>
      <c r="CC3403" s="99"/>
      <c r="CV3403" s="99"/>
      <c r="CW3403" s="63"/>
    </row>
    <row r="3404" spans="1:101" x14ac:dyDescent="0.15">
      <c r="A3404" s="76">
        <v>3164</v>
      </c>
      <c r="B3404" s="74" t="s">
        <v>3989</v>
      </c>
      <c r="C3404" s="74">
        <v>1066847606</v>
      </c>
      <c r="D3404" s="78" t="str">
        <f t="shared" si="114"/>
        <v>https://portal.dnb.de/opac.htm?method=simpleSearch&amp;cqlMode=true&amp;query=idn%3D1066847606</v>
      </c>
      <c r="E3404" s="74" t="s">
        <v>3990</v>
      </c>
      <c r="F3404" s="74"/>
      <c r="G3404" s="76"/>
      <c r="H3404" s="77"/>
      <c r="I3404" s="76"/>
      <c r="J3404" s="77"/>
      <c r="K3404" s="77"/>
      <c r="L3404" s="76"/>
      <c r="M3404" s="76"/>
      <c r="N3404" s="76"/>
      <c r="O3404" s="76"/>
      <c r="P3404" s="76"/>
      <c r="Q3404" s="76"/>
      <c r="R3404" s="76"/>
      <c r="S3404" s="76"/>
      <c r="BD3404" s="99">
        <f t="shared" si="113"/>
        <v>0</v>
      </c>
      <c r="CC3404" s="99"/>
      <c r="CV3404" s="99"/>
      <c r="CW3404" s="63"/>
    </row>
    <row r="3405" spans="1:101" ht="45" x14ac:dyDescent="0.15">
      <c r="A3405" s="76">
        <v>3165</v>
      </c>
      <c r="B3405" s="74" t="s">
        <v>4003</v>
      </c>
      <c r="C3405" s="74">
        <v>1066756759</v>
      </c>
      <c r="D3405" s="78" t="str">
        <f t="shared" si="114"/>
        <v>https://portal.dnb.de/opac.htm?method=simpleSearch&amp;cqlMode=true&amp;query=idn%3D1066756759</v>
      </c>
      <c r="E3405" s="74" t="s">
        <v>8526</v>
      </c>
      <c r="F3405" s="74"/>
      <c r="G3405" s="76"/>
      <c r="H3405" s="77"/>
      <c r="I3405" s="76" t="s">
        <v>55</v>
      </c>
      <c r="J3405" s="77"/>
      <c r="K3405" s="77"/>
      <c r="L3405" s="76"/>
      <c r="M3405" s="76"/>
      <c r="N3405" s="76"/>
      <c r="O3405" s="76"/>
      <c r="P3405" s="76"/>
      <c r="Q3405" s="76"/>
      <c r="R3405" s="76"/>
      <c r="S3405" s="76"/>
      <c r="Y3405" s="95" t="s">
        <v>9763</v>
      </c>
      <c r="AA3405" s="95" t="s">
        <v>8541</v>
      </c>
      <c r="AC3405" s="95" t="s">
        <v>9724</v>
      </c>
      <c r="AI3405" s="95" t="s">
        <v>9725</v>
      </c>
      <c r="AK3405" s="95" t="s">
        <v>8541</v>
      </c>
      <c r="AW3405" s="95">
        <v>45</v>
      </c>
      <c r="BC3405" s="96" t="s">
        <v>9726</v>
      </c>
      <c r="BD3405" s="99">
        <f t="shared" si="113"/>
        <v>2.5</v>
      </c>
      <c r="BH3405" s="95" t="s">
        <v>8541</v>
      </c>
      <c r="BP3405" s="69" t="s">
        <v>8541</v>
      </c>
      <c r="BQ3405" s="95" t="s">
        <v>8541</v>
      </c>
      <c r="BR3405" s="95" t="s">
        <v>8541</v>
      </c>
      <c r="BX3405" s="95" t="s">
        <v>9882</v>
      </c>
      <c r="CC3405" s="99">
        <v>2.5</v>
      </c>
      <c r="CD3405" s="90" t="s">
        <v>10450</v>
      </c>
      <c r="CV3405" s="99"/>
      <c r="CW3405" s="63"/>
    </row>
    <row r="3406" spans="1:101" x14ac:dyDescent="0.15">
      <c r="A3406" s="76">
        <v>3166</v>
      </c>
      <c r="B3406" s="74" t="s">
        <v>3991</v>
      </c>
      <c r="C3406" s="74">
        <v>1002182603</v>
      </c>
      <c r="D3406" s="78" t="str">
        <f t="shared" si="114"/>
        <v>https://portal.dnb.de/opac.htm?method=simpleSearch&amp;cqlMode=true&amp;query=idn%3D1002182603</v>
      </c>
      <c r="E3406" s="74" t="s">
        <v>3992</v>
      </c>
      <c r="F3406" s="74"/>
      <c r="G3406" s="76"/>
      <c r="H3406" s="77"/>
      <c r="I3406" s="76"/>
      <c r="J3406" s="77"/>
      <c r="K3406" s="77"/>
      <c r="L3406" s="76"/>
      <c r="M3406" s="76"/>
      <c r="N3406" s="76"/>
      <c r="O3406" s="76"/>
      <c r="P3406" s="76"/>
      <c r="Q3406" s="76"/>
      <c r="R3406" s="76"/>
      <c r="S3406" s="76"/>
      <c r="BD3406" s="99">
        <f t="shared" si="113"/>
        <v>0</v>
      </c>
      <c r="CC3406" s="99"/>
      <c r="CV3406" s="99"/>
      <c r="CW3406" s="63"/>
    </row>
    <row r="3407" spans="1:101" x14ac:dyDescent="0.15">
      <c r="A3407" s="76">
        <v>3167</v>
      </c>
      <c r="B3407" s="74" t="s">
        <v>3993</v>
      </c>
      <c r="C3407" s="74">
        <v>1002182875</v>
      </c>
      <c r="D3407" s="78" t="str">
        <f t="shared" si="114"/>
        <v>https://portal.dnb.de/opac.htm?method=simpleSearch&amp;cqlMode=true&amp;query=idn%3D1002182875</v>
      </c>
      <c r="E3407" s="74" t="s">
        <v>3992</v>
      </c>
      <c r="F3407" s="74"/>
      <c r="G3407" s="76"/>
      <c r="H3407" s="77"/>
      <c r="I3407" s="76"/>
      <c r="J3407" s="77"/>
      <c r="K3407" s="77"/>
      <c r="L3407" s="76"/>
      <c r="M3407" s="76"/>
      <c r="N3407" s="76"/>
      <c r="O3407" s="76"/>
      <c r="P3407" s="76"/>
      <c r="Q3407" s="76"/>
      <c r="R3407" s="76"/>
      <c r="S3407" s="76"/>
      <c r="BD3407" s="99">
        <f t="shared" si="113"/>
        <v>0</v>
      </c>
      <c r="CC3407" s="99"/>
      <c r="CV3407" s="99"/>
      <c r="CW3407" s="63"/>
    </row>
    <row r="3408" spans="1:101" x14ac:dyDescent="0.15">
      <c r="A3408" s="76">
        <v>3168</v>
      </c>
      <c r="B3408" s="74" t="s">
        <v>3994</v>
      </c>
      <c r="C3408" s="74">
        <v>994434855</v>
      </c>
      <c r="D3408" s="78" t="str">
        <f t="shared" si="114"/>
        <v>https://portal.dnb.de/opac.htm?method=simpleSearch&amp;cqlMode=true&amp;query=idn%3D994434855</v>
      </c>
      <c r="E3408" s="74" t="s">
        <v>3995</v>
      </c>
      <c r="F3408" s="74"/>
      <c r="G3408" s="76"/>
      <c r="H3408" s="77"/>
      <c r="I3408" s="76"/>
      <c r="J3408" s="77"/>
      <c r="K3408" s="77"/>
      <c r="L3408" s="76"/>
      <c r="M3408" s="76"/>
      <c r="N3408" s="76"/>
      <c r="O3408" s="76"/>
      <c r="P3408" s="76"/>
      <c r="Q3408" s="76"/>
      <c r="R3408" s="76"/>
      <c r="S3408" s="76"/>
      <c r="BD3408" s="99">
        <f t="shared" si="113"/>
        <v>0</v>
      </c>
      <c r="CC3408" s="99"/>
      <c r="CV3408" s="99"/>
      <c r="CW3408" s="63"/>
    </row>
    <row r="3409" spans="1:101" x14ac:dyDescent="0.15">
      <c r="A3409" s="76">
        <v>3169</v>
      </c>
      <c r="B3409" s="74" t="s">
        <v>3996</v>
      </c>
      <c r="C3409" s="74" t="s">
        <v>3997</v>
      </c>
      <c r="D3409" s="78" t="str">
        <f t="shared" si="114"/>
        <v>https://portal.dnb.de/opac.htm?method=simpleSearch&amp;cqlMode=true&amp;query=idn%3D99959222X</v>
      </c>
      <c r="E3409" s="74" t="s">
        <v>3998</v>
      </c>
      <c r="F3409" s="74"/>
      <c r="G3409" s="76"/>
      <c r="H3409" s="77"/>
      <c r="I3409" s="76"/>
      <c r="J3409" s="77"/>
      <c r="K3409" s="77"/>
      <c r="L3409" s="76"/>
      <c r="M3409" s="76"/>
      <c r="N3409" s="76"/>
      <c r="O3409" s="76"/>
      <c r="P3409" s="76"/>
      <c r="Q3409" s="76"/>
      <c r="R3409" s="76"/>
      <c r="S3409" s="76"/>
      <c r="BD3409" s="99">
        <f t="shared" si="113"/>
        <v>0</v>
      </c>
      <c r="CC3409" s="99"/>
      <c r="CV3409" s="99"/>
      <c r="CW3409" s="63"/>
    </row>
    <row r="3410" spans="1:101" x14ac:dyDescent="0.15">
      <c r="A3410" s="76">
        <v>3170</v>
      </c>
      <c r="B3410" s="74" t="s">
        <v>3999</v>
      </c>
      <c r="C3410" s="74">
        <v>998440906</v>
      </c>
      <c r="D3410" s="78" t="str">
        <f t="shared" si="114"/>
        <v>https://portal.dnb.de/opac.htm?method=simpleSearch&amp;cqlMode=true&amp;query=idn%3D998440906</v>
      </c>
      <c r="E3410" s="74" t="s">
        <v>4000</v>
      </c>
      <c r="F3410" s="74"/>
      <c r="G3410" s="76"/>
      <c r="H3410" s="77"/>
      <c r="I3410" s="76"/>
      <c r="J3410" s="77"/>
      <c r="K3410" s="77"/>
      <c r="L3410" s="76"/>
      <c r="M3410" s="76"/>
      <c r="N3410" s="76"/>
      <c r="O3410" s="76"/>
      <c r="P3410" s="76"/>
      <c r="Q3410" s="76"/>
      <c r="R3410" s="76"/>
      <c r="S3410" s="76"/>
      <c r="BD3410" s="99">
        <f t="shared" si="113"/>
        <v>0</v>
      </c>
      <c r="CC3410" s="99"/>
      <c r="CV3410" s="99"/>
      <c r="CW3410" s="63"/>
    </row>
    <row r="3411" spans="1:101" x14ac:dyDescent="0.15">
      <c r="A3411" s="76">
        <v>3171</v>
      </c>
      <c r="B3411" s="74" t="s">
        <v>3969</v>
      </c>
      <c r="C3411" s="74">
        <v>1001991796</v>
      </c>
      <c r="D3411" s="78" t="str">
        <f t="shared" si="114"/>
        <v>https://portal.dnb.de/opac.htm?method=simpleSearch&amp;cqlMode=true&amp;query=idn%3D1001991796</v>
      </c>
      <c r="E3411" s="74" t="s">
        <v>3970</v>
      </c>
      <c r="F3411" s="74"/>
      <c r="G3411" s="76"/>
      <c r="H3411" s="77"/>
      <c r="I3411" s="76"/>
      <c r="J3411" s="77"/>
      <c r="K3411" s="77"/>
      <c r="L3411" s="76"/>
      <c r="M3411" s="76"/>
      <c r="N3411" s="76"/>
      <c r="O3411" s="76"/>
      <c r="P3411" s="76"/>
      <c r="Q3411" s="76"/>
      <c r="R3411" s="76"/>
      <c r="S3411" s="76"/>
      <c r="BD3411" s="99">
        <f t="shared" si="113"/>
        <v>0</v>
      </c>
      <c r="CC3411" s="99"/>
      <c r="CV3411" s="99"/>
      <c r="CW3411" s="63"/>
    </row>
    <row r="3412" spans="1:101" x14ac:dyDescent="0.15">
      <c r="A3412" s="76">
        <v>3172</v>
      </c>
      <c r="B3412" s="74" t="s">
        <v>3971</v>
      </c>
      <c r="C3412" s="74">
        <v>1001991729</v>
      </c>
      <c r="D3412" s="78" t="str">
        <f t="shared" si="114"/>
        <v>https://portal.dnb.de/opac.htm?method=simpleSearch&amp;cqlMode=true&amp;query=idn%3D1001991729</v>
      </c>
      <c r="E3412" s="74" t="s">
        <v>3970</v>
      </c>
      <c r="F3412" s="74"/>
      <c r="G3412" s="76"/>
      <c r="H3412" s="77"/>
      <c r="I3412" s="76"/>
      <c r="J3412" s="77"/>
      <c r="K3412" s="77"/>
      <c r="L3412" s="76"/>
      <c r="M3412" s="76"/>
      <c r="N3412" s="76"/>
      <c r="O3412" s="76"/>
      <c r="P3412" s="76"/>
      <c r="Q3412" s="76"/>
      <c r="R3412" s="76"/>
      <c r="S3412" s="76"/>
      <c r="BD3412" s="99">
        <f t="shared" si="113"/>
        <v>0</v>
      </c>
      <c r="CC3412" s="99"/>
      <c r="CV3412" s="99"/>
      <c r="CW3412" s="63"/>
    </row>
    <row r="3413" spans="1:101" x14ac:dyDescent="0.15">
      <c r="A3413" s="76">
        <v>3173</v>
      </c>
      <c r="B3413" s="74" t="s">
        <v>3972</v>
      </c>
      <c r="C3413" s="74">
        <v>994509022</v>
      </c>
      <c r="D3413" s="78" t="str">
        <f t="shared" si="114"/>
        <v>https://portal.dnb.de/opac.htm?method=simpleSearch&amp;cqlMode=true&amp;query=idn%3D994509022</v>
      </c>
      <c r="E3413" s="74" t="s">
        <v>3973</v>
      </c>
      <c r="F3413" s="74"/>
      <c r="G3413" s="76"/>
      <c r="H3413" s="77"/>
      <c r="I3413" s="76"/>
      <c r="J3413" s="77"/>
      <c r="K3413" s="77"/>
      <c r="L3413" s="76"/>
      <c r="M3413" s="76"/>
      <c r="N3413" s="76"/>
      <c r="O3413" s="76"/>
      <c r="P3413" s="76"/>
      <c r="Q3413" s="76"/>
      <c r="R3413" s="76"/>
      <c r="S3413" s="76"/>
      <c r="BD3413" s="99">
        <f t="shared" si="113"/>
        <v>0</v>
      </c>
      <c r="CC3413" s="99"/>
      <c r="CV3413" s="99"/>
      <c r="CW3413" s="63"/>
    </row>
    <row r="3414" spans="1:101" x14ac:dyDescent="0.15">
      <c r="A3414" s="76">
        <v>3174</v>
      </c>
      <c r="B3414" s="74" t="s">
        <v>3974</v>
      </c>
      <c r="C3414" s="74">
        <v>1000430200</v>
      </c>
      <c r="D3414" s="78" t="str">
        <f t="shared" si="114"/>
        <v>https://portal.dnb.de/opac.htm?method=simpleSearch&amp;cqlMode=true&amp;query=idn%3D1000430200</v>
      </c>
      <c r="E3414" s="74" t="s">
        <v>3973</v>
      </c>
      <c r="F3414" s="74"/>
      <c r="G3414" s="76"/>
      <c r="H3414" s="77"/>
      <c r="I3414" s="76"/>
      <c r="J3414" s="77"/>
      <c r="K3414" s="77"/>
      <c r="L3414" s="76"/>
      <c r="M3414" s="76"/>
      <c r="N3414" s="76"/>
      <c r="O3414" s="76"/>
      <c r="P3414" s="76"/>
      <c r="Q3414" s="76"/>
      <c r="R3414" s="76"/>
      <c r="S3414" s="76"/>
      <c r="BD3414" s="99">
        <f t="shared" si="113"/>
        <v>0</v>
      </c>
      <c r="CC3414" s="99"/>
      <c r="CV3414" s="99"/>
      <c r="CW3414" s="63"/>
    </row>
    <row r="3415" spans="1:101" x14ac:dyDescent="0.15">
      <c r="A3415" s="76">
        <v>3175</v>
      </c>
      <c r="B3415" s="74" t="s">
        <v>3975</v>
      </c>
      <c r="C3415" s="74">
        <v>1000430308</v>
      </c>
      <c r="D3415" s="78" t="str">
        <f t="shared" si="114"/>
        <v>https://portal.dnb.de/opac.htm?method=simpleSearch&amp;cqlMode=true&amp;query=idn%3D1000430308</v>
      </c>
      <c r="E3415" s="74" t="s">
        <v>3973</v>
      </c>
      <c r="F3415" s="74"/>
      <c r="G3415" s="76"/>
      <c r="H3415" s="77"/>
      <c r="I3415" s="76"/>
      <c r="J3415" s="77"/>
      <c r="K3415" s="77"/>
      <c r="L3415" s="76"/>
      <c r="M3415" s="76"/>
      <c r="N3415" s="76"/>
      <c r="O3415" s="76"/>
      <c r="P3415" s="76"/>
      <c r="Q3415" s="76"/>
      <c r="R3415" s="76"/>
      <c r="S3415" s="76"/>
      <c r="BD3415" s="99">
        <f t="shared" si="113"/>
        <v>0</v>
      </c>
      <c r="CC3415" s="99"/>
      <c r="CV3415" s="99"/>
      <c r="CW3415" s="63"/>
    </row>
    <row r="3416" spans="1:101" x14ac:dyDescent="0.15">
      <c r="A3416" s="76">
        <v>3176</v>
      </c>
      <c r="B3416" s="74" t="s">
        <v>3976</v>
      </c>
      <c r="C3416" s="74">
        <v>993882242</v>
      </c>
      <c r="D3416" s="78" t="str">
        <f t="shared" si="114"/>
        <v>https://portal.dnb.de/opac.htm?method=simpleSearch&amp;cqlMode=true&amp;query=idn%3D993882242</v>
      </c>
      <c r="E3416" s="74" t="s">
        <v>3977</v>
      </c>
      <c r="F3416" s="74"/>
      <c r="G3416" s="76"/>
      <c r="H3416" s="77"/>
      <c r="I3416" s="76"/>
      <c r="J3416" s="77"/>
      <c r="K3416" s="77"/>
      <c r="L3416" s="76"/>
      <c r="M3416" s="76"/>
      <c r="N3416" s="76"/>
      <c r="O3416" s="76"/>
      <c r="P3416" s="76"/>
      <c r="Q3416" s="76"/>
      <c r="R3416" s="76"/>
      <c r="S3416" s="76"/>
      <c r="BD3416" s="99">
        <f t="shared" si="113"/>
        <v>0</v>
      </c>
      <c r="CC3416" s="99"/>
      <c r="CV3416" s="99"/>
      <c r="CW3416" s="63"/>
    </row>
    <row r="3417" spans="1:101" x14ac:dyDescent="0.15">
      <c r="A3417" s="76">
        <v>3177</v>
      </c>
      <c r="B3417" s="74" t="s">
        <v>3978</v>
      </c>
      <c r="C3417" s="74">
        <v>993882366</v>
      </c>
      <c r="D3417" s="78" t="str">
        <f t="shared" si="114"/>
        <v>https://portal.dnb.de/opac.htm?method=simpleSearch&amp;cqlMode=true&amp;query=idn%3D993882366</v>
      </c>
      <c r="E3417" s="74" t="s">
        <v>3977</v>
      </c>
      <c r="F3417" s="74"/>
      <c r="G3417" s="76"/>
      <c r="H3417" s="77"/>
      <c r="I3417" s="76"/>
      <c r="J3417" s="77"/>
      <c r="K3417" s="77"/>
      <c r="L3417" s="76"/>
      <c r="M3417" s="76"/>
      <c r="N3417" s="76"/>
      <c r="O3417" s="76"/>
      <c r="P3417" s="76"/>
      <c r="Q3417" s="76"/>
      <c r="R3417" s="76"/>
      <c r="S3417" s="76"/>
      <c r="BD3417" s="99">
        <f t="shared" si="113"/>
        <v>0</v>
      </c>
      <c r="CC3417" s="99"/>
      <c r="CV3417" s="99"/>
      <c r="CW3417" s="63"/>
    </row>
    <row r="3418" spans="1:101" x14ac:dyDescent="0.15">
      <c r="A3418" s="76">
        <v>3178</v>
      </c>
      <c r="B3418" s="74" t="s">
        <v>3979</v>
      </c>
      <c r="C3418" s="74">
        <v>1003150462</v>
      </c>
      <c r="D3418" s="78" t="str">
        <f t="shared" si="114"/>
        <v>https://portal.dnb.de/opac.htm?method=simpleSearch&amp;cqlMode=true&amp;query=idn%3D1003150462</v>
      </c>
      <c r="E3418" s="74" t="s">
        <v>3980</v>
      </c>
      <c r="F3418" s="74"/>
      <c r="G3418" s="76"/>
      <c r="H3418" s="77"/>
      <c r="I3418" s="76"/>
      <c r="J3418" s="77"/>
      <c r="K3418" s="77"/>
      <c r="L3418" s="76"/>
      <c r="M3418" s="76"/>
      <c r="N3418" s="76"/>
      <c r="O3418" s="76"/>
      <c r="P3418" s="76"/>
      <c r="Q3418" s="76"/>
      <c r="R3418" s="76"/>
      <c r="S3418" s="76"/>
      <c r="BD3418" s="99">
        <f t="shared" si="113"/>
        <v>0</v>
      </c>
      <c r="CC3418" s="99"/>
      <c r="CV3418" s="99"/>
      <c r="CW3418" s="63"/>
    </row>
    <row r="3419" spans="1:101" x14ac:dyDescent="0.15">
      <c r="A3419" s="76">
        <v>3179</v>
      </c>
      <c r="B3419" s="74" t="s">
        <v>3981</v>
      </c>
      <c r="C3419" s="74">
        <v>994566719</v>
      </c>
      <c r="D3419" s="78" t="str">
        <f t="shared" si="114"/>
        <v>https://portal.dnb.de/opac.htm?method=simpleSearch&amp;cqlMode=true&amp;query=idn%3D994566719</v>
      </c>
      <c r="E3419" s="74" t="s">
        <v>3980</v>
      </c>
      <c r="F3419" s="74"/>
      <c r="G3419" s="76"/>
      <c r="H3419" s="77"/>
      <c r="I3419" s="76"/>
      <c r="J3419" s="77"/>
      <c r="K3419" s="77"/>
      <c r="L3419" s="76"/>
      <c r="M3419" s="76"/>
      <c r="N3419" s="76"/>
      <c r="O3419" s="76"/>
      <c r="P3419" s="76"/>
      <c r="Q3419" s="76"/>
      <c r="R3419" s="76"/>
      <c r="S3419" s="76"/>
      <c r="BD3419" s="99">
        <f t="shared" si="113"/>
        <v>0</v>
      </c>
      <c r="CC3419" s="99"/>
      <c r="CV3419" s="99"/>
      <c r="CW3419" s="63"/>
    </row>
    <row r="3420" spans="1:101" x14ac:dyDescent="0.15">
      <c r="A3420" s="76">
        <v>3180</v>
      </c>
      <c r="B3420" s="74" t="s">
        <v>3982</v>
      </c>
      <c r="C3420" s="74">
        <v>994566158</v>
      </c>
      <c r="D3420" s="78" t="str">
        <f t="shared" si="114"/>
        <v>https://portal.dnb.de/opac.htm?method=simpleSearch&amp;cqlMode=true&amp;query=idn%3D994566158</v>
      </c>
      <c r="E3420" s="74" t="s">
        <v>3980</v>
      </c>
      <c r="F3420" s="74"/>
      <c r="G3420" s="76"/>
      <c r="H3420" s="77"/>
      <c r="I3420" s="76"/>
      <c r="J3420" s="77"/>
      <c r="K3420" s="77"/>
      <c r="L3420" s="76"/>
      <c r="M3420" s="76"/>
      <c r="N3420" s="76"/>
      <c r="O3420" s="76"/>
      <c r="P3420" s="76"/>
      <c r="Q3420" s="76"/>
      <c r="R3420" s="76"/>
      <c r="S3420" s="76"/>
      <c r="BD3420" s="99">
        <f t="shared" si="113"/>
        <v>0</v>
      </c>
      <c r="CC3420" s="99"/>
      <c r="CV3420" s="99"/>
      <c r="CW3420" s="63"/>
    </row>
    <row r="3421" spans="1:101" x14ac:dyDescent="0.15">
      <c r="A3421" s="76">
        <v>3181</v>
      </c>
      <c r="B3421" s="74" t="s">
        <v>3983</v>
      </c>
      <c r="C3421" s="74">
        <v>1070108340</v>
      </c>
      <c r="D3421" s="78" t="str">
        <f t="shared" si="114"/>
        <v>https://portal.dnb.de/opac.htm?method=simpleSearch&amp;cqlMode=true&amp;query=idn%3D1070108340</v>
      </c>
      <c r="E3421" s="74" t="s">
        <v>3984</v>
      </c>
      <c r="F3421" s="74"/>
      <c r="G3421" s="76"/>
      <c r="H3421" s="77"/>
      <c r="I3421" s="76"/>
      <c r="J3421" s="77"/>
      <c r="K3421" s="77"/>
      <c r="L3421" s="76"/>
      <c r="M3421" s="76"/>
      <c r="N3421" s="76"/>
      <c r="O3421" s="76"/>
      <c r="P3421" s="76"/>
      <c r="Q3421" s="76"/>
      <c r="R3421" s="76"/>
      <c r="S3421" s="76"/>
      <c r="BD3421" s="99">
        <f t="shared" si="113"/>
        <v>0</v>
      </c>
      <c r="CC3421" s="99"/>
      <c r="CV3421" s="99"/>
      <c r="CW3421" s="63"/>
    </row>
    <row r="3422" spans="1:101" x14ac:dyDescent="0.15">
      <c r="A3422" s="76">
        <v>3182</v>
      </c>
      <c r="B3422" s="74" t="s">
        <v>4004</v>
      </c>
      <c r="C3422" s="74">
        <v>1066865078</v>
      </c>
      <c r="D3422" s="78" t="str">
        <f t="shared" si="114"/>
        <v>https://portal.dnb.de/opac.htm?method=simpleSearch&amp;cqlMode=true&amp;query=idn%3D1066865078</v>
      </c>
      <c r="E3422" s="74" t="s">
        <v>4005</v>
      </c>
      <c r="F3422" s="74"/>
      <c r="G3422" s="76"/>
      <c r="H3422" s="77"/>
      <c r="I3422" s="76"/>
      <c r="J3422" s="77"/>
      <c r="K3422" s="77"/>
      <c r="L3422" s="76"/>
      <c r="M3422" s="76"/>
      <c r="N3422" s="76"/>
      <c r="O3422" s="76"/>
      <c r="P3422" s="76"/>
      <c r="Q3422" s="76"/>
      <c r="R3422" s="76"/>
      <c r="S3422" s="76"/>
      <c r="BD3422" s="99">
        <f t="shared" si="113"/>
        <v>0</v>
      </c>
      <c r="CC3422" s="99"/>
      <c r="CV3422" s="99"/>
      <c r="CW3422" s="63"/>
    </row>
    <row r="3423" spans="1:101" x14ac:dyDescent="0.15">
      <c r="A3423" s="76">
        <v>3183</v>
      </c>
      <c r="B3423" s="74" t="s">
        <v>4006</v>
      </c>
      <c r="C3423" s="74" t="s">
        <v>4007</v>
      </c>
      <c r="D3423" s="78" t="str">
        <f t="shared" si="114"/>
        <v>https://portal.dnb.de/opac.htm?method=simpleSearch&amp;cqlMode=true&amp;query=idn%3D106683766X</v>
      </c>
      <c r="E3423" s="74" t="s">
        <v>4008</v>
      </c>
      <c r="F3423" s="74"/>
      <c r="G3423" s="76"/>
      <c r="H3423" s="77"/>
      <c r="I3423" s="76" t="s">
        <v>53</v>
      </c>
      <c r="J3423" s="77"/>
      <c r="K3423" s="77"/>
      <c r="L3423" s="76"/>
      <c r="M3423" s="76"/>
      <c r="N3423" s="76"/>
      <c r="O3423" s="76"/>
      <c r="P3423" s="76"/>
      <c r="Q3423" s="76"/>
      <c r="R3423" s="76"/>
      <c r="S3423" s="76"/>
      <c r="Y3423" s="95" t="s">
        <v>9723</v>
      </c>
      <c r="AA3423" s="95" t="s">
        <v>8541</v>
      </c>
      <c r="AC3423" s="95" t="s">
        <v>9724</v>
      </c>
      <c r="AI3423" s="95" t="s">
        <v>9725</v>
      </c>
      <c r="AW3423" s="95">
        <v>60</v>
      </c>
      <c r="BC3423" s="96" t="s">
        <v>9726</v>
      </c>
      <c r="BD3423" s="99">
        <f t="shared" si="113"/>
        <v>0.5</v>
      </c>
      <c r="BH3423" s="95" t="s">
        <v>8541</v>
      </c>
      <c r="BP3423" s="69" t="s">
        <v>8541</v>
      </c>
      <c r="BQ3423" s="95" t="s">
        <v>8541</v>
      </c>
      <c r="BR3423" s="95" t="s">
        <v>8541</v>
      </c>
      <c r="CC3423" s="99">
        <v>0.5</v>
      </c>
      <c r="CV3423" s="99"/>
      <c r="CW3423" s="63"/>
    </row>
    <row r="3424" spans="1:101" ht="22.5" x14ac:dyDescent="0.15">
      <c r="A3424" s="76">
        <v>3184</v>
      </c>
      <c r="B3424" s="74" t="s">
        <v>4011</v>
      </c>
      <c r="C3424" s="74">
        <v>1066841365</v>
      </c>
      <c r="D3424" s="78" t="str">
        <f t="shared" si="114"/>
        <v>https://portal.dnb.de/opac.htm?method=simpleSearch&amp;cqlMode=true&amp;query=idn%3D1066841365</v>
      </c>
      <c r="E3424" s="74" t="s">
        <v>4012</v>
      </c>
      <c r="F3424" s="74"/>
      <c r="G3424" s="76"/>
      <c r="H3424" s="77"/>
      <c r="I3424" s="76" t="s">
        <v>53</v>
      </c>
      <c r="J3424" s="77"/>
      <c r="K3424" s="77"/>
      <c r="L3424" s="76"/>
      <c r="M3424" s="76"/>
      <c r="N3424" s="76"/>
      <c r="O3424" s="76"/>
      <c r="P3424" s="76"/>
      <c r="Q3424" s="76"/>
      <c r="R3424" s="76"/>
      <c r="S3424" s="76"/>
      <c r="Y3424" s="95" t="s">
        <v>9735</v>
      </c>
      <c r="AA3424" s="95" t="s">
        <v>8541</v>
      </c>
      <c r="AC3424" s="95" t="s">
        <v>9739</v>
      </c>
      <c r="AI3424" s="95" t="s">
        <v>9725</v>
      </c>
      <c r="AU3424" s="95">
        <v>4</v>
      </c>
      <c r="AW3424" s="95">
        <v>80</v>
      </c>
      <c r="BC3424" s="96" t="s">
        <v>9726</v>
      </c>
      <c r="BD3424" s="99">
        <f t="shared" si="113"/>
        <v>1</v>
      </c>
      <c r="BH3424" s="95" t="s">
        <v>8541</v>
      </c>
      <c r="BP3424" s="69" t="s">
        <v>8541</v>
      </c>
      <c r="BR3424" s="95" t="s">
        <v>8541</v>
      </c>
      <c r="BT3424" s="95" t="s">
        <v>9772</v>
      </c>
      <c r="BV3424" s="95" t="s">
        <v>8541</v>
      </c>
      <c r="CC3424" s="99">
        <v>1</v>
      </c>
      <c r="CD3424" s="90" t="s">
        <v>10099</v>
      </c>
      <c r="CV3424" s="99"/>
      <c r="CW3424" s="63"/>
    </row>
    <row r="3425" spans="1:101" ht="22.5" x14ac:dyDescent="0.15">
      <c r="A3425" s="76">
        <v>3185</v>
      </c>
      <c r="B3425" s="74" t="s">
        <v>4013</v>
      </c>
      <c r="C3425" s="74">
        <v>1066779333</v>
      </c>
      <c r="D3425" s="78" t="str">
        <f t="shared" si="114"/>
        <v>https://portal.dnb.de/opac.htm?method=simpleSearch&amp;cqlMode=true&amp;query=idn%3D1066779333</v>
      </c>
      <c r="E3425" s="74" t="s">
        <v>4014</v>
      </c>
      <c r="F3425" s="74"/>
      <c r="G3425" s="76"/>
      <c r="H3425" s="77"/>
      <c r="I3425" s="76" t="s">
        <v>53</v>
      </c>
      <c r="J3425" s="77"/>
      <c r="K3425" s="77"/>
      <c r="L3425" s="76"/>
      <c r="M3425" s="76"/>
      <c r="N3425" s="76"/>
      <c r="O3425" s="76"/>
      <c r="P3425" s="76"/>
      <c r="Q3425" s="76"/>
      <c r="R3425" s="76"/>
      <c r="S3425" s="76"/>
      <c r="Y3425" s="95" t="s">
        <v>9735</v>
      </c>
      <c r="AA3425" s="95" t="s">
        <v>8541</v>
      </c>
      <c r="AC3425" s="95" t="s">
        <v>9739</v>
      </c>
      <c r="AI3425" s="95" t="s">
        <v>9725</v>
      </c>
      <c r="AW3425" s="95">
        <v>110</v>
      </c>
      <c r="BC3425" s="96" t="s">
        <v>9726</v>
      </c>
      <c r="BD3425" s="99">
        <f t="shared" si="113"/>
        <v>1</v>
      </c>
      <c r="BH3425" s="95" t="s">
        <v>8541</v>
      </c>
      <c r="BP3425" s="69" t="s">
        <v>8541</v>
      </c>
      <c r="BR3425" s="95" t="s">
        <v>8541</v>
      </c>
      <c r="BT3425" s="95" t="s">
        <v>9772</v>
      </c>
      <c r="CC3425" s="99">
        <v>1</v>
      </c>
      <c r="CD3425" s="90" t="s">
        <v>10100</v>
      </c>
      <c r="CV3425" s="99"/>
      <c r="CW3425" s="63"/>
    </row>
    <row r="3426" spans="1:101" x14ac:dyDescent="0.15">
      <c r="A3426" s="76">
        <v>3186</v>
      </c>
      <c r="B3426" s="74" t="s">
        <v>4015</v>
      </c>
      <c r="C3426" s="74">
        <v>1066787034</v>
      </c>
      <c r="D3426" s="78" t="str">
        <f t="shared" si="114"/>
        <v>https://portal.dnb.de/opac.htm?method=simpleSearch&amp;cqlMode=true&amp;query=idn%3D1066787034</v>
      </c>
      <c r="E3426" s="74" t="s">
        <v>4016</v>
      </c>
      <c r="F3426" s="74"/>
      <c r="G3426" s="76"/>
      <c r="H3426" s="77"/>
      <c r="I3426" s="76"/>
      <c r="J3426" s="77"/>
      <c r="K3426" s="77"/>
      <c r="L3426" s="76"/>
      <c r="M3426" s="76"/>
      <c r="N3426" s="76"/>
      <c r="O3426" s="76"/>
      <c r="P3426" s="76"/>
      <c r="Q3426" s="76"/>
      <c r="R3426" s="76"/>
      <c r="S3426" s="76"/>
      <c r="BD3426" s="99">
        <f t="shared" si="113"/>
        <v>0</v>
      </c>
      <c r="CC3426" s="99"/>
      <c r="CV3426" s="99"/>
      <c r="CW3426" s="63"/>
    </row>
    <row r="3427" spans="1:101" x14ac:dyDescent="0.15">
      <c r="A3427" s="76">
        <v>3187</v>
      </c>
      <c r="B3427" s="74" t="s">
        <v>4017</v>
      </c>
      <c r="C3427" s="74">
        <v>1132655277</v>
      </c>
      <c r="D3427" s="78" t="str">
        <f t="shared" si="114"/>
        <v>https://portal.dnb.de/opac.htm?method=simpleSearch&amp;cqlMode=true&amp;query=idn%3D1132655277</v>
      </c>
      <c r="E3427" s="74" t="s">
        <v>4018</v>
      </c>
      <c r="F3427" s="74"/>
      <c r="G3427" s="76"/>
      <c r="H3427" s="77"/>
      <c r="I3427" s="76"/>
      <c r="J3427" s="77"/>
      <c r="K3427" s="77"/>
      <c r="L3427" s="76"/>
      <c r="M3427" s="76"/>
      <c r="N3427" s="76"/>
      <c r="O3427" s="76"/>
      <c r="P3427" s="76"/>
      <c r="Q3427" s="76"/>
      <c r="R3427" s="76"/>
      <c r="S3427" s="76"/>
      <c r="BD3427" s="99">
        <f t="shared" si="113"/>
        <v>0</v>
      </c>
      <c r="CC3427" s="99"/>
      <c r="CV3427" s="99"/>
      <c r="CW3427" s="63"/>
    </row>
    <row r="3428" spans="1:101" x14ac:dyDescent="0.15">
      <c r="A3428" s="76">
        <v>3188</v>
      </c>
      <c r="B3428" s="74" t="s">
        <v>4019</v>
      </c>
      <c r="C3428" s="74">
        <v>1132655250</v>
      </c>
      <c r="D3428" s="78" t="str">
        <f t="shared" si="114"/>
        <v>https://portal.dnb.de/opac.htm?method=simpleSearch&amp;cqlMode=true&amp;query=idn%3D1132655250</v>
      </c>
      <c r="E3428" s="74" t="s">
        <v>4018</v>
      </c>
      <c r="F3428" s="74"/>
      <c r="G3428" s="76"/>
      <c r="H3428" s="77"/>
      <c r="I3428" s="76"/>
      <c r="J3428" s="77"/>
      <c r="K3428" s="77"/>
      <c r="L3428" s="76"/>
      <c r="M3428" s="76"/>
      <c r="N3428" s="76"/>
      <c r="O3428" s="76"/>
      <c r="P3428" s="76"/>
      <c r="Q3428" s="76"/>
      <c r="R3428" s="76"/>
      <c r="S3428" s="76"/>
      <c r="BD3428" s="99">
        <f t="shared" si="113"/>
        <v>0</v>
      </c>
      <c r="CC3428" s="99"/>
      <c r="CV3428" s="99"/>
      <c r="CW3428" s="63"/>
    </row>
    <row r="3429" spans="1:101" x14ac:dyDescent="0.15">
      <c r="A3429" s="76">
        <v>3189</v>
      </c>
      <c r="B3429" s="74" t="s">
        <v>4020</v>
      </c>
      <c r="C3429" s="74">
        <v>1132655285</v>
      </c>
      <c r="D3429" s="78" t="str">
        <f t="shared" si="114"/>
        <v>https://portal.dnb.de/opac.htm?method=simpleSearch&amp;cqlMode=true&amp;query=idn%3D1132655285</v>
      </c>
      <c r="E3429" s="74" t="s">
        <v>4018</v>
      </c>
      <c r="F3429" s="74"/>
      <c r="G3429" s="76"/>
      <c r="H3429" s="77"/>
      <c r="I3429" s="76"/>
      <c r="J3429" s="77"/>
      <c r="K3429" s="77"/>
      <c r="L3429" s="76"/>
      <c r="M3429" s="76"/>
      <c r="N3429" s="76"/>
      <c r="O3429" s="76"/>
      <c r="P3429" s="76"/>
      <c r="Q3429" s="76"/>
      <c r="R3429" s="76"/>
      <c r="S3429" s="76"/>
      <c r="BD3429" s="99">
        <f t="shared" si="113"/>
        <v>0</v>
      </c>
      <c r="CC3429" s="99"/>
      <c r="CV3429" s="99"/>
      <c r="CW3429" s="63"/>
    </row>
    <row r="3430" spans="1:101" x14ac:dyDescent="0.15">
      <c r="A3430" s="76">
        <v>3190</v>
      </c>
      <c r="B3430" s="74" t="s">
        <v>4021</v>
      </c>
      <c r="C3430" s="74">
        <v>1132655269</v>
      </c>
      <c r="D3430" s="78" t="str">
        <f t="shared" si="114"/>
        <v>https://portal.dnb.de/opac.htm?method=simpleSearch&amp;cqlMode=true&amp;query=idn%3D1132655269</v>
      </c>
      <c r="E3430" s="74" t="s">
        <v>4018</v>
      </c>
      <c r="F3430" s="74"/>
      <c r="G3430" s="76"/>
      <c r="H3430" s="77"/>
      <c r="I3430" s="76"/>
      <c r="J3430" s="77"/>
      <c r="K3430" s="77"/>
      <c r="L3430" s="76"/>
      <c r="M3430" s="76"/>
      <c r="N3430" s="76"/>
      <c r="O3430" s="76"/>
      <c r="P3430" s="76"/>
      <c r="Q3430" s="76"/>
      <c r="R3430" s="76"/>
      <c r="S3430" s="76"/>
      <c r="BD3430" s="99">
        <f t="shared" si="113"/>
        <v>0</v>
      </c>
      <c r="CC3430" s="99"/>
      <c r="CV3430" s="99"/>
      <c r="CW3430" s="63"/>
    </row>
    <row r="3431" spans="1:101" x14ac:dyDescent="0.15">
      <c r="A3431" s="76">
        <v>3191</v>
      </c>
      <c r="B3431" s="74" t="s">
        <v>4022</v>
      </c>
      <c r="C3431" s="74">
        <v>1066684855</v>
      </c>
      <c r="D3431" s="78" t="str">
        <f t="shared" si="114"/>
        <v>https://portal.dnb.de/opac.htm?method=simpleSearch&amp;cqlMode=true&amp;query=idn%3D1066684855</v>
      </c>
      <c r="E3431" s="74" t="s">
        <v>4023</v>
      </c>
      <c r="F3431" s="74"/>
      <c r="G3431" s="76"/>
      <c r="H3431" s="77"/>
      <c r="I3431" s="76"/>
      <c r="J3431" s="77"/>
      <c r="K3431" s="77"/>
      <c r="L3431" s="76"/>
      <c r="M3431" s="76"/>
      <c r="N3431" s="76"/>
      <c r="O3431" s="76"/>
      <c r="P3431" s="76"/>
      <c r="Q3431" s="76"/>
      <c r="R3431" s="76"/>
      <c r="S3431" s="76"/>
      <c r="BD3431" s="99">
        <f t="shared" si="113"/>
        <v>0</v>
      </c>
      <c r="CC3431" s="99"/>
      <c r="CV3431" s="99"/>
      <c r="CW3431" s="63"/>
    </row>
    <row r="3432" spans="1:101" x14ac:dyDescent="0.15">
      <c r="A3432" s="76">
        <v>3192</v>
      </c>
      <c r="B3432" s="74" t="s">
        <v>4024</v>
      </c>
      <c r="C3432" s="74">
        <v>1066940487</v>
      </c>
      <c r="D3432" s="78" t="str">
        <f t="shared" si="114"/>
        <v>https://portal.dnb.de/opac.htm?method=simpleSearch&amp;cqlMode=true&amp;query=idn%3D1066940487</v>
      </c>
      <c r="E3432" s="74" t="s">
        <v>4025</v>
      </c>
      <c r="F3432" s="74"/>
      <c r="G3432" s="76"/>
      <c r="H3432" s="77"/>
      <c r="I3432" s="76"/>
      <c r="J3432" s="77"/>
      <c r="K3432" s="77"/>
      <c r="L3432" s="76"/>
      <c r="M3432" s="76"/>
      <c r="N3432" s="76"/>
      <c r="O3432" s="76"/>
      <c r="P3432" s="76"/>
      <c r="Q3432" s="76"/>
      <c r="R3432" s="76"/>
      <c r="S3432" s="76"/>
      <c r="BD3432" s="99">
        <f t="shared" si="113"/>
        <v>0</v>
      </c>
      <c r="CC3432" s="99"/>
      <c r="CV3432" s="99"/>
      <c r="CW3432" s="63"/>
    </row>
    <row r="3433" spans="1:101" x14ac:dyDescent="0.15">
      <c r="A3433" s="76">
        <v>3193</v>
      </c>
      <c r="B3433" s="74" t="s">
        <v>4026</v>
      </c>
      <c r="C3433" s="74">
        <v>1002551587</v>
      </c>
      <c r="D3433" s="78" t="str">
        <f t="shared" si="114"/>
        <v>https://portal.dnb.de/opac.htm?method=simpleSearch&amp;cqlMode=true&amp;query=idn%3D1002551587</v>
      </c>
      <c r="E3433" s="74" t="s">
        <v>4027</v>
      </c>
      <c r="F3433" s="74"/>
      <c r="G3433" s="76"/>
      <c r="H3433" s="77"/>
      <c r="I3433" s="76"/>
      <c r="J3433" s="77"/>
      <c r="K3433" s="77"/>
      <c r="L3433" s="76"/>
      <c r="M3433" s="76"/>
      <c r="N3433" s="76"/>
      <c r="O3433" s="76"/>
      <c r="P3433" s="76"/>
      <c r="Q3433" s="76"/>
      <c r="R3433" s="76"/>
      <c r="S3433" s="76"/>
      <c r="BD3433" s="99">
        <f t="shared" si="113"/>
        <v>0</v>
      </c>
      <c r="CC3433" s="99"/>
      <c r="CV3433" s="99"/>
      <c r="CW3433" s="63"/>
    </row>
    <row r="3434" spans="1:101" x14ac:dyDescent="0.15">
      <c r="A3434" s="76">
        <v>3194</v>
      </c>
      <c r="B3434" s="74" t="s">
        <v>4009</v>
      </c>
      <c r="C3434" s="74">
        <v>997646144</v>
      </c>
      <c r="D3434" s="78" t="str">
        <f t="shared" si="114"/>
        <v>https://portal.dnb.de/opac.htm?method=simpleSearch&amp;cqlMode=true&amp;query=idn%3D997646144</v>
      </c>
      <c r="E3434" s="74" t="s">
        <v>4010</v>
      </c>
      <c r="F3434" s="74"/>
      <c r="G3434" s="76"/>
      <c r="H3434" s="77"/>
      <c r="I3434" s="76"/>
      <c r="J3434" s="77"/>
      <c r="K3434" s="77"/>
      <c r="L3434" s="76"/>
      <c r="M3434" s="76"/>
      <c r="N3434" s="76"/>
      <c r="O3434" s="76"/>
      <c r="P3434" s="76"/>
      <c r="Q3434" s="76"/>
      <c r="R3434" s="76"/>
      <c r="S3434" s="76"/>
      <c r="BD3434" s="99">
        <f t="shared" si="113"/>
        <v>0</v>
      </c>
      <c r="CC3434" s="99"/>
      <c r="CV3434" s="99"/>
      <c r="CW3434" s="63"/>
    </row>
    <row r="3435" spans="1:101" x14ac:dyDescent="0.15">
      <c r="A3435" s="76">
        <v>3195</v>
      </c>
      <c r="B3435" s="74" t="s">
        <v>4062</v>
      </c>
      <c r="C3435" s="74">
        <v>1132628490</v>
      </c>
      <c r="D3435" s="78" t="str">
        <f t="shared" si="114"/>
        <v>https://portal.dnb.de/opac.htm?method=simpleSearch&amp;cqlMode=true&amp;query=idn%3D1132628490</v>
      </c>
      <c r="E3435" s="74" t="s">
        <v>4063</v>
      </c>
      <c r="F3435" s="74"/>
      <c r="G3435" s="76"/>
      <c r="H3435" s="77"/>
      <c r="I3435" s="76"/>
      <c r="J3435" s="77"/>
      <c r="K3435" s="77"/>
      <c r="L3435" s="76"/>
      <c r="M3435" s="76"/>
      <c r="N3435" s="76"/>
      <c r="O3435" s="76"/>
      <c r="P3435" s="76"/>
      <c r="Q3435" s="76"/>
      <c r="R3435" s="76"/>
      <c r="S3435" s="76"/>
      <c r="BD3435" s="99">
        <f t="shared" si="113"/>
        <v>0</v>
      </c>
      <c r="CC3435" s="99"/>
      <c r="CV3435" s="99"/>
      <c r="CW3435" s="63"/>
    </row>
    <row r="3436" spans="1:101" x14ac:dyDescent="0.15">
      <c r="A3436" s="76">
        <v>3196</v>
      </c>
      <c r="B3436" s="74" t="s">
        <v>4064</v>
      </c>
      <c r="C3436" s="74">
        <v>1132628482</v>
      </c>
      <c r="D3436" s="78" t="str">
        <f t="shared" si="114"/>
        <v>https://portal.dnb.de/opac.htm?method=simpleSearch&amp;cqlMode=true&amp;query=idn%3D1132628482</v>
      </c>
      <c r="E3436" s="74" t="s">
        <v>4063</v>
      </c>
      <c r="F3436" s="74"/>
      <c r="G3436" s="76"/>
      <c r="H3436" s="77"/>
      <c r="I3436" s="76"/>
      <c r="J3436" s="77"/>
      <c r="K3436" s="77"/>
      <c r="L3436" s="76"/>
      <c r="M3436" s="76"/>
      <c r="N3436" s="76"/>
      <c r="O3436" s="76"/>
      <c r="P3436" s="76"/>
      <c r="Q3436" s="76"/>
      <c r="R3436" s="76"/>
      <c r="S3436" s="76"/>
      <c r="BD3436" s="99">
        <f t="shared" si="113"/>
        <v>0</v>
      </c>
      <c r="CC3436" s="99"/>
      <c r="CV3436" s="99"/>
      <c r="CW3436" s="63"/>
    </row>
    <row r="3437" spans="1:101" x14ac:dyDescent="0.15">
      <c r="A3437" s="76">
        <v>3197</v>
      </c>
      <c r="B3437" s="74" t="s">
        <v>4030</v>
      </c>
      <c r="C3437" s="74">
        <v>1066960607</v>
      </c>
      <c r="D3437" s="78" t="str">
        <f t="shared" si="114"/>
        <v>https://portal.dnb.de/opac.htm?method=simpleSearch&amp;cqlMode=true&amp;query=idn%3D1066960607</v>
      </c>
      <c r="E3437" s="74" t="s">
        <v>4031</v>
      </c>
      <c r="F3437" s="74"/>
      <c r="G3437" s="76"/>
      <c r="H3437" s="77"/>
      <c r="I3437" s="76"/>
      <c r="J3437" s="77"/>
      <c r="K3437" s="77"/>
      <c r="L3437" s="76"/>
      <c r="M3437" s="76"/>
      <c r="N3437" s="76"/>
      <c r="O3437" s="76"/>
      <c r="P3437" s="76"/>
      <c r="Q3437" s="76"/>
      <c r="R3437" s="76"/>
      <c r="S3437" s="76"/>
      <c r="BD3437" s="99">
        <f t="shared" si="113"/>
        <v>0</v>
      </c>
      <c r="CC3437" s="99"/>
      <c r="CV3437" s="99"/>
      <c r="CW3437" s="63"/>
    </row>
    <row r="3438" spans="1:101" x14ac:dyDescent="0.15">
      <c r="A3438" s="76">
        <v>3198</v>
      </c>
      <c r="B3438" s="74" t="s">
        <v>4041</v>
      </c>
      <c r="C3438" s="74" t="s">
        <v>4042</v>
      </c>
      <c r="D3438" s="78" t="str">
        <f t="shared" si="114"/>
        <v>https://portal.dnb.de/opac.htm?method=simpleSearch&amp;cqlMode=true&amp;query=idn%3D106696369X</v>
      </c>
      <c r="E3438" s="74" t="s">
        <v>4043</v>
      </c>
      <c r="F3438" s="74"/>
      <c r="G3438" s="76"/>
      <c r="H3438" s="77"/>
      <c r="I3438" s="76"/>
      <c r="J3438" s="77"/>
      <c r="K3438" s="77"/>
      <c r="L3438" s="76"/>
      <c r="M3438" s="76"/>
      <c r="N3438" s="76"/>
      <c r="O3438" s="76"/>
      <c r="P3438" s="76"/>
      <c r="Q3438" s="76"/>
      <c r="R3438" s="76"/>
      <c r="S3438" s="76"/>
      <c r="BD3438" s="99">
        <f t="shared" si="113"/>
        <v>0</v>
      </c>
      <c r="CC3438" s="99"/>
      <c r="CV3438" s="99"/>
      <c r="CW3438" s="63"/>
    </row>
    <row r="3439" spans="1:101" x14ac:dyDescent="0.15">
      <c r="A3439" s="76">
        <v>3199</v>
      </c>
      <c r="B3439" s="74" t="s">
        <v>4044</v>
      </c>
      <c r="C3439" s="74">
        <v>995837597</v>
      </c>
      <c r="D3439" s="78" t="str">
        <f t="shared" si="114"/>
        <v>https://portal.dnb.de/opac.htm?method=simpleSearch&amp;cqlMode=true&amp;query=idn%3D995837597</v>
      </c>
      <c r="E3439" s="74" t="s">
        <v>4045</v>
      </c>
      <c r="F3439" s="74"/>
      <c r="G3439" s="76"/>
      <c r="H3439" s="77"/>
      <c r="I3439" s="76"/>
      <c r="J3439" s="77"/>
      <c r="K3439" s="77"/>
      <c r="L3439" s="76"/>
      <c r="M3439" s="76"/>
      <c r="N3439" s="76"/>
      <c r="O3439" s="76"/>
      <c r="P3439" s="76"/>
      <c r="Q3439" s="76"/>
      <c r="R3439" s="76"/>
      <c r="S3439" s="76"/>
      <c r="BD3439" s="99">
        <f t="shared" si="113"/>
        <v>0</v>
      </c>
      <c r="CC3439" s="99"/>
      <c r="CV3439" s="99"/>
      <c r="CW3439" s="63"/>
    </row>
    <row r="3440" spans="1:101" x14ac:dyDescent="0.15">
      <c r="A3440" s="76">
        <v>3200</v>
      </c>
      <c r="B3440" s="74" t="s">
        <v>4046</v>
      </c>
      <c r="C3440" s="74">
        <v>1001482301</v>
      </c>
      <c r="D3440" s="78" t="str">
        <f t="shared" si="114"/>
        <v>https://portal.dnb.de/opac.htm?method=simpleSearch&amp;cqlMode=true&amp;query=idn%3D1001482301</v>
      </c>
      <c r="E3440" s="74" t="s">
        <v>4047</v>
      </c>
      <c r="F3440" s="74"/>
      <c r="G3440" s="76"/>
      <c r="H3440" s="77"/>
      <c r="I3440" s="76"/>
      <c r="J3440" s="77"/>
      <c r="K3440" s="77"/>
      <c r="L3440" s="76"/>
      <c r="M3440" s="76"/>
      <c r="N3440" s="76"/>
      <c r="O3440" s="76"/>
      <c r="P3440" s="76"/>
      <c r="Q3440" s="76"/>
      <c r="R3440" s="76"/>
      <c r="S3440" s="76"/>
      <c r="BD3440" s="99">
        <f t="shared" si="113"/>
        <v>0</v>
      </c>
      <c r="CC3440" s="99"/>
      <c r="CV3440" s="99"/>
      <c r="CW3440" s="63"/>
    </row>
    <row r="3441" spans="1:101" x14ac:dyDescent="0.15">
      <c r="A3441" s="76">
        <v>3201</v>
      </c>
      <c r="B3441" s="74" t="s">
        <v>4048</v>
      </c>
      <c r="C3441" s="74">
        <v>998690953</v>
      </c>
      <c r="D3441" s="78" t="str">
        <f t="shared" si="114"/>
        <v>https://portal.dnb.de/opac.htm?method=simpleSearch&amp;cqlMode=true&amp;query=idn%3D998690953</v>
      </c>
      <c r="E3441" s="74" t="s">
        <v>4049</v>
      </c>
      <c r="F3441" s="74"/>
      <c r="G3441" s="76"/>
      <c r="H3441" s="77"/>
      <c r="I3441" s="76"/>
      <c r="J3441" s="77"/>
      <c r="K3441" s="77"/>
      <c r="L3441" s="76"/>
      <c r="M3441" s="76"/>
      <c r="N3441" s="76"/>
      <c r="O3441" s="76"/>
      <c r="P3441" s="76"/>
      <c r="Q3441" s="76"/>
      <c r="R3441" s="76"/>
      <c r="S3441" s="76"/>
      <c r="BD3441" s="99">
        <f t="shared" si="113"/>
        <v>0</v>
      </c>
      <c r="CC3441" s="99"/>
      <c r="CV3441" s="99"/>
      <c r="CW3441" s="63"/>
    </row>
    <row r="3442" spans="1:101" x14ac:dyDescent="0.15">
      <c r="A3442" s="76">
        <v>3202</v>
      </c>
      <c r="B3442" s="74" t="s">
        <v>4052</v>
      </c>
      <c r="C3442" s="74">
        <v>1001725808</v>
      </c>
      <c r="D3442" s="78" t="str">
        <f t="shared" si="114"/>
        <v>https://portal.dnb.de/opac.htm?method=simpleSearch&amp;cqlMode=true&amp;query=idn%3D1001725808</v>
      </c>
      <c r="E3442" s="74" t="s">
        <v>4053</v>
      </c>
      <c r="F3442" s="74"/>
      <c r="G3442" s="76"/>
      <c r="H3442" s="77"/>
      <c r="I3442" s="76"/>
      <c r="J3442" s="77"/>
      <c r="K3442" s="77"/>
      <c r="L3442" s="76"/>
      <c r="M3442" s="76"/>
      <c r="N3442" s="76"/>
      <c r="O3442" s="76"/>
      <c r="P3442" s="76"/>
      <c r="Q3442" s="76"/>
      <c r="R3442" s="76"/>
      <c r="S3442" s="76"/>
      <c r="BD3442" s="99">
        <f t="shared" si="113"/>
        <v>0</v>
      </c>
      <c r="CC3442" s="99"/>
      <c r="CV3442" s="99"/>
      <c r="CW3442" s="63"/>
    </row>
    <row r="3443" spans="1:101" x14ac:dyDescent="0.15">
      <c r="A3443" s="76">
        <v>3203</v>
      </c>
      <c r="B3443" s="74" t="s">
        <v>4054</v>
      </c>
      <c r="C3443" s="74">
        <v>1001725875</v>
      </c>
      <c r="D3443" s="78" t="str">
        <f t="shared" si="114"/>
        <v>https://portal.dnb.de/opac.htm?method=simpleSearch&amp;cqlMode=true&amp;query=idn%3D1001725875</v>
      </c>
      <c r="E3443" s="74" t="s">
        <v>4053</v>
      </c>
      <c r="F3443" s="74"/>
      <c r="G3443" s="76"/>
      <c r="H3443" s="77"/>
      <c r="I3443" s="76"/>
      <c r="J3443" s="77"/>
      <c r="K3443" s="77"/>
      <c r="L3443" s="76"/>
      <c r="M3443" s="76"/>
      <c r="N3443" s="76"/>
      <c r="O3443" s="76"/>
      <c r="P3443" s="76"/>
      <c r="Q3443" s="76"/>
      <c r="R3443" s="76"/>
      <c r="S3443" s="76"/>
      <c r="BD3443" s="99">
        <f t="shared" si="113"/>
        <v>0</v>
      </c>
      <c r="CC3443" s="99"/>
      <c r="CV3443" s="99"/>
      <c r="CW3443" s="63"/>
    </row>
    <row r="3444" spans="1:101" x14ac:dyDescent="0.15">
      <c r="A3444" s="76">
        <v>3204</v>
      </c>
      <c r="B3444" s="74" t="s">
        <v>4055</v>
      </c>
      <c r="C3444" s="74">
        <v>1001725581</v>
      </c>
      <c r="D3444" s="78" t="str">
        <f t="shared" si="114"/>
        <v>https://portal.dnb.de/opac.htm?method=simpleSearch&amp;cqlMode=true&amp;query=idn%3D1001725581</v>
      </c>
      <c r="E3444" s="74" t="s">
        <v>4053</v>
      </c>
      <c r="F3444" s="74"/>
      <c r="G3444" s="76"/>
      <c r="H3444" s="77"/>
      <c r="I3444" s="76"/>
      <c r="J3444" s="77"/>
      <c r="K3444" s="77"/>
      <c r="L3444" s="76"/>
      <c r="M3444" s="76"/>
      <c r="N3444" s="76"/>
      <c r="O3444" s="76"/>
      <c r="P3444" s="76"/>
      <c r="Q3444" s="76"/>
      <c r="R3444" s="76"/>
      <c r="S3444" s="76"/>
      <c r="BD3444" s="99">
        <f t="shared" si="113"/>
        <v>0</v>
      </c>
      <c r="CC3444" s="99"/>
      <c r="CV3444" s="99"/>
      <c r="CW3444" s="63"/>
    </row>
    <row r="3445" spans="1:101" x14ac:dyDescent="0.15">
      <c r="A3445" s="76">
        <v>3205</v>
      </c>
      <c r="B3445" s="74" t="s">
        <v>4056</v>
      </c>
      <c r="C3445" s="74">
        <v>1001725751</v>
      </c>
      <c r="D3445" s="78" t="str">
        <f t="shared" si="114"/>
        <v>https://portal.dnb.de/opac.htm?method=simpleSearch&amp;cqlMode=true&amp;query=idn%3D1001725751</v>
      </c>
      <c r="E3445" s="74" t="s">
        <v>4053</v>
      </c>
      <c r="F3445" s="74"/>
      <c r="G3445" s="76"/>
      <c r="H3445" s="77"/>
      <c r="I3445" s="76"/>
      <c r="J3445" s="77"/>
      <c r="K3445" s="77"/>
      <c r="L3445" s="76"/>
      <c r="M3445" s="76"/>
      <c r="N3445" s="76"/>
      <c r="O3445" s="76"/>
      <c r="P3445" s="76"/>
      <c r="Q3445" s="76"/>
      <c r="R3445" s="76"/>
      <c r="S3445" s="76"/>
      <c r="BD3445" s="99">
        <f t="shared" si="113"/>
        <v>0</v>
      </c>
      <c r="CC3445" s="99"/>
      <c r="CV3445" s="99"/>
      <c r="CW3445" s="63"/>
    </row>
    <row r="3446" spans="1:101" x14ac:dyDescent="0.15">
      <c r="A3446" s="76">
        <v>3206</v>
      </c>
      <c r="B3446" s="74" t="s">
        <v>4057</v>
      </c>
      <c r="C3446" s="74">
        <v>994425457</v>
      </c>
      <c r="D3446" s="78" t="str">
        <f t="shared" si="114"/>
        <v>https://portal.dnb.de/opac.htm?method=simpleSearch&amp;cqlMode=true&amp;query=idn%3D994425457</v>
      </c>
      <c r="E3446" s="74" t="s">
        <v>4058</v>
      </c>
      <c r="F3446" s="74"/>
      <c r="G3446" s="76"/>
      <c r="H3446" s="77"/>
      <c r="I3446" s="76"/>
      <c r="J3446" s="77"/>
      <c r="K3446" s="77"/>
      <c r="L3446" s="76"/>
      <c r="M3446" s="76"/>
      <c r="N3446" s="76"/>
      <c r="O3446" s="76"/>
      <c r="P3446" s="76"/>
      <c r="Q3446" s="76"/>
      <c r="R3446" s="76"/>
      <c r="S3446" s="76"/>
      <c r="BD3446" s="99">
        <f t="shared" si="113"/>
        <v>0</v>
      </c>
      <c r="CC3446" s="99"/>
      <c r="CV3446" s="99"/>
      <c r="CW3446" s="63"/>
    </row>
    <row r="3447" spans="1:101" x14ac:dyDescent="0.15">
      <c r="A3447" s="76">
        <v>3207</v>
      </c>
      <c r="B3447" s="74" t="s">
        <v>4059</v>
      </c>
      <c r="C3447" s="74">
        <v>995719764</v>
      </c>
      <c r="D3447" s="78" t="str">
        <f t="shared" si="114"/>
        <v>https://portal.dnb.de/opac.htm?method=simpleSearch&amp;cqlMode=true&amp;query=idn%3D995719764</v>
      </c>
      <c r="E3447" s="74" t="s">
        <v>4058</v>
      </c>
      <c r="F3447" s="74"/>
      <c r="G3447" s="76"/>
      <c r="H3447" s="77"/>
      <c r="I3447" s="76"/>
      <c r="J3447" s="77"/>
      <c r="K3447" s="77"/>
      <c r="L3447" s="76"/>
      <c r="M3447" s="76"/>
      <c r="N3447" s="76"/>
      <c r="O3447" s="76"/>
      <c r="P3447" s="76"/>
      <c r="Q3447" s="76"/>
      <c r="R3447" s="76"/>
      <c r="S3447" s="76"/>
      <c r="BD3447" s="99">
        <f t="shared" si="113"/>
        <v>0</v>
      </c>
      <c r="CC3447" s="99"/>
      <c r="CV3447" s="99"/>
      <c r="CW3447" s="63"/>
    </row>
    <row r="3448" spans="1:101" x14ac:dyDescent="0.15">
      <c r="A3448" s="76">
        <v>3208</v>
      </c>
      <c r="B3448" s="74" t="s">
        <v>4060</v>
      </c>
      <c r="C3448" s="74">
        <v>997423021</v>
      </c>
      <c r="D3448" s="78" t="str">
        <f t="shared" si="114"/>
        <v>https://portal.dnb.de/opac.htm?method=simpleSearch&amp;cqlMode=true&amp;query=idn%3D997423021</v>
      </c>
      <c r="E3448" s="74" t="s">
        <v>4058</v>
      </c>
      <c r="F3448" s="74"/>
      <c r="G3448" s="76"/>
      <c r="H3448" s="77"/>
      <c r="I3448" s="76"/>
      <c r="J3448" s="77"/>
      <c r="K3448" s="77"/>
      <c r="L3448" s="76"/>
      <c r="M3448" s="76"/>
      <c r="N3448" s="76"/>
      <c r="O3448" s="76"/>
      <c r="P3448" s="76"/>
      <c r="Q3448" s="76"/>
      <c r="R3448" s="76"/>
      <c r="S3448" s="76"/>
      <c r="BD3448" s="99">
        <f t="shared" si="113"/>
        <v>0</v>
      </c>
      <c r="CC3448" s="99"/>
      <c r="CV3448" s="99"/>
      <c r="CW3448" s="63"/>
    </row>
    <row r="3449" spans="1:101" x14ac:dyDescent="0.15">
      <c r="A3449" s="76">
        <v>3209</v>
      </c>
      <c r="B3449" s="74" t="s">
        <v>4061</v>
      </c>
      <c r="C3449" s="74">
        <v>996432493</v>
      </c>
      <c r="D3449" s="78" t="str">
        <f t="shared" si="114"/>
        <v>https://portal.dnb.de/opac.htm?method=simpleSearch&amp;cqlMode=true&amp;query=idn%3D996432493</v>
      </c>
      <c r="E3449" s="74" t="s">
        <v>4058</v>
      </c>
      <c r="F3449" s="74"/>
      <c r="G3449" s="76"/>
      <c r="H3449" s="77"/>
      <c r="I3449" s="76"/>
      <c r="J3449" s="77"/>
      <c r="K3449" s="77"/>
      <c r="L3449" s="76"/>
      <c r="M3449" s="76"/>
      <c r="N3449" s="76"/>
      <c r="O3449" s="76"/>
      <c r="P3449" s="76"/>
      <c r="Q3449" s="76"/>
      <c r="R3449" s="76"/>
      <c r="S3449" s="76"/>
      <c r="BD3449" s="99">
        <f t="shared" si="113"/>
        <v>0</v>
      </c>
      <c r="CC3449" s="99"/>
      <c r="CV3449" s="99"/>
      <c r="CW3449" s="63"/>
    </row>
    <row r="3450" spans="1:101" x14ac:dyDescent="0.15">
      <c r="A3450" s="76">
        <v>3210</v>
      </c>
      <c r="B3450" s="74" t="s">
        <v>4032</v>
      </c>
      <c r="C3450" s="74">
        <v>1000639002</v>
      </c>
      <c r="D3450" s="78" t="str">
        <f t="shared" si="114"/>
        <v>https://portal.dnb.de/opac.htm?method=simpleSearch&amp;cqlMode=true&amp;query=idn%3D1000639002</v>
      </c>
      <c r="E3450" s="74" t="s">
        <v>4033</v>
      </c>
      <c r="F3450" s="74"/>
      <c r="G3450" s="76"/>
      <c r="H3450" s="77"/>
      <c r="I3450" s="76" t="s">
        <v>53</v>
      </c>
      <c r="J3450" s="77"/>
      <c r="K3450" s="77"/>
      <c r="L3450" s="76"/>
      <c r="M3450" s="76"/>
      <c r="N3450" s="76"/>
      <c r="O3450" s="76"/>
      <c r="P3450" s="76"/>
      <c r="Q3450" s="76"/>
      <c r="R3450" s="76"/>
      <c r="S3450" s="76"/>
      <c r="Y3450" s="95" t="s">
        <v>9723</v>
      </c>
      <c r="AC3450" s="95" t="s">
        <v>9730</v>
      </c>
      <c r="AI3450" s="95" t="s">
        <v>9725</v>
      </c>
      <c r="AU3450" s="95">
        <v>2</v>
      </c>
      <c r="AV3450" s="95" t="s">
        <v>8541</v>
      </c>
      <c r="AW3450" s="95">
        <v>60</v>
      </c>
      <c r="BC3450" s="96" t="s">
        <v>9726</v>
      </c>
      <c r="BD3450" s="99">
        <f t="shared" si="113"/>
        <v>1</v>
      </c>
      <c r="BJ3450" s="95" t="s">
        <v>9741</v>
      </c>
      <c r="BK3450" s="95" t="s">
        <v>8541</v>
      </c>
      <c r="BP3450" s="69" t="s">
        <v>8541</v>
      </c>
      <c r="BQ3450" s="95" t="s">
        <v>8541</v>
      </c>
      <c r="BR3450" s="95" t="s">
        <v>8541</v>
      </c>
      <c r="CB3450" s="95" t="s">
        <v>9882</v>
      </c>
      <c r="CC3450" s="99">
        <v>1</v>
      </c>
      <c r="CV3450" s="99"/>
      <c r="CW3450" s="63"/>
    </row>
    <row r="3451" spans="1:101" x14ac:dyDescent="0.15">
      <c r="A3451" s="76">
        <v>3211</v>
      </c>
      <c r="B3451" s="74" t="s">
        <v>4034</v>
      </c>
      <c r="C3451" s="74">
        <v>994402066</v>
      </c>
      <c r="D3451" s="78" t="str">
        <f t="shared" si="114"/>
        <v>https://portal.dnb.de/opac.htm?method=simpleSearch&amp;cqlMode=true&amp;query=idn%3D994402066</v>
      </c>
      <c r="E3451" s="74" t="s">
        <v>10451</v>
      </c>
      <c r="F3451" s="74"/>
      <c r="G3451" s="76"/>
      <c r="H3451" s="77"/>
      <c r="I3451" s="76"/>
      <c r="J3451" s="77"/>
      <c r="K3451" s="77"/>
      <c r="L3451" s="76"/>
      <c r="M3451" s="76"/>
      <c r="N3451" s="76"/>
      <c r="O3451" s="76"/>
      <c r="P3451" s="76"/>
      <c r="Q3451" s="76"/>
      <c r="R3451" s="76"/>
      <c r="S3451" s="76"/>
      <c r="BD3451" s="99">
        <f t="shared" si="113"/>
        <v>0</v>
      </c>
      <c r="CC3451" s="99"/>
      <c r="CV3451" s="99"/>
      <c r="CW3451" s="63"/>
    </row>
    <row r="3452" spans="1:101" x14ac:dyDescent="0.15">
      <c r="A3452" s="76">
        <v>3212</v>
      </c>
      <c r="B3452" s="74" t="s">
        <v>4036</v>
      </c>
      <c r="C3452" s="74" t="s">
        <v>4037</v>
      </c>
      <c r="D3452" s="78" t="str">
        <f t="shared" si="114"/>
        <v>https://portal.dnb.de/opac.htm?method=simpleSearch&amp;cqlMode=true&amp;query=idn%3D99440204X</v>
      </c>
      <c r="E3452" s="74" t="s">
        <v>10451</v>
      </c>
      <c r="F3452" s="74"/>
      <c r="G3452" s="76"/>
      <c r="H3452" s="77"/>
      <c r="I3452" s="76"/>
      <c r="J3452" s="77"/>
      <c r="K3452" s="77"/>
      <c r="L3452" s="76"/>
      <c r="M3452" s="76"/>
      <c r="N3452" s="76"/>
      <c r="O3452" s="76"/>
      <c r="P3452" s="76"/>
      <c r="Q3452" s="76"/>
      <c r="R3452" s="76"/>
      <c r="S3452" s="76"/>
      <c r="BD3452" s="99">
        <f t="shared" si="113"/>
        <v>0</v>
      </c>
      <c r="CC3452" s="99"/>
      <c r="CV3452" s="99"/>
      <c r="CW3452" s="63"/>
    </row>
    <row r="3453" spans="1:101" x14ac:dyDescent="0.15">
      <c r="A3453" s="76">
        <v>3213</v>
      </c>
      <c r="B3453" s="74" t="s">
        <v>4038</v>
      </c>
      <c r="C3453" s="74">
        <v>994402023</v>
      </c>
      <c r="D3453" s="78" t="str">
        <f t="shared" si="114"/>
        <v>https://portal.dnb.de/opac.htm?method=simpleSearch&amp;cqlMode=true&amp;query=idn%3D994402023</v>
      </c>
      <c r="E3453" s="74" t="s">
        <v>10451</v>
      </c>
      <c r="F3453" s="74"/>
      <c r="G3453" s="76"/>
      <c r="H3453" s="77"/>
      <c r="I3453" s="76"/>
      <c r="J3453" s="77"/>
      <c r="K3453" s="77"/>
      <c r="L3453" s="76"/>
      <c r="M3453" s="76"/>
      <c r="N3453" s="76"/>
      <c r="O3453" s="76"/>
      <c r="P3453" s="76"/>
      <c r="Q3453" s="76"/>
      <c r="R3453" s="76"/>
      <c r="S3453" s="76"/>
      <c r="BD3453" s="99">
        <f t="shared" si="113"/>
        <v>0</v>
      </c>
      <c r="CC3453" s="99"/>
      <c r="CV3453" s="99"/>
      <c r="CW3453" s="63"/>
    </row>
    <row r="3454" spans="1:101" ht="33.75" x14ac:dyDescent="0.15">
      <c r="A3454" s="76">
        <v>3214</v>
      </c>
      <c r="B3454" s="74" t="s">
        <v>4039</v>
      </c>
      <c r="C3454" s="74">
        <v>994402015</v>
      </c>
      <c r="D3454" s="78" t="str">
        <f t="shared" si="114"/>
        <v>https://portal.dnb.de/opac.htm?method=simpleSearch&amp;cqlMode=true&amp;query=idn%3D994402015</v>
      </c>
      <c r="E3454" s="74" t="s">
        <v>4035</v>
      </c>
      <c r="F3454" s="74"/>
      <c r="G3454" s="76"/>
      <c r="H3454" s="77"/>
      <c r="I3454" s="76" t="s">
        <v>54</v>
      </c>
      <c r="J3454" s="77"/>
      <c r="K3454" s="77"/>
      <c r="L3454" s="76"/>
      <c r="M3454" s="76"/>
      <c r="N3454" s="76"/>
      <c r="O3454" s="76"/>
      <c r="P3454" s="76"/>
      <c r="Q3454" s="76"/>
      <c r="R3454" s="76"/>
      <c r="S3454" s="76"/>
      <c r="Y3454" s="95" t="s">
        <v>9763</v>
      </c>
      <c r="AC3454" s="95" t="s">
        <v>9730</v>
      </c>
      <c r="AI3454" s="95" t="s">
        <v>9725</v>
      </c>
      <c r="AW3454" s="95">
        <v>60</v>
      </c>
      <c r="BC3454" s="96" t="s">
        <v>9726</v>
      </c>
      <c r="BD3454" s="99">
        <f t="shared" si="113"/>
        <v>2</v>
      </c>
      <c r="BH3454" s="95" t="s">
        <v>8541</v>
      </c>
      <c r="BP3454" s="69" t="s">
        <v>8541</v>
      </c>
      <c r="BR3454" s="95" t="s">
        <v>8541</v>
      </c>
      <c r="CC3454" s="99">
        <v>1.5</v>
      </c>
      <c r="CD3454" s="90" t="s">
        <v>10452</v>
      </c>
      <c r="CN3454" s="95" t="s">
        <v>8541</v>
      </c>
      <c r="CV3454" s="99">
        <v>0.5</v>
      </c>
      <c r="CW3454" s="63" t="s">
        <v>10453</v>
      </c>
    </row>
    <row r="3455" spans="1:101" x14ac:dyDescent="0.15">
      <c r="A3455" s="76">
        <v>3215</v>
      </c>
      <c r="B3455" s="74" t="s">
        <v>4040</v>
      </c>
      <c r="C3455" s="74">
        <v>1001741668</v>
      </c>
      <c r="D3455" s="78" t="str">
        <f t="shared" si="114"/>
        <v>https://portal.dnb.de/opac.htm?method=simpleSearch&amp;cqlMode=true&amp;query=idn%3D1001741668</v>
      </c>
      <c r="E3455" s="74" t="s">
        <v>10451</v>
      </c>
      <c r="F3455" s="74"/>
      <c r="G3455" s="76"/>
      <c r="H3455" s="77"/>
      <c r="I3455" s="76"/>
      <c r="J3455" s="77"/>
      <c r="K3455" s="77"/>
      <c r="L3455" s="76"/>
      <c r="M3455" s="76"/>
      <c r="N3455" s="76"/>
      <c r="O3455" s="76"/>
      <c r="P3455" s="76"/>
      <c r="Q3455" s="76"/>
      <c r="R3455" s="76"/>
      <c r="S3455" s="76"/>
      <c r="BD3455" s="99">
        <f t="shared" si="113"/>
        <v>0</v>
      </c>
      <c r="CC3455" s="99"/>
      <c r="CV3455" s="99"/>
      <c r="CW3455" s="63"/>
    </row>
    <row r="3456" spans="1:101" x14ac:dyDescent="0.15">
      <c r="A3456" s="76">
        <v>3216</v>
      </c>
      <c r="B3456" s="74" t="s">
        <v>4050</v>
      </c>
      <c r="C3456" s="74">
        <v>1000115755</v>
      </c>
      <c r="D3456" s="78" t="str">
        <f t="shared" si="114"/>
        <v>https://portal.dnb.de/opac.htm?method=simpleSearch&amp;cqlMode=true&amp;query=idn%3D1000115755</v>
      </c>
      <c r="E3456" s="74" t="s">
        <v>4051</v>
      </c>
      <c r="F3456" s="74"/>
      <c r="G3456" s="76"/>
      <c r="H3456" s="77"/>
      <c r="I3456" s="76"/>
      <c r="J3456" s="77"/>
      <c r="K3456" s="77"/>
      <c r="L3456" s="76"/>
      <c r="M3456" s="76"/>
      <c r="N3456" s="76"/>
      <c r="O3456" s="76"/>
      <c r="P3456" s="76"/>
      <c r="Q3456" s="76"/>
      <c r="R3456" s="76"/>
      <c r="S3456" s="76"/>
      <c r="BD3456" s="99">
        <f t="shared" si="113"/>
        <v>0</v>
      </c>
      <c r="CC3456" s="99"/>
      <c r="CV3456" s="99"/>
      <c r="CW3456" s="63"/>
    </row>
    <row r="3457" spans="1:101" x14ac:dyDescent="0.15">
      <c r="A3457" s="76">
        <v>3217</v>
      </c>
      <c r="B3457" s="74" t="s">
        <v>4076</v>
      </c>
      <c r="C3457" s="74">
        <v>997625686</v>
      </c>
      <c r="D3457" s="78" t="str">
        <f t="shared" si="114"/>
        <v>https://portal.dnb.de/opac.htm?method=simpleSearch&amp;cqlMode=true&amp;query=idn%3D997625686</v>
      </c>
      <c r="E3457" s="74" t="s">
        <v>4077</v>
      </c>
      <c r="F3457" s="74"/>
      <c r="G3457" s="76"/>
      <c r="H3457" s="77"/>
      <c r="I3457" s="76"/>
      <c r="J3457" s="77"/>
      <c r="K3457" s="77"/>
      <c r="L3457" s="76"/>
      <c r="M3457" s="76"/>
      <c r="N3457" s="76"/>
      <c r="O3457" s="76"/>
      <c r="P3457" s="76"/>
      <c r="Q3457" s="76"/>
      <c r="R3457" s="76"/>
      <c r="S3457" s="76"/>
      <c r="BD3457" s="99">
        <f t="shared" si="113"/>
        <v>0</v>
      </c>
      <c r="CC3457" s="99"/>
      <c r="CV3457" s="99"/>
      <c r="CW3457" s="63"/>
    </row>
    <row r="3458" spans="1:101" x14ac:dyDescent="0.15">
      <c r="A3458" s="76">
        <v>3218</v>
      </c>
      <c r="B3458" s="74" t="s">
        <v>4072</v>
      </c>
      <c r="C3458" s="74">
        <v>1066874085</v>
      </c>
      <c r="D3458" s="78" t="str">
        <f t="shared" si="114"/>
        <v>https://portal.dnb.de/opac.htm?method=simpleSearch&amp;cqlMode=true&amp;query=idn%3D1066874085</v>
      </c>
      <c r="E3458" s="74" t="s">
        <v>4073</v>
      </c>
      <c r="F3458" s="74"/>
      <c r="G3458" s="76"/>
      <c r="H3458" s="77"/>
      <c r="I3458" s="76"/>
      <c r="J3458" s="77"/>
      <c r="K3458" s="77"/>
      <c r="L3458" s="76"/>
      <c r="M3458" s="76"/>
      <c r="N3458" s="76"/>
      <c r="O3458" s="76"/>
      <c r="P3458" s="76"/>
      <c r="Q3458" s="76"/>
      <c r="R3458" s="76"/>
      <c r="S3458" s="76"/>
      <c r="BD3458" s="99">
        <f t="shared" si="113"/>
        <v>0</v>
      </c>
      <c r="CC3458" s="99"/>
      <c r="CV3458" s="99"/>
      <c r="CW3458" s="63"/>
    </row>
    <row r="3459" spans="1:101" x14ac:dyDescent="0.15">
      <c r="A3459" s="76">
        <v>3219</v>
      </c>
      <c r="B3459" s="74" t="s">
        <v>4074</v>
      </c>
      <c r="C3459" s="74">
        <v>1066770751</v>
      </c>
      <c r="D3459" s="78" t="str">
        <f t="shared" si="114"/>
        <v>https://portal.dnb.de/opac.htm?method=simpleSearch&amp;cqlMode=true&amp;query=idn%3D1066770751</v>
      </c>
      <c r="E3459" s="74" t="s">
        <v>4075</v>
      </c>
      <c r="F3459" s="74"/>
      <c r="G3459" s="76"/>
      <c r="H3459" s="77"/>
      <c r="I3459" s="76"/>
      <c r="J3459" s="77"/>
      <c r="K3459" s="77"/>
      <c r="L3459" s="76"/>
      <c r="M3459" s="76"/>
      <c r="N3459" s="76"/>
      <c r="O3459" s="76"/>
      <c r="P3459" s="76"/>
      <c r="Q3459" s="76"/>
      <c r="R3459" s="76"/>
      <c r="S3459" s="76"/>
      <c r="BD3459" s="99">
        <f t="shared" ref="BD3459:BD3522" si="115">CC3459+CV3459</f>
        <v>0</v>
      </c>
      <c r="CC3459" s="99"/>
      <c r="CV3459" s="99"/>
      <c r="CW3459" s="63"/>
    </row>
    <row r="3460" spans="1:101" ht="78.75" x14ac:dyDescent="0.15">
      <c r="A3460" s="76">
        <v>3220</v>
      </c>
      <c r="B3460" s="74" t="s">
        <v>4078</v>
      </c>
      <c r="C3460" s="74">
        <v>1132632412</v>
      </c>
      <c r="D3460" s="78" t="str">
        <f t="shared" si="114"/>
        <v>https://portal.dnb.de/opac.htm?method=simpleSearch&amp;cqlMode=true&amp;query=idn%3D1132632412</v>
      </c>
      <c r="E3460" s="74" t="s">
        <v>9692</v>
      </c>
      <c r="F3460" s="79" t="s">
        <v>10529</v>
      </c>
      <c r="G3460" s="76" t="s">
        <v>8515</v>
      </c>
      <c r="H3460" s="77" t="s">
        <v>5</v>
      </c>
      <c r="I3460" s="84" t="s">
        <v>56</v>
      </c>
      <c r="J3460" s="77" t="s">
        <v>8516</v>
      </c>
      <c r="K3460" s="77" t="s">
        <v>8520</v>
      </c>
      <c r="L3460" s="76"/>
      <c r="M3460" s="76"/>
      <c r="N3460" s="76"/>
      <c r="O3460" s="76">
        <v>0</v>
      </c>
      <c r="P3460" s="76"/>
      <c r="Q3460" s="76" t="s">
        <v>9698</v>
      </c>
      <c r="R3460" s="76"/>
      <c r="S3460" s="76"/>
      <c r="BD3460" s="99">
        <f t="shared" si="115"/>
        <v>0</v>
      </c>
      <c r="CC3460" s="99"/>
      <c r="CV3460" s="99"/>
      <c r="CW3460" s="63"/>
    </row>
    <row r="3461" spans="1:101" ht="22.5" x14ac:dyDescent="0.15">
      <c r="A3461" s="76">
        <v>3221</v>
      </c>
      <c r="B3461" s="74" t="s">
        <v>4080</v>
      </c>
      <c r="C3461" s="74">
        <v>1132632420</v>
      </c>
      <c r="D3461" s="78" t="str">
        <f t="shared" si="114"/>
        <v>https://portal.dnb.de/opac.htm?method=simpleSearch&amp;cqlMode=true&amp;query=idn%3D1132632420</v>
      </c>
      <c r="E3461" s="74" t="s">
        <v>4079</v>
      </c>
      <c r="F3461" s="74"/>
      <c r="G3461" s="76"/>
      <c r="H3461" s="77"/>
      <c r="I3461" s="76" t="s">
        <v>56</v>
      </c>
      <c r="J3461" s="77"/>
      <c r="K3461" s="77"/>
      <c r="L3461" s="76"/>
      <c r="M3461" s="76"/>
      <c r="N3461" s="76"/>
      <c r="O3461" s="76"/>
      <c r="P3461" s="76"/>
      <c r="Q3461" s="76"/>
      <c r="R3461" s="76"/>
      <c r="S3461" s="76"/>
      <c r="U3461" s="95" t="s">
        <v>9802</v>
      </c>
      <c r="Y3461" s="95" t="s">
        <v>9763</v>
      </c>
      <c r="AA3461" s="95" t="s">
        <v>8541</v>
      </c>
      <c r="AC3461" s="95" t="s">
        <v>9730</v>
      </c>
      <c r="AI3461" s="95" t="s">
        <v>9725</v>
      </c>
      <c r="AS3461" s="95" t="s">
        <v>9803</v>
      </c>
      <c r="AW3461" s="95">
        <v>110</v>
      </c>
      <c r="BC3461" s="96" t="s">
        <v>9726</v>
      </c>
      <c r="BD3461" s="99">
        <f t="shared" si="115"/>
        <v>1</v>
      </c>
      <c r="BR3461" s="95" t="s">
        <v>8541</v>
      </c>
      <c r="CC3461" s="99">
        <v>1</v>
      </c>
      <c r="CD3461" s="90" t="s">
        <v>9807</v>
      </c>
      <c r="CV3461" s="99"/>
      <c r="CW3461" s="63"/>
    </row>
    <row r="3462" spans="1:101" x14ac:dyDescent="0.15">
      <c r="A3462" s="76">
        <v>3222</v>
      </c>
      <c r="B3462" s="74" t="s">
        <v>4081</v>
      </c>
      <c r="C3462" s="74">
        <v>994428502</v>
      </c>
      <c r="D3462" s="78" t="str">
        <f t="shared" si="114"/>
        <v>https://portal.dnb.de/opac.htm?method=simpleSearch&amp;cqlMode=true&amp;query=idn%3D994428502</v>
      </c>
      <c r="E3462" s="74" t="s">
        <v>4082</v>
      </c>
      <c r="F3462" s="74"/>
      <c r="G3462" s="76"/>
      <c r="H3462" s="77"/>
      <c r="I3462" s="76"/>
      <c r="J3462" s="77"/>
      <c r="K3462" s="77"/>
      <c r="L3462" s="76"/>
      <c r="M3462" s="76"/>
      <c r="N3462" s="76"/>
      <c r="O3462" s="76"/>
      <c r="P3462" s="76"/>
      <c r="Q3462" s="76"/>
      <c r="R3462" s="76"/>
      <c r="S3462" s="76"/>
      <c r="BD3462" s="99">
        <f t="shared" si="115"/>
        <v>0</v>
      </c>
      <c r="CC3462" s="99"/>
      <c r="CV3462" s="99"/>
      <c r="CW3462" s="63"/>
    </row>
    <row r="3463" spans="1:101" x14ac:dyDescent="0.15">
      <c r="A3463" s="76">
        <v>3223</v>
      </c>
      <c r="B3463" s="74" t="s">
        <v>4083</v>
      </c>
      <c r="C3463" s="74">
        <v>994428286</v>
      </c>
      <c r="D3463" s="78" t="str">
        <f t="shared" si="114"/>
        <v>https://portal.dnb.de/opac.htm?method=simpleSearch&amp;cqlMode=true&amp;query=idn%3D994428286</v>
      </c>
      <c r="E3463" s="74" t="s">
        <v>4084</v>
      </c>
      <c r="F3463" s="74"/>
      <c r="G3463" s="76"/>
      <c r="H3463" s="77"/>
      <c r="I3463" s="76"/>
      <c r="J3463" s="77"/>
      <c r="K3463" s="77"/>
      <c r="L3463" s="76"/>
      <c r="M3463" s="76"/>
      <c r="N3463" s="76"/>
      <c r="O3463" s="76"/>
      <c r="P3463" s="76"/>
      <c r="Q3463" s="76"/>
      <c r="R3463" s="76"/>
      <c r="S3463" s="76"/>
      <c r="BD3463" s="99">
        <f t="shared" si="115"/>
        <v>0</v>
      </c>
      <c r="CC3463" s="99"/>
      <c r="CV3463" s="99"/>
      <c r="CW3463" s="63"/>
    </row>
    <row r="3464" spans="1:101" x14ac:dyDescent="0.15">
      <c r="A3464" s="76">
        <v>3224</v>
      </c>
      <c r="B3464" s="74" t="s">
        <v>4085</v>
      </c>
      <c r="C3464" s="74">
        <v>996931589</v>
      </c>
      <c r="D3464" s="78" t="str">
        <f t="shared" si="114"/>
        <v>https://portal.dnb.de/opac.htm?method=simpleSearch&amp;cqlMode=true&amp;query=idn%3D996931589</v>
      </c>
      <c r="E3464" s="74" t="s">
        <v>4086</v>
      </c>
      <c r="F3464" s="74"/>
      <c r="G3464" s="76"/>
      <c r="H3464" s="77"/>
      <c r="I3464" s="76"/>
      <c r="J3464" s="77"/>
      <c r="K3464" s="77"/>
      <c r="L3464" s="76"/>
      <c r="M3464" s="76"/>
      <c r="N3464" s="76"/>
      <c r="O3464" s="76"/>
      <c r="P3464" s="76"/>
      <c r="Q3464" s="76"/>
      <c r="R3464" s="76"/>
      <c r="S3464" s="76"/>
      <c r="BD3464" s="99">
        <f t="shared" si="115"/>
        <v>0</v>
      </c>
      <c r="CC3464" s="99"/>
      <c r="CV3464" s="99"/>
      <c r="CW3464" s="63"/>
    </row>
    <row r="3465" spans="1:101" x14ac:dyDescent="0.15">
      <c r="A3465" s="76">
        <v>3225</v>
      </c>
      <c r="B3465" s="74" t="s">
        <v>4087</v>
      </c>
      <c r="C3465" s="74">
        <v>1002385040</v>
      </c>
      <c r="D3465" s="78" t="str">
        <f t="shared" si="114"/>
        <v>https://portal.dnb.de/opac.htm?method=simpleSearch&amp;cqlMode=true&amp;query=idn%3D1002385040</v>
      </c>
      <c r="E3465" s="74" t="s">
        <v>4088</v>
      </c>
      <c r="F3465" s="74"/>
      <c r="G3465" s="76"/>
      <c r="H3465" s="77"/>
      <c r="I3465" s="76"/>
      <c r="J3465" s="77"/>
      <c r="K3465" s="77"/>
      <c r="L3465" s="76"/>
      <c r="M3465" s="76"/>
      <c r="N3465" s="76"/>
      <c r="O3465" s="76"/>
      <c r="P3465" s="76"/>
      <c r="Q3465" s="76"/>
      <c r="R3465" s="76"/>
      <c r="S3465" s="76"/>
      <c r="BD3465" s="99">
        <f t="shared" si="115"/>
        <v>0</v>
      </c>
      <c r="CC3465" s="99"/>
      <c r="CV3465" s="99"/>
      <c r="CW3465" s="63"/>
    </row>
    <row r="3466" spans="1:101" x14ac:dyDescent="0.15">
      <c r="A3466" s="76">
        <v>3226</v>
      </c>
      <c r="B3466" s="74" t="s">
        <v>4089</v>
      </c>
      <c r="C3466" s="74">
        <v>994404220</v>
      </c>
      <c r="D3466" s="78" t="str">
        <f t="shared" si="114"/>
        <v>https://portal.dnb.de/opac.htm?method=simpleSearch&amp;cqlMode=true&amp;query=idn%3D994404220</v>
      </c>
      <c r="E3466" s="74" t="s">
        <v>4088</v>
      </c>
      <c r="F3466" s="74"/>
      <c r="G3466" s="76"/>
      <c r="H3466" s="77"/>
      <c r="I3466" s="76"/>
      <c r="J3466" s="77"/>
      <c r="K3466" s="77"/>
      <c r="L3466" s="76"/>
      <c r="M3466" s="76"/>
      <c r="N3466" s="76"/>
      <c r="O3466" s="76"/>
      <c r="P3466" s="76"/>
      <c r="Q3466" s="76"/>
      <c r="R3466" s="76"/>
      <c r="S3466" s="76"/>
      <c r="BD3466" s="99">
        <f t="shared" si="115"/>
        <v>0</v>
      </c>
      <c r="CC3466" s="99"/>
      <c r="CV3466" s="99"/>
      <c r="CW3466" s="63"/>
    </row>
    <row r="3467" spans="1:101" x14ac:dyDescent="0.15">
      <c r="A3467" s="76">
        <v>3227</v>
      </c>
      <c r="B3467" s="74" t="s">
        <v>4090</v>
      </c>
      <c r="C3467" s="74">
        <v>994404158</v>
      </c>
      <c r="D3467" s="78" t="str">
        <f t="shared" ref="D3467:D3530" si="116">HYPERLINK(CONCATENATE("https://portal.dnb.de/opac.htm?method=simpleSearch&amp;cqlMode=true&amp;query=idn%3D",C3467))</f>
        <v>https://portal.dnb.de/opac.htm?method=simpleSearch&amp;cqlMode=true&amp;query=idn%3D994404158</v>
      </c>
      <c r="E3467" s="74" t="s">
        <v>4088</v>
      </c>
      <c r="F3467" s="74"/>
      <c r="G3467" s="76"/>
      <c r="H3467" s="77"/>
      <c r="I3467" s="76"/>
      <c r="J3467" s="77"/>
      <c r="K3467" s="77"/>
      <c r="L3467" s="76"/>
      <c r="M3467" s="76"/>
      <c r="N3467" s="76"/>
      <c r="O3467" s="76"/>
      <c r="P3467" s="76"/>
      <c r="Q3467" s="76"/>
      <c r="R3467" s="76"/>
      <c r="S3467" s="76"/>
      <c r="BD3467" s="99">
        <f t="shared" si="115"/>
        <v>0</v>
      </c>
      <c r="CC3467" s="99"/>
      <c r="CV3467" s="99"/>
      <c r="CW3467" s="63"/>
    </row>
    <row r="3468" spans="1:101" x14ac:dyDescent="0.15">
      <c r="A3468" s="76">
        <v>3228</v>
      </c>
      <c r="B3468" s="74" t="s">
        <v>4091</v>
      </c>
      <c r="C3468" s="74" t="s">
        <v>4092</v>
      </c>
      <c r="D3468" s="78" t="str">
        <f t="shared" si="116"/>
        <v>https://portal.dnb.de/opac.htm?method=simpleSearch&amp;cqlMode=true&amp;query=idn%3D100238530X</v>
      </c>
      <c r="E3468" s="74" t="s">
        <v>4088</v>
      </c>
      <c r="F3468" s="74"/>
      <c r="G3468" s="76"/>
      <c r="H3468" s="77"/>
      <c r="I3468" s="76"/>
      <c r="J3468" s="77"/>
      <c r="K3468" s="77"/>
      <c r="L3468" s="76"/>
      <c r="M3468" s="76"/>
      <c r="N3468" s="76"/>
      <c r="O3468" s="76"/>
      <c r="P3468" s="76"/>
      <c r="Q3468" s="76"/>
      <c r="R3468" s="76"/>
      <c r="S3468" s="76"/>
      <c r="BD3468" s="99">
        <f t="shared" si="115"/>
        <v>0</v>
      </c>
      <c r="CC3468" s="99"/>
      <c r="CV3468" s="99"/>
      <c r="CW3468" s="63"/>
    </row>
    <row r="3469" spans="1:101" x14ac:dyDescent="0.15">
      <c r="A3469" s="76">
        <v>3229</v>
      </c>
      <c r="B3469" s="74" t="s">
        <v>4093</v>
      </c>
      <c r="C3469" s="74" t="s">
        <v>4094</v>
      </c>
      <c r="D3469" s="78" t="str">
        <f t="shared" si="116"/>
        <v>https://portal.dnb.de/opac.htm?method=simpleSearch&amp;cqlMode=true&amp;query=idn%3D99394471X</v>
      </c>
      <c r="E3469" s="74" t="s">
        <v>4088</v>
      </c>
      <c r="F3469" s="74"/>
      <c r="G3469" s="76"/>
      <c r="H3469" s="77"/>
      <c r="I3469" s="76"/>
      <c r="J3469" s="77"/>
      <c r="K3469" s="77"/>
      <c r="L3469" s="76"/>
      <c r="M3469" s="76"/>
      <c r="N3469" s="76"/>
      <c r="O3469" s="76"/>
      <c r="P3469" s="76"/>
      <c r="Q3469" s="76"/>
      <c r="R3469" s="76"/>
      <c r="S3469" s="76"/>
      <c r="BD3469" s="99">
        <f t="shared" si="115"/>
        <v>0</v>
      </c>
      <c r="CC3469" s="99"/>
      <c r="CV3469" s="99"/>
      <c r="CW3469" s="63"/>
    </row>
    <row r="3470" spans="1:101" x14ac:dyDescent="0.15">
      <c r="A3470" s="76">
        <v>3230</v>
      </c>
      <c r="B3470" s="74" t="s">
        <v>4095</v>
      </c>
      <c r="C3470" s="74">
        <v>998633682</v>
      </c>
      <c r="D3470" s="78" t="str">
        <f t="shared" si="116"/>
        <v>https://portal.dnb.de/opac.htm?method=simpleSearch&amp;cqlMode=true&amp;query=idn%3D998633682</v>
      </c>
      <c r="E3470" s="74" t="s">
        <v>4088</v>
      </c>
      <c r="F3470" s="74"/>
      <c r="G3470" s="76"/>
      <c r="H3470" s="77"/>
      <c r="I3470" s="76"/>
      <c r="J3470" s="77"/>
      <c r="K3470" s="77"/>
      <c r="L3470" s="76"/>
      <c r="M3470" s="76"/>
      <c r="N3470" s="76"/>
      <c r="O3470" s="76"/>
      <c r="P3470" s="76"/>
      <c r="Q3470" s="76"/>
      <c r="R3470" s="76"/>
      <c r="S3470" s="76"/>
      <c r="BD3470" s="99">
        <f t="shared" si="115"/>
        <v>0</v>
      </c>
      <c r="CC3470" s="99"/>
      <c r="CV3470" s="99"/>
      <c r="CW3470" s="63"/>
    </row>
    <row r="3471" spans="1:101" x14ac:dyDescent="0.15">
      <c r="A3471" s="76">
        <v>3231</v>
      </c>
      <c r="B3471" s="74" t="s">
        <v>4096</v>
      </c>
      <c r="C3471" s="74">
        <v>1002385229</v>
      </c>
      <c r="D3471" s="78" t="str">
        <f t="shared" si="116"/>
        <v>https://portal.dnb.de/opac.htm?method=simpleSearch&amp;cqlMode=true&amp;query=idn%3D1002385229</v>
      </c>
      <c r="E3471" s="74" t="s">
        <v>4088</v>
      </c>
      <c r="F3471" s="74"/>
      <c r="G3471" s="76"/>
      <c r="H3471" s="77"/>
      <c r="I3471" s="76"/>
      <c r="J3471" s="77"/>
      <c r="K3471" s="77"/>
      <c r="L3471" s="76"/>
      <c r="M3471" s="76"/>
      <c r="N3471" s="76"/>
      <c r="O3471" s="76"/>
      <c r="P3471" s="76"/>
      <c r="Q3471" s="76"/>
      <c r="R3471" s="76"/>
      <c r="S3471" s="76"/>
      <c r="BD3471" s="99">
        <f t="shared" si="115"/>
        <v>0</v>
      </c>
      <c r="CC3471" s="99"/>
      <c r="CV3471" s="99"/>
      <c r="CW3471" s="63"/>
    </row>
    <row r="3472" spans="1:101" x14ac:dyDescent="0.15">
      <c r="A3472" s="76">
        <v>3232</v>
      </c>
      <c r="B3472" s="74" t="s">
        <v>4097</v>
      </c>
      <c r="C3472" s="74">
        <v>998825646</v>
      </c>
      <c r="D3472" s="78" t="str">
        <f t="shared" si="116"/>
        <v>https://portal.dnb.de/opac.htm?method=simpleSearch&amp;cqlMode=true&amp;query=idn%3D998825646</v>
      </c>
      <c r="E3472" s="74" t="s">
        <v>4088</v>
      </c>
      <c r="F3472" s="74"/>
      <c r="G3472" s="76"/>
      <c r="H3472" s="77"/>
      <c r="I3472" s="76"/>
      <c r="J3472" s="77"/>
      <c r="K3472" s="77"/>
      <c r="L3472" s="76"/>
      <c r="M3472" s="76"/>
      <c r="N3472" s="76"/>
      <c r="O3472" s="76"/>
      <c r="P3472" s="76"/>
      <c r="Q3472" s="76"/>
      <c r="R3472" s="76"/>
      <c r="S3472" s="76"/>
      <c r="BD3472" s="99">
        <f t="shared" si="115"/>
        <v>0</v>
      </c>
      <c r="CC3472" s="99"/>
      <c r="CV3472" s="99"/>
      <c r="CW3472" s="63"/>
    </row>
    <row r="3473" spans="1:101" x14ac:dyDescent="0.15">
      <c r="A3473" s="76">
        <v>3233</v>
      </c>
      <c r="B3473" s="74" t="s">
        <v>4098</v>
      </c>
      <c r="C3473" s="74">
        <v>1066862303</v>
      </c>
      <c r="D3473" s="78" t="str">
        <f t="shared" si="116"/>
        <v>https://portal.dnb.de/opac.htm?method=simpleSearch&amp;cqlMode=true&amp;query=idn%3D1066862303</v>
      </c>
      <c r="E3473" s="74" t="s">
        <v>4099</v>
      </c>
      <c r="F3473" s="74"/>
      <c r="G3473" s="76"/>
      <c r="H3473" s="77"/>
      <c r="I3473" s="76"/>
      <c r="J3473" s="77"/>
      <c r="K3473" s="77"/>
      <c r="L3473" s="76"/>
      <c r="M3473" s="76"/>
      <c r="N3473" s="76"/>
      <c r="O3473" s="76"/>
      <c r="P3473" s="76"/>
      <c r="Q3473" s="76"/>
      <c r="R3473" s="76"/>
      <c r="S3473" s="76"/>
      <c r="BD3473" s="99">
        <f t="shared" si="115"/>
        <v>0</v>
      </c>
      <c r="CC3473" s="99"/>
      <c r="CV3473" s="99"/>
      <c r="CW3473" s="63"/>
    </row>
    <row r="3474" spans="1:101" x14ac:dyDescent="0.15">
      <c r="A3474" s="76">
        <v>3234</v>
      </c>
      <c r="B3474" s="74" t="s">
        <v>4105</v>
      </c>
      <c r="C3474" s="74">
        <v>12807265</v>
      </c>
      <c r="D3474" s="78" t="str">
        <f t="shared" si="116"/>
        <v>https://portal.dnb.de/opac.htm?method=simpleSearch&amp;cqlMode=true&amp;query=idn%3D12807265</v>
      </c>
      <c r="E3474" s="74" t="s">
        <v>4106</v>
      </c>
      <c r="F3474" s="74"/>
      <c r="G3474" s="76"/>
      <c r="H3474" s="77"/>
      <c r="I3474" s="76"/>
      <c r="J3474" s="77"/>
      <c r="K3474" s="77"/>
      <c r="L3474" s="76"/>
      <c r="M3474" s="76"/>
      <c r="N3474" s="76"/>
      <c r="O3474" s="76"/>
      <c r="P3474" s="76"/>
      <c r="Q3474" s="76"/>
      <c r="R3474" s="76"/>
      <c r="S3474" s="76"/>
      <c r="BD3474" s="99">
        <f t="shared" si="115"/>
        <v>0</v>
      </c>
      <c r="CC3474" s="99"/>
      <c r="CV3474" s="99"/>
      <c r="CW3474" s="63"/>
    </row>
    <row r="3475" spans="1:101" x14ac:dyDescent="0.15">
      <c r="A3475" s="76">
        <v>3235</v>
      </c>
      <c r="B3475" s="74" t="s">
        <v>4100</v>
      </c>
      <c r="C3475" s="74">
        <v>1066847061</v>
      </c>
      <c r="D3475" s="78" t="str">
        <f t="shared" si="116"/>
        <v>https://portal.dnb.de/opac.htm?method=simpleSearch&amp;cqlMode=true&amp;query=idn%3D1066847061</v>
      </c>
      <c r="E3475" s="74" t="s">
        <v>4101</v>
      </c>
      <c r="F3475" s="74"/>
      <c r="G3475" s="76"/>
      <c r="H3475" s="77"/>
      <c r="I3475" s="76"/>
      <c r="J3475" s="77"/>
      <c r="K3475" s="77"/>
      <c r="L3475" s="76"/>
      <c r="M3475" s="76"/>
      <c r="N3475" s="76"/>
      <c r="O3475" s="76"/>
      <c r="P3475" s="76"/>
      <c r="Q3475" s="76"/>
      <c r="R3475" s="76"/>
      <c r="S3475" s="76"/>
      <c r="BD3475" s="99">
        <f t="shared" si="115"/>
        <v>0</v>
      </c>
      <c r="CC3475" s="99"/>
      <c r="CV3475" s="99"/>
      <c r="CW3475" s="63"/>
    </row>
    <row r="3476" spans="1:101" x14ac:dyDescent="0.15">
      <c r="A3476" s="76">
        <v>3236</v>
      </c>
      <c r="B3476" s="74" t="s">
        <v>4102</v>
      </c>
      <c r="C3476" s="74">
        <v>999485210</v>
      </c>
      <c r="D3476" s="78" t="str">
        <f t="shared" si="116"/>
        <v>https://portal.dnb.de/opac.htm?method=simpleSearch&amp;cqlMode=true&amp;query=idn%3D999485210</v>
      </c>
      <c r="E3476" s="74" t="s">
        <v>4103</v>
      </c>
      <c r="F3476" s="74"/>
      <c r="G3476" s="76"/>
      <c r="H3476" s="77"/>
      <c r="I3476" s="76"/>
      <c r="J3476" s="77"/>
      <c r="K3476" s="77"/>
      <c r="L3476" s="76"/>
      <c r="M3476" s="76"/>
      <c r="N3476" s="76"/>
      <c r="O3476" s="76"/>
      <c r="P3476" s="76"/>
      <c r="Q3476" s="76"/>
      <c r="R3476" s="76"/>
      <c r="S3476" s="76"/>
      <c r="BD3476" s="99">
        <f t="shared" si="115"/>
        <v>0</v>
      </c>
      <c r="CC3476" s="99"/>
      <c r="CV3476" s="99"/>
      <c r="CW3476" s="63"/>
    </row>
    <row r="3477" spans="1:101" x14ac:dyDescent="0.15">
      <c r="A3477" s="76">
        <v>3237</v>
      </c>
      <c r="B3477" s="74" t="s">
        <v>4104</v>
      </c>
      <c r="C3477" s="74">
        <v>994315805</v>
      </c>
      <c r="D3477" s="78" t="str">
        <f t="shared" si="116"/>
        <v>https://portal.dnb.de/opac.htm?method=simpleSearch&amp;cqlMode=true&amp;query=idn%3D994315805</v>
      </c>
      <c r="E3477" s="74" t="s">
        <v>4103</v>
      </c>
      <c r="F3477" s="74"/>
      <c r="G3477" s="76"/>
      <c r="H3477" s="77"/>
      <c r="I3477" s="76"/>
      <c r="J3477" s="77"/>
      <c r="K3477" s="77"/>
      <c r="L3477" s="76"/>
      <c r="M3477" s="76"/>
      <c r="N3477" s="76"/>
      <c r="O3477" s="76"/>
      <c r="P3477" s="76"/>
      <c r="Q3477" s="76"/>
      <c r="R3477" s="76"/>
      <c r="S3477" s="76"/>
      <c r="BD3477" s="99">
        <f t="shared" si="115"/>
        <v>0</v>
      </c>
      <c r="CC3477" s="99"/>
      <c r="CV3477" s="99"/>
      <c r="CW3477" s="63"/>
    </row>
    <row r="3478" spans="1:101" x14ac:dyDescent="0.15">
      <c r="A3478" s="76">
        <v>3238</v>
      </c>
      <c r="B3478" s="74" t="s">
        <v>4110</v>
      </c>
      <c r="C3478" s="74">
        <v>999114638</v>
      </c>
      <c r="D3478" s="78" t="str">
        <f t="shared" si="116"/>
        <v>https://portal.dnb.de/opac.htm?method=simpleSearch&amp;cqlMode=true&amp;query=idn%3D999114638</v>
      </c>
      <c r="E3478" s="74" t="s">
        <v>4111</v>
      </c>
      <c r="F3478" s="74"/>
      <c r="G3478" s="76"/>
      <c r="H3478" s="77"/>
      <c r="I3478" s="76"/>
      <c r="J3478" s="77"/>
      <c r="K3478" s="77"/>
      <c r="L3478" s="76"/>
      <c r="M3478" s="76"/>
      <c r="N3478" s="76"/>
      <c r="O3478" s="76"/>
      <c r="P3478" s="76"/>
      <c r="Q3478" s="76"/>
      <c r="R3478" s="76"/>
      <c r="S3478" s="76"/>
      <c r="BD3478" s="99">
        <f t="shared" si="115"/>
        <v>0</v>
      </c>
      <c r="CC3478" s="99"/>
      <c r="CV3478" s="99"/>
      <c r="CW3478" s="63"/>
    </row>
    <row r="3479" spans="1:101" x14ac:dyDescent="0.15">
      <c r="A3479" s="76">
        <v>3239</v>
      </c>
      <c r="B3479" s="74" t="s">
        <v>4112</v>
      </c>
      <c r="C3479" s="74">
        <v>1000888711</v>
      </c>
      <c r="D3479" s="78" t="str">
        <f t="shared" si="116"/>
        <v>https://portal.dnb.de/opac.htm?method=simpleSearch&amp;cqlMode=true&amp;query=idn%3D1000888711</v>
      </c>
      <c r="E3479" s="74" t="s">
        <v>4113</v>
      </c>
      <c r="F3479" s="74"/>
      <c r="G3479" s="76"/>
      <c r="H3479" s="77"/>
      <c r="I3479" s="76"/>
      <c r="J3479" s="77"/>
      <c r="K3479" s="77"/>
      <c r="L3479" s="76"/>
      <c r="M3479" s="76"/>
      <c r="N3479" s="76"/>
      <c r="O3479" s="76"/>
      <c r="P3479" s="76"/>
      <c r="Q3479" s="76"/>
      <c r="R3479" s="76"/>
      <c r="S3479" s="76"/>
      <c r="BD3479" s="99">
        <f t="shared" si="115"/>
        <v>0</v>
      </c>
      <c r="CC3479" s="99"/>
      <c r="CV3479" s="99"/>
      <c r="CW3479" s="63"/>
    </row>
    <row r="3480" spans="1:101" x14ac:dyDescent="0.15">
      <c r="A3480" s="76">
        <v>3240</v>
      </c>
      <c r="B3480" s="74" t="s">
        <v>4114</v>
      </c>
      <c r="C3480" s="74">
        <v>997688289</v>
      </c>
      <c r="D3480" s="78" t="str">
        <f t="shared" si="116"/>
        <v>https://portal.dnb.de/opac.htm?method=simpleSearch&amp;cqlMode=true&amp;query=idn%3D997688289</v>
      </c>
      <c r="E3480" s="74" t="s">
        <v>4115</v>
      </c>
      <c r="F3480" s="74"/>
      <c r="G3480" s="76"/>
      <c r="H3480" s="77"/>
      <c r="I3480" s="76"/>
      <c r="J3480" s="77"/>
      <c r="K3480" s="77"/>
      <c r="L3480" s="76"/>
      <c r="M3480" s="76"/>
      <c r="N3480" s="76"/>
      <c r="O3480" s="76"/>
      <c r="P3480" s="76"/>
      <c r="Q3480" s="76"/>
      <c r="R3480" s="76"/>
      <c r="S3480" s="76"/>
      <c r="BD3480" s="99">
        <f t="shared" si="115"/>
        <v>0</v>
      </c>
      <c r="CC3480" s="99"/>
      <c r="CV3480" s="99"/>
      <c r="CW3480" s="63"/>
    </row>
    <row r="3481" spans="1:101" x14ac:dyDescent="0.15">
      <c r="A3481" s="76">
        <v>3241</v>
      </c>
      <c r="B3481" s="74" t="s">
        <v>4116</v>
      </c>
      <c r="C3481" s="74">
        <v>999957449</v>
      </c>
      <c r="D3481" s="78" t="str">
        <f t="shared" si="116"/>
        <v>https://portal.dnb.de/opac.htm?method=simpleSearch&amp;cqlMode=true&amp;query=idn%3D999957449</v>
      </c>
      <c r="E3481" s="74" t="s">
        <v>4115</v>
      </c>
      <c r="F3481" s="74"/>
      <c r="G3481" s="76"/>
      <c r="H3481" s="77"/>
      <c r="I3481" s="76"/>
      <c r="J3481" s="77"/>
      <c r="K3481" s="77"/>
      <c r="L3481" s="76"/>
      <c r="M3481" s="76"/>
      <c r="N3481" s="76"/>
      <c r="O3481" s="76"/>
      <c r="P3481" s="76"/>
      <c r="Q3481" s="76"/>
      <c r="R3481" s="76"/>
      <c r="S3481" s="76"/>
      <c r="BD3481" s="99">
        <f t="shared" si="115"/>
        <v>0</v>
      </c>
      <c r="CC3481" s="99"/>
      <c r="CV3481" s="99"/>
      <c r="CW3481" s="63"/>
    </row>
    <row r="3482" spans="1:101" ht="22.5" x14ac:dyDescent="0.15">
      <c r="A3482" s="76">
        <v>3242</v>
      </c>
      <c r="B3482" s="74" t="s">
        <v>4107</v>
      </c>
      <c r="C3482" s="74" t="s">
        <v>4108</v>
      </c>
      <c r="D3482" s="78" t="str">
        <f t="shared" si="116"/>
        <v>https://portal.dnb.de/opac.htm?method=simpleSearch&amp;cqlMode=true&amp;query=idn%3D100109994X</v>
      </c>
      <c r="E3482" s="74" t="s">
        <v>4109</v>
      </c>
      <c r="F3482" s="74"/>
      <c r="G3482" s="76"/>
      <c r="H3482" s="77"/>
      <c r="I3482" s="76" t="s">
        <v>53</v>
      </c>
      <c r="J3482" s="77"/>
      <c r="K3482" s="77"/>
      <c r="L3482" s="76"/>
      <c r="M3482" s="76"/>
      <c r="N3482" s="76"/>
      <c r="O3482" s="76"/>
      <c r="P3482" s="76"/>
      <c r="Q3482" s="76"/>
      <c r="R3482" s="76"/>
      <c r="S3482" s="76"/>
      <c r="Y3482" s="95" t="s">
        <v>9725</v>
      </c>
      <c r="AC3482" s="95" t="s">
        <v>9739</v>
      </c>
      <c r="AI3482" s="95" t="s">
        <v>9725</v>
      </c>
      <c r="AW3482" s="95">
        <v>110</v>
      </c>
      <c r="BC3482" s="96" t="s">
        <v>9726</v>
      </c>
      <c r="BD3482" s="99">
        <f t="shared" si="115"/>
        <v>1.5</v>
      </c>
      <c r="BJ3482" s="95" t="s">
        <v>9741</v>
      </c>
      <c r="BK3482" s="95" t="s">
        <v>8541</v>
      </c>
      <c r="BP3482" s="69" t="s">
        <v>8541</v>
      </c>
      <c r="BR3482" s="95" t="s">
        <v>8541</v>
      </c>
      <c r="BT3482" s="95" t="s">
        <v>9775</v>
      </c>
      <c r="CC3482" s="99">
        <v>1.5</v>
      </c>
      <c r="CD3482" s="90" t="s">
        <v>10101</v>
      </c>
      <c r="CV3482" s="99"/>
      <c r="CW3482" s="63"/>
    </row>
    <row r="3483" spans="1:101" x14ac:dyDescent="0.15">
      <c r="A3483" s="76">
        <v>3243</v>
      </c>
      <c r="B3483" s="74" t="s">
        <v>4117</v>
      </c>
      <c r="C3483" s="74">
        <v>1066779260</v>
      </c>
      <c r="D3483" s="78" t="str">
        <f t="shared" si="116"/>
        <v>https://portal.dnb.de/opac.htm?method=simpleSearch&amp;cqlMode=true&amp;query=idn%3D1066779260</v>
      </c>
      <c r="E3483" s="74" t="s">
        <v>4118</v>
      </c>
      <c r="F3483" s="74"/>
      <c r="G3483" s="76"/>
      <c r="H3483" s="77"/>
      <c r="I3483" s="76"/>
      <c r="J3483" s="77"/>
      <c r="K3483" s="77"/>
      <c r="L3483" s="76"/>
      <c r="M3483" s="76"/>
      <c r="N3483" s="76"/>
      <c r="O3483" s="76"/>
      <c r="P3483" s="76"/>
      <c r="Q3483" s="76"/>
      <c r="R3483" s="76"/>
      <c r="S3483" s="76"/>
      <c r="BD3483" s="99">
        <f t="shared" si="115"/>
        <v>0</v>
      </c>
      <c r="CC3483" s="99"/>
      <c r="CV3483" s="99"/>
      <c r="CW3483" s="63"/>
    </row>
    <row r="3484" spans="1:101" x14ac:dyDescent="0.15">
      <c r="A3484" s="76">
        <v>3244</v>
      </c>
      <c r="B3484" s="74" t="s">
        <v>4119</v>
      </c>
      <c r="C3484" s="74">
        <v>1066962294</v>
      </c>
      <c r="D3484" s="78" t="str">
        <f t="shared" si="116"/>
        <v>https://portal.dnb.de/opac.htm?method=simpleSearch&amp;cqlMode=true&amp;query=idn%3D1066962294</v>
      </c>
      <c r="E3484" s="74" t="s">
        <v>4120</v>
      </c>
      <c r="F3484" s="74"/>
      <c r="G3484" s="76"/>
      <c r="H3484" s="77"/>
      <c r="I3484" s="76"/>
      <c r="J3484" s="77"/>
      <c r="K3484" s="77"/>
      <c r="L3484" s="76"/>
      <c r="M3484" s="76"/>
      <c r="N3484" s="76"/>
      <c r="O3484" s="76"/>
      <c r="P3484" s="76"/>
      <c r="Q3484" s="76"/>
      <c r="R3484" s="76"/>
      <c r="S3484" s="76"/>
      <c r="BD3484" s="99">
        <f t="shared" si="115"/>
        <v>0</v>
      </c>
      <c r="CC3484" s="99"/>
      <c r="CV3484" s="99"/>
      <c r="CW3484" s="63"/>
    </row>
    <row r="3485" spans="1:101" ht="22.5" x14ac:dyDescent="0.15">
      <c r="A3485" s="76">
        <v>3245</v>
      </c>
      <c r="B3485" s="74" t="s">
        <v>4121</v>
      </c>
      <c r="C3485" s="74">
        <v>1132659736</v>
      </c>
      <c r="D3485" s="78" t="str">
        <f t="shared" si="116"/>
        <v>https://portal.dnb.de/opac.htm?method=simpleSearch&amp;cqlMode=true&amp;query=idn%3D1132659736</v>
      </c>
      <c r="E3485" s="74" t="s">
        <v>4122</v>
      </c>
      <c r="F3485" s="74"/>
      <c r="G3485" s="76"/>
      <c r="H3485" s="77"/>
      <c r="I3485" s="76" t="s">
        <v>53</v>
      </c>
      <c r="J3485" s="77"/>
      <c r="K3485" s="77"/>
      <c r="L3485" s="76"/>
      <c r="M3485" s="76"/>
      <c r="N3485" s="76"/>
      <c r="O3485" s="76"/>
      <c r="P3485" s="76"/>
      <c r="Q3485" s="76"/>
      <c r="R3485" s="76"/>
      <c r="S3485" s="76"/>
      <c r="Y3485" s="95" t="s">
        <v>9723</v>
      </c>
      <c r="AA3485" s="95" t="s">
        <v>8541</v>
      </c>
      <c r="AC3485" s="95" t="s">
        <v>9724</v>
      </c>
      <c r="AI3485" s="95" t="s">
        <v>9725</v>
      </c>
      <c r="AW3485" s="95">
        <v>80</v>
      </c>
      <c r="BB3485" s="95" t="s">
        <v>8541</v>
      </c>
      <c r="BC3485" s="96" t="s">
        <v>9726</v>
      </c>
      <c r="BD3485" s="99">
        <f t="shared" si="115"/>
        <v>1</v>
      </c>
      <c r="BH3485" s="95" t="s">
        <v>8541</v>
      </c>
      <c r="BL3485" s="70" t="s">
        <v>10545</v>
      </c>
      <c r="BP3485" s="69" t="s">
        <v>8541</v>
      </c>
      <c r="BQ3485" s="95" t="s">
        <v>8541</v>
      </c>
      <c r="BR3485" s="95" t="s">
        <v>8541</v>
      </c>
      <c r="CC3485" s="99">
        <v>1</v>
      </c>
      <c r="CD3485" s="90" t="s">
        <v>10103</v>
      </c>
      <c r="CV3485" s="99"/>
      <c r="CW3485" s="63"/>
    </row>
    <row r="3486" spans="1:101" x14ac:dyDescent="0.15">
      <c r="A3486" s="76">
        <v>3246</v>
      </c>
      <c r="B3486" s="74" t="s">
        <v>4123</v>
      </c>
      <c r="C3486" s="74">
        <v>1132659728</v>
      </c>
      <c r="D3486" s="78" t="str">
        <f t="shared" si="116"/>
        <v>https://portal.dnb.de/opac.htm?method=simpleSearch&amp;cqlMode=true&amp;query=idn%3D1132659728</v>
      </c>
      <c r="E3486" s="74" t="s">
        <v>10102</v>
      </c>
      <c r="F3486" s="74"/>
      <c r="G3486" s="76"/>
      <c r="H3486" s="77"/>
      <c r="I3486" s="76"/>
      <c r="J3486" s="77"/>
      <c r="K3486" s="77"/>
      <c r="L3486" s="76"/>
      <c r="M3486" s="76"/>
      <c r="N3486" s="76"/>
      <c r="O3486" s="76"/>
      <c r="P3486" s="76"/>
      <c r="Q3486" s="76"/>
      <c r="R3486" s="76"/>
      <c r="S3486" s="76"/>
      <c r="BD3486" s="99">
        <f t="shared" si="115"/>
        <v>0</v>
      </c>
      <c r="CC3486" s="99"/>
      <c r="CV3486" s="99"/>
      <c r="CW3486" s="63"/>
    </row>
    <row r="3487" spans="1:101" x14ac:dyDescent="0.15">
      <c r="A3487" s="76">
        <v>3247</v>
      </c>
      <c r="B3487" s="74" t="s">
        <v>4124</v>
      </c>
      <c r="C3487" s="74">
        <v>1132659744</v>
      </c>
      <c r="D3487" s="78" t="str">
        <f t="shared" si="116"/>
        <v>https://portal.dnb.de/opac.htm?method=simpleSearch&amp;cqlMode=true&amp;query=idn%3D1132659744</v>
      </c>
      <c r="E3487" s="74" t="s">
        <v>10102</v>
      </c>
      <c r="F3487" s="74"/>
      <c r="G3487" s="76"/>
      <c r="H3487" s="77"/>
      <c r="I3487" s="76"/>
      <c r="J3487" s="77"/>
      <c r="K3487" s="77"/>
      <c r="L3487" s="76"/>
      <c r="M3487" s="76"/>
      <c r="N3487" s="76"/>
      <c r="O3487" s="76"/>
      <c r="P3487" s="76"/>
      <c r="Q3487" s="76"/>
      <c r="R3487" s="76"/>
      <c r="S3487" s="76"/>
      <c r="BD3487" s="99">
        <f t="shared" si="115"/>
        <v>0</v>
      </c>
      <c r="CC3487" s="99"/>
      <c r="CV3487" s="99"/>
      <c r="CW3487" s="63"/>
    </row>
    <row r="3488" spans="1:101" x14ac:dyDescent="0.15">
      <c r="A3488" s="76">
        <v>3248</v>
      </c>
      <c r="B3488" s="74" t="s">
        <v>4127</v>
      </c>
      <c r="C3488" s="74">
        <v>999228161</v>
      </c>
      <c r="D3488" s="78" t="str">
        <f t="shared" si="116"/>
        <v>https://portal.dnb.de/opac.htm?method=simpleSearch&amp;cqlMode=true&amp;query=idn%3D999228161</v>
      </c>
      <c r="E3488" s="74" t="s">
        <v>4128</v>
      </c>
      <c r="F3488" s="74"/>
      <c r="G3488" s="76"/>
      <c r="H3488" s="77"/>
      <c r="I3488" s="76"/>
      <c r="J3488" s="77"/>
      <c r="K3488" s="77"/>
      <c r="L3488" s="76"/>
      <c r="M3488" s="76"/>
      <c r="N3488" s="76"/>
      <c r="O3488" s="76"/>
      <c r="P3488" s="76"/>
      <c r="Q3488" s="76"/>
      <c r="R3488" s="76"/>
      <c r="S3488" s="76"/>
      <c r="BD3488" s="99">
        <f t="shared" si="115"/>
        <v>0</v>
      </c>
      <c r="CC3488" s="99"/>
      <c r="CV3488" s="99"/>
      <c r="CW3488" s="63"/>
    </row>
    <row r="3489" spans="1:101" x14ac:dyDescent="0.15">
      <c r="A3489" s="76">
        <v>3249</v>
      </c>
      <c r="B3489" s="74" t="s">
        <v>4129</v>
      </c>
      <c r="C3489" s="74">
        <v>997467398</v>
      </c>
      <c r="D3489" s="78" t="str">
        <f t="shared" si="116"/>
        <v>https://portal.dnb.de/opac.htm?method=simpleSearch&amp;cqlMode=true&amp;query=idn%3D997467398</v>
      </c>
      <c r="E3489" s="74" t="s">
        <v>4130</v>
      </c>
      <c r="F3489" s="74"/>
      <c r="G3489" s="76"/>
      <c r="H3489" s="77"/>
      <c r="I3489" s="76"/>
      <c r="J3489" s="77"/>
      <c r="K3489" s="77"/>
      <c r="L3489" s="76"/>
      <c r="M3489" s="76"/>
      <c r="N3489" s="76"/>
      <c r="O3489" s="76"/>
      <c r="P3489" s="76"/>
      <c r="Q3489" s="76"/>
      <c r="R3489" s="76"/>
      <c r="S3489" s="76"/>
      <c r="BD3489" s="99">
        <f t="shared" si="115"/>
        <v>0</v>
      </c>
      <c r="CC3489" s="99"/>
      <c r="CV3489" s="99"/>
      <c r="CW3489" s="63"/>
    </row>
    <row r="3490" spans="1:101" x14ac:dyDescent="0.15">
      <c r="A3490" s="76">
        <v>3250</v>
      </c>
      <c r="B3490" s="74" t="s">
        <v>4125</v>
      </c>
      <c r="C3490" s="74">
        <v>1209515180</v>
      </c>
      <c r="D3490" s="78" t="str">
        <f t="shared" si="116"/>
        <v>https://portal.dnb.de/opac.htm?method=simpleSearch&amp;cqlMode=true&amp;query=idn%3D1209515180</v>
      </c>
      <c r="E3490" s="74" t="s">
        <v>4126</v>
      </c>
      <c r="F3490" s="74"/>
      <c r="G3490" s="76"/>
      <c r="H3490" s="77"/>
      <c r="I3490" s="76"/>
      <c r="J3490" s="77"/>
      <c r="K3490" s="77"/>
      <c r="L3490" s="76"/>
      <c r="M3490" s="76"/>
      <c r="N3490" s="76"/>
      <c r="O3490" s="76"/>
      <c r="P3490" s="76"/>
      <c r="Q3490" s="76"/>
      <c r="R3490" s="76"/>
      <c r="S3490" s="76"/>
      <c r="BD3490" s="99">
        <f t="shared" si="115"/>
        <v>0</v>
      </c>
      <c r="CC3490" s="99"/>
      <c r="CV3490" s="99"/>
      <c r="CW3490" s="63"/>
    </row>
    <row r="3491" spans="1:101" x14ac:dyDescent="0.15">
      <c r="A3491" s="76">
        <v>3251</v>
      </c>
      <c r="B3491" s="74" t="s">
        <v>4131</v>
      </c>
      <c r="C3491" s="74">
        <v>1066940274</v>
      </c>
      <c r="D3491" s="78" t="str">
        <f t="shared" si="116"/>
        <v>https://portal.dnb.de/opac.htm?method=simpleSearch&amp;cqlMode=true&amp;query=idn%3D1066940274</v>
      </c>
      <c r="E3491" s="74" t="s">
        <v>4132</v>
      </c>
      <c r="F3491" s="74"/>
      <c r="G3491" s="76"/>
      <c r="H3491" s="77"/>
      <c r="I3491" s="76" t="s">
        <v>53</v>
      </c>
      <c r="J3491" s="77"/>
      <c r="K3491" s="77"/>
      <c r="L3491" s="76"/>
      <c r="M3491" s="76"/>
      <c r="N3491" s="76"/>
      <c r="O3491" s="76"/>
      <c r="P3491" s="76"/>
      <c r="Q3491" s="76"/>
      <c r="R3491" s="76"/>
      <c r="S3491" s="76"/>
      <c r="X3491" s="95" t="s">
        <v>8541</v>
      </c>
      <c r="Y3491" s="95" t="s">
        <v>9736</v>
      </c>
      <c r="AC3491" s="95" t="s">
        <v>9737</v>
      </c>
      <c r="AI3491" s="95" t="s">
        <v>9725</v>
      </c>
      <c r="AW3491" s="95">
        <v>110</v>
      </c>
      <c r="BC3491" s="96" t="s">
        <v>9726</v>
      </c>
      <c r="BD3491" s="99">
        <f t="shared" si="115"/>
        <v>1</v>
      </c>
      <c r="BP3491" s="69" t="s">
        <v>8541</v>
      </c>
      <c r="BR3491" s="95" t="s">
        <v>8541</v>
      </c>
      <c r="CC3491" s="99">
        <v>1</v>
      </c>
      <c r="CV3491" s="99"/>
      <c r="CW3491" s="63"/>
    </row>
    <row r="3492" spans="1:101" x14ac:dyDescent="0.15">
      <c r="A3492" s="76">
        <v>3252</v>
      </c>
      <c r="B3492" s="74" t="s">
        <v>4133</v>
      </c>
      <c r="C3492" s="74">
        <v>1066765413</v>
      </c>
      <c r="D3492" s="78" t="str">
        <f t="shared" si="116"/>
        <v>https://portal.dnb.de/opac.htm?method=simpleSearch&amp;cqlMode=true&amp;query=idn%3D1066765413</v>
      </c>
      <c r="E3492" s="74" t="s">
        <v>4134</v>
      </c>
      <c r="F3492" s="74"/>
      <c r="G3492" s="76"/>
      <c r="H3492" s="77"/>
      <c r="I3492" s="76"/>
      <c r="J3492" s="77"/>
      <c r="K3492" s="77"/>
      <c r="L3492" s="76"/>
      <c r="M3492" s="76"/>
      <c r="N3492" s="76"/>
      <c r="O3492" s="76"/>
      <c r="P3492" s="76"/>
      <c r="Q3492" s="76"/>
      <c r="R3492" s="76"/>
      <c r="S3492" s="76"/>
      <c r="BD3492" s="99">
        <f t="shared" si="115"/>
        <v>0</v>
      </c>
      <c r="CC3492" s="99"/>
      <c r="CV3492" s="99"/>
      <c r="CW3492" s="63"/>
    </row>
    <row r="3493" spans="1:101" x14ac:dyDescent="0.15">
      <c r="A3493" s="76">
        <v>3253</v>
      </c>
      <c r="B3493" s="74" t="s">
        <v>4135</v>
      </c>
      <c r="C3493" s="74">
        <v>1066789428</v>
      </c>
      <c r="D3493" s="78" t="str">
        <f t="shared" si="116"/>
        <v>https://portal.dnb.de/opac.htm?method=simpleSearch&amp;cqlMode=true&amp;query=idn%3D1066789428</v>
      </c>
      <c r="E3493" s="74" t="s">
        <v>4136</v>
      </c>
      <c r="F3493" s="74"/>
      <c r="G3493" s="76"/>
      <c r="H3493" s="77"/>
      <c r="I3493" s="76"/>
      <c r="J3493" s="77"/>
      <c r="K3493" s="77"/>
      <c r="L3493" s="76"/>
      <c r="M3493" s="76"/>
      <c r="N3493" s="76"/>
      <c r="O3493" s="76"/>
      <c r="P3493" s="76"/>
      <c r="Q3493" s="76"/>
      <c r="R3493" s="76"/>
      <c r="S3493" s="76"/>
      <c r="BD3493" s="99">
        <f t="shared" si="115"/>
        <v>0</v>
      </c>
      <c r="CC3493" s="99"/>
      <c r="CV3493" s="99"/>
      <c r="CW3493" s="63"/>
    </row>
    <row r="3494" spans="1:101" x14ac:dyDescent="0.15">
      <c r="A3494" s="76">
        <v>3254</v>
      </c>
      <c r="B3494" s="74" t="s">
        <v>4141</v>
      </c>
      <c r="C3494" s="74">
        <v>1066941955</v>
      </c>
      <c r="D3494" s="78" t="str">
        <f t="shared" si="116"/>
        <v>https://portal.dnb.de/opac.htm?method=simpleSearch&amp;cqlMode=true&amp;query=idn%3D1066941955</v>
      </c>
      <c r="E3494" s="74" t="s">
        <v>4142</v>
      </c>
      <c r="F3494" s="74"/>
      <c r="G3494" s="76"/>
      <c r="H3494" s="77"/>
      <c r="I3494" s="76"/>
      <c r="J3494" s="77"/>
      <c r="K3494" s="77"/>
      <c r="L3494" s="76"/>
      <c r="M3494" s="76"/>
      <c r="N3494" s="76"/>
      <c r="O3494" s="76"/>
      <c r="P3494" s="76"/>
      <c r="Q3494" s="76"/>
      <c r="R3494" s="76"/>
      <c r="S3494" s="76"/>
      <c r="BD3494" s="99">
        <f t="shared" si="115"/>
        <v>0</v>
      </c>
      <c r="CC3494" s="99"/>
      <c r="CV3494" s="99"/>
      <c r="CW3494" s="63"/>
    </row>
    <row r="3495" spans="1:101" ht="33.75" x14ac:dyDescent="0.15">
      <c r="A3495" s="76">
        <v>3255</v>
      </c>
      <c r="B3495" s="74" t="s">
        <v>4143</v>
      </c>
      <c r="C3495" s="74">
        <v>1066785600</v>
      </c>
      <c r="D3495" s="78" t="str">
        <f t="shared" si="116"/>
        <v>https://portal.dnb.de/opac.htm?method=simpleSearch&amp;cqlMode=true&amp;query=idn%3D1066785600</v>
      </c>
      <c r="E3495" s="74" t="s">
        <v>4144</v>
      </c>
      <c r="F3495" s="74"/>
      <c r="G3495" s="76"/>
      <c r="H3495" s="77"/>
      <c r="I3495" s="76" t="s">
        <v>53</v>
      </c>
      <c r="J3495" s="77"/>
      <c r="K3495" s="77"/>
      <c r="L3495" s="76"/>
      <c r="M3495" s="76"/>
      <c r="N3495" s="76"/>
      <c r="O3495" s="76"/>
      <c r="P3495" s="76"/>
      <c r="Q3495" s="76"/>
      <c r="R3495" s="76"/>
      <c r="S3495" s="76"/>
      <c r="Y3495" s="95" t="s">
        <v>9723</v>
      </c>
      <c r="AA3495" s="95" t="s">
        <v>8541</v>
      </c>
      <c r="AC3495" s="95" t="s">
        <v>9724</v>
      </c>
      <c r="AI3495" s="95" t="s">
        <v>9725</v>
      </c>
      <c r="AW3495" s="95">
        <v>45</v>
      </c>
      <c r="BC3495" s="96" t="s">
        <v>9726</v>
      </c>
      <c r="BD3495" s="99">
        <f t="shared" si="115"/>
        <v>3</v>
      </c>
      <c r="BH3495" s="95" t="s">
        <v>8541</v>
      </c>
      <c r="BP3495" s="69" t="s">
        <v>8541</v>
      </c>
      <c r="BQ3495" s="95" t="s">
        <v>8541</v>
      </c>
      <c r="BR3495" s="95" t="s">
        <v>8541</v>
      </c>
      <c r="CC3495" s="99">
        <v>3</v>
      </c>
      <c r="CD3495" s="90" t="s">
        <v>10104</v>
      </c>
      <c r="CV3495" s="99"/>
      <c r="CW3495" s="63"/>
    </row>
    <row r="3496" spans="1:101" x14ac:dyDescent="0.15">
      <c r="A3496" s="76">
        <v>3256</v>
      </c>
      <c r="B3496" s="74" t="s">
        <v>4151</v>
      </c>
      <c r="C3496" s="74">
        <v>1066692211</v>
      </c>
      <c r="D3496" s="78" t="str">
        <f t="shared" si="116"/>
        <v>https://portal.dnb.de/opac.htm?method=simpleSearch&amp;cqlMode=true&amp;query=idn%3D1066692211</v>
      </c>
      <c r="E3496" s="74" t="s">
        <v>4152</v>
      </c>
      <c r="F3496" s="74"/>
      <c r="G3496" s="76"/>
      <c r="H3496" s="77"/>
      <c r="I3496" s="76"/>
      <c r="J3496" s="77"/>
      <c r="K3496" s="77"/>
      <c r="L3496" s="76"/>
      <c r="M3496" s="76"/>
      <c r="N3496" s="76"/>
      <c r="O3496" s="76"/>
      <c r="P3496" s="76"/>
      <c r="Q3496" s="76"/>
      <c r="R3496" s="76"/>
      <c r="S3496" s="76"/>
      <c r="BD3496" s="99">
        <f t="shared" si="115"/>
        <v>0</v>
      </c>
      <c r="CC3496" s="99"/>
      <c r="CV3496" s="99"/>
      <c r="CW3496" s="63"/>
    </row>
    <row r="3497" spans="1:101" x14ac:dyDescent="0.15">
      <c r="A3497" s="76">
        <v>3257</v>
      </c>
      <c r="B3497" s="74" t="s">
        <v>4153</v>
      </c>
      <c r="C3497" s="74">
        <v>1066942048</v>
      </c>
      <c r="D3497" s="78" t="str">
        <f t="shared" si="116"/>
        <v>https://portal.dnb.de/opac.htm?method=simpleSearch&amp;cqlMode=true&amp;query=idn%3D1066942048</v>
      </c>
      <c r="E3497" s="74" t="s">
        <v>4154</v>
      </c>
      <c r="F3497" s="74"/>
      <c r="G3497" s="76"/>
      <c r="H3497" s="77"/>
      <c r="I3497" s="76"/>
      <c r="J3497" s="77"/>
      <c r="K3497" s="77"/>
      <c r="L3497" s="76"/>
      <c r="M3497" s="76"/>
      <c r="N3497" s="76"/>
      <c r="O3497" s="76"/>
      <c r="P3497" s="76"/>
      <c r="Q3497" s="76"/>
      <c r="R3497" s="76"/>
      <c r="S3497" s="76"/>
      <c r="BD3497" s="99">
        <f t="shared" si="115"/>
        <v>0</v>
      </c>
      <c r="CC3497" s="99"/>
      <c r="CV3497" s="99"/>
      <c r="CW3497" s="63"/>
    </row>
    <row r="3498" spans="1:101" ht="33.75" x14ac:dyDescent="0.15">
      <c r="A3498" s="76">
        <v>3258</v>
      </c>
      <c r="B3498" s="74" t="s">
        <v>4155</v>
      </c>
      <c r="C3498" s="74">
        <v>1021251100</v>
      </c>
      <c r="D3498" s="78" t="str">
        <f t="shared" si="116"/>
        <v>https://portal.dnb.de/opac.htm?method=simpleSearch&amp;cqlMode=true&amp;query=idn%3D1021251100</v>
      </c>
      <c r="E3498" s="74" t="s">
        <v>4156</v>
      </c>
      <c r="F3498" s="74"/>
      <c r="G3498" s="76"/>
      <c r="H3498" s="77"/>
      <c r="I3498" s="76" t="s">
        <v>53</v>
      </c>
      <c r="J3498" s="77"/>
      <c r="K3498" s="77"/>
      <c r="L3498" s="76"/>
      <c r="M3498" s="76"/>
      <c r="N3498" s="76"/>
      <c r="O3498" s="76"/>
      <c r="P3498" s="76"/>
      <c r="Q3498" s="76"/>
      <c r="R3498" s="76"/>
      <c r="S3498" s="76"/>
      <c r="Y3498" s="95" t="s">
        <v>9725</v>
      </c>
      <c r="AC3498" s="95" t="s">
        <v>9730</v>
      </c>
      <c r="AI3498" s="95" t="s">
        <v>9725</v>
      </c>
      <c r="AW3498" s="95" t="s">
        <v>9733</v>
      </c>
      <c r="BC3498" s="96" t="s">
        <v>9726</v>
      </c>
      <c r="BD3498" s="99">
        <f t="shared" si="115"/>
        <v>3</v>
      </c>
      <c r="BJ3498" s="95" t="s">
        <v>9741</v>
      </c>
      <c r="BK3498" s="95" t="s">
        <v>8541</v>
      </c>
      <c r="BL3498" s="70" t="s">
        <v>10105</v>
      </c>
      <c r="BO3498" s="70" t="s">
        <v>10106</v>
      </c>
      <c r="BP3498" s="69" t="s">
        <v>8541</v>
      </c>
      <c r="BR3498" s="95" t="s">
        <v>8541</v>
      </c>
      <c r="BY3498" s="95" t="s">
        <v>8541</v>
      </c>
      <c r="CC3498" s="99">
        <v>3</v>
      </c>
      <c r="CD3498" s="90" t="s">
        <v>10107</v>
      </c>
      <c r="CV3498" s="99"/>
      <c r="CW3498" s="63"/>
    </row>
    <row r="3499" spans="1:101" ht="45" x14ac:dyDescent="0.15">
      <c r="A3499" s="76">
        <v>3259</v>
      </c>
      <c r="B3499" s="74" t="s">
        <v>4157</v>
      </c>
      <c r="C3499" s="74">
        <v>1066676569</v>
      </c>
      <c r="D3499" s="78" t="str">
        <f t="shared" si="116"/>
        <v>https://portal.dnb.de/opac.htm?method=simpleSearch&amp;cqlMode=true&amp;query=idn%3D1066676569</v>
      </c>
      <c r="E3499" s="74" t="s">
        <v>4156</v>
      </c>
      <c r="F3499" s="79" t="s">
        <v>10530</v>
      </c>
      <c r="G3499" s="76"/>
      <c r="H3499" s="77"/>
      <c r="I3499" s="76"/>
      <c r="J3499" s="77"/>
      <c r="K3499" s="77"/>
      <c r="L3499" s="76"/>
      <c r="M3499" s="76"/>
      <c r="N3499" s="76"/>
      <c r="O3499" s="76"/>
      <c r="P3499" s="76"/>
      <c r="Q3499" s="76"/>
      <c r="R3499" s="76"/>
      <c r="S3499" s="76"/>
      <c r="BD3499" s="99">
        <f t="shared" si="115"/>
        <v>0</v>
      </c>
      <c r="CC3499" s="99"/>
      <c r="CV3499" s="99"/>
      <c r="CW3499" s="63"/>
    </row>
    <row r="3500" spans="1:101" x14ac:dyDescent="0.15">
      <c r="A3500" s="76">
        <v>3260</v>
      </c>
      <c r="B3500" s="74" t="s">
        <v>4158</v>
      </c>
      <c r="C3500" s="74">
        <v>1066775265</v>
      </c>
      <c r="D3500" s="78" t="str">
        <f t="shared" si="116"/>
        <v>https://portal.dnb.de/opac.htm?method=simpleSearch&amp;cqlMode=true&amp;query=idn%3D1066775265</v>
      </c>
      <c r="E3500" s="74" t="s">
        <v>4159</v>
      </c>
      <c r="F3500" s="74"/>
      <c r="G3500" s="76"/>
      <c r="H3500" s="77"/>
      <c r="I3500" s="76"/>
      <c r="J3500" s="77"/>
      <c r="K3500" s="77"/>
      <c r="L3500" s="76"/>
      <c r="M3500" s="76"/>
      <c r="N3500" s="76"/>
      <c r="O3500" s="76"/>
      <c r="P3500" s="76"/>
      <c r="Q3500" s="76"/>
      <c r="R3500" s="76"/>
      <c r="S3500" s="76"/>
      <c r="BD3500" s="99">
        <f t="shared" si="115"/>
        <v>0</v>
      </c>
      <c r="CC3500" s="99"/>
      <c r="CV3500" s="99"/>
      <c r="CW3500" s="63"/>
    </row>
    <row r="3501" spans="1:101" x14ac:dyDescent="0.15">
      <c r="A3501" s="76">
        <v>3261</v>
      </c>
      <c r="B3501" s="74" t="s">
        <v>4160</v>
      </c>
      <c r="C3501" s="74">
        <v>1066937559</v>
      </c>
      <c r="D3501" s="78" t="str">
        <f t="shared" si="116"/>
        <v>https://portal.dnb.de/opac.htm?method=simpleSearch&amp;cqlMode=true&amp;query=idn%3D1066937559</v>
      </c>
      <c r="E3501" s="74" t="s">
        <v>4161</v>
      </c>
      <c r="F3501" s="74"/>
      <c r="G3501" s="76"/>
      <c r="H3501" s="77"/>
      <c r="I3501" s="76"/>
      <c r="J3501" s="77"/>
      <c r="K3501" s="77"/>
      <c r="L3501" s="76"/>
      <c r="M3501" s="76"/>
      <c r="N3501" s="76"/>
      <c r="O3501" s="76"/>
      <c r="P3501" s="76"/>
      <c r="Q3501" s="76"/>
      <c r="R3501" s="76"/>
      <c r="S3501" s="76"/>
      <c r="BD3501" s="99">
        <f t="shared" si="115"/>
        <v>0</v>
      </c>
      <c r="CC3501" s="99"/>
      <c r="CV3501" s="99"/>
      <c r="CW3501" s="63"/>
    </row>
    <row r="3502" spans="1:101" x14ac:dyDescent="0.15">
      <c r="A3502" s="76">
        <v>3262</v>
      </c>
      <c r="B3502" s="74" t="s">
        <v>4162</v>
      </c>
      <c r="C3502" s="74">
        <v>1066933359</v>
      </c>
      <c r="D3502" s="78" t="str">
        <f t="shared" si="116"/>
        <v>https://portal.dnb.de/opac.htm?method=simpleSearch&amp;cqlMode=true&amp;query=idn%3D1066933359</v>
      </c>
      <c r="E3502" s="74" t="s">
        <v>4163</v>
      </c>
      <c r="F3502" s="74"/>
      <c r="G3502" s="76"/>
      <c r="H3502" s="77"/>
      <c r="I3502" s="76"/>
      <c r="J3502" s="77"/>
      <c r="K3502" s="77"/>
      <c r="L3502" s="76"/>
      <c r="M3502" s="76"/>
      <c r="N3502" s="76"/>
      <c r="O3502" s="76"/>
      <c r="P3502" s="76"/>
      <c r="Q3502" s="76"/>
      <c r="R3502" s="76"/>
      <c r="S3502" s="76"/>
      <c r="BD3502" s="99">
        <f t="shared" si="115"/>
        <v>0</v>
      </c>
      <c r="CC3502" s="99"/>
      <c r="CV3502" s="99"/>
      <c r="CW3502" s="63"/>
    </row>
    <row r="3503" spans="1:101" x14ac:dyDescent="0.15">
      <c r="A3503" s="76">
        <v>3263</v>
      </c>
      <c r="B3503" s="74" t="s">
        <v>4173</v>
      </c>
      <c r="C3503" s="74">
        <v>1022467514</v>
      </c>
      <c r="D3503" s="78" t="str">
        <f t="shared" si="116"/>
        <v>https://portal.dnb.de/opac.htm?method=simpleSearch&amp;cqlMode=true&amp;query=idn%3D1022467514</v>
      </c>
      <c r="E3503" s="74" t="s">
        <v>4174</v>
      </c>
      <c r="F3503" s="74"/>
      <c r="G3503" s="76"/>
      <c r="H3503" s="77"/>
      <c r="I3503" s="76" t="s">
        <v>53</v>
      </c>
      <c r="J3503" s="77"/>
      <c r="K3503" s="77"/>
      <c r="L3503" s="76"/>
      <c r="M3503" s="76"/>
      <c r="N3503" s="76"/>
      <c r="O3503" s="76"/>
      <c r="P3503" s="76"/>
      <c r="Q3503" s="76"/>
      <c r="R3503" s="76"/>
      <c r="S3503" s="76"/>
      <c r="Y3503" s="95" t="s">
        <v>9725</v>
      </c>
      <c r="AC3503" s="95" t="s">
        <v>9739</v>
      </c>
      <c r="AI3503" s="95" t="s">
        <v>9725</v>
      </c>
      <c r="AW3503" s="95">
        <v>110</v>
      </c>
      <c r="BC3503" s="96" t="s">
        <v>9734</v>
      </c>
      <c r="BD3503" s="99">
        <f t="shared" si="115"/>
        <v>0</v>
      </c>
      <c r="BL3503" s="70" t="s">
        <v>10015</v>
      </c>
      <c r="CC3503" s="99"/>
      <c r="CV3503" s="99"/>
      <c r="CW3503" s="63"/>
    </row>
    <row r="3504" spans="1:101" x14ac:dyDescent="0.15">
      <c r="A3504" s="76">
        <v>3264</v>
      </c>
      <c r="B3504" s="74" t="s">
        <v>4164</v>
      </c>
      <c r="C3504" s="74">
        <v>1208742043</v>
      </c>
      <c r="D3504" s="78" t="str">
        <f t="shared" si="116"/>
        <v>https://portal.dnb.de/opac.htm?method=simpleSearch&amp;cqlMode=true&amp;query=idn%3D1208742043</v>
      </c>
      <c r="E3504" s="74" t="s">
        <v>4165</v>
      </c>
      <c r="F3504" s="74"/>
      <c r="G3504" s="76"/>
      <c r="H3504" s="77"/>
      <c r="I3504" s="76"/>
      <c r="J3504" s="77"/>
      <c r="K3504" s="77"/>
      <c r="L3504" s="76"/>
      <c r="M3504" s="76"/>
      <c r="N3504" s="76"/>
      <c r="O3504" s="76"/>
      <c r="P3504" s="76"/>
      <c r="Q3504" s="76"/>
      <c r="R3504" s="76"/>
      <c r="S3504" s="76"/>
      <c r="BD3504" s="99">
        <f t="shared" si="115"/>
        <v>0</v>
      </c>
      <c r="CC3504" s="99"/>
      <c r="CV3504" s="99"/>
      <c r="CW3504" s="63"/>
    </row>
    <row r="3505" spans="1:101" x14ac:dyDescent="0.15">
      <c r="A3505" s="76">
        <v>3265</v>
      </c>
      <c r="B3505" s="74" t="s">
        <v>4166</v>
      </c>
      <c r="C3505" s="74">
        <v>1208741969</v>
      </c>
      <c r="D3505" s="78" t="str">
        <f t="shared" si="116"/>
        <v>https://portal.dnb.de/opac.htm?method=simpleSearch&amp;cqlMode=true&amp;query=idn%3D1208741969</v>
      </c>
      <c r="E3505" s="74" t="s">
        <v>4167</v>
      </c>
      <c r="F3505" s="74"/>
      <c r="G3505" s="76"/>
      <c r="H3505" s="77"/>
      <c r="I3505" s="76"/>
      <c r="J3505" s="77"/>
      <c r="K3505" s="77"/>
      <c r="L3505" s="76"/>
      <c r="M3505" s="76"/>
      <c r="N3505" s="76"/>
      <c r="O3505" s="76"/>
      <c r="P3505" s="76"/>
      <c r="Q3505" s="76"/>
      <c r="R3505" s="76"/>
      <c r="S3505" s="76"/>
      <c r="BD3505" s="99">
        <f t="shared" si="115"/>
        <v>0</v>
      </c>
      <c r="CC3505" s="99"/>
      <c r="CV3505" s="99"/>
      <c r="CW3505" s="63"/>
    </row>
    <row r="3506" spans="1:101" x14ac:dyDescent="0.15">
      <c r="A3506" s="76">
        <v>3266</v>
      </c>
      <c r="B3506" s="74" t="s">
        <v>4168</v>
      </c>
      <c r="C3506" s="74">
        <v>1208741667</v>
      </c>
      <c r="D3506" s="78" t="str">
        <f t="shared" si="116"/>
        <v>https://portal.dnb.de/opac.htm?method=simpleSearch&amp;cqlMode=true&amp;query=idn%3D1208741667</v>
      </c>
      <c r="E3506" s="74" t="s">
        <v>4169</v>
      </c>
      <c r="F3506" s="74"/>
      <c r="G3506" s="76"/>
      <c r="H3506" s="77"/>
      <c r="I3506" s="76"/>
      <c r="J3506" s="77"/>
      <c r="K3506" s="77"/>
      <c r="L3506" s="76"/>
      <c r="M3506" s="76"/>
      <c r="N3506" s="76"/>
      <c r="O3506" s="76"/>
      <c r="P3506" s="76"/>
      <c r="Q3506" s="76"/>
      <c r="R3506" s="76"/>
      <c r="S3506" s="76"/>
      <c r="BD3506" s="99">
        <f t="shared" si="115"/>
        <v>0</v>
      </c>
      <c r="CC3506" s="99"/>
      <c r="CV3506" s="99"/>
      <c r="CW3506" s="63"/>
    </row>
    <row r="3507" spans="1:101" x14ac:dyDescent="0.15">
      <c r="A3507" s="76">
        <v>3267</v>
      </c>
      <c r="B3507" s="74" t="s">
        <v>4170</v>
      </c>
      <c r="C3507" s="74" t="s">
        <v>4171</v>
      </c>
      <c r="D3507" s="78" t="str">
        <f t="shared" si="116"/>
        <v>https://portal.dnb.de/opac.htm?method=simpleSearch&amp;cqlMode=true&amp;query=idn%3D120874142X</v>
      </c>
      <c r="E3507" s="74" t="s">
        <v>4172</v>
      </c>
      <c r="F3507" s="74"/>
      <c r="G3507" s="76"/>
      <c r="H3507" s="77"/>
      <c r="I3507" s="76"/>
      <c r="J3507" s="77"/>
      <c r="K3507" s="77"/>
      <c r="L3507" s="76"/>
      <c r="M3507" s="76"/>
      <c r="N3507" s="76"/>
      <c r="O3507" s="76"/>
      <c r="P3507" s="76"/>
      <c r="Q3507" s="76"/>
      <c r="R3507" s="76"/>
      <c r="S3507" s="76"/>
      <c r="BD3507" s="99">
        <f t="shared" si="115"/>
        <v>0</v>
      </c>
      <c r="CC3507" s="99"/>
      <c r="CV3507" s="99"/>
      <c r="CW3507" s="63"/>
    </row>
    <row r="3508" spans="1:101" x14ac:dyDescent="0.15">
      <c r="A3508" s="76">
        <v>3268</v>
      </c>
      <c r="B3508" s="74" t="s">
        <v>4189</v>
      </c>
      <c r="C3508" s="74">
        <v>1066926042</v>
      </c>
      <c r="D3508" s="78" t="str">
        <f t="shared" si="116"/>
        <v>https://portal.dnb.de/opac.htm?method=simpleSearch&amp;cqlMode=true&amp;query=idn%3D1066926042</v>
      </c>
      <c r="E3508" s="74" t="s">
        <v>4190</v>
      </c>
      <c r="F3508" s="74"/>
      <c r="G3508" s="76"/>
      <c r="H3508" s="77"/>
      <c r="I3508" s="76"/>
      <c r="J3508" s="77"/>
      <c r="K3508" s="77"/>
      <c r="L3508" s="76"/>
      <c r="M3508" s="76"/>
      <c r="N3508" s="76"/>
      <c r="O3508" s="76"/>
      <c r="P3508" s="76"/>
      <c r="Q3508" s="76"/>
      <c r="R3508" s="76"/>
      <c r="S3508" s="76"/>
      <c r="BD3508" s="99">
        <f t="shared" si="115"/>
        <v>0</v>
      </c>
      <c r="CC3508" s="99"/>
      <c r="CV3508" s="99"/>
      <c r="CW3508" s="63"/>
    </row>
    <row r="3509" spans="1:101" x14ac:dyDescent="0.15">
      <c r="A3509" s="76">
        <v>3269</v>
      </c>
      <c r="B3509" s="74" t="s">
        <v>4191</v>
      </c>
      <c r="C3509" s="74">
        <v>1066799660</v>
      </c>
      <c r="D3509" s="78" t="str">
        <f t="shared" si="116"/>
        <v>https://portal.dnb.de/opac.htm?method=simpleSearch&amp;cqlMode=true&amp;query=idn%3D1066799660</v>
      </c>
      <c r="E3509" s="74" t="s">
        <v>4192</v>
      </c>
      <c r="F3509" s="74"/>
      <c r="G3509" s="76"/>
      <c r="H3509" s="77"/>
      <c r="I3509" s="76"/>
      <c r="J3509" s="77"/>
      <c r="K3509" s="77"/>
      <c r="L3509" s="76"/>
      <c r="M3509" s="76"/>
      <c r="N3509" s="76"/>
      <c r="O3509" s="76"/>
      <c r="P3509" s="76"/>
      <c r="Q3509" s="76"/>
      <c r="R3509" s="76"/>
      <c r="S3509" s="76"/>
      <c r="BD3509" s="99">
        <f t="shared" si="115"/>
        <v>0</v>
      </c>
      <c r="CC3509" s="99"/>
      <c r="CV3509" s="99"/>
      <c r="CW3509" s="63"/>
    </row>
    <row r="3510" spans="1:101" x14ac:dyDescent="0.15">
      <c r="A3510" s="76">
        <v>3270</v>
      </c>
      <c r="B3510" s="74" t="s">
        <v>4193</v>
      </c>
      <c r="C3510" s="74">
        <v>1132642035</v>
      </c>
      <c r="D3510" s="78" t="str">
        <f t="shared" si="116"/>
        <v>https://portal.dnb.de/opac.htm?method=simpleSearch&amp;cqlMode=true&amp;query=idn%3D1132642035</v>
      </c>
      <c r="E3510" s="74" t="s">
        <v>4194</v>
      </c>
      <c r="F3510" s="74"/>
      <c r="G3510" s="76"/>
      <c r="H3510" s="77"/>
      <c r="I3510" s="76"/>
      <c r="J3510" s="77"/>
      <c r="K3510" s="77"/>
      <c r="L3510" s="76"/>
      <c r="M3510" s="76"/>
      <c r="N3510" s="76"/>
      <c r="O3510" s="76"/>
      <c r="P3510" s="76"/>
      <c r="Q3510" s="76"/>
      <c r="R3510" s="76"/>
      <c r="S3510" s="76"/>
      <c r="BD3510" s="99">
        <f t="shared" si="115"/>
        <v>0</v>
      </c>
      <c r="CC3510" s="99"/>
      <c r="CV3510" s="99"/>
      <c r="CW3510" s="63"/>
    </row>
    <row r="3511" spans="1:101" ht="22.5" x14ac:dyDescent="0.15">
      <c r="A3511" s="76">
        <v>3271</v>
      </c>
      <c r="B3511" s="74" t="s">
        <v>4195</v>
      </c>
      <c r="C3511" s="74">
        <v>1066779708</v>
      </c>
      <c r="D3511" s="78" t="str">
        <f t="shared" si="116"/>
        <v>https://portal.dnb.de/opac.htm?method=simpleSearch&amp;cqlMode=true&amp;query=idn%3D1066779708</v>
      </c>
      <c r="E3511" s="74" t="s">
        <v>4196</v>
      </c>
      <c r="F3511" s="74"/>
      <c r="G3511" s="76"/>
      <c r="H3511" s="77"/>
      <c r="I3511" s="76" t="s">
        <v>53</v>
      </c>
      <c r="J3511" s="77"/>
      <c r="K3511" s="77"/>
      <c r="L3511" s="76"/>
      <c r="M3511" s="76"/>
      <c r="N3511" s="76"/>
      <c r="O3511" s="76"/>
      <c r="P3511" s="76"/>
      <c r="Q3511" s="76"/>
      <c r="R3511" s="76"/>
      <c r="S3511" s="76"/>
      <c r="Y3511" s="95" t="s">
        <v>9729</v>
      </c>
      <c r="AC3511" s="95" t="s">
        <v>9739</v>
      </c>
      <c r="AI3511" s="95" t="s">
        <v>9725</v>
      </c>
      <c r="AW3511" s="95">
        <v>80</v>
      </c>
      <c r="BC3511" s="96" t="s">
        <v>9726</v>
      </c>
      <c r="BD3511" s="99">
        <f t="shared" si="115"/>
        <v>2</v>
      </c>
      <c r="BP3511" s="69" t="s">
        <v>8541</v>
      </c>
      <c r="BQ3511" s="95" t="s">
        <v>8541</v>
      </c>
      <c r="BR3511" s="95" t="s">
        <v>8541</v>
      </c>
      <c r="BT3511" s="95" t="s">
        <v>9775</v>
      </c>
      <c r="CC3511" s="99">
        <v>2</v>
      </c>
      <c r="CD3511" s="90" t="s">
        <v>10108</v>
      </c>
      <c r="CV3511" s="99"/>
      <c r="CW3511" s="63"/>
    </row>
    <row r="3512" spans="1:101" x14ac:dyDescent="0.15">
      <c r="A3512" s="76">
        <v>3272</v>
      </c>
      <c r="B3512" s="74" t="s">
        <v>4197</v>
      </c>
      <c r="C3512" s="74">
        <v>1066940304</v>
      </c>
      <c r="D3512" s="78" t="str">
        <f t="shared" si="116"/>
        <v>https://portal.dnb.de/opac.htm?method=simpleSearch&amp;cqlMode=true&amp;query=idn%3D1066940304</v>
      </c>
      <c r="E3512" s="74" t="s">
        <v>4198</v>
      </c>
      <c r="F3512" s="74"/>
      <c r="G3512" s="76"/>
      <c r="H3512" s="77"/>
      <c r="I3512" s="76"/>
      <c r="J3512" s="77"/>
      <c r="K3512" s="77"/>
      <c r="L3512" s="76"/>
      <c r="M3512" s="76"/>
      <c r="N3512" s="76"/>
      <c r="O3512" s="76"/>
      <c r="P3512" s="76"/>
      <c r="Q3512" s="76"/>
      <c r="R3512" s="76"/>
      <c r="S3512" s="76"/>
      <c r="BD3512" s="99">
        <f t="shared" si="115"/>
        <v>0</v>
      </c>
      <c r="CC3512" s="99"/>
      <c r="CV3512" s="99"/>
      <c r="CW3512" s="63"/>
    </row>
    <row r="3513" spans="1:101" x14ac:dyDescent="0.15">
      <c r="A3513" s="76">
        <v>3273</v>
      </c>
      <c r="B3513" s="74" t="s">
        <v>4203</v>
      </c>
      <c r="C3513" s="74">
        <v>1066935203</v>
      </c>
      <c r="D3513" s="78" t="str">
        <f t="shared" si="116"/>
        <v>https://portal.dnb.de/opac.htm?method=simpleSearch&amp;cqlMode=true&amp;query=idn%3D1066935203</v>
      </c>
      <c r="E3513" s="74" t="s">
        <v>4204</v>
      </c>
      <c r="F3513" s="74"/>
      <c r="G3513" s="76"/>
      <c r="H3513" s="77"/>
      <c r="I3513" s="76"/>
      <c r="J3513" s="77"/>
      <c r="K3513" s="77"/>
      <c r="L3513" s="76"/>
      <c r="M3513" s="76"/>
      <c r="N3513" s="76"/>
      <c r="O3513" s="76"/>
      <c r="P3513" s="76"/>
      <c r="Q3513" s="76"/>
      <c r="R3513" s="76"/>
      <c r="S3513" s="76"/>
      <c r="BD3513" s="99">
        <f t="shared" si="115"/>
        <v>0</v>
      </c>
      <c r="CC3513" s="99"/>
      <c r="CV3513" s="99"/>
      <c r="CW3513" s="63"/>
    </row>
    <row r="3514" spans="1:101" x14ac:dyDescent="0.15">
      <c r="A3514" s="76">
        <v>3274</v>
      </c>
      <c r="B3514" s="74" t="s">
        <v>4205</v>
      </c>
      <c r="C3514" s="74">
        <v>1066934614</v>
      </c>
      <c r="D3514" s="78" t="str">
        <f t="shared" si="116"/>
        <v>https://portal.dnb.de/opac.htm?method=simpleSearch&amp;cqlMode=true&amp;query=idn%3D1066934614</v>
      </c>
      <c r="E3514" s="74" t="s">
        <v>4206</v>
      </c>
      <c r="F3514" s="74"/>
      <c r="G3514" s="76"/>
      <c r="H3514" s="77"/>
      <c r="I3514" s="76"/>
      <c r="J3514" s="77"/>
      <c r="K3514" s="77"/>
      <c r="L3514" s="76"/>
      <c r="M3514" s="76"/>
      <c r="N3514" s="76"/>
      <c r="O3514" s="76"/>
      <c r="P3514" s="76"/>
      <c r="Q3514" s="76"/>
      <c r="R3514" s="76"/>
      <c r="S3514" s="76"/>
      <c r="BD3514" s="99">
        <f t="shared" si="115"/>
        <v>0</v>
      </c>
      <c r="CC3514" s="99"/>
      <c r="CV3514" s="99"/>
      <c r="CW3514" s="63"/>
    </row>
    <row r="3515" spans="1:101" x14ac:dyDescent="0.15">
      <c r="A3515" s="76">
        <v>3275</v>
      </c>
      <c r="B3515" s="74" t="s">
        <v>4207</v>
      </c>
      <c r="C3515" s="74">
        <v>1066800545</v>
      </c>
      <c r="D3515" s="78" t="str">
        <f t="shared" si="116"/>
        <v>https://portal.dnb.de/opac.htm?method=simpleSearch&amp;cqlMode=true&amp;query=idn%3D1066800545</v>
      </c>
      <c r="E3515" s="74" t="s">
        <v>4208</v>
      </c>
      <c r="F3515" s="74"/>
      <c r="G3515" s="76"/>
      <c r="H3515" s="77"/>
      <c r="I3515" s="76"/>
      <c r="J3515" s="77"/>
      <c r="K3515" s="77"/>
      <c r="L3515" s="76"/>
      <c r="M3515" s="76"/>
      <c r="N3515" s="76"/>
      <c r="O3515" s="76"/>
      <c r="P3515" s="76"/>
      <c r="Q3515" s="76"/>
      <c r="R3515" s="76"/>
      <c r="S3515" s="76"/>
      <c r="BD3515" s="99">
        <f t="shared" si="115"/>
        <v>0</v>
      </c>
      <c r="CC3515" s="99"/>
      <c r="CV3515" s="99"/>
      <c r="CW3515" s="63"/>
    </row>
    <row r="3516" spans="1:101" x14ac:dyDescent="0.15">
      <c r="A3516" s="76">
        <v>3276</v>
      </c>
      <c r="B3516" s="74" t="s">
        <v>4215</v>
      </c>
      <c r="C3516" s="74">
        <v>1132654793</v>
      </c>
      <c r="D3516" s="78" t="str">
        <f t="shared" si="116"/>
        <v>https://portal.dnb.de/opac.htm?method=simpleSearch&amp;cqlMode=true&amp;query=idn%3D1132654793</v>
      </c>
      <c r="E3516" s="74" t="s">
        <v>4216</v>
      </c>
      <c r="F3516" s="74"/>
      <c r="G3516" s="76"/>
      <c r="H3516" s="77"/>
      <c r="I3516" s="76"/>
      <c r="J3516" s="77"/>
      <c r="K3516" s="77"/>
      <c r="L3516" s="76"/>
      <c r="M3516" s="76"/>
      <c r="N3516" s="76"/>
      <c r="O3516" s="76"/>
      <c r="P3516" s="76"/>
      <c r="Q3516" s="76"/>
      <c r="R3516" s="76"/>
      <c r="S3516" s="76"/>
      <c r="BD3516" s="99">
        <f t="shared" si="115"/>
        <v>0</v>
      </c>
      <c r="CC3516" s="99"/>
      <c r="CV3516" s="99"/>
      <c r="CW3516" s="63"/>
    </row>
    <row r="3517" spans="1:101" x14ac:dyDescent="0.15">
      <c r="A3517" s="76">
        <v>3277</v>
      </c>
      <c r="B3517" s="74" t="s">
        <v>4217</v>
      </c>
      <c r="C3517" s="74">
        <v>1132654807</v>
      </c>
      <c r="D3517" s="78" t="str">
        <f t="shared" si="116"/>
        <v>https://portal.dnb.de/opac.htm?method=simpleSearch&amp;cqlMode=true&amp;query=idn%3D1132654807</v>
      </c>
      <c r="E3517" s="74" t="s">
        <v>4216</v>
      </c>
      <c r="F3517" s="74"/>
      <c r="G3517" s="76"/>
      <c r="H3517" s="77"/>
      <c r="I3517" s="76"/>
      <c r="J3517" s="77"/>
      <c r="K3517" s="77"/>
      <c r="L3517" s="76"/>
      <c r="M3517" s="76"/>
      <c r="N3517" s="76"/>
      <c r="O3517" s="76"/>
      <c r="P3517" s="76"/>
      <c r="Q3517" s="76"/>
      <c r="R3517" s="76"/>
      <c r="S3517" s="76"/>
      <c r="BD3517" s="99">
        <f t="shared" si="115"/>
        <v>0</v>
      </c>
      <c r="CC3517" s="99"/>
      <c r="CV3517" s="99"/>
      <c r="CW3517" s="63"/>
    </row>
    <row r="3518" spans="1:101" x14ac:dyDescent="0.15">
      <c r="A3518" s="76">
        <v>3278</v>
      </c>
      <c r="B3518" s="74" t="s">
        <v>4218</v>
      </c>
      <c r="C3518" s="74">
        <v>994129394</v>
      </c>
      <c r="D3518" s="78" t="str">
        <f t="shared" si="116"/>
        <v>https://portal.dnb.de/opac.htm?method=simpleSearch&amp;cqlMode=true&amp;query=idn%3D994129394</v>
      </c>
      <c r="E3518" s="74" t="s">
        <v>4219</v>
      </c>
      <c r="F3518" s="74"/>
      <c r="G3518" s="76"/>
      <c r="H3518" s="77"/>
      <c r="I3518" s="76"/>
      <c r="J3518" s="77"/>
      <c r="K3518" s="77"/>
      <c r="L3518" s="76"/>
      <c r="M3518" s="76"/>
      <c r="N3518" s="76"/>
      <c r="O3518" s="76"/>
      <c r="P3518" s="76"/>
      <c r="Q3518" s="76"/>
      <c r="R3518" s="76"/>
      <c r="S3518" s="76"/>
      <c r="BD3518" s="99">
        <f t="shared" si="115"/>
        <v>0</v>
      </c>
      <c r="CC3518" s="99"/>
      <c r="CV3518" s="99"/>
      <c r="CW3518" s="63"/>
    </row>
    <row r="3519" spans="1:101" ht="33.75" x14ac:dyDescent="0.15">
      <c r="A3519" s="76">
        <v>3279</v>
      </c>
      <c r="B3519" s="74" t="s">
        <v>4220</v>
      </c>
      <c r="C3519" s="74">
        <v>1066852510</v>
      </c>
      <c r="D3519" s="78" t="str">
        <f t="shared" si="116"/>
        <v>https://portal.dnb.de/opac.htm?method=simpleSearch&amp;cqlMode=true&amp;query=idn%3D1066852510</v>
      </c>
      <c r="E3519" s="74" t="s">
        <v>4221</v>
      </c>
      <c r="F3519" s="74"/>
      <c r="G3519" s="76"/>
      <c r="H3519" s="77"/>
      <c r="I3519" s="76" t="s">
        <v>53</v>
      </c>
      <c r="J3519" s="77"/>
      <c r="K3519" s="77"/>
      <c r="L3519" s="76"/>
      <c r="M3519" s="76"/>
      <c r="N3519" s="76"/>
      <c r="O3519" s="76"/>
      <c r="P3519" s="76"/>
      <c r="Q3519" s="76"/>
      <c r="R3519" s="76"/>
      <c r="S3519" s="76"/>
      <c r="Y3519" s="95" t="s">
        <v>9723</v>
      </c>
      <c r="AC3519" s="95" t="s">
        <v>9739</v>
      </c>
      <c r="AE3519" s="95" t="s">
        <v>8541</v>
      </c>
      <c r="AI3519" s="95" t="s">
        <v>9725</v>
      </c>
      <c r="AP3519" s="95" t="s">
        <v>8541</v>
      </c>
      <c r="AQ3519" s="95" t="s">
        <v>10109</v>
      </c>
      <c r="AW3519" s="95">
        <v>110</v>
      </c>
      <c r="BC3519" s="96" t="s">
        <v>9726</v>
      </c>
      <c r="BD3519" s="99">
        <f t="shared" si="115"/>
        <v>2.5</v>
      </c>
      <c r="BF3519" s="95" t="s">
        <v>10005</v>
      </c>
      <c r="BL3519" s="70" t="s">
        <v>10546</v>
      </c>
      <c r="BO3519" s="70" t="s">
        <v>10036</v>
      </c>
      <c r="BP3519" s="69" t="s">
        <v>8541</v>
      </c>
      <c r="BQ3519" s="95" t="s">
        <v>8541</v>
      </c>
      <c r="BT3519" s="95" t="s">
        <v>9772</v>
      </c>
      <c r="BV3519" s="95" t="s">
        <v>8541</v>
      </c>
      <c r="CC3519" s="99">
        <v>0.5</v>
      </c>
      <c r="CD3519" s="90" t="s">
        <v>10017</v>
      </c>
      <c r="CE3519" s="95" t="s">
        <v>8541</v>
      </c>
      <c r="CQ3519" s="95" t="s">
        <v>8541</v>
      </c>
      <c r="CV3519" s="99">
        <v>2</v>
      </c>
      <c r="CW3519" s="90" t="s">
        <v>10110</v>
      </c>
    </row>
    <row r="3520" spans="1:101" x14ac:dyDescent="0.15">
      <c r="A3520" s="76">
        <v>3280</v>
      </c>
      <c r="B3520" s="74" t="s">
        <v>4232</v>
      </c>
      <c r="C3520" s="74">
        <v>993962386</v>
      </c>
      <c r="D3520" s="78" t="str">
        <f t="shared" si="116"/>
        <v>https://portal.dnb.de/opac.htm?method=simpleSearch&amp;cqlMode=true&amp;query=idn%3D993962386</v>
      </c>
      <c r="E3520" s="74" t="s">
        <v>4233</v>
      </c>
      <c r="F3520" s="74"/>
      <c r="G3520" s="76"/>
      <c r="H3520" s="77"/>
      <c r="I3520" s="76"/>
      <c r="J3520" s="77"/>
      <c r="K3520" s="77"/>
      <c r="L3520" s="76"/>
      <c r="M3520" s="76"/>
      <c r="N3520" s="76"/>
      <c r="O3520" s="76"/>
      <c r="P3520" s="76"/>
      <c r="Q3520" s="76"/>
      <c r="R3520" s="76"/>
      <c r="S3520" s="76"/>
      <c r="BD3520" s="99">
        <f t="shared" si="115"/>
        <v>0</v>
      </c>
      <c r="CC3520" s="99"/>
      <c r="CV3520" s="99"/>
      <c r="CW3520" s="63"/>
    </row>
    <row r="3521" spans="1:101" x14ac:dyDescent="0.15">
      <c r="A3521" s="76">
        <v>3281</v>
      </c>
      <c r="B3521" s="74" t="s">
        <v>4234</v>
      </c>
      <c r="C3521" s="74">
        <v>993964214</v>
      </c>
      <c r="D3521" s="78" t="str">
        <f t="shared" si="116"/>
        <v>https://portal.dnb.de/opac.htm?method=simpleSearch&amp;cqlMode=true&amp;query=idn%3D993964214</v>
      </c>
      <c r="E3521" s="74" t="s">
        <v>4233</v>
      </c>
      <c r="F3521" s="74"/>
      <c r="G3521" s="76"/>
      <c r="H3521" s="77"/>
      <c r="I3521" s="76"/>
      <c r="J3521" s="77"/>
      <c r="K3521" s="77"/>
      <c r="L3521" s="76"/>
      <c r="M3521" s="76"/>
      <c r="N3521" s="76"/>
      <c r="O3521" s="76"/>
      <c r="P3521" s="76"/>
      <c r="Q3521" s="76"/>
      <c r="R3521" s="76"/>
      <c r="S3521" s="76"/>
      <c r="BD3521" s="99">
        <f t="shared" si="115"/>
        <v>0</v>
      </c>
      <c r="CC3521" s="99"/>
      <c r="CV3521" s="99"/>
      <c r="CW3521" s="63"/>
    </row>
    <row r="3522" spans="1:101" x14ac:dyDescent="0.15">
      <c r="A3522" s="76">
        <v>3282</v>
      </c>
      <c r="B3522" s="74" t="s">
        <v>4235</v>
      </c>
      <c r="C3522" s="74">
        <v>993964672</v>
      </c>
      <c r="D3522" s="78" t="str">
        <f t="shared" si="116"/>
        <v>https://portal.dnb.de/opac.htm?method=simpleSearch&amp;cqlMode=true&amp;query=idn%3D993964672</v>
      </c>
      <c r="E3522" s="74" t="s">
        <v>4236</v>
      </c>
      <c r="F3522" s="74"/>
      <c r="G3522" s="76"/>
      <c r="H3522" s="77"/>
      <c r="I3522" s="76" t="s">
        <v>53</v>
      </c>
      <c r="J3522" s="77"/>
      <c r="K3522" s="77"/>
      <c r="L3522" s="76"/>
      <c r="M3522" s="76"/>
      <c r="N3522" s="76"/>
      <c r="O3522" s="76"/>
      <c r="P3522" s="76"/>
      <c r="Q3522" s="76"/>
      <c r="R3522" s="76"/>
      <c r="S3522" s="76"/>
      <c r="Y3522" s="95" t="s">
        <v>9723</v>
      </c>
      <c r="AC3522" s="95" t="s">
        <v>9724</v>
      </c>
      <c r="AI3522" s="95" t="s">
        <v>9725</v>
      </c>
      <c r="AU3522" s="95">
        <v>4</v>
      </c>
      <c r="AV3522" s="95" t="s">
        <v>8541</v>
      </c>
      <c r="AW3522" s="95">
        <v>45</v>
      </c>
      <c r="BC3522" s="96" t="s">
        <v>9726</v>
      </c>
      <c r="BD3522" s="99">
        <f t="shared" si="115"/>
        <v>0.5</v>
      </c>
      <c r="BH3522" s="95" t="s">
        <v>8541</v>
      </c>
      <c r="BP3522" s="69" t="s">
        <v>8541</v>
      </c>
      <c r="BQ3522" s="95" t="s">
        <v>8541</v>
      </c>
      <c r="BR3522" s="95" t="s">
        <v>8541</v>
      </c>
      <c r="CC3522" s="99">
        <v>0.5</v>
      </c>
      <c r="CD3522" s="90" t="s">
        <v>10112</v>
      </c>
      <c r="CV3522" s="99"/>
      <c r="CW3522" s="63"/>
    </row>
    <row r="3523" spans="1:101" x14ac:dyDescent="0.15">
      <c r="A3523" s="76">
        <v>3283</v>
      </c>
      <c r="B3523" s="74" t="s">
        <v>4237</v>
      </c>
      <c r="C3523" s="74">
        <v>993962564</v>
      </c>
      <c r="D3523" s="78" t="str">
        <f t="shared" si="116"/>
        <v>https://portal.dnb.de/opac.htm?method=simpleSearch&amp;cqlMode=true&amp;query=idn%3D993962564</v>
      </c>
      <c r="E3523" s="74" t="s">
        <v>10111</v>
      </c>
      <c r="F3523" s="74"/>
      <c r="G3523" s="76"/>
      <c r="H3523" s="77"/>
      <c r="I3523" s="76"/>
      <c r="J3523" s="77"/>
      <c r="K3523" s="77"/>
      <c r="L3523" s="76"/>
      <c r="M3523" s="76"/>
      <c r="N3523" s="76"/>
      <c r="O3523" s="76"/>
      <c r="P3523" s="76"/>
      <c r="Q3523" s="76"/>
      <c r="R3523" s="76"/>
      <c r="S3523" s="76"/>
      <c r="BD3523" s="99">
        <f t="shared" ref="BD3523:BD3586" si="117">CC3523+CV3523</f>
        <v>0</v>
      </c>
      <c r="CC3523" s="99"/>
      <c r="CV3523" s="99"/>
      <c r="CW3523" s="63"/>
    </row>
    <row r="3524" spans="1:101" x14ac:dyDescent="0.15">
      <c r="A3524" s="76">
        <v>3284</v>
      </c>
      <c r="B3524" s="74" t="s">
        <v>4238</v>
      </c>
      <c r="C3524" s="74">
        <v>1066957800</v>
      </c>
      <c r="D3524" s="78" t="str">
        <f t="shared" si="116"/>
        <v>https://portal.dnb.de/opac.htm?method=simpleSearch&amp;cqlMode=true&amp;query=idn%3D1066957800</v>
      </c>
      <c r="E3524" s="74" t="s">
        <v>4239</v>
      </c>
      <c r="F3524" s="74"/>
      <c r="G3524" s="76"/>
      <c r="H3524" s="77"/>
      <c r="I3524" s="76"/>
      <c r="J3524" s="77"/>
      <c r="K3524" s="77"/>
      <c r="L3524" s="76"/>
      <c r="M3524" s="76"/>
      <c r="N3524" s="76"/>
      <c r="O3524" s="76"/>
      <c r="P3524" s="76"/>
      <c r="Q3524" s="76"/>
      <c r="R3524" s="76"/>
      <c r="S3524" s="76"/>
      <c r="BD3524" s="99">
        <f t="shared" si="117"/>
        <v>0</v>
      </c>
      <c r="CC3524" s="99"/>
      <c r="CV3524" s="99"/>
      <c r="CW3524" s="63"/>
    </row>
    <row r="3525" spans="1:101" x14ac:dyDescent="0.15">
      <c r="A3525" s="76">
        <v>3285</v>
      </c>
      <c r="B3525" s="74" t="s">
        <v>4240</v>
      </c>
      <c r="C3525" s="74">
        <v>1066786488</v>
      </c>
      <c r="D3525" s="78" t="str">
        <f t="shared" si="116"/>
        <v>https://portal.dnb.de/opac.htm?method=simpleSearch&amp;cqlMode=true&amp;query=idn%3D1066786488</v>
      </c>
      <c r="E3525" s="74" t="s">
        <v>4241</v>
      </c>
      <c r="F3525" s="74"/>
      <c r="G3525" s="76"/>
      <c r="H3525" s="77"/>
      <c r="I3525" s="76"/>
      <c r="J3525" s="77"/>
      <c r="K3525" s="77"/>
      <c r="L3525" s="76"/>
      <c r="M3525" s="76"/>
      <c r="N3525" s="76"/>
      <c r="O3525" s="76"/>
      <c r="P3525" s="76"/>
      <c r="Q3525" s="76"/>
      <c r="R3525" s="76"/>
      <c r="S3525" s="76"/>
      <c r="BD3525" s="99">
        <f t="shared" si="117"/>
        <v>0</v>
      </c>
      <c r="CC3525" s="99"/>
      <c r="CV3525" s="99"/>
      <c r="CW3525" s="63"/>
    </row>
    <row r="3526" spans="1:101" x14ac:dyDescent="0.15">
      <c r="A3526" s="76">
        <v>3286</v>
      </c>
      <c r="B3526" s="74" t="s">
        <v>4251</v>
      </c>
      <c r="C3526" s="74">
        <v>994130309</v>
      </c>
      <c r="D3526" s="78" t="str">
        <f t="shared" si="116"/>
        <v>https://portal.dnb.de/opac.htm?method=simpleSearch&amp;cqlMode=true&amp;query=idn%3D994130309</v>
      </c>
      <c r="E3526" s="74" t="s">
        <v>4252</v>
      </c>
      <c r="F3526" s="74"/>
      <c r="G3526" s="76"/>
      <c r="H3526" s="77"/>
      <c r="I3526" s="76"/>
      <c r="J3526" s="77"/>
      <c r="K3526" s="77"/>
      <c r="L3526" s="76"/>
      <c r="M3526" s="76"/>
      <c r="N3526" s="76"/>
      <c r="O3526" s="76"/>
      <c r="P3526" s="76"/>
      <c r="Q3526" s="76"/>
      <c r="R3526" s="76"/>
      <c r="S3526" s="76"/>
      <c r="BD3526" s="99">
        <f t="shared" si="117"/>
        <v>0</v>
      </c>
      <c r="CC3526" s="99"/>
      <c r="CV3526" s="99"/>
      <c r="CW3526" s="63"/>
    </row>
    <row r="3527" spans="1:101" x14ac:dyDescent="0.15">
      <c r="A3527" s="76">
        <v>3287</v>
      </c>
      <c r="B3527" s="74" t="s">
        <v>4253</v>
      </c>
      <c r="C3527" s="74">
        <v>1066962685</v>
      </c>
      <c r="D3527" s="78" t="str">
        <f t="shared" si="116"/>
        <v>https://portal.dnb.de/opac.htm?method=simpleSearch&amp;cqlMode=true&amp;query=idn%3D1066962685</v>
      </c>
      <c r="E3527" s="74" t="s">
        <v>4254</v>
      </c>
      <c r="F3527" s="74"/>
      <c r="G3527" s="76"/>
      <c r="H3527" s="77"/>
      <c r="I3527" s="76"/>
      <c r="J3527" s="77"/>
      <c r="K3527" s="77"/>
      <c r="L3527" s="76"/>
      <c r="M3527" s="76"/>
      <c r="N3527" s="76"/>
      <c r="O3527" s="76"/>
      <c r="P3527" s="76"/>
      <c r="Q3527" s="76"/>
      <c r="R3527" s="76"/>
      <c r="S3527" s="76"/>
      <c r="BD3527" s="99">
        <f t="shared" si="117"/>
        <v>0</v>
      </c>
      <c r="CC3527" s="99"/>
      <c r="CV3527" s="99"/>
      <c r="CW3527" s="63"/>
    </row>
    <row r="3528" spans="1:101" x14ac:dyDescent="0.15">
      <c r="A3528" s="76">
        <v>3288</v>
      </c>
      <c r="B3528" s="74" t="s">
        <v>8510</v>
      </c>
      <c r="C3528" s="74">
        <v>993882617</v>
      </c>
      <c r="D3528" s="78" t="str">
        <f t="shared" si="116"/>
        <v>https://portal.dnb.de/opac.htm?method=simpleSearch&amp;cqlMode=true&amp;query=idn%3D993882617</v>
      </c>
      <c r="E3528" s="74" t="s">
        <v>8527</v>
      </c>
      <c r="F3528" s="74"/>
      <c r="G3528" s="76"/>
      <c r="H3528" s="77"/>
      <c r="I3528" s="76" t="s">
        <v>53</v>
      </c>
      <c r="J3528" s="77"/>
      <c r="K3528" s="77"/>
      <c r="L3528" s="76"/>
      <c r="M3528" s="76"/>
      <c r="N3528" s="76"/>
      <c r="O3528" s="76"/>
      <c r="P3528" s="76"/>
      <c r="Q3528" s="76"/>
      <c r="R3528" s="76"/>
      <c r="S3528" s="76"/>
      <c r="Y3528" s="95" t="s">
        <v>9735</v>
      </c>
      <c r="AA3528" s="95" t="s">
        <v>8541</v>
      </c>
      <c r="AC3528" s="95" t="s">
        <v>9739</v>
      </c>
      <c r="AI3528" s="95" t="s">
        <v>9725</v>
      </c>
      <c r="AW3528" s="95">
        <v>110</v>
      </c>
      <c r="BC3528" s="96" t="s">
        <v>9726</v>
      </c>
      <c r="BD3528" s="99">
        <f t="shared" si="117"/>
        <v>0.5</v>
      </c>
      <c r="BP3528" s="69" t="s">
        <v>8541</v>
      </c>
      <c r="BR3528" s="95" t="s">
        <v>8541</v>
      </c>
      <c r="BV3528" s="95" t="s">
        <v>8541</v>
      </c>
      <c r="CC3528" s="99">
        <v>0.5</v>
      </c>
      <c r="CD3528" s="90" t="s">
        <v>10017</v>
      </c>
      <c r="CV3528" s="99"/>
      <c r="CW3528" s="63"/>
    </row>
    <row r="3529" spans="1:101" x14ac:dyDescent="0.15">
      <c r="A3529" s="76">
        <v>3289</v>
      </c>
      <c r="B3529" s="74" t="s">
        <v>4257</v>
      </c>
      <c r="C3529" s="74">
        <v>994818025</v>
      </c>
      <c r="D3529" s="78" t="str">
        <f t="shared" si="116"/>
        <v>https://portal.dnb.de/opac.htm?method=simpleSearch&amp;cqlMode=true&amp;query=idn%3D994818025</v>
      </c>
      <c r="E3529" s="74" t="s">
        <v>4258</v>
      </c>
      <c r="F3529" s="74"/>
      <c r="G3529" s="76"/>
      <c r="H3529" s="77"/>
      <c r="I3529" s="76"/>
      <c r="J3529" s="77"/>
      <c r="K3529" s="77"/>
      <c r="L3529" s="76"/>
      <c r="M3529" s="76"/>
      <c r="N3529" s="76"/>
      <c r="O3529" s="76"/>
      <c r="P3529" s="76"/>
      <c r="Q3529" s="76"/>
      <c r="R3529" s="76"/>
      <c r="S3529" s="76"/>
      <c r="BD3529" s="99">
        <f t="shared" si="117"/>
        <v>0</v>
      </c>
      <c r="CC3529" s="99"/>
      <c r="CV3529" s="99"/>
      <c r="CW3529" s="63"/>
    </row>
    <row r="3530" spans="1:101" x14ac:dyDescent="0.15">
      <c r="A3530" s="76">
        <v>3290</v>
      </c>
      <c r="B3530" s="74" t="s">
        <v>4259</v>
      </c>
      <c r="C3530" s="74">
        <v>1001658531</v>
      </c>
      <c r="D3530" s="78" t="str">
        <f t="shared" si="116"/>
        <v>https://portal.dnb.de/opac.htm?method=simpleSearch&amp;cqlMode=true&amp;query=idn%3D1001658531</v>
      </c>
      <c r="E3530" s="74" t="s">
        <v>4260</v>
      </c>
      <c r="F3530" s="74"/>
      <c r="G3530" s="76"/>
      <c r="H3530" s="77"/>
      <c r="I3530" s="76"/>
      <c r="J3530" s="77"/>
      <c r="K3530" s="77"/>
      <c r="L3530" s="76"/>
      <c r="M3530" s="76"/>
      <c r="N3530" s="76"/>
      <c r="O3530" s="76"/>
      <c r="P3530" s="76"/>
      <c r="Q3530" s="76"/>
      <c r="R3530" s="76"/>
      <c r="S3530" s="76"/>
      <c r="BD3530" s="99">
        <f t="shared" si="117"/>
        <v>0</v>
      </c>
      <c r="CC3530" s="99"/>
      <c r="CV3530" s="99"/>
      <c r="CW3530" s="63"/>
    </row>
    <row r="3531" spans="1:101" x14ac:dyDescent="0.15">
      <c r="A3531" s="76">
        <v>3291</v>
      </c>
      <c r="B3531" s="74" t="s">
        <v>4261</v>
      </c>
      <c r="C3531" s="74">
        <v>993884318</v>
      </c>
      <c r="D3531" s="78" t="str">
        <f t="shared" ref="D3531:D3595" si="118">HYPERLINK(CONCATENATE("https://portal.dnb.de/opac.htm?method=simpleSearch&amp;cqlMode=true&amp;query=idn%3D",C3531))</f>
        <v>https://portal.dnb.de/opac.htm?method=simpleSearch&amp;cqlMode=true&amp;query=idn%3D993884318</v>
      </c>
      <c r="E3531" s="74" t="s">
        <v>4262</v>
      </c>
      <c r="F3531" s="74"/>
      <c r="G3531" s="76"/>
      <c r="H3531" s="77"/>
      <c r="I3531" s="76"/>
      <c r="J3531" s="77"/>
      <c r="K3531" s="77"/>
      <c r="L3531" s="76"/>
      <c r="M3531" s="76"/>
      <c r="N3531" s="76"/>
      <c r="O3531" s="76"/>
      <c r="P3531" s="76"/>
      <c r="Q3531" s="76"/>
      <c r="R3531" s="76"/>
      <c r="S3531" s="76"/>
      <c r="BD3531" s="99">
        <f t="shared" si="117"/>
        <v>0</v>
      </c>
      <c r="CC3531" s="99"/>
      <c r="CV3531" s="99"/>
      <c r="CW3531" s="63"/>
    </row>
    <row r="3532" spans="1:101" x14ac:dyDescent="0.15">
      <c r="A3532" s="76">
        <v>3292</v>
      </c>
      <c r="B3532" s="74" t="s">
        <v>4255</v>
      </c>
      <c r="C3532" s="74">
        <v>1208664514</v>
      </c>
      <c r="D3532" s="78" t="str">
        <f t="shared" si="118"/>
        <v>https://portal.dnb.de/opac.htm?method=simpleSearch&amp;cqlMode=true&amp;query=idn%3D1208664514</v>
      </c>
      <c r="E3532" s="74" t="s">
        <v>4256</v>
      </c>
      <c r="F3532" s="74"/>
      <c r="G3532" s="76"/>
      <c r="H3532" s="77"/>
      <c r="I3532" s="76"/>
      <c r="J3532" s="77"/>
      <c r="K3532" s="77"/>
      <c r="L3532" s="76"/>
      <c r="M3532" s="76"/>
      <c r="N3532" s="76"/>
      <c r="O3532" s="76"/>
      <c r="P3532" s="76"/>
      <c r="Q3532" s="76"/>
      <c r="R3532" s="76"/>
      <c r="S3532" s="76"/>
      <c r="BD3532" s="99">
        <f t="shared" si="117"/>
        <v>0</v>
      </c>
      <c r="CC3532" s="99"/>
      <c r="CV3532" s="99"/>
      <c r="CW3532" s="63"/>
    </row>
    <row r="3533" spans="1:101" x14ac:dyDescent="0.15">
      <c r="A3533" s="76">
        <v>3293</v>
      </c>
      <c r="B3533" s="74" t="s">
        <v>4263</v>
      </c>
      <c r="C3533" s="74">
        <v>1066940401</v>
      </c>
      <c r="D3533" s="78" t="str">
        <f t="shared" si="118"/>
        <v>https://portal.dnb.de/opac.htm?method=simpleSearch&amp;cqlMode=true&amp;query=idn%3D1066940401</v>
      </c>
      <c r="E3533" s="74" t="s">
        <v>4264</v>
      </c>
      <c r="F3533" s="74"/>
      <c r="G3533" s="76"/>
      <c r="H3533" s="77"/>
      <c r="I3533" s="76"/>
      <c r="J3533" s="77"/>
      <c r="K3533" s="77"/>
      <c r="L3533" s="76"/>
      <c r="M3533" s="76"/>
      <c r="N3533" s="76"/>
      <c r="O3533" s="76"/>
      <c r="P3533" s="76"/>
      <c r="Q3533" s="76"/>
      <c r="R3533" s="76"/>
      <c r="S3533" s="76"/>
      <c r="BD3533" s="99">
        <f t="shared" si="117"/>
        <v>0</v>
      </c>
      <c r="CC3533" s="99"/>
      <c r="CV3533" s="99"/>
      <c r="CW3533" s="63"/>
    </row>
    <row r="3534" spans="1:101" x14ac:dyDescent="0.15">
      <c r="A3534" s="76">
        <v>3294</v>
      </c>
      <c r="B3534" s="74" t="s">
        <v>4271</v>
      </c>
      <c r="C3534" s="74">
        <v>1066835977</v>
      </c>
      <c r="D3534" s="78" t="str">
        <f t="shared" si="118"/>
        <v>https://portal.dnb.de/opac.htm?method=simpleSearch&amp;cqlMode=true&amp;query=idn%3D1066835977</v>
      </c>
      <c r="E3534" s="74" t="s">
        <v>4272</v>
      </c>
      <c r="F3534" s="74"/>
      <c r="G3534" s="76"/>
      <c r="H3534" s="77"/>
      <c r="I3534" s="76" t="s">
        <v>56</v>
      </c>
      <c r="J3534" s="77"/>
      <c r="K3534" s="77"/>
      <c r="L3534" s="76"/>
      <c r="M3534" s="76"/>
      <c r="N3534" s="76"/>
      <c r="O3534" s="76"/>
      <c r="P3534" s="76"/>
      <c r="Q3534" s="76"/>
      <c r="R3534" s="76"/>
      <c r="S3534" s="76"/>
      <c r="U3534" s="95" t="s">
        <v>9786</v>
      </c>
      <c r="Y3534" s="95" t="s">
        <v>9729</v>
      </c>
      <c r="AB3534" s="95" t="s">
        <v>8541</v>
      </c>
      <c r="AC3534" s="95" t="s">
        <v>9739</v>
      </c>
      <c r="AI3534" s="95" t="s">
        <v>9725</v>
      </c>
      <c r="AR3534" s="95" t="s">
        <v>8541</v>
      </c>
      <c r="AW3534" s="95">
        <v>110</v>
      </c>
      <c r="BC3534" s="96" t="s">
        <v>9726</v>
      </c>
      <c r="BD3534" s="99">
        <f t="shared" si="117"/>
        <v>0.5</v>
      </c>
      <c r="BR3534" s="95" t="s">
        <v>8541</v>
      </c>
      <c r="CC3534" s="99">
        <v>0.5</v>
      </c>
      <c r="CV3534" s="99"/>
      <c r="CW3534" s="63"/>
    </row>
    <row r="3535" spans="1:101" x14ac:dyDescent="0.15">
      <c r="A3535" s="76">
        <v>3295</v>
      </c>
      <c r="B3535" s="74" t="s">
        <v>4269</v>
      </c>
      <c r="C3535" s="74">
        <v>1066835977</v>
      </c>
      <c r="D3535" s="78" t="str">
        <f t="shared" si="118"/>
        <v>https://portal.dnb.de/opac.htm?method=simpleSearch&amp;cqlMode=true&amp;query=idn%3D1066835977</v>
      </c>
      <c r="E3535" s="74" t="s">
        <v>4270</v>
      </c>
      <c r="F3535" s="74"/>
      <c r="G3535" s="76"/>
      <c r="H3535" s="77"/>
      <c r="I3535" s="76" t="s">
        <v>56</v>
      </c>
      <c r="J3535" s="77"/>
      <c r="K3535" s="77"/>
      <c r="L3535" s="76"/>
      <c r="M3535" s="76"/>
      <c r="N3535" s="76"/>
      <c r="O3535" s="76"/>
      <c r="P3535" s="76"/>
      <c r="Q3535" s="76"/>
      <c r="R3535" s="76"/>
      <c r="S3535" s="76"/>
      <c r="U3535" s="95" t="s">
        <v>9782</v>
      </c>
      <c r="Y3535" s="95" t="s">
        <v>9869</v>
      </c>
      <c r="AB3535" s="95" t="s">
        <v>8541</v>
      </c>
      <c r="AC3535" s="95" t="s">
        <v>9739</v>
      </c>
      <c r="AI3535" s="95" t="s">
        <v>9725</v>
      </c>
      <c r="AR3535" s="95" t="s">
        <v>8541</v>
      </c>
      <c r="AW3535" s="95" t="s">
        <v>9760</v>
      </c>
      <c r="BC3535" s="96" t="s">
        <v>9734</v>
      </c>
      <c r="BD3535" s="99">
        <f t="shared" si="117"/>
        <v>0</v>
      </c>
      <c r="CC3535" s="99"/>
      <c r="CV3535" s="99"/>
      <c r="CW3535" s="63"/>
    </row>
    <row r="3536" spans="1:101" x14ac:dyDescent="0.15">
      <c r="A3536" s="76">
        <v>3296</v>
      </c>
      <c r="B3536" s="74" t="s">
        <v>4275</v>
      </c>
      <c r="C3536" s="74">
        <v>1066865493</v>
      </c>
      <c r="D3536" s="78" t="str">
        <f t="shared" si="118"/>
        <v>https://portal.dnb.de/opac.htm?method=simpleSearch&amp;cqlMode=true&amp;query=idn%3D1066865493</v>
      </c>
      <c r="E3536" s="74" t="s">
        <v>4276</v>
      </c>
      <c r="F3536" s="74"/>
      <c r="G3536" s="76"/>
      <c r="H3536" s="77"/>
      <c r="I3536" s="76"/>
      <c r="J3536" s="77"/>
      <c r="K3536" s="77"/>
      <c r="L3536" s="76"/>
      <c r="M3536" s="76"/>
      <c r="N3536" s="76"/>
      <c r="O3536" s="76"/>
      <c r="P3536" s="76"/>
      <c r="Q3536" s="76"/>
      <c r="R3536" s="76"/>
      <c r="S3536" s="76"/>
      <c r="BD3536" s="99">
        <f t="shared" si="117"/>
        <v>0</v>
      </c>
      <c r="CC3536" s="99"/>
      <c r="CV3536" s="99"/>
      <c r="CW3536" s="63"/>
    </row>
    <row r="3537" spans="1:101" x14ac:dyDescent="0.15">
      <c r="A3537" s="76">
        <v>3297</v>
      </c>
      <c r="B3537" s="74" t="s">
        <v>4277</v>
      </c>
      <c r="C3537" s="74">
        <v>1066778264</v>
      </c>
      <c r="D3537" s="78" t="str">
        <f t="shared" si="118"/>
        <v>https://portal.dnb.de/opac.htm?method=simpleSearch&amp;cqlMode=true&amp;query=idn%3D1066778264</v>
      </c>
      <c r="E3537" s="74" t="s">
        <v>4278</v>
      </c>
      <c r="F3537" s="74"/>
      <c r="G3537" s="76"/>
      <c r="H3537" s="77"/>
      <c r="I3537" s="76"/>
      <c r="J3537" s="77"/>
      <c r="K3537" s="77"/>
      <c r="L3537" s="76"/>
      <c r="M3537" s="76"/>
      <c r="N3537" s="76"/>
      <c r="O3537" s="76"/>
      <c r="P3537" s="76"/>
      <c r="Q3537" s="76"/>
      <c r="R3537" s="76"/>
      <c r="S3537" s="76"/>
      <c r="BD3537" s="99">
        <f t="shared" si="117"/>
        <v>0</v>
      </c>
      <c r="CC3537" s="99"/>
      <c r="CV3537" s="99"/>
      <c r="CW3537" s="63"/>
    </row>
    <row r="3538" spans="1:101" x14ac:dyDescent="0.15">
      <c r="A3538" s="76">
        <v>3298</v>
      </c>
      <c r="B3538" s="74" t="s">
        <v>4279</v>
      </c>
      <c r="C3538" s="74">
        <v>1066777292</v>
      </c>
      <c r="D3538" s="78" t="str">
        <f t="shared" si="118"/>
        <v>https://portal.dnb.de/opac.htm?method=simpleSearch&amp;cqlMode=true&amp;query=idn%3D1066777292</v>
      </c>
      <c r="E3538" s="74" t="s">
        <v>4280</v>
      </c>
      <c r="F3538" s="74"/>
      <c r="G3538" s="76"/>
      <c r="H3538" s="77"/>
      <c r="I3538" s="76"/>
      <c r="J3538" s="77"/>
      <c r="K3538" s="77"/>
      <c r="L3538" s="76"/>
      <c r="M3538" s="76"/>
      <c r="N3538" s="76"/>
      <c r="O3538" s="76"/>
      <c r="P3538" s="76"/>
      <c r="Q3538" s="76"/>
      <c r="R3538" s="76"/>
      <c r="S3538" s="76"/>
      <c r="BD3538" s="99">
        <f t="shared" si="117"/>
        <v>0</v>
      </c>
      <c r="CC3538" s="99"/>
      <c r="CV3538" s="99"/>
      <c r="CW3538" s="63"/>
    </row>
    <row r="3539" spans="1:101" x14ac:dyDescent="0.15">
      <c r="A3539" s="76">
        <v>3299</v>
      </c>
      <c r="B3539" s="74" t="s">
        <v>4283</v>
      </c>
      <c r="C3539" s="74">
        <v>1000048993</v>
      </c>
      <c r="D3539" s="78" t="str">
        <f t="shared" si="118"/>
        <v>https://portal.dnb.de/opac.htm?method=simpleSearch&amp;cqlMode=true&amp;query=idn%3D1000048993</v>
      </c>
      <c r="E3539" s="74" t="s">
        <v>4284</v>
      </c>
      <c r="F3539" s="74"/>
      <c r="G3539" s="76"/>
      <c r="H3539" s="77"/>
      <c r="I3539" s="76"/>
      <c r="J3539" s="77"/>
      <c r="K3539" s="77"/>
      <c r="L3539" s="76"/>
      <c r="M3539" s="76"/>
      <c r="N3539" s="76"/>
      <c r="O3539" s="76"/>
      <c r="P3539" s="76"/>
      <c r="Q3539" s="76"/>
      <c r="R3539" s="76"/>
      <c r="S3539" s="76"/>
      <c r="BD3539" s="99">
        <f t="shared" si="117"/>
        <v>0</v>
      </c>
      <c r="CC3539" s="99"/>
      <c r="CV3539" s="99"/>
      <c r="CW3539" s="63"/>
    </row>
    <row r="3540" spans="1:101" x14ac:dyDescent="0.15">
      <c r="A3540" s="76">
        <v>3300</v>
      </c>
      <c r="B3540" s="74" t="s">
        <v>4285</v>
      </c>
      <c r="C3540" s="74">
        <v>993934463</v>
      </c>
      <c r="D3540" s="78" t="str">
        <f t="shared" si="118"/>
        <v>https://portal.dnb.de/opac.htm?method=simpleSearch&amp;cqlMode=true&amp;query=idn%3D993934463</v>
      </c>
      <c r="E3540" s="74" t="s">
        <v>4284</v>
      </c>
      <c r="F3540" s="74"/>
      <c r="G3540" s="76"/>
      <c r="H3540" s="77"/>
      <c r="I3540" s="76"/>
      <c r="J3540" s="77"/>
      <c r="K3540" s="77"/>
      <c r="L3540" s="76"/>
      <c r="M3540" s="76"/>
      <c r="N3540" s="76"/>
      <c r="O3540" s="76"/>
      <c r="P3540" s="76"/>
      <c r="Q3540" s="76"/>
      <c r="R3540" s="76"/>
      <c r="S3540" s="76"/>
      <c r="BD3540" s="99">
        <f t="shared" si="117"/>
        <v>0</v>
      </c>
      <c r="CC3540" s="99"/>
      <c r="CV3540" s="99"/>
      <c r="CW3540" s="63"/>
    </row>
    <row r="3541" spans="1:101" x14ac:dyDescent="0.15">
      <c r="A3541" s="76">
        <v>3301</v>
      </c>
      <c r="B3541" s="74" t="s">
        <v>4286</v>
      </c>
      <c r="C3541" s="74">
        <v>1000048772</v>
      </c>
      <c r="D3541" s="78" t="str">
        <f t="shared" si="118"/>
        <v>https://portal.dnb.de/opac.htm?method=simpleSearch&amp;cqlMode=true&amp;query=idn%3D1000048772</v>
      </c>
      <c r="E3541" s="74" t="s">
        <v>4284</v>
      </c>
      <c r="F3541" s="74"/>
      <c r="G3541" s="76"/>
      <c r="H3541" s="77"/>
      <c r="I3541" s="76"/>
      <c r="J3541" s="77"/>
      <c r="K3541" s="77"/>
      <c r="L3541" s="76"/>
      <c r="M3541" s="76"/>
      <c r="N3541" s="76"/>
      <c r="O3541" s="76"/>
      <c r="P3541" s="76"/>
      <c r="Q3541" s="76"/>
      <c r="R3541" s="76"/>
      <c r="S3541" s="76"/>
      <c r="BD3541" s="99">
        <f t="shared" si="117"/>
        <v>0</v>
      </c>
      <c r="CC3541" s="99"/>
      <c r="CV3541" s="99"/>
      <c r="CW3541" s="63"/>
    </row>
    <row r="3542" spans="1:101" x14ac:dyDescent="0.15">
      <c r="A3542" s="76">
        <v>3302</v>
      </c>
      <c r="B3542" s="74" t="s">
        <v>4287</v>
      </c>
      <c r="C3542" s="74">
        <v>993934366</v>
      </c>
      <c r="D3542" s="78" t="str">
        <f t="shared" si="118"/>
        <v>https://portal.dnb.de/opac.htm?method=simpleSearch&amp;cqlMode=true&amp;query=idn%3D993934366</v>
      </c>
      <c r="E3542" s="74" t="s">
        <v>4284</v>
      </c>
      <c r="F3542" s="74"/>
      <c r="G3542" s="76"/>
      <c r="H3542" s="77"/>
      <c r="I3542" s="76"/>
      <c r="J3542" s="77"/>
      <c r="K3542" s="77"/>
      <c r="L3542" s="76"/>
      <c r="M3542" s="76"/>
      <c r="N3542" s="76"/>
      <c r="O3542" s="76"/>
      <c r="P3542" s="76"/>
      <c r="Q3542" s="76"/>
      <c r="R3542" s="76"/>
      <c r="S3542" s="76"/>
      <c r="BD3542" s="99">
        <f t="shared" si="117"/>
        <v>0</v>
      </c>
      <c r="CC3542" s="99"/>
      <c r="CV3542" s="99"/>
      <c r="CW3542" s="63"/>
    </row>
    <row r="3543" spans="1:101" x14ac:dyDescent="0.15">
      <c r="A3543" s="76">
        <v>3303</v>
      </c>
      <c r="B3543" s="74" t="s">
        <v>4288</v>
      </c>
      <c r="C3543" s="74">
        <v>1000048705</v>
      </c>
      <c r="D3543" s="78" t="str">
        <f t="shared" si="118"/>
        <v>https://portal.dnb.de/opac.htm?method=simpleSearch&amp;cqlMode=true&amp;query=idn%3D1000048705</v>
      </c>
      <c r="E3543" s="74" t="s">
        <v>4284</v>
      </c>
      <c r="F3543" s="74"/>
      <c r="G3543" s="76"/>
      <c r="H3543" s="77"/>
      <c r="I3543" s="76"/>
      <c r="J3543" s="77"/>
      <c r="K3543" s="77"/>
      <c r="L3543" s="76"/>
      <c r="M3543" s="76"/>
      <c r="N3543" s="76"/>
      <c r="O3543" s="76"/>
      <c r="P3543" s="76"/>
      <c r="Q3543" s="76"/>
      <c r="R3543" s="76"/>
      <c r="S3543" s="76"/>
      <c r="BD3543" s="99">
        <f t="shared" si="117"/>
        <v>0</v>
      </c>
      <c r="CC3543" s="99"/>
      <c r="CV3543" s="99"/>
      <c r="CW3543" s="63"/>
    </row>
    <row r="3544" spans="1:101" x14ac:dyDescent="0.15">
      <c r="A3544" s="76">
        <v>3304</v>
      </c>
      <c r="B3544" s="74" t="s">
        <v>4289</v>
      </c>
      <c r="C3544" s="74" t="s">
        <v>4290</v>
      </c>
      <c r="D3544" s="78" t="str">
        <f t="shared" si="118"/>
        <v>https://portal.dnb.de/opac.htm?method=simpleSearch&amp;cqlMode=true&amp;query=idn%3D100004887X</v>
      </c>
      <c r="E3544" s="74" t="s">
        <v>4284</v>
      </c>
      <c r="F3544" s="74"/>
      <c r="G3544" s="76"/>
      <c r="H3544" s="77"/>
      <c r="I3544" s="76"/>
      <c r="J3544" s="77"/>
      <c r="K3544" s="77"/>
      <c r="L3544" s="76"/>
      <c r="M3544" s="76"/>
      <c r="N3544" s="76"/>
      <c r="O3544" s="76"/>
      <c r="P3544" s="76"/>
      <c r="Q3544" s="76"/>
      <c r="R3544" s="76"/>
      <c r="S3544" s="76"/>
      <c r="BD3544" s="99">
        <f t="shared" si="117"/>
        <v>0</v>
      </c>
      <c r="CC3544" s="99"/>
      <c r="CV3544" s="99"/>
      <c r="CW3544" s="63"/>
    </row>
    <row r="3545" spans="1:101" x14ac:dyDescent="0.15">
      <c r="A3545" s="76">
        <v>3305</v>
      </c>
      <c r="B3545" s="74" t="s">
        <v>4291</v>
      </c>
      <c r="C3545" s="74" t="s">
        <v>4292</v>
      </c>
      <c r="D3545" s="78" t="str">
        <f t="shared" si="118"/>
        <v>https://portal.dnb.de/opac.htm?method=simpleSearch&amp;cqlMode=true&amp;query=idn%3D100160363X</v>
      </c>
      <c r="E3545" s="74" t="s">
        <v>4293</v>
      </c>
      <c r="F3545" s="74"/>
      <c r="G3545" s="76"/>
      <c r="H3545" s="77"/>
      <c r="I3545" s="76"/>
      <c r="J3545" s="77"/>
      <c r="K3545" s="77"/>
      <c r="L3545" s="76"/>
      <c r="M3545" s="76"/>
      <c r="N3545" s="76"/>
      <c r="O3545" s="76"/>
      <c r="P3545" s="76"/>
      <c r="Q3545" s="76"/>
      <c r="R3545" s="76"/>
      <c r="S3545" s="76"/>
      <c r="BD3545" s="99">
        <f t="shared" si="117"/>
        <v>0</v>
      </c>
      <c r="CC3545" s="99"/>
      <c r="CV3545" s="99"/>
      <c r="CW3545" s="63"/>
    </row>
    <row r="3546" spans="1:101" x14ac:dyDescent="0.15">
      <c r="A3546" s="76">
        <v>3306</v>
      </c>
      <c r="B3546" s="74" t="s">
        <v>4294</v>
      </c>
      <c r="C3546" s="74">
        <v>998444367</v>
      </c>
      <c r="D3546" s="78" t="str">
        <f t="shared" si="118"/>
        <v>https://portal.dnb.de/opac.htm?method=simpleSearch&amp;cqlMode=true&amp;query=idn%3D998444367</v>
      </c>
      <c r="E3546" s="74" t="s">
        <v>4293</v>
      </c>
      <c r="F3546" s="74"/>
      <c r="G3546" s="76"/>
      <c r="H3546" s="77"/>
      <c r="I3546" s="76"/>
      <c r="J3546" s="77"/>
      <c r="K3546" s="77"/>
      <c r="L3546" s="76"/>
      <c r="M3546" s="76"/>
      <c r="N3546" s="76"/>
      <c r="O3546" s="76"/>
      <c r="P3546" s="76"/>
      <c r="Q3546" s="76"/>
      <c r="R3546" s="76"/>
      <c r="S3546" s="76"/>
      <c r="BD3546" s="99">
        <f t="shared" si="117"/>
        <v>0</v>
      </c>
      <c r="CC3546" s="99"/>
      <c r="CV3546" s="99"/>
      <c r="CW3546" s="63"/>
    </row>
    <row r="3547" spans="1:101" x14ac:dyDescent="0.15">
      <c r="A3547" s="76">
        <v>3307</v>
      </c>
      <c r="B3547" s="74" t="s">
        <v>4295</v>
      </c>
      <c r="C3547" s="74">
        <v>1001620895</v>
      </c>
      <c r="D3547" s="78" t="str">
        <f t="shared" si="118"/>
        <v>https://portal.dnb.de/opac.htm?method=simpleSearch&amp;cqlMode=true&amp;query=idn%3D1001620895</v>
      </c>
      <c r="E3547" s="74" t="s">
        <v>4293</v>
      </c>
      <c r="F3547" s="74"/>
      <c r="G3547" s="76"/>
      <c r="H3547" s="77"/>
      <c r="I3547" s="76"/>
      <c r="J3547" s="77"/>
      <c r="K3547" s="77"/>
      <c r="L3547" s="76"/>
      <c r="M3547" s="76"/>
      <c r="N3547" s="76"/>
      <c r="O3547" s="76"/>
      <c r="P3547" s="76"/>
      <c r="Q3547" s="76"/>
      <c r="R3547" s="76"/>
      <c r="S3547" s="76"/>
      <c r="BD3547" s="99">
        <f t="shared" si="117"/>
        <v>0</v>
      </c>
      <c r="CC3547" s="99"/>
      <c r="CV3547" s="99"/>
      <c r="CW3547" s="63"/>
    </row>
    <row r="3548" spans="1:101" x14ac:dyDescent="0.15">
      <c r="A3548" s="76">
        <v>3308</v>
      </c>
      <c r="B3548" s="74" t="s">
        <v>4273</v>
      </c>
      <c r="C3548" s="74">
        <v>1140242210</v>
      </c>
      <c r="D3548" s="78" t="str">
        <f t="shared" si="118"/>
        <v>https://portal.dnb.de/opac.htm?method=simpleSearch&amp;cqlMode=true&amp;query=idn%3D1140242210</v>
      </c>
      <c r="E3548" s="74" t="s">
        <v>4274</v>
      </c>
      <c r="F3548" s="74"/>
      <c r="G3548" s="76"/>
      <c r="H3548" s="77"/>
      <c r="I3548" s="76" t="s">
        <v>53</v>
      </c>
      <c r="J3548" s="77"/>
      <c r="K3548" s="77"/>
      <c r="L3548" s="76"/>
      <c r="M3548" s="76"/>
      <c r="N3548" s="76"/>
      <c r="O3548" s="76"/>
      <c r="P3548" s="76"/>
      <c r="Q3548" s="76"/>
      <c r="R3548" s="76"/>
      <c r="S3548" s="76"/>
      <c r="Y3548" s="95" t="s">
        <v>9736</v>
      </c>
      <c r="AB3548" s="95" t="s">
        <v>8541</v>
      </c>
      <c r="AC3548" s="95" t="s">
        <v>9737</v>
      </c>
      <c r="AI3548" s="95" t="s">
        <v>9725</v>
      </c>
      <c r="AP3548" s="95" t="s">
        <v>8541</v>
      </c>
      <c r="AR3548" s="95" t="s">
        <v>8541</v>
      </c>
      <c r="AW3548" s="95">
        <v>45</v>
      </c>
      <c r="BC3548" s="96" t="s">
        <v>9734</v>
      </c>
      <c r="BD3548" s="99">
        <f t="shared" si="117"/>
        <v>0</v>
      </c>
      <c r="BI3548" s="95" t="s">
        <v>8541</v>
      </c>
      <c r="CC3548" s="99"/>
      <c r="CV3548" s="99"/>
      <c r="CW3548" s="63"/>
    </row>
    <row r="3549" spans="1:101" x14ac:dyDescent="0.15">
      <c r="A3549" s="76">
        <v>3309</v>
      </c>
      <c r="B3549" s="74" t="s">
        <v>4281</v>
      </c>
      <c r="C3549" s="74">
        <v>1208646354</v>
      </c>
      <c r="D3549" s="78" t="str">
        <f t="shared" si="118"/>
        <v>https://portal.dnb.de/opac.htm?method=simpleSearch&amp;cqlMode=true&amp;query=idn%3D1208646354</v>
      </c>
      <c r="E3549" s="74" t="s">
        <v>4282</v>
      </c>
      <c r="F3549" s="74"/>
      <c r="G3549" s="76"/>
      <c r="H3549" s="77"/>
      <c r="I3549" s="76"/>
      <c r="J3549" s="77"/>
      <c r="K3549" s="77"/>
      <c r="L3549" s="76"/>
      <c r="M3549" s="76"/>
      <c r="N3549" s="76"/>
      <c r="O3549" s="76"/>
      <c r="P3549" s="76"/>
      <c r="Q3549" s="76"/>
      <c r="R3549" s="76"/>
      <c r="S3549" s="76"/>
      <c r="BD3549" s="99">
        <f t="shared" si="117"/>
        <v>0</v>
      </c>
      <c r="CC3549" s="99"/>
      <c r="CV3549" s="99"/>
      <c r="CW3549" s="63"/>
    </row>
    <row r="3550" spans="1:101" x14ac:dyDescent="0.15">
      <c r="A3550" s="76">
        <v>3310</v>
      </c>
      <c r="B3550" s="74" t="s">
        <v>4298</v>
      </c>
      <c r="C3550" s="74">
        <v>1066935270</v>
      </c>
      <c r="D3550" s="78" t="str">
        <f t="shared" si="118"/>
        <v>https://portal.dnb.de/opac.htm?method=simpleSearch&amp;cqlMode=true&amp;query=idn%3D1066935270</v>
      </c>
      <c r="E3550" s="74" t="s">
        <v>4299</v>
      </c>
      <c r="F3550" s="74"/>
      <c r="G3550" s="76"/>
      <c r="H3550" s="77"/>
      <c r="I3550" s="76" t="s">
        <v>53</v>
      </c>
      <c r="J3550" s="77"/>
      <c r="K3550" s="77"/>
      <c r="L3550" s="76"/>
      <c r="M3550" s="76"/>
      <c r="N3550" s="76"/>
      <c r="O3550" s="76"/>
      <c r="P3550" s="76"/>
      <c r="Q3550" s="76"/>
      <c r="R3550" s="76"/>
      <c r="S3550" s="76"/>
      <c r="Y3550" s="95" t="s">
        <v>9731</v>
      </c>
      <c r="AC3550" s="95" t="s">
        <v>9737</v>
      </c>
      <c r="AI3550" s="95" t="s">
        <v>9725</v>
      </c>
      <c r="AL3550" s="95" t="s">
        <v>8541</v>
      </c>
      <c r="AW3550" s="95" t="s">
        <v>9733</v>
      </c>
      <c r="BC3550" s="96" t="s">
        <v>9734</v>
      </c>
      <c r="BD3550" s="99">
        <f t="shared" si="117"/>
        <v>0</v>
      </c>
      <c r="CC3550" s="99"/>
      <c r="CV3550" s="99"/>
      <c r="CW3550" s="63"/>
    </row>
    <row r="3551" spans="1:101" x14ac:dyDescent="0.15">
      <c r="A3551" s="76">
        <v>3311</v>
      </c>
      <c r="B3551" s="74" t="s">
        <v>4300</v>
      </c>
      <c r="C3551" s="74">
        <v>1066941416</v>
      </c>
      <c r="D3551" s="78" t="str">
        <f t="shared" si="118"/>
        <v>https://portal.dnb.de/opac.htm?method=simpleSearch&amp;cqlMode=true&amp;query=idn%3D1066941416</v>
      </c>
      <c r="E3551" s="74" t="s">
        <v>4301</v>
      </c>
      <c r="F3551" s="74"/>
      <c r="G3551" s="76"/>
      <c r="H3551" s="77"/>
      <c r="I3551" s="76"/>
      <c r="J3551" s="77"/>
      <c r="K3551" s="77"/>
      <c r="L3551" s="76"/>
      <c r="M3551" s="76"/>
      <c r="N3551" s="76"/>
      <c r="O3551" s="76"/>
      <c r="P3551" s="76"/>
      <c r="Q3551" s="76"/>
      <c r="R3551" s="76"/>
      <c r="S3551" s="76"/>
      <c r="BD3551" s="99">
        <f t="shared" si="117"/>
        <v>0</v>
      </c>
      <c r="CC3551" s="99"/>
      <c r="CV3551" s="99"/>
      <c r="CW3551" s="63"/>
    </row>
    <row r="3552" spans="1:101" x14ac:dyDescent="0.15">
      <c r="A3552" s="76">
        <v>3312</v>
      </c>
      <c r="B3552" s="74" t="s">
        <v>4302</v>
      </c>
      <c r="C3552" s="74">
        <v>998845884</v>
      </c>
      <c r="D3552" s="78" t="str">
        <f t="shared" si="118"/>
        <v>https://portal.dnb.de/opac.htm?method=simpleSearch&amp;cqlMode=true&amp;query=idn%3D998845884</v>
      </c>
      <c r="E3552" s="74" t="s">
        <v>4303</v>
      </c>
      <c r="F3552" s="74"/>
      <c r="G3552" s="76"/>
      <c r="H3552" s="77"/>
      <c r="I3552" s="76"/>
      <c r="J3552" s="77"/>
      <c r="K3552" s="77"/>
      <c r="L3552" s="76"/>
      <c r="M3552" s="76"/>
      <c r="N3552" s="76"/>
      <c r="O3552" s="76"/>
      <c r="P3552" s="76"/>
      <c r="Q3552" s="76"/>
      <c r="R3552" s="76"/>
      <c r="S3552" s="76"/>
      <c r="BD3552" s="99">
        <f t="shared" si="117"/>
        <v>0</v>
      </c>
      <c r="CC3552" s="99"/>
      <c r="CV3552" s="99"/>
      <c r="CW3552" s="63"/>
    </row>
    <row r="3553" spans="1:101" x14ac:dyDescent="0.15">
      <c r="A3553" s="76">
        <v>3313</v>
      </c>
      <c r="B3553" s="74" t="s">
        <v>4304</v>
      </c>
      <c r="C3553" s="74">
        <v>1096195607</v>
      </c>
      <c r="D3553" s="78" t="str">
        <f t="shared" si="118"/>
        <v>https://portal.dnb.de/opac.htm?method=simpleSearch&amp;cqlMode=true&amp;query=idn%3D1096195607</v>
      </c>
      <c r="E3553" s="74" t="s">
        <v>4305</v>
      </c>
      <c r="F3553" s="74"/>
      <c r="G3553" s="76"/>
      <c r="H3553" s="77"/>
      <c r="I3553" s="76"/>
      <c r="J3553" s="77"/>
      <c r="K3553" s="77"/>
      <c r="L3553" s="76"/>
      <c r="M3553" s="76"/>
      <c r="N3553" s="76"/>
      <c r="O3553" s="76"/>
      <c r="P3553" s="76"/>
      <c r="Q3553" s="76"/>
      <c r="R3553" s="76"/>
      <c r="S3553" s="76"/>
      <c r="BD3553" s="99">
        <f t="shared" si="117"/>
        <v>0</v>
      </c>
      <c r="CC3553" s="99"/>
      <c r="CV3553" s="99"/>
      <c r="CW3553" s="63"/>
    </row>
    <row r="3554" spans="1:101" x14ac:dyDescent="0.15">
      <c r="A3554" s="76">
        <v>3314</v>
      </c>
      <c r="B3554" s="74" t="s">
        <v>4304</v>
      </c>
      <c r="C3554" s="74" t="s">
        <v>4306</v>
      </c>
      <c r="D3554" s="78" t="str">
        <f t="shared" si="118"/>
        <v>https://portal.dnb.de/opac.htm?method=simpleSearch&amp;cqlMode=true&amp;query=idn%3D107018053X</v>
      </c>
      <c r="E3554" s="74" t="s">
        <v>4305</v>
      </c>
      <c r="F3554" s="74"/>
      <c r="G3554" s="76"/>
      <c r="H3554" s="77"/>
      <c r="I3554" s="76"/>
      <c r="J3554" s="77"/>
      <c r="K3554" s="77"/>
      <c r="L3554" s="76"/>
      <c r="M3554" s="76"/>
      <c r="N3554" s="76"/>
      <c r="O3554" s="76"/>
      <c r="P3554" s="76"/>
      <c r="Q3554" s="76"/>
      <c r="R3554" s="76"/>
      <c r="S3554" s="76"/>
      <c r="BD3554" s="99">
        <f t="shared" si="117"/>
        <v>0</v>
      </c>
      <c r="CC3554" s="99"/>
      <c r="CV3554" s="99"/>
      <c r="CW3554" s="63"/>
    </row>
    <row r="3555" spans="1:101" x14ac:dyDescent="0.15">
      <c r="A3555" s="76">
        <v>3315</v>
      </c>
      <c r="B3555" s="74" t="s">
        <v>4304</v>
      </c>
      <c r="C3555" s="74">
        <v>1096199521</v>
      </c>
      <c r="D3555" s="78" t="str">
        <f t="shared" si="118"/>
        <v>https://portal.dnb.de/opac.htm?method=simpleSearch&amp;cqlMode=true&amp;query=idn%3D1096199521</v>
      </c>
      <c r="E3555" s="74" t="s">
        <v>4305</v>
      </c>
      <c r="F3555" s="74"/>
      <c r="G3555" s="76"/>
      <c r="H3555" s="77"/>
      <c r="I3555" s="76"/>
      <c r="J3555" s="77"/>
      <c r="K3555" s="77"/>
      <c r="L3555" s="76"/>
      <c r="M3555" s="76"/>
      <c r="N3555" s="76"/>
      <c r="O3555" s="76"/>
      <c r="P3555" s="76"/>
      <c r="Q3555" s="76"/>
      <c r="R3555" s="76"/>
      <c r="S3555" s="76"/>
      <c r="BD3555" s="99">
        <f t="shared" si="117"/>
        <v>0</v>
      </c>
      <c r="CC3555" s="99"/>
      <c r="CV3555" s="99"/>
      <c r="CW3555" s="63"/>
    </row>
    <row r="3556" spans="1:101" x14ac:dyDescent="0.15">
      <c r="A3556" s="76">
        <v>3316</v>
      </c>
      <c r="B3556" s="74" t="s">
        <v>4307</v>
      </c>
      <c r="C3556" s="74">
        <v>1066925321</v>
      </c>
      <c r="D3556" s="78" t="str">
        <f t="shared" si="118"/>
        <v>https://portal.dnb.de/opac.htm?method=simpleSearch&amp;cqlMode=true&amp;query=idn%3D1066925321</v>
      </c>
      <c r="E3556" s="74" t="s">
        <v>4308</v>
      </c>
      <c r="F3556" s="74"/>
      <c r="G3556" s="76"/>
      <c r="H3556" s="77"/>
      <c r="I3556" s="76"/>
      <c r="J3556" s="77"/>
      <c r="K3556" s="77"/>
      <c r="L3556" s="76"/>
      <c r="M3556" s="76"/>
      <c r="N3556" s="76"/>
      <c r="O3556" s="76"/>
      <c r="P3556" s="76"/>
      <c r="Q3556" s="76"/>
      <c r="R3556" s="76"/>
      <c r="S3556" s="76"/>
      <c r="BD3556" s="99">
        <f t="shared" si="117"/>
        <v>0</v>
      </c>
      <c r="CC3556" s="99"/>
      <c r="CV3556" s="99"/>
      <c r="CW3556" s="63"/>
    </row>
    <row r="3557" spans="1:101" x14ac:dyDescent="0.15">
      <c r="A3557" s="76">
        <v>3317</v>
      </c>
      <c r="B3557" s="74" t="s">
        <v>4309</v>
      </c>
      <c r="C3557" s="74" t="s">
        <v>4310</v>
      </c>
      <c r="D3557" s="78" t="str">
        <f t="shared" si="118"/>
        <v>https://portal.dnb.de/opac.htm?method=simpleSearch&amp;cqlMode=true&amp;query=idn%3D106688109X</v>
      </c>
      <c r="E3557" s="74" t="s">
        <v>4311</v>
      </c>
      <c r="F3557" s="74"/>
      <c r="G3557" s="76"/>
      <c r="H3557" s="77"/>
      <c r="I3557" s="76"/>
      <c r="J3557" s="77"/>
      <c r="K3557" s="77"/>
      <c r="L3557" s="76"/>
      <c r="M3557" s="76"/>
      <c r="N3557" s="76"/>
      <c r="O3557" s="76"/>
      <c r="P3557" s="76"/>
      <c r="Q3557" s="76"/>
      <c r="R3557" s="76"/>
      <c r="S3557" s="76"/>
      <c r="BD3557" s="99">
        <f t="shared" si="117"/>
        <v>0</v>
      </c>
      <c r="CC3557" s="99"/>
      <c r="CV3557" s="99"/>
      <c r="CW3557" s="63"/>
    </row>
    <row r="3558" spans="1:101" ht="22.5" x14ac:dyDescent="0.15">
      <c r="A3558" s="76">
        <v>3318</v>
      </c>
      <c r="B3558" s="74" t="s">
        <v>4312</v>
      </c>
      <c r="C3558" s="74" t="s">
        <v>4313</v>
      </c>
      <c r="D3558" s="78" t="str">
        <f t="shared" si="118"/>
        <v>https://portal.dnb.de/opac.htm?method=simpleSearch&amp;cqlMode=true&amp;query=idn%3D106679622X</v>
      </c>
      <c r="E3558" s="74" t="s">
        <v>4314</v>
      </c>
      <c r="F3558" s="74"/>
      <c r="G3558" s="76"/>
      <c r="H3558" s="77"/>
      <c r="I3558" s="76" t="s">
        <v>53</v>
      </c>
      <c r="J3558" s="77"/>
      <c r="K3558" s="77"/>
      <c r="L3558" s="76"/>
      <c r="M3558" s="76"/>
      <c r="N3558" s="76"/>
      <c r="O3558" s="76"/>
      <c r="P3558" s="76"/>
      <c r="Q3558" s="76"/>
      <c r="R3558" s="76"/>
      <c r="S3558" s="76"/>
      <c r="Y3558" s="95" t="s">
        <v>9723</v>
      </c>
      <c r="AC3558" s="95" t="s">
        <v>9724</v>
      </c>
      <c r="AI3558" s="95" t="s">
        <v>9725</v>
      </c>
      <c r="AU3558" s="95">
        <v>2</v>
      </c>
      <c r="AV3558" s="95" t="s">
        <v>8541</v>
      </c>
      <c r="AW3558" s="95">
        <v>60</v>
      </c>
      <c r="BC3558" s="96" t="s">
        <v>9726</v>
      </c>
      <c r="BD3558" s="99">
        <f t="shared" si="117"/>
        <v>1</v>
      </c>
      <c r="BP3558" s="69" t="s">
        <v>8541</v>
      </c>
      <c r="BQ3558" s="95" t="s">
        <v>8541</v>
      </c>
      <c r="BR3558" s="95" t="s">
        <v>8541</v>
      </c>
      <c r="CC3558" s="99">
        <v>1</v>
      </c>
      <c r="CD3558" s="90" t="s">
        <v>10113</v>
      </c>
      <c r="CV3558" s="99"/>
      <c r="CW3558" s="63"/>
    </row>
    <row r="3559" spans="1:101" x14ac:dyDescent="0.15">
      <c r="A3559" s="76">
        <v>3319</v>
      </c>
      <c r="B3559" s="74" t="s">
        <v>4315</v>
      </c>
      <c r="C3559" s="74">
        <v>1066863997</v>
      </c>
      <c r="D3559" s="78" t="str">
        <f t="shared" si="118"/>
        <v>https://portal.dnb.de/opac.htm?method=simpleSearch&amp;cqlMode=true&amp;query=idn%3D1066863997</v>
      </c>
      <c r="E3559" s="74" t="s">
        <v>4316</v>
      </c>
      <c r="F3559" s="74"/>
      <c r="G3559" s="76"/>
      <c r="H3559" s="77"/>
      <c r="I3559" s="76"/>
      <c r="J3559" s="77"/>
      <c r="K3559" s="77"/>
      <c r="L3559" s="76"/>
      <c r="M3559" s="76"/>
      <c r="N3559" s="76"/>
      <c r="O3559" s="76"/>
      <c r="P3559" s="76"/>
      <c r="Q3559" s="76"/>
      <c r="R3559" s="76"/>
      <c r="S3559" s="76"/>
      <c r="BD3559" s="99">
        <f t="shared" si="117"/>
        <v>0</v>
      </c>
      <c r="CC3559" s="99"/>
      <c r="CV3559" s="99"/>
      <c r="CW3559" s="63"/>
    </row>
    <row r="3560" spans="1:101" x14ac:dyDescent="0.15">
      <c r="A3560" s="76">
        <v>3320</v>
      </c>
      <c r="B3560" s="74" t="s">
        <v>4317</v>
      </c>
      <c r="C3560" s="74">
        <v>1066836809</v>
      </c>
      <c r="D3560" s="78" t="str">
        <f t="shared" si="118"/>
        <v>https://portal.dnb.de/opac.htm?method=simpleSearch&amp;cqlMode=true&amp;query=idn%3D1066836809</v>
      </c>
      <c r="E3560" s="74" t="s">
        <v>4318</v>
      </c>
      <c r="F3560" s="74"/>
      <c r="G3560" s="76"/>
      <c r="H3560" s="77"/>
      <c r="I3560" s="76" t="s">
        <v>53</v>
      </c>
      <c r="J3560" s="77"/>
      <c r="K3560" s="77"/>
      <c r="L3560" s="76"/>
      <c r="M3560" s="76"/>
      <c r="N3560" s="76"/>
      <c r="O3560" s="76"/>
      <c r="P3560" s="76"/>
      <c r="Q3560" s="76"/>
      <c r="R3560" s="76"/>
      <c r="S3560" s="76"/>
      <c r="Y3560" s="95" t="s">
        <v>9780</v>
      </c>
      <c r="AC3560" s="95" t="s">
        <v>9739</v>
      </c>
      <c r="AI3560" s="95" t="s">
        <v>9725</v>
      </c>
      <c r="AN3560" s="95" t="s">
        <v>8541</v>
      </c>
      <c r="AP3560" s="95" t="s">
        <v>8541</v>
      </c>
      <c r="AU3560" s="95">
        <v>0</v>
      </c>
      <c r="AV3560" s="95" t="s">
        <v>8541</v>
      </c>
      <c r="AW3560" s="95">
        <v>110</v>
      </c>
      <c r="BC3560" s="96" t="s">
        <v>9734</v>
      </c>
      <c r="BD3560" s="99">
        <f t="shared" si="117"/>
        <v>0</v>
      </c>
      <c r="CC3560" s="99"/>
      <c r="CV3560" s="99"/>
      <c r="CW3560" s="63"/>
    </row>
    <row r="3561" spans="1:101" x14ac:dyDescent="0.15">
      <c r="A3561" s="76">
        <v>3321</v>
      </c>
      <c r="B3561" s="74" t="s">
        <v>4319</v>
      </c>
      <c r="C3561" s="74">
        <v>1207423017</v>
      </c>
      <c r="D3561" s="78" t="str">
        <f t="shared" si="118"/>
        <v>https://portal.dnb.de/opac.htm?method=simpleSearch&amp;cqlMode=true&amp;query=idn%3D1207423017</v>
      </c>
      <c r="E3561" s="74" t="s">
        <v>4320</v>
      </c>
      <c r="F3561" s="74"/>
      <c r="G3561" s="76"/>
      <c r="H3561" s="77"/>
      <c r="I3561" s="76"/>
      <c r="J3561" s="77"/>
      <c r="K3561" s="77"/>
      <c r="L3561" s="76"/>
      <c r="M3561" s="76"/>
      <c r="N3561" s="76"/>
      <c r="O3561" s="76"/>
      <c r="P3561" s="76"/>
      <c r="Q3561" s="76"/>
      <c r="R3561" s="76"/>
      <c r="S3561" s="76"/>
      <c r="BD3561" s="99">
        <f t="shared" si="117"/>
        <v>0</v>
      </c>
      <c r="CC3561" s="99"/>
      <c r="CV3561" s="99"/>
      <c r="CW3561" s="63"/>
    </row>
    <row r="3562" spans="1:101" x14ac:dyDescent="0.15">
      <c r="A3562" s="76">
        <v>3322</v>
      </c>
      <c r="B3562" s="74" t="s">
        <v>4321</v>
      </c>
      <c r="C3562" s="74">
        <v>1066851867</v>
      </c>
      <c r="D3562" s="78" t="str">
        <f t="shared" si="118"/>
        <v>https://portal.dnb.de/opac.htm?method=simpleSearch&amp;cqlMode=true&amp;query=idn%3D1066851867</v>
      </c>
      <c r="E3562" s="74" t="s">
        <v>4322</v>
      </c>
      <c r="F3562" s="74"/>
      <c r="G3562" s="76"/>
      <c r="H3562" s="77"/>
      <c r="I3562" s="76" t="s">
        <v>53</v>
      </c>
      <c r="J3562" s="77"/>
      <c r="K3562" s="77"/>
      <c r="L3562" s="76"/>
      <c r="M3562" s="76"/>
      <c r="N3562" s="76"/>
      <c r="O3562" s="76"/>
      <c r="P3562" s="76"/>
      <c r="Q3562" s="76"/>
      <c r="R3562" s="76"/>
      <c r="S3562" s="76"/>
      <c r="Y3562" s="95" t="s">
        <v>9723</v>
      </c>
      <c r="AA3562" s="95" t="s">
        <v>8541</v>
      </c>
      <c r="AC3562" s="95" t="s">
        <v>9739</v>
      </c>
      <c r="AI3562" s="95" t="s">
        <v>9725</v>
      </c>
      <c r="AJ3562" s="95" t="s">
        <v>8541</v>
      </c>
      <c r="AW3562" s="95">
        <v>60</v>
      </c>
      <c r="BC3562" s="96" t="s">
        <v>9726</v>
      </c>
      <c r="BD3562" s="99">
        <f t="shared" si="117"/>
        <v>0.5</v>
      </c>
      <c r="BH3562" s="95" t="s">
        <v>8541</v>
      </c>
      <c r="BP3562" s="69" t="s">
        <v>8541</v>
      </c>
      <c r="BQ3562" s="95" t="s">
        <v>8541</v>
      </c>
      <c r="BT3562" s="95" t="s">
        <v>9772</v>
      </c>
      <c r="CC3562" s="99">
        <v>0.5</v>
      </c>
      <c r="CD3562" s="90" t="s">
        <v>10017</v>
      </c>
      <c r="CV3562" s="99"/>
      <c r="CW3562" s="63"/>
    </row>
    <row r="3563" spans="1:101" x14ac:dyDescent="0.15">
      <c r="A3563" s="76">
        <v>3323</v>
      </c>
      <c r="B3563" s="74" t="s">
        <v>4325</v>
      </c>
      <c r="C3563" s="74">
        <v>1066962871</v>
      </c>
      <c r="D3563" s="78" t="str">
        <f t="shared" si="118"/>
        <v>https://portal.dnb.de/opac.htm?method=simpleSearch&amp;cqlMode=true&amp;query=idn%3D1066962871</v>
      </c>
      <c r="E3563" s="74" t="s">
        <v>4326</v>
      </c>
      <c r="F3563" s="74"/>
      <c r="G3563" s="76"/>
      <c r="H3563" s="77"/>
      <c r="I3563" s="76"/>
      <c r="J3563" s="77"/>
      <c r="K3563" s="77"/>
      <c r="L3563" s="76"/>
      <c r="M3563" s="76"/>
      <c r="N3563" s="76"/>
      <c r="O3563" s="76"/>
      <c r="P3563" s="76"/>
      <c r="Q3563" s="76"/>
      <c r="R3563" s="76"/>
      <c r="S3563" s="76"/>
      <c r="BD3563" s="99">
        <f t="shared" si="117"/>
        <v>0</v>
      </c>
      <c r="CC3563" s="99"/>
      <c r="CV3563" s="99"/>
      <c r="CW3563" s="63"/>
    </row>
    <row r="3564" spans="1:101" x14ac:dyDescent="0.15">
      <c r="A3564" s="76">
        <v>3324</v>
      </c>
      <c r="B3564" s="74" t="s">
        <v>4329</v>
      </c>
      <c r="C3564" s="74">
        <v>1066963045</v>
      </c>
      <c r="D3564" s="78" t="str">
        <f t="shared" si="118"/>
        <v>https://portal.dnb.de/opac.htm?method=simpleSearch&amp;cqlMode=true&amp;query=idn%3D1066963045</v>
      </c>
      <c r="E3564" s="74" t="s">
        <v>4330</v>
      </c>
      <c r="F3564" s="74"/>
      <c r="G3564" s="76"/>
      <c r="H3564" s="77"/>
      <c r="I3564" s="76"/>
      <c r="J3564" s="77"/>
      <c r="K3564" s="77"/>
      <c r="L3564" s="76"/>
      <c r="M3564" s="76"/>
      <c r="N3564" s="76"/>
      <c r="O3564" s="76"/>
      <c r="P3564" s="76"/>
      <c r="Q3564" s="76"/>
      <c r="R3564" s="76"/>
      <c r="S3564" s="76"/>
      <c r="AY3564" s="95" t="s">
        <v>9708</v>
      </c>
      <c r="BD3564" s="99">
        <f t="shared" si="117"/>
        <v>0</v>
      </c>
      <c r="CC3564" s="99"/>
      <c r="CV3564" s="99"/>
      <c r="CW3564" s="63"/>
    </row>
    <row r="3565" spans="1:101" x14ac:dyDescent="0.15">
      <c r="A3565" s="76">
        <v>3325</v>
      </c>
      <c r="B3565" s="74" t="s">
        <v>4337</v>
      </c>
      <c r="C3565" s="74" t="s">
        <v>4338</v>
      </c>
      <c r="D3565" s="78" t="str">
        <f t="shared" si="118"/>
        <v>https://portal.dnb.de/opac.htm?method=simpleSearch&amp;cqlMode=true&amp;query=idn%3D113261614X</v>
      </c>
      <c r="E3565" s="74" t="s">
        <v>4339</v>
      </c>
      <c r="F3565" s="74"/>
      <c r="G3565" s="76"/>
      <c r="H3565" s="77"/>
      <c r="I3565" s="76"/>
      <c r="J3565" s="77"/>
      <c r="K3565" s="77"/>
      <c r="L3565" s="76"/>
      <c r="M3565" s="76"/>
      <c r="N3565" s="76"/>
      <c r="O3565" s="76"/>
      <c r="P3565" s="76"/>
      <c r="Q3565" s="76"/>
      <c r="R3565" s="76"/>
      <c r="S3565" s="76"/>
      <c r="BD3565" s="99">
        <f t="shared" si="117"/>
        <v>0</v>
      </c>
      <c r="CC3565" s="99"/>
      <c r="CV3565" s="99"/>
      <c r="CW3565" s="63"/>
    </row>
    <row r="3566" spans="1:101" x14ac:dyDescent="0.15">
      <c r="A3566" s="76">
        <v>3326</v>
      </c>
      <c r="B3566" s="74" t="s">
        <v>4327</v>
      </c>
      <c r="C3566" s="74">
        <v>1211360121</v>
      </c>
      <c r="D3566" s="78" t="str">
        <f t="shared" si="118"/>
        <v>https://portal.dnb.de/opac.htm?method=simpleSearch&amp;cqlMode=true&amp;query=idn%3D1211360121</v>
      </c>
      <c r="E3566" s="74" t="s">
        <v>4328</v>
      </c>
      <c r="F3566" s="74"/>
      <c r="G3566" s="76"/>
      <c r="H3566" s="77"/>
      <c r="I3566" s="76"/>
      <c r="J3566" s="77"/>
      <c r="K3566" s="77"/>
      <c r="L3566" s="76"/>
      <c r="M3566" s="76"/>
      <c r="N3566" s="76"/>
      <c r="O3566" s="76"/>
      <c r="P3566" s="76"/>
      <c r="Q3566" s="76"/>
      <c r="R3566" s="76"/>
      <c r="S3566" s="76"/>
      <c r="BD3566" s="99">
        <f t="shared" si="117"/>
        <v>0</v>
      </c>
      <c r="CC3566" s="99"/>
      <c r="CV3566" s="99"/>
      <c r="CW3566" s="63"/>
    </row>
    <row r="3567" spans="1:101" x14ac:dyDescent="0.15">
      <c r="A3567" s="76">
        <v>3327</v>
      </c>
      <c r="B3567" s="74" t="s">
        <v>4331</v>
      </c>
      <c r="C3567" s="74">
        <v>1002618703</v>
      </c>
      <c r="D3567" s="78" t="str">
        <f t="shared" si="118"/>
        <v>https://portal.dnb.de/opac.htm?method=simpleSearch&amp;cqlMode=true&amp;query=idn%3D1002618703</v>
      </c>
      <c r="E3567" s="74" t="s">
        <v>4332</v>
      </c>
      <c r="F3567" s="74"/>
      <c r="G3567" s="76"/>
      <c r="H3567" s="77"/>
      <c r="I3567" s="76"/>
      <c r="J3567" s="77"/>
      <c r="K3567" s="77"/>
      <c r="L3567" s="76"/>
      <c r="M3567" s="76"/>
      <c r="N3567" s="76"/>
      <c r="O3567" s="76"/>
      <c r="P3567" s="76"/>
      <c r="Q3567" s="76"/>
      <c r="R3567" s="76"/>
      <c r="S3567" s="76"/>
      <c r="BD3567" s="99">
        <f t="shared" si="117"/>
        <v>0</v>
      </c>
      <c r="CC3567" s="99"/>
      <c r="CV3567" s="99"/>
      <c r="CW3567" s="63"/>
    </row>
    <row r="3568" spans="1:101" x14ac:dyDescent="0.15">
      <c r="A3568" s="76">
        <v>3328</v>
      </c>
      <c r="B3568" s="74" t="s">
        <v>4333</v>
      </c>
      <c r="C3568" s="74" t="s">
        <v>4334</v>
      </c>
      <c r="D3568" s="78" t="str">
        <f t="shared" si="118"/>
        <v>https://portal.dnb.de/opac.htm?method=simpleSearch&amp;cqlMode=true&amp;query=idn%3D99455737X</v>
      </c>
      <c r="E3568" s="74" t="s">
        <v>4335</v>
      </c>
      <c r="F3568" s="74"/>
      <c r="G3568" s="76"/>
      <c r="H3568" s="77"/>
      <c r="I3568" s="76"/>
      <c r="J3568" s="77"/>
      <c r="K3568" s="77"/>
      <c r="L3568" s="76"/>
      <c r="M3568" s="76"/>
      <c r="N3568" s="76"/>
      <c r="O3568" s="76"/>
      <c r="P3568" s="76"/>
      <c r="Q3568" s="76"/>
      <c r="R3568" s="76"/>
      <c r="S3568" s="76"/>
      <c r="BD3568" s="99">
        <f t="shared" si="117"/>
        <v>0</v>
      </c>
      <c r="CC3568" s="99"/>
      <c r="CV3568" s="99"/>
      <c r="CW3568" s="63"/>
    </row>
    <row r="3569" spans="1:101" x14ac:dyDescent="0.15">
      <c r="A3569" s="76">
        <v>3329</v>
      </c>
      <c r="B3569" s="74" t="s">
        <v>4336</v>
      </c>
      <c r="C3569" s="74">
        <v>994556985</v>
      </c>
      <c r="D3569" s="78" t="str">
        <f t="shared" si="118"/>
        <v>https://portal.dnb.de/opac.htm?method=simpleSearch&amp;cqlMode=true&amp;query=idn%3D994556985</v>
      </c>
      <c r="E3569" s="74" t="s">
        <v>4335</v>
      </c>
      <c r="F3569" s="74"/>
      <c r="G3569" s="76"/>
      <c r="H3569" s="77"/>
      <c r="I3569" s="76"/>
      <c r="J3569" s="77"/>
      <c r="K3569" s="77"/>
      <c r="L3569" s="76"/>
      <c r="M3569" s="76"/>
      <c r="N3569" s="76"/>
      <c r="O3569" s="76"/>
      <c r="P3569" s="76"/>
      <c r="Q3569" s="76"/>
      <c r="R3569" s="76"/>
      <c r="S3569" s="76"/>
      <c r="BD3569" s="99">
        <f t="shared" si="117"/>
        <v>0</v>
      </c>
      <c r="CC3569" s="99"/>
      <c r="CV3569" s="99"/>
      <c r="CW3569" s="63"/>
    </row>
    <row r="3570" spans="1:101" x14ac:dyDescent="0.15">
      <c r="A3570" s="76">
        <v>3330</v>
      </c>
      <c r="B3570" s="74" t="s">
        <v>4340</v>
      </c>
      <c r="C3570" s="74">
        <v>1132634679</v>
      </c>
      <c r="D3570" s="78" t="str">
        <f t="shared" si="118"/>
        <v>https://portal.dnb.de/opac.htm?method=simpleSearch&amp;cqlMode=true&amp;query=idn%3D1132634679</v>
      </c>
      <c r="E3570" s="74" t="s">
        <v>4341</v>
      </c>
      <c r="F3570" s="74"/>
      <c r="G3570" s="76"/>
      <c r="H3570" s="77"/>
      <c r="I3570" s="76"/>
      <c r="J3570" s="77"/>
      <c r="K3570" s="77"/>
      <c r="L3570" s="76"/>
      <c r="M3570" s="76"/>
      <c r="N3570" s="76"/>
      <c r="O3570" s="76"/>
      <c r="P3570" s="76"/>
      <c r="Q3570" s="76"/>
      <c r="R3570" s="76"/>
      <c r="S3570" s="76"/>
      <c r="BD3570" s="99">
        <f t="shared" si="117"/>
        <v>0</v>
      </c>
      <c r="CC3570" s="99"/>
      <c r="CV3570" s="99"/>
      <c r="CW3570" s="63"/>
    </row>
    <row r="3571" spans="1:101" x14ac:dyDescent="0.15">
      <c r="A3571" s="76">
        <v>3331</v>
      </c>
      <c r="B3571" s="74" t="s">
        <v>4342</v>
      </c>
      <c r="C3571" s="74">
        <v>1132634091</v>
      </c>
      <c r="D3571" s="78" t="str">
        <f t="shared" si="118"/>
        <v>https://portal.dnb.de/opac.htm?method=simpleSearch&amp;cqlMode=true&amp;query=idn%3D1132634091</v>
      </c>
      <c r="E3571" s="74" t="s">
        <v>4343</v>
      </c>
      <c r="F3571" s="74"/>
      <c r="G3571" s="76"/>
      <c r="H3571" s="77"/>
      <c r="I3571" s="76"/>
      <c r="J3571" s="77"/>
      <c r="K3571" s="77"/>
      <c r="L3571" s="76"/>
      <c r="M3571" s="76"/>
      <c r="N3571" s="76"/>
      <c r="O3571" s="76"/>
      <c r="P3571" s="76"/>
      <c r="Q3571" s="76"/>
      <c r="R3571" s="76"/>
      <c r="S3571" s="76"/>
      <c r="BD3571" s="99">
        <f t="shared" si="117"/>
        <v>0</v>
      </c>
      <c r="CC3571" s="99"/>
      <c r="CV3571" s="99"/>
      <c r="CW3571" s="63"/>
    </row>
    <row r="3572" spans="1:101" x14ac:dyDescent="0.15">
      <c r="A3572" s="76">
        <v>3332</v>
      </c>
      <c r="B3572" s="74" t="s">
        <v>4344</v>
      </c>
      <c r="C3572" s="74">
        <v>1207552941</v>
      </c>
      <c r="D3572" s="78" t="str">
        <f t="shared" si="118"/>
        <v>https://portal.dnb.de/opac.htm?method=simpleSearch&amp;cqlMode=true&amp;query=idn%3D1207552941</v>
      </c>
      <c r="E3572" s="74" t="s">
        <v>4345</v>
      </c>
      <c r="F3572" s="74"/>
      <c r="G3572" s="76"/>
      <c r="H3572" s="77"/>
      <c r="I3572" s="76"/>
      <c r="J3572" s="77"/>
      <c r="K3572" s="77"/>
      <c r="L3572" s="76"/>
      <c r="M3572" s="76"/>
      <c r="N3572" s="76"/>
      <c r="O3572" s="76"/>
      <c r="P3572" s="76"/>
      <c r="Q3572" s="76"/>
      <c r="R3572" s="76"/>
      <c r="S3572" s="76"/>
      <c r="BD3572" s="99">
        <f t="shared" si="117"/>
        <v>0</v>
      </c>
      <c r="CC3572" s="99"/>
      <c r="CV3572" s="99"/>
      <c r="CW3572" s="63"/>
    </row>
    <row r="3573" spans="1:101" x14ac:dyDescent="0.15">
      <c r="A3573" s="76">
        <v>3333</v>
      </c>
      <c r="B3573" s="74" t="s">
        <v>4346</v>
      </c>
      <c r="C3573" s="74">
        <v>1066938377</v>
      </c>
      <c r="D3573" s="78" t="str">
        <f t="shared" si="118"/>
        <v>https://portal.dnb.de/opac.htm?method=simpleSearch&amp;cqlMode=true&amp;query=idn%3D1066938377</v>
      </c>
      <c r="E3573" s="74" t="s">
        <v>4347</v>
      </c>
      <c r="F3573" s="74"/>
      <c r="G3573" s="76"/>
      <c r="H3573" s="77"/>
      <c r="I3573" s="76"/>
      <c r="J3573" s="77"/>
      <c r="K3573" s="77"/>
      <c r="L3573" s="76"/>
      <c r="M3573" s="76"/>
      <c r="N3573" s="76"/>
      <c r="O3573" s="76"/>
      <c r="P3573" s="76"/>
      <c r="Q3573" s="76"/>
      <c r="R3573" s="76"/>
      <c r="S3573" s="76"/>
      <c r="BD3573" s="99">
        <f t="shared" si="117"/>
        <v>0</v>
      </c>
      <c r="CC3573" s="99"/>
      <c r="CV3573" s="99"/>
      <c r="CW3573" s="63"/>
    </row>
    <row r="3574" spans="1:101" x14ac:dyDescent="0.15">
      <c r="A3574" s="76">
        <v>3334</v>
      </c>
      <c r="B3574" s="74" t="s">
        <v>4348</v>
      </c>
      <c r="C3574" s="74">
        <v>1066937702</v>
      </c>
      <c r="D3574" s="78" t="str">
        <f t="shared" si="118"/>
        <v>https://portal.dnb.de/opac.htm?method=simpleSearch&amp;cqlMode=true&amp;query=idn%3D1066937702</v>
      </c>
      <c r="E3574" s="74" t="s">
        <v>4349</v>
      </c>
      <c r="F3574" s="74"/>
      <c r="G3574" s="76"/>
      <c r="H3574" s="77"/>
      <c r="I3574" s="76"/>
      <c r="J3574" s="77"/>
      <c r="K3574" s="77"/>
      <c r="L3574" s="76"/>
      <c r="M3574" s="76"/>
      <c r="N3574" s="76"/>
      <c r="O3574" s="76"/>
      <c r="P3574" s="76"/>
      <c r="Q3574" s="76"/>
      <c r="R3574" s="76"/>
      <c r="S3574" s="76"/>
      <c r="BD3574" s="99">
        <f t="shared" si="117"/>
        <v>0</v>
      </c>
      <c r="CC3574" s="99"/>
      <c r="CV3574" s="99"/>
      <c r="CW3574" s="63"/>
    </row>
    <row r="3575" spans="1:101" ht="225" x14ac:dyDescent="0.15">
      <c r="A3575" s="76">
        <v>3335</v>
      </c>
      <c r="B3575" s="74" t="s">
        <v>4438</v>
      </c>
      <c r="C3575" s="74">
        <v>1066852731</v>
      </c>
      <c r="D3575" s="78" t="str">
        <f t="shared" si="118"/>
        <v>https://portal.dnb.de/opac.htm?method=simpleSearch&amp;cqlMode=true&amp;query=idn%3D1066852731</v>
      </c>
      <c r="E3575" s="74" t="s">
        <v>4439</v>
      </c>
      <c r="F3575" s="74"/>
      <c r="G3575" s="76"/>
      <c r="H3575" s="77"/>
      <c r="I3575" s="76" t="s">
        <v>53</v>
      </c>
      <c r="J3575" s="77"/>
      <c r="K3575" s="77"/>
      <c r="L3575" s="76"/>
      <c r="M3575" s="76"/>
      <c r="N3575" s="76"/>
      <c r="O3575" s="76"/>
      <c r="P3575" s="76"/>
      <c r="Q3575" s="76"/>
      <c r="R3575" s="76"/>
      <c r="S3575" s="76"/>
      <c r="Y3575" s="95" t="s">
        <v>9736</v>
      </c>
      <c r="AC3575" s="95" t="s">
        <v>9737</v>
      </c>
      <c r="AI3575" s="95" t="s">
        <v>9725</v>
      </c>
      <c r="AW3575" s="95">
        <v>110</v>
      </c>
      <c r="BC3575" s="96" t="s">
        <v>9726</v>
      </c>
      <c r="BD3575" s="99">
        <f t="shared" si="117"/>
        <v>16.5</v>
      </c>
      <c r="BF3575" s="95" t="s">
        <v>10005</v>
      </c>
      <c r="BP3575" s="69" t="s">
        <v>8541</v>
      </c>
      <c r="BR3575" s="95" t="s">
        <v>8541</v>
      </c>
      <c r="CB3575" s="95" t="s">
        <v>9882</v>
      </c>
      <c r="CC3575" s="99">
        <v>5.5</v>
      </c>
      <c r="CD3575" s="90" t="s">
        <v>10114</v>
      </c>
      <c r="CE3575" s="95" t="s">
        <v>8541</v>
      </c>
      <c r="CJ3575" s="95" t="s">
        <v>8541</v>
      </c>
      <c r="CL3575" s="95" t="s">
        <v>8541</v>
      </c>
      <c r="CN3575" s="95" t="s">
        <v>8541</v>
      </c>
      <c r="CV3575" s="99">
        <v>11</v>
      </c>
      <c r="CW3575" s="90" t="s">
        <v>10115</v>
      </c>
    </row>
    <row r="3576" spans="1:101" ht="45" x14ac:dyDescent="0.15">
      <c r="A3576" s="76">
        <v>3336</v>
      </c>
      <c r="B3576" s="74" t="s">
        <v>4440</v>
      </c>
      <c r="C3576" s="74">
        <v>1066778302</v>
      </c>
      <c r="D3576" s="78" t="str">
        <f t="shared" si="118"/>
        <v>https://portal.dnb.de/opac.htm?method=simpleSearch&amp;cqlMode=true&amp;query=idn%3D1066778302</v>
      </c>
      <c r="E3576" s="74" t="s">
        <v>4441</v>
      </c>
      <c r="F3576" s="74"/>
      <c r="G3576" s="76"/>
      <c r="H3576" s="77"/>
      <c r="I3576" s="76" t="s">
        <v>53</v>
      </c>
      <c r="J3576" s="77"/>
      <c r="K3576" s="77"/>
      <c r="L3576" s="76"/>
      <c r="M3576" s="76"/>
      <c r="N3576" s="76"/>
      <c r="O3576" s="76"/>
      <c r="P3576" s="76"/>
      <c r="Q3576" s="76"/>
      <c r="R3576" s="76"/>
      <c r="S3576" s="76"/>
      <c r="Y3576" s="95" t="s">
        <v>9723</v>
      </c>
      <c r="AA3576" s="95" t="s">
        <v>8541</v>
      </c>
      <c r="AC3576" s="95" t="s">
        <v>9724</v>
      </c>
      <c r="AI3576" s="95" t="s">
        <v>9725</v>
      </c>
      <c r="AW3576" s="95" t="s">
        <v>9733</v>
      </c>
      <c r="BC3576" s="96" t="s">
        <v>9726</v>
      </c>
      <c r="BD3576" s="99">
        <f t="shared" si="117"/>
        <v>0.5</v>
      </c>
      <c r="BH3576" s="95" t="s">
        <v>8541</v>
      </c>
      <c r="BO3576" s="70" t="s">
        <v>10116</v>
      </c>
      <c r="BP3576" s="69" t="s">
        <v>8541</v>
      </c>
      <c r="BQ3576" s="95" t="s">
        <v>8541</v>
      </c>
      <c r="BR3576" s="95" t="s">
        <v>8541</v>
      </c>
      <c r="BT3576" s="95" t="s">
        <v>9772</v>
      </c>
      <c r="BU3576" s="95">
        <v>6</v>
      </c>
      <c r="CA3576" s="95" t="s">
        <v>8541</v>
      </c>
      <c r="CC3576" s="99">
        <v>0.5</v>
      </c>
      <c r="CD3576" s="90" t="s">
        <v>10117</v>
      </c>
      <c r="CV3576" s="99"/>
      <c r="CW3576" s="63"/>
    </row>
    <row r="3577" spans="1:101" x14ac:dyDescent="0.15">
      <c r="A3577" s="76">
        <v>3337</v>
      </c>
      <c r="B3577" s="74" t="s">
        <v>4711</v>
      </c>
      <c r="C3577" s="74">
        <v>995725292</v>
      </c>
      <c r="D3577" s="78" t="str">
        <f t="shared" si="118"/>
        <v>https://portal.dnb.de/opac.htm?method=simpleSearch&amp;cqlMode=true&amp;query=idn%3D995725292</v>
      </c>
      <c r="E3577" s="74" t="s">
        <v>4712</v>
      </c>
      <c r="F3577" s="74"/>
      <c r="G3577" s="76"/>
      <c r="H3577" s="77"/>
      <c r="I3577" s="76"/>
      <c r="J3577" s="77"/>
      <c r="K3577" s="77"/>
      <c r="L3577" s="76"/>
      <c r="M3577" s="76"/>
      <c r="N3577" s="76"/>
      <c r="O3577" s="76"/>
      <c r="P3577" s="76"/>
      <c r="Q3577" s="76"/>
      <c r="R3577" s="76"/>
      <c r="S3577" s="76"/>
      <c r="BD3577" s="99">
        <f t="shared" si="117"/>
        <v>0</v>
      </c>
      <c r="CC3577" s="99"/>
      <c r="CV3577" s="99"/>
      <c r="CW3577" s="63"/>
    </row>
    <row r="3578" spans="1:101" x14ac:dyDescent="0.15">
      <c r="A3578" s="76">
        <v>3338</v>
      </c>
      <c r="B3578" s="74" t="s">
        <v>4734</v>
      </c>
      <c r="C3578" s="74">
        <v>994215991</v>
      </c>
      <c r="D3578" s="78" t="str">
        <f t="shared" si="118"/>
        <v>https://portal.dnb.de/opac.htm?method=simpleSearch&amp;cqlMode=true&amp;query=idn%3D994215991</v>
      </c>
      <c r="E3578" s="74" t="s">
        <v>4735</v>
      </c>
      <c r="F3578" s="74"/>
      <c r="G3578" s="76"/>
      <c r="H3578" s="77"/>
      <c r="I3578" s="76"/>
      <c r="J3578" s="77"/>
      <c r="K3578" s="77"/>
      <c r="L3578" s="76"/>
      <c r="M3578" s="76"/>
      <c r="N3578" s="76"/>
      <c r="O3578" s="76"/>
      <c r="P3578" s="76"/>
      <c r="Q3578" s="76"/>
      <c r="R3578" s="76"/>
      <c r="S3578" s="76"/>
      <c r="BD3578" s="99">
        <f t="shared" si="117"/>
        <v>0</v>
      </c>
      <c r="CC3578" s="99"/>
      <c r="CV3578" s="99"/>
      <c r="CW3578" s="63"/>
    </row>
    <row r="3579" spans="1:101" ht="22.5" x14ac:dyDescent="0.15">
      <c r="A3579" s="76">
        <v>3339</v>
      </c>
      <c r="B3579" s="74" t="s">
        <v>4442</v>
      </c>
      <c r="C3579" s="74">
        <v>1066960208</v>
      </c>
      <c r="D3579" s="78" t="str">
        <f t="shared" si="118"/>
        <v>https://portal.dnb.de/opac.htm?method=simpleSearch&amp;cqlMode=true&amp;query=idn%3D1066960208</v>
      </c>
      <c r="E3579" s="74" t="s">
        <v>4443</v>
      </c>
      <c r="F3579" s="74"/>
      <c r="G3579" s="76"/>
      <c r="H3579" s="77"/>
      <c r="I3579" s="76" t="s">
        <v>54</v>
      </c>
      <c r="J3579" s="77"/>
      <c r="K3579" s="77"/>
      <c r="L3579" s="76"/>
      <c r="M3579" s="76"/>
      <c r="N3579" s="76"/>
      <c r="O3579" s="76"/>
      <c r="P3579" s="76"/>
      <c r="Q3579" s="76"/>
      <c r="R3579" s="76"/>
      <c r="S3579" s="76"/>
      <c r="Y3579" s="95" t="s">
        <v>9763</v>
      </c>
      <c r="AA3579" s="95" t="s">
        <v>8541</v>
      </c>
      <c r="AC3579" s="95" t="s">
        <v>9724</v>
      </c>
      <c r="AI3579" s="95" t="s">
        <v>9725</v>
      </c>
      <c r="AW3579" s="95">
        <v>60</v>
      </c>
      <c r="BC3579" s="96" t="s">
        <v>9726</v>
      </c>
      <c r="BD3579" s="99">
        <f t="shared" si="117"/>
        <v>2</v>
      </c>
      <c r="BH3579" s="95" t="s">
        <v>8541</v>
      </c>
      <c r="BP3579" s="69" t="s">
        <v>8541</v>
      </c>
      <c r="BQ3579" s="95" t="s">
        <v>8541</v>
      </c>
      <c r="BR3579" s="95" t="s">
        <v>8541</v>
      </c>
      <c r="BT3579" s="95" t="s">
        <v>9772</v>
      </c>
      <c r="CC3579" s="99">
        <v>2</v>
      </c>
      <c r="CD3579" s="90" t="s">
        <v>10118</v>
      </c>
      <c r="CV3579" s="99"/>
      <c r="CW3579" s="63"/>
    </row>
    <row r="3580" spans="1:101" x14ac:dyDescent="0.15">
      <c r="A3580" s="76">
        <v>3340</v>
      </c>
      <c r="B3580" s="74" t="s">
        <v>4544</v>
      </c>
      <c r="C3580" s="74">
        <v>1066962146</v>
      </c>
      <c r="D3580" s="78" t="str">
        <f t="shared" si="118"/>
        <v>https://portal.dnb.de/opac.htm?method=simpleSearch&amp;cqlMode=true&amp;query=idn%3D1066962146</v>
      </c>
      <c r="E3580" s="74" t="s">
        <v>4545</v>
      </c>
      <c r="F3580" s="74"/>
      <c r="G3580" s="76"/>
      <c r="H3580" s="77"/>
      <c r="I3580" s="76" t="s">
        <v>54</v>
      </c>
      <c r="J3580" s="77"/>
      <c r="K3580" s="77"/>
      <c r="L3580" s="76"/>
      <c r="M3580" s="76"/>
      <c r="N3580" s="76"/>
      <c r="O3580" s="76"/>
      <c r="P3580" s="76"/>
      <c r="Q3580" s="76"/>
      <c r="R3580" s="76"/>
      <c r="S3580" s="76"/>
      <c r="Y3580" s="95" t="s">
        <v>9723</v>
      </c>
      <c r="AA3580" s="95" t="s">
        <v>8541</v>
      </c>
      <c r="AC3580" s="95" t="s">
        <v>9737</v>
      </c>
      <c r="AI3580" s="95" t="s">
        <v>9725</v>
      </c>
      <c r="AW3580" s="95">
        <v>45</v>
      </c>
      <c r="BC3580" s="96" t="s">
        <v>9726</v>
      </c>
      <c r="BD3580" s="99">
        <f t="shared" si="117"/>
        <v>1.5</v>
      </c>
      <c r="BH3580" s="95" t="s">
        <v>8541</v>
      </c>
      <c r="BL3580" s="70" t="s">
        <v>10531</v>
      </c>
      <c r="BP3580" s="69" t="s">
        <v>8541</v>
      </c>
      <c r="BQ3580" s="95" t="s">
        <v>8541</v>
      </c>
      <c r="BR3580" s="95" t="s">
        <v>8541</v>
      </c>
      <c r="CC3580" s="99">
        <v>1.5</v>
      </c>
      <c r="CV3580" s="99"/>
      <c r="CW3580" s="63"/>
    </row>
    <row r="3581" spans="1:101" x14ac:dyDescent="0.15">
      <c r="A3581" s="76">
        <v>3341</v>
      </c>
      <c r="B3581" s="74" t="s">
        <v>4591</v>
      </c>
      <c r="C3581" s="74">
        <v>1066963843</v>
      </c>
      <c r="D3581" s="78" t="str">
        <f t="shared" si="118"/>
        <v>https://portal.dnb.de/opac.htm?method=simpleSearch&amp;cqlMode=true&amp;query=idn%3D1066963843</v>
      </c>
      <c r="E3581" s="74" t="s">
        <v>4592</v>
      </c>
      <c r="F3581" s="74"/>
      <c r="G3581" s="76"/>
      <c r="H3581" s="77"/>
      <c r="I3581" s="76"/>
      <c r="J3581" s="77"/>
      <c r="K3581" s="77"/>
      <c r="L3581" s="76"/>
      <c r="M3581" s="76"/>
      <c r="N3581" s="76"/>
      <c r="O3581" s="76"/>
      <c r="P3581" s="76"/>
      <c r="Q3581" s="76"/>
      <c r="R3581" s="76"/>
      <c r="S3581" s="76"/>
      <c r="BD3581" s="99">
        <f t="shared" si="117"/>
        <v>0</v>
      </c>
      <c r="CC3581" s="99"/>
      <c r="CV3581" s="99"/>
      <c r="CW3581" s="63"/>
    </row>
    <row r="3582" spans="1:101" x14ac:dyDescent="0.15">
      <c r="A3582" s="76">
        <v>3342</v>
      </c>
      <c r="B3582" s="74" t="s">
        <v>4634</v>
      </c>
      <c r="C3582" s="74" t="s">
        <v>4635</v>
      </c>
      <c r="D3582" s="78" t="str">
        <f t="shared" si="118"/>
        <v>https://portal.dnb.de/opac.htm?method=simpleSearch&amp;cqlMode=true&amp;query=idn%3D106684951X</v>
      </c>
      <c r="E3582" s="74" t="s">
        <v>4636</v>
      </c>
      <c r="F3582" s="74"/>
      <c r="G3582" s="76"/>
      <c r="H3582" s="77"/>
      <c r="I3582" s="76"/>
      <c r="J3582" s="77"/>
      <c r="K3582" s="77"/>
      <c r="L3582" s="76"/>
      <c r="M3582" s="76"/>
      <c r="N3582" s="76"/>
      <c r="O3582" s="76"/>
      <c r="P3582" s="76"/>
      <c r="Q3582" s="76"/>
      <c r="R3582" s="76"/>
      <c r="S3582" s="76"/>
      <c r="BD3582" s="99">
        <f t="shared" si="117"/>
        <v>0</v>
      </c>
      <c r="CC3582" s="99"/>
      <c r="CV3582" s="99"/>
      <c r="CW3582" s="63"/>
    </row>
    <row r="3583" spans="1:101" x14ac:dyDescent="0.15">
      <c r="A3583" s="76">
        <v>3343</v>
      </c>
      <c r="B3583" s="74" t="s">
        <v>4676</v>
      </c>
      <c r="C3583" s="74">
        <v>994198582</v>
      </c>
      <c r="D3583" s="78" t="str">
        <f t="shared" si="118"/>
        <v>https://portal.dnb.de/opac.htm?method=simpleSearch&amp;cqlMode=true&amp;query=idn%3D994198582</v>
      </c>
      <c r="E3583" s="74" t="s">
        <v>4677</v>
      </c>
      <c r="F3583" s="74"/>
      <c r="G3583" s="76"/>
      <c r="H3583" s="77"/>
      <c r="I3583" s="76"/>
      <c r="J3583" s="77"/>
      <c r="K3583" s="77"/>
      <c r="L3583" s="76"/>
      <c r="M3583" s="76"/>
      <c r="N3583" s="76"/>
      <c r="O3583" s="76"/>
      <c r="P3583" s="76"/>
      <c r="Q3583" s="76"/>
      <c r="R3583" s="76"/>
      <c r="S3583" s="76"/>
      <c r="BD3583" s="99">
        <f t="shared" si="117"/>
        <v>0</v>
      </c>
      <c r="CC3583" s="99"/>
      <c r="CV3583" s="99"/>
      <c r="CW3583" s="63"/>
    </row>
    <row r="3584" spans="1:101" ht="33.75" x14ac:dyDescent="0.15">
      <c r="A3584" s="76">
        <v>3344</v>
      </c>
      <c r="B3584" s="74" t="s">
        <v>4704</v>
      </c>
      <c r="C3584" s="74">
        <v>1066769044</v>
      </c>
      <c r="D3584" s="78" t="str">
        <f t="shared" si="118"/>
        <v>https://portal.dnb.de/opac.htm?method=simpleSearch&amp;cqlMode=true&amp;query=idn%3D1066769044</v>
      </c>
      <c r="E3584" s="74" t="s">
        <v>4705</v>
      </c>
      <c r="F3584" s="74"/>
      <c r="G3584" s="76"/>
      <c r="H3584" s="77"/>
      <c r="I3584" s="76" t="s">
        <v>54</v>
      </c>
      <c r="J3584" s="77"/>
      <c r="K3584" s="77"/>
      <c r="L3584" s="76"/>
      <c r="M3584" s="76"/>
      <c r="N3584" s="76"/>
      <c r="O3584" s="76"/>
      <c r="P3584" s="76"/>
      <c r="Q3584" s="76"/>
      <c r="R3584" s="76"/>
      <c r="S3584" s="76"/>
      <c r="Y3584" s="95" t="s">
        <v>9729</v>
      </c>
      <c r="AA3584" s="95" t="s">
        <v>8541</v>
      </c>
      <c r="AC3584" s="95" t="s">
        <v>9724</v>
      </c>
      <c r="AI3584" s="95" t="s">
        <v>9725</v>
      </c>
      <c r="AW3584" s="95">
        <v>110</v>
      </c>
      <c r="BC3584" s="96" t="s">
        <v>9726</v>
      </c>
      <c r="BD3584" s="99">
        <f t="shared" si="117"/>
        <v>1.5</v>
      </c>
      <c r="BH3584" s="95" t="s">
        <v>8541</v>
      </c>
      <c r="BP3584" s="69" t="s">
        <v>8541</v>
      </c>
      <c r="BQ3584" s="95" t="s">
        <v>8541</v>
      </c>
      <c r="BR3584" s="95" t="s">
        <v>8541</v>
      </c>
      <c r="BT3584" s="95" t="s">
        <v>9772</v>
      </c>
      <c r="CC3584" s="99">
        <v>1</v>
      </c>
      <c r="CD3584" s="90" t="s">
        <v>10167</v>
      </c>
      <c r="CJ3584" s="95" t="s">
        <v>8541</v>
      </c>
      <c r="CV3584" s="99">
        <v>0.5</v>
      </c>
      <c r="CW3584" s="63"/>
    </row>
    <row r="3585" spans="1:101" ht="67.5" x14ac:dyDescent="0.15">
      <c r="A3585" s="76">
        <v>3345</v>
      </c>
      <c r="B3585" s="74" t="s">
        <v>4709</v>
      </c>
      <c r="C3585" s="74">
        <v>1066800057</v>
      </c>
      <c r="D3585" s="78" t="str">
        <f t="shared" si="118"/>
        <v>https://portal.dnb.de/opac.htm?method=simpleSearch&amp;cqlMode=true&amp;query=idn%3D1066800057</v>
      </c>
      <c r="E3585" s="74" t="s">
        <v>4710</v>
      </c>
      <c r="F3585" s="74"/>
      <c r="G3585" s="76"/>
      <c r="H3585" s="77"/>
      <c r="I3585" s="76" t="s">
        <v>53</v>
      </c>
      <c r="J3585" s="77"/>
      <c r="K3585" s="77"/>
      <c r="L3585" s="76"/>
      <c r="M3585" s="76"/>
      <c r="N3585" s="76"/>
      <c r="O3585" s="76"/>
      <c r="P3585" s="76"/>
      <c r="Q3585" s="76"/>
      <c r="R3585" s="76"/>
      <c r="S3585" s="76"/>
      <c r="Y3585" s="95" t="s">
        <v>9723</v>
      </c>
      <c r="AA3585" s="95" t="s">
        <v>8541</v>
      </c>
      <c r="AC3585" s="95" t="s">
        <v>9724</v>
      </c>
      <c r="AI3585" s="95" t="s">
        <v>9725</v>
      </c>
      <c r="AP3585" s="95" t="s">
        <v>8541</v>
      </c>
      <c r="AQ3585" s="96" t="s">
        <v>10168</v>
      </c>
      <c r="AW3585" s="95">
        <v>45</v>
      </c>
      <c r="BC3585" s="96" t="s">
        <v>9726</v>
      </c>
      <c r="BD3585" s="99">
        <f t="shared" si="117"/>
        <v>10.5</v>
      </c>
      <c r="BH3585" s="95" t="s">
        <v>8541</v>
      </c>
      <c r="BP3585" s="69" t="s">
        <v>8541</v>
      </c>
      <c r="BQ3585" s="95" t="s">
        <v>8541</v>
      </c>
      <c r="BR3585" s="95" t="s">
        <v>8541</v>
      </c>
      <c r="BT3585" s="95" t="s">
        <v>9772</v>
      </c>
      <c r="BU3585" s="141">
        <v>3</v>
      </c>
      <c r="CA3585" s="95" t="s">
        <v>9911</v>
      </c>
      <c r="CC3585" s="99">
        <v>10</v>
      </c>
      <c r="CD3585" s="90" t="s">
        <v>10169</v>
      </c>
      <c r="CJ3585" s="95" t="s">
        <v>8541</v>
      </c>
      <c r="CV3585" s="99">
        <v>0.5</v>
      </c>
      <c r="CW3585" s="63"/>
    </row>
    <row r="3586" spans="1:101" x14ac:dyDescent="0.15">
      <c r="A3586" s="76">
        <v>3346</v>
      </c>
      <c r="B3586" s="74" t="s">
        <v>4731</v>
      </c>
      <c r="C3586" s="74" t="s">
        <v>4732</v>
      </c>
      <c r="D3586" s="78" t="str">
        <f t="shared" si="118"/>
        <v>https://portal.dnb.de/opac.htm?method=simpleSearch&amp;cqlMode=true&amp;query=idn%3D106693794X</v>
      </c>
      <c r="E3586" s="74" t="s">
        <v>4733</v>
      </c>
      <c r="F3586" s="74"/>
      <c r="G3586" s="76"/>
      <c r="H3586" s="77"/>
      <c r="I3586" s="76"/>
      <c r="J3586" s="77"/>
      <c r="K3586" s="77"/>
      <c r="L3586" s="76"/>
      <c r="M3586" s="76"/>
      <c r="N3586" s="76"/>
      <c r="O3586" s="76"/>
      <c r="P3586" s="76"/>
      <c r="Q3586" s="76"/>
      <c r="R3586" s="76"/>
      <c r="S3586" s="76"/>
      <c r="BD3586" s="99">
        <f t="shared" si="117"/>
        <v>0</v>
      </c>
      <c r="CC3586" s="99"/>
      <c r="CV3586" s="99"/>
      <c r="CW3586" s="63"/>
    </row>
    <row r="3587" spans="1:101" x14ac:dyDescent="0.15">
      <c r="A3587" s="76">
        <v>3347</v>
      </c>
      <c r="B3587" s="74" t="s">
        <v>4749</v>
      </c>
      <c r="C3587" s="74">
        <v>1066937958</v>
      </c>
      <c r="D3587" s="78" t="str">
        <f t="shared" si="118"/>
        <v>https://portal.dnb.de/opac.htm?method=simpleSearch&amp;cqlMode=true&amp;query=idn%3D1066937958</v>
      </c>
      <c r="E3587" s="74" t="s">
        <v>4750</v>
      </c>
      <c r="F3587" s="74"/>
      <c r="G3587" s="76"/>
      <c r="H3587" s="77"/>
      <c r="I3587" s="76"/>
      <c r="J3587" s="77"/>
      <c r="K3587" s="77"/>
      <c r="L3587" s="76"/>
      <c r="M3587" s="76"/>
      <c r="N3587" s="76"/>
      <c r="O3587" s="76"/>
      <c r="P3587" s="76"/>
      <c r="Q3587" s="76"/>
      <c r="R3587" s="76"/>
      <c r="S3587" s="76"/>
      <c r="BD3587" s="99">
        <f t="shared" ref="BD3587:BD3650" si="119">CC3587+CV3587</f>
        <v>0</v>
      </c>
      <c r="CC3587" s="99"/>
      <c r="CV3587" s="99"/>
      <c r="CW3587" s="63"/>
    </row>
    <row r="3588" spans="1:101" x14ac:dyDescent="0.15">
      <c r="A3588" s="76">
        <v>3348</v>
      </c>
      <c r="B3588" s="74" t="s">
        <v>4444</v>
      </c>
      <c r="C3588" s="74">
        <v>1066870950</v>
      </c>
      <c r="D3588" s="78" t="str">
        <f t="shared" si="118"/>
        <v>https://portal.dnb.de/opac.htm?method=simpleSearch&amp;cqlMode=true&amp;query=idn%3D1066870950</v>
      </c>
      <c r="E3588" s="74" t="s">
        <v>4445</v>
      </c>
      <c r="F3588" s="74"/>
      <c r="G3588" s="76"/>
      <c r="H3588" s="77"/>
      <c r="I3588" s="76"/>
      <c r="J3588" s="77"/>
      <c r="K3588" s="77"/>
      <c r="L3588" s="76"/>
      <c r="M3588" s="76"/>
      <c r="N3588" s="76"/>
      <c r="O3588" s="76"/>
      <c r="P3588" s="76"/>
      <c r="Q3588" s="76"/>
      <c r="R3588" s="76"/>
      <c r="S3588" s="76"/>
      <c r="BD3588" s="99">
        <f t="shared" si="119"/>
        <v>0</v>
      </c>
      <c r="CC3588" s="99"/>
      <c r="CV3588" s="99"/>
      <c r="CW3588" s="63"/>
    </row>
    <row r="3589" spans="1:101" x14ac:dyDescent="0.15">
      <c r="A3589" s="76">
        <v>3349</v>
      </c>
      <c r="B3589" s="74" t="s">
        <v>4465</v>
      </c>
      <c r="C3589" s="74">
        <v>993944892</v>
      </c>
      <c r="D3589" s="78" t="str">
        <f t="shared" si="118"/>
        <v>https://portal.dnb.de/opac.htm?method=simpleSearch&amp;cqlMode=true&amp;query=idn%3D993944892</v>
      </c>
      <c r="E3589" s="74" t="s">
        <v>4466</v>
      </c>
      <c r="F3589" s="74"/>
      <c r="G3589" s="76"/>
      <c r="H3589" s="77"/>
      <c r="I3589" s="76"/>
      <c r="J3589" s="77"/>
      <c r="K3589" s="77"/>
      <c r="L3589" s="76"/>
      <c r="M3589" s="76"/>
      <c r="N3589" s="76"/>
      <c r="O3589" s="76"/>
      <c r="P3589" s="76"/>
      <c r="Q3589" s="76"/>
      <c r="R3589" s="76"/>
      <c r="S3589" s="76"/>
      <c r="BD3589" s="99">
        <f t="shared" si="119"/>
        <v>0</v>
      </c>
      <c r="CC3589" s="99"/>
      <c r="CV3589" s="99"/>
      <c r="CW3589" s="63"/>
    </row>
    <row r="3590" spans="1:101" x14ac:dyDescent="0.15">
      <c r="A3590" s="76">
        <v>3350</v>
      </c>
      <c r="B3590" s="74" t="s">
        <v>4467</v>
      </c>
      <c r="C3590" s="74">
        <v>993945309</v>
      </c>
      <c r="D3590" s="78" t="str">
        <f t="shared" si="118"/>
        <v>https://portal.dnb.de/opac.htm?method=simpleSearch&amp;cqlMode=true&amp;query=idn%3D993945309</v>
      </c>
      <c r="E3590" s="74" t="s">
        <v>4466</v>
      </c>
      <c r="F3590" s="74"/>
      <c r="G3590" s="76"/>
      <c r="H3590" s="77"/>
      <c r="I3590" s="76"/>
      <c r="J3590" s="77"/>
      <c r="K3590" s="77"/>
      <c r="L3590" s="76"/>
      <c r="M3590" s="76"/>
      <c r="N3590" s="76"/>
      <c r="O3590" s="76"/>
      <c r="P3590" s="76"/>
      <c r="Q3590" s="76"/>
      <c r="R3590" s="76"/>
      <c r="S3590" s="76"/>
      <c r="BD3590" s="99">
        <f t="shared" si="119"/>
        <v>0</v>
      </c>
      <c r="CC3590" s="99"/>
      <c r="CV3590" s="99"/>
      <c r="CW3590" s="63"/>
    </row>
    <row r="3591" spans="1:101" ht="22.5" x14ac:dyDescent="0.15">
      <c r="A3591" s="76">
        <v>3351</v>
      </c>
      <c r="B3591" s="74" t="s">
        <v>4470</v>
      </c>
      <c r="C3591" s="74">
        <v>1004349777</v>
      </c>
      <c r="D3591" s="78" t="str">
        <f t="shared" si="118"/>
        <v>https://portal.dnb.de/opac.htm?method=simpleSearch&amp;cqlMode=true&amp;query=idn%3D1004349777</v>
      </c>
      <c r="E3591" s="74" t="s">
        <v>4471</v>
      </c>
      <c r="F3591" s="74"/>
      <c r="G3591" s="76"/>
      <c r="H3591" s="77"/>
      <c r="I3591" s="76" t="s">
        <v>54</v>
      </c>
      <c r="J3591" s="77"/>
      <c r="K3591" s="77"/>
      <c r="L3591" s="76"/>
      <c r="M3591" s="76"/>
      <c r="N3591" s="76"/>
      <c r="O3591" s="76"/>
      <c r="P3591" s="76"/>
      <c r="Q3591" s="76"/>
      <c r="R3591" s="76"/>
      <c r="S3591" s="76"/>
      <c r="Y3591" s="95" t="s">
        <v>9763</v>
      </c>
      <c r="AA3591" s="95" t="s">
        <v>8541</v>
      </c>
      <c r="AC3591" s="95" t="s">
        <v>9730</v>
      </c>
      <c r="AI3591" s="95" t="s">
        <v>9725</v>
      </c>
      <c r="AP3591" s="95" t="s">
        <v>10252</v>
      </c>
      <c r="AQ3591" s="96" t="s">
        <v>10456</v>
      </c>
      <c r="AW3591" s="95">
        <v>60</v>
      </c>
      <c r="BC3591" s="96" t="s">
        <v>9726</v>
      </c>
      <c r="BD3591" s="99">
        <f t="shared" si="119"/>
        <v>2.5</v>
      </c>
      <c r="BH3591" s="95" t="s">
        <v>8541</v>
      </c>
      <c r="BP3591" s="69" t="s">
        <v>8541</v>
      </c>
      <c r="BR3591" s="95" t="s">
        <v>8541</v>
      </c>
      <c r="CC3591" s="99">
        <v>0.5</v>
      </c>
      <c r="CD3591" s="90" t="s">
        <v>10457</v>
      </c>
      <c r="CN3591" s="95" t="s">
        <v>8541</v>
      </c>
      <c r="CV3591" s="99">
        <v>2</v>
      </c>
      <c r="CW3591" s="90" t="s">
        <v>10458</v>
      </c>
    </row>
    <row r="3592" spans="1:101" ht="33.75" x14ac:dyDescent="0.15">
      <c r="A3592" s="76"/>
      <c r="B3592" s="74"/>
      <c r="C3592" s="74"/>
      <c r="D3592" s="78"/>
      <c r="E3592" s="74" t="s">
        <v>10459</v>
      </c>
      <c r="F3592" s="74"/>
      <c r="G3592" s="76"/>
      <c r="H3592" s="77"/>
      <c r="I3592" s="76" t="s">
        <v>55</v>
      </c>
      <c r="J3592" s="77"/>
      <c r="K3592" s="77"/>
      <c r="L3592" s="76"/>
      <c r="M3592" s="76"/>
      <c r="N3592" s="76"/>
      <c r="O3592" s="76"/>
      <c r="P3592" s="76"/>
      <c r="Q3592" s="76"/>
      <c r="R3592" s="76"/>
      <c r="S3592" s="76"/>
      <c r="Y3592" s="95" t="s">
        <v>9723</v>
      </c>
      <c r="AA3592" s="95" t="s">
        <v>8541</v>
      </c>
      <c r="AC3592" s="95" t="s">
        <v>9724</v>
      </c>
      <c r="AI3592" s="95" t="s">
        <v>9725</v>
      </c>
      <c r="AQ3592" s="96"/>
      <c r="AW3592" s="95">
        <v>45</v>
      </c>
      <c r="BC3592" s="96" t="s">
        <v>9726</v>
      </c>
      <c r="BD3592" s="99">
        <f t="shared" si="119"/>
        <v>2.5</v>
      </c>
      <c r="BP3592" s="69" t="s">
        <v>8541</v>
      </c>
      <c r="BQ3592" s="95" t="s">
        <v>8541</v>
      </c>
      <c r="BR3592" s="95" t="s">
        <v>8541</v>
      </c>
      <c r="BT3592" s="95" t="s">
        <v>9772</v>
      </c>
      <c r="CC3592" s="99">
        <v>2.5</v>
      </c>
      <c r="CD3592" s="90" t="s">
        <v>10460</v>
      </c>
      <c r="CV3592" s="99"/>
    </row>
    <row r="3593" spans="1:101" x14ac:dyDescent="0.15">
      <c r="A3593" s="76">
        <v>3352</v>
      </c>
      <c r="B3593" s="74" t="s">
        <v>4480</v>
      </c>
      <c r="C3593" s="74">
        <v>1104868938</v>
      </c>
      <c r="D3593" s="78" t="str">
        <f t="shared" si="118"/>
        <v>https://portal.dnb.de/opac.htm?method=simpleSearch&amp;cqlMode=true&amp;query=idn%3D1104868938</v>
      </c>
      <c r="E3593" s="74" t="s">
        <v>4481</v>
      </c>
      <c r="F3593" s="74"/>
      <c r="G3593" s="76"/>
      <c r="H3593" s="77"/>
      <c r="I3593" s="76"/>
      <c r="J3593" s="77"/>
      <c r="K3593" s="77"/>
      <c r="L3593" s="76"/>
      <c r="M3593" s="76"/>
      <c r="N3593" s="76"/>
      <c r="O3593" s="76"/>
      <c r="P3593" s="76"/>
      <c r="Q3593" s="76"/>
      <c r="R3593" s="76"/>
      <c r="S3593" s="76"/>
      <c r="BD3593" s="99">
        <f t="shared" si="119"/>
        <v>0</v>
      </c>
      <c r="CC3593" s="99"/>
      <c r="CV3593" s="99"/>
      <c r="CW3593" s="63"/>
    </row>
    <row r="3594" spans="1:101" x14ac:dyDescent="0.15">
      <c r="A3594" s="76">
        <v>3353</v>
      </c>
      <c r="B3594" s="74" t="s">
        <v>4485</v>
      </c>
      <c r="C3594" s="74">
        <v>1066930007</v>
      </c>
      <c r="D3594" s="78" t="str">
        <f t="shared" si="118"/>
        <v>https://portal.dnb.de/opac.htm?method=simpleSearch&amp;cqlMode=true&amp;query=idn%3D1066930007</v>
      </c>
      <c r="E3594" s="74" t="s">
        <v>4486</v>
      </c>
      <c r="F3594" s="74"/>
      <c r="G3594" s="76"/>
      <c r="H3594" s="77"/>
      <c r="I3594" s="76"/>
      <c r="J3594" s="77"/>
      <c r="K3594" s="77"/>
      <c r="L3594" s="76"/>
      <c r="M3594" s="76"/>
      <c r="N3594" s="76"/>
      <c r="O3594" s="76"/>
      <c r="P3594" s="76"/>
      <c r="Q3594" s="76"/>
      <c r="R3594" s="76"/>
      <c r="S3594" s="76"/>
      <c r="BD3594" s="99">
        <f t="shared" si="119"/>
        <v>0</v>
      </c>
      <c r="CC3594" s="99"/>
      <c r="CV3594" s="99"/>
      <c r="CW3594" s="63"/>
    </row>
    <row r="3595" spans="1:101" x14ac:dyDescent="0.15">
      <c r="A3595" s="76">
        <v>3354</v>
      </c>
      <c r="B3595" s="74" t="s">
        <v>4536</v>
      </c>
      <c r="C3595" s="74">
        <v>1066959935</v>
      </c>
      <c r="D3595" s="78" t="str">
        <f t="shared" si="118"/>
        <v>https://portal.dnb.de/opac.htm?method=simpleSearch&amp;cqlMode=true&amp;query=idn%3D1066959935</v>
      </c>
      <c r="E3595" s="74" t="s">
        <v>4537</v>
      </c>
      <c r="F3595" s="74"/>
      <c r="G3595" s="76"/>
      <c r="H3595" s="77"/>
      <c r="I3595" s="76"/>
      <c r="J3595" s="77"/>
      <c r="K3595" s="77"/>
      <c r="L3595" s="76"/>
      <c r="M3595" s="76"/>
      <c r="N3595" s="76"/>
      <c r="O3595" s="76"/>
      <c r="P3595" s="76"/>
      <c r="Q3595" s="76"/>
      <c r="R3595" s="76"/>
      <c r="S3595" s="76"/>
      <c r="BD3595" s="99">
        <f t="shared" si="119"/>
        <v>0</v>
      </c>
      <c r="CC3595" s="99"/>
      <c r="CV3595" s="99"/>
      <c r="CW3595" s="63"/>
    </row>
    <row r="3596" spans="1:101" x14ac:dyDescent="0.15">
      <c r="A3596" s="76">
        <v>3355</v>
      </c>
      <c r="B3596" s="74" t="s">
        <v>4538</v>
      </c>
      <c r="C3596" s="74">
        <v>1132635705</v>
      </c>
      <c r="D3596" s="78" t="str">
        <f t="shared" ref="D3596:D3659" si="120">HYPERLINK(CONCATENATE("https://portal.dnb.de/opac.htm?method=simpleSearch&amp;cqlMode=true&amp;query=idn%3D",C3596))</f>
        <v>https://portal.dnb.de/opac.htm?method=simpleSearch&amp;cqlMode=true&amp;query=idn%3D1132635705</v>
      </c>
      <c r="E3596" s="74" t="s">
        <v>4539</v>
      </c>
      <c r="F3596" s="74"/>
      <c r="G3596" s="76"/>
      <c r="H3596" s="77"/>
      <c r="I3596" s="76"/>
      <c r="J3596" s="77"/>
      <c r="K3596" s="77"/>
      <c r="L3596" s="76"/>
      <c r="M3596" s="76"/>
      <c r="N3596" s="76"/>
      <c r="O3596" s="76"/>
      <c r="P3596" s="76"/>
      <c r="Q3596" s="76"/>
      <c r="R3596" s="76"/>
      <c r="S3596" s="76"/>
      <c r="BD3596" s="99">
        <f t="shared" si="119"/>
        <v>0</v>
      </c>
      <c r="CC3596" s="99"/>
      <c r="CV3596" s="99"/>
      <c r="CW3596" s="63"/>
    </row>
    <row r="3597" spans="1:101" x14ac:dyDescent="0.15">
      <c r="A3597" s="76">
        <v>3356</v>
      </c>
      <c r="B3597" s="74" t="s">
        <v>4540</v>
      </c>
      <c r="C3597" s="74">
        <v>1132635721</v>
      </c>
      <c r="D3597" s="78" t="str">
        <f t="shared" si="120"/>
        <v>https://portal.dnb.de/opac.htm?method=simpleSearch&amp;cqlMode=true&amp;query=idn%3D1132635721</v>
      </c>
      <c r="E3597" s="74" t="s">
        <v>4539</v>
      </c>
      <c r="F3597" s="74"/>
      <c r="G3597" s="76"/>
      <c r="H3597" s="77"/>
      <c r="I3597" s="76"/>
      <c r="J3597" s="77"/>
      <c r="K3597" s="77"/>
      <c r="L3597" s="76"/>
      <c r="M3597" s="76"/>
      <c r="N3597" s="76"/>
      <c r="O3597" s="76"/>
      <c r="P3597" s="76"/>
      <c r="Q3597" s="76"/>
      <c r="R3597" s="76"/>
      <c r="S3597" s="76"/>
      <c r="BD3597" s="99">
        <f t="shared" si="119"/>
        <v>0</v>
      </c>
      <c r="CC3597" s="99"/>
      <c r="CV3597" s="99"/>
      <c r="CW3597" s="63"/>
    </row>
    <row r="3598" spans="1:101" x14ac:dyDescent="0.15">
      <c r="A3598" s="76">
        <v>3357</v>
      </c>
      <c r="B3598" s="74" t="s">
        <v>4541</v>
      </c>
      <c r="C3598" s="74" t="s">
        <v>4542</v>
      </c>
      <c r="D3598" s="78" t="str">
        <f t="shared" si="120"/>
        <v>https://portal.dnb.de/opac.htm?method=simpleSearch&amp;cqlMode=true&amp;query=idn%3D113263573X</v>
      </c>
      <c r="E3598" s="74" t="s">
        <v>4539</v>
      </c>
      <c r="F3598" s="74"/>
      <c r="G3598" s="76"/>
      <c r="H3598" s="77"/>
      <c r="I3598" s="76"/>
      <c r="J3598" s="77"/>
      <c r="K3598" s="77"/>
      <c r="L3598" s="76"/>
      <c r="M3598" s="76"/>
      <c r="N3598" s="76"/>
      <c r="O3598" s="76"/>
      <c r="P3598" s="76"/>
      <c r="Q3598" s="76"/>
      <c r="R3598" s="76"/>
      <c r="S3598" s="76"/>
      <c r="BD3598" s="99">
        <f t="shared" si="119"/>
        <v>0</v>
      </c>
      <c r="CC3598" s="99"/>
      <c r="CV3598" s="99"/>
      <c r="CW3598" s="63"/>
    </row>
    <row r="3599" spans="1:101" x14ac:dyDescent="0.15">
      <c r="A3599" s="76">
        <v>3358</v>
      </c>
      <c r="B3599" s="74" t="s">
        <v>4543</v>
      </c>
      <c r="C3599" s="74">
        <v>1132635713</v>
      </c>
      <c r="D3599" s="78" t="str">
        <f t="shared" si="120"/>
        <v>https://portal.dnb.de/opac.htm?method=simpleSearch&amp;cqlMode=true&amp;query=idn%3D1132635713</v>
      </c>
      <c r="E3599" s="74" t="s">
        <v>4539</v>
      </c>
      <c r="F3599" s="74"/>
      <c r="G3599" s="76"/>
      <c r="H3599" s="77"/>
      <c r="I3599" s="76"/>
      <c r="J3599" s="77"/>
      <c r="K3599" s="77"/>
      <c r="L3599" s="76"/>
      <c r="M3599" s="76"/>
      <c r="N3599" s="76"/>
      <c r="O3599" s="76"/>
      <c r="P3599" s="76"/>
      <c r="Q3599" s="76"/>
      <c r="R3599" s="76"/>
      <c r="S3599" s="76"/>
      <c r="BD3599" s="99">
        <f t="shared" si="119"/>
        <v>0</v>
      </c>
      <c r="CC3599" s="99"/>
      <c r="CV3599" s="99"/>
      <c r="CW3599" s="63"/>
    </row>
    <row r="3600" spans="1:101" x14ac:dyDescent="0.15">
      <c r="A3600" s="76">
        <v>3359</v>
      </c>
      <c r="B3600" s="74" t="s">
        <v>4546</v>
      </c>
      <c r="C3600" s="74">
        <v>11869755</v>
      </c>
      <c r="D3600" s="78" t="str">
        <f t="shared" si="120"/>
        <v>https://portal.dnb.de/opac.htm?method=simpleSearch&amp;cqlMode=true&amp;query=idn%3D11869755</v>
      </c>
      <c r="E3600" s="74" t="s">
        <v>4547</v>
      </c>
      <c r="F3600" s="74"/>
      <c r="G3600" s="76"/>
      <c r="H3600" s="77"/>
      <c r="I3600" s="76" t="s">
        <v>53</v>
      </c>
      <c r="J3600" s="77"/>
      <c r="K3600" s="77"/>
      <c r="L3600" s="76"/>
      <c r="M3600" s="76"/>
      <c r="N3600" s="76"/>
      <c r="O3600" s="76"/>
      <c r="P3600" s="76"/>
      <c r="Q3600" s="76"/>
      <c r="R3600" s="76"/>
      <c r="S3600" s="76"/>
      <c r="Y3600" s="95" t="s">
        <v>9865</v>
      </c>
      <c r="AB3600" s="95" t="s">
        <v>8541</v>
      </c>
      <c r="AC3600" s="95" t="s">
        <v>9739</v>
      </c>
      <c r="AI3600" s="95" t="s">
        <v>9725</v>
      </c>
      <c r="AW3600" s="95">
        <v>60</v>
      </c>
      <c r="BC3600" s="96" t="s">
        <v>9726</v>
      </c>
      <c r="BD3600" s="99">
        <f t="shared" si="119"/>
        <v>0.5</v>
      </c>
      <c r="BP3600" s="69" t="s">
        <v>8541</v>
      </c>
      <c r="BR3600" s="95" t="s">
        <v>8541</v>
      </c>
      <c r="CC3600" s="99">
        <v>0.5</v>
      </c>
      <c r="CV3600" s="99"/>
      <c r="CW3600" s="63"/>
    </row>
    <row r="3601" spans="1:101" x14ac:dyDescent="0.15">
      <c r="A3601" s="76">
        <v>3360</v>
      </c>
      <c r="B3601" s="74" t="s">
        <v>4552</v>
      </c>
      <c r="C3601" s="74">
        <v>1000931773</v>
      </c>
      <c r="D3601" s="78" t="str">
        <f t="shared" si="120"/>
        <v>https://portal.dnb.de/opac.htm?method=simpleSearch&amp;cqlMode=true&amp;query=idn%3D1000931773</v>
      </c>
      <c r="E3601" s="74" t="s">
        <v>4553</v>
      </c>
      <c r="F3601" s="74"/>
      <c r="G3601" s="76"/>
      <c r="H3601" s="77"/>
      <c r="I3601" s="76"/>
      <c r="J3601" s="77"/>
      <c r="K3601" s="77"/>
      <c r="L3601" s="76"/>
      <c r="M3601" s="76"/>
      <c r="N3601" s="76"/>
      <c r="O3601" s="76"/>
      <c r="P3601" s="76"/>
      <c r="Q3601" s="76"/>
      <c r="R3601" s="76"/>
      <c r="S3601" s="76"/>
      <c r="BD3601" s="99">
        <f t="shared" si="119"/>
        <v>0</v>
      </c>
      <c r="CC3601" s="99"/>
      <c r="CV3601" s="99"/>
      <c r="CW3601" s="63"/>
    </row>
    <row r="3602" spans="1:101" x14ac:dyDescent="0.15">
      <c r="A3602" s="76">
        <v>3361</v>
      </c>
      <c r="B3602" s="74" t="s">
        <v>4554</v>
      </c>
      <c r="C3602" s="74" t="s">
        <v>4555</v>
      </c>
      <c r="D3602" s="78" t="str">
        <f t="shared" si="120"/>
        <v>https://portal.dnb.de/opac.htm?method=simpleSearch&amp;cqlMode=true&amp;query=idn%3D100093196X</v>
      </c>
      <c r="E3602" s="74" t="s">
        <v>4553</v>
      </c>
      <c r="F3602" s="74"/>
      <c r="G3602" s="76"/>
      <c r="H3602" s="77"/>
      <c r="I3602" s="76"/>
      <c r="J3602" s="77"/>
      <c r="K3602" s="77"/>
      <c r="L3602" s="76"/>
      <c r="M3602" s="76"/>
      <c r="N3602" s="76"/>
      <c r="O3602" s="76"/>
      <c r="P3602" s="76"/>
      <c r="Q3602" s="76"/>
      <c r="R3602" s="76"/>
      <c r="S3602" s="76"/>
      <c r="BD3602" s="99">
        <f t="shared" si="119"/>
        <v>0</v>
      </c>
      <c r="CC3602" s="99"/>
      <c r="CV3602" s="99"/>
      <c r="CW3602" s="63"/>
    </row>
    <row r="3603" spans="1:101" x14ac:dyDescent="0.15">
      <c r="A3603" s="76">
        <v>3362</v>
      </c>
      <c r="B3603" s="74" t="s">
        <v>4556</v>
      </c>
      <c r="C3603" s="74">
        <v>1000932028</v>
      </c>
      <c r="D3603" s="78" t="str">
        <f t="shared" si="120"/>
        <v>https://portal.dnb.de/opac.htm?method=simpleSearch&amp;cqlMode=true&amp;query=idn%3D1000932028</v>
      </c>
      <c r="E3603" s="74" t="s">
        <v>4553</v>
      </c>
      <c r="F3603" s="74"/>
      <c r="G3603" s="76"/>
      <c r="H3603" s="77"/>
      <c r="I3603" s="76"/>
      <c r="J3603" s="77"/>
      <c r="K3603" s="77"/>
      <c r="L3603" s="76"/>
      <c r="M3603" s="76"/>
      <c r="N3603" s="76"/>
      <c r="O3603" s="76"/>
      <c r="P3603" s="76"/>
      <c r="Q3603" s="76"/>
      <c r="R3603" s="76"/>
      <c r="S3603" s="76"/>
      <c r="BD3603" s="99">
        <f t="shared" si="119"/>
        <v>0</v>
      </c>
      <c r="CC3603" s="99"/>
      <c r="CV3603" s="99"/>
      <c r="CW3603" s="63"/>
    </row>
    <row r="3604" spans="1:101" x14ac:dyDescent="0.15">
      <c r="A3604" s="76">
        <v>3363</v>
      </c>
      <c r="B3604" s="74" t="s">
        <v>4557</v>
      </c>
      <c r="C3604" s="74">
        <v>1000932109</v>
      </c>
      <c r="D3604" s="78" t="str">
        <f t="shared" si="120"/>
        <v>https://portal.dnb.de/opac.htm?method=simpleSearch&amp;cqlMode=true&amp;query=idn%3D1000932109</v>
      </c>
      <c r="E3604" s="74" t="s">
        <v>4553</v>
      </c>
      <c r="F3604" s="74"/>
      <c r="G3604" s="76"/>
      <c r="H3604" s="77"/>
      <c r="I3604" s="76"/>
      <c r="J3604" s="77"/>
      <c r="K3604" s="77"/>
      <c r="L3604" s="76"/>
      <c r="M3604" s="76"/>
      <c r="N3604" s="76"/>
      <c r="O3604" s="76"/>
      <c r="P3604" s="76"/>
      <c r="Q3604" s="76"/>
      <c r="R3604" s="76"/>
      <c r="S3604" s="76"/>
      <c r="BD3604" s="99">
        <f t="shared" si="119"/>
        <v>0</v>
      </c>
      <c r="CC3604" s="99"/>
      <c r="CV3604" s="99"/>
      <c r="CW3604" s="63"/>
    </row>
    <row r="3605" spans="1:101" x14ac:dyDescent="0.15">
      <c r="A3605" s="76">
        <v>3364</v>
      </c>
      <c r="B3605" s="74" t="s">
        <v>4558</v>
      </c>
      <c r="C3605" s="74">
        <v>998467111</v>
      </c>
      <c r="D3605" s="78" t="str">
        <f t="shared" si="120"/>
        <v>https://portal.dnb.de/opac.htm?method=simpleSearch&amp;cqlMode=true&amp;query=idn%3D998467111</v>
      </c>
      <c r="E3605" s="74" t="s">
        <v>4553</v>
      </c>
      <c r="F3605" s="74"/>
      <c r="G3605" s="76"/>
      <c r="H3605" s="77"/>
      <c r="I3605" s="76"/>
      <c r="J3605" s="77"/>
      <c r="K3605" s="77"/>
      <c r="L3605" s="76"/>
      <c r="M3605" s="76"/>
      <c r="N3605" s="76"/>
      <c r="O3605" s="76"/>
      <c r="P3605" s="76"/>
      <c r="Q3605" s="76"/>
      <c r="R3605" s="76"/>
      <c r="S3605" s="76"/>
      <c r="BD3605" s="99">
        <f t="shared" si="119"/>
        <v>0</v>
      </c>
      <c r="CC3605" s="99"/>
      <c r="CV3605" s="99"/>
      <c r="CW3605" s="63"/>
    </row>
    <row r="3606" spans="1:101" x14ac:dyDescent="0.15">
      <c r="A3606" s="76">
        <v>3365</v>
      </c>
      <c r="B3606" s="74" t="s">
        <v>4559</v>
      </c>
      <c r="C3606" s="74">
        <v>999009389</v>
      </c>
      <c r="D3606" s="78" t="str">
        <f t="shared" si="120"/>
        <v>https://portal.dnb.de/opac.htm?method=simpleSearch&amp;cqlMode=true&amp;query=idn%3D999009389</v>
      </c>
      <c r="E3606" s="74" t="s">
        <v>4553</v>
      </c>
      <c r="F3606" s="74"/>
      <c r="G3606" s="76"/>
      <c r="H3606" s="77"/>
      <c r="I3606" s="76"/>
      <c r="J3606" s="77"/>
      <c r="K3606" s="77"/>
      <c r="L3606" s="76"/>
      <c r="M3606" s="76"/>
      <c r="N3606" s="76"/>
      <c r="O3606" s="76"/>
      <c r="P3606" s="76"/>
      <c r="Q3606" s="76"/>
      <c r="R3606" s="76"/>
      <c r="S3606" s="76"/>
      <c r="BD3606" s="99">
        <f t="shared" si="119"/>
        <v>0</v>
      </c>
      <c r="CC3606" s="99"/>
      <c r="CV3606" s="99"/>
      <c r="CW3606" s="63"/>
    </row>
    <row r="3607" spans="1:101" x14ac:dyDescent="0.15">
      <c r="A3607" s="76">
        <v>3366</v>
      </c>
      <c r="B3607" s="74" t="s">
        <v>4564</v>
      </c>
      <c r="C3607" s="74">
        <v>994842228</v>
      </c>
      <c r="D3607" s="78" t="str">
        <f t="shared" si="120"/>
        <v>https://portal.dnb.de/opac.htm?method=simpleSearch&amp;cqlMode=true&amp;query=idn%3D994842228</v>
      </c>
      <c r="E3607" s="74" t="s">
        <v>4565</v>
      </c>
      <c r="F3607" s="74"/>
      <c r="G3607" s="76"/>
      <c r="H3607" s="77"/>
      <c r="I3607" s="76"/>
      <c r="J3607" s="77"/>
      <c r="K3607" s="77"/>
      <c r="L3607" s="76"/>
      <c r="M3607" s="76"/>
      <c r="N3607" s="76"/>
      <c r="O3607" s="76"/>
      <c r="P3607" s="76"/>
      <c r="Q3607" s="76"/>
      <c r="R3607" s="76"/>
      <c r="S3607" s="76"/>
      <c r="BD3607" s="99">
        <f t="shared" si="119"/>
        <v>0</v>
      </c>
      <c r="CC3607" s="99"/>
      <c r="CV3607" s="99"/>
      <c r="CW3607" s="63"/>
    </row>
    <row r="3608" spans="1:101" x14ac:dyDescent="0.15">
      <c r="A3608" s="76">
        <v>3367</v>
      </c>
      <c r="B3608" s="74" t="s">
        <v>4566</v>
      </c>
      <c r="C3608" s="74">
        <v>998353833</v>
      </c>
      <c r="D3608" s="78" t="str">
        <f t="shared" si="120"/>
        <v>https://portal.dnb.de/opac.htm?method=simpleSearch&amp;cqlMode=true&amp;query=idn%3D998353833</v>
      </c>
      <c r="E3608" s="74" t="s">
        <v>4567</v>
      </c>
      <c r="F3608" s="74"/>
      <c r="G3608" s="76"/>
      <c r="H3608" s="77"/>
      <c r="I3608" s="76"/>
      <c r="J3608" s="77"/>
      <c r="K3608" s="77"/>
      <c r="L3608" s="76"/>
      <c r="M3608" s="76"/>
      <c r="N3608" s="76"/>
      <c r="O3608" s="76"/>
      <c r="P3608" s="76"/>
      <c r="Q3608" s="76"/>
      <c r="R3608" s="76"/>
      <c r="S3608" s="76"/>
      <c r="BD3608" s="99">
        <f t="shared" si="119"/>
        <v>0</v>
      </c>
      <c r="CC3608" s="99"/>
      <c r="CV3608" s="99"/>
      <c r="CW3608" s="63"/>
    </row>
    <row r="3609" spans="1:101" x14ac:dyDescent="0.15">
      <c r="A3609" s="76">
        <v>3368</v>
      </c>
      <c r="B3609" s="74" t="s">
        <v>4568</v>
      </c>
      <c r="C3609" s="74">
        <v>998354244</v>
      </c>
      <c r="D3609" s="78" t="str">
        <f t="shared" si="120"/>
        <v>https://portal.dnb.de/opac.htm?method=simpleSearch&amp;cqlMode=true&amp;query=idn%3D998354244</v>
      </c>
      <c r="E3609" s="74" t="s">
        <v>4567</v>
      </c>
      <c r="F3609" s="74"/>
      <c r="G3609" s="76"/>
      <c r="H3609" s="77"/>
      <c r="I3609" s="76"/>
      <c r="J3609" s="77"/>
      <c r="K3609" s="77"/>
      <c r="L3609" s="76"/>
      <c r="M3609" s="76"/>
      <c r="N3609" s="76"/>
      <c r="O3609" s="76"/>
      <c r="P3609" s="76"/>
      <c r="Q3609" s="76"/>
      <c r="R3609" s="76"/>
      <c r="S3609" s="76"/>
      <c r="BD3609" s="99">
        <f t="shared" si="119"/>
        <v>0</v>
      </c>
      <c r="CC3609" s="99"/>
      <c r="CV3609" s="99"/>
      <c r="CW3609" s="63"/>
    </row>
    <row r="3610" spans="1:101" x14ac:dyDescent="0.15">
      <c r="A3610" s="76">
        <v>3369</v>
      </c>
      <c r="B3610" s="74" t="s">
        <v>4569</v>
      </c>
      <c r="C3610" s="74">
        <v>998354163</v>
      </c>
      <c r="D3610" s="78" t="str">
        <f t="shared" si="120"/>
        <v>https://portal.dnb.de/opac.htm?method=simpleSearch&amp;cqlMode=true&amp;query=idn%3D998354163</v>
      </c>
      <c r="E3610" s="74" t="s">
        <v>4567</v>
      </c>
      <c r="F3610" s="74"/>
      <c r="G3610" s="76"/>
      <c r="H3610" s="77"/>
      <c r="I3610" s="76"/>
      <c r="J3610" s="77"/>
      <c r="K3610" s="77"/>
      <c r="L3610" s="76"/>
      <c r="M3610" s="76"/>
      <c r="N3610" s="76"/>
      <c r="O3610" s="76"/>
      <c r="P3610" s="76"/>
      <c r="Q3610" s="76"/>
      <c r="R3610" s="76"/>
      <c r="S3610" s="76"/>
      <c r="BD3610" s="99">
        <f t="shared" si="119"/>
        <v>0</v>
      </c>
      <c r="CC3610" s="99"/>
      <c r="CV3610" s="99"/>
      <c r="CW3610" s="63"/>
    </row>
    <row r="3611" spans="1:101" x14ac:dyDescent="0.15">
      <c r="A3611" s="76">
        <v>3370</v>
      </c>
      <c r="B3611" s="74" t="s">
        <v>4570</v>
      </c>
      <c r="C3611" s="74">
        <v>998353949</v>
      </c>
      <c r="D3611" s="78" t="str">
        <f t="shared" si="120"/>
        <v>https://portal.dnb.de/opac.htm?method=simpleSearch&amp;cqlMode=true&amp;query=idn%3D998353949</v>
      </c>
      <c r="E3611" s="74" t="s">
        <v>4567</v>
      </c>
      <c r="F3611" s="74"/>
      <c r="G3611" s="76"/>
      <c r="H3611" s="77"/>
      <c r="I3611" s="76"/>
      <c r="J3611" s="77"/>
      <c r="K3611" s="77"/>
      <c r="L3611" s="76"/>
      <c r="M3611" s="76"/>
      <c r="N3611" s="76"/>
      <c r="O3611" s="76"/>
      <c r="P3611" s="76"/>
      <c r="Q3611" s="76"/>
      <c r="R3611" s="76"/>
      <c r="S3611" s="76"/>
      <c r="BD3611" s="99">
        <f t="shared" si="119"/>
        <v>0</v>
      </c>
      <c r="CC3611" s="99"/>
      <c r="CV3611" s="99"/>
      <c r="CW3611" s="63"/>
    </row>
    <row r="3612" spans="1:101" x14ac:dyDescent="0.15">
      <c r="A3612" s="76">
        <v>3371</v>
      </c>
      <c r="B3612" s="74" t="s">
        <v>4571</v>
      </c>
      <c r="C3612" s="74">
        <v>998354074</v>
      </c>
      <c r="D3612" s="78" t="str">
        <f t="shared" si="120"/>
        <v>https://portal.dnb.de/opac.htm?method=simpleSearch&amp;cqlMode=true&amp;query=idn%3D998354074</v>
      </c>
      <c r="E3612" s="74" t="s">
        <v>4567</v>
      </c>
      <c r="F3612" s="74"/>
      <c r="G3612" s="76"/>
      <c r="H3612" s="77"/>
      <c r="I3612" s="76"/>
      <c r="J3612" s="77"/>
      <c r="K3612" s="77"/>
      <c r="L3612" s="76"/>
      <c r="M3612" s="76"/>
      <c r="N3612" s="76"/>
      <c r="O3612" s="76"/>
      <c r="P3612" s="76"/>
      <c r="Q3612" s="76"/>
      <c r="R3612" s="76"/>
      <c r="S3612" s="76"/>
      <c r="BD3612" s="99">
        <f t="shared" si="119"/>
        <v>0</v>
      </c>
      <c r="CC3612" s="99"/>
      <c r="CV3612" s="99"/>
      <c r="CW3612" s="63"/>
    </row>
    <row r="3613" spans="1:101" x14ac:dyDescent="0.15">
      <c r="A3613" s="76">
        <v>3372</v>
      </c>
      <c r="B3613" s="74" t="s">
        <v>4572</v>
      </c>
      <c r="C3613" s="74">
        <v>997564237</v>
      </c>
      <c r="D3613" s="78" t="str">
        <f t="shared" si="120"/>
        <v>https://portal.dnb.de/opac.htm?method=simpleSearch&amp;cqlMode=true&amp;query=idn%3D997564237</v>
      </c>
      <c r="E3613" s="74" t="s">
        <v>4573</v>
      </c>
      <c r="F3613" s="74"/>
      <c r="G3613" s="76"/>
      <c r="H3613" s="77"/>
      <c r="I3613" s="76"/>
      <c r="J3613" s="77"/>
      <c r="K3613" s="77"/>
      <c r="L3613" s="76"/>
      <c r="M3613" s="76"/>
      <c r="N3613" s="76"/>
      <c r="O3613" s="76"/>
      <c r="P3613" s="76"/>
      <c r="Q3613" s="76"/>
      <c r="R3613" s="76"/>
      <c r="S3613" s="76"/>
      <c r="BD3613" s="99">
        <f t="shared" si="119"/>
        <v>0</v>
      </c>
      <c r="CC3613" s="99"/>
      <c r="CV3613" s="99"/>
      <c r="CW3613" s="63"/>
    </row>
    <row r="3614" spans="1:101" x14ac:dyDescent="0.15">
      <c r="A3614" s="76">
        <v>3373</v>
      </c>
      <c r="B3614" s="74" t="s">
        <v>4574</v>
      </c>
      <c r="C3614" s="74">
        <v>994193564</v>
      </c>
      <c r="D3614" s="78" t="str">
        <f t="shared" si="120"/>
        <v>https://portal.dnb.de/opac.htm?method=simpleSearch&amp;cqlMode=true&amp;query=idn%3D994193564</v>
      </c>
      <c r="E3614" s="74" t="s">
        <v>4575</v>
      </c>
      <c r="F3614" s="74"/>
      <c r="G3614" s="76"/>
      <c r="H3614" s="77"/>
      <c r="I3614" s="76"/>
      <c r="J3614" s="77"/>
      <c r="K3614" s="77"/>
      <c r="L3614" s="76"/>
      <c r="M3614" s="76"/>
      <c r="N3614" s="76"/>
      <c r="O3614" s="76"/>
      <c r="P3614" s="76"/>
      <c r="Q3614" s="76"/>
      <c r="R3614" s="76"/>
      <c r="S3614" s="76"/>
      <c r="BD3614" s="99">
        <f t="shared" si="119"/>
        <v>0</v>
      </c>
      <c r="CC3614" s="99"/>
      <c r="CV3614" s="99"/>
      <c r="CW3614" s="63"/>
    </row>
    <row r="3615" spans="1:101" x14ac:dyDescent="0.15">
      <c r="A3615" s="76">
        <v>3374</v>
      </c>
      <c r="B3615" s="74" t="s">
        <v>4576</v>
      </c>
      <c r="C3615" s="74">
        <v>997748990</v>
      </c>
      <c r="D3615" s="78" t="str">
        <f t="shared" si="120"/>
        <v>https://portal.dnb.de/opac.htm?method=simpleSearch&amp;cqlMode=true&amp;query=idn%3D997748990</v>
      </c>
      <c r="E3615" s="74" t="s">
        <v>4577</v>
      </c>
      <c r="F3615" s="74"/>
      <c r="G3615" s="76"/>
      <c r="H3615" s="77"/>
      <c r="I3615" s="76"/>
      <c r="J3615" s="77"/>
      <c r="K3615" s="77"/>
      <c r="L3615" s="76"/>
      <c r="M3615" s="76"/>
      <c r="N3615" s="76"/>
      <c r="O3615" s="76"/>
      <c r="P3615" s="76"/>
      <c r="Q3615" s="76"/>
      <c r="R3615" s="76"/>
      <c r="S3615" s="76"/>
      <c r="BD3615" s="99">
        <f t="shared" si="119"/>
        <v>0</v>
      </c>
      <c r="CC3615" s="99"/>
      <c r="CV3615" s="99"/>
      <c r="CW3615" s="63"/>
    </row>
    <row r="3616" spans="1:101" x14ac:dyDescent="0.15">
      <c r="A3616" s="76">
        <v>3375</v>
      </c>
      <c r="B3616" s="74" t="s">
        <v>4578</v>
      </c>
      <c r="C3616" s="74">
        <v>1000115518</v>
      </c>
      <c r="D3616" s="78" t="str">
        <f t="shared" si="120"/>
        <v>https://portal.dnb.de/opac.htm?method=simpleSearch&amp;cqlMode=true&amp;query=idn%3D1000115518</v>
      </c>
      <c r="E3616" s="74" t="s">
        <v>4579</v>
      </c>
      <c r="F3616" s="74"/>
      <c r="G3616" s="76"/>
      <c r="H3616" s="77"/>
      <c r="I3616" s="76"/>
      <c r="J3616" s="77"/>
      <c r="K3616" s="77"/>
      <c r="L3616" s="76"/>
      <c r="M3616" s="76"/>
      <c r="N3616" s="76"/>
      <c r="O3616" s="76"/>
      <c r="P3616" s="76"/>
      <c r="Q3616" s="76"/>
      <c r="R3616" s="76"/>
      <c r="S3616" s="76"/>
      <c r="BD3616" s="99">
        <f t="shared" si="119"/>
        <v>0</v>
      </c>
      <c r="CC3616" s="99"/>
      <c r="CV3616" s="99"/>
      <c r="CW3616" s="63"/>
    </row>
    <row r="3617" spans="1:101" x14ac:dyDescent="0.15">
      <c r="A3617" s="76">
        <v>3376</v>
      </c>
      <c r="B3617" s="74" t="s">
        <v>4580</v>
      </c>
      <c r="C3617" s="74">
        <v>997289406</v>
      </c>
      <c r="D3617" s="78" t="str">
        <f t="shared" si="120"/>
        <v>https://portal.dnb.de/opac.htm?method=simpleSearch&amp;cqlMode=true&amp;query=idn%3D997289406</v>
      </c>
      <c r="E3617" s="74" t="s">
        <v>4579</v>
      </c>
      <c r="F3617" s="74"/>
      <c r="G3617" s="76"/>
      <c r="H3617" s="77"/>
      <c r="I3617" s="76"/>
      <c r="J3617" s="77"/>
      <c r="K3617" s="77"/>
      <c r="L3617" s="76"/>
      <c r="M3617" s="76"/>
      <c r="N3617" s="76"/>
      <c r="O3617" s="76"/>
      <c r="P3617" s="76"/>
      <c r="Q3617" s="76"/>
      <c r="R3617" s="76"/>
      <c r="S3617" s="76"/>
      <c r="BD3617" s="99">
        <f t="shared" si="119"/>
        <v>0</v>
      </c>
      <c r="CC3617" s="99"/>
      <c r="CV3617" s="99"/>
      <c r="CW3617" s="63"/>
    </row>
    <row r="3618" spans="1:101" x14ac:dyDescent="0.15">
      <c r="A3618" s="76">
        <v>3377</v>
      </c>
      <c r="B3618" s="74" t="s">
        <v>4581</v>
      </c>
      <c r="C3618" s="74">
        <v>997290064</v>
      </c>
      <c r="D3618" s="78" t="str">
        <f t="shared" si="120"/>
        <v>https://portal.dnb.de/opac.htm?method=simpleSearch&amp;cqlMode=true&amp;query=idn%3D997290064</v>
      </c>
      <c r="E3618" s="74" t="s">
        <v>4579</v>
      </c>
      <c r="F3618" s="74"/>
      <c r="G3618" s="76"/>
      <c r="H3618" s="77"/>
      <c r="I3618" s="76"/>
      <c r="J3618" s="77"/>
      <c r="K3618" s="77"/>
      <c r="L3618" s="76"/>
      <c r="M3618" s="76"/>
      <c r="N3618" s="76"/>
      <c r="O3618" s="76"/>
      <c r="P3618" s="76"/>
      <c r="Q3618" s="76"/>
      <c r="R3618" s="76"/>
      <c r="S3618" s="76"/>
      <c r="BD3618" s="99">
        <f t="shared" si="119"/>
        <v>0</v>
      </c>
      <c r="CC3618" s="99"/>
      <c r="CV3618" s="99"/>
      <c r="CW3618" s="63"/>
    </row>
    <row r="3619" spans="1:101" x14ac:dyDescent="0.15">
      <c r="A3619" s="76">
        <v>3378</v>
      </c>
      <c r="B3619" s="74" t="s">
        <v>4586</v>
      </c>
      <c r="C3619" s="74">
        <v>1066869642</v>
      </c>
      <c r="D3619" s="78" t="str">
        <f t="shared" si="120"/>
        <v>https://portal.dnb.de/opac.htm?method=simpleSearch&amp;cqlMode=true&amp;query=idn%3D1066869642</v>
      </c>
      <c r="E3619" s="74" t="s">
        <v>4587</v>
      </c>
      <c r="F3619" s="74"/>
      <c r="G3619" s="76"/>
      <c r="H3619" s="77"/>
      <c r="I3619" s="76"/>
      <c r="J3619" s="77"/>
      <c r="K3619" s="77"/>
      <c r="L3619" s="76"/>
      <c r="M3619" s="76"/>
      <c r="N3619" s="76"/>
      <c r="O3619" s="76"/>
      <c r="P3619" s="76"/>
      <c r="Q3619" s="76"/>
      <c r="R3619" s="76"/>
      <c r="S3619" s="76"/>
      <c r="BD3619" s="99">
        <f t="shared" si="119"/>
        <v>0</v>
      </c>
      <c r="CC3619" s="99"/>
      <c r="CV3619" s="99"/>
      <c r="CW3619" s="63"/>
    </row>
    <row r="3620" spans="1:101" x14ac:dyDescent="0.15">
      <c r="A3620" s="76">
        <v>3379</v>
      </c>
      <c r="B3620" s="74" t="s">
        <v>4588</v>
      </c>
      <c r="C3620" s="74">
        <v>999256688</v>
      </c>
      <c r="D3620" s="78" t="str">
        <f t="shared" si="120"/>
        <v>https://portal.dnb.de/opac.htm?method=simpleSearch&amp;cqlMode=true&amp;query=idn%3D999256688</v>
      </c>
      <c r="E3620" s="74" t="s">
        <v>4589</v>
      </c>
      <c r="F3620" s="74"/>
      <c r="G3620" s="76"/>
      <c r="H3620" s="77"/>
      <c r="I3620" s="76"/>
      <c r="J3620" s="77"/>
      <c r="K3620" s="77"/>
      <c r="L3620" s="76"/>
      <c r="M3620" s="76"/>
      <c r="N3620" s="76"/>
      <c r="O3620" s="76"/>
      <c r="P3620" s="76"/>
      <c r="Q3620" s="76"/>
      <c r="R3620" s="76"/>
      <c r="S3620" s="76"/>
      <c r="BD3620" s="99">
        <f t="shared" si="119"/>
        <v>0</v>
      </c>
      <c r="CC3620" s="99"/>
      <c r="CV3620" s="99"/>
      <c r="CW3620" s="63"/>
    </row>
    <row r="3621" spans="1:101" x14ac:dyDescent="0.15">
      <c r="A3621" s="76">
        <v>3380</v>
      </c>
      <c r="B3621" s="74" t="s">
        <v>4590</v>
      </c>
      <c r="C3621" s="74">
        <v>999256661</v>
      </c>
      <c r="D3621" s="78" t="str">
        <f t="shared" si="120"/>
        <v>https://portal.dnb.de/opac.htm?method=simpleSearch&amp;cqlMode=true&amp;query=idn%3D999256661</v>
      </c>
      <c r="E3621" s="74" t="s">
        <v>4589</v>
      </c>
      <c r="F3621" s="74"/>
      <c r="G3621" s="76"/>
      <c r="H3621" s="77"/>
      <c r="I3621" s="76"/>
      <c r="J3621" s="77"/>
      <c r="K3621" s="77"/>
      <c r="L3621" s="76"/>
      <c r="M3621" s="76"/>
      <c r="N3621" s="76"/>
      <c r="O3621" s="76"/>
      <c r="P3621" s="76"/>
      <c r="Q3621" s="76"/>
      <c r="R3621" s="76"/>
      <c r="S3621" s="76"/>
      <c r="BD3621" s="99">
        <f t="shared" si="119"/>
        <v>0</v>
      </c>
      <c r="CC3621" s="99"/>
      <c r="CV3621" s="99"/>
      <c r="CW3621" s="63"/>
    </row>
    <row r="3622" spans="1:101" x14ac:dyDescent="0.15">
      <c r="A3622" s="76">
        <v>3381</v>
      </c>
      <c r="B3622" s="74" t="s">
        <v>4593</v>
      </c>
      <c r="C3622" s="74">
        <v>1002647266</v>
      </c>
      <c r="D3622" s="78" t="str">
        <f t="shared" si="120"/>
        <v>https://portal.dnb.de/opac.htm?method=simpleSearch&amp;cqlMode=true&amp;query=idn%3D1002647266</v>
      </c>
      <c r="E3622" s="74" t="s">
        <v>4594</v>
      </c>
      <c r="F3622" s="74"/>
      <c r="G3622" s="76"/>
      <c r="H3622" s="77"/>
      <c r="I3622" s="76"/>
      <c r="J3622" s="77"/>
      <c r="K3622" s="77"/>
      <c r="L3622" s="76"/>
      <c r="M3622" s="76"/>
      <c r="N3622" s="76"/>
      <c r="O3622" s="76"/>
      <c r="P3622" s="76"/>
      <c r="Q3622" s="76"/>
      <c r="R3622" s="76"/>
      <c r="S3622" s="76"/>
      <c r="BD3622" s="99">
        <f t="shared" si="119"/>
        <v>0</v>
      </c>
      <c r="CC3622" s="99"/>
      <c r="CV3622" s="99"/>
      <c r="CW3622" s="63"/>
    </row>
    <row r="3623" spans="1:101" x14ac:dyDescent="0.15">
      <c r="A3623" s="76">
        <v>3382</v>
      </c>
      <c r="B3623" s="74" t="s">
        <v>4595</v>
      </c>
      <c r="C3623" s="74">
        <v>1003406874</v>
      </c>
      <c r="D3623" s="78" t="str">
        <f t="shared" si="120"/>
        <v>https://portal.dnb.de/opac.htm?method=simpleSearch&amp;cqlMode=true&amp;query=idn%3D1003406874</v>
      </c>
      <c r="E3623" s="74" t="s">
        <v>4594</v>
      </c>
      <c r="F3623" s="74"/>
      <c r="G3623" s="76"/>
      <c r="H3623" s="77"/>
      <c r="I3623" s="76"/>
      <c r="J3623" s="77"/>
      <c r="K3623" s="77"/>
      <c r="L3623" s="76"/>
      <c r="M3623" s="76"/>
      <c r="N3623" s="76"/>
      <c r="O3623" s="76"/>
      <c r="P3623" s="76"/>
      <c r="Q3623" s="76"/>
      <c r="R3623" s="76"/>
      <c r="S3623" s="76"/>
      <c r="BD3623" s="99">
        <f t="shared" si="119"/>
        <v>0</v>
      </c>
      <c r="CC3623" s="99"/>
      <c r="CV3623" s="99"/>
      <c r="CW3623" s="63"/>
    </row>
    <row r="3624" spans="1:101" x14ac:dyDescent="0.15">
      <c r="A3624" s="76">
        <v>3383</v>
      </c>
      <c r="B3624" s="74" t="s">
        <v>4596</v>
      </c>
      <c r="C3624" s="74">
        <v>12813893</v>
      </c>
      <c r="D3624" s="78" t="str">
        <f t="shared" si="120"/>
        <v>https://portal.dnb.de/opac.htm?method=simpleSearch&amp;cqlMode=true&amp;query=idn%3D12813893</v>
      </c>
      <c r="E3624" s="74" t="s">
        <v>4597</v>
      </c>
      <c r="F3624" s="74"/>
      <c r="G3624" s="76"/>
      <c r="H3624" s="77"/>
      <c r="I3624" s="76"/>
      <c r="J3624" s="77"/>
      <c r="K3624" s="77"/>
      <c r="L3624" s="76"/>
      <c r="M3624" s="76"/>
      <c r="N3624" s="76"/>
      <c r="O3624" s="76"/>
      <c r="P3624" s="76"/>
      <c r="Q3624" s="76"/>
      <c r="R3624" s="76"/>
      <c r="S3624" s="76"/>
      <c r="BD3624" s="99">
        <f t="shared" si="119"/>
        <v>0</v>
      </c>
      <c r="CC3624" s="99"/>
      <c r="CV3624" s="99"/>
      <c r="CW3624" s="63"/>
    </row>
    <row r="3625" spans="1:101" x14ac:dyDescent="0.15">
      <c r="A3625" s="76">
        <v>3384</v>
      </c>
      <c r="B3625" s="74" t="s">
        <v>4598</v>
      </c>
      <c r="C3625" s="74">
        <v>1000152235</v>
      </c>
      <c r="D3625" s="78" t="str">
        <f t="shared" si="120"/>
        <v>https://portal.dnb.de/opac.htm?method=simpleSearch&amp;cqlMode=true&amp;query=idn%3D1000152235</v>
      </c>
      <c r="E3625" s="74" t="s">
        <v>4599</v>
      </c>
      <c r="F3625" s="74"/>
      <c r="G3625" s="76"/>
      <c r="H3625" s="77"/>
      <c r="I3625" s="76"/>
      <c r="J3625" s="77"/>
      <c r="K3625" s="77"/>
      <c r="L3625" s="76"/>
      <c r="M3625" s="76"/>
      <c r="N3625" s="76"/>
      <c r="O3625" s="76"/>
      <c r="P3625" s="76"/>
      <c r="Q3625" s="76"/>
      <c r="R3625" s="76"/>
      <c r="S3625" s="76"/>
      <c r="BD3625" s="99">
        <f t="shared" si="119"/>
        <v>0</v>
      </c>
      <c r="CC3625" s="99"/>
      <c r="CV3625" s="99"/>
      <c r="CW3625" s="63"/>
    </row>
    <row r="3626" spans="1:101" x14ac:dyDescent="0.15">
      <c r="A3626" s="76">
        <v>3385</v>
      </c>
      <c r="B3626" s="74" t="s">
        <v>4600</v>
      </c>
      <c r="C3626" s="74">
        <v>1000152308</v>
      </c>
      <c r="D3626" s="78" t="str">
        <f t="shared" si="120"/>
        <v>https://portal.dnb.de/opac.htm?method=simpleSearch&amp;cqlMode=true&amp;query=idn%3D1000152308</v>
      </c>
      <c r="E3626" s="74" t="s">
        <v>4599</v>
      </c>
      <c r="F3626" s="74"/>
      <c r="G3626" s="76"/>
      <c r="H3626" s="77"/>
      <c r="I3626" s="76"/>
      <c r="J3626" s="77"/>
      <c r="K3626" s="77"/>
      <c r="L3626" s="76"/>
      <c r="M3626" s="76"/>
      <c r="N3626" s="76"/>
      <c r="O3626" s="76"/>
      <c r="P3626" s="76"/>
      <c r="Q3626" s="76"/>
      <c r="R3626" s="76"/>
      <c r="S3626" s="76"/>
      <c r="BD3626" s="99">
        <f t="shared" si="119"/>
        <v>0</v>
      </c>
      <c r="CC3626" s="99"/>
      <c r="CV3626" s="99"/>
      <c r="CW3626" s="63"/>
    </row>
    <row r="3627" spans="1:101" x14ac:dyDescent="0.15">
      <c r="A3627" s="76">
        <v>3386</v>
      </c>
      <c r="B3627" s="74" t="s">
        <v>4601</v>
      </c>
      <c r="C3627" s="74">
        <v>1000152316</v>
      </c>
      <c r="D3627" s="78" t="str">
        <f t="shared" si="120"/>
        <v>https://portal.dnb.de/opac.htm?method=simpleSearch&amp;cqlMode=true&amp;query=idn%3D1000152316</v>
      </c>
      <c r="E3627" s="74" t="s">
        <v>4599</v>
      </c>
      <c r="F3627" s="74"/>
      <c r="G3627" s="76"/>
      <c r="H3627" s="77"/>
      <c r="I3627" s="76"/>
      <c r="J3627" s="77"/>
      <c r="K3627" s="77"/>
      <c r="L3627" s="76"/>
      <c r="M3627" s="76"/>
      <c r="N3627" s="76"/>
      <c r="O3627" s="76"/>
      <c r="P3627" s="76"/>
      <c r="Q3627" s="76"/>
      <c r="R3627" s="76"/>
      <c r="S3627" s="76"/>
      <c r="BD3627" s="99">
        <f t="shared" si="119"/>
        <v>0</v>
      </c>
      <c r="CC3627" s="99"/>
      <c r="CV3627" s="99"/>
      <c r="CW3627" s="63"/>
    </row>
    <row r="3628" spans="1:101" x14ac:dyDescent="0.15">
      <c r="A3628" s="76">
        <v>3387</v>
      </c>
      <c r="B3628" s="74" t="s">
        <v>4602</v>
      </c>
      <c r="C3628" s="74">
        <v>1000152154</v>
      </c>
      <c r="D3628" s="78" t="str">
        <f t="shared" si="120"/>
        <v>https://portal.dnb.de/opac.htm?method=simpleSearch&amp;cqlMode=true&amp;query=idn%3D1000152154</v>
      </c>
      <c r="E3628" s="74" t="s">
        <v>4599</v>
      </c>
      <c r="F3628" s="74"/>
      <c r="G3628" s="76"/>
      <c r="H3628" s="77"/>
      <c r="I3628" s="76"/>
      <c r="J3628" s="77"/>
      <c r="K3628" s="77"/>
      <c r="L3628" s="76"/>
      <c r="M3628" s="76"/>
      <c r="N3628" s="76"/>
      <c r="O3628" s="76"/>
      <c r="P3628" s="76"/>
      <c r="Q3628" s="76"/>
      <c r="R3628" s="76"/>
      <c r="S3628" s="76"/>
      <c r="BD3628" s="99">
        <f t="shared" si="119"/>
        <v>0</v>
      </c>
      <c r="CC3628" s="99"/>
      <c r="CV3628" s="99"/>
      <c r="CW3628" s="63"/>
    </row>
    <row r="3629" spans="1:101" x14ac:dyDescent="0.15">
      <c r="A3629" s="76">
        <v>3388</v>
      </c>
      <c r="B3629" s="74" t="s">
        <v>4603</v>
      </c>
      <c r="C3629" s="74" t="s">
        <v>4604</v>
      </c>
      <c r="D3629" s="78" t="str">
        <f t="shared" si="120"/>
        <v>https://portal.dnb.de/opac.htm?method=simpleSearch&amp;cqlMode=true&amp;query=idn%3D100015095X</v>
      </c>
      <c r="E3629" s="74" t="s">
        <v>4599</v>
      </c>
      <c r="F3629" s="74"/>
      <c r="G3629" s="76"/>
      <c r="H3629" s="77"/>
      <c r="I3629" s="76"/>
      <c r="J3629" s="77"/>
      <c r="K3629" s="77"/>
      <c r="L3629" s="76"/>
      <c r="M3629" s="76"/>
      <c r="N3629" s="76"/>
      <c r="O3629" s="76"/>
      <c r="P3629" s="76"/>
      <c r="Q3629" s="76"/>
      <c r="R3629" s="76"/>
      <c r="S3629" s="76"/>
      <c r="BD3629" s="99">
        <f t="shared" si="119"/>
        <v>0</v>
      </c>
      <c r="CC3629" s="99"/>
      <c r="CV3629" s="99"/>
      <c r="CW3629" s="63"/>
    </row>
    <row r="3630" spans="1:101" x14ac:dyDescent="0.15">
      <c r="A3630" s="76">
        <v>3389</v>
      </c>
      <c r="B3630" s="74" t="s">
        <v>4605</v>
      </c>
      <c r="C3630" s="74" t="s">
        <v>4606</v>
      </c>
      <c r="D3630" s="78" t="str">
        <f t="shared" si="120"/>
        <v>https://portal.dnb.de/opac.htm?method=simpleSearch&amp;cqlMode=true&amp;query=idn%3D99446830X</v>
      </c>
      <c r="E3630" s="74" t="s">
        <v>4599</v>
      </c>
      <c r="F3630" s="74"/>
      <c r="G3630" s="76"/>
      <c r="H3630" s="77"/>
      <c r="I3630" s="76"/>
      <c r="J3630" s="77"/>
      <c r="K3630" s="77"/>
      <c r="L3630" s="76"/>
      <c r="M3630" s="76"/>
      <c r="N3630" s="76"/>
      <c r="O3630" s="76"/>
      <c r="P3630" s="76"/>
      <c r="Q3630" s="76"/>
      <c r="R3630" s="76"/>
      <c r="S3630" s="76"/>
      <c r="BD3630" s="99">
        <f t="shared" si="119"/>
        <v>0</v>
      </c>
      <c r="CC3630" s="99"/>
      <c r="CV3630" s="99"/>
      <c r="CW3630" s="63"/>
    </row>
    <row r="3631" spans="1:101" ht="22.5" x14ac:dyDescent="0.15">
      <c r="A3631" s="76">
        <v>3390</v>
      </c>
      <c r="B3631" s="74" t="s">
        <v>4607</v>
      </c>
      <c r="C3631" s="74">
        <v>997064064</v>
      </c>
      <c r="D3631" s="78" t="str">
        <f t="shared" si="120"/>
        <v>https://portal.dnb.de/opac.htm?method=simpleSearch&amp;cqlMode=true&amp;query=idn%3D997064064</v>
      </c>
      <c r="E3631" s="74" t="s">
        <v>4608</v>
      </c>
      <c r="F3631" s="74"/>
      <c r="G3631" s="76"/>
      <c r="H3631" s="77"/>
      <c r="I3631" s="76" t="s">
        <v>53</v>
      </c>
      <c r="J3631" s="77"/>
      <c r="K3631" s="77"/>
      <c r="L3631" s="76"/>
      <c r="M3631" s="76"/>
      <c r="N3631" s="76"/>
      <c r="O3631" s="76"/>
      <c r="P3631" s="76"/>
      <c r="Q3631" s="76"/>
      <c r="R3631" s="76"/>
      <c r="S3631" s="76"/>
      <c r="Y3631" s="95" t="s">
        <v>9780</v>
      </c>
      <c r="AC3631" s="95" t="s">
        <v>9739</v>
      </c>
      <c r="AI3631" s="95" t="s">
        <v>9725</v>
      </c>
      <c r="AP3631" s="95" t="s">
        <v>8541</v>
      </c>
      <c r="AQ3631" s="96" t="s">
        <v>9839</v>
      </c>
      <c r="AW3631" s="95" t="s">
        <v>9764</v>
      </c>
      <c r="BB3631" s="95" t="s">
        <v>8541</v>
      </c>
      <c r="BC3631" s="96" t="s">
        <v>9726</v>
      </c>
      <c r="BD3631" s="99">
        <f t="shared" si="119"/>
        <v>5</v>
      </c>
      <c r="BJ3631" s="95" t="s">
        <v>9741</v>
      </c>
      <c r="BK3631" s="95" t="s">
        <v>8541</v>
      </c>
      <c r="CC3631" s="99"/>
      <c r="CE3631" s="95" t="s">
        <v>8541</v>
      </c>
      <c r="CM3631" s="95" t="s">
        <v>8541</v>
      </c>
      <c r="CQ3631" s="95" t="s">
        <v>8541</v>
      </c>
      <c r="CV3631" s="99">
        <v>5</v>
      </c>
      <c r="CW3631" s="63"/>
    </row>
    <row r="3632" spans="1:101" x14ac:dyDescent="0.15">
      <c r="A3632" s="76">
        <v>3391</v>
      </c>
      <c r="B3632" s="74" t="s">
        <v>4615</v>
      </c>
      <c r="C3632" s="74">
        <v>995829578</v>
      </c>
      <c r="D3632" s="78" t="str">
        <f t="shared" si="120"/>
        <v>https://portal.dnb.de/opac.htm?method=simpleSearch&amp;cqlMode=true&amp;query=idn%3D995829578</v>
      </c>
      <c r="E3632" s="74" t="s">
        <v>4616</v>
      </c>
      <c r="F3632" s="74"/>
      <c r="G3632" s="76"/>
      <c r="H3632" s="77"/>
      <c r="I3632" s="76"/>
      <c r="J3632" s="77"/>
      <c r="K3632" s="77"/>
      <c r="L3632" s="76"/>
      <c r="M3632" s="76"/>
      <c r="N3632" s="76"/>
      <c r="O3632" s="76"/>
      <c r="P3632" s="76"/>
      <c r="Q3632" s="76"/>
      <c r="R3632" s="76"/>
      <c r="S3632" s="76"/>
      <c r="BD3632" s="99">
        <f t="shared" si="119"/>
        <v>0</v>
      </c>
      <c r="CC3632" s="99"/>
      <c r="CV3632" s="99"/>
      <c r="CW3632" s="63"/>
    </row>
    <row r="3633" spans="1:101" x14ac:dyDescent="0.15">
      <c r="A3633" s="76">
        <v>3392</v>
      </c>
      <c r="B3633" s="74" t="s">
        <v>4617</v>
      </c>
      <c r="C3633" s="74">
        <v>999007408</v>
      </c>
      <c r="D3633" s="78" t="str">
        <f t="shared" si="120"/>
        <v>https://portal.dnb.de/opac.htm?method=simpleSearch&amp;cqlMode=true&amp;query=idn%3D999007408</v>
      </c>
      <c r="E3633" s="74" t="s">
        <v>4618</v>
      </c>
      <c r="F3633" s="74"/>
      <c r="G3633" s="76"/>
      <c r="H3633" s="77"/>
      <c r="I3633" s="76"/>
      <c r="J3633" s="77"/>
      <c r="K3633" s="77"/>
      <c r="L3633" s="76"/>
      <c r="M3633" s="76"/>
      <c r="N3633" s="76"/>
      <c r="O3633" s="76"/>
      <c r="P3633" s="76"/>
      <c r="Q3633" s="76"/>
      <c r="R3633" s="76"/>
      <c r="S3633" s="76"/>
      <c r="BD3633" s="99">
        <f t="shared" si="119"/>
        <v>0</v>
      </c>
      <c r="CC3633" s="99"/>
      <c r="CV3633" s="99"/>
      <c r="CW3633" s="63"/>
    </row>
    <row r="3634" spans="1:101" x14ac:dyDescent="0.15">
      <c r="A3634" s="76">
        <v>3393</v>
      </c>
      <c r="B3634" s="74" t="s">
        <v>4619</v>
      </c>
      <c r="C3634" s="74">
        <v>999957236</v>
      </c>
      <c r="D3634" s="78" t="str">
        <f t="shared" si="120"/>
        <v>https://portal.dnb.de/opac.htm?method=simpleSearch&amp;cqlMode=true&amp;query=idn%3D999957236</v>
      </c>
      <c r="E3634" s="74" t="s">
        <v>4620</v>
      </c>
      <c r="F3634" s="74"/>
      <c r="G3634" s="76"/>
      <c r="H3634" s="77"/>
      <c r="I3634" s="76"/>
      <c r="J3634" s="77"/>
      <c r="K3634" s="77"/>
      <c r="L3634" s="76"/>
      <c r="M3634" s="76"/>
      <c r="N3634" s="76"/>
      <c r="O3634" s="76"/>
      <c r="P3634" s="76"/>
      <c r="Q3634" s="76"/>
      <c r="R3634" s="76"/>
      <c r="S3634" s="76"/>
      <c r="BD3634" s="99">
        <f t="shared" si="119"/>
        <v>0</v>
      </c>
      <c r="CC3634" s="99"/>
      <c r="CV3634" s="99"/>
      <c r="CW3634" s="63"/>
    </row>
    <row r="3635" spans="1:101" x14ac:dyDescent="0.15">
      <c r="A3635" s="76">
        <v>3394</v>
      </c>
      <c r="B3635" s="74" t="s">
        <v>4621</v>
      </c>
      <c r="C3635" s="74" t="s">
        <v>4622</v>
      </c>
      <c r="D3635" s="78" t="str">
        <f t="shared" si="120"/>
        <v>https://portal.dnb.de/opac.htm?method=simpleSearch&amp;cqlMode=true&amp;query=idn%3D113264898X</v>
      </c>
      <c r="E3635" s="74" t="s">
        <v>4623</v>
      </c>
      <c r="F3635" s="74"/>
      <c r="G3635" s="76"/>
      <c r="H3635" s="77"/>
      <c r="I3635" s="76"/>
      <c r="J3635" s="77"/>
      <c r="K3635" s="77"/>
      <c r="L3635" s="76"/>
      <c r="M3635" s="76"/>
      <c r="N3635" s="76"/>
      <c r="O3635" s="76"/>
      <c r="P3635" s="76"/>
      <c r="Q3635" s="76"/>
      <c r="R3635" s="76"/>
      <c r="S3635" s="76"/>
      <c r="BD3635" s="99">
        <f t="shared" si="119"/>
        <v>0</v>
      </c>
      <c r="CC3635" s="99"/>
      <c r="CV3635" s="99"/>
      <c r="CW3635" s="63"/>
    </row>
    <row r="3636" spans="1:101" x14ac:dyDescent="0.15">
      <c r="A3636" s="76">
        <v>3395</v>
      </c>
      <c r="B3636" s="74" t="s">
        <v>4624</v>
      </c>
      <c r="C3636" s="74">
        <v>1132649005</v>
      </c>
      <c r="D3636" s="78" t="str">
        <f t="shared" si="120"/>
        <v>https://portal.dnb.de/opac.htm?method=simpleSearch&amp;cqlMode=true&amp;query=idn%3D1132649005</v>
      </c>
      <c r="E3636" s="74" t="s">
        <v>4623</v>
      </c>
      <c r="F3636" s="74"/>
      <c r="G3636" s="76"/>
      <c r="H3636" s="77"/>
      <c r="I3636" s="76"/>
      <c r="J3636" s="77"/>
      <c r="K3636" s="77"/>
      <c r="L3636" s="76"/>
      <c r="M3636" s="76"/>
      <c r="N3636" s="76"/>
      <c r="O3636" s="76"/>
      <c r="P3636" s="76"/>
      <c r="Q3636" s="76"/>
      <c r="R3636" s="76"/>
      <c r="S3636" s="76"/>
      <c r="BD3636" s="99">
        <f t="shared" si="119"/>
        <v>0</v>
      </c>
      <c r="CC3636" s="99"/>
      <c r="CV3636" s="99"/>
      <c r="CW3636" s="63"/>
    </row>
    <row r="3637" spans="1:101" x14ac:dyDescent="0.15">
      <c r="A3637" s="76">
        <v>3396</v>
      </c>
      <c r="B3637" s="74" t="s">
        <v>4625</v>
      </c>
      <c r="C3637" s="74">
        <v>1132648904</v>
      </c>
      <c r="D3637" s="78" t="str">
        <f t="shared" si="120"/>
        <v>https://portal.dnb.de/opac.htm?method=simpleSearch&amp;cqlMode=true&amp;query=idn%3D1132648904</v>
      </c>
      <c r="E3637" s="74" t="s">
        <v>4623</v>
      </c>
      <c r="F3637" s="74"/>
      <c r="G3637" s="76"/>
      <c r="H3637" s="77"/>
      <c r="I3637" s="76"/>
      <c r="J3637" s="77"/>
      <c r="K3637" s="77"/>
      <c r="L3637" s="76"/>
      <c r="M3637" s="76"/>
      <c r="N3637" s="76"/>
      <c r="O3637" s="76"/>
      <c r="P3637" s="76"/>
      <c r="Q3637" s="76"/>
      <c r="R3637" s="76"/>
      <c r="S3637" s="76"/>
      <c r="BD3637" s="99">
        <f t="shared" si="119"/>
        <v>0</v>
      </c>
      <c r="CC3637" s="99"/>
      <c r="CV3637" s="99"/>
      <c r="CW3637" s="63"/>
    </row>
    <row r="3638" spans="1:101" x14ac:dyDescent="0.15">
      <c r="A3638" s="76">
        <v>3397</v>
      </c>
      <c r="B3638" s="74" t="s">
        <v>4626</v>
      </c>
      <c r="C3638" s="74">
        <v>1132648998</v>
      </c>
      <c r="D3638" s="78" t="str">
        <f t="shared" si="120"/>
        <v>https://portal.dnb.de/opac.htm?method=simpleSearch&amp;cqlMode=true&amp;query=idn%3D1132648998</v>
      </c>
      <c r="E3638" s="74" t="s">
        <v>4623</v>
      </c>
      <c r="F3638" s="74"/>
      <c r="G3638" s="76"/>
      <c r="H3638" s="77"/>
      <c r="I3638" s="76"/>
      <c r="J3638" s="77"/>
      <c r="K3638" s="77"/>
      <c r="L3638" s="76"/>
      <c r="M3638" s="76"/>
      <c r="N3638" s="76"/>
      <c r="O3638" s="76"/>
      <c r="P3638" s="76"/>
      <c r="Q3638" s="76"/>
      <c r="R3638" s="76"/>
      <c r="S3638" s="76"/>
      <c r="BD3638" s="99">
        <f t="shared" si="119"/>
        <v>0</v>
      </c>
      <c r="CC3638" s="99"/>
      <c r="CV3638" s="99"/>
      <c r="CW3638" s="63"/>
    </row>
    <row r="3639" spans="1:101" x14ac:dyDescent="0.15">
      <c r="A3639" s="76">
        <v>3398</v>
      </c>
      <c r="B3639" s="74" t="s">
        <v>4627</v>
      </c>
      <c r="C3639" s="74">
        <v>1132648963</v>
      </c>
      <c r="D3639" s="78" t="str">
        <f t="shared" si="120"/>
        <v>https://portal.dnb.de/opac.htm?method=simpleSearch&amp;cqlMode=true&amp;query=idn%3D1132648963</v>
      </c>
      <c r="E3639" s="74" t="s">
        <v>4623</v>
      </c>
      <c r="F3639" s="74"/>
      <c r="G3639" s="76"/>
      <c r="H3639" s="77"/>
      <c r="I3639" s="76"/>
      <c r="J3639" s="77"/>
      <c r="K3639" s="77"/>
      <c r="L3639" s="76"/>
      <c r="M3639" s="76"/>
      <c r="N3639" s="76"/>
      <c r="O3639" s="76"/>
      <c r="P3639" s="76"/>
      <c r="Q3639" s="76"/>
      <c r="R3639" s="76"/>
      <c r="S3639" s="76"/>
      <c r="BD3639" s="99">
        <f t="shared" si="119"/>
        <v>0</v>
      </c>
      <c r="CC3639" s="99"/>
      <c r="CV3639" s="99"/>
      <c r="CW3639" s="63"/>
    </row>
    <row r="3640" spans="1:101" x14ac:dyDescent="0.15">
      <c r="A3640" s="76">
        <v>3399</v>
      </c>
      <c r="B3640" s="74" t="s">
        <v>4628</v>
      </c>
      <c r="C3640" s="74">
        <v>1132648971</v>
      </c>
      <c r="D3640" s="78" t="str">
        <f t="shared" si="120"/>
        <v>https://portal.dnb.de/opac.htm?method=simpleSearch&amp;cqlMode=true&amp;query=idn%3D1132648971</v>
      </c>
      <c r="E3640" s="74" t="s">
        <v>4623</v>
      </c>
      <c r="F3640" s="74"/>
      <c r="G3640" s="76"/>
      <c r="H3640" s="77"/>
      <c r="I3640" s="76"/>
      <c r="J3640" s="77"/>
      <c r="K3640" s="77"/>
      <c r="L3640" s="76"/>
      <c r="M3640" s="76"/>
      <c r="N3640" s="76"/>
      <c r="O3640" s="76"/>
      <c r="P3640" s="76"/>
      <c r="Q3640" s="76"/>
      <c r="R3640" s="76"/>
      <c r="S3640" s="76"/>
      <c r="BD3640" s="99">
        <f t="shared" si="119"/>
        <v>0</v>
      </c>
      <c r="CC3640" s="99"/>
      <c r="CV3640" s="99"/>
      <c r="CW3640" s="63"/>
    </row>
    <row r="3641" spans="1:101" x14ac:dyDescent="0.15">
      <c r="A3641" s="76">
        <v>3400</v>
      </c>
      <c r="B3641" s="74" t="s">
        <v>4629</v>
      </c>
      <c r="C3641" s="74">
        <v>1132648955</v>
      </c>
      <c r="D3641" s="78" t="str">
        <f t="shared" si="120"/>
        <v>https://portal.dnb.de/opac.htm?method=simpleSearch&amp;cqlMode=true&amp;query=idn%3D1132648955</v>
      </c>
      <c r="E3641" s="74" t="s">
        <v>4623</v>
      </c>
      <c r="F3641" s="74"/>
      <c r="G3641" s="76"/>
      <c r="H3641" s="77"/>
      <c r="I3641" s="76"/>
      <c r="J3641" s="77"/>
      <c r="K3641" s="77"/>
      <c r="L3641" s="76"/>
      <c r="M3641" s="76"/>
      <c r="N3641" s="76"/>
      <c r="O3641" s="76"/>
      <c r="P3641" s="76"/>
      <c r="Q3641" s="76"/>
      <c r="R3641" s="76"/>
      <c r="S3641" s="76"/>
      <c r="BD3641" s="99">
        <f t="shared" si="119"/>
        <v>0</v>
      </c>
      <c r="CC3641" s="99"/>
      <c r="CV3641" s="99"/>
      <c r="CW3641" s="63"/>
    </row>
    <row r="3642" spans="1:101" x14ac:dyDescent="0.15">
      <c r="A3642" s="76">
        <v>3401</v>
      </c>
      <c r="B3642" s="74" t="s">
        <v>4630</v>
      </c>
      <c r="C3642" s="74">
        <v>1003198201</v>
      </c>
      <c r="D3642" s="78" t="str">
        <f t="shared" si="120"/>
        <v>https://portal.dnb.de/opac.htm?method=simpleSearch&amp;cqlMode=true&amp;query=idn%3D1003198201</v>
      </c>
      <c r="E3642" s="74" t="s">
        <v>4631</v>
      </c>
      <c r="F3642" s="74"/>
      <c r="G3642" s="76"/>
      <c r="H3642" s="77"/>
      <c r="I3642" s="76"/>
      <c r="J3642" s="77"/>
      <c r="K3642" s="77"/>
      <c r="L3642" s="76"/>
      <c r="M3642" s="76"/>
      <c r="N3642" s="76"/>
      <c r="O3642" s="76"/>
      <c r="P3642" s="76"/>
      <c r="Q3642" s="76"/>
      <c r="R3642" s="76"/>
      <c r="S3642" s="76"/>
      <c r="BD3642" s="99">
        <f t="shared" si="119"/>
        <v>0</v>
      </c>
      <c r="CC3642" s="99"/>
      <c r="CV3642" s="99"/>
      <c r="CW3642" s="63"/>
    </row>
    <row r="3643" spans="1:101" x14ac:dyDescent="0.15">
      <c r="A3643" s="76">
        <v>3402</v>
      </c>
      <c r="B3643" s="74" t="s">
        <v>4632</v>
      </c>
      <c r="C3643" s="74">
        <v>1003198503</v>
      </c>
      <c r="D3643" s="78" t="str">
        <f t="shared" si="120"/>
        <v>https://portal.dnb.de/opac.htm?method=simpleSearch&amp;cqlMode=true&amp;query=idn%3D1003198503</v>
      </c>
      <c r="E3643" s="74" t="s">
        <v>4633</v>
      </c>
      <c r="F3643" s="74"/>
      <c r="G3643" s="76"/>
      <c r="H3643" s="77"/>
      <c r="I3643" s="76"/>
      <c r="J3643" s="77"/>
      <c r="K3643" s="77"/>
      <c r="L3643" s="76"/>
      <c r="M3643" s="76"/>
      <c r="N3643" s="76"/>
      <c r="O3643" s="76"/>
      <c r="P3643" s="76"/>
      <c r="Q3643" s="76"/>
      <c r="R3643" s="76"/>
      <c r="S3643" s="76"/>
      <c r="BD3643" s="99">
        <f t="shared" si="119"/>
        <v>0</v>
      </c>
      <c r="CC3643" s="99"/>
      <c r="CV3643" s="99"/>
      <c r="CW3643" s="63"/>
    </row>
    <row r="3644" spans="1:101" x14ac:dyDescent="0.15">
      <c r="A3644" s="76">
        <v>3403</v>
      </c>
      <c r="B3644" s="74" t="s">
        <v>4641</v>
      </c>
      <c r="C3644" s="74" t="s">
        <v>4642</v>
      </c>
      <c r="D3644" s="78" t="str">
        <f t="shared" si="120"/>
        <v>https://portal.dnb.de/opac.htm?method=simpleSearch&amp;cqlMode=true&amp;query=idn%3D100130358X</v>
      </c>
      <c r="E3644" s="74" t="s">
        <v>4643</v>
      </c>
      <c r="F3644" s="74"/>
      <c r="G3644" s="76"/>
      <c r="H3644" s="77"/>
      <c r="I3644" s="76"/>
      <c r="J3644" s="77"/>
      <c r="K3644" s="77"/>
      <c r="L3644" s="76"/>
      <c r="M3644" s="76"/>
      <c r="N3644" s="76"/>
      <c r="O3644" s="76"/>
      <c r="P3644" s="76"/>
      <c r="Q3644" s="76"/>
      <c r="R3644" s="76"/>
      <c r="S3644" s="76"/>
      <c r="BD3644" s="99">
        <f t="shared" si="119"/>
        <v>0</v>
      </c>
      <c r="CC3644" s="99"/>
      <c r="CV3644" s="99"/>
      <c r="CW3644" s="63"/>
    </row>
    <row r="3645" spans="1:101" x14ac:dyDescent="0.15">
      <c r="A3645" s="76">
        <v>3404</v>
      </c>
      <c r="B3645" s="74" t="s">
        <v>4646</v>
      </c>
      <c r="C3645" s="74">
        <v>1002954347</v>
      </c>
      <c r="D3645" s="78" t="str">
        <f t="shared" si="120"/>
        <v>https://portal.dnb.de/opac.htm?method=simpleSearch&amp;cqlMode=true&amp;query=idn%3D1002954347</v>
      </c>
      <c r="E3645" s="74" t="s">
        <v>4647</v>
      </c>
      <c r="F3645" s="74"/>
      <c r="G3645" s="76"/>
      <c r="H3645" s="77"/>
      <c r="I3645" s="76"/>
      <c r="J3645" s="77"/>
      <c r="K3645" s="77"/>
      <c r="L3645" s="76"/>
      <c r="M3645" s="76"/>
      <c r="N3645" s="76"/>
      <c r="O3645" s="76"/>
      <c r="P3645" s="76"/>
      <c r="Q3645" s="76"/>
      <c r="R3645" s="76"/>
      <c r="S3645" s="76"/>
      <c r="BD3645" s="99">
        <f t="shared" si="119"/>
        <v>0</v>
      </c>
      <c r="CC3645" s="99"/>
      <c r="CV3645" s="99"/>
      <c r="CW3645" s="63"/>
    </row>
    <row r="3646" spans="1:101" ht="22.5" x14ac:dyDescent="0.15">
      <c r="A3646" s="76">
        <v>3405</v>
      </c>
      <c r="B3646" s="74" t="s">
        <v>4650</v>
      </c>
      <c r="C3646" s="74">
        <v>1000629449</v>
      </c>
      <c r="D3646" s="78" t="str">
        <f t="shared" si="120"/>
        <v>https://portal.dnb.de/opac.htm?method=simpleSearch&amp;cqlMode=true&amp;query=idn%3D1000629449</v>
      </c>
      <c r="E3646" s="74" t="s">
        <v>10170</v>
      </c>
      <c r="F3646" s="74"/>
      <c r="G3646" s="76"/>
      <c r="H3646" s="77"/>
      <c r="I3646" s="76" t="s">
        <v>53</v>
      </c>
      <c r="J3646" s="77"/>
      <c r="K3646" s="77"/>
      <c r="L3646" s="76"/>
      <c r="M3646" s="76"/>
      <c r="N3646" s="76"/>
      <c r="O3646" s="76"/>
      <c r="P3646" s="76"/>
      <c r="Q3646" s="76"/>
      <c r="R3646" s="76"/>
      <c r="S3646" s="76"/>
      <c r="Y3646" s="95" t="s">
        <v>9723</v>
      </c>
      <c r="AC3646" s="95" t="s">
        <v>9724</v>
      </c>
      <c r="AI3646" s="95" t="s">
        <v>9725</v>
      </c>
      <c r="AP3646" s="95" t="s">
        <v>8541</v>
      </c>
      <c r="AQ3646" s="96" t="s">
        <v>10175</v>
      </c>
      <c r="AS3646" s="95" t="s">
        <v>9788</v>
      </c>
      <c r="AT3646" s="95" t="s">
        <v>8541</v>
      </c>
      <c r="AW3646" s="95">
        <v>110</v>
      </c>
      <c r="BC3646" s="96" t="s">
        <v>9734</v>
      </c>
      <c r="BD3646" s="99">
        <f t="shared" si="119"/>
        <v>0</v>
      </c>
      <c r="BF3646" s="95" t="s">
        <v>10005</v>
      </c>
      <c r="BL3646" s="70" t="s">
        <v>10015</v>
      </c>
      <c r="CC3646" s="99"/>
      <c r="CV3646" s="99"/>
      <c r="CW3646" s="63"/>
    </row>
    <row r="3647" spans="1:101" x14ac:dyDescent="0.15">
      <c r="A3647" s="76">
        <v>3406</v>
      </c>
      <c r="B3647" s="74" t="s">
        <v>4652</v>
      </c>
      <c r="C3647" s="74">
        <v>1000643468</v>
      </c>
      <c r="D3647" s="78" t="str">
        <f t="shared" si="120"/>
        <v>https://portal.dnb.de/opac.htm?method=simpleSearch&amp;cqlMode=true&amp;query=idn%3D1000643468</v>
      </c>
      <c r="E3647" s="74" t="s">
        <v>10173</v>
      </c>
      <c r="F3647" s="74"/>
      <c r="G3647" s="76"/>
      <c r="H3647" s="77"/>
      <c r="I3647" s="76"/>
      <c r="J3647" s="77"/>
      <c r="K3647" s="77"/>
      <c r="L3647" s="76"/>
      <c r="M3647" s="76"/>
      <c r="N3647" s="76"/>
      <c r="O3647" s="76"/>
      <c r="P3647" s="76"/>
      <c r="Q3647" s="76"/>
      <c r="R3647" s="76"/>
      <c r="S3647" s="76"/>
      <c r="BD3647" s="99">
        <f t="shared" si="119"/>
        <v>0</v>
      </c>
      <c r="CC3647" s="99"/>
      <c r="CV3647" s="99"/>
      <c r="CW3647" s="63"/>
    </row>
    <row r="3648" spans="1:101" ht="22.5" x14ac:dyDescent="0.15">
      <c r="A3648" s="76">
        <v>3407</v>
      </c>
      <c r="B3648" s="74" t="s">
        <v>4653</v>
      </c>
      <c r="C3648" s="74">
        <v>1000625052</v>
      </c>
      <c r="D3648" s="78" t="str">
        <f t="shared" si="120"/>
        <v>https://portal.dnb.de/opac.htm?method=simpleSearch&amp;cqlMode=true&amp;query=idn%3D1000625052</v>
      </c>
      <c r="E3648" s="74" t="s">
        <v>10171</v>
      </c>
      <c r="F3648" s="74"/>
      <c r="G3648" s="76"/>
      <c r="H3648" s="77"/>
      <c r="I3648" s="76" t="s">
        <v>53</v>
      </c>
      <c r="J3648" s="77"/>
      <c r="K3648" s="77"/>
      <c r="L3648" s="76"/>
      <c r="M3648" s="76"/>
      <c r="N3648" s="76"/>
      <c r="O3648" s="76"/>
      <c r="P3648" s="76"/>
      <c r="Q3648" s="76"/>
      <c r="R3648" s="76"/>
      <c r="S3648" s="76"/>
      <c r="Y3648" s="95" t="s">
        <v>9723</v>
      </c>
      <c r="AC3648" s="95" t="s">
        <v>9724</v>
      </c>
      <c r="AI3648" s="95" t="s">
        <v>9725</v>
      </c>
      <c r="AP3648" s="95" t="s">
        <v>8541</v>
      </c>
      <c r="AQ3648" s="96" t="s">
        <v>10174</v>
      </c>
      <c r="AS3648" s="95" t="s">
        <v>9788</v>
      </c>
      <c r="AT3648" s="95" t="s">
        <v>8541</v>
      </c>
      <c r="AW3648" s="95">
        <v>110</v>
      </c>
      <c r="BC3648" s="96" t="s">
        <v>9734</v>
      </c>
      <c r="BD3648" s="99">
        <f t="shared" si="119"/>
        <v>0</v>
      </c>
      <c r="BF3648" s="95" t="s">
        <v>10005</v>
      </c>
      <c r="CC3648" s="99"/>
      <c r="CV3648" s="99"/>
      <c r="CW3648" s="63"/>
    </row>
    <row r="3649" spans="1:101" ht="33.75" x14ac:dyDescent="0.15">
      <c r="A3649" s="76">
        <v>3408</v>
      </c>
      <c r="B3649" s="74" t="s">
        <v>4654</v>
      </c>
      <c r="C3649" s="74">
        <v>26956586</v>
      </c>
      <c r="D3649" s="78" t="str">
        <f t="shared" si="120"/>
        <v>https://portal.dnb.de/opac.htm?method=simpleSearch&amp;cqlMode=true&amp;query=idn%3D26956586</v>
      </c>
      <c r="E3649" s="74" t="s">
        <v>4651</v>
      </c>
      <c r="F3649" s="79" t="s">
        <v>10526</v>
      </c>
      <c r="G3649" s="76"/>
      <c r="H3649" s="77"/>
      <c r="I3649" s="76"/>
      <c r="J3649" s="77"/>
      <c r="K3649" s="77"/>
      <c r="L3649" s="76"/>
      <c r="M3649" s="76"/>
      <c r="N3649" s="76"/>
      <c r="O3649" s="76"/>
      <c r="P3649" s="76"/>
      <c r="Q3649" s="76"/>
      <c r="R3649" s="76"/>
      <c r="S3649" s="76"/>
      <c r="BD3649" s="99">
        <f t="shared" si="119"/>
        <v>0</v>
      </c>
      <c r="CC3649" s="99"/>
      <c r="CV3649" s="99"/>
      <c r="CW3649" s="63"/>
    </row>
    <row r="3650" spans="1:101" ht="22.5" x14ac:dyDescent="0.15">
      <c r="A3650" s="76">
        <v>3409</v>
      </c>
      <c r="B3650" s="74" t="s">
        <v>4655</v>
      </c>
      <c r="C3650" s="74" t="s">
        <v>4656</v>
      </c>
      <c r="D3650" s="78" t="str">
        <f t="shared" si="120"/>
        <v>https://portal.dnb.de/opac.htm?method=simpleSearch&amp;cqlMode=true&amp;query=idn%3D100064328X</v>
      </c>
      <c r="E3650" s="74" t="s">
        <v>10172</v>
      </c>
      <c r="F3650" s="74"/>
      <c r="G3650" s="76"/>
      <c r="H3650" s="77"/>
      <c r="I3650" s="76" t="s">
        <v>53</v>
      </c>
      <c r="J3650" s="77"/>
      <c r="K3650" s="77"/>
      <c r="L3650" s="76"/>
      <c r="M3650" s="76"/>
      <c r="N3650" s="76"/>
      <c r="O3650" s="76"/>
      <c r="P3650" s="76"/>
      <c r="Q3650" s="76"/>
      <c r="R3650" s="76"/>
      <c r="S3650" s="76"/>
      <c r="Y3650" s="95" t="s">
        <v>9723</v>
      </c>
      <c r="AC3650" s="95" t="s">
        <v>9724</v>
      </c>
      <c r="AI3650" s="95" t="s">
        <v>9725</v>
      </c>
      <c r="AP3650" s="95" t="s">
        <v>8541</v>
      </c>
      <c r="AQ3650" s="96" t="s">
        <v>10175</v>
      </c>
      <c r="AS3650" s="95" t="s">
        <v>9788</v>
      </c>
      <c r="AT3650" s="95" t="s">
        <v>8541</v>
      </c>
      <c r="AW3650" s="95">
        <v>110</v>
      </c>
      <c r="BC3650" s="96" t="s">
        <v>9734</v>
      </c>
      <c r="BD3650" s="99">
        <f t="shared" si="119"/>
        <v>0</v>
      </c>
      <c r="BF3650" s="95" t="s">
        <v>10005</v>
      </c>
      <c r="BL3650" s="70" t="s">
        <v>10015</v>
      </c>
      <c r="CC3650" s="99"/>
      <c r="CV3650" s="99"/>
      <c r="CW3650" s="63"/>
    </row>
    <row r="3651" spans="1:101" x14ac:dyDescent="0.15">
      <c r="A3651" s="76">
        <v>3410</v>
      </c>
      <c r="B3651" s="74" t="s">
        <v>4660</v>
      </c>
      <c r="C3651" s="74">
        <v>1002639727</v>
      </c>
      <c r="D3651" s="78" t="str">
        <f t="shared" si="120"/>
        <v>https://portal.dnb.de/opac.htm?method=simpleSearch&amp;cqlMode=true&amp;query=idn%3D1002639727</v>
      </c>
      <c r="E3651" s="74" t="s">
        <v>4661</v>
      </c>
      <c r="F3651" s="74"/>
      <c r="G3651" s="76"/>
      <c r="H3651" s="77"/>
      <c r="I3651" s="76"/>
      <c r="J3651" s="77"/>
      <c r="K3651" s="77"/>
      <c r="L3651" s="76"/>
      <c r="M3651" s="76"/>
      <c r="N3651" s="76"/>
      <c r="O3651" s="76"/>
      <c r="P3651" s="76"/>
      <c r="Q3651" s="76"/>
      <c r="R3651" s="76"/>
      <c r="S3651" s="76"/>
      <c r="BD3651" s="99">
        <f t="shared" ref="BD3651:BD3714" si="121">CC3651+CV3651</f>
        <v>0</v>
      </c>
      <c r="CC3651" s="99"/>
      <c r="CV3651" s="99"/>
      <c r="CW3651" s="63"/>
    </row>
    <row r="3652" spans="1:101" x14ac:dyDescent="0.15">
      <c r="A3652" s="76">
        <v>3411</v>
      </c>
      <c r="B3652" s="74" t="s">
        <v>4662</v>
      </c>
      <c r="C3652" s="74">
        <v>994180195</v>
      </c>
      <c r="D3652" s="78" t="str">
        <f t="shared" si="120"/>
        <v>https://portal.dnb.de/opac.htm?method=simpleSearch&amp;cqlMode=true&amp;query=idn%3D994180195</v>
      </c>
      <c r="E3652" s="74" t="s">
        <v>4663</v>
      </c>
      <c r="F3652" s="74"/>
      <c r="G3652" s="76"/>
      <c r="H3652" s="77"/>
      <c r="I3652" s="76"/>
      <c r="J3652" s="77"/>
      <c r="K3652" s="77"/>
      <c r="L3652" s="76"/>
      <c r="M3652" s="76"/>
      <c r="N3652" s="76"/>
      <c r="O3652" s="76"/>
      <c r="P3652" s="76"/>
      <c r="Q3652" s="76"/>
      <c r="R3652" s="76"/>
      <c r="S3652" s="76"/>
      <c r="BD3652" s="99">
        <f t="shared" si="121"/>
        <v>0</v>
      </c>
      <c r="CC3652" s="99"/>
      <c r="CV3652" s="99"/>
      <c r="CW3652" s="63"/>
    </row>
    <row r="3653" spans="1:101" x14ac:dyDescent="0.15">
      <c r="A3653" s="76">
        <v>3412</v>
      </c>
      <c r="B3653" s="74" t="s">
        <v>4664</v>
      </c>
      <c r="C3653" s="74">
        <v>998635596</v>
      </c>
      <c r="D3653" s="78" t="str">
        <f t="shared" si="120"/>
        <v>https://portal.dnb.de/opac.htm?method=simpleSearch&amp;cqlMode=true&amp;query=idn%3D998635596</v>
      </c>
      <c r="E3653" s="74" t="s">
        <v>4665</v>
      </c>
      <c r="F3653" s="74"/>
      <c r="G3653" s="76"/>
      <c r="H3653" s="77"/>
      <c r="I3653" s="76"/>
      <c r="J3653" s="77"/>
      <c r="K3653" s="77"/>
      <c r="L3653" s="76"/>
      <c r="M3653" s="76"/>
      <c r="N3653" s="76"/>
      <c r="O3653" s="76"/>
      <c r="P3653" s="76"/>
      <c r="Q3653" s="76"/>
      <c r="R3653" s="76"/>
      <c r="S3653" s="76"/>
      <c r="BD3653" s="99">
        <f t="shared" si="121"/>
        <v>0</v>
      </c>
      <c r="CC3653" s="99"/>
      <c r="CV3653" s="99"/>
      <c r="CW3653" s="63"/>
    </row>
    <row r="3654" spans="1:101" x14ac:dyDescent="0.15">
      <c r="A3654" s="76">
        <v>3413</v>
      </c>
      <c r="B3654" s="74" t="s">
        <v>4666</v>
      </c>
      <c r="C3654" s="74">
        <v>1002618045</v>
      </c>
      <c r="D3654" s="78" t="str">
        <f t="shared" si="120"/>
        <v>https://portal.dnb.de/opac.htm?method=simpleSearch&amp;cqlMode=true&amp;query=idn%3D1002618045</v>
      </c>
      <c r="E3654" s="74" t="s">
        <v>4667</v>
      </c>
      <c r="F3654" s="74"/>
      <c r="G3654" s="76"/>
      <c r="H3654" s="77"/>
      <c r="I3654" s="76"/>
      <c r="J3654" s="77"/>
      <c r="K3654" s="77"/>
      <c r="L3654" s="76"/>
      <c r="M3654" s="76"/>
      <c r="N3654" s="76"/>
      <c r="O3654" s="76"/>
      <c r="P3654" s="76"/>
      <c r="Q3654" s="76"/>
      <c r="R3654" s="76"/>
      <c r="S3654" s="76"/>
      <c r="BD3654" s="99">
        <f t="shared" si="121"/>
        <v>0</v>
      </c>
      <c r="CC3654" s="99"/>
      <c r="CV3654" s="99"/>
      <c r="CW3654" s="63"/>
    </row>
    <row r="3655" spans="1:101" x14ac:dyDescent="0.15">
      <c r="A3655" s="76">
        <v>3414</v>
      </c>
      <c r="B3655" s="74" t="s">
        <v>4668</v>
      </c>
      <c r="C3655" s="74">
        <v>1002617553</v>
      </c>
      <c r="D3655" s="78" t="str">
        <f t="shared" si="120"/>
        <v>https://portal.dnb.de/opac.htm?method=simpleSearch&amp;cqlMode=true&amp;query=idn%3D1002617553</v>
      </c>
      <c r="E3655" s="74" t="s">
        <v>4667</v>
      </c>
      <c r="F3655" s="74"/>
      <c r="G3655" s="76"/>
      <c r="H3655" s="77"/>
      <c r="I3655" s="76"/>
      <c r="J3655" s="77"/>
      <c r="K3655" s="77"/>
      <c r="L3655" s="76"/>
      <c r="M3655" s="76"/>
      <c r="N3655" s="76"/>
      <c r="O3655" s="76"/>
      <c r="P3655" s="76"/>
      <c r="Q3655" s="76"/>
      <c r="R3655" s="76"/>
      <c r="S3655" s="76"/>
      <c r="BD3655" s="99">
        <f t="shared" si="121"/>
        <v>0</v>
      </c>
      <c r="CC3655" s="99"/>
      <c r="CV3655" s="99"/>
      <c r="CW3655" s="63"/>
    </row>
    <row r="3656" spans="1:101" x14ac:dyDescent="0.15">
      <c r="A3656" s="76">
        <v>3415</v>
      </c>
      <c r="B3656" s="74" t="s">
        <v>4669</v>
      </c>
      <c r="C3656" s="74">
        <v>1002617936</v>
      </c>
      <c r="D3656" s="78" t="str">
        <f t="shared" si="120"/>
        <v>https://portal.dnb.de/opac.htm?method=simpleSearch&amp;cqlMode=true&amp;query=idn%3D1002617936</v>
      </c>
      <c r="E3656" s="74" t="s">
        <v>4667</v>
      </c>
      <c r="F3656" s="74"/>
      <c r="G3656" s="76"/>
      <c r="H3656" s="77"/>
      <c r="I3656" s="76"/>
      <c r="J3656" s="77"/>
      <c r="K3656" s="77"/>
      <c r="L3656" s="76"/>
      <c r="M3656" s="76"/>
      <c r="N3656" s="76"/>
      <c r="O3656" s="76"/>
      <c r="P3656" s="76"/>
      <c r="Q3656" s="76"/>
      <c r="R3656" s="76"/>
      <c r="S3656" s="76"/>
      <c r="BD3656" s="99">
        <f t="shared" si="121"/>
        <v>0</v>
      </c>
      <c r="CC3656" s="99"/>
      <c r="CV3656" s="99"/>
      <c r="CW3656" s="63"/>
    </row>
    <row r="3657" spans="1:101" x14ac:dyDescent="0.15">
      <c r="A3657" s="76">
        <v>3416</v>
      </c>
      <c r="B3657" s="74" t="s">
        <v>4670</v>
      </c>
      <c r="C3657" s="74">
        <v>1002026660</v>
      </c>
      <c r="D3657" s="78" t="str">
        <f t="shared" si="120"/>
        <v>https://portal.dnb.de/opac.htm?method=simpleSearch&amp;cqlMode=true&amp;query=idn%3D1002026660</v>
      </c>
      <c r="E3657" s="74" t="s">
        <v>4671</v>
      </c>
      <c r="F3657" s="74"/>
      <c r="G3657" s="76"/>
      <c r="H3657" s="77"/>
      <c r="I3657" s="76"/>
      <c r="J3657" s="77"/>
      <c r="K3657" s="77"/>
      <c r="L3657" s="76"/>
      <c r="M3657" s="76"/>
      <c r="N3657" s="76"/>
      <c r="O3657" s="76"/>
      <c r="P3657" s="76"/>
      <c r="Q3657" s="76"/>
      <c r="R3657" s="76"/>
      <c r="S3657" s="76"/>
      <c r="BD3657" s="99">
        <f t="shared" si="121"/>
        <v>0</v>
      </c>
      <c r="CC3657" s="99"/>
      <c r="CV3657" s="99"/>
      <c r="CW3657" s="63"/>
    </row>
    <row r="3658" spans="1:101" x14ac:dyDescent="0.15">
      <c r="A3658" s="76">
        <v>3417</v>
      </c>
      <c r="B3658" s="74" t="s">
        <v>4672</v>
      </c>
      <c r="C3658" s="74">
        <v>995642818</v>
      </c>
      <c r="D3658" s="78" t="str">
        <f t="shared" si="120"/>
        <v>https://portal.dnb.de/opac.htm?method=simpleSearch&amp;cqlMode=true&amp;query=idn%3D995642818</v>
      </c>
      <c r="E3658" s="74" t="s">
        <v>4673</v>
      </c>
      <c r="F3658" s="74"/>
      <c r="G3658" s="76"/>
      <c r="H3658" s="77"/>
      <c r="I3658" s="76"/>
      <c r="J3658" s="77"/>
      <c r="K3658" s="77"/>
      <c r="L3658" s="76"/>
      <c r="M3658" s="76"/>
      <c r="N3658" s="76"/>
      <c r="O3658" s="76"/>
      <c r="P3658" s="76"/>
      <c r="Q3658" s="76"/>
      <c r="R3658" s="76"/>
      <c r="S3658" s="76"/>
      <c r="BD3658" s="99">
        <f t="shared" si="121"/>
        <v>0</v>
      </c>
      <c r="CC3658" s="99"/>
      <c r="CV3658" s="99"/>
      <c r="CW3658" s="63"/>
    </row>
    <row r="3659" spans="1:101" x14ac:dyDescent="0.15">
      <c r="A3659" s="76">
        <v>3418</v>
      </c>
      <c r="B3659" s="74" t="s">
        <v>4674</v>
      </c>
      <c r="C3659" s="74">
        <v>994214359</v>
      </c>
      <c r="D3659" s="78" t="str">
        <f t="shared" si="120"/>
        <v>https://portal.dnb.de/opac.htm?method=simpleSearch&amp;cqlMode=true&amp;query=idn%3D994214359</v>
      </c>
      <c r="E3659" s="74" t="s">
        <v>4675</v>
      </c>
      <c r="F3659" s="74"/>
      <c r="G3659" s="76"/>
      <c r="H3659" s="77"/>
      <c r="I3659" s="76"/>
      <c r="J3659" s="77"/>
      <c r="K3659" s="77"/>
      <c r="L3659" s="76"/>
      <c r="M3659" s="76"/>
      <c r="N3659" s="76"/>
      <c r="O3659" s="76"/>
      <c r="P3659" s="76"/>
      <c r="Q3659" s="76"/>
      <c r="R3659" s="76"/>
      <c r="S3659" s="76"/>
      <c r="BD3659" s="99">
        <f t="shared" si="121"/>
        <v>0</v>
      </c>
      <c r="CC3659" s="99"/>
      <c r="CV3659" s="99"/>
      <c r="CW3659" s="63"/>
    </row>
    <row r="3660" spans="1:101" x14ac:dyDescent="0.15">
      <c r="A3660" s="76">
        <v>3419</v>
      </c>
      <c r="B3660" s="74" t="s">
        <v>4682</v>
      </c>
      <c r="C3660" s="74">
        <v>1000828484</v>
      </c>
      <c r="D3660" s="78" t="str">
        <f t="shared" ref="D3660:D3723" si="122">HYPERLINK(CONCATENATE("https://portal.dnb.de/opac.htm?method=simpleSearch&amp;cqlMode=true&amp;query=idn%3D",C3660))</f>
        <v>https://portal.dnb.de/opac.htm?method=simpleSearch&amp;cqlMode=true&amp;query=idn%3D1000828484</v>
      </c>
      <c r="E3660" s="74" t="s">
        <v>4683</v>
      </c>
      <c r="F3660" s="74"/>
      <c r="G3660" s="76"/>
      <c r="H3660" s="77"/>
      <c r="I3660" s="76"/>
      <c r="J3660" s="77"/>
      <c r="K3660" s="77"/>
      <c r="L3660" s="76"/>
      <c r="M3660" s="76"/>
      <c r="N3660" s="76"/>
      <c r="O3660" s="76"/>
      <c r="P3660" s="76"/>
      <c r="Q3660" s="76"/>
      <c r="R3660" s="76"/>
      <c r="S3660" s="76"/>
      <c r="BD3660" s="99">
        <f t="shared" si="121"/>
        <v>0</v>
      </c>
      <c r="CC3660" s="99"/>
      <c r="CV3660" s="99"/>
      <c r="CW3660" s="63"/>
    </row>
    <row r="3661" spans="1:101" x14ac:dyDescent="0.15">
      <c r="A3661" s="76">
        <v>3420</v>
      </c>
      <c r="B3661" s="74" t="s">
        <v>4684</v>
      </c>
      <c r="C3661" s="74">
        <v>993914586</v>
      </c>
      <c r="D3661" s="78" t="str">
        <f t="shared" si="122"/>
        <v>https://portal.dnb.de/opac.htm?method=simpleSearch&amp;cqlMode=true&amp;query=idn%3D993914586</v>
      </c>
      <c r="E3661" s="74" t="s">
        <v>4685</v>
      </c>
      <c r="F3661" s="74"/>
      <c r="G3661" s="76"/>
      <c r="H3661" s="77"/>
      <c r="I3661" s="76"/>
      <c r="J3661" s="77"/>
      <c r="K3661" s="77"/>
      <c r="L3661" s="76"/>
      <c r="M3661" s="76"/>
      <c r="N3661" s="76"/>
      <c r="O3661" s="76"/>
      <c r="P3661" s="76"/>
      <c r="Q3661" s="76"/>
      <c r="R3661" s="76"/>
      <c r="S3661" s="76"/>
      <c r="BD3661" s="99">
        <f t="shared" si="121"/>
        <v>0</v>
      </c>
      <c r="CC3661" s="99"/>
      <c r="CV3661" s="99"/>
      <c r="CW3661" s="63"/>
    </row>
    <row r="3662" spans="1:101" x14ac:dyDescent="0.15">
      <c r="A3662" s="76">
        <v>3421</v>
      </c>
      <c r="B3662" s="74" t="s">
        <v>4686</v>
      </c>
      <c r="C3662" s="74">
        <v>997976861</v>
      </c>
      <c r="D3662" s="78" t="str">
        <f t="shared" si="122"/>
        <v>https://portal.dnb.de/opac.htm?method=simpleSearch&amp;cqlMode=true&amp;query=idn%3D997976861</v>
      </c>
      <c r="E3662" s="74" t="s">
        <v>4687</v>
      </c>
      <c r="F3662" s="74"/>
      <c r="G3662" s="76"/>
      <c r="H3662" s="77"/>
      <c r="I3662" s="76"/>
      <c r="J3662" s="77"/>
      <c r="K3662" s="77"/>
      <c r="L3662" s="76"/>
      <c r="M3662" s="76"/>
      <c r="N3662" s="76"/>
      <c r="O3662" s="76"/>
      <c r="P3662" s="76"/>
      <c r="Q3662" s="76"/>
      <c r="R3662" s="76"/>
      <c r="S3662" s="76"/>
      <c r="BD3662" s="99">
        <f t="shared" si="121"/>
        <v>0</v>
      </c>
      <c r="CC3662" s="99"/>
      <c r="CV3662" s="99"/>
      <c r="CW3662" s="63"/>
    </row>
    <row r="3663" spans="1:101" x14ac:dyDescent="0.15">
      <c r="A3663" s="76">
        <v>3422</v>
      </c>
      <c r="B3663" s="74" t="s">
        <v>4688</v>
      </c>
      <c r="C3663" s="74" t="s">
        <v>4689</v>
      </c>
      <c r="D3663" s="78" t="str">
        <f t="shared" si="122"/>
        <v>https://portal.dnb.de/opac.htm?method=simpleSearch&amp;cqlMode=true&amp;query=idn%3D99424990X</v>
      </c>
      <c r="E3663" s="74" t="s">
        <v>4690</v>
      </c>
      <c r="F3663" s="74"/>
      <c r="G3663" s="76"/>
      <c r="H3663" s="77"/>
      <c r="I3663" s="76"/>
      <c r="J3663" s="77"/>
      <c r="K3663" s="77"/>
      <c r="L3663" s="76"/>
      <c r="M3663" s="76"/>
      <c r="N3663" s="76"/>
      <c r="O3663" s="76"/>
      <c r="P3663" s="76"/>
      <c r="Q3663" s="76"/>
      <c r="R3663" s="76"/>
      <c r="S3663" s="76"/>
      <c r="BD3663" s="99">
        <f t="shared" si="121"/>
        <v>0</v>
      </c>
      <c r="CC3663" s="99"/>
      <c r="CV3663" s="99"/>
      <c r="CW3663" s="63"/>
    </row>
    <row r="3664" spans="1:101" x14ac:dyDescent="0.15">
      <c r="A3664" s="76">
        <v>3423</v>
      </c>
      <c r="B3664" s="74" t="s">
        <v>4691</v>
      </c>
      <c r="C3664" s="74">
        <v>994249799</v>
      </c>
      <c r="D3664" s="78" t="str">
        <f t="shared" si="122"/>
        <v>https://portal.dnb.de/opac.htm?method=simpleSearch&amp;cqlMode=true&amp;query=idn%3D994249799</v>
      </c>
      <c r="E3664" s="74" t="s">
        <v>4690</v>
      </c>
      <c r="F3664" s="74"/>
      <c r="G3664" s="76"/>
      <c r="H3664" s="77"/>
      <c r="I3664" s="76"/>
      <c r="J3664" s="77"/>
      <c r="K3664" s="77"/>
      <c r="L3664" s="76"/>
      <c r="M3664" s="76"/>
      <c r="N3664" s="76"/>
      <c r="O3664" s="76"/>
      <c r="P3664" s="76"/>
      <c r="Q3664" s="76"/>
      <c r="R3664" s="76"/>
      <c r="S3664" s="76"/>
      <c r="BD3664" s="99">
        <f t="shared" si="121"/>
        <v>0</v>
      </c>
      <c r="CC3664" s="99"/>
      <c r="CV3664" s="99"/>
      <c r="CW3664" s="63"/>
    </row>
    <row r="3665" spans="1:101" x14ac:dyDescent="0.15">
      <c r="A3665" s="76">
        <v>3424</v>
      </c>
      <c r="B3665" s="74" t="s">
        <v>4692</v>
      </c>
      <c r="C3665" s="74">
        <v>1066859183</v>
      </c>
      <c r="D3665" s="78" t="str">
        <f t="shared" si="122"/>
        <v>https://portal.dnb.de/opac.htm?method=simpleSearch&amp;cqlMode=true&amp;query=idn%3D1066859183</v>
      </c>
      <c r="E3665" s="74" t="s">
        <v>4693</v>
      </c>
      <c r="F3665" s="74"/>
      <c r="G3665" s="76"/>
      <c r="H3665" s="77"/>
      <c r="I3665" s="76"/>
      <c r="J3665" s="77"/>
      <c r="K3665" s="77"/>
      <c r="L3665" s="76"/>
      <c r="M3665" s="76"/>
      <c r="N3665" s="76"/>
      <c r="O3665" s="76"/>
      <c r="P3665" s="76"/>
      <c r="Q3665" s="76"/>
      <c r="R3665" s="76"/>
      <c r="S3665" s="76"/>
      <c r="BD3665" s="99">
        <f t="shared" si="121"/>
        <v>0</v>
      </c>
      <c r="CC3665" s="99"/>
      <c r="CV3665" s="99"/>
      <c r="CW3665" s="63"/>
    </row>
    <row r="3666" spans="1:101" x14ac:dyDescent="0.15">
      <c r="A3666" s="76">
        <v>3425</v>
      </c>
      <c r="B3666" s="74" t="s">
        <v>4694</v>
      </c>
      <c r="C3666" s="74">
        <v>981515142</v>
      </c>
      <c r="D3666" s="78" t="str">
        <f t="shared" si="122"/>
        <v>https://portal.dnb.de/opac.htm?method=simpleSearch&amp;cqlMode=true&amp;query=idn%3D981515142</v>
      </c>
      <c r="E3666" s="74" t="s">
        <v>4695</v>
      </c>
      <c r="F3666" s="74"/>
      <c r="G3666" s="76"/>
      <c r="H3666" s="77"/>
      <c r="I3666" s="76"/>
      <c r="J3666" s="77"/>
      <c r="K3666" s="77"/>
      <c r="L3666" s="76"/>
      <c r="M3666" s="76"/>
      <c r="N3666" s="76"/>
      <c r="O3666" s="76"/>
      <c r="P3666" s="76"/>
      <c r="Q3666" s="76"/>
      <c r="R3666" s="76"/>
      <c r="S3666" s="76"/>
      <c r="BD3666" s="99">
        <f t="shared" si="121"/>
        <v>0</v>
      </c>
      <c r="CC3666" s="99"/>
      <c r="CV3666" s="99"/>
      <c r="CW3666" s="63"/>
    </row>
    <row r="3667" spans="1:101" ht="22.5" x14ac:dyDescent="0.15">
      <c r="A3667" s="76">
        <v>3426</v>
      </c>
      <c r="B3667" s="74" t="s">
        <v>4696</v>
      </c>
      <c r="C3667" s="74">
        <v>1001810724</v>
      </c>
      <c r="D3667" s="78" t="str">
        <f t="shared" si="122"/>
        <v>https://portal.dnb.de/opac.htm?method=simpleSearch&amp;cqlMode=true&amp;query=idn%3D1001810724</v>
      </c>
      <c r="E3667" s="74" t="s">
        <v>4697</v>
      </c>
      <c r="F3667" s="74"/>
      <c r="G3667" s="76"/>
      <c r="H3667" s="77"/>
      <c r="I3667" s="76" t="s">
        <v>53</v>
      </c>
      <c r="J3667" s="77"/>
      <c r="K3667" s="77"/>
      <c r="L3667" s="76"/>
      <c r="M3667" s="76"/>
      <c r="N3667" s="76"/>
      <c r="O3667" s="76"/>
      <c r="P3667" s="76"/>
      <c r="Q3667" s="76"/>
      <c r="R3667" s="76"/>
      <c r="S3667" s="76"/>
      <c r="Y3667" s="95" t="s">
        <v>9723</v>
      </c>
      <c r="AC3667" s="95" t="s">
        <v>9724</v>
      </c>
      <c r="AI3667" s="95" t="s">
        <v>9725</v>
      </c>
      <c r="AP3667" s="95" t="s">
        <v>8541</v>
      </c>
      <c r="AQ3667" s="96" t="s">
        <v>10176</v>
      </c>
      <c r="AW3667" s="95">
        <v>45</v>
      </c>
      <c r="BC3667" s="96" t="s">
        <v>9726</v>
      </c>
      <c r="BD3667" s="99">
        <f t="shared" si="121"/>
        <v>1</v>
      </c>
      <c r="BJ3667" s="95" t="s">
        <v>9741</v>
      </c>
      <c r="BK3667" s="95" t="s">
        <v>8541</v>
      </c>
      <c r="BP3667" s="69" t="s">
        <v>8541</v>
      </c>
      <c r="BQ3667" s="95" t="s">
        <v>8541</v>
      </c>
      <c r="BR3667" s="95" t="s">
        <v>8541</v>
      </c>
      <c r="CC3667" s="99">
        <v>1</v>
      </c>
      <c r="CD3667" s="90" t="s">
        <v>10119</v>
      </c>
      <c r="CV3667" s="99"/>
      <c r="CW3667" s="63"/>
    </row>
    <row r="3668" spans="1:101" ht="45" x14ac:dyDescent="0.15">
      <c r="A3668" s="76">
        <v>3427</v>
      </c>
      <c r="B3668" s="74" t="s">
        <v>4698</v>
      </c>
      <c r="C3668" s="74">
        <v>1001811097</v>
      </c>
      <c r="D3668" s="78" t="str">
        <f t="shared" si="122"/>
        <v>https://portal.dnb.de/opac.htm?method=simpleSearch&amp;cqlMode=true&amp;query=idn%3D1001811097</v>
      </c>
      <c r="E3668" s="74" t="s">
        <v>4699</v>
      </c>
      <c r="F3668" s="74"/>
      <c r="G3668" s="76"/>
      <c r="H3668" s="77"/>
      <c r="I3668" s="76" t="s">
        <v>53</v>
      </c>
      <c r="J3668" s="77"/>
      <c r="K3668" s="77"/>
      <c r="L3668" s="76"/>
      <c r="M3668" s="76"/>
      <c r="N3668" s="76"/>
      <c r="O3668" s="76"/>
      <c r="P3668" s="76"/>
      <c r="Q3668" s="76"/>
      <c r="R3668" s="76"/>
      <c r="S3668" s="76"/>
      <c r="Y3668" s="95" t="s">
        <v>9865</v>
      </c>
      <c r="AC3668" s="95" t="s">
        <v>9737</v>
      </c>
      <c r="AI3668" s="95" t="s">
        <v>9725</v>
      </c>
      <c r="AP3668" s="95" t="s">
        <v>8541</v>
      </c>
      <c r="AQ3668" s="96" t="s">
        <v>10177</v>
      </c>
      <c r="AW3668" s="95">
        <v>110</v>
      </c>
      <c r="AY3668" s="95" t="s">
        <v>8541</v>
      </c>
      <c r="BC3668" s="96" t="s">
        <v>9726</v>
      </c>
      <c r="BD3668" s="99">
        <f t="shared" si="121"/>
        <v>14</v>
      </c>
      <c r="BJ3668" s="95" t="s">
        <v>9741</v>
      </c>
      <c r="BK3668" s="95" t="s">
        <v>8541</v>
      </c>
      <c r="BP3668" s="69" t="s">
        <v>8541</v>
      </c>
      <c r="BR3668" s="95" t="s">
        <v>8541</v>
      </c>
      <c r="CC3668" s="99">
        <v>2</v>
      </c>
      <c r="CD3668" s="90" t="s">
        <v>10178</v>
      </c>
      <c r="CJ3668" s="95" t="s">
        <v>8541</v>
      </c>
      <c r="CL3668" s="95" t="s">
        <v>8541</v>
      </c>
      <c r="CM3668" s="95" t="s">
        <v>8541</v>
      </c>
      <c r="CN3668" s="95" t="s">
        <v>8541</v>
      </c>
      <c r="CQ3668" s="95" t="s">
        <v>8541</v>
      </c>
      <c r="CU3668" s="95" t="s">
        <v>8541</v>
      </c>
      <c r="CV3668" s="99">
        <v>12</v>
      </c>
      <c r="CW3668" s="90" t="s">
        <v>10179</v>
      </c>
    </row>
    <row r="3669" spans="1:101" x14ac:dyDescent="0.15">
      <c r="A3669" s="76">
        <v>3428</v>
      </c>
      <c r="B3669" s="74" t="s">
        <v>4700</v>
      </c>
      <c r="C3669" s="74">
        <v>1023719398</v>
      </c>
      <c r="D3669" s="78" t="str">
        <f t="shared" si="122"/>
        <v>https://portal.dnb.de/opac.htm?method=simpleSearch&amp;cqlMode=true&amp;query=idn%3D1023719398</v>
      </c>
      <c r="E3669" s="74" t="s">
        <v>4701</v>
      </c>
      <c r="F3669" s="74"/>
      <c r="G3669" s="76"/>
      <c r="H3669" s="77"/>
      <c r="I3669" s="76" t="s">
        <v>53</v>
      </c>
      <c r="J3669" s="77"/>
      <c r="K3669" s="77"/>
      <c r="L3669" s="76"/>
      <c r="M3669" s="76"/>
      <c r="N3669" s="76"/>
      <c r="O3669" s="76"/>
      <c r="P3669" s="76"/>
      <c r="Q3669" s="76"/>
      <c r="R3669" s="76"/>
      <c r="S3669" s="76"/>
      <c r="Y3669" s="95" t="s">
        <v>9736</v>
      </c>
      <c r="AC3669" s="95" t="s">
        <v>9737</v>
      </c>
      <c r="AI3669" s="95" t="s">
        <v>9725</v>
      </c>
      <c r="AP3669" s="95" t="s">
        <v>8541</v>
      </c>
      <c r="AW3669" s="95">
        <v>110</v>
      </c>
      <c r="BC3669" s="96" t="s">
        <v>9734</v>
      </c>
      <c r="BD3669" s="99">
        <f t="shared" si="121"/>
        <v>0</v>
      </c>
      <c r="BI3669" s="95" t="s">
        <v>8541</v>
      </c>
      <c r="CC3669" s="99"/>
      <c r="CV3669" s="99"/>
      <c r="CW3669" s="63"/>
    </row>
    <row r="3670" spans="1:101" x14ac:dyDescent="0.15">
      <c r="A3670" s="76">
        <v>3429</v>
      </c>
      <c r="B3670" s="74" t="s">
        <v>4702</v>
      </c>
      <c r="C3670" s="74">
        <v>1069961256</v>
      </c>
      <c r="D3670" s="78" t="str">
        <f t="shared" si="122"/>
        <v>https://portal.dnb.de/opac.htm?method=simpleSearch&amp;cqlMode=true&amp;query=idn%3D1069961256</v>
      </c>
      <c r="E3670" s="74" t="s">
        <v>4703</v>
      </c>
      <c r="F3670" s="74"/>
      <c r="G3670" s="76"/>
      <c r="H3670" s="77"/>
      <c r="I3670" s="76" t="s">
        <v>53</v>
      </c>
      <c r="J3670" s="77"/>
      <c r="K3670" s="77"/>
      <c r="L3670" s="76"/>
      <c r="M3670" s="76"/>
      <c r="N3670" s="76"/>
      <c r="O3670" s="76"/>
      <c r="P3670" s="76"/>
      <c r="Q3670" s="76"/>
      <c r="R3670" s="76"/>
      <c r="S3670" s="76"/>
      <c r="Y3670" s="95" t="s">
        <v>9723</v>
      </c>
      <c r="AC3670" s="95" t="s">
        <v>9730</v>
      </c>
      <c r="AI3670" s="95" t="s">
        <v>9725</v>
      </c>
      <c r="AP3670" s="95" t="s">
        <v>8541</v>
      </c>
      <c r="AW3670" s="95">
        <v>60</v>
      </c>
      <c r="BC3670" s="96" t="s">
        <v>9726</v>
      </c>
      <c r="BD3670" s="99">
        <f t="shared" si="121"/>
        <v>3</v>
      </c>
      <c r="BQ3670" s="95" t="s">
        <v>8541</v>
      </c>
      <c r="BR3670" s="95" t="s">
        <v>8541</v>
      </c>
      <c r="CC3670" s="99">
        <v>3</v>
      </c>
      <c r="CV3670" s="99"/>
      <c r="CW3670" s="63"/>
    </row>
    <row r="3671" spans="1:101" x14ac:dyDescent="0.15">
      <c r="A3671" s="76">
        <v>3430</v>
      </c>
      <c r="B3671" s="74" t="s">
        <v>4706</v>
      </c>
      <c r="C3671" s="74">
        <v>12032123</v>
      </c>
      <c r="D3671" s="78" t="str">
        <f t="shared" si="122"/>
        <v>https://portal.dnb.de/opac.htm?method=simpleSearch&amp;cqlMode=true&amp;query=idn%3D12032123</v>
      </c>
      <c r="E3671" s="74" t="s">
        <v>4707</v>
      </c>
      <c r="F3671" s="74"/>
      <c r="G3671" s="76"/>
      <c r="H3671" s="77"/>
      <c r="I3671" s="76"/>
      <c r="J3671" s="77"/>
      <c r="K3671" s="77"/>
      <c r="L3671" s="76"/>
      <c r="M3671" s="76"/>
      <c r="N3671" s="76"/>
      <c r="O3671" s="76"/>
      <c r="P3671" s="76"/>
      <c r="Q3671" s="76"/>
      <c r="R3671" s="76"/>
      <c r="S3671" s="76"/>
      <c r="BD3671" s="99">
        <f t="shared" si="121"/>
        <v>0</v>
      </c>
      <c r="CC3671" s="99"/>
      <c r="CV3671" s="99"/>
      <c r="CW3671" s="63"/>
    </row>
    <row r="3672" spans="1:101" x14ac:dyDescent="0.15">
      <c r="A3672" s="76">
        <v>3431</v>
      </c>
      <c r="B3672" s="74" t="s">
        <v>4708</v>
      </c>
      <c r="C3672" s="74">
        <v>1190845822</v>
      </c>
      <c r="D3672" s="78" t="str">
        <f t="shared" si="122"/>
        <v>https://portal.dnb.de/opac.htm?method=simpleSearch&amp;cqlMode=true&amp;query=idn%3D1190845822</v>
      </c>
      <c r="E3672" s="74" t="s">
        <v>4707</v>
      </c>
      <c r="F3672" s="74"/>
      <c r="G3672" s="76"/>
      <c r="H3672" s="77"/>
      <c r="I3672" s="76"/>
      <c r="J3672" s="77"/>
      <c r="K3672" s="77"/>
      <c r="L3672" s="76"/>
      <c r="M3672" s="76"/>
      <c r="N3672" s="76"/>
      <c r="O3672" s="76"/>
      <c r="P3672" s="76"/>
      <c r="Q3672" s="76"/>
      <c r="R3672" s="76"/>
      <c r="S3672" s="76"/>
      <c r="BD3672" s="99">
        <f t="shared" si="121"/>
        <v>0</v>
      </c>
      <c r="CC3672" s="99"/>
      <c r="CV3672" s="99"/>
      <c r="CW3672" s="63"/>
    </row>
    <row r="3673" spans="1:101" x14ac:dyDescent="0.15">
      <c r="A3673" s="76">
        <v>3432</v>
      </c>
      <c r="B3673" s="74" t="s">
        <v>4446</v>
      </c>
      <c r="C3673" s="74">
        <v>1001356829</v>
      </c>
      <c r="D3673" s="78" t="str">
        <f t="shared" si="122"/>
        <v>https://portal.dnb.de/opac.htm?method=simpleSearch&amp;cqlMode=true&amp;query=idn%3D1001356829</v>
      </c>
      <c r="E3673" s="74" t="s">
        <v>4447</v>
      </c>
      <c r="F3673" s="74"/>
      <c r="G3673" s="76"/>
      <c r="H3673" s="77"/>
      <c r="I3673" s="76"/>
      <c r="J3673" s="77"/>
      <c r="K3673" s="77"/>
      <c r="L3673" s="76"/>
      <c r="M3673" s="76"/>
      <c r="N3673" s="76"/>
      <c r="O3673" s="76"/>
      <c r="P3673" s="76"/>
      <c r="Q3673" s="76"/>
      <c r="R3673" s="76"/>
      <c r="S3673" s="76"/>
      <c r="BD3673" s="99">
        <f t="shared" si="121"/>
        <v>0</v>
      </c>
      <c r="CC3673" s="99"/>
      <c r="CV3673" s="99"/>
      <c r="CW3673" s="63"/>
    </row>
    <row r="3674" spans="1:101" x14ac:dyDescent="0.15">
      <c r="A3674" s="76">
        <v>3433</v>
      </c>
      <c r="B3674" s="74" t="s">
        <v>4448</v>
      </c>
      <c r="C3674" s="74">
        <v>994045956</v>
      </c>
      <c r="D3674" s="78" t="str">
        <f t="shared" si="122"/>
        <v>https://portal.dnb.de/opac.htm?method=simpleSearch&amp;cqlMode=true&amp;query=idn%3D994045956</v>
      </c>
      <c r="E3674" s="74" t="s">
        <v>4449</v>
      </c>
      <c r="F3674" s="74"/>
      <c r="G3674" s="76"/>
      <c r="H3674" s="77"/>
      <c r="I3674" s="76"/>
      <c r="J3674" s="77"/>
      <c r="K3674" s="77"/>
      <c r="L3674" s="76"/>
      <c r="M3674" s="76"/>
      <c r="N3674" s="76"/>
      <c r="O3674" s="76"/>
      <c r="P3674" s="76"/>
      <c r="Q3674" s="76"/>
      <c r="R3674" s="76"/>
      <c r="S3674" s="76"/>
      <c r="BD3674" s="99">
        <f t="shared" si="121"/>
        <v>0</v>
      </c>
      <c r="CC3674" s="99"/>
      <c r="CV3674" s="99"/>
      <c r="CW3674" s="63"/>
    </row>
    <row r="3675" spans="1:101" ht="45" x14ac:dyDescent="0.15">
      <c r="A3675" s="76">
        <v>3434</v>
      </c>
      <c r="B3675" s="74" t="s">
        <v>4450</v>
      </c>
      <c r="C3675" s="74">
        <v>1000932575</v>
      </c>
      <c r="D3675" s="78" t="str">
        <f t="shared" si="122"/>
        <v>https://portal.dnb.de/opac.htm?method=simpleSearch&amp;cqlMode=true&amp;query=idn%3D1000932575</v>
      </c>
      <c r="E3675" s="74" t="s">
        <v>10532</v>
      </c>
      <c r="F3675" s="74"/>
      <c r="G3675" s="76"/>
      <c r="H3675" s="77"/>
      <c r="I3675" s="76" t="s">
        <v>56</v>
      </c>
      <c r="J3675" s="77"/>
      <c r="K3675" s="77"/>
      <c r="L3675" s="76"/>
      <c r="M3675" s="76"/>
      <c r="N3675" s="76"/>
      <c r="O3675" s="76"/>
      <c r="P3675" s="76"/>
      <c r="Q3675" s="76"/>
      <c r="R3675" s="76"/>
      <c r="S3675" s="76"/>
      <c r="Y3675" s="95" t="s">
        <v>9723</v>
      </c>
      <c r="AB3675" s="95" t="s">
        <v>8541</v>
      </c>
      <c r="AC3675" s="95" t="s">
        <v>9730</v>
      </c>
      <c r="AI3675" s="95" t="s">
        <v>9725</v>
      </c>
      <c r="AP3675" s="96" t="s">
        <v>10252</v>
      </c>
      <c r="AQ3675" s="96" t="s">
        <v>9756</v>
      </c>
      <c r="AR3675" s="95" t="s">
        <v>8541</v>
      </c>
      <c r="AU3675" s="96" t="s">
        <v>9757</v>
      </c>
      <c r="AV3675" s="96"/>
      <c r="AW3675" s="95" t="s">
        <v>9760</v>
      </c>
      <c r="AY3675" s="96" t="s">
        <v>9758</v>
      </c>
      <c r="AZ3675" s="96"/>
      <c r="BC3675" s="96" t="s">
        <v>9726</v>
      </c>
      <c r="BD3675" s="99">
        <f t="shared" si="121"/>
        <v>1</v>
      </c>
      <c r="BF3675" s="95" t="s">
        <v>10005</v>
      </c>
      <c r="CC3675" s="99"/>
      <c r="CM3675" s="95" t="s">
        <v>8541</v>
      </c>
      <c r="CV3675" s="99">
        <v>1</v>
      </c>
      <c r="CW3675" s="90" t="s">
        <v>9728</v>
      </c>
    </row>
    <row r="3676" spans="1:101" ht="45" x14ac:dyDescent="0.15">
      <c r="A3676" s="76">
        <v>3435</v>
      </c>
      <c r="B3676" s="74" t="s">
        <v>4452</v>
      </c>
      <c r="C3676" s="74" t="s">
        <v>4453</v>
      </c>
      <c r="D3676" s="78" t="str">
        <f t="shared" si="122"/>
        <v>https://portal.dnb.de/opac.htm?method=simpleSearch&amp;cqlMode=true&amp;query=idn%3D100093263X</v>
      </c>
      <c r="E3676" s="74" t="s">
        <v>10533</v>
      </c>
      <c r="F3676" s="74"/>
      <c r="G3676" s="76"/>
      <c r="H3676" s="77"/>
      <c r="I3676" s="76" t="s">
        <v>56</v>
      </c>
      <c r="J3676" s="77"/>
      <c r="K3676" s="77"/>
      <c r="L3676" s="76"/>
      <c r="M3676" s="76"/>
      <c r="N3676" s="76"/>
      <c r="O3676" s="76"/>
      <c r="P3676" s="76"/>
      <c r="Q3676" s="76"/>
      <c r="R3676" s="76"/>
      <c r="S3676" s="76"/>
      <c r="Y3676" s="95" t="s">
        <v>9723</v>
      </c>
      <c r="AB3676" s="95" t="s">
        <v>8541</v>
      </c>
      <c r="AC3676" s="95" t="s">
        <v>9730</v>
      </c>
      <c r="AI3676" s="95" t="s">
        <v>9725</v>
      </c>
      <c r="AP3676" s="96" t="s">
        <v>10252</v>
      </c>
      <c r="AQ3676" s="96" t="s">
        <v>9759</v>
      </c>
      <c r="AR3676" s="95" t="s">
        <v>8541</v>
      </c>
      <c r="AU3676" s="96" t="s">
        <v>9757</v>
      </c>
      <c r="AV3676" s="96"/>
      <c r="AW3676" s="95" t="s">
        <v>9760</v>
      </c>
      <c r="AY3676" s="96" t="s">
        <v>9758</v>
      </c>
      <c r="AZ3676" s="96"/>
      <c r="BC3676" s="96" t="s">
        <v>9726</v>
      </c>
      <c r="BD3676" s="99">
        <f t="shared" si="121"/>
        <v>1</v>
      </c>
      <c r="BF3676" s="95" t="s">
        <v>10005</v>
      </c>
      <c r="CC3676" s="99"/>
      <c r="CV3676" s="99">
        <v>1</v>
      </c>
      <c r="CW3676" s="90" t="s">
        <v>9728</v>
      </c>
    </row>
    <row r="3677" spans="1:101" ht="45" x14ac:dyDescent="0.15">
      <c r="A3677" s="76">
        <v>3436</v>
      </c>
      <c r="B3677" s="74" t="s">
        <v>4454</v>
      </c>
      <c r="C3677" s="74">
        <v>1000932478</v>
      </c>
      <c r="D3677" s="78" t="str">
        <f t="shared" si="122"/>
        <v>https://portal.dnb.de/opac.htm?method=simpleSearch&amp;cqlMode=true&amp;query=idn%3D1000932478</v>
      </c>
      <c r="E3677" s="74" t="s">
        <v>4451</v>
      </c>
      <c r="F3677" s="74"/>
      <c r="G3677" s="76"/>
      <c r="H3677" s="77"/>
      <c r="I3677" s="76" t="s">
        <v>56</v>
      </c>
      <c r="J3677" s="77"/>
      <c r="K3677" s="77"/>
      <c r="L3677" s="76"/>
      <c r="M3677" s="76"/>
      <c r="N3677" s="76"/>
      <c r="O3677" s="76"/>
      <c r="P3677" s="76"/>
      <c r="Q3677" s="76"/>
      <c r="R3677" s="76"/>
      <c r="S3677" s="76"/>
      <c r="Y3677" s="95" t="s">
        <v>9723</v>
      </c>
      <c r="AB3677" s="95" t="s">
        <v>8541</v>
      </c>
      <c r="AC3677" s="95" t="s">
        <v>9730</v>
      </c>
      <c r="AI3677" s="95" t="s">
        <v>9725</v>
      </c>
      <c r="AP3677" s="96" t="s">
        <v>10252</v>
      </c>
      <c r="AR3677" s="95" t="s">
        <v>8541</v>
      </c>
      <c r="AU3677" s="96" t="s">
        <v>9757</v>
      </c>
      <c r="AV3677" s="96"/>
      <c r="AW3677" s="95" t="s">
        <v>9760</v>
      </c>
      <c r="BC3677" s="96" t="s">
        <v>9734</v>
      </c>
      <c r="BD3677" s="99">
        <f t="shared" si="121"/>
        <v>0</v>
      </c>
      <c r="BF3677" s="95" t="s">
        <v>10005</v>
      </c>
      <c r="CC3677" s="99"/>
      <c r="CV3677" s="99"/>
      <c r="CW3677" s="63"/>
    </row>
    <row r="3678" spans="1:101" ht="22.5" x14ac:dyDescent="0.15">
      <c r="A3678" s="76">
        <v>3437</v>
      </c>
      <c r="B3678" s="74" t="s">
        <v>4455</v>
      </c>
      <c r="C3678" s="74">
        <v>1000932370</v>
      </c>
      <c r="D3678" s="78" t="str">
        <f t="shared" si="122"/>
        <v>https://portal.dnb.de/opac.htm?method=simpleSearch&amp;cqlMode=true&amp;query=idn%3D1000932370</v>
      </c>
      <c r="E3678" s="74" t="s">
        <v>4451</v>
      </c>
      <c r="F3678" s="74"/>
      <c r="G3678" s="76"/>
      <c r="H3678" s="77"/>
      <c r="I3678" s="76" t="s">
        <v>56</v>
      </c>
      <c r="J3678" s="77"/>
      <c r="K3678" s="77"/>
      <c r="L3678" s="76"/>
      <c r="M3678" s="76"/>
      <c r="N3678" s="76"/>
      <c r="O3678" s="76"/>
      <c r="P3678" s="76"/>
      <c r="Q3678" s="76"/>
      <c r="R3678" s="76"/>
      <c r="S3678" s="76"/>
      <c r="Y3678" s="95" t="s">
        <v>9723</v>
      </c>
      <c r="AB3678" s="95" t="s">
        <v>8541</v>
      </c>
      <c r="AC3678" s="95" t="s">
        <v>9730</v>
      </c>
      <c r="AI3678" s="95" t="s">
        <v>9725</v>
      </c>
      <c r="AP3678" s="95" t="s">
        <v>8541</v>
      </c>
      <c r="AQ3678" s="96" t="s">
        <v>9761</v>
      </c>
      <c r="AR3678" s="95" t="s">
        <v>8541</v>
      </c>
      <c r="AW3678" s="95" t="s">
        <v>9760</v>
      </c>
      <c r="BC3678" s="96" t="s">
        <v>9734</v>
      </c>
      <c r="BD3678" s="99">
        <f t="shared" si="121"/>
        <v>0</v>
      </c>
      <c r="BF3678" s="95" t="s">
        <v>10005</v>
      </c>
      <c r="CC3678" s="99"/>
      <c r="CV3678" s="99"/>
      <c r="CW3678" s="63"/>
    </row>
    <row r="3679" spans="1:101" ht="45" x14ac:dyDescent="0.15">
      <c r="A3679" s="76">
        <v>3438</v>
      </c>
      <c r="B3679" s="74" t="s">
        <v>4456</v>
      </c>
      <c r="C3679" s="74">
        <v>1000932680</v>
      </c>
      <c r="D3679" s="78" t="str">
        <f t="shared" si="122"/>
        <v>https://portal.dnb.de/opac.htm?method=simpleSearch&amp;cqlMode=true&amp;query=idn%3D1000932680</v>
      </c>
      <c r="E3679" s="74" t="s">
        <v>4451</v>
      </c>
      <c r="F3679" s="74"/>
      <c r="G3679" s="76"/>
      <c r="H3679" s="77"/>
      <c r="I3679" s="76" t="s">
        <v>56</v>
      </c>
      <c r="J3679" s="77"/>
      <c r="K3679" s="77"/>
      <c r="L3679" s="76"/>
      <c r="M3679" s="76"/>
      <c r="N3679" s="76"/>
      <c r="O3679" s="76"/>
      <c r="P3679" s="76"/>
      <c r="Q3679" s="76"/>
      <c r="R3679" s="76"/>
      <c r="S3679" s="76"/>
      <c r="Y3679" s="95" t="s">
        <v>9723</v>
      </c>
      <c r="AB3679" s="95" t="s">
        <v>8541</v>
      </c>
      <c r="AC3679" s="95" t="s">
        <v>9730</v>
      </c>
      <c r="AI3679" s="95" t="s">
        <v>9725</v>
      </c>
      <c r="AP3679" s="96" t="s">
        <v>10252</v>
      </c>
      <c r="AR3679" s="95" t="s">
        <v>8541</v>
      </c>
      <c r="AU3679" s="96" t="s">
        <v>9757</v>
      </c>
      <c r="AV3679" s="96"/>
      <c r="AW3679" s="95" t="s">
        <v>9760</v>
      </c>
      <c r="BC3679" s="96" t="s">
        <v>9734</v>
      </c>
      <c r="BD3679" s="99">
        <f t="shared" si="121"/>
        <v>0</v>
      </c>
      <c r="BF3679" s="95" t="s">
        <v>10005</v>
      </c>
      <c r="CC3679" s="99"/>
      <c r="CV3679" s="99"/>
      <c r="CW3679" s="63"/>
    </row>
    <row r="3680" spans="1:101" ht="45" x14ac:dyDescent="0.15">
      <c r="A3680" s="76">
        <v>3439</v>
      </c>
      <c r="B3680" s="74" t="s">
        <v>4457</v>
      </c>
      <c r="C3680" s="74">
        <v>1000932753</v>
      </c>
      <c r="D3680" s="78" t="str">
        <f t="shared" si="122"/>
        <v>https://portal.dnb.de/opac.htm?method=simpleSearch&amp;cqlMode=true&amp;query=idn%3D1000932753</v>
      </c>
      <c r="E3680" s="74" t="s">
        <v>4451</v>
      </c>
      <c r="F3680" s="74"/>
      <c r="G3680" s="76"/>
      <c r="H3680" s="77"/>
      <c r="I3680" s="76" t="s">
        <v>56</v>
      </c>
      <c r="J3680" s="77"/>
      <c r="K3680" s="77"/>
      <c r="L3680" s="76"/>
      <c r="M3680" s="76"/>
      <c r="N3680" s="76"/>
      <c r="O3680" s="76"/>
      <c r="P3680" s="76"/>
      <c r="Q3680" s="76"/>
      <c r="R3680" s="76"/>
      <c r="S3680" s="76"/>
      <c r="Y3680" s="95" t="s">
        <v>9723</v>
      </c>
      <c r="AB3680" s="95" t="s">
        <v>8541</v>
      </c>
      <c r="AC3680" s="95" t="s">
        <v>9730</v>
      </c>
      <c r="AI3680" s="95" t="s">
        <v>9725</v>
      </c>
      <c r="AP3680" s="96" t="s">
        <v>10252</v>
      </c>
      <c r="AQ3680" s="96" t="s">
        <v>9762</v>
      </c>
      <c r="AR3680" s="95" t="s">
        <v>8541</v>
      </c>
      <c r="AU3680" s="96" t="s">
        <v>9757</v>
      </c>
      <c r="AV3680" s="96"/>
      <c r="AW3680" s="95" t="s">
        <v>9760</v>
      </c>
      <c r="AY3680" s="96" t="s">
        <v>9758</v>
      </c>
      <c r="AZ3680" s="96"/>
      <c r="BC3680" s="96" t="s">
        <v>9734</v>
      </c>
      <c r="BD3680" s="99">
        <f t="shared" si="121"/>
        <v>0</v>
      </c>
      <c r="BF3680" s="95" t="s">
        <v>10005</v>
      </c>
      <c r="CC3680" s="99"/>
      <c r="CV3680" s="99"/>
      <c r="CW3680" s="63"/>
    </row>
    <row r="3681" spans="1:101" x14ac:dyDescent="0.15">
      <c r="A3681" s="76">
        <v>3440</v>
      </c>
      <c r="B3681" s="74" t="s">
        <v>4458</v>
      </c>
      <c r="C3681" s="74">
        <v>1000932524</v>
      </c>
      <c r="D3681" s="78" t="str">
        <f t="shared" si="122"/>
        <v>https://portal.dnb.de/opac.htm?method=simpleSearch&amp;cqlMode=true&amp;query=idn%3D1000932524</v>
      </c>
      <c r="E3681" s="74" t="s">
        <v>4451</v>
      </c>
      <c r="F3681" s="74"/>
      <c r="G3681" s="76"/>
      <c r="H3681" s="77"/>
      <c r="I3681" s="76" t="s">
        <v>56</v>
      </c>
      <c r="J3681" s="77"/>
      <c r="K3681" s="77"/>
      <c r="L3681" s="76"/>
      <c r="M3681" s="76"/>
      <c r="N3681" s="76"/>
      <c r="O3681" s="76"/>
      <c r="P3681" s="76"/>
      <c r="Q3681" s="76"/>
      <c r="R3681" s="76"/>
      <c r="S3681" s="76"/>
      <c r="Y3681" s="95" t="s">
        <v>9723</v>
      </c>
      <c r="AB3681" s="95" t="s">
        <v>8541</v>
      </c>
      <c r="AC3681" s="95" t="s">
        <v>9730</v>
      </c>
      <c r="AI3681" s="95" t="s">
        <v>9725</v>
      </c>
      <c r="AP3681" s="95" t="s">
        <v>8541</v>
      </c>
      <c r="AW3681" s="95" t="s">
        <v>9760</v>
      </c>
      <c r="BC3681" s="96" t="s">
        <v>9734</v>
      </c>
      <c r="BD3681" s="99">
        <f t="shared" si="121"/>
        <v>0</v>
      </c>
      <c r="BF3681" s="95" t="s">
        <v>10005</v>
      </c>
      <c r="CC3681" s="99"/>
      <c r="CV3681" s="99"/>
      <c r="CW3681" s="63"/>
    </row>
    <row r="3682" spans="1:101" ht="45" x14ac:dyDescent="0.15">
      <c r="A3682" s="76">
        <v>3441</v>
      </c>
      <c r="B3682" s="74" t="s">
        <v>4459</v>
      </c>
      <c r="C3682" s="74">
        <v>1000932788</v>
      </c>
      <c r="D3682" s="78" t="str">
        <f t="shared" si="122"/>
        <v>https://portal.dnb.de/opac.htm?method=simpleSearch&amp;cqlMode=true&amp;query=idn%3D1000932788</v>
      </c>
      <c r="E3682" s="74" t="s">
        <v>4451</v>
      </c>
      <c r="F3682" s="74"/>
      <c r="G3682" s="76"/>
      <c r="H3682" s="77"/>
      <c r="I3682" s="76" t="s">
        <v>56</v>
      </c>
      <c r="J3682" s="77"/>
      <c r="K3682" s="77"/>
      <c r="L3682" s="76"/>
      <c r="M3682" s="76"/>
      <c r="N3682" s="76"/>
      <c r="O3682" s="76"/>
      <c r="P3682" s="76"/>
      <c r="Q3682" s="76"/>
      <c r="R3682" s="76"/>
      <c r="S3682" s="76"/>
      <c r="Y3682" s="95" t="s">
        <v>9723</v>
      </c>
      <c r="AB3682" s="95" t="s">
        <v>8541</v>
      </c>
      <c r="AC3682" s="95" t="s">
        <v>9730</v>
      </c>
      <c r="AI3682" s="95" t="s">
        <v>9725</v>
      </c>
      <c r="AP3682" s="96" t="s">
        <v>10252</v>
      </c>
      <c r="AR3682" s="95" t="s">
        <v>8541</v>
      </c>
      <c r="AU3682" s="96" t="s">
        <v>9757</v>
      </c>
      <c r="AV3682" s="96"/>
      <c r="AW3682" s="95" t="s">
        <v>9760</v>
      </c>
      <c r="BC3682" s="96" t="s">
        <v>9734</v>
      </c>
      <c r="BD3682" s="99">
        <f t="shared" si="121"/>
        <v>0</v>
      </c>
      <c r="BF3682" s="95" t="s">
        <v>10005</v>
      </c>
      <c r="CC3682" s="99"/>
      <c r="CV3682" s="99"/>
      <c r="CW3682" s="63"/>
    </row>
    <row r="3683" spans="1:101" x14ac:dyDescent="0.15">
      <c r="A3683" s="76">
        <v>3442</v>
      </c>
      <c r="B3683" s="74" t="s">
        <v>4460</v>
      </c>
      <c r="C3683" s="74" t="s">
        <v>4461</v>
      </c>
      <c r="D3683" s="78" t="str">
        <f t="shared" si="122"/>
        <v>https://portal.dnb.de/opac.htm?method=simpleSearch&amp;cqlMode=true&amp;query=idn%3D100134894X</v>
      </c>
      <c r="E3683" s="74" t="s">
        <v>4462</v>
      </c>
      <c r="F3683" s="74"/>
      <c r="G3683" s="76"/>
      <c r="H3683" s="77"/>
      <c r="I3683" s="76"/>
      <c r="J3683" s="77"/>
      <c r="K3683" s="77"/>
      <c r="L3683" s="76"/>
      <c r="M3683" s="76"/>
      <c r="N3683" s="76"/>
      <c r="O3683" s="76"/>
      <c r="P3683" s="76"/>
      <c r="Q3683" s="76"/>
      <c r="R3683" s="76"/>
      <c r="S3683" s="76"/>
      <c r="BD3683" s="99">
        <f t="shared" si="121"/>
        <v>0</v>
      </c>
      <c r="CC3683" s="99"/>
      <c r="CV3683" s="99"/>
      <c r="CW3683" s="63"/>
    </row>
    <row r="3684" spans="1:101" x14ac:dyDescent="0.15">
      <c r="A3684" s="76">
        <v>3443</v>
      </c>
      <c r="B3684" s="74" t="s">
        <v>4463</v>
      </c>
      <c r="C3684" s="74">
        <v>1001537742</v>
      </c>
      <c r="D3684" s="78" t="str">
        <f t="shared" si="122"/>
        <v>https://portal.dnb.de/opac.htm?method=simpleSearch&amp;cqlMode=true&amp;query=idn%3D1001537742</v>
      </c>
      <c r="E3684" s="74" t="s">
        <v>4464</v>
      </c>
      <c r="F3684" s="74"/>
      <c r="G3684" s="76"/>
      <c r="H3684" s="77"/>
      <c r="I3684" s="76"/>
      <c r="J3684" s="77"/>
      <c r="K3684" s="77"/>
      <c r="L3684" s="76"/>
      <c r="M3684" s="76"/>
      <c r="N3684" s="76"/>
      <c r="O3684" s="76"/>
      <c r="P3684" s="76"/>
      <c r="Q3684" s="76"/>
      <c r="R3684" s="76"/>
      <c r="S3684" s="76"/>
      <c r="BD3684" s="99">
        <f t="shared" si="121"/>
        <v>0</v>
      </c>
      <c r="CC3684" s="99"/>
      <c r="CV3684" s="99"/>
      <c r="CW3684" s="63"/>
    </row>
    <row r="3685" spans="1:101" x14ac:dyDescent="0.15">
      <c r="A3685" s="76">
        <v>3444</v>
      </c>
      <c r="B3685" s="74" t="s">
        <v>4468</v>
      </c>
      <c r="C3685" s="74">
        <v>994366302</v>
      </c>
      <c r="D3685" s="78" t="str">
        <f t="shared" si="122"/>
        <v>https://portal.dnb.de/opac.htm?method=simpleSearch&amp;cqlMode=true&amp;query=idn%3D994366302</v>
      </c>
      <c r="E3685" s="74" t="s">
        <v>4469</v>
      </c>
      <c r="F3685" s="74"/>
      <c r="G3685" s="76"/>
      <c r="H3685" s="77"/>
      <c r="I3685" s="76"/>
      <c r="J3685" s="77"/>
      <c r="K3685" s="77"/>
      <c r="L3685" s="76"/>
      <c r="M3685" s="76"/>
      <c r="N3685" s="76"/>
      <c r="O3685" s="76"/>
      <c r="P3685" s="76"/>
      <c r="Q3685" s="76"/>
      <c r="R3685" s="76"/>
      <c r="S3685" s="76"/>
      <c r="BD3685" s="99">
        <f t="shared" si="121"/>
        <v>0</v>
      </c>
      <c r="CC3685" s="99"/>
      <c r="CV3685" s="99"/>
      <c r="CW3685" s="63"/>
    </row>
    <row r="3686" spans="1:101" ht="45" x14ac:dyDescent="0.15">
      <c r="A3686" s="76">
        <v>3445</v>
      </c>
      <c r="B3686" s="74" t="s">
        <v>4472</v>
      </c>
      <c r="C3686" s="74">
        <v>1208661175</v>
      </c>
      <c r="D3686" s="78" t="str">
        <f t="shared" si="122"/>
        <v>https://portal.dnb.de/opac.htm?method=simpleSearch&amp;cqlMode=true&amp;query=idn%3D1208661175</v>
      </c>
      <c r="E3686" s="74" t="s">
        <v>4473</v>
      </c>
      <c r="F3686" s="74"/>
      <c r="G3686" s="76"/>
      <c r="H3686" s="77"/>
      <c r="I3686" s="76" t="s">
        <v>55</v>
      </c>
      <c r="J3686" s="77"/>
      <c r="K3686" s="77"/>
      <c r="L3686" s="76"/>
      <c r="M3686" s="76"/>
      <c r="N3686" s="76"/>
      <c r="O3686" s="76"/>
      <c r="P3686" s="76"/>
      <c r="Q3686" s="76"/>
      <c r="R3686" s="76"/>
      <c r="S3686" s="76"/>
      <c r="Y3686" s="95" t="s">
        <v>9763</v>
      </c>
      <c r="AC3686" s="95" t="s">
        <v>9730</v>
      </c>
      <c r="AI3686" s="95" t="s">
        <v>9725</v>
      </c>
      <c r="AP3686" s="96" t="s">
        <v>10252</v>
      </c>
      <c r="AR3686" s="95" t="s">
        <v>8541</v>
      </c>
      <c r="AU3686" s="96" t="s">
        <v>9757</v>
      </c>
      <c r="AV3686" s="96"/>
      <c r="AW3686" s="95" t="s">
        <v>9764</v>
      </c>
      <c r="BC3686" s="96" t="s">
        <v>9726</v>
      </c>
      <c r="BD3686" s="99">
        <f t="shared" si="121"/>
        <v>6</v>
      </c>
      <c r="BH3686" s="95" t="s">
        <v>8541</v>
      </c>
      <c r="BR3686" s="95" t="s">
        <v>8541</v>
      </c>
      <c r="CC3686" s="99">
        <v>1</v>
      </c>
      <c r="CM3686" s="95" t="s">
        <v>8541</v>
      </c>
      <c r="CU3686" s="95" t="s">
        <v>8541</v>
      </c>
      <c r="CV3686" s="99">
        <v>5</v>
      </c>
      <c r="CW3686" s="90" t="s">
        <v>9766</v>
      </c>
    </row>
    <row r="3687" spans="1:101" x14ac:dyDescent="0.15">
      <c r="A3687" s="76">
        <v>3446</v>
      </c>
      <c r="B3687" s="74" t="s">
        <v>4474</v>
      </c>
      <c r="C3687" s="74">
        <v>1004349777</v>
      </c>
      <c r="D3687" s="78" t="str">
        <f t="shared" si="122"/>
        <v>https://portal.dnb.de/opac.htm?method=simpleSearch&amp;cqlMode=true&amp;query=idn%3D1004349777</v>
      </c>
      <c r="E3687" s="74" t="s">
        <v>4475</v>
      </c>
      <c r="F3687" s="74"/>
      <c r="G3687" s="76"/>
      <c r="H3687" s="77"/>
      <c r="I3687" s="76"/>
      <c r="J3687" s="77"/>
      <c r="K3687" s="77"/>
      <c r="L3687" s="76"/>
      <c r="M3687" s="76"/>
      <c r="N3687" s="76"/>
      <c r="O3687" s="76"/>
      <c r="P3687" s="76"/>
      <c r="Q3687" s="76"/>
      <c r="R3687" s="76"/>
      <c r="S3687" s="76"/>
      <c r="BD3687" s="99">
        <f t="shared" si="121"/>
        <v>0</v>
      </c>
      <c r="CC3687" s="99"/>
      <c r="CV3687" s="99"/>
      <c r="CW3687" s="63"/>
    </row>
    <row r="3688" spans="1:101" x14ac:dyDescent="0.15">
      <c r="A3688" s="76">
        <v>3447</v>
      </c>
      <c r="B3688" s="74" t="s">
        <v>4476</v>
      </c>
      <c r="C3688" s="74">
        <v>1003175805</v>
      </c>
      <c r="D3688" s="78" t="str">
        <f t="shared" si="122"/>
        <v>https://portal.dnb.de/opac.htm?method=simpleSearch&amp;cqlMode=true&amp;query=idn%3D1003175805</v>
      </c>
      <c r="E3688" s="74" t="s">
        <v>4477</v>
      </c>
      <c r="F3688" s="74"/>
      <c r="G3688" s="76"/>
      <c r="H3688" s="77"/>
      <c r="I3688" s="76"/>
      <c r="J3688" s="77"/>
      <c r="K3688" s="77"/>
      <c r="L3688" s="76"/>
      <c r="M3688" s="76"/>
      <c r="N3688" s="76"/>
      <c r="O3688" s="76"/>
      <c r="P3688" s="76"/>
      <c r="Q3688" s="76"/>
      <c r="R3688" s="76"/>
      <c r="S3688" s="76"/>
      <c r="BD3688" s="99">
        <f t="shared" si="121"/>
        <v>0</v>
      </c>
      <c r="CC3688" s="99"/>
      <c r="CV3688" s="99"/>
      <c r="CW3688" s="63"/>
    </row>
    <row r="3689" spans="1:101" x14ac:dyDescent="0.15">
      <c r="A3689" s="76">
        <v>3448</v>
      </c>
      <c r="B3689" s="74" t="s">
        <v>4478</v>
      </c>
      <c r="C3689" s="74">
        <v>1002549892</v>
      </c>
      <c r="D3689" s="78" t="str">
        <f t="shared" si="122"/>
        <v>https://portal.dnb.de/opac.htm?method=simpleSearch&amp;cqlMode=true&amp;query=idn%3D1002549892</v>
      </c>
      <c r="E3689" s="74" t="s">
        <v>4479</v>
      </c>
      <c r="F3689" s="74"/>
      <c r="G3689" s="76"/>
      <c r="H3689" s="77"/>
      <c r="I3689" s="76"/>
      <c r="J3689" s="77"/>
      <c r="K3689" s="77"/>
      <c r="L3689" s="76"/>
      <c r="M3689" s="76"/>
      <c r="N3689" s="76"/>
      <c r="O3689" s="76"/>
      <c r="P3689" s="76"/>
      <c r="Q3689" s="76"/>
      <c r="R3689" s="76"/>
      <c r="S3689" s="76"/>
      <c r="BD3689" s="99">
        <f t="shared" si="121"/>
        <v>0</v>
      </c>
      <c r="CC3689" s="99"/>
      <c r="CV3689" s="99"/>
      <c r="CW3689" s="63"/>
    </row>
    <row r="3690" spans="1:101" x14ac:dyDescent="0.15">
      <c r="A3690" s="76">
        <v>3449</v>
      </c>
      <c r="B3690" s="74" t="s">
        <v>4482</v>
      </c>
      <c r="C3690" s="74" t="s">
        <v>4483</v>
      </c>
      <c r="D3690" s="78" t="str">
        <f t="shared" si="122"/>
        <v>https://portal.dnb.de/opac.htm?method=simpleSearch&amp;cqlMode=true&amp;query=idn%3D100319883X</v>
      </c>
      <c r="E3690" s="74" t="s">
        <v>4484</v>
      </c>
      <c r="F3690" s="74"/>
      <c r="G3690" s="76"/>
      <c r="H3690" s="77"/>
      <c r="I3690" s="76"/>
      <c r="J3690" s="77"/>
      <c r="K3690" s="77"/>
      <c r="L3690" s="76"/>
      <c r="M3690" s="76"/>
      <c r="N3690" s="76"/>
      <c r="O3690" s="76"/>
      <c r="P3690" s="76"/>
      <c r="Q3690" s="76"/>
      <c r="R3690" s="76"/>
      <c r="S3690" s="76"/>
      <c r="BD3690" s="99">
        <f t="shared" si="121"/>
        <v>0</v>
      </c>
      <c r="CC3690" s="99"/>
      <c r="CV3690" s="99"/>
      <c r="CW3690" s="63"/>
    </row>
    <row r="3691" spans="1:101" x14ac:dyDescent="0.15">
      <c r="A3691" s="76">
        <v>3450</v>
      </c>
      <c r="B3691" s="74" t="s">
        <v>4487</v>
      </c>
      <c r="C3691" s="74">
        <v>1000548716</v>
      </c>
      <c r="D3691" s="78" t="str">
        <f t="shared" si="122"/>
        <v>https://portal.dnb.de/opac.htm?method=simpleSearch&amp;cqlMode=true&amp;query=idn%3D1000548716</v>
      </c>
      <c r="E3691" s="74" t="s">
        <v>4488</v>
      </c>
      <c r="F3691" s="74"/>
      <c r="G3691" s="76"/>
      <c r="H3691" s="77"/>
      <c r="I3691" s="76"/>
      <c r="J3691" s="77"/>
      <c r="K3691" s="77"/>
      <c r="L3691" s="76"/>
      <c r="M3691" s="76"/>
      <c r="N3691" s="76"/>
      <c r="O3691" s="76"/>
      <c r="P3691" s="76"/>
      <c r="Q3691" s="76"/>
      <c r="R3691" s="76"/>
      <c r="S3691" s="76"/>
      <c r="BD3691" s="99">
        <f t="shared" si="121"/>
        <v>0</v>
      </c>
      <c r="CC3691" s="99"/>
      <c r="CV3691" s="99"/>
      <c r="CW3691" s="63"/>
    </row>
    <row r="3692" spans="1:101" x14ac:dyDescent="0.15">
      <c r="A3692" s="76">
        <v>3451</v>
      </c>
      <c r="B3692" s="74" t="s">
        <v>4489</v>
      </c>
      <c r="C3692" s="74">
        <v>1002678072</v>
      </c>
      <c r="D3692" s="78" t="str">
        <f t="shared" si="122"/>
        <v>https://portal.dnb.de/opac.htm?method=simpleSearch&amp;cqlMode=true&amp;query=idn%3D1002678072</v>
      </c>
      <c r="E3692" s="74" t="s">
        <v>4490</v>
      </c>
      <c r="F3692" s="74"/>
      <c r="G3692" s="76"/>
      <c r="H3692" s="77"/>
      <c r="I3692" s="76"/>
      <c r="J3692" s="77"/>
      <c r="K3692" s="77"/>
      <c r="L3692" s="76"/>
      <c r="M3692" s="76"/>
      <c r="N3692" s="76"/>
      <c r="O3692" s="76"/>
      <c r="P3692" s="76"/>
      <c r="Q3692" s="76"/>
      <c r="R3692" s="76"/>
      <c r="S3692" s="76"/>
      <c r="BD3692" s="99">
        <f t="shared" si="121"/>
        <v>0</v>
      </c>
      <c r="CC3692" s="99"/>
      <c r="CV3692" s="99"/>
      <c r="CW3692" s="63"/>
    </row>
    <row r="3693" spans="1:101" x14ac:dyDescent="0.15">
      <c r="A3693" s="76">
        <v>3452</v>
      </c>
      <c r="B3693" s="74" t="s">
        <v>4491</v>
      </c>
      <c r="C3693" s="74" t="s">
        <v>4492</v>
      </c>
      <c r="D3693" s="78" t="str">
        <f t="shared" si="122"/>
        <v>https://portal.dnb.de/opac.htm?method=simpleSearch&amp;cqlMode=true&amp;query=idn%3D100268093X</v>
      </c>
      <c r="E3693" s="74" t="s">
        <v>4490</v>
      </c>
      <c r="F3693" s="74"/>
      <c r="G3693" s="76"/>
      <c r="H3693" s="77"/>
      <c r="I3693" s="76"/>
      <c r="J3693" s="77"/>
      <c r="K3693" s="77"/>
      <c r="L3693" s="76"/>
      <c r="M3693" s="76"/>
      <c r="N3693" s="76"/>
      <c r="O3693" s="76"/>
      <c r="P3693" s="76"/>
      <c r="Q3693" s="76"/>
      <c r="R3693" s="76"/>
      <c r="S3693" s="76"/>
      <c r="BD3693" s="99">
        <f t="shared" si="121"/>
        <v>0</v>
      </c>
      <c r="CC3693" s="99"/>
      <c r="CV3693" s="99"/>
      <c r="CW3693" s="63"/>
    </row>
    <row r="3694" spans="1:101" x14ac:dyDescent="0.15">
      <c r="A3694" s="76">
        <v>3453</v>
      </c>
      <c r="B3694" s="74" t="s">
        <v>4493</v>
      </c>
      <c r="C3694" s="74">
        <v>1002682509</v>
      </c>
      <c r="D3694" s="78" t="str">
        <f t="shared" si="122"/>
        <v>https://portal.dnb.de/opac.htm?method=simpleSearch&amp;cqlMode=true&amp;query=idn%3D1002682509</v>
      </c>
      <c r="E3694" s="74" t="s">
        <v>4490</v>
      </c>
      <c r="F3694" s="74"/>
      <c r="G3694" s="76"/>
      <c r="H3694" s="77"/>
      <c r="I3694" s="76"/>
      <c r="J3694" s="77"/>
      <c r="K3694" s="77"/>
      <c r="L3694" s="76"/>
      <c r="M3694" s="76"/>
      <c r="N3694" s="76"/>
      <c r="O3694" s="76"/>
      <c r="P3694" s="76"/>
      <c r="Q3694" s="76"/>
      <c r="R3694" s="76"/>
      <c r="S3694" s="76"/>
      <c r="BD3694" s="99">
        <f t="shared" si="121"/>
        <v>0</v>
      </c>
      <c r="CC3694" s="99"/>
      <c r="CV3694" s="99"/>
      <c r="CW3694" s="63"/>
    </row>
    <row r="3695" spans="1:101" x14ac:dyDescent="0.15">
      <c r="A3695" s="76">
        <v>3454</v>
      </c>
      <c r="B3695" s="74" t="s">
        <v>4494</v>
      </c>
      <c r="C3695" s="74">
        <v>1002009235</v>
      </c>
      <c r="D3695" s="78" t="str">
        <f t="shared" si="122"/>
        <v>https://portal.dnb.de/opac.htm?method=simpleSearch&amp;cqlMode=true&amp;query=idn%3D1002009235</v>
      </c>
      <c r="E3695" s="74" t="s">
        <v>4495</v>
      </c>
      <c r="F3695" s="74"/>
      <c r="G3695" s="76"/>
      <c r="H3695" s="77"/>
      <c r="I3695" s="76"/>
      <c r="J3695" s="77"/>
      <c r="K3695" s="77"/>
      <c r="L3695" s="76"/>
      <c r="M3695" s="76"/>
      <c r="N3695" s="76"/>
      <c r="O3695" s="76"/>
      <c r="P3695" s="76"/>
      <c r="Q3695" s="76"/>
      <c r="R3695" s="76"/>
      <c r="S3695" s="76"/>
      <c r="BD3695" s="99">
        <f t="shared" si="121"/>
        <v>0</v>
      </c>
      <c r="CC3695" s="99"/>
      <c r="CV3695" s="99"/>
      <c r="CW3695" s="63"/>
    </row>
    <row r="3696" spans="1:101" x14ac:dyDescent="0.15">
      <c r="A3696" s="76">
        <v>3455</v>
      </c>
      <c r="B3696" s="74" t="s">
        <v>4496</v>
      </c>
      <c r="C3696" s="74">
        <v>1002009359</v>
      </c>
      <c r="D3696" s="78" t="str">
        <f t="shared" si="122"/>
        <v>https://portal.dnb.de/opac.htm?method=simpleSearch&amp;cqlMode=true&amp;query=idn%3D1002009359</v>
      </c>
      <c r="E3696" s="74" t="s">
        <v>4495</v>
      </c>
      <c r="F3696" s="74"/>
      <c r="G3696" s="76"/>
      <c r="H3696" s="77"/>
      <c r="I3696" s="76"/>
      <c r="J3696" s="77"/>
      <c r="K3696" s="77"/>
      <c r="L3696" s="76"/>
      <c r="M3696" s="76"/>
      <c r="N3696" s="76"/>
      <c r="O3696" s="76"/>
      <c r="P3696" s="76"/>
      <c r="Q3696" s="76"/>
      <c r="R3696" s="76"/>
      <c r="S3696" s="76"/>
      <c r="BD3696" s="99">
        <f t="shared" si="121"/>
        <v>0</v>
      </c>
      <c r="CC3696" s="99"/>
      <c r="CV3696" s="99"/>
      <c r="CW3696" s="63"/>
    </row>
    <row r="3697" spans="1:101" x14ac:dyDescent="0.15">
      <c r="A3697" s="76">
        <v>3456</v>
      </c>
      <c r="B3697" s="74" t="s">
        <v>4497</v>
      </c>
      <c r="C3697" s="74">
        <v>1002009723</v>
      </c>
      <c r="D3697" s="78" t="str">
        <f t="shared" si="122"/>
        <v>https://portal.dnb.de/opac.htm?method=simpleSearch&amp;cqlMode=true&amp;query=idn%3D1002009723</v>
      </c>
      <c r="E3697" s="74" t="s">
        <v>4495</v>
      </c>
      <c r="F3697" s="74"/>
      <c r="G3697" s="76"/>
      <c r="H3697" s="77"/>
      <c r="I3697" s="76"/>
      <c r="J3697" s="77"/>
      <c r="K3697" s="77"/>
      <c r="L3697" s="76"/>
      <c r="M3697" s="76"/>
      <c r="N3697" s="76"/>
      <c r="O3697" s="76"/>
      <c r="P3697" s="76"/>
      <c r="Q3697" s="76"/>
      <c r="R3697" s="76"/>
      <c r="S3697" s="76"/>
      <c r="BD3697" s="99">
        <f t="shared" si="121"/>
        <v>0</v>
      </c>
      <c r="CC3697" s="99"/>
      <c r="CV3697" s="99"/>
      <c r="CW3697" s="63"/>
    </row>
    <row r="3698" spans="1:101" x14ac:dyDescent="0.15">
      <c r="A3698" s="76">
        <v>3457</v>
      </c>
      <c r="B3698" s="74" t="s">
        <v>4498</v>
      </c>
      <c r="C3698" s="74">
        <v>1002009669</v>
      </c>
      <c r="D3698" s="78" t="str">
        <f t="shared" si="122"/>
        <v>https://portal.dnb.de/opac.htm?method=simpleSearch&amp;cqlMode=true&amp;query=idn%3D1002009669</v>
      </c>
      <c r="E3698" s="74" t="s">
        <v>4495</v>
      </c>
      <c r="F3698" s="74"/>
      <c r="G3698" s="76"/>
      <c r="H3698" s="77"/>
      <c r="I3698" s="76"/>
      <c r="J3698" s="77"/>
      <c r="K3698" s="77"/>
      <c r="L3698" s="76"/>
      <c r="M3698" s="76"/>
      <c r="N3698" s="76"/>
      <c r="O3698" s="76"/>
      <c r="P3698" s="76"/>
      <c r="Q3698" s="76"/>
      <c r="R3698" s="76"/>
      <c r="S3698" s="76"/>
      <c r="BD3698" s="99">
        <f t="shared" si="121"/>
        <v>0</v>
      </c>
      <c r="CC3698" s="99"/>
      <c r="CV3698" s="99"/>
      <c r="CW3698" s="63"/>
    </row>
    <row r="3699" spans="1:101" x14ac:dyDescent="0.15">
      <c r="A3699" s="76">
        <v>3458</v>
      </c>
      <c r="B3699" s="74" t="s">
        <v>4499</v>
      </c>
      <c r="C3699" s="74">
        <v>1002009197</v>
      </c>
      <c r="D3699" s="78" t="str">
        <f t="shared" si="122"/>
        <v>https://portal.dnb.de/opac.htm?method=simpleSearch&amp;cqlMode=true&amp;query=idn%3D1002009197</v>
      </c>
      <c r="E3699" s="74" t="s">
        <v>4495</v>
      </c>
      <c r="F3699" s="74"/>
      <c r="G3699" s="76"/>
      <c r="H3699" s="77"/>
      <c r="I3699" s="76"/>
      <c r="J3699" s="77"/>
      <c r="K3699" s="77"/>
      <c r="L3699" s="76"/>
      <c r="M3699" s="76"/>
      <c r="N3699" s="76"/>
      <c r="O3699" s="76"/>
      <c r="P3699" s="76"/>
      <c r="Q3699" s="76"/>
      <c r="R3699" s="76"/>
      <c r="S3699" s="76"/>
      <c r="BD3699" s="99">
        <f t="shared" si="121"/>
        <v>0</v>
      </c>
      <c r="CC3699" s="99"/>
      <c r="CV3699" s="99"/>
      <c r="CW3699" s="63"/>
    </row>
    <row r="3700" spans="1:101" x14ac:dyDescent="0.15">
      <c r="A3700" s="76">
        <v>3459</v>
      </c>
      <c r="B3700" s="74" t="s">
        <v>4500</v>
      </c>
      <c r="C3700" s="74">
        <v>1002009766</v>
      </c>
      <c r="D3700" s="78" t="str">
        <f t="shared" si="122"/>
        <v>https://portal.dnb.de/opac.htm?method=simpleSearch&amp;cqlMode=true&amp;query=idn%3D1002009766</v>
      </c>
      <c r="E3700" s="74" t="s">
        <v>4495</v>
      </c>
      <c r="F3700" s="74"/>
      <c r="G3700" s="76"/>
      <c r="H3700" s="77"/>
      <c r="I3700" s="76"/>
      <c r="J3700" s="77"/>
      <c r="K3700" s="77"/>
      <c r="L3700" s="76"/>
      <c r="M3700" s="76"/>
      <c r="N3700" s="76"/>
      <c r="O3700" s="76"/>
      <c r="P3700" s="76"/>
      <c r="Q3700" s="76"/>
      <c r="R3700" s="76"/>
      <c r="S3700" s="76"/>
      <c r="BD3700" s="99">
        <f t="shared" si="121"/>
        <v>0</v>
      </c>
      <c r="CC3700" s="99"/>
      <c r="CV3700" s="99"/>
      <c r="CW3700" s="63"/>
    </row>
    <row r="3701" spans="1:101" x14ac:dyDescent="0.15">
      <c r="A3701" s="76">
        <v>3460</v>
      </c>
      <c r="B3701" s="74" t="s">
        <v>4501</v>
      </c>
      <c r="C3701" s="74">
        <v>1002009944</v>
      </c>
      <c r="D3701" s="78" t="str">
        <f t="shared" si="122"/>
        <v>https://portal.dnb.de/opac.htm?method=simpleSearch&amp;cqlMode=true&amp;query=idn%3D1002009944</v>
      </c>
      <c r="E3701" s="74" t="s">
        <v>4495</v>
      </c>
      <c r="F3701" s="74"/>
      <c r="G3701" s="76"/>
      <c r="H3701" s="77"/>
      <c r="I3701" s="76"/>
      <c r="J3701" s="77"/>
      <c r="K3701" s="77"/>
      <c r="L3701" s="76"/>
      <c r="M3701" s="76"/>
      <c r="N3701" s="76"/>
      <c r="O3701" s="76"/>
      <c r="P3701" s="76"/>
      <c r="Q3701" s="76"/>
      <c r="R3701" s="76"/>
      <c r="S3701" s="76"/>
      <c r="BD3701" s="99">
        <f t="shared" si="121"/>
        <v>0</v>
      </c>
      <c r="CC3701" s="99"/>
      <c r="CV3701" s="99"/>
      <c r="CW3701" s="63"/>
    </row>
    <row r="3702" spans="1:101" x14ac:dyDescent="0.15">
      <c r="A3702" s="76">
        <v>3461</v>
      </c>
      <c r="B3702" s="74" t="s">
        <v>4502</v>
      </c>
      <c r="C3702" s="74" t="s">
        <v>4503</v>
      </c>
      <c r="D3702" s="78" t="str">
        <f t="shared" si="122"/>
        <v>https://portal.dnb.de/opac.htm?method=simpleSearch&amp;cqlMode=true&amp;query=idn%3D100201008X</v>
      </c>
      <c r="E3702" s="74" t="s">
        <v>4495</v>
      </c>
      <c r="F3702" s="74"/>
      <c r="G3702" s="76"/>
      <c r="H3702" s="77"/>
      <c r="I3702" s="76"/>
      <c r="J3702" s="77"/>
      <c r="K3702" s="77"/>
      <c r="L3702" s="76"/>
      <c r="M3702" s="76"/>
      <c r="N3702" s="76"/>
      <c r="O3702" s="76"/>
      <c r="P3702" s="76"/>
      <c r="Q3702" s="76"/>
      <c r="R3702" s="76"/>
      <c r="S3702" s="76"/>
      <c r="BD3702" s="99">
        <f t="shared" si="121"/>
        <v>0</v>
      </c>
      <c r="CC3702" s="99"/>
      <c r="CV3702" s="99"/>
      <c r="CW3702" s="63"/>
    </row>
    <row r="3703" spans="1:101" x14ac:dyDescent="0.15">
      <c r="A3703" s="76">
        <v>3462</v>
      </c>
      <c r="B3703" s="74" t="s">
        <v>4504</v>
      </c>
      <c r="C3703" s="74" t="s">
        <v>4505</v>
      </c>
      <c r="D3703" s="78" t="str">
        <f t="shared" si="122"/>
        <v>https://portal.dnb.de/opac.htm?method=simpleSearch&amp;cqlMode=true&amp;query=idn%3D100201090X</v>
      </c>
      <c r="E3703" s="74" t="s">
        <v>4495</v>
      </c>
      <c r="F3703" s="74"/>
      <c r="G3703" s="76"/>
      <c r="H3703" s="77"/>
      <c r="I3703" s="76"/>
      <c r="J3703" s="77"/>
      <c r="K3703" s="77"/>
      <c r="L3703" s="76"/>
      <c r="M3703" s="76"/>
      <c r="N3703" s="76"/>
      <c r="O3703" s="76"/>
      <c r="P3703" s="76"/>
      <c r="Q3703" s="76"/>
      <c r="R3703" s="76"/>
      <c r="S3703" s="76"/>
      <c r="BD3703" s="99">
        <f t="shared" si="121"/>
        <v>0</v>
      </c>
      <c r="CC3703" s="99"/>
      <c r="CV3703" s="99"/>
      <c r="CW3703" s="63"/>
    </row>
    <row r="3704" spans="1:101" x14ac:dyDescent="0.15">
      <c r="A3704" s="76">
        <v>3463</v>
      </c>
      <c r="B3704" s="74" t="s">
        <v>4506</v>
      </c>
      <c r="C3704" s="74">
        <v>1002009162</v>
      </c>
      <c r="D3704" s="78" t="str">
        <f t="shared" si="122"/>
        <v>https://portal.dnb.de/opac.htm?method=simpleSearch&amp;cqlMode=true&amp;query=idn%3D1002009162</v>
      </c>
      <c r="E3704" s="74" t="s">
        <v>4495</v>
      </c>
      <c r="F3704" s="74"/>
      <c r="G3704" s="76"/>
      <c r="H3704" s="77"/>
      <c r="I3704" s="76"/>
      <c r="J3704" s="77"/>
      <c r="K3704" s="77"/>
      <c r="L3704" s="76"/>
      <c r="M3704" s="76"/>
      <c r="N3704" s="76"/>
      <c r="O3704" s="76"/>
      <c r="P3704" s="76"/>
      <c r="Q3704" s="76"/>
      <c r="R3704" s="76"/>
      <c r="S3704" s="76"/>
      <c r="BD3704" s="99">
        <f t="shared" si="121"/>
        <v>0</v>
      </c>
      <c r="CC3704" s="99"/>
      <c r="CV3704" s="99"/>
      <c r="CW3704" s="63"/>
    </row>
    <row r="3705" spans="1:101" x14ac:dyDescent="0.15">
      <c r="A3705" s="76">
        <v>3464</v>
      </c>
      <c r="B3705" s="74" t="s">
        <v>4507</v>
      </c>
      <c r="C3705" s="74">
        <v>1002009634</v>
      </c>
      <c r="D3705" s="78" t="str">
        <f t="shared" si="122"/>
        <v>https://portal.dnb.de/opac.htm?method=simpleSearch&amp;cqlMode=true&amp;query=idn%3D1002009634</v>
      </c>
      <c r="E3705" s="74" t="s">
        <v>4495</v>
      </c>
      <c r="F3705" s="74"/>
      <c r="G3705" s="76"/>
      <c r="H3705" s="77"/>
      <c r="I3705" s="76"/>
      <c r="J3705" s="77"/>
      <c r="K3705" s="77"/>
      <c r="L3705" s="76"/>
      <c r="M3705" s="76"/>
      <c r="N3705" s="76"/>
      <c r="O3705" s="76"/>
      <c r="P3705" s="76"/>
      <c r="Q3705" s="76"/>
      <c r="R3705" s="76"/>
      <c r="S3705" s="76"/>
      <c r="BD3705" s="99">
        <f t="shared" si="121"/>
        <v>0</v>
      </c>
      <c r="CC3705" s="99"/>
      <c r="CV3705" s="99"/>
      <c r="CW3705" s="63"/>
    </row>
    <row r="3706" spans="1:101" x14ac:dyDescent="0.15">
      <c r="A3706" s="76">
        <v>3465</v>
      </c>
      <c r="B3706" s="74" t="s">
        <v>4508</v>
      </c>
      <c r="C3706" s="74">
        <v>1002009111</v>
      </c>
      <c r="D3706" s="78" t="str">
        <f t="shared" si="122"/>
        <v>https://portal.dnb.de/opac.htm?method=simpleSearch&amp;cqlMode=true&amp;query=idn%3D1002009111</v>
      </c>
      <c r="E3706" s="74" t="s">
        <v>4495</v>
      </c>
      <c r="F3706" s="74"/>
      <c r="G3706" s="76"/>
      <c r="H3706" s="77"/>
      <c r="I3706" s="76"/>
      <c r="J3706" s="77"/>
      <c r="K3706" s="77"/>
      <c r="L3706" s="76"/>
      <c r="M3706" s="76"/>
      <c r="N3706" s="76"/>
      <c r="O3706" s="76"/>
      <c r="P3706" s="76"/>
      <c r="Q3706" s="76"/>
      <c r="R3706" s="76"/>
      <c r="S3706" s="76"/>
      <c r="BD3706" s="99">
        <f t="shared" si="121"/>
        <v>0</v>
      </c>
      <c r="CC3706" s="99"/>
      <c r="CV3706" s="99"/>
      <c r="CW3706" s="63"/>
    </row>
    <row r="3707" spans="1:101" x14ac:dyDescent="0.15">
      <c r="A3707" s="76">
        <v>3466</v>
      </c>
      <c r="B3707" s="74" t="s">
        <v>4509</v>
      </c>
      <c r="C3707" s="74" t="s">
        <v>4510</v>
      </c>
      <c r="D3707" s="78" t="str">
        <f t="shared" si="122"/>
        <v>https://portal.dnb.de/opac.htm?method=simpleSearch&amp;cqlMode=true&amp;query=idn%3D100201011X</v>
      </c>
      <c r="E3707" s="74" t="s">
        <v>4495</v>
      </c>
      <c r="F3707" s="74"/>
      <c r="G3707" s="76"/>
      <c r="H3707" s="77"/>
      <c r="I3707" s="76"/>
      <c r="J3707" s="77"/>
      <c r="K3707" s="77"/>
      <c r="L3707" s="76"/>
      <c r="M3707" s="76"/>
      <c r="N3707" s="76"/>
      <c r="O3707" s="76"/>
      <c r="P3707" s="76"/>
      <c r="Q3707" s="76"/>
      <c r="R3707" s="76"/>
      <c r="S3707" s="76"/>
      <c r="BD3707" s="99">
        <f t="shared" si="121"/>
        <v>0</v>
      </c>
      <c r="CC3707" s="99"/>
      <c r="CV3707" s="99"/>
      <c r="CW3707" s="63"/>
    </row>
    <row r="3708" spans="1:101" x14ac:dyDescent="0.15">
      <c r="A3708" s="76">
        <v>3467</v>
      </c>
      <c r="B3708" s="74" t="s">
        <v>4511</v>
      </c>
      <c r="C3708" s="74">
        <v>1002011450</v>
      </c>
      <c r="D3708" s="78" t="str">
        <f t="shared" si="122"/>
        <v>https://portal.dnb.de/opac.htm?method=simpleSearch&amp;cqlMode=true&amp;query=idn%3D1002011450</v>
      </c>
      <c r="E3708" s="74" t="s">
        <v>4495</v>
      </c>
      <c r="F3708" s="74"/>
      <c r="G3708" s="76"/>
      <c r="H3708" s="77"/>
      <c r="I3708" s="76"/>
      <c r="J3708" s="77"/>
      <c r="K3708" s="77"/>
      <c r="L3708" s="76"/>
      <c r="M3708" s="76"/>
      <c r="N3708" s="76"/>
      <c r="O3708" s="76"/>
      <c r="P3708" s="76"/>
      <c r="Q3708" s="76"/>
      <c r="R3708" s="76"/>
      <c r="S3708" s="76"/>
      <c r="BD3708" s="99">
        <f t="shared" si="121"/>
        <v>0</v>
      </c>
      <c r="CC3708" s="99"/>
      <c r="CV3708" s="99"/>
      <c r="CW3708" s="63"/>
    </row>
    <row r="3709" spans="1:101" x14ac:dyDescent="0.15">
      <c r="A3709" s="76">
        <v>3468</v>
      </c>
      <c r="B3709" s="74" t="s">
        <v>4512</v>
      </c>
      <c r="C3709" s="74">
        <v>1002009065</v>
      </c>
      <c r="D3709" s="78" t="str">
        <f t="shared" si="122"/>
        <v>https://portal.dnb.de/opac.htm?method=simpleSearch&amp;cqlMode=true&amp;query=idn%3D1002009065</v>
      </c>
      <c r="E3709" s="74" t="s">
        <v>4495</v>
      </c>
      <c r="F3709" s="74"/>
      <c r="G3709" s="76"/>
      <c r="H3709" s="77"/>
      <c r="I3709" s="76"/>
      <c r="J3709" s="77"/>
      <c r="K3709" s="77"/>
      <c r="L3709" s="76"/>
      <c r="M3709" s="76"/>
      <c r="N3709" s="76"/>
      <c r="O3709" s="76"/>
      <c r="P3709" s="76"/>
      <c r="Q3709" s="76"/>
      <c r="R3709" s="76"/>
      <c r="S3709" s="76"/>
      <c r="BD3709" s="99">
        <f t="shared" si="121"/>
        <v>0</v>
      </c>
      <c r="CC3709" s="99"/>
      <c r="CV3709" s="99"/>
      <c r="CW3709" s="63"/>
    </row>
    <row r="3710" spans="1:101" x14ac:dyDescent="0.15">
      <c r="A3710" s="76">
        <v>3469</v>
      </c>
      <c r="B3710" s="74" t="s">
        <v>4513</v>
      </c>
      <c r="C3710" s="74">
        <v>1002009014</v>
      </c>
      <c r="D3710" s="78" t="str">
        <f t="shared" si="122"/>
        <v>https://portal.dnb.de/opac.htm?method=simpleSearch&amp;cqlMode=true&amp;query=idn%3D1002009014</v>
      </c>
      <c r="E3710" s="74" t="s">
        <v>4495</v>
      </c>
      <c r="F3710" s="74"/>
      <c r="G3710" s="76"/>
      <c r="H3710" s="77"/>
      <c r="I3710" s="76"/>
      <c r="J3710" s="77"/>
      <c r="K3710" s="77"/>
      <c r="L3710" s="76"/>
      <c r="M3710" s="76"/>
      <c r="N3710" s="76"/>
      <c r="O3710" s="76"/>
      <c r="P3710" s="76"/>
      <c r="Q3710" s="76"/>
      <c r="R3710" s="76"/>
      <c r="S3710" s="76"/>
      <c r="BD3710" s="99">
        <f t="shared" si="121"/>
        <v>0</v>
      </c>
      <c r="CC3710" s="99"/>
      <c r="CV3710" s="99"/>
      <c r="CW3710" s="63"/>
    </row>
    <row r="3711" spans="1:101" x14ac:dyDescent="0.15">
      <c r="A3711" s="76">
        <v>3470</v>
      </c>
      <c r="B3711" s="74" t="s">
        <v>4514</v>
      </c>
      <c r="C3711" s="74">
        <v>1002008972</v>
      </c>
      <c r="D3711" s="78" t="str">
        <f t="shared" si="122"/>
        <v>https://portal.dnb.de/opac.htm?method=simpleSearch&amp;cqlMode=true&amp;query=idn%3D1002008972</v>
      </c>
      <c r="E3711" s="74" t="s">
        <v>4495</v>
      </c>
      <c r="F3711" s="74"/>
      <c r="G3711" s="76"/>
      <c r="H3711" s="77"/>
      <c r="I3711" s="76"/>
      <c r="J3711" s="77"/>
      <c r="K3711" s="77"/>
      <c r="L3711" s="76"/>
      <c r="M3711" s="76"/>
      <c r="N3711" s="76"/>
      <c r="O3711" s="76"/>
      <c r="P3711" s="76"/>
      <c r="Q3711" s="76"/>
      <c r="R3711" s="76"/>
      <c r="S3711" s="76"/>
      <c r="BD3711" s="99">
        <f t="shared" si="121"/>
        <v>0</v>
      </c>
      <c r="CC3711" s="99"/>
      <c r="CV3711" s="99"/>
      <c r="CW3711" s="63"/>
    </row>
    <row r="3712" spans="1:101" x14ac:dyDescent="0.15">
      <c r="A3712" s="76">
        <v>3471</v>
      </c>
      <c r="B3712" s="74" t="s">
        <v>4515</v>
      </c>
      <c r="C3712" s="74">
        <v>1002008956</v>
      </c>
      <c r="D3712" s="78" t="str">
        <f t="shared" si="122"/>
        <v>https://portal.dnb.de/opac.htm?method=simpleSearch&amp;cqlMode=true&amp;query=idn%3D1002008956</v>
      </c>
      <c r="E3712" s="74" t="s">
        <v>4495</v>
      </c>
      <c r="F3712" s="74"/>
      <c r="G3712" s="76"/>
      <c r="H3712" s="77"/>
      <c r="I3712" s="76"/>
      <c r="J3712" s="77"/>
      <c r="K3712" s="77"/>
      <c r="L3712" s="76"/>
      <c r="M3712" s="76"/>
      <c r="N3712" s="76"/>
      <c r="O3712" s="76"/>
      <c r="P3712" s="76"/>
      <c r="Q3712" s="76"/>
      <c r="R3712" s="76"/>
      <c r="S3712" s="76"/>
      <c r="BD3712" s="99">
        <f t="shared" si="121"/>
        <v>0</v>
      </c>
      <c r="CC3712" s="99"/>
      <c r="CV3712" s="99"/>
      <c r="CW3712" s="63"/>
    </row>
    <row r="3713" spans="1:101" x14ac:dyDescent="0.15">
      <c r="A3713" s="76">
        <v>3472</v>
      </c>
      <c r="B3713" s="74" t="s">
        <v>4516</v>
      </c>
      <c r="C3713" s="74">
        <v>1002008913</v>
      </c>
      <c r="D3713" s="78" t="str">
        <f t="shared" si="122"/>
        <v>https://portal.dnb.de/opac.htm?method=simpleSearch&amp;cqlMode=true&amp;query=idn%3D1002008913</v>
      </c>
      <c r="E3713" s="74" t="s">
        <v>4495</v>
      </c>
      <c r="F3713" s="74"/>
      <c r="G3713" s="76"/>
      <c r="H3713" s="77"/>
      <c r="I3713" s="76"/>
      <c r="J3713" s="77"/>
      <c r="K3713" s="77"/>
      <c r="L3713" s="76"/>
      <c r="M3713" s="76"/>
      <c r="N3713" s="76"/>
      <c r="O3713" s="76"/>
      <c r="P3713" s="76"/>
      <c r="Q3713" s="76"/>
      <c r="R3713" s="76"/>
      <c r="S3713" s="76"/>
      <c r="BD3713" s="99">
        <f t="shared" si="121"/>
        <v>0</v>
      </c>
      <c r="CC3713" s="99"/>
      <c r="CV3713" s="99"/>
      <c r="CW3713" s="63"/>
    </row>
    <row r="3714" spans="1:101" x14ac:dyDescent="0.15">
      <c r="A3714" s="76">
        <v>3473</v>
      </c>
      <c r="B3714" s="74" t="s">
        <v>4517</v>
      </c>
      <c r="C3714" s="74">
        <v>1002008875</v>
      </c>
      <c r="D3714" s="78" t="str">
        <f t="shared" si="122"/>
        <v>https://portal.dnb.de/opac.htm?method=simpleSearch&amp;cqlMode=true&amp;query=idn%3D1002008875</v>
      </c>
      <c r="E3714" s="74" t="s">
        <v>4495</v>
      </c>
      <c r="F3714" s="74"/>
      <c r="G3714" s="76"/>
      <c r="H3714" s="77"/>
      <c r="I3714" s="76"/>
      <c r="J3714" s="77"/>
      <c r="K3714" s="77"/>
      <c r="L3714" s="76"/>
      <c r="M3714" s="76"/>
      <c r="N3714" s="76"/>
      <c r="O3714" s="76"/>
      <c r="P3714" s="76"/>
      <c r="Q3714" s="76"/>
      <c r="R3714" s="76"/>
      <c r="S3714" s="76"/>
      <c r="BD3714" s="99">
        <f t="shared" si="121"/>
        <v>0</v>
      </c>
      <c r="CC3714" s="99"/>
      <c r="CV3714" s="99"/>
      <c r="CW3714" s="63"/>
    </row>
    <row r="3715" spans="1:101" x14ac:dyDescent="0.15">
      <c r="A3715" s="76">
        <v>3474</v>
      </c>
      <c r="B3715" s="74" t="s">
        <v>4518</v>
      </c>
      <c r="C3715" s="74">
        <v>1002008808</v>
      </c>
      <c r="D3715" s="78" t="str">
        <f t="shared" si="122"/>
        <v>https://portal.dnb.de/opac.htm?method=simpleSearch&amp;cqlMode=true&amp;query=idn%3D1002008808</v>
      </c>
      <c r="E3715" s="74" t="s">
        <v>4495</v>
      </c>
      <c r="F3715" s="74"/>
      <c r="G3715" s="76"/>
      <c r="H3715" s="77"/>
      <c r="I3715" s="76"/>
      <c r="J3715" s="77"/>
      <c r="K3715" s="77"/>
      <c r="L3715" s="76"/>
      <c r="M3715" s="76"/>
      <c r="N3715" s="76"/>
      <c r="O3715" s="76"/>
      <c r="P3715" s="76"/>
      <c r="Q3715" s="76"/>
      <c r="R3715" s="76"/>
      <c r="S3715" s="76"/>
      <c r="BD3715" s="99">
        <f t="shared" ref="BD3715:BD3778" si="123">CC3715+CV3715</f>
        <v>0</v>
      </c>
      <c r="CC3715" s="99"/>
      <c r="CV3715" s="99"/>
      <c r="CW3715" s="63"/>
    </row>
    <row r="3716" spans="1:101" x14ac:dyDescent="0.15">
      <c r="A3716" s="76">
        <v>3475</v>
      </c>
      <c r="B3716" s="74" t="s">
        <v>4519</v>
      </c>
      <c r="C3716" s="74">
        <v>1002008778</v>
      </c>
      <c r="D3716" s="78" t="str">
        <f t="shared" si="122"/>
        <v>https://portal.dnb.de/opac.htm?method=simpleSearch&amp;cqlMode=true&amp;query=idn%3D1002008778</v>
      </c>
      <c r="E3716" s="74" t="s">
        <v>4495</v>
      </c>
      <c r="F3716" s="74"/>
      <c r="G3716" s="76"/>
      <c r="H3716" s="77"/>
      <c r="I3716" s="76"/>
      <c r="J3716" s="77"/>
      <c r="K3716" s="77"/>
      <c r="L3716" s="76"/>
      <c r="M3716" s="76"/>
      <c r="N3716" s="76"/>
      <c r="O3716" s="76"/>
      <c r="P3716" s="76"/>
      <c r="Q3716" s="76"/>
      <c r="R3716" s="76"/>
      <c r="S3716" s="76"/>
      <c r="BD3716" s="99">
        <f t="shared" si="123"/>
        <v>0</v>
      </c>
      <c r="CC3716" s="99"/>
      <c r="CV3716" s="99"/>
      <c r="CW3716" s="63"/>
    </row>
    <row r="3717" spans="1:101" x14ac:dyDescent="0.15">
      <c r="A3717" s="76">
        <v>3476</v>
      </c>
      <c r="B3717" s="74" t="s">
        <v>4520</v>
      </c>
      <c r="C3717" s="74">
        <v>1002008727</v>
      </c>
      <c r="D3717" s="78" t="str">
        <f t="shared" si="122"/>
        <v>https://portal.dnb.de/opac.htm?method=simpleSearch&amp;cqlMode=true&amp;query=idn%3D1002008727</v>
      </c>
      <c r="E3717" s="74" t="s">
        <v>4495</v>
      </c>
      <c r="F3717" s="74"/>
      <c r="G3717" s="76"/>
      <c r="H3717" s="77"/>
      <c r="I3717" s="76"/>
      <c r="J3717" s="77"/>
      <c r="K3717" s="77"/>
      <c r="L3717" s="76"/>
      <c r="M3717" s="76"/>
      <c r="N3717" s="76"/>
      <c r="O3717" s="76"/>
      <c r="P3717" s="76"/>
      <c r="Q3717" s="76"/>
      <c r="R3717" s="76"/>
      <c r="S3717" s="76"/>
      <c r="BD3717" s="99">
        <f t="shared" si="123"/>
        <v>0</v>
      </c>
      <c r="CC3717" s="99"/>
      <c r="CV3717" s="99"/>
      <c r="CW3717" s="63"/>
    </row>
    <row r="3718" spans="1:101" x14ac:dyDescent="0.15">
      <c r="A3718" s="76">
        <v>3477</v>
      </c>
      <c r="B3718" s="74" t="s">
        <v>4521</v>
      </c>
      <c r="C3718" s="74">
        <v>1002009146</v>
      </c>
      <c r="D3718" s="78" t="str">
        <f t="shared" si="122"/>
        <v>https://portal.dnb.de/opac.htm?method=simpleSearch&amp;cqlMode=true&amp;query=idn%3D1002009146</v>
      </c>
      <c r="E3718" s="74" t="s">
        <v>4495</v>
      </c>
      <c r="F3718" s="74"/>
      <c r="G3718" s="76"/>
      <c r="H3718" s="77"/>
      <c r="I3718" s="76"/>
      <c r="J3718" s="77"/>
      <c r="K3718" s="77"/>
      <c r="L3718" s="76"/>
      <c r="M3718" s="76"/>
      <c r="N3718" s="76"/>
      <c r="O3718" s="76"/>
      <c r="P3718" s="76"/>
      <c r="Q3718" s="76"/>
      <c r="R3718" s="76"/>
      <c r="S3718" s="76"/>
      <c r="BD3718" s="99">
        <f t="shared" si="123"/>
        <v>0</v>
      </c>
      <c r="CC3718" s="99"/>
      <c r="CV3718" s="99"/>
      <c r="CW3718" s="63"/>
    </row>
    <row r="3719" spans="1:101" x14ac:dyDescent="0.15">
      <c r="A3719" s="76">
        <v>3478</v>
      </c>
      <c r="B3719" s="74" t="s">
        <v>4522</v>
      </c>
      <c r="C3719" s="74">
        <v>1002011280</v>
      </c>
      <c r="D3719" s="78" t="str">
        <f t="shared" si="122"/>
        <v>https://portal.dnb.de/opac.htm?method=simpleSearch&amp;cqlMode=true&amp;query=idn%3D1002011280</v>
      </c>
      <c r="E3719" s="74" t="s">
        <v>4495</v>
      </c>
      <c r="F3719" s="74"/>
      <c r="G3719" s="76"/>
      <c r="H3719" s="77"/>
      <c r="I3719" s="76"/>
      <c r="J3719" s="77"/>
      <c r="K3719" s="77"/>
      <c r="L3719" s="76"/>
      <c r="M3719" s="76"/>
      <c r="N3719" s="76"/>
      <c r="O3719" s="76"/>
      <c r="P3719" s="76"/>
      <c r="Q3719" s="76"/>
      <c r="R3719" s="76"/>
      <c r="S3719" s="76"/>
      <c r="BD3719" s="99">
        <f t="shared" si="123"/>
        <v>0</v>
      </c>
      <c r="CC3719" s="99"/>
      <c r="CV3719" s="99"/>
      <c r="CW3719" s="63"/>
    </row>
    <row r="3720" spans="1:101" x14ac:dyDescent="0.15">
      <c r="A3720" s="76">
        <v>3479</v>
      </c>
      <c r="B3720" s="74" t="s">
        <v>4523</v>
      </c>
      <c r="C3720" s="74">
        <v>1002009855</v>
      </c>
      <c r="D3720" s="78" t="str">
        <f t="shared" si="122"/>
        <v>https://portal.dnb.de/opac.htm?method=simpleSearch&amp;cqlMode=true&amp;query=idn%3D1002009855</v>
      </c>
      <c r="E3720" s="74" t="s">
        <v>4495</v>
      </c>
      <c r="F3720" s="74"/>
      <c r="G3720" s="76"/>
      <c r="H3720" s="77"/>
      <c r="I3720" s="76"/>
      <c r="J3720" s="77"/>
      <c r="K3720" s="77"/>
      <c r="L3720" s="76"/>
      <c r="M3720" s="76"/>
      <c r="N3720" s="76"/>
      <c r="O3720" s="76"/>
      <c r="P3720" s="76"/>
      <c r="Q3720" s="76"/>
      <c r="R3720" s="76"/>
      <c r="S3720" s="76"/>
      <c r="BD3720" s="99">
        <f t="shared" si="123"/>
        <v>0</v>
      </c>
      <c r="CC3720" s="99"/>
      <c r="CV3720" s="99"/>
      <c r="CW3720" s="63"/>
    </row>
    <row r="3721" spans="1:101" x14ac:dyDescent="0.15">
      <c r="A3721" s="76">
        <v>3480</v>
      </c>
      <c r="B3721" s="74" t="s">
        <v>4524</v>
      </c>
      <c r="C3721" s="74">
        <v>1002010543</v>
      </c>
      <c r="D3721" s="78" t="str">
        <f t="shared" si="122"/>
        <v>https://portal.dnb.de/opac.htm?method=simpleSearch&amp;cqlMode=true&amp;query=idn%3D1002010543</v>
      </c>
      <c r="E3721" s="74" t="s">
        <v>4495</v>
      </c>
      <c r="F3721" s="74"/>
      <c r="G3721" s="76"/>
      <c r="H3721" s="77"/>
      <c r="I3721" s="76"/>
      <c r="J3721" s="77"/>
      <c r="K3721" s="77"/>
      <c r="L3721" s="76"/>
      <c r="M3721" s="76"/>
      <c r="N3721" s="76"/>
      <c r="O3721" s="76"/>
      <c r="P3721" s="76"/>
      <c r="Q3721" s="76"/>
      <c r="R3721" s="76"/>
      <c r="S3721" s="76"/>
      <c r="BD3721" s="99">
        <f t="shared" si="123"/>
        <v>0</v>
      </c>
      <c r="CC3721" s="99"/>
      <c r="CV3721" s="99"/>
      <c r="CW3721" s="63"/>
    </row>
    <row r="3722" spans="1:101" x14ac:dyDescent="0.15">
      <c r="A3722" s="76">
        <v>3481</v>
      </c>
      <c r="B3722" s="74" t="s">
        <v>4525</v>
      </c>
      <c r="C3722" s="74">
        <v>1002010446</v>
      </c>
      <c r="D3722" s="78" t="str">
        <f t="shared" si="122"/>
        <v>https://portal.dnb.de/opac.htm?method=simpleSearch&amp;cqlMode=true&amp;query=idn%3D1002010446</v>
      </c>
      <c r="E3722" s="74" t="s">
        <v>4495</v>
      </c>
      <c r="F3722" s="74"/>
      <c r="G3722" s="76"/>
      <c r="H3722" s="77"/>
      <c r="I3722" s="76"/>
      <c r="J3722" s="77"/>
      <c r="K3722" s="77"/>
      <c r="L3722" s="76"/>
      <c r="M3722" s="76"/>
      <c r="N3722" s="76"/>
      <c r="O3722" s="76"/>
      <c r="P3722" s="76"/>
      <c r="Q3722" s="76"/>
      <c r="R3722" s="76"/>
      <c r="S3722" s="76"/>
      <c r="BD3722" s="99">
        <f t="shared" si="123"/>
        <v>0</v>
      </c>
      <c r="CC3722" s="99"/>
      <c r="CV3722" s="99"/>
      <c r="CW3722" s="63"/>
    </row>
    <row r="3723" spans="1:101" x14ac:dyDescent="0.15">
      <c r="A3723" s="76">
        <v>3482</v>
      </c>
      <c r="B3723" s="74" t="s">
        <v>4526</v>
      </c>
      <c r="C3723" s="74" t="s">
        <v>4527</v>
      </c>
      <c r="D3723" s="78" t="str">
        <f t="shared" si="122"/>
        <v>https://portal.dnb.de/opac.htm?method=simpleSearch&amp;cqlMode=true&amp;query=idn%3D100201039X</v>
      </c>
      <c r="E3723" s="74" t="s">
        <v>4495</v>
      </c>
      <c r="F3723" s="74"/>
      <c r="G3723" s="76"/>
      <c r="H3723" s="77"/>
      <c r="I3723" s="76"/>
      <c r="J3723" s="77"/>
      <c r="K3723" s="77"/>
      <c r="L3723" s="76"/>
      <c r="M3723" s="76"/>
      <c r="N3723" s="76"/>
      <c r="O3723" s="76"/>
      <c r="P3723" s="76"/>
      <c r="Q3723" s="76"/>
      <c r="R3723" s="76"/>
      <c r="S3723" s="76"/>
      <c r="BD3723" s="99">
        <f t="shared" si="123"/>
        <v>0</v>
      </c>
      <c r="CC3723" s="99"/>
      <c r="CV3723" s="99"/>
      <c r="CW3723" s="63"/>
    </row>
    <row r="3724" spans="1:101" x14ac:dyDescent="0.15">
      <c r="A3724" s="76">
        <v>3483</v>
      </c>
      <c r="B3724" s="74" t="s">
        <v>4528</v>
      </c>
      <c r="C3724" s="74">
        <v>1002010497</v>
      </c>
      <c r="D3724" s="78" t="str">
        <f t="shared" ref="D3724:D3788" si="124">HYPERLINK(CONCATENATE("https://portal.dnb.de/opac.htm?method=simpleSearch&amp;cqlMode=true&amp;query=idn%3D",C3724))</f>
        <v>https://portal.dnb.de/opac.htm?method=simpleSearch&amp;cqlMode=true&amp;query=idn%3D1002010497</v>
      </c>
      <c r="E3724" s="74" t="s">
        <v>4495</v>
      </c>
      <c r="F3724" s="74"/>
      <c r="G3724" s="76"/>
      <c r="H3724" s="77"/>
      <c r="I3724" s="76"/>
      <c r="J3724" s="77"/>
      <c r="K3724" s="77"/>
      <c r="L3724" s="76"/>
      <c r="M3724" s="76"/>
      <c r="N3724" s="76"/>
      <c r="O3724" s="76"/>
      <c r="P3724" s="76"/>
      <c r="Q3724" s="76"/>
      <c r="R3724" s="76"/>
      <c r="S3724" s="76"/>
      <c r="BD3724" s="99">
        <f t="shared" si="123"/>
        <v>0</v>
      </c>
      <c r="CC3724" s="99"/>
      <c r="CV3724" s="99"/>
      <c r="CW3724" s="63"/>
    </row>
    <row r="3725" spans="1:101" x14ac:dyDescent="0.15">
      <c r="A3725" s="76">
        <v>3484</v>
      </c>
      <c r="B3725" s="74" t="s">
        <v>4529</v>
      </c>
      <c r="C3725" s="74">
        <v>1002010349</v>
      </c>
      <c r="D3725" s="78" t="str">
        <f t="shared" si="124"/>
        <v>https://portal.dnb.de/opac.htm?method=simpleSearch&amp;cqlMode=true&amp;query=idn%3D1002010349</v>
      </c>
      <c r="E3725" s="74" t="s">
        <v>4495</v>
      </c>
      <c r="F3725" s="74"/>
      <c r="G3725" s="76"/>
      <c r="H3725" s="77"/>
      <c r="I3725" s="76"/>
      <c r="J3725" s="77"/>
      <c r="K3725" s="77"/>
      <c r="L3725" s="76"/>
      <c r="M3725" s="76"/>
      <c r="N3725" s="76"/>
      <c r="O3725" s="76"/>
      <c r="P3725" s="76"/>
      <c r="Q3725" s="76"/>
      <c r="R3725" s="76"/>
      <c r="S3725" s="76"/>
      <c r="BD3725" s="99">
        <f t="shared" si="123"/>
        <v>0</v>
      </c>
      <c r="CC3725" s="99"/>
      <c r="CV3725" s="99"/>
      <c r="CW3725" s="63"/>
    </row>
    <row r="3726" spans="1:101" x14ac:dyDescent="0.15">
      <c r="A3726" s="76">
        <v>3485</v>
      </c>
      <c r="B3726" s="74" t="s">
        <v>4530</v>
      </c>
      <c r="C3726" s="74">
        <v>1002010276</v>
      </c>
      <c r="D3726" s="78" t="str">
        <f t="shared" si="124"/>
        <v>https://portal.dnb.de/opac.htm?method=simpleSearch&amp;cqlMode=true&amp;query=idn%3D1002010276</v>
      </c>
      <c r="E3726" s="74" t="s">
        <v>4495</v>
      </c>
      <c r="F3726" s="74"/>
      <c r="G3726" s="76"/>
      <c r="H3726" s="77"/>
      <c r="I3726" s="76"/>
      <c r="J3726" s="77"/>
      <c r="K3726" s="77"/>
      <c r="L3726" s="76"/>
      <c r="M3726" s="76"/>
      <c r="N3726" s="76"/>
      <c r="O3726" s="76"/>
      <c r="P3726" s="76"/>
      <c r="Q3726" s="76"/>
      <c r="R3726" s="76"/>
      <c r="S3726" s="76"/>
      <c r="BD3726" s="99">
        <f t="shared" si="123"/>
        <v>0</v>
      </c>
      <c r="CC3726" s="99"/>
      <c r="CV3726" s="99"/>
      <c r="CW3726" s="63"/>
    </row>
    <row r="3727" spans="1:101" x14ac:dyDescent="0.15">
      <c r="A3727" s="76">
        <v>3486</v>
      </c>
      <c r="B3727" s="74" t="s">
        <v>4531</v>
      </c>
      <c r="C3727" s="74">
        <v>1002010519</v>
      </c>
      <c r="D3727" s="78" t="str">
        <f t="shared" si="124"/>
        <v>https://portal.dnb.de/opac.htm?method=simpleSearch&amp;cqlMode=true&amp;query=idn%3D1002010519</v>
      </c>
      <c r="E3727" s="74" t="s">
        <v>4495</v>
      </c>
      <c r="F3727" s="74"/>
      <c r="G3727" s="76"/>
      <c r="H3727" s="77"/>
      <c r="I3727" s="76"/>
      <c r="J3727" s="77"/>
      <c r="K3727" s="77"/>
      <c r="L3727" s="76"/>
      <c r="M3727" s="76"/>
      <c r="N3727" s="76"/>
      <c r="O3727" s="76"/>
      <c r="P3727" s="76"/>
      <c r="Q3727" s="76"/>
      <c r="R3727" s="76"/>
      <c r="S3727" s="76"/>
      <c r="BD3727" s="99">
        <f t="shared" si="123"/>
        <v>0</v>
      </c>
      <c r="CC3727" s="99"/>
      <c r="CV3727" s="99"/>
      <c r="CW3727" s="63"/>
    </row>
    <row r="3728" spans="1:101" x14ac:dyDescent="0.15">
      <c r="A3728" s="76">
        <v>3487</v>
      </c>
      <c r="B3728" s="74" t="s">
        <v>4532</v>
      </c>
      <c r="C3728" s="74">
        <v>1002010861</v>
      </c>
      <c r="D3728" s="78" t="str">
        <f t="shared" si="124"/>
        <v>https://portal.dnb.de/opac.htm?method=simpleSearch&amp;cqlMode=true&amp;query=idn%3D1002010861</v>
      </c>
      <c r="E3728" s="74" t="s">
        <v>4495</v>
      </c>
      <c r="F3728" s="74"/>
      <c r="G3728" s="76"/>
      <c r="H3728" s="77"/>
      <c r="I3728" s="76"/>
      <c r="J3728" s="77"/>
      <c r="K3728" s="77"/>
      <c r="L3728" s="76"/>
      <c r="M3728" s="76"/>
      <c r="N3728" s="76"/>
      <c r="O3728" s="76"/>
      <c r="P3728" s="76"/>
      <c r="Q3728" s="76"/>
      <c r="R3728" s="76"/>
      <c r="S3728" s="76"/>
      <c r="BD3728" s="99">
        <f t="shared" si="123"/>
        <v>0</v>
      </c>
      <c r="CC3728" s="99"/>
      <c r="CV3728" s="99"/>
      <c r="CW3728" s="63"/>
    </row>
    <row r="3729" spans="1:101" x14ac:dyDescent="0.15">
      <c r="A3729" s="76">
        <v>3488</v>
      </c>
      <c r="B3729" s="74" t="s">
        <v>4533</v>
      </c>
      <c r="C3729" s="74">
        <v>1003758746</v>
      </c>
      <c r="D3729" s="78" t="str">
        <f t="shared" si="124"/>
        <v>https://portal.dnb.de/opac.htm?method=simpleSearch&amp;cqlMode=true&amp;query=idn%3D1003758746</v>
      </c>
      <c r="E3729" s="74" t="s">
        <v>4534</v>
      </c>
      <c r="F3729" s="74"/>
      <c r="G3729" s="76"/>
      <c r="H3729" s="77"/>
      <c r="I3729" s="76"/>
      <c r="J3729" s="77"/>
      <c r="K3729" s="77"/>
      <c r="L3729" s="76"/>
      <c r="M3729" s="76"/>
      <c r="N3729" s="76"/>
      <c r="O3729" s="76"/>
      <c r="P3729" s="76"/>
      <c r="Q3729" s="76"/>
      <c r="R3729" s="76"/>
      <c r="S3729" s="76"/>
      <c r="BD3729" s="99">
        <f t="shared" si="123"/>
        <v>0</v>
      </c>
      <c r="CC3729" s="99"/>
      <c r="CV3729" s="99"/>
      <c r="CW3729" s="63"/>
    </row>
    <row r="3730" spans="1:101" x14ac:dyDescent="0.15">
      <c r="A3730" s="76">
        <v>3489</v>
      </c>
      <c r="B3730" s="74" t="s">
        <v>4535</v>
      </c>
      <c r="C3730" s="74">
        <v>1003758800</v>
      </c>
      <c r="D3730" s="78" t="str">
        <f t="shared" si="124"/>
        <v>https://portal.dnb.de/opac.htm?method=simpleSearch&amp;cqlMode=true&amp;query=idn%3D1003758800</v>
      </c>
      <c r="E3730" s="74" t="s">
        <v>4534</v>
      </c>
      <c r="F3730" s="74"/>
      <c r="G3730" s="76"/>
      <c r="H3730" s="77"/>
      <c r="I3730" s="76"/>
      <c r="J3730" s="77"/>
      <c r="K3730" s="77"/>
      <c r="L3730" s="76"/>
      <c r="M3730" s="76"/>
      <c r="N3730" s="76"/>
      <c r="O3730" s="76"/>
      <c r="P3730" s="76"/>
      <c r="Q3730" s="76"/>
      <c r="R3730" s="76"/>
      <c r="S3730" s="76"/>
      <c r="BD3730" s="99">
        <f t="shared" si="123"/>
        <v>0</v>
      </c>
      <c r="CC3730" s="99"/>
      <c r="CV3730" s="99"/>
      <c r="CW3730" s="63"/>
    </row>
    <row r="3731" spans="1:101" x14ac:dyDescent="0.15">
      <c r="A3731" s="76">
        <v>3490</v>
      </c>
      <c r="B3731" s="74" t="s">
        <v>4548</v>
      </c>
      <c r="C3731" s="74">
        <v>1001272617</v>
      </c>
      <c r="D3731" s="78" t="str">
        <f t="shared" si="124"/>
        <v>https://portal.dnb.de/opac.htm?method=simpleSearch&amp;cqlMode=true&amp;query=idn%3D1001272617</v>
      </c>
      <c r="E3731" s="74" t="s">
        <v>4549</v>
      </c>
      <c r="F3731" s="74"/>
      <c r="G3731" s="76"/>
      <c r="H3731" s="77"/>
      <c r="I3731" s="76"/>
      <c r="J3731" s="77"/>
      <c r="K3731" s="77"/>
      <c r="L3731" s="76"/>
      <c r="M3731" s="76"/>
      <c r="N3731" s="76"/>
      <c r="O3731" s="76"/>
      <c r="P3731" s="76"/>
      <c r="Q3731" s="76"/>
      <c r="R3731" s="76"/>
      <c r="S3731" s="76"/>
      <c r="BD3731" s="99">
        <f t="shared" si="123"/>
        <v>0</v>
      </c>
      <c r="CC3731" s="99"/>
      <c r="CV3731" s="99"/>
      <c r="CW3731" s="63"/>
    </row>
    <row r="3732" spans="1:101" x14ac:dyDescent="0.15">
      <c r="A3732" s="76">
        <v>3491</v>
      </c>
      <c r="B3732" s="74" t="s">
        <v>4550</v>
      </c>
      <c r="C3732" s="74">
        <v>998022136</v>
      </c>
      <c r="D3732" s="78" t="str">
        <f t="shared" si="124"/>
        <v>https://portal.dnb.de/opac.htm?method=simpleSearch&amp;cqlMode=true&amp;query=idn%3D998022136</v>
      </c>
      <c r="E3732" s="74" t="s">
        <v>4551</v>
      </c>
      <c r="F3732" s="74"/>
      <c r="G3732" s="76"/>
      <c r="H3732" s="77"/>
      <c r="I3732" s="76"/>
      <c r="J3732" s="77"/>
      <c r="K3732" s="77"/>
      <c r="L3732" s="76"/>
      <c r="M3732" s="76"/>
      <c r="N3732" s="76"/>
      <c r="O3732" s="76"/>
      <c r="P3732" s="76"/>
      <c r="Q3732" s="76"/>
      <c r="R3732" s="76"/>
      <c r="S3732" s="76"/>
      <c r="BD3732" s="99">
        <f t="shared" si="123"/>
        <v>0</v>
      </c>
      <c r="CC3732" s="99"/>
      <c r="CV3732" s="99"/>
      <c r="CW3732" s="63"/>
    </row>
    <row r="3733" spans="1:101" x14ac:dyDescent="0.15">
      <c r="A3733" s="76">
        <v>3492</v>
      </c>
      <c r="B3733" s="74" t="s">
        <v>4560</v>
      </c>
      <c r="C3733" s="74">
        <v>1000932877</v>
      </c>
      <c r="D3733" s="78" t="str">
        <f t="shared" si="124"/>
        <v>https://portal.dnb.de/opac.htm?method=simpleSearch&amp;cqlMode=true&amp;query=idn%3D1000932877</v>
      </c>
      <c r="E3733" s="74" t="s">
        <v>4561</v>
      </c>
      <c r="F3733" s="74"/>
      <c r="G3733" s="76"/>
      <c r="H3733" s="77"/>
      <c r="I3733" s="76"/>
      <c r="J3733" s="77"/>
      <c r="K3733" s="77"/>
      <c r="L3733" s="76"/>
      <c r="M3733" s="76"/>
      <c r="N3733" s="76"/>
      <c r="O3733" s="76"/>
      <c r="P3733" s="76"/>
      <c r="Q3733" s="76"/>
      <c r="R3733" s="76"/>
      <c r="S3733" s="76"/>
      <c r="BD3733" s="99">
        <f t="shared" si="123"/>
        <v>0</v>
      </c>
      <c r="CC3733" s="99"/>
      <c r="CV3733" s="99"/>
      <c r="CW3733" s="63"/>
    </row>
    <row r="3734" spans="1:101" x14ac:dyDescent="0.15">
      <c r="A3734" s="76">
        <v>3493</v>
      </c>
      <c r="B3734" s="74" t="s">
        <v>4562</v>
      </c>
      <c r="C3734" s="74">
        <v>995554994</v>
      </c>
      <c r="D3734" s="78" t="str">
        <f t="shared" si="124"/>
        <v>https://portal.dnb.de/opac.htm?method=simpleSearch&amp;cqlMode=true&amp;query=idn%3D995554994</v>
      </c>
      <c r="E3734" s="74" t="s">
        <v>4563</v>
      </c>
      <c r="F3734" s="74"/>
      <c r="G3734" s="76"/>
      <c r="H3734" s="77"/>
      <c r="I3734" s="76"/>
      <c r="J3734" s="77"/>
      <c r="K3734" s="77"/>
      <c r="L3734" s="76"/>
      <c r="M3734" s="76"/>
      <c r="N3734" s="76"/>
      <c r="O3734" s="76"/>
      <c r="P3734" s="76"/>
      <c r="Q3734" s="76"/>
      <c r="R3734" s="76"/>
      <c r="S3734" s="76"/>
      <c r="BD3734" s="99">
        <f t="shared" si="123"/>
        <v>0</v>
      </c>
      <c r="CC3734" s="99"/>
      <c r="CV3734" s="99"/>
      <c r="CW3734" s="63"/>
    </row>
    <row r="3735" spans="1:101" ht="67.5" x14ac:dyDescent="0.15">
      <c r="A3735" s="76">
        <v>3494</v>
      </c>
      <c r="B3735" s="74" t="s">
        <v>4582</v>
      </c>
      <c r="C3735" s="74">
        <v>997288272</v>
      </c>
      <c r="D3735" s="78" t="str">
        <f t="shared" si="124"/>
        <v>https://portal.dnb.de/opac.htm?method=simpleSearch&amp;cqlMode=true&amp;query=idn%3D997288272</v>
      </c>
      <c r="E3735" s="74" t="s">
        <v>4583</v>
      </c>
      <c r="F3735" s="74"/>
      <c r="G3735" s="76"/>
      <c r="H3735" s="77" t="s">
        <v>8668</v>
      </c>
      <c r="I3735" s="76" t="s">
        <v>56</v>
      </c>
      <c r="J3735" s="77"/>
      <c r="K3735" s="77"/>
      <c r="L3735" s="76"/>
      <c r="M3735" s="76" t="s">
        <v>38</v>
      </c>
      <c r="N3735" s="76"/>
      <c r="O3735" s="76">
        <v>0</v>
      </c>
      <c r="P3735" s="76"/>
      <c r="Q3735" s="76" t="s">
        <v>9693</v>
      </c>
      <c r="R3735" s="76"/>
      <c r="S3735" s="76"/>
      <c r="U3735" s="95" t="s">
        <v>9805</v>
      </c>
      <c r="Y3735" s="96" t="s">
        <v>9868</v>
      </c>
      <c r="Z3735" s="96"/>
      <c r="AB3735" s="95" t="s">
        <v>8541</v>
      </c>
      <c r="AI3735" s="95" t="s">
        <v>9725</v>
      </c>
      <c r="AR3735" s="95" t="s">
        <v>8541</v>
      </c>
      <c r="AS3735" s="95" t="s">
        <v>9788</v>
      </c>
      <c r="AT3735" s="95" t="s">
        <v>8541</v>
      </c>
      <c r="AW3735" s="95">
        <v>180</v>
      </c>
      <c r="AY3735" s="96" t="s">
        <v>9806</v>
      </c>
      <c r="AZ3735" s="96"/>
      <c r="BC3735" s="96" t="s">
        <v>9734</v>
      </c>
      <c r="BD3735" s="99">
        <f t="shared" si="123"/>
        <v>0</v>
      </c>
      <c r="BF3735" s="95" t="s">
        <v>10005</v>
      </c>
      <c r="CC3735" s="99"/>
      <c r="CV3735" s="99"/>
      <c r="CW3735" s="63"/>
    </row>
    <row r="3736" spans="1:101" ht="33.75" x14ac:dyDescent="0.15">
      <c r="A3736" s="76"/>
      <c r="B3736" s="74"/>
      <c r="C3736" s="74"/>
      <c r="D3736" s="78"/>
      <c r="E3736" s="74" t="s">
        <v>4583</v>
      </c>
      <c r="F3736" s="79" t="s">
        <v>10534</v>
      </c>
      <c r="G3736" s="76"/>
      <c r="H3736" s="77" t="s">
        <v>5</v>
      </c>
      <c r="I3736" s="76" t="s">
        <v>56</v>
      </c>
      <c r="J3736" s="77"/>
      <c r="K3736" s="77"/>
      <c r="L3736" s="76"/>
      <c r="M3736" s="76" t="s">
        <v>34</v>
      </c>
      <c r="N3736" s="76"/>
      <c r="O3736" s="76">
        <v>0</v>
      </c>
      <c r="P3736" s="76"/>
      <c r="Q3736" s="76" t="s">
        <v>9694</v>
      </c>
      <c r="R3736" s="76"/>
      <c r="S3736" s="76"/>
      <c r="U3736" s="95" t="s">
        <v>9804</v>
      </c>
      <c r="BD3736" s="99">
        <f t="shared" si="123"/>
        <v>0</v>
      </c>
      <c r="BI3736" s="95" t="s">
        <v>8541</v>
      </c>
      <c r="CC3736" s="99"/>
      <c r="CV3736" s="99"/>
      <c r="CW3736" s="63"/>
    </row>
    <row r="3737" spans="1:101" x14ac:dyDescent="0.15">
      <c r="A3737" s="76">
        <v>3495</v>
      </c>
      <c r="B3737" s="74" t="s">
        <v>4584</v>
      </c>
      <c r="C3737" s="74">
        <v>1066462860</v>
      </c>
      <c r="D3737" s="78" t="str">
        <f t="shared" si="124"/>
        <v>https://portal.dnb.de/opac.htm?method=simpleSearch&amp;cqlMode=true&amp;query=idn%3D1066462860</v>
      </c>
      <c r="E3737" s="74" t="s">
        <v>4585</v>
      </c>
      <c r="F3737" s="74"/>
      <c r="G3737" s="76"/>
      <c r="H3737" s="77"/>
      <c r="I3737" s="76" t="s">
        <v>54</v>
      </c>
      <c r="J3737" s="77"/>
      <c r="K3737" s="77"/>
      <c r="L3737" s="76"/>
      <c r="M3737" s="76"/>
      <c r="N3737" s="76"/>
      <c r="O3737" s="76"/>
      <c r="P3737" s="76"/>
      <c r="Q3737" s="76"/>
      <c r="R3737" s="76"/>
      <c r="S3737" s="76"/>
      <c r="Y3737" s="95" t="s">
        <v>9725</v>
      </c>
      <c r="AC3737" s="95" t="s">
        <v>9737</v>
      </c>
      <c r="AI3737" s="95" t="s">
        <v>9725</v>
      </c>
      <c r="AP3737" s="95" t="s">
        <v>8541</v>
      </c>
      <c r="AR3737" s="95" t="s">
        <v>8541</v>
      </c>
      <c r="AS3737" s="95" t="s">
        <v>9788</v>
      </c>
      <c r="AT3737" s="95" t="s">
        <v>8541</v>
      </c>
      <c r="AW3737" s="95">
        <v>180</v>
      </c>
      <c r="BC3737" s="96" t="s">
        <v>9726</v>
      </c>
      <c r="BD3737" s="99">
        <f t="shared" si="123"/>
        <v>1</v>
      </c>
      <c r="BJ3737" s="95" t="s">
        <v>9741</v>
      </c>
      <c r="BK3737" s="95" t="s">
        <v>8541</v>
      </c>
      <c r="BR3737" s="95" t="s">
        <v>8541</v>
      </c>
      <c r="CC3737" s="99">
        <v>1</v>
      </c>
      <c r="CD3737" s="90" t="s">
        <v>9838</v>
      </c>
      <c r="CV3737" s="99"/>
      <c r="CW3737" s="63"/>
    </row>
    <row r="3738" spans="1:101" x14ac:dyDescent="0.15">
      <c r="A3738" s="76">
        <v>3496</v>
      </c>
      <c r="B3738" s="74" t="s">
        <v>4609</v>
      </c>
      <c r="C3738" s="74">
        <v>994470339</v>
      </c>
      <c r="D3738" s="78" t="str">
        <f t="shared" si="124"/>
        <v>https://portal.dnb.de/opac.htm?method=simpleSearch&amp;cqlMode=true&amp;query=idn%3D994470339</v>
      </c>
      <c r="E3738" s="74" t="s">
        <v>4610</v>
      </c>
      <c r="F3738" s="74"/>
      <c r="G3738" s="76"/>
      <c r="H3738" s="77"/>
      <c r="I3738" s="76"/>
      <c r="J3738" s="77"/>
      <c r="K3738" s="77"/>
      <c r="L3738" s="76"/>
      <c r="M3738" s="76"/>
      <c r="N3738" s="76"/>
      <c r="O3738" s="76"/>
      <c r="P3738" s="76"/>
      <c r="Q3738" s="76"/>
      <c r="R3738" s="76"/>
      <c r="S3738" s="76"/>
      <c r="BD3738" s="99">
        <f t="shared" si="123"/>
        <v>0</v>
      </c>
      <c r="CC3738" s="99"/>
      <c r="CV3738" s="99"/>
      <c r="CW3738" s="63"/>
    </row>
    <row r="3739" spans="1:101" ht="33.75" x14ac:dyDescent="0.15">
      <c r="A3739" s="76">
        <v>3497</v>
      </c>
      <c r="B3739" s="74" t="s">
        <v>4611</v>
      </c>
      <c r="C3739" s="74">
        <v>997063912</v>
      </c>
      <c r="D3739" s="78" t="str">
        <f t="shared" si="124"/>
        <v>https://portal.dnb.de/opac.htm?method=simpleSearch&amp;cqlMode=true&amp;query=idn%3D997063912</v>
      </c>
      <c r="E3739" s="74" t="s">
        <v>4612</v>
      </c>
      <c r="F3739" s="74"/>
      <c r="G3739" s="76"/>
      <c r="H3739" s="77"/>
      <c r="I3739" s="76" t="s">
        <v>53</v>
      </c>
      <c r="J3739" s="77"/>
      <c r="K3739" s="77"/>
      <c r="L3739" s="76"/>
      <c r="M3739" s="76"/>
      <c r="N3739" s="76"/>
      <c r="O3739" s="76"/>
      <c r="P3739" s="76"/>
      <c r="Q3739" s="76"/>
      <c r="R3739" s="76"/>
      <c r="S3739" s="76"/>
      <c r="Y3739" s="95" t="s">
        <v>9723</v>
      </c>
      <c r="AB3739" s="95" t="s">
        <v>8541</v>
      </c>
      <c r="AC3739" s="95" t="s">
        <v>9730</v>
      </c>
      <c r="AI3739" s="95" t="s">
        <v>9725</v>
      </c>
      <c r="AP3739" s="95" t="s">
        <v>8541</v>
      </c>
      <c r="AU3739" s="95">
        <v>0</v>
      </c>
      <c r="AV3739" s="95" t="s">
        <v>8541</v>
      </c>
      <c r="AW3739" s="95">
        <v>0</v>
      </c>
      <c r="BC3739" s="96" t="s">
        <v>9734</v>
      </c>
      <c r="BD3739" s="99">
        <f t="shared" si="123"/>
        <v>0</v>
      </c>
      <c r="BF3739" s="95" t="s">
        <v>10005</v>
      </c>
      <c r="BL3739" s="70" t="s">
        <v>9840</v>
      </c>
      <c r="CC3739" s="99"/>
      <c r="CV3739" s="99"/>
    </row>
    <row r="3740" spans="1:101" ht="33.75" x14ac:dyDescent="0.15">
      <c r="A3740" s="76">
        <v>3498</v>
      </c>
      <c r="B3740" s="74" t="s">
        <v>4613</v>
      </c>
      <c r="C3740" s="74" t="s">
        <v>4614</v>
      </c>
      <c r="D3740" s="78" t="str">
        <f t="shared" si="124"/>
        <v>https://portal.dnb.de/opac.htm?method=simpleSearch&amp;cqlMode=true&amp;query=idn%3D99706384X</v>
      </c>
      <c r="E3740" s="74" t="s">
        <v>4612</v>
      </c>
      <c r="F3740" s="74"/>
      <c r="G3740" s="76"/>
      <c r="H3740" s="77"/>
      <c r="I3740" s="76" t="s">
        <v>53</v>
      </c>
      <c r="J3740" s="77"/>
      <c r="K3740" s="77"/>
      <c r="L3740" s="76"/>
      <c r="M3740" s="76"/>
      <c r="N3740" s="76"/>
      <c r="O3740" s="76"/>
      <c r="P3740" s="76"/>
      <c r="Q3740" s="76"/>
      <c r="R3740" s="76"/>
      <c r="S3740" s="76"/>
      <c r="Y3740" s="95" t="s">
        <v>9723</v>
      </c>
      <c r="AB3740" s="95" t="s">
        <v>8541</v>
      </c>
      <c r="AC3740" s="95" t="s">
        <v>9730</v>
      </c>
      <c r="AI3740" s="95" t="s">
        <v>9725</v>
      </c>
      <c r="AP3740" s="95" t="s">
        <v>8541</v>
      </c>
      <c r="AU3740" s="95">
        <v>0</v>
      </c>
      <c r="AV3740" s="95" t="s">
        <v>8541</v>
      </c>
      <c r="AW3740" s="95">
        <v>0</v>
      </c>
      <c r="BC3740" s="96" t="s">
        <v>9734</v>
      </c>
      <c r="BD3740" s="99">
        <f t="shared" si="123"/>
        <v>0</v>
      </c>
      <c r="BF3740" s="95" t="s">
        <v>10005</v>
      </c>
      <c r="BL3740" s="70" t="s">
        <v>9840</v>
      </c>
      <c r="CC3740" s="99"/>
      <c r="CV3740" s="99"/>
    </row>
    <row r="3741" spans="1:101" x14ac:dyDescent="0.15">
      <c r="A3741" s="76">
        <v>3499</v>
      </c>
      <c r="B3741" s="74" t="s">
        <v>4637</v>
      </c>
      <c r="C3741" s="74">
        <v>1211128202</v>
      </c>
      <c r="D3741" s="78" t="str">
        <f t="shared" si="124"/>
        <v>https://portal.dnb.de/opac.htm?method=simpleSearch&amp;cqlMode=true&amp;query=idn%3D1211128202</v>
      </c>
      <c r="E3741" s="74" t="s">
        <v>4638</v>
      </c>
      <c r="F3741" s="74"/>
      <c r="G3741" s="76"/>
      <c r="H3741" s="77"/>
      <c r="I3741" s="76"/>
      <c r="J3741" s="77"/>
      <c r="K3741" s="77"/>
      <c r="L3741" s="76"/>
      <c r="M3741" s="76"/>
      <c r="N3741" s="76"/>
      <c r="O3741" s="76"/>
      <c r="P3741" s="76"/>
      <c r="Q3741" s="76"/>
      <c r="R3741" s="76"/>
      <c r="S3741" s="76"/>
      <c r="BD3741" s="99">
        <f t="shared" si="123"/>
        <v>0</v>
      </c>
      <c r="CC3741" s="99"/>
      <c r="CV3741" s="99"/>
      <c r="CW3741" s="63"/>
    </row>
    <row r="3742" spans="1:101" x14ac:dyDescent="0.15">
      <c r="A3742" s="76">
        <v>3500</v>
      </c>
      <c r="B3742" s="74" t="s">
        <v>4639</v>
      </c>
      <c r="C3742" s="74">
        <v>1211127508</v>
      </c>
      <c r="D3742" s="78" t="str">
        <f t="shared" si="124"/>
        <v>https://portal.dnb.de/opac.htm?method=simpleSearch&amp;cqlMode=true&amp;query=idn%3D1211127508</v>
      </c>
      <c r="E3742" s="74" t="s">
        <v>4640</v>
      </c>
      <c r="F3742" s="74"/>
      <c r="G3742" s="76"/>
      <c r="H3742" s="77"/>
      <c r="I3742" s="76"/>
      <c r="J3742" s="77"/>
      <c r="K3742" s="77"/>
      <c r="L3742" s="76"/>
      <c r="M3742" s="76"/>
      <c r="N3742" s="76"/>
      <c r="O3742" s="76"/>
      <c r="P3742" s="76"/>
      <c r="Q3742" s="76"/>
      <c r="R3742" s="76"/>
      <c r="S3742" s="76"/>
      <c r="BD3742" s="99">
        <f t="shared" si="123"/>
        <v>0</v>
      </c>
      <c r="CC3742" s="99"/>
      <c r="CV3742" s="99"/>
      <c r="CW3742" s="63"/>
    </row>
    <row r="3743" spans="1:101" x14ac:dyDescent="0.15">
      <c r="A3743" s="76">
        <v>3501</v>
      </c>
      <c r="B3743" s="74" t="s">
        <v>4644</v>
      </c>
      <c r="C3743" s="74">
        <v>1001381661</v>
      </c>
      <c r="D3743" s="78" t="str">
        <f t="shared" si="124"/>
        <v>https://portal.dnb.de/opac.htm?method=simpleSearch&amp;cqlMode=true&amp;query=idn%3D1001381661</v>
      </c>
      <c r="E3743" s="74" t="s">
        <v>4645</v>
      </c>
      <c r="F3743" s="74"/>
      <c r="G3743" s="76"/>
      <c r="H3743" s="77"/>
      <c r="I3743" s="76"/>
      <c r="J3743" s="77"/>
      <c r="K3743" s="77"/>
      <c r="L3743" s="76"/>
      <c r="M3743" s="76"/>
      <c r="N3743" s="76"/>
      <c r="O3743" s="76"/>
      <c r="P3743" s="76"/>
      <c r="Q3743" s="76"/>
      <c r="R3743" s="76"/>
      <c r="S3743" s="76"/>
      <c r="BD3743" s="99">
        <f t="shared" si="123"/>
        <v>0</v>
      </c>
      <c r="CC3743" s="99"/>
      <c r="CV3743" s="99"/>
      <c r="CW3743" s="63"/>
    </row>
    <row r="3744" spans="1:101" x14ac:dyDescent="0.15">
      <c r="A3744" s="76">
        <v>3502</v>
      </c>
      <c r="B3744" s="74" t="s">
        <v>4648</v>
      </c>
      <c r="C3744" s="74">
        <v>997271949</v>
      </c>
      <c r="D3744" s="78" t="str">
        <f t="shared" si="124"/>
        <v>https://portal.dnb.de/opac.htm?method=simpleSearch&amp;cqlMode=true&amp;query=idn%3D997271949</v>
      </c>
      <c r="E3744" s="74" t="s">
        <v>4649</v>
      </c>
      <c r="F3744" s="74"/>
      <c r="G3744" s="76"/>
      <c r="H3744" s="77"/>
      <c r="I3744" s="76"/>
      <c r="J3744" s="77"/>
      <c r="K3744" s="77"/>
      <c r="L3744" s="76"/>
      <c r="M3744" s="76"/>
      <c r="N3744" s="76"/>
      <c r="O3744" s="76"/>
      <c r="P3744" s="76"/>
      <c r="Q3744" s="76"/>
      <c r="R3744" s="76"/>
      <c r="S3744" s="76"/>
      <c r="BD3744" s="99">
        <f t="shared" si="123"/>
        <v>0</v>
      </c>
      <c r="CC3744" s="99"/>
      <c r="CV3744" s="99"/>
      <c r="CW3744" s="63"/>
    </row>
    <row r="3745" spans="1:101" x14ac:dyDescent="0.15">
      <c r="A3745" s="76">
        <v>3503</v>
      </c>
      <c r="B3745" s="74" t="s">
        <v>4657</v>
      </c>
      <c r="C3745" s="74" t="s">
        <v>4658</v>
      </c>
      <c r="D3745" s="78" t="str">
        <f t="shared" si="124"/>
        <v>https://portal.dnb.de/opac.htm?method=simpleSearch&amp;cqlMode=true&amp;query=idn%3D100064359X</v>
      </c>
      <c r="E3745" s="74" t="s">
        <v>4659</v>
      </c>
      <c r="F3745" s="74"/>
      <c r="G3745" s="76"/>
      <c r="H3745" s="77"/>
      <c r="I3745" s="76"/>
      <c r="J3745" s="77"/>
      <c r="K3745" s="77"/>
      <c r="L3745" s="76"/>
      <c r="M3745" s="76"/>
      <c r="N3745" s="76"/>
      <c r="O3745" s="76"/>
      <c r="P3745" s="76"/>
      <c r="Q3745" s="76"/>
      <c r="R3745" s="76"/>
      <c r="S3745" s="76"/>
      <c r="BD3745" s="99">
        <f t="shared" si="123"/>
        <v>0</v>
      </c>
      <c r="CC3745" s="99"/>
      <c r="CV3745" s="99"/>
      <c r="CW3745" s="63"/>
    </row>
    <row r="3746" spans="1:101" x14ac:dyDescent="0.15">
      <c r="A3746" s="76">
        <v>3504</v>
      </c>
      <c r="B3746" s="74" t="s">
        <v>4678</v>
      </c>
      <c r="C3746" s="74">
        <v>994214545</v>
      </c>
      <c r="D3746" s="78" t="str">
        <f t="shared" si="124"/>
        <v>https://portal.dnb.de/opac.htm?method=simpleSearch&amp;cqlMode=true&amp;query=idn%3D994214545</v>
      </c>
      <c r="E3746" s="74" t="s">
        <v>4679</v>
      </c>
      <c r="F3746" s="74"/>
      <c r="G3746" s="76"/>
      <c r="H3746" s="77"/>
      <c r="I3746" s="76"/>
      <c r="J3746" s="77"/>
      <c r="K3746" s="77"/>
      <c r="L3746" s="76"/>
      <c r="M3746" s="76"/>
      <c r="N3746" s="76"/>
      <c r="O3746" s="76"/>
      <c r="P3746" s="76"/>
      <c r="Q3746" s="76"/>
      <c r="R3746" s="76"/>
      <c r="S3746" s="76"/>
      <c r="BD3746" s="99">
        <f t="shared" si="123"/>
        <v>0</v>
      </c>
      <c r="CC3746" s="99"/>
      <c r="CV3746" s="99"/>
      <c r="CW3746" s="63"/>
    </row>
    <row r="3747" spans="1:101" x14ac:dyDescent="0.15">
      <c r="A3747" s="76">
        <v>3505</v>
      </c>
      <c r="B3747" s="74" t="s">
        <v>4680</v>
      </c>
      <c r="C3747" s="74">
        <v>994198582</v>
      </c>
      <c r="D3747" s="78" t="str">
        <f t="shared" si="124"/>
        <v>https://portal.dnb.de/opac.htm?method=simpleSearch&amp;cqlMode=true&amp;query=idn%3D994198582</v>
      </c>
      <c r="E3747" s="74" t="s">
        <v>4681</v>
      </c>
      <c r="F3747" s="74"/>
      <c r="G3747" s="76"/>
      <c r="H3747" s="77"/>
      <c r="I3747" s="76"/>
      <c r="J3747" s="77"/>
      <c r="K3747" s="77"/>
      <c r="L3747" s="76"/>
      <c r="M3747" s="76"/>
      <c r="N3747" s="76"/>
      <c r="O3747" s="76"/>
      <c r="P3747" s="76"/>
      <c r="Q3747" s="76"/>
      <c r="R3747" s="76"/>
      <c r="S3747" s="76"/>
      <c r="BD3747" s="99">
        <f t="shared" si="123"/>
        <v>0</v>
      </c>
      <c r="CC3747" s="99"/>
      <c r="CV3747" s="99"/>
      <c r="CW3747" s="63"/>
    </row>
    <row r="3748" spans="1:101" x14ac:dyDescent="0.15">
      <c r="A3748" s="76">
        <v>3506</v>
      </c>
      <c r="B3748" s="74" t="s">
        <v>4713</v>
      </c>
      <c r="C3748" s="74">
        <v>993863795</v>
      </c>
      <c r="D3748" s="78" t="str">
        <f t="shared" si="124"/>
        <v>https://portal.dnb.de/opac.htm?method=simpleSearch&amp;cqlMode=true&amp;query=idn%3D993863795</v>
      </c>
      <c r="E3748" s="74" t="s">
        <v>4714</v>
      </c>
      <c r="F3748" s="74"/>
      <c r="G3748" s="76"/>
      <c r="H3748" s="77"/>
      <c r="I3748" s="76"/>
      <c r="J3748" s="77"/>
      <c r="K3748" s="77"/>
      <c r="L3748" s="76"/>
      <c r="M3748" s="76"/>
      <c r="N3748" s="76"/>
      <c r="O3748" s="76"/>
      <c r="P3748" s="76"/>
      <c r="Q3748" s="76"/>
      <c r="R3748" s="76"/>
      <c r="S3748" s="76"/>
      <c r="BD3748" s="99">
        <f t="shared" si="123"/>
        <v>0</v>
      </c>
      <c r="CC3748" s="99"/>
      <c r="CV3748" s="99"/>
      <c r="CW3748" s="63"/>
    </row>
    <row r="3749" spans="1:101" x14ac:dyDescent="0.15">
      <c r="A3749" s="76">
        <v>3507</v>
      </c>
      <c r="B3749" s="74" t="s">
        <v>4715</v>
      </c>
      <c r="C3749" s="74" t="s">
        <v>4716</v>
      </c>
      <c r="D3749" s="78" t="str">
        <f t="shared" si="124"/>
        <v>https://portal.dnb.de/opac.htm?method=simpleSearch&amp;cqlMode=true&amp;query=idn%3D99671121X</v>
      </c>
      <c r="E3749" s="74" t="s">
        <v>4717</v>
      </c>
      <c r="F3749" s="74"/>
      <c r="G3749" s="76"/>
      <c r="H3749" s="77"/>
      <c r="I3749" s="76"/>
      <c r="J3749" s="77"/>
      <c r="K3749" s="77"/>
      <c r="L3749" s="76"/>
      <c r="M3749" s="76"/>
      <c r="N3749" s="76"/>
      <c r="O3749" s="76"/>
      <c r="P3749" s="76"/>
      <c r="Q3749" s="76"/>
      <c r="R3749" s="76"/>
      <c r="S3749" s="76"/>
      <c r="BD3749" s="99">
        <f t="shared" si="123"/>
        <v>0</v>
      </c>
      <c r="CC3749" s="99"/>
      <c r="CV3749" s="99"/>
      <c r="CW3749" s="63"/>
    </row>
    <row r="3750" spans="1:101" x14ac:dyDescent="0.15">
      <c r="A3750" s="76">
        <v>3508</v>
      </c>
      <c r="B3750" s="74" t="s">
        <v>4718</v>
      </c>
      <c r="C3750" s="74">
        <v>997519118</v>
      </c>
      <c r="D3750" s="78" t="str">
        <f t="shared" si="124"/>
        <v>https://portal.dnb.de/opac.htm?method=simpleSearch&amp;cqlMode=true&amp;query=idn%3D997519118</v>
      </c>
      <c r="E3750" s="74" t="s">
        <v>4719</v>
      </c>
      <c r="F3750" s="74"/>
      <c r="G3750" s="76"/>
      <c r="H3750" s="77"/>
      <c r="I3750" s="76"/>
      <c r="J3750" s="77"/>
      <c r="K3750" s="77"/>
      <c r="L3750" s="76"/>
      <c r="M3750" s="76"/>
      <c r="N3750" s="76"/>
      <c r="O3750" s="76"/>
      <c r="P3750" s="76"/>
      <c r="Q3750" s="76"/>
      <c r="R3750" s="76"/>
      <c r="S3750" s="76"/>
      <c r="BD3750" s="99">
        <f t="shared" si="123"/>
        <v>0</v>
      </c>
      <c r="CC3750" s="99"/>
      <c r="CV3750" s="99"/>
      <c r="CW3750" s="63"/>
    </row>
    <row r="3751" spans="1:101" x14ac:dyDescent="0.15">
      <c r="A3751" s="76">
        <v>3509</v>
      </c>
      <c r="B3751" s="74" t="s">
        <v>4720</v>
      </c>
      <c r="C3751" s="74" t="s">
        <v>4721</v>
      </c>
      <c r="D3751" s="78" t="str">
        <f t="shared" si="124"/>
        <v>https://portal.dnb.de/opac.htm?method=simpleSearch&amp;cqlMode=true&amp;query=idn%3D99751888X</v>
      </c>
      <c r="E3751" s="74" t="s">
        <v>4722</v>
      </c>
      <c r="F3751" s="74"/>
      <c r="G3751" s="76"/>
      <c r="H3751" s="77"/>
      <c r="I3751" s="76"/>
      <c r="J3751" s="77"/>
      <c r="K3751" s="77"/>
      <c r="L3751" s="76"/>
      <c r="M3751" s="76"/>
      <c r="N3751" s="76"/>
      <c r="O3751" s="76"/>
      <c r="P3751" s="76"/>
      <c r="Q3751" s="76"/>
      <c r="R3751" s="76"/>
      <c r="S3751" s="76"/>
      <c r="BD3751" s="99">
        <f t="shared" si="123"/>
        <v>0</v>
      </c>
      <c r="CC3751" s="99"/>
      <c r="CV3751" s="99"/>
      <c r="CW3751" s="63"/>
    </row>
    <row r="3752" spans="1:101" x14ac:dyDescent="0.15">
      <c r="A3752" s="76">
        <v>3510</v>
      </c>
      <c r="B3752" s="74" t="s">
        <v>4723</v>
      </c>
      <c r="C3752" s="74">
        <v>997683260</v>
      </c>
      <c r="D3752" s="78" t="str">
        <f t="shared" si="124"/>
        <v>https://portal.dnb.de/opac.htm?method=simpleSearch&amp;cqlMode=true&amp;query=idn%3D997683260</v>
      </c>
      <c r="E3752" s="74" t="s">
        <v>4724</v>
      </c>
      <c r="F3752" s="74"/>
      <c r="G3752" s="76"/>
      <c r="H3752" s="77"/>
      <c r="I3752" s="76"/>
      <c r="J3752" s="77"/>
      <c r="K3752" s="77"/>
      <c r="L3752" s="76"/>
      <c r="M3752" s="76"/>
      <c r="N3752" s="76"/>
      <c r="O3752" s="76"/>
      <c r="P3752" s="76"/>
      <c r="Q3752" s="76"/>
      <c r="R3752" s="76"/>
      <c r="S3752" s="76"/>
      <c r="BD3752" s="99">
        <f t="shared" si="123"/>
        <v>0</v>
      </c>
      <c r="CC3752" s="99"/>
      <c r="CV3752" s="99"/>
      <c r="CW3752" s="63"/>
    </row>
    <row r="3753" spans="1:101" x14ac:dyDescent="0.15">
      <c r="A3753" s="76">
        <v>3511</v>
      </c>
      <c r="B3753" s="74" t="s">
        <v>4725</v>
      </c>
      <c r="C3753" s="74">
        <v>995725314</v>
      </c>
      <c r="D3753" s="78" t="str">
        <f t="shared" si="124"/>
        <v>https://portal.dnb.de/opac.htm?method=simpleSearch&amp;cqlMode=true&amp;query=idn%3D995725314</v>
      </c>
      <c r="E3753" s="74" t="s">
        <v>4726</v>
      </c>
      <c r="F3753" s="74"/>
      <c r="G3753" s="76"/>
      <c r="H3753" s="77"/>
      <c r="I3753" s="76"/>
      <c r="J3753" s="77"/>
      <c r="K3753" s="77"/>
      <c r="L3753" s="76"/>
      <c r="M3753" s="76"/>
      <c r="N3753" s="76"/>
      <c r="O3753" s="76"/>
      <c r="P3753" s="76"/>
      <c r="Q3753" s="76"/>
      <c r="R3753" s="76"/>
      <c r="S3753" s="76"/>
      <c r="BD3753" s="99">
        <f t="shared" si="123"/>
        <v>0</v>
      </c>
      <c r="CC3753" s="99"/>
      <c r="CV3753" s="99"/>
      <c r="CW3753" s="63"/>
    </row>
    <row r="3754" spans="1:101" x14ac:dyDescent="0.15">
      <c r="A3754" s="76">
        <v>3512</v>
      </c>
      <c r="B3754" s="74" t="s">
        <v>4727</v>
      </c>
      <c r="C3754" s="74">
        <v>1066839840</v>
      </c>
      <c r="D3754" s="78" t="str">
        <f t="shared" si="124"/>
        <v>https://portal.dnb.de/opac.htm?method=simpleSearch&amp;cqlMode=true&amp;query=idn%3D1066839840</v>
      </c>
      <c r="E3754" s="74" t="s">
        <v>4728</v>
      </c>
      <c r="F3754" s="74"/>
      <c r="G3754" s="76"/>
      <c r="H3754" s="77"/>
      <c r="I3754" s="76"/>
      <c r="J3754" s="77"/>
      <c r="K3754" s="77"/>
      <c r="L3754" s="76"/>
      <c r="M3754" s="76"/>
      <c r="N3754" s="76"/>
      <c r="O3754" s="76"/>
      <c r="P3754" s="76"/>
      <c r="Q3754" s="76"/>
      <c r="R3754" s="76"/>
      <c r="S3754" s="76"/>
      <c r="BD3754" s="99">
        <f t="shared" si="123"/>
        <v>0</v>
      </c>
      <c r="CC3754" s="99"/>
      <c r="CV3754" s="99"/>
      <c r="CW3754" s="63"/>
    </row>
    <row r="3755" spans="1:101" x14ac:dyDescent="0.15">
      <c r="A3755" s="76">
        <v>3513</v>
      </c>
      <c r="B3755" s="74" t="s">
        <v>4729</v>
      </c>
      <c r="C3755" s="74">
        <v>993863922</v>
      </c>
      <c r="D3755" s="78" t="str">
        <f t="shared" si="124"/>
        <v>https://portal.dnb.de/opac.htm?method=simpleSearch&amp;cqlMode=true&amp;query=idn%3D993863922</v>
      </c>
      <c r="E3755" s="74" t="s">
        <v>4730</v>
      </c>
      <c r="F3755" s="74"/>
      <c r="G3755" s="76"/>
      <c r="H3755" s="77"/>
      <c r="I3755" s="76"/>
      <c r="J3755" s="77"/>
      <c r="K3755" s="77"/>
      <c r="L3755" s="76"/>
      <c r="M3755" s="76"/>
      <c r="N3755" s="76"/>
      <c r="O3755" s="76"/>
      <c r="P3755" s="76"/>
      <c r="Q3755" s="76"/>
      <c r="R3755" s="76"/>
      <c r="S3755" s="76"/>
      <c r="BD3755" s="99">
        <f t="shared" si="123"/>
        <v>0</v>
      </c>
      <c r="CC3755" s="99"/>
      <c r="CV3755" s="99"/>
      <c r="CW3755" s="63"/>
    </row>
    <row r="3756" spans="1:101" x14ac:dyDescent="0.15">
      <c r="A3756" s="76">
        <v>3514</v>
      </c>
      <c r="B3756" s="74" t="s">
        <v>4736</v>
      </c>
      <c r="C3756" s="74">
        <v>994215991</v>
      </c>
      <c r="D3756" s="78" t="str">
        <f t="shared" si="124"/>
        <v>https://portal.dnb.de/opac.htm?method=simpleSearch&amp;cqlMode=true&amp;query=idn%3D994215991</v>
      </c>
      <c r="E3756" s="74" t="s">
        <v>4737</v>
      </c>
      <c r="F3756" s="74"/>
      <c r="G3756" s="76"/>
      <c r="H3756" s="77"/>
      <c r="I3756" s="76"/>
      <c r="J3756" s="77"/>
      <c r="K3756" s="77"/>
      <c r="L3756" s="76"/>
      <c r="M3756" s="76"/>
      <c r="N3756" s="76"/>
      <c r="O3756" s="76"/>
      <c r="P3756" s="76"/>
      <c r="Q3756" s="76"/>
      <c r="R3756" s="76"/>
      <c r="S3756" s="76"/>
      <c r="BD3756" s="99">
        <f t="shared" si="123"/>
        <v>0</v>
      </c>
      <c r="CC3756" s="99"/>
      <c r="CV3756" s="99"/>
      <c r="CW3756" s="63"/>
    </row>
    <row r="3757" spans="1:101" x14ac:dyDescent="0.15">
      <c r="A3757" s="76">
        <v>3515</v>
      </c>
      <c r="B3757" s="74" t="s">
        <v>4738</v>
      </c>
      <c r="C3757" s="74">
        <v>13662228</v>
      </c>
      <c r="D3757" s="78" t="str">
        <f t="shared" si="124"/>
        <v>https://portal.dnb.de/opac.htm?method=simpleSearch&amp;cqlMode=true&amp;query=idn%3D13662228</v>
      </c>
      <c r="E3757" s="74" t="s">
        <v>4739</v>
      </c>
      <c r="F3757" s="74"/>
      <c r="G3757" s="76"/>
      <c r="H3757" s="77"/>
      <c r="I3757" s="76"/>
      <c r="J3757" s="77"/>
      <c r="K3757" s="77"/>
      <c r="L3757" s="76"/>
      <c r="M3757" s="76"/>
      <c r="N3757" s="76"/>
      <c r="O3757" s="76"/>
      <c r="P3757" s="76"/>
      <c r="Q3757" s="76"/>
      <c r="R3757" s="76"/>
      <c r="S3757" s="76"/>
      <c r="BD3757" s="99">
        <f t="shared" si="123"/>
        <v>0</v>
      </c>
      <c r="CC3757" s="99"/>
      <c r="CV3757" s="99"/>
      <c r="CW3757" s="63"/>
    </row>
    <row r="3758" spans="1:101" x14ac:dyDescent="0.15">
      <c r="A3758" s="76">
        <v>3516</v>
      </c>
      <c r="B3758" s="74" t="s">
        <v>4740</v>
      </c>
      <c r="C3758" s="74">
        <v>1066691061</v>
      </c>
      <c r="D3758" s="78" t="str">
        <f t="shared" si="124"/>
        <v>https://portal.dnb.de/opac.htm?method=simpleSearch&amp;cqlMode=true&amp;query=idn%3D1066691061</v>
      </c>
      <c r="E3758" s="74" t="s">
        <v>4741</v>
      </c>
      <c r="F3758" s="74"/>
      <c r="G3758" s="76"/>
      <c r="H3758" s="77"/>
      <c r="I3758" s="76"/>
      <c r="J3758" s="77"/>
      <c r="K3758" s="77"/>
      <c r="L3758" s="76"/>
      <c r="M3758" s="76"/>
      <c r="N3758" s="76"/>
      <c r="O3758" s="76"/>
      <c r="P3758" s="76"/>
      <c r="Q3758" s="76"/>
      <c r="R3758" s="76"/>
      <c r="S3758" s="76"/>
      <c r="BD3758" s="99">
        <f t="shared" si="123"/>
        <v>0</v>
      </c>
      <c r="CC3758" s="99"/>
      <c r="CV3758" s="99"/>
      <c r="CW3758" s="63"/>
    </row>
    <row r="3759" spans="1:101" x14ac:dyDescent="0.15">
      <c r="A3759" s="76">
        <v>3517</v>
      </c>
      <c r="B3759" s="74" t="s">
        <v>4742</v>
      </c>
      <c r="C3759" s="74">
        <v>994201257</v>
      </c>
      <c r="D3759" s="78" t="str">
        <f t="shared" si="124"/>
        <v>https://portal.dnb.de/opac.htm?method=simpleSearch&amp;cqlMode=true&amp;query=idn%3D994201257</v>
      </c>
      <c r="E3759" s="74" t="s">
        <v>4743</v>
      </c>
      <c r="F3759" s="74"/>
      <c r="G3759" s="76"/>
      <c r="H3759" s="77"/>
      <c r="I3759" s="76" t="s">
        <v>54</v>
      </c>
      <c r="J3759" s="77"/>
      <c r="K3759" s="77"/>
      <c r="L3759" s="76"/>
      <c r="M3759" s="76"/>
      <c r="N3759" s="76"/>
      <c r="O3759" s="76"/>
      <c r="P3759" s="76"/>
      <c r="Q3759" s="76"/>
      <c r="R3759" s="76"/>
      <c r="S3759" s="76"/>
      <c r="Y3759" s="95" t="s">
        <v>9723</v>
      </c>
      <c r="AC3759" s="95" t="s">
        <v>9730</v>
      </c>
      <c r="AI3759" s="95" t="s">
        <v>9725</v>
      </c>
      <c r="AW3759" s="95">
        <v>60</v>
      </c>
      <c r="BC3759" s="96" t="s">
        <v>9734</v>
      </c>
      <c r="BD3759" s="99">
        <f t="shared" si="123"/>
        <v>0</v>
      </c>
      <c r="BH3759" s="95" t="s">
        <v>8541</v>
      </c>
      <c r="BL3759" s="70" t="s">
        <v>10015</v>
      </c>
      <c r="CC3759" s="99"/>
      <c r="CV3759" s="99"/>
      <c r="CW3759" s="63"/>
    </row>
    <row r="3760" spans="1:101" x14ac:dyDescent="0.15">
      <c r="A3760" s="76">
        <v>3518</v>
      </c>
      <c r="B3760" s="74" t="s">
        <v>4744</v>
      </c>
      <c r="C3760" s="74">
        <v>994201397</v>
      </c>
      <c r="D3760" s="78" t="str">
        <f t="shared" si="124"/>
        <v>https://portal.dnb.de/opac.htm?method=simpleSearch&amp;cqlMode=true&amp;query=idn%3D994201397</v>
      </c>
      <c r="E3760" s="74" t="s">
        <v>10454</v>
      </c>
      <c r="F3760" s="74"/>
      <c r="G3760" s="76"/>
      <c r="H3760" s="77"/>
      <c r="I3760" s="76"/>
      <c r="J3760" s="77"/>
      <c r="K3760" s="77"/>
      <c r="L3760" s="76"/>
      <c r="M3760" s="76"/>
      <c r="N3760" s="76"/>
      <c r="O3760" s="76"/>
      <c r="P3760" s="76"/>
      <c r="Q3760" s="76"/>
      <c r="R3760" s="76"/>
      <c r="S3760" s="76"/>
      <c r="BD3760" s="99">
        <f t="shared" si="123"/>
        <v>0</v>
      </c>
      <c r="CC3760" s="99"/>
      <c r="CV3760" s="99"/>
      <c r="CW3760" s="63"/>
    </row>
    <row r="3761" spans="1:101" x14ac:dyDescent="0.15">
      <c r="A3761" s="76">
        <v>3519</v>
      </c>
      <c r="B3761" s="74" t="s">
        <v>4745</v>
      </c>
      <c r="C3761" s="74">
        <v>994214804</v>
      </c>
      <c r="D3761" s="78" t="str">
        <f t="shared" si="124"/>
        <v>https://portal.dnb.de/opac.htm?method=simpleSearch&amp;cqlMode=true&amp;query=idn%3D994214804</v>
      </c>
      <c r="E3761" s="74" t="s">
        <v>4746</v>
      </c>
      <c r="F3761" s="74"/>
      <c r="G3761" s="76"/>
      <c r="H3761" s="77"/>
      <c r="I3761" s="76"/>
      <c r="J3761" s="77"/>
      <c r="K3761" s="77"/>
      <c r="L3761" s="76"/>
      <c r="M3761" s="76"/>
      <c r="N3761" s="76"/>
      <c r="O3761" s="76"/>
      <c r="P3761" s="76"/>
      <c r="Q3761" s="76"/>
      <c r="R3761" s="76"/>
      <c r="S3761" s="76"/>
      <c r="BD3761" s="99">
        <f t="shared" si="123"/>
        <v>0</v>
      </c>
      <c r="CC3761" s="99"/>
      <c r="CV3761" s="99"/>
      <c r="CW3761" s="63"/>
    </row>
    <row r="3762" spans="1:101" ht="22.5" x14ac:dyDescent="0.15">
      <c r="A3762" s="76">
        <v>3520</v>
      </c>
      <c r="B3762" s="74" t="s">
        <v>4747</v>
      </c>
      <c r="C3762" s="74">
        <v>994185448</v>
      </c>
      <c r="D3762" s="78" t="str">
        <f t="shared" si="124"/>
        <v>https://portal.dnb.de/opac.htm?method=simpleSearch&amp;cqlMode=true&amp;query=idn%3D994185448</v>
      </c>
      <c r="E3762" s="74" t="s">
        <v>4748</v>
      </c>
      <c r="F3762" s="74"/>
      <c r="G3762" s="76"/>
      <c r="H3762" s="77"/>
      <c r="I3762" s="76" t="s">
        <v>55</v>
      </c>
      <c r="J3762" s="77"/>
      <c r="K3762" s="77"/>
      <c r="L3762" s="76"/>
      <c r="M3762" s="76"/>
      <c r="N3762" s="76"/>
      <c r="O3762" s="76"/>
      <c r="P3762" s="76"/>
      <c r="Q3762" s="76"/>
      <c r="R3762" s="76"/>
      <c r="S3762" s="76"/>
      <c r="Y3762" s="95" t="s">
        <v>9763</v>
      </c>
      <c r="AC3762" s="95" t="s">
        <v>9730</v>
      </c>
      <c r="AI3762" s="95" t="s">
        <v>9725</v>
      </c>
      <c r="AW3762" s="95">
        <v>110</v>
      </c>
      <c r="BC3762" s="96" t="s">
        <v>9726</v>
      </c>
      <c r="BD3762" s="99">
        <f t="shared" si="123"/>
        <v>4.5</v>
      </c>
      <c r="BH3762" s="95" t="s">
        <v>8541</v>
      </c>
      <c r="BP3762" s="69" t="s">
        <v>8541</v>
      </c>
      <c r="BQ3762" s="95" t="s">
        <v>8541</v>
      </c>
      <c r="BR3762" s="95" t="s">
        <v>8541</v>
      </c>
      <c r="BS3762" s="95" t="s">
        <v>8541</v>
      </c>
      <c r="BT3762" s="95" t="s">
        <v>9775</v>
      </c>
      <c r="CC3762" s="99">
        <v>4.5</v>
      </c>
      <c r="CD3762" s="90" t="s">
        <v>10455</v>
      </c>
      <c r="CV3762" s="99"/>
      <c r="CW3762" s="63"/>
    </row>
    <row r="3763" spans="1:101" x14ac:dyDescent="0.15">
      <c r="A3763" s="76">
        <v>3521</v>
      </c>
      <c r="B3763" s="74" t="s">
        <v>4751</v>
      </c>
      <c r="C3763" s="74">
        <v>994540272</v>
      </c>
      <c r="D3763" s="78" t="str">
        <f t="shared" si="124"/>
        <v>https://portal.dnb.de/opac.htm?method=simpleSearch&amp;cqlMode=true&amp;query=idn%3D994540272</v>
      </c>
      <c r="E3763" s="74" t="s">
        <v>4752</v>
      </c>
      <c r="F3763" s="74"/>
      <c r="G3763" s="76"/>
      <c r="H3763" s="77"/>
      <c r="I3763" s="76"/>
      <c r="J3763" s="77"/>
      <c r="K3763" s="77"/>
      <c r="L3763" s="76"/>
      <c r="M3763" s="76"/>
      <c r="N3763" s="76"/>
      <c r="O3763" s="76"/>
      <c r="P3763" s="76"/>
      <c r="Q3763" s="76"/>
      <c r="R3763" s="76"/>
      <c r="S3763" s="76"/>
      <c r="BD3763" s="99">
        <f t="shared" si="123"/>
        <v>0</v>
      </c>
      <c r="CC3763" s="99"/>
      <c r="CV3763" s="99"/>
      <c r="CW3763" s="63"/>
    </row>
    <row r="3764" spans="1:101" x14ac:dyDescent="0.15">
      <c r="A3764" s="76">
        <v>3522</v>
      </c>
      <c r="B3764" s="74" t="s">
        <v>4753</v>
      </c>
      <c r="C3764" s="74">
        <v>1066935246</v>
      </c>
      <c r="D3764" s="78" t="str">
        <f t="shared" si="124"/>
        <v>https://portal.dnb.de/opac.htm?method=simpleSearch&amp;cqlMode=true&amp;query=idn%3D1066935246</v>
      </c>
      <c r="E3764" s="74" t="s">
        <v>4754</v>
      </c>
      <c r="F3764" s="74"/>
      <c r="G3764" s="76"/>
      <c r="H3764" s="77"/>
      <c r="I3764" s="76"/>
      <c r="J3764" s="77"/>
      <c r="K3764" s="77"/>
      <c r="L3764" s="76"/>
      <c r="M3764" s="76"/>
      <c r="N3764" s="76"/>
      <c r="O3764" s="76"/>
      <c r="P3764" s="76"/>
      <c r="Q3764" s="76"/>
      <c r="R3764" s="76"/>
      <c r="S3764" s="76"/>
      <c r="BD3764" s="99">
        <f t="shared" si="123"/>
        <v>0</v>
      </c>
      <c r="CC3764" s="99"/>
      <c r="CV3764" s="99"/>
      <c r="CW3764" s="63"/>
    </row>
    <row r="3765" spans="1:101" x14ac:dyDescent="0.15">
      <c r="A3765" s="76">
        <v>3523</v>
      </c>
      <c r="B3765" s="74" t="s">
        <v>4755</v>
      </c>
      <c r="C3765" s="74">
        <v>1066786135</v>
      </c>
      <c r="D3765" s="78" t="str">
        <f t="shared" si="124"/>
        <v>https://portal.dnb.de/opac.htm?method=simpleSearch&amp;cqlMode=true&amp;query=idn%3D1066786135</v>
      </c>
      <c r="E3765" s="74" t="s">
        <v>4756</v>
      </c>
      <c r="F3765" s="74"/>
      <c r="G3765" s="76"/>
      <c r="H3765" s="77"/>
      <c r="I3765" s="76"/>
      <c r="J3765" s="77"/>
      <c r="K3765" s="77"/>
      <c r="L3765" s="76"/>
      <c r="M3765" s="76"/>
      <c r="N3765" s="76"/>
      <c r="O3765" s="76"/>
      <c r="P3765" s="76"/>
      <c r="Q3765" s="76"/>
      <c r="R3765" s="76"/>
      <c r="S3765" s="76"/>
      <c r="BD3765" s="99">
        <f t="shared" si="123"/>
        <v>0</v>
      </c>
      <c r="CC3765" s="99"/>
      <c r="CV3765" s="99"/>
      <c r="CW3765" s="63"/>
    </row>
    <row r="3766" spans="1:101" x14ac:dyDescent="0.15">
      <c r="A3766" s="76">
        <v>3524</v>
      </c>
      <c r="B3766" s="74" t="s">
        <v>4760</v>
      </c>
      <c r="C3766" s="74">
        <v>1066873976</v>
      </c>
      <c r="D3766" s="78" t="str">
        <f t="shared" si="124"/>
        <v>https://portal.dnb.de/opac.htm?method=simpleSearch&amp;cqlMode=true&amp;query=idn%3D1066873976</v>
      </c>
      <c r="E3766" s="74" t="s">
        <v>4761</v>
      </c>
      <c r="F3766" s="74"/>
      <c r="G3766" s="76"/>
      <c r="H3766" s="77"/>
      <c r="I3766" s="76"/>
      <c r="J3766" s="77"/>
      <c r="K3766" s="77"/>
      <c r="L3766" s="76"/>
      <c r="M3766" s="76"/>
      <c r="N3766" s="76"/>
      <c r="O3766" s="76"/>
      <c r="P3766" s="76"/>
      <c r="Q3766" s="76"/>
      <c r="R3766" s="76"/>
      <c r="S3766" s="76"/>
      <c r="BD3766" s="99">
        <f t="shared" si="123"/>
        <v>0</v>
      </c>
      <c r="CC3766" s="99"/>
      <c r="CV3766" s="99"/>
      <c r="CW3766" s="63"/>
    </row>
    <row r="3767" spans="1:101" x14ac:dyDescent="0.15">
      <c r="A3767" s="76">
        <v>3525</v>
      </c>
      <c r="B3767" s="74" t="s">
        <v>4762</v>
      </c>
      <c r="C3767" s="74">
        <v>1066942099</v>
      </c>
      <c r="D3767" s="78" t="str">
        <f t="shared" si="124"/>
        <v>https://portal.dnb.de/opac.htm?method=simpleSearch&amp;cqlMode=true&amp;query=idn%3D1066942099</v>
      </c>
      <c r="E3767" s="74" t="s">
        <v>4763</v>
      </c>
      <c r="F3767" s="74"/>
      <c r="G3767" s="76"/>
      <c r="H3767" s="77"/>
      <c r="I3767" s="76"/>
      <c r="J3767" s="77"/>
      <c r="K3767" s="77"/>
      <c r="L3767" s="76"/>
      <c r="M3767" s="76"/>
      <c r="N3767" s="76"/>
      <c r="O3767" s="76"/>
      <c r="P3767" s="76"/>
      <c r="Q3767" s="76"/>
      <c r="R3767" s="76"/>
      <c r="S3767" s="76"/>
      <c r="BD3767" s="99">
        <f t="shared" si="123"/>
        <v>0</v>
      </c>
      <c r="CC3767" s="99"/>
      <c r="CV3767" s="99"/>
      <c r="CW3767" s="63"/>
    </row>
    <row r="3768" spans="1:101" x14ac:dyDescent="0.15">
      <c r="A3768" s="76">
        <v>3526</v>
      </c>
      <c r="B3768" s="74" t="s">
        <v>4764</v>
      </c>
      <c r="C3768" s="74">
        <v>1132634644</v>
      </c>
      <c r="D3768" s="78" t="str">
        <f t="shared" si="124"/>
        <v>https://portal.dnb.de/opac.htm?method=simpleSearch&amp;cqlMode=true&amp;query=idn%3D1132634644</v>
      </c>
      <c r="E3768" s="74" t="s">
        <v>10180</v>
      </c>
      <c r="F3768" s="74"/>
      <c r="G3768" s="76"/>
      <c r="H3768" s="77"/>
      <c r="I3768" s="76"/>
      <c r="J3768" s="77"/>
      <c r="K3768" s="77"/>
      <c r="L3768" s="76"/>
      <c r="M3768" s="76"/>
      <c r="N3768" s="76"/>
      <c r="O3768" s="76"/>
      <c r="P3768" s="76"/>
      <c r="Q3768" s="76"/>
      <c r="R3768" s="76"/>
      <c r="S3768" s="76"/>
      <c r="BD3768" s="99">
        <f t="shared" si="123"/>
        <v>0</v>
      </c>
      <c r="CC3768" s="99"/>
      <c r="CV3768" s="99"/>
      <c r="CW3768" s="63"/>
    </row>
    <row r="3769" spans="1:101" x14ac:dyDescent="0.15">
      <c r="A3769" s="76">
        <v>3527</v>
      </c>
      <c r="B3769" s="74" t="s">
        <v>4766</v>
      </c>
      <c r="C3769" s="74">
        <v>1132634652</v>
      </c>
      <c r="D3769" s="78" t="str">
        <f t="shared" si="124"/>
        <v>https://portal.dnb.de/opac.htm?method=simpleSearch&amp;cqlMode=true&amp;query=idn%3D1132634652</v>
      </c>
      <c r="E3769" s="74" t="s">
        <v>10180</v>
      </c>
      <c r="F3769" s="74"/>
      <c r="G3769" s="76"/>
      <c r="H3769" s="77"/>
      <c r="I3769" s="76"/>
      <c r="J3769" s="77"/>
      <c r="K3769" s="77"/>
      <c r="L3769" s="76"/>
      <c r="M3769" s="76"/>
      <c r="N3769" s="76"/>
      <c r="O3769" s="76"/>
      <c r="P3769" s="76"/>
      <c r="Q3769" s="76"/>
      <c r="R3769" s="76"/>
      <c r="S3769" s="76"/>
      <c r="BD3769" s="99">
        <f t="shared" si="123"/>
        <v>0</v>
      </c>
      <c r="CC3769" s="99"/>
      <c r="CV3769" s="99"/>
      <c r="CW3769" s="63"/>
    </row>
    <row r="3770" spans="1:101" x14ac:dyDescent="0.15">
      <c r="A3770" s="76">
        <v>3528</v>
      </c>
      <c r="B3770" s="74" t="s">
        <v>4767</v>
      </c>
      <c r="C3770" s="74">
        <v>1132634636</v>
      </c>
      <c r="D3770" s="78" t="str">
        <f t="shared" si="124"/>
        <v>https://portal.dnb.de/opac.htm?method=simpleSearch&amp;cqlMode=true&amp;query=idn%3D1132634636</v>
      </c>
      <c r="E3770" s="74" t="s">
        <v>4765</v>
      </c>
      <c r="F3770" s="74"/>
      <c r="G3770" s="76"/>
      <c r="H3770" s="77"/>
      <c r="I3770" s="76" t="s">
        <v>53</v>
      </c>
      <c r="J3770" s="77"/>
      <c r="K3770" s="77"/>
      <c r="L3770" s="76"/>
      <c r="M3770" s="76"/>
      <c r="N3770" s="76"/>
      <c r="O3770" s="76"/>
      <c r="P3770" s="76"/>
      <c r="Q3770" s="76"/>
      <c r="R3770" s="76"/>
      <c r="S3770" s="76"/>
      <c r="Y3770" s="95" t="s">
        <v>9725</v>
      </c>
      <c r="AC3770" s="95" t="s">
        <v>9739</v>
      </c>
      <c r="AI3770" s="95" t="s">
        <v>9725</v>
      </c>
      <c r="AW3770" s="95">
        <v>110</v>
      </c>
      <c r="BC3770" s="96" t="s">
        <v>9726</v>
      </c>
      <c r="BD3770" s="99">
        <f t="shared" si="123"/>
        <v>1</v>
      </c>
      <c r="BP3770" s="69" t="s">
        <v>8541</v>
      </c>
      <c r="BR3770" s="95" t="s">
        <v>8541</v>
      </c>
      <c r="CC3770" s="99">
        <v>1</v>
      </c>
      <c r="CV3770" s="99"/>
      <c r="CW3770" s="63"/>
    </row>
    <row r="3771" spans="1:101" x14ac:dyDescent="0.15">
      <c r="A3771" s="76">
        <v>3529</v>
      </c>
      <c r="B3771" s="74" t="s">
        <v>4768</v>
      </c>
      <c r="C3771" s="74">
        <v>1066938202</v>
      </c>
      <c r="D3771" s="78" t="str">
        <f t="shared" si="124"/>
        <v>https://portal.dnb.de/opac.htm?method=simpleSearch&amp;cqlMode=true&amp;query=idn%3D1066938202</v>
      </c>
      <c r="E3771" s="74" t="s">
        <v>4769</v>
      </c>
      <c r="F3771" s="74"/>
      <c r="G3771" s="76"/>
      <c r="H3771" s="77"/>
      <c r="I3771" s="76"/>
      <c r="J3771" s="77"/>
      <c r="K3771" s="77"/>
      <c r="L3771" s="76"/>
      <c r="M3771" s="76"/>
      <c r="N3771" s="76"/>
      <c r="O3771" s="76"/>
      <c r="P3771" s="76"/>
      <c r="Q3771" s="76"/>
      <c r="R3771" s="76"/>
      <c r="S3771" s="76"/>
      <c r="BD3771" s="99">
        <f t="shared" si="123"/>
        <v>0</v>
      </c>
      <c r="CC3771" s="99"/>
      <c r="CV3771" s="99"/>
      <c r="CW3771" s="63"/>
    </row>
    <row r="3772" spans="1:101" x14ac:dyDescent="0.15">
      <c r="A3772" s="76">
        <v>3530</v>
      </c>
      <c r="B3772" s="74" t="s">
        <v>4772</v>
      </c>
      <c r="C3772" s="74">
        <v>1066834385</v>
      </c>
      <c r="D3772" s="78" t="str">
        <f t="shared" si="124"/>
        <v>https://portal.dnb.de/opac.htm?method=simpleSearch&amp;cqlMode=true&amp;query=idn%3D1066834385</v>
      </c>
      <c r="E3772" s="74" t="s">
        <v>4773</v>
      </c>
      <c r="F3772" s="74"/>
      <c r="G3772" s="76"/>
      <c r="H3772" s="77"/>
      <c r="I3772" s="76"/>
      <c r="J3772" s="77"/>
      <c r="K3772" s="77"/>
      <c r="L3772" s="76"/>
      <c r="M3772" s="76"/>
      <c r="N3772" s="76"/>
      <c r="O3772" s="76"/>
      <c r="P3772" s="76"/>
      <c r="Q3772" s="76"/>
      <c r="R3772" s="76"/>
      <c r="S3772" s="76"/>
      <c r="BD3772" s="99">
        <f t="shared" si="123"/>
        <v>0</v>
      </c>
      <c r="CC3772" s="99"/>
      <c r="CV3772" s="99"/>
      <c r="CW3772" s="63"/>
    </row>
    <row r="3773" spans="1:101" x14ac:dyDescent="0.15">
      <c r="A3773" s="76">
        <v>3531</v>
      </c>
      <c r="B3773" s="74" t="s">
        <v>4774</v>
      </c>
      <c r="C3773" s="74">
        <v>13465600</v>
      </c>
      <c r="D3773" s="78" t="str">
        <f t="shared" si="124"/>
        <v>https://portal.dnb.de/opac.htm?method=simpleSearch&amp;cqlMode=true&amp;query=idn%3D13465600</v>
      </c>
      <c r="E3773" s="74" t="s">
        <v>4775</v>
      </c>
      <c r="F3773" s="74"/>
      <c r="G3773" s="76"/>
      <c r="H3773" s="77"/>
      <c r="I3773" s="76"/>
      <c r="J3773" s="77"/>
      <c r="K3773" s="77"/>
      <c r="L3773" s="76"/>
      <c r="M3773" s="76"/>
      <c r="N3773" s="76"/>
      <c r="O3773" s="76"/>
      <c r="P3773" s="76"/>
      <c r="Q3773" s="76"/>
      <c r="R3773" s="76"/>
      <c r="S3773" s="76"/>
      <c r="BD3773" s="99">
        <f t="shared" si="123"/>
        <v>0</v>
      </c>
      <c r="CC3773" s="99"/>
      <c r="CV3773" s="99"/>
      <c r="CW3773" s="63"/>
    </row>
    <row r="3774" spans="1:101" x14ac:dyDescent="0.15">
      <c r="A3774" s="76">
        <v>3532</v>
      </c>
      <c r="B3774" s="74" t="s">
        <v>4776</v>
      </c>
      <c r="C3774" s="74">
        <v>999451731</v>
      </c>
      <c r="D3774" s="78" t="str">
        <f t="shared" si="124"/>
        <v>https://portal.dnb.de/opac.htm?method=simpleSearch&amp;cqlMode=true&amp;query=idn%3D999451731</v>
      </c>
      <c r="E3774" s="74" t="s">
        <v>4777</v>
      </c>
      <c r="F3774" s="74"/>
      <c r="G3774" s="76"/>
      <c r="H3774" s="77"/>
      <c r="I3774" s="76"/>
      <c r="J3774" s="77"/>
      <c r="K3774" s="77"/>
      <c r="L3774" s="76"/>
      <c r="M3774" s="76"/>
      <c r="N3774" s="76"/>
      <c r="O3774" s="76"/>
      <c r="P3774" s="76"/>
      <c r="Q3774" s="76"/>
      <c r="R3774" s="76"/>
      <c r="S3774" s="76"/>
      <c r="BD3774" s="99">
        <f t="shared" si="123"/>
        <v>0</v>
      </c>
      <c r="CC3774" s="99"/>
      <c r="CV3774" s="99"/>
      <c r="CW3774" s="63"/>
    </row>
    <row r="3775" spans="1:101" x14ac:dyDescent="0.15">
      <c r="A3775" s="76">
        <v>3533</v>
      </c>
      <c r="B3775" s="74" t="s">
        <v>4770</v>
      </c>
      <c r="C3775" s="74">
        <v>1002291801</v>
      </c>
      <c r="D3775" s="78" t="str">
        <f t="shared" si="124"/>
        <v>https://portal.dnb.de/opac.htm?method=simpleSearch&amp;cqlMode=true&amp;query=idn%3D1002291801</v>
      </c>
      <c r="E3775" s="74" t="s">
        <v>4771</v>
      </c>
      <c r="F3775" s="74"/>
      <c r="G3775" s="76"/>
      <c r="H3775" s="77"/>
      <c r="I3775" s="76"/>
      <c r="J3775" s="77"/>
      <c r="K3775" s="77"/>
      <c r="L3775" s="76"/>
      <c r="M3775" s="76"/>
      <c r="N3775" s="76"/>
      <c r="O3775" s="76"/>
      <c r="P3775" s="76"/>
      <c r="Q3775" s="76"/>
      <c r="R3775" s="76"/>
      <c r="S3775" s="76"/>
      <c r="BD3775" s="99">
        <f t="shared" si="123"/>
        <v>0</v>
      </c>
      <c r="CC3775" s="99"/>
      <c r="CV3775" s="99"/>
      <c r="CW3775" s="63"/>
    </row>
    <row r="3776" spans="1:101" x14ac:dyDescent="0.15">
      <c r="A3776" s="76">
        <v>3534</v>
      </c>
      <c r="B3776" s="74" t="s">
        <v>4778</v>
      </c>
      <c r="C3776" s="74">
        <v>1066941246</v>
      </c>
      <c r="D3776" s="78" t="str">
        <f t="shared" si="124"/>
        <v>https://portal.dnb.de/opac.htm?method=simpleSearch&amp;cqlMode=true&amp;query=idn%3D1066941246</v>
      </c>
      <c r="E3776" s="74" t="s">
        <v>4779</v>
      </c>
      <c r="F3776" s="74"/>
      <c r="G3776" s="76"/>
      <c r="H3776" s="77"/>
      <c r="I3776" s="76"/>
      <c r="J3776" s="77"/>
      <c r="K3776" s="77"/>
      <c r="L3776" s="76"/>
      <c r="M3776" s="76"/>
      <c r="N3776" s="76"/>
      <c r="O3776" s="76"/>
      <c r="P3776" s="76"/>
      <c r="Q3776" s="76"/>
      <c r="R3776" s="76"/>
      <c r="S3776" s="76"/>
      <c r="BD3776" s="99">
        <f t="shared" si="123"/>
        <v>0</v>
      </c>
      <c r="CC3776" s="99"/>
      <c r="CV3776" s="99"/>
      <c r="CW3776" s="63"/>
    </row>
    <row r="3777" spans="1:101" x14ac:dyDescent="0.15">
      <c r="A3777" s="76">
        <v>3535</v>
      </c>
      <c r="B3777" s="74" t="s">
        <v>4780</v>
      </c>
      <c r="C3777" s="74">
        <v>1066935564</v>
      </c>
      <c r="D3777" s="78" t="str">
        <f t="shared" si="124"/>
        <v>https://portal.dnb.de/opac.htm?method=simpleSearch&amp;cqlMode=true&amp;query=idn%3D1066935564</v>
      </c>
      <c r="E3777" s="74" t="s">
        <v>4781</v>
      </c>
      <c r="F3777" s="74"/>
      <c r="G3777" s="76"/>
      <c r="H3777" s="77"/>
      <c r="I3777" s="76" t="s">
        <v>54</v>
      </c>
      <c r="J3777" s="77"/>
      <c r="K3777" s="77"/>
      <c r="L3777" s="76"/>
      <c r="M3777" s="76"/>
      <c r="N3777" s="76"/>
      <c r="O3777" s="76"/>
      <c r="P3777" s="76"/>
      <c r="Q3777" s="76"/>
      <c r="R3777" s="76"/>
      <c r="S3777" s="76"/>
      <c r="Y3777" s="95" t="s">
        <v>9723</v>
      </c>
      <c r="AC3777" s="95" t="s">
        <v>9724</v>
      </c>
      <c r="AI3777" s="95" t="s">
        <v>9725</v>
      </c>
      <c r="AP3777" s="95" t="s">
        <v>8541</v>
      </c>
      <c r="AU3777" s="95">
        <v>4</v>
      </c>
      <c r="AW3777" s="95" t="s">
        <v>9764</v>
      </c>
      <c r="BC3777" s="96" t="s">
        <v>9726</v>
      </c>
      <c r="BD3777" s="99">
        <f t="shared" si="123"/>
        <v>1.5</v>
      </c>
      <c r="BF3777" s="95" t="s">
        <v>10005</v>
      </c>
      <c r="BQ3777" s="95" t="s">
        <v>8541</v>
      </c>
      <c r="BR3777" s="95" t="s">
        <v>8541</v>
      </c>
      <c r="CC3777" s="99">
        <v>1.5</v>
      </c>
      <c r="CV3777" s="99"/>
      <c r="CW3777" s="63"/>
    </row>
    <row r="3778" spans="1:101" x14ac:dyDescent="0.15">
      <c r="A3778" s="76">
        <v>3536</v>
      </c>
      <c r="B3778" s="74" t="s">
        <v>4793</v>
      </c>
      <c r="C3778" s="74">
        <v>1066937893</v>
      </c>
      <c r="D3778" s="78" t="str">
        <f t="shared" si="124"/>
        <v>https://portal.dnb.de/opac.htm?method=simpleSearch&amp;cqlMode=true&amp;query=idn%3D1066937893</v>
      </c>
      <c r="E3778" s="74" t="s">
        <v>4794</v>
      </c>
      <c r="F3778" s="74"/>
      <c r="G3778" s="76"/>
      <c r="H3778" s="77"/>
      <c r="I3778" s="76" t="s">
        <v>53</v>
      </c>
      <c r="J3778" s="77"/>
      <c r="K3778" s="77"/>
      <c r="L3778" s="76"/>
      <c r="M3778" s="76"/>
      <c r="N3778" s="76"/>
      <c r="O3778" s="76"/>
      <c r="P3778" s="76"/>
      <c r="Q3778" s="76"/>
      <c r="R3778" s="76"/>
      <c r="S3778" s="76"/>
      <c r="X3778" s="95" t="s">
        <v>8541</v>
      </c>
      <c r="Y3778" s="95" t="s">
        <v>9723</v>
      </c>
      <c r="AA3778" s="95" t="s">
        <v>8541</v>
      </c>
      <c r="AC3778" s="95" t="s">
        <v>9739</v>
      </c>
      <c r="AI3778" s="95" t="s">
        <v>9725</v>
      </c>
      <c r="AU3778" s="95">
        <v>2</v>
      </c>
      <c r="AV3778" s="95" t="s">
        <v>8541</v>
      </c>
      <c r="AW3778" s="95">
        <v>60</v>
      </c>
      <c r="BC3778" s="96" t="s">
        <v>9726</v>
      </c>
      <c r="BD3778" s="99">
        <f t="shared" si="123"/>
        <v>0.5</v>
      </c>
      <c r="BH3778" s="95" t="s">
        <v>8541</v>
      </c>
      <c r="BP3778" s="69" t="s">
        <v>8541</v>
      </c>
      <c r="BQ3778" s="95" t="s">
        <v>8541</v>
      </c>
      <c r="BT3778" s="95" t="s">
        <v>9775</v>
      </c>
      <c r="BV3778" s="95" t="s">
        <v>8541</v>
      </c>
      <c r="CC3778" s="99">
        <v>0.5</v>
      </c>
      <c r="CD3778" s="90" t="s">
        <v>10017</v>
      </c>
      <c r="CV3778" s="99"/>
      <c r="CW3778" s="63"/>
    </row>
    <row r="3779" spans="1:101" x14ac:dyDescent="0.15">
      <c r="A3779" s="76">
        <v>3537</v>
      </c>
      <c r="B3779" s="74" t="s">
        <v>4795</v>
      </c>
      <c r="C3779" s="74">
        <v>1066847894</v>
      </c>
      <c r="D3779" s="78" t="str">
        <f t="shared" si="124"/>
        <v>https://portal.dnb.de/opac.htm?method=simpleSearch&amp;cqlMode=true&amp;query=idn%3D1066847894</v>
      </c>
      <c r="E3779" s="74" t="s">
        <v>4796</v>
      </c>
      <c r="F3779" s="74"/>
      <c r="G3779" s="76"/>
      <c r="H3779" s="77"/>
      <c r="I3779" s="76"/>
      <c r="J3779" s="77"/>
      <c r="K3779" s="77"/>
      <c r="L3779" s="76"/>
      <c r="M3779" s="76"/>
      <c r="N3779" s="76"/>
      <c r="O3779" s="76"/>
      <c r="P3779" s="76"/>
      <c r="Q3779" s="76"/>
      <c r="R3779" s="76"/>
      <c r="S3779" s="76"/>
      <c r="BD3779" s="99">
        <f t="shared" ref="BD3779:BD3842" si="125">CC3779+CV3779</f>
        <v>0</v>
      </c>
      <c r="CC3779" s="99"/>
      <c r="CV3779" s="99"/>
      <c r="CW3779" s="63"/>
    </row>
    <row r="3780" spans="1:101" x14ac:dyDescent="0.15">
      <c r="A3780" s="76">
        <v>3538</v>
      </c>
      <c r="B3780" s="74" t="s">
        <v>4797</v>
      </c>
      <c r="C3780" s="74">
        <v>1066770301</v>
      </c>
      <c r="D3780" s="78" t="str">
        <f t="shared" si="124"/>
        <v>https://portal.dnb.de/opac.htm?method=simpleSearch&amp;cqlMode=true&amp;query=idn%3D1066770301</v>
      </c>
      <c r="E3780" s="74" t="s">
        <v>4798</v>
      </c>
      <c r="F3780" s="74"/>
      <c r="G3780" s="76"/>
      <c r="H3780" s="77"/>
      <c r="I3780" s="76"/>
      <c r="J3780" s="77"/>
      <c r="K3780" s="77"/>
      <c r="L3780" s="76"/>
      <c r="M3780" s="76"/>
      <c r="N3780" s="76"/>
      <c r="O3780" s="76"/>
      <c r="P3780" s="76"/>
      <c r="Q3780" s="76"/>
      <c r="R3780" s="76"/>
      <c r="S3780" s="76"/>
      <c r="BD3780" s="99">
        <f t="shared" si="125"/>
        <v>0</v>
      </c>
      <c r="CC3780" s="99"/>
      <c r="CV3780" s="99"/>
      <c r="CW3780" s="63"/>
    </row>
    <row r="3781" spans="1:101" x14ac:dyDescent="0.15">
      <c r="A3781" s="76">
        <v>3539</v>
      </c>
      <c r="B3781" s="74" t="s">
        <v>4799</v>
      </c>
      <c r="C3781" s="74">
        <v>1066796939</v>
      </c>
      <c r="D3781" s="78" t="str">
        <f t="shared" si="124"/>
        <v>https://portal.dnb.de/opac.htm?method=simpleSearch&amp;cqlMode=true&amp;query=idn%3D1066796939</v>
      </c>
      <c r="E3781" s="74" t="s">
        <v>4800</v>
      </c>
      <c r="F3781" s="74"/>
      <c r="G3781" s="76"/>
      <c r="H3781" s="77"/>
      <c r="I3781" s="76"/>
      <c r="J3781" s="77"/>
      <c r="K3781" s="77"/>
      <c r="L3781" s="76"/>
      <c r="M3781" s="76"/>
      <c r="N3781" s="76"/>
      <c r="O3781" s="76"/>
      <c r="P3781" s="76"/>
      <c r="Q3781" s="76"/>
      <c r="R3781" s="76"/>
      <c r="S3781" s="76"/>
      <c r="BD3781" s="99">
        <f t="shared" si="125"/>
        <v>0</v>
      </c>
      <c r="CC3781" s="99"/>
      <c r="CV3781" s="99"/>
      <c r="CW3781" s="63"/>
    </row>
    <row r="3782" spans="1:101" x14ac:dyDescent="0.15">
      <c r="A3782" s="76">
        <v>3540</v>
      </c>
      <c r="B3782" s="74" t="s">
        <v>4801</v>
      </c>
      <c r="C3782" s="74">
        <v>997826460</v>
      </c>
      <c r="D3782" s="78" t="str">
        <f t="shared" si="124"/>
        <v>https://portal.dnb.de/opac.htm?method=simpleSearch&amp;cqlMode=true&amp;query=idn%3D997826460</v>
      </c>
      <c r="E3782" s="74" t="s">
        <v>4802</v>
      </c>
      <c r="F3782" s="74"/>
      <c r="G3782" s="76"/>
      <c r="H3782" s="77"/>
      <c r="I3782" s="76"/>
      <c r="J3782" s="77"/>
      <c r="K3782" s="77"/>
      <c r="L3782" s="76"/>
      <c r="M3782" s="76"/>
      <c r="N3782" s="76"/>
      <c r="O3782" s="76"/>
      <c r="P3782" s="76"/>
      <c r="Q3782" s="76"/>
      <c r="R3782" s="76"/>
      <c r="S3782" s="76"/>
      <c r="BD3782" s="99">
        <f t="shared" si="125"/>
        <v>0</v>
      </c>
      <c r="CC3782" s="99"/>
      <c r="CV3782" s="99"/>
      <c r="CW3782" s="63"/>
    </row>
    <row r="3783" spans="1:101" x14ac:dyDescent="0.15">
      <c r="A3783" s="76">
        <v>3541</v>
      </c>
      <c r="B3783" s="74" t="s">
        <v>4803</v>
      </c>
      <c r="C3783" s="74">
        <v>1066937745</v>
      </c>
      <c r="D3783" s="78" t="str">
        <f t="shared" si="124"/>
        <v>https://portal.dnb.de/opac.htm?method=simpleSearch&amp;cqlMode=true&amp;query=idn%3D1066937745</v>
      </c>
      <c r="E3783" s="74" t="s">
        <v>4804</v>
      </c>
      <c r="F3783" s="74"/>
      <c r="G3783" s="76"/>
      <c r="H3783" s="77"/>
      <c r="I3783" s="76"/>
      <c r="J3783" s="77"/>
      <c r="K3783" s="77"/>
      <c r="L3783" s="76"/>
      <c r="M3783" s="76"/>
      <c r="N3783" s="76"/>
      <c r="O3783" s="76"/>
      <c r="P3783" s="76"/>
      <c r="Q3783" s="76"/>
      <c r="R3783" s="76"/>
      <c r="S3783" s="76"/>
      <c r="BD3783" s="99">
        <f t="shared" si="125"/>
        <v>0</v>
      </c>
      <c r="CC3783" s="99"/>
      <c r="CV3783" s="99"/>
      <c r="CW3783" s="63"/>
    </row>
    <row r="3784" spans="1:101" x14ac:dyDescent="0.15">
      <c r="A3784" s="76">
        <v>3542</v>
      </c>
      <c r="B3784" s="74" t="s">
        <v>4805</v>
      </c>
      <c r="C3784" s="74">
        <v>1066870101</v>
      </c>
      <c r="D3784" s="78" t="str">
        <f t="shared" si="124"/>
        <v>https://portal.dnb.de/opac.htm?method=simpleSearch&amp;cqlMode=true&amp;query=idn%3D1066870101</v>
      </c>
      <c r="E3784" s="74" t="s">
        <v>4806</v>
      </c>
      <c r="F3784" s="74"/>
      <c r="G3784" s="76"/>
      <c r="H3784" s="77"/>
      <c r="I3784" s="76"/>
      <c r="J3784" s="77"/>
      <c r="K3784" s="77"/>
      <c r="L3784" s="76"/>
      <c r="M3784" s="76"/>
      <c r="N3784" s="76"/>
      <c r="O3784" s="76"/>
      <c r="P3784" s="76"/>
      <c r="Q3784" s="76"/>
      <c r="R3784" s="76"/>
      <c r="S3784" s="76"/>
      <c r="BD3784" s="99">
        <f t="shared" si="125"/>
        <v>0</v>
      </c>
      <c r="CC3784" s="99"/>
      <c r="CV3784" s="99"/>
      <c r="CW3784" s="63"/>
    </row>
    <row r="3785" spans="1:101" x14ac:dyDescent="0.15">
      <c r="A3785" s="76">
        <v>3543</v>
      </c>
      <c r="B3785" s="74" t="s">
        <v>4807</v>
      </c>
      <c r="C3785" s="74">
        <v>1066768994</v>
      </c>
      <c r="D3785" s="78" t="str">
        <f t="shared" si="124"/>
        <v>https://portal.dnb.de/opac.htm?method=simpleSearch&amp;cqlMode=true&amp;query=idn%3D1066768994</v>
      </c>
      <c r="E3785" s="74" t="s">
        <v>4808</v>
      </c>
      <c r="F3785" s="74"/>
      <c r="G3785" s="76"/>
      <c r="H3785" s="77"/>
      <c r="I3785" s="76"/>
      <c r="J3785" s="77"/>
      <c r="K3785" s="77"/>
      <c r="L3785" s="76"/>
      <c r="M3785" s="76"/>
      <c r="N3785" s="76"/>
      <c r="O3785" s="76"/>
      <c r="P3785" s="76"/>
      <c r="Q3785" s="76"/>
      <c r="R3785" s="76"/>
      <c r="S3785" s="76"/>
      <c r="BD3785" s="99">
        <f t="shared" si="125"/>
        <v>0</v>
      </c>
      <c r="CC3785" s="99"/>
      <c r="CV3785" s="99"/>
      <c r="CW3785" s="63"/>
    </row>
    <row r="3786" spans="1:101" x14ac:dyDescent="0.15">
      <c r="A3786" s="76">
        <v>3544</v>
      </c>
      <c r="B3786" s="74" t="s">
        <v>4809</v>
      </c>
      <c r="C3786" s="74">
        <v>997146338</v>
      </c>
      <c r="D3786" s="78" t="str">
        <f t="shared" si="124"/>
        <v>https://portal.dnb.de/opac.htm?method=simpleSearch&amp;cqlMode=true&amp;query=idn%3D997146338</v>
      </c>
      <c r="E3786" s="74" t="s">
        <v>4810</v>
      </c>
      <c r="F3786" s="74"/>
      <c r="G3786" s="76"/>
      <c r="H3786" s="77"/>
      <c r="I3786" s="76"/>
      <c r="J3786" s="77"/>
      <c r="K3786" s="77"/>
      <c r="L3786" s="76"/>
      <c r="M3786" s="76"/>
      <c r="N3786" s="76"/>
      <c r="O3786" s="76"/>
      <c r="P3786" s="76"/>
      <c r="Q3786" s="76"/>
      <c r="R3786" s="76"/>
      <c r="S3786" s="76"/>
      <c r="BD3786" s="99">
        <f t="shared" si="125"/>
        <v>0</v>
      </c>
      <c r="CC3786" s="99"/>
      <c r="CV3786" s="99"/>
      <c r="CW3786" s="63"/>
    </row>
    <row r="3787" spans="1:101" x14ac:dyDescent="0.15">
      <c r="A3787" s="76">
        <v>3545</v>
      </c>
      <c r="B3787" s="74" t="s">
        <v>4811</v>
      </c>
      <c r="C3787" s="74">
        <v>997146036</v>
      </c>
      <c r="D3787" s="78" t="str">
        <f t="shared" si="124"/>
        <v>https://portal.dnb.de/opac.htm?method=simpleSearch&amp;cqlMode=true&amp;query=idn%3D997146036</v>
      </c>
      <c r="E3787" s="74" t="s">
        <v>4810</v>
      </c>
      <c r="F3787" s="74"/>
      <c r="G3787" s="76"/>
      <c r="H3787" s="77"/>
      <c r="I3787" s="76"/>
      <c r="J3787" s="77"/>
      <c r="K3787" s="77"/>
      <c r="L3787" s="76"/>
      <c r="M3787" s="76"/>
      <c r="N3787" s="76"/>
      <c r="O3787" s="76"/>
      <c r="P3787" s="76"/>
      <c r="Q3787" s="76"/>
      <c r="R3787" s="76"/>
      <c r="S3787" s="76"/>
      <c r="BD3787" s="99">
        <f t="shared" si="125"/>
        <v>0</v>
      </c>
      <c r="CC3787" s="99"/>
      <c r="CV3787" s="99"/>
      <c r="CW3787" s="63"/>
    </row>
    <row r="3788" spans="1:101" x14ac:dyDescent="0.15">
      <c r="A3788" s="76">
        <v>3546</v>
      </c>
      <c r="B3788" s="74" t="s">
        <v>4812</v>
      </c>
      <c r="C3788" s="74">
        <v>1066929734</v>
      </c>
      <c r="D3788" s="78" t="str">
        <f t="shared" si="124"/>
        <v>https://portal.dnb.de/opac.htm?method=simpleSearch&amp;cqlMode=true&amp;query=idn%3D1066929734</v>
      </c>
      <c r="E3788" s="74" t="s">
        <v>4813</v>
      </c>
      <c r="F3788" s="74"/>
      <c r="G3788" s="76"/>
      <c r="H3788" s="77"/>
      <c r="I3788" s="76"/>
      <c r="J3788" s="77"/>
      <c r="K3788" s="77"/>
      <c r="L3788" s="76"/>
      <c r="M3788" s="76"/>
      <c r="N3788" s="76"/>
      <c r="O3788" s="76"/>
      <c r="P3788" s="76"/>
      <c r="Q3788" s="76"/>
      <c r="R3788" s="76"/>
      <c r="S3788" s="76"/>
      <c r="BD3788" s="99">
        <f t="shared" si="125"/>
        <v>0</v>
      </c>
      <c r="CC3788" s="99"/>
      <c r="CV3788" s="99"/>
      <c r="CW3788" s="63"/>
    </row>
    <row r="3789" spans="1:101" x14ac:dyDescent="0.15">
      <c r="A3789" s="76">
        <v>3547</v>
      </c>
      <c r="B3789" s="74" t="s">
        <v>4814</v>
      </c>
      <c r="C3789" s="74">
        <v>993915167</v>
      </c>
      <c r="D3789" s="78" t="str">
        <f t="shared" ref="D3789:D3854" si="126">HYPERLINK(CONCATENATE("https://portal.dnb.de/opac.htm?method=simpleSearch&amp;cqlMode=true&amp;query=idn%3D",C3789))</f>
        <v>https://portal.dnb.de/opac.htm?method=simpleSearch&amp;cqlMode=true&amp;query=idn%3D993915167</v>
      </c>
      <c r="E3789" s="74" t="s">
        <v>4815</v>
      </c>
      <c r="F3789" s="74"/>
      <c r="G3789" s="76"/>
      <c r="H3789" s="77"/>
      <c r="I3789" s="76"/>
      <c r="J3789" s="77"/>
      <c r="K3789" s="77"/>
      <c r="L3789" s="76"/>
      <c r="M3789" s="76"/>
      <c r="N3789" s="76"/>
      <c r="O3789" s="76"/>
      <c r="P3789" s="76"/>
      <c r="Q3789" s="76"/>
      <c r="R3789" s="76"/>
      <c r="S3789" s="76"/>
      <c r="BD3789" s="99">
        <f t="shared" si="125"/>
        <v>0</v>
      </c>
      <c r="CC3789" s="99"/>
      <c r="CV3789" s="99"/>
      <c r="CW3789" s="63"/>
    </row>
    <row r="3790" spans="1:101" x14ac:dyDescent="0.15">
      <c r="A3790" s="76">
        <v>3548</v>
      </c>
      <c r="B3790" s="74" t="s">
        <v>4816</v>
      </c>
      <c r="C3790" s="74">
        <v>1066692750</v>
      </c>
      <c r="D3790" s="78" t="str">
        <f t="shared" si="126"/>
        <v>https://portal.dnb.de/opac.htm?method=simpleSearch&amp;cqlMode=true&amp;query=idn%3D1066692750</v>
      </c>
      <c r="E3790" s="74" t="s">
        <v>4817</v>
      </c>
      <c r="F3790" s="74"/>
      <c r="G3790" s="76"/>
      <c r="H3790" s="77"/>
      <c r="I3790" s="76"/>
      <c r="J3790" s="77"/>
      <c r="K3790" s="77"/>
      <c r="L3790" s="76"/>
      <c r="M3790" s="76"/>
      <c r="N3790" s="76"/>
      <c r="O3790" s="76"/>
      <c r="P3790" s="76"/>
      <c r="Q3790" s="76"/>
      <c r="R3790" s="76"/>
      <c r="S3790" s="76"/>
      <c r="BD3790" s="99">
        <f t="shared" si="125"/>
        <v>0</v>
      </c>
      <c r="CC3790" s="99"/>
      <c r="CV3790" s="99"/>
      <c r="CW3790" s="63"/>
    </row>
    <row r="3791" spans="1:101" x14ac:dyDescent="0.15">
      <c r="A3791" s="76">
        <v>3549</v>
      </c>
      <c r="B3791" s="74" t="s">
        <v>4818</v>
      </c>
      <c r="C3791" s="74">
        <v>1066938350</v>
      </c>
      <c r="D3791" s="78" t="str">
        <f t="shared" si="126"/>
        <v>https://portal.dnb.de/opac.htm?method=simpleSearch&amp;cqlMode=true&amp;query=idn%3D1066938350</v>
      </c>
      <c r="E3791" s="74" t="s">
        <v>4819</v>
      </c>
      <c r="F3791" s="74"/>
      <c r="G3791" s="76"/>
      <c r="H3791" s="77"/>
      <c r="I3791" s="76" t="s">
        <v>53</v>
      </c>
      <c r="J3791" s="77"/>
      <c r="K3791" s="77"/>
      <c r="L3791" s="76"/>
      <c r="M3791" s="76"/>
      <c r="N3791" s="76"/>
      <c r="O3791" s="76"/>
      <c r="P3791" s="76"/>
      <c r="Q3791" s="76"/>
      <c r="R3791" s="76"/>
      <c r="S3791" s="76"/>
      <c r="X3791" s="95" t="s">
        <v>8541</v>
      </c>
      <c r="Y3791" s="95" t="s">
        <v>9736</v>
      </c>
      <c r="AA3791" s="95" t="s">
        <v>8541</v>
      </c>
      <c r="AC3791" s="95" t="s">
        <v>9737</v>
      </c>
      <c r="AD3791" s="95" t="s">
        <v>8541</v>
      </c>
      <c r="AI3791" s="95" t="s">
        <v>9725</v>
      </c>
      <c r="AU3791" s="95">
        <v>2</v>
      </c>
      <c r="AW3791" s="95">
        <v>110</v>
      </c>
      <c r="BC3791" s="96" t="s">
        <v>9726</v>
      </c>
      <c r="BD3791" s="99">
        <f t="shared" si="125"/>
        <v>0.5</v>
      </c>
      <c r="BH3791" s="95" t="s">
        <v>8541</v>
      </c>
      <c r="BM3791" s="69" t="s">
        <v>8541</v>
      </c>
      <c r="BP3791" s="69" t="s">
        <v>8541</v>
      </c>
      <c r="BR3791" s="95" t="s">
        <v>8541</v>
      </c>
      <c r="CC3791" s="99">
        <v>0.5</v>
      </c>
      <c r="CV3791" s="99"/>
      <c r="CW3791" s="63"/>
    </row>
    <row r="3792" spans="1:101" x14ac:dyDescent="0.15">
      <c r="A3792" s="76">
        <v>3550</v>
      </c>
      <c r="B3792" s="74" t="s">
        <v>4827</v>
      </c>
      <c r="C3792" s="74">
        <v>1037951298</v>
      </c>
      <c r="D3792" s="78" t="str">
        <f t="shared" si="126"/>
        <v>https://portal.dnb.de/opac.htm?method=simpleSearch&amp;cqlMode=true&amp;query=idn%3D1037951298</v>
      </c>
      <c r="E3792" s="74" t="s">
        <v>4828</v>
      </c>
      <c r="F3792" s="74"/>
      <c r="G3792" s="76"/>
      <c r="H3792" s="77"/>
      <c r="I3792" s="76"/>
      <c r="J3792" s="77"/>
      <c r="K3792" s="77"/>
      <c r="L3792" s="76"/>
      <c r="M3792" s="76"/>
      <c r="N3792" s="76"/>
      <c r="O3792" s="76"/>
      <c r="P3792" s="76"/>
      <c r="Q3792" s="76"/>
      <c r="R3792" s="76"/>
      <c r="S3792" s="76"/>
      <c r="BD3792" s="99">
        <f t="shared" si="125"/>
        <v>0</v>
      </c>
      <c r="CC3792" s="99"/>
      <c r="CV3792" s="99"/>
      <c r="CW3792" s="63"/>
    </row>
    <row r="3793" spans="1:101" x14ac:dyDescent="0.15">
      <c r="A3793" s="76">
        <v>3551</v>
      </c>
      <c r="B3793" s="74" t="s">
        <v>4829</v>
      </c>
      <c r="C3793" s="74" t="s">
        <v>4830</v>
      </c>
      <c r="D3793" s="78" t="str">
        <f t="shared" si="126"/>
        <v>https://portal.dnb.de/opac.htm?method=simpleSearch&amp;cqlMode=true&amp;query=idn%3D99420096X</v>
      </c>
      <c r="E3793" s="74" t="s">
        <v>4831</v>
      </c>
      <c r="F3793" s="74"/>
      <c r="G3793" s="76"/>
      <c r="H3793" s="77"/>
      <c r="I3793" s="76"/>
      <c r="J3793" s="77"/>
      <c r="K3793" s="77"/>
      <c r="L3793" s="76"/>
      <c r="M3793" s="76"/>
      <c r="N3793" s="76"/>
      <c r="O3793" s="76"/>
      <c r="P3793" s="76"/>
      <c r="Q3793" s="76"/>
      <c r="R3793" s="76"/>
      <c r="S3793" s="76"/>
      <c r="BD3793" s="99">
        <f t="shared" si="125"/>
        <v>0</v>
      </c>
      <c r="CC3793" s="99"/>
      <c r="CV3793" s="99"/>
      <c r="CW3793" s="63"/>
    </row>
    <row r="3794" spans="1:101" x14ac:dyDescent="0.15">
      <c r="A3794" s="76">
        <v>3552</v>
      </c>
      <c r="B3794" s="74" t="s">
        <v>4832</v>
      </c>
      <c r="C3794" s="74" t="s">
        <v>4833</v>
      </c>
      <c r="D3794" s="78" t="str">
        <f t="shared" si="126"/>
        <v>https://portal.dnb.de/opac.htm?method=simpleSearch&amp;cqlMode=true&amp;query=idn%3D99412290X</v>
      </c>
      <c r="E3794" s="74" t="s">
        <v>4834</v>
      </c>
      <c r="F3794" s="74"/>
      <c r="G3794" s="76"/>
      <c r="H3794" s="77"/>
      <c r="I3794" s="76"/>
      <c r="J3794" s="77"/>
      <c r="K3794" s="77"/>
      <c r="L3794" s="76"/>
      <c r="M3794" s="76"/>
      <c r="N3794" s="76"/>
      <c r="O3794" s="76"/>
      <c r="P3794" s="76"/>
      <c r="Q3794" s="76"/>
      <c r="R3794" s="76"/>
      <c r="S3794" s="76"/>
      <c r="BD3794" s="99">
        <f t="shared" si="125"/>
        <v>0</v>
      </c>
      <c r="CC3794" s="99"/>
      <c r="CV3794" s="99"/>
      <c r="CW3794" s="63"/>
    </row>
    <row r="3795" spans="1:101" x14ac:dyDescent="0.15">
      <c r="A3795" s="76">
        <v>3553</v>
      </c>
      <c r="B3795" s="74" t="s">
        <v>4835</v>
      </c>
      <c r="C3795" s="74">
        <v>1002288347</v>
      </c>
      <c r="D3795" s="78" t="str">
        <f t="shared" si="126"/>
        <v>https://portal.dnb.de/opac.htm?method=simpleSearch&amp;cqlMode=true&amp;query=idn%3D1002288347</v>
      </c>
      <c r="E3795" s="74" t="s">
        <v>4836</v>
      </c>
      <c r="F3795" s="74"/>
      <c r="G3795" s="76"/>
      <c r="H3795" s="77"/>
      <c r="I3795" s="76"/>
      <c r="J3795" s="77"/>
      <c r="K3795" s="77"/>
      <c r="L3795" s="76"/>
      <c r="M3795" s="76"/>
      <c r="N3795" s="76"/>
      <c r="O3795" s="76"/>
      <c r="P3795" s="76"/>
      <c r="Q3795" s="76"/>
      <c r="R3795" s="76"/>
      <c r="S3795" s="76"/>
      <c r="BD3795" s="99">
        <f t="shared" si="125"/>
        <v>0</v>
      </c>
      <c r="CC3795" s="99"/>
      <c r="CV3795" s="99"/>
      <c r="CW3795" s="63"/>
    </row>
    <row r="3796" spans="1:101" x14ac:dyDescent="0.15">
      <c r="A3796" s="76">
        <v>3554</v>
      </c>
      <c r="B3796" s="74" t="s">
        <v>4837</v>
      </c>
      <c r="C3796" s="74">
        <v>1000192121</v>
      </c>
      <c r="D3796" s="78" t="str">
        <f t="shared" si="126"/>
        <v>https://portal.dnb.de/opac.htm?method=simpleSearch&amp;cqlMode=true&amp;query=idn%3D1000192121</v>
      </c>
      <c r="E3796" s="74" t="s">
        <v>4838</v>
      </c>
      <c r="F3796" s="74"/>
      <c r="G3796" s="76"/>
      <c r="H3796" s="77"/>
      <c r="I3796" s="76"/>
      <c r="J3796" s="77"/>
      <c r="K3796" s="77"/>
      <c r="L3796" s="76"/>
      <c r="M3796" s="76"/>
      <c r="N3796" s="76"/>
      <c r="O3796" s="76"/>
      <c r="P3796" s="76"/>
      <c r="Q3796" s="76"/>
      <c r="R3796" s="76"/>
      <c r="S3796" s="76"/>
      <c r="BD3796" s="99">
        <f t="shared" si="125"/>
        <v>0</v>
      </c>
      <c r="CC3796" s="99"/>
      <c r="CV3796" s="99"/>
      <c r="CW3796" s="63"/>
    </row>
    <row r="3797" spans="1:101" x14ac:dyDescent="0.15">
      <c r="A3797" s="76">
        <v>3555</v>
      </c>
      <c r="B3797" s="74" t="s">
        <v>4839</v>
      </c>
      <c r="C3797" s="74">
        <v>994291582</v>
      </c>
      <c r="D3797" s="78" t="str">
        <f t="shared" si="126"/>
        <v>https://portal.dnb.de/opac.htm?method=simpleSearch&amp;cqlMode=true&amp;query=idn%3D994291582</v>
      </c>
      <c r="E3797" s="74" t="s">
        <v>4838</v>
      </c>
      <c r="F3797" s="74"/>
      <c r="G3797" s="76"/>
      <c r="H3797" s="77"/>
      <c r="I3797" s="76"/>
      <c r="J3797" s="77"/>
      <c r="K3797" s="77"/>
      <c r="L3797" s="76"/>
      <c r="M3797" s="76"/>
      <c r="N3797" s="76"/>
      <c r="O3797" s="76"/>
      <c r="P3797" s="76"/>
      <c r="Q3797" s="76"/>
      <c r="R3797" s="76"/>
      <c r="S3797" s="76"/>
      <c r="BD3797" s="99">
        <f t="shared" si="125"/>
        <v>0</v>
      </c>
      <c r="CC3797" s="99"/>
      <c r="CV3797" s="99"/>
      <c r="CW3797" s="63"/>
    </row>
    <row r="3798" spans="1:101" x14ac:dyDescent="0.15">
      <c r="A3798" s="76">
        <v>3556</v>
      </c>
      <c r="B3798" s="74" t="s">
        <v>4840</v>
      </c>
      <c r="C3798" s="74">
        <v>998897892</v>
      </c>
      <c r="D3798" s="78" t="str">
        <f t="shared" si="126"/>
        <v>https://portal.dnb.de/opac.htm?method=simpleSearch&amp;cqlMode=true&amp;query=idn%3D998897892</v>
      </c>
      <c r="E3798" s="74" t="s">
        <v>4841</v>
      </c>
      <c r="F3798" s="74"/>
      <c r="G3798" s="76"/>
      <c r="H3798" s="77"/>
      <c r="I3798" s="76"/>
      <c r="J3798" s="77"/>
      <c r="K3798" s="77"/>
      <c r="L3798" s="76"/>
      <c r="M3798" s="76"/>
      <c r="N3798" s="76"/>
      <c r="O3798" s="76"/>
      <c r="P3798" s="76"/>
      <c r="Q3798" s="76"/>
      <c r="R3798" s="76"/>
      <c r="S3798" s="76"/>
      <c r="BD3798" s="99">
        <f t="shared" si="125"/>
        <v>0</v>
      </c>
      <c r="CC3798" s="99"/>
      <c r="CV3798" s="99"/>
      <c r="CW3798" s="63"/>
    </row>
    <row r="3799" spans="1:101" x14ac:dyDescent="0.15">
      <c r="A3799" s="76">
        <v>3557</v>
      </c>
      <c r="B3799" s="74" t="s">
        <v>4842</v>
      </c>
      <c r="C3799" s="74">
        <v>1000048292</v>
      </c>
      <c r="D3799" s="78" t="str">
        <f t="shared" si="126"/>
        <v>https://portal.dnb.de/opac.htm?method=simpleSearch&amp;cqlMode=true&amp;query=idn%3D1000048292</v>
      </c>
      <c r="E3799" s="74" t="s">
        <v>4843</v>
      </c>
      <c r="F3799" s="74"/>
      <c r="G3799" s="76"/>
      <c r="H3799" s="77"/>
      <c r="I3799" s="76"/>
      <c r="J3799" s="77"/>
      <c r="K3799" s="77"/>
      <c r="L3799" s="76"/>
      <c r="M3799" s="76"/>
      <c r="N3799" s="76"/>
      <c r="O3799" s="76"/>
      <c r="P3799" s="76"/>
      <c r="Q3799" s="76"/>
      <c r="R3799" s="76"/>
      <c r="S3799" s="76"/>
      <c r="BD3799" s="99">
        <f t="shared" si="125"/>
        <v>0</v>
      </c>
      <c r="CC3799" s="99"/>
      <c r="CV3799" s="99"/>
      <c r="CW3799" s="63"/>
    </row>
    <row r="3800" spans="1:101" x14ac:dyDescent="0.15">
      <c r="A3800" s="76">
        <v>3558</v>
      </c>
      <c r="B3800" s="74" t="s">
        <v>4844</v>
      </c>
      <c r="C3800" s="74">
        <v>993992323</v>
      </c>
      <c r="D3800" s="78" t="str">
        <f t="shared" si="126"/>
        <v>https://portal.dnb.de/opac.htm?method=simpleSearch&amp;cqlMode=true&amp;query=idn%3D993992323</v>
      </c>
      <c r="E3800" s="74" t="s">
        <v>4845</v>
      </c>
      <c r="F3800" s="74"/>
      <c r="G3800" s="76"/>
      <c r="H3800" s="77"/>
      <c r="I3800" s="76"/>
      <c r="J3800" s="77"/>
      <c r="K3800" s="77"/>
      <c r="L3800" s="76"/>
      <c r="M3800" s="76"/>
      <c r="N3800" s="76"/>
      <c r="O3800" s="76"/>
      <c r="P3800" s="76"/>
      <c r="Q3800" s="76"/>
      <c r="R3800" s="76"/>
      <c r="S3800" s="76"/>
      <c r="BD3800" s="99">
        <f t="shared" si="125"/>
        <v>0</v>
      </c>
      <c r="CC3800" s="99"/>
      <c r="CV3800" s="99"/>
      <c r="CW3800" s="63"/>
    </row>
    <row r="3801" spans="1:101" x14ac:dyDescent="0.15">
      <c r="A3801" s="76">
        <v>3559</v>
      </c>
      <c r="B3801" s="74" t="s">
        <v>4820</v>
      </c>
      <c r="C3801" s="74" t="s">
        <v>4821</v>
      </c>
      <c r="D3801" s="78" t="str">
        <f t="shared" si="126"/>
        <v>https://portal.dnb.de/opac.htm?method=simpleSearch&amp;cqlMode=true&amp;query=idn%3D120923677X</v>
      </c>
      <c r="E3801" s="74" t="s">
        <v>4822</v>
      </c>
      <c r="F3801" s="74"/>
      <c r="G3801" s="76"/>
      <c r="H3801" s="77"/>
      <c r="I3801" s="76"/>
      <c r="J3801" s="77"/>
      <c r="K3801" s="77"/>
      <c r="L3801" s="76"/>
      <c r="M3801" s="76"/>
      <c r="N3801" s="76"/>
      <c r="O3801" s="76"/>
      <c r="P3801" s="76"/>
      <c r="Q3801" s="76"/>
      <c r="R3801" s="76"/>
      <c r="S3801" s="76"/>
      <c r="BD3801" s="99">
        <f t="shared" si="125"/>
        <v>0</v>
      </c>
      <c r="CC3801" s="99"/>
      <c r="CV3801" s="99"/>
      <c r="CW3801" s="63"/>
    </row>
    <row r="3802" spans="1:101" x14ac:dyDescent="0.15">
      <c r="A3802" s="76">
        <v>3560</v>
      </c>
      <c r="B3802" s="74" t="s">
        <v>4823</v>
      </c>
      <c r="C3802" s="74">
        <v>1209236044</v>
      </c>
      <c r="D3802" s="78" t="str">
        <f t="shared" si="126"/>
        <v>https://portal.dnb.de/opac.htm?method=simpleSearch&amp;cqlMode=true&amp;query=idn%3D1209236044</v>
      </c>
      <c r="E3802" s="74" t="s">
        <v>4824</v>
      </c>
      <c r="F3802" s="74"/>
      <c r="G3802" s="76"/>
      <c r="H3802" s="77"/>
      <c r="I3802" s="76"/>
      <c r="J3802" s="77"/>
      <c r="K3802" s="77"/>
      <c r="L3802" s="76"/>
      <c r="M3802" s="76"/>
      <c r="N3802" s="76"/>
      <c r="O3802" s="76"/>
      <c r="P3802" s="76"/>
      <c r="Q3802" s="76"/>
      <c r="R3802" s="76"/>
      <c r="S3802" s="76"/>
      <c r="BD3802" s="99">
        <f t="shared" si="125"/>
        <v>0</v>
      </c>
      <c r="CC3802" s="99"/>
      <c r="CV3802" s="99"/>
      <c r="CW3802" s="63"/>
    </row>
    <row r="3803" spans="1:101" x14ac:dyDescent="0.15">
      <c r="A3803" s="76">
        <v>3561</v>
      </c>
      <c r="B3803" s="74" t="s">
        <v>4825</v>
      </c>
      <c r="C3803" s="74">
        <v>1209236532</v>
      </c>
      <c r="D3803" s="78" t="str">
        <f t="shared" si="126"/>
        <v>https://portal.dnb.de/opac.htm?method=simpleSearch&amp;cqlMode=true&amp;query=idn%3D1209236532</v>
      </c>
      <c r="E3803" s="74" t="s">
        <v>4826</v>
      </c>
      <c r="F3803" s="74"/>
      <c r="G3803" s="76"/>
      <c r="H3803" s="77"/>
      <c r="I3803" s="76"/>
      <c r="J3803" s="77"/>
      <c r="K3803" s="77"/>
      <c r="L3803" s="76"/>
      <c r="M3803" s="76"/>
      <c r="N3803" s="76"/>
      <c r="O3803" s="76"/>
      <c r="P3803" s="76"/>
      <c r="Q3803" s="76"/>
      <c r="R3803" s="76"/>
      <c r="S3803" s="76"/>
      <c r="BD3803" s="99">
        <f t="shared" si="125"/>
        <v>0</v>
      </c>
      <c r="CC3803" s="99"/>
      <c r="CV3803" s="99"/>
      <c r="CW3803" s="63"/>
    </row>
    <row r="3804" spans="1:101" x14ac:dyDescent="0.15">
      <c r="A3804" s="76">
        <v>3562</v>
      </c>
      <c r="B3804" s="74" t="s">
        <v>4846</v>
      </c>
      <c r="C3804" s="74">
        <v>1066962022</v>
      </c>
      <c r="D3804" s="78" t="str">
        <f t="shared" si="126"/>
        <v>https://portal.dnb.de/opac.htm?method=simpleSearch&amp;cqlMode=true&amp;query=idn%3D1066962022</v>
      </c>
      <c r="E3804" s="74" t="s">
        <v>4847</v>
      </c>
      <c r="F3804" s="74"/>
      <c r="G3804" s="76"/>
      <c r="H3804" s="77"/>
      <c r="I3804" s="76" t="s">
        <v>53</v>
      </c>
      <c r="J3804" s="77"/>
      <c r="K3804" s="77"/>
      <c r="L3804" s="76"/>
      <c r="M3804" s="76"/>
      <c r="N3804" s="76"/>
      <c r="O3804" s="76"/>
      <c r="P3804" s="76"/>
      <c r="Q3804" s="76"/>
      <c r="R3804" s="76"/>
      <c r="S3804" s="76"/>
      <c r="Y3804" s="95" t="s">
        <v>9735</v>
      </c>
      <c r="AA3804" s="95" t="s">
        <v>8541</v>
      </c>
      <c r="AC3804" s="95" t="s">
        <v>9739</v>
      </c>
      <c r="AI3804" s="95" t="s">
        <v>9725</v>
      </c>
      <c r="AU3804" s="95">
        <v>2</v>
      </c>
      <c r="AW3804" s="95">
        <v>110</v>
      </c>
      <c r="BC3804" s="96" t="s">
        <v>9734</v>
      </c>
      <c r="BD3804" s="99">
        <f t="shared" si="125"/>
        <v>0</v>
      </c>
      <c r="BH3804" s="95" t="s">
        <v>8541</v>
      </c>
      <c r="BL3804" s="70" t="s">
        <v>10015</v>
      </c>
      <c r="BM3804" s="69" t="s">
        <v>10007</v>
      </c>
      <c r="CC3804" s="99"/>
      <c r="CV3804" s="99"/>
      <c r="CW3804" s="63"/>
    </row>
    <row r="3805" spans="1:101" x14ac:dyDescent="0.15">
      <c r="A3805" s="76">
        <v>3563</v>
      </c>
      <c r="B3805" s="74" t="s">
        <v>4848</v>
      </c>
      <c r="C3805" s="74">
        <v>1066876592</v>
      </c>
      <c r="D3805" s="78" t="str">
        <f t="shared" si="126"/>
        <v>https://portal.dnb.de/opac.htm?method=simpleSearch&amp;cqlMode=true&amp;query=idn%3D1066876592</v>
      </c>
      <c r="E3805" s="74" t="s">
        <v>4849</v>
      </c>
      <c r="F3805" s="74"/>
      <c r="G3805" s="76"/>
      <c r="H3805" s="77"/>
      <c r="I3805" s="76"/>
      <c r="J3805" s="77"/>
      <c r="K3805" s="77"/>
      <c r="L3805" s="76"/>
      <c r="M3805" s="76"/>
      <c r="N3805" s="76"/>
      <c r="O3805" s="76"/>
      <c r="P3805" s="76"/>
      <c r="Q3805" s="76"/>
      <c r="R3805" s="76"/>
      <c r="S3805" s="76"/>
      <c r="BD3805" s="99">
        <f t="shared" si="125"/>
        <v>0</v>
      </c>
      <c r="CC3805" s="99"/>
      <c r="CV3805" s="99"/>
      <c r="CW3805" s="63"/>
    </row>
    <row r="3806" spans="1:101" ht="33.75" x14ac:dyDescent="0.15">
      <c r="A3806" s="76">
        <v>3564</v>
      </c>
      <c r="B3806" s="74" t="s">
        <v>4850</v>
      </c>
      <c r="C3806" s="74">
        <v>1066937737</v>
      </c>
      <c r="D3806" s="78" t="str">
        <f t="shared" si="126"/>
        <v>https://portal.dnb.de/opac.htm?method=simpleSearch&amp;cqlMode=true&amp;query=idn%3D1066937737</v>
      </c>
      <c r="E3806" s="74" t="s">
        <v>4851</v>
      </c>
      <c r="F3806" s="74"/>
      <c r="G3806" s="76"/>
      <c r="H3806" s="77"/>
      <c r="I3806" s="76" t="s">
        <v>53</v>
      </c>
      <c r="J3806" s="77"/>
      <c r="K3806" s="77"/>
      <c r="L3806" s="76"/>
      <c r="M3806" s="76"/>
      <c r="N3806" s="76"/>
      <c r="O3806" s="76"/>
      <c r="P3806" s="76"/>
      <c r="Q3806" s="76"/>
      <c r="R3806" s="76"/>
      <c r="S3806" s="76"/>
      <c r="Y3806" s="95" t="s">
        <v>9723</v>
      </c>
      <c r="AC3806" s="95" t="s">
        <v>9724</v>
      </c>
      <c r="AI3806" s="95" t="s">
        <v>9725</v>
      </c>
      <c r="AW3806" s="95">
        <v>60</v>
      </c>
      <c r="BC3806" s="96" t="s">
        <v>9726</v>
      </c>
      <c r="BD3806" s="99">
        <f t="shared" si="125"/>
        <v>5</v>
      </c>
      <c r="BH3806" s="95" t="s">
        <v>8541</v>
      </c>
      <c r="BP3806" s="69" t="s">
        <v>8541</v>
      </c>
      <c r="BQ3806" s="95" t="s">
        <v>8541</v>
      </c>
      <c r="BR3806" s="95" t="s">
        <v>8541</v>
      </c>
      <c r="BT3806" s="95" t="s">
        <v>9775</v>
      </c>
      <c r="CC3806" s="99">
        <v>5</v>
      </c>
      <c r="CD3806" s="90" t="s">
        <v>10181</v>
      </c>
      <c r="CV3806" s="99"/>
      <c r="CW3806" s="63"/>
    </row>
    <row r="3807" spans="1:101" x14ac:dyDescent="0.15">
      <c r="A3807" s="76">
        <v>3565</v>
      </c>
      <c r="B3807" s="74" t="s">
        <v>4852</v>
      </c>
      <c r="C3807" s="74">
        <v>1066925364</v>
      </c>
      <c r="D3807" s="78" t="str">
        <f t="shared" si="126"/>
        <v>https://portal.dnb.de/opac.htm?method=simpleSearch&amp;cqlMode=true&amp;query=idn%3D1066925364</v>
      </c>
      <c r="E3807" s="74" t="s">
        <v>4853</v>
      </c>
      <c r="F3807" s="74"/>
      <c r="G3807" s="76"/>
      <c r="H3807" s="77"/>
      <c r="I3807" s="76"/>
      <c r="J3807" s="77"/>
      <c r="K3807" s="77"/>
      <c r="L3807" s="76"/>
      <c r="M3807" s="76"/>
      <c r="N3807" s="76"/>
      <c r="O3807" s="76"/>
      <c r="P3807" s="76"/>
      <c r="Q3807" s="76"/>
      <c r="R3807" s="76"/>
      <c r="S3807" s="76"/>
      <c r="BD3807" s="99">
        <f t="shared" si="125"/>
        <v>0</v>
      </c>
      <c r="CC3807" s="99"/>
      <c r="CV3807" s="99"/>
      <c r="CW3807" s="63"/>
    </row>
    <row r="3808" spans="1:101" ht="22.5" x14ac:dyDescent="0.15">
      <c r="A3808" s="76">
        <v>3566</v>
      </c>
      <c r="B3808" s="74" t="s">
        <v>4860</v>
      </c>
      <c r="C3808" s="74">
        <v>1066935920</v>
      </c>
      <c r="D3808" s="78" t="str">
        <f t="shared" si="126"/>
        <v>https://portal.dnb.de/opac.htm?method=simpleSearch&amp;cqlMode=true&amp;query=idn%3D1066935920</v>
      </c>
      <c r="E3808" s="74" t="s">
        <v>4861</v>
      </c>
      <c r="F3808" s="74"/>
      <c r="G3808" s="76"/>
      <c r="H3808" s="77"/>
      <c r="I3808" s="76" t="s">
        <v>54</v>
      </c>
      <c r="J3808" s="77"/>
      <c r="K3808" s="77"/>
      <c r="L3808" s="76"/>
      <c r="M3808" s="76"/>
      <c r="N3808" s="76"/>
      <c r="O3808" s="76"/>
      <c r="P3808" s="76"/>
      <c r="Q3808" s="76"/>
      <c r="R3808" s="76"/>
      <c r="S3808" s="76"/>
      <c r="Y3808" s="95" t="s">
        <v>9736</v>
      </c>
      <c r="AC3808" s="95" t="s">
        <v>9737</v>
      </c>
      <c r="AI3808" s="95" t="s">
        <v>9725</v>
      </c>
      <c r="AW3808" s="95">
        <v>110</v>
      </c>
      <c r="BC3808" s="96" t="s">
        <v>9726</v>
      </c>
      <c r="BD3808" s="99">
        <f t="shared" si="125"/>
        <v>2</v>
      </c>
      <c r="BI3808" s="95" t="s">
        <v>9741</v>
      </c>
      <c r="BK3808" s="95" t="s">
        <v>8541</v>
      </c>
      <c r="BL3808" s="70" t="s">
        <v>9841</v>
      </c>
      <c r="BR3808" s="95" t="s">
        <v>8541</v>
      </c>
      <c r="CC3808" s="99">
        <v>1</v>
      </c>
      <c r="CD3808" s="90" t="s">
        <v>9842</v>
      </c>
      <c r="CI3808" s="95" t="s">
        <v>8541</v>
      </c>
      <c r="CN3808" s="95" t="s">
        <v>8541</v>
      </c>
      <c r="CV3808" s="99">
        <v>1</v>
      </c>
    </row>
    <row r="3809" spans="1:101" x14ac:dyDescent="0.15">
      <c r="A3809" s="76">
        <v>3567</v>
      </c>
      <c r="B3809" s="74" t="s">
        <v>4862</v>
      </c>
      <c r="C3809" s="74">
        <v>994564562</v>
      </c>
      <c r="D3809" s="78" t="str">
        <f t="shared" si="126"/>
        <v>https://portal.dnb.de/opac.htm?method=simpleSearch&amp;cqlMode=true&amp;query=idn%3D994564562</v>
      </c>
      <c r="E3809" s="74" t="s">
        <v>4863</v>
      </c>
      <c r="F3809" s="74"/>
      <c r="G3809" s="76"/>
      <c r="H3809" s="77"/>
      <c r="I3809" s="76"/>
      <c r="J3809" s="77"/>
      <c r="K3809" s="77"/>
      <c r="L3809" s="76"/>
      <c r="M3809" s="76"/>
      <c r="N3809" s="76"/>
      <c r="O3809" s="76"/>
      <c r="P3809" s="76"/>
      <c r="Q3809" s="76"/>
      <c r="R3809" s="76"/>
      <c r="S3809" s="76"/>
      <c r="BD3809" s="99">
        <f t="shared" si="125"/>
        <v>0</v>
      </c>
      <c r="CC3809" s="99"/>
      <c r="CV3809" s="99"/>
      <c r="CW3809" s="63"/>
    </row>
    <row r="3810" spans="1:101" x14ac:dyDescent="0.15">
      <c r="A3810" s="76">
        <v>3568</v>
      </c>
      <c r="B3810" s="74" t="s">
        <v>4864</v>
      </c>
      <c r="C3810" s="74">
        <v>1002231493</v>
      </c>
      <c r="D3810" s="78" t="str">
        <f t="shared" si="126"/>
        <v>https://portal.dnb.de/opac.htm?method=simpleSearch&amp;cqlMode=true&amp;query=idn%3D1002231493</v>
      </c>
      <c r="E3810" s="74" t="s">
        <v>4865</v>
      </c>
      <c r="F3810" s="74"/>
      <c r="G3810" s="76"/>
      <c r="H3810" s="77"/>
      <c r="I3810" s="76"/>
      <c r="J3810" s="77"/>
      <c r="K3810" s="77"/>
      <c r="L3810" s="76"/>
      <c r="M3810" s="76"/>
      <c r="N3810" s="76"/>
      <c r="O3810" s="76"/>
      <c r="P3810" s="76"/>
      <c r="Q3810" s="76"/>
      <c r="R3810" s="76"/>
      <c r="S3810" s="76"/>
      <c r="BD3810" s="99">
        <f t="shared" si="125"/>
        <v>0</v>
      </c>
      <c r="CC3810" s="99"/>
      <c r="CV3810" s="99"/>
      <c r="CW3810" s="63"/>
    </row>
    <row r="3811" spans="1:101" x14ac:dyDescent="0.15">
      <c r="A3811" s="76">
        <v>3569</v>
      </c>
      <c r="B3811" s="74" t="s">
        <v>4866</v>
      </c>
      <c r="C3811" s="74">
        <v>1002231175</v>
      </c>
      <c r="D3811" s="78" t="str">
        <f t="shared" si="126"/>
        <v>https://portal.dnb.de/opac.htm?method=simpleSearch&amp;cqlMode=true&amp;query=idn%3D1002231175</v>
      </c>
      <c r="E3811" s="74" t="s">
        <v>4865</v>
      </c>
      <c r="F3811" s="74"/>
      <c r="G3811" s="76"/>
      <c r="H3811" s="77"/>
      <c r="I3811" s="76"/>
      <c r="J3811" s="77"/>
      <c r="K3811" s="77"/>
      <c r="L3811" s="76"/>
      <c r="M3811" s="76"/>
      <c r="N3811" s="76"/>
      <c r="O3811" s="76"/>
      <c r="P3811" s="76"/>
      <c r="Q3811" s="76"/>
      <c r="R3811" s="76"/>
      <c r="S3811" s="76"/>
      <c r="BD3811" s="99">
        <f t="shared" si="125"/>
        <v>0</v>
      </c>
      <c r="CC3811" s="99"/>
      <c r="CV3811" s="99"/>
      <c r="CW3811" s="63"/>
    </row>
    <row r="3812" spans="1:101" x14ac:dyDescent="0.15">
      <c r="A3812" s="76">
        <v>3570</v>
      </c>
      <c r="B3812" s="74" t="s">
        <v>4867</v>
      </c>
      <c r="C3812" s="74">
        <v>1002231094</v>
      </c>
      <c r="D3812" s="78" t="str">
        <f t="shared" si="126"/>
        <v>https://portal.dnb.de/opac.htm?method=simpleSearch&amp;cqlMode=true&amp;query=idn%3D1002231094</v>
      </c>
      <c r="E3812" s="74" t="s">
        <v>4865</v>
      </c>
      <c r="F3812" s="74"/>
      <c r="G3812" s="76"/>
      <c r="H3812" s="77"/>
      <c r="I3812" s="76"/>
      <c r="J3812" s="77"/>
      <c r="K3812" s="77"/>
      <c r="L3812" s="76"/>
      <c r="M3812" s="76"/>
      <c r="N3812" s="76"/>
      <c r="O3812" s="76"/>
      <c r="P3812" s="76"/>
      <c r="Q3812" s="76"/>
      <c r="R3812" s="76"/>
      <c r="S3812" s="76"/>
      <c r="BD3812" s="99">
        <f t="shared" si="125"/>
        <v>0</v>
      </c>
      <c r="CC3812" s="99"/>
      <c r="CV3812" s="99"/>
      <c r="CW3812" s="63"/>
    </row>
    <row r="3813" spans="1:101" x14ac:dyDescent="0.15">
      <c r="A3813" s="76">
        <v>3571</v>
      </c>
      <c r="B3813" s="74" t="s">
        <v>4868</v>
      </c>
      <c r="C3813" s="74">
        <v>998675237</v>
      </c>
      <c r="D3813" s="78" t="str">
        <f t="shared" si="126"/>
        <v>https://portal.dnb.de/opac.htm?method=simpleSearch&amp;cqlMode=true&amp;query=idn%3D998675237</v>
      </c>
      <c r="E3813" s="74" t="s">
        <v>4869</v>
      </c>
      <c r="F3813" s="74"/>
      <c r="G3813" s="76"/>
      <c r="H3813" s="77"/>
      <c r="I3813" s="76"/>
      <c r="J3813" s="77"/>
      <c r="K3813" s="77"/>
      <c r="L3813" s="76"/>
      <c r="M3813" s="76"/>
      <c r="N3813" s="76"/>
      <c r="O3813" s="76"/>
      <c r="P3813" s="76"/>
      <c r="Q3813" s="76"/>
      <c r="R3813" s="76"/>
      <c r="S3813" s="76"/>
      <c r="BD3813" s="99">
        <f t="shared" si="125"/>
        <v>0</v>
      </c>
      <c r="CC3813" s="99"/>
      <c r="CV3813" s="99"/>
      <c r="CW3813" s="63"/>
    </row>
    <row r="3814" spans="1:101" x14ac:dyDescent="0.15">
      <c r="A3814" s="76">
        <v>3572</v>
      </c>
      <c r="B3814" s="74" t="s">
        <v>4870</v>
      </c>
      <c r="C3814" s="74" t="s">
        <v>4871</v>
      </c>
      <c r="D3814" s="78" t="str">
        <f t="shared" si="126"/>
        <v>https://portal.dnb.de/opac.htm?method=simpleSearch&amp;cqlMode=true&amp;query=idn%3D99716946X</v>
      </c>
      <c r="E3814" s="74" t="s">
        <v>4872</v>
      </c>
      <c r="F3814" s="74"/>
      <c r="G3814" s="76"/>
      <c r="H3814" s="77"/>
      <c r="I3814" s="76"/>
      <c r="J3814" s="77"/>
      <c r="K3814" s="77"/>
      <c r="L3814" s="76"/>
      <c r="M3814" s="76"/>
      <c r="N3814" s="76"/>
      <c r="O3814" s="76"/>
      <c r="P3814" s="76"/>
      <c r="Q3814" s="76"/>
      <c r="R3814" s="76"/>
      <c r="S3814" s="76"/>
      <c r="BD3814" s="99">
        <f t="shared" si="125"/>
        <v>0</v>
      </c>
      <c r="CC3814" s="99"/>
      <c r="CV3814" s="99"/>
      <c r="CW3814" s="63"/>
    </row>
    <row r="3815" spans="1:101" x14ac:dyDescent="0.15">
      <c r="A3815" s="76">
        <v>3573</v>
      </c>
      <c r="B3815" s="74" t="s">
        <v>4873</v>
      </c>
      <c r="C3815" s="74">
        <v>1171381719</v>
      </c>
      <c r="D3815" s="78" t="str">
        <f t="shared" si="126"/>
        <v>https://portal.dnb.de/opac.htm?method=simpleSearch&amp;cqlMode=true&amp;query=idn%3D1171381719</v>
      </c>
      <c r="E3815" s="74" t="s">
        <v>4874</v>
      </c>
      <c r="F3815" s="74"/>
      <c r="G3815" s="76"/>
      <c r="H3815" s="77"/>
      <c r="I3815" s="76"/>
      <c r="J3815" s="77"/>
      <c r="K3815" s="77"/>
      <c r="L3815" s="76"/>
      <c r="M3815" s="76"/>
      <c r="N3815" s="76"/>
      <c r="O3815" s="76"/>
      <c r="P3815" s="76"/>
      <c r="Q3815" s="76"/>
      <c r="R3815" s="76"/>
      <c r="S3815" s="76"/>
      <c r="BD3815" s="99">
        <f t="shared" si="125"/>
        <v>0</v>
      </c>
      <c r="CC3815" s="99"/>
      <c r="CV3815" s="99"/>
      <c r="CW3815" s="63"/>
    </row>
    <row r="3816" spans="1:101" x14ac:dyDescent="0.15">
      <c r="A3816" s="76">
        <v>3574</v>
      </c>
      <c r="B3816" s="74" t="s">
        <v>4854</v>
      </c>
      <c r="C3816" s="74">
        <v>1209072920</v>
      </c>
      <c r="D3816" s="78" t="str">
        <f t="shared" si="126"/>
        <v>https://portal.dnb.de/opac.htm?method=simpleSearch&amp;cqlMode=true&amp;query=idn%3D1209072920</v>
      </c>
      <c r="E3816" s="74" t="s">
        <v>4855</v>
      </c>
      <c r="F3816" s="74"/>
      <c r="G3816" s="76"/>
      <c r="H3816" s="77"/>
      <c r="I3816" s="76"/>
      <c r="J3816" s="77"/>
      <c r="K3816" s="77"/>
      <c r="L3816" s="76"/>
      <c r="M3816" s="76"/>
      <c r="N3816" s="76"/>
      <c r="O3816" s="76"/>
      <c r="P3816" s="76"/>
      <c r="Q3816" s="76"/>
      <c r="R3816" s="76"/>
      <c r="S3816" s="76"/>
      <c r="BD3816" s="99">
        <f t="shared" si="125"/>
        <v>0</v>
      </c>
      <c r="CC3816" s="99"/>
      <c r="CV3816" s="99"/>
      <c r="CW3816" s="63"/>
    </row>
    <row r="3817" spans="1:101" x14ac:dyDescent="0.15">
      <c r="A3817" s="76">
        <v>3575</v>
      </c>
      <c r="B3817" s="74" t="s">
        <v>4856</v>
      </c>
      <c r="C3817" s="74">
        <v>1207424595</v>
      </c>
      <c r="D3817" s="78" t="str">
        <f t="shared" si="126"/>
        <v>https://portal.dnb.de/opac.htm?method=simpleSearch&amp;cqlMode=true&amp;query=idn%3D1207424595</v>
      </c>
      <c r="E3817" s="74" t="s">
        <v>4857</v>
      </c>
      <c r="F3817" s="74"/>
      <c r="G3817" s="76"/>
      <c r="H3817" s="77"/>
      <c r="I3817" s="76"/>
      <c r="J3817" s="77"/>
      <c r="K3817" s="77"/>
      <c r="L3817" s="76"/>
      <c r="M3817" s="76"/>
      <c r="N3817" s="76"/>
      <c r="O3817" s="76"/>
      <c r="P3817" s="76"/>
      <c r="Q3817" s="76"/>
      <c r="R3817" s="76"/>
      <c r="S3817" s="76"/>
      <c r="BD3817" s="99">
        <f t="shared" si="125"/>
        <v>0</v>
      </c>
      <c r="CC3817" s="99"/>
      <c r="CV3817" s="99"/>
      <c r="CW3817" s="63"/>
    </row>
    <row r="3818" spans="1:101" x14ac:dyDescent="0.15">
      <c r="A3818" s="76">
        <v>3576</v>
      </c>
      <c r="B3818" s="74" t="s">
        <v>4858</v>
      </c>
      <c r="C3818" s="74">
        <v>1000013405</v>
      </c>
      <c r="D3818" s="78" t="str">
        <f t="shared" si="126"/>
        <v>https://portal.dnb.de/opac.htm?method=simpleSearch&amp;cqlMode=true&amp;query=idn%3D1000013405</v>
      </c>
      <c r="E3818" s="74" t="s">
        <v>4859</v>
      </c>
      <c r="F3818" s="74"/>
      <c r="G3818" s="76"/>
      <c r="H3818" s="77"/>
      <c r="I3818" s="76"/>
      <c r="J3818" s="77"/>
      <c r="K3818" s="77"/>
      <c r="L3818" s="76"/>
      <c r="M3818" s="76"/>
      <c r="N3818" s="76"/>
      <c r="O3818" s="76"/>
      <c r="P3818" s="76"/>
      <c r="Q3818" s="76"/>
      <c r="R3818" s="76"/>
      <c r="S3818" s="76"/>
      <c r="BD3818" s="99">
        <f t="shared" si="125"/>
        <v>0</v>
      </c>
      <c r="CC3818" s="99"/>
      <c r="CV3818" s="99"/>
      <c r="CW3818" s="63"/>
    </row>
    <row r="3819" spans="1:101" x14ac:dyDescent="0.15">
      <c r="A3819" s="76">
        <v>3577</v>
      </c>
      <c r="B3819" s="74" t="s">
        <v>4875</v>
      </c>
      <c r="C3819" s="74">
        <v>994025483</v>
      </c>
      <c r="D3819" s="78" t="str">
        <f t="shared" si="126"/>
        <v>https://portal.dnb.de/opac.htm?method=simpleSearch&amp;cqlMode=true&amp;query=idn%3D994025483</v>
      </c>
      <c r="E3819" s="74" t="s">
        <v>4876</v>
      </c>
      <c r="F3819" s="74"/>
      <c r="G3819" s="76"/>
      <c r="H3819" s="77"/>
      <c r="I3819" s="76"/>
      <c r="J3819" s="77"/>
      <c r="K3819" s="77"/>
      <c r="L3819" s="76"/>
      <c r="M3819" s="76"/>
      <c r="N3819" s="76"/>
      <c r="O3819" s="76"/>
      <c r="P3819" s="76"/>
      <c r="Q3819" s="76"/>
      <c r="R3819" s="76"/>
      <c r="S3819" s="76"/>
      <c r="BD3819" s="99">
        <f t="shared" si="125"/>
        <v>0</v>
      </c>
      <c r="CC3819" s="99"/>
      <c r="CV3819" s="99"/>
      <c r="CW3819" s="63"/>
    </row>
    <row r="3820" spans="1:101" x14ac:dyDescent="0.15">
      <c r="A3820" s="76">
        <v>3578</v>
      </c>
      <c r="B3820" s="74" t="s">
        <v>4877</v>
      </c>
      <c r="C3820" s="74">
        <v>1001648463</v>
      </c>
      <c r="D3820" s="78" t="str">
        <f t="shared" si="126"/>
        <v>https://portal.dnb.de/opac.htm?method=simpleSearch&amp;cqlMode=true&amp;query=idn%3D1001648463</v>
      </c>
      <c r="E3820" s="74" t="s">
        <v>4876</v>
      </c>
      <c r="F3820" s="74"/>
      <c r="G3820" s="76"/>
      <c r="H3820" s="77"/>
      <c r="I3820" s="76"/>
      <c r="J3820" s="77"/>
      <c r="K3820" s="77"/>
      <c r="L3820" s="76"/>
      <c r="M3820" s="76"/>
      <c r="N3820" s="76"/>
      <c r="O3820" s="76"/>
      <c r="P3820" s="76"/>
      <c r="Q3820" s="76"/>
      <c r="R3820" s="76"/>
      <c r="S3820" s="76"/>
      <c r="BD3820" s="99">
        <f t="shared" si="125"/>
        <v>0</v>
      </c>
      <c r="CC3820" s="99"/>
      <c r="CV3820" s="99"/>
      <c r="CW3820" s="63"/>
    </row>
    <row r="3821" spans="1:101" x14ac:dyDescent="0.15">
      <c r="A3821" s="76">
        <v>3579</v>
      </c>
      <c r="B3821" s="74" t="s">
        <v>4890</v>
      </c>
      <c r="C3821" s="74">
        <v>1066931860</v>
      </c>
      <c r="D3821" s="78" t="str">
        <f t="shared" si="126"/>
        <v>https://portal.dnb.de/opac.htm?method=simpleSearch&amp;cqlMode=true&amp;query=idn%3D1066931860</v>
      </c>
      <c r="E3821" s="74" t="s">
        <v>4891</v>
      </c>
      <c r="F3821" s="74"/>
      <c r="G3821" s="76"/>
      <c r="H3821" s="77"/>
      <c r="I3821" s="76" t="s">
        <v>53</v>
      </c>
      <c r="J3821" s="77"/>
      <c r="K3821" s="77"/>
      <c r="L3821" s="76"/>
      <c r="M3821" s="76"/>
      <c r="N3821" s="76"/>
      <c r="O3821" s="76"/>
      <c r="P3821" s="76"/>
      <c r="Q3821" s="76"/>
      <c r="R3821" s="76"/>
      <c r="S3821" s="76"/>
      <c r="Y3821" s="95" t="s">
        <v>9725</v>
      </c>
      <c r="AC3821" s="95" t="s">
        <v>9730</v>
      </c>
      <c r="AI3821" s="95" t="s">
        <v>9725</v>
      </c>
      <c r="AW3821" s="95">
        <v>110</v>
      </c>
      <c r="BC3821" s="96" t="s">
        <v>9726</v>
      </c>
      <c r="BD3821" s="99">
        <f t="shared" si="125"/>
        <v>1</v>
      </c>
      <c r="BP3821" s="69" t="s">
        <v>8541</v>
      </c>
      <c r="BR3821" s="95" t="s">
        <v>8541</v>
      </c>
      <c r="CC3821" s="99">
        <v>1</v>
      </c>
      <c r="CV3821" s="99"/>
      <c r="CW3821" s="63"/>
    </row>
    <row r="3822" spans="1:101" x14ac:dyDescent="0.15">
      <c r="A3822" s="76">
        <v>3580</v>
      </c>
      <c r="B3822" s="74" t="s">
        <v>5145</v>
      </c>
      <c r="C3822" s="74" t="s">
        <v>5146</v>
      </c>
      <c r="D3822" s="78" t="str">
        <f t="shared" si="126"/>
        <v>https://portal.dnb.de/opac.htm?method=simpleSearch&amp;cqlMode=true&amp;query=idn%3D99459352X</v>
      </c>
      <c r="E3822" s="74" t="s">
        <v>5147</v>
      </c>
      <c r="F3822" s="74"/>
      <c r="G3822" s="76"/>
      <c r="H3822" s="77"/>
      <c r="I3822" s="76"/>
      <c r="J3822" s="77"/>
      <c r="K3822" s="77"/>
      <c r="L3822" s="76"/>
      <c r="M3822" s="76"/>
      <c r="N3822" s="76"/>
      <c r="O3822" s="76"/>
      <c r="P3822" s="76"/>
      <c r="Q3822" s="76"/>
      <c r="R3822" s="76"/>
      <c r="S3822" s="76"/>
      <c r="BD3822" s="99">
        <f t="shared" si="125"/>
        <v>0</v>
      </c>
      <c r="CC3822" s="99"/>
      <c r="CV3822" s="99"/>
      <c r="CW3822" s="63"/>
    </row>
    <row r="3823" spans="1:101" x14ac:dyDescent="0.15">
      <c r="A3823" s="76">
        <v>3581</v>
      </c>
      <c r="B3823" s="74" t="s">
        <v>5148</v>
      </c>
      <c r="C3823" s="74">
        <v>997139536</v>
      </c>
      <c r="D3823" s="78" t="str">
        <f t="shared" si="126"/>
        <v>https://portal.dnb.de/opac.htm?method=simpleSearch&amp;cqlMode=true&amp;query=idn%3D997139536</v>
      </c>
      <c r="E3823" s="74" t="s">
        <v>5147</v>
      </c>
      <c r="F3823" s="74"/>
      <c r="G3823" s="76"/>
      <c r="H3823" s="77"/>
      <c r="I3823" s="76"/>
      <c r="J3823" s="77"/>
      <c r="K3823" s="77"/>
      <c r="L3823" s="76"/>
      <c r="M3823" s="76"/>
      <c r="N3823" s="76"/>
      <c r="O3823" s="76"/>
      <c r="P3823" s="76"/>
      <c r="Q3823" s="76"/>
      <c r="R3823" s="76"/>
      <c r="S3823" s="76"/>
      <c r="BD3823" s="99">
        <f t="shared" si="125"/>
        <v>0</v>
      </c>
      <c r="CC3823" s="99"/>
      <c r="CV3823" s="99"/>
      <c r="CW3823" s="63"/>
    </row>
    <row r="3824" spans="1:101" x14ac:dyDescent="0.15">
      <c r="A3824" s="76">
        <v>3582</v>
      </c>
      <c r="B3824" s="74" t="s">
        <v>5149</v>
      </c>
      <c r="C3824" s="74">
        <v>997138696</v>
      </c>
      <c r="D3824" s="78" t="str">
        <f t="shared" si="126"/>
        <v>https://portal.dnb.de/opac.htm?method=simpleSearch&amp;cqlMode=true&amp;query=idn%3D997138696</v>
      </c>
      <c r="E3824" s="74" t="s">
        <v>5147</v>
      </c>
      <c r="F3824" s="74"/>
      <c r="G3824" s="76"/>
      <c r="H3824" s="77"/>
      <c r="I3824" s="76"/>
      <c r="J3824" s="77"/>
      <c r="K3824" s="77"/>
      <c r="L3824" s="76"/>
      <c r="M3824" s="76"/>
      <c r="N3824" s="76"/>
      <c r="O3824" s="76"/>
      <c r="P3824" s="76"/>
      <c r="Q3824" s="76"/>
      <c r="R3824" s="76"/>
      <c r="S3824" s="76"/>
      <c r="BD3824" s="99">
        <f t="shared" si="125"/>
        <v>0</v>
      </c>
      <c r="CC3824" s="99"/>
      <c r="CV3824" s="99"/>
      <c r="CW3824" s="63"/>
    </row>
    <row r="3825" spans="1:101" x14ac:dyDescent="0.15">
      <c r="A3825" s="76">
        <v>3583</v>
      </c>
      <c r="B3825" s="74" t="s">
        <v>4892</v>
      </c>
      <c r="C3825" s="74">
        <v>1066935076</v>
      </c>
      <c r="D3825" s="78" t="str">
        <f t="shared" si="126"/>
        <v>https://portal.dnb.de/opac.htm?method=simpleSearch&amp;cqlMode=true&amp;query=idn%3D1066935076</v>
      </c>
      <c r="E3825" s="74" t="s">
        <v>4893</v>
      </c>
      <c r="F3825" s="74"/>
      <c r="G3825" s="76"/>
      <c r="H3825" s="77"/>
      <c r="I3825" s="76"/>
      <c r="J3825" s="77"/>
      <c r="K3825" s="77"/>
      <c r="L3825" s="76"/>
      <c r="M3825" s="76"/>
      <c r="N3825" s="76"/>
      <c r="O3825" s="76"/>
      <c r="P3825" s="76"/>
      <c r="Q3825" s="76"/>
      <c r="R3825" s="76"/>
      <c r="S3825" s="76"/>
      <c r="BD3825" s="99">
        <f t="shared" si="125"/>
        <v>0</v>
      </c>
      <c r="CC3825" s="99"/>
      <c r="CV3825" s="99"/>
      <c r="CW3825" s="63"/>
    </row>
    <row r="3826" spans="1:101" x14ac:dyDescent="0.15">
      <c r="A3826" s="76">
        <v>3584</v>
      </c>
      <c r="B3826" s="74" t="s">
        <v>4981</v>
      </c>
      <c r="C3826" s="74">
        <v>1132652928</v>
      </c>
      <c r="D3826" s="78" t="str">
        <f t="shared" si="126"/>
        <v>https://portal.dnb.de/opac.htm?method=simpleSearch&amp;cqlMode=true&amp;query=idn%3D1132652928</v>
      </c>
      <c r="E3826" s="74" t="s">
        <v>4982</v>
      </c>
      <c r="F3826" s="74"/>
      <c r="G3826" s="76"/>
      <c r="H3826" s="77"/>
      <c r="I3826" s="76"/>
      <c r="J3826" s="77"/>
      <c r="K3826" s="77"/>
      <c r="L3826" s="76"/>
      <c r="M3826" s="76"/>
      <c r="N3826" s="76"/>
      <c r="O3826" s="76"/>
      <c r="P3826" s="76"/>
      <c r="Q3826" s="76"/>
      <c r="R3826" s="76"/>
      <c r="S3826" s="76"/>
      <c r="BD3826" s="99">
        <f t="shared" si="125"/>
        <v>0</v>
      </c>
      <c r="CC3826" s="99"/>
      <c r="CV3826" s="99"/>
      <c r="CW3826" s="63"/>
    </row>
    <row r="3827" spans="1:101" x14ac:dyDescent="0.15">
      <c r="A3827" s="76">
        <v>3585</v>
      </c>
      <c r="B3827" s="74" t="s">
        <v>5067</v>
      </c>
      <c r="C3827" s="74">
        <v>1066938164</v>
      </c>
      <c r="D3827" s="78" t="str">
        <f t="shared" si="126"/>
        <v>https://portal.dnb.de/opac.htm?method=simpleSearch&amp;cqlMode=true&amp;query=idn%3D1066938164</v>
      </c>
      <c r="E3827" s="74" t="s">
        <v>5068</v>
      </c>
      <c r="F3827" s="74"/>
      <c r="G3827" s="76"/>
      <c r="H3827" s="77"/>
      <c r="I3827" s="76"/>
      <c r="J3827" s="77"/>
      <c r="K3827" s="77"/>
      <c r="L3827" s="76"/>
      <c r="M3827" s="76"/>
      <c r="N3827" s="76"/>
      <c r="O3827" s="76"/>
      <c r="P3827" s="76"/>
      <c r="Q3827" s="76"/>
      <c r="R3827" s="76"/>
      <c r="S3827" s="76"/>
      <c r="BD3827" s="99">
        <f t="shared" si="125"/>
        <v>0</v>
      </c>
      <c r="CC3827" s="99"/>
      <c r="CV3827" s="99"/>
      <c r="CW3827" s="63"/>
    </row>
    <row r="3828" spans="1:101" x14ac:dyDescent="0.15">
      <c r="A3828" s="76">
        <v>3586</v>
      </c>
      <c r="B3828" s="74" t="s">
        <v>5108</v>
      </c>
      <c r="C3828" s="74">
        <v>1066935327</v>
      </c>
      <c r="D3828" s="78" t="str">
        <f t="shared" si="126"/>
        <v>https://portal.dnb.de/opac.htm?method=simpleSearch&amp;cqlMode=true&amp;query=idn%3D1066935327</v>
      </c>
      <c r="E3828" s="74" t="s">
        <v>5109</v>
      </c>
      <c r="F3828" s="74"/>
      <c r="G3828" s="76"/>
      <c r="H3828" s="77"/>
      <c r="I3828" s="76"/>
      <c r="J3828" s="77"/>
      <c r="K3828" s="77"/>
      <c r="L3828" s="76"/>
      <c r="M3828" s="76"/>
      <c r="N3828" s="76"/>
      <c r="O3828" s="76"/>
      <c r="P3828" s="76"/>
      <c r="Q3828" s="76"/>
      <c r="R3828" s="76"/>
      <c r="S3828" s="76"/>
      <c r="BD3828" s="99">
        <f t="shared" si="125"/>
        <v>0</v>
      </c>
      <c r="CC3828" s="99"/>
      <c r="CV3828" s="99"/>
      <c r="CW3828" s="63"/>
    </row>
    <row r="3829" spans="1:101" x14ac:dyDescent="0.15">
      <c r="A3829" s="76">
        <v>3587</v>
      </c>
      <c r="B3829" s="74" t="s">
        <v>5143</v>
      </c>
      <c r="C3829" s="74">
        <v>1066932654</v>
      </c>
      <c r="D3829" s="78" t="str">
        <f t="shared" si="126"/>
        <v>https://portal.dnb.de/opac.htm?method=simpleSearch&amp;cqlMode=true&amp;query=idn%3D1066932654</v>
      </c>
      <c r="E3829" s="74" t="s">
        <v>5144</v>
      </c>
      <c r="F3829" s="74"/>
      <c r="G3829" s="76"/>
      <c r="H3829" s="77"/>
      <c r="I3829" s="76"/>
      <c r="J3829" s="77"/>
      <c r="K3829" s="77"/>
      <c r="L3829" s="76"/>
      <c r="M3829" s="76"/>
      <c r="N3829" s="76"/>
      <c r="O3829" s="76"/>
      <c r="P3829" s="76"/>
      <c r="Q3829" s="76"/>
      <c r="R3829" s="76"/>
      <c r="S3829" s="76"/>
      <c r="BD3829" s="99">
        <f t="shared" si="125"/>
        <v>0</v>
      </c>
      <c r="CC3829" s="99"/>
      <c r="CV3829" s="99"/>
      <c r="CW3829" s="63"/>
    </row>
    <row r="3830" spans="1:101" x14ac:dyDescent="0.15">
      <c r="A3830" s="76">
        <v>3588</v>
      </c>
      <c r="B3830" s="74" t="s">
        <v>5206</v>
      </c>
      <c r="C3830" s="74">
        <v>1132645433</v>
      </c>
      <c r="D3830" s="78" t="str">
        <f t="shared" si="126"/>
        <v>https://portal.dnb.de/opac.htm?method=simpleSearch&amp;cqlMode=true&amp;query=idn%3D1132645433</v>
      </c>
      <c r="E3830" s="74" t="s">
        <v>5207</v>
      </c>
      <c r="F3830" s="74"/>
      <c r="G3830" s="76"/>
      <c r="H3830" s="77"/>
      <c r="I3830" s="76"/>
      <c r="J3830" s="77"/>
      <c r="K3830" s="77"/>
      <c r="L3830" s="76"/>
      <c r="M3830" s="76"/>
      <c r="N3830" s="76"/>
      <c r="O3830" s="76"/>
      <c r="P3830" s="76"/>
      <c r="Q3830" s="76"/>
      <c r="R3830" s="76"/>
      <c r="S3830" s="76"/>
      <c r="BD3830" s="99">
        <f t="shared" si="125"/>
        <v>0</v>
      </c>
      <c r="CC3830" s="99"/>
      <c r="CV3830" s="99"/>
      <c r="CW3830" s="63"/>
    </row>
    <row r="3831" spans="1:101" ht="112.5" x14ac:dyDescent="0.15">
      <c r="A3831" s="76">
        <v>3589</v>
      </c>
      <c r="B3831" s="74" t="s">
        <v>5208</v>
      </c>
      <c r="C3831" s="74">
        <v>1132645417</v>
      </c>
      <c r="D3831" s="78" t="str">
        <f t="shared" si="126"/>
        <v>https://portal.dnb.de/opac.htm?method=simpleSearch&amp;cqlMode=true&amp;query=idn%3D1132645417</v>
      </c>
      <c r="E3831" s="74" t="s">
        <v>10461</v>
      </c>
      <c r="F3831" s="74"/>
      <c r="G3831" s="76"/>
      <c r="H3831" s="77"/>
      <c r="I3831" s="76" t="s">
        <v>55</v>
      </c>
      <c r="J3831" s="77"/>
      <c r="K3831" s="77"/>
      <c r="L3831" s="76"/>
      <c r="M3831" s="76"/>
      <c r="N3831" s="76"/>
      <c r="O3831" s="76"/>
      <c r="P3831" s="76"/>
      <c r="Q3831" s="76"/>
      <c r="R3831" s="76"/>
      <c r="S3831" s="76"/>
      <c r="Y3831" s="95" t="s">
        <v>9723</v>
      </c>
      <c r="AB3831" s="95" t="s">
        <v>8541</v>
      </c>
      <c r="AC3831" s="95" t="s">
        <v>9724</v>
      </c>
      <c r="AI3831" s="95" t="s">
        <v>9725</v>
      </c>
      <c r="AW3831" s="95">
        <v>60</v>
      </c>
      <c r="BC3831" s="96" t="s">
        <v>9726</v>
      </c>
      <c r="BD3831" s="99">
        <f t="shared" si="125"/>
        <v>6</v>
      </c>
      <c r="BJ3831" s="95" t="s">
        <v>9741</v>
      </c>
      <c r="BK3831" s="95" t="s">
        <v>8541</v>
      </c>
      <c r="BL3831" s="70" t="s">
        <v>10463</v>
      </c>
      <c r="BP3831" s="69" t="s">
        <v>8541</v>
      </c>
      <c r="BR3831" s="95" t="s">
        <v>8541</v>
      </c>
      <c r="BT3831" s="95" t="s">
        <v>9772</v>
      </c>
      <c r="BU3831" s="95">
        <v>6</v>
      </c>
      <c r="CA3831" s="95" t="s">
        <v>9911</v>
      </c>
      <c r="CB3831" s="95" t="s">
        <v>9882</v>
      </c>
      <c r="CC3831" s="99">
        <v>6</v>
      </c>
      <c r="CD3831" s="90" t="s">
        <v>10462</v>
      </c>
      <c r="CV3831" s="99"/>
      <c r="CW3831" s="63"/>
    </row>
    <row r="3832" spans="1:101" x14ac:dyDescent="0.15">
      <c r="A3832" s="76">
        <v>3590</v>
      </c>
      <c r="B3832" s="74" t="s">
        <v>5209</v>
      </c>
      <c r="C3832" s="74">
        <v>1132645425</v>
      </c>
      <c r="D3832" s="78" t="str">
        <f t="shared" si="126"/>
        <v>https://portal.dnb.de/opac.htm?method=simpleSearch&amp;cqlMode=true&amp;query=idn%3D1132645425</v>
      </c>
      <c r="E3832" s="74" t="s">
        <v>5207</v>
      </c>
      <c r="F3832" s="74"/>
      <c r="G3832" s="76"/>
      <c r="H3832" s="77"/>
      <c r="I3832" s="76"/>
      <c r="J3832" s="77"/>
      <c r="K3832" s="77"/>
      <c r="L3832" s="76"/>
      <c r="M3832" s="76"/>
      <c r="N3832" s="76"/>
      <c r="O3832" s="76"/>
      <c r="P3832" s="76"/>
      <c r="Q3832" s="76"/>
      <c r="R3832" s="76"/>
      <c r="S3832" s="76"/>
      <c r="BD3832" s="99">
        <f t="shared" si="125"/>
        <v>0</v>
      </c>
      <c r="CC3832" s="99"/>
      <c r="CV3832" s="99"/>
      <c r="CW3832" s="63"/>
    </row>
    <row r="3833" spans="1:101" x14ac:dyDescent="0.15">
      <c r="A3833" s="76">
        <v>3591</v>
      </c>
      <c r="B3833" s="74" t="s">
        <v>5241</v>
      </c>
      <c r="C3833" s="74">
        <v>1066874069</v>
      </c>
      <c r="D3833" s="78" t="str">
        <f t="shared" si="126"/>
        <v>https://portal.dnb.de/opac.htm?method=simpleSearch&amp;cqlMode=true&amp;query=idn%3D1066874069</v>
      </c>
      <c r="E3833" s="74" t="s">
        <v>5242</v>
      </c>
      <c r="F3833" s="74"/>
      <c r="G3833" s="76"/>
      <c r="H3833" s="77"/>
      <c r="I3833" s="76"/>
      <c r="J3833" s="77"/>
      <c r="K3833" s="77"/>
      <c r="L3833" s="76"/>
      <c r="M3833" s="76"/>
      <c r="N3833" s="76"/>
      <c r="O3833" s="76"/>
      <c r="P3833" s="76"/>
      <c r="Q3833" s="76"/>
      <c r="R3833" s="76"/>
      <c r="S3833" s="76"/>
      <c r="BD3833" s="99">
        <f t="shared" si="125"/>
        <v>0</v>
      </c>
      <c r="CC3833" s="99"/>
      <c r="CV3833" s="99"/>
      <c r="CW3833" s="63"/>
    </row>
    <row r="3834" spans="1:101" ht="33.75" x14ac:dyDescent="0.15">
      <c r="A3834" s="76">
        <v>3592</v>
      </c>
      <c r="B3834" s="74" t="s">
        <v>5282</v>
      </c>
      <c r="C3834" s="74">
        <v>1066865566</v>
      </c>
      <c r="D3834" s="78" t="str">
        <f t="shared" si="126"/>
        <v>https://portal.dnb.de/opac.htm?method=simpleSearch&amp;cqlMode=true&amp;query=idn%3D1066865566</v>
      </c>
      <c r="E3834" s="74" t="s">
        <v>5283</v>
      </c>
      <c r="F3834" s="74"/>
      <c r="G3834" s="76"/>
      <c r="H3834" s="77"/>
      <c r="I3834" s="76" t="s">
        <v>53</v>
      </c>
      <c r="J3834" s="77"/>
      <c r="K3834" s="77"/>
      <c r="L3834" s="76"/>
      <c r="M3834" s="76"/>
      <c r="N3834" s="76"/>
      <c r="O3834" s="76"/>
      <c r="P3834" s="76"/>
      <c r="Q3834" s="76"/>
      <c r="R3834" s="76"/>
      <c r="S3834" s="76"/>
      <c r="Y3834" s="95" t="s">
        <v>9723</v>
      </c>
      <c r="AC3834" s="95" t="s">
        <v>9724</v>
      </c>
      <c r="AI3834" s="95" t="s">
        <v>9725</v>
      </c>
      <c r="AU3834" s="95">
        <v>4</v>
      </c>
      <c r="AV3834" s="95" t="s">
        <v>8541</v>
      </c>
      <c r="AW3834" s="95">
        <v>45</v>
      </c>
      <c r="BC3834" s="96" t="s">
        <v>9726</v>
      </c>
      <c r="BD3834" s="99">
        <f t="shared" si="125"/>
        <v>3.5</v>
      </c>
      <c r="BF3834" s="95" t="s">
        <v>10005</v>
      </c>
      <c r="BM3834" s="69" t="s">
        <v>10008</v>
      </c>
      <c r="BP3834" s="69" t="s">
        <v>8541</v>
      </c>
      <c r="BQ3834" s="95" t="s">
        <v>8541</v>
      </c>
      <c r="BR3834" s="95" t="s">
        <v>8541</v>
      </c>
      <c r="BT3834" s="95" t="s">
        <v>9775</v>
      </c>
      <c r="CB3834" s="95" t="s">
        <v>9818</v>
      </c>
      <c r="CC3834" s="99">
        <v>2</v>
      </c>
      <c r="CD3834" s="90" t="s">
        <v>10182</v>
      </c>
      <c r="CI3834" s="95" t="s">
        <v>8541</v>
      </c>
      <c r="CL3834" s="95" t="s">
        <v>8541</v>
      </c>
      <c r="CV3834" s="99">
        <v>1.5</v>
      </c>
      <c r="CW3834" s="63"/>
    </row>
    <row r="3835" spans="1:101" x14ac:dyDescent="0.15">
      <c r="A3835" s="76">
        <v>3593</v>
      </c>
      <c r="B3835" s="74" t="s">
        <v>5321</v>
      </c>
      <c r="C3835" s="74" t="s">
        <v>5322</v>
      </c>
      <c r="D3835" s="78" t="str">
        <f t="shared" si="126"/>
        <v>https://portal.dnb.de/opac.htm?method=simpleSearch&amp;cqlMode=true&amp;query=idn%3D106676042X</v>
      </c>
      <c r="E3835" s="74" t="s">
        <v>5323</v>
      </c>
      <c r="F3835" s="74"/>
      <c r="G3835" s="76"/>
      <c r="H3835" s="77"/>
      <c r="I3835" s="76"/>
      <c r="J3835" s="77"/>
      <c r="K3835" s="77"/>
      <c r="L3835" s="76"/>
      <c r="M3835" s="76"/>
      <c r="N3835" s="76"/>
      <c r="O3835" s="76"/>
      <c r="P3835" s="76"/>
      <c r="Q3835" s="76"/>
      <c r="R3835" s="76"/>
      <c r="S3835" s="76"/>
      <c r="BD3835" s="99">
        <f t="shared" si="125"/>
        <v>0</v>
      </c>
      <c r="CC3835" s="99"/>
      <c r="CV3835" s="99"/>
      <c r="CW3835" s="63"/>
    </row>
    <row r="3836" spans="1:101" x14ac:dyDescent="0.15">
      <c r="A3836" s="76">
        <v>3594</v>
      </c>
      <c r="B3836" s="74" t="s">
        <v>4894</v>
      </c>
      <c r="C3836" s="74">
        <v>1066933413</v>
      </c>
      <c r="D3836" s="78" t="str">
        <f t="shared" si="126"/>
        <v>https://portal.dnb.de/opac.htm?method=simpleSearch&amp;cqlMode=true&amp;query=idn%3D1066933413</v>
      </c>
      <c r="E3836" s="74" t="s">
        <v>4895</v>
      </c>
      <c r="F3836" s="74"/>
      <c r="G3836" s="76"/>
      <c r="H3836" s="77"/>
      <c r="I3836" s="76"/>
      <c r="J3836" s="77"/>
      <c r="K3836" s="77"/>
      <c r="L3836" s="76"/>
      <c r="M3836" s="76"/>
      <c r="N3836" s="76"/>
      <c r="O3836" s="76"/>
      <c r="P3836" s="76"/>
      <c r="Q3836" s="76"/>
      <c r="R3836" s="76"/>
      <c r="S3836" s="76"/>
      <c r="BD3836" s="99">
        <f t="shared" si="125"/>
        <v>0</v>
      </c>
      <c r="CC3836" s="99"/>
      <c r="CV3836" s="99"/>
      <c r="CW3836" s="63"/>
    </row>
    <row r="3837" spans="1:101" x14ac:dyDescent="0.15">
      <c r="A3837" s="76">
        <v>3595</v>
      </c>
      <c r="B3837" s="74" t="s">
        <v>4932</v>
      </c>
      <c r="C3837" s="74">
        <v>1066938091</v>
      </c>
      <c r="D3837" s="78" t="str">
        <f t="shared" si="126"/>
        <v>https://portal.dnb.de/opac.htm?method=simpleSearch&amp;cqlMode=true&amp;query=idn%3D1066938091</v>
      </c>
      <c r="E3837" s="74" t="s">
        <v>4933</v>
      </c>
      <c r="F3837" s="74"/>
      <c r="G3837" s="76"/>
      <c r="H3837" s="77"/>
      <c r="I3837" s="76"/>
      <c r="J3837" s="77"/>
      <c r="K3837" s="77"/>
      <c r="L3837" s="76"/>
      <c r="M3837" s="76"/>
      <c r="N3837" s="76"/>
      <c r="O3837" s="76"/>
      <c r="P3837" s="76"/>
      <c r="Q3837" s="76"/>
      <c r="R3837" s="76"/>
      <c r="S3837" s="76"/>
      <c r="BD3837" s="99">
        <f t="shared" si="125"/>
        <v>0</v>
      </c>
      <c r="CC3837" s="99"/>
      <c r="CV3837" s="99"/>
      <c r="CW3837" s="63"/>
    </row>
    <row r="3838" spans="1:101" x14ac:dyDescent="0.15">
      <c r="A3838" s="76">
        <v>3596</v>
      </c>
      <c r="B3838" s="74" t="s">
        <v>4937</v>
      </c>
      <c r="C3838" s="74">
        <v>994060807</v>
      </c>
      <c r="D3838" s="78" t="str">
        <f t="shared" si="126"/>
        <v>https://portal.dnb.de/opac.htm?method=simpleSearch&amp;cqlMode=true&amp;query=idn%3D994060807</v>
      </c>
      <c r="E3838" s="74" t="s">
        <v>4938</v>
      </c>
      <c r="F3838" s="74"/>
      <c r="G3838" s="76"/>
      <c r="H3838" s="77"/>
      <c r="I3838" s="76"/>
      <c r="J3838" s="77"/>
      <c r="K3838" s="77"/>
      <c r="L3838" s="76"/>
      <c r="M3838" s="76"/>
      <c r="N3838" s="76"/>
      <c r="O3838" s="76"/>
      <c r="P3838" s="76"/>
      <c r="Q3838" s="76"/>
      <c r="R3838" s="76"/>
      <c r="S3838" s="76"/>
      <c r="BD3838" s="99">
        <f t="shared" si="125"/>
        <v>0</v>
      </c>
      <c r="CC3838" s="99"/>
      <c r="CV3838" s="99"/>
      <c r="CW3838" s="63"/>
    </row>
    <row r="3839" spans="1:101" ht="56.25" x14ac:dyDescent="0.15">
      <c r="A3839" s="76">
        <v>3597</v>
      </c>
      <c r="B3839" s="74" t="s">
        <v>4939</v>
      </c>
      <c r="C3839" s="74">
        <v>1066800413</v>
      </c>
      <c r="D3839" s="78" t="str">
        <f t="shared" si="126"/>
        <v>https://portal.dnb.de/opac.htm?method=simpleSearch&amp;cqlMode=true&amp;query=idn%3D1066800413</v>
      </c>
      <c r="E3839" s="74" t="s">
        <v>4940</v>
      </c>
      <c r="F3839" s="74"/>
      <c r="G3839" s="76"/>
      <c r="H3839" s="77"/>
      <c r="I3839" s="76" t="s">
        <v>54</v>
      </c>
      <c r="J3839" s="77"/>
      <c r="K3839" s="77"/>
      <c r="L3839" s="76"/>
      <c r="M3839" s="76"/>
      <c r="N3839" s="76"/>
      <c r="O3839" s="76"/>
      <c r="P3839" s="76"/>
      <c r="Q3839" s="76"/>
      <c r="R3839" s="76"/>
      <c r="S3839" s="76"/>
      <c r="Y3839" s="95" t="s">
        <v>9723</v>
      </c>
      <c r="AC3839" s="95" t="s">
        <v>9724</v>
      </c>
      <c r="AI3839" s="95" t="s">
        <v>9725</v>
      </c>
      <c r="AW3839" s="95">
        <v>60</v>
      </c>
      <c r="BC3839" s="96" t="s">
        <v>9726</v>
      </c>
      <c r="BD3839" s="99">
        <f t="shared" si="125"/>
        <v>8.5</v>
      </c>
      <c r="BF3839" s="95" t="s">
        <v>10005</v>
      </c>
      <c r="BP3839" s="69" t="s">
        <v>8541</v>
      </c>
      <c r="BQ3839" s="95" t="s">
        <v>8541</v>
      </c>
      <c r="BR3839" s="95" t="s">
        <v>8541</v>
      </c>
      <c r="BT3839" s="95" t="s">
        <v>9737</v>
      </c>
      <c r="BU3839" s="95">
        <v>6</v>
      </c>
      <c r="CA3839" s="95" t="s">
        <v>9912</v>
      </c>
      <c r="CC3839" s="99">
        <v>5.5</v>
      </c>
      <c r="CD3839" s="90" t="s">
        <v>10464</v>
      </c>
      <c r="CE3839" s="95" t="s">
        <v>8541</v>
      </c>
      <c r="CP3839" s="95" t="s">
        <v>8541</v>
      </c>
      <c r="CV3839" s="99">
        <v>3</v>
      </c>
      <c r="CW3839" s="90" t="s">
        <v>10465</v>
      </c>
    </row>
    <row r="3840" spans="1:101" x14ac:dyDescent="0.15">
      <c r="A3840" s="76">
        <v>3598</v>
      </c>
      <c r="B3840" s="74" t="s">
        <v>4945</v>
      </c>
      <c r="C3840" s="74" t="s">
        <v>4946</v>
      </c>
      <c r="D3840" s="78" t="str">
        <f t="shared" si="126"/>
        <v>https://portal.dnb.de/opac.htm?method=simpleSearch&amp;cqlMode=true&amp;query=idn%3D106676333X</v>
      </c>
      <c r="E3840" s="74" t="s">
        <v>4947</v>
      </c>
      <c r="F3840" s="74"/>
      <c r="G3840" s="76"/>
      <c r="H3840" s="77"/>
      <c r="I3840" s="76"/>
      <c r="J3840" s="77"/>
      <c r="K3840" s="77"/>
      <c r="L3840" s="76"/>
      <c r="M3840" s="76"/>
      <c r="N3840" s="76"/>
      <c r="O3840" s="76"/>
      <c r="P3840" s="76"/>
      <c r="Q3840" s="76"/>
      <c r="R3840" s="76"/>
      <c r="S3840" s="76"/>
      <c r="BD3840" s="99">
        <f t="shared" si="125"/>
        <v>0</v>
      </c>
      <c r="CC3840" s="99"/>
      <c r="CV3840" s="99"/>
      <c r="CW3840" s="63"/>
    </row>
    <row r="3841" spans="1:101" x14ac:dyDescent="0.15">
      <c r="A3841" s="76">
        <v>3599</v>
      </c>
      <c r="B3841" s="74" t="s">
        <v>4961</v>
      </c>
      <c r="C3841" s="74">
        <v>1004444842</v>
      </c>
      <c r="D3841" s="78" t="str">
        <f t="shared" si="126"/>
        <v>https://portal.dnb.de/opac.htm?method=simpleSearch&amp;cqlMode=true&amp;query=idn%3D1004444842</v>
      </c>
      <c r="E3841" s="74" t="s">
        <v>4962</v>
      </c>
      <c r="F3841" s="74"/>
      <c r="G3841" s="76"/>
      <c r="H3841" s="77"/>
      <c r="I3841" s="76"/>
      <c r="J3841" s="77"/>
      <c r="K3841" s="77"/>
      <c r="L3841" s="76"/>
      <c r="M3841" s="76"/>
      <c r="N3841" s="76"/>
      <c r="O3841" s="76"/>
      <c r="P3841" s="76"/>
      <c r="Q3841" s="76"/>
      <c r="R3841" s="76"/>
      <c r="S3841" s="76"/>
      <c r="BD3841" s="99">
        <f t="shared" si="125"/>
        <v>0</v>
      </c>
      <c r="CC3841" s="99"/>
      <c r="CV3841" s="99"/>
      <c r="CW3841" s="63"/>
    </row>
    <row r="3842" spans="1:101" x14ac:dyDescent="0.15">
      <c r="A3842" s="76"/>
      <c r="B3842" s="74"/>
      <c r="C3842" s="74"/>
      <c r="D3842" s="78"/>
      <c r="E3842" s="74" t="s">
        <v>9816</v>
      </c>
      <c r="F3842" s="74"/>
      <c r="G3842" s="76"/>
      <c r="H3842" s="77"/>
      <c r="I3842" s="76" t="s">
        <v>56</v>
      </c>
      <c r="J3842" s="77"/>
      <c r="K3842" s="77"/>
      <c r="L3842" s="76"/>
      <c r="M3842" s="76"/>
      <c r="N3842" s="76"/>
      <c r="O3842" s="76"/>
      <c r="P3842" s="76"/>
      <c r="Q3842" s="76"/>
      <c r="R3842" s="76"/>
      <c r="S3842" s="76"/>
      <c r="U3842" s="95" t="s">
        <v>9819</v>
      </c>
      <c r="Y3842" s="95" t="s">
        <v>9723</v>
      </c>
      <c r="AC3842" s="95" t="s">
        <v>9724</v>
      </c>
      <c r="AI3842" s="95" t="s">
        <v>9725</v>
      </c>
      <c r="AP3842" s="95" t="s">
        <v>8541</v>
      </c>
      <c r="AR3842" s="95" t="s">
        <v>8541</v>
      </c>
      <c r="AT3842" s="95" t="s">
        <v>8541</v>
      </c>
      <c r="AW3842" s="95">
        <v>110</v>
      </c>
      <c r="BC3842" s="96" t="s">
        <v>9734</v>
      </c>
      <c r="BD3842" s="99">
        <f t="shared" si="125"/>
        <v>0</v>
      </c>
      <c r="BJ3842" s="95" t="s">
        <v>9741</v>
      </c>
      <c r="BK3842" s="95" t="s">
        <v>8541</v>
      </c>
      <c r="CC3842" s="99"/>
      <c r="CV3842" s="99"/>
      <c r="CW3842" s="63"/>
    </row>
    <row r="3843" spans="1:101" x14ac:dyDescent="0.15">
      <c r="A3843" s="76"/>
      <c r="B3843" s="74"/>
      <c r="C3843" s="74"/>
      <c r="D3843" s="78"/>
      <c r="E3843" s="74" t="s">
        <v>9815</v>
      </c>
      <c r="F3843" s="74"/>
      <c r="G3843" s="76"/>
      <c r="H3843" s="77"/>
      <c r="I3843" s="76" t="s">
        <v>56</v>
      </c>
      <c r="J3843" s="77"/>
      <c r="K3843" s="77"/>
      <c r="L3843" s="76"/>
      <c r="M3843" s="76"/>
      <c r="N3843" s="76"/>
      <c r="O3843" s="76"/>
      <c r="P3843" s="76"/>
      <c r="Q3843" s="76"/>
      <c r="R3843" s="76"/>
      <c r="S3843" s="76"/>
      <c r="U3843" s="95" t="s">
        <v>9817</v>
      </c>
      <c r="Y3843" s="95" t="s">
        <v>9723</v>
      </c>
      <c r="AC3843" s="95" t="s">
        <v>9724</v>
      </c>
      <c r="AI3843" s="95" t="s">
        <v>9725</v>
      </c>
      <c r="AP3843" s="95" t="s">
        <v>8541</v>
      </c>
      <c r="AR3843" s="95" t="s">
        <v>8541</v>
      </c>
      <c r="AT3843" s="95" t="s">
        <v>8541</v>
      </c>
      <c r="AW3843" s="95">
        <v>110</v>
      </c>
      <c r="BC3843" s="96" t="s">
        <v>9726</v>
      </c>
      <c r="BD3843" s="99">
        <f t="shared" ref="BD3843:BD3906" si="127">CC3843+CV3843</f>
        <v>8</v>
      </c>
      <c r="BJ3843" s="95" t="s">
        <v>9741</v>
      </c>
      <c r="BK3843" s="95" t="s">
        <v>8541</v>
      </c>
      <c r="BQ3843" s="95" t="s">
        <v>8541</v>
      </c>
      <c r="BT3843" s="95" t="s">
        <v>9772</v>
      </c>
      <c r="CB3843" s="95" t="s">
        <v>9818</v>
      </c>
      <c r="CC3843" s="99">
        <v>8</v>
      </c>
      <c r="CV3843" s="99"/>
      <c r="CW3843" s="63"/>
    </row>
    <row r="3844" spans="1:101" x14ac:dyDescent="0.15">
      <c r="A3844" s="76">
        <v>3600</v>
      </c>
      <c r="B3844" s="74" t="s">
        <v>4965</v>
      </c>
      <c r="C3844" s="74">
        <v>1066940150</v>
      </c>
      <c r="D3844" s="78" t="str">
        <f t="shared" si="126"/>
        <v>https://portal.dnb.de/opac.htm?method=simpleSearch&amp;cqlMode=true&amp;query=idn%3D1066940150</v>
      </c>
      <c r="E3844" s="74" t="s">
        <v>4966</v>
      </c>
      <c r="F3844" s="74"/>
      <c r="G3844" s="76"/>
      <c r="H3844" s="77"/>
      <c r="I3844" s="76"/>
      <c r="J3844" s="77"/>
      <c r="K3844" s="77"/>
      <c r="L3844" s="76"/>
      <c r="M3844" s="76"/>
      <c r="N3844" s="76"/>
      <c r="O3844" s="76"/>
      <c r="P3844" s="76"/>
      <c r="Q3844" s="76"/>
      <c r="R3844" s="76"/>
      <c r="S3844" s="76"/>
      <c r="BD3844" s="99">
        <f t="shared" si="127"/>
        <v>0</v>
      </c>
      <c r="CC3844" s="99"/>
      <c r="CV3844" s="99"/>
      <c r="CW3844" s="63"/>
    </row>
    <row r="3845" spans="1:101" x14ac:dyDescent="0.15">
      <c r="A3845" s="76">
        <v>3601</v>
      </c>
      <c r="B3845" s="74" t="s">
        <v>4970</v>
      </c>
      <c r="C3845" s="74">
        <v>995921237</v>
      </c>
      <c r="D3845" s="78" t="str">
        <f t="shared" si="126"/>
        <v>https://portal.dnb.de/opac.htm?method=simpleSearch&amp;cqlMode=true&amp;query=idn%3D995921237</v>
      </c>
      <c r="E3845" s="74" t="s">
        <v>4971</v>
      </c>
      <c r="F3845" s="74"/>
      <c r="G3845" s="76"/>
      <c r="H3845" s="77"/>
      <c r="I3845" s="76"/>
      <c r="J3845" s="77"/>
      <c r="K3845" s="77"/>
      <c r="L3845" s="76"/>
      <c r="M3845" s="76"/>
      <c r="N3845" s="76"/>
      <c r="O3845" s="76"/>
      <c r="P3845" s="76"/>
      <c r="Q3845" s="76"/>
      <c r="R3845" s="76"/>
      <c r="S3845" s="76"/>
      <c r="BD3845" s="99">
        <f t="shared" si="127"/>
        <v>0</v>
      </c>
      <c r="CC3845" s="99"/>
      <c r="CV3845" s="99"/>
      <c r="CW3845" s="63"/>
    </row>
    <row r="3846" spans="1:101" x14ac:dyDescent="0.15">
      <c r="A3846" s="76">
        <v>3602</v>
      </c>
      <c r="B3846" s="74" t="s">
        <v>4972</v>
      </c>
      <c r="C3846" s="74">
        <v>994005059</v>
      </c>
      <c r="D3846" s="78" t="str">
        <f t="shared" si="126"/>
        <v>https://portal.dnb.de/opac.htm?method=simpleSearch&amp;cqlMode=true&amp;query=idn%3D994005059</v>
      </c>
      <c r="E3846" s="74" t="s">
        <v>4971</v>
      </c>
      <c r="F3846" s="74"/>
      <c r="G3846" s="76"/>
      <c r="H3846" s="77"/>
      <c r="I3846" s="76"/>
      <c r="J3846" s="77"/>
      <c r="K3846" s="77"/>
      <c r="L3846" s="76"/>
      <c r="M3846" s="76"/>
      <c r="N3846" s="76"/>
      <c r="O3846" s="76"/>
      <c r="P3846" s="76"/>
      <c r="Q3846" s="76"/>
      <c r="R3846" s="76"/>
      <c r="S3846" s="76"/>
      <c r="BD3846" s="99">
        <f t="shared" si="127"/>
        <v>0</v>
      </c>
      <c r="CC3846" s="99"/>
      <c r="CV3846" s="99"/>
      <c r="CW3846" s="63"/>
    </row>
    <row r="3847" spans="1:101" ht="22.5" x14ac:dyDescent="0.15">
      <c r="A3847" s="76">
        <v>3603</v>
      </c>
      <c r="B3847" s="74" t="s">
        <v>4973</v>
      </c>
      <c r="C3847" s="74">
        <v>1066940444</v>
      </c>
      <c r="D3847" s="78" t="str">
        <f t="shared" si="126"/>
        <v>https://portal.dnb.de/opac.htm?method=simpleSearch&amp;cqlMode=true&amp;query=idn%3D1066940444</v>
      </c>
      <c r="E3847" s="74" t="s">
        <v>4974</v>
      </c>
      <c r="F3847" s="74"/>
      <c r="G3847" s="76"/>
      <c r="H3847" s="77"/>
      <c r="I3847" s="76" t="s">
        <v>56</v>
      </c>
      <c r="J3847" s="77"/>
      <c r="K3847" s="77"/>
      <c r="L3847" s="76"/>
      <c r="M3847" s="76"/>
      <c r="N3847" s="76"/>
      <c r="O3847" s="76"/>
      <c r="P3847" s="76"/>
      <c r="Q3847" s="76"/>
      <c r="R3847" s="76"/>
      <c r="S3847" s="76"/>
      <c r="U3847" s="95" t="s">
        <v>9783</v>
      </c>
      <c r="Y3847" s="95" t="s">
        <v>9723</v>
      </c>
      <c r="AC3847" s="95" t="s">
        <v>9724</v>
      </c>
      <c r="AI3847" s="95" t="s">
        <v>9725</v>
      </c>
      <c r="AP3847" s="95" t="s">
        <v>8541</v>
      </c>
      <c r="AQ3847" s="96" t="s">
        <v>9784</v>
      </c>
      <c r="AR3847" s="95" t="s">
        <v>8541</v>
      </c>
      <c r="AW3847" s="95" t="s">
        <v>9733</v>
      </c>
      <c r="BC3847" s="96" t="s">
        <v>9726</v>
      </c>
      <c r="BD3847" s="99">
        <f t="shared" si="127"/>
        <v>12</v>
      </c>
      <c r="BJ3847" s="95" t="s">
        <v>9741</v>
      </c>
      <c r="BK3847" s="95" t="s">
        <v>8541</v>
      </c>
      <c r="BQ3847" s="95" t="s">
        <v>8541</v>
      </c>
      <c r="BR3847" s="95" t="s">
        <v>8541</v>
      </c>
      <c r="BT3847" s="95" t="s">
        <v>9772</v>
      </c>
      <c r="BU3847" s="95">
        <v>10</v>
      </c>
      <c r="CC3847" s="99">
        <v>9</v>
      </c>
      <c r="CD3847" s="90" t="s">
        <v>9785</v>
      </c>
      <c r="CE3847" s="95" t="s">
        <v>8541</v>
      </c>
      <c r="CL3847" s="95" t="s">
        <v>8541</v>
      </c>
      <c r="CV3847" s="99">
        <v>3</v>
      </c>
      <c r="CW3847" s="63"/>
    </row>
    <row r="3848" spans="1:101" ht="45" x14ac:dyDescent="0.15">
      <c r="A3848" s="76">
        <v>3604</v>
      </c>
      <c r="B3848" s="74" t="s">
        <v>4975</v>
      </c>
      <c r="C3848" s="74">
        <v>1066835632</v>
      </c>
      <c r="D3848" s="78" t="str">
        <f t="shared" si="126"/>
        <v>https://portal.dnb.de/opac.htm?method=simpleSearch&amp;cqlMode=true&amp;query=idn%3D1066835632</v>
      </c>
      <c r="E3848" s="74" t="s">
        <v>4976</v>
      </c>
      <c r="F3848" s="74"/>
      <c r="G3848" s="76"/>
      <c r="H3848" s="77"/>
      <c r="I3848" s="76" t="s">
        <v>53</v>
      </c>
      <c r="J3848" s="77"/>
      <c r="K3848" s="77"/>
      <c r="L3848" s="76"/>
      <c r="M3848" s="76"/>
      <c r="N3848" s="76"/>
      <c r="O3848" s="76"/>
      <c r="P3848" s="76"/>
      <c r="Q3848" s="76"/>
      <c r="R3848" s="76"/>
      <c r="S3848" s="76"/>
      <c r="Y3848" s="95" t="s">
        <v>9723</v>
      </c>
      <c r="AC3848" s="95" t="s">
        <v>9724</v>
      </c>
      <c r="AI3848" s="95" t="s">
        <v>9725</v>
      </c>
      <c r="AW3848" s="95">
        <v>45</v>
      </c>
      <c r="BC3848" s="96" t="s">
        <v>9726</v>
      </c>
      <c r="BD3848" s="99">
        <f t="shared" si="127"/>
        <v>4</v>
      </c>
      <c r="BQ3848" s="95" t="s">
        <v>8541</v>
      </c>
      <c r="BR3848" s="95" t="s">
        <v>8541</v>
      </c>
      <c r="BU3848" s="95">
        <v>2</v>
      </c>
      <c r="CC3848" s="99">
        <v>4</v>
      </c>
      <c r="CD3848" s="90" t="s">
        <v>10187</v>
      </c>
      <c r="CV3848" s="99"/>
      <c r="CW3848" s="63"/>
    </row>
    <row r="3849" spans="1:101" ht="177.75" customHeight="1" x14ac:dyDescent="0.15">
      <c r="A3849" s="76">
        <v>3605</v>
      </c>
      <c r="B3849" s="74" t="s">
        <v>4983</v>
      </c>
      <c r="C3849" s="74">
        <v>12485500</v>
      </c>
      <c r="D3849" s="78" t="str">
        <f t="shared" si="126"/>
        <v>https://portal.dnb.de/opac.htm?method=simpleSearch&amp;cqlMode=true&amp;query=idn%3D12485500</v>
      </c>
      <c r="E3849" s="74" t="s">
        <v>4984</v>
      </c>
      <c r="F3849" s="79" t="s">
        <v>10535</v>
      </c>
      <c r="G3849" s="76"/>
      <c r="H3849" s="77"/>
      <c r="I3849" s="76"/>
      <c r="J3849" s="77"/>
      <c r="K3849" s="77"/>
      <c r="L3849" s="76"/>
      <c r="M3849" s="76"/>
      <c r="N3849" s="76"/>
      <c r="O3849" s="76"/>
      <c r="P3849" s="76"/>
      <c r="Q3849" s="76"/>
      <c r="R3849" s="76"/>
      <c r="S3849" s="76"/>
      <c r="BD3849" s="99">
        <f t="shared" si="127"/>
        <v>0</v>
      </c>
      <c r="CC3849" s="99"/>
      <c r="CV3849" s="99"/>
      <c r="CW3849" s="63"/>
    </row>
    <row r="3850" spans="1:101" ht="147" customHeight="1" x14ac:dyDescent="0.15">
      <c r="A3850" s="76">
        <v>3606</v>
      </c>
      <c r="B3850" s="74" t="s">
        <v>4985</v>
      </c>
      <c r="C3850" s="74" t="s">
        <v>4986</v>
      </c>
      <c r="D3850" s="78" t="str">
        <f t="shared" si="126"/>
        <v>https://portal.dnb.de/opac.htm?method=simpleSearch&amp;cqlMode=true&amp;query=idn%3D01549389X</v>
      </c>
      <c r="E3850" s="74" t="s">
        <v>4984</v>
      </c>
      <c r="F3850" s="79" t="s">
        <v>10536</v>
      </c>
      <c r="G3850" s="76"/>
      <c r="H3850" s="77"/>
      <c r="I3850" s="76"/>
      <c r="J3850" s="77"/>
      <c r="K3850" s="77"/>
      <c r="L3850" s="76"/>
      <c r="M3850" s="76"/>
      <c r="N3850" s="76"/>
      <c r="O3850" s="76"/>
      <c r="P3850" s="76"/>
      <c r="Q3850" s="76"/>
      <c r="R3850" s="76"/>
      <c r="S3850" s="76"/>
      <c r="BD3850" s="99">
        <f t="shared" si="127"/>
        <v>0</v>
      </c>
      <c r="CC3850" s="99"/>
      <c r="CV3850" s="99"/>
      <c r="CW3850" s="63"/>
    </row>
    <row r="3851" spans="1:101" x14ac:dyDescent="0.15">
      <c r="A3851" s="76">
        <v>3607</v>
      </c>
      <c r="B3851" s="74" t="s">
        <v>5007</v>
      </c>
      <c r="C3851" s="74">
        <v>1003866263</v>
      </c>
      <c r="D3851" s="78" t="str">
        <f t="shared" si="126"/>
        <v>https://portal.dnb.de/opac.htm?method=simpleSearch&amp;cqlMode=true&amp;query=idn%3D1003866263</v>
      </c>
      <c r="E3851" s="74" t="s">
        <v>5008</v>
      </c>
      <c r="F3851" s="74"/>
      <c r="G3851" s="76"/>
      <c r="H3851" s="77"/>
      <c r="I3851" s="76"/>
      <c r="J3851" s="77"/>
      <c r="K3851" s="77"/>
      <c r="L3851" s="76"/>
      <c r="M3851" s="76"/>
      <c r="N3851" s="76"/>
      <c r="O3851" s="76"/>
      <c r="P3851" s="76"/>
      <c r="Q3851" s="76"/>
      <c r="R3851" s="76"/>
      <c r="S3851" s="76"/>
      <c r="BD3851" s="99">
        <f t="shared" si="127"/>
        <v>0</v>
      </c>
      <c r="CC3851" s="99"/>
      <c r="CV3851" s="99"/>
      <c r="CW3851" s="63"/>
    </row>
    <row r="3852" spans="1:101" x14ac:dyDescent="0.15">
      <c r="A3852" s="76">
        <v>3608</v>
      </c>
      <c r="B3852" s="74" t="s">
        <v>5017</v>
      </c>
      <c r="C3852" s="74">
        <v>1066936935</v>
      </c>
      <c r="D3852" s="78" t="str">
        <f t="shared" si="126"/>
        <v>https://portal.dnb.de/opac.htm?method=simpleSearch&amp;cqlMode=true&amp;query=idn%3D1066936935</v>
      </c>
      <c r="E3852" s="74" t="s">
        <v>5018</v>
      </c>
      <c r="F3852" s="74"/>
      <c r="G3852" s="76"/>
      <c r="H3852" s="77"/>
      <c r="I3852" s="76"/>
      <c r="J3852" s="77"/>
      <c r="K3852" s="77"/>
      <c r="L3852" s="76"/>
      <c r="M3852" s="76"/>
      <c r="N3852" s="76"/>
      <c r="O3852" s="76"/>
      <c r="P3852" s="76"/>
      <c r="Q3852" s="76"/>
      <c r="R3852" s="76"/>
      <c r="S3852" s="76"/>
      <c r="BD3852" s="99">
        <f t="shared" si="127"/>
        <v>0</v>
      </c>
      <c r="CC3852" s="99"/>
      <c r="CV3852" s="99"/>
      <c r="CW3852" s="63"/>
    </row>
    <row r="3853" spans="1:101" x14ac:dyDescent="0.15">
      <c r="A3853" s="76">
        <v>3609</v>
      </c>
      <c r="B3853" s="74" t="s">
        <v>5019</v>
      </c>
      <c r="C3853" s="74">
        <v>1066937923</v>
      </c>
      <c r="D3853" s="78" t="str">
        <f t="shared" si="126"/>
        <v>https://portal.dnb.de/opac.htm?method=simpleSearch&amp;cqlMode=true&amp;query=idn%3D1066937923</v>
      </c>
      <c r="E3853" s="74" t="s">
        <v>5020</v>
      </c>
      <c r="F3853" s="74"/>
      <c r="G3853" s="76"/>
      <c r="H3853" s="77"/>
      <c r="I3853" s="76"/>
      <c r="J3853" s="77"/>
      <c r="K3853" s="77"/>
      <c r="L3853" s="76"/>
      <c r="M3853" s="76"/>
      <c r="N3853" s="76"/>
      <c r="O3853" s="76"/>
      <c r="P3853" s="76"/>
      <c r="Q3853" s="76"/>
      <c r="R3853" s="76"/>
      <c r="S3853" s="76"/>
      <c r="BD3853" s="99">
        <f t="shared" si="127"/>
        <v>0</v>
      </c>
      <c r="CC3853" s="99"/>
      <c r="CV3853" s="99"/>
      <c r="CW3853" s="63"/>
    </row>
    <row r="3854" spans="1:101" x14ac:dyDescent="0.15">
      <c r="A3854" s="76">
        <v>3610</v>
      </c>
      <c r="B3854" s="74" t="s">
        <v>5029</v>
      </c>
      <c r="C3854" s="74">
        <v>1066757453</v>
      </c>
      <c r="D3854" s="78" t="str">
        <f t="shared" si="126"/>
        <v>https://portal.dnb.de/opac.htm?method=simpleSearch&amp;cqlMode=true&amp;query=idn%3D1066757453</v>
      </c>
      <c r="E3854" s="74" t="s">
        <v>5030</v>
      </c>
      <c r="F3854" s="74"/>
      <c r="G3854" s="76"/>
      <c r="H3854" s="77"/>
      <c r="I3854" s="76"/>
      <c r="J3854" s="77"/>
      <c r="K3854" s="77"/>
      <c r="L3854" s="76"/>
      <c r="M3854" s="76"/>
      <c r="N3854" s="76"/>
      <c r="O3854" s="76"/>
      <c r="P3854" s="76"/>
      <c r="Q3854" s="76"/>
      <c r="R3854" s="76"/>
      <c r="S3854" s="76"/>
      <c r="BD3854" s="99">
        <f t="shared" si="127"/>
        <v>0</v>
      </c>
      <c r="CC3854" s="99"/>
      <c r="CV3854" s="99"/>
      <c r="CW3854" s="63"/>
    </row>
    <row r="3855" spans="1:101" x14ac:dyDescent="0.15">
      <c r="A3855" s="76">
        <v>3611</v>
      </c>
      <c r="B3855" s="74" t="s">
        <v>5031</v>
      </c>
      <c r="C3855" s="74">
        <v>1132654920</v>
      </c>
      <c r="D3855" s="78" t="str">
        <f t="shared" ref="D3855:D3934" si="128">HYPERLINK(CONCATENATE("https://portal.dnb.de/opac.htm?method=simpleSearch&amp;cqlMode=true&amp;query=idn%3D",C3855))</f>
        <v>https://portal.dnb.de/opac.htm?method=simpleSearch&amp;cqlMode=true&amp;query=idn%3D1132654920</v>
      </c>
      <c r="E3855" s="74" t="s">
        <v>5032</v>
      </c>
      <c r="F3855" s="74"/>
      <c r="G3855" s="76"/>
      <c r="H3855" s="77"/>
      <c r="I3855" s="76"/>
      <c r="J3855" s="77"/>
      <c r="K3855" s="77"/>
      <c r="L3855" s="76"/>
      <c r="M3855" s="76"/>
      <c r="N3855" s="76"/>
      <c r="O3855" s="76"/>
      <c r="P3855" s="76"/>
      <c r="Q3855" s="76"/>
      <c r="R3855" s="76"/>
      <c r="S3855" s="76"/>
      <c r="BD3855" s="99">
        <f t="shared" si="127"/>
        <v>0</v>
      </c>
      <c r="CC3855" s="99"/>
      <c r="CV3855" s="99"/>
      <c r="CW3855" s="63"/>
    </row>
    <row r="3856" spans="1:101" x14ac:dyDescent="0.15">
      <c r="A3856" s="76"/>
      <c r="B3856" s="74"/>
      <c r="C3856" s="74"/>
      <c r="D3856" s="78"/>
      <c r="E3856" s="74" t="s">
        <v>9808</v>
      </c>
      <c r="F3856" s="74"/>
      <c r="G3856" s="76"/>
      <c r="H3856" s="77"/>
      <c r="I3856" s="76" t="s">
        <v>56</v>
      </c>
      <c r="J3856" s="77"/>
      <c r="K3856" s="77"/>
      <c r="L3856" s="76"/>
      <c r="M3856" s="76"/>
      <c r="N3856" s="76"/>
      <c r="O3856" s="76"/>
      <c r="P3856" s="76"/>
      <c r="Q3856" s="76"/>
      <c r="R3856" s="76"/>
      <c r="S3856" s="76"/>
      <c r="U3856" s="95" t="s">
        <v>9813</v>
      </c>
      <c r="Y3856" s="95" t="s">
        <v>9723</v>
      </c>
      <c r="AC3856" s="95" t="s">
        <v>9724</v>
      </c>
      <c r="AI3856" s="95" t="s">
        <v>9725</v>
      </c>
      <c r="AW3856" s="95">
        <v>110</v>
      </c>
      <c r="BC3856" s="96" t="s">
        <v>9734</v>
      </c>
      <c r="BD3856" s="99">
        <f t="shared" si="127"/>
        <v>0</v>
      </c>
      <c r="BJ3856" s="95" t="s">
        <v>9741</v>
      </c>
      <c r="BK3856" s="95" t="s">
        <v>8541</v>
      </c>
      <c r="CC3856" s="99"/>
      <c r="CV3856" s="99"/>
      <c r="CW3856" s="63"/>
    </row>
    <row r="3857" spans="1:101" x14ac:dyDescent="0.15">
      <c r="A3857" s="76"/>
      <c r="B3857" s="74"/>
      <c r="C3857" s="74"/>
      <c r="D3857" s="78"/>
      <c r="E3857" s="74" t="s">
        <v>9809</v>
      </c>
      <c r="F3857" s="74"/>
      <c r="G3857" s="76"/>
      <c r="H3857" s="77"/>
      <c r="I3857" s="76" t="s">
        <v>56</v>
      </c>
      <c r="J3857" s="77"/>
      <c r="K3857" s="77"/>
      <c r="L3857" s="76"/>
      <c r="M3857" s="76"/>
      <c r="N3857" s="76"/>
      <c r="O3857" s="76"/>
      <c r="P3857" s="76"/>
      <c r="Q3857" s="76"/>
      <c r="R3857" s="76"/>
      <c r="S3857" s="76"/>
      <c r="U3857" s="95" t="s">
        <v>9814</v>
      </c>
      <c r="Y3857" s="95" t="s">
        <v>9725</v>
      </c>
      <c r="AC3857" s="95" t="s">
        <v>9739</v>
      </c>
      <c r="AI3857" s="95" t="s">
        <v>9725</v>
      </c>
      <c r="AW3857" s="95">
        <v>110</v>
      </c>
      <c r="BC3857" s="96" t="s">
        <v>9734</v>
      </c>
      <c r="BD3857" s="99">
        <f t="shared" si="127"/>
        <v>0</v>
      </c>
      <c r="CC3857" s="99"/>
      <c r="CV3857" s="99"/>
      <c r="CW3857" s="63"/>
    </row>
    <row r="3858" spans="1:101" x14ac:dyDescent="0.15">
      <c r="A3858" s="76"/>
      <c r="B3858" s="74"/>
      <c r="C3858" s="74"/>
      <c r="D3858" s="78"/>
      <c r="E3858" s="74" t="s">
        <v>9810</v>
      </c>
      <c r="F3858" s="74"/>
      <c r="G3858" s="76"/>
      <c r="H3858" s="77"/>
      <c r="I3858" s="76" t="s">
        <v>56</v>
      </c>
      <c r="J3858" s="77"/>
      <c r="K3858" s="77"/>
      <c r="L3858" s="76"/>
      <c r="M3858" s="76"/>
      <c r="N3858" s="76"/>
      <c r="O3858" s="76"/>
      <c r="P3858" s="76"/>
      <c r="Q3858" s="76"/>
      <c r="R3858" s="76"/>
      <c r="S3858" s="76"/>
      <c r="U3858" s="95" t="s">
        <v>9814</v>
      </c>
      <c r="Y3858" s="95" t="s">
        <v>9725</v>
      </c>
      <c r="AC3858" s="95" t="s">
        <v>9739</v>
      </c>
      <c r="AI3858" s="95" t="s">
        <v>9725</v>
      </c>
      <c r="AW3858" s="95">
        <v>110</v>
      </c>
      <c r="BC3858" s="96" t="s">
        <v>9734</v>
      </c>
      <c r="BD3858" s="99">
        <f t="shared" si="127"/>
        <v>0</v>
      </c>
      <c r="CC3858" s="99"/>
      <c r="CV3858" s="99"/>
      <c r="CW3858" s="63"/>
    </row>
    <row r="3859" spans="1:101" x14ac:dyDescent="0.15">
      <c r="A3859" s="76"/>
      <c r="B3859" s="74"/>
      <c r="C3859" s="74"/>
      <c r="D3859" s="78"/>
      <c r="E3859" s="74" t="s">
        <v>9811</v>
      </c>
      <c r="F3859" s="74"/>
      <c r="G3859" s="76"/>
      <c r="H3859" s="77"/>
      <c r="I3859" s="76" t="s">
        <v>56</v>
      </c>
      <c r="J3859" s="77"/>
      <c r="K3859" s="77"/>
      <c r="L3859" s="76"/>
      <c r="M3859" s="76"/>
      <c r="N3859" s="76"/>
      <c r="O3859" s="76"/>
      <c r="P3859" s="76"/>
      <c r="Q3859" s="76"/>
      <c r="R3859" s="76"/>
      <c r="S3859" s="76"/>
      <c r="U3859" s="95" t="s">
        <v>9814</v>
      </c>
      <c r="Y3859" s="95" t="s">
        <v>9725</v>
      </c>
      <c r="AC3859" s="95" t="s">
        <v>9739</v>
      </c>
      <c r="AI3859" s="95" t="s">
        <v>9725</v>
      </c>
      <c r="AW3859" s="95">
        <v>110</v>
      </c>
      <c r="BC3859" s="96" t="s">
        <v>9734</v>
      </c>
      <c r="BD3859" s="99">
        <f t="shared" si="127"/>
        <v>0</v>
      </c>
      <c r="CC3859" s="99"/>
      <c r="CV3859" s="99"/>
      <c r="CW3859" s="63"/>
    </row>
    <row r="3860" spans="1:101" x14ac:dyDescent="0.15">
      <c r="A3860" s="76"/>
      <c r="B3860" s="74"/>
      <c r="C3860" s="74"/>
      <c r="D3860" s="78"/>
      <c r="E3860" s="74" t="s">
        <v>9812</v>
      </c>
      <c r="F3860" s="74"/>
      <c r="G3860" s="76"/>
      <c r="H3860" s="77"/>
      <c r="I3860" s="76" t="s">
        <v>56</v>
      </c>
      <c r="J3860" s="77"/>
      <c r="K3860" s="77"/>
      <c r="L3860" s="76"/>
      <c r="M3860" s="76"/>
      <c r="N3860" s="76"/>
      <c r="O3860" s="76"/>
      <c r="P3860" s="76"/>
      <c r="Q3860" s="76"/>
      <c r="R3860" s="76"/>
      <c r="S3860" s="76"/>
      <c r="U3860" s="95" t="s">
        <v>9814</v>
      </c>
      <c r="Y3860" s="95" t="s">
        <v>9725</v>
      </c>
      <c r="AC3860" s="95" t="s">
        <v>9739</v>
      </c>
      <c r="AI3860" s="95" t="s">
        <v>9725</v>
      </c>
      <c r="AR3860" s="95" t="s">
        <v>8541</v>
      </c>
      <c r="AT3860" s="95" t="s">
        <v>8541</v>
      </c>
      <c r="AW3860" s="95">
        <v>110</v>
      </c>
      <c r="BC3860" s="96" t="s">
        <v>9734</v>
      </c>
      <c r="BD3860" s="99">
        <f t="shared" si="127"/>
        <v>0</v>
      </c>
      <c r="CC3860" s="99"/>
      <c r="CV3860" s="99"/>
      <c r="CW3860" s="63"/>
    </row>
    <row r="3861" spans="1:101" x14ac:dyDescent="0.15">
      <c r="A3861" s="76">
        <v>3612</v>
      </c>
      <c r="B3861" s="74" t="s">
        <v>5033</v>
      </c>
      <c r="C3861" s="74">
        <v>1066937613</v>
      </c>
      <c r="D3861" s="78" t="str">
        <f t="shared" si="128"/>
        <v>https://portal.dnb.de/opac.htm?method=simpleSearch&amp;cqlMode=true&amp;query=idn%3D1066937613</v>
      </c>
      <c r="E3861" s="74" t="s">
        <v>5034</v>
      </c>
      <c r="F3861" s="74"/>
      <c r="G3861" s="76"/>
      <c r="H3861" s="77"/>
      <c r="I3861" s="76"/>
      <c r="J3861" s="77"/>
      <c r="K3861" s="77"/>
      <c r="L3861" s="76"/>
      <c r="M3861" s="76"/>
      <c r="N3861" s="76"/>
      <c r="O3861" s="76"/>
      <c r="P3861" s="76"/>
      <c r="Q3861" s="76"/>
      <c r="R3861" s="76"/>
      <c r="S3861" s="76"/>
      <c r="BD3861" s="99">
        <f t="shared" si="127"/>
        <v>0</v>
      </c>
      <c r="CC3861" s="99"/>
      <c r="CV3861" s="99"/>
      <c r="CW3861" s="63"/>
    </row>
    <row r="3862" spans="1:101" x14ac:dyDescent="0.15">
      <c r="A3862" s="76">
        <v>3613</v>
      </c>
      <c r="B3862" s="74" t="s">
        <v>5037</v>
      </c>
      <c r="C3862" s="74">
        <v>1066933790</v>
      </c>
      <c r="D3862" s="78" t="str">
        <f t="shared" si="128"/>
        <v>https://portal.dnb.de/opac.htm?method=simpleSearch&amp;cqlMode=true&amp;query=idn%3D1066933790</v>
      </c>
      <c r="E3862" s="74" t="s">
        <v>5038</v>
      </c>
      <c r="F3862" s="74"/>
      <c r="G3862" s="76"/>
      <c r="H3862" s="77"/>
      <c r="I3862" s="76"/>
      <c r="J3862" s="77"/>
      <c r="K3862" s="77"/>
      <c r="L3862" s="76"/>
      <c r="M3862" s="76"/>
      <c r="N3862" s="76"/>
      <c r="O3862" s="76"/>
      <c r="P3862" s="76"/>
      <c r="Q3862" s="76"/>
      <c r="R3862" s="76"/>
      <c r="S3862" s="76"/>
      <c r="BD3862" s="99">
        <f t="shared" si="127"/>
        <v>0</v>
      </c>
      <c r="CC3862" s="99"/>
      <c r="CV3862" s="99"/>
      <c r="CW3862" s="63"/>
    </row>
    <row r="3863" spans="1:101" x14ac:dyDescent="0.15">
      <c r="A3863" s="76">
        <v>3614</v>
      </c>
      <c r="B3863" s="74" t="s">
        <v>5048</v>
      </c>
      <c r="C3863" s="74">
        <v>994151217</v>
      </c>
      <c r="D3863" s="78" t="str">
        <f t="shared" si="128"/>
        <v>https://portal.dnb.de/opac.htm?method=simpleSearch&amp;cqlMode=true&amp;query=idn%3D994151217</v>
      </c>
      <c r="E3863" s="74" t="s">
        <v>5049</v>
      </c>
      <c r="F3863" s="74"/>
      <c r="G3863" s="76"/>
      <c r="H3863" s="77"/>
      <c r="I3863" s="76"/>
      <c r="J3863" s="77"/>
      <c r="K3863" s="77"/>
      <c r="L3863" s="76"/>
      <c r="M3863" s="76"/>
      <c r="N3863" s="76"/>
      <c r="O3863" s="76"/>
      <c r="P3863" s="76"/>
      <c r="Q3863" s="76"/>
      <c r="R3863" s="76"/>
      <c r="S3863" s="76"/>
      <c r="BD3863" s="99">
        <f t="shared" si="127"/>
        <v>0</v>
      </c>
      <c r="CC3863" s="99"/>
      <c r="CV3863" s="99"/>
      <c r="CW3863" s="63"/>
    </row>
    <row r="3864" spans="1:101" ht="33.75" x14ac:dyDescent="0.15">
      <c r="A3864" s="76">
        <v>3615</v>
      </c>
      <c r="B3864" s="74" t="s">
        <v>5065</v>
      </c>
      <c r="C3864" s="74">
        <v>1066942447</v>
      </c>
      <c r="D3864" s="78" t="str">
        <f t="shared" si="128"/>
        <v>https://portal.dnb.de/opac.htm?method=simpleSearch&amp;cqlMode=true&amp;query=idn%3D1066942447</v>
      </c>
      <c r="E3864" s="74" t="s">
        <v>5066</v>
      </c>
      <c r="F3864" s="74"/>
      <c r="G3864" s="76"/>
      <c r="H3864" s="77"/>
      <c r="I3864" s="76" t="s">
        <v>54</v>
      </c>
      <c r="J3864" s="77"/>
      <c r="K3864" s="77"/>
      <c r="L3864" s="76"/>
      <c r="M3864" s="76"/>
      <c r="N3864" s="76"/>
      <c r="O3864" s="76"/>
      <c r="P3864" s="76"/>
      <c r="Q3864" s="76"/>
      <c r="R3864" s="76"/>
      <c r="S3864" s="76"/>
      <c r="Y3864" s="95" t="s">
        <v>9723</v>
      </c>
      <c r="AC3864" s="95" t="s">
        <v>9724</v>
      </c>
      <c r="AE3864" s="95" t="s">
        <v>8541</v>
      </c>
      <c r="AI3864" s="95" t="s">
        <v>9725</v>
      </c>
      <c r="AW3864" s="95">
        <v>110</v>
      </c>
      <c r="BC3864" s="96" t="s">
        <v>9734</v>
      </c>
      <c r="BD3864" s="99">
        <f t="shared" si="127"/>
        <v>0</v>
      </c>
      <c r="BI3864" s="95" t="s">
        <v>8541</v>
      </c>
      <c r="BL3864" s="70" t="s">
        <v>10466</v>
      </c>
      <c r="BO3864" s="70" t="s">
        <v>10036</v>
      </c>
      <c r="CC3864" s="99"/>
      <c r="CV3864" s="99"/>
      <c r="CW3864" s="63"/>
    </row>
    <row r="3865" spans="1:101" x14ac:dyDescent="0.15">
      <c r="A3865" s="76">
        <v>3616</v>
      </c>
      <c r="B3865" s="74" t="s">
        <v>5069</v>
      </c>
      <c r="C3865" s="74">
        <v>1132640784</v>
      </c>
      <c r="D3865" s="78" t="str">
        <f t="shared" si="128"/>
        <v>https://portal.dnb.de/opac.htm?method=simpleSearch&amp;cqlMode=true&amp;query=idn%3D1132640784</v>
      </c>
      <c r="E3865" s="74" t="s">
        <v>5070</v>
      </c>
      <c r="F3865" s="74"/>
      <c r="G3865" s="76"/>
      <c r="H3865" s="77"/>
      <c r="I3865" s="76"/>
      <c r="J3865" s="77"/>
      <c r="K3865" s="77"/>
      <c r="L3865" s="76"/>
      <c r="M3865" s="76"/>
      <c r="N3865" s="76"/>
      <c r="O3865" s="76"/>
      <c r="P3865" s="76"/>
      <c r="Q3865" s="76"/>
      <c r="R3865" s="76"/>
      <c r="S3865" s="76"/>
      <c r="BD3865" s="99">
        <f t="shared" si="127"/>
        <v>0</v>
      </c>
      <c r="CC3865" s="99"/>
      <c r="CV3865" s="99"/>
      <c r="CW3865" s="63"/>
    </row>
    <row r="3866" spans="1:101" x14ac:dyDescent="0.15">
      <c r="A3866" s="76">
        <v>3617</v>
      </c>
      <c r="B3866" s="74" t="s">
        <v>5071</v>
      </c>
      <c r="C3866" s="74">
        <v>1132640776</v>
      </c>
      <c r="D3866" s="78" t="str">
        <f t="shared" si="128"/>
        <v>https://portal.dnb.de/opac.htm?method=simpleSearch&amp;cqlMode=true&amp;query=idn%3D1132640776</v>
      </c>
      <c r="E3866" s="74" t="s">
        <v>5070</v>
      </c>
      <c r="F3866" s="74"/>
      <c r="G3866" s="76"/>
      <c r="H3866" s="77"/>
      <c r="I3866" s="76"/>
      <c r="J3866" s="77"/>
      <c r="K3866" s="77"/>
      <c r="L3866" s="76"/>
      <c r="M3866" s="76"/>
      <c r="N3866" s="76"/>
      <c r="O3866" s="76"/>
      <c r="P3866" s="76"/>
      <c r="Q3866" s="76"/>
      <c r="R3866" s="76"/>
      <c r="S3866" s="76"/>
      <c r="BD3866" s="99">
        <f t="shared" si="127"/>
        <v>0</v>
      </c>
      <c r="CC3866" s="99"/>
      <c r="CV3866" s="99"/>
      <c r="CW3866" s="63"/>
    </row>
    <row r="3867" spans="1:101" x14ac:dyDescent="0.15">
      <c r="A3867" s="76">
        <v>3618</v>
      </c>
      <c r="B3867" s="74" t="s">
        <v>5072</v>
      </c>
      <c r="C3867" s="74">
        <v>1132633672</v>
      </c>
      <c r="D3867" s="78" t="str">
        <f t="shared" si="128"/>
        <v>https://portal.dnb.de/opac.htm?method=simpleSearch&amp;cqlMode=true&amp;query=idn%3D1132633672</v>
      </c>
      <c r="E3867" s="74" t="s">
        <v>10194</v>
      </c>
      <c r="F3867" s="74"/>
      <c r="G3867" s="76"/>
      <c r="H3867" s="77"/>
      <c r="I3867" s="76" t="s">
        <v>53</v>
      </c>
      <c r="J3867" s="77"/>
      <c r="K3867" s="77"/>
      <c r="L3867" s="76"/>
      <c r="M3867" s="76"/>
      <c r="N3867" s="76"/>
      <c r="O3867" s="76"/>
      <c r="P3867" s="76"/>
      <c r="Q3867" s="76"/>
      <c r="R3867" s="76"/>
      <c r="S3867" s="76"/>
      <c r="Y3867" s="95" t="s">
        <v>9723</v>
      </c>
      <c r="AC3867" s="95" t="s">
        <v>9739</v>
      </c>
      <c r="AI3867" s="95" t="s">
        <v>9725</v>
      </c>
      <c r="AW3867" s="95">
        <v>45</v>
      </c>
      <c r="BC3867" s="96" t="s">
        <v>9734</v>
      </c>
      <c r="BD3867" s="99">
        <f t="shared" si="127"/>
        <v>0</v>
      </c>
      <c r="CC3867" s="99"/>
      <c r="CV3867" s="99"/>
      <c r="CW3867" s="63"/>
    </row>
    <row r="3868" spans="1:101" x14ac:dyDescent="0.15">
      <c r="A3868" s="76">
        <v>3619</v>
      </c>
      <c r="B3868" s="74" t="s">
        <v>5073</v>
      </c>
      <c r="C3868" s="74">
        <v>1132633680</v>
      </c>
      <c r="D3868" s="82" t="str">
        <f>HYPERLINK(CONCATENATE("https://portal.dnb.de/opac.htm?method=simpleSearch&amp;cqlMode=true&amp;query=idn%3D",C3868))</f>
        <v>https://portal.dnb.de/opac.htm?method=simpleSearch&amp;cqlMode=true&amp;query=idn%3D1132633680</v>
      </c>
      <c r="E3868" s="74" t="s">
        <v>10195</v>
      </c>
      <c r="F3868" s="74"/>
      <c r="G3868" s="76"/>
      <c r="H3868" s="77"/>
      <c r="I3868" s="76" t="s">
        <v>53</v>
      </c>
      <c r="J3868" s="77"/>
      <c r="K3868" s="77"/>
      <c r="L3868" s="76"/>
      <c r="M3868" s="76"/>
      <c r="N3868" s="76"/>
      <c r="O3868" s="76"/>
      <c r="P3868" s="76"/>
      <c r="Q3868" s="76"/>
      <c r="R3868" s="76"/>
      <c r="S3868" s="76"/>
      <c r="Y3868" s="95" t="s">
        <v>9723</v>
      </c>
      <c r="AC3868" s="95" t="s">
        <v>9739</v>
      </c>
      <c r="AI3868" s="95" t="s">
        <v>9725</v>
      </c>
      <c r="AW3868" s="95">
        <v>45</v>
      </c>
      <c r="BC3868" s="96" t="s">
        <v>9734</v>
      </c>
      <c r="BD3868" s="99">
        <f t="shared" si="127"/>
        <v>0</v>
      </c>
      <c r="CC3868" s="99"/>
      <c r="CV3868" s="99"/>
      <c r="CW3868" s="63"/>
    </row>
    <row r="3869" spans="1:101" x14ac:dyDescent="0.15">
      <c r="A3869" s="76">
        <v>3620</v>
      </c>
      <c r="B3869" s="74" t="s">
        <v>5074</v>
      </c>
      <c r="C3869" s="74">
        <v>1132633699</v>
      </c>
      <c r="D3869" s="78" t="str">
        <f t="shared" si="128"/>
        <v>https://portal.dnb.de/opac.htm?method=simpleSearch&amp;cqlMode=true&amp;query=idn%3D1132633699</v>
      </c>
      <c r="E3869" s="74" t="s">
        <v>10196</v>
      </c>
      <c r="F3869" s="74"/>
      <c r="G3869" s="76"/>
      <c r="H3869" s="77"/>
      <c r="I3869" s="76" t="s">
        <v>53</v>
      </c>
      <c r="J3869" s="77"/>
      <c r="K3869" s="77"/>
      <c r="L3869" s="76"/>
      <c r="M3869" s="76"/>
      <c r="N3869" s="76"/>
      <c r="O3869" s="76"/>
      <c r="P3869" s="76"/>
      <c r="Q3869" s="76"/>
      <c r="R3869" s="76"/>
      <c r="S3869" s="76"/>
      <c r="Y3869" s="95" t="s">
        <v>9723</v>
      </c>
      <c r="AC3869" s="95" t="s">
        <v>9739</v>
      </c>
      <c r="AI3869" s="95" t="s">
        <v>9725</v>
      </c>
      <c r="AW3869" s="95">
        <v>45</v>
      </c>
      <c r="BC3869" s="96" t="s">
        <v>9734</v>
      </c>
      <c r="BD3869" s="99">
        <f t="shared" si="127"/>
        <v>0</v>
      </c>
      <c r="CC3869" s="99"/>
      <c r="CV3869" s="99"/>
      <c r="CW3869" s="63"/>
    </row>
    <row r="3870" spans="1:101" ht="45" x14ac:dyDescent="0.15">
      <c r="A3870" s="76">
        <v>3621</v>
      </c>
      <c r="B3870" s="74" t="s">
        <v>5075</v>
      </c>
      <c r="C3870" s="74">
        <v>1132633664</v>
      </c>
      <c r="D3870" s="78" t="str">
        <f t="shared" si="128"/>
        <v>https://portal.dnb.de/opac.htm?method=simpleSearch&amp;cqlMode=true&amp;query=idn%3D1132633664</v>
      </c>
      <c r="E3870" s="74" t="s">
        <v>10197</v>
      </c>
      <c r="F3870" s="74"/>
      <c r="G3870" s="76"/>
      <c r="H3870" s="77"/>
      <c r="I3870" s="76" t="s">
        <v>53</v>
      </c>
      <c r="J3870" s="77"/>
      <c r="K3870" s="77"/>
      <c r="L3870" s="76"/>
      <c r="M3870" s="76"/>
      <c r="N3870" s="76"/>
      <c r="O3870" s="76"/>
      <c r="P3870" s="76"/>
      <c r="Q3870" s="76"/>
      <c r="R3870" s="76"/>
      <c r="S3870" s="76"/>
      <c r="Y3870" s="95" t="s">
        <v>9723</v>
      </c>
      <c r="AC3870" s="95" t="s">
        <v>9739</v>
      </c>
      <c r="AI3870" s="95" t="s">
        <v>9725</v>
      </c>
      <c r="AW3870" s="95">
        <v>45</v>
      </c>
      <c r="BC3870" s="96" t="s">
        <v>9726</v>
      </c>
      <c r="BD3870" s="99">
        <f t="shared" si="127"/>
        <v>2</v>
      </c>
      <c r="BP3870" s="69" t="s">
        <v>8541</v>
      </c>
      <c r="BQ3870" s="95" t="s">
        <v>8541</v>
      </c>
      <c r="BR3870" s="95" t="s">
        <v>8541</v>
      </c>
      <c r="CB3870" s="95" t="s">
        <v>9882</v>
      </c>
      <c r="CC3870" s="99">
        <v>2</v>
      </c>
      <c r="CD3870" s="90" t="s">
        <v>10198</v>
      </c>
      <c r="CV3870" s="99"/>
      <c r="CW3870" s="63"/>
    </row>
    <row r="3871" spans="1:101" x14ac:dyDescent="0.15">
      <c r="A3871" s="76">
        <v>3622</v>
      </c>
      <c r="B3871" s="74" t="s">
        <v>5076</v>
      </c>
      <c r="C3871" s="74">
        <v>1132655528</v>
      </c>
      <c r="D3871" s="78" t="str">
        <f t="shared" si="128"/>
        <v>https://portal.dnb.de/opac.htm?method=simpleSearch&amp;cqlMode=true&amp;query=idn%3D1132655528</v>
      </c>
      <c r="E3871" s="74" t="s">
        <v>5077</v>
      </c>
      <c r="F3871" s="74"/>
      <c r="G3871" s="76"/>
      <c r="H3871" s="77"/>
      <c r="I3871" s="76" t="s">
        <v>56</v>
      </c>
      <c r="J3871" s="77"/>
      <c r="K3871" s="77"/>
      <c r="L3871" s="76"/>
      <c r="M3871" s="76"/>
      <c r="N3871" s="76"/>
      <c r="O3871" s="76"/>
      <c r="P3871" s="76"/>
      <c r="Q3871" s="76"/>
      <c r="R3871" s="76"/>
      <c r="S3871" s="76"/>
      <c r="U3871" s="95" t="s">
        <v>9820</v>
      </c>
      <c r="Y3871" s="95" t="s">
        <v>9725</v>
      </c>
      <c r="AC3871" s="95" t="s">
        <v>9739</v>
      </c>
      <c r="AI3871" s="95" t="s">
        <v>9725</v>
      </c>
      <c r="AP3871" s="95" t="s">
        <v>8541</v>
      </c>
      <c r="AR3871" s="95" t="s">
        <v>8541</v>
      </c>
      <c r="AS3871" s="95" t="s">
        <v>9788</v>
      </c>
      <c r="AT3871" s="95" t="s">
        <v>8541</v>
      </c>
      <c r="AW3871" s="95" t="s">
        <v>9764</v>
      </c>
      <c r="BC3871" s="96" t="s">
        <v>9796</v>
      </c>
      <c r="BD3871" s="99">
        <f t="shared" si="127"/>
        <v>8</v>
      </c>
      <c r="BR3871" s="95" t="s">
        <v>8541</v>
      </c>
      <c r="BT3871" s="95" t="s">
        <v>9772</v>
      </c>
      <c r="CC3871" s="99">
        <v>6</v>
      </c>
      <c r="CL3871" s="95" t="s">
        <v>8541</v>
      </c>
      <c r="CQ3871" s="95" t="s">
        <v>8541</v>
      </c>
      <c r="CV3871" s="99">
        <v>2</v>
      </c>
      <c r="CW3871" s="63"/>
    </row>
    <row r="3872" spans="1:101" x14ac:dyDescent="0.15">
      <c r="A3872" s="76">
        <v>3623</v>
      </c>
      <c r="B3872" s="74" t="s">
        <v>5078</v>
      </c>
      <c r="C3872" s="74">
        <v>1132655498</v>
      </c>
      <c r="D3872" s="78" t="str">
        <f t="shared" si="128"/>
        <v>https://portal.dnb.de/opac.htm?method=simpleSearch&amp;cqlMode=true&amp;query=idn%3D1132655498</v>
      </c>
      <c r="E3872" s="74" t="s">
        <v>5077</v>
      </c>
      <c r="F3872" s="74"/>
      <c r="G3872" s="76"/>
      <c r="H3872" s="77"/>
      <c r="I3872" s="76" t="s">
        <v>56</v>
      </c>
      <c r="J3872" s="77"/>
      <c r="K3872" s="77"/>
      <c r="L3872" s="76"/>
      <c r="M3872" s="76"/>
      <c r="N3872" s="76"/>
      <c r="O3872" s="76"/>
      <c r="P3872" s="76"/>
      <c r="Q3872" s="76"/>
      <c r="R3872" s="76"/>
      <c r="S3872" s="76"/>
      <c r="U3872" s="95" t="s">
        <v>9820</v>
      </c>
      <c r="Y3872" s="95" t="s">
        <v>9725</v>
      </c>
      <c r="AC3872" s="95" t="s">
        <v>9739</v>
      </c>
      <c r="AI3872" s="95" t="s">
        <v>9725</v>
      </c>
      <c r="AP3872" s="95" t="s">
        <v>8541</v>
      </c>
      <c r="AR3872" s="95" t="s">
        <v>8541</v>
      </c>
      <c r="AS3872" s="95" t="s">
        <v>9788</v>
      </c>
      <c r="AT3872" s="95" t="s">
        <v>8541</v>
      </c>
      <c r="AW3872" s="95" t="s">
        <v>9764</v>
      </c>
      <c r="BC3872" s="96" t="s">
        <v>9796</v>
      </c>
      <c r="BD3872" s="99">
        <f t="shared" si="127"/>
        <v>10</v>
      </c>
      <c r="BR3872" s="95" t="s">
        <v>8541</v>
      </c>
      <c r="BT3872" s="95" t="s">
        <v>9772</v>
      </c>
      <c r="CC3872" s="99">
        <v>10</v>
      </c>
      <c r="CV3872" s="99"/>
      <c r="CW3872" s="63"/>
    </row>
    <row r="3873" spans="1:101" x14ac:dyDescent="0.15">
      <c r="A3873" s="76">
        <v>3624</v>
      </c>
      <c r="B3873" s="74" t="s">
        <v>5079</v>
      </c>
      <c r="C3873" s="74" t="s">
        <v>5080</v>
      </c>
      <c r="D3873" s="78" t="str">
        <f t="shared" si="128"/>
        <v>https://portal.dnb.de/opac.htm?method=simpleSearch&amp;cqlMode=true&amp;query=idn%3D113265551X</v>
      </c>
      <c r="E3873" s="74" t="s">
        <v>5077</v>
      </c>
      <c r="F3873" s="74"/>
      <c r="G3873" s="76"/>
      <c r="H3873" s="77"/>
      <c r="I3873" s="76" t="s">
        <v>56</v>
      </c>
      <c r="J3873" s="77"/>
      <c r="K3873" s="77"/>
      <c r="L3873" s="76"/>
      <c r="M3873" s="76"/>
      <c r="N3873" s="76"/>
      <c r="O3873" s="76"/>
      <c r="P3873" s="76"/>
      <c r="Q3873" s="76"/>
      <c r="R3873" s="76"/>
      <c r="S3873" s="76"/>
      <c r="U3873" s="95" t="s">
        <v>9820</v>
      </c>
      <c r="Y3873" s="95" t="s">
        <v>9725</v>
      </c>
      <c r="AC3873" s="95" t="s">
        <v>9739</v>
      </c>
      <c r="AI3873" s="95" t="s">
        <v>9725</v>
      </c>
      <c r="AP3873" s="95" t="s">
        <v>8541</v>
      </c>
      <c r="AR3873" s="95" t="s">
        <v>8541</v>
      </c>
      <c r="AS3873" s="95" t="s">
        <v>9788</v>
      </c>
      <c r="AT3873" s="95" t="s">
        <v>8541</v>
      </c>
      <c r="AW3873" s="95" t="s">
        <v>9764</v>
      </c>
      <c r="BC3873" s="96" t="s">
        <v>9796</v>
      </c>
      <c r="BD3873" s="99">
        <f t="shared" si="127"/>
        <v>6</v>
      </c>
      <c r="BR3873" s="95" t="s">
        <v>8541</v>
      </c>
      <c r="BT3873" s="95" t="s">
        <v>9772</v>
      </c>
      <c r="CC3873" s="99">
        <v>6</v>
      </c>
      <c r="CV3873" s="99"/>
      <c r="CW3873" s="63"/>
    </row>
    <row r="3874" spans="1:101" x14ac:dyDescent="0.15">
      <c r="A3874" s="76">
        <v>3625</v>
      </c>
      <c r="B3874" s="74" t="s">
        <v>5081</v>
      </c>
      <c r="C3874" s="74">
        <v>1132655501</v>
      </c>
      <c r="D3874" s="78" t="str">
        <f t="shared" si="128"/>
        <v>https://portal.dnb.de/opac.htm?method=simpleSearch&amp;cqlMode=true&amp;query=idn%3D1132655501</v>
      </c>
      <c r="E3874" s="74" t="s">
        <v>5077</v>
      </c>
      <c r="F3874" s="74"/>
      <c r="G3874" s="76"/>
      <c r="H3874" s="77"/>
      <c r="I3874" s="76" t="s">
        <v>56</v>
      </c>
      <c r="J3874" s="77"/>
      <c r="K3874" s="77"/>
      <c r="L3874" s="76"/>
      <c r="M3874" s="76"/>
      <c r="N3874" s="76"/>
      <c r="O3874" s="76"/>
      <c r="P3874" s="76"/>
      <c r="Q3874" s="76"/>
      <c r="R3874" s="76"/>
      <c r="S3874" s="76"/>
      <c r="U3874" s="95" t="s">
        <v>9820</v>
      </c>
      <c r="Y3874" s="95" t="s">
        <v>9725</v>
      </c>
      <c r="AC3874" s="95" t="s">
        <v>9739</v>
      </c>
      <c r="AI3874" s="95" t="s">
        <v>9725</v>
      </c>
      <c r="AP3874" s="95" t="s">
        <v>8541</v>
      </c>
      <c r="AR3874" s="95" t="s">
        <v>8541</v>
      </c>
      <c r="AS3874" s="95" t="s">
        <v>9788</v>
      </c>
      <c r="AT3874" s="95" t="s">
        <v>8541</v>
      </c>
      <c r="AW3874" s="95" t="s">
        <v>9764</v>
      </c>
      <c r="BC3874" s="96" t="s">
        <v>9796</v>
      </c>
      <c r="BD3874" s="99">
        <f t="shared" si="127"/>
        <v>8</v>
      </c>
      <c r="BR3874" s="95" t="s">
        <v>8541</v>
      </c>
      <c r="BT3874" s="95" t="s">
        <v>9772</v>
      </c>
      <c r="BU3874" s="95">
        <v>2</v>
      </c>
      <c r="CC3874" s="99">
        <v>8</v>
      </c>
      <c r="CV3874" s="99"/>
      <c r="CW3874" s="63"/>
    </row>
    <row r="3875" spans="1:101" x14ac:dyDescent="0.15">
      <c r="A3875" s="76">
        <v>3626</v>
      </c>
      <c r="B3875" s="74" t="s">
        <v>5082</v>
      </c>
      <c r="C3875" s="74">
        <v>1132646103</v>
      </c>
      <c r="D3875" s="78" t="str">
        <f t="shared" si="128"/>
        <v>https://portal.dnb.de/opac.htm?method=simpleSearch&amp;cqlMode=true&amp;query=idn%3D1132646103</v>
      </c>
      <c r="E3875" s="74" t="s">
        <v>5083</v>
      </c>
      <c r="F3875" s="74"/>
      <c r="G3875" s="76"/>
      <c r="H3875" s="77"/>
      <c r="I3875" s="76"/>
      <c r="J3875" s="77"/>
      <c r="K3875" s="77"/>
      <c r="L3875" s="76"/>
      <c r="M3875" s="76"/>
      <c r="N3875" s="76"/>
      <c r="O3875" s="76"/>
      <c r="P3875" s="76"/>
      <c r="Q3875" s="76"/>
      <c r="R3875" s="76"/>
      <c r="S3875" s="76"/>
      <c r="BD3875" s="99">
        <f t="shared" si="127"/>
        <v>0</v>
      </c>
      <c r="CC3875" s="99"/>
      <c r="CV3875" s="99"/>
      <c r="CW3875" s="63"/>
    </row>
    <row r="3876" spans="1:101" x14ac:dyDescent="0.15">
      <c r="A3876" s="76">
        <v>3627</v>
      </c>
      <c r="B3876" s="74" t="s">
        <v>5084</v>
      </c>
      <c r="C3876" s="74">
        <v>1066936706</v>
      </c>
      <c r="D3876" s="78" t="str">
        <f t="shared" si="128"/>
        <v>https://portal.dnb.de/opac.htm?method=simpleSearch&amp;cqlMode=true&amp;query=idn%3D1066936706</v>
      </c>
      <c r="E3876" s="74" t="s">
        <v>5085</v>
      </c>
      <c r="F3876" s="74"/>
      <c r="G3876" s="76"/>
      <c r="H3876" s="77"/>
      <c r="I3876" s="76" t="s">
        <v>56</v>
      </c>
      <c r="J3876" s="77"/>
      <c r="K3876" s="77"/>
      <c r="L3876" s="76"/>
      <c r="M3876" s="76"/>
      <c r="N3876" s="76"/>
      <c r="O3876" s="76"/>
      <c r="P3876" s="76"/>
      <c r="Q3876" s="76"/>
      <c r="R3876" s="76"/>
      <c r="S3876" s="76"/>
      <c r="U3876" s="95" t="s">
        <v>9821</v>
      </c>
      <c r="Y3876" s="95" t="s">
        <v>9725</v>
      </c>
      <c r="AC3876" s="95" t="s">
        <v>9739</v>
      </c>
      <c r="AI3876" s="95" t="s">
        <v>9725</v>
      </c>
      <c r="AW3876" s="95">
        <v>110</v>
      </c>
      <c r="BC3876" s="96" t="s">
        <v>9726</v>
      </c>
      <c r="BD3876" s="99">
        <f t="shared" si="127"/>
        <v>4</v>
      </c>
      <c r="BR3876" s="95" t="s">
        <v>8541</v>
      </c>
      <c r="BT3876" s="95" t="s">
        <v>9772</v>
      </c>
      <c r="CC3876" s="99">
        <v>4</v>
      </c>
      <c r="CV3876" s="99"/>
      <c r="CW3876" s="63"/>
    </row>
    <row r="3877" spans="1:101" x14ac:dyDescent="0.15">
      <c r="A3877" s="76">
        <v>3628</v>
      </c>
      <c r="B3877" s="74" t="s">
        <v>5086</v>
      </c>
      <c r="C3877" s="74">
        <v>1000490491</v>
      </c>
      <c r="D3877" s="78" t="str">
        <f t="shared" si="128"/>
        <v>https://portal.dnb.de/opac.htm?method=simpleSearch&amp;cqlMode=true&amp;query=idn%3D1000490491</v>
      </c>
      <c r="E3877" s="74" t="s">
        <v>10199</v>
      </c>
      <c r="F3877" s="74"/>
      <c r="G3877" s="76"/>
      <c r="H3877" s="77"/>
      <c r="I3877" s="76" t="s">
        <v>53</v>
      </c>
      <c r="J3877" s="77"/>
      <c r="K3877" s="77"/>
      <c r="L3877" s="76"/>
      <c r="M3877" s="76"/>
      <c r="N3877" s="76"/>
      <c r="O3877" s="76"/>
      <c r="P3877" s="76"/>
      <c r="Q3877" s="76"/>
      <c r="R3877" s="76"/>
      <c r="S3877" s="76"/>
      <c r="Y3877" s="95" t="s">
        <v>9729</v>
      </c>
      <c r="AC3877" s="95" t="s">
        <v>9724</v>
      </c>
      <c r="AI3877" s="95" t="s">
        <v>9725</v>
      </c>
      <c r="AW3877" s="95">
        <v>45</v>
      </c>
      <c r="BB3877" s="95" t="s">
        <v>8541</v>
      </c>
      <c r="BC3877" s="96" t="s">
        <v>9726</v>
      </c>
      <c r="BD3877" s="99">
        <f t="shared" si="127"/>
        <v>1</v>
      </c>
      <c r="BP3877" s="69" t="s">
        <v>8541</v>
      </c>
      <c r="BQ3877" s="95" t="s">
        <v>8541</v>
      </c>
      <c r="BR3877" s="95" t="s">
        <v>8541</v>
      </c>
      <c r="CC3877" s="99">
        <v>1</v>
      </c>
      <c r="CV3877" s="99"/>
      <c r="CW3877" s="63"/>
    </row>
    <row r="3878" spans="1:101" x14ac:dyDescent="0.15">
      <c r="A3878" s="76">
        <v>3629</v>
      </c>
      <c r="B3878" s="74" t="s">
        <v>5087</v>
      </c>
      <c r="C3878" s="74">
        <v>1000490548</v>
      </c>
      <c r="D3878" s="78" t="str">
        <f t="shared" si="128"/>
        <v>https://portal.dnb.de/opac.htm?method=simpleSearch&amp;cqlMode=true&amp;query=idn%3D1000490548</v>
      </c>
      <c r="E3878" s="74" t="s">
        <v>10200</v>
      </c>
      <c r="F3878" s="74"/>
      <c r="G3878" s="76"/>
      <c r="H3878" s="77"/>
      <c r="I3878" s="76" t="s">
        <v>53</v>
      </c>
      <c r="J3878" s="77"/>
      <c r="K3878" s="77"/>
      <c r="L3878" s="76"/>
      <c r="M3878" s="76"/>
      <c r="N3878" s="76"/>
      <c r="O3878" s="76"/>
      <c r="P3878" s="76"/>
      <c r="Q3878" s="76"/>
      <c r="R3878" s="76"/>
      <c r="S3878" s="76"/>
      <c r="Y3878" s="95" t="s">
        <v>9729</v>
      </c>
      <c r="AC3878" s="95" t="s">
        <v>9724</v>
      </c>
      <c r="AI3878" s="95" t="s">
        <v>9725</v>
      </c>
      <c r="AW3878" s="95">
        <v>45</v>
      </c>
      <c r="BC3878" s="96" t="s">
        <v>9726</v>
      </c>
      <c r="BD3878" s="99">
        <f t="shared" si="127"/>
        <v>1</v>
      </c>
      <c r="BP3878" s="69" t="s">
        <v>8541</v>
      </c>
      <c r="BR3878" s="95" t="s">
        <v>8541</v>
      </c>
      <c r="CC3878" s="99">
        <v>1</v>
      </c>
      <c r="CV3878" s="99"/>
      <c r="CW3878" s="63"/>
    </row>
    <row r="3879" spans="1:101" x14ac:dyDescent="0.15">
      <c r="A3879" s="76">
        <v>3630</v>
      </c>
      <c r="B3879" s="74" t="s">
        <v>5088</v>
      </c>
      <c r="C3879" s="74">
        <v>1000490572</v>
      </c>
      <c r="D3879" s="82" t="str">
        <f>HYPERLINK(CONCATENATE("https://portal.dnb.de/opac.htm?method=simpleSearch&amp;cqlMode=true&amp;query=idn%3D",C3879))</f>
        <v>https://portal.dnb.de/opac.htm?method=simpleSearch&amp;cqlMode=true&amp;query=idn%3D1000490572</v>
      </c>
      <c r="E3879" s="74" t="s">
        <v>10201</v>
      </c>
      <c r="F3879" s="74"/>
      <c r="G3879" s="76"/>
      <c r="H3879" s="77"/>
      <c r="I3879" s="76" t="s">
        <v>53</v>
      </c>
      <c r="J3879" s="77"/>
      <c r="K3879" s="77"/>
      <c r="L3879" s="76"/>
      <c r="M3879" s="76"/>
      <c r="N3879" s="76"/>
      <c r="O3879" s="76"/>
      <c r="P3879" s="76"/>
      <c r="Q3879" s="76"/>
      <c r="R3879" s="76"/>
      <c r="S3879" s="76"/>
      <c r="Y3879" s="95" t="s">
        <v>9729</v>
      </c>
      <c r="AC3879" s="95" t="s">
        <v>9724</v>
      </c>
      <c r="AI3879" s="95" t="s">
        <v>9725</v>
      </c>
      <c r="AW3879" s="95">
        <v>45</v>
      </c>
      <c r="BC3879" s="96" t="s">
        <v>9726</v>
      </c>
      <c r="BD3879" s="99">
        <f t="shared" si="127"/>
        <v>1</v>
      </c>
      <c r="BP3879" s="69" t="s">
        <v>8541</v>
      </c>
      <c r="BQ3879" s="95" t="s">
        <v>8541</v>
      </c>
      <c r="BR3879" s="95" t="s">
        <v>8541</v>
      </c>
      <c r="CC3879" s="99">
        <v>1</v>
      </c>
      <c r="CV3879" s="99"/>
      <c r="CW3879" s="63"/>
    </row>
    <row r="3880" spans="1:101" x14ac:dyDescent="0.15">
      <c r="A3880" s="76">
        <v>3631</v>
      </c>
      <c r="B3880" s="74" t="s">
        <v>5089</v>
      </c>
      <c r="C3880" s="74">
        <v>1000490653</v>
      </c>
      <c r="D3880" s="78" t="str">
        <f t="shared" si="128"/>
        <v>https://portal.dnb.de/opac.htm?method=simpleSearch&amp;cqlMode=true&amp;query=idn%3D1000490653</v>
      </c>
      <c r="E3880" s="74" t="s">
        <v>10202</v>
      </c>
      <c r="F3880" s="74"/>
      <c r="G3880" s="76"/>
      <c r="H3880" s="77"/>
      <c r="I3880" s="76" t="s">
        <v>53</v>
      </c>
      <c r="J3880" s="77"/>
      <c r="K3880" s="77"/>
      <c r="L3880" s="76"/>
      <c r="M3880" s="76"/>
      <c r="N3880" s="76"/>
      <c r="O3880" s="76"/>
      <c r="P3880" s="76"/>
      <c r="Q3880" s="76"/>
      <c r="R3880" s="76"/>
      <c r="S3880" s="76"/>
      <c r="Y3880" s="95" t="s">
        <v>9729</v>
      </c>
      <c r="AC3880" s="95" t="s">
        <v>9724</v>
      </c>
      <c r="AI3880" s="95" t="s">
        <v>9725</v>
      </c>
      <c r="AW3880" s="95">
        <v>45</v>
      </c>
      <c r="BC3880" s="96" t="s">
        <v>9726</v>
      </c>
      <c r="BD3880" s="99">
        <f t="shared" si="127"/>
        <v>1</v>
      </c>
      <c r="BP3880" s="69" t="s">
        <v>8541</v>
      </c>
      <c r="BQ3880" s="95" t="s">
        <v>8541</v>
      </c>
      <c r="BR3880" s="95" t="s">
        <v>8541</v>
      </c>
      <c r="CC3880" s="99">
        <v>1</v>
      </c>
      <c r="CV3880" s="99"/>
      <c r="CW3880" s="63"/>
    </row>
    <row r="3881" spans="1:101" x14ac:dyDescent="0.15">
      <c r="A3881" s="76">
        <v>3632</v>
      </c>
      <c r="B3881" s="74" t="s">
        <v>5090</v>
      </c>
      <c r="C3881" s="74" t="s">
        <v>5091</v>
      </c>
      <c r="D3881" s="78" t="str">
        <f t="shared" si="128"/>
        <v>https://portal.dnb.de/opac.htm?method=simpleSearch&amp;cqlMode=true&amp;query=idn%3D100049070X</v>
      </c>
      <c r="E3881" s="74" t="s">
        <v>10203</v>
      </c>
      <c r="F3881" s="74"/>
      <c r="G3881" s="76"/>
      <c r="H3881" s="77"/>
      <c r="I3881" s="76" t="s">
        <v>53</v>
      </c>
      <c r="J3881" s="77"/>
      <c r="K3881" s="77"/>
      <c r="L3881" s="76"/>
      <c r="M3881" s="76"/>
      <c r="N3881" s="76"/>
      <c r="O3881" s="76"/>
      <c r="P3881" s="76"/>
      <c r="Q3881" s="76"/>
      <c r="R3881" s="76"/>
      <c r="S3881" s="76"/>
      <c r="Y3881" s="95" t="s">
        <v>9729</v>
      </c>
      <c r="AC3881" s="95" t="s">
        <v>9724</v>
      </c>
      <c r="AI3881" s="95" t="s">
        <v>9725</v>
      </c>
      <c r="AW3881" s="95">
        <v>45</v>
      </c>
      <c r="BC3881" s="96" t="s">
        <v>9726</v>
      </c>
      <c r="BD3881" s="99">
        <f t="shared" si="127"/>
        <v>1</v>
      </c>
      <c r="BP3881" s="69" t="s">
        <v>8541</v>
      </c>
      <c r="BQ3881" s="95" t="s">
        <v>8541</v>
      </c>
      <c r="BR3881" s="95" t="s">
        <v>8541</v>
      </c>
      <c r="CC3881" s="99">
        <v>1</v>
      </c>
      <c r="CV3881" s="99"/>
      <c r="CW3881" s="63"/>
    </row>
    <row r="3882" spans="1:101" x14ac:dyDescent="0.15">
      <c r="A3882" s="76">
        <v>3633</v>
      </c>
      <c r="B3882" s="74" t="s">
        <v>5092</v>
      </c>
      <c r="C3882" s="74">
        <v>1000490742</v>
      </c>
      <c r="D3882" s="78" t="str">
        <f t="shared" si="128"/>
        <v>https://portal.dnb.de/opac.htm?method=simpleSearch&amp;cqlMode=true&amp;query=idn%3D1000490742</v>
      </c>
      <c r="E3882" s="74" t="s">
        <v>10204</v>
      </c>
      <c r="F3882" s="74"/>
      <c r="G3882" s="76"/>
      <c r="H3882" s="77"/>
      <c r="I3882" s="76" t="s">
        <v>53</v>
      </c>
      <c r="J3882" s="77"/>
      <c r="K3882" s="77"/>
      <c r="L3882" s="76"/>
      <c r="M3882" s="76"/>
      <c r="N3882" s="76"/>
      <c r="O3882" s="76"/>
      <c r="P3882" s="76"/>
      <c r="Q3882" s="76"/>
      <c r="R3882" s="76"/>
      <c r="S3882" s="76"/>
      <c r="Y3882" s="95" t="s">
        <v>9729</v>
      </c>
      <c r="AC3882" s="95" t="s">
        <v>9724</v>
      </c>
      <c r="AI3882" s="95" t="s">
        <v>9725</v>
      </c>
      <c r="AW3882" s="95">
        <v>45</v>
      </c>
      <c r="BC3882" s="96" t="s">
        <v>9726</v>
      </c>
      <c r="BD3882" s="99">
        <f t="shared" si="127"/>
        <v>1</v>
      </c>
      <c r="BP3882" s="69" t="s">
        <v>8541</v>
      </c>
      <c r="BQ3882" s="95" t="s">
        <v>8541</v>
      </c>
      <c r="BR3882" s="95" t="s">
        <v>8541</v>
      </c>
      <c r="CB3882" s="95" t="s">
        <v>9882</v>
      </c>
      <c r="CC3882" s="99">
        <v>1</v>
      </c>
      <c r="CV3882" s="99"/>
      <c r="CW3882" s="63"/>
    </row>
    <row r="3883" spans="1:101" x14ac:dyDescent="0.15">
      <c r="A3883" s="76">
        <v>3634</v>
      </c>
      <c r="B3883" s="74" t="s">
        <v>5093</v>
      </c>
      <c r="C3883" s="74">
        <v>1000490610</v>
      </c>
      <c r="D3883" s="78" t="str">
        <f t="shared" si="128"/>
        <v>https://portal.dnb.de/opac.htm?method=simpleSearch&amp;cqlMode=true&amp;query=idn%3D1000490610</v>
      </c>
      <c r="E3883" s="74" t="s">
        <v>10205</v>
      </c>
      <c r="F3883" s="74"/>
      <c r="G3883" s="76"/>
      <c r="H3883" s="77"/>
      <c r="I3883" s="76" t="s">
        <v>53</v>
      </c>
      <c r="J3883" s="77"/>
      <c r="K3883" s="77"/>
      <c r="L3883" s="76"/>
      <c r="M3883" s="76"/>
      <c r="N3883" s="76"/>
      <c r="O3883" s="76"/>
      <c r="P3883" s="76"/>
      <c r="Q3883" s="76"/>
      <c r="R3883" s="76"/>
      <c r="S3883" s="76"/>
      <c r="Y3883" s="95" t="s">
        <v>9729</v>
      </c>
      <c r="AC3883" s="95" t="s">
        <v>9724</v>
      </c>
      <c r="AI3883" s="95" t="s">
        <v>9725</v>
      </c>
      <c r="AW3883" s="95">
        <v>45</v>
      </c>
      <c r="BC3883" s="96" t="s">
        <v>9726</v>
      </c>
      <c r="BD3883" s="99">
        <f t="shared" si="127"/>
        <v>1.5</v>
      </c>
      <c r="BP3883" s="69" t="s">
        <v>8541</v>
      </c>
      <c r="BQ3883" s="95" t="s">
        <v>8541</v>
      </c>
      <c r="BR3883" s="95" t="s">
        <v>8541</v>
      </c>
      <c r="CC3883" s="99">
        <v>1</v>
      </c>
      <c r="CJ3883" s="95" t="s">
        <v>8541</v>
      </c>
      <c r="CV3883" s="99">
        <v>0.5</v>
      </c>
      <c r="CW3883" s="63"/>
    </row>
    <row r="3884" spans="1:101" ht="45" x14ac:dyDescent="0.15">
      <c r="A3884" s="76">
        <v>3635</v>
      </c>
      <c r="B3884" s="74" t="s">
        <v>5094</v>
      </c>
      <c r="C3884" s="74">
        <v>999228722</v>
      </c>
      <c r="D3884" s="78" t="str">
        <f t="shared" si="128"/>
        <v>https://portal.dnb.de/opac.htm?method=simpleSearch&amp;cqlMode=true&amp;query=idn%3D999228722</v>
      </c>
      <c r="E3884" s="74" t="s">
        <v>5095</v>
      </c>
      <c r="F3884" s="79" t="s">
        <v>10537</v>
      </c>
      <c r="G3884" s="76"/>
      <c r="H3884" s="77"/>
      <c r="I3884" s="76"/>
      <c r="J3884" s="77"/>
      <c r="K3884" s="77"/>
      <c r="L3884" s="76"/>
      <c r="M3884" s="76"/>
      <c r="N3884" s="76"/>
      <c r="O3884" s="76"/>
      <c r="P3884" s="76"/>
      <c r="Q3884" s="76"/>
      <c r="R3884" s="76"/>
      <c r="S3884" s="76"/>
      <c r="BD3884" s="99">
        <f t="shared" si="127"/>
        <v>0</v>
      </c>
      <c r="CC3884" s="99"/>
      <c r="CV3884" s="99"/>
      <c r="CW3884" s="63"/>
    </row>
    <row r="3885" spans="1:101" x14ac:dyDescent="0.15">
      <c r="A3885" s="76"/>
      <c r="B3885" s="74"/>
      <c r="C3885" s="74"/>
      <c r="D3885" s="78"/>
      <c r="E3885" s="74" t="s">
        <v>10206</v>
      </c>
      <c r="F3885" s="74"/>
      <c r="G3885" s="76"/>
      <c r="H3885" s="77"/>
      <c r="I3885" s="76" t="s">
        <v>53</v>
      </c>
      <c r="J3885" s="77"/>
      <c r="K3885" s="77"/>
      <c r="L3885" s="76"/>
      <c r="M3885" s="76"/>
      <c r="N3885" s="76"/>
      <c r="O3885" s="76"/>
      <c r="P3885" s="76"/>
      <c r="Q3885" s="76"/>
      <c r="R3885" s="76"/>
      <c r="S3885" s="76"/>
      <c r="Y3885" s="95" t="s">
        <v>9723</v>
      </c>
      <c r="AC3885" s="95" t="s">
        <v>9724</v>
      </c>
      <c r="AI3885" s="95" t="s">
        <v>9725</v>
      </c>
      <c r="AW3885" s="95">
        <v>45</v>
      </c>
      <c r="BC3885" s="96" t="s">
        <v>9726</v>
      </c>
      <c r="BD3885" s="99">
        <f t="shared" si="127"/>
        <v>1</v>
      </c>
      <c r="BP3885" s="69" t="s">
        <v>8541</v>
      </c>
      <c r="BQ3885" s="95" t="s">
        <v>8541</v>
      </c>
      <c r="BR3885" s="95" t="s">
        <v>8541</v>
      </c>
      <c r="CC3885" s="99">
        <v>1</v>
      </c>
      <c r="CV3885" s="99"/>
      <c r="CW3885" s="63"/>
    </row>
    <row r="3886" spans="1:101" x14ac:dyDescent="0.15">
      <c r="A3886" s="76"/>
      <c r="B3886" s="74"/>
      <c r="C3886" s="74"/>
      <c r="D3886" s="78"/>
      <c r="E3886" s="74" t="s">
        <v>10207</v>
      </c>
      <c r="F3886" s="74"/>
      <c r="G3886" s="76"/>
      <c r="H3886" s="77"/>
      <c r="I3886" s="76" t="s">
        <v>53</v>
      </c>
      <c r="J3886" s="77"/>
      <c r="K3886" s="77"/>
      <c r="L3886" s="76"/>
      <c r="M3886" s="76"/>
      <c r="N3886" s="76"/>
      <c r="O3886" s="76"/>
      <c r="P3886" s="76"/>
      <c r="Q3886" s="76"/>
      <c r="R3886" s="76"/>
      <c r="S3886" s="76"/>
      <c r="Y3886" s="95" t="s">
        <v>9723</v>
      </c>
      <c r="AC3886" s="95" t="s">
        <v>9724</v>
      </c>
      <c r="AI3886" s="95" t="s">
        <v>9725</v>
      </c>
      <c r="AW3886" s="95">
        <v>45</v>
      </c>
      <c r="BC3886" s="96" t="s">
        <v>9726</v>
      </c>
      <c r="BD3886" s="99">
        <f t="shared" si="127"/>
        <v>2.5</v>
      </c>
      <c r="BP3886" s="69" t="s">
        <v>8541</v>
      </c>
      <c r="BQ3886" s="95" t="s">
        <v>8541</v>
      </c>
      <c r="BR3886" s="95" t="s">
        <v>8541</v>
      </c>
      <c r="CB3886" s="95" t="s">
        <v>10217</v>
      </c>
      <c r="CC3886" s="99">
        <v>2.5</v>
      </c>
      <c r="CV3886" s="99"/>
      <c r="CW3886" s="63"/>
    </row>
    <row r="3887" spans="1:101" ht="22.5" x14ac:dyDescent="0.15">
      <c r="A3887" s="76"/>
      <c r="B3887" s="74"/>
      <c r="C3887" s="74"/>
      <c r="D3887" s="78"/>
      <c r="E3887" s="74" t="s">
        <v>10208</v>
      </c>
      <c r="F3887" s="74"/>
      <c r="G3887" s="76"/>
      <c r="H3887" s="77"/>
      <c r="I3887" s="76" t="s">
        <v>53</v>
      </c>
      <c r="J3887" s="77"/>
      <c r="K3887" s="77"/>
      <c r="L3887" s="76"/>
      <c r="M3887" s="76"/>
      <c r="N3887" s="76"/>
      <c r="O3887" s="76"/>
      <c r="P3887" s="76"/>
      <c r="Q3887" s="76"/>
      <c r="R3887" s="76"/>
      <c r="S3887" s="76"/>
      <c r="Y3887" s="95" t="s">
        <v>9723</v>
      </c>
      <c r="AC3887" s="95" t="s">
        <v>9724</v>
      </c>
      <c r="AI3887" s="95" t="s">
        <v>9725</v>
      </c>
      <c r="AW3887" s="95">
        <v>45</v>
      </c>
      <c r="BC3887" s="96" t="s">
        <v>9726</v>
      </c>
      <c r="BD3887" s="99">
        <f t="shared" si="127"/>
        <v>1.5</v>
      </c>
      <c r="BP3887" s="69" t="s">
        <v>8541</v>
      </c>
      <c r="BQ3887" s="95" t="s">
        <v>8541</v>
      </c>
      <c r="BR3887" s="95" t="s">
        <v>8541</v>
      </c>
      <c r="BT3887" s="95" t="s">
        <v>9737</v>
      </c>
      <c r="CC3887" s="99">
        <v>1.5</v>
      </c>
      <c r="CD3887" s="90" t="s">
        <v>10218</v>
      </c>
      <c r="CV3887" s="99"/>
      <c r="CW3887" s="63"/>
    </row>
    <row r="3888" spans="1:101" x14ac:dyDescent="0.15">
      <c r="A3888" s="76"/>
      <c r="B3888" s="74"/>
      <c r="C3888" s="74"/>
      <c r="D3888" s="78"/>
      <c r="E3888" s="74" t="s">
        <v>10209</v>
      </c>
      <c r="F3888" s="74"/>
      <c r="G3888" s="76"/>
      <c r="H3888" s="77"/>
      <c r="I3888" s="76" t="s">
        <v>53</v>
      </c>
      <c r="J3888" s="77"/>
      <c r="K3888" s="77"/>
      <c r="L3888" s="76"/>
      <c r="M3888" s="76"/>
      <c r="N3888" s="76"/>
      <c r="O3888" s="76"/>
      <c r="P3888" s="76"/>
      <c r="Q3888" s="76"/>
      <c r="R3888" s="76"/>
      <c r="S3888" s="76"/>
      <c r="Y3888" s="95" t="s">
        <v>9723</v>
      </c>
      <c r="AC3888" s="95" t="s">
        <v>9724</v>
      </c>
      <c r="AI3888" s="95" t="s">
        <v>9725</v>
      </c>
      <c r="AW3888" s="95">
        <v>45</v>
      </c>
      <c r="BC3888" s="96" t="s">
        <v>9726</v>
      </c>
      <c r="BD3888" s="99">
        <f t="shared" si="127"/>
        <v>3</v>
      </c>
      <c r="BP3888" s="69" t="s">
        <v>8541</v>
      </c>
      <c r="BQ3888" s="95" t="s">
        <v>8541</v>
      </c>
      <c r="BR3888" s="95" t="s">
        <v>8541</v>
      </c>
      <c r="CB3888" s="95" t="s">
        <v>10217</v>
      </c>
      <c r="CC3888" s="99">
        <v>3</v>
      </c>
      <c r="CV3888" s="99"/>
      <c r="CW3888" s="63"/>
    </row>
    <row r="3889" spans="1:101" x14ac:dyDescent="0.15">
      <c r="A3889" s="76"/>
      <c r="B3889" s="74"/>
      <c r="C3889" s="74"/>
      <c r="D3889" s="78"/>
      <c r="E3889" s="74" t="s">
        <v>10210</v>
      </c>
      <c r="F3889" s="74"/>
      <c r="G3889" s="76"/>
      <c r="H3889" s="77"/>
      <c r="I3889" s="76" t="s">
        <v>53</v>
      </c>
      <c r="J3889" s="77"/>
      <c r="K3889" s="77"/>
      <c r="L3889" s="76"/>
      <c r="M3889" s="76"/>
      <c r="N3889" s="76"/>
      <c r="O3889" s="76"/>
      <c r="P3889" s="76"/>
      <c r="Q3889" s="76"/>
      <c r="R3889" s="76"/>
      <c r="S3889" s="76"/>
      <c r="Y3889" s="95" t="s">
        <v>9723</v>
      </c>
      <c r="AC3889" s="95" t="s">
        <v>9724</v>
      </c>
      <c r="AI3889" s="95" t="s">
        <v>9725</v>
      </c>
      <c r="AW3889" s="95">
        <v>45</v>
      </c>
      <c r="BC3889" s="96" t="s">
        <v>9726</v>
      </c>
      <c r="BD3889" s="99">
        <f t="shared" si="127"/>
        <v>0.5</v>
      </c>
      <c r="BP3889" s="69" t="s">
        <v>8541</v>
      </c>
      <c r="BQ3889" s="95" t="s">
        <v>8541</v>
      </c>
      <c r="BR3889" s="95" t="s">
        <v>8541</v>
      </c>
      <c r="CC3889" s="99">
        <v>0.5</v>
      </c>
      <c r="CV3889" s="99"/>
      <c r="CW3889" s="63"/>
    </row>
    <row r="3890" spans="1:101" x14ac:dyDescent="0.15">
      <c r="A3890" s="76"/>
      <c r="B3890" s="74"/>
      <c r="C3890" s="74"/>
      <c r="D3890" s="78"/>
      <c r="E3890" s="74" t="s">
        <v>10211</v>
      </c>
      <c r="F3890" s="74"/>
      <c r="G3890" s="76"/>
      <c r="H3890" s="77"/>
      <c r="I3890" s="76" t="s">
        <v>53</v>
      </c>
      <c r="J3890" s="77"/>
      <c r="K3890" s="77"/>
      <c r="L3890" s="76"/>
      <c r="M3890" s="76"/>
      <c r="N3890" s="76"/>
      <c r="O3890" s="76"/>
      <c r="P3890" s="76"/>
      <c r="Q3890" s="76"/>
      <c r="R3890" s="76"/>
      <c r="S3890" s="76"/>
      <c r="Y3890" s="95" t="s">
        <v>9723</v>
      </c>
      <c r="AC3890" s="95" t="s">
        <v>9724</v>
      </c>
      <c r="AI3890" s="95" t="s">
        <v>9725</v>
      </c>
      <c r="AW3890" s="95">
        <v>45</v>
      </c>
      <c r="BC3890" s="96" t="s">
        <v>9726</v>
      </c>
      <c r="BD3890" s="99">
        <f t="shared" si="127"/>
        <v>3</v>
      </c>
      <c r="BP3890" s="69" t="s">
        <v>8541</v>
      </c>
      <c r="BQ3890" s="95" t="s">
        <v>8541</v>
      </c>
      <c r="BR3890" s="95" t="s">
        <v>8541</v>
      </c>
      <c r="CB3890" s="95" t="s">
        <v>10217</v>
      </c>
      <c r="CC3890" s="99">
        <v>3</v>
      </c>
      <c r="CV3890" s="99"/>
      <c r="CW3890" s="63"/>
    </row>
    <row r="3891" spans="1:101" x14ac:dyDescent="0.15">
      <c r="A3891" s="76"/>
      <c r="B3891" s="74"/>
      <c r="C3891" s="74"/>
      <c r="D3891" s="78"/>
      <c r="E3891" s="74" t="s">
        <v>10212</v>
      </c>
      <c r="F3891" s="74"/>
      <c r="G3891" s="76"/>
      <c r="H3891" s="77"/>
      <c r="I3891" s="76" t="s">
        <v>53</v>
      </c>
      <c r="J3891" s="77"/>
      <c r="K3891" s="77"/>
      <c r="L3891" s="76"/>
      <c r="M3891" s="76"/>
      <c r="N3891" s="76"/>
      <c r="O3891" s="76"/>
      <c r="P3891" s="76"/>
      <c r="Q3891" s="76"/>
      <c r="R3891" s="76"/>
      <c r="S3891" s="76"/>
      <c r="Y3891" s="95" t="s">
        <v>9723</v>
      </c>
      <c r="AC3891" s="95" t="s">
        <v>9739</v>
      </c>
      <c r="AI3891" s="95" t="s">
        <v>9725</v>
      </c>
      <c r="AW3891" s="95">
        <v>80</v>
      </c>
      <c r="BC3891" s="96" t="s">
        <v>9734</v>
      </c>
      <c r="BD3891" s="99">
        <f t="shared" si="127"/>
        <v>0</v>
      </c>
      <c r="CC3891" s="99"/>
      <c r="CV3891" s="99"/>
      <c r="CW3891" s="63"/>
    </row>
    <row r="3892" spans="1:101" x14ac:dyDescent="0.15">
      <c r="A3892" s="76"/>
      <c r="B3892" s="74"/>
      <c r="C3892" s="74"/>
      <c r="D3892" s="78"/>
      <c r="E3892" s="74" t="s">
        <v>10213</v>
      </c>
      <c r="F3892" s="74"/>
      <c r="G3892" s="76"/>
      <c r="H3892" s="77"/>
      <c r="I3892" s="76" t="s">
        <v>53</v>
      </c>
      <c r="J3892" s="77"/>
      <c r="K3892" s="77"/>
      <c r="L3892" s="76"/>
      <c r="M3892" s="76"/>
      <c r="N3892" s="76"/>
      <c r="O3892" s="76"/>
      <c r="P3892" s="76"/>
      <c r="Q3892" s="76"/>
      <c r="R3892" s="76"/>
      <c r="S3892" s="76"/>
      <c r="Y3892" s="95" t="s">
        <v>9723</v>
      </c>
      <c r="AC3892" s="95" t="s">
        <v>9724</v>
      </c>
      <c r="AI3892" s="95" t="s">
        <v>9725</v>
      </c>
      <c r="AW3892" s="95">
        <v>45</v>
      </c>
      <c r="BC3892" s="96" t="s">
        <v>9726</v>
      </c>
      <c r="BD3892" s="99">
        <f t="shared" si="127"/>
        <v>2</v>
      </c>
      <c r="BP3892" s="69" t="s">
        <v>8541</v>
      </c>
      <c r="BQ3892" s="95" t="s">
        <v>8541</v>
      </c>
      <c r="BR3892" s="95" t="s">
        <v>8541</v>
      </c>
      <c r="CB3892" s="95" t="s">
        <v>9818</v>
      </c>
      <c r="CC3892" s="99">
        <v>2</v>
      </c>
      <c r="CV3892" s="99"/>
      <c r="CW3892" s="63"/>
    </row>
    <row r="3893" spans="1:101" x14ac:dyDescent="0.15">
      <c r="A3893" s="76"/>
      <c r="B3893" s="74"/>
      <c r="C3893" s="74"/>
      <c r="D3893" s="78"/>
      <c r="E3893" s="74" t="s">
        <v>10214</v>
      </c>
      <c r="F3893" s="74"/>
      <c r="G3893" s="76"/>
      <c r="H3893" s="77"/>
      <c r="I3893" s="76" t="s">
        <v>53</v>
      </c>
      <c r="J3893" s="77"/>
      <c r="K3893" s="77"/>
      <c r="L3893" s="76"/>
      <c r="M3893" s="76"/>
      <c r="N3893" s="76"/>
      <c r="O3893" s="76"/>
      <c r="P3893" s="76"/>
      <c r="Q3893" s="76"/>
      <c r="R3893" s="76"/>
      <c r="S3893" s="76"/>
      <c r="Y3893" s="95" t="s">
        <v>9723</v>
      </c>
      <c r="AC3893" s="95" t="s">
        <v>9724</v>
      </c>
      <c r="AI3893" s="95" t="s">
        <v>9725</v>
      </c>
      <c r="AW3893" s="95">
        <v>45</v>
      </c>
      <c r="BC3893" s="96" t="s">
        <v>9726</v>
      </c>
      <c r="BD3893" s="99">
        <f t="shared" si="127"/>
        <v>3</v>
      </c>
      <c r="BP3893" s="69" t="s">
        <v>8541</v>
      </c>
      <c r="BQ3893" s="95" t="s">
        <v>8541</v>
      </c>
      <c r="BR3893" s="95" t="s">
        <v>8541</v>
      </c>
      <c r="CB3893" s="95" t="s">
        <v>10217</v>
      </c>
      <c r="CC3893" s="99">
        <v>3</v>
      </c>
      <c r="CV3893" s="99"/>
      <c r="CW3893" s="63"/>
    </row>
    <row r="3894" spans="1:101" x14ac:dyDescent="0.15">
      <c r="A3894" s="76"/>
      <c r="B3894" s="74"/>
      <c r="C3894" s="74"/>
      <c r="D3894" s="78"/>
      <c r="E3894" s="74" t="s">
        <v>10215</v>
      </c>
      <c r="F3894" s="74"/>
      <c r="G3894" s="76"/>
      <c r="H3894" s="77"/>
      <c r="I3894" s="76" t="s">
        <v>53</v>
      </c>
      <c r="J3894" s="77"/>
      <c r="K3894" s="77"/>
      <c r="L3894" s="76"/>
      <c r="M3894" s="76"/>
      <c r="N3894" s="76"/>
      <c r="O3894" s="76"/>
      <c r="P3894" s="76"/>
      <c r="Q3894" s="76"/>
      <c r="R3894" s="76"/>
      <c r="S3894" s="76"/>
      <c r="Y3894" s="95" t="s">
        <v>9723</v>
      </c>
      <c r="AC3894" s="95" t="s">
        <v>9724</v>
      </c>
      <c r="AI3894" s="95" t="s">
        <v>9725</v>
      </c>
      <c r="AW3894" s="95">
        <v>45</v>
      </c>
      <c r="BC3894" s="96" t="s">
        <v>9726</v>
      </c>
      <c r="BD3894" s="99">
        <f t="shared" si="127"/>
        <v>1</v>
      </c>
      <c r="BP3894" s="69" t="s">
        <v>8541</v>
      </c>
      <c r="BQ3894" s="95" t="s">
        <v>8541</v>
      </c>
      <c r="BR3894" s="95" t="s">
        <v>8541</v>
      </c>
      <c r="CC3894" s="99">
        <v>1</v>
      </c>
      <c r="CV3894" s="99"/>
      <c r="CW3894" s="63"/>
    </row>
    <row r="3895" spans="1:101" x14ac:dyDescent="0.15">
      <c r="A3895" s="76"/>
      <c r="B3895" s="74"/>
      <c r="C3895" s="74"/>
      <c r="D3895" s="78"/>
      <c r="E3895" s="74" t="s">
        <v>10216</v>
      </c>
      <c r="F3895" s="74"/>
      <c r="G3895" s="76"/>
      <c r="H3895" s="77"/>
      <c r="I3895" s="76" t="s">
        <v>53</v>
      </c>
      <c r="J3895" s="77"/>
      <c r="K3895" s="77"/>
      <c r="L3895" s="76"/>
      <c r="M3895" s="76"/>
      <c r="N3895" s="76"/>
      <c r="O3895" s="76"/>
      <c r="P3895" s="76"/>
      <c r="Q3895" s="76"/>
      <c r="R3895" s="76"/>
      <c r="S3895" s="76"/>
      <c r="Y3895" s="95" t="s">
        <v>9723</v>
      </c>
      <c r="AC3895" s="95" t="s">
        <v>9724</v>
      </c>
      <c r="AI3895" s="95" t="s">
        <v>9725</v>
      </c>
      <c r="AW3895" s="95">
        <v>45</v>
      </c>
      <c r="BC3895" s="96" t="s">
        <v>9726</v>
      </c>
      <c r="BD3895" s="99">
        <f t="shared" si="127"/>
        <v>2</v>
      </c>
      <c r="BP3895" s="69" t="s">
        <v>8541</v>
      </c>
      <c r="BQ3895" s="95" t="s">
        <v>8541</v>
      </c>
      <c r="BR3895" s="95" t="s">
        <v>8541</v>
      </c>
      <c r="CB3895" s="95" t="s">
        <v>9882</v>
      </c>
      <c r="CC3895" s="99">
        <v>2</v>
      </c>
      <c r="CV3895" s="99"/>
      <c r="CW3895" s="63"/>
    </row>
    <row r="3896" spans="1:101" x14ac:dyDescent="0.15">
      <c r="A3896" s="76">
        <v>3636</v>
      </c>
      <c r="B3896" s="74" t="s">
        <v>5096</v>
      </c>
      <c r="C3896" s="74">
        <v>999592572</v>
      </c>
      <c r="D3896" s="78" t="str">
        <f t="shared" si="128"/>
        <v>https://portal.dnb.de/opac.htm?method=simpleSearch&amp;cqlMode=true&amp;query=idn%3D999592572</v>
      </c>
      <c r="E3896" s="74" t="s">
        <v>5097</v>
      </c>
      <c r="F3896" s="74"/>
      <c r="G3896" s="76"/>
      <c r="H3896" s="77"/>
      <c r="I3896" s="76"/>
      <c r="J3896" s="77"/>
      <c r="K3896" s="77"/>
      <c r="L3896" s="76"/>
      <c r="M3896" s="76"/>
      <c r="N3896" s="76"/>
      <c r="O3896" s="76"/>
      <c r="P3896" s="76"/>
      <c r="Q3896" s="76"/>
      <c r="R3896" s="76"/>
      <c r="S3896" s="76"/>
      <c r="BD3896" s="99">
        <f t="shared" si="127"/>
        <v>0</v>
      </c>
      <c r="CC3896" s="99"/>
      <c r="CV3896" s="99"/>
      <c r="CW3896" s="63"/>
    </row>
    <row r="3897" spans="1:101" x14ac:dyDescent="0.15">
      <c r="A3897" s="76">
        <v>3637</v>
      </c>
      <c r="B3897" s="74" t="s">
        <v>5098</v>
      </c>
      <c r="C3897" s="74">
        <v>997402636</v>
      </c>
      <c r="D3897" s="78" t="str">
        <f t="shared" si="128"/>
        <v>https://portal.dnb.de/opac.htm?method=simpleSearch&amp;cqlMode=true&amp;query=idn%3D997402636</v>
      </c>
      <c r="E3897" s="74" t="s">
        <v>5099</v>
      </c>
      <c r="F3897" s="74"/>
      <c r="G3897" s="76"/>
      <c r="H3897" s="77"/>
      <c r="I3897" s="76"/>
      <c r="J3897" s="77"/>
      <c r="K3897" s="77"/>
      <c r="L3897" s="76"/>
      <c r="M3897" s="76"/>
      <c r="N3897" s="76"/>
      <c r="O3897" s="76"/>
      <c r="P3897" s="76"/>
      <c r="Q3897" s="76"/>
      <c r="R3897" s="76"/>
      <c r="S3897" s="76"/>
      <c r="BD3897" s="99">
        <f t="shared" si="127"/>
        <v>0</v>
      </c>
      <c r="CC3897" s="99"/>
      <c r="CV3897" s="99"/>
      <c r="CW3897" s="63"/>
    </row>
    <row r="3898" spans="1:101" x14ac:dyDescent="0.15">
      <c r="A3898" s="76">
        <v>3638</v>
      </c>
      <c r="B3898" s="74" t="s">
        <v>5110</v>
      </c>
      <c r="C3898" s="74">
        <v>1000444163</v>
      </c>
      <c r="D3898" s="78" t="str">
        <f t="shared" si="128"/>
        <v>https://portal.dnb.de/opac.htm?method=simpleSearch&amp;cqlMode=true&amp;query=idn%3D1000444163</v>
      </c>
      <c r="E3898" s="74" t="s">
        <v>5111</v>
      </c>
      <c r="F3898" s="74"/>
      <c r="G3898" s="76"/>
      <c r="H3898" s="77"/>
      <c r="I3898" s="76"/>
      <c r="J3898" s="77"/>
      <c r="K3898" s="77"/>
      <c r="L3898" s="76"/>
      <c r="M3898" s="76"/>
      <c r="N3898" s="76"/>
      <c r="O3898" s="76"/>
      <c r="P3898" s="76"/>
      <c r="Q3898" s="76"/>
      <c r="R3898" s="76"/>
      <c r="S3898" s="76"/>
      <c r="BD3898" s="99">
        <f t="shared" si="127"/>
        <v>0</v>
      </c>
      <c r="CC3898" s="99"/>
      <c r="CV3898" s="99"/>
      <c r="CW3898" s="63"/>
    </row>
    <row r="3899" spans="1:101" x14ac:dyDescent="0.15">
      <c r="A3899" s="76">
        <v>3639</v>
      </c>
      <c r="B3899" s="74" t="s">
        <v>5112</v>
      </c>
      <c r="C3899" s="74">
        <v>999815032</v>
      </c>
      <c r="D3899" s="78" t="str">
        <f t="shared" si="128"/>
        <v>https://portal.dnb.de/opac.htm?method=simpleSearch&amp;cqlMode=true&amp;query=idn%3D999815032</v>
      </c>
      <c r="E3899" s="74" t="s">
        <v>5111</v>
      </c>
      <c r="F3899" s="74"/>
      <c r="G3899" s="76"/>
      <c r="H3899" s="77"/>
      <c r="I3899" s="76"/>
      <c r="J3899" s="77"/>
      <c r="K3899" s="77"/>
      <c r="L3899" s="76"/>
      <c r="M3899" s="76"/>
      <c r="N3899" s="76"/>
      <c r="O3899" s="76"/>
      <c r="P3899" s="76"/>
      <c r="Q3899" s="76"/>
      <c r="R3899" s="76"/>
      <c r="S3899" s="76"/>
      <c r="BD3899" s="99">
        <f t="shared" si="127"/>
        <v>0</v>
      </c>
      <c r="CC3899" s="99"/>
      <c r="CV3899" s="99"/>
      <c r="CW3899" s="63"/>
    </row>
    <row r="3900" spans="1:101" x14ac:dyDescent="0.15">
      <c r="A3900" s="76">
        <v>3640</v>
      </c>
      <c r="B3900" s="74" t="s">
        <v>5113</v>
      </c>
      <c r="C3900" s="74">
        <v>999821903</v>
      </c>
      <c r="D3900" s="78" t="str">
        <f t="shared" si="128"/>
        <v>https://portal.dnb.de/opac.htm?method=simpleSearch&amp;cqlMode=true&amp;query=idn%3D999821903</v>
      </c>
      <c r="E3900" s="74" t="s">
        <v>5111</v>
      </c>
      <c r="F3900" s="74"/>
      <c r="G3900" s="76"/>
      <c r="H3900" s="77"/>
      <c r="I3900" s="76"/>
      <c r="J3900" s="77"/>
      <c r="K3900" s="77"/>
      <c r="L3900" s="76"/>
      <c r="M3900" s="76"/>
      <c r="N3900" s="76"/>
      <c r="O3900" s="76"/>
      <c r="P3900" s="76"/>
      <c r="Q3900" s="76"/>
      <c r="R3900" s="76"/>
      <c r="S3900" s="76"/>
      <c r="BD3900" s="99">
        <f t="shared" si="127"/>
        <v>0</v>
      </c>
      <c r="CC3900" s="99"/>
      <c r="CV3900" s="99"/>
      <c r="CW3900" s="63"/>
    </row>
    <row r="3901" spans="1:101" x14ac:dyDescent="0.15">
      <c r="A3901" s="76">
        <v>3641</v>
      </c>
      <c r="B3901" s="74" t="s">
        <v>5116</v>
      </c>
      <c r="C3901" s="74">
        <v>998422770</v>
      </c>
      <c r="D3901" s="78" t="str">
        <f t="shared" si="128"/>
        <v>https://portal.dnb.de/opac.htm?method=simpleSearch&amp;cqlMode=true&amp;query=idn%3D998422770</v>
      </c>
      <c r="E3901" s="74" t="s">
        <v>5117</v>
      </c>
      <c r="F3901" s="74"/>
      <c r="G3901" s="76"/>
      <c r="H3901" s="77"/>
      <c r="I3901" s="76"/>
      <c r="J3901" s="77"/>
      <c r="K3901" s="77"/>
      <c r="L3901" s="76"/>
      <c r="M3901" s="76"/>
      <c r="N3901" s="76"/>
      <c r="O3901" s="76"/>
      <c r="P3901" s="76"/>
      <c r="Q3901" s="76"/>
      <c r="R3901" s="76"/>
      <c r="S3901" s="76"/>
      <c r="BD3901" s="99">
        <f t="shared" si="127"/>
        <v>0</v>
      </c>
      <c r="CC3901" s="99"/>
      <c r="CV3901" s="99"/>
      <c r="CW3901" s="63"/>
    </row>
    <row r="3902" spans="1:101" x14ac:dyDescent="0.15">
      <c r="A3902" s="76">
        <v>3642</v>
      </c>
      <c r="B3902" s="74" t="s">
        <v>5118</v>
      </c>
      <c r="C3902" s="74">
        <v>994303696</v>
      </c>
      <c r="D3902" s="78" t="str">
        <f t="shared" si="128"/>
        <v>https://portal.dnb.de/opac.htm?method=simpleSearch&amp;cqlMode=true&amp;query=idn%3D994303696</v>
      </c>
      <c r="E3902" s="74" t="s">
        <v>5119</v>
      </c>
      <c r="F3902" s="74"/>
      <c r="G3902" s="76"/>
      <c r="H3902" s="77"/>
      <c r="I3902" s="76"/>
      <c r="J3902" s="77"/>
      <c r="K3902" s="77"/>
      <c r="L3902" s="76"/>
      <c r="M3902" s="76"/>
      <c r="N3902" s="76"/>
      <c r="O3902" s="76"/>
      <c r="P3902" s="76"/>
      <c r="Q3902" s="76"/>
      <c r="R3902" s="76"/>
      <c r="S3902" s="76"/>
      <c r="BD3902" s="99">
        <f t="shared" si="127"/>
        <v>0</v>
      </c>
      <c r="CC3902" s="99"/>
      <c r="CV3902" s="99"/>
      <c r="CW3902" s="63"/>
    </row>
    <row r="3903" spans="1:101" x14ac:dyDescent="0.15">
      <c r="A3903" s="76">
        <v>3643</v>
      </c>
      <c r="B3903" s="74" t="s">
        <v>5120</v>
      </c>
      <c r="C3903" s="74">
        <v>999750496</v>
      </c>
      <c r="D3903" s="78" t="str">
        <f t="shared" si="128"/>
        <v>https://portal.dnb.de/opac.htm?method=simpleSearch&amp;cqlMode=true&amp;query=idn%3D999750496</v>
      </c>
      <c r="E3903" s="74" t="s">
        <v>5119</v>
      </c>
      <c r="F3903" s="74"/>
      <c r="G3903" s="76"/>
      <c r="H3903" s="77"/>
      <c r="I3903" s="76"/>
      <c r="J3903" s="77"/>
      <c r="K3903" s="77"/>
      <c r="L3903" s="76"/>
      <c r="M3903" s="76"/>
      <c r="N3903" s="76"/>
      <c r="O3903" s="76"/>
      <c r="P3903" s="76"/>
      <c r="Q3903" s="76"/>
      <c r="R3903" s="76"/>
      <c r="S3903" s="76"/>
      <c r="BD3903" s="99">
        <f t="shared" si="127"/>
        <v>0</v>
      </c>
      <c r="CC3903" s="99"/>
      <c r="CV3903" s="99"/>
      <c r="CW3903" s="63"/>
    </row>
    <row r="3904" spans="1:101" x14ac:dyDescent="0.15">
      <c r="A3904" s="76">
        <v>3644</v>
      </c>
      <c r="B3904" s="74" t="s">
        <v>5121</v>
      </c>
      <c r="C3904" s="74">
        <v>1000132250</v>
      </c>
      <c r="D3904" s="78" t="str">
        <f t="shared" si="128"/>
        <v>https://portal.dnb.de/opac.htm?method=simpleSearch&amp;cqlMode=true&amp;query=idn%3D1000132250</v>
      </c>
      <c r="E3904" s="74" t="s">
        <v>5122</v>
      </c>
      <c r="F3904" s="74"/>
      <c r="G3904" s="76"/>
      <c r="H3904" s="77"/>
      <c r="I3904" s="76"/>
      <c r="J3904" s="77"/>
      <c r="K3904" s="77"/>
      <c r="L3904" s="76"/>
      <c r="M3904" s="76"/>
      <c r="N3904" s="76"/>
      <c r="O3904" s="76"/>
      <c r="P3904" s="76"/>
      <c r="Q3904" s="76"/>
      <c r="R3904" s="76"/>
      <c r="S3904" s="76"/>
      <c r="BD3904" s="99">
        <f t="shared" si="127"/>
        <v>0</v>
      </c>
      <c r="CC3904" s="99"/>
      <c r="CV3904" s="99"/>
      <c r="CW3904" s="63"/>
    </row>
    <row r="3905" spans="1:101" x14ac:dyDescent="0.15">
      <c r="A3905" s="76">
        <v>3645</v>
      </c>
      <c r="B3905" s="74" t="s">
        <v>5123</v>
      </c>
      <c r="C3905" s="74">
        <v>999871889</v>
      </c>
      <c r="D3905" s="78" t="str">
        <f t="shared" si="128"/>
        <v>https://portal.dnb.de/opac.htm?method=simpleSearch&amp;cqlMode=true&amp;query=idn%3D999871889</v>
      </c>
      <c r="E3905" s="74" t="s">
        <v>5124</v>
      </c>
      <c r="F3905" s="74"/>
      <c r="G3905" s="76"/>
      <c r="H3905" s="77"/>
      <c r="I3905" s="76"/>
      <c r="J3905" s="77"/>
      <c r="K3905" s="77"/>
      <c r="L3905" s="76"/>
      <c r="M3905" s="76"/>
      <c r="N3905" s="76"/>
      <c r="O3905" s="76"/>
      <c r="P3905" s="76"/>
      <c r="Q3905" s="76"/>
      <c r="R3905" s="76"/>
      <c r="S3905" s="76"/>
      <c r="BD3905" s="99">
        <f t="shared" si="127"/>
        <v>0</v>
      </c>
      <c r="CC3905" s="99"/>
      <c r="CV3905" s="99"/>
      <c r="CW3905" s="63"/>
    </row>
    <row r="3906" spans="1:101" x14ac:dyDescent="0.15">
      <c r="A3906" s="76">
        <v>3646</v>
      </c>
      <c r="B3906" s="74" t="s">
        <v>5125</v>
      </c>
      <c r="C3906" s="74">
        <v>1002918693</v>
      </c>
      <c r="D3906" s="78" t="str">
        <f t="shared" si="128"/>
        <v>https://portal.dnb.de/opac.htm?method=simpleSearch&amp;cqlMode=true&amp;query=idn%3D1002918693</v>
      </c>
      <c r="E3906" s="74" t="s">
        <v>5126</v>
      </c>
      <c r="F3906" s="74"/>
      <c r="G3906" s="76"/>
      <c r="H3906" s="77"/>
      <c r="I3906" s="76"/>
      <c r="J3906" s="77"/>
      <c r="K3906" s="77"/>
      <c r="L3906" s="76"/>
      <c r="M3906" s="76"/>
      <c r="N3906" s="76"/>
      <c r="O3906" s="76"/>
      <c r="P3906" s="76"/>
      <c r="Q3906" s="76"/>
      <c r="R3906" s="76"/>
      <c r="S3906" s="76"/>
      <c r="BD3906" s="99">
        <f t="shared" si="127"/>
        <v>0</v>
      </c>
      <c r="CC3906" s="99"/>
      <c r="CV3906" s="99"/>
      <c r="CW3906" s="63"/>
    </row>
    <row r="3907" spans="1:101" x14ac:dyDescent="0.15">
      <c r="A3907" s="76">
        <v>3647</v>
      </c>
      <c r="B3907" s="74" t="s">
        <v>5127</v>
      </c>
      <c r="C3907" s="74">
        <v>997068558</v>
      </c>
      <c r="D3907" s="78" t="str">
        <f t="shared" si="128"/>
        <v>https://portal.dnb.de/opac.htm?method=simpleSearch&amp;cqlMode=true&amp;query=idn%3D997068558</v>
      </c>
      <c r="E3907" s="74" t="s">
        <v>5128</v>
      </c>
      <c r="F3907" s="74"/>
      <c r="G3907" s="76"/>
      <c r="H3907" s="77"/>
      <c r="I3907" s="76"/>
      <c r="J3907" s="77"/>
      <c r="K3907" s="77"/>
      <c r="L3907" s="76"/>
      <c r="M3907" s="76"/>
      <c r="N3907" s="76"/>
      <c r="O3907" s="76"/>
      <c r="P3907" s="76"/>
      <c r="Q3907" s="76"/>
      <c r="R3907" s="76"/>
      <c r="S3907" s="76"/>
      <c r="BD3907" s="99">
        <f t="shared" ref="BD3907:BD3970" si="129">CC3907+CV3907</f>
        <v>0</v>
      </c>
      <c r="CC3907" s="99"/>
      <c r="CV3907" s="99"/>
      <c r="CW3907" s="63"/>
    </row>
    <row r="3908" spans="1:101" x14ac:dyDescent="0.15">
      <c r="A3908" s="76">
        <v>3648</v>
      </c>
      <c r="B3908" s="74" t="s">
        <v>5129</v>
      </c>
      <c r="C3908" s="74">
        <v>997068655</v>
      </c>
      <c r="D3908" s="78" t="str">
        <f t="shared" si="128"/>
        <v>https://portal.dnb.de/opac.htm?method=simpleSearch&amp;cqlMode=true&amp;query=idn%3D997068655</v>
      </c>
      <c r="E3908" s="74" t="s">
        <v>5128</v>
      </c>
      <c r="F3908" s="74"/>
      <c r="G3908" s="76"/>
      <c r="H3908" s="77"/>
      <c r="I3908" s="76"/>
      <c r="J3908" s="77"/>
      <c r="K3908" s="77"/>
      <c r="L3908" s="76"/>
      <c r="M3908" s="76"/>
      <c r="N3908" s="76"/>
      <c r="O3908" s="76"/>
      <c r="P3908" s="76"/>
      <c r="Q3908" s="76"/>
      <c r="R3908" s="76"/>
      <c r="S3908" s="76"/>
      <c r="BD3908" s="99">
        <f t="shared" si="129"/>
        <v>0</v>
      </c>
      <c r="CC3908" s="99"/>
      <c r="CV3908" s="99"/>
      <c r="CW3908" s="63"/>
    </row>
    <row r="3909" spans="1:101" x14ac:dyDescent="0.15">
      <c r="A3909" s="76">
        <v>3649</v>
      </c>
      <c r="B3909" s="74" t="s">
        <v>5130</v>
      </c>
      <c r="C3909" s="74">
        <v>997068736</v>
      </c>
      <c r="D3909" s="78" t="str">
        <f t="shared" si="128"/>
        <v>https://portal.dnb.de/opac.htm?method=simpleSearch&amp;cqlMode=true&amp;query=idn%3D997068736</v>
      </c>
      <c r="E3909" s="74" t="s">
        <v>5128</v>
      </c>
      <c r="F3909" s="74"/>
      <c r="G3909" s="76"/>
      <c r="H3909" s="77"/>
      <c r="I3909" s="76"/>
      <c r="J3909" s="77"/>
      <c r="K3909" s="77"/>
      <c r="L3909" s="76"/>
      <c r="M3909" s="76"/>
      <c r="N3909" s="76"/>
      <c r="O3909" s="76"/>
      <c r="P3909" s="76"/>
      <c r="Q3909" s="76"/>
      <c r="R3909" s="76"/>
      <c r="S3909" s="76"/>
      <c r="BD3909" s="99">
        <f t="shared" si="129"/>
        <v>0</v>
      </c>
      <c r="CC3909" s="99"/>
      <c r="CV3909" s="99"/>
      <c r="CW3909" s="63"/>
    </row>
    <row r="3910" spans="1:101" x14ac:dyDescent="0.15">
      <c r="A3910" s="76">
        <v>3650</v>
      </c>
      <c r="B3910" s="74" t="s">
        <v>5131</v>
      </c>
      <c r="C3910" s="74">
        <v>997069104</v>
      </c>
      <c r="D3910" s="78" t="str">
        <f t="shared" si="128"/>
        <v>https://portal.dnb.de/opac.htm?method=simpleSearch&amp;cqlMode=true&amp;query=idn%3D997069104</v>
      </c>
      <c r="E3910" s="74" t="s">
        <v>5128</v>
      </c>
      <c r="F3910" s="74"/>
      <c r="G3910" s="76"/>
      <c r="H3910" s="77"/>
      <c r="I3910" s="76"/>
      <c r="J3910" s="77"/>
      <c r="K3910" s="77"/>
      <c r="L3910" s="76"/>
      <c r="M3910" s="76"/>
      <c r="N3910" s="76"/>
      <c r="O3910" s="76"/>
      <c r="P3910" s="76"/>
      <c r="Q3910" s="76"/>
      <c r="R3910" s="76"/>
      <c r="S3910" s="76"/>
      <c r="BD3910" s="99">
        <f t="shared" si="129"/>
        <v>0</v>
      </c>
      <c r="CC3910" s="99"/>
      <c r="CV3910" s="99"/>
      <c r="CW3910" s="63"/>
    </row>
    <row r="3911" spans="1:101" x14ac:dyDescent="0.15">
      <c r="A3911" s="76">
        <v>3651</v>
      </c>
      <c r="B3911" s="74" t="s">
        <v>5132</v>
      </c>
      <c r="C3911" s="74">
        <v>997068825</v>
      </c>
      <c r="D3911" s="78" t="str">
        <f t="shared" si="128"/>
        <v>https://portal.dnb.de/opac.htm?method=simpleSearch&amp;cqlMode=true&amp;query=idn%3D997068825</v>
      </c>
      <c r="E3911" s="74" t="s">
        <v>5128</v>
      </c>
      <c r="F3911" s="74"/>
      <c r="G3911" s="76"/>
      <c r="H3911" s="77"/>
      <c r="I3911" s="76"/>
      <c r="J3911" s="77"/>
      <c r="K3911" s="77"/>
      <c r="L3911" s="76"/>
      <c r="M3911" s="76"/>
      <c r="N3911" s="76"/>
      <c r="O3911" s="76"/>
      <c r="P3911" s="76"/>
      <c r="Q3911" s="76"/>
      <c r="R3911" s="76"/>
      <c r="S3911" s="76"/>
      <c r="BD3911" s="99">
        <f t="shared" si="129"/>
        <v>0</v>
      </c>
      <c r="CC3911" s="99"/>
      <c r="CV3911" s="99"/>
      <c r="CW3911" s="63"/>
    </row>
    <row r="3912" spans="1:101" x14ac:dyDescent="0.15">
      <c r="A3912" s="76">
        <v>3652</v>
      </c>
      <c r="B3912" s="74" t="s">
        <v>5133</v>
      </c>
      <c r="C3912" s="74">
        <v>997069074</v>
      </c>
      <c r="D3912" s="78" t="str">
        <f t="shared" si="128"/>
        <v>https://portal.dnb.de/opac.htm?method=simpleSearch&amp;cqlMode=true&amp;query=idn%3D997069074</v>
      </c>
      <c r="E3912" s="74" t="s">
        <v>5128</v>
      </c>
      <c r="F3912" s="74"/>
      <c r="G3912" s="76"/>
      <c r="H3912" s="77"/>
      <c r="I3912" s="76"/>
      <c r="J3912" s="77"/>
      <c r="K3912" s="77"/>
      <c r="L3912" s="76"/>
      <c r="M3912" s="76"/>
      <c r="N3912" s="76"/>
      <c r="O3912" s="76"/>
      <c r="P3912" s="76"/>
      <c r="Q3912" s="76"/>
      <c r="R3912" s="76"/>
      <c r="S3912" s="76"/>
      <c r="BD3912" s="99">
        <f t="shared" si="129"/>
        <v>0</v>
      </c>
      <c r="CC3912" s="99"/>
      <c r="CV3912" s="99"/>
      <c r="CW3912" s="63"/>
    </row>
    <row r="3913" spans="1:101" x14ac:dyDescent="0.15">
      <c r="A3913" s="76">
        <v>3653</v>
      </c>
      <c r="B3913" s="74" t="s">
        <v>5134</v>
      </c>
      <c r="C3913" s="74" t="s">
        <v>5135</v>
      </c>
      <c r="D3913" s="78" t="str">
        <f t="shared" si="128"/>
        <v>https://portal.dnb.de/opac.htm?method=simpleSearch&amp;cqlMode=true&amp;query=idn%3D99706899X</v>
      </c>
      <c r="E3913" s="74" t="s">
        <v>5128</v>
      </c>
      <c r="F3913" s="74"/>
      <c r="G3913" s="76"/>
      <c r="H3913" s="77"/>
      <c r="I3913" s="76"/>
      <c r="J3913" s="77"/>
      <c r="K3913" s="77"/>
      <c r="L3913" s="76"/>
      <c r="M3913" s="76"/>
      <c r="N3913" s="76"/>
      <c r="O3913" s="76"/>
      <c r="P3913" s="76"/>
      <c r="Q3913" s="76"/>
      <c r="R3913" s="76"/>
      <c r="S3913" s="76"/>
      <c r="BD3913" s="99">
        <f t="shared" si="129"/>
        <v>0</v>
      </c>
      <c r="CC3913" s="99"/>
      <c r="CV3913" s="99"/>
      <c r="CW3913" s="63"/>
    </row>
    <row r="3914" spans="1:101" x14ac:dyDescent="0.15">
      <c r="A3914" s="76">
        <v>3654</v>
      </c>
      <c r="B3914" s="74" t="s">
        <v>5136</v>
      </c>
      <c r="C3914" s="74">
        <v>997068914</v>
      </c>
      <c r="D3914" s="78" t="str">
        <f t="shared" si="128"/>
        <v>https://portal.dnb.de/opac.htm?method=simpleSearch&amp;cqlMode=true&amp;query=idn%3D997068914</v>
      </c>
      <c r="E3914" s="74" t="s">
        <v>5128</v>
      </c>
      <c r="F3914" s="74"/>
      <c r="G3914" s="76"/>
      <c r="H3914" s="77"/>
      <c r="I3914" s="76"/>
      <c r="J3914" s="77"/>
      <c r="K3914" s="77"/>
      <c r="L3914" s="76"/>
      <c r="M3914" s="76"/>
      <c r="N3914" s="76"/>
      <c r="O3914" s="76"/>
      <c r="P3914" s="76"/>
      <c r="Q3914" s="76"/>
      <c r="R3914" s="76"/>
      <c r="S3914" s="76"/>
      <c r="BD3914" s="99">
        <f t="shared" si="129"/>
        <v>0</v>
      </c>
      <c r="CC3914" s="99"/>
      <c r="CV3914" s="99"/>
      <c r="CW3914" s="63"/>
    </row>
    <row r="3915" spans="1:101" x14ac:dyDescent="0.15">
      <c r="A3915" s="76">
        <v>3655</v>
      </c>
      <c r="B3915" s="74" t="s">
        <v>5137</v>
      </c>
      <c r="C3915" s="74">
        <v>1000265269</v>
      </c>
      <c r="D3915" s="78" t="str">
        <f t="shared" si="128"/>
        <v>https://portal.dnb.de/opac.htm?method=simpleSearch&amp;cqlMode=true&amp;query=idn%3D1000265269</v>
      </c>
      <c r="E3915" s="74" t="s">
        <v>5138</v>
      </c>
      <c r="F3915" s="74"/>
      <c r="G3915" s="76"/>
      <c r="H3915" s="77"/>
      <c r="I3915" s="76" t="s">
        <v>53</v>
      </c>
      <c r="J3915" s="77"/>
      <c r="K3915" s="77"/>
      <c r="L3915" s="76"/>
      <c r="M3915" s="76"/>
      <c r="N3915" s="76"/>
      <c r="O3915" s="76"/>
      <c r="P3915" s="76"/>
      <c r="Q3915" s="76"/>
      <c r="R3915" s="76"/>
      <c r="S3915" s="76"/>
      <c r="Y3915" s="95" t="s">
        <v>9723</v>
      </c>
      <c r="AB3915" s="95" t="s">
        <v>8541</v>
      </c>
      <c r="AC3915" s="95" t="s">
        <v>9724</v>
      </c>
      <c r="AI3915" s="95" t="s">
        <v>9725</v>
      </c>
      <c r="AW3915" s="95">
        <v>60</v>
      </c>
      <c r="BC3915" s="96" t="s">
        <v>9726</v>
      </c>
      <c r="BD3915" s="99">
        <f t="shared" si="129"/>
        <v>1.5</v>
      </c>
      <c r="BJ3915" s="95" t="s">
        <v>9741</v>
      </c>
      <c r="BK3915" s="95" t="s">
        <v>8541</v>
      </c>
      <c r="BP3915" s="69" t="s">
        <v>8541</v>
      </c>
      <c r="BQ3915" s="95" t="s">
        <v>8541</v>
      </c>
      <c r="BR3915" s="95" t="s">
        <v>8541</v>
      </c>
      <c r="CC3915" s="99">
        <v>1.5</v>
      </c>
      <c r="CV3915" s="99"/>
      <c r="CW3915" s="63"/>
    </row>
    <row r="3916" spans="1:101" x14ac:dyDescent="0.15">
      <c r="A3916" s="76">
        <v>3656</v>
      </c>
      <c r="B3916" s="74" t="s">
        <v>5139</v>
      </c>
      <c r="C3916" s="74">
        <v>994304846</v>
      </c>
      <c r="D3916" s="78" t="str">
        <f t="shared" si="128"/>
        <v>https://portal.dnb.de/opac.htm?method=simpleSearch&amp;cqlMode=true&amp;query=idn%3D994304846</v>
      </c>
      <c r="E3916" s="74" t="s">
        <v>5140</v>
      </c>
      <c r="F3916" s="74"/>
      <c r="G3916" s="76"/>
      <c r="H3916" s="77"/>
      <c r="I3916" s="76" t="s">
        <v>54</v>
      </c>
      <c r="J3916" s="77"/>
      <c r="K3916" s="77"/>
      <c r="L3916" s="76"/>
      <c r="M3916" s="76"/>
      <c r="N3916" s="76"/>
      <c r="O3916" s="76"/>
      <c r="P3916" s="76"/>
      <c r="Q3916" s="76"/>
      <c r="R3916" s="76"/>
      <c r="S3916" s="76"/>
      <c r="Y3916" s="95" t="s">
        <v>9723</v>
      </c>
      <c r="AC3916" s="95" t="s">
        <v>9724</v>
      </c>
      <c r="AI3916" s="95" t="s">
        <v>9725</v>
      </c>
      <c r="AW3916" s="95">
        <v>60</v>
      </c>
      <c r="BC3916" s="96" t="s">
        <v>9734</v>
      </c>
      <c r="BD3916" s="99">
        <f t="shared" si="129"/>
        <v>0</v>
      </c>
      <c r="BJ3916" s="95" t="s">
        <v>9741</v>
      </c>
      <c r="BK3916" s="95" t="s">
        <v>8541</v>
      </c>
      <c r="BL3916" s="70" t="s">
        <v>10015</v>
      </c>
      <c r="CC3916" s="99"/>
      <c r="CV3916" s="99"/>
      <c r="CW3916" s="63"/>
    </row>
    <row r="3917" spans="1:101" ht="22.5" x14ac:dyDescent="0.15">
      <c r="A3917" s="76">
        <v>3657</v>
      </c>
      <c r="B3917" s="74" t="s">
        <v>5141</v>
      </c>
      <c r="C3917" s="74">
        <v>999346989</v>
      </c>
      <c r="D3917" s="78" t="str">
        <f t="shared" si="128"/>
        <v>https://portal.dnb.de/opac.htm?method=simpleSearch&amp;cqlMode=true&amp;query=idn%3D999346989</v>
      </c>
      <c r="E3917" s="74" t="s">
        <v>5142</v>
      </c>
      <c r="F3917" s="74"/>
      <c r="G3917" s="76"/>
      <c r="H3917" s="77"/>
      <c r="I3917" s="76" t="s">
        <v>53</v>
      </c>
      <c r="J3917" s="77"/>
      <c r="K3917" s="77"/>
      <c r="L3917" s="76"/>
      <c r="M3917" s="76"/>
      <c r="N3917" s="76"/>
      <c r="O3917" s="76"/>
      <c r="P3917" s="76"/>
      <c r="Q3917" s="76"/>
      <c r="R3917" s="76"/>
      <c r="S3917" s="76"/>
      <c r="X3917" s="95" t="s">
        <v>8541</v>
      </c>
      <c r="Y3917" s="95" t="s">
        <v>9729</v>
      </c>
      <c r="AC3917" s="95" t="s">
        <v>9724</v>
      </c>
      <c r="AI3917" s="95" t="s">
        <v>9725</v>
      </c>
      <c r="AW3917" s="95">
        <v>60</v>
      </c>
      <c r="BC3917" s="96" t="s">
        <v>9726</v>
      </c>
      <c r="BD3917" s="99">
        <f t="shared" si="129"/>
        <v>2</v>
      </c>
      <c r="BP3917" s="69" t="s">
        <v>8541</v>
      </c>
      <c r="BQ3917" s="95" t="s">
        <v>8541</v>
      </c>
      <c r="BR3917" s="95" t="s">
        <v>8541</v>
      </c>
      <c r="BT3917" s="95" t="s">
        <v>9775</v>
      </c>
      <c r="CC3917" s="99">
        <v>2</v>
      </c>
      <c r="CD3917" s="90" t="s">
        <v>10219</v>
      </c>
      <c r="CE3917" s="95" t="s">
        <v>8541</v>
      </c>
      <c r="CV3917" s="99"/>
      <c r="CW3917" s="63"/>
    </row>
    <row r="3918" spans="1:101" ht="33.75" x14ac:dyDescent="0.15">
      <c r="A3918" s="76">
        <v>3658</v>
      </c>
      <c r="B3918" s="74" t="s">
        <v>5150</v>
      </c>
      <c r="C3918" s="74">
        <v>998378658</v>
      </c>
      <c r="D3918" s="78" t="str">
        <f t="shared" si="128"/>
        <v>https://portal.dnb.de/opac.htm?method=simpleSearch&amp;cqlMode=true&amp;query=idn%3D998378658</v>
      </c>
      <c r="E3918" s="74" t="s">
        <v>5151</v>
      </c>
      <c r="F3918" s="74"/>
      <c r="G3918" s="76"/>
      <c r="H3918" s="77"/>
      <c r="I3918" s="76" t="s">
        <v>53</v>
      </c>
      <c r="J3918" s="77"/>
      <c r="K3918" s="77"/>
      <c r="L3918" s="76"/>
      <c r="M3918" s="76"/>
      <c r="N3918" s="76"/>
      <c r="O3918" s="76"/>
      <c r="P3918" s="76"/>
      <c r="Q3918" s="76"/>
      <c r="R3918" s="76"/>
      <c r="S3918" s="76"/>
      <c r="Y3918" s="95" t="s">
        <v>9723</v>
      </c>
      <c r="AC3918" s="95" t="s">
        <v>9730</v>
      </c>
      <c r="AI3918" s="95" t="s">
        <v>9725</v>
      </c>
      <c r="AP3918" s="96" t="s">
        <v>10252</v>
      </c>
      <c r="AQ3918" s="96" t="s">
        <v>10220</v>
      </c>
      <c r="AW3918" s="95">
        <v>60</v>
      </c>
      <c r="AY3918" s="95" t="s">
        <v>8541</v>
      </c>
      <c r="BC3918" s="96" t="s">
        <v>9726</v>
      </c>
      <c r="BD3918" s="99">
        <f t="shared" si="129"/>
        <v>1</v>
      </c>
      <c r="BP3918" s="69" t="s">
        <v>8541</v>
      </c>
      <c r="BQ3918" s="95" t="s">
        <v>8541</v>
      </c>
      <c r="BR3918" s="95" t="s">
        <v>8541</v>
      </c>
      <c r="BT3918" s="95" t="s">
        <v>9775</v>
      </c>
      <c r="CC3918" s="99">
        <v>1</v>
      </c>
      <c r="CD3918" s="90" t="s">
        <v>10221</v>
      </c>
      <c r="CV3918" s="99"/>
      <c r="CW3918" s="63"/>
    </row>
    <row r="3919" spans="1:101" x14ac:dyDescent="0.15">
      <c r="A3919" s="76">
        <v>3659</v>
      </c>
      <c r="B3919" s="74" t="s">
        <v>5152</v>
      </c>
      <c r="C3919" s="74">
        <v>998399264</v>
      </c>
      <c r="D3919" s="78" t="str">
        <f t="shared" si="128"/>
        <v>https://portal.dnb.de/opac.htm?method=simpleSearch&amp;cqlMode=true&amp;query=idn%3D998399264</v>
      </c>
      <c r="E3919" s="74" t="s">
        <v>5153</v>
      </c>
      <c r="F3919" s="74"/>
      <c r="G3919" s="76"/>
      <c r="H3919" s="77"/>
      <c r="I3919" s="76"/>
      <c r="J3919" s="77"/>
      <c r="K3919" s="77"/>
      <c r="L3919" s="76"/>
      <c r="M3919" s="76"/>
      <c r="N3919" s="76"/>
      <c r="O3919" s="76"/>
      <c r="P3919" s="76"/>
      <c r="Q3919" s="76"/>
      <c r="R3919" s="76"/>
      <c r="S3919" s="76"/>
      <c r="BD3919" s="99">
        <f t="shared" si="129"/>
        <v>0</v>
      </c>
      <c r="CC3919" s="99"/>
      <c r="CV3919" s="99"/>
      <c r="CW3919" s="63"/>
    </row>
    <row r="3920" spans="1:101" x14ac:dyDescent="0.15">
      <c r="A3920" s="76">
        <v>3660</v>
      </c>
      <c r="B3920" s="74" t="s">
        <v>5154</v>
      </c>
      <c r="C3920" s="74">
        <v>998399302</v>
      </c>
      <c r="D3920" s="78" t="str">
        <f t="shared" si="128"/>
        <v>https://portal.dnb.de/opac.htm?method=simpleSearch&amp;cqlMode=true&amp;query=idn%3D998399302</v>
      </c>
      <c r="E3920" s="74" t="s">
        <v>5153</v>
      </c>
      <c r="F3920" s="74"/>
      <c r="G3920" s="76"/>
      <c r="H3920" s="77"/>
      <c r="I3920" s="76"/>
      <c r="J3920" s="77"/>
      <c r="K3920" s="77"/>
      <c r="L3920" s="76"/>
      <c r="M3920" s="76"/>
      <c r="N3920" s="76"/>
      <c r="O3920" s="76"/>
      <c r="P3920" s="76"/>
      <c r="Q3920" s="76"/>
      <c r="R3920" s="76"/>
      <c r="S3920" s="76"/>
      <c r="BD3920" s="99">
        <f t="shared" si="129"/>
        <v>0</v>
      </c>
      <c r="CC3920" s="99"/>
      <c r="CV3920" s="99"/>
      <c r="CW3920" s="63"/>
    </row>
    <row r="3921" spans="1:101" x14ac:dyDescent="0.15">
      <c r="A3921" s="76">
        <v>3661</v>
      </c>
      <c r="B3921" s="74" t="s">
        <v>5155</v>
      </c>
      <c r="C3921" s="74">
        <v>998399345</v>
      </c>
      <c r="D3921" s="78" t="str">
        <f t="shared" si="128"/>
        <v>https://portal.dnb.de/opac.htm?method=simpleSearch&amp;cqlMode=true&amp;query=idn%3D998399345</v>
      </c>
      <c r="E3921" s="74" t="s">
        <v>5153</v>
      </c>
      <c r="F3921" s="74"/>
      <c r="G3921" s="76"/>
      <c r="H3921" s="77"/>
      <c r="I3921" s="76"/>
      <c r="J3921" s="77"/>
      <c r="K3921" s="77"/>
      <c r="L3921" s="76"/>
      <c r="M3921" s="76"/>
      <c r="N3921" s="76"/>
      <c r="O3921" s="76"/>
      <c r="P3921" s="76"/>
      <c r="Q3921" s="76"/>
      <c r="R3921" s="76"/>
      <c r="S3921" s="76"/>
      <c r="BD3921" s="99">
        <f t="shared" si="129"/>
        <v>0</v>
      </c>
      <c r="CC3921" s="99"/>
      <c r="CV3921" s="99"/>
      <c r="CW3921" s="63"/>
    </row>
    <row r="3922" spans="1:101" x14ac:dyDescent="0.15">
      <c r="A3922" s="76">
        <v>3662</v>
      </c>
      <c r="B3922" s="74" t="s">
        <v>5156</v>
      </c>
      <c r="C3922" s="74">
        <v>998399396</v>
      </c>
      <c r="D3922" s="78" t="str">
        <f t="shared" si="128"/>
        <v>https://portal.dnb.de/opac.htm?method=simpleSearch&amp;cqlMode=true&amp;query=idn%3D998399396</v>
      </c>
      <c r="E3922" s="74" t="s">
        <v>5153</v>
      </c>
      <c r="F3922" s="74"/>
      <c r="G3922" s="76"/>
      <c r="H3922" s="77"/>
      <c r="I3922" s="76"/>
      <c r="J3922" s="77"/>
      <c r="K3922" s="77"/>
      <c r="L3922" s="76"/>
      <c r="M3922" s="76"/>
      <c r="N3922" s="76"/>
      <c r="O3922" s="76"/>
      <c r="P3922" s="76"/>
      <c r="Q3922" s="76"/>
      <c r="R3922" s="76"/>
      <c r="S3922" s="76"/>
      <c r="BD3922" s="99">
        <f t="shared" si="129"/>
        <v>0</v>
      </c>
      <c r="CC3922" s="99"/>
      <c r="CV3922" s="99"/>
      <c r="CW3922" s="63"/>
    </row>
    <row r="3923" spans="1:101" ht="22.5" x14ac:dyDescent="0.15">
      <c r="A3923" s="76">
        <v>3663</v>
      </c>
      <c r="B3923" s="74" t="s">
        <v>5157</v>
      </c>
      <c r="C3923" s="74">
        <v>995549869</v>
      </c>
      <c r="D3923" s="78" t="str">
        <f t="shared" si="128"/>
        <v>https://portal.dnb.de/opac.htm?method=simpleSearch&amp;cqlMode=true&amp;query=idn%3D995549869</v>
      </c>
      <c r="E3923" s="74" t="s">
        <v>10222</v>
      </c>
      <c r="F3923" s="74"/>
      <c r="G3923" s="76"/>
      <c r="H3923" s="77"/>
      <c r="I3923" s="76" t="s">
        <v>53</v>
      </c>
      <c r="J3923" s="77"/>
      <c r="K3923" s="77"/>
      <c r="L3923" s="76"/>
      <c r="M3923" s="76"/>
      <c r="N3923" s="76"/>
      <c r="O3923" s="76"/>
      <c r="P3923" s="76"/>
      <c r="Q3923" s="76"/>
      <c r="R3923" s="76"/>
      <c r="S3923" s="76"/>
      <c r="Y3923" s="95" t="s">
        <v>9723</v>
      </c>
      <c r="AC3923" s="95" t="s">
        <v>9724</v>
      </c>
      <c r="AI3923" s="95" t="s">
        <v>9725</v>
      </c>
      <c r="AW3923" s="95">
        <v>45</v>
      </c>
      <c r="BC3923" s="96" t="s">
        <v>9726</v>
      </c>
      <c r="BD3923" s="99">
        <f t="shared" si="129"/>
        <v>1</v>
      </c>
      <c r="BJ3923" s="95" t="s">
        <v>9741</v>
      </c>
      <c r="BK3923" s="95" t="s">
        <v>8541</v>
      </c>
      <c r="BP3923" s="69" t="s">
        <v>8541</v>
      </c>
      <c r="BQ3923" s="95" t="s">
        <v>8541</v>
      </c>
      <c r="BR3923" s="95" t="s">
        <v>8541</v>
      </c>
      <c r="BY3923" s="95" t="s">
        <v>8541</v>
      </c>
      <c r="CC3923" s="99">
        <v>1</v>
      </c>
      <c r="CD3923" s="90" t="s">
        <v>10224</v>
      </c>
      <c r="CV3923" s="99"/>
      <c r="CW3923" s="63"/>
    </row>
    <row r="3924" spans="1:101" ht="22.5" x14ac:dyDescent="0.15">
      <c r="A3924" s="76">
        <v>3664</v>
      </c>
      <c r="B3924" s="74" t="s">
        <v>5158</v>
      </c>
      <c r="C3924" s="74">
        <v>995549990</v>
      </c>
      <c r="D3924" s="78" t="str">
        <f t="shared" si="128"/>
        <v>https://portal.dnb.de/opac.htm?method=simpleSearch&amp;cqlMode=true&amp;query=idn%3D995549990</v>
      </c>
      <c r="E3924" s="74" t="s">
        <v>10223</v>
      </c>
      <c r="F3924" s="74"/>
      <c r="G3924" s="76"/>
      <c r="H3924" s="77"/>
      <c r="I3924" s="76" t="s">
        <v>53</v>
      </c>
      <c r="J3924" s="77"/>
      <c r="K3924" s="77"/>
      <c r="L3924" s="76"/>
      <c r="M3924" s="76"/>
      <c r="N3924" s="76"/>
      <c r="O3924" s="76"/>
      <c r="P3924" s="76"/>
      <c r="Q3924" s="76"/>
      <c r="R3924" s="76"/>
      <c r="S3924" s="76"/>
      <c r="Y3924" s="95" t="s">
        <v>9723</v>
      </c>
      <c r="AC3924" s="95" t="s">
        <v>9724</v>
      </c>
      <c r="AI3924" s="95" t="s">
        <v>9725</v>
      </c>
      <c r="AP3924" s="95" t="s">
        <v>8541</v>
      </c>
      <c r="AQ3924" s="96" t="s">
        <v>10225</v>
      </c>
      <c r="AW3924" s="95">
        <v>45</v>
      </c>
      <c r="BC3924" s="96" t="s">
        <v>9726</v>
      </c>
      <c r="BD3924" s="99">
        <f t="shared" si="129"/>
        <v>2</v>
      </c>
      <c r="BJ3924" s="95" t="s">
        <v>9741</v>
      </c>
      <c r="BK3924" s="95" t="s">
        <v>8541</v>
      </c>
      <c r="BP3924" s="69" t="s">
        <v>8541</v>
      </c>
      <c r="BQ3924" s="95" t="s">
        <v>8541</v>
      </c>
      <c r="CB3924" s="95" t="s">
        <v>9882</v>
      </c>
      <c r="CC3924" s="99">
        <v>0.5</v>
      </c>
      <c r="CD3924" s="90" t="s">
        <v>10226</v>
      </c>
      <c r="CL3924" s="95" t="s">
        <v>8541</v>
      </c>
      <c r="CN3924" s="95" t="s">
        <v>8541</v>
      </c>
      <c r="CQ3924" s="95" t="s">
        <v>8541</v>
      </c>
      <c r="CV3924" s="99">
        <v>1.5</v>
      </c>
      <c r="CW3924" s="63"/>
    </row>
    <row r="3925" spans="1:101" ht="22.5" x14ac:dyDescent="0.15">
      <c r="A3925" s="76">
        <v>3665</v>
      </c>
      <c r="B3925" s="74" t="s">
        <v>5159</v>
      </c>
      <c r="C3925" s="74">
        <v>998903396</v>
      </c>
      <c r="D3925" s="78" t="str">
        <f t="shared" si="128"/>
        <v>https://portal.dnb.de/opac.htm?method=simpleSearch&amp;cqlMode=true&amp;query=idn%3D998903396</v>
      </c>
      <c r="E3925" s="74" t="s">
        <v>5160</v>
      </c>
      <c r="F3925" s="74"/>
      <c r="G3925" s="76"/>
      <c r="H3925" s="77"/>
      <c r="I3925" s="76" t="s">
        <v>54</v>
      </c>
      <c r="J3925" s="77"/>
      <c r="K3925" s="77"/>
      <c r="L3925" s="76"/>
      <c r="M3925" s="76"/>
      <c r="N3925" s="76"/>
      <c r="O3925" s="76"/>
      <c r="P3925" s="76"/>
      <c r="Q3925" s="76"/>
      <c r="R3925" s="76"/>
      <c r="S3925" s="76"/>
      <c r="Y3925" s="95" t="s">
        <v>9725</v>
      </c>
      <c r="AC3925" s="95" t="s">
        <v>9739</v>
      </c>
      <c r="AI3925" s="95" t="s">
        <v>9725</v>
      </c>
      <c r="AP3925" s="95" t="s">
        <v>8541</v>
      </c>
      <c r="AQ3925" s="96" t="s">
        <v>10227</v>
      </c>
      <c r="AW3925" s="95">
        <v>110</v>
      </c>
      <c r="BC3925" s="96" t="s">
        <v>9726</v>
      </c>
      <c r="BD3925" s="99">
        <f t="shared" si="129"/>
        <v>1</v>
      </c>
      <c r="BP3925" s="69" t="s">
        <v>8541</v>
      </c>
      <c r="BR3925" s="95" t="s">
        <v>8541</v>
      </c>
      <c r="CC3925" s="99">
        <v>1</v>
      </c>
      <c r="CV3925" s="99"/>
      <c r="CW3925" s="63"/>
    </row>
    <row r="3926" spans="1:101" x14ac:dyDescent="0.15">
      <c r="A3926" s="76">
        <v>3666</v>
      </c>
      <c r="B3926" s="74" t="s">
        <v>5172</v>
      </c>
      <c r="C3926" s="74">
        <v>998484377</v>
      </c>
      <c r="D3926" s="78" t="str">
        <f t="shared" si="128"/>
        <v>https://portal.dnb.de/opac.htm?method=simpleSearch&amp;cqlMode=true&amp;query=idn%3D998484377</v>
      </c>
      <c r="E3926" s="74" t="s">
        <v>5173</v>
      </c>
      <c r="F3926" s="74"/>
      <c r="G3926" s="76"/>
      <c r="H3926" s="77"/>
      <c r="I3926" s="76"/>
      <c r="J3926" s="77"/>
      <c r="K3926" s="77"/>
      <c r="L3926" s="76"/>
      <c r="M3926" s="76"/>
      <c r="N3926" s="76"/>
      <c r="O3926" s="76"/>
      <c r="P3926" s="76"/>
      <c r="Q3926" s="76"/>
      <c r="R3926" s="76"/>
      <c r="S3926" s="76"/>
      <c r="BD3926" s="99">
        <f t="shared" si="129"/>
        <v>0</v>
      </c>
      <c r="CC3926" s="99"/>
      <c r="CV3926" s="99"/>
      <c r="CW3926" s="63"/>
    </row>
    <row r="3927" spans="1:101" x14ac:dyDescent="0.15">
      <c r="A3927" s="76">
        <v>3667</v>
      </c>
      <c r="B3927" s="74" t="s">
        <v>5174</v>
      </c>
      <c r="C3927" s="74">
        <v>1002235677</v>
      </c>
      <c r="D3927" s="78" t="str">
        <f t="shared" si="128"/>
        <v>https://portal.dnb.de/opac.htm?method=simpleSearch&amp;cqlMode=true&amp;query=idn%3D1002235677</v>
      </c>
      <c r="E3927" s="74" t="s">
        <v>5175</v>
      </c>
      <c r="F3927" s="74"/>
      <c r="G3927" s="76"/>
      <c r="H3927" s="77"/>
      <c r="I3927" s="76"/>
      <c r="J3927" s="77"/>
      <c r="K3927" s="77"/>
      <c r="L3927" s="76"/>
      <c r="M3927" s="76"/>
      <c r="N3927" s="76"/>
      <c r="O3927" s="76"/>
      <c r="P3927" s="76"/>
      <c r="Q3927" s="76"/>
      <c r="R3927" s="76"/>
      <c r="S3927" s="76"/>
      <c r="BD3927" s="99">
        <f t="shared" si="129"/>
        <v>0</v>
      </c>
      <c r="CC3927" s="99"/>
      <c r="CV3927" s="99"/>
      <c r="CW3927" s="63"/>
    </row>
    <row r="3928" spans="1:101" x14ac:dyDescent="0.15">
      <c r="A3928" s="76">
        <v>3668</v>
      </c>
      <c r="B3928" s="74" t="s">
        <v>5176</v>
      </c>
      <c r="C3928" s="74">
        <v>994511191</v>
      </c>
      <c r="D3928" s="78" t="str">
        <f t="shared" si="128"/>
        <v>https://portal.dnb.de/opac.htm?method=simpleSearch&amp;cqlMode=true&amp;query=idn%3D994511191</v>
      </c>
      <c r="E3928" s="74" t="s">
        <v>5177</v>
      </c>
      <c r="F3928" s="74"/>
      <c r="G3928" s="76"/>
      <c r="H3928" s="77"/>
      <c r="I3928" s="76"/>
      <c r="J3928" s="77"/>
      <c r="K3928" s="77"/>
      <c r="L3928" s="76"/>
      <c r="M3928" s="76"/>
      <c r="N3928" s="76"/>
      <c r="O3928" s="76"/>
      <c r="P3928" s="76"/>
      <c r="Q3928" s="76"/>
      <c r="R3928" s="76"/>
      <c r="S3928" s="76"/>
      <c r="BD3928" s="99">
        <f t="shared" si="129"/>
        <v>0</v>
      </c>
      <c r="CC3928" s="99"/>
      <c r="CV3928" s="99"/>
      <c r="CW3928" s="63"/>
    </row>
    <row r="3929" spans="1:101" x14ac:dyDescent="0.15">
      <c r="A3929" s="76">
        <v>3669</v>
      </c>
      <c r="B3929" s="74" t="s">
        <v>5178</v>
      </c>
      <c r="C3929" s="74">
        <v>1000191621</v>
      </c>
      <c r="D3929" s="78" t="str">
        <f t="shared" si="128"/>
        <v>https://portal.dnb.de/opac.htm?method=simpleSearch&amp;cqlMode=true&amp;query=idn%3D1000191621</v>
      </c>
      <c r="E3929" s="74" t="s">
        <v>5179</v>
      </c>
      <c r="F3929" s="74"/>
      <c r="G3929" s="76"/>
      <c r="H3929" s="77"/>
      <c r="I3929" s="76"/>
      <c r="J3929" s="77"/>
      <c r="K3929" s="77"/>
      <c r="L3929" s="76"/>
      <c r="M3929" s="76"/>
      <c r="N3929" s="76"/>
      <c r="O3929" s="76"/>
      <c r="P3929" s="76"/>
      <c r="Q3929" s="76"/>
      <c r="R3929" s="76"/>
      <c r="S3929" s="76"/>
      <c r="BD3929" s="99">
        <f t="shared" si="129"/>
        <v>0</v>
      </c>
      <c r="CC3929" s="99"/>
      <c r="CV3929" s="99"/>
      <c r="CW3929" s="63"/>
    </row>
    <row r="3930" spans="1:101" x14ac:dyDescent="0.15">
      <c r="A3930" s="76">
        <v>3670</v>
      </c>
      <c r="B3930" s="74" t="s">
        <v>5180</v>
      </c>
      <c r="C3930" s="74">
        <v>999995553</v>
      </c>
      <c r="D3930" s="78" t="str">
        <f t="shared" si="128"/>
        <v>https://portal.dnb.de/opac.htm?method=simpleSearch&amp;cqlMode=true&amp;query=idn%3D999995553</v>
      </c>
      <c r="E3930" s="74" t="s">
        <v>5179</v>
      </c>
      <c r="F3930" s="74"/>
      <c r="G3930" s="76"/>
      <c r="H3930" s="77"/>
      <c r="I3930" s="76"/>
      <c r="J3930" s="77"/>
      <c r="K3930" s="77"/>
      <c r="L3930" s="76"/>
      <c r="M3930" s="76"/>
      <c r="N3930" s="76"/>
      <c r="O3930" s="76"/>
      <c r="P3930" s="76"/>
      <c r="Q3930" s="76"/>
      <c r="R3930" s="76"/>
      <c r="S3930" s="76"/>
      <c r="BD3930" s="99">
        <f t="shared" si="129"/>
        <v>0</v>
      </c>
      <c r="CC3930" s="99"/>
      <c r="CV3930" s="99"/>
      <c r="CW3930" s="63"/>
    </row>
    <row r="3931" spans="1:101" x14ac:dyDescent="0.15">
      <c r="A3931" s="76">
        <v>3671</v>
      </c>
      <c r="B3931" s="74" t="s">
        <v>5185</v>
      </c>
      <c r="C3931" s="74">
        <v>1002181704</v>
      </c>
      <c r="D3931" s="78" t="str">
        <f t="shared" si="128"/>
        <v>https://portal.dnb.de/opac.htm?method=simpleSearch&amp;cqlMode=true&amp;query=idn%3D1002181704</v>
      </c>
      <c r="E3931" s="74" t="s">
        <v>5186</v>
      </c>
      <c r="F3931" s="74"/>
      <c r="G3931" s="76"/>
      <c r="H3931" s="77"/>
      <c r="I3931" s="76"/>
      <c r="J3931" s="77"/>
      <c r="K3931" s="77"/>
      <c r="L3931" s="76"/>
      <c r="M3931" s="76"/>
      <c r="N3931" s="76"/>
      <c r="O3931" s="76"/>
      <c r="P3931" s="76"/>
      <c r="Q3931" s="76"/>
      <c r="R3931" s="76"/>
      <c r="S3931" s="76"/>
      <c r="BD3931" s="99">
        <f t="shared" si="129"/>
        <v>0</v>
      </c>
      <c r="CC3931" s="99"/>
      <c r="CV3931" s="99"/>
      <c r="CW3931" s="63"/>
    </row>
    <row r="3932" spans="1:101" x14ac:dyDescent="0.15">
      <c r="A3932" s="76">
        <v>3672</v>
      </c>
      <c r="B3932" s="74" t="s">
        <v>5187</v>
      </c>
      <c r="C3932" s="74">
        <v>1002181658</v>
      </c>
      <c r="D3932" s="78" t="str">
        <f t="shared" si="128"/>
        <v>https://portal.dnb.de/opac.htm?method=simpleSearch&amp;cqlMode=true&amp;query=idn%3D1002181658</v>
      </c>
      <c r="E3932" s="74" t="s">
        <v>5186</v>
      </c>
      <c r="F3932" s="74"/>
      <c r="G3932" s="76"/>
      <c r="H3932" s="77"/>
      <c r="I3932" s="76"/>
      <c r="J3932" s="77"/>
      <c r="K3932" s="77"/>
      <c r="L3932" s="76"/>
      <c r="M3932" s="76"/>
      <c r="N3932" s="76"/>
      <c r="O3932" s="76"/>
      <c r="P3932" s="76"/>
      <c r="Q3932" s="76"/>
      <c r="R3932" s="76"/>
      <c r="S3932" s="76"/>
      <c r="BD3932" s="99">
        <f t="shared" si="129"/>
        <v>0</v>
      </c>
      <c r="CC3932" s="99"/>
      <c r="CV3932" s="99"/>
      <c r="CW3932" s="63"/>
    </row>
    <row r="3933" spans="1:101" x14ac:dyDescent="0.15">
      <c r="A3933" s="76">
        <v>3673</v>
      </c>
      <c r="B3933" s="74" t="s">
        <v>5188</v>
      </c>
      <c r="C3933" s="74">
        <v>1002181631</v>
      </c>
      <c r="D3933" s="78" t="str">
        <f t="shared" si="128"/>
        <v>https://portal.dnb.de/opac.htm?method=simpleSearch&amp;cqlMode=true&amp;query=idn%3D1002181631</v>
      </c>
      <c r="E3933" s="74" t="s">
        <v>5186</v>
      </c>
      <c r="F3933" s="74"/>
      <c r="G3933" s="76"/>
      <c r="H3933" s="77"/>
      <c r="I3933" s="76"/>
      <c r="J3933" s="77"/>
      <c r="K3933" s="77"/>
      <c r="L3933" s="76"/>
      <c r="M3933" s="76"/>
      <c r="N3933" s="76"/>
      <c r="O3933" s="76"/>
      <c r="P3933" s="76"/>
      <c r="Q3933" s="76"/>
      <c r="R3933" s="76"/>
      <c r="S3933" s="76"/>
      <c r="BD3933" s="99">
        <f t="shared" si="129"/>
        <v>0</v>
      </c>
      <c r="CC3933" s="99"/>
      <c r="CV3933" s="99"/>
      <c r="CW3933" s="63"/>
    </row>
    <row r="3934" spans="1:101" x14ac:dyDescent="0.15">
      <c r="A3934" s="76">
        <v>3674</v>
      </c>
      <c r="B3934" s="74" t="s">
        <v>5189</v>
      </c>
      <c r="C3934" s="74">
        <v>994715633</v>
      </c>
      <c r="D3934" s="78" t="str">
        <f t="shared" si="128"/>
        <v>https://portal.dnb.de/opac.htm?method=simpleSearch&amp;cqlMode=true&amp;query=idn%3D994715633</v>
      </c>
      <c r="E3934" s="74" t="s">
        <v>10238</v>
      </c>
      <c r="F3934" s="74"/>
      <c r="G3934" s="76"/>
      <c r="H3934" s="77"/>
      <c r="I3934" s="76" t="s">
        <v>53</v>
      </c>
      <c r="J3934" s="77"/>
      <c r="K3934" s="77"/>
      <c r="L3934" s="76"/>
      <c r="M3934" s="76"/>
      <c r="N3934" s="76"/>
      <c r="O3934" s="76"/>
      <c r="P3934" s="76"/>
      <c r="Q3934" s="76"/>
      <c r="R3934" s="76"/>
      <c r="S3934" s="76"/>
      <c r="Y3934" s="95" t="s">
        <v>9729</v>
      </c>
      <c r="AC3934" s="95" t="s">
        <v>9724</v>
      </c>
      <c r="AI3934" s="95" t="s">
        <v>9725</v>
      </c>
      <c r="AW3934" s="95">
        <v>60</v>
      </c>
      <c r="BC3934" s="96" t="s">
        <v>9734</v>
      </c>
      <c r="BD3934" s="99">
        <f t="shared" si="129"/>
        <v>0</v>
      </c>
      <c r="BJ3934" s="95" t="s">
        <v>9741</v>
      </c>
      <c r="BK3934" s="95" t="s">
        <v>8541</v>
      </c>
      <c r="CC3934" s="99"/>
      <c r="CV3934" s="99"/>
      <c r="CW3934" s="63"/>
    </row>
    <row r="3935" spans="1:101" x14ac:dyDescent="0.15">
      <c r="A3935" s="76">
        <v>3675</v>
      </c>
      <c r="B3935" s="74" t="s">
        <v>5190</v>
      </c>
      <c r="C3935" s="74" t="s">
        <v>5191</v>
      </c>
      <c r="D3935" s="78" t="str">
        <f t="shared" ref="D3935:D3998" si="130">HYPERLINK(CONCATENATE("https://portal.dnb.de/opac.htm?method=simpleSearch&amp;cqlMode=true&amp;query=idn%3D",C3935))</f>
        <v>https://portal.dnb.de/opac.htm?method=simpleSearch&amp;cqlMode=true&amp;query=idn%3D99471565X</v>
      </c>
      <c r="E3935" s="74" t="s">
        <v>10239</v>
      </c>
      <c r="F3935" s="74"/>
      <c r="G3935" s="76"/>
      <c r="H3935" s="77"/>
      <c r="I3935" s="76" t="s">
        <v>53</v>
      </c>
      <c r="J3935" s="77"/>
      <c r="K3935" s="77"/>
      <c r="L3935" s="76"/>
      <c r="M3935" s="76"/>
      <c r="N3935" s="76"/>
      <c r="O3935" s="76"/>
      <c r="P3935" s="76"/>
      <c r="Q3935" s="76"/>
      <c r="R3935" s="76"/>
      <c r="S3935" s="76"/>
      <c r="Y3935" s="95" t="s">
        <v>9729</v>
      </c>
      <c r="AC3935" s="95" t="s">
        <v>9724</v>
      </c>
      <c r="AI3935" s="95" t="s">
        <v>9725</v>
      </c>
      <c r="AW3935" s="95">
        <v>60</v>
      </c>
      <c r="BC3935" s="96" t="s">
        <v>9734</v>
      </c>
      <c r="BD3935" s="99">
        <f t="shared" si="129"/>
        <v>0</v>
      </c>
      <c r="BJ3935" s="95" t="s">
        <v>9741</v>
      </c>
      <c r="BK3935" s="95" t="s">
        <v>8541</v>
      </c>
      <c r="BL3935" s="70" t="s">
        <v>10015</v>
      </c>
      <c r="CC3935" s="99"/>
      <c r="CV3935" s="99"/>
      <c r="CW3935" s="63"/>
    </row>
    <row r="3936" spans="1:101" x14ac:dyDescent="0.15">
      <c r="A3936" s="76">
        <v>3676</v>
      </c>
      <c r="B3936" s="74" t="s">
        <v>5192</v>
      </c>
      <c r="C3936" s="74">
        <v>994715587</v>
      </c>
      <c r="D3936" s="78" t="str">
        <f t="shared" si="130"/>
        <v>https://portal.dnb.de/opac.htm?method=simpleSearch&amp;cqlMode=true&amp;query=idn%3D994715587</v>
      </c>
      <c r="E3936" s="74" t="s">
        <v>10240</v>
      </c>
      <c r="F3936" s="74"/>
      <c r="G3936" s="76"/>
      <c r="H3936" s="77"/>
      <c r="I3936" s="76" t="s">
        <v>53</v>
      </c>
      <c r="J3936" s="77"/>
      <c r="K3936" s="77"/>
      <c r="L3936" s="76"/>
      <c r="M3936" s="76"/>
      <c r="N3936" s="76"/>
      <c r="O3936" s="76"/>
      <c r="P3936" s="76"/>
      <c r="Q3936" s="76"/>
      <c r="R3936" s="76"/>
      <c r="S3936" s="76"/>
      <c r="Y3936" s="95" t="s">
        <v>9729</v>
      </c>
      <c r="AC3936" s="95" t="s">
        <v>9724</v>
      </c>
      <c r="AI3936" s="95" t="s">
        <v>9725</v>
      </c>
      <c r="AW3936" s="95">
        <v>60</v>
      </c>
      <c r="BC3936" s="96" t="s">
        <v>9734</v>
      </c>
      <c r="BD3936" s="99">
        <f t="shared" si="129"/>
        <v>0</v>
      </c>
      <c r="BJ3936" s="95" t="s">
        <v>9741</v>
      </c>
      <c r="BK3936" s="95" t="s">
        <v>8541</v>
      </c>
      <c r="BL3936" s="70" t="s">
        <v>10015</v>
      </c>
      <c r="CC3936" s="99"/>
      <c r="CV3936" s="99"/>
      <c r="CW3936" s="63"/>
    </row>
    <row r="3937" spans="1:101" x14ac:dyDescent="0.15">
      <c r="A3937" s="76">
        <v>3677</v>
      </c>
      <c r="B3937" s="74" t="s">
        <v>5193</v>
      </c>
      <c r="C3937" s="74">
        <v>994715692</v>
      </c>
      <c r="D3937" s="78" t="str">
        <f t="shared" si="130"/>
        <v>https://portal.dnb.de/opac.htm?method=simpleSearch&amp;cqlMode=true&amp;query=idn%3D994715692</v>
      </c>
      <c r="E3937" s="74" t="s">
        <v>10241</v>
      </c>
      <c r="F3937" s="74"/>
      <c r="G3937" s="76"/>
      <c r="H3937" s="77"/>
      <c r="I3937" s="76" t="s">
        <v>53</v>
      </c>
      <c r="J3937" s="77"/>
      <c r="K3937" s="77"/>
      <c r="L3937" s="76"/>
      <c r="M3937" s="76"/>
      <c r="N3937" s="76"/>
      <c r="O3937" s="76"/>
      <c r="P3937" s="76"/>
      <c r="Q3937" s="76"/>
      <c r="R3937" s="76"/>
      <c r="S3937" s="76"/>
      <c r="Y3937" s="95" t="s">
        <v>9729</v>
      </c>
      <c r="AC3937" s="95" t="s">
        <v>9724</v>
      </c>
      <c r="AI3937" s="95" t="s">
        <v>9725</v>
      </c>
      <c r="AW3937" s="95">
        <v>60</v>
      </c>
      <c r="BC3937" s="96" t="s">
        <v>9734</v>
      </c>
      <c r="BD3937" s="99">
        <f t="shared" si="129"/>
        <v>0</v>
      </c>
      <c r="BJ3937" s="95" t="s">
        <v>9741</v>
      </c>
      <c r="BK3937" s="95" t="s">
        <v>8541</v>
      </c>
      <c r="BL3937" s="70" t="s">
        <v>10015</v>
      </c>
      <c r="CC3937" s="99"/>
      <c r="CV3937" s="99"/>
      <c r="CW3937" s="63"/>
    </row>
    <row r="3938" spans="1:101" x14ac:dyDescent="0.15">
      <c r="A3938" s="76">
        <v>3678</v>
      </c>
      <c r="B3938" s="74" t="s">
        <v>5210</v>
      </c>
      <c r="C3938" s="74">
        <v>995703833</v>
      </c>
      <c r="D3938" s="78" t="str">
        <f t="shared" si="130"/>
        <v>https://portal.dnb.de/opac.htm?method=simpleSearch&amp;cqlMode=true&amp;query=idn%3D995703833</v>
      </c>
      <c r="E3938" s="74" t="s">
        <v>5211</v>
      </c>
      <c r="F3938" s="74"/>
      <c r="G3938" s="76"/>
      <c r="H3938" s="77"/>
      <c r="I3938" s="76"/>
      <c r="J3938" s="77"/>
      <c r="K3938" s="77"/>
      <c r="L3938" s="76"/>
      <c r="M3938" s="76"/>
      <c r="N3938" s="76"/>
      <c r="O3938" s="76"/>
      <c r="P3938" s="76"/>
      <c r="Q3938" s="76"/>
      <c r="R3938" s="76"/>
      <c r="S3938" s="76"/>
      <c r="BD3938" s="99">
        <f t="shared" si="129"/>
        <v>0</v>
      </c>
      <c r="CC3938" s="99"/>
      <c r="CV3938" s="99"/>
      <c r="CW3938" s="63"/>
    </row>
    <row r="3939" spans="1:101" x14ac:dyDescent="0.15">
      <c r="A3939" s="76">
        <v>3679</v>
      </c>
      <c r="B3939" s="74" t="s">
        <v>5212</v>
      </c>
      <c r="C3939" s="74">
        <v>1002282284</v>
      </c>
      <c r="D3939" s="78" t="str">
        <f t="shared" si="130"/>
        <v>https://portal.dnb.de/opac.htm?method=simpleSearch&amp;cqlMode=true&amp;query=idn%3D1002282284</v>
      </c>
      <c r="E3939" s="74" t="s">
        <v>5213</v>
      </c>
      <c r="F3939" s="74"/>
      <c r="G3939" s="76"/>
      <c r="H3939" s="77"/>
      <c r="I3939" s="76"/>
      <c r="J3939" s="77"/>
      <c r="K3939" s="77"/>
      <c r="L3939" s="76"/>
      <c r="M3939" s="76"/>
      <c r="N3939" s="76"/>
      <c r="O3939" s="76"/>
      <c r="P3939" s="76"/>
      <c r="Q3939" s="76"/>
      <c r="R3939" s="76"/>
      <c r="S3939" s="76"/>
      <c r="BD3939" s="99">
        <f t="shared" si="129"/>
        <v>0</v>
      </c>
      <c r="CC3939" s="99"/>
      <c r="CV3939" s="99"/>
      <c r="CW3939" s="63"/>
    </row>
    <row r="3940" spans="1:101" x14ac:dyDescent="0.15">
      <c r="A3940" s="76">
        <v>3680</v>
      </c>
      <c r="B3940" s="74" t="s">
        <v>5214</v>
      </c>
      <c r="C3940" s="74">
        <v>998511897</v>
      </c>
      <c r="D3940" s="78" t="str">
        <f t="shared" si="130"/>
        <v>https://portal.dnb.de/opac.htm?method=simpleSearch&amp;cqlMode=true&amp;query=idn%3D998511897</v>
      </c>
      <c r="E3940" s="74" t="s">
        <v>5215</v>
      </c>
      <c r="F3940" s="74"/>
      <c r="G3940" s="76"/>
      <c r="H3940" s="77"/>
      <c r="I3940" s="76"/>
      <c r="J3940" s="77"/>
      <c r="K3940" s="77"/>
      <c r="L3940" s="76"/>
      <c r="M3940" s="76"/>
      <c r="N3940" s="76"/>
      <c r="O3940" s="76"/>
      <c r="P3940" s="76"/>
      <c r="Q3940" s="76"/>
      <c r="R3940" s="76"/>
      <c r="S3940" s="76"/>
      <c r="BD3940" s="99">
        <f t="shared" si="129"/>
        <v>0</v>
      </c>
      <c r="CC3940" s="99"/>
      <c r="CV3940" s="99"/>
      <c r="CW3940" s="63"/>
    </row>
    <row r="3941" spans="1:101" x14ac:dyDescent="0.15">
      <c r="A3941" s="76">
        <v>3681</v>
      </c>
      <c r="B3941" s="74" t="s">
        <v>5216</v>
      </c>
      <c r="C3941" s="74" t="s">
        <v>5217</v>
      </c>
      <c r="D3941" s="78" t="str">
        <f t="shared" si="130"/>
        <v>https://portal.dnb.de/opac.htm?method=simpleSearch&amp;cqlMode=true&amp;query=idn%3D100269373X</v>
      </c>
      <c r="E3941" s="74" t="s">
        <v>5218</v>
      </c>
      <c r="F3941" s="74"/>
      <c r="G3941" s="76"/>
      <c r="H3941" s="77"/>
      <c r="I3941" s="76"/>
      <c r="J3941" s="77"/>
      <c r="K3941" s="77"/>
      <c r="L3941" s="76"/>
      <c r="M3941" s="76"/>
      <c r="N3941" s="76"/>
      <c r="O3941" s="76"/>
      <c r="P3941" s="76"/>
      <c r="Q3941" s="76"/>
      <c r="R3941" s="76"/>
      <c r="S3941" s="76"/>
      <c r="BD3941" s="99">
        <f t="shared" si="129"/>
        <v>0</v>
      </c>
      <c r="CC3941" s="99"/>
      <c r="CV3941" s="99"/>
      <c r="CW3941" s="63"/>
    </row>
    <row r="3942" spans="1:101" x14ac:dyDescent="0.15">
      <c r="A3942" s="76">
        <v>3682</v>
      </c>
      <c r="B3942" s="74" t="s">
        <v>5219</v>
      </c>
      <c r="C3942" s="74">
        <v>998532991</v>
      </c>
      <c r="D3942" s="78" t="str">
        <f t="shared" si="130"/>
        <v>https://portal.dnb.de/opac.htm?method=simpleSearch&amp;cqlMode=true&amp;query=idn%3D998532991</v>
      </c>
      <c r="E3942" s="74" t="s">
        <v>5220</v>
      </c>
      <c r="F3942" s="74"/>
      <c r="G3942" s="76"/>
      <c r="H3942" s="77"/>
      <c r="I3942" s="76"/>
      <c r="J3942" s="77"/>
      <c r="K3942" s="77"/>
      <c r="L3942" s="76"/>
      <c r="M3942" s="76"/>
      <c r="N3942" s="76"/>
      <c r="O3942" s="76"/>
      <c r="P3942" s="76"/>
      <c r="Q3942" s="76"/>
      <c r="R3942" s="76"/>
      <c r="S3942" s="76"/>
      <c r="BD3942" s="99">
        <f t="shared" si="129"/>
        <v>0</v>
      </c>
      <c r="CC3942" s="99"/>
      <c r="CV3942" s="99"/>
      <c r="CW3942" s="63"/>
    </row>
    <row r="3943" spans="1:101" x14ac:dyDescent="0.15">
      <c r="A3943" s="76">
        <v>3683</v>
      </c>
      <c r="B3943" s="74" t="s">
        <v>5223</v>
      </c>
      <c r="C3943" s="74">
        <v>995074925</v>
      </c>
      <c r="D3943" s="78" t="str">
        <f t="shared" si="130"/>
        <v>https://portal.dnb.de/opac.htm?method=simpleSearch&amp;cqlMode=true&amp;query=idn%3D995074925</v>
      </c>
      <c r="E3943" s="74" t="s">
        <v>5224</v>
      </c>
      <c r="F3943" s="74"/>
      <c r="G3943" s="76"/>
      <c r="H3943" s="77"/>
      <c r="I3943" s="76"/>
      <c r="J3943" s="77"/>
      <c r="K3943" s="77"/>
      <c r="L3943" s="76"/>
      <c r="M3943" s="76"/>
      <c r="N3943" s="76"/>
      <c r="O3943" s="76"/>
      <c r="P3943" s="76"/>
      <c r="Q3943" s="76"/>
      <c r="R3943" s="76"/>
      <c r="S3943" s="76"/>
      <c r="BD3943" s="99">
        <f t="shared" si="129"/>
        <v>0</v>
      </c>
      <c r="CC3943" s="99"/>
      <c r="CV3943" s="99"/>
      <c r="CW3943" s="63"/>
    </row>
    <row r="3944" spans="1:101" x14ac:dyDescent="0.15">
      <c r="A3944" s="76">
        <v>3684</v>
      </c>
      <c r="B3944" s="74" t="s">
        <v>5225</v>
      </c>
      <c r="C3944" s="74">
        <v>1000169561</v>
      </c>
      <c r="D3944" s="78" t="str">
        <f t="shared" si="130"/>
        <v>https://portal.dnb.de/opac.htm?method=simpleSearch&amp;cqlMode=true&amp;query=idn%3D1000169561</v>
      </c>
      <c r="E3944" s="74" t="s">
        <v>5226</v>
      </c>
      <c r="F3944" s="74"/>
      <c r="G3944" s="76"/>
      <c r="H3944" s="77"/>
      <c r="I3944" s="76"/>
      <c r="J3944" s="77"/>
      <c r="K3944" s="77"/>
      <c r="L3944" s="76"/>
      <c r="M3944" s="76"/>
      <c r="N3944" s="76"/>
      <c r="O3944" s="76"/>
      <c r="P3944" s="76"/>
      <c r="Q3944" s="76"/>
      <c r="R3944" s="76"/>
      <c r="S3944" s="76"/>
      <c r="BD3944" s="99">
        <f t="shared" si="129"/>
        <v>0</v>
      </c>
      <c r="CC3944" s="99"/>
      <c r="CV3944" s="99"/>
      <c r="CW3944" s="63"/>
    </row>
    <row r="3945" spans="1:101" x14ac:dyDescent="0.15">
      <c r="A3945" s="76">
        <v>3685</v>
      </c>
      <c r="B3945" s="74" t="s">
        <v>5227</v>
      </c>
      <c r="C3945" s="74">
        <v>994590407</v>
      </c>
      <c r="D3945" s="78" t="str">
        <f t="shared" si="130"/>
        <v>https://portal.dnb.de/opac.htm?method=simpleSearch&amp;cqlMode=true&amp;query=idn%3D994590407</v>
      </c>
      <c r="E3945" s="74" t="s">
        <v>5228</v>
      </c>
      <c r="F3945" s="74"/>
      <c r="G3945" s="76"/>
      <c r="H3945" s="77"/>
      <c r="I3945" s="76"/>
      <c r="J3945" s="77"/>
      <c r="K3945" s="77"/>
      <c r="L3945" s="76"/>
      <c r="M3945" s="76"/>
      <c r="N3945" s="76"/>
      <c r="O3945" s="76"/>
      <c r="P3945" s="76"/>
      <c r="Q3945" s="76"/>
      <c r="R3945" s="76"/>
      <c r="S3945" s="76"/>
      <c r="BD3945" s="99">
        <f t="shared" si="129"/>
        <v>0</v>
      </c>
      <c r="CC3945" s="99"/>
      <c r="CV3945" s="99"/>
      <c r="CW3945" s="63"/>
    </row>
    <row r="3946" spans="1:101" x14ac:dyDescent="0.15">
      <c r="A3946" s="76">
        <v>3686</v>
      </c>
      <c r="B3946" s="74" t="s">
        <v>5229</v>
      </c>
      <c r="C3946" s="74">
        <v>1002376238</v>
      </c>
      <c r="D3946" s="78" t="str">
        <f t="shared" si="130"/>
        <v>https://portal.dnb.de/opac.htm?method=simpleSearch&amp;cqlMode=true&amp;query=idn%3D1002376238</v>
      </c>
      <c r="E3946" s="74" t="s">
        <v>5230</v>
      </c>
      <c r="F3946" s="74"/>
      <c r="G3946" s="76"/>
      <c r="H3946" s="77"/>
      <c r="I3946" s="76"/>
      <c r="J3946" s="77"/>
      <c r="K3946" s="77"/>
      <c r="L3946" s="76"/>
      <c r="M3946" s="76"/>
      <c r="N3946" s="76"/>
      <c r="O3946" s="76"/>
      <c r="P3946" s="76"/>
      <c r="Q3946" s="76"/>
      <c r="R3946" s="76"/>
      <c r="S3946" s="76"/>
      <c r="BD3946" s="99">
        <f t="shared" si="129"/>
        <v>0</v>
      </c>
      <c r="CC3946" s="99"/>
      <c r="CV3946" s="99"/>
      <c r="CW3946" s="63"/>
    </row>
    <row r="3947" spans="1:101" x14ac:dyDescent="0.15">
      <c r="A3947" s="76">
        <v>3687</v>
      </c>
      <c r="B3947" s="74" t="s">
        <v>5231</v>
      </c>
      <c r="C3947" s="74">
        <v>1002376394</v>
      </c>
      <c r="D3947" s="78" t="str">
        <f t="shared" si="130"/>
        <v>https://portal.dnb.de/opac.htm?method=simpleSearch&amp;cqlMode=true&amp;query=idn%3D1002376394</v>
      </c>
      <c r="E3947" s="74" t="s">
        <v>5230</v>
      </c>
      <c r="F3947" s="74"/>
      <c r="G3947" s="76"/>
      <c r="H3947" s="77"/>
      <c r="I3947" s="76"/>
      <c r="J3947" s="77"/>
      <c r="K3947" s="77"/>
      <c r="L3947" s="76"/>
      <c r="M3947" s="76"/>
      <c r="N3947" s="76"/>
      <c r="O3947" s="76"/>
      <c r="P3947" s="76"/>
      <c r="Q3947" s="76"/>
      <c r="R3947" s="76"/>
      <c r="S3947" s="76"/>
      <c r="BD3947" s="99">
        <f t="shared" si="129"/>
        <v>0</v>
      </c>
      <c r="CC3947" s="99"/>
      <c r="CV3947" s="99"/>
      <c r="CW3947" s="63"/>
    </row>
    <row r="3948" spans="1:101" x14ac:dyDescent="0.15">
      <c r="A3948" s="76">
        <v>3688</v>
      </c>
      <c r="B3948" s="74" t="s">
        <v>5232</v>
      </c>
      <c r="C3948" s="74">
        <v>1002376319</v>
      </c>
      <c r="D3948" s="78" t="str">
        <f t="shared" si="130"/>
        <v>https://portal.dnb.de/opac.htm?method=simpleSearch&amp;cqlMode=true&amp;query=idn%3D1002376319</v>
      </c>
      <c r="E3948" s="74" t="s">
        <v>5230</v>
      </c>
      <c r="F3948" s="74"/>
      <c r="G3948" s="76"/>
      <c r="H3948" s="77"/>
      <c r="I3948" s="76"/>
      <c r="J3948" s="77"/>
      <c r="K3948" s="77"/>
      <c r="L3948" s="76"/>
      <c r="M3948" s="76"/>
      <c r="N3948" s="76"/>
      <c r="O3948" s="76"/>
      <c r="P3948" s="76"/>
      <c r="Q3948" s="76"/>
      <c r="R3948" s="76"/>
      <c r="S3948" s="76"/>
      <c r="BD3948" s="99">
        <f t="shared" si="129"/>
        <v>0</v>
      </c>
      <c r="CC3948" s="99"/>
      <c r="CV3948" s="99"/>
      <c r="CW3948" s="63"/>
    </row>
    <row r="3949" spans="1:101" x14ac:dyDescent="0.15">
      <c r="A3949" s="76">
        <v>3689</v>
      </c>
      <c r="B3949" s="74" t="s">
        <v>5233</v>
      </c>
      <c r="C3949" s="74">
        <v>1002376262</v>
      </c>
      <c r="D3949" s="78" t="str">
        <f t="shared" si="130"/>
        <v>https://portal.dnb.de/opac.htm?method=simpleSearch&amp;cqlMode=true&amp;query=idn%3D1002376262</v>
      </c>
      <c r="E3949" s="74" t="s">
        <v>5230</v>
      </c>
      <c r="F3949" s="74"/>
      <c r="G3949" s="76"/>
      <c r="H3949" s="77"/>
      <c r="I3949" s="76"/>
      <c r="J3949" s="77"/>
      <c r="K3949" s="77"/>
      <c r="L3949" s="76"/>
      <c r="M3949" s="76"/>
      <c r="N3949" s="76"/>
      <c r="O3949" s="76"/>
      <c r="P3949" s="76"/>
      <c r="Q3949" s="76"/>
      <c r="R3949" s="76"/>
      <c r="S3949" s="76"/>
      <c r="BD3949" s="99">
        <f t="shared" si="129"/>
        <v>0</v>
      </c>
      <c r="CC3949" s="99"/>
      <c r="CV3949" s="99"/>
      <c r="CW3949" s="63"/>
    </row>
    <row r="3950" spans="1:101" x14ac:dyDescent="0.15">
      <c r="A3950" s="76">
        <v>3690</v>
      </c>
      <c r="B3950" s="74" t="s">
        <v>5234</v>
      </c>
      <c r="C3950" s="74">
        <v>1002735017</v>
      </c>
      <c r="D3950" s="78" t="str">
        <f t="shared" si="130"/>
        <v>https://portal.dnb.de/opac.htm?method=simpleSearch&amp;cqlMode=true&amp;query=idn%3D1002735017</v>
      </c>
      <c r="E3950" s="74" t="s">
        <v>5235</v>
      </c>
      <c r="F3950" s="74"/>
      <c r="G3950" s="76"/>
      <c r="H3950" s="77"/>
      <c r="I3950" s="76"/>
      <c r="J3950" s="77"/>
      <c r="K3950" s="77"/>
      <c r="L3950" s="76"/>
      <c r="M3950" s="76"/>
      <c r="N3950" s="76"/>
      <c r="O3950" s="76"/>
      <c r="P3950" s="76"/>
      <c r="Q3950" s="76"/>
      <c r="R3950" s="76"/>
      <c r="S3950" s="76"/>
      <c r="BD3950" s="99">
        <f t="shared" si="129"/>
        <v>0</v>
      </c>
      <c r="CC3950" s="99"/>
      <c r="CV3950" s="99"/>
      <c r="CW3950" s="63"/>
    </row>
    <row r="3951" spans="1:101" x14ac:dyDescent="0.15">
      <c r="A3951" s="76">
        <v>3691</v>
      </c>
      <c r="B3951" s="74" t="s">
        <v>5236</v>
      </c>
      <c r="C3951" s="74">
        <v>1002734991</v>
      </c>
      <c r="D3951" s="78" t="str">
        <f t="shared" si="130"/>
        <v>https://portal.dnb.de/opac.htm?method=simpleSearch&amp;cqlMode=true&amp;query=idn%3D1002734991</v>
      </c>
      <c r="E3951" s="74" t="s">
        <v>5235</v>
      </c>
      <c r="F3951" s="74"/>
      <c r="G3951" s="76"/>
      <c r="H3951" s="77"/>
      <c r="I3951" s="76"/>
      <c r="J3951" s="77"/>
      <c r="K3951" s="77"/>
      <c r="L3951" s="76"/>
      <c r="M3951" s="76"/>
      <c r="N3951" s="76"/>
      <c r="O3951" s="76"/>
      <c r="P3951" s="76"/>
      <c r="Q3951" s="76"/>
      <c r="R3951" s="76"/>
      <c r="S3951" s="76"/>
      <c r="BD3951" s="99">
        <f t="shared" si="129"/>
        <v>0</v>
      </c>
      <c r="CC3951" s="99"/>
      <c r="CV3951" s="99"/>
      <c r="CW3951" s="63"/>
    </row>
    <row r="3952" spans="1:101" x14ac:dyDescent="0.15">
      <c r="A3952" s="76">
        <v>3692</v>
      </c>
      <c r="B3952" s="74" t="s">
        <v>5237</v>
      </c>
      <c r="C3952" s="74">
        <v>1002734967</v>
      </c>
      <c r="D3952" s="78" t="str">
        <f t="shared" si="130"/>
        <v>https://portal.dnb.de/opac.htm?method=simpleSearch&amp;cqlMode=true&amp;query=idn%3D1002734967</v>
      </c>
      <c r="E3952" s="74" t="s">
        <v>5235</v>
      </c>
      <c r="F3952" s="74"/>
      <c r="G3952" s="76"/>
      <c r="H3952" s="77"/>
      <c r="I3952" s="76"/>
      <c r="J3952" s="77"/>
      <c r="K3952" s="77"/>
      <c r="L3952" s="76"/>
      <c r="M3952" s="76"/>
      <c r="N3952" s="76"/>
      <c r="O3952" s="76"/>
      <c r="P3952" s="76"/>
      <c r="Q3952" s="76"/>
      <c r="R3952" s="76"/>
      <c r="S3952" s="76"/>
      <c r="BD3952" s="99">
        <f t="shared" si="129"/>
        <v>0</v>
      </c>
      <c r="CC3952" s="99"/>
      <c r="CV3952" s="99"/>
      <c r="CW3952" s="63"/>
    </row>
    <row r="3953" spans="1:101" x14ac:dyDescent="0.15">
      <c r="A3953" s="76">
        <v>3693</v>
      </c>
      <c r="B3953" s="74" t="s">
        <v>5238</v>
      </c>
      <c r="C3953" s="74">
        <v>1002734908</v>
      </c>
      <c r="D3953" s="78" t="str">
        <f t="shared" si="130"/>
        <v>https://portal.dnb.de/opac.htm?method=simpleSearch&amp;cqlMode=true&amp;query=idn%3D1002734908</v>
      </c>
      <c r="E3953" s="74" t="s">
        <v>5235</v>
      </c>
      <c r="F3953" s="74"/>
      <c r="G3953" s="76"/>
      <c r="H3953" s="77"/>
      <c r="I3953" s="76"/>
      <c r="J3953" s="77"/>
      <c r="K3953" s="77"/>
      <c r="L3953" s="76"/>
      <c r="M3953" s="76"/>
      <c r="N3953" s="76"/>
      <c r="O3953" s="76"/>
      <c r="P3953" s="76"/>
      <c r="Q3953" s="76"/>
      <c r="R3953" s="76"/>
      <c r="S3953" s="76"/>
      <c r="BD3953" s="99">
        <f t="shared" si="129"/>
        <v>0</v>
      </c>
      <c r="CC3953" s="99"/>
      <c r="CV3953" s="99"/>
      <c r="CW3953" s="63"/>
    </row>
    <row r="3954" spans="1:101" x14ac:dyDescent="0.15">
      <c r="A3954" s="76">
        <v>3694</v>
      </c>
      <c r="B3954" s="74" t="s">
        <v>5243</v>
      </c>
      <c r="C3954" s="74" t="s">
        <v>5244</v>
      </c>
      <c r="D3954" s="78" t="str">
        <f t="shared" si="130"/>
        <v>https://portal.dnb.de/opac.htm?method=simpleSearch&amp;cqlMode=true&amp;query=idn%3D99935065X</v>
      </c>
      <c r="E3954" s="74" t="s">
        <v>5245</v>
      </c>
      <c r="F3954" s="74"/>
      <c r="G3954" s="76"/>
      <c r="H3954" s="77"/>
      <c r="I3954" s="76"/>
      <c r="J3954" s="77"/>
      <c r="K3954" s="77"/>
      <c r="L3954" s="76"/>
      <c r="M3954" s="76"/>
      <c r="N3954" s="76"/>
      <c r="O3954" s="76"/>
      <c r="P3954" s="76"/>
      <c r="Q3954" s="76"/>
      <c r="R3954" s="76"/>
      <c r="S3954" s="76"/>
      <c r="BD3954" s="99">
        <f t="shared" si="129"/>
        <v>0</v>
      </c>
      <c r="CC3954" s="99"/>
      <c r="CV3954" s="99"/>
      <c r="CW3954" s="63"/>
    </row>
    <row r="3955" spans="1:101" x14ac:dyDescent="0.15">
      <c r="A3955" s="76">
        <v>3695</v>
      </c>
      <c r="B3955" s="74" t="s">
        <v>5246</v>
      </c>
      <c r="C3955" s="74">
        <v>999351044</v>
      </c>
      <c r="D3955" s="78" t="str">
        <f t="shared" si="130"/>
        <v>https://portal.dnb.de/opac.htm?method=simpleSearch&amp;cqlMode=true&amp;query=idn%3D999351044</v>
      </c>
      <c r="E3955" s="74" t="s">
        <v>5245</v>
      </c>
      <c r="F3955" s="74"/>
      <c r="G3955" s="76"/>
      <c r="H3955" s="77"/>
      <c r="I3955" s="76"/>
      <c r="J3955" s="77"/>
      <c r="K3955" s="77"/>
      <c r="L3955" s="76"/>
      <c r="M3955" s="76"/>
      <c r="N3955" s="76"/>
      <c r="O3955" s="76"/>
      <c r="P3955" s="76"/>
      <c r="Q3955" s="76"/>
      <c r="R3955" s="76"/>
      <c r="S3955" s="76"/>
      <c r="BD3955" s="99">
        <f t="shared" si="129"/>
        <v>0</v>
      </c>
      <c r="CC3955" s="99"/>
      <c r="CV3955" s="99"/>
      <c r="CW3955" s="63"/>
    </row>
    <row r="3956" spans="1:101" x14ac:dyDescent="0.15">
      <c r="A3956" s="76">
        <v>3696</v>
      </c>
      <c r="B3956" s="74" t="s">
        <v>5247</v>
      </c>
      <c r="C3956" s="74">
        <v>999350951</v>
      </c>
      <c r="D3956" s="78" t="str">
        <f t="shared" si="130"/>
        <v>https://portal.dnb.de/opac.htm?method=simpleSearch&amp;cqlMode=true&amp;query=idn%3D999350951</v>
      </c>
      <c r="E3956" s="74" t="s">
        <v>5245</v>
      </c>
      <c r="F3956" s="74"/>
      <c r="G3956" s="76"/>
      <c r="H3956" s="77"/>
      <c r="I3956" s="76"/>
      <c r="J3956" s="77"/>
      <c r="K3956" s="77"/>
      <c r="L3956" s="76"/>
      <c r="M3956" s="76"/>
      <c r="N3956" s="76"/>
      <c r="O3956" s="76"/>
      <c r="P3956" s="76"/>
      <c r="Q3956" s="76"/>
      <c r="R3956" s="76"/>
      <c r="S3956" s="76"/>
      <c r="BD3956" s="99">
        <f t="shared" si="129"/>
        <v>0</v>
      </c>
      <c r="CC3956" s="99"/>
      <c r="CV3956" s="99"/>
      <c r="CW3956" s="63"/>
    </row>
    <row r="3957" spans="1:101" x14ac:dyDescent="0.15">
      <c r="A3957" s="76">
        <v>3697</v>
      </c>
      <c r="B3957" s="74" t="s">
        <v>5248</v>
      </c>
      <c r="C3957" s="74">
        <v>999350889</v>
      </c>
      <c r="D3957" s="78" t="str">
        <f t="shared" si="130"/>
        <v>https://portal.dnb.de/opac.htm?method=simpleSearch&amp;cqlMode=true&amp;query=idn%3D999350889</v>
      </c>
      <c r="E3957" s="74" t="s">
        <v>5245</v>
      </c>
      <c r="F3957" s="74"/>
      <c r="G3957" s="76"/>
      <c r="H3957" s="77"/>
      <c r="I3957" s="76"/>
      <c r="J3957" s="77"/>
      <c r="K3957" s="77"/>
      <c r="L3957" s="76"/>
      <c r="M3957" s="76"/>
      <c r="N3957" s="76"/>
      <c r="O3957" s="76"/>
      <c r="P3957" s="76"/>
      <c r="Q3957" s="76"/>
      <c r="R3957" s="76"/>
      <c r="S3957" s="76"/>
      <c r="BD3957" s="99">
        <f t="shared" si="129"/>
        <v>0</v>
      </c>
      <c r="CC3957" s="99"/>
      <c r="CV3957" s="99"/>
      <c r="CW3957" s="63"/>
    </row>
    <row r="3958" spans="1:101" x14ac:dyDescent="0.15">
      <c r="A3958" s="76">
        <v>3698</v>
      </c>
      <c r="B3958" s="74" t="s">
        <v>5249</v>
      </c>
      <c r="C3958" s="74">
        <v>999350862</v>
      </c>
      <c r="D3958" s="78" t="str">
        <f t="shared" si="130"/>
        <v>https://portal.dnb.de/opac.htm?method=simpleSearch&amp;cqlMode=true&amp;query=idn%3D999350862</v>
      </c>
      <c r="E3958" s="74" t="s">
        <v>5245</v>
      </c>
      <c r="F3958" s="74"/>
      <c r="G3958" s="76"/>
      <c r="H3958" s="77"/>
      <c r="I3958" s="76"/>
      <c r="J3958" s="77"/>
      <c r="K3958" s="77"/>
      <c r="L3958" s="76"/>
      <c r="M3958" s="76"/>
      <c r="N3958" s="76"/>
      <c r="O3958" s="76"/>
      <c r="P3958" s="76"/>
      <c r="Q3958" s="76"/>
      <c r="R3958" s="76"/>
      <c r="S3958" s="76"/>
      <c r="BD3958" s="99">
        <f t="shared" si="129"/>
        <v>0</v>
      </c>
      <c r="CC3958" s="99"/>
      <c r="CV3958" s="99"/>
      <c r="CW3958" s="63"/>
    </row>
    <row r="3959" spans="1:101" x14ac:dyDescent="0.15">
      <c r="A3959" s="76">
        <v>3699</v>
      </c>
      <c r="B3959" s="74" t="s">
        <v>5250</v>
      </c>
      <c r="C3959" s="74">
        <v>999350803</v>
      </c>
      <c r="D3959" s="78" t="str">
        <f t="shared" si="130"/>
        <v>https://portal.dnb.de/opac.htm?method=simpleSearch&amp;cqlMode=true&amp;query=idn%3D999350803</v>
      </c>
      <c r="E3959" s="74" t="s">
        <v>5245</v>
      </c>
      <c r="F3959" s="74"/>
      <c r="G3959" s="76"/>
      <c r="H3959" s="77"/>
      <c r="I3959" s="76"/>
      <c r="J3959" s="77"/>
      <c r="K3959" s="77"/>
      <c r="L3959" s="76"/>
      <c r="M3959" s="76"/>
      <c r="N3959" s="76"/>
      <c r="O3959" s="76"/>
      <c r="P3959" s="76"/>
      <c r="Q3959" s="76"/>
      <c r="R3959" s="76"/>
      <c r="S3959" s="76"/>
      <c r="BD3959" s="99">
        <f t="shared" si="129"/>
        <v>0</v>
      </c>
      <c r="CC3959" s="99"/>
      <c r="CV3959" s="99"/>
      <c r="CW3959" s="63"/>
    </row>
    <row r="3960" spans="1:101" x14ac:dyDescent="0.15">
      <c r="A3960" s="76">
        <v>3700</v>
      </c>
      <c r="B3960" s="74" t="s">
        <v>5253</v>
      </c>
      <c r="C3960" s="74">
        <v>993972381</v>
      </c>
      <c r="D3960" s="78" t="str">
        <f t="shared" si="130"/>
        <v>https://portal.dnb.de/opac.htm?method=simpleSearch&amp;cqlMode=true&amp;query=idn%3D993972381</v>
      </c>
      <c r="E3960" s="74" t="s">
        <v>10242</v>
      </c>
      <c r="F3960" s="74"/>
      <c r="G3960" s="76"/>
      <c r="H3960" s="77"/>
      <c r="I3960" s="76" t="s">
        <v>53</v>
      </c>
      <c r="J3960" s="77"/>
      <c r="K3960" s="77"/>
      <c r="L3960" s="76"/>
      <c r="M3960" s="76"/>
      <c r="N3960" s="76"/>
      <c r="O3960" s="76"/>
      <c r="P3960" s="76"/>
      <c r="Q3960" s="76"/>
      <c r="R3960" s="76"/>
      <c r="S3960" s="76"/>
      <c r="X3960" s="95" t="s">
        <v>8541</v>
      </c>
      <c r="Y3960" s="95" t="s">
        <v>9723</v>
      </c>
      <c r="AC3960" s="95" t="s">
        <v>9724</v>
      </c>
      <c r="AI3960" s="95" t="s">
        <v>9725</v>
      </c>
      <c r="AU3960" s="95">
        <v>3</v>
      </c>
      <c r="AV3960" s="95" t="s">
        <v>8541</v>
      </c>
      <c r="AW3960" s="95">
        <v>45</v>
      </c>
      <c r="BC3960" s="96" t="s">
        <v>9734</v>
      </c>
      <c r="BD3960" s="99">
        <f t="shared" si="129"/>
        <v>0</v>
      </c>
      <c r="BG3960" s="95" t="s">
        <v>8541</v>
      </c>
      <c r="BL3960" s="70" t="s">
        <v>10015</v>
      </c>
      <c r="CC3960" s="99"/>
      <c r="CV3960" s="99"/>
      <c r="CW3960" s="63"/>
    </row>
    <row r="3961" spans="1:101" x14ac:dyDescent="0.15">
      <c r="A3961" s="76">
        <v>3701</v>
      </c>
      <c r="B3961" s="74" t="s">
        <v>5254</v>
      </c>
      <c r="C3961" s="74" t="s">
        <v>5255</v>
      </c>
      <c r="D3961" s="78" t="str">
        <f t="shared" si="130"/>
        <v>https://portal.dnb.de/opac.htm?method=simpleSearch&amp;cqlMode=true&amp;query=idn%3D99397239X</v>
      </c>
      <c r="E3961" s="74" t="s">
        <v>10243</v>
      </c>
      <c r="F3961" s="74"/>
      <c r="G3961" s="76"/>
      <c r="H3961" s="77"/>
      <c r="I3961" s="76" t="s">
        <v>53</v>
      </c>
      <c r="J3961" s="77"/>
      <c r="K3961" s="77"/>
      <c r="L3961" s="76"/>
      <c r="M3961" s="76"/>
      <c r="N3961" s="76"/>
      <c r="O3961" s="76"/>
      <c r="P3961" s="76"/>
      <c r="Q3961" s="76"/>
      <c r="R3961" s="76"/>
      <c r="S3961" s="76"/>
      <c r="X3961" s="95" t="s">
        <v>8541</v>
      </c>
      <c r="Y3961" s="95" t="s">
        <v>9723</v>
      </c>
      <c r="AC3961" s="95" t="s">
        <v>9724</v>
      </c>
      <c r="AI3961" s="95" t="s">
        <v>9725</v>
      </c>
      <c r="AU3961" s="95">
        <v>3</v>
      </c>
      <c r="AV3961" s="95" t="s">
        <v>8541</v>
      </c>
      <c r="AW3961" s="95">
        <v>45</v>
      </c>
      <c r="BC3961" s="96" t="s">
        <v>9734</v>
      </c>
      <c r="BD3961" s="99">
        <f t="shared" si="129"/>
        <v>0</v>
      </c>
      <c r="BG3961" s="95" t="s">
        <v>8541</v>
      </c>
      <c r="CC3961" s="99"/>
      <c r="CV3961" s="99"/>
      <c r="CW3961" s="63"/>
    </row>
    <row r="3962" spans="1:101" x14ac:dyDescent="0.15">
      <c r="A3962" s="76">
        <v>3702</v>
      </c>
      <c r="B3962" s="74" t="s">
        <v>5256</v>
      </c>
      <c r="C3962" s="74">
        <v>993972403</v>
      </c>
      <c r="D3962" s="78" t="str">
        <f t="shared" si="130"/>
        <v>https://portal.dnb.de/opac.htm?method=simpleSearch&amp;cqlMode=true&amp;query=idn%3D993972403</v>
      </c>
      <c r="E3962" s="74" t="s">
        <v>10244</v>
      </c>
      <c r="F3962" s="74"/>
      <c r="G3962" s="76"/>
      <c r="H3962" s="77"/>
      <c r="I3962" s="76" t="s">
        <v>53</v>
      </c>
      <c r="J3962" s="77"/>
      <c r="K3962" s="77"/>
      <c r="L3962" s="76"/>
      <c r="M3962" s="76"/>
      <c r="N3962" s="76"/>
      <c r="O3962" s="76"/>
      <c r="P3962" s="76"/>
      <c r="Q3962" s="76"/>
      <c r="R3962" s="76"/>
      <c r="S3962" s="76"/>
      <c r="X3962" s="95" t="s">
        <v>8541</v>
      </c>
      <c r="Y3962" s="95" t="s">
        <v>9723</v>
      </c>
      <c r="AC3962" s="95" t="s">
        <v>9724</v>
      </c>
      <c r="AI3962" s="95" t="s">
        <v>9725</v>
      </c>
      <c r="AU3962" s="95">
        <v>3</v>
      </c>
      <c r="AV3962" s="95" t="s">
        <v>8541</v>
      </c>
      <c r="AW3962" s="95">
        <v>45</v>
      </c>
      <c r="BC3962" s="96" t="s">
        <v>9734</v>
      </c>
      <c r="BD3962" s="99">
        <f t="shared" si="129"/>
        <v>0</v>
      </c>
      <c r="CC3962" s="99"/>
      <c r="CV3962" s="99"/>
      <c r="CW3962" s="63"/>
    </row>
    <row r="3963" spans="1:101" ht="22.5" x14ac:dyDescent="0.15">
      <c r="A3963" s="76">
        <v>3703</v>
      </c>
      <c r="B3963" s="74" t="s">
        <v>5257</v>
      </c>
      <c r="C3963" s="74">
        <v>993972373</v>
      </c>
      <c r="D3963" s="78" t="str">
        <f t="shared" si="130"/>
        <v>https://portal.dnb.de/opac.htm?method=simpleSearch&amp;cqlMode=true&amp;query=idn%3D993972373</v>
      </c>
      <c r="E3963" s="74" t="s">
        <v>10245</v>
      </c>
      <c r="F3963" s="74"/>
      <c r="G3963" s="76"/>
      <c r="H3963" s="77"/>
      <c r="I3963" s="76" t="s">
        <v>53</v>
      </c>
      <c r="J3963" s="77"/>
      <c r="K3963" s="77"/>
      <c r="L3963" s="76"/>
      <c r="M3963" s="76"/>
      <c r="N3963" s="76"/>
      <c r="O3963" s="76"/>
      <c r="P3963" s="76"/>
      <c r="Q3963" s="76"/>
      <c r="R3963" s="76"/>
      <c r="S3963" s="76"/>
      <c r="X3963" s="95" t="s">
        <v>8541</v>
      </c>
      <c r="Y3963" s="95" t="s">
        <v>9723</v>
      </c>
      <c r="AC3963" s="95" t="s">
        <v>9724</v>
      </c>
      <c r="AI3963" s="95" t="s">
        <v>9725</v>
      </c>
      <c r="AU3963" s="95">
        <v>3</v>
      </c>
      <c r="AV3963" s="95" t="s">
        <v>8541</v>
      </c>
      <c r="AW3963" s="95">
        <v>45</v>
      </c>
      <c r="BC3963" s="96" t="s">
        <v>9726</v>
      </c>
      <c r="BD3963" s="99">
        <f t="shared" si="129"/>
        <v>4</v>
      </c>
      <c r="BG3963" s="95" t="s">
        <v>8541</v>
      </c>
      <c r="BP3963" s="69" t="s">
        <v>8541</v>
      </c>
      <c r="BQ3963" s="95" t="s">
        <v>8541</v>
      </c>
      <c r="BR3963" s="95" t="s">
        <v>8541</v>
      </c>
      <c r="BT3963" s="95" t="s">
        <v>9775</v>
      </c>
      <c r="BU3963" s="95">
        <v>3</v>
      </c>
      <c r="CC3963" s="99">
        <v>4</v>
      </c>
      <c r="CD3963" s="90" t="s">
        <v>10246</v>
      </c>
      <c r="CV3963" s="99"/>
      <c r="CW3963" s="63"/>
    </row>
    <row r="3964" spans="1:101" x14ac:dyDescent="0.15">
      <c r="A3964" s="76">
        <v>3704</v>
      </c>
      <c r="B3964" s="74" t="s">
        <v>5258</v>
      </c>
      <c r="C3964" s="74">
        <v>998390321</v>
      </c>
      <c r="D3964" s="78" t="str">
        <f t="shared" si="130"/>
        <v>https://portal.dnb.de/opac.htm?method=simpleSearch&amp;cqlMode=true&amp;query=idn%3D998390321</v>
      </c>
      <c r="E3964" s="74" t="s">
        <v>5259</v>
      </c>
      <c r="F3964" s="74"/>
      <c r="G3964" s="76"/>
      <c r="H3964" s="77"/>
      <c r="I3964" s="76"/>
      <c r="J3964" s="77"/>
      <c r="K3964" s="77"/>
      <c r="L3964" s="76"/>
      <c r="M3964" s="76"/>
      <c r="N3964" s="76"/>
      <c r="O3964" s="76"/>
      <c r="P3964" s="76"/>
      <c r="Q3964" s="76"/>
      <c r="R3964" s="76"/>
      <c r="S3964" s="76"/>
      <c r="BD3964" s="99">
        <f t="shared" si="129"/>
        <v>0</v>
      </c>
      <c r="CC3964" s="99"/>
      <c r="CV3964" s="99"/>
      <c r="CW3964" s="63"/>
    </row>
    <row r="3965" spans="1:101" x14ac:dyDescent="0.15">
      <c r="A3965" s="76">
        <v>3705</v>
      </c>
      <c r="B3965" s="74" t="s">
        <v>5260</v>
      </c>
      <c r="C3965" s="74">
        <v>999028731</v>
      </c>
      <c r="D3965" s="78" t="str">
        <f t="shared" si="130"/>
        <v>https://portal.dnb.de/opac.htm?method=simpleSearch&amp;cqlMode=true&amp;query=idn%3D999028731</v>
      </c>
      <c r="E3965" s="74" t="s">
        <v>5261</v>
      </c>
      <c r="F3965" s="74"/>
      <c r="G3965" s="76"/>
      <c r="H3965" s="77"/>
      <c r="I3965" s="76"/>
      <c r="J3965" s="77"/>
      <c r="K3965" s="77"/>
      <c r="L3965" s="76"/>
      <c r="M3965" s="76"/>
      <c r="N3965" s="76"/>
      <c r="O3965" s="76"/>
      <c r="P3965" s="76"/>
      <c r="Q3965" s="76"/>
      <c r="R3965" s="76"/>
      <c r="S3965" s="76"/>
      <c r="BD3965" s="99">
        <f t="shared" si="129"/>
        <v>0</v>
      </c>
      <c r="CC3965" s="99"/>
      <c r="CV3965" s="99"/>
      <c r="CW3965" s="63"/>
    </row>
    <row r="3966" spans="1:101" x14ac:dyDescent="0.15">
      <c r="A3966" s="76">
        <v>3706</v>
      </c>
      <c r="B3966" s="74" t="s">
        <v>5262</v>
      </c>
      <c r="C3966" s="74">
        <v>1002255406</v>
      </c>
      <c r="D3966" s="78" t="str">
        <f t="shared" si="130"/>
        <v>https://portal.dnb.de/opac.htm?method=simpleSearch&amp;cqlMode=true&amp;query=idn%3D1002255406</v>
      </c>
      <c r="E3966" s="74" t="s">
        <v>5263</v>
      </c>
      <c r="F3966" s="74"/>
      <c r="G3966" s="76"/>
      <c r="H3966" s="77"/>
      <c r="I3966" s="76"/>
      <c r="J3966" s="77"/>
      <c r="K3966" s="77"/>
      <c r="L3966" s="76"/>
      <c r="M3966" s="76"/>
      <c r="N3966" s="76"/>
      <c r="O3966" s="76"/>
      <c r="P3966" s="76"/>
      <c r="Q3966" s="76"/>
      <c r="R3966" s="76"/>
      <c r="S3966" s="76"/>
      <c r="BD3966" s="99">
        <f t="shared" si="129"/>
        <v>0</v>
      </c>
      <c r="CC3966" s="99"/>
      <c r="CV3966" s="99"/>
      <c r="CW3966" s="63"/>
    </row>
    <row r="3967" spans="1:101" x14ac:dyDescent="0.15">
      <c r="A3967" s="76">
        <v>3707</v>
      </c>
      <c r="B3967" s="74" t="s">
        <v>5264</v>
      </c>
      <c r="C3967" s="74">
        <v>1002255643</v>
      </c>
      <c r="D3967" s="78" t="str">
        <f t="shared" si="130"/>
        <v>https://portal.dnb.de/opac.htm?method=simpleSearch&amp;cqlMode=true&amp;query=idn%3D1002255643</v>
      </c>
      <c r="E3967" s="74" t="s">
        <v>5263</v>
      </c>
      <c r="F3967" s="74"/>
      <c r="G3967" s="76"/>
      <c r="H3967" s="77"/>
      <c r="I3967" s="76"/>
      <c r="J3967" s="77"/>
      <c r="K3967" s="77"/>
      <c r="L3967" s="76"/>
      <c r="M3967" s="76"/>
      <c r="N3967" s="76"/>
      <c r="O3967" s="76"/>
      <c r="P3967" s="76"/>
      <c r="Q3967" s="76"/>
      <c r="R3967" s="76"/>
      <c r="S3967" s="76"/>
      <c r="BD3967" s="99">
        <f t="shared" si="129"/>
        <v>0</v>
      </c>
      <c r="CC3967" s="99"/>
      <c r="CV3967" s="99"/>
      <c r="CW3967" s="63"/>
    </row>
    <row r="3968" spans="1:101" x14ac:dyDescent="0.15">
      <c r="A3968" s="76">
        <v>3708</v>
      </c>
      <c r="B3968" s="74" t="s">
        <v>5265</v>
      </c>
      <c r="C3968" s="74">
        <v>994318189</v>
      </c>
      <c r="D3968" s="78" t="str">
        <f t="shared" si="130"/>
        <v>https://portal.dnb.de/opac.htm?method=simpleSearch&amp;cqlMode=true&amp;query=idn%3D994318189</v>
      </c>
      <c r="E3968" s="74" t="s">
        <v>5266</v>
      </c>
      <c r="F3968" s="74"/>
      <c r="G3968" s="76"/>
      <c r="H3968" s="77"/>
      <c r="I3968" s="76"/>
      <c r="J3968" s="77"/>
      <c r="K3968" s="77"/>
      <c r="L3968" s="76"/>
      <c r="M3968" s="76"/>
      <c r="N3968" s="76"/>
      <c r="O3968" s="76"/>
      <c r="P3968" s="76"/>
      <c r="Q3968" s="76"/>
      <c r="R3968" s="76"/>
      <c r="S3968" s="76"/>
      <c r="BD3968" s="99">
        <f t="shared" si="129"/>
        <v>0</v>
      </c>
      <c r="CC3968" s="99"/>
      <c r="CV3968" s="99"/>
      <c r="CW3968" s="63"/>
    </row>
    <row r="3969" spans="1:101" x14ac:dyDescent="0.15">
      <c r="A3969" s="76">
        <v>3709</v>
      </c>
      <c r="B3969" s="74" t="s">
        <v>5267</v>
      </c>
      <c r="C3969" s="74">
        <v>1002490820</v>
      </c>
      <c r="D3969" s="78" t="str">
        <f t="shared" si="130"/>
        <v>https://portal.dnb.de/opac.htm?method=simpleSearch&amp;cqlMode=true&amp;query=idn%3D1002490820</v>
      </c>
      <c r="E3969" s="74" t="s">
        <v>5268</v>
      </c>
      <c r="F3969" s="74"/>
      <c r="G3969" s="76"/>
      <c r="H3969" s="77"/>
      <c r="I3969" s="76"/>
      <c r="J3969" s="77"/>
      <c r="K3969" s="77"/>
      <c r="L3969" s="76"/>
      <c r="M3969" s="76"/>
      <c r="N3969" s="76"/>
      <c r="O3969" s="76"/>
      <c r="P3969" s="76"/>
      <c r="Q3969" s="76"/>
      <c r="R3969" s="76"/>
      <c r="S3969" s="76"/>
      <c r="BD3969" s="99">
        <f t="shared" si="129"/>
        <v>0</v>
      </c>
      <c r="CC3969" s="99"/>
      <c r="CV3969" s="99"/>
      <c r="CW3969" s="63"/>
    </row>
    <row r="3970" spans="1:101" x14ac:dyDescent="0.15">
      <c r="A3970" s="76">
        <v>3710</v>
      </c>
      <c r="B3970" s="74" t="s">
        <v>5269</v>
      </c>
      <c r="C3970" s="74">
        <v>1002732158</v>
      </c>
      <c r="D3970" s="78" t="str">
        <f t="shared" si="130"/>
        <v>https://portal.dnb.de/opac.htm?method=simpleSearch&amp;cqlMode=true&amp;query=idn%3D1002732158</v>
      </c>
      <c r="E3970" s="74" t="s">
        <v>5270</v>
      </c>
      <c r="F3970" s="74"/>
      <c r="G3970" s="76"/>
      <c r="H3970" s="77"/>
      <c r="I3970" s="76"/>
      <c r="J3970" s="77"/>
      <c r="K3970" s="77"/>
      <c r="L3970" s="76"/>
      <c r="M3970" s="76"/>
      <c r="N3970" s="76"/>
      <c r="O3970" s="76"/>
      <c r="P3970" s="76"/>
      <c r="Q3970" s="76"/>
      <c r="R3970" s="76"/>
      <c r="S3970" s="76"/>
      <c r="BD3970" s="99">
        <f t="shared" si="129"/>
        <v>0</v>
      </c>
      <c r="CC3970" s="99"/>
      <c r="CV3970" s="99"/>
      <c r="CW3970" s="63"/>
    </row>
    <row r="3971" spans="1:101" x14ac:dyDescent="0.15">
      <c r="A3971" s="76">
        <v>3711</v>
      </c>
      <c r="B3971" s="74" t="s">
        <v>5271</v>
      </c>
      <c r="C3971" s="74">
        <v>1002732034</v>
      </c>
      <c r="D3971" s="78" t="str">
        <f t="shared" si="130"/>
        <v>https://portal.dnb.de/opac.htm?method=simpleSearch&amp;cqlMode=true&amp;query=idn%3D1002732034</v>
      </c>
      <c r="E3971" s="74" t="s">
        <v>5270</v>
      </c>
      <c r="F3971" s="74"/>
      <c r="G3971" s="76"/>
      <c r="H3971" s="77"/>
      <c r="I3971" s="76"/>
      <c r="J3971" s="77"/>
      <c r="K3971" s="77"/>
      <c r="L3971" s="76"/>
      <c r="M3971" s="76"/>
      <c r="N3971" s="76"/>
      <c r="O3971" s="76"/>
      <c r="P3971" s="76"/>
      <c r="Q3971" s="76"/>
      <c r="R3971" s="76"/>
      <c r="S3971" s="76"/>
      <c r="BD3971" s="99">
        <f t="shared" ref="BD3971:BD4034" si="131">CC3971+CV3971</f>
        <v>0</v>
      </c>
      <c r="CC3971" s="99"/>
      <c r="CV3971" s="99"/>
      <c r="CW3971" s="63"/>
    </row>
    <row r="3972" spans="1:101" x14ac:dyDescent="0.15">
      <c r="A3972" s="76">
        <v>3712</v>
      </c>
      <c r="B3972" s="74" t="s">
        <v>5272</v>
      </c>
      <c r="C3972" s="74" t="s">
        <v>5273</v>
      </c>
      <c r="D3972" s="78" t="str">
        <f t="shared" si="130"/>
        <v>https://portal.dnb.de/opac.htm?method=simpleSearch&amp;cqlMode=true&amp;query=idn%3D100273228X</v>
      </c>
      <c r="E3972" s="74" t="s">
        <v>5270</v>
      </c>
      <c r="F3972" s="74"/>
      <c r="G3972" s="76"/>
      <c r="H3972" s="77"/>
      <c r="I3972" s="76"/>
      <c r="J3972" s="77"/>
      <c r="K3972" s="77"/>
      <c r="L3972" s="76"/>
      <c r="M3972" s="76"/>
      <c r="N3972" s="76"/>
      <c r="O3972" s="76"/>
      <c r="P3972" s="76"/>
      <c r="Q3972" s="76"/>
      <c r="R3972" s="76"/>
      <c r="S3972" s="76"/>
      <c r="BD3972" s="99">
        <f t="shared" si="131"/>
        <v>0</v>
      </c>
      <c r="CC3972" s="99"/>
      <c r="CV3972" s="99"/>
      <c r="CW3972" s="63"/>
    </row>
    <row r="3973" spans="1:101" x14ac:dyDescent="0.15">
      <c r="A3973" s="76">
        <v>3713</v>
      </c>
      <c r="B3973" s="74" t="s">
        <v>5274</v>
      </c>
      <c r="C3973" s="74">
        <v>1002732107</v>
      </c>
      <c r="D3973" s="78" t="str">
        <f t="shared" si="130"/>
        <v>https://portal.dnb.de/opac.htm?method=simpleSearch&amp;cqlMode=true&amp;query=idn%3D1002732107</v>
      </c>
      <c r="E3973" s="74" t="s">
        <v>5270</v>
      </c>
      <c r="F3973" s="74"/>
      <c r="G3973" s="76"/>
      <c r="H3973" s="77"/>
      <c r="I3973" s="76"/>
      <c r="J3973" s="77"/>
      <c r="K3973" s="77"/>
      <c r="L3973" s="76"/>
      <c r="M3973" s="76"/>
      <c r="N3973" s="76"/>
      <c r="O3973" s="76"/>
      <c r="P3973" s="76"/>
      <c r="Q3973" s="76"/>
      <c r="R3973" s="76"/>
      <c r="S3973" s="76"/>
      <c r="BD3973" s="99">
        <f t="shared" si="131"/>
        <v>0</v>
      </c>
      <c r="CC3973" s="99"/>
      <c r="CV3973" s="99"/>
      <c r="CW3973" s="63"/>
    </row>
    <row r="3974" spans="1:101" x14ac:dyDescent="0.15">
      <c r="A3974" s="76">
        <v>3714</v>
      </c>
      <c r="B3974" s="74" t="s">
        <v>5275</v>
      </c>
      <c r="C3974" s="74">
        <v>1000319962</v>
      </c>
      <c r="D3974" s="78" t="str">
        <f t="shared" si="130"/>
        <v>https://portal.dnb.de/opac.htm?method=simpleSearch&amp;cqlMode=true&amp;query=idn%3D1000319962</v>
      </c>
      <c r="E3974" s="74" t="s">
        <v>5276</v>
      </c>
      <c r="F3974" s="74"/>
      <c r="G3974" s="76"/>
      <c r="H3974" s="77"/>
      <c r="I3974" s="76"/>
      <c r="J3974" s="77"/>
      <c r="K3974" s="77"/>
      <c r="L3974" s="76"/>
      <c r="M3974" s="76"/>
      <c r="N3974" s="76"/>
      <c r="O3974" s="76"/>
      <c r="P3974" s="76"/>
      <c r="Q3974" s="76"/>
      <c r="R3974" s="76"/>
      <c r="S3974" s="76"/>
      <c r="BD3974" s="99">
        <f t="shared" si="131"/>
        <v>0</v>
      </c>
      <c r="CC3974" s="99"/>
      <c r="CV3974" s="99"/>
      <c r="CW3974" s="63"/>
    </row>
    <row r="3975" spans="1:101" ht="45" x14ac:dyDescent="0.15">
      <c r="A3975" s="76">
        <v>3715</v>
      </c>
      <c r="B3975" s="74" t="s">
        <v>5277</v>
      </c>
      <c r="C3975" s="74" t="s">
        <v>5278</v>
      </c>
      <c r="D3975" s="78" t="str">
        <f t="shared" si="130"/>
        <v>https://portal.dnb.de/opac.htm?method=simpleSearch&amp;cqlMode=true&amp;query=idn%3D99699338X</v>
      </c>
      <c r="E3975" s="74" t="s">
        <v>10247</v>
      </c>
      <c r="F3975" s="74"/>
      <c r="G3975" s="76"/>
      <c r="H3975" s="77"/>
      <c r="I3975" s="76" t="s">
        <v>54</v>
      </c>
      <c r="J3975" s="77"/>
      <c r="K3975" s="77"/>
      <c r="L3975" s="76"/>
      <c r="M3975" s="76"/>
      <c r="N3975" s="76"/>
      <c r="O3975" s="76"/>
      <c r="P3975" s="76"/>
      <c r="Q3975" s="76"/>
      <c r="R3975" s="76"/>
      <c r="S3975" s="76"/>
      <c r="Y3975" s="95" t="s">
        <v>9723</v>
      </c>
      <c r="AC3975" s="95" t="s">
        <v>9724</v>
      </c>
      <c r="AI3975" s="95" t="s">
        <v>9725</v>
      </c>
      <c r="AP3975" s="95" t="s">
        <v>10252</v>
      </c>
      <c r="AQ3975" s="96" t="s">
        <v>10254</v>
      </c>
      <c r="AW3975" s="95" t="s">
        <v>9733</v>
      </c>
      <c r="BC3975" s="96" t="s">
        <v>9734</v>
      </c>
      <c r="BD3975" s="99">
        <f t="shared" si="131"/>
        <v>0</v>
      </c>
      <c r="BJ3975" s="95" t="s">
        <v>9741</v>
      </c>
      <c r="BK3975" s="95" t="s">
        <v>8541</v>
      </c>
      <c r="BL3975" s="70" t="s">
        <v>10015</v>
      </c>
      <c r="BO3975" s="70" t="s">
        <v>10253</v>
      </c>
      <c r="CC3975" s="99"/>
      <c r="CV3975" s="99"/>
      <c r="CW3975" s="63"/>
    </row>
    <row r="3976" spans="1:101" ht="45" x14ac:dyDescent="0.15">
      <c r="A3976" s="76">
        <v>3716</v>
      </c>
      <c r="B3976" s="74" t="s">
        <v>5279</v>
      </c>
      <c r="C3976" s="74">
        <v>996993169</v>
      </c>
      <c r="D3976" s="78" t="str">
        <f t="shared" si="130"/>
        <v>https://portal.dnb.de/opac.htm?method=simpleSearch&amp;cqlMode=true&amp;query=idn%3D996993169</v>
      </c>
      <c r="E3976" s="74" t="s">
        <v>10248</v>
      </c>
      <c r="F3976" s="74"/>
      <c r="G3976" s="76"/>
      <c r="H3976" s="77"/>
      <c r="I3976" s="76" t="s">
        <v>54</v>
      </c>
      <c r="J3976" s="77"/>
      <c r="K3976" s="77"/>
      <c r="L3976" s="76"/>
      <c r="M3976" s="76"/>
      <c r="N3976" s="76"/>
      <c r="O3976" s="76"/>
      <c r="P3976" s="76"/>
      <c r="Q3976" s="76"/>
      <c r="R3976" s="76"/>
      <c r="S3976" s="76"/>
      <c r="Y3976" s="95" t="s">
        <v>9723</v>
      </c>
      <c r="AC3976" s="95" t="s">
        <v>9724</v>
      </c>
      <c r="AI3976" s="95" t="s">
        <v>9725</v>
      </c>
      <c r="AP3976" s="95" t="s">
        <v>10252</v>
      </c>
      <c r="AQ3976" s="96" t="s">
        <v>10251</v>
      </c>
      <c r="AW3976" s="95" t="s">
        <v>9733</v>
      </c>
      <c r="BC3976" s="96" t="s">
        <v>9734</v>
      </c>
      <c r="BD3976" s="99">
        <f t="shared" si="131"/>
        <v>0</v>
      </c>
      <c r="BJ3976" s="95" t="s">
        <v>9741</v>
      </c>
      <c r="BK3976" s="95" t="s">
        <v>8541</v>
      </c>
      <c r="BL3976" s="70" t="s">
        <v>10015</v>
      </c>
      <c r="BO3976" s="70" t="s">
        <v>10253</v>
      </c>
      <c r="CC3976" s="99"/>
      <c r="CV3976" s="99"/>
      <c r="CW3976" s="63"/>
    </row>
    <row r="3977" spans="1:101" ht="45" x14ac:dyDescent="0.15">
      <c r="A3977" s="76">
        <v>3717</v>
      </c>
      <c r="B3977" s="74" t="s">
        <v>5280</v>
      </c>
      <c r="C3977" s="74">
        <v>996993460</v>
      </c>
      <c r="D3977" s="78" t="str">
        <f t="shared" si="130"/>
        <v>https://portal.dnb.de/opac.htm?method=simpleSearch&amp;cqlMode=true&amp;query=idn%3D996993460</v>
      </c>
      <c r="E3977" s="74" t="s">
        <v>10249</v>
      </c>
      <c r="F3977" s="74"/>
      <c r="G3977" s="76"/>
      <c r="H3977" s="77"/>
      <c r="I3977" s="76" t="s">
        <v>54</v>
      </c>
      <c r="J3977" s="77"/>
      <c r="K3977" s="77"/>
      <c r="L3977" s="76"/>
      <c r="M3977" s="76"/>
      <c r="N3977" s="76"/>
      <c r="O3977" s="76"/>
      <c r="P3977" s="76"/>
      <c r="Q3977" s="76"/>
      <c r="R3977" s="76"/>
      <c r="S3977" s="76"/>
      <c r="Y3977" s="95" t="s">
        <v>9723</v>
      </c>
      <c r="AC3977" s="95" t="s">
        <v>9724</v>
      </c>
      <c r="AI3977" s="95" t="s">
        <v>9725</v>
      </c>
      <c r="AP3977" s="95" t="s">
        <v>10252</v>
      </c>
      <c r="AQ3977" s="96" t="s">
        <v>10255</v>
      </c>
      <c r="AW3977" s="95" t="s">
        <v>9733</v>
      </c>
      <c r="BC3977" s="96" t="s">
        <v>9726</v>
      </c>
      <c r="BD3977" s="99">
        <f t="shared" si="131"/>
        <v>2.5</v>
      </c>
      <c r="BJ3977" s="95" t="s">
        <v>9741</v>
      </c>
      <c r="BK3977" s="95" t="s">
        <v>8541</v>
      </c>
      <c r="BO3977" s="70" t="s">
        <v>10253</v>
      </c>
      <c r="BP3977" s="69" t="s">
        <v>8541</v>
      </c>
      <c r="CC3977" s="99"/>
      <c r="CP3977" s="95" t="s">
        <v>8541</v>
      </c>
      <c r="CV3977" s="99">
        <v>2.5</v>
      </c>
      <c r="CW3977" s="90" t="s">
        <v>10256</v>
      </c>
    </row>
    <row r="3978" spans="1:101" ht="45" x14ac:dyDescent="0.15">
      <c r="A3978" s="76">
        <v>3718</v>
      </c>
      <c r="B3978" s="74" t="s">
        <v>5281</v>
      </c>
      <c r="C3978" s="74">
        <v>996993517</v>
      </c>
      <c r="D3978" s="78" t="str">
        <f t="shared" si="130"/>
        <v>https://portal.dnb.de/opac.htm?method=simpleSearch&amp;cqlMode=true&amp;query=idn%3D996993517</v>
      </c>
      <c r="E3978" s="74" t="s">
        <v>10250</v>
      </c>
      <c r="F3978" s="74"/>
      <c r="G3978" s="76"/>
      <c r="H3978" s="77"/>
      <c r="I3978" s="76" t="s">
        <v>54</v>
      </c>
      <c r="J3978" s="77"/>
      <c r="K3978" s="77"/>
      <c r="L3978" s="76"/>
      <c r="M3978" s="76"/>
      <c r="N3978" s="76"/>
      <c r="O3978" s="76"/>
      <c r="P3978" s="76"/>
      <c r="Q3978" s="76"/>
      <c r="R3978" s="76"/>
      <c r="S3978" s="76"/>
      <c r="Y3978" s="95" t="s">
        <v>9723</v>
      </c>
      <c r="AC3978" s="95" t="s">
        <v>9724</v>
      </c>
      <c r="AI3978" s="95" t="s">
        <v>9725</v>
      </c>
      <c r="AP3978" s="95" t="s">
        <v>10252</v>
      </c>
      <c r="AQ3978" s="96" t="s">
        <v>10257</v>
      </c>
      <c r="AW3978" s="95" t="s">
        <v>9733</v>
      </c>
      <c r="BC3978" s="96" t="s">
        <v>9734</v>
      </c>
      <c r="BD3978" s="99">
        <f t="shared" si="131"/>
        <v>0</v>
      </c>
      <c r="BJ3978" s="95" t="s">
        <v>9741</v>
      </c>
      <c r="BK3978" s="95" t="s">
        <v>8541</v>
      </c>
      <c r="BL3978" s="70" t="s">
        <v>10015</v>
      </c>
      <c r="BO3978" s="70" t="s">
        <v>10253</v>
      </c>
      <c r="CC3978" s="99"/>
      <c r="CV3978" s="99"/>
      <c r="CW3978" s="63"/>
    </row>
    <row r="3979" spans="1:101" ht="33.75" x14ac:dyDescent="0.15">
      <c r="A3979" s="76">
        <v>3719</v>
      </c>
      <c r="B3979" s="74" t="s">
        <v>5288</v>
      </c>
      <c r="C3979" s="74">
        <v>1001523539</v>
      </c>
      <c r="D3979" s="78" t="str">
        <f t="shared" si="130"/>
        <v>https://portal.dnb.de/opac.htm?method=simpleSearch&amp;cqlMode=true&amp;query=idn%3D1001523539</v>
      </c>
      <c r="E3979" s="74" t="s">
        <v>5289</v>
      </c>
      <c r="F3979" s="74"/>
      <c r="G3979" s="76"/>
      <c r="H3979" s="77"/>
      <c r="I3979" s="139" t="s">
        <v>53</v>
      </c>
      <c r="J3979" s="77"/>
      <c r="K3979" s="77"/>
      <c r="L3979" s="76"/>
      <c r="M3979" s="76"/>
      <c r="N3979" s="76"/>
      <c r="O3979" s="76"/>
      <c r="P3979" s="76"/>
      <c r="Q3979" s="76"/>
      <c r="R3979" s="76"/>
      <c r="S3979" s="76"/>
      <c r="Y3979" s="95" t="s">
        <v>9723</v>
      </c>
      <c r="AC3979" s="95" t="s">
        <v>9724</v>
      </c>
      <c r="AI3979" s="95" t="s">
        <v>9725</v>
      </c>
      <c r="AR3979" s="95" t="s">
        <v>8541</v>
      </c>
      <c r="AT3979" s="95" t="s">
        <v>8541</v>
      </c>
      <c r="AW3979" s="95" t="s">
        <v>9764</v>
      </c>
      <c r="BC3979" s="96" t="s">
        <v>9734</v>
      </c>
      <c r="BD3979" s="99">
        <f t="shared" si="131"/>
        <v>0</v>
      </c>
      <c r="BJ3979" s="95" t="s">
        <v>9741</v>
      </c>
      <c r="BK3979" s="95" t="s">
        <v>8541</v>
      </c>
      <c r="BO3979" s="70" t="s">
        <v>10004</v>
      </c>
      <c r="CC3979" s="99"/>
      <c r="CV3979" s="99"/>
      <c r="CW3979" s="63"/>
    </row>
    <row r="3980" spans="1:101" x14ac:dyDescent="0.15">
      <c r="A3980" s="76">
        <v>3720</v>
      </c>
      <c r="B3980" s="74" t="s">
        <v>5290</v>
      </c>
      <c r="C3980" s="74">
        <v>1001483618</v>
      </c>
      <c r="D3980" s="78" t="str">
        <f t="shared" si="130"/>
        <v>https://portal.dnb.de/opac.htm?method=simpleSearch&amp;cqlMode=true&amp;query=idn%3D1001483618</v>
      </c>
      <c r="E3980" s="74" t="s">
        <v>5291</v>
      </c>
      <c r="F3980" s="74"/>
      <c r="G3980" s="76"/>
      <c r="H3980" s="77"/>
      <c r="I3980" s="76" t="s">
        <v>53</v>
      </c>
      <c r="J3980" s="77"/>
      <c r="K3980" s="77"/>
      <c r="L3980" s="76"/>
      <c r="M3980" s="76"/>
      <c r="N3980" s="76"/>
      <c r="O3980" s="76"/>
      <c r="P3980" s="76"/>
      <c r="Q3980" s="76"/>
      <c r="R3980" s="76"/>
      <c r="S3980" s="76"/>
      <c r="X3980" s="95" t="s">
        <v>8541</v>
      </c>
      <c r="Y3980" s="95" t="s">
        <v>9736</v>
      </c>
      <c r="AC3980" s="95" t="s">
        <v>9737</v>
      </c>
      <c r="AI3980" s="95" t="s">
        <v>9725</v>
      </c>
      <c r="AW3980" s="95">
        <v>110</v>
      </c>
      <c r="BC3980" s="96" t="s">
        <v>9726</v>
      </c>
      <c r="BD3980" s="99">
        <f t="shared" si="131"/>
        <v>0.5</v>
      </c>
      <c r="BP3980" s="69" t="s">
        <v>8541</v>
      </c>
      <c r="BR3980" s="95" t="s">
        <v>8541</v>
      </c>
      <c r="CC3980" s="99">
        <v>0.5</v>
      </c>
      <c r="CV3980" s="99"/>
      <c r="CW3980" s="63"/>
    </row>
    <row r="3981" spans="1:101" x14ac:dyDescent="0.15">
      <c r="A3981" s="76">
        <v>3721</v>
      </c>
      <c r="B3981" s="74" t="s">
        <v>5296</v>
      </c>
      <c r="C3981" s="74" t="s">
        <v>5297</v>
      </c>
      <c r="D3981" s="78" t="str">
        <f t="shared" si="130"/>
        <v>https://portal.dnb.de/opac.htm?method=simpleSearch&amp;cqlMode=true&amp;query=idn%3D99569141X</v>
      </c>
      <c r="E3981" s="74" t="s">
        <v>5298</v>
      </c>
      <c r="F3981" s="74"/>
      <c r="G3981" s="76"/>
      <c r="H3981" s="77"/>
      <c r="I3981" s="76"/>
      <c r="J3981" s="77"/>
      <c r="K3981" s="77"/>
      <c r="L3981" s="76"/>
      <c r="M3981" s="76"/>
      <c r="N3981" s="76"/>
      <c r="O3981" s="76"/>
      <c r="P3981" s="76"/>
      <c r="Q3981" s="76"/>
      <c r="R3981" s="76"/>
      <c r="S3981" s="76"/>
      <c r="BD3981" s="99">
        <f t="shared" si="131"/>
        <v>0</v>
      </c>
      <c r="CC3981" s="99"/>
      <c r="CV3981" s="99"/>
      <c r="CW3981" s="63"/>
    </row>
    <row r="3982" spans="1:101" x14ac:dyDescent="0.15">
      <c r="A3982" s="76">
        <v>3722</v>
      </c>
      <c r="B3982" s="74" t="s">
        <v>5299</v>
      </c>
      <c r="C3982" s="74" t="s">
        <v>5300</v>
      </c>
      <c r="D3982" s="78" t="str">
        <f t="shared" si="130"/>
        <v>https://portal.dnb.de/opac.htm?method=simpleSearch&amp;cqlMode=true&amp;query=idn%3D99930495X</v>
      </c>
      <c r="E3982" s="74" t="s">
        <v>5298</v>
      </c>
      <c r="F3982" s="74"/>
      <c r="G3982" s="76"/>
      <c r="H3982" s="77"/>
      <c r="I3982" s="76"/>
      <c r="J3982" s="77"/>
      <c r="K3982" s="77"/>
      <c r="L3982" s="76"/>
      <c r="M3982" s="76"/>
      <c r="N3982" s="76"/>
      <c r="O3982" s="76"/>
      <c r="P3982" s="76"/>
      <c r="Q3982" s="76"/>
      <c r="R3982" s="76"/>
      <c r="S3982" s="76"/>
      <c r="BD3982" s="99">
        <f t="shared" si="131"/>
        <v>0</v>
      </c>
      <c r="CC3982" s="99"/>
      <c r="CV3982" s="99"/>
      <c r="CW3982" s="63"/>
    </row>
    <row r="3983" spans="1:101" x14ac:dyDescent="0.15">
      <c r="A3983" s="76">
        <v>3723</v>
      </c>
      <c r="B3983" s="74" t="s">
        <v>5303</v>
      </c>
      <c r="C3983" s="74">
        <v>999348205</v>
      </c>
      <c r="D3983" s="78" t="str">
        <f t="shared" si="130"/>
        <v>https://portal.dnb.de/opac.htm?method=simpleSearch&amp;cqlMode=true&amp;query=idn%3D999348205</v>
      </c>
      <c r="E3983" s="74" t="s">
        <v>5304</v>
      </c>
      <c r="F3983" s="74"/>
      <c r="G3983" s="76"/>
      <c r="H3983" s="77"/>
      <c r="I3983" s="76"/>
      <c r="J3983" s="77"/>
      <c r="K3983" s="77"/>
      <c r="L3983" s="76"/>
      <c r="M3983" s="76"/>
      <c r="N3983" s="76"/>
      <c r="O3983" s="76"/>
      <c r="P3983" s="76"/>
      <c r="Q3983" s="76"/>
      <c r="R3983" s="76"/>
      <c r="S3983" s="76"/>
      <c r="BD3983" s="99">
        <f t="shared" si="131"/>
        <v>0</v>
      </c>
      <c r="CC3983" s="99"/>
      <c r="CV3983" s="99"/>
      <c r="CW3983" s="63"/>
    </row>
    <row r="3984" spans="1:101" x14ac:dyDescent="0.15">
      <c r="A3984" s="76">
        <v>3724</v>
      </c>
      <c r="B3984" s="74" t="s">
        <v>5305</v>
      </c>
      <c r="C3984" s="74">
        <v>998399043</v>
      </c>
      <c r="D3984" s="78" t="str">
        <f t="shared" si="130"/>
        <v>https://portal.dnb.de/opac.htm?method=simpleSearch&amp;cqlMode=true&amp;query=idn%3D998399043</v>
      </c>
      <c r="E3984" s="74" t="s">
        <v>5306</v>
      </c>
      <c r="F3984" s="74"/>
      <c r="G3984" s="76"/>
      <c r="H3984" s="77"/>
      <c r="I3984" s="76"/>
      <c r="J3984" s="77"/>
      <c r="K3984" s="77"/>
      <c r="L3984" s="76"/>
      <c r="M3984" s="76"/>
      <c r="N3984" s="76"/>
      <c r="O3984" s="76"/>
      <c r="P3984" s="76"/>
      <c r="Q3984" s="76"/>
      <c r="R3984" s="76"/>
      <c r="S3984" s="76"/>
      <c r="BD3984" s="99">
        <f t="shared" si="131"/>
        <v>0</v>
      </c>
      <c r="CC3984" s="99"/>
      <c r="CV3984" s="99"/>
      <c r="CW3984" s="63"/>
    </row>
    <row r="3985" spans="1:101" x14ac:dyDescent="0.15">
      <c r="A3985" s="76">
        <v>3725</v>
      </c>
      <c r="B3985" s="74" t="s">
        <v>5307</v>
      </c>
      <c r="C3985" s="74">
        <v>998399051</v>
      </c>
      <c r="D3985" s="78" t="str">
        <f t="shared" si="130"/>
        <v>https://portal.dnb.de/opac.htm?method=simpleSearch&amp;cqlMode=true&amp;query=idn%3D998399051</v>
      </c>
      <c r="E3985" s="74" t="s">
        <v>5306</v>
      </c>
      <c r="F3985" s="74"/>
      <c r="G3985" s="76"/>
      <c r="H3985" s="77"/>
      <c r="I3985" s="76"/>
      <c r="J3985" s="77"/>
      <c r="K3985" s="77"/>
      <c r="L3985" s="76"/>
      <c r="M3985" s="76"/>
      <c r="N3985" s="76"/>
      <c r="O3985" s="76"/>
      <c r="P3985" s="76"/>
      <c r="Q3985" s="76"/>
      <c r="R3985" s="76"/>
      <c r="S3985" s="76"/>
      <c r="BD3985" s="99">
        <f t="shared" si="131"/>
        <v>0</v>
      </c>
      <c r="CC3985" s="99"/>
      <c r="CV3985" s="99"/>
      <c r="CW3985" s="63"/>
    </row>
    <row r="3986" spans="1:101" x14ac:dyDescent="0.15">
      <c r="A3986" s="76">
        <v>3726</v>
      </c>
      <c r="B3986" s="74" t="s">
        <v>5308</v>
      </c>
      <c r="C3986" s="74">
        <v>1003011314</v>
      </c>
      <c r="D3986" s="78" t="str">
        <f t="shared" si="130"/>
        <v>https://portal.dnb.de/opac.htm?method=simpleSearch&amp;cqlMode=true&amp;query=idn%3D1003011314</v>
      </c>
      <c r="E3986" s="74" t="s">
        <v>5309</v>
      </c>
      <c r="F3986" s="74"/>
      <c r="G3986" s="76"/>
      <c r="H3986" s="77"/>
      <c r="I3986" s="76"/>
      <c r="J3986" s="77"/>
      <c r="K3986" s="77"/>
      <c r="L3986" s="76"/>
      <c r="M3986" s="76"/>
      <c r="N3986" s="76"/>
      <c r="O3986" s="76"/>
      <c r="P3986" s="76"/>
      <c r="Q3986" s="76"/>
      <c r="R3986" s="76"/>
      <c r="S3986" s="76"/>
      <c r="BD3986" s="99">
        <f t="shared" si="131"/>
        <v>0</v>
      </c>
      <c r="CC3986" s="99"/>
      <c r="CV3986" s="99"/>
      <c r="CW3986" s="63"/>
    </row>
    <row r="3987" spans="1:101" x14ac:dyDescent="0.15">
      <c r="A3987" s="76">
        <v>3727</v>
      </c>
      <c r="B3987" s="74" t="s">
        <v>5310</v>
      </c>
      <c r="C3987" s="74">
        <v>998533351</v>
      </c>
      <c r="D3987" s="78" t="str">
        <f t="shared" si="130"/>
        <v>https://portal.dnb.de/opac.htm?method=simpleSearch&amp;cqlMode=true&amp;query=idn%3D998533351</v>
      </c>
      <c r="E3987" s="74" t="s">
        <v>5311</v>
      </c>
      <c r="F3987" s="74"/>
      <c r="G3987" s="76"/>
      <c r="H3987" s="77"/>
      <c r="I3987" s="76"/>
      <c r="J3987" s="77"/>
      <c r="K3987" s="77"/>
      <c r="L3987" s="76"/>
      <c r="M3987" s="76"/>
      <c r="N3987" s="76"/>
      <c r="O3987" s="76"/>
      <c r="P3987" s="76"/>
      <c r="Q3987" s="76"/>
      <c r="R3987" s="76"/>
      <c r="S3987" s="76"/>
      <c r="BD3987" s="99">
        <f t="shared" si="131"/>
        <v>0</v>
      </c>
      <c r="CC3987" s="99"/>
      <c r="CV3987" s="99"/>
      <c r="CW3987" s="63"/>
    </row>
    <row r="3988" spans="1:101" ht="33.75" x14ac:dyDescent="0.15">
      <c r="A3988" s="76">
        <v>3728</v>
      </c>
      <c r="B3988" s="74" t="s">
        <v>5312</v>
      </c>
      <c r="C3988" s="74">
        <v>997562137</v>
      </c>
      <c r="D3988" s="78" t="str">
        <f t="shared" si="130"/>
        <v>https://portal.dnb.de/opac.htm?method=simpleSearch&amp;cqlMode=true&amp;query=idn%3D997562137</v>
      </c>
      <c r="E3988" s="74" t="s">
        <v>5313</v>
      </c>
      <c r="F3988" s="74"/>
      <c r="G3988" s="76"/>
      <c r="H3988" s="77"/>
      <c r="I3988" s="76" t="s">
        <v>53</v>
      </c>
      <c r="J3988" s="77"/>
      <c r="K3988" s="77"/>
      <c r="L3988" s="76"/>
      <c r="M3988" s="76"/>
      <c r="N3988" s="76"/>
      <c r="O3988" s="76"/>
      <c r="P3988" s="76"/>
      <c r="Q3988" s="76"/>
      <c r="R3988" s="76"/>
      <c r="S3988" s="76"/>
      <c r="Y3988" s="95" t="s">
        <v>9723</v>
      </c>
      <c r="AC3988" s="95" t="s">
        <v>9724</v>
      </c>
      <c r="AI3988" s="95" t="s">
        <v>9725</v>
      </c>
      <c r="AW3988" s="95">
        <v>60</v>
      </c>
      <c r="BC3988" s="96" t="s">
        <v>9734</v>
      </c>
      <c r="BD3988" s="99">
        <f t="shared" si="131"/>
        <v>0</v>
      </c>
      <c r="BJ3988" s="95" t="s">
        <v>9741</v>
      </c>
      <c r="BK3988" s="95" t="s">
        <v>8541</v>
      </c>
      <c r="BL3988" s="70" t="s">
        <v>10015</v>
      </c>
      <c r="BO3988" s="70" t="s">
        <v>10258</v>
      </c>
      <c r="CC3988" s="99"/>
      <c r="CV3988" s="99"/>
      <c r="CW3988" s="63"/>
    </row>
    <row r="3989" spans="1:101" x14ac:dyDescent="0.15">
      <c r="A3989" s="76">
        <v>3729</v>
      </c>
      <c r="B3989" s="74" t="s">
        <v>5314</v>
      </c>
      <c r="C3989" s="74" t="s">
        <v>5315</v>
      </c>
      <c r="D3989" s="78" t="str">
        <f t="shared" si="130"/>
        <v>https://portal.dnb.de/opac.htm?method=simpleSearch&amp;cqlMode=true&amp;query=idn%3D99756248X</v>
      </c>
      <c r="E3989" s="74" t="s">
        <v>5316</v>
      </c>
      <c r="F3989" s="74"/>
      <c r="G3989" s="76"/>
      <c r="H3989" s="77"/>
      <c r="I3989" s="76"/>
      <c r="J3989" s="77"/>
      <c r="K3989" s="77"/>
      <c r="L3989" s="76"/>
      <c r="M3989" s="76"/>
      <c r="N3989" s="76"/>
      <c r="O3989" s="76"/>
      <c r="P3989" s="76"/>
      <c r="Q3989" s="76"/>
      <c r="R3989" s="76"/>
      <c r="S3989" s="76"/>
      <c r="BD3989" s="99">
        <f t="shared" si="131"/>
        <v>0</v>
      </c>
      <c r="CC3989" s="99"/>
      <c r="CV3989" s="99"/>
      <c r="CW3989" s="63"/>
    </row>
    <row r="3990" spans="1:101" x14ac:dyDescent="0.15">
      <c r="A3990" s="76">
        <v>3730</v>
      </c>
      <c r="B3990" s="74" t="s">
        <v>5317</v>
      </c>
      <c r="C3990" s="74">
        <v>995549095</v>
      </c>
      <c r="D3990" s="78" t="str">
        <f t="shared" si="130"/>
        <v>https://portal.dnb.de/opac.htm?method=simpleSearch&amp;cqlMode=true&amp;query=idn%3D995549095</v>
      </c>
      <c r="E3990" s="74" t="s">
        <v>5318</v>
      </c>
      <c r="F3990" s="74"/>
      <c r="G3990" s="76"/>
      <c r="H3990" s="77"/>
      <c r="I3990" s="76"/>
      <c r="J3990" s="77"/>
      <c r="K3990" s="77"/>
      <c r="L3990" s="76"/>
      <c r="M3990" s="76"/>
      <c r="N3990" s="76"/>
      <c r="O3990" s="76"/>
      <c r="P3990" s="76"/>
      <c r="Q3990" s="76"/>
      <c r="R3990" s="76"/>
      <c r="S3990" s="76"/>
      <c r="BD3990" s="99">
        <f t="shared" si="131"/>
        <v>0</v>
      </c>
      <c r="CC3990" s="99"/>
      <c r="CV3990" s="99"/>
      <c r="CW3990" s="63"/>
    </row>
    <row r="3991" spans="1:101" x14ac:dyDescent="0.15">
      <c r="A3991" s="76">
        <v>3731</v>
      </c>
      <c r="B3991" s="74" t="s">
        <v>5324</v>
      </c>
      <c r="C3991" s="74" t="s">
        <v>5325</v>
      </c>
      <c r="D3991" s="78" t="str">
        <f t="shared" si="130"/>
        <v>https://portal.dnb.de/opac.htm?method=simpleSearch&amp;cqlMode=true&amp;query=idn%3D99917763X</v>
      </c>
      <c r="E3991" s="74" t="s">
        <v>5326</v>
      </c>
      <c r="F3991" s="74"/>
      <c r="G3991" s="76"/>
      <c r="H3991" s="77"/>
      <c r="I3991" s="76"/>
      <c r="J3991" s="77"/>
      <c r="K3991" s="77"/>
      <c r="L3991" s="76"/>
      <c r="M3991" s="76"/>
      <c r="N3991" s="76"/>
      <c r="O3991" s="76"/>
      <c r="P3991" s="76"/>
      <c r="Q3991" s="76"/>
      <c r="R3991" s="76"/>
      <c r="S3991" s="76"/>
      <c r="BD3991" s="99">
        <f t="shared" si="131"/>
        <v>0</v>
      </c>
      <c r="CC3991" s="99"/>
      <c r="CV3991" s="99"/>
      <c r="CW3991" s="63"/>
    </row>
    <row r="3992" spans="1:101" x14ac:dyDescent="0.15">
      <c r="A3992" s="76">
        <v>3732</v>
      </c>
      <c r="B3992" s="74" t="s">
        <v>5327</v>
      </c>
      <c r="C3992" s="74">
        <v>994732678</v>
      </c>
      <c r="D3992" s="78" t="str">
        <f t="shared" si="130"/>
        <v>https://portal.dnb.de/opac.htm?method=simpleSearch&amp;cqlMode=true&amp;query=idn%3D994732678</v>
      </c>
      <c r="E3992" s="74" t="s">
        <v>5328</v>
      </c>
      <c r="F3992" s="74"/>
      <c r="G3992" s="76"/>
      <c r="H3992" s="77"/>
      <c r="I3992" s="76"/>
      <c r="J3992" s="77"/>
      <c r="K3992" s="77"/>
      <c r="L3992" s="76"/>
      <c r="M3992" s="76"/>
      <c r="N3992" s="76"/>
      <c r="O3992" s="76"/>
      <c r="P3992" s="76"/>
      <c r="Q3992" s="76"/>
      <c r="R3992" s="76"/>
      <c r="S3992" s="76"/>
      <c r="BD3992" s="99">
        <f t="shared" si="131"/>
        <v>0</v>
      </c>
      <c r="CC3992" s="99"/>
      <c r="CV3992" s="99"/>
      <c r="CW3992" s="63"/>
    </row>
    <row r="3993" spans="1:101" x14ac:dyDescent="0.15">
      <c r="A3993" s="76">
        <v>3733</v>
      </c>
      <c r="B3993" s="74" t="s">
        <v>5329</v>
      </c>
      <c r="C3993" s="74">
        <v>994305737</v>
      </c>
      <c r="D3993" s="78" t="str">
        <f t="shared" si="130"/>
        <v>https://portal.dnb.de/opac.htm?method=simpleSearch&amp;cqlMode=true&amp;query=idn%3D994305737</v>
      </c>
      <c r="E3993" s="74" t="s">
        <v>5330</v>
      </c>
      <c r="F3993" s="74"/>
      <c r="G3993" s="76"/>
      <c r="H3993" s="77"/>
      <c r="I3993" s="76"/>
      <c r="J3993" s="77"/>
      <c r="K3993" s="77"/>
      <c r="L3993" s="76"/>
      <c r="M3993" s="76"/>
      <c r="N3993" s="76"/>
      <c r="O3993" s="76"/>
      <c r="P3993" s="76"/>
      <c r="Q3993" s="76"/>
      <c r="R3993" s="76"/>
      <c r="S3993" s="76"/>
      <c r="BD3993" s="99">
        <f t="shared" si="131"/>
        <v>0</v>
      </c>
      <c r="CC3993" s="99"/>
      <c r="CV3993" s="99"/>
      <c r="CW3993" s="63"/>
    </row>
    <row r="3994" spans="1:101" x14ac:dyDescent="0.15">
      <c r="A3994" s="76">
        <v>3734</v>
      </c>
      <c r="B3994" s="74" t="s">
        <v>5331</v>
      </c>
      <c r="C3994" s="74">
        <v>995565104</v>
      </c>
      <c r="D3994" s="78" t="str">
        <f t="shared" si="130"/>
        <v>https://portal.dnb.de/opac.htm?method=simpleSearch&amp;cqlMode=true&amp;query=idn%3D995565104</v>
      </c>
      <c r="E3994" s="74" t="s">
        <v>5332</v>
      </c>
      <c r="F3994" s="74"/>
      <c r="G3994" s="76"/>
      <c r="H3994" s="77"/>
      <c r="I3994" s="76"/>
      <c r="J3994" s="77"/>
      <c r="K3994" s="77"/>
      <c r="L3994" s="76"/>
      <c r="M3994" s="76"/>
      <c r="N3994" s="76"/>
      <c r="O3994" s="76"/>
      <c r="P3994" s="76"/>
      <c r="Q3994" s="76"/>
      <c r="R3994" s="76"/>
      <c r="S3994" s="76"/>
      <c r="BD3994" s="99">
        <f t="shared" si="131"/>
        <v>0</v>
      </c>
      <c r="CC3994" s="99"/>
      <c r="CV3994" s="99"/>
      <c r="CW3994" s="63"/>
    </row>
    <row r="3995" spans="1:101" x14ac:dyDescent="0.15">
      <c r="A3995" s="76">
        <v>3735</v>
      </c>
      <c r="B3995" s="74" t="s">
        <v>5333</v>
      </c>
      <c r="C3995" s="74">
        <v>994055226</v>
      </c>
      <c r="D3995" s="78" t="str">
        <f t="shared" si="130"/>
        <v>https://portal.dnb.de/opac.htm?method=simpleSearch&amp;cqlMode=true&amp;query=idn%3D994055226</v>
      </c>
      <c r="E3995" s="74" t="s">
        <v>5334</v>
      </c>
      <c r="F3995" s="74"/>
      <c r="G3995" s="76"/>
      <c r="H3995" s="77"/>
      <c r="I3995" s="76" t="s">
        <v>54</v>
      </c>
      <c r="J3995" s="77"/>
      <c r="K3995" s="77"/>
      <c r="L3995" s="76"/>
      <c r="M3995" s="76"/>
      <c r="N3995" s="76"/>
      <c r="O3995" s="76"/>
      <c r="P3995" s="76"/>
      <c r="Q3995" s="76"/>
      <c r="R3995" s="76"/>
      <c r="S3995" s="76"/>
      <c r="Y3995" s="95" t="s">
        <v>9723</v>
      </c>
      <c r="AC3995" s="95" t="s">
        <v>9724</v>
      </c>
      <c r="AI3995" s="95" t="s">
        <v>9725</v>
      </c>
      <c r="AW3995" s="95" t="s">
        <v>9733</v>
      </c>
      <c r="BC3995" s="96" t="s">
        <v>9734</v>
      </c>
      <c r="BD3995" s="99">
        <f t="shared" si="131"/>
        <v>0</v>
      </c>
      <c r="BH3995" s="95" t="s">
        <v>8541</v>
      </c>
      <c r="BL3995" s="70" t="s">
        <v>10015</v>
      </c>
      <c r="CC3995" s="99"/>
      <c r="CV3995" s="99"/>
      <c r="CW3995" s="63"/>
    </row>
    <row r="3996" spans="1:101" x14ac:dyDescent="0.15">
      <c r="A3996" s="76">
        <v>3736</v>
      </c>
      <c r="B3996" s="74" t="s">
        <v>5335</v>
      </c>
      <c r="C3996" s="74">
        <v>995578613</v>
      </c>
      <c r="D3996" s="78" t="str">
        <f t="shared" si="130"/>
        <v>https://portal.dnb.de/opac.htm?method=simpleSearch&amp;cqlMode=true&amp;query=idn%3D995578613</v>
      </c>
      <c r="E3996" s="74" t="s">
        <v>5336</v>
      </c>
      <c r="F3996" s="74"/>
      <c r="G3996" s="76"/>
      <c r="H3996" s="77"/>
      <c r="I3996" s="76"/>
      <c r="J3996" s="77"/>
      <c r="K3996" s="77"/>
      <c r="L3996" s="76"/>
      <c r="M3996" s="76"/>
      <c r="N3996" s="76"/>
      <c r="O3996" s="76"/>
      <c r="P3996" s="76"/>
      <c r="Q3996" s="76"/>
      <c r="R3996" s="76"/>
      <c r="S3996" s="76"/>
      <c r="BD3996" s="99">
        <f t="shared" si="131"/>
        <v>0</v>
      </c>
      <c r="CC3996" s="99"/>
      <c r="CV3996" s="99"/>
      <c r="CW3996" s="63"/>
    </row>
    <row r="3997" spans="1:101" x14ac:dyDescent="0.15">
      <c r="A3997" s="76">
        <v>3737</v>
      </c>
      <c r="B3997" s="74" t="s">
        <v>5337</v>
      </c>
      <c r="C3997" s="74">
        <v>995578885</v>
      </c>
      <c r="D3997" s="78" t="str">
        <f t="shared" si="130"/>
        <v>https://portal.dnb.de/opac.htm?method=simpleSearch&amp;cqlMode=true&amp;query=idn%3D995578885</v>
      </c>
      <c r="E3997" s="74" t="s">
        <v>5336</v>
      </c>
      <c r="F3997" s="74"/>
      <c r="G3997" s="76"/>
      <c r="H3997" s="77"/>
      <c r="I3997" s="76"/>
      <c r="J3997" s="77"/>
      <c r="K3997" s="77"/>
      <c r="L3997" s="76"/>
      <c r="M3997" s="76"/>
      <c r="N3997" s="76"/>
      <c r="O3997" s="76"/>
      <c r="P3997" s="76"/>
      <c r="Q3997" s="76"/>
      <c r="R3997" s="76"/>
      <c r="S3997" s="76"/>
      <c r="BD3997" s="99">
        <f t="shared" si="131"/>
        <v>0</v>
      </c>
      <c r="CC3997" s="99"/>
      <c r="CV3997" s="99"/>
      <c r="CW3997" s="63"/>
    </row>
    <row r="3998" spans="1:101" x14ac:dyDescent="0.15">
      <c r="A3998" s="76">
        <v>3738</v>
      </c>
      <c r="B3998" s="74" t="s">
        <v>5338</v>
      </c>
      <c r="C3998" s="74">
        <v>998807575</v>
      </c>
      <c r="D3998" s="78" t="str">
        <f t="shared" si="130"/>
        <v>https://portal.dnb.de/opac.htm?method=simpleSearch&amp;cqlMode=true&amp;query=idn%3D998807575</v>
      </c>
      <c r="E3998" s="74" t="s">
        <v>5339</v>
      </c>
      <c r="F3998" s="74"/>
      <c r="G3998" s="76"/>
      <c r="H3998" s="77"/>
      <c r="I3998" s="76"/>
      <c r="J3998" s="77"/>
      <c r="K3998" s="77"/>
      <c r="L3998" s="76"/>
      <c r="M3998" s="76"/>
      <c r="N3998" s="76"/>
      <c r="O3998" s="76"/>
      <c r="P3998" s="76"/>
      <c r="Q3998" s="76"/>
      <c r="R3998" s="76"/>
      <c r="S3998" s="76"/>
      <c r="BD3998" s="99">
        <f t="shared" si="131"/>
        <v>0</v>
      </c>
      <c r="CC3998" s="99"/>
      <c r="CV3998" s="99"/>
      <c r="CW3998" s="63"/>
    </row>
    <row r="3999" spans="1:101" x14ac:dyDescent="0.15">
      <c r="A3999" s="76">
        <v>3739</v>
      </c>
      <c r="B3999" s="74" t="s">
        <v>5340</v>
      </c>
      <c r="C3999" s="74">
        <v>998807702</v>
      </c>
      <c r="D3999" s="78" t="str">
        <f t="shared" ref="D3999:D4062" si="132">HYPERLINK(CONCATENATE("https://portal.dnb.de/opac.htm?method=simpleSearch&amp;cqlMode=true&amp;query=idn%3D",C3999))</f>
        <v>https://portal.dnb.de/opac.htm?method=simpleSearch&amp;cqlMode=true&amp;query=idn%3D998807702</v>
      </c>
      <c r="E3999" s="74" t="s">
        <v>5339</v>
      </c>
      <c r="F3999" s="74"/>
      <c r="G3999" s="76"/>
      <c r="H3999" s="77"/>
      <c r="I3999" s="76"/>
      <c r="J3999" s="77"/>
      <c r="K3999" s="77"/>
      <c r="L3999" s="76"/>
      <c r="M3999" s="76"/>
      <c r="N3999" s="76"/>
      <c r="O3999" s="76"/>
      <c r="P3999" s="76"/>
      <c r="Q3999" s="76"/>
      <c r="R3999" s="76"/>
      <c r="S3999" s="76"/>
      <c r="BD3999" s="99">
        <f t="shared" si="131"/>
        <v>0</v>
      </c>
      <c r="CC3999" s="99"/>
      <c r="CV3999" s="99"/>
      <c r="CW3999" s="63"/>
    </row>
    <row r="4000" spans="1:101" x14ac:dyDescent="0.15">
      <c r="A4000" s="76">
        <v>3740</v>
      </c>
      <c r="B4000" s="74" t="s">
        <v>5341</v>
      </c>
      <c r="C4000" s="74">
        <v>1000964477</v>
      </c>
      <c r="D4000" s="78" t="str">
        <f t="shared" si="132"/>
        <v>https://portal.dnb.de/opac.htm?method=simpleSearch&amp;cqlMode=true&amp;query=idn%3D1000964477</v>
      </c>
      <c r="E4000" s="74" t="s">
        <v>5342</v>
      </c>
      <c r="F4000" s="74"/>
      <c r="G4000" s="76"/>
      <c r="H4000" s="77"/>
      <c r="I4000" s="76"/>
      <c r="J4000" s="77"/>
      <c r="K4000" s="77"/>
      <c r="L4000" s="76"/>
      <c r="M4000" s="76"/>
      <c r="N4000" s="76"/>
      <c r="O4000" s="76"/>
      <c r="P4000" s="76"/>
      <c r="Q4000" s="76"/>
      <c r="R4000" s="76"/>
      <c r="S4000" s="76"/>
      <c r="BD4000" s="99">
        <f t="shared" si="131"/>
        <v>0</v>
      </c>
      <c r="CC4000" s="99"/>
      <c r="CV4000" s="99"/>
      <c r="CW4000" s="63"/>
    </row>
    <row r="4001" spans="1:101" x14ac:dyDescent="0.15">
      <c r="A4001" s="76">
        <v>3741</v>
      </c>
      <c r="B4001" s="74" t="s">
        <v>5343</v>
      </c>
      <c r="C4001" s="74">
        <v>1000349780</v>
      </c>
      <c r="D4001" s="78" t="str">
        <f t="shared" si="132"/>
        <v>https://portal.dnb.de/opac.htm?method=simpleSearch&amp;cqlMode=true&amp;query=idn%3D1000349780</v>
      </c>
      <c r="E4001" s="74" t="s">
        <v>5342</v>
      </c>
      <c r="F4001" s="74"/>
      <c r="G4001" s="76"/>
      <c r="H4001" s="77"/>
      <c r="I4001" s="76"/>
      <c r="J4001" s="77"/>
      <c r="K4001" s="77"/>
      <c r="L4001" s="76"/>
      <c r="M4001" s="76"/>
      <c r="N4001" s="76"/>
      <c r="O4001" s="76"/>
      <c r="P4001" s="76"/>
      <c r="Q4001" s="76"/>
      <c r="R4001" s="76"/>
      <c r="S4001" s="76"/>
      <c r="BD4001" s="99">
        <f t="shared" si="131"/>
        <v>0</v>
      </c>
      <c r="CC4001" s="99"/>
      <c r="CV4001" s="99"/>
      <c r="CW4001" s="63"/>
    </row>
    <row r="4002" spans="1:101" x14ac:dyDescent="0.15">
      <c r="A4002" s="76">
        <v>3742</v>
      </c>
      <c r="B4002" s="74" t="s">
        <v>5344</v>
      </c>
      <c r="C4002" s="74">
        <v>995681910</v>
      </c>
      <c r="D4002" s="78" t="str">
        <f t="shared" si="132"/>
        <v>https://portal.dnb.de/opac.htm?method=simpleSearch&amp;cqlMode=true&amp;query=idn%3D995681910</v>
      </c>
      <c r="E4002" s="74" t="s">
        <v>5345</v>
      </c>
      <c r="F4002" s="74"/>
      <c r="G4002" s="76"/>
      <c r="H4002" s="77"/>
      <c r="I4002" s="76"/>
      <c r="J4002" s="77"/>
      <c r="K4002" s="77"/>
      <c r="L4002" s="76"/>
      <c r="M4002" s="76"/>
      <c r="N4002" s="76"/>
      <c r="O4002" s="76"/>
      <c r="P4002" s="76"/>
      <c r="Q4002" s="76"/>
      <c r="R4002" s="76"/>
      <c r="S4002" s="76"/>
      <c r="BD4002" s="99">
        <f t="shared" si="131"/>
        <v>0</v>
      </c>
      <c r="CC4002" s="99"/>
      <c r="CV4002" s="99"/>
      <c r="CW4002" s="63"/>
    </row>
    <row r="4003" spans="1:101" x14ac:dyDescent="0.15">
      <c r="A4003" s="76">
        <v>3743</v>
      </c>
      <c r="B4003" s="74" t="s">
        <v>4896</v>
      </c>
      <c r="C4003" s="74">
        <v>1000761797</v>
      </c>
      <c r="D4003" s="78" t="str">
        <f t="shared" si="132"/>
        <v>https://portal.dnb.de/opac.htm?method=simpleSearch&amp;cqlMode=true&amp;query=idn%3D1000761797</v>
      </c>
      <c r="E4003" s="74" t="s">
        <v>4897</v>
      </c>
      <c r="F4003" s="74"/>
      <c r="G4003" s="76"/>
      <c r="H4003" s="77"/>
      <c r="I4003" s="76"/>
      <c r="J4003" s="77"/>
      <c r="K4003" s="77"/>
      <c r="L4003" s="76"/>
      <c r="M4003" s="76"/>
      <c r="N4003" s="76"/>
      <c r="O4003" s="76"/>
      <c r="P4003" s="76"/>
      <c r="Q4003" s="76"/>
      <c r="R4003" s="76"/>
      <c r="S4003" s="76"/>
      <c r="BD4003" s="99">
        <f t="shared" si="131"/>
        <v>0</v>
      </c>
      <c r="CC4003" s="99"/>
      <c r="CV4003" s="99"/>
      <c r="CW4003" s="63"/>
    </row>
    <row r="4004" spans="1:101" x14ac:dyDescent="0.15">
      <c r="A4004" s="76">
        <v>3744</v>
      </c>
      <c r="B4004" s="74" t="s">
        <v>4898</v>
      </c>
      <c r="C4004" s="74" t="s">
        <v>4899</v>
      </c>
      <c r="D4004" s="78" t="str">
        <f t="shared" si="132"/>
        <v>https://portal.dnb.de/opac.htm?method=simpleSearch&amp;cqlMode=true&amp;query=idn%3D100076186X</v>
      </c>
      <c r="E4004" s="74" t="s">
        <v>4897</v>
      </c>
      <c r="F4004" s="74"/>
      <c r="G4004" s="76"/>
      <c r="H4004" s="77"/>
      <c r="I4004" s="76"/>
      <c r="J4004" s="77"/>
      <c r="K4004" s="77"/>
      <c r="L4004" s="76"/>
      <c r="M4004" s="76"/>
      <c r="N4004" s="76"/>
      <c r="O4004" s="76"/>
      <c r="P4004" s="76"/>
      <c r="Q4004" s="76"/>
      <c r="R4004" s="76"/>
      <c r="S4004" s="76"/>
      <c r="BD4004" s="99">
        <f t="shared" si="131"/>
        <v>0</v>
      </c>
      <c r="CC4004" s="99"/>
      <c r="CV4004" s="99"/>
      <c r="CW4004" s="63"/>
    </row>
    <row r="4005" spans="1:101" x14ac:dyDescent="0.15">
      <c r="A4005" s="76">
        <v>3745</v>
      </c>
      <c r="B4005" s="74" t="s">
        <v>4900</v>
      </c>
      <c r="C4005" s="74">
        <v>998845345</v>
      </c>
      <c r="D4005" s="78" t="str">
        <f t="shared" si="132"/>
        <v>https://portal.dnb.de/opac.htm?method=simpleSearch&amp;cqlMode=true&amp;query=idn%3D998845345</v>
      </c>
      <c r="E4005" s="74" t="s">
        <v>4901</v>
      </c>
      <c r="F4005" s="74"/>
      <c r="G4005" s="76"/>
      <c r="H4005" s="77"/>
      <c r="I4005" s="76"/>
      <c r="J4005" s="77"/>
      <c r="K4005" s="77"/>
      <c r="L4005" s="76"/>
      <c r="M4005" s="76"/>
      <c r="N4005" s="76"/>
      <c r="O4005" s="76"/>
      <c r="P4005" s="76"/>
      <c r="Q4005" s="76"/>
      <c r="R4005" s="76"/>
      <c r="S4005" s="76"/>
      <c r="BD4005" s="99">
        <f t="shared" si="131"/>
        <v>0</v>
      </c>
      <c r="CC4005" s="99"/>
      <c r="CV4005" s="99"/>
      <c r="CW4005" s="63"/>
    </row>
    <row r="4006" spans="1:101" x14ac:dyDescent="0.15">
      <c r="A4006" s="76">
        <v>3746</v>
      </c>
      <c r="B4006" s="74" t="s">
        <v>4902</v>
      </c>
      <c r="C4006" s="74">
        <v>994452640</v>
      </c>
      <c r="D4006" s="78" t="str">
        <f t="shared" si="132"/>
        <v>https://portal.dnb.de/opac.htm?method=simpleSearch&amp;cqlMode=true&amp;query=idn%3D994452640</v>
      </c>
      <c r="E4006" s="74" t="s">
        <v>4903</v>
      </c>
      <c r="F4006" s="74"/>
      <c r="G4006" s="76"/>
      <c r="H4006" s="77"/>
      <c r="I4006" s="76"/>
      <c r="J4006" s="77"/>
      <c r="K4006" s="77"/>
      <c r="L4006" s="76"/>
      <c r="M4006" s="76"/>
      <c r="N4006" s="76"/>
      <c r="O4006" s="76"/>
      <c r="P4006" s="76"/>
      <c r="Q4006" s="76"/>
      <c r="R4006" s="76"/>
      <c r="S4006" s="76"/>
      <c r="BD4006" s="99">
        <f t="shared" si="131"/>
        <v>0</v>
      </c>
      <c r="CC4006" s="99"/>
      <c r="CV4006" s="99"/>
      <c r="CW4006" s="63"/>
    </row>
    <row r="4007" spans="1:101" x14ac:dyDescent="0.15">
      <c r="A4007" s="76">
        <v>3747</v>
      </c>
      <c r="B4007" s="74" t="s">
        <v>4904</v>
      </c>
      <c r="C4007" s="74">
        <v>994452500</v>
      </c>
      <c r="D4007" s="78" t="str">
        <f t="shared" si="132"/>
        <v>https://portal.dnb.de/opac.htm?method=simpleSearch&amp;cqlMode=true&amp;query=idn%3D994452500</v>
      </c>
      <c r="E4007" s="74" t="s">
        <v>4903</v>
      </c>
      <c r="F4007" s="74"/>
      <c r="G4007" s="76"/>
      <c r="H4007" s="77"/>
      <c r="I4007" s="76"/>
      <c r="J4007" s="77"/>
      <c r="K4007" s="77"/>
      <c r="L4007" s="76"/>
      <c r="M4007" s="76"/>
      <c r="N4007" s="76"/>
      <c r="O4007" s="76"/>
      <c r="P4007" s="76"/>
      <c r="Q4007" s="76"/>
      <c r="R4007" s="76"/>
      <c r="S4007" s="76"/>
      <c r="BD4007" s="99">
        <f t="shared" si="131"/>
        <v>0</v>
      </c>
      <c r="CC4007" s="99"/>
      <c r="CV4007" s="99"/>
      <c r="CW4007" s="63"/>
    </row>
    <row r="4008" spans="1:101" x14ac:dyDescent="0.15">
      <c r="A4008" s="76">
        <v>3748</v>
      </c>
      <c r="B4008" s="74" t="s">
        <v>4905</v>
      </c>
      <c r="C4008" s="74">
        <v>994452632</v>
      </c>
      <c r="D4008" s="78" t="str">
        <f t="shared" si="132"/>
        <v>https://portal.dnb.de/opac.htm?method=simpleSearch&amp;cqlMode=true&amp;query=idn%3D994452632</v>
      </c>
      <c r="E4008" s="74" t="s">
        <v>4903</v>
      </c>
      <c r="F4008" s="74"/>
      <c r="G4008" s="76"/>
      <c r="H4008" s="77"/>
      <c r="I4008" s="76"/>
      <c r="J4008" s="77"/>
      <c r="K4008" s="77"/>
      <c r="L4008" s="76"/>
      <c r="M4008" s="76"/>
      <c r="N4008" s="76"/>
      <c r="O4008" s="76"/>
      <c r="P4008" s="76"/>
      <c r="Q4008" s="76"/>
      <c r="R4008" s="76"/>
      <c r="S4008" s="76"/>
      <c r="BD4008" s="99">
        <f t="shared" si="131"/>
        <v>0</v>
      </c>
      <c r="CC4008" s="99"/>
      <c r="CV4008" s="99"/>
      <c r="CW4008" s="63"/>
    </row>
    <row r="4009" spans="1:101" x14ac:dyDescent="0.15">
      <c r="A4009" s="76">
        <v>3749</v>
      </c>
      <c r="B4009" s="74" t="s">
        <v>4906</v>
      </c>
      <c r="C4009" s="74">
        <v>994452543</v>
      </c>
      <c r="D4009" s="78" t="str">
        <f t="shared" si="132"/>
        <v>https://portal.dnb.de/opac.htm?method=simpleSearch&amp;cqlMode=true&amp;query=idn%3D994452543</v>
      </c>
      <c r="E4009" s="74" t="s">
        <v>4903</v>
      </c>
      <c r="F4009" s="74"/>
      <c r="G4009" s="76"/>
      <c r="H4009" s="77"/>
      <c r="I4009" s="76"/>
      <c r="J4009" s="77"/>
      <c r="K4009" s="77"/>
      <c r="L4009" s="76"/>
      <c r="M4009" s="76"/>
      <c r="N4009" s="76"/>
      <c r="O4009" s="76"/>
      <c r="P4009" s="76"/>
      <c r="Q4009" s="76"/>
      <c r="R4009" s="76"/>
      <c r="S4009" s="76"/>
      <c r="BD4009" s="99">
        <f t="shared" si="131"/>
        <v>0</v>
      </c>
      <c r="CC4009" s="99"/>
      <c r="CV4009" s="99"/>
      <c r="CW4009" s="63"/>
    </row>
    <row r="4010" spans="1:101" x14ac:dyDescent="0.15">
      <c r="A4010" s="76">
        <v>3750</v>
      </c>
      <c r="B4010" s="74" t="s">
        <v>4907</v>
      </c>
      <c r="C4010" s="74">
        <v>994452616</v>
      </c>
      <c r="D4010" s="78" t="str">
        <f t="shared" si="132"/>
        <v>https://portal.dnb.de/opac.htm?method=simpleSearch&amp;cqlMode=true&amp;query=idn%3D994452616</v>
      </c>
      <c r="E4010" s="74" t="s">
        <v>4903</v>
      </c>
      <c r="F4010" s="74"/>
      <c r="G4010" s="76"/>
      <c r="H4010" s="77"/>
      <c r="I4010" s="76"/>
      <c r="J4010" s="77"/>
      <c r="K4010" s="77"/>
      <c r="L4010" s="76"/>
      <c r="M4010" s="76"/>
      <c r="N4010" s="76"/>
      <c r="O4010" s="76"/>
      <c r="P4010" s="76"/>
      <c r="Q4010" s="76"/>
      <c r="R4010" s="76"/>
      <c r="S4010" s="76"/>
      <c r="BD4010" s="99">
        <f t="shared" si="131"/>
        <v>0</v>
      </c>
      <c r="CC4010" s="99"/>
      <c r="CV4010" s="99"/>
      <c r="CW4010" s="63"/>
    </row>
    <row r="4011" spans="1:101" x14ac:dyDescent="0.15">
      <c r="A4011" s="76">
        <v>3751</v>
      </c>
      <c r="B4011" s="74" t="s">
        <v>4908</v>
      </c>
      <c r="C4011" s="74">
        <v>994452608</v>
      </c>
      <c r="D4011" s="78" t="str">
        <f t="shared" si="132"/>
        <v>https://portal.dnb.de/opac.htm?method=simpleSearch&amp;cqlMode=true&amp;query=idn%3D994452608</v>
      </c>
      <c r="E4011" s="74" t="s">
        <v>4903</v>
      </c>
      <c r="F4011" s="74"/>
      <c r="G4011" s="76"/>
      <c r="H4011" s="77"/>
      <c r="I4011" s="76"/>
      <c r="J4011" s="77"/>
      <c r="K4011" s="77"/>
      <c r="L4011" s="76"/>
      <c r="M4011" s="76"/>
      <c r="N4011" s="76"/>
      <c r="O4011" s="76"/>
      <c r="P4011" s="76"/>
      <c r="Q4011" s="76"/>
      <c r="R4011" s="76"/>
      <c r="S4011" s="76"/>
      <c r="BD4011" s="99">
        <f t="shared" si="131"/>
        <v>0</v>
      </c>
      <c r="CC4011" s="99"/>
      <c r="CV4011" s="99"/>
      <c r="CW4011" s="63"/>
    </row>
    <row r="4012" spans="1:101" x14ac:dyDescent="0.15">
      <c r="A4012" s="76">
        <v>3752</v>
      </c>
      <c r="B4012" s="74" t="s">
        <v>4909</v>
      </c>
      <c r="C4012" s="74">
        <v>999394134</v>
      </c>
      <c r="D4012" s="78" t="str">
        <f t="shared" si="132"/>
        <v>https://portal.dnb.de/opac.htm?method=simpleSearch&amp;cqlMode=true&amp;query=idn%3D999394134</v>
      </c>
      <c r="E4012" s="74" t="s">
        <v>4910</v>
      </c>
      <c r="F4012" s="74"/>
      <c r="G4012" s="76"/>
      <c r="H4012" s="77"/>
      <c r="I4012" s="76"/>
      <c r="J4012" s="77"/>
      <c r="K4012" s="77"/>
      <c r="L4012" s="76"/>
      <c r="M4012" s="76"/>
      <c r="N4012" s="76"/>
      <c r="O4012" s="76"/>
      <c r="P4012" s="76"/>
      <c r="Q4012" s="76"/>
      <c r="R4012" s="76"/>
      <c r="S4012" s="76"/>
      <c r="BD4012" s="99">
        <f t="shared" si="131"/>
        <v>0</v>
      </c>
      <c r="CC4012" s="99"/>
      <c r="CV4012" s="99"/>
      <c r="CW4012" s="63"/>
    </row>
    <row r="4013" spans="1:101" x14ac:dyDescent="0.15">
      <c r="A4013" s="76">
        <v>3753</v>
      </c>
      <c r="B4013" s="74" t="s">
        <v>4911</v>
      </c>
      <c r="C4013" s="74">
        <v>1001523628</v>
      </c>
      <c r="D4013" s="78" t="str">
        <f t="shared" si="132"/>
        <v>https://portal.dnb.de/opac.htm?method=simpleSearch&amp;cqlMode=true&amp;query=idn%3D1001523628</v>
      </c>
      <c r="E4013" s="74" t="s">
        <v>10259</v>
      </c>
      <c r="F4013" s="74"/>
      <c r="G4013" s="76"/>
      <c r="H4013" s="77"/>
      <c r="I4013" s="76" t="s">
        <v>53</v>
      </c>
      <c r="J4013" s="77"/>
      <c r="K4013" s="77"/>
      <c r="L4013" s="76"/>
      <c r="M4013" s="76"/>
      <c r="N4013" s="76"/>
      <c r="O4013" s="76"/>
      <c r="P4013" s="76"/>
      <c r="Q4013" s="76"/>
      <c r="R4013" s="76"/>
      <c r="S4013" s="76"/>
      <c r="X4013" s="95" t="s">
        <v>8541</v>
      </c>
      <c r="Y4013" s="95" t="s">
        <v>9723</v>
      </c>
      <c r="AC4013" s="95" t="s">
        <v>9724</v>
      </c>
      <c r="AI4013" s="95" t="s">
        <v>9725</v>
      </c>
      <c r="AW4013" s="95">
        <v>60</v>
      </c>
      <c r="BC4013" s="96" t="s">
        <v>9734</v>
      </c>
      <c r="BD4013" s="99">
        <f t="shared" si="131"/>
        <v>0</v>
      </c>
      <c r="BJ4013" s="95" t="s">
        <v>9741</v>
      </c>
      <c r="BK4013" s="95" t="s">
        <v>8541</v>
      </c>
      <c r="BL4013" s="70" t="s">
        <v>10015</v>
      </c>
      <c r="CC4013" s="99"/>
      <c r="CV4013" s="99"/>
      <c r="CW4013" s="63"/>
    </row>
    <row r="4014" spans="1:101" x14ac:dyDescent="0.15">
      <c r="A4014" s="76">
        <v>3754</v>
      </c>
      <c r="B4014" s="74" t="s">
        <v>4913</v>
      </c>
      <c r="C4014" s="74">
        <v>1001523652</v>
      </c>
      <c r="D4014" s="78" t="str">
        <f t="shared" si="132"/>
        <v>https://portal.dnb.de/opac.htm?method=simpleSearch&amp;cqlMode=true&amp;query=idn%3D1001523652</v>
      </c>
      <c r="E4014" s="74" t="s">
        <v>10260</v>
      </c>
      <c r="F4014" s="74"/>
      <c r="G4014" s="76"/>
      <c r="H4014" s="77"/>
      <c r="I4014" s="76" t="s">
        <v>53</v>
      </c>
      <c r="J4014" s="77"/>
      <c r="K4014" s="77"/>
      <c r="L4014" s="76"/>
      <c r="M4014" s="76"/>
      <c r="N4014" s="76"/>
      <c r="O4014" s="76"/>
      <c r="P4014" s="76"/>
      <c r="Q4014" s="76"/>
      <c r="R4014" s="76"/>
      <c r="S4014" s="76"/>
      <c r="X4014" s="95" t="s">
        <v>8541</v>
      </c>
      <c r="Y4014" s="95" t="s">
        <v>9723</v>
      </c>
      <c r="AC4014" s="95" t="s">
        <v>9724</v>
      </c>
      <c r="AI4014" s="95" t="s">
        <v>9725</v>
      </c>
      <c r="AW4014" s="95">
        <v>60</v>
      </c>
      <c r="BC4014" s="96" t="s">
        <v>9734</v>
      </c>
      <c r="BD4014" s="99">
        <f t="shared" si="131"/>
        <v>0</v>
      </c>
      <c r="BJ4014" s="95" t="s">
        <v>9741</v>
      </c>
      <c r="BK4014" s="95" t="s">
        <v>8541</v>
      </c>
      <c r="BL4014" s="70" t="s">
        <v>10015</v>
      </c>
      <c r="CC4014" s="99"/>
      <c r="CV4014" s="99"/>
      <c r="CW4014" s="63"/>
    </row>
    <row r="4015" spans="1:101" ht="84.75" customHeight="1" x14ac:dyDescent="0.15">
      <c r="A4015" s="76">
        <v>3755</v>
      </c>
      <c r="B4015" s="74" t="s">
        <v>4914</v>
      </c>
      <c r="C4015" s="74">
        <v>1001523660</v>
      </c>
      <c r="D4015" s="78" t="str">
        <f t="shared" si="132"/>
        <v>https://portal.dnb.de/opac.htm?method=simpleSearch&amp;cqlMode=true&amp;query=idn%3D1001523660</v>
      </c>
      <c r="E4015" s="74" t="s">
        <v>4912</v>
      </c>
      <c r="F4015" s="79" t="s">
        <v>10538</v>
      </c>
      <c r="G4015" s="76"/>
      <c r="H4015" s="77"/>
      <c r="I4015" s="76"/>
      <c r="J4015" s="77"/>
      <c r="K4015" s="77"/>
      <c r="L4015" s="76"/>
      <c r="M4015" s="76"/>
      <c r="N4015" s="76"/>
      <c r="O4015" s="76"/>
      <c r="P4015" s="76"/>
      <c r="Q4015" s="76"/>
      <c r="R4015" s="76"/>
      <c r="S4015" s="76"/>
      <c r="BD4015" s="99">
        <f t="shared" si="131"/>
        <v>0</v>
      </c>
      <c r="CC4015" s="99"/>
      <c r="CV4015" s="99"/>
      <c r="CW4015" s="63"/>
    </row>
    <row r="4016" spans="1:101" ht="56.25" x14ac:dyDescent="0.15">
      <c r="A4016" s="76">
        <v>3756</v>
      </c>
      <c r="B4016" s="74" t="s">
        <v>4915</v>
      </c>
      <c r="C4016" s="74">
        <v>1001528379</v>
      </c>
      <c r="D4016" s="78" t="str">
        <f t="shared" si="132"/>
        <v>https://portal.dnb.de/opac.htm?method=simpleSearch&amp;cqlMode=true&amp;query=idn%3D1001528379</v>
      </c>
      <c r="E4016" s="74" t="s">
        <v>10261</v>
      </c>
      <c r="F4016" s="74"/>
      <c r="G4016" s="76"/>
      <c r="H4016" s="77"/>
      <c r="I4016" s="76" t="s">
        <v>53</v>
      </c>
      <c r="J4016" s="77"/>
      <c r="K4016" s="77"/>
      <c r="L4016" s="76"/>
      <c r="M4016" s="76"/>
      <c r="N4016" s="76"/>
      <c r="O4016" s="76"/>
      <c r="P4016" s="76"/>
      <c r="Q4016" s="76"/>
      <c r="R4016" s="76"/>
      <c r="S4016" s="76"/>
      <c r="X4016" s="95" t="s">
        <v>8541</v>
      </c>
      <c r="Y4016" s="95" t="s">
        <v>9729</v>
      </c>
      <c r="AC4016" s="95" t="s">
        <v>9724</v>
      </c>
      <c r="AI4016" s="95" t="s">
        <v>9725</v>
      </c>
      <c r="AW4016" s="95">
        <v>0</v>
      </c>
      <c r="BC4016" s="96" t="s">
        <v>10503</v>
      </c>
      <c r="BD4016" s="99">
        <f t="shared" si="131"/>
        <v>2</v>
      </c>
      <c r="BJ4016" s="95" t="s">
        <v>9741</v>
      </c>
      <c r="BK4016" s="95" t="s">
        <v>8541</v>
      </c>
      <c r="BO4016" s="70" t="s">
        <v>10262</v>
      </c>
      <c r="BP4016" s="69" t="s">
        <v>8541</v>
      </c>
      <c r="BQ4016" s="95" t="s">
        <v>8541</v>
      </c>
      <c r="BR4016" s="95" t="s">
        <v>8541</v>
      </c>
      <c r="BT4016" s="95" t="s">
        <v>9772</v>
      </c>
      <c r="CC4016" s="99">
        <v>2</v>
      </c>
      <c r="CD4016" s="90" t="s">
        <v>10263</v>
      </c>
      <c r="CV4016" s="99"/>
      <c r="CW4016" s="63"/>
    </row>
    <row r="4017" spans="1:101" x14ac:dyDescent="0.15">
      <c r="A4017" s="76">
        <v>3757</v>
      </c>
      <c r="B4017" s="74" t="s">
        <v>4916</v>
      </c>
      <c r="C4017" s="74">
        <v>1002286832</v>
      </c>
      <c r="D4017" s="78" t="str">
        <f t="shared" si="132"/>
        <v>https://portal.dnb.de/opac.htm?method=simpleSearch&amp;cqlMode=true&amp;query=idn%3D1002286832</v>
      </c>
      <c r="E4017" s="74" t="s">
        <v>4917</v>
      </c>
      <c r="F4017" s="74"/>
      <c r="G4017" s="76"/>
      <c r="H4017" s="77"/>
      <c r="I4017" s="76"/>
      <c r="J4017" s="77"/>
      <c r="K4017" s="77"/>
      <c r="L4017" s="76"/>
      <c r="M4017" s="76"/>
      <c r="N4017" s="76"/>
      <c r="O4017" s="76"/>
      <c r="P4017" s="76"/>
      <c r="Q4017" s="76"/>
      <c r="R4017" s="76"/>
      <c r="S4017" s="76"/>
      <c r="BD4017" s="99">
        <f t="shared" si="131"/>
        <v>0</v>
      </c>
      <c r="CC4017" s="99"/>
      <c r="CV4017" s="99"/>
      <c r="CW4017" s="63"/>
    </row>
    <row r="4018" spans="1:101" x14ac:dyDescent="0.15">
      <c r="A4018" s="76">
        <v>3758</v>
      </c>
      <c r="B4018" s="74" t="s">
        <v>4918</v>
      </c>
      <c r="C4018" s="74">
        <v>987448129</v>
      </c>
      <c r="D4018" s="78" t="str">
        <f t="shared" si="132"/>
        <v>https://portal.dnb.de/opac.htm?method=simpleSearch&amp;cqlMode=true&amp;query=idn%3D987448129</v>
      </c>
      <c r="E4018" s="74" t="s">
        <v>4919</v>
      </c>
      <c r="F4018" s="74"/>
      <c r="G4018" s="76"/>
      <c r="H4018" s="77"/>
      <c r="I4018" s="76"/>
      <c r="J4018" s="77"/>
      <c r="K4018" s="77"/>
      <c r="L4018" s="76"/>
      <c r="M4018" s="76"/>
      <c r="N4018" s="76"/>
      <c r="O4018" s="76"/>
      <c r="P4018" s="76"/>
      <c r="Q4018" s="76"/>
      <c r="R4018" s="76"/>
      <c r="S4018" s="76"/>
      <c r="BD4018" s="99">
        <f t="shared" si="131"/>
        <v>0</v>
      </c>
      <c r="CC4018" s="99"/>
      <c r="CV4018" s="99"/>
      <c r="CW4018" s="63"/>
    </row>
    <row r="4019" spans="1:101" x14ac:dyDescent="0.15">
      <c r="A4019" s="76">
        <v>3759</v>
      </c>
      <c r="B4019" s="74" t="s">
        <v>4920</v>
      </c>
      <c r="C4019" s="74">
        <v>1034314033</v>
      </c>
      <c r="D4019" s="78" t="str">
        <f t="shared" si="132"/>
        <v>https://portal.dnb.de/opac.htm?method=simpleSearch&amp;cqlMode=true&amp;query=idn%3D1034314033</v>
      </c>
      <c r="E4019" s="74" t="s">
        <v>4921</v>
      </c>
      <c r="F4019" s="74"/>
      <c r="G4019" s="76"/>
      <c r="H4019" s="77"/>
      <c r="I4019" s="76"/>
      <c r="J4019" s="77"/>
      <c r="K4019" s="77"/>
      <c r="L4019" s="76"/>
      <c r="M4019" s="76"/>
      <c r="N4019" s="76"/>
      <c r="O4019" s="76"/>
      <c r="P4019" s="76"/>
      <c r="Q4019" s="76"/>
      <c r="R4019" s="76"/>
      <c r="S4019" s="76"/>
      <c r="BD4019" s="99">
        <f t="shared" si="131"/>
        <v>0</v>
      </c>
      <c r="CC4019" s="99"/>
      <c r="CV4019" s="99"/>
      <c r="CW4019" s="63"/>
    </row>
    <row r="4020" spans="1:101" x14ac:dyDescent="0.15">
      <c r="A4020" s="76">
        <v>3760</v>
      </c>
      <c r="B4020" s="74" t="s">
        <v>4930</v>
      </c>
      <c r="C4020" s="74">
        <v>1081924365</v>
      </c>
      <c r="D4020" s="78" t="str">
        <f t="shared" si="132"/>
        <v>https://portal.dnb.de/opac.htm?method=simpleSearch&amp;cqlMode=true&amp;query=idn%3D1081924365</v>
      </c>
      <c r="E4020" s="74" t="s">
        <v>9843</v>
      </c>
      <c r="F4020" s="74"/>
      <c r="G4020" s="76"/>
      <c r="H4020" s="77"/>
      <c r="I4020" s="76" t="s">
        <v>53</v>
      </c>
      <c r="J4020" s="77"/>
      <c r="K4020" s="77"/>
      <c r="L4020" s="76"/>
      <c r="M4020" s="76"/>
      <c r="N4020" s="76"/>
      <c r="O4020" s="76"/>
      <c r="P4020" s="76"/>
      <c r="Q4020" s="76"/>
      <c r="R4020" s="76"/>
      <c r="S4020" s="76"/>
      <c r="Y4020" s="95" t="s">
        <v>9723</v>
      </c>
      <c r="AC4020" s="95" t="s">
        <v>9730</v>
      </c>
      <c r="AI4020" s="95" t="s">
        <v>9725</v>
      </c>
      <c r="AP4020" s="95" t="s">
        <v>8541</v>
      </c>
      <c r="AW4020" s="95">
        <v>45</v>
      </c>
      <c r="BC4020" s="96" t="s">
        <v>9734</v>
      </c>
      <c r="BD4020" s="99">
        <f t="shared" si="131"/>
        <v>0</v>
      </c>
      <c r="BG4020" s="95" t="s">
        <v>8541</v>
      </c>
      <c r="CC4020" s="99"/>
      <c r="CV4020" s="99"/>
      <c r="CW4020" s="63"/>
    </row>
    <row r="4021" spans="1:101" ht="22.5" x14ac:dyDescent="0.15">
      <c r="A4021" s="76">
        <v>3761</v>
      </c>
      <c r="B4021" s="74" t="s">
        <v>4931</v>
      </c>
      <c r="C4021" s="74">
        <v>1109924984</v>
      </c>
      <c r="D4021" s="78" t="str">
        <f t="shared" si="132"/>
        <v>https://portal.dnb.de/opac.htm?method=simpleSearch&amp;cqlMode=true&amp;query=idn%3D1109924984</v>
      </c>
      <c r="E4021" s="74" t="s">
        <v>9844</v>
      </c>
      <c r="F4021" s="74"/>
      <c r="G4021" s="76"/>
      <c r="H4021" s="77"/>
      <c r="I4021" s="76" t="s">
        <v>53</v>
      </c>
      <c r="J4021" s="77"/>
      <c r="K4021" s="77"/>
      <c r="L4021" s="76"/>
      <c r="M4021" s="76"/>
      <c r="N4021" s="76"/>
      <c r="O4021" s="76"/>
      <c r="P4021" s="76"/>
      <c r="Q4021" s="76"/>
      <c r="R4021" s="76"/>
      <c r="S4021" s="76"/>
      <c r="Y4021" s="95" t="s">
        <v>9723</v>
      </c>
      <c r="AB4021" s="95" t="s">
        <v>8541</v>
      </c>
      <c r="AC4021" s="95" t="s">
        <v>9730</v>
      </c>
      <c r="AI4021" s="95" t="s">
        <v>9725</v>
      </c>
      <c r="AN4021" s="95" t="s">
        <v>8541</v>
      </c>
      <c r="AP4021" s="95" t="s">
        <v>8541</v>
      </c>
      <c r="AQ4021" s="96" t="s">
        <v>9845</v>
      </c>
      <c r="AR4021" s="95" t="s">
        <v>8541</v>
      </c>
      <c r="AW4021" s="95">
        <v>110</v>
      </c>
      <c r="BC4021" s="96" t="s">
        <v>9734</v>
      </c>
      <c r="BD4021" s="99">
        <f t="shared" si="131"/>
        <v>0</v>
      </c>
      <c r="BG4021" s="95" t="s">
        <v>8541</v>
      </c>
      <c r="CC4021" s="99"/>
      <c r="CV4021" s="99"/>
      <c r="CW4021" s="63"/>
    </row>
    <row r="4022" spans="1:101" ht="67.5" x14ac:dyDescent="0.15">
      <c r="A4022" s="76">
        <v>3762</v>
      </c>
      <c r="B4022" s="74" t="s">
        <v>4934</v>
      </c>
      <c r="C4022" s="74" t="s">
        <v>4935</v>
      </c>
      <c r="D4022" s="78" t="str">
        <f t="shared" si="132"/>
        <v>https://portal.dnb.de/opac.htm?method=simpleSearch&amp;cqlMode=true&amp;query=idn%3D116561040X</v>
      </c>
      <c r="E4022" s="74" t="s">
        <v>4936</v>
      </c>
      <c r="F4022" s="74"/>
      <c r="G4022" s="76"/>
      <c r="H4022" s="77"/>
      <c r="I4022" s="76" t="s">
        <v>53</v>
      </c>
      <c r="J4022" s="77"/>
      <c r="K4022" s="77"/>
      <c r="L4022" s="76"/>
      <c r="M4022" s="76"/>
      <c r="N4022" s="76"/>
      <c r="O4022" s="76"/>
      <c r="P4022" s="76"/>
      <c r="Q4022" s="76"/>
      <c r="R4022" s="76"/>
      <c r="S4022" s="76"/>
      <c r="Y4022" s="95" t="s">
        <v>9723</v>
      </c>
      <c r="AC4022" s="95" t="s">
        <v>9724</v>
      </c>
      <c r="AI4022" s="95" t="s">
        <v>9725</v>
      </c>
      <c r="AP4022" s="95" t="s">
        <v>8541</v>
      </c>
      <c r="AQ4022" s="96" t="s">
        <v>10264</v>
      </c>
      <c r="AW4022" s="95">
        <v>60</v>
      </c>
      <c r="BC4022" s="96" t="s">
        <v>9726</v>
      </c>
      <c r="BD4022" s="99">
        <f t="shared" si="131"/>
        <v>2</v>
      </c>
      <c r="BI4022" s="95" t="s">
        <v>8541</v>
      </c>
      <c r="BP4022" s="69" t="s">
        <v>8541</v>
      </c>
      <c r="BQ4022" s="95" t="s">
        <v>8541</v>
      </c>
      <c r="BR4022" s="95" t="s">
        <v>8541</v>
      </c>
      <c r="BT4022" s="95" t="s">
        <v>9772</v>
      </c>
      <c r="BY4022" s="95" t="s">
        <v>8541</v>
      </c>
      <c r="CC4022" s="99">
        <v>2</v>
      </c>
      <c r="CD4022" s="90" t="s">
        <v>10265</v>
      </c>
      <c r="CV4022" s="99"/>
      <c r="CW4022" s="63"/>
    </row>
    <row r="4023" spans="1:101" x14ac:dyDescent="0.15">
      <c r="A4023" s="76">
        <v>3763</v>
      </c>
      <c r="B4023" s="74" t="s">
        <v>4963</v>
      </c>
      <c r="C4023" s="74">
        <v>1066777683</v>
      </c>
      <c r="D4023" s="78" t="str">
        <f t="shared" si="132"/>
        <v>https://portal.dnb.de/opac.htm?method=simpleSearch&amp;cqlMode=true&amp;query=idn%3D1066777683</v>
      </c>
      <c r="E4023" s="74" t="s">
        <v>4964</v>
      </c>
      <c r="F4023" s="74"/>
      <c r="G4023" s="76"/>
      <c r="H4023" s="77"/>
      <c r="I4023" s="76"/>
      <c r="J4023" s="77"/>
      <c r="K4023" s="77"/>
      <c r="L4023" s="76"/>
      <c r="M4023" s="76"/>
      <c r="N4023" s="76"/>
      <c r="O4023" s="76"/>
      <c r="P4023" s="76"/>
      <c r="Q4023" s="76"/>
      <c r="R4023" s="76"/>
      <c r="S4023" s="76"/>
      <c r="BD4023" s="99">
        <f t="shared" si="131"/>
        <v>0</v>
      </c>
      <c r="CC4023" s="99"/>
      <c r="CV4023" s="99"/>
      <c r="CW4023" s="63"/>
    </row>
    <row r="4024" spans="1:101" x14ac:dyDescent="0.15">
      <c r="A4024" s="76">
        <v>3764</v>
      </c>
      <c r="B4024" s="74" t="s">
        <v>4922</v>
      </c>
      <c r="C4024" s="74">
        <v>1062923715</v>
      </c>
      <c r="D4024" s="78" t="str">
        <f t="shared" si="132"/>
        <v>https://portal.dnb.de/opac.htm?method=simpleSearch&amp;cqlMode=true&amp;query=idn%3D1062923715</v>
      </c>
      <c r="E4024" s="74" t="s">
        <v>4923</v>
      </c>
      <c r="F4024" s="74"/>
      <c r="G4024" s="76"/>
      <c r="H4024" s="77"/>
      <c r="I4024" s="76"/>
      <c r="J4024" s="77"/>
      <c r="K4024" s="77"/>
      <c r="L4024" s="76"/>
      <c r="M4024" s="76"/>
      <c r="N4024" s="76"/>
      <c r="O4024" s="76"/>
      <c r="P4024" s="76"/>
      <c r="Q4024" s="76"/>
      <c r="R4024" s="76"/>
      <c r="S4024" s="76"/>
      <c r="BD4024" s="99">
        <f t="shared" si="131"/>
        <v>0</v>
      </c>
      <c r="CC4024" s="99"/>
      <c r="CV4024" s="99"/>
      <c r="CW4024" s="63"/>
    </row>
    <row r="4025" spans="1:101" x14ac:dyDescent="0.15">
      <c r="A4025" s="76">
        <v>3765</v>
      </c>
      <c r="B4025" s="74" t="s">
        <v>4924</v>
      </c>
      <c r="C4025" s="74">
        <v>1064643663</v>
      </c>
      <c r="D4025" s="78" t="str">
        <f t="shared" si="132"/>
        <v>https://portal.dnb.de/opac.htm?method=simpleSearch&amp;cqlMode=true&amp;query=idn%3D1064643663</v>
      </c>
      <c r="E4025" s="74" t="s">
        <v>4925</v>
      </c>
      <c r="F4025" s="74"/>
      <c r="G4025" s="76"/>
      <c r="H4025" s="77"/>
      <c r="I4025" s="76"/>
      <c r="J4025" s="77"/>
      <c r="K4025" s="77"/>
      <c r="L4025" s="76"/>
      <c r="M4025" s="76"/>
      <c r="N4025" s="76"/>
      <c r="O4025" s="76"/>
      <c r="P4025" s="76"/>
      <c r="Q4025" s="76"/>
      <c r="R4025" s="76"/>
      <c r="S4025" s="76"/>
      <c r="BD4025" s="99">
        <f t="shared" si="131"/>
        <v>0</v>
      </c>
      <c r="CC4025" s="99"/>
      <c r="CV4025" s="99"/>
      <c r="CW4025" s="63"/>
    </row>
    <row r="4026" spans="1:101" x14ac:dyDescent="0.15">
      <c r="A4026" s="76">
        <v>3766</v>
      </c>
      <c r="B4026" s="74" t="s">
        <v>4926</v>
      </c>
      <c r="C4026" s="74">
        <v>1064643787</v>
      </c>
      <c r="D4026" s="78" t="str">
        <f t="shared" si="132"/>
        <v>https://portal.dnb.de/opac.htm?method=simpleSearch&amp;cqlMode=true&amp;query=idn%3D1064643787</v>
      </c>
      <c r="E4026" s="74" t="s">
        <v>4927</v>
      </c>
      <c r="F4026" s="74"/>
      <c r="G4026" s="76"/>
      <c r="H4026" s="77"/>
      <c r="I4026" s="76"/>
      <c r="J4026" s="77"/>
      <c r="K4026" s="77"/>
      <c r="L4026" s="76"/>
      <c r="M4026" s="76"/>
      <c r="N4026" s="76"/>
      <c r="O4026" s="76"/>
      <c r="P4026" s="76"/>
      <c r="Q4026" s="76"/>
      <c r="R4026" s="76"/>
      <c r="S4026" s="76"/>
      <c r="BD4026" s="99">
        <f t="shared" si="131"/>
        <v>0</v>
      </c>
      <c r="CC4026" s="99"/>
      <c r="CV4026" s="99"/>
      <c r="CW4026" s="63"/>
    </row>
    <row r="4027" spans="1:101" x14ac:dyDescent="0.15">
      <c r="A4027" s="76">
        <v>3767</v>
      </c>
      <c r="B4027" s="74" t="s">
        <v>4928</v>
      </c>
      <c r="C4027" s="74">
        <v>1064643930</v>
      </c>
      <c r="D4027" s="78" t="str">
        <f t="shared" si="132"/>
        <v>https://portal.dnb.de/opac.htm?method=simpleSearch&amp;cqlMode=true&amp;query=idn%3D1064643930</v>
      </c>
      <c r="E4027" s="74" t="s">
        <v>4929</v>
      </c>
      <c r="F4027" s="74"/>
      <c r="G4027" s="76"/>
      <c r="H4027" s="77"/>
      <c r="I4027" s="76"/>
      <c r="J4027" s="77"/>
      <c r="K4027" s="77"/>
      <c r="L4027" s="76"/>
      <c r="M4027" s="76"/>
      <c r="N4027" s="76"/>
      <c r="O4027" s="76"/>
      <c r="P4027" s="76"/>
      <c r="Q4027" s="76"/>
      <c r="R4027" s="76"/>
      <c r="S4027" s="76"/>
      <c r="BD4027" s="99">
        <f t="shared" si="131"/>
        <v>0</v>
      </c>
      <c r="CC4027" s="99"/>
      <c r="CV4027" s="99"/>
      <c r="CW4027" s="63"/>
    </row>
    <row r="4028" spans="1:101" x14ac:dyDescent="0.15">
      <c r="A4028" s="76">
        <v>3768</v>
      </c>
      <c r="B4028" s="74" t="s">
        <v>4941</v>
      </c>
      <c r="C4028" s="74">
        <v>998490067</v>
      </c>
      <c r="D4028" s="78" t="str">
        <f t="shared" si="132"/>
        <v>https://portal.dnb.de/opac.htm?method=simpleSearch&amp;cqlMode=true&amp;query=idn%3D998490067</v>
      </c>
      <c r="E4028" s="74" t="s">
        <v>4942</v>
      </c>
      <c r="F4028" s="74"/>
      <c r="G4028" s="76"/>
      <c r="H4028" s="77"/>
      <c r="I4028" s="76"/>
      <c r="J4028" s="77"/>
      <c r="K4028" s="77"/>
      <c r="L4028" s="76"/>
      <c r="M4028" s="76"/>
      <c r="N4028" s="76"/>
      <c r="O4028" s="76"/>
      <c r="P4028" s="76"/>
      <c r="Q4028" s="76"/>
      <c r="R4028" s="76"/>
      <c r="S4028" s="76"/>
      <c r="BD4028" s="99">
        <f t="shared" si="131"/>
        <v>0</v>
      </c>
      <c r="CC4028" s="99"/>
      <c r="CV4028" s="99"/>
      <c r="CW4028" s="63"/>
    </row>
    <row r="4029" spans="1:101" x14ac:dyDescent="0.15">
      <c r="A4029" s="76">
        <v>3769</v>
      </c>
      <c r="B4029" s="74" t="s">
        <v>4943</v>
      </c>
      <c r="C4029" s="74">
        <v>999569961</v>
      </c>
      <c r="D4029" s="78" t="str">
        <f t="shared" si="132"/>
        <v>https://portal.dnb.de/opac.htm?method=simpleSearch&amp;cqlMode=true&amp;query=idn%3D999569961</v>
      </c>
      <c r="E4029" s="74" t="s">
        <v>4944</v>
      </c>
      <c r="F4029" s="74"/>
      <c r="G4029" s="76"/>
      <c r="H4029" s="77"/>
      <c r="I4029" s="76"/>
      <c r="J4029" s="77"/>
      <c r="K4029" s="77"/>
      <c r="L4029" s="76"/>
      <c r="M4029" s="76"/>
      <c r="N4029" s="76"/>
      <c r="O4029" s="76"/>
      <c r="P4029" s="76"/>
      <c r="Q4029" s="76"/>
      <c r="R4029" s="76"/>
      <c r="S4029" s="76"/>
      <c r="BD4029" s="99">
        <f t="shared" si="131"/>
        <v>0</v>
      </c>
      <c r="CC4029" s="99"/>
      <c r="CV4029" s="99"/>
      <c r="CW4029" s="63"/>
    </row>
    <row r="4030" spans="1:101" x14ac:dyDescent="0.15">
      <c r="A4030" s="76">
        <v>3770</v>
      </c>
      <c r="B4030" s="74" t="s">
        <v>4948</v>
      </c>
      <c r="C4030" s="74">
        <v>1000242420</v>
      </c>
      <c r="D4030" s="78" t="str">
        <f t="shared" si="132"/>
        <v>https://portal.dnb.de/opac.htm?method=simpleSearch&amp;cqlMode=true&amp;query=idn%3D1000242420</v>
      </c>
      <c r="E4030" s="74" t="s">
        <v>4949</v>
      </c>
      <c r="F4030" s="74"/>
      <c r="G4030" s="76"/>
      <c r="H4030" s="77"/>
      <c r="I4030" s="76"/>
      <c r="J4030" s="77"/>
      <c r="K4030" s="77"/>
      <c r="L4030" s="76"/>
      <c r="M4030" s="76"/>
      <c r="N4030" s="76"/>
      <c r="O4030" s="76"/>
      <c r="P4030" s="76"/>
      <c r="Q4030" s="76"/>
      <c r="R4030" s="76"/>
      <c r="S4030" s="76"/>
      <c r="BD4030" s="99">
        <f t="shared" si="131"/>
        <v>0</v>
      </c>
      <c r="CC4030" s="99"/>
      <c r="CV4030" s="99"/>
      <c r="CW4030" s="63"/>
    </row>
    <row r="4031" spans="1:101" x14ac:dyDescent="0.15">
      <c r="A4031" s="76">
        <v>3771</v>
      </c>
      <c r="B4031" s="74" t="s">
        <v>4950</v>
      </c>
      <c r="C4031" s="74">
        <v>1000242390</v>
      </c>
      <c r="D4031" s="78" t="str">
        <f t="shared" si="132"/>
        <v>https://portal.dnb.de/opac.htm?method=simpleSearch&amp;cqlMode=true&amp;query=idn%3D1000242390</v>
      </c>
      <c r="E4031" s="74" t="s">
        <v>4949</v>
      </c>
      <c r="F4031" s="74"/>
      <c r="G4031" s="76"/>
      <c r="H4031" s="77"/>
      <c r="I4031" s="76"/>
      <c r="J4031" s="77"/>
      <c r="K4031" s="77"/>
      <c r="L4031" s="76"/>
      <c r="M4031" s="76"/>
      <c r="N4031" s="76"/>
      <c r="O4031" s="76"/>
      <c r="P4031" s="76"/>
      <c r="Q4031" s="76"/>
      <c r="R4031" s="76"/>
      <c r="S4031" s="76"/>
      <c r="BD4031" s="99">
        <f t="shared" si="131"/>
        <v>0</v>
      </c>
      <c r="CC4031" s="99"/>
      <c r="CV4031" s="99"/>
      <c r="CW4031" s="63"/>
    </row>
    <row r="4032" spans="1:101" x14ac:dyDescent="0.15">
      <c r="A4032" s="76">
        <v>3772</v>
      </c>
      <c r="B4032" s="74" t="s">
        <v>4951</v>
      </c>
      <c r="C4032" s="74">
        <v>1000242331</v>
      </c>
      <c r="D4032" s="78" t="str">
        <f t="shared" si="132"/>
        <v>https://portal.dnb.de/opac.htm?method=simpleSearch&amp;cqlMode=true&amp;query=idn%3D1000242331</v>
      </c>
      <c r="E4032" s="74" t="s">
        <v>4949</v>
      </c>
      <c r="F4032" s="74"/>
      <c r="G4032" s="76"/>
      <c r="H4032" s="77"/>
      <c r="I4032" s="76"/>
      <c r="J4032" s="77"/>
      <c r="K4032" s="77"/>
      <c r="L4032" s="76"/>
      <c r="M4032" s="76"/>
      <c r="N4032" s="76"/>
      <c r="O4032" s="76"/>
      <c r="P4032" s="76"/>
      <c r="Q4032" s="76"/>
      <c r="R4032" s="76"/>
      <c r="S4032" s="76"/>
      <c r="BD4032" s="99">
        <f t="shared" si="131"/>
        <v>0</v>
      </c>
      <c r="CC4032" s="99"/>
      <c r="CV4032" s="99"/>
      <c r="CW4032" s="63"/>
    </row>
    <row r="4033" spans="1:101" x14ac:dyDescent="0.15">
      <c r="A4033" s="76">
        <v>3773</v>
      </c>
      <c r="B4033" s="74" t="s">
        <v>4952</v>
      </c>
      <c r="C4033" s="74">
        <v>999348019</v>
      </c>
      <c r="D4033" s="78" t="str">
        <f t="shared" si="132"/>
        <v>https://portal.dnb.de/opac.htm?method=simpleSearch&amp;cqlMode=true&amp;query=idn%3D999348019</v>
      </c>
      <c r="E4033" s="74" t="s">
        <v>4953</v>
      </c>
      <c r="F4033" s="74"/>
      <c r="G4033" s="76"/>
      <c r="H4033" s="77"/>
      <c r="I4033" s="76"/>
      <c r="J4033" s="77"/>
      <c r="K4033" s="77"/>
      <c r="L4033" s="76"/>
      <c r="M4033" s="76"/>
      <c r="N4033" s="76"/>
      <c r="O4033" s="76"/>
      <c r="P4033" s="76"/>
      <c r="Q4033" s="76"/>
      <c r="R4033" s="76"/>
      <c r="S4033" s="76"/>
      <c r="BD4033" s="99">
        <f t="shared" si="131"/>
        <v>0</v>
      </c>
      <c r="CC4033" s="99"/>
      <c r="CV4033" s="99"/>
      <c r="CW4033" s="63"/>
    </row>
    <row r="4034" spans="1:101" x14ac:dyDescent="0.15">
      <c r="A4034" s="76">
        <v>3774</v>
      </c>
      <c r="B4034" s="74" t="s">
        <v>4954</v>
      </c>
      <c r="C4034" s="74">
        <v>999347489</v>
      </c>
      <c r="D4034" s="78" t="str">
        <f t="shared" si="132"/>
        <v>https://portal.dnb.de/opac.htm?method=simpleSearch&amp;cqlMode=true&amp;query=idn%3D999347489</v>
      </c>
      <c r="E4034" s="74" t="s">
        <v>4953</v>
      </c>
      <c r="F4034" s="74"/>
      <c r="G4034" s="76"/>
      <c r="H4034" s="77"/>
      <c r="I4034" s="76"/>
      <c r="J4034" s="77"/>
      <c r="K4034" s="77"/>
      <c r="L4034" s="76"/>
      <c r="M4034" s="76"/>
      <c r="N4034" s="76"/>
      <c r="O4034" s="76"/>
      <c r="P4034" s="76"/>
      <c r="Q4034" s="76"/>
      <c r="R4034" s="76"/>
      <c r="S4034" s="76"/>
      <c r="BD4034" s="99">
        <f t="shared" si="131"/>
        <v>0</v>
      </c>
      <c r="CC4034" s="99"/>
      <c r="CV4034" s="99"/>
      <c r="CW4034" s="63"/>
    </row>
    <row r="4035" spans="1:101" x14ac:dyDescent="0.15">
      <c r="A4035" s="76">
        <v>3775</v>
      </c>
      <c r="B4035" s="74" t="s">
        <v>4955</v>
      </c>
      <c r="C4035" s="74">
        <v>999347594</v>
      </c>
      <c r="D4035" s="78" t="str">
        <f t="shared" si="132"/>
        <v>https://portal.dnb.de/opac.htm?method=simpleSearch&amp;cqlMode=true&amp;query=idn%3D999347594</v>
      </c>
      <c r="E4035" s="74" t="s">
        <v>4953</v>
      </c>
      <c r="F4035" s="74"/>
      <c r="G4035" s="76"/>
      <c r="H4035" s="77"/>
      <c r="I4035" s="76"/>
      <c r="J4035" s="77"/>
      <c r="K4035" s="77"/>
      <c r="L4035" s="76"/>
      <c r="M4035" s="76"/>
      <c r="N4035" s="76"/>
      <c r="O4035" s="76"/>
      <c r="P4035" s="76"/>
      <c r="Q4035" s="76"/>
      <c r="R4035" s="76"/>
      <c r="S4035" s="76"/>
      <c r="BD4035" s="99">
        <f t="shared" ref="BD4035:BD4098" si="133">CC4035+CV4035</f>
        <v>0</v>
      </c>
      <c r="CC4035" s="99"/>
      <c r="CV4035" s="99"/>
      <c r="CW4035" s="63"/>
    </row>
    <row r="4036" spans="1:101" x14ac:dyDescent="0.15">
      <c r="A4036" s="76">
        <v>3776</v>
      </c>
      <c r="B4036" s="74" t="s">
        <v>4956</v>
      </c>
      <c r="C4036" s="74">
        <v>999347713</v>
      </c>
      <c r="D4036" s="78" t="str">
        <f t="shared" si="132"/>
        <v>https://portal.dnb.de/opac.htm?method=simpleSearch&amp;cqlMode=true&amp;query=idn%3D999347713</v>
      </c>
      <c r="E4036" s="74" t="s">
        <v>4953</v>
      </c>
      <c r="F4036" s="74"/>
      <c r="G4036" s="76"/>
      <c r="H4036" s="77"/>
      <c r="I4036" s="76"/>
      <c r="J4036" s="77"/>
      <c r="K4036" s="77"/>
      <c r="L4036" s="76"/>
      <c r="M4036" s="76"/>
      <c r="N4036" s="76"/>
      <c r="O4036" s="76"/>
      <c r="P4036" s="76"/>
      <c r="Q4036" s="76"/>
      <c r="R4036" s="76"/>
      <c r="S4036" s="76"/>
      <c r="BD4036" s="99">
        <f t="shared" si="133"/>
        <v>0</v>
      </c>
      <c r="CC4036" s="99"/>
      <c r="CV4036" s="99"/>
      <c r="CW4036" s="63"/>
    </row>
    <row r="4037" spans="1:101" x14ac:dyDescent="0.15">
      <c r="A4037" s="76">
        <v>3777</v>
      </c>
      <c r="B4037" s="74" t="s">
        <v>4957</v>
      </c>
      <c r="C4037" s="74">
        <v>999348132</v>
      </c>
      <c r="D4037" s="78" t="str">
        <f t="shared" si="132"/>
        <v>https://portal.dnb.de/opac.htm?method=simpleSearch&amp;cqlMode=true&amp;query=idn%3D999348132</v>
      </c>
      <c r="E4037" s="74" t="s">
        <v>4953</v>
      </c>
      <c r="F4037" s="74"/>
      <c r="G4037" s="76"/>
      <c r="H4037" s="77"/>
      <c r="I4037" s="76"/>
      <c r="J4037" s="77"/>
      <c r="K4037" s="77"/>
      <c r="L4037" s="76"/>
      <c r="M4037" s="76"/>
      <c r="N4037" s="76"/>
      <c r="O4037" s="76"/>
      <c r="P4037" s="76"/>
      <c r="Q4037" s="76"/>
      <c r="R4037" s="76"/>
      <c r="S4037" s="76"/>
      <c r="BD4037" s="99">
        <f t="shared" si="133"/>
        <v>0</v>
      </c>
      <c r="CC4037" s="99"/>
      <c r="CV4037" s="99"/>
      <c r="CW4037" s="63"/>
    </row>
    <row r="4038" spans="1:101" x14ac:dyDescent="0.15">
      <c r="A4038" s="76">
        <v>3778</v>
      </c>
      <c r="B4038" s="74" t="s">
        <v>4958</v>
      </c>
      <c r="C4038" s="74">
        <v>999348035</v>
      </c>
      <c r="D4038" s="78" t="str">
        <f t="shared" si="132"/>
        <v>https://portal.dnb.de/opac.htm?method=simpleSearch&amp;cqlMode=true&amp;query=idn%3D999348035</v>
      </c>
      <c r="E4038" s="74" t="s">
        <v>4953</v>
      </c>
      <c r="F4038" s="74"/>
      <c r="G4038" s="76"/>
      <c r="H4038" s="77"/>
      <c r="I4038" s="76"/>
      <c r="J4038" s="77"/>
      <c r="K4038" s="77"/>
      <c r="L4038" s="76"/>
      <c r="M4038" s="76"/>
      <c r="N4038" s="76"/>
      <c r="O4038" s="76"/>
      <c r="P4038" s="76"/>
      <c r="Q4038" s="76"/>
      <c r="R4038" s="76"/>
      <c r="S4038" s="76"/>
      <c r="BD4038" s="99">
        <f t="shared" si="133"/>
        <v>0</v>
      </c>
      <c r="CC4038" s="99"/>
      <c r="CV4038" s="99"/>
      <c r="CW4038" s="63"/>
    </row>
    <row r="4039" spans="1:101" x14ac:dyDescent="0.15">
      <c r="A4039" s="76">
        <v>3779</v>
      </c>
      <c r="B4039" s="74" t="s">
        <v>4959</v>
      </c>
      <c r="C4039" s="74">
        <v>995999015</v>
      </c>
      <c r="D4039" s="78" t="str">
        <f t="shared" si="132"/>
        <v>https://portal.dnb.de/opac.htm?method=simpleSearch&amp;cqlMode=true&amp;query=idn%3D995999015</v>
      </c>
      <c r="E4039" s="74" t="s">
        <v>4960</v>
      </c>
      <c r="F4039" s="74"/>
      <c r="G4039" s="76"/>
      <c r="H4039" s="77"/>
      <c r="I4039" s="76"/>
      <c r="J4039" s="77"/>
      <c r="K4039" s="77"/>
      <c r="L4039" s="76"/>
      <c r="M4039" s="76"/>
      <c r="N4039" s="76"/>
      <c r="O4039" s="76"/>
      <c r="P4039" s="76"/>
      <c r="Q4039" s="76"/>
      <c r="R4039" s="76"/>
      <c r="S4039" s="76"/>
      <c r="BD4039" s="99">
        <f t="shared" si="133"/>
        <v>0</v>
      </c>
      <c r="CC4039" s="99"/>
      <c r="CV4039" s="99"/>
      <c r="CW4039" s="63"/>
    </row>
    <row r="4040" spans="1:101" x14ac:dyDescent="0.15">
      <c r="A4040" s="76">
        <v>3780</v>
      </c>
      <c r="B4040" s="74" t="s">
        <v>4967</v>
      </c>
      <c r="C4040" s="74">
        <v>994538413</v>
      </c>
      <c r="D4040" s="78" t="str">
        <f t="shared" si="132"/>
        <v>https://portal.dnb.de/opac.htm?method=simpleSearch&amp;cqlMode=true&amp;query=idn%3D994538413</v>
      </c>
      <c r="E4040" s="74" t="s">
        <v>4968</v>
      </c>
      <c r="F4040" s="74"/>
      <c r="G4040" s="76"/>
      <c r="H4040" s="77"/>
      <c r="I4040" s="76"/>
      <c r="J4040" s="77"/>
      <c r="K4040" s="77"/>
      <c r="L4040" s="76"/>
      <c r="M4040" s="76"/>
      <c r="N4040" s="76"/>
      <c r="O4040" s="76"/>
      <c r="P4040" s="76"/>
      <c r="Q4040" s="76"/>
      <c r="R4040" s="76"/>
      <c r="S4040" s="76"/>
      <c r="BD4040" s="99">
        <f t="shared" si="133"/>
        <v>0</v>
      </c>
      <c r="CC4040" s="99"/>
      <c r="CV4040" s="99"/>
      <c r="CW4040" s="63"/>
    </row>
    <row r="4041" spans="1:101" x14ac:dyDescent="0.15">
      <c r="A4041" s="76">
        <v>3781</v>
      </c>
      <c r="B4041" s="74" t="s">
        <v>4969</v>
      </c>
      <c r="C4041" s="74">
        <v>994538421</v>
      </c>
      <c r="D4041" s="78" t="str">
        <f t="shared" si="132"/>
        <v>https://portal.dnb.de/opac.htm?method=simpleSearch&amp;cqlMode=true&amp;query=idn%3D994538421</v>
      </c>
      <c r="E4041" s="74" t="s">
        <v>4968</v>
      </c>
      <c r="F4041" s="74"/>
      <c r="G4041" s="76"/>
      <c r="H4041" s="77"/>
      <c r="I4041" s="76"/>
      <c r="J4041" s="77"/>
      <c r="K4041" s="77"/>
      <c r="L4041" s="76"/>
      <c r="M4041" s="76"/>
      <c r="N4041" s="76"/>
      <c r="O4041" s="76"/>
      <c r="P4041" s="76"/>
      <c r="Q4041" s="76"/>
      <c r="R4041" s="76"/>
      <c r="S4041" s="76"/>
      <c r="BD4041" s="99">
        <f t="shared" si="133"/>
        <v>0</v>
      </c>
      <c r="CC4041" s="99"/>
      <c r="CV4041" s="99"/>
      <c r="CW4041" s="63"/>
    </row>
    <row r="4042" spans="1:101" x14ac:dyDescent="0.15">
      <c r="A4042" s="76">
        <v>3782</v>
      </c>
      <c r="B4042" s="74" t="s">
        <v>4977</v>
      </c>
      <c r="C4042" s="74">
        <v>997688106</v>
      </c>
      <c r="D4042" s="78" t="str">
        <f t="shared" si="132"/>
        <v>https://portal.dnb.de/opac.htm?method=simpleSearch&amp;cqlMode=true&amp;query=idn%3D997688106</v>
      </c>
      <c r="E4042" s="74" t="s">
        <v>4978</v>
      </c>
      <c r="F4042" s="74"/>
      <c r="G4042" s="76"/>
      <c r="H4042" s="77"/>
      <c r="I4042" s="76"/>
      <c r="J4042" s="77"/>
      <c r="K4042" s="77"/>
      <c r="L4042" s="76"/>
      <c r="M4042" s="76"/>
      <c r="N4042" s="76"/>
      <c r="O4042" s="76"/>
      <c r="P4042" s="76"/>
      <c r="Q4042" s="76"/>
      <c r="R4042" s="76"/>
      <c r="S4042" s="76"/>
      <c r="BD4042" s="99">
        <f t="shared" si="133"/>
        <v>0</v>
      </c>
      <c r="CC4042" s="99"/>
      <c r="CV4042" s="99"/>
      <c r="CW4042" s="63"/>
    </row>
    <row r="4043" spans="1:101" x14ac:dyDescent="0.15">
      <c r="A4043" s="76">
        <v>3783</v>
      </c>
      <c r="B4043" s="74" t="s">
        <v>4979</v>
      </c>
      <c r="C4043" s="74">
        <v>999956809</v>
      </c>
      <c r="D4043" s="78" t="str">
        <f t="shared" si="132"/>
        <v>https://portal.dnb.de/opac.htm?method=simpleSearch&amp;cqlMode=true&amp;query=idn%3D999956809</v>
      </c>
      <c r="E4043" s="74" t="s">
        <v>4980</v>
      </c>
      <c r="F4043" s="74"/>
      <c r="G4043" s="76"/>
      <c r="H4043" s="77"/>
      <c r="I4043" s="76"/>
      <c r="J4043" s="77"/>
      <c r="K4043" s="77"/>
      <c r="L4043" s="76"/>
      <c r="M4043" s="76"/>
      <c r="N4043" s="76"/>
      <c r="O4043" s="76"/>
      <c r="P4043" s="76"/>
      <c r="Q4043" s="76"/>
      <c r="R4043" s="76"/>
      <c r="S4043" s="76"/>
      <c r="BD4043" s="99">
        <f t="shared" si="133"/>
        <v>0</v>
      </c>
      <c r="CC4043" s="99"/>
      <c r="CV4043" s="99"/>
      <c r="CW4043" s="63"/>
    </row>
    <row r="4044" spans="1:101" ht="22.5" x14ac:dyDescent="0.15">
      <c r="A4044" s="76">
        <v>3784</v>
      </c>
      <c r="B4044" s="74" t="s">
        <v>4987</v>
      </c>
      <c r="C4044" s="74">
        <v>1139206168</v>
      </c>
      <c r="D4044" s="78" t="str">
        <f t="shared" si="132"/>
        <v>https://portal.dnb.de/opac.htm?method=simpleSearch&amp;cqlMode=true&amp;query=idn%3D1139206168</v>
      </c>
      <c r="E4044" s="74" t="s">
        <v>4988</v>
      </c>
      <c r="F4044" s="74"/>
      <c r="G4044" s="76"/>
      <c r="H4044" s="77"/>
      <c r="I4044" s="76" t="s">
        <v>54</v>
      </c>
      <c r="J4044" s="77"/>
      <c r="K4044" s="77"/>
      <c r="L4044" s="76"/>
      <c r="M4044" s="76"/>
      <c r="N4044" s="76"/>
      <c r="O4044" s="76"/>
      <c r="P4044" s="76"/>
      <c r="Q4044" s="76"/>
      <c r="R4044" s="76"/>
      <c r="S4044" s="76"/>
      <c r="Y4044" s="95" t="s">
        <v>9729</v>
      </c>
      <c r="AC4044" s="95" t="s">
        <v>9724</v>
      </c>
      <c r="AI4044" s="95" t="s">
        <v>9725</v>
      </c>
      <c r="AP4044" s="95" t="s">
        <v>8541</v>
      </c>
      <c r="AQ4044" s="96" t="s">
        <v>10188</v>
      </c>
      <c r="AR4044" s="95" t="s">
        <v>8541</v>
      </c>
      <c r="AS4044" s="95" t="s">
        <v>9788</v>
      </c>
      <c r="AT4044" s="95" t="s">
        <v>8541</v>
      </c>
      <c r="AW4044" s="95">
        <v>0</v>
      </c>
      <c r="BC4044" s="96" t="s">
        <v>9734</v>
      </c>
      <c r="BD4044" s="99">
        <f t="shared" si="133"/>
        <v>0</v>
      </c>
      <c r="BL4044" s="70" t="s">
        <v>10015</v>
      </c>
      <c r="CC4044" s="99"/>
      <c r="CV4044" s="99"/>
      <c r="CW4044" s="63"/>
    </row>
    <row r="4045" spans="1:101" x14ac:dyDescent="0.15">
      <c r="A4045" s="76">
        <v>3785</v>
      </c>
      <c r="B4045" s="74" t="s">
        <v>4989</v>
      </c>
      <c r="C4045" s="74">
        <v>1139297937</v>
      </c>
      <c r="D4045" s="78" t="str">
        <f t="shared" si="132"/>
        <v>https://portal.dnb.de/opac.htm?method=simpleSearch&amp;cqlMode=true&amp;query=idn%3D1139297937</v>
      </c>
      <c r="E4045" s="74" t="s">
        <v>4990</v>
      </c>
      <c r="F4045" s="74"/>
      <c r="G4045" s="76"/>
      <c r="H4045" s="77"/>
      <c r="I4045" s="76" t="s">
        <v>54</v>
      </c>
      <c r="J4045" s="77"/>
      <c r="K4045" s="77"/>
      <c r="L4045" s="76"/>
      <c r="M4045" s="76"/>
      <c r="N4045" s="76"/>
      <c r="O4045" s="76"/>
      <c r="P4045" s="76"/>
      <c r="Q4045" s="76"/>
      <c r="R4045" s="76"/>
      <c r="S4045" s="76"/>
      <c r="Y4045" s="95" t="s">
        <v>9729</v>
      </c>
      <c r="AC4045" s="95" t="s">
        <v>9724</v>
      </c>
      <c r="AI4045" s="95" t="s">
        <v>9725</v>
      </c>
      <c r="AR4045" s="95" t="s">
        <v>8541</v>
      </c>
      <c r="AS4045" s="95" t="s">
        <v>9788</v>
      </c>
      <c r="AT4045" s="95" t="s">
        <v>8541</v>
      </c>
      <c r="AW4045" s="95" t="s">
        <v>9764</v>
      </c>
      <c r="BC4045" s="96" t="s">
        <v>9734</v>
      </c>
      <c r="BD4045" s="99">
        <f t="shared" si="133"/>
        <v>0</v>
      </c>
      <c r="BL4045" s="70" t="s">
        <v>10015</v>
      </c>
      <c r="CC4045" s="99"/>
      <c r="CV4045" s="99"/>
      <c r="CW4045" s="63"/>
    </row>
    <row r="4046" spans="1:101" x14ac:dyDescent="0.15">
      <c r="A4046" s="76">
        <v>3786</v>
      </c>
      <c r="B4046" s="74" t="s">
        <v>4991</v>
      </c>
      <c r="C4046" s="74" t="s">
        <v>4992</v>
      </c>
      <c r="D4046" s="78" t="str">
        <f t="shared" si="132"/>
        <v>https://portal.dnb.de/opac.htm?method=simpleSearch&amp;cqlMode=true&amp;query=idn%3D113929895X</v>
      </c>
      <c r="E4046" s="74" t="s">
        <v>4993</v>
      </c>
      <c r="F4046" s="74"/>
      <c r="G4046" s="76"/>
      <c r="H4046" s="77"/>
      <c r="I4046" s="76" t="s">
        <v>54</v>
      </c>
      <c r="J4046" s="77"/>
      <c r="K4046" s="77"/>
      <c r="L4046" s="76"/>
      <c r="M4046" s="76"/>
      <c r="N4046" s="76"/>
      <c r="O4046" s="76"/>
      <c r="P4046" s="76"/>
      <c r="Q4046" s="76"/>
      <c r="R4046" s="76"/>
      <c r="S4046" s="76"/>
      <c r="Y4046" s="95" t="s">
        <v>9729</v>
      </c>
      <c r="AC4046" s="95" t="s">
        <v>9724</v>
      </c>
      <c r="AI4046" s="95" t="s">
        <v>9725</v>
      </c>
      <c r="AR4046" s="95" t="s">
        <v>8541</v>
      </c>
      <c r="AS4046" s="95" t="s">
        <v>9788</v>
      </c>
      <c r="AT4046" s="95" t="s">
        <v>8541</v>
      </c>
      <c r="AW4046" s="95" t="s">
        <v>9764</v>
      </c>
      <c r="BC4046" s="96" t="s">
        <v>9734</v>
      </c>
      <c r="BD4046" s="99">
        <f t="shared" si="133"/>
        <v>0</v>
      </c>
      <c r="BL4046" s="70" t="s">
        <v>10015</v>
      </c>
      <c r="CC4046" s="99"/>
      <c r="CV4046" s="99"/>
      <c r="CW4046" s="63"/>
    </row>
    <row r="4047" spans="1:101" ht="110.25" customHeight="1" x14ac:dyDescent="0.15">
      <c r="A4047" s="76">
        <v>3787</v>
      </c>
      <c r="B4047" s="74" t="s">
        <v>4994</v>
      </c>
      <c r="C4047" s="74">
        <v>1139299182</v>
      </c>
      <c r="D4047" s="78" t="str">
        <f t="shared" si="132"/>
        <v>https://portal.dnb.de/opac.htm?method=simpleSearch&amp;cqlMode=true&amp;query=idn%3D1139299182</v>
      </c>
      <c r="E4047" s="74" t="s">
        <v>4995</v>
      </c>
      <c r="F4047" s="79" t="s">
        <v>10539</v>
      </c>
      <c r="G4047" s="76"/>
      <c r="H4047" s="77"/>
      <c r="I4047" s="76" t="s">
        <v>54</v>
      </c>
      <c r="J4047" s="77"/>
      <c r="K4047" s="77"/>
      <c r="L4047" s="76"/>
      <c r="M4047" s="76"/>
      <c r="N4047" s="76"/>
      <c r="O4047" s="76"/>
      <c r="P4047" s="76"/>
      <c r="Q4047" s="76"/>
      <c r="R4047" s="76"/>
      <c r="S4047" s="76"/>
      <c r="Y4047" s="95" t="s">
        <v>9729</v>
      </c>
      <c r="AB4047" s="95" t="s">
        <v>8541</v>
      </c>
      <c r="AC4047" s="95" t="s">
        <v>9724</v>
      </c>
      <c r="AI4047" s="95" t="s">
        <v>9725</v>
      </c>
      <c r="AR4047" s="95" t="s">
        <v>8541</v>
      </c>
      <c r="AS4047" s="95" t="s">
        <v>9788</v>
      </c>
      <c r="AT4047" s="95" t="s">
        <v>8541</v>
      </c>
      <c r="AW4047" s="95" t="s">
        <v>9764</v>
      </c>
      <c r="BC4047" s="96" t="s">
        <v>9726</v>
      </c>
      <c r="BD4047" s="99">
        <f t="shared" si="133"/>
        <v>1</v>
      </c>
      <c r="BP4047" s="69" t="s">
        <v>8541</v>
      </c>
      <c r="BQ4047" s="95" t="s">
        <v>8541</v>
      </c>
      <c r="BR4047" s="95" t="s">
        <v>8541</v>
      </c>
      <c r="CC4047" s="99">
        <v>0.5</v>
      </c>
      <c r="CD4047" s="90" t="s">
        <v>10192</v>
      </c>
      <c r="CI4047" s="95" t="s">
        <v>8541</v>
      </c>
      <c r="CV4047" s="99">
        <v>0.5</v>
      </c>
      <c r="CW4047" s="63"/>
    </row>
    <row r="4048" spans="1:101" ht="22.5" x14ac:dyDescent="0.15">
      <c r="A4048" s="76">
        <v>3788</v>
      </c>
      <c r="B4048" s="74" t="s">
        <v>4996</v>
      </c>
      <c r="C4048" s="74">
        <v>1139299476</v>
      </c>
      <c r="D4048" s="78" t="str">
        <f t="shared" si="132"/>
        <v>https://portal.dnb.de/opac.htm?method=simpleSearch&amp;cqlMode=true&amp;query=idn%3D1139299476</v>
      </c>
      <c r="E4048" s="74" t="s">
        <v>4997</v>
      </c>
      <c r="F4048" s="74"/>
      <c r="G4048" s="76"/>
      <c r="H4048" s="77"/>
      <c r="I4048" s="76" t="s">
        <v>54</v>
      </c>
      <c r="J4048" s="77"/>
      <c r="K4048" s="77"/>
      <c r="L4048" s="76"/>
      <c r="M4048" s="76"/>
      <c r="N4048" s="76"/>
      <c r="O4048" s="76"/>
      <c r="P4048" s="76"/>
      <c r="Q4048" s="76"/>
      <c r="R4048" s="76"/>
      <c r="S4048" s="76"/>
      <c r="Y4048" s="95" t="s">
        <v>9729</v>
      </c>
      <c r="AC4048" s="95" t="s">
        <v>9724</v>
      </c>
      <c r="AI4048" s="95" t="s">
        <v>9725</v>
      </c>
      <c r="AP4048" s="95" t="s">
        <v>8541</v>
      </c>
      <c r="AQ4048" s="96" t="s">
        <v>10189</v>
      </c>
      <c r="AR4048" s="95" t="s">
        <v>8541</v>
      </c>
      <c r="AS4048" s="95" t="s">
        <v>9788</v>
      </c>
      <c r="AT4048" s="95" t="s">
        <v>8541</v>
      </c>
      <c r="AW4048" s="95">
        <v>60</v>
      </c>
      <c r="BC4048" s="96" t="s">
        <v>9734</v>
      </c>
      <c r="BD4048" s="99">
        <f t="shared" si="133"/>
        <v>0</v>
      </c>
      <c r="CC4048" s="99"/>
      <c r="CV4048" s="99"/>
      <c r="CW4048" s="63"/>
    </row>
    <row r="4049" spans="1:101" ht="22.5" x14ac:dyDescent="0.15">
      <c r="A4049" s="76">
        <v>3789</v>
      </c>
      <c r="B4049" s="74" t="s">
        <v>4998</v>
      </c>
      <c r="C4049" s="74">
        <v>1139299638</v>
      </c>
      <c r="D4049" s="78" t="str">
        <f t="shared" si="132"/>
        <v>https://portal.dnb.de/opac.htm?method=simpleSearch&amp;cqlMode=true&amp;query=idn%3D1139299638</v>
      </c>
      <c r="E4049" s="74" t="s">
        <v>4999</v>
      </c>
      <c r="F4049" s="74"/>
      <c r="G4049" s="76"/>
      <c r="H4049" s="77"/>
      <c r="I4049" s="76" t="s">
        <v>54</v>
      </c>
      <c r="J4049" s="77"/>
      <c r="K4049" s="77"/>
      <c r="L4049" s="76"/>
      <c r="M4049" s="76"/>
      <c r="N4049" s="76"/>
      <c r="O4049" s="76"/>
      <c r="P4049" s="76"/>
      <c r="Q4049" s="76"/>
      <c r="R4049" s="76"/>
      <c r="S4049" s="76"/>
      <c r="Y4049" s="95" t="s">
        <v>9729</v>
      </c>
      <c r="AC4049" s="95" t="s">
        <v>9724</v>
      </c>
      <c r="AI4049" s="95" t="s">
        <v>9725</v>
      </c>
      <c r="AP4049" s="95" t="s">
        <v>8541</v>
      </c>
      <c r="AQ4049" s="96" t="s">
        <v>10190</v>
      </c>
      <c r="AR4049" s="95" t="s">
        <v>8541</v>
      </c>
      <c r="AS4049" s="95" t="s">
        <v>9788</v>
      </c>
      <c r="AT4049" s="95" t="s">
        <v>8541</v>
      </c>
      <c r="AW4049" s="95" t="s">
        <v>9764</v>
      </c>
      <c r="BC4049" s="96" t="s">
        <v>9726</v>
      </c>
      <c r="BD4049" s="99">
        <f t="shared" si="133"/>
        <v>1</v>
      </c>
      <c r="BP4049" s="69" t="s">
        <v>8541</v>
      </c>
      <c r="BQ4049" s="95" t="s">
        <v>8541</v>
      </c>
      <c r="BR4049" s="95" t="s">
        <v>8541</v>
      </c>
      <c r="CC4049" s="99">
        <v>0.5</v>
      </c>
      <c r="CD4049" s="90" t="s">
        <v>10191</v>
      </c>
      <c r="CJ4049" s="95" t="s">
        <v>10550</v>
      </c>
      <c r="CV4049" s="99">
        <v>0.5</v>
      </c>
      <c r="CW4049" s="63"/>
    </row>
    <row r="4050" spans="1:101" ht="108.75" customHeight="1" x14ac:dyDescent="0.15">
      <c r="A4050" s="76">
        <v>3790</v>
      </c>
      <c r="B4050" s="74" t="s">
        <v>5000</v>
      </c>
      <c r="C4050" s="74">
        <v>1139299948</v>
      </c>
      <c r="D4050" s="78" t="str">
        <f t="shared" si="132"/>
        <v>https://portal.dnb.de/opac.htm?method=simpleSearch&amp;cqlMode=true&amp;query=idn%3D1139299948</v>
      </c>
      <c r="E4050" s="74" t="s">
        <v>5001</v>
      </c>
      <c r="F4050" s="79" t="s">
        <v>10540</v>
      </c>
      <c r="G4050" s="76"/>
      <c r="H4050" s="77"/>
      <c r="I4050" s="76" t="s">
        <v>54</v>
      </c>
      <c r="J4050" s="77"/>
      <c r="K4050" s="77"/>
      <c r="L4050" s="76"/>
      <c r="M4050" s="76"/>
      <c r="N4050" s="76"/>
      <c r="O4050" s="76"/>
      <c r="P4050" s="76"/>
      <c r="Q4050" s="76"/>
      <c r="R4050" s="76"/>
      <c r="S4050" s="76"/>
      <c r="Y4050" s="95" t="s">
        <v>9729</v>
      </c>
      <c r="AB4050" s="95" t="s">
        <v>8541</v>
      </c>
      <c r="AC4050" s="95" t="s">
        <v>9724</v>
      </c>
      <c r="AI4050" s="95" t="s">
        <v>9725</v>
      </c>
      <c r="AR4050" s="95" t="s">
        <v>8541</v>
      </c>
      <c r="AS4050" s="95" t="s">
        <v>9788</v>
      </c>
      <c r="AT4050" s="95" t="s">
        <v>8541</v>
      </c>
      <c r="AW4050" s="95" t="s">
        <v>9764</v>
      </c>
      <c r="BC4050" s="96" t="s">
        <v>9734</v>
      </c>
      <c r="BD4050" s="99">
        <f t="shared" si="133"/>
        <v>0</v>
      </c>
      <c r="CC4050" s="99"/>
      <c r="CV4050" s="99"/>
      <c r="CW4050" s="63"/>
    </row>
    <row r="4051" spans="1:101" x14ac:dyDescent="0.15">
      <c r="A4051" s="76">
        <v>3791</v>
      </c>
      <c r="B4051" s="74" t="s">
        <v>5002</v>
      </c>
      <c r="C4051" s="74">
        <v>1139205978</v>
      </c>
      <c r="D4051" s="78" t="str">
        <f t="shared" si="132"/>
        <v>https://portal.dnb.de/opac.htm?method=simpleSearch&amp;cqlMode=true&amp;query=idn%3D1139205978</v>
      </c>
      <c r="E4051" s="74" t="s">
        <v>5003</v>
      </c>
      <c r="F4051" s="74"/>
      <c r="G4051" s="76"/>
      <c r="H4051" s="77"/>
      <c r="I4051" s="76" t="s">
        <v>54</v>
      </c>
      <c r="J4051" s="77"/>
      <c r="K4051" s="77"/>
      <c r="L4051" s="76"/>
      <c r="M4051" s="76"/>
      <c r="N4051" s="76"/>
      <c r="O4051" s="76"/>
      <c r="P4051" s="76"/>
      <c r="Q4051" s="76"/>
      <c r="R4051" s="76"/>
      <c r="S4051" s="76"/>
      <c r="Y4051" s="95" t="s">
        <v>9729</v>
      </c>
      <c r="AB4051" s="95" t="s">
        <v>8541</v>
      </c>
      <c r="AC4051" s="95" t="s">
        <v>9724</v>
      </c>
      <c r="AI4051" s="95" t="s">
        <v>9725</v>
      </c>
      <c r="AR4051" s="95" t="s">
        <v>8541</v>
      </c>
      <c r="AS4051" s="95" t="s">
        <v>9788</v>
      </c>
      <c r="AT4051" s="95" t="s">
        <v>8541</v>
      </c>
      <c r="AW4051" s="95">
        <v>110</v>
      </c>
      <c r="BC4051" s="96" t="s">
        <v>9734</v>
      </c>
      <c r="BD4051" s="99">
        <f t="shared" si="133"/>
        <v>0</v>
      </c>
      <c r="CC4051" s="99"/>
      <c r="CV4051" s="99"/>
      <c r="CW4051" s="63"/>
    </row>
    <row r="4052" spans="1:101" ht="33.75" x14ac:dyDescent="0.15">
      <c r="A4052" s="76">
        <v>3792</v>
      </c>
      <c r="B4052" s="74" t="s">
        <v>5004</v>
      </c>
      <c r="C4052" s="74" t="s">
        <v>4986</v>
      </c>
      <c r="D4052" s="78" t="str">
        <f t="shared" si="132"/>
        <v>https://portal.dnb.de/opac.htm?method=simpleSearch&amp;cqlMode=true&amp;query=idn%3D01549389X</v>
      </c>
      <c r="E4052" s="74" t="s">
        <v>5005</v>
      </c>
      <c r="F4052" s="79" t="s">
        <v>10541</v>
      </c>
      <c r="G4052" s="76"/>
      <c r="H4052" s="77"/>
      <c r="I4052" s="76"/>
      <c r="J4052" s="77"/>
      <c r="K4052" s="77"/>
      <c r="L4052" s="76"/>
      <c r="M4052" s="76"/>
      <c r="N4052" s="76"/>
      <c r="O4052" s="76"/>
      <c r="P4052" s="76"/>
      <c r="Q4052" s="76"/>
      <c r="R4052" s="76"/>
      <c r="S4052" s="76"/>
      <c r="BD4052" s="99">
        <f t="shared" si="133"/>
        <v>0</v>
      </c>
      <c r="CC4052" s="99"/>
      <c r="CV4052" s="99"/>
      <c r="CW4052" s="63"/>
    </row>
    <row r="4053" spans="1:101" ht="22.5" x14ac:dyDescent="0.15">
      <c r="A4053" s="76">
        <v>3793</v>
      </c>
      <c r="B4053" s="74" t="s">
        <v>5002</v>
      </c>
      <c r="C4053" s="74">
        <v>1139391216</v>
      </c>
      <c r="D4053" s="78" t="str">
        <f t="shared" si="132"/>
        <v>https://portal.dnb.de/opac.htm?method=simpleSearch&amp;cqlMode=true&amp;query=idn%3D1139391216</v>
      </c>
      <c r="E4053" s="74" t="s">
        <v>5006</v>
      </c>
      <c r="F4053" s="74"/>
      <c r="G4053" s="76"/>
      <c r="H4053" s="77"/>
      <c r="I4053" s="76" t="s">
        <v>54</v>
      </c>
      <c r="J4053" s="77"/>
      <c r="K4053" s="77"/>
      <c r="L4053" s="76"/>
      <c r="M4053" s="76"/>
      <c r="N4053" s="76"/>
      <c r="O4053" s="76"/>
      <c r="P4053" s="76"/>
      <c r="Q4053" s="76"/>
      <c r="R4053" s="76"/>
      <c r="S4053" s="76"/>
      <c r="Y4053" s="95" t="s">
        <v>9729</v>
      </c>
      <c r="AB4053" s="95" t="s">
        <v>8541</v>
      </c>
      <c r="AC4053" s="95" t="s">
        <v>9724</v>
      </c>
      <c r="AI4053" s="95" t="s">
        <v>9725</v>
      </c>
      <c r="AP4053" s="95" t="s">
        <v>8541</v>
      </c>
      <c r="AQ4053" s="96" t="s">
        <v>10193</v>
      </c>
      <c r="AR4053" s="95" t="s">
        <v>8541</v>
      </c>
      <c r="AS4053" s="95" t="s">
        <v>9788</v>
      </c>
      <c r="AT4053" s="95" t="s">
        <v>8541</v>
      </c>
      <c r="AW4053" s="95">
        <v>110</v>
      </c>
      <c r="BC4053" s="96" t="s">
        <v>9734</v>
      </c>
      <c r="BD4053" s="99">
        <f t="shared" si="133"/>
        <v>0</v>
      </c>
      <c r="CC4053" s="99"/>
      <c r="CV4053" s="99"/>
      <c r="CW4053" s="63"/>
    </row>
    <row r="4054" spans="1:101" x14ac:dyDescent="0.15">
      <c r="A4054" s="76">
        <v>3794</v>
      </c>
      <c r="B4054" s="74" t="s">
        <v>5009</v>
      </c>
      <c r="C4054" s="74">
        <v>1000761452</v>
      </c>
      <c r="D4054" s="78" t="str">
        <f t="shared" si="132"/>
        <v>https://portal.dnb.de/opac.htm?method=simpleSearch&amp;cqlMode=true&amp;query=idn%3D1000761452</v>
      </c>
      <c r="E4054" s="74" t="s">
        <v>5010</v>
      </c>
      <c r="F4054" s="74"/>
      <c r="G4054" s="76"/>
      <c r="H4054" s="77"/>
      <c r="I4054" s="76"/>
      <c r="J4054" s="77"/>
      <c r="K4054" s="77"/>
      <c r="L4054" s="76"/>
      <c r="M4054" s="76"/>
      <c r="N4054" s="76"/>
      <c r="O4054" s="76"/>
      <c r="P4054" s="76"/>
      <c r="Q4054" s="76"/>
      <c r="R4054" s="76"/>
      <c r="S4054" s="76"/>
      <c r="BD4054" s="99">
        <f t="shared" si="133"/>
        <v>0</v>
      </c>
      <c r="CC4054" s="99"/>
      <c r="CV4054" s="99"/>
      <c r="CW4054" s="63"/>
    </row>
    <row r="4055" spans="1:101" x14ac:dyDescent="0.15">
      <c r="A4055" s="76">
        <v>3795</v>
      </c>
      <c r="B4055" s="74" t="s">
        <v>5011</v>
      </c>
      <c r="C4055" s="74">
        <v>1000761401</v>
      </c>
      <c r="D4055" s="78" t="str">
        <f t="shared" si="132"/>
        <v>https://portal.dnb.de/opac.htm?method=simpleSearch&amp;cqlMode=true&amp;query=idn%3D1000761401</v>
      </c>
      <c r="E4055" s="74" t="s">
        <v>5010</v>
      </c>
      <c r="F4055" s="74"/>
      <c r="G4055" s="76"/>
      <c r="H4055" s="77"/>
      <c r="I4055" s="76"/>
      <c r="J4055" s="77"/>
      <c r="K4055" s="77"/>
      <c r="L4055" s="76"/>
      <c r="M4055" s="76"/>
      <c r="N4055" s="76"/>
      <c r="O4055" s="76"/>
      <c r="P4055" s="76"/>
      <c r="Q4055" s="76"/>
      <c r="R4055" s="76"/>
      <c r="S4055" s="76"/>
      <c r="BD4055" s="99">
        <f t="shared" si="133"/>
        <v>0</v>
      </c>
      <c r="CC4055" s="99"/>
      <c r="CV4055" s="99"/>
      <c r="CW4055" s="63"/>
    </row>
    <row r="4056" spans="1:101" x14ac:dyDescent="0.15">
      <c r="A4056" s="76">
        <v>3796</v>
      </c>
      <c r="B4056" s="74" t="s">
        <v>5012</v>
      </c>
      <c r="C4056" s="74">
        <v>1000761339</v>
      </c>
      <c r="D4056" s="78" t="str">
        <f t="shared" si="132"/>
        <v>https://portal.dnb.de/opac.htm?method=simpleSearch&amp;cqlMode=true&amp;query=idn%3D1000761339</v>
      </c>
      <c r="E4056" s="74" t="s">
        <v>5010</v>
      </c>
      <c r="F4056" s="74"/>
      <c r="G4056" s="76"/>
      <c r="H4056" s="77"/>
      <c r="I4056" s="76"/>
      <c r="J4056" s="77"/>
      <c r="K4056" s="77"/>
      <c r="L4056" s="76"/>
      <c r="M4056" s="76"/>
      <c r="N4056" s="76"/>
      <c r="O4056" s="76"/>
      <c r="P4056" s="76"/>
      <c r="Q4056" s="76"/>
      <c r="R4056" s="76"/>
      <c r="S4056" s="76"/>
      <c r="BD4056" s="99">
        <f t="shared" si="133"/>
        <v>0</v>
      </c>
      <c r="CC4056" s="99"/>
      <c r="CV4056" s="99"/>
      <c r="CW4056" s="63"/>
    </row>
    <row r="4057" spans="1:101" x14ac:dyDescent="0.15">
      <c r="A4057" s="76">
        <v>3797</v>
      </c>
      <c r="B4057" s="74" t="s">
        <v>5013</v>
      </c>
      <c r="C4057" s="74">
        <v>1000761282</v>
      </c>
      <c r="D4057" s="78" t="str">
        <f t="shared" si="132"/>
        <v>https://portal.dnb.de/opac.htm?method=simpleSearch&amp;cqlMode=true&amp;query=idn%3D1000761282</v>
      </c>
      <c r="E4057" s="74" t="s">
        <v>5010</v>
      </c>
      <c r="F4057" s="74"/>
      <c r="G4057" s="76"/>
      <c r="H4057" s="77"/>
      <c r="I4057" s="76"/>
      <c r="J4057" s="77"/>
      <c r="K4057" s="77"/>
      <c r="L4057" s="76"/>
      <c r="M4057" s="76"/>
      <c r="N4057" s="76"/>
      <c r="O4057" s="76"/>
      <c r="P4057" s="76"/>
      <c r="Q4057" s="76"/>
      <c r="R4057" s="76"/>
      <c r="S4057" s="76"/>
      <c r="BD4057" s="99">
        <f t="shared" si="133"/>
        <v>0</v>
      </c>
      <c r="CC4057" s="99"/>
      <c r="CV4057" s="99"/>
      <c r="CW4057" s="63"/>
    </row>
    <row r="4058" spans="1:101" x14ac:dyDescent="0.15">
      <c r="A4058" s="76">
        <v>3798</v>
      </c>
      <c r="B4058" s="74" t="s">
        <v>5014</v>
      </c>
      <c r="C4058" s="74" t="s">
        <v>5015</v>
      </c>
      <c r="D4058" s="78" t="str">
        <f t="shared" si="132"/>
        <v>https://portal.dnb.de/opac.htm?method=simpleSearch&amp;cqlMode=true&amp;query=idn%3D100300010X</v>
      </c>
      <c r="E4058" s="74" t="s">
        <v>5016</v>
      </c>
      <c r="F4058" s="74"/>
      <c r="G4058" s="76"/>
      <c r="H4058" s="77"/>
      <c r="I4058" s="76"/>
      <c r="J4058" s="77"/>
      <c r="K4058" s="77"/>
      <c r="L4058" s="76"/>
      <c r="M4058" s="76"/>
      <c r="N4058" s="76"/>
      <c r="O4058" s="76"/>
      <c r="P4058" s="76"/>
      <c r="Q4058" s="76"/>
      <c r="R4058" s="76"/>
      <c r="S4058" s="76"/>
      <c r="BD4058" s="99">
        <f t="shared" si="133"/>
        <v>0</v>
      </c>
      <c r="CC4058" s="99"/>
      <c r="CV4058" s="99"/>
      <c r="CW4058" s="63"/>
    </row>
    <row r="4059" spans="1:101" x14ac:dyDescent="0.15">
      <c r="A4059" s="76">
        <v>3799</v>
      </c>
      <c r="B4059" s="74" t="s">
        <v>5021</v>
      </c>
      <c r="C4059" s="74">
        <v>1208804863</v>
      </c>
      <c r="D4059" s="78" t="str">
        <f t="shared" si="132"/>
        <v>https://portal.dnb.de/opac.htm?method=simpleSearch&amp;cqlMode=true&amp;query=idn%3D1208804863</v>
      </c>
      <c r="E4059" s="74" t="s">
        <v>5022</v>
      </c>
      <c r="F4059" s="74"/>
      <c r="G4059" s="76"/>
      <c r="H4059" s="77"/>
      <c r="I4059" s="76"/>
      <c r="J4059" s="77"/>
      <c r="K4059" s="77"/>
      <c r="L4059" s="76"/>
      <c r="M4059" s="76"/>
      <c r="N4059" s="76"/>
      <c r="O4059" s="76"/>
      <c r="P4059" s="76"/>
      <c r="Q4059" s="76"/>
      <c r="R4059" s="76"/>
      <c r="S4059" s="76"/>
      <c r="BD4059" s="99">
        <f t="shared" si="133"/>
        <v>0</v>
      </c>
      <c r="CC4059" s="99"/>
      <c r="CV4059" s="99"/>
      <c r="CW4059" s="63"/>
    </row>
    <row r="4060" spans="1:101" x14ac:dyDescent="0.15">
      <c r="A4060" s="76">
        <v>3800</v>
      </c>
      <c r="B4060" s="74" t="s">
        <v>5023</v>
      </c>
      <c r="C4060" s="74">
        <v>998639095</v>
      </c>
      <c r="D4060" s="78" t="str">
        <f t="shared" si="132"/>
        <v>https://portal.dnb.de/opac.htm?method=simpleSearch&amp;cqlMode=true&amp;query=idn%3D998639095</v>
      </c>
      <c r="E4060" s="74" t="s">
        <v>5024</v>
      </c>
      <c r="F4060" s="74"/>
      <c r="G4060" s="76"/>
      <c r="H4060" s="77"/>
      <c r="I4060" s="76"/>
      <c r="J4060" s="77"/>
      <c r="K4060" s="77"/>
      <c r="L4060" s="76"/>
      <c r="M4060" s="76"/>
      <c r="N4060" s="76"/>
      <c r="O4060" s="76"/>
      <c r="P4060" s="76"/>
      <c r="Q4060" s="76"/>
      <c r="R4060" s="76"/>
      <c r="S4060" s="76"/>
      <c r="BD4060" s="99">
        <f t="shared" si="133"/>
        <v>0</v>
      </c>
      <c r="CC4060" s="99"/>
      <c r="CV4060" s="99"/>
      <c r="CW4060" s="63"/>
    </row>
    <row r="4061" spans="1:101" x14ac:dyDescent="0.15">
      <c r="A4061" s="76">
        <v>3801</v>
      </c>
      <c r="B4061" s="74" t="s">
        <v>5025</v>
      </c>
      <c r="C4061" s="74">
        <v>994564643</v>
      </c>
      <c r="D4061" s="78" t="str">
        <f t="shared" si="132"/>
        <v>https://portal.dnb.de/opac.htm?method=simpleSearch&amp;cqlMode=true&amp;query=idn%3D994564643</v>
      </c>
      <c r="E4061" s="74" t="s">
        <v>5026</v>
      </c>
      <c r="F4061" s="74"/>
      <c r="G4061" s="76"/>
      <c r="H4061" s="77"/>
      <c r="I4061" s="76"/>
      <c r="J4061" s="77"/>
      <c r="K4061" s="77"/>
      <c r="L4061" s="76"/>
      <c r="M4061" s="76"/>
      <c r="N4061" s="76"/>
      <c r="O4061" s="76"/>
      <c r="P4061" s="76"/>
      <c r="Q4061" s="76"/>
      <c r="R4061" s="76"/>
      <c r="S4061" s="76"/>
      <c r="BD4061" s="99">
        <f t="shared" si="133"/>
        <v>0</v>
      </c>
      <c r="CC4061" s="99"/>
      <c r="CV4061" s="99"/>
      <c r="CW4061" s="63"/>
    </row>
    <row r="4062" spans="1:101" x14ac:dyDescent="0.15">
      <c r="A4062" s="76">
        <v>3802</v>
      </c>
      <c r="B4062" s="74" t="s">
        <v>5027</v>
      </c>
      <c r="C4062" s="74">
        <v>999068547</v>
      </c>
      <c r="D4062" s="78" t="str">
        <f t="shared" si="132"/>
        <v>https://portal.dnb.de/opac.htm?method=simpleSearch&amp;cqlMode=true&amp;query=idn%3D999068547</v>
      </c>
      <c r="E4062" s="74" t="s">
        <v>5028</v>
      </c>
      <c r="F4062" s="74"/>
      <c r="G4062" s="76"/>
      <c r="H4062" s="77"/>
      <c r="I4062" s="76"/>
      <c r="J4062" s="77"/>
      <c r="K4062" s="77"/>
      <c r="L4062" s="76"/>
      <c r="M4062" s="76"/>
      <c r="N4062" s="76"/>
      <c r="O4062" s="76"/>
      <c r="P4062" s="76"/>
      <c r="Q4062" s="76"/>
      <c r="R4062" s="76"/>
      <c r="S4062" s="76"/>
      <c r="BD4062" s="99">
        <f t="shared" si="133"/>
        <v>0</v>
      </c>
      <c r="CC4062" s="99"/>
      <c r="CV4062" s="99"/>
      <c r="CW4062" s="63"/>
    </row>
    <row r="4063" spans="1:101" x14ac:dyDescent="0.15">
      <c r="A4063" s="76">
        <v>3803</v>
      </c>
      <c r="B4063" s="74" t="s">
        <v>5035</v>
      </c>
      <c r="C4063" s="74">
        <v>994811144</v>
      </c>
      <c r="D4063" s="78" t="str">
        <f t="shared" ref="D4063:D4127" si="134">HYPERLINK(CONCATENATE("https://portal.dnb.de/opac.htm?method=simpleSearch&amp;cqlMode=true&amp;query=idn%3D",C4063))</f>
        <v>https://portal.dnb.de/opac.htm?method=simpleSearch&amp;cqlMode=true&amp;query=idn%3D994811144</v>
      </c>
      <c r="E4063" s="74" t="s">
        <v>5036</v>
      </c>
      <c r="F4063" s="74"/>
      <c r="G4063" s="76"/>
      <c r="H4063" s="77"/>
      <c r="I4063" s="76"/>
      <c r="J4063" s="77"/>
      <c r="K4063" s="77"/>
      <c r="L4063" s="76"/>
      <c r="M4063" s="76"/>
      <c r="N4063" s="76"/>
      <c r="O4063" s="76"/>
      <c r="P4063" s="76"/>
      <c r="Q4063" s="76"/>
      <c r="R4063" s="76"/>
      <c r="S4063" s="76"/>
      <c r="BD4063" s="99">
        <f t="shared" si="133"/>
        <v>0</v>
      </c>
      <c r="CC4063" s="99"/>
      <c r="CV4063" s="99"/>
      <c r="CW4063" s="63"/>
    </row>
    <row r="4064" spans="1:101" x14ac:dyDescent="0.15">
      <c r="A4064" s="76">
        <v>3804</v>
      </c>
      <c r="B4064" s="74" t="s">
        <v>5039</v>
      </c>
      <c r="C4064" s="74">
        <v>1132658063</v>
      </c>
      <c r="D4064" s="78" t="str">
        <f t="shared" si="134"/>
        <v>https://portal.dnb.de/opac.htm?method=simpleSearch&amp;cqlMode=true&amp;query=idn%3D1132658063</v>
      </c>
      <c r="E4064" s="74" t="s">
        <v>5040</v>
      </c>
      <c r="F4064" s="74"/>
      <c r="G4064" s="76"/>
      <c r="H4064" s="77"/>
      <c r="I4064" s="76"/>
      <c r="J4064" s="77"/>
      <c r="K4064" s="77"/>
      <c r="L4064" s="76"/>
      <c r="M4064" s="76"/>
      <c r="N4064" s="76"/>
      <c r="O4064" s="76"/>
      <c r="P4064" s="76"/>
      <c r="Q4064" s="76"/>
      <c r="R4064" s="76"/>
      <c r="S4064" s="76"/>
      <c r="BD4064" s="99">
        <f t="shared" si="133"/>
        <v>0</v>
      </c>
      <c r="CC4064" s="99"/>
      <c r="CV4064" s="99"/>
      <c r="CW4064" s="63"/>
    </row>
    <row r="4065" spans="1:101" x14ac:dyDescent="0.15">
      <c r="A4065" s="76">
        <v>3805</v>
      </c>
      <c r="B4065" s="74" t="s">
        <v>5041</v>
      </c>
      <c r="C4065" s="74">
        <v>995680094</v>
      </c>
      <c r="D4065" s="78" t="str">
        <f t="shared" si="134"/>
        <v>https://portal.dnb.de/opac.htm?method=simpleSearch&amp;cqlMode=true&amp;query=idn%3D995680094</v>
      </c>
      <c r="E4065" s="74" t="s">
        <v>5042</v>
      </c>
      <c r="F4065" s="74"/>
      <c r="G4065" s="76"/>
      <c r="H4065" s="77"/>
      <c r="I4065" s="76"/>
      <c r="J4065" s="77"/>
      <c r="K4065" s="77"/>
      <c r="L4065" s="76"/>
      <c r="M4065" s="76"/>
      <c r="N4065" s="76"/>
      <c r="O4065" s="76"/>
      <c r="P4065" s="76"/>
      <c r="Q4065" s="76"/>
      <c r="R4065" s="76"/>
      <c r="S4065" s="76"/>
      <c r="BD4065" s="99">
        <f t="shared" si="133"/>
        <v>0</v>
      </c>
      <c r="CC4065" s="99"/>
      <c r="CV4065" s="99"/>
      <c r="CW4065" s="63"/>
    </row>
    <row r="4066" spans="1:101" x14ac:dyDescent="0.15">
      <c r="A4066" s="76">
        <v>3806</v>
      </c>
      <c r="B4066" s="74" t="s">
        <v>5043</v>
      </c>
      <c r="C4066" s="74">
        <v>995680094</v>
      </c>
      <c r="D4066" s="78" t="str">
        <f t="shared" si="134"/>
        <v>https://portal.dnb.de/opac.htm?method=simpleSearch&amp;cqlMode=true&amp;query=idn%3D995680094</v>
      </c>
      <c r="E4066" s="74" t="s">
        <v>5044</v>
      </c>
      <c r="F4066" s="74"/>
      <c r="G4066" s="76"/>
      <c r="H4066" s="77"/>
      <c r="I4066" s="76"/>
      <c r="J4066" s="77"/>
      <c r="K4066" s="77"/>
      <c r="L4066" s="76"/>
      <c r="M4066" s="76"/>
      <c r="N4066" s="76"/>
      <c r="O4066" s="76"/>
      <c r="P4066" s="76"/>
      <c r="Q4066" s="76"/>
      <c r="R4066" s="76"/>
      <c r="S4066" s="76"/>
      <c r="BD4066" s="99">
        <f t="shared" si="133"/>
        <v>0</v>
      </c>
      <c r="CC4066" s="99"/>
      <c r="CV4066" s="99"/>
      <c r="CW4066" s="63"/>
    </row>
    <row r="4067" spans="1:101" x14ac:dyDescent="0.15">
      <c r="A4067" s="76">
        <v>3807</v>
      </c>
      <c r="B4067" s="74" t="s">
        <v>5045</v>
      </c>
      <c r="C4067" s="74">
        <v>995556016</v>
      </c>
      <c r="D4067" s="78" t="str">
        <f t="shared" si="134"/>
        <v>https://portal.dnb.de/opac.htm?method=simpleSearch&amp;cqlMode=true&amp;query=idn%3D995556016</v>
      </c>
      <c r="E4067" s="74" t="s">
        <v>5046</v>
      </c>
      <c r="F4067" s="74"/>
      <c r="G4067" s="76"/>
      <c r="H4067" s="77"/>
      <c r="I4067" s="76"/>
      <c r="J4067" s="77"/>
      <c r="K4067" s="77"/>
      <c r="L4067" s="76"/>
      <c r="M4067" s="76"/>
      <c r="N4067" s="76"/>
      <c r="O4067" s="76"/>
      <c r="P4067" s="76"/>
      <c r="Q4067" s="76"/>
      <c r="R4067" s="76"/>
      <c r="S4067" s="76"/>
      <c r="BD4067" s="99">
        <f t="shared" si="133"/>
        <v>0</v>
      </c>
      <c r="CC4067" s="99"/>
      <c r="CV4067" s="99"/>
      <c r="CW4067" s="63"/>
    </row>
    <row r="4068" spans="1:101" x14ac:dyDescent="0.15">
      <c r="A4068" s="76">
        <v>3808</v>
      </c>
      <c r="B4068" s="74" t="s">
        <v>5047</v>
      </c>
      <c r="C4068" s="74">
        <v>995555923</v>
      </c>
      <c r="D4068" s="78" t="str">
        <f t="shared" si="134"/>
        <v>https://portal.dnb.de/opac.htm?method=simpleSearch&amp;cqlMode=true&amp;query=idn%3D995555923</v>
      </c>
      <c r="E4068" s="74" t="s">
        <v>5046</v>
      </c>
      <c r="F4068" s="74"/>
      <c r="G4068" s="76"/>
      <c r="H4068" s="77"/>
      <c r="I4068" s="76"/>
      <c r="J4068" s="77"/>
      <c r="K4068" s="77"/>
      <c r="L4068" s="76"/>
      <c r="M4068" s="76"/>
      <c r="N4068" s="76"/>
      <c r="O4068" s="76"/>
      <c r="P4068" s="76"/>
      <c r="Q4068" s="76"/>
      <c r="R4068" s="76"/>
      <c r="S4068" s="76"/>
      <c r="BD4068" s="99">
        <f t="shared" si="133"/>
        <v>0</v>
      </c>
      <c r="CC4068" s="99"/>
      <c r="CV4068" s="99"/>
      <c r="CW4068" s="63"/>
    </row>
    <row r="4069" spans="1:101" x14ac:dyDescent="0.15">
      <c r="A4069" s="76">
        <v>3809</v>
      </c>
      <c r="B4069" s="74" t="s">
        <v>5050</v>
      </c>
      <c r="C4069" s="74">
        <v>1000261131</v>
      </c>
      <c r="D4069" s="78" t="str">
        <f t="shared" si="134"/>
        <v>https://portal.dnb.de/opac.htm?method=simpleSearch&amp;cqlMode=true&amp;query=idn%3D1000261131</v>
      </c>
      <c r="E4069" s="74" t="s">
        <v>5051</v>
      </c>
      <c r="F4069" s="74"/>
      <c r="G4069" s="76"/>
      <c r="H4069" s="77"/>
      <c r="I4069" s="76"/>
      <c r="J4069" s="77"/>
      <c r="K4069" s="77"/>
      <c r="L4069" s="76"/>
      <c r="M4069" s="76"/>
      <c r="N4069" s="76"/>
      <c r="O4069" s="76"/>
      <c r="P4069" s="76"/>
      <c r="Q4069" s="76"/>
      <c r="R4069" s="76"/>
      <c r="S4069" s="76"/>
      <c r="BD4069" s="99">
        <f t="shared" si="133"/>
        <v>0</v>
      </c>
      <c r="CC4069" s="99"/>
      <c r="CV4069" s="99"/>
      <c r="CW4069" s="63"/>
    </row>
    <row r="4070" spans="1:101" x14ac:dyDescent="0.15">
      <c r="A4070" s="76">
        <v>3810</v>
      </c>
      <c r="B4070" s="74" t="s">
        <v>5052</v>
      </c>
      <c r="C4070" s="74" t="s">
        <v>5053</v>
      </c>
      <c r="D4070" s="78" t="str">
        <f t="shared" si="134"/>
        <v>https://portal.dnb.de/opac.htm?method=simpleSearch&amp;cqlMode=true&amp;query=idn%3D100024623X</v>
      </c>
      <c r="E4070" s="74" t="s">
        <v>5051</v>
      </c>
      <c r="F4070" s="74"/>
      <c r="G4070" s="76"/>
      <c r="H4070" s="77"/>
      <c r="I4070" s="76"/>
      <c r="J4070" s="77"/>
      <c r="K4070" s="77"/>
      <c r="L4070" s="76"/>
      <c r="M4070" s="76"/>
      <c r="N4070" s="76"/>
      <c r="O4070" s="76"/>
      <c r="P4070" s="76"/>
      <c r="Q4070" s="76"/>
      <c r="R4070" s="76"/>
      <c r="S4070" s="76"/>
      <c r="BD4070" s="99">
        <f t="shared" si="133"/>
        <v>0</v>
      </c>
      <c r="CC4070" s="99"/>
      <c r="CV4070" s="99"/>
      <c r="CW4070" s="63"/>
    </row>
    <row r="4071" spans="1:101" x14ac:dyDescent="0.15">
      <c r="A4071" s="76">
        <v>3811</v>
      </c>
      <c r="B4071" s="74" t="s">
        <v>5054</v>
      </c>
      <c r="C4071" s="74">
        <v>1000246825</v>
      </c>
      <c r="D4071" s="78" t="str">
        <f t="shared" si="134"/>
        <v>https://portal.dnb.de/opac.htm?method=simpleSearch&amp;cqlMode=true&amp;query=idn%3D1000246825</v>
      </c>
      <c r="E4071" s="74" t="s">
        <v>5051</v>
      </c>
      <c r="F4071" s="74"/>
      <c r="G4071" s="76"/>
      <c r="H4071" s="77"/>
      <c r="I4071" s="76"/>
      <c r="J4071" s="77"/>
      <c r="K4071" s="77"/>
      <c r="L4071" s="76"/>
      <c r="M4071" s="76"/>
      <c r="N4071" s="76"/>
      <c r="O4071" s="76"/>
      <c r="P4071" s="76"/>
      <c r="Q4071" s="76"/>
      <c r="R4071" s="76"/>
      <c r="S4071" s="76"/>
      <c r="BD4071" s="99">
        <f t="shared" si="133"/>
        <v>0</v>
      </c>
      <c r="CC4071" s="99"/>
      <c r="CV4071" s="99"/>
      <c r="CW4071" s="63"/>
    </row>
    <row r="4072" spans="1:101" x14ac:dyDescent="0.15">
      <c r="A4072" s="76">
        <v>3812</v>
      </c>
      <c r="B4072" s="74" t="s">
        <v>5055</v>
      </c>
      <c r="C4072" s="74">
        <v>1000246175</v>
      </c>
      <c r="D4072" s="78" t="str">
        <f t="shared" si="134"/>
        <v>https://portal.dnb.de/opac.htm?method=simpleSearch&amp;cqlMode=true&amp;query=idn%3D1000246175</v>
      </c>
      <c r="E4072" s="74" t="s">
        <v>5051</v>
      </c>
      <c r="F4072" s="74"/>
      <c r="G4072" s="76"/>
      <c r="H4072" s="77"/>
      <c r="I4072" s="76"/>
      <c r="J4072" s="77"/>
      <c r="K4072" s="77"/>
      <c r="L4072" s="76"/>
      <c r="M4072" s="76"/>
      <c r="N4072" s="76"/>
      <c r="O4072" s="76"/>
      <c r="P4072" s="76"/>
      <c r="Q4072" s="76"/>
      <c r="R4072" s="76"/>
      <c r="S4072" s="76"/>
      <c r="BD4072" s="99">
        <f t="shared" si="133"/>
        <v>0</v>
      </c>
      <c r="CC4072" s="99"/>
      <c r="CV4072" s="99"/>
      <c r="CW4072" s="63"/>
    </row>
    <row r="4073" spans="1:101" x14ac:dyDescent="0.15">
      <c r="A4073" s="76">
        <v>3813</v>
      </c>
      <c r="B4073" s="74" t="s">
        <v>5056</v>
      </c>
      <c r="C4073" s="74">
        <v>1000246205</v>
      </c>
      <c r="D4073" s="78" t="str">
        <f t="shared" si="134"/>
        <v>https://portal.dnb.de/opac.htm?method=simpleSearch&amp;cqlMode=true&amp;query=idn%3D1000246205</v>
      </c>
      <c r="E4073" s="74" t="s">
        <v>5051</v>
      </c>
      <c r="F4073" s="74"/>
      <c r="G4073" s="76"/>
      <c r="H4073" s="77"/>
      <c r="I4073" s="76"/>
      <c r="J4073" s="77"/>
      <c r="K4073" s="77"/>
      <c r="L4073" s="76"/>
      <c r="M4073" s="76"/>
      <c r="N4073" s="76"/>
      <c r="O4073" s="76"/>
      <c r="P4073" s="76"/>
      <c r="Q4073" s="76"/>
      <c r="R4073" s="76"/>
      <c r="S4073" s="76"/>
      <c r="BD4073" s="99">
        <f t="shared" si="133"/>
        <v>0</v>
      </c>
      <c r="CC4073" s="99"/>
      <c r="CV4073" s="99"/>
      <c r="CW4073" s="63"/>
    </row>
    <row r="4074" spans="1:101" x14ac:dyDescent="0.15">
      <c r="A4074" s="76">
        <v>3814</v>
      </c>
      <c r="B4074" s="74" t="s">
        <v>5057</v>
      </c>
      <c r="C4074" s="74">
        <v>997401249</v>
      </c>
      <c r="D4074" s="78" t="str">
        <f t="shared" si="134"/>
        <v>https://portal.dnb.de/opac.htm?method=simpleSearch&amp;cqlMode=true&amp;query=idn%3D997401249</v>
      </c>
      <c r="E4074" s="74" t="s">
        <v>5058</v>
      </c>
      <c r="F4074" s="74"/>
      <c r="G4074" s="76"/>
      <c r="H4074" s="77"/>
      <c r="I4074" s="76"/>
      <c r="J4074" s="77"/>
      <c r="K4074" s="77"/>
      <c r="L4074" s="76"/>
      <c r="M4074" s="76"/>
      <c r="N4074" s="76"/>
      <c r="O4074" s="76"/>
      <c r="P4074" s="76"/>
      <c r="Q4074" s="76"/>
      <c r="R4074" s="76"/>
      <c r="S4074" s="76"/>
      <c r="BD4074" s="99">
        <f t="shared" si="133"/>
        <v>0</v>
      </c>
      <c r="CC4074" s="99"/>
      <c r="CV4074" s="99"/>
      <c r="CW4074" s="63"/>
    </row>
    <row r="4075" spans="1:101" x14ac:dyDescent="0.15">
      <c r="A4075" s="76">
        <v>3815</v>
      </c>
      <c r="B4075" s="74" t="s">
        <v>5059</v>
      </c>
      <c r="C4075" s="74">
        <v>997401435</v>
      </c>
      <c r="D4075" s="78" t="str">
        <f t="shared" si="134"/>
        <v>https://portal.dnb.de/opac.htm?method=simpleSearch&amp;cqlMode=true&amp;query=idn%3D997401435</v>
      </c>
      <c r="E4075" s="74" t="s">
        <v>5060</v>
      </c>
      <c r="F4075" s="74"/>
      <c r="G4075" s="76"/>
      <c r="H4075" s="77"/>
      <c r="I4075" s="76"/>
      <c r="J4075" s="77"/>
      <c r="K4075" s="77"/>
      <c r="L4075" s="76"/>
      <c r="M4075" s="76"/>
      <c r="N4075" s="76"/>
      <c r="O4075" s="76"/>
      <c r="P4075" s="76"/>
      <c r="Q4075" s="76"/>
      <c r="R4075" s="76"/>
      <c r="S4075" s="76"/>
      <c r="BD4075" s="99">
        <f t="shared" si="133"/>
        <v>0</v>
      </c>
      <c r="CC4075" s="99"/>
      <c r="CV4075" s="99"/>
      <c r="CW4075" s="63"/>
    </row>
    <row r="4076" spans="1:101" ht="22.5" x14ac:dyDescent="0.15">
      <c r="A4076" s="76">
        <v>3816</v>
      </c>
      <c r="B4076" s="74" t="s">
        <v>5061</v>
      </c>
      <c r="C4076" s="74">
        <v>994433743</v>
      </c>
      <c r="D4076" s="78" t="str">
        <f t="shared" si="134"/>
        <v>https://portal.dnb.de/opac.htm?method=simpleSearch&amp;cqlMode=true&amp;query=idn%3D994433743</v>
      </c>
      <c r="E4076" s="74" t="s">
        <v>5062</v>
      </c>
      <c r="F4076" s="74"/>
      <c r="G4076" s="76"/>
      <c r="H4076" s="77"/>
      <c r="I4076" s="76" t="s">
        <v>56</v>
      </c>
      <c r="J4076" s="77"/>
      <c r="K4076" s="77"/>
      <c r="L4076" s="76"/>
      <c r="M4076" s="76"/>
      <c r="N4076" s="76"/>
      <c r="O4076" s="76"/>
      <c r="P4076" s="76"/>
      <c r="Q4076" s="76"/>
      <c r="R4076" s="76"/>
      <c r="S4076" s="76"/>
      <c r="U4076" s="95" t="s">
        <v>9787</v>
      </c>
      <c r="Y4076" s="95" t="s">
        <v>9729</v>
      </c>
      <c r="AB4076" s="95" t="s">
        <v>8541</v>
      </c>
      <c r="AC4076" s="95" t="s">
        <v>9730</v>
      </c>
      <c r="AI4076" s="95" t="s">
        <v>9725</v>
      </c>
      <c r="AN4076" s="95" t="s">
        <v>8541</v>
      </c>
      <c r="AW4076" s="95">
        <v>110</v>
      </c>
      <c r="AY4076" s="96" t="s">
        <v>9822</v>
      </c>
      <c r="AZ4076" s="96"/>
      <c r="BA4076" s="95" t="s">
        <v>8541</v>
      </c>
      <c r="BC4076" s="96" t="s">
        <v>9734</v>
      </c>
      <c r="BD4076" s="99">
        <f t="shared" si="133"/>
        <v>0</v>
      </c>
      <c r="CC4076" s="99"/>
      <c r="CV4076" s="99"/>
      <c r="CW4076" s="63"/>
    </row>
    <row r="4077" spans="1:101" x14ac:dyDescent="0.15">
      <c r="A4077" s="76">
        <v>3817</v>
      </c>
      <c r="B4077" s="74" t="s">
        <v>5063</v>
      </c>
      <c r="C4077" s="74">
        <v>999394800</v>
      </c>
      <c r="D4077" s="78" t="str">
        <f t="shared" si="134"/>
        <v>https://portal.dnb.de/opac.htm?method=simpleSearch&amp;cqlMode=true&amp;query=idn%3D999394800</v>
      </c>
      <c r="E4077" s="74" t="s">
        <v>5064</v>
      </c>
      <c r="F4077" s="74"/>
      <c r="G4077" s="76"/>
      <c r="H4077" s="77"/>
      <c r="I4077" s="76"/>
      <c r="J4077" s="77"/>
      <c r="K4077" s="77"/>
      <c r="L4077" s="76"/>
      <c r="M4077" s="76"/>
      <c r="N4077" s="76"/>
      <c r="O4077" s="76"/>
      <c r="P4077" s="76"/>
      <c r="Q4077" s="76"/>
      <c r="R4077" s="76"/>
      <c r="S4077" s="76"/>
      <c r="BD4077" s="99">
        <f t="shared" si="133"/>
        <v>0</v>
      </c>
      <c r="CC4077" s="99"/>
      <c r="CV4077" s="99"/>
      <c r="CW4077" s="63"/>
    </row>
    <row r="4078" spans="1:101" x14ac:dyDescent="0.15">
      <c r="A4078" s="76">
        <v>3818</v>
      </c>
      <c r="B4078" s="74" t="s">
        <v>5100</v>
      </c>
      <c r="C4078" s="74">
        <v>1132626919</v>
      </c>
      <c r="D4078" s="78" t="str">
        <f t="shared" si="134"/>
        <v>https://portal.dnb.de/opac.htm?method=simpleSearch&amp;cqlMode=true&amp;query=idn%3D1132626919</v>
      </c>
      <c r="E4078" s="74" t="s">
        <v>5101</v>
      </c>
      <c r="F4078" s="74"/>
      <c r="G4078" s="76"/>
      <c r="H4078" s="77"/>
      <c r="I4078" s="76"/>
      <c r="J4078" s="77"/>
      <c r="K4078" s="77"/>
      <c r="L4078" s="76"/>
      <c r="M4078" s="76"/>
      <c r="N4078" s="76"/>
      <c r="O4078" s="76"/>
      <c r="P4078" s="76"/>
      <c r="Q4078" s="76"/>
      <c r="R4078" s="76"/>
      <c r="S4078" s="76"/>
      <c r="BD4078" s="99">
        <f t="shared" si="133"/>
        <v>0</v>
      </c>
      <c r="CC4078" s="99"/>
      <c r="CV4078" s="99"/>
      <c r="CW4078" s="63"/>
    </row>
    <row r="4079" spans="1:101" x14ac:dyDescent="0.15">
      <c r="A4079" s="76">
        <v>3819</v>
      </c>
      <c r="B4079" s="74" t="s">
        <v>5102</v>
      </c>
      <c r="C4079" s="74">
        <v>1132626927</v>
      </c>
      <c r="D4079" s="78" t="str">
        <f t="shared" si="134"/>
        <v>https://portal.dnb.de/opac.htm?method=simpleSearch&amp;cqlMode=true&amp;query=idn%3D1132626927</v>
      </c>
      <c r="E4079" s="74" t="s">
        <v>5103</v>
      </c>
      <c r="F4079" s="74"/>
      <c r="G4079" s="76"/>
      <c r="H4079" s="77"/>
      <c r="I4079" s="76"/>
      <c r="J4079" s="77"/>
      <c r="K4079" s="77"/>
      <c r="L4079" s="76"/>
      <c r="M4079" s="76"/>
      <c r="N4079" s="76"/>
      <c r="O4079" s="76"/>
      <c r="P4079" s="76"/>
      <c r="Q4079" s="76"/>
      <c r="R4079" s="76"/>
      <c r="S4079" s="76"/>
      <c r="BD4079" s="99">
        <f t="shared" si="133"/>
        <v>0</v>
      </c>
      <c r="CC4079" s="99"/>
      <c r="CV4079" s="99"/>
      <c r="CW4079" s="63"/>
    </row>
    <row r="4080" spans="1:101" x14ac:dyDescent="0.15">
      <c r="A4080" s="76">
        <v>3820</v>
      </c>
      <c r="B4080" s="74" t="s">
        <v>5104</v>
      </c>
      <c r="C4080" s="74">
        <v>1132626935</v>
      </c>
      <c r="D4080" s="78" t="str">
        <f t="shared" si="134"/>
        <v>https://portal.dnb.de/opac.htm?method=simpleSearch&amp;cqlMode=true&amp;query=idn%3D1132626935</v>
      </c>
      <c r="E4080" s="74" t="s">
        <v>5105</v>
      </c>
      <c r="F4080" s="74"/>
      <c r="G4080" s="76"/>
      <c r="H4080" s="77"/>
      <c r="I4080" s="76"/>
      <c r="J4080" s="77"/>
      <c r="K4080" s="77"/>
      <c r="L4080" s="76"/>
      <c r="M4080" s="76"/>
      <c r="N4080" s="76"/>
      <c r="O4080" s="76"/>
      <c r="P4080" s="76"/>
      <c r="Q4080" s="76"/>
      <c r="R4080" s="76"/>
      <c r="S4080" s="76"/>
      <c r="BD4080" s="99">
        <f t="shared" si="133"/>
        <v>0</v>
      </c>
      <c r="CC4080" s="99"/>
      <c r="CV4080" s="99"/>
      <c r="CW4080" s="63"/>
    </row>
    <row r="4081" spans="1:101" x14ac:dyDescent="0.15">
      <c r="A4081" s="76">
        <v>3821</v>
      </c>
      <c r="B4081" s="74" t="s">
        <v>5106</v>
      </c>
      <c r="C4081" s="74">
        <v>1208247964</v>
      </c>
      <c r="D4081" s="78" t="str">
        <f t="shared" si="134"/>
        <v>https://portal.dnb.de/opac.htm?method=simpleSearch&amp;cqlMode=true&amp;query=idn%3D1208247964</v>
      </c>
      <c r="E4081" s="74" t="s">
        <v>5107</v>
      </c>
      <c r="F4081" s="74"/>
      <c r="G4081" s="76"/>
      <c r="H4081" s="77"/>
      <c r="I4081" s="76"/>
      <c r="J4081" s="77"/>
      <c r="K4081" s="77"/>
      <c r="L4081" s="76"/>
      <c r="M4081" s="76"/>
      <c r="N4081" s="76"/>
      <c r="O4081" s="76"/>
      <c r="P4081" s="76"/>
      <c r="Q4081" s="76"/>
      <c r="R4081" s="76"/>
      <c r="S4081" s="76"/>
      <c r="BD4081" s="99">
        <f t="shared" si="133"/>
        <v>0</v>
      </c>
      <c r="CC4081" s="99"/>
      <c r="CV4081" s="99"/>
      <c r="CW4081" s="63"/>
    </row>
    <row r="4082" spans="1:101" x14ac:dyDescent="0.15">
      <c r="A4082" s="76">
        <v>3822</v>
      </c>
      <c r="B4082" s="74" t="s">
        <v>5114</v>
      </c>
      <c r="C4082" s="74">
        <v>998852791</v>
      </c>
      <c r="D4082" s="78" t="str">
        <f t="shared" si="134"/>
        <v>https://portal.dnb.de/opac.htm?method=simpleSearch&amp;cqlMode=true&amp;query=idn%3D998852791</v>
      </c>
      <c r="E4082" s="74" t="s">
        <v>5115</v>
      </c>
      <c r="F4082" s="74"/>
      <c r="G4082" s="76"/>
      <c r="H4082" s="77"/>
      <c r="I4082" s="76"/>
      <c r="J4082" s="77"/>
      <c r="K4082" s="77"/>
      <c r="L4082" s="76"/>
      <c r="M4082" s="76"/>
      <c r="N4082" s="76"/>
      <c r="O4082" s="76"/>
      <c r="P4082" s="76"/>
      <c r="Q4082" s="76"/>
      <c r="R4082" s="76"/>
      <c r="S4082" s="76"/>
      <c r="BD4082" s="99">
        <f t="shared" si="133"/>
        <v>0</v>
      </c>
      <c r="CC4082" s="99"/>
      <c r="CV4082" s="99"/>
      <c r="CW4082" s="63"/>
    </row>
    <row r="4083" spans="1:101" ht="67.5" x14ac:dyDescent="0.15">
      <c r="A4083" s="76">
        <v>3823</v>
      </c>
      <c r="B4083" s="74" t="s">
        <v>5161</v>
      </c>
      <c r="C4083" s="74">
        <v>1000126145</v>
      </c>
      <c r="D4083" s="78" t="str">
        <f t="shared" si="134"/>
        <v>https://portal.dnb.de/opac.htm?method=simpleSearch&amp;cqlMode=true&amp;query=idn%3D1000126145</v>
      </c>
      <c r="E4083" s="74" t="s">
        <v>10228</v>
      </c>
      <c r="F4083" s="74"/>
      <c r="G4083" s="76"/>
      <c r="H4083" s="77"/>
      <c r="I4083" s="76" t="s">
        <v>53</v>
      </c>
      <c r="J4083" s="77"/>
      <c r="K4083" s="77"/>
      <c r="L4083" s="76"/>
      <c r="M4083" s="76"/>
      <c r="N4083" s="76"/>
      <c r="O4083" s="76"/>
      <c r="P4083" s="76"/>
      <c r="Q4083" s="76"/>
      <c r="R4083" s="76"/>
      <c r="S4083" s="76"/>
      <c r="Y4083" s="95" t="s">
        <v>9723</v>
      </c>
      <c r="AC4083" s="95" t="s">
        <v>9724</v>
      </c>
      <c r="AI4083" s="95" t="s">
        <v>9725</v>
      </c>
      <c r="AW4083" s="95">
        <v>60</v>
      </c>
      <c r="BC4083" s="96" t="s">
        <v>9734</v>
      </c>
      <c r="BD4083" s="99">
        <f t="shared" si="133"/>
        <v>0</v>
      </c>
      <c r="BG4083" s="95" t="s">
        <v>8541</v>
      </c>
      <c r="BL4083" s="70" t="s">
        <v>10237</v>
      </c>
      <c r="CC4083" s="99"/>
      <c r="CV4083" s="99"/>
      <c r="CW4083" s="63"/>
    </row>
    <row r="4084" spans="1:101" x14ac:dyDescent="0.15">
      <c r="A4084" s="76">
        <v>3824</v>
      </c>
      <c r="B4084" s="74" t="s">
        <v>5162</v>
      </c>
      <c r="C4084" s="74">
        <v>1000128180</v>
      </c>
      <c r="D4084" s="78" t="str">
        <f t="shared" si="134"/>
        <v>https://portal.dnb.de/opac.htm?method=simpleSearch&amp;cqlMode=true&amp;query=idn%3D1000128180</v>
      </c>
      <c r="E4084" s="74" t="s">
        <v>10229</v>
      </c>
      <c r="F4084" s="74"/>
      <c r="G4084" s="76"/>
      <c r="H4084" s="77"/>
      <c r="I4084" s="76" t="s">
        <v>53</v>
      </c>
      <c r="J4084" s="77"/>
      <c r="K4084" s="77"/>
      <c r="L4084" s="76"/>
      <c r="M4084" s="76"/>
      <c r="N4084" s="76"/>
      <c r="O4084" s="76"/>
      <c r="P4084" s="76"/>
      <c r="Q4084" s="76"/>
      <c r="R4084" s="76"/>
      <c r="S4084" s="76"/>
      <c r="Y4084" s="95" t="s">
        <v>9723</v>
      </c>
      <c r="AC4084" s="95" t="s">
        <v>9724</v>
      </c>
      <c r="AI4084" s="95" t="s">
        <v>9725</v>
      </c>
      <c r="AW4084" s="95">
        <v>60</v>
      </c>
      <c r="BC4084" s="96" t="s">
        <v>9734</v>
      </c>
      <c r="BD4084" s="99">
        <f t="shared" si="133"/>
        <v>0</v>
      </c>
      <c r="BL4084" s="70" t="s">
        <v>10015</v>
      </c>
      <c r="CC4084" s="99"/>
      <c r="CV4084" s="99"/>
      <c r="CW4084" s="63"/>
    </row>
    <row r="4085" spans="1:101" x14ac:dyDescent="0.15">
      <c r="A4085" s="76">
        <v>3825</v>
      </c>
      <c r="B4085" s="74" t="s">
        <v>5163</v>
      </c>
      <c r="C4085" s="74">
        <v>1000131890</v>
      </c>
      <c r="D4085" s="78" t="str">
        <f t="shared" si="134"/>
        <v>https://portal.dnb.de/opac.htm?method=simpleSearch&amp;cqlMode=true&amp;query=idn%3D1000131890</v>
      </c>
      <c r="E4085" s="74" t="s">
        <v>10230</v>
      </c>
      <c r="F4085" s="74"/>
      <c r="G4085" s="76"/>
      <c r="H4085" s="77"/>
      <c r="I4085" s="76" t="s">
        <v>53</v>
      </c>
      <c r="J4085" s="77"/>
      <c r="K4085" s="77"/>
      <c r="L4085" s="76"/>
      <c r="M4085" s="76"/>
      <c r="N4085" s="76"/>
      <c r="O4085" s="76"/>
      <c r="P4085" s="76"/>
      <c r="Q4085" s="76"/>
      <c r="R4085" s="76"/>
      <c r="S4085" s="76"/>
      <c r="Y4085" s="95" t="s">
        <v>9723</v>
      </c>
      <c r="AC4085" s="95" t="s">
        <v>9724</v>
      </c>
      <c r="AI4085" s="95" t="s">
        <v>9725</v>
      </c>
      <c r="AW4085" s="95">
        <v>60</v>
      </c>
      <c r="BC4085" s="96" t="s">
        <v>9734</v>
      </c>
      <c r="BD4085" s="99">
        <f t="shared" si="133"/>
        <v>0</v>
      </c>
      <c r="BL4085" s="70" t="s">
        <v>10015</v>
      </c>
      <c r="CC4085" s="99"/>
      <c r="CV4085" s="99"/>
      <c r="CW4085" s="63"/>
    </row>
    <row r="4086" spans="1:101" x14ac:dyDescent="0.15">
      <c r="A4086" s="76">
        <v>3826</v>
      </c>
      <c r="B4086" s="74" t="s">
        <v>5164</v>
      </c>
      <c r="C4086" s="74">
        <v>1000128229</v>
      </c>
      <c r="D4086" s="78" t="str">
        <f t="shared" si="134"/>
        <v>https://portal.dnb.de/opac.htm?method=simpleSearch&amp;cqlMode=true&amp;query=idn%3D1000128229</v>
      </c>
      <c r="E4086" s="74" t="s">
        <v>10231</v>
      </c>
      <c r="F4086" s="74"/>
      <c r="G4086" s="76"/>
      <c r="H4086" s="77"/>
      <c r="I4086" s="76" t="s">
        <v>53</v>
      </c>
      <c r="J4086" s="77"/>
      <c r="K4086" s="77"/>
      <c r="L4086" s="76"/>
      <c r="M4086" s="76"/>
      <c r="N4086" s="76"/>
      <c r="O4086" s="76"/>
      <c r="P4086" s="76"/>
      <c r="Q4086" s="76"/>
      <c r="R4086" s="76"/>
      <c r="S4086" s="76"/>
      <c r="Y4086" s="95" t="s">
        <v>9723</v>
      </c>
      <c r="AC4086" s="95" t="s">
        <v>9724</v>
      </c>
      <c r="AI4086" s="95" t="s">
        <v>9725</v>
      </c>
      <c r="AW4086" s="95">
        <v>60</v>
      </c>
      <c r="BC4086" s="96" t="s">
        <v>9734</v>
      </c>
      <c r="BD4086" s="99">
        <f t="shared" si="133"/>
        <v>0</v>
      </c>
      <c r="BL4086" s="70" t="s">
        <v>10015</v>
      </c>
      <c r="CC4086" s="99"/>
      <c r="CV4086" s="99"/>
      <c r="CW4086" s="63"/>
    </row>
    <row r="4087" spans="1:101" x14ac:dyDescent="0.15">
      <c r="A4087" s="76">
        <v>3827</v>
      </c>
      <c r="B4087" s="74" t="s">
        <v>5165</v>
      </c>
      <c r="C4087" s="74">
        <v>1000126226</v>
      </c>
      <c r="D4087" s="78" t="str">
        <f t="shared" si="134"/>
        <v>https://portal.dnb.de/opac.htm?method=simpleSearch&amp;cqlMode=true&amp;query=idn%3D1000126226</v>
      </c>
      <c r="E4087" s="74" t="s">
        <v>10232</v>
      </c>
      <c r="F4087" s="74"/>
      <c r="G4087" s="76"/>
      <c r="H4087" s="77"/>
      <c r="I4087" s="76" t="s">
        <v>53</v>
      </c>
      <c r="J4087" s="77"/>
      <c r="K4087" s="77"/>
      <c r="L4087" s="76"/>
      <c r="M4087" s="76"/>
      <c r="N4087" s="76"/>
      <c r="O4087" s="76"/>
      <c r="P4087" s="76"/>
      <c r="Q4087" s="76"/>
      <c r="R4087" s="76"/>
      <c r="S4087" s="76"/>
      <c r="Y4087" s="95" t="s">
        <v>9723</v>
      </c>
      <c r="AC4087" s="95" t="s">
        <v>9724</v>
      </c>
      <c r="AI4087" s="95" t="s">
        <v>9725</v>
      </c>
      <c r="AW4087" s="95">
        <v>60</v>
      </c>
      <c r="BC4087" s="96" t="s">
        <v>9734</v>
      </c>
      <c r="BD4087" s="99">
        <f t="shared" si="133"/>
        <v>0</v>
      </c>
      <c r="BL4087" s="70" t="s">
        <v>10015</v>
      </c>
      <c r="CC4087" s="99"/>
      <c r="CV4087" s="99"/>
      <c r="CW4087" s="63"/>
    </row>
    <row r="4088" spans="1:101" x14ac:dyDescent="0.15">
      <c r="A4088" s="76">
        <v>3828</v>
      </c>
      <c r="B4088" s="74" t="s">
        <v>5166</v>
      </c>
      <c r="C4088" s="74">
        <v>1000131637</v>
      </c>
      <c r="D4088" s="78" t="str">
        <f t="shared" si="134"/>
        <v>https://portal.dnb.de/opac.htm?method=simpleSearch&amp;cqlMode=true&amp;query=idn%3D1000131637</v>
      </c>
      <c r="E4088" s="74" t="s">
        <v>10233</v>
      </c>
      <c r="F4088" s="74"/>
      <c r="G4088" s="76"/>
      <c r="H4088" s="77"/>
      <c r="I4088" s="76" t="s">
        <v>53</v>
      </c>
      <c r="J4088" s="77"/>
      <c r="K4088" s="77"/>
      <c r="L4088" s="76"/>
      <c r="M4088" s="76"/>
      <c r="N4088" s="76"/>
      <c r="O4088" s="76"/>
      <c r="P4088" s="76"/>
      <c r="Q4088" s="76"/>
      <c r="R4088" s="76"/>
      <c r="S4088" s="76"/>
      <c r="Y4088" s="95" t="s">
        <v>9723</v>
      </c>
      <c r="AC4088" s="95" t="s">
        <v>9724</v>
      </c>
      <c r="AI4088" s="95" t="s">
        <v>9725</v>
      </c>
      <c r="AW4088" s="95">
        <v>60</v>
      </c>
      <c r="BC4088" s="96" t="s">
        <v>9734</v>
      </c>
      <c r="BD4088" s="99">
        <f t="shared" si="133"/>
        <v>0</v>
      </c>
      <c r="BL4088" s="70" t="s">
        <v>10015</v>
      </c>
      <c r="CC4088" s="99"/>
      <c r="CV4088" s="99"/>
      <c r="CW4088" s="63"/>
    </row>
    <row r="4089" spans="1:101" x14ac:dyDescent="0.15">
      <c r="A4089" s="76">
        <v>3829</v>
      </c>
      <c r="B4089" s="74" t="s">
        <v>5167</v>
      </c>
      <c r="C4089" s="74" t="s">
        <v>5168</v>
      </c>
      <c r="D4089" s="78" t="str">
        <f t="shared" si="134"/>
        <v>https://portal.dnb.de/opac.htm?method=simpleSearch&amp;cqlMode=true&amp;query=idn%3D100012651X</v>
      </c>
      <c r="E4089" s="74" t="s">
        <v>10234</v>
      </c>
      <c r="F4089" s="74"/>
      <c r="G4089" s="76"/>
      <c r="H4089" s="77"/>
      <c r="I4089" s="76" t="s">
        <v>53</v>
      </c>
      <c r="J4089" s="77"/>
      <c r="K4089" s="77"/>
      <c r="L4089" s="76"/>
      <c r="M4089" s="76"/>
      <c r="N4089" s="76"/>
      <c r="O4089" s="76"/>
      <c r="P4089" s="76"/>
      <c r="Q4089" s="76"/>
      <c r="R4089" s="76"/>
      <c r="S4089" s="76"/>
      <c r="Y4089" s="95" t="s">
        <v>9723</v>
      </c>
      <c r="AC4089" s="95" t="s">
        <v>9724</v>
      </c>
      <c r="AI4089" s="95" t="s">
        <v>9725</v>
      </c>
      <c r="AW4089" s="95">
        <v>60</v>
      </c>
      <c r="BC4089" s="96" t="s">
        <v>9734</v>
      </c>
      <c r="BD4089" s="99">
        <f t="shared" si="133"/>
        <v>0</v>
      </c>
      <c r="BL4089" s="70" t="s">
        <v>10015</v>
      </c>
      <c r="CC4089" s="99"/>
      <c r="CV4089" s="99"/>
      <c r="CW4089" s="63"/>
    </row>
    <row r="4090" spans="1:101" x14ac:dyDescent="0.15">
      <c r="A4090" s="76">
        <v>3830</v>
      </c>
      <c r="B4090" s="74" t="s">
        <v>5169</v>
      </c>
      <c r="C4090" s="74">
        <v>1000132013</v>
      </c>
      <c r="D4090" s="78" t="str">
        <f t="shared" si="134"/>
        <v>https://portal.dnb.de/opac.htm?method=simpleSearch&amp;cqlMode=true&amp;query=idn%3D1000132013</v>
      </c>
      <c r="E4090" s="74" t="s">
        <v>10235</v>
      </c>
      <c r="F4090" s="74"/>
      <c r="G4090" s="76"/>
      <c r="H4090" s="77"/>
      <c r="I4090" s="76" t="s">
        <v>53</v>
      </c>
      <c r="J4090" s="77"/>
      <c r="K4090" s="77"/>
      <c r="L4090" s="76"/>
      <c r="M4090" s="76"/>
      <c r="N4090" s="76"/>
      <c r="O4090" s="76"/>
      <c r="P4090" s="76"/>
      <c r="Q4090" s="76"/>
      <c r="R4090" s="76"/>
      <c r="S4090" s="76"/>
      <c r="Y4090" s="95" t="s">
        <v>9723</v>
      </c>
      <c r="AC4090" s="95" t="s">
        <v>9724</v>
      </c>
      <c r="AI4090" s="95" t="s">
        <v>9725</v>
      </c>
      <c r="AW4090" s="95">
        <v>60</v>
      </c>
      <c r="BC4090" s="96" t="s">
        <v>9726</v>
      </c>
      <c r="BD4090" s="99">
        <f t="shared" si="133"/>
        <v>2</v>
      </c>
      <c r="BL4090" s="70" t="s">
        <v>10015</v>
      </c>
      <c r="BP4090" s="69" t="s">
        <v>8541</v>
      </c>
      <c r="BQ4090" s="95" t="s">
        <v>8541</v>
      </c>
      <c r="BR4090" s="95" t="s">
        <v>8541</v>
      </c>
      <c r="BT4090" s="95" t="s">
        <v>9737</v>
      </c>
      <c r="CB4090" s="95" t="s">
        <v>9818</v>
      </c>
      <c r="CC4090" s="99">
        <v>2</v>
      </c>
      <c r="CD4090" s="90" t="s">
        <v>10236</v>
      </c>
      <c r="CV4090" s="99"/>
      <c r="CW4090" s="63"/>
    </row>
    <row r="4091" spans="1:101" x14ac:dyDescent="0.15">
      <c r="A4091" s="76">
        <v>3831</v>
      </c>
      <c r="B4091" s="74" t="s">
        <v>5170</v>
      </c>
      <c r="C4091" s="74">
        <v>978991567</v>
      </c>
      <c r="D4091" s="78" t="str">
        <f t="shared" si="134"/>
        <v>https://portal.dnb.de/opac.htm?method=simpleSearch&amp;cqlMode=true&amp;query=idn%3D978991567</v>
      </c>
      <c r="E4091" s="74" t="s">
        <v>5171</v>
      </c>
      <c r="F4091" s="74"/>
      <c r="G4091" s="76"/>
      <c r="H4091" s="77"/>
      <c r="I4091" s="76"/>
      <c r="J4091" s="77"/>
      <c r="K4091" s="77"/>
      <c r="L4091" s="76"/>
      <c r="M4091" s="76"/>
      <c r="N4091" s="76"/>
      <c r="O4091" s="76"/>
      <c r="P4091" s="76"/>
      <c r="Q4091" s="76"/>
      <c r="R4091" s="76"/>
      <c r="S4091" s="76"/>
      <c r="BD4091" s="99">
        <f t="shared" si="133"/>
        <v>0</v>
      </c>
      <c r="CC4091" s="99"/>
      <c r="CV4091" s="99"/>
      <c r="CW4091" s="63"/>
    </row>
    <row r="4092" spans="1:101" x14ac:dyDescent="0.15">
      <c r="A4092" s="76">
        <v>3832</v>
      </c>
      <c r="B4092" s="74" t="s">
        <v>5181</v>
      </c>
      <c r="C4092" s="74">
        <v>997400978</v>
      </c>
      <c r="D4092" s="78" t="str">
        <f t="shared" si="134"/>
        <v>https://portal.dnb.de/opac.htm?method=simpleSearch&amp;cqlMode=true&amp;query=idn%3D997400978</v>
      </c>
      <c r="E4092" s="74" t="s">
        <v>5182</v>
      </c>
      <c r="F4092" s="74"/>
      <c r="G4092" s="76"/>
      <c r="H4092" s="77"/>
      <c r="I4092" s="76"/>
      <c r="J4092" s="77"/>
      <c r="K4092" s="77"/>
      <c r="L4092" s="76"/>
      <c r="M4092" s="76"/>
      <c r="N4092" s="76"/>
      <c r="O4092" s="76"/>
      <c r="P4092" s="76"/>
      <c r="Q4092" s="76"/>
      <c r="R4092" s="76"/>
      <c r="S4092" s="76"/>
      <c r="BD4092" s="99">
        <f t="shared" si="133"/>
        <v>0</v>
      </c>
      <c r="CC4092" s="99"/>
      <c r="CV4092" s="99"/>
      <c r="CW4092" s="63"/>
    </row>
    <row r="4093" spans="1:101" x14ac:dyDescent="0.15">
      <c r="A4093" s="76">
        <v>3833</v>
      </c>
      <c r="B4093" s="74" t="s">
        <v>5183</v>
      </c>
      <c r="C4093" s="74">
        <v>1001911490</v>
      </c>
      <c r="D4093" s="78" t="str">
        <f t="shared" si="134"/>
        <v>https://portal.dnb.de/opac.htm?method=simpleSearch&amp;cqlMode=true&amp;query=idn%3D1001911490</v>
      </c>
      <c r="E4093" s="74" t="s">
        <v>5184</v>
      </c>
      <c r="F4093" s="74"/>
      <c r="G4093" s="76"/>
      <c r="H4093" s="77"/>
      <c r="I4093" s="76"/>
      <c r="J4093" s="77"/>
      <c r="K4093" s="77"/>
      <c r="L4093" s="76"/>
      <c r="M4093" s="76"/>
      <c r="N4093" s="76"/>
      <c r="O4093" s="76"/>
      <c r="P4093" s="76"/>
      <c r="Q4093" s="76"/>
      <c r="R4093" s="76"/>
      <c r="S4093" s="76"/>
      <c r="BD4093" s="99">
        <f t="shared" si="133"/>
        <v>0</v>
      </c>
      <c r="CC4093" s="99"/>
      <c r="CV4093" s="99"/>
      <c r="CW4093" s="63"/>
    </row>
    <row r="4094" spans="1:101" x14ac:dyDescent="0.15">
      <c r="A4094" s="76">
        <v>3834</v>
      </c>
      <c r="B4094" s="74" t="s">
        <v>5194</v>
      </c>
      <c r="C4094" s="74">
        <v>1000069516</v>
      </c>
      <c r="D4094" s="78" t="str">
        <f t="shared" si="134"/>
        <v>https://portal.dnb.de/opac.htm?method=simpleSearch&amp;cqlMode=true&amp;query=idn%3D1000069516</v>
      </c>
      <c r="E4094" s="74" t="s">
        <v>5195</v>
      </c>
      <c r="F4094" s="74"/>
      <c r="G4094" s="76"/>
      <c r="H4094" s="77"/>
      <c r="I4094" s="76"/>
      <c r="J4094" s="77"/>
      <c r="K4094" s="77"/>
      <c r="L4094" s="76"/>
      <c r="M4094" s="76"/>
      <c r="N4094" s="76"/>
      <c r="O4094" s="76"/>
      <c r="P4094" s="76"/>
      <c r="Q4094" s="76"/>
      <c r="R4094" s="76"/>
      <c r="S4094" s="76"/>
      <c r="BD4094" s="99">
        <f t="shared" si="133"/>
        <v>0</v>
      </c>
      <c r="CC4094" s="99"/>
      <c r="CV4094" s="99"/>
      <c r="CW4094" s="63"/>
    </row>
    <row r="4095" spans="1:101" x14ac:dyDescent="0.15">
      <c r="A4095" s="76">
        <v>3835</v>
      </c>
      <c r="B4095" s="74" t="s">
        <v>5196</v>
      </c>
      <c r="C4095" s="74">
        <v>1000069567</v>
      </c>
      <c r="D4095" s="78" t="str">
        <f t="shared" si="134"/>
        <v>https://portal.dnb.de/opac.htm?method=simpleSearch&amp;cqlMode=true&amp;query=idn%3D1000069567</v>
      </c>
      <c r="E4095" s="74" t="s">
        <v>5195</v>
      </c>
      <c r="F4095" s="74"/>
      <c r="G4095" s="76"/>
      <c r="H4095" s="77"/>
      <c r="I4095" s="76"/>
      <c r="J4095" s="77"/>
      <c r="K4095" s="77"/>
      <c r="L4095" s="76"/>
      <c r="M4095" s="76"/>
      <c r="N4095" s="76"/>
      <c r="O4095" s="76"/>
      <c r="P4095" s="76"/>
      <c r="Q4095" s="76"/>
      <c r="R4095" s="76"/>
      <c r="S4095" s="76"/>
      <c r="BD4095" s="99">
        <f t="shared" si="133"/>
        <v>0</v>
      </c>
      <c r="CC4095" s="99"/>
      <c r="CV4095" s="99"/>
      <c r="CW4095" s="63"/>
    </row>
    <row r="4096" spans="1:101" x14ac:dyDescent="0.15">
      <c r="A4096" s="76">
        <v>3836</v>
      </c>
      <c r="B4096" s="74" t="s">
        <v>5197</v>
      </c>
      <c r="C4096" s="74" t="s">
        <v>5198</v>
      </c>
      <c r="D4096" s="78" t="str">
        <f t="shared" si="134"/>
        <v>https://portal.dnb.de/opac.htm?method=simpleSearch&amp;cqlMode=true&amp;query=idn%3D100199079X</v>
      </c>
      <c r="E4096" s="74" t="s">
        <v>5199</v>
      </c>
      <c r="F4096" s="74"/>
      <c r="G4096" s="76"/>
      <c r="H4096" s="77"/>
      <c r="I4096" s="76"/>
      <c r="J4096" s="77"/>
      <c r="K4096" s="77"/>
      <c r="L4096" s="76"/>
      <c r="M4096" s="76"/>
      <c r="N4096" s="76"/>
      <c r="O4096" s="76"/>
      <c r="P4096" s="76"/>
      <c r="Q4096" s="76"/>
      <c r="R4096" s="76"/>
      <c r="S4096" s="76"/>
      <c r="BD4096" s="99">
        <f t="shared" si="133"/>
        <v>0</v>
      </c>
      <c r="CC4096" s="99"/>
      <c r="CV4096" s="99"/>
      <c r="CW4096" s="63"/>
    </row>
    <row r="4097" spans="1:101" x14ac:dyDescent="0.15">
      <c r="A4097" s="76">
        <v>3837</v>
      </c>
      <c r="B4097" s="74" t="s">
        <v>5200</v>
      </c>
      <c r="C4097" s="74">
        <v>1001990862</v>
      </c>
      <c r="D4097" s="78" t="str">
        <f t="shared" si="134"/>
        <v>https://portal.dnb.de/opac.htm?method=simpleSearch&amp;cqlMode=true&amp;query=idn%3D1001990862</v>
      </c>
      <c r="E4097" s="74" t="s">
        <v>5199</v>
      </c>
      <c r="F4097" s="74"/>
      <c r="G4097" s="76"/>
      <c r="H4097" s="77"/>
      <c r="I4097" s="76"/>
      <c r="J4097" s="77"/>
      <c r="K4097" s="77"/>
      <c r="L4097" s="76"/>
      <c r="M4097" s="76"/>
      <c r="N4097" s="76"/>
      <c r="O4097" s="76"/>
      <c r="P4097" s="76"/>
      <c r="Q4097" s="76"/>
      <c r="R4097" s="76"/>
      <c r="S4097" s="76"/>
      <c r="BD4097" s="99">
        <f t="shared" si="133"/>
        <v>0</v>
      </c>
      <c r="CC4097" s="99"/>
      <c r="CV4097" s="99"/>
      <c r="CW4097" s="63"/>
    </row>
    <row r="4098" spans="1:101" x14ac:dyDescent="0.15">
      <c r="A4098" s="76">
        <v>3838</v>
      </c>
      <c r="B4098" s="74" t="s">
        <v>5201</v>
      </c>
      <c r="C4098" s="74">
        <v>1001990951</v>
      </c>
      <c r="D4098" s="78" t="str">
        <f t="shared" si="134"/>
        <v>https://portal.dnb.de/opac.htm?method=simpleSearch&amp;cqlMode=true&amp;query=idn%3D1001990951</v>
      </c>
      <c r="E4098" s="74" t="s">
        <v>5199</v>
      </c>
      <c r="F4098" s="74"/>
      <c r="G4098" s="76"/>
      <c r="H4098" s="77"/>
      <c r="I4098" s="76"/>
      <c r="J4098" s="77"/>
      <c r="K4098" s="77"/>
      <c r="L4098" s="76"/>
      <c r="M4098" s="76"/>
      <c r="N4098" s="76"/>
      <c r="O4098" s="76"/>
      <c r="P4098" s="76"/>
      <c r="Q4098" s="76"/>
      <c r="R4098" s="76"/>
      <c r="S4098" s="76"/>
      <c r="BD4098" s="99">
        <f t="shared" si="133"/>
        <v>0</v>
      </c>
      <c r="CC4098" s="99"/>
      <c r="CV4098" s="99"/>
      <c r="CW4098" s="63"/>
    </row>
    <row r="4099" spans="1:101" x14ac:dyDescent="0.15">
      <c r="A4099" s="76">
        <v>3839</v>
      </c>
      <c r="B4099" s="74" t="s">
        <v>5202</v>
      </c>
      <c r="C4099" s="74">
        <v>1001991044</v>
      </c>
      <c r="D4099" s="78" t="str">
        <f t="shared" si="134"/>
        <v>https://portal.dnb.de/opac.htm?method=simpleSearch&amp;cqlMode=true&amp;query=idn%3D1001991044</v>
      </c>
      <c r="E4099" s="74" t="s">
        <v>5199</v>
      </c>
      <c r="F4099" s="74"/>
      <c r="G4099" s="76"/>
      <c r="H4099" s="77"/>
      <c r="I4099" s="76"/>
      <c r="J4099" s="77"/>
      <c r="K4099" s="77"/>
      <c r="L4099" s="76"/>
      <c r="M4099" s="76"/>
      <c r="N4099" s="76"/>
      <c r="O4099" s="76"/>
      <c r="P4099" s="76"/>
      <c r="Q4099" s="76"/>
      <c r="R4099" s="76"/>
      <c r="S4099" s="76"/>
      <c r="BD4099" s="99">
        <f t="shared" ref="BD4099:BD4162" si="135">CC4099+CV4099</f>
        <v>0</v>
      </c>
      <c r="CC4099" s="99"/>
      <c r="CV4099" s="99"/>
      <c r="CW4099" s="63"/>
    </row>
    <row r="4100" spans="1:101" x14ac:dyDescent="0.15">
      <c r="A4100" s="76">
        <v>3840</v>
      </c>
      <c r="B4100" s="74" t="s">
        <v>5203</v>
      </c>
      <c r="C4100" s="74">
        <v>1001991141</v>
      </c>
      <c r="D4100" s="78" t="str">
        <f t="shared" si="134"/>
        <v>https://portal.dnb.de/opac.htm?method=simpleSearch&amp;cqlMode=true&amp;query=idn%3D1001991141</v>
      </c>
      <c r="E4100" s="74" t="s">
        <v>5199</v>
      </c>
      <c r="F4100" s="74"/>
      <c r="G4100" s="76"/>
      <c r="H4100" s="77"/>
      <c r="I4100" s="76"/>
      <c r="J4100" s="77"/>
      <c r="K4100" s="77"/>
      <c r="L4100" s="76"/>
      <c r="M4100" s="76"/>
      <c r="N4100" s="76"/>
      <c r="O4100" s="76"/>
      <c r="P4100" s="76"/>
      <c r="Q4100" s="76"/>
      <c r="R4100" s="76"/>
      <c r="S4100" s="76"/>
      <c r="BD4100" s="99">
        <f t="shared" si="135"/>
        <v>0</v>
      </c>
      <c r="CC4100" s="99"/>
      <c r="CV4100" s="99"/>
      <c r="CW4100" s="63"/>
    </row>
    <row r="4101" spans="1:101" x14ac:dyDescent="0.15">
      <c r="A4101" s="76">
        <v>3841</v>
      </c>
      <c r="B4101" s="74" t="s">
        <v>5204</v>
      </c>
      <c r="C4101" s="74">
        <v>993975283</v>
      </c>
      <c r="D4101" s="78" t="str">
        <f t="shared" si="134"/>
        <v>https://portal.dnb.de/opac.htm?method=simpleSearch&amp;cqlMode=true&amp;query=idn%3D993975283</v>
      </c>
      <c r="E4101" s="74" t="s">
        <v>5205</v>
      </c>
      <c r="F4101" s="74"/>
      <c r="G4101" s="76"/>
      <c r="H4101" s="77"/>
      <c r="I4101" s="76"/>
      <c r="J4101" s="77"/>
      <c r="K4101" s="77"/>
      <c r="L4101" s="76"/>
      <c r="M4101" s="76"/>
      <c r="N4101" s="76"/>
      <c r="O4101" s="76"/>
      <c r="P4101" s="76"/>
      <c r="Q4101" s="76"/>
      <c r="R4101" s="76"/>
      <c r="S4101" s="76"/>
      <c r="BD4101" s="99">
        <f t="shared" si="135"/>
        <v>0</v>
      </c>
      <c r="CC4101" s="99"/>
      <c r="CV4101" s="99"/>
      <c r="CW4101" s="63"/>
    </row>
    <row r="4102" spans="1:101" x14ac:dyDescent="0.15">
      <c r="A4102" s="76">
        <v>3842</v>
      </c>
      <c r="B4102" s="74" t="s">
        <v>5221</v>
      </c>
      <c r="C4102" s="74">
        <v>993995527</v>
      </c>
      <c r="D4102" s="78" t="str">
        <f t="shared" si="134"/>
        <v>https://portal.dnb.de/opac.htm?method=simpleSearch&amp;cqlMode=true&amp;query=idn%3D993995527</v>
      </c>
      <c r="E4102" s="74" t="s">
        <v>5222</v>
      </c>
      <c r="F4102" s="74"/>
      <c r="G4102" s="76"/>
      <c r="H4102" s="77"/>
      <c r="I4102" s="76"/>
      <c r="J4102" s="77"/>
      <c r="K4102" s="77"/>
      <c r="L4102" s="76"/>
      <c r="M4102" s="76"/>
      <c r="N4102" s="76"/>
      <c r="O4102" s="76"/>
      <c r="P4102" s="76"/>
      <c r="Q4102" s="76"/>
      <c r="R4102" s="76"/>
      <c r="S4102" s="76"/>
      <c r="BD4102" s="99">
        <f t="shared" si="135"/>
        <v>0</v>
      </c>
      <c r="CC4102" s="99"/>
      <c r="CV4102" s="99"/>
      <c r="CW4102" s="63"/>
    </row>
    <row r="4103" spans="1:101" x14ac:dyDescent="0.15">
      <c r="A4103" s="76">
        <v>3843</v>
      </c>
      <c r="B4103" s="74" t="s">
        <v>5239</v>
      </c>
      <c r="C4103" s="74">
        <v>1003588360</v>
      </c>
      <c r="D4103" s="78" t="str">
        <f t="shared" si="134"/>
        <v>https://portal.dnb.de/opac.htm?method=simpleSearch&amp;cqlMode=true&amp;query=idn%3D1003588360</v>
      </c>
      <c r="E4103" s="74" t="s">
        <v>5240</v>
      </c>
      <c r="F4103" s="74"/>
      <c r="G4103" s="76"/>
      <c r="H4103" s="77"/>
      <c r="I4103" s="76"/>
      <c r="J4103" s="77"/>
      <c r="K4103" s="77"/>
      <c r="L4103" s="76"/>
      <c r="M4103" s="76"/>
      <c r="N4103" s="76"/>
      <c r="O4103" s="76"/>
      <c r="P4103" s="76"/>
      <c r="Q4103" s="76"/>
      <c r="R4103" s="76"/>
      <c r="S4103" s="76"/>
      <c r="BD4103" s="99">
        <f t="shared" si="135"/>
        <v>0</v>
      </c>
      <c r="CC4103" s="99"/>
      <c r="CV4103" s="99"/>
      <c r="CW4103" s="63"/>
    </row>
    <row r="4104" spans="1:101" x14ac:dyDescent="0.15">
      <c r="A4104" s="76">
        <v>3844</v>
      </c>
      <c r="B4104" s="74" t="s">
        <v>5251</v>
      </c>
      <c r="C4104" s="74">
        <v>999346822</v>
      </c>
      <c r="D4104" s="78" t="str">
        <f t="shared" si="134"/>
        <v>https://portal.dnb.de/opac.htm?method=simpleSearch&amp;cqlMode=true&amp;query=idn%3D999346822</v>
      </c>
      <c r="E4104" s="74" t="s">
        <v>5252</v>
      </c>
      <c r="F4104" s="74"/>
      <c r="G4104" s="76"/>
      <c r="H4104" s="77"/>
      <c r="I4104" s="76"/>
      <c r="J4104" s="77"/>
      <c r="K4104" s="77"/>
      <c r="L4104" s="76"/>
      <c r="M4104" s="76"/>
      <c r="N4104" s="76"/>
      <c r="O4104" s="76"/>
      <c r="P4104" s="76"/>
      <c r="Q4104" s="76"/>
      <c r="R4104" s="76"/>
      <c r="S4104" s="76"/>
      <c r="BD4104" s="99">
        <f t="shared" si="135"/>
        <v>0</v>
      </c>
      <c r="CC4104" s="99"/>
      <c r="CV4104" s="99"/>
      <c r="CW4104" s="63"/>
    </row>
    <row r="4105" spans="1:101" ht="33.75" x14ac:dyDescent="0.15">
      <c r="A4105" s="76">
        <v>3845</v>
      </c>
      <c r="B4105" s="74" t="s">
        <v>5284</v>
      </c>
      <c r="C4105" s="74">
        <v>995548072</v>
      </c>
      <c r="D4105" s="78" t="str">
        <f t="shared" si="134"/>
        <v>https://portal.dnb.de/opac.htm?method=simpleSearch&amp;cqlMode=true&amp;query=idn%3D995548072</v>
      </c>
      <c r="E4105" s="74" t="s">
        <v>5285</v>
      </c>
      <c r="F4105" s="74"/>
      <c r="G4105" s="76"/>
      <c r="H4105" s="77"/>
      <c r="I4105" s="76" t="s">
        <v>53</v>
      </c>
      <c r="J4105" s="77"/>
      <c r="K4105" s="77"/>
      <c r="L4105" s="76"/>
      <c r="M4105" s="76"/>
      <c r="N4105" s="76"/>
      <c r="O4105" s="76"/>
      <c r="P4105" s="76"/>
      <c r="Q4105" s="76"/>
      <c r="R4105" s="76"/>
      <c r="S4105" s="76"/>
      <c r="Y4105" s="95" t="s">
        <v>9723</v>
      </c>
      <c r="AC4105" s="95" t="s">
        <v>9724</v>
      </c>
      <c r="AI4105" s="95" t="s">
        <v>9725</v>
      </c>
      <c r="AP4105" s="95" t="s">
        <v>8541</v>
      </c>
      <c r="AQ4105" s="96" t="s">
        <v>10186</v>
      </c>
      <c r="AW4105" s="95">
        <v>60</v>
      </c>
      <c r="BC4105" s="96" t="s">
        <v>9726</v>
      </c>
      <c r="BD4105" s="99">
        <f t="shared" si="135"/>
        <v>8</v>
      </c>
      <c r="BJ4105" s="95" t="s">
        <v>9741</v>
      </c>
      <c r="BK4105" s="95" t="s">
        <v>8541</v>
      </c>
      <c r="BP4105" s="69" t="s">
        <v>8541</v>
      </c>
      <c r="BQ4105" s="95" t="s">
        <v>8541</v>
      </c>
      <c r="BR4105" s="95" t="s">
        <v>8541</v>
      </c>
      <c r="BT4105" s="95" t="s">
        <v>9775</v>
      </c>
      <c r="BU4105" s="95">
        <v>3</v>
      </c>
      <c r="CA4105" s="95" t="s">
        <v>9911</v>
      </c>
      <c r="CC4105" s="99">
        <v>7.5</v>
      </c>
      <c r="CD4105" s="90" t="s">
        <v>10184</v>
      </c>
      <c r="CE4105" s="95" t="s">
        <v>8541</v>
      </c>
      <c r="CV4105" s="99">
        <v>0.5</v>
      </c>
      <c r="CW4105" s="63" t="s">
        <v>10185</v>
      </c>
    </row>
    <row r="4106" spans="1:101" x14ac:dyDescent="0.15">
      <c r="A4106" s="76">
        <v>3846</v>
      </c>
      <c r="B4106" s="74" t="s">
        <v>5286</v>
      </c>
      <c r="C4106" s="74" t="s">
        <v>5287</v>
      </c>
      <c r="D4106" s="78" t="str">
        <f t="shared" si="134"/>
        <v>https://portal.dnb.de/opac.htm?method=simpleSearch&amp;cqlMode=true&amp;query=idn%3D99554834X</v>
      </c>
      <c r="E4106" s="74" t="s">
        <v>10183</v>
      </c>
      <c r="F4106" s="74"/>
      <c r="G4106" s="76"/>
      <c r="H4106" s="77"/>
      <c r="I4106" s="76"/>
      <c r="J4106" s="77"/>
      <c r="K4106" s="77"/>
      <c r="L4106" s="76"/>
      <c r="M4106" s="76"/>
      <c r="N4106" s="76"/>
      <c r="O4106" s="76"/>
      <c r="P4106" s="76"/>
      <c r="Q4106" s="76"/>
      <c r="R4106" s="76"/>
      <c r="S4106" s="76"/>
      <c r="BD4106" s="99">
        <f t="shared" si="135"/>
        <v>0</v>
      </c>
      <c r="CC4106" s="99"/>
      <c r="CV4106" s="99"/>
      <c r="CW4106" s="63"/>
    </row>
    <row r="4107" spans="1:101" x14ac:dyDescent="0.15">
      <c r="A4107" s="76">
        <v>3847</v>
      </c>
      <c r="B4107" s="74" t="s">
        <v>5292</v>
      </c>
      <c r="C4107" s="74">
        <v>1000070247</v>
      </c>
      <c r="D4107" s="78" t="str">
        <f t="shared" si="134"/>
        <v>https://portal.dnb.de/opac.htm?method=simpleSearch&amp;cqlMode=true&amp;query=idn%3D1000070247</v>
      </c>
      <c r="E4107" s="74" t="s">
        <v>5293</v>
      </c>
      <c r="F4107" s="74"/>
      <c r="G4107" s="76"/>
      <c r="H4107" s="77"/>
      <c r="I4107" s="76"/>
      <c r="J4107" s="77"/>
      <c r="K4107" s="77"/>
      <c r="L4107" s="76"/>
      <c r="M4107" s="76"/>
      <c r="N4107" s="76"/>
      <c r="O4107" s="76"/>
      <c r="P4107" s="76"/>
      <c r="Q4107" s="76"/>
      <c r="R4107" s="76"/>
      <c r="S4107" s="76"/>
      <c r="BD4107" s="99">
        <f t="shared" si="135"/>
        <v>0</v>
      </c>
      <c r="CC4107" s="99"/>
      <c r="CV4107" s="99"/>
      <c r="CW4107" s="63"/>
    </row>
    <row r="4108" spans="1:101" x14ac:dyDescent="0.15">
      <c r="A4108" s="76">
        <v>3848</v>
      </c>
      <c r="B4108" s="74" t="s">
        <v>5294</v>
      </c>
      <c r="C4108" s="74">
        <v>1000070360</v>
      </c>
      <c r="D4108" s="78" t="str">
        <f t="shared" si="134"/>
        <v>https://portal.dnb.de/opac.htm?method=simpleSearch&amp;cqlMode=true&amp;query=idn%3D1000070360</v>
      </c>
      <c r="E4108" s="74" t="s">
        <v>5293</v>
      </c>
      <c r="F4108" s="74"/>
      <c r="G4108" s="76"/>
      <c r="H4108" s="77"/>
      <c r="I4108" s="76"/>
      <c r="J4108" s="77"/>
      <c r="K4108" s="77"/>
      <c r="L4108" s="76"/>
      <c r="M4108" s="76"/>
      <c r="N4108" s="76"/>
      <c r="O4108" s="76"/>
      <c r="P4108" s="76"/>
      <c r="Q4108" s="76"/>
      <c r="R4108" s="76"/>
      <c r="S4108" s="76"/>
      <c r="BD4108" s="99">
        <f t="shared" si="135"/>
        <v>0</v>
      </c>
      <c r="CC4108" s="99"/>
      <c r="CV4108" s="99"/>
      <c r="CW4108" s="63"/>
    </row>
    <row r="4109" spans="1:101" x14ac:dyDescent="0.15">
      <c r="A4109" s="76">
        <v>3849</v>
      </c>
      <c r="B4109" s="74" t="s">
        <v>5295</v>
      </c>
      <c r="C4109" s="74">
        <v>1000070352</v>
      </c>
      <c r="D4109" s="78" t="str">
        <f t="shared" si="134"/>
        <v>https://portal.dnb.de/opac.htm?method=simpleSearch&amp;cqlMode=true&amp;query=idn%3D1000070352</v>
      </c>
      <c r="E4109" s="74" t="s">
        <v>5293</v>
      </c>
      <c r="F4109" s="74"/>
      <c r="G4109" s="76"/>
      <c r="H4109" s="77"/>
      <c r="I4109" s="76"/>
      <c r="J4109" s="77"/>
      <c r="K4109" s="77"/>
      <c r="L4109" s="76"/>
      <c r="M4109" s="76"/>
      <c r="N4109" s="76"/>
      <c r="O4109" s="76"/>
      <c r="P4109" s="76"/>
      <c r="Q4109" s="76"/>
      <c r="R4109" s="76"/>
      <c r="S4109" s="76"/>
      <c r="BD4109" s="99">
        <f t="shared" si="135"/>
        <v>0</v>
      </c>
      <c r="CC4109" s="99"/>
      <c r="CV4109" s="99"/>
      <c r="CW4109" s="63"/>
    </row>
    <row r="4110" spans="1:101" x14ac:dyDescent="0.15">
      <c r="A4110" s="76">
        <v>3850</v>
      </c>
      <c r="B4110" s="74" t="s">
        <v>5301</v>
      </c>
      <c r="C4110" s="74">
        <v>994642075</v>
      </c>
      <c r="D4110" s="78" t="str">
        <f t="shared" si="134"/>
        <v>https://portal.dnb.de/opac.htm?method=simpleSearch&amp;cqlMode=true&amp;query=idn%3D994642075</v>
      </c>
      <c r="E4110" s="74" t="s">
        <v>5302</v>
      </c>
      <c r="F4110" s="74"/>
      <c r="G4110" s="76"/>
      <c r="H4110" s="77"/>
      <c r="I4110" s="76"/>
      <c r="J4110" s="77"/>
      <c r="K4110" s="77"/>
      <c r="L4110" s="76"/>
      <c r="M4110" s="76"/>
      <c r="N4110" s="76"/>
      <c r="O4110" s="76"/>
      <c r="P4110" s="76"/>
      <c r="Q4110" s="76"/>
      <c r="R4110" s="76"/>
      <c r="S4110" s="76"/>
      <c r="BD4110" s="99">
        <f t="shared" si="135"/>
        <v>0</v>
      </c>
      <c r="CC4110" s="99"/>
      <c r="CV4110" s="99"/>
      <c r="CW4110" s="63"/>
    </row>
    <row r="4111" spans="1:101" x14ac:dyDescent="0.15">
      <c r="A4111" s="76">
        <v>3851</v>
      </c>
      <c r="B4111" s="74" t="s">
        <v>5319</v>
      </c>
      <c r="C4111" s="74">
        <v>995549095</v>
      </c>
      <c r="D4111" s="78" t="str">
        <f t="shared" si="134"/>
        <v>https://portal.dnb.de/opac.htm?method=simpleSearch&amp;cqlMode=true&amp;query=idn%3D995549095</v>
      </c>
      <c r="E4111" s="74" t="s">
        <v>5320</v>
      </c>
      <c r="F4111" s="74"/>
      <c r="G4111" s="76"/>
      <c r="H4111" s="77"/>
      <c r="I4111" s="76"/>
      <c r="J4111" s="77"/>
      <c r="K4111" s="77"/>
      <c r="L4111" s="76"/>
      <c r="M4111" s="76"/>
      <c r="N4111" s="76"/>
      <c r="O4111" s="76"/>
      <c r="P4111" s="76"/>
      <c r="Q4111" s="76"/>
      <c r="R4111" s="76"/>
      <c r="S4111" s="76"/>
      <c r="BD4111" s="99">
        <f t="shared" si="135"/>
        <v>0</v>
      </c>
      <c r="CC4111" s="99"/>
      <c r="CV4111" s="99"/>
      <c r="CW4111" s="63"/>
    </row>
    <row r="4112" spans="1:101" x14ac:dyDescent="0.15">
      <c r="A4112" s="76">
        <v>3852</v>
      </c>
      <c r="B4112" s="74" t="s">
        <v>5346</v>
      </c>
      <c r="C4112" s="74">
        <v>1066941467</v>
      </c>
      <c r="D4112" s="78" t="str">
        <f t="shared" si="134"/>
        <v>https://portal.dnb.de/opac.htm?method=simpleSearch&amp;cqlMode=true&amp;query=idn%3D1066941467</v>
      </c>
      <c r="E4112" s="74" t="s">
        <v>5347</v>
      </c>
      <c r="F4112" s="74"/>
      <c r="G4112" s="76"/>
      <c r="H4112" s="77"/>
      <c r="I4112" s="76"/>
      <c r="J4112" s="77"/>
      <c r="K4112" s="77"/>
      <c r="L4112" s="76"/>
      <c r="M4112" s="76"/>
      <c r="N4112" s="76"/>
      <c r="O4112" s="76"/>
      <c r="P4112" s="76"/>
      <c r="Q4112" s="76"/>
      <c r="R4112" s="76"/>
      <c r="S4112" s="76"/>
      <c r="BD4112" s="99">
        <f t="shared" si="135"/>
        <v>0</v>
      </c>
      <c r="CC4112" s="99"/>
      <c r="CV4112" s="99"/>
      <c r="CW4112" s="63"/>
    </row>
    <row r="4113" spans="1:101" x14ac:dyDescent="0.15">
      <c r="A4113" s="76"/>
      <c r="B4113" s="74"/>
      <c r="C4113" s="74"/>
      <c r="D4113" s="78"/>
      <c r="E4113" s="74" t="s">
        <v>10266</v>
      </c>
      <c r="F4113" s="74"/>
      <c r="G4113" s="76"/>
      <c r="H4113" s="77"/>
      <c r="I4113" s="76" t="s">
        <v>53</v>
      </c>
      <c r="J4113" s="77"/>
      <c r="K4113" s="77"/>
      <c r="L4113" s="76"/>
      <c r="M4113" s="76"/>
      <c r="N4113" s="76"/>
      <c r="O4113" s="76"/>
      <c r="P4113" s="76"/>
      <c r="Q4113" s="76"/>
      <c r="R4113" s="76"/>
      <c r="S4113" s="76"/>
      <c r="Y4113" s="95" t="s">
        <v>9725</v>
      </c>
      <c r="AC4113" s="95" t="s">
        <v>9737</v>
      </c>
      <c r="AI4113" s="95" t="s">
        <v>9725</v>
      </c>
      <c r="AW4113" s="95">
        <v>110</v>
      </c>
      <c r="BC4113" s="96" t="s">
        <v>9726</v>
      </c>
      <c r="BD4113" s="99">
        <f t="shared" si="135"/>
        <v>0.5</v>
      </c>
      <c r="BP4113" s="69" t="s">
        <v>8541</v>
      </c>
      <c r="BR4113" s="95" t="s">
        <v>8541</v>
      </c>
      <c r="CC4113" s="99">
        <v>0.5</v>
      </c>
      <c r="CV4113" s="99"/>
      <c r="CW4113" s="63"/>
    </row>
    <row r="4114" spans="1:101" x14ac:dyDescent="0.15">
      <c r="A4114" s="76">
        <v>3853</v>
      </c>
      <c r="B4114" s="74" t="s">
        <v>5381</v>
      </c>
      <c r="C4114" s="74">
        <v>1066938636</v>
      </c>
      <c r="D4114" s="78" t="str">
        <f t="shared" si="134"/>
        <v>https://portal.dnb.de/opac.htm?method=simpleSearch&amp;cqlMode=true&amp;query=idn%3D1066938636</v>
      </c>
      <c r="E4114" s="74" t="s">
        <v>5382</v>
      </c>
      <c r="F4114" s="74"/>
      <c r="G4114" s="76"/>
      <c r="H4114" s="77"/>
      <c r="I4114" s="76"/>
      <c r="J4114" s="77"/>
      <c r="K4114" s="77"/>
      <c r="L4114" s="76"/>
      <c r="M4114" s="76"/>
      <c r="N4114" s="76"/>
      <c r="O4114" s="76"/>
      <c r="P4114" s="76"/>
      <c r="Q4114" s="76"/>
      <c r="R4114" s="76"/>
      <c r="S4114" s="76"/>
      <c r="BD4114" s="99">
        <f t="shared" si="135"/>
        <v>0</v>
      </c>
      <c r="CC4114" s="99"/>
      <c r="CV4114" s="99"/>
      <c r="CW4114" s="63"/>
    </row>
    <row r="4115" spans="1:101" x14ac:dyDescent="0.15">
      <c r="A4115" s="76">
        <v>3854</v>
      </c>
      <c r="B4115" s="74" t="s">
        <v>5392</v>
      </c>
      <c r="C4115" s="74">
        <v>1066937281</v>
      </c>
      <c r="D4115" s="78" t="str">
        <f t="shared" si="134"/>
        <v>https://portal.dnb.de/opac.htm?method=simpleSearch&amp;cqlMode=true&amp;query=idn%3D1066937281</v>
      </c>
      <c r="E4115" s="74" t="s">
        <v>5393</v>
      </c>
      <c r="F4115" s="74"/>
      <c r="G4115" s="76"/>
      <c r="H4115" s="77"/>
      <c r="I4115" s="76"/>
      <c r="J4115" s="77"/>
      <c r="K4115" s="77"/>
      <c r="L4115" s="76"/>
      <c r="M4115" s="76"/>
      <c r="N4115" s="76"/>
      <c r="O4115" s="76"/>
      <c r="P4115" s="76"/>
      <c r="Q4115" s="76"/>
      <c r="R4115" s="76"/>
      <c r="S4115" s="76"/>
      <c r="BD4115" s="99">
        <f t="shared" si="135"/>
        <v>0</v>
      </c>
      <c r="CC4115" s="99"/>
      <c r="CV4115" s="99"/>
      <c r="CW4115" s="63"/>
    </row>
    <row r="4116" spans="1:101" x14ac:dyDescent="0.15">
      <c r="A4116" s="76">
        <v>3855</v>
      </c>
      <c r="B4116" s="74" t="s">
        <v>5394</v>
      </c>
      <c r="C4116" s="74">
        <v>1066798826</v>
      </c>
      <c r="D4116" s="78" t="str">
        <f t="shared" si="134"/>
        <v>https://portal.dnb.de/opac.htm?method=simpleSearch&amp;cqlMode=true&amp;query=idn%3D1066798826</v>
      </c>
      <c r="E4116" s="74" t="s">
        <v>5395</v>
      </c>
      <c r="F4116" s="74"/>
      <c r="G4116" s="76"/>
      <c r="H4116" s="77"/>
      <c r="I4116" s="76"/>
      <c r="J4116" s="77"/>
      <c r="K4116" s="77"/>
      <c r="L4116" s="76"/>
      <c r="M4116" s="76"/>
      <c r="N4116" s="76"/>
      <c r="O4116" s="76"/>
      <c r="P4116" s="76"/>
      <c r="Q4116" s="76"/>
      <c r="R4116" s="76"/>
      <c r="S4116" s="76"/>
      <c r="BD4116" s="99">
        <f t="shared" si="135"/>
        <v>0</v>
      </c>
      <c r="CC4116" s="99"/>
      <c r="CV4116" s="99"/>
      <c r="CW4116" s="63"/>
    </row>
    <row r="4117" spans="1:101" x14ac:dyDescent="0.15">
      <c r="A4117" s="76">
        <v>3856</v>
      </c>
      <c r="B4117" s="74" t="s">
        <v>5396</v>
      </c>
      <c r="C4117" s="74">
        <v>1066872775</v>
      </c>
      <c r="D4117" s="78" t="str">
        <f t="shared" si="134"/>
        <v>https://portal.dnb.de/opac.htm?method=simpleSearch&amp;cqlMode=true&amp;query=idn%3D1066872775</v>
      </c>
      <c r="E4117" s="74" t="s">
        <v>5397</v>
      </c>
      <c r="F4117" s="74"/>
      <c r="G4117" s="76"/>
      <c r="H4117" s="77"/>
      <c r="I4117" s="76"/>
      <c r="J4117" s="77"/>
      <c r="K4117" s="77"/>
      <c r="L4117" s="76"/>
      <c r="M4117" s="76"/>
      <c r="N4117" s="76"/>
      <c r="O4117" s="76"/>
      <c r="P4117" s="76"/>
      <c r="Q4117" s="76"/>
      <c r="R4117" s="76"/>
      <c r="S4117" s="76"/>
      <c r="BD4117" s="99">
        <f t="shared" si="135"/>
        <v>0</v>
      </c>
      <c r="CC4117" s="99"/>
      <c r="CV4117" s="99"/>
      <c r="CW4117" s="63"/>
    </row>
    <row r="4118" spans="1:101" x14ac:dyDescent="0.15">
      <c r="A4118" s="76">
        <v>3857</v>
      </c>
      <c r="B4118" s="74" t="s">
        <v>5398</v>
      </c>
      <c r="C4118" s="74">
        <v>1066859124</v>
      </c>
      <c r="D4118" s="78" t="str">
        <f t="shared" si="134"/>
        <v>https://portal.dnb.de/opac.htm?method=simpleSearch&amp;cqlMode=true&amp;query=idn%3D1066859124</v>
      </c>
      <c r="E4118" s="74" t="s">
        <v>5399</v>
      </c>
      <c r="F4118" s="74"/>
      <c r="G4118" s="76"/>
      <c r="H4118" s="77"/>
      <c r="I4118" s="76"/>
      <c r="J4118" s="77"/>
      <c r="K4118" s="77"/>
      <c r="L4118" s="76"/>
      <c r="M4118" s="76"/>
      <c r="N4118" s="76"/>
      <c r="O4118" s="76"/>
      <c r="P4118" s="76"/>
      <c r="Q4118" s="76"/>
      <c r="R4118" s="76"/>
      <c r="S4118" s="76"/>
      <c r="BD4118" s="99">
        <f t="shared" si="135"/>
        <v>0</v>
      </c>
      <c r="CC4118" s="99"/>
      <c r="CV4118" s="99"/>
      <c r="CW4118" s="63"/>
    </row>
    <row r="4119" spans="1:101" x14ac:dyDescent="0.15">
      <c r="A4119" s="76">
        <v>3858</v>
      </c>
      <c r="B4119" s="74" t="s">
        <v>5400</v>
      </c>
      <c r="C4119" s="74" t="s">
        <v>5401</v>
      </c>
      <c r="D4119" s="78" t="str">
        <f t="shared" si="134"/>
        <v>https://portal.dnb.de/opac.htm?method=simpleSearch&amp;cqlMode=true&amp;query=idn%3D113264786X</v>
      </c>
      <c r="E4119" s="74" t="s">
        <v>5402</v>
      </c>
      <c r="F4119" s="74"/>
      <c r="G4119" s="76"/>
      <c r="H4119" s="77"/>
      <c r="I4119" s="76"/>
      <c r="J4119" s="77"/>
      <c r="K4119" s="77"/>
      <c r="L4119" s="76"/>
      <c r="M4119" s="76"/>
      <c r="N4119" s="76"/>
      <c r="O4119" s="76"/>
      <c r="P4119" s="76"/>
      <c r="Q4119" s="76"/>
      <c r="R4119" s="76"/>
      <c r="S4119" s="76"/>
      <c r="BD4119" s="99">
        <f t="shared" si="135"/>
        <v>0</v>
      </c>
      <c r="CC4119" s="99"/>
      <c r="CV4119" s="99"/>
      <c r="CW4119" s="63"/>
    </row>
    <row r="4120" spans="1:101" x14ac:dyDescent="0.15">
      <c r="A4120" s="76">
        <v>3859</v>
      </c>
      <c r="B4120" s="74" t="s">
        <v>5403</v>
      </c>
      <c r="C4120" s="74">
        <v>1066936544</v>
      </c>
      <c r="D4120" s="78" t="str">
        <f t="shared" si="134"/>
        <v>https://portal.dnb.de/opac.htm?method=simpleSearch&amp;cqlMode=true&amp;query=idn%3D1066936544</v>
      </c>
      <c r="E4120" s="74" t="s">
        <v>5404</v>
      </c>
      <c r="F4120" s="74"/>
      <c r="G4120" s="76"/>
      <c r="H4120" s="77"/>
      <c r="I4120" s="76"/>
      <c r="J4120" s="77"/>
      <c r="K4120" s="77"/>
      <c r="L4120" s="76"/>
      <c r="M4120" s="76"/>
      <c r="N4120" s="76"/>
      <c r="O4120" s="76"/>
      <c r="P4120" s="76"/>
      <c r="Q4120" s="76"/>
      <c r="R4120" s="76"/>
      <c r="S4120" s="76"/>
      <c r="BD4120" s="99">
        <f t="shared" si="135"/>
        <v>0</v>
      </c>
      <c r="CC4120" s="99"/>
      <c r="CV4120" s="99"/>
      <c r="CW4120" s="63"/>
    </row>
    <row r="4121" spans="1:101" x14ac:dyDescent="0.15">
      <c r="A4121" s="76">
        <v>3860</v>
      </c>
      <c r="B4121" s="74" t="s">
        <v>5405</v>
      </c>
      <c r="C4121" s="74">
        <v>1066799687</v>
      </c>
      <c r="D4121" s="78" t="str">
        <f t="shared" si="134"/>
        <v>https://portal.dnb.de/opac.htm?method=simpleSearch&amp;cqlMode=true&amp;query=idn%3D1066799687</v>
      </c>
      <c r="E4121" s="74" t="s">
        <v>5406</v>
      </c>
      <c r="F4121" s="74"/>
      <c r="G4121" s="76"/>
      <c r="H4121" s="77"/>
      <c r="I4121" s="76"/>
      <c r="J4121" s="77"/>
      <c r="K4121" s="77"/>
      <c r="L4121" s="76"/>
      <c r="M4121" s="76"/>
      <c r="N4121" s="76"/>
      <c r="O4121" s="76"/>
      <c r="P4121" s="76"/>
      <c r="Q4121" s="76"/>
      <c r="R4121" s="76"/>
      <c r="S4121" s="76"/>
      <c r="BD4121" s="99">
        <f t="shared" si="135"/>
        <v>0</v>
      </c>
      <c r="CC4121" s="99"/>
      <c r="CV4121" s="99"/>
      <c r="CW4121" s="63"/>
    </row>
    <row r="4122" spans="1:101" x14ac:dyDescent="0.15">
      <c r="A4122" s="76">
        <v>3861</v>
      </c>
      <c r="B4122" s="74" t="s">
        <v>5348</v>
      </c>
      <c r="C4122" s="74">
        <v>1066799490</v>
      </c>
      <c r="D4122" s="78" t="str">
        <f t="shared" si="134"/>
        <v>https://portal.dnb.de/opac.htm?method=simpleSearch&amp;cqlMode=true&amp;query=idn%3D1066799490</v>
      </c>
      <c r="E4122" s="74" t="s">
        <v>5349</v>
      </c>
      <c r="F4122" s="74"/>
      <c r="G4122" s="76"/>
      <c r="H4122" s="77"/>
      <c r="I4122" s="76"/>
      <c r="J4122" s="77"/>
      <c r="K4122" s="77"/>
      <c r="L4122" s="76"/>
      <c r="M4122" s="76"/>
      <c r="N4122" s="76"/>
      <c r="O4122" s="76"/>
      <c r="P4122" s="76"/>
      <c r="Q4122" s="76"/>
      <c r="R4122" s="76"/>
      <c r="S4122" s="76"/>
      <c r="BD4122" s="99">
        <f t="shared" si="135"/>
        <v>0</v>
      </c>
      <c r="CC4122" s="99"/>
      <c r="CV4122" s="99"/>
      <c r="CW4122" s="63"/>
    </row>
    <row r="4123" spans="1:101" x14ac:dyDescent="0.15">
      <c r="A4123" s="76">
        <v>3862</v>
      </c>
      <c r="B4123" s="74" t="s">
        <v>5355</v>
      </c>
      <c r="C4123" s="74">
        <v>1066849676</v>
      </c>
      <c r="D4123" s="78" t="str">
        <f t="shared" si="134"/>
        <v>https://portal.dnb.de/opac.htm?method=simpleSearch&amp;cqlMode=true&amp;query=idn%3D1066849676</v>
      </c>
      <c r="E4123" s="74" t="s">
        <v>5356</v>
      </c>
      <c r="F4123" s="74"/>
      <c r="G4123" s="76"/>
      <c r="H4123" s="77"/>
      <c r="I4123" s="76"/>
      <c r="J4123" s="77"/>
      <c r="K4123" s="77"/>
      <c r="L4123" s="76"/>
      <c r="M4123" s="76"/>
      <c r="N4123" s="76"/>
      <c r="O4123" s="76"/>
      <c r="P4123" s="76"/>
      <c r="Q4123" s="76"/>
      <c r="R4123" s="76"/>
      <c r="S4123" s="76"/>
      <c r="BD4123" s="99">
        <f t="shared" si="135"/>
        <v>0</v>
      </c>
      <c r="CC4123" s="99"/>
      <c r="CV4123" s="99"/>
      <c r="CW4123" s="63"/>
    </row>
    <row r="4124" spans="1:101" x14ac:dyDescent="0.15">
      <c r="A4124" s="76">
        <v>3863</v>
      </c>
      <c r="B4124" s="74" t="s">
        <v>5357</v>
      </c>
      <c r="C4124" s="74">
        <v>1066837635</v>
      </c>
      <c r="D4124" s="78" t="str">
        <f t="shared" si="134"/>
        <v>https://portal.dnb.de/opac.htm?method=simpleSearch&amp;cqlMode=true&amp;query=idn%3D1066837635</v>
      </c>
      <c r="E4124" s="74" t="s">
        <v>5358</v>
      </c>
      <c r="F4124" s="74"/>
      <c r="G4124" s="76"/>
      <c r="H4124" s="77"/>
      <c r="I4124" s="76"/>
      <c r="J4124" s="77"/>
      <c r="K4124" s="77"/>
      <c r="L4124" s="76"/>
      <c r="M4124" s="76"/>
      <c r="N4124" s="76"/>
      <c r="O4124" s="76"/>
      <c r="P4124" s="76"/>
      <c r="Q4124" s="76"/>
      <c r="R4124" s="76"/>
      <c r="S4124" s="76"/>
      <c r="BD4124" s="99">
        <f t="shared" si="135"/>
        <v>0</v>
      </c>
      <c r="CC4124" s="99"/>
      <c r="CV4124" s="99"/>
      <c r="CW4124" s="63"/>
    </row>
    <row r="4125" spans="1:101" x14ac:dyDescent="0.15">
      <c r="A4125" s="76">
        <v>3864</v>
      </c>
      <c r="B4125" s="74" t="s">
        <v>5359</v>
      </c>
      <c r="C4125" s="74">
        <v>1132649994</v>
      </c>
      <c r="D4125" s="78" t="str">
        <f t="shared" si="134"/>
        <v>https://portal.dnb.de/opac.htm?method=simpleSearch&amp;cqlMode=true&amp;query=idn%3D1132649994</v>
      </c>
      <c r="E4125" s="74" t="s">
        <v>5360</v>
      </c>
      <c r="F4125" s="74"/>
      <c r="G4125" s="76"/>
      <c r="H4125" s="77"/>
      <c r="I4125" s="76" t="s">
        <v>56</v>
      </c>
      <c r="J4125" s="77"/>
      <c r="K4125" s="77"/>
      <c r="L4125" s="76"/>
      <c r="M4125" s="76"/>
      <c r="N4125" s="76"/>
      <c r="O4125" s="76"/>
      <c r="P4125" s="76"/>
      <c r="Q4125" s="76"/>
      <c r="R4125" s="76"/>
      <c r="S4125" s="76"/>
      <c r="U4125" s="95" t="s">
        <v>9823</v>
      </c>
      <c r="Y4125" s="95" t="s">
        <v>9725</v>
      </c>
      <c r="AC4125" s="95" t="s">
        <v>9739</v>
      </c>
      <c r="AI4125" s="95" t="s">
        <v>9725</v>
      </c>
      <c r="AW4125" s="95">
        <v>110</v>
      </c>
      <c r="BC4125" s="96" t="s">
        <v>9726</v>
      </c>
      <c r="BD4125" s="99">
        <f t="shared" si="135"/>
        <v>4</v>
      </c>
      <c r="BR4125" s="95" t="s">
        <v>8541</v>
      </c>
      <c r="CC4125" s="99">
        <v>4</v>
      </c>
      <c r="CV4125" s="99"/>
      <c r="CW4125" s="63"/>
    </row>
    <row r="4126" spans="1:101" x14ac:dyDescent="0.15">
      <c r="A4126" s="76">
        <v>3865</v>
      </c>
      <c r="B4126" s="74" t="s">
        <v>5361</v>
      </c>
      <c r="C4126" s="74">
        <v>1132650003</v>
      </c>
      <c r="D4126" s="78" t="str">
        <f t="shared" si="134"/>
        <v>https://portal.dnb.de/opac.htm?method=simpleSearch&amp;cqlMode=true&amp;query=idn%3D1132650003</v>
      </c>
      <c r="E4126" s="74" t="s">
        <v>5360</v>
      </c>
      <c r="F4126" s="74"/>
      <c r="G4126" s="76"/>
      <c r="H4126" s="77"/>
      <c r="I4126" s="76" t="s">
        <v>56</v>
      </c>
      <c r="J4126" s="77"/>
      <c r="K4126" s="77"/>
      <c r="L4126" s="76"/>
      <c r="M4126" s="76"/>
      <c r="N4126" s="76"/>
      <c r="O4126" s="76"/>
      <c r="P4126" s="76"/>
      <c r="Q4126" s="76"/>
      <c r="R4126" s="76"/>
      <c r="S4126" s="76"/>
      <c r="U4126" s="95" t="s">
        <v>9823</v>
      </c>
      <c r="Y4126" s="95" t="s">
        <v>9725</v>
      </c>
      <c r="AC4126" s="95" t="s">
        <v>9739</v>
      </c>
      <c r="AI4126" s="95" t="s">
        <v>9725</v>
      </c>
      <c r="AW4126" s="95">
        <v>110</v>
      </c>
      <c r="BC4126" s="96" t="s">
        <v>9726</v>
      </c>
      <c r="BD4126" s="99">
        <f t="shared" si="135"/>
        <v>5</v>
      </c>
      <c r="BR4126" s="95" t="s">
        <v>8541</v>
      </c>
      <c r="CC4126" s="99">
        <v>5</v>
      </c>
      <c r="CV4126" s="99"/>
      <c r="CW4126" s="63"/>
    </row>
    <row r="4127" spans="1:101" x14ac:dyDescent="0.15">
      <c r="A4127" s="76">
        <v>3866</v>
      </c>
      <c r="B4127" s="74" t="s">
        <v>5362</v>
      </c>
      <c r="C4127" s="74">
        <v>1132649986</v>
      </c>
      <c r="D4127" s="78" t="str">
        <f t="shared" si="134"/>
        <v>https://portal.dnb.de/opac.htm?method=simpleSearch&amp;cqlMode=true&amp;query=idn%3D1132649986</v>
      </c>
      <c r="E4127" s="74" t="s">
        <v>5360</v>
      </c>
      <c r="F4127" s="74"/>
      <c r="G4127" s="76"/>
      <c r="H4127" s="77"/>
      <c r="I4127" s="76" t="s">
        <v>56</v>
      </c>
      <c r="J4127" s="77"/>
      <c r="K4127" s="77"/>
      <c r="L4127" s="76"/>
      <c r="M4127" s="76"/>
      <c r="N4127" s="76"/>
      <c r="O4127" s="76"/>
      <c r="P4127" s="76"/>
      <c r="Q4127" s="76"/>
      <c r="R4127" s="76"/>
      <c r="S4127" s="76"/>
      <c r="U4127" s="95" t="s">
        <v>9823</v>
      </c>
      <c r="Y4127" s="95" t="s">
        <v>9725</v>
      </c>
      <c r="AC4127" s="95" t="s">
        <v>9739</v>
      </c>
      <c r="AI4127" s="95" t="s">
        <v>9725</v>
      </c>
      <c r="AW4127" s="95">
        <v>110</v>
      </c>
      <c r="BC4127" s="96" t="s">
        <v>9726</v>
      </c>
      <c r="BD4127" s="99">
        <f t="shared" si="135"/>
        <v>5</v>
      </c>
      <c r="BR4127" s="95" t="s">
        <v>8541</v>
      </c>
      <c r="CC4127" s="99">
        <v>5</v>
      </c>
      <c r="CV4127" s="99"/>
      <c r="CW4127" s="63"/>
    </row>
    <row r="4128" spans="1:101" x14ac:dyDescent="0.15">
      <c r="A4128" s="76">
        <v>3867</v>
      </c>
      <c r="B4128" s="74" t="s">
        <v>5363</v>
      </c>
      <c r="C4128" s="74" t="s">
        <v>5364</v>
      </c>
      <c r="D4128" s="78" t="str">
        <f t="shared" ref="D4128:D4191" si="136">HYPERLINK(CONCATENATE("https://portal.dnb.de/opac.htm?method=simpleSearch&amp;cqlMode=true&amp;query=idn%3D",C4128))</f>
        <v>https://portal.dnb.de/opac.htm?method=simpleSearch&amp;cqlMode=true&amp;query=idn%3D113265677X</v>
      </c>
      <c r="E4128" s="74" t="s">
        <v>5365</v>
      </c>
      <c r="F4128" s="74"/>
      <c r="G4128" s="76"/>
      <c r="H4128" s="77"/>
      <c r="I4128" s="76"/>
      <c r="J4128" s="77"/>
      <c r="K4128" s="77"/>
      <c r="L4128" s="76"/>
      <c r="M4128" s="76"/>
      <c r="N4128" s="76"/>
      <c r="O4128" s="76"/>
      <c r="P4128" s="76"/>
      <c r="Q4128" s="76"/>
      <c r="R4128" s="76"/>
      <c r="S4128" s="76"/>
      <c r="BD4128" s="99">
        <f t="shared" si="135"/>
        <v>0</v>
      </c>
      <c r="CC4128" s="99"/>
      <c r="CV4128" s="99"/>
      <c r="CW4128" s="63"/>
    </row>
    <row r="4129" spans="1:101" x14ac:dyDescent="0.15">
      <c r="A4129" s="76">
        <v>3868</v>
      </c>
      <c r="B4129" s="74" t="s">
        <v>5366</v>
      </c>
      <c r="C4129" s="74">
        <v>1132656761</v>
      </c>
      <c r="D4129" s="78" t="str">
        <f t="shared" si="136"/>
        <v>https://portal.dnb.de/opac.htm?method=simpleSearch&amp;cqlMode=true&amp;query=idn%3D1132656761</v>
      </c>
      <c r="E4129" s="74" t="s">
        <v>5365</v>
      </c>
      <c r="F4129" s="74"/>
      <c r="G4129" s="76"/>
      <c r="H4129" s="77"/>
      <c r="I4129" s="76"/>
      <c r="J4129" s="77"/>
      <c r="K4129" s="77"/>
      <c r="L4129" s="76"/>
      <c r="M4129" s="76"/>
      <c r="N4129" s="76"/>
      <c r="O4129" s="76"/>
      <c r="P4129" s="76"/>
      <c r="Q4129" s="76"/>
      <c r="R4129" s="76"/>
      <c r="S4129" s="76"/>
      <c r="BD4129" s="99">
        <f t="shared" si="135"/>
        <v>0</v>
      </c>
      <c r="CC4129" s="99"/>
      <c r="CV4129" s="99"/>
      <c r="CW4129" s="63"/>
    </row>
    <row r="4130" spans="1:101" x14ac:dyDescent="0.15">
      <c r="A4130" s="76">
        <v>3869</v>
      </c>
      <c r="B4130" s="74" t="s">
        <v>5367</v>
      </c>
      <c r="C4130" s="74" t="s">
        <v>5368</v>
      </c>
      <c r="D4130" s="78" t="str">
        <f t="shared" si="136"/>
        <v>https://portal.dnb.de/opac.htm?method=simpleSearch&amp;cqlMode=true&amp;query=idn%3D113265663X</v>
      </c>
      <c r="E4130" s="74" t="s">
        <v>5369</v>
      </c>
      <c r="F4130" s="74"/>
      <c r="G4130" s="76"/>
      <c r="H4130" s="77"/>
      <c r="I4130" s="76"/>
      <c r="J4130" s="77"/>
      <c r="K4130" s="77"/>
      <c r="L4130" s="76"/>
      <c r="M4130" s="76"/>
      <c r="N4130" s="76"/>
      <c r="O4130" s="76"/>
      <c r="P4130" s="76"/>
      <c r="Q4130" s="76"/>
      <c r="R4130" s="76"/>
      <c r="S4130" s="76"/>
      <c r="BD4130" s="99">
        <f t="shared" si="135"/>
        <v>0</v>
      </c>
      <c r="CC4130" s="99"/>
      <c r="CV4130" s="99"/>
      <c r="CW4130" s="63"/>
    </row>
    <row r="4131" spans="1:101" x14ac:dyDescent="0.15">
      <c r="A4131" s="76">
        <v>3870</v>
      </c>
      <c r="B4131" s="74" t="s">
        <v>5370</v>
      </c>
      <c r="C4131" s="74">
        <v>1132656648</v>
      </c>
      <c r="D4131" s="78" t="str">
        <f t="shared" si="136"/>
        <v>https://portal.dnb.de/opac.htm?method=simpleSearch&amp;cqlMode=true&amp;query=idn%3D1132656648</v>
      </c>
      <c r="E4131" s="74" t="s">
        <v>5369</v>
      </c>
      <c r="F4131" s="74"/>
      <c r="G4131" s="76"/>
      <c r="H4131" s="77"/>
      <c r="I4131" s="76"/>
      <c r="J4131" s="77"/>
      <c r="K4131" s="77"/>
      <c r="L4131" s="76"/>
      <c r="M4131" s="76"/>
      <c r="N4131" s="76"/>
      <c r="O4131" s="76"/>
      <c r="P4131" s="76"/>
      <c r="Q4131" s="76"/>
      <c r="R4131" s="76"/>
      <c r="S4131" s="76"/>
      <c r="BD4131" s="99">
        <f t="shared" si="135"/>
        <v>0</v>
      </c>
      <c r="CC4131" s="99"/>
      <c r="CV4131" s="99"/>
      <c r="CW4131" s="63"/>
    </row>
    <row r="4132" spans="1:101" x14ac:dyDescent="0.15">
      <c r="A4132" s="76">
        <v>3871</v>
      </c>
      <c r="B4132" s="74" t="s">
        <v>5371</v>
      </c>
      <c r="C4132" s="74">
        <v>1132656621</v>
      </c>
      <c r="D4132" s="78" t="str">
        <f t="shared" si="136"/>
        <v>https://portal.dnb.de/opac.htm?method=simpleSearch&amp;cqlMode=true&amp;query=idn%3D1132656621</v>
      </c>
      <c r="E4132" s="74" t="s">
        <v>5369</v>
      </c>
      <c r="F4132" s="74"/>
      <c r="G4132" s="76"/>
      <c r="H4132" s="77"/>
      <c r="I4132" s="76"/>
      <c r="J4132" s="77"/>
      <c r="K4132" s="77"/>
      <c r="L4132" s="76"/>
      <c r="M4132" s="76"/>
      <c r="N4132" s="76"/>
      <c r="O4132" s="76"/>
      <c r="P4132" s="76"/>
      <c r="Q4132" s="76"/>
      <c r="R4132" s="76"/>
      <c r="S4132" s="76"/>
      <c r="BD4132" s="99">
        <f t="shared" si="135"/>
        <v>0</v>
      </c>
      <c r="CC4132" s="99"/>
      <c r="CV4132" s="99"/>
      <c r="CW4132" s="63"/>
    </row>
    <row r="4133" spans="1:101" x14ac:dyDescent="0.15">
      <c r="A4133" s="76">
        <v>3872</v>
      </c>
      <c r="B4133" s="74" t="s">
        <v>5372</v>
      </c>
      <c r="C4133" s="74" t="s">
        <v>5373</v>
      </c>
      <c r="D4133" s="78" t="str">
        <f t="shared" si="136"/>
        <v>https://portal.dnb.de/opac.htm?method=simpleSearch&amp;cqlMode=true&amp;query=idn%3D106693777X</v>
      </c>
      <c r="E4133" s="74" t="s">
        <v>5374</v>
      </c>
      <c r="F4133" s="74"/>
      <c r="G4133" s="76"/>
      <c r="H4133" s="77"/>
      <c r="I4133" s="76"/>
      <c r="J4133" s="77"/>
      <c r="K4133" s="77"/>
      <c r="L4133" s="76"/>
      <c r="M4133" s="76"/>
      <c r="N4133" s="76"/>
      <c r="O4133" s="76"/>
      <c r="P4133" s="76"/>
      <c r="Q4133" s="76"/>
      <c r="R4133" s="76"/>
      <c r="S4133" s="76"/>
      <c r="BD4133" s="99">
        <f t="shared" si="135"/>
        <v>0</v>
      </c>
      <c r="CC4133" s="99"/>
      <c r="CV4133" s="99"/>
      <c r="CW4133" s="63"/>
    </row>
    <row r="4134" spans="1:101" x14ac:dyDescent="0.15">
      <c r="A4134" s="76">
        <v>3873</v>
      </c>
      <c r="B4134" s="74" t="s">
        <v>5375</v>
      </c>
      <c r="C4134" s="74">
        <v>998549258</v>
      </c>
      <c r="D4134" s="78" t="str">
        <f t="shared" si="136"/>
        <v>https://portal.dnb.de/opac.htm?method=simpleSearch&amp;cqlMode=true&amp;query=idn%3D998549258</v>
      </c>
      <c r="E4134" s="74" t="s">
        <v>5376</v>
      </c>
      <c r="F4134" s="74"/>
      <c r="G4134" s="76"/>
      <c r="H4134" s="77"/>
      <c r="I4134" s="76"/>
      <c r="J4134" s="77"/>
      <c r="K4134" s="77"/>
      <c r="L4134" s="76"/>
      <c r="M4134" s="76"/>
      <c r="N4134" s="76"/>
      <c r="O4134" s="76"/>
      <c r="P4134" s="76"/>
      <c r="Q4134" s="76"/>
      <c r="R4134" s="76"/>
      <c r="S4134" s="76"/>
      <c r="BD4134" s="99">
        <f t="shared" si="135"/>
        <v>0</v>
      </c>
      <c r="CC4134" s="99"/>
      <c r="CV4134" s="99"/>
      <c r="CW4134" s="63"/>
    </row>
    <row r="4135" spans="1:101" x14ac:dyDescent="0.15">
      <c r="A4135" s="76">
        <v>3874</v>
      </c>
      <c r="B4135" s="74" t="s">
        <v>5377</v>
      </c>
      <c r="C4135" s="74">
        <v>993908489</v>
      </c>
      <c r="D4135" s="78" t="str">
        <f t="shared" si="136"/>
        <v>https://portal.dnb.de/opac.htm?method=simpleSearch&amp;cqlMode=true&amp;query=idn%3D993908489</v>
      </c>
      <c r="E4135" s="74" t="s">
        <v>5378</v>
      </c>
      <c r="F4135" s="74"/>
      <c r="G4135" s="76"/>
      <c r="H4135" s="77"/>
      <c r="I4135" s="76"/>
      <c r="J4135" s="77"/>
      <c r="K4135" s="77"/>
      <c r="L4135" s="76"/>
      <c r="M4135" s="76"/>
      <c r="N4135" s="76"/>
      <c r="O4135" s="76"/>
      <c r="P4135" s="76"/>
      <c r="Q4135" s="76"/>
      <c r="R4135" s="76"/>
      <c r="S4135" s="76"/>
      <c r="BD4135" s="99">
        <f t="shared" si="135"/>
        <v>0</v>
      </c>
      <c r="CC4135" s="99"/>
      <c r="CV4135" s="99"/>
      <c r="CW4135" s="63"/>
    </row>
    <row r="4136" spans="1:101" x14ac:dyDescent="0.15">
      <c r="A4136" s="76">
        <v>3875</v>
      </c>
      <c r="B4136" s="74" t="s">
        <v>5379</v>
      </c>
      <c r="C4136" s="74">
        <v>997132930</v>
      </c>
      <c r="D4136" s="78" t="str">
        <f t="shared" si="136"/>
        <v>https://portal.dnb.de/opac.htm?method=simpleSearch&amp;cqlMode=true&amp;query=idn%3D997132930</v>
      </c>
      <c r="E4136" s="74" t="s">
        <v>5380</v>
      </c>
      <c r="F4136" s="74"/>
      <c r="G4136" s="76"/>
      <c r="H4136" s="77"/>
      <c r="I4136" s="76"/>
      <c r="J4136" s="77"/>
      <c r="K4136" s="77"/>
      <c r="L4136" s="76"/>
      <c r="M4136" s="76"/>
      <c r="N4136" s="76"/>
      <c r="O4136" s="76"/>
      <c r="P4136" s="76"/>
      <c r="Q4136" s="76"/>
      <c r="R4136" s="76"/>
      <c r="S4136" s="76"/>
      <c r="BD4136" s="99">
        <f t="shared" si="135"/>
        <v>0</v>
      </c>
      <c r="CC4136" s="99"/>
      <c r="CV4136" s="99"/>
      <c r="CW4136" s="63"/>
    </row>
    <row r="4137" spans="1:101" x14ac:dyDescent="0.15">
      <c r="A4137" s="76">
        <v>3876</v>
      </c>
      <c r="B4137" s="74" t="s">
        <v>5383</v>
      </c>
      <c r="C4137" s="74">
        <v>1002236800</v>
      </c>
      <c r="D4137" s="78" t="str">
        <f t="shared" si="136"/>
        <v>https://portal.dnb.de/opac.htm?method=simpleSearch&amp;cqlMode=true&amp;query=idn%3D1002236800</v>
      </c>
      <c r="E4137" s="74" t="s">
        <v>5384</v>
      </c>
      <c r="F4137" s="74"/>
      <c r="G4137" s="76"/>
      <c r="H4137" s="77"/>
      <c r="I4137" s="76"/>
      <c r="J4137" s="77"/>
      <c r="K4137" s="77"/>
      <c r="L4137" s="76"/>
      <c r="M4137" s="76"/>
      <c r="N4137" s="76"/>
      <c r="O4137" s="76"/>
      <c r="P4137" s="76"/>
      <c r="Q4137" s="76"/>
      <c r="R4137" s="76"/>
      <c r="S4137" s="76"/>
      <c r="BD4137" s="99">
        <f t="shared" si="135"/>
        <v>0</v>
      </c>
      <c r="CC4137" s="99"/>
      <c r="CV4137" s="99"/>
      <c r="CW4137" s="63"/>
    </row>
    <row r="4138" spans="1:101" x14ac:dyDescent="0.15">
      <c r="A4138" s="76">
        <v>3877</v>
      </c>
      <c r="B4138" s="74" t="s">
        <v>5385</v>
      </c>
      <c r="C4138" s="74">
        <v>1002236835</v>
      </c>
      <c r="D4138" s="78" t="str">
        <f t="shared" si="136"/>
        <v>https://portal.dnb.de/opac.htm?method=simpleSearch&amp;cqlMode=true&amp;query=idn%3D1002236835</v>
      </c>
      <c r="E4138" s="74" t="s">
        <v>5384</v>
      </c>
      <c r="F4138" s="74"/>
      <c r="G4138" s="76"/>
      <c r="H4138" s="77"/>
      <c r="I4138" s="76"/>
      <c r="J4138" s="77"/>
      <c r="K4138" s="77"/>
      <c r="L4138" s="76"/>
      <c r="M4138" s="76"/>
      <c r="N4138" s="76"/>
      <c r="O4138" s="76"/>
      <c r="P4138" s="76"/>
      <c r="Q4138" s="76"/>
      <c r="R4138" s="76"/>
      <c r="S4138" s="76"/>
      <c r="BD4138" s="99">
        <f t="shared" si="135"/>
        <v>0</v>
      </c>
      <c r="CC4138" s="99"/>
      <c r="CV4138" s="99"/>
      <c r="CW4138" s="63"/>
    </row>
    <row r="4139" spans="1:101" x14ac:dyDescent="0.15">
      <c r="A4139" s="76">
        <v>3878</v>
      </c>
      <c r="B4139" s="74" t="s">
        <v>5386</v>
      </c>
      <c r="C4139" s="74">
        <v>1002734010</v>
      </c>
      <c r="D4139" s="78" t="str">
        <f t="shared" si="136"/>
        <v>https://portal.dnb.de/opac.htm?method=simpleSearch&amp;cqlMode=true&amp;query=idn%3D1002734010</v>
      </c>
      <c r="E4139" s="74" t="s">
        <v>5387</v>
      </c>
      <c r="F4139" s="74"/>
      <c r="G4139" s="76"/>
      <c r="H4139" s="77"/>
      <c r="I4139" s="76"/>
      <c r="J4139" s="77"/>
      <c r="K4139" s="77"/>
      <c r="L4139" s="76"/>
      <c r="M4139" s="76"/>
      <c r="N4139" s="76"/>
      <c r="O4139" s="76"/>
      <c r="P4139" s="76"/>
      <c r="Q4139" s="76"/>
      <c r="R4139" s="76"/>
      <c r="S4139" s="76"/>
      <c r="BD4139" s="99">
        <f t="shared" si="135"/>
        <v>0</v>
      </c>
      <c r="CC4139" s="99"/>
      <c r="CV4139" s="99"/>
      <c r="CW4139" s="63"/>
    </row>
    <row r="4140" spans="1:101" x14ac:dyDescent="0.15">
      <c r="A4140" s="76">
        <v>3879</v>
      </c>
      <c r="B4140" s="74" t="s">
        <v>5388</v>
      </c>
      <c r="C4140" s="74">
        <v>1002734053</v>
      </c>
      <c r="D4140" s="78" t="str">
        <f t="shared" si="136"/>
        <v>https://portal.dnb.de/opac.htm?method=simpleSearch&amp;cqlMode=true&amp;query=idn%3D1002734053</v>
      </c>
      <c r="E4140" s="74" t="s">
        <v>5387</v>
      </c>
      <c r="F4140" s="74"/>
      <c r="G4140" s="76"/>
      <c r="H4140" s="77"/>
      <c r="I4140" s="76"/>
      <c r="J4140" s="77"/>
      <c r="K4140" s="77"/>
      <c r="L4140" s="76"/>
      <c r="M4140" s="76"/>
      <c r="N4140" s="76"/>
      <c r="O4140" s="76"/>
      <c r="P4140" s="76"/>
      <c r="Q4140" s="76"/>
      <c r="R4140" s="76"/>
      <c r="S4140" s="76"/>
      <c r="BD4140" s="99">
        <f t="shared" si="135"/>
        <v>0</v>
      </c>
      <c r="CC4140" s="99"/>
      <c r="CV4140" s="99"/>
      <c r="CW4140" s="63"/>
    </row>
    <row r="4141" spans="1:101" ht="22.5" x14ac:dyDescent="0.15">
      <c r="A4141" s="76">
        <v>3880</v>
      </c>
      <c r="B4141" s="74" t="s">
        <v>5389</v>
      </c>
      <c r="C4141" s="74" t="s">
        <v>5390</v>
      </c>
      <c r="D4141" s="78" t="str">
        <f t="shared" si="136"/>
        <v>https://portal.dnb.de/opac.htm?method=simpleSearch&amp;cqlMode=true&amp;query=idn%3D100000130X</v>
      </c>
      <c r="E4141" s="74" t="s">
        <v>5391</v>
      </c>
      <c r="F4141" s="74"/>
      <c r="G4141" s="76"/>
      <c r="H4141" s="77"/>
      <c r="I4141" s="76" t="s">
        <v>54</v>
      </c>
      <c r="J4141" s="77"/>
      <c r="K4141" s="77"/>
      <c r="L4141" s="76"/>
      <c r="M4141" s="76"/>
      <c r="N4141" s="76"/>
      <c r="O4141" s="76"/>
      <c r="P4141" s="76"/>
      <c r="Q4141" s="76"/>
      <c r="R4141" s="76"/>
      <c r="S4141" s="76"/>
      <c r="Y4141" s="95" t="s">
        <v>9723</v>
      </c>
      <c r="AB4141" s="95" t="s">
        <v>8541</v>
      </c>
      <c r="AC4141" s="95" t="s">
        <v>9730</v>
      </c>
      <c r="AI4141" s="95" t="s">
        <v>9725</v>
      </c>
      <c r="AP4141" s="95" t="s">
        <v>8541</v>
      </c>
      <c r="AQ4141" s="96" t="s">
        <v>9846</v>
      </c>
      <c r="AR4141" s="95" t="s">
        <v>8541</v>
      </c>
      <c r="AW4141" s="95">
        <v>110</v>
      </c>
      <c r="BA4141" s="95" t="s">
        <v>8541</v>
      </c>
      <c r="BC4141" s="96" t="s">
        <v>9734</v>
      </c>
      <c r="BD4141" s="99">
        <f t="shared" si="135"/>
        <v>0</v>
      </c>
      <c r="BF4141" s="95" t="s">
        <v>10005</v>
      </c>
      <c r="CC4141" s="99"/>
      <c r="CV4141" s="99"/>
      <c r="CW4141" s="63"/>
    </row>
    <row r="4142" spans="1:101" x14ac:dyDescent="0.15">
      <c r="A4142" s="76">
        <v>3881</v>
      </c>
      <c r="B4142" s="74" t="s">
        <v>5350</v>
      </c>
      <c r="C4142" s="74">
        <v>1000094014</v>
      </c>
      <c r="D4142" s="78" t="str">
        <f t="shared" si="136"/>
        <v>https://portal.dnb.de/opac.htm?method=simpleSearch&amp;cqlMode=true&amp;query=idn%3D1000094014</v>
      </c>
      <c r="E4142" s="74" t="s">
        <v>10467</v>
      </c>
      <c r="F4142" s="74"/>
      <c r="G4142" s="76"/>
      <c r="H4142" s="77"/>
      <c r="I4142" s="76" t="s">
        <v>56</v>
      </c>
      <c r="J4142" s="77"/>
      <c r="K4142" s="77"/>
      <c r="L4142" s="76"/>
      <c r="M4142" s="76"/>
      <c r="N4142" s="76"/>
      <c r="O4142" s="76"/>
      <c r="P4142" s="76"/>
      <c r="Q4142" s="76"/>
      <c r="R4142" s="76"/>
      <c r="S4142" s="76"/>
      <c r="Y4142" s="95" t="s">
        <v>9725</v>
      </c>
      <c r="AC4142" s="95" t="s">
        <v>9739</v>
      </c>
      <c r="AI4142" s="95" t="s">
        <v>9725</v>
      </c>
      <c r="AW4142" s="95">
        <v>110</v>
      </c>
      <c r="BC4142" s="96" t="s">
        <v>9734</v>
      </c>
      <c r="BD4142" s="99">
        <f t="shared" si="135"/>
        <v>0</v>
      </c>
      <c r="BL4142" s="70" t="s">
        <v>10015</v>
      </c>
      <c r="CC4142" s="99"/>
      <c r="CV4142" s="99"/>
      <c r="CW4142" s="63"/>
    </row>
    <row r="4143" spans="1:101" x14ac:dyDescent="0.15">
      <c r="A4143" s="76">
        <v>3882</v>
      </c>
      <c r="B4143" s="74" t="s">
        <v>5351</v>
      </c>
      <c r="C4143" s="74">
        <v>1000094359</v>
      </c>
      <c r="D4143" s="78" t="str">
        <f t="shared" si="136"/>
        <v>https://portal.dnb.de/opac.htm?method=simpleSearch&amp;cqlMode=true&amp;query=idn%3D1000094359</v>
      </c>
      <c r="E4143" s="74" t="s">
        <v>10471</v>
      </c>
      <c r="F4143" s="74"/>
      <c r="G4143" s="76"/>
      <c r="H4143" s="77"/>
      <c r="I4143" s="76" t="s">
        <v>56</v>
      </c>
      <c r="J4143" s="77"/>
      <c r="K4143" s="77"/>
      <c r="L4143" s="76"/>
      <c r="M4143" s="76"/>
      <c r="N4143" s="76"/>
      <c r="O4143" s="76"/>
      <c r="P4143" s="76"/>
      <c r="Q4143" s="76"/>
      <c r="R4143" s="76"/>
      <c r="S4143" s="76"/>
      <c r="Y4143" s="95" t="s">
        <v>9868</v>
      </c>
      <c r="AI4143" s="95" t="s">
        <v>9725</v>
      </c>
      <c r="AW4143" s="95">
        <v>180</v>
      </c>
      <c r="BC4143" s="96" t="s">
        <v>9734</v>
      </c>
      <c r="BD4143" s="99">
        <f t="shared" si="135"/>
        <v>0</v>
      </c>
      <c r="BF4143" s="95" t="s">
        <v>10005</v>
      </c>
      <c r="CC4143" s="99"/>
      <c r="CV4143" s="99"/>
      <c r="CW4143" s="63"/>
    </row>
    <row r="4144" spans="1:101" x14ac:dyDescent="0.15">
      <c r="A4144" s="76">
        <v>3883</v>
      </c>
      <c r="B4144" s="74" t="s">
        <v>5352</v>
      </c>
      <c r="C4144" s="74">
        <v>1000094170</v>
      </c>
      <c r="D4144" s="78" t="str">
        <f t="shared" si="136"/>
        <v>https://portal.dnb.de/opac.htm?method=simpleSearch&amp;cqlMode=true&amp;query=idn%3D1000094170</v>
      </c>
      <c r="E4144" s="74" t="s">
        <v>10469</v>
      </c>
      <c r="F4144" s="74"/>
      <c r="G4144" s="76"/>
      <c r="H4144" s="77"/>
      <c r="I4144" s="76"/>
      <c r="J4144" s="77"/>
      <c r="K4144" s="77"/>
      <c r="L4144" s="76"/>
      <c r="M4144" s="76"/>
      <c r="N4144" s="76"/>
      <c r="O4144" s="76"/>
      <c r="P4144" s="76"/>
      <c r="Q4144" s="76"/>
      <c r="R4144" s="76"/>
      <c r="S4144" s="76"/>
      <c r="BD4144" s="99">
        <f t="shared" si="135"/>
        <v>0</v>
      </c>
      <c r="CC4144" s="99"/>
      <c r="CV4144" s="99"/>
      <c r="CW4144" s="63"/>
    </row>
    <row r="4145" spans="1:101" x14ac:dyDescent="0.15">
      <c r="A4145" s="76">
        <v>3884</v>
      </c>
      <c r="B4145" s="74" t="s">
        <v>5353</v>
      </c>
      <c r="C4145" s="74">
        <v>1000094138</v>
      </c>
      <c r="D4145" s="78" t="str">
        <f t="shared" si="136"/>
        <v>https://portal.dnb.de/opac.htm?method=simpleSearch&amp;cqlMode=true&amp;query=idn%3D1000094138</v>
      </c>
      <c r="E4145" s="74" t="s">
        <v>10468</v>
      </c>
      <c r="F4145" s="74"/>
      <c r="G4145" s="76"/>
      <c r="H4145" s="77"/>
      <c r="I4145" s="76" t="s">
        <v>56</v>
      </c>
      <c r="J4145" s="77"/>
      <c r="K4145" s="77"/>
      <c r="L4145" s="76"/>
      <c r="M4145" s="76"/>
      <c r="N4145" s="76"/>
      <c r="O4145" s="76"/>
      <c r="P4145" s="76"/>
      <c r="Q4145" s="76"/>
      <c r="R4145" s="76"/>
      <c r="S4145" s="76"/>
      <c r="Y4145" s="95" t="s">
        <v>9725</v>
      </c>
      <c r="AC4145" s="95" t="s">
        <v>9739</v>
      </c>
      <c r="AI4145" s="95" t="s">
        <v>9725</v>
      </c>
      <c r="AW4145" s="95">
        <v>110</v>
      </c>
      <c r="BC4145" s="96" t="s">
        <v>9734</v>
      </c>
      <c r="BD4145" s="99">
        <f t="shared" si="135"/>
        <v>0</v>
      </c>
      <c r="BL4145" s="70" t="s">
        <v>10015</v>
      </c>
      <c r="CC4145" s="99"/>
      <c r="CV4145" s="99"/>
      <c r="CW4145" s="63"/>
    </row>
    <row r="4146" spans="1:101" x14ac:dyDescent="0.15">
      <c r="A4146" s="76">
        <v>3885</v>
      </c>
      <c r="B4146" s="74" t="s">
        <v>5354</v>
      </c>
      <c r="C4146" s="74">
        <v>1000094073</v>
      </c>
      <c r="D4146" s="78" t="str">
        <f t="shared" si="136"/>
        <v>https://portal.dnb.de/opac.htm?method=simpleSearch&amp;cqlMode=true&amp;query=idn%3D1000094073</v>
      </c>
      <c r="E4146" s="74" t="s">
        <v>10470</v>
      </c>
      <c r="F4146" s="74"/>
      <c r="G4146" s="76"/>
      <c r="H4146" s="77"/>
      <c r="I4146" s="76" t="s">
        <v>56</v>
      </c>
      <c r="J4146" s="77"/>
      <c r="K4146" s="77"/>
      <c r="L4146" s="76"/>
      <c r="M4146" s="76"/>
      <c r="N4146" s="76"/>
      <c r="O4146" s="76"/>
      <c r="P4146" s="76"/>
      <c r="Q4146" s="76"/>
      <c r="R4146" s="76"/>
      <c r="S4146" s="76"/>
      <c r="Y4146" s="95" t="s">
        <v>9725</v>
      </c>
      <c r="AC4146" s="95" t="s">
        <v>9739</v>
      </c>
      <c r="AI4146" s="95" t="s">
        <v>9725</v>
      </c>
      <c r="AW4146" s="95">
        <v>110</v>
      </c>
      <c r="BC4146" s="96" t="s">
        <v>9734</v>
      </c>
      <c r="BD4146" s="99">
        <f t="shared" si="135"/>
        <v>0</v>
      </c>
      <c r="BL4146" s="70" t="s">
        <v>10015</v>
      </c>
      <c r="CC4146" s="99"/>
      <c r="CV4146" s="99"/>
      <c r="CW4146" s="63"/>
    </row>
    <row r="4147" spans="1:101" x14ac:dyDescent="0.15">
      <c r="A4147" s="76">
        <v>3886</v>
      </c>
      <c r="B4147" s="74" t="s">
        <v>5407</v>
      </c>
      <c r="C4147" s="74">
        <v>1066963878</v>
      </c>
      <c r="D4147" s="78" t="str">
        <f t="shared" si="136"/>
        <v>https://portal.dnb.de/opac.htm?method=simpleSearch&amp;cqlMode=true&amp;query=idn%3D1066963878</v>
      </c>
      <c r="E4147" s="74" t="s">
        <v>5408</v>
      </c>
      <c r="F4147" s="74"/>
      <c r="G4147" s="76"/>
      <c r="H4147" s="77"/>
      <c r="I4147" s="76"/>
      <c r="J4147" s="77"/>
      <c r="K4147" s="77"/>
      <c r="L4147" s="76"/>
      <c r="M4147" s="76"/>
      <c r="N4147" s="76"/>
      <c r="O4147" s="76"/>
      <c r="P4147" s="76"/>
      <c r="Q4147" s="76"/>
      <c r="R4147" s="76"/>
      <c r="S4147" s="76"/>
      <c r="BD4147" s="99">
        <f t="shared" si="135"/>
        <v>0</v>
      </c>
      <c r="CC4147" s="99"/>
      <c r="CV4147" s="99"/>
      <c r="CW4147" s="63"/>
    </row>
    <row r="4148" spans="1:101" x14ac:dyDescent="0.15">
      <c r="A4148" s="76">
        <v>3887</v>
      </c>
      <c r="B4148" s="74" t="s">
        <v>5409</v>
      </c>
      <c r="C4148" s="74">
        <v>1066796912</v>
      </c>
      <c r="D4148" s="78" t="str">
        <f t="shared" si="136"/>
        <v>https://portal.dnb.de/opac.htm?method=simpleSearch&amp;cqlMode=true&amp;query=idn%3D1066796912</v>
      </c>
      <c r="E4148" s="74" t="s">
        <v>5410</v>
      </c>
      <c r="F4148" s="74"/>
      <c r="G4148" s="76"/>
      <c r="H4148" s="77"/>
      <c r="I4148" s="76"/>
      <c r="J4148" s="77"/>
      <c r="K4148" s="77"/>
      <c r="L4148" s="76"/>
      <c r="M4148" s="76"/>
      <c r="N4148" s="76"/>
      <c r="O4148" s="76"/>
      <c r="P4148" s="76"/>
      <c r="Q4148" s="76"/>
      <c r="R4148" s="76"/>
      <c r="S4148" s="76"/>
      <c r="BD4148" s="99">
        <f t="shared" si="135"/>
        <v>0</v>
      </c>
      <c r="CC4148" s="99"/>
      <c r="CV4148" s="99"/>
      <c r="CW4148" s="63"/>
    </row>
    <row r="4149" spans="1:101" x14ac:dyDescent="0.15">
      <c r="A4149" s="76">
        <v>3888</v>
      </c>
      <c r="B4149" s="74" t="s">
        <v>5411</v>
      </c>
      <c r="C4149" s="74">
        <v>1066940320</v>
      </c>
      <c r="D4149" s="78" t="str">
        <f t="shared" si="136"/>
        <v>https://portal.dnb.de/opac.htm?method=simpleSearch&amp;cqlMode=true&amp;query=idn%3D1066940320</v>
      </c>
      <c r="E4149" s="74" t="s">
        <v>5412</v>
      </c>
      <c r="F4149" s="74"/>
      <c r="G4149" s="76"/>
      <c r="H4149" s="77"/>
      <c r="I4149" s="76"/>
      <c r="J4149" s="77"/>
      <c r="K4149" s="77"/>
      <c r="L4149" s="76"/>
      <c r="M4149" s="76"/>
      <c r="N4149" s="76"/>
      <c r="O4149" s="76"/>
      <c r="P4149" s="76"/>
      <c r="Q4149" s="76"/>
      <c r="R4149" s="76"/>
      <c r="S4149" s="76"/>
      <c r="BD4149" s="99">
        <f t="shared" si="135"/>
        <v>0</v>
      </c>
      <c r="CC4149" s="99"/>
      <c r="CV4149" s="99"/>
      <c r="CW4149" s="63"/>
    </row>
    <row r="4150" spans="1:101" x14ac:dyDescent="0.15">
      <c r="A4150" s="76">
        <v>3889</v>
      </c>
      <c r="B4150" s="74" t="s">
        <v>5413</v>
      </c>
      <c r="C4150" s="74">
        <v>1066937265</v>
      </c>
      <c r="D4150" s="78" t="str">
        <f t="shared" si="136"/>
        <v>https://portal.dnb.de/opac.htm?method=simpleSearch&amp;cqlMode=true&amp;query=idn%3D1066937265</v>
      </c>
      <c r="E4150" s="74" t="s">
        <v>5414</v>
      </c>
      <c r="F4150" s="74"/>
      <c r="G4150" s="76"/>
      <c r="H4150" s="77"/>
      <c r="I4150" s="76" t="s">
        <v>53</v>
      </c>
      <c r="J4150" s="77"/>
      <c r="K4150" s="77"/>
      <c r="L4150" s="76"/>
      <c r="M4150" s="76"/>
      <c r="N4150" s="76"/>
      <c r="O4150" s="76"/>
      <c r="P4150" s="76"/>
      <c r="Q4150" s="76"/>
      <c r="R4150" s="76"/>
      <c r="S4150" s="76"/>
      <c r="Y4150" s="95" t="s">
        <v>9731</v>
      </c>
      <c r="AC4150" s="95" t="s">
        <v>9730</v>
      </c>
      <c r="AI4150" s="95" t="s">
        <v>9725</v>
      </c>
      <c r="AP4150" s="95" t="s">
        <v>8541</v>
      </c>
      <c r="AW4150" s="95">
        <v>110</v>
      </c>
      <c r="BC4150" s="96" t="s">
        <v>9734</v>
      </c>
      <c r="BD4150" s="99">
        <f t="shared" si="135"/>
        <v>0</v>
      </c>
      <c r="CC4150" s="99"/>
      <c r="CV4150" s="99"/>
      <c r="CW4150" s="63"/>
    </row>
    <row r="4151" spans="1:101" x14ac:dyDescent="0.15">
      <c r="A4151" s="76">
        <v>3890</v>
      </c>
      <c r="B4151" s="74" t="s">
        <v>5415</v>
      </c>
      <c r="C4151" s="74">
        <v>1066880301</v>
      </c>
      <c r="D4151" s="78" t="str">
        <f t="shared" si="136"/>
        <v>https://portal.dnb.de/opac.htm?method=simpleSearch&amp;cqlMode=true&amp;query=idn%3D1066880301</v>
      </c>
      <c r="E4151" s="74" t="s">
        <v>5416</v>
      </c>
      <c r="F4151" s="74"/>
      <c r="G4151" s="76"/>
      <c r="H4151" s="77"/>
      <c r="I4151" s="76"/>
      <c r="J4151" s="77"/>
      <c r="K4151" s="77"/>
      <c r="L4151" s="76"/>
      <c r="M4151" s="76"/>
      <c r="N4151" s="76"/>
      <c r="O4151" s="76"/>
      <c r="P4151" s="76"/>
      <c r="Q4151" s="76"/>
      <c r="R4151" s="76"/>
      <c r="S4151" s="76"/>
      <c r="BD4151" s="99">
        <f t="shared" si="135"/>
        <v>0</v>
      </c>
      <c r="CC4151" s="99"/>
      <c r="CV4151" s="99"/>
      <c r="CW4151" s="63"/>
    </row>
    <row r="4152" spans="1:101" x14ac:dyDescent="0.15">
      <c r="A4152" s="76">
        <v>3891</v>
      </c>
      <c r="B4152" s="74" t="s">
        <v>5417</v>
      </c>
      <c r="C4152" s="74">
        <v>1066837449</v>
      </c>
      <c r="D4152" s="78" t="str">
        <f t="shared" si="136"/>
        <v>https://portal.dnb.de/opac.htm?method=simpleSearch&amp;cqlMode=true&amp;query=idn%3D1066837449</v>
      </c>
      <c r="E4152" s="74" t="s">
        <v>5418</v>
      </c>
      <c r="F4152" s="74"/>
      <c r="G4152" s="76"/>
      <c r="H4152" s="77"/>
      <c r="I4152" s="76"/>
      <c r="J4152" s="77"/>
      <c r="K4152" s="77"/>
      <c r="L4152" s="76"/>
      <c r="M4152" s="76"/>
      <c r="N4152" s="76"/>
      <c r="O4152" s="76"/>
      <c r="P4152" s="76"/>
      <c r="Q4152" s="76"/>
      <c r="R4152" s="76"/>
      <c r="S4152" s="76"/>
      <c r="BD4152" s="99">
        <f t="shared" si="135"/>
        <v>0</v>
      </c>
      <c r="CC4152" s="99"/>
      <c r="CV4152" s="99"/>
      <c r="CW4152" s="63"/>
    </row>
    <row r="4153" spans="1:101" ht="22.5" x14ac:dyDescent="0.15">
      <c r="A4153" s="76">
        <v>3892</v>
      </c>
      <c r="B4153" s="74" t="s">
        <v>5419</v>
      </c>
      <c r="C4153" s="74">
        <v>1066866058</v>
      </c>
      <c r="D4153" s="78" t="str">
        <f t="shared" si="136"/>
        <v>https://portal.dnb.de/opac.htm?method=simpleSearch&amp;cqlMode=true&amp;query=idn%3D1066866058</v>
      </c>
      <c r="E4153" s="74" t="s">
        <v>5420</v>
      </c>
      <c r="F4153" s="74"/>
      <c r="G4153" s="76"/>
      <c r="H4153" s="77"/>
      <c r="I4153" s="76" t="s">
        <v>54</v>
      </c>
      <c r="J4153" s="77"/>
      <c r="K4153" s="77"/>
      <c r="L4153" s="76"/>
      <c r="M4153" s="76"/>
      <c r="N4153" s="76"/>
      <c r="O4153" s="76"/>
      <c r="P4153" s="76"/>
      <c r="Q4153" s="76"/>
      <c r="R4153" s="76"/>
      <c r="S4153" s="76"/>
      <c r="Y4153" s="95" t="s">
        <v>9723</v>
      </c>
      <c r="AB4153" s="95" t="s">
        <v>8541</v>
      </c>
      <c r="AC4153" s="95" t="s">
        <v>9730</v>
      </c>
      <c r="AI4153" s="95" t="s">
        <v>9725</v>
      </c>
      <c r="AP4153" s="95" t="s">
        <v>8541</v>
      </c>
      <c r="AQ4153" s="96" t="s">
        <v>9847</v>
      </c>
      <c r="AR4153" s="95" t="s">
        <v>8541</v>
      </c>
      <c r="AW4153" s="95">
        <v>110</v>
      </c>
      <c r="BC4153" s="96" t="s">
        <v>9734</v>
      </c>
      <c r="BD4153" s="99">
        <f t="shared" si="135"/>
        <v>0</v>
      </c>
      <c r="BF4153" s="95" t="s">
        <v>10005</v>
      </c>
      <c r="BL4153" s="70" t="s">
        <v>9848</v>
      </c>
      <c r="CC4153" s="99"/>
      <c r="CV4153" s="99"/>
    </row>
    <row r="4154" spans="1:101" x14ac:dyDescent="0.15">
      <c r="A4154" s="76">
        <v>3893</v>
      </c>
      <c r="B4154" s="74" t="s">
        <v>5421</v>
      </c>
      <c r="C4154" s="74">
        <v>1066869707</v>
      </c>
      <c r="D4154" s="78" t="str">
        <f t="shared" si="136"/>
        <v>https://portal.dnb.de/opac.htm?method=simpleSearch&amp;cqlMode=true&amp;query=idn%3D1066869707</v>
      </c>
      <c r="E4154" s="74" t="s">
        <v>5422</v>
      </c>
      <c r="F4154" s="74"/>
      <c r="G4154" s="76"/>
      <c r="H4154" s="77"/>
      <c r="I4154" s="76"/>
      <c r="J4154" s="77"/>
      <c r="K4154" s="77"/>
      <c r="L4154" s="76"/>
      <c r="M4154" s="76"/>
      <c r="N4154" s="76"/>
      <c r="O4154" s="76"/>
      <c r="P4154" s="76"/>
      <c r="Q4154" s="76"/>
      <c r="R4154" s="76"/>
      <c r="S4154" s="76"/>
      <c r="BD4154" s="99">
        <f t="shared" si="135"/>
        <v>0</v>
      </c>
      <c r="CC4154" s="99"/>
      <c r="CV4154" s="99"/>
      <c r="CW4154" s="63"/>
    </row>
    <row r="4155" spans="1:101" ht="22.5" x14ac:dyDescent="0.15">
      <c r="A4155" s="76">
        <v>3894</v>
      </c>
      <c r="B4155" s="74" t="s">
        <v>5423</v>
      </c>
      <c r="C4155" s="74">
        <v>1066938334</v>
      </c>
      <c r="D4155" s="78" t="str">
        <f t="shared" si="136"/>
        <v>https://portal.dnb.de/opac.htm?method=simpleSearch&amp;cqlMode=true&amp;query=idn%3D1066938334</v>
      </c>
      <c r="E4155" s="74" t="s">
        <v>5424</v>
      </c>
      <c r="F4155" s="74"/>
      <c r="G4155" s="76"/>
      <c r="H4155" s="77"/>
      <c r="I4155" s="76" t="s">
        <v>53</v>
      </c>
      <c r="J4155" s="77"/>
      <c r="K4155" s="77"/>
      <c r="L4155" s="76"/>
      <c r="M4155" s="76"/>
      <c r="N4155" s="76"/>
      <c r="O4155" s="76"/>
      <c r="P4155" s="76"/>
      <c r="Q4155" s="76"/>
      <c r="R4155" s="76"/>
      <c r="S4155" s="76"/>
      <c r="Y4155" s="95" t="s">
        <v>9735</v>
      </c>
      <c r="AA4155" s="95" t="s">
        <v>8541</v>
      </c>
      <c r="AC4155" s="95" t="s">
        <v>9739</v>
      </c>
      <c r="AI4155" s="95" t="s">
        <v>9725</v>
      </c>
      <c r="AW4155" s="95">
        <v>110</v>
      </c>
      <c r="BC4155" s="96" t="s">
        <v>9726</v>
      </c>
      <c r="BD4155" s="99">
        <f t="shared" si="135"/>
        <v>1</v>
      </c>
      <c r="BH4155" s="95" t="s">
        <v>8541</v>
      </c>
      <c r="BP4155" s="69" t="s">
        <v>8541</v>
      </c>
      <c r="BR4155" s="95" t="s">
        <v>8541</v>
      </c>
      <c r="BT4155" s="95" t="s">
        <v>9737</v>
      </c>
      <c r="BV4155" s="95" t="s">
        <v>8541</v>
      </c>
      <c r="CC4155" s="99">
        <v>1</v>
      </c>
      <c r="CD4155" s="90" t="s">
        <v>10267</v>
      </c>
      <c r="CV4155" s="99"/>
      <c r="CW4155" s="63"/>
    </row>
    <row r="4156" spans="1:101" x14ac:dyDescent="0.15">
      <c r="A4156" s="76">
        <v>3895</v>
      </c>
      <c r="B4156" s="74" t="s">
        <v>5431</v>
      </c>
      <c r="C4156" s="74">
        <v>1066940479</v>
      </c>
      <c r="D4156" s="78" t="str">
        <f t="shared" si="136"/>
        <v>https://portal.dnb.de/opac.htm?method=simpleSearch&amp;cqlMode=true&amp;query=idn%3D1066940479</v>
      </c>
      <c r="E4156" s="74" t="s">
        <v>5432</v>
      </c>
      <c r="F4156" s="74"/>
      <c r="G4156" s="76"/>
      <c r="H4156" s="77"/>
      <c r="I4156" s="76"/>
      <c r="J4156" s="77"/>
      <c r="K4156" s="77"/>
      <c r="L4156" s="76"/>
      <c r="M4156" s="76"/>
      <c r="N4156" s="76"/>
      <c r="O4156" s="76"/>
      <c r="P4156" s="76"/>
      <c r="Q4156" s="76"/>
      <c r="R4156" s="76"/>
      <c r="S4156" s="76"/>
      <c r="BD4156" s="99">
        <f t="shared" si="135"/>
        <v>0</v>
      </c>
      <c r="CC4156" s="99"/>
      <c r="CV4156" s="99"/>
      <c r="CW4156" s="63"/>
    </row>
    <row r="4157" spans="1:101" x14ac:dyDescent="0.15">
      <c r="A4157" s="76">
        <v>3896</v>
      </c>
      <c r="B4157" s="74" t="s">
        <v>5433</v>
      </c>
      <c r="C4157" s="74">
        <v>1066454574</v>
      </c>
      <c r="D4157" s="78" t="str">
        <f t="shared" si="136"/>
        <v>https://portal.dnb.de/opac.htm?method=simpleSearch&amp;cqlMode=true&amp;query=idn%3D1066454574</v>
      </c>
      <c r="E4157" s="74" t="s">
        <v>5434</v>
      </c>
      <c r="F4157" s="74"/>
      <c r="G4157" s="76"/>
      <c r="H4157" s="77"/>
      <c r="I4157" s="76"/>
      <c r="J4157" s="77"/>
      <c r="K4157" s="77"/>
      <c r="L4157" s="76"/>
      <c r="M4157" s="76"/>
      <c r="N4157" s="76"/>
      <c r="O4157" s="76"/>
      <c r="P4157" s="76"/>
      <c r="Q4157" s="76"/>
      <c r="R4157" s="76"/>
      <c r="S4157" s="76"/>
      <c r="BD4157" s="99">
        <f t="shared" si="135"/>
        <v>0</v>
      </c>
      <c r="CC4157" s="99"/>
      <c r="CV4157" s="99"/>
      <c r="CW4157" s="63"/>
    </row>
    <row r="4158" spans="1:101" x14ac:dyDescent="0.15">
      <c r="A4158" s="76">
        <v>3897</v>
      </c>
      <c r="B4158" s="74" t="s">
        <v>5435</v>
      </c>
      <c r="C4158" s="74" t="s">
        <v>5436</v>
      </c>
      <c r="D4158" s="78" t="str">
        <f t="shared" si="136"/>
        <v>https://portal.dnb.de/opac.htm?method=simpleSearch&amp;cqlMode=true&amp;query=idn%3D106694167X</v>
      </c>
      <c r="E4158" s="74" t="s">
        <v>5437</v>
      </c>
      <c r="F4158" s="74"/>
      <c r="G4158" s="76"/>
      <c r="H4158" s="77"/>
      <c r="I4158" s="76"/>
      <c r="J4158" s="77"/>
      <c r="K4158" s="77"/>
      <c r="L4158" s="76"/>
      <c r="M4158" s="76"/>
      <c r="N4158" s="76"/>
      <c r="O4158" s="76"/>
      <c r="P4158" s="76"/>
      <c r="Q4158" s="76"/>
      <c r="R4158" s="76"/>
      <c r="S4158" s="76"/>
      <c r="BD4158" s="99">
        <f t="shared" si="135"/>
        <v>0</v>
      </c>
      <c r="CC4158" s="99"/>
      <c r="CV4158" s="99"/>
      <c r="CW4158" s="63"/>
    </row>
    <row r="4159" spans="1:101" x14ac:dyDescent="0.15">
      <c r="A4159" s="76">
        <v>3898</v>
      </c>
      <c r="B4159" s="74" t="s">
        <v>5438</v>
      </c>
      <c r="C4159" s="74" t="s">
        <v>5439</v>
      </c>
      <c r="D4159" s="78" t="str">
        <f t="shared" si="136"/>
        <v>https://portal.dnb.de/opac.htm?method=simpleSearch&amp;cqlMode=true&amp;query=idn%3D113264254X</v>
      </c>
      <c r="E4159" s="74" t="s">
        <v>5440</v>
      </c>
      <c r="F4159" s="74"/>
      <c r="G4159" s="76"/>
      <c r="H4159" s="77"/>
      <c r="I4159" s="76"/>
      <c r="J4159" s="77"/>
      <c r="K4159" s="77"/>
      <c r="L4159" s="76"/>
      <c r="M4159" s="76"/>
      <c r="N4159" s="76"/>
      <c r="O4159" s="76"/>
      <c r="P4159" s="76"/>
      <c r="Q4159" s="76"/>
      <c r="R4159" s="76"/>
      <c r="S4159" s="76"/>
      <c r="BD4159" s="99">
        <f t="shared" si="135"/>
        <v>0</v>
      </c>
      <c r="CC4159" s="99"/>
      <c r="CV4159" s="99"/>
      <c r="CW4159" s="63"/>
    </row>
    <row r="4160" spans="1:101" x14ac:dyDescent="0.15">
      <c r="A4160" s="76">
        <v>3899</v>
      </c>
      <c r="B4160" s="74" t="s">
        <v>5441</v>
      </c>
      <c r="C4160" s="74">
        <v>1132642558</v>
      </c>
      <c r="D4160" s="78" t="str">
        <f t="shared" si="136"/>
        <v>https://portal.dnb.de/opac.htm?method=simpleSearch&amp;cqlMode=true&amp;query=idn%3D1132642558</v>
      </c>
      <c r="E4160" s="74" t="s">
        <v>5440</v>
      </c>
      <c r="F4160" s="74"/>
      <c r="G4160" s="76"/>
      <c r="H4160" s="77"/>
      <c r="I4160" s="76"/>
      <c r="J4160" s="77"/>
      <c r="K4160" s="77"/>
      <c r="L4160" s="76"/>
      <c r="M4160" s="76"/>
      <c r="N4160" s="76"/>
      <c r="O4160" s="76"/>
      <c r="P4160" s="76"/>
      <c r="Q4160" s="76"/>
      <c r="R4160" s="76"/>
      <c r="S4160" s="76"/>
      <c r="BD4160" s="99">
        <f t="shared" si="135"/>
        <v>0</v>
      </c>
      <c r="CC4160" s="99"/>
      <c r="CV4160" s="99"/>
      <c r="CW4160" s="63"/>
    </row>
    <row r="4161" spans="1:101" x14ac:dyDescent="0.15">
      <c r="A4161" s="76">
        <v>3900</v>
      </c>
      <c r="B4161" s="74" t="s">
        <v>5442</v>
      </c>
      <c r="C4161" s="74">
        <v>1066769001</v>
      </c>
      <c r="D4161" s="78" t="str">
        <f t="shared" si="136"/>
        <v>https://portal.dnb.de/opac.htm?method=simpleSearch&amp;cqlMode=true&amp;query=idn%3D1066769001</v>
      </c>
      <c r="E4161" s="74" t="s">
        <v>5443</v>
      </c>
      <c r="F4161" s="74"/>
      <c r="G4161" s="76"/>
      <c r="H4161" s="77"/>
      <c r="I4161" s="76"/>
      <c r="J4161" s="77"/>
      <c r="K4161" s="77"/>
      <c r="L4161" s="76"/>
      <c r="M4161" s="76"/>
      <c r="N4161" s="76"/>
      <c r="O4161" s="76"/>
      <c r="P4161" s="76"/>
      <c r="Q4161" s="76"/>
      <c r="R4161" s="76"/>
      <c r="S4161" s="76"/>
      <c r="BD4161" s="99">
        <f t="shared" si="135"/>
        <v>0</v>
      </c>
      <c r="CC4161" s="99"/>
      <c r="CV4161" s="99"/>
      <c r="CW4161" s="63"/>
    </row>
    <row r="4162" spans="1:101" ht="22.5" x14ac:dyDescent="0.15">
      <c r="A4162" s="76">
        <v>3901</v>
      </c>
      <c r="B4162" s="74" t="s">
        <v>5444</v>
      </c>
      <c r="C4162" s="74" t="s">
        <v>5445</v>
      </c>
      <c r="D4162" s="78" t="str">
        <f t="shared" si="136"/>
        <v>https://portal.dnb.de/opac.htm?method=simpleSearch&amp;cqlMode=true&amp;query=idn%3D106679944X</v>
      </c>
      <c r="E4162" s="74" t="s">
        <v>5446</v>
      </c>
      <c r="F4162" s="74"/>
      <c r="G4162" s="76"/>
      <c r="H4162" s="77"/>
      <c r="I4162" s="76" t="s">
        <v>53</v>
      </c>
      <c r="J4162" s="77"/>
      <c r="K4162" s="77"/>
      <c r="L4162" s="76"/>
      <c r="M4162" s="76"/>
      <c r="N4162" s="76"/>
      <c r="O4162" s="76"/>
      <c r="P4162" s="76"/>
      <c r="Q4162" s="76"/>
      <c r="R4162" s="76"/>
      <c r="S4162" s="76"/>
      <c r="Y4162" s="95" t="s">
        <v>9735</v>
      </c>
      <c r="AA4162" s="95" t="s">
        <v>8541</v>
      </c>
      <c r="AC4162" s="95" t="s">
        <v>9739</v>
      </c>
      <c r="AI4162" s="95" t="s">
        <v>9725</v>
      </c>
      <c r="AW4162" s="95">
        <v>110</v>
      </c>
      <c r="BC4162" s="96" t="s">
        <v>9726</v>
      </c>
      <c r="BD4162" s="99">
        <f t="shared" si="135"/>
        <v>1</v>
      </c>
      <c r="BH4162" s="95" t="s">
        <v>8541</v>
      </c>
      <c r="BP4162" s="69" t="s">
        <v>8541</v>
      </c>
      <c r="BR4162" s="95" t="s">
        <v>8541</v>
      </c>
      <c r="BT4162" s="95" t="s">
        <v>9772</v>
      </c>
      <c r="CC4162" s="99">
        <v>1</v>
      </c>
      <c r="CD4162" s="90" t="s">
        <v>10268</v>
      </c>
      <c r="CV4162" s="99"/>
      <c r="CW4162" s="63"/>
    </row>
    <row r="4163" spans="1:101" x14ac:dyDescent="0.15">
      <c r="A4163" s="76">
        <v>3902</v>
      </c>
      <c r="B4163" s="74" t="s">
        <v>5447</v>
      </c>
      <c r="C4163" s="74">
        <v>1066834849</v>
      </c>
      <c r="D4163" s="78" t="str">
        <f t="shared" si="136"/>
        <v>https://portal.dnb.de/opac.htm?method=simpleSearch&amp;cqlMode=true&amp;query=idn%3D1066834849</v>
      </c>
      <c r="E4163" s="74" t="s">
        <v>5448</v>
      </c>
      <c r="F4163" s="74"/>
      <c r="G4163" s="76"/>
      <c r="H4163" s="77"/>
      <c r="I4163" s="76"/>
      <c r="J4163" s="77"/>
      <c r="K4163" s="77"/>
      <c r="L4163" s="76"/>
      <c r="M4163" s="76"/>
      <c r="N4163" s="76"/>
      <c r="O4163" s="76"/>
      <c r="P4163" s="76"/>
      <c r="Q4163" s="76"/>
      <c r="R4163" s="76"/>
      <c r="S4163" s="76"/>
      <c r="BD4163" s="99">
        <f t="shared" ref="BD4163:BD4226" si="137">CC4163+CV4163</f>
        <v>0</v>
      </c>
      <c r="CC4163" s="99"/>
      <c r="CV4163" s="99"/>
      <c r="CW4163" s="63"/>
    </row>
    <row r="4164" spans="1:101" x14ac:dyDescent="0.15">
      <c r="A4164" s="76">
        <v>3903</v>
      </c>
      <c r="B4164" s="74" t="s">
        <v>5449</v>
      </c>
      <c r="C4164" s="74">
        <v>995821925</v>
      </c>
      <c r="D4164" s="78" t="str">
        <f t="shared" si="136"/>
        <v>https://portal.dnb.de/opac.htm?method=simpleSearch&amp;cqlMode=true&amp;query=idn%3D995821925</v>
      </c>
      <c r="E4164" s="74" t="s">
        <v>5450</v>
      </c>
      <c r="F4164" s="74"/>
      <c r="G4164" s="76"/>
      <c r="H4164" s="77"/>
      <c r="I4164" s="76"/>
      <c r="J4164" s="77"/>
      <c r="K4164" s="77"/>
      <c r="L4164" s="76"/>
      <c r="M4164" s="76"/>
      <c r="N4164" s="76"/>
      <c r="O4164" s="76"/>
      <c r="P4164" s="76"/>
      <c r="Q4164" s="76"/>
      <c r="R4164" s="76"/>
      <c r="S4164" s="76"/>
      <c r="BD4164" s="99">
        <f t="shared" si="137"/>
        <v>0</v>
      </c>
      <c r="CC4164" s="99"/>
      <c r="CV4164" s="99"/>
      <c r="CW4164" s="63"/>
    </row>
    <row r="4165" spans="1:101" x14ac:dyDescent="0.15">
      <c r="A4165" s="76">
        <v>3904</v>
      </c>
      <c r="B4165" s="74" t="s">
        <v>5451</v>
      </c>
      <c r="C4165" s="74">
        <v>1066940088</v>
      </c>
      <c r="D4165" s="78" t="str">
        <f t="shared" si="136"/>
        <v>https://portal.dnb.de/opac.htm?method=simpleSearch&amp;cqlMode=true&amp;query=idn%3D1066940088</v>
      </c>
      <c r="E4165" s="74" t="s">
        <v>5452</v>
      </c>
      <c r="F4165" s="74"/>
      <c r="G4165" s="76"/>
      <c r="H4165" s="77"/>
      <c r="I4165" s="76"/>
      <c r="J4165" s="77"/>
      <c r="K4165" s="77"/>
      <c r="L4165" s="76"/>
      <c r="M4165" s="76"/>
      <c r="N4165" s="76"/>
      <c r="O4165" s="76"/>
      <c r="P4165" s="76"/>
      <c r="Q4165" s="76"/>
      <c r="R4165" s="76"/>
      <c r="S4165" s="76"/>
      <c r="BD4165" s="99">
        <f t="shared" si="137"/>
        <v>0</v>
      </c>
      <c r="CC4165" s="99"/>
      <c r="CV4165" s="99"/>
      <c r="CW4165" s="63"/>
    </row>
    <row r="4166" spans="1:101" ht="22.5" x14ac:dyDescent="0.15">
      <c r="A4166" s="76">
        <v>3905</v>
      </c>
      <c r="B4166" s="74" t="s">
        <v>5453</v>
      </c>
      <c r="C4166" s="74">
        <v>1066870764</v>
      </c>
      <c r="D4166" s="78" t="str">
        <f t="shared" si="136"/>
        <v>https://portal.dnb.de/opac.htm?method=simpleSearch&amp;cqlMode=true&amp;query=idn%3D1066870764</v>
      </c>
      <c r="E4166" s="74" t="s">
        <v>5454</v>
      </c>
      <c r="F4166" s="74"/>
      <c r="G4166" s="76"/>
      <c r="H4166" s="77"/>
      <c r="I4166" s="76" t="s">
        <v>53</v>
      </c>
      <c r="J4166" s="77"/>
      <c r="K4166" s="77"/>
      <c r="L4166" s="76"/>
      <c r="M4166" s="76"/>
      <c r="N4166" s="76"/>
      <c r="O4166" s="76"/>
      <c r="P4166" s="76"/>
      <c r="Q4166" s="76"/>
      <c r="R4166" s="76"/>
      <c r="S4166" s="76"/>
      <c r="Y4166" s="95" t="s">
        <v>9736</v>
      </c>
      <c r="AA4166" s="95" t="s">
        <v>8541</v>
      </c>
      <c r="AC4166" s="95" t="s">
        <v>9737</v>
      </c>
      <c r="AI4166" s="95" t="s">
        <v>9725</v>
      </c>
      <c r="AW4166" s="95">
        <v>45</v>
      </c>
      <c r="BC4166" s="96" t="s">
        <v>9726</v>
      </c>
      <c r="BD4166" s="99">
        <f t="shared" si="137"/>
        <v>2</v>
      </c>
      <c r="BH4166" s="95" t="s">
        <v>8541</v>
      </c>
      <c r="BP4166" s="69" t="s">
        <v>8541</v>
      </c>
      <c r="BT4166" s="95" t="s">
        <v>10548</v>
      </c>
      <c r="CA4166" s="95" t="s">
        <v>8541</v>
      </c>
      <c r="CB4166" s="95" t="s">
        <v>9818</v>
      </c>
      <c r="CC4166" s="99">
        <v>2</v>
      </c>
      <c r="CD4166" s="90" t="s">
        <v>10269</v>
      </c>
      <c r="CV4166" s="99"/>
      <c r="CW4166" s="63"/>
    </row>
    <row r="4167" spans="1:101" x14ac:dyDescent="0.15">
      <c r="A4167" s="76">
        <v>3906</v>
      </c>
      <c r="B4167" s="74" t="s">
        <v>5493</v>
      </c>
      <c r="C4167" s="74">
        <v>1000898628</v>
      </c>
      <c r="D4167" s="78" t="str">
        <f t="shared" si="136"/>
        <v>https://portal.dnb.de/opac.htm?method=simpleSearch&amp;cqlMode=true&amp;query=idn%3D1000898628</v>
      </c>
      <c r="E4167" s="74" t="s">
        <v>5494</v>
      </c>
      <c r="F4167" s="74"/>
      <c r="G4167" s="76"/>
      <c r="H4167" s="77"/>
      <c r="I4167" s="76"/>
      <c r="J4167" s="77"/>
      <c r="K4167" s="77"/>
      <c r="L4167" s="76"/>
      <c r="M4167" s="76"/>
      <c r="N4167" s="76"/>
      <c r="O4167" s="76"/>
      <c r="P4167" s="76"/>
      <c r="Q4167" s="76"/>
      <c r="R4167" s="76"/>
      <c r="S4167" s="76"/>
      <c r="BD4167" s="99">
        <f t="shared" si="137"/>
        <v>0</v>
      </c>
      <c r="CC4167" s="99"/>
      <c r="CV4167" s="99"/>
      <c r="CW4167" s="63"/>
    </row>
    <row r="4168" spans="1:101" ht="33.75" x14ac:dyDescent="0.15">
      <c r="A4168" s="76">
        <v>3907</v>
      </c>
      <c r="B4168" s="74" t="s">
        <v>5455</v>
      </c>
      <c r="C4168" s="74" t="s">
        <v>5456</v>
      </c>
      <c r="D4168" s="78" t="str">
        <f t="shared" si="136"/>
        <v>https://portal.dnb.de/opac.htm?method=simpleSearch&amp;cqlMode=true&amp;query=idn%3D106693181X</v>
      </c>
      <c r="E4168" s="74" t="s">
        <v>5457</v>
      </c>
      <c r="F4168" s="74"/>
      <c r="G4168" s="76"/>
      <c r="H4168" s="77"/>
      <c r="I4168" s="76" t="s">
        <v>53</v>
      </c>
      <c r="J4168" s="77"/>
      <c r="K4168" s="77"/>
      <c r="L4168" s="76"/>
      <c r="M4168" s="76"/>
      <c r="N4168" s="76"/>
      <c r="O4168" s="76"/>
      <c r="P4168" s="76"/>
      <c r="Q4168" s="76"/>
      <c r="R4168" s="76"/>
      <c r="S4168" s="76"/>
      <c r="Y4168" s="95" t="s">
        <v>9736</v>
      </c>
      <c r="AA4168" s="95" t="s">
        <v>8541</v>
      </c>
      <c r="AC4168" s="95" t="s">
        <v>9737</v>
      </c>
      <c r="AI4168" s="95" t="s">
        <v>9725</v>
      </c>
      <c r="AW4168" s="95" t="s">
        <v>9733</v>
      </c>
      <c r="BC4168" s="96" t="s">
        <v>9796</v>
      </c>
      <c r="BD4168" s="99">
        <f t="shared" si="137"/>
        <v>1.5</v>
      </c>
      <c r="BH4168" s="95" t="s">
        <v>8541</v>
      </c>
      <c r="BL4168" s="70" t="s">
        <v>10271</v>
      </c>
      <c r="BP4168" s="69" t="s">
        <v>8541</v>
      </c>
      <c r="BT4168" s="95" t="s">
        <v>10548</v>
      </c>
      <c r="CA4168" s="95" t="s">
        <v>8541</v>
      </c>
      <c r="CC4168" s="99">
        <v>1.5</v>
      </c>
      <c r="CD4168" s="90" t="s">
        <v>10270</v>
      </c>
      <c r="CV4168" s="99"/>
      <c r="CW4168" s="63"/>
    </row>
    <row r="4169" spans="1:101" x14ac:dyDescent="0.15">
      <c r="A4169" s="76">
        <v>3908</v>
      </c>
      <c r="B4169" s="74" t="s">
        <v>5480</v>
      </c>
      <c r="C4169" s="74">
        <v>1066793794</v>
      </c>
      <c r="D4169" s="78" t="str">
        <f t="shared" si="136"/>
        <v>https://portal.dnb.de/opac.htm?method=simpleSearch&amp;cqlMode=true&amp;query=idn%3D1066793794</v>
      </c>
      <c r="E4169" s="74" t="s">
        <v>5481</v>
      </c>
      <c r="F4169" s="74"/>
      <c r="G4169" s="76"/>
      <c r="H4169" s="77"/>
      <c r="I4169" s="76"/>
      <c r="J4169" s="77"/>
      <c r="K4169" s="77"/>
      <c r="L4169" s="76"/>
      <c r="M4169" s="76"/>
      <c r="N4169" s="76"/>
      <c r="O4169" s="76"/>
      <c r="P4169" s="76"/>
      <c r="Q4169" s="76"/>
      <c r="R4169" s="76"/>
      <c r="S4169" s="76"/>
      <c r="BD4169" s="99">
        <f t="shared" si="137"/>
        <v>0</v>
      </c>
      <c r="CC4169" s="99"/>
      <c r="CV4169" s="99"/>
      <c r="CW4169" s="63"/>
    </row>
    <row r="4170" spans="1:101" x14ac:dyDescent="0.15">
      <c r="A4170" s="76">
        <v>3909</v>
      </c>
      <c r="B4170" s="74" t="s">
        <v>5482</v>
      </c>
      <c r="C4170" s="74">
        <v>1000571009</v>
      </c>
      <c r="D4170" s="78" t="str">
        <f t="shared" si="136"/>
        <v>https://portal.dnb.de/opac.htm?method=simpleSearch&amp;cqlMode=true&amp;query=idn%3D1000571009</v>
      </c>
      <c r="E4170" s="74" t="s">
        <v>5483</v>
      </c>
      <c r="F4170" s="74"/>
      <c r="G4170" s="76"/>
      <c r="H4170" s="77"/>
      <c r="I4170" s="76"/>
      <c r="J4170" s="77"/>
      <c r="K4170" s="77"/>
      <c r="L4170" s="76"/>
      <c r="M4170" s="76"/>
      <c r="N4170" s="76"/>
      <c r="O4170" s="76"/>
      <c r="P4170" s="76"/>
      <c r="Q4170" s="76"/>
      <c r="R4170" s="76"/>
      <c r="S4170" s="76"/>
      <c r="BD4170" s="99">
        <f t="shared" si="137"/>
        <v>0</v>
      </c>
      <c r="CC4170" s="99"/>
      <c r="CV4170" s="99"/>
      <c r="CW4170" s="63"/>
    </row>
    <row r="4171" spans="1:101" x14ac:dyDescent="0.15">
      <c r="A4171" s="76">
        <v>3910</v>
      </c>
      <c r="B4171" s="74" t="s">
        <v>5484</v>
      </c>
      <c r="C4171" s="74">
        <v>994097492</v>
      </c>
      <c r="D4171" s="78" t="str">
        <f t="shared" si="136"/>
        <v>https://portal.dnb.de/opac.htm?method=simpleSearch&amp;cqlMode=true&amp;query=idn%3D994097492</v>
      </c>
      <c r="E4171" s="74" t="s">
        <v>5485</v>
      </c>
      <c r="F4171" s="74"/>
      <c r="G4171" s="76"/>
      <c r="H4171" s="77"/>
      <c r="I4171" s="76"/>
      <c r="J4171" s="77"/>
      <c r="K4171" s="77"/>
      <c r="L4171" s="76"/>
      <c r="M4171" s="76"/>
      <c r="N4171" s="76"/>
      <c r="O4171" s="76"/>
      <c r="P4171" s="76"/>
      <c r="Q4171" s="76"/>
      <c r="R4171" s="76"/>
      <c r="S4171" s="76"/>
      <c r="BD4171" s="99">
        <f t="shared" si="137"/>
        <v>0</v>
      </c>
      <c r="CC4171" s="99"/>
      <c r="CV4171" s="99"/>
      <c r="CW4171" s="63"/>
    </row>
    <row r="4172" spans="1:101" x14ac:dyDescent="0.15">
      <c r="A4172" s="76">
        <v>3911</v>
      </c>
      <c r="B4172" s="74" t="s">
        <v>5486</v>
      </c>
      <c r="C4172" s="74">
        <v>993911099</v>
      </c>
      <c r="D4172" s="78" t="str">
        <f t="shared" si="136"/>
        <v>https://portal.dnb.de/opac.htm?method=simpleSearch&amp;cqlMode=true&amp;query=idn%3D993911099</v>
      </c>
      <c r="E4172" s="74" t="s">
        <v>5487</v>
      </c>
      <c r="F4172" s="74"/>
      <c r="G4172" s="76"/>
      <c r="H4172" s="77"/>
      <c r="I4172" s="76"/>
      <c r="J4172" s="77"/>
      <c r="K4172" s="77"/>
      <c r="L4172" s="76"/>
      <c r="M4172" s="76"/>
      <c r="N4172" s="76"/>
      <c r="O4172" s="76"/>
      <c r="P4172" s="76"/>
      <c r="Q4172" s="76"/>
      <c r="R4172" s="76"/>
      <c r="S4172" s="76"/>
      <c r="BD4172" s="99">
        <f t="shared" si="137"/>
        <v>0</v>
      </c>
      <c r="CC4172" s="99"/>
      <c r="CV4172" s="99"/>
      <c r="CW4172" s="63"/>
    </row>
    <row r="4173" spans="1:101" x14ac:dyDescent="0.15">
      <c r="A4173" s="76">
        <v>3912</v>
      </c>
      <c r="B4173" s="74" t="s">
        <v>5488</v>
      </c>
      <c r="C4173" s="74" t="s">
        <v>5489</v>
      </c>
      <c r="D4173" s="78" t="str">
        <f t="shared" si="136"/>
        <v>https://portal.dnb.de/opac.htm?method=simpleSearch&amp;cqlMode=true&amp;query=idn%3D100328440X</v>
      </c>
      <c r="E4173" s="74" t="s">
        <v>5490</v>
      </c>
      <c r="F4173" s="74"/>
      <c r="G4173" s="76"/>
      <c r="H4173" s="77"/>
      <c r="I4173" s="76"/>
      <c r="J4173" s="77"/>
      <c r="K4173" s="77"/>
      <c r="L4173" s="76"/>
      <c r="M4173" s="76"/>
      <c r="N4173" s="76"/>
      <c r="O4173" s="76"/>
      <c r="P4173" s="76"/>
      <c r="Q4173" s="76"/>
      <c r="R4173" s="76"/>
      <c r="S4173" s="76"/>
      <c r="BD4173" s="99">
        <f t="shared" si="137"/>
        <v>0</v>
      </c>
      <c r="CC4173" s="99"/>
      <c r="CV4173" s="99"/>
      <c r="CW4173" s="63"/>
    </row>
    <row r="4174" spans="1:101" ht="45" x14ac:dyDescent="0.15">
      <c r="A4174" s="76">
        <v>3913</v>
      </c>
      <c r="B4174" s="74" t="s">
        <v>5491</v>
      </c>
      <c r="C4174" s="74">
        <v>1001689828</v>
      </c>
      <c r="D4174" s="78" t="str">
        <f t="shared" si="136"/>
        <v>https://portal.dnb.de/opac.htm?method=simpleSearch&amp;cqlMode=true&amp;query=idn%3D1001689828</v>
      </c>
      <c r="E4174" s="74" t="s">
        <v>5492</v>
      </c>
      <c r="F4174" s="74"/>
      <c r="G4174" s="76"/>
      <c r="H4174" s="77"/>
      <c r="I4174" s="76" t="s">
        <v>53</v>
      </c>
      <c r="J4174" s="77"/>
      <c r="K4174" s="77"/>
      <c r="L4174" s="76"/>
      <c r="M4174" s="76"/>
      <c r="N4174" s="76"/>
      <c r="O4174" s="76"/>
      <c r="P4174" s="76"/>
      <c r="Q4174" s="76"/>
      <c r="R4174" s="76"/>
      <c r="S4174" s="76"/>
      <c r="Y4174" s="95" t="s">
        <v>9723</v>
      </c>
      <c r="AC4174" s="95" t="s">
        <v>9730</v>
      </c>
      <c r="AI4174" s="95" t="s">
        <v>9725</v>
      </c>
      <c r="AW4174" s="95">
        <v>45</v>
      </c>
      <c r="BC4174" s="96" t="s">
        <v>9726</v>
      </c>
      <c r="BD4174" s="99">
        <f t="shared" si="137"/>
        <v>3.5</v>
      </c>
      <c r="BL4174" s="70" t="s">
        <v>10514</v>
      </c>
      <c r="BP4174" s="69" t="s">
        <v>8541</v>
      </c>
      <c r="BQ4174" s="95" t="s">
        <v>8541</v>
      </c>
      <c r="BR4174" s="95" t="s">
        <v>8541</v>
      </c>
      <c r="BU4174" s="95">
        <v>1</v>
      </c>
      <c r="CC4174" s="99">
        <v>3</v>
      </c>
      <c r="CD4174" s="90" t="s">
        <v>10272</v>
      </c>
      <c r="CE4174" s="95" t="s">
        <v>8541</v>
      </c>
      <c r="CV4174" s="99">
        <v>0.5</v>
      </c>
      <c r="CW4174" s="90" t="s">
        <v>10273</v>
      </c>
    </row>
    <row r="4175" spans="1:101" x14ac:dyDescent="0.15">
      <c r="A4175" s="76">
        <v>3914</v>
      </c>
      <c r="B4175" s="74" t="s">
        <v>5495</v>
      </c>
      <c r="C4175" s="74">
        <v>996664270</v>
      </c>
      <c r="D4175" s="78" t="str">
        <f t="shared" si="136"/>
        <v>https://portal.dnb.de/opac.htm?method=simpleSearch&amp;cqlMode=true&amp;query=idn%3D996664270</v>
      </c>
      <c r="E4175" s="74" t="s">
        <v>5496</v>
      </c>
      <c r="F4175" s="74"/>
      <c r="G4175" s="76"/>
      <c r="H4175" s="77"/>
      <c r="I4175" s="76"/>
      <c r="J4175" s="77"/>
      <c r="K4175" s="77"/>
      <c r="L4175" s="76"/>
      <c r="M4175" s="76"/>
      <c r="N4175" s="76"/>
      <c r="O4175" s="76"/>
      <c r="P4175" s="76"/>
      <c r="Q4175" s="76"/>
      <c r="R4175" s="76"/>
      <c r="S4175" s="76"/>
      <c r="BD4175" s="99">
        <f t="shared" si="137"/>
        <v>0</v>
      </c>
      <c r="CC4175" s="99"/>
      <c r="CV4175" s="99"/>
      <c r="CW4175" s="63"/>
    </row>
    <row r="4176" spans="1:101" x14ac:dyDescent="0.15">
      <c r="A4176" s="76">
        <v>3915</v>
      </c>
      <c r="B4176" s="74" t="s">
        <v>5497</v>
      </c>
      <c r="C4176" s="74">
        <v>996664920</v>
      </c>
      <c r="D4176" s="78" t="str">
        <f t="shared" si="136"/>
        <v>https://portal.dnb.de/opac.htm?method=simpleSearch&amp;cqlMode=true&amp;query=idn%3D996664920</v>
      </c>
      <c r="E4176" s="74" t="s">
        <v>5498</v>
      </c>
      <c r="F4176" s="74"/>
      <c r="G4176" s="76"/>
      <c r="H4176" s="77"/>
      <c r="I4176" s="76"/>
      <c r="J4176" s="77"/>
      <c r="K4176" s="77"/>
      <c r="L4176" s="76"/>
      <c r="M4176" s="76"/>
      <c r="N4176" s="76"/>
      <c r="O4176" s="76"/>
      <c r="P4176" s="76"/>
      <c r="Q4176" s="76"/>
      <c r="R4176" s="76"/>
      <c r="S4176" s="76"/>
      <c r="BD4176" s="99">
        <f t="shared" si="137"/>
        <v>0</v>
      </c>
      <c r="CC4176" s="99"/>
      <c r="CV4176" s="99"/>
      <c r="CW4176" s="63"/>
    </row>
    <row r="4177" spans="1:101" x14ac:dyDescent="0.15">
      <c r="A4177" s="76">
        <v>3916</v>
      </c>
      <c r="B4177" s="74" t="s">
        <v>5458</v>
      </c>
      <c r="C4177" s="74">
        <v>1001783301</v>
      </c>
      <c r="D4177" s="78" t="str">
        <f t="shared" si="136"/>
        <v>https://portal.dnb.de/opac.htm?method=simpleSearch&amp;cqlMode=true&amp;query=idn%3D1001783301</v>
      </c>
      <c r="E4177" s="74" t="s">
        <v>5459</v>
      </c>
      <c r="F4177" s="74"/>
      <c r="G4177" s="76"/>
      <c r="H4177" s="77"/>
      <c r="I4177" s="76"/>
      <c r="J4177" s="77"/>
      <c r="K4177" s="77"/>
      <c r="L4177" s="76"/>
      <c r="M4177" s="76"/>
      <c r="N4177" s="76"/>
      <c r="O4177" s="76"/>
      <c r="P4177" s="76"/>
      <c r="Q4177" s="76"/>
      <c r="R4177" s="76"/>
      <c r="S4177" s="76"/>
      <c r="BD4177" s="99">
        <f t="shared" si="137"/>
        <v>0</v>
      </c>
      <c r="CC4177" s="99"/>
      <c r="CV4177" s="99"/>
      <c r="CW4177" s="63"/>
    </row>
    <row r="4178" spans="1:101" x14ac:dyDescent="0.15">
      <c r="A4178" s="76">
        <v>3917</v>
      </c>
      <c r="B4178" s="74" t="s">
        <v>5460</v>
      </c>
      <c r="C4178" s="74">
        <v>994288867</v>
      </c>
      <c r="D4178" s="78" t="str">
        <f t="shared" si="136"/>
        <v>https://portal.dnb.de/opac.htm?method=simpleSearch&amp;cqlMode=true&amp;query=idn%3D994288867</v>
      </c>
      <c r="E4178" s="74" t="s">
        <v>5461</v>
      </c>
      <c r="F4178" s="74"/>
      <c r="G4178" s="76"/>
      <c r="H4178" s="77"/>
      <c r="I4178" s="76"/>
      <c r="J4178" s="77"/>
      <c r="K4178" s="77"/>
      <c r="L4178" s="76"/>
      <c r="M4178" s="76"/>
      <c r="N4178" s="76"/>
      <c r="O4178" s="76"/>
      <c r="P4178" s="76"/>
      <c r="Q4178" s="76"/>
      <c r="R4178" s="76"/>
      <c r="S4178" s="76"/>
      <c r="BD4178" s="99">
        <f t="shared" si="137"/>
        <v>0</v>
      </c>
      <c r="CC4178" s="99"/>
      <c r="CV4178" s="99"/>
      <c r="CW4178" s="63"/>
    </row>
    <row r="4179" spans="1:101" x14ac:dyDescent="0.15">
      <c r="A4179" s="76">
        <v>3918</v>
      </c>
      <c r="B4179" s="74" t="s">
        <v>5462</v>
      </c>
      <c r="C4179" s="74">
        <v>994288905</v>
      </c>
      <c r="D4179" s="78" t="str">
        <f t="shared" si="136"/>
        <v>https://portal.dnb.de/opac.htm?method=simpleSearch&amp;cqlMode=true&amp;query=idn%3D994288905</v>
      </c>
      <c r="E4179" s="74" t="s">
        <v>5461</v>
      </c>
      <c r="F4179" s="74"/>
      <c r="G4179" s="76"/>
      <c r="H4179" s="77"/>
      <c r="I4179" s="76"/>
      <c r="J4179" s="77"/>
      <c r="K4179" s="77"/>
      <c r="L4179" s="76"/>
      <c r="M4179" s="76"/>
      <c r="N4179" s="76"/>
      <c r="O4179" s="76"/>
      <c r="P4179" s="76"/>
      <c r="Q4179" s="76"/>
      <c r="R4179" s="76"/>
      <c r="S4179" s="76"/>
      <c r="BD4179" s="99">
        <f t="shared" si="137"/>
        <v>0</v>
      </c>
      <c r="CC4179" s="99"/>
      <c r="CV4179" s="99"/>
      <c r="CW4179" s="63"/>
    </row>
    <row r="4180" spans="1:101" x14ac:dyDescent="0.15">
      <c r="A4180" s="76">
        <v>3919</v>
      </c>
      <c r="B4180" s="74" t="s">
        <v>5463</v>
      </c>
      <c r="C4180" s="74">
        <v>996663339</v>
      </c>
      <c r="D4180" s="78" t="str">
        <f t="shared" si="136"/>
        <v>https://portal.dnb.de/opac.htm?method=simpleSearch&amp;cqlMode=true&amp;query=idn%3D996663339</v>
      </c>
      <c r="E4180" s="74" t="s">
        <v>5464</v>
      </c>
      <c r="F4180" s="74"/>
      <c r="G4180" s="76"/>
      <c r="H4180" s="77"/>
      <c r="I4180" s="76"/>
      <c r="J4180" s="77"/>
      <c r="K4180" s="77"/>
      <c r="L4180" s="76"/>
      <c r="M4180" s="76"/>
      <c r="N4180" s="76"/>
      <c r="O4180" s="76"/>
      <c r="P4180" s="76"/>
      <c r="Q4180" s="76"/>
      <c r="R4180" s="76"/>
      <c r="S4180" s="76"/>
      <c r="BD4180" s="99">
        <f t="shared" si="137"/>
        <v>0</v>
      </c>
      <c r="CC4180" s="99"/>
      <c r="CV4180" s="99"/>
      <c r="CW4180" s="63"/>
    </row>
    <row r="4181" spans="1:101" x14ac:dyDescent="0.15">
      <c r="A4181" s="76">
        <v>3920</v>
      </c>
      <c r="B4181" s="74" t="s">
        <v>5465</v>
      </c>
      <c r="C4181" s="74">
        <v>1000868877</v>
      </c>
      <c r="D4181" s="78" t="str">
        <f t="shared" si="136"/>
        <v>https://portal.dnb.de/opac.htm?method=simpleSearch&amp;cqlMode=true&amp;query=idn%3D1000868877</v>
      </c>
      <c r="E4181" s="74" t="s">
        <v>5466</v>
      </c>
      <c r="F4181" s="74"/>
      <c r="G4181" s="76"/>
      <c r="H4181" s="77"/>
      <c r="I4181" s="76"/>
      <c r="J4181" s="77"/>
      <c r="K4181" s="77"/>
      <c r="L4181" s="76"/>
      <c r="M4181" s="76"/>
      <c r="N4181" s="76"/>
      <c r="O4181" s="76"/>
      <c r="P4181" s="76"/>
      <c r="Q4181" s="76"/>
      <c r="R4181" s="76"/>
      <c r="S4181" s="76"/>
      <c r="BD4181" s="99">
        <f t="shared" si="137"/>
        <v>0</v>
      </c>
      <c r="CC4181" s="99"/>
      <c r="CV4181" s="99"/>
      <c r="CW4181" s="63"/>
    </row>
    <row r="4182" spans="1:101" x14ac:dyDescent="0.15">
      <c r="A4182" s="76">
        <v>3921</v>
      </c>
      <c r="B4182" s="74" t="s">
        <v>5467</v>
      </c>
      <c r="C4182" s="74">
        <v>1000869024</v>
      </c>
      <c r="D4182" s="78" t="str">
        <f t="shared" si="136"/>
        <v>https://portal.dnb.de/opac.htm?method=simpleSearch&amp;cqlMode=true&amp;query=idn%3D1000869024</v>
      </c>
      <c r="E4182" s="74" t="s">
        <v>5466</v>
      </c>
      <c r="F4182" s="74"/>
      <c r="G4182" s="76"/>
      <c r="H4182" s="77"/>
      <c r="I4182" s="76"/>
      <c r="J4182" s="77"/>
      <c r="K4182" s="77"/>
      <c r="L4182" s="76"/>
      <c r="M4182" s="76"/>
      <c r="N4182" s="76"/>
      <c r="O4182" s="76"/>
      <c r="P4182" s="76"/>
      <c r="Q4182" s="76"/>
      <c r="R4182" s="76"/>
      <c r="S4182" s="76"/>
      <c r="BD4182" s="99">
        <f t="shared" si="137"/>
        <v>0</v>
      </c>
      <c r="CC4182" s="99"/>
      <c r="CV4182" s="99"/>
      <c r="CW4182" s="63"/>
    </row>
    <row r="4183" spans="1:101" x14ac:dyDescent="0.15">
      <c r="A4183" s="76">
        <v>3922</v>
      </c>
      <c r="B4183" s="74" t="s">
        <v>5468</v>
      </c>
      <c r="C4183" s="74">
        <v>994158246</v>
      </c>
      <c r="D4183" s="78" t="str">
        <f t="shared" si="136"/>
        <v>https://portal.dnb.de/opac.htm?method=simpleSearch&amp;cqlMode=true&amp;query=idn%3D994158246</v>
      </c>
      <c r="E4183" s="74" t="s">
        <v>5469</v>
      </c>
      <c r="F4183" s="74"/>
      <c r="G4183" s="76"/>
      <c r="H4183" s="77"/>
      <c r="I4183" s="76"/>
      <c r="J4183" s="77"/>
      <c r="K4183" s="77"/>
      <c r="L4183" s="76"/>
      <c r="M4183" s="76"/>
      <c r="N4183" s="76"/>
      <c r="O4183" s="76"/>
      <c r="P4183" s="76"/>
      <c r="Q4183" s="76"/>
      <c r="R4183" s="76"/>
      <c r="S4183" s="76"/>
      <c r="BD4183" s="99">
        <f t="shared" si="137"/>
        <v>0</v>
      </c>
      <c r="CC4183" s="99"/>
      <c r="CV4183" s="99"/>
      <c r="CW4183" s="63"/>
    </row>
    <row r="4184" spans="1:101" x14ac:dyDescent="0.15">
      <c r="A4184" s="76">
        <v>3923</v>
      </c>
      <c r="B4184" s="74" t="s">
        <v>5470</v>
      </c>
      <c r="C4184" s="74">
        <v>997518421</v>
      </c>
      <c r="D4184" s="78" t="str">
        <f t="shared" si="136"/>
        <v>https://portal.dnb.de/opac.htm?method=simpleSearch&amp;cqlMode=true&amp;query=idn%3D997518421</v>
      </c>
      <c r="E4184" s="74" t="s">
        <v>5471</v>
      </c>
      <c r="F4184" s="74"/>
      <c r="G4184" s="76"/>
      <c r="H4184" s="77"/>
      <c r="I4184" s="76"/>
      <c r="J4184" s="77"/>
      <c r="K4184" s="77"/>
      <c r="L4184" s="76"/>
      <c r="M4184" s="76"/>
      <c r="N4184" s="76"/>
      <c r="O4184" s="76"/>
      <c r="P4184" s="76"/>
      <c r="Q4184" s="76"/>
      <c r="R4184" s="76"/>
      <c r="S4184" s="76"/>
      <c r="BD4184" s="99">
        <f t="shared" si="137"/>
        <v>0</v>
      </c>
      <c r="CC4184" s="99"/>
      <c r="CV4184" s="99"/>
      <c r="CW4184" s="63"/>
    </row>
    <row r="4185" spans="1:101" x14ac:dyDescent="0.15">
      <c r="A4185" s="76">
        <v>3924</v>
      </c>
      <c r="B4185" s="74" t="s">
        <v>5472</v>
      </c>
      <c r="C4185" s="74">
        <v>1000736849</v>
      </c>
      <c r="D4185" s="78" t="str">
        <f t="shared" si="136"/>
        <v>https://portal.dnb.de/opac.htm?method=simpleSearch&amp;cqlMode=true&amp;query=idn%3D1000736849</v>
      </c>
      <c r="E4185" s="74" t="s">
        <v>5473</v>
      </c>
      <c r="F4185" s="74"/>
      <c r="G4185" s="76"/>
      <c r="H4185" s="77"/>
      <c r="I4185" s="76"/>
      <c r="J4185" s="77"/>
      <c r="K4185" s="77"/>
      <c r="L4185" s="76"/>
      <c r="M4185" s="76"/>
      <c r="N4185" s="76"/>
      <c r="O4185" s="76"/>
      <c r="P4185" s="76"/>
      <c r="Q4185" s="76"/>
      <c r="R4185" s="76"/>
      <c r="S4185" s="76"/>
      <c r="BD4185" s="99">
        <f t="shared" si="137"/>
        <v>0</v>
      </c>
      <c r="CC4185" s="99"/>
      <c r="CV4185" s="99"/>
      <c r="CW4185" s="63"/>
    </row>
    <row r="4186" spans="1:101" ht="33.75" x14ac:dyDescent="0.15">
      <c r="A4186" s="76">
        <v>3925</v>
      </c>
      <c r="B4186" s="74" t="s">
        <v>5474</v>
      </c>
      <c r="C4186" s="74">
        <v>1002488737</v>
      </c>
      <c r="D4186" s="78" t="str">
        <f t="shared" si="136"/>
        <v>https://portal.dnb.de/opac.htm?method=simpleSearch&amp;cqlMode=true&amp;query=idn%3D1002488737</v>
      </c>
      <c r="E4186" s="74" t="s">
        <v>5475</v>
      </c>
      <c r="F4186" s="74"/>
      <c r="G4186" s="76"/>
      <c r="H4186" s="77"/>
      <c r="I4186" s="76" t="s">
        <v>53</v>
      </c>
      <c r="J4186" s="77"/>
      <c r="K4186" s="77"/>
      <c r="L4186" s="76"/>
      <c r="M4186" s="76"/>
      <c r="N4186" s="76"/>
      <c r="O4186" s="76"/>
      <c r="P4186" s="76"/>
      <c r="Q4186" s="76"/>
      <c r="R4186" s="76"/>
      <c r="S4186" s="76"/>
      <c r="Y4186" s="95" t="s">
        <v>9729</v>
      </c>
      <c r="AC4186" s="95" t="s">
        <v>9739</v>
      </c>
      <c r="AI4186" s="95" t="s">
        <v>9725</v>
      </c>
      <c r="AW4186" s="95">
        <v>45</v>
      </c>
      <c r="BC4186" s="96" t="s">
        <v>9726</v>
      </c>
      <c r="BD4186" s="99">
        <f t="shared" si="137"/>
        <v>3</v>
      </c>
      <c r="BJ4186" s="95" t="s">
        <v>9741</v>
      </c>
      <c r="BK4186" s="95" t="s">
        <v>8541</v>
      </c>
      <c r="BP4186" s="69" t="s">
        <v>8541</v>
      </c>
      <c r="BQ4186" s="95" t="s">
        <v>8541</v>
      </c>
      <c r="BR4186" s="95" t="s">
        <v>8541</v>
      </c>
      <c r="BT4186" s="95" t="s">
        <v>9775</v>
      </c>
      <c r="CC4186" s="99">
        <v>3</v>
      </c>
      <c r="CD4186" s="90" t="s">
        <v>10274</v>
      </c>
      <c r="CV4186" s="99"/>
      <c r="CW4186" s="63"/>
    </row>
    <row r="4187" spans="1:101" x14ac:dyDescent="0.15">
      <c r="A4187" s="76">
        <v>3926</v>
      </c>
      <c r="B4187" s="74" t="s">
        <v>5476</v>
      </c>
      <c r="C4187" s="74">
        <v>985723556</v>
      </c>
      <c r="D4187" s="78" t="str">
        <f t="shared" si="136"/>
        <v>https://portal.dnb.de/opac.htm?method=simpleSearch&amp;cqlMode=true&amp;query=idn%3D985723556</v>
      </c>
      <c r="E4187" s="74" t="s">
        <v>5477</v>
      </c>
      <c r="F4187" s="74"/>
      <c r="G4187" s="76"/>
      <c r="H4187" s="77"/>
      <c r="I4187" s="76"/>
      <c r="J4187" s="77"/>
      <c r="K4187" s="77"/>
      <c r="L4187" s="76"/>
      <c r="M4187" s="76"/>
      <c r="N4187" s="76"/>
      <c r="O4187" s="76"/>
      <c r="P4187" s="76"/>
      <c r="Q4187" s="76"/>
      <c r="R4187" s="76"/>
      <c r="S4187" s="76"/>
      <c r="BD4187" s="99">
        <f t="shared" si="137"/>
        <v>0</v>
      </c>
      <c r="CC4187" s="99"/>
      <c r="CV4187" s="99"/>
      <c r="CW4187" s="63"/>
    </row>
    <row r="4188" spans="1:101" x14ac:dyDescent="0.15">
      <c r="A4188" s="76">
        <v>3927</v>
      </c>
      <c r="B4188" s="74" t="s">
        <v>5478</v>
      </c>
      <c r="C4188" s="74">
        <v>1021228494</v>
      </c>
      <c r="D4188" s="78" t="str">
        <f t="shared" si="136"/>
        <v>https://portal.dnb.de/opac.htm?method=simpleSearch&amp;cqlMode=true&amp;query=idn%3D1021228494</v>
      </c>
      <c r="E4188" s="74" t="s">
        <v>5479</v>
      </c>
      <c r="F4188" s="74"/>
      <c r="G4188" s="76"/>
      <c r="H4188" s="77"/>
      <c r="I4188" s="76"/>
      <c r="J4188" s="77"/>
      <c r="K4188" s="77"/>
      <c r="L4188" s="76"/>
      <c r="M4188" s="76"/>
      <c r="N4188" s="76"/>
      <c r="O4188" s="76"/>
      <c r="P4188" s="76"/>
      <c r="Q4188" s="76"/>
      <c r="R4188" s="76"/>
      <c r="S4188" s="76"/>
      <c r="BD4188" s="99">
        <f t="shared" si="137"/>
        <v>0</v>
      </c>
      <c r="CC4188" s="99"/>
      <c r="CV4188" s="99"/>
      <c r="CW4188" s="63"/>
    </row>
    <row r="4189" spans="1:101" x14ac:dyDescent="0.15">
      <c r="A4189" s="76">
        <v>3928</v>
      </c>
      <c r="B4189" s="74" t="s">
        <v>5499</v>
      </c>
      <c r="C4189" s="74">
        <v>994219075</v>
      </c>
      <c r="D4189" s="78" t="str">
        <f t="shared" si="136"/>
        <v>https://portal.dnb.de/opac.htm?method=simpleSearch&amp;cqlMode=true&amp;query=idn%3D994219075</v>
      </c>
      <c r="E4189" s="74" t="s">
        <v>5500</v>
      </c>
      <c r="F4189" s="74"/>
      <c r="G4189" s="76"/>
      <c r="H4189" s="77"/>
      <c r="I4189" s="76"/>
      <c r="J4189" s="77"/>
      <c r="K4189" s="77"/>
      <c r="L4189" s="76"/>
      <c r="M4189" s="76"/>
      <c r="N4189" s="76"/>
      <c r="O4189" s="76"/>
      <c r="P4189" s="76"/>
      <c r="Q4189" s="76"/>
      <c r="R4189" s="76"/>
      <c r="S4189" s="76"/>
      <c r="BD4189" s="99">
        <f t="shared" si="137"/>
        <v>0</v>
      </c>
      <c r="CC4189" s="99"/>
      <c r="CV4189" s="99"/>
      <c r="CW4189" s="63"/>
    </row>
    <row r="4190" spans="1:101" x14ac:dyDescent="0.15">
      <c r="A4190" s="76">
        <v>3929</v>
      </c>
      <c r="B4190" s="74" t="s">
        <v>5501</v>
      </c>
      <c r="C4190" s="74">
        <v>1066837473</v>
      </c>
      <c r="D4190" s="78" t="str">
        <f t="shared" si="136"/>
        <v>https://portal.dnb.de/opac.htm?method=simpleSearch&amp;cqlMode=true&amp;query=idn%3D1066837473</v>
      </c>
      <c r="E4190" s="74" t="s">
        <v>5502</v>
      </c>
      <c r="F4190" s="74"/>
      <c r="G4190" s="76"/>
      <c r="H4190" s="77"/>
      <c r="I4190" s="76" t="s">
        <v>53</v>
      </c>
      <c r="J4190" s="77"/>
      <c r="K4190" s="77"/>
      <c r="L4190" s="76"/>
      <c r="M4190" s="76"/>
      <c r="N4190" s="76"/>
      <c r="O4190" s="76"/>
      <c r="P4190" s="76"/>
      <c r="Q4190" s="76"/>
      <c r="R4190" s="76"/>
      <c r="S4190" s="76"/>
      <c r="Y4190" s="95" t="s">
        <v>9729</v>
      </c>
      <c r="AC4190" s="95" t="s">
        <v>9730</v>
      </c>
      <c r="AI4190" s="95" t="s">
        <v>9725</v>
      </c>
      <c r="AM4190" s="95" t="s">
        <v>8541</v>
      </c>
      <c r="AW4190" s="95">
        <v>60</v>
      </c>
      <c r="BC4190" s="96" t="s">
        <v>9726</v>
      </c>
      <c r="BD4190" s="99">
        <f t="shared" si="137"/>
        <v>1</v>
      </c>
      <c r="BP4190" s="69" t="s">
        <v>8541</v>
      </c>
      <c r="BQ4190" s="95" t="s">
        <v>8541</v>
      </c>
      <c r="BR4190" s="95" t="s">
        <v>8541</v>
      </c>
      <c r="CC4190" s="99">
        <v>1</v>
      </c>
      <c r="CV4190" s="99"/>
      <c r="CW4190" s="63"/>
    </row>
    <row r="4191" spans="1:101" x14ac:dyDescent="0.15">
      <c r="A4191" s="76">
        <v>3930</v>
      </c>
      <c r="B4191" s="74" t="s">
        <v>5503</v>
      </c>
      <c r="C4191" s="74" t="s">
        <v>5504</v>
      </c>
      <c r="D4191" s="78" t="str">
        <f t="shared" si="136"/>
        <v>https://portal.dnb.de/opac.htm?method=simpleSearch&amp;cqlMode=true&amp;query=idn%3D100344959X</v>
      </c>
      <c r="E4191" s="74" t="s">
        <v>5505</v>
      </c>
      <c r="F4191" s="74"/>
      <c r="G4191" s="76"/>
      <c r="H4191" s="77"/>
      <c r="I4191" s="76"/>
      <c r="J4191" s="77"/>
      <c r="K4191" s="77"/>
      <c r="L4191" s="76"/>
      <c r="M4191" s="76"/>
      <c r="N4191" s="76"/>
      <c r="O4191" s="76"/>
      <c r="P4191" s="76"/>
      <c r="Q4191" s="76"/>
      <c r="R4191" s="76"/>
      <c r="S4191" s="76"/>
      <c r="BD4191" s="99">
        <f t="shared" si="137"/>
        <v>0</v>
      </c>
      <c r="CC4191" s="99"/>
      <c r="CV4191" s="99"/>
      <c r="CW4191" s="63"/>
    </row>
    <row r="4192" spans="1:101" x14ac:dyDescent="0.15">
      <c r="A4192" s="76">
        <v>3931</v>
      </c>
      <c r="B4192" s="74" t="s">
        <v>5510</v>
      </c>
      <c r="C4192" s="74">
        <v>1066760519</v>
      </c>
      <c r="D4192" s="78" t="str">
        <f t="shared" ref="D4192:D4255" si="138">HYPERLINK(CONCATENATE("https://portal.dnb.de/opac.htm?method=simpleSearch&amp;cqlMode=true&amp;query=idn%3D",C4192))</f>
        <v>https://portal.dnb.de/opac.htm?method=simpleSearch&amp;cqlMode=true&amp;query=idn%3D1066760519</v>
      </c>
      <c r="E4192" s="74" t="s">
        <v>5511</v>
      </c>
      <c r="F4192" s="74"/>
      <c r="G4192" s="76"/>
      <c r="H4192" s="77"/>
      <c r="I4192" s="76"/>
      <c r="J4192" s="77"/>
      <c r="K4192" s="77"/>
      <c r="L4192" s="76"/>
      <c r="M4192" s="76"/>
      <c r="N4192" s="76"/>
      <c r="O4192" s="76"/>
      <c r="P4192" s="76"/>
      <c r="Q4192" s="76"/>
      <c r="R4192" s="76"/>
      <c r="S4192" s="76"/>
      <c r="BD4192" s="99">
        <f t="shared" si="137"/>
        <v>0</v>
      </c>
      <c r="CC4192" s="99"/>
      <c r="CV4192" s="99"/>
      <c r="CW4192" s="63"/>
    </row>
    <row r="4193" spans="1:101" x14ac:dyDescent="0.15">
      <c r="A4193" s="76">
        <v>3932</v>
      </c>
      <c r="B4193" s="74" t="s">
        <v>5512</v>
      </c>
      <c r="C4193" s="74">
        <v>1066937176</v>
      </c>
      <c r="D4193" s="78" t="str">
        <f t="shared" si="138"/>
        <v>https://portal.dnb.de/opac.htm?method=simpleSearch&amp;cqlMode=true&amp;query=idn%3D1066937176</v>
      </c>
      <c r="E4193" s="74" t="s">
        <v>5513</v>
      </c>
      <c r="F4193" s="74"/>
      <c r="G4193" s="76"/>
      <c r="H4193" s="77"/>
      <c r="I4193" s="76"/>
      <c r="J4193" s="77"/>
      <c r="K4193" s="77"/>
      <c r="L4193" s="76"/>
      <c r="M4193" s="76"/>
      <c r="N4193" s="76"/>
      <c r="O4193" s="76"/>
      <c r="P4193" s="76"/>
      <c r="Q4193" s="76"/>
      <c r="R4193" s="76"/>
      <c r="S4193" s="76"/>
      <c r="BD4193" s="99">
        <f t="shared" si="137"/>
        <v>0</v>
      </c>
      <c r="CC4193" s="99"/>
      <c r="CV4193" s="99"/>
      <c r="CW4193" s="63"/>
    </row>
    <row r="4194" spans="1:101" x14ac:dyDescent="0.15">
      <c r="A4194" s="76">
        <v>3933</v>
      </c>
      <c r="B4194" s="74" t="s">
        <v>5514</v>
      </c>
      <c r="C4194" s="74">
        <v>1066872767</v>
      </c>
      <c r="D4194" s="78" t="str">
        <f t="shared" si="138"/>
        <v>https://portal.dnb.de/opac.htm?method=simpleSearch&amp;cqlMode=true&amp;query=idn%3D1066872767</v>
      </c>
      <c r="E4194" s="74" t="s">
        <v>5515</v>
      </c>
      <c r="F4194" s="74"/>
      <c r="G4194" s="76"/>
      <c r="H4194" s="77"/>
      <c r="I4194" s="76"/>
      <c r="J4194" s="77"/>
      <c r="K4194" s="77"/>
      <c r="L4194" s="76"/>
      <c r="M4194" s="76"/>
      <c r="N4194" s="76"/>
      <c r="O4194" s="76"/>
      <c r="P4194" s="76"/>
      <c r="Q4194" s="76"/>
      <c r="R4194" s="76"/>
      <c r="S4194" s="76"/>
      <c r="BD4194" s="99">
        <f t="shared" si="137"/>
        <v>0</v>
      </c>
      <c r="CC4194" s="99"/>
      <c r="CV4194" s="99"/>
      <c r="CW4194" s="63"/>
    </row>
    <row r="4195" spans="1:101" x14ac:dyDescent="0.15">
      <c r="A4195" s="76">
        <v>3934</v>
      </c>
      <c r="B4195" s="74" t="s">
        <v>5518</v>
      </c>
      <c r="C4195" s="74">
        <v>1066858527</v>
      </c>
      <c r="D4195" s="78" t="str">
        <f t="shared" si="138"/>
        <v>https://portal.dnb.de/opac.htm?method=simpleSearch&amp;cqlMode=true&amp;query=idn%3D1066858527</v>
      </c>
      <c r="E4195" s="74" t="s">
        <v>5519</v>
      </c>
      <c r="F4195" s="74"/>
      <c r="G4195" s="76"/>
      <c r="H4195" s="77"/>
      <c r="I4195" s="76"/>
      <c r="J4195" s="77"/>
      <c r="K4195" s="77"/>
      <c r="L4195" s="76"/>
      <c r="M4195" s="76"/>
      <c r="N4195" s="76"/>
      <c r="O4195" s="76"/>
      <c r="P4195" s="76"/>
      <c r="Q4195" s="76"/>
      <c r="R4195" s="76"/>
      <c r="S4195" s="76"/>
      <c r="BD4195" s="99">
        <f t="shared" si="137"/>
        <v>0</v>
      </c>
      <c r="CC4195" s="99"/>
      <c r="CV4195" s="99"/>
      <c r="CW4195" s="63"/>
    </row>
    <row r="4196" spans="1:101" x14ac:dyDescent="0.15">
      <c r="A4196" s="76">
        <v>3935</v>
      </c>
      <c r="B4196" s="74" t="s">
        <v>5520</v>
      </c>
      <c r="C4196" s="74">
        <v>999143468</v>
      </c>
      <c r="D4196" s="78" t="str">
        <f t="shared" si="138"/>
        <v>https://portal.dnb.de/opac.htm?method=simpleSearch&amp;cqlMode=true&amp;query=idn%3D999143468</v>
      </c>
      <c r="E4196" s="74" t="s">
        <v>5521</v>
      </c>
      <c r="F4196" s="74"/>
      <c r="G4196" s="76"/>
      <c r="H4196" s="77"/>
      <c r="I4196" s="76"/>
      <c r="J4196" s="77"/>
      <c r="K4196" s="77"/>
      <c r="L4196" s="76"/>
      <c r="M4196" s="76"/>
      <c r="N4196" s="76"/>
      <c r="O4196" s="76"/>
      <c r="P4196" s="76"/>
      <c r="Q4196" s="76"/>
      <c r="R4196" s="76"/>
      <c r="S4196" s="76"/>
      <c r="BD4196" s="99">
        <f t="shared" si="137"/>
        <v>0</v>
      </c>
      <c r="CC4196" s="99"/>
      <c r="CV4196" s="99"/>
      <c r="CW4196" s="63"/>
    </row>
    <row r="4197" spans="1:101" x14ac:dyDescent="0.15">
      <c r="A4197" s="76">
        <v>3936</v>
      </c>
      <c r="B4197" s="74" t="s">
        <v>5516</v>
      </c>
      <c r="C4197" s="74">
        <v>1208772325</v>
      </c>
      <c r="D4197" s="78" t="str">
        <f t="shared" si="138"/>
        <v>https://portal.dnb.de/opac.htm?method=simpleSearch&amp;cqlMode=true&amp;query=idn%3D1208772325</v>
      </c>
      <c r="E4197" s="74" t="s">
        <v>5517</v>
      </c>
      <c r="F4197" s="74"/>
      <c r="G4197" s="76"/>
      <c r="H4197" s="77"/>
      <c r="I4197" s="76"/>
      <c r="J4197" s="77"/>
      <c r="K4197" s="77"/>
      <c r="L4197" s="76"/>
      <c r="M4197" s="76"/>
      <c r="N4197" s="76"/>
      <c r="O4197" s="76"/>
      <c r="P4197" s="76"/>
      <c r="Q4197" s="76"/>
      <c r="R4197" s="76"/>
      <c r="S4197" s="76"/>
      <c r="BD4197" s="99">
        <f t="shared" si="137"/>
        <v>0</v>
      </c>
      <c r="CC4197" s="99"/>
      <c r="CV4197" s="99"/>
      <c r="CW4197" s="63"/>
    </row>
    <row r="4198" spans="1:101" x14ac:dyDescent="0.15">
      <c r="A4198" s="76">
        <v>3937</v>
      </c>
      <c r="B4198" s="74" t="s">
        <v>5522</v>
      </c>
      <c r="C4198" s="74">
        <v>1066925798</v>
      </c>
      <c r="D4198" s="78" t="str">
        <f t="shared" si="138"/>
        <v>https://portal.dnb.de/opac.htm?method=simpleSearch&amp;cqlMode=true&amp;query=idn%3D1066925798</v>
      </c>
      <c r="E4198" s="74" t="s">
        <v>5523</v>
      </c>
      <c r="F4198" s="74"/>
      <c r="G4198" s="76"/>
      <c r="H4198" s="77"/>
      <c r="I4198" s="76"/>
      <c r="J4198" s="77"/>
      <c r="K4198" s="77"/>
      <c r="L4198" s="76"/>
      <c r="M4198" s="76"/>
      <c r="N4198" s="76"/>
      <c r="O4198" s="76"/>
      <c r="P4198" s="76"/>
      <c r="Q4198" s="76"/>
      <c r="R4198" s="76"/>
      <c r="S4198" s="76"/>
      <c r="BD4198" s="99">
        <f t="shared" si="137"/>
        <v>0</v>
      </c>
      <c r="CC4198" s="99"/>
      <c r="CV4198" s="99"/>
      <c r="CW4198" s="63"/>
    </row>
    <row r="4199" spans="1:101" x14ac:dyDescent="0.15">
      <c r="A4199" s="76">
        <v>3938</v>
      </c>
      <c r="B4199" s="74" t="s">
        <v>5524</v>
      </c>
      <c r="C4199" s="74">
        <v>1066940630</v>
      </c>
      <c r="D4199" s="78" t="str">
        <f t="shared" si="138"/>
        <v>https://portal.dnb.de/opac.htm?method=simpleSearch&amp;cqlMode=true&amp;query=idn%3D1066940630</v>
      </c>
      <c r="E4199" s="74" t="s">
        <v>5525</v>
      </c>
      <c r="F4199" s="74"/>
      <c r="G4199" s="76"/>
      <c r="H4199" s="77"/>
      <c r="I4199" s="76"/>
      <c r="J4199" s="77"/>
      <c r="K4199" s="77"/>
      <c r="L4199" s="76"/>
      <c r="M4199" s="76"/>
      <c r="N4199" s="76"/>
      <c r="O4199" s="76"/>
      <c r="P4199" s="76"/>
      <c r="Q4199" s="76"/>
      <c r="R4199" s="76"/>
      <c r="S4199" s="76"/>
      <c r="BD4199" s="99">
        <f t="shared" si="137"/>
        <v>0</v>
      </c>
      <c r="CC4199" s="99"/>
      <c r="CV4199" s="99"/>
      <c r="CW4199" s="63"/>
    </row>
    <row r="4200" spans="1:101" x14ac:dyDescent="0.15">
      <c r="A4200" s="76">
        <v>3939</v>
      </c>
      <c r="B4200" s="74" t="s">
        <v>5526</v>
      </c>
      <c r="C4200" s="74">
        <v>1066764441</v>
      </c>
      <c r="D4200" s="78" t="str">
        <f t="shared" si="138"/>
        <v>https://portal.dnb.de/opac.htm?method=simpleSearch&amp;cqlMode=true&amp;query=idn%3D1066764441</v>
      </c>
      <c r="E4200" s="74" t="s">
        <v>5527</v>
      </c>
      <c r="F4200" s="74"/>
      <c r="G4200" s="76"/>
      <c r="H4200" s="77"/>
      <c r="I4200" s="76"/>
      <c r="J4200" s="77"/>
      <c r="K4200" s="77"/>
      <c r="L4200" s="76"/>
      <c r="M4200" s="76"/>
      <c r="N4200" s="76"/>
      <c r="O4200" s="76"/>
      <c r="P4200" s="76"/>
      <c r="Q4200" s="76"/>
      <c r="R4200" s="76"/>
      <c r="S4200" s="76"/>
      <c r="BD4200" s="99">
        <f t="shared" si="137"/>
        <v>0</v>
      </c>
      <c r="CC4200" s="99"/>
      <c r="CV4200" s="99"/>
      <c r="CW4200" s="63"/>
    </row>
    <row r="4201" spans="1:101" x14ac:dyDescent="0.15">
      <c r="A4201" s="76">
        <v>3940</v>
      </c>
      <c r="B4201" s="74" t="s">
        <v>5528</v>
      </c>
      <c r="C4201" s="74" t="s">
        <v>5529</v>
      </c>
      <c r="D4201" s="78" t="str">
        <f t="shared" si="138"/>
        <v>https://portal.dnb.de/opac.htm?method=simpleSearch&amp;cqlMode=true&amp;query=idn%3D106684173X</v>
      </c>
      <c r="E4201" s="74" t="s">
        <v>5530</v>
      </c>
      <c r="F4201" s="74"/>
      <c r="G4201" s="76"/>
      <c r="H4201" s="77"/>
      <c r="I4201" s="76"/>
      <c r="J4201" s="77"/>
      <c r="K4201" s="77"/>
      <c r="L4201" s="76"/>
      <c r="M4201" s="76"/>
      <c r="N4201" s="76"/>
      <c r="O4201" s="76"/>
      <c r="P4201" s="76"/>
      <c r="Q4201" s="76"/>
      <c r="R4201" s="76"/>
      <c r="S4201" s="76"/>
      <c r="BD4201" s="99">
        <f t="shared" si="137"/>
        <v>0</v>
      </c>
      <c r="CC4201" s="99"/>
      <c r="CV4201" s="99"/>
      <c r="CW4201" s="63"/>
    </row>
    <row r="4202" spans="1:101" x14ac:dyDescent="0.15">
      <c r="A4202" s="76">
        <v>3941</v>
      </c>
      <c r="B4202" s="74" t="s">
        <v>5531</v>
      </c>
      <c r="C4202" s="74">
        <v>1066847185</v>
      </c>
      <c r="D4202" s="78" t="str">
        <f t="shared" si="138"/>
        <v>https://portal.dnb.de/opac.htm?method=simpleSearch&amp;cqlMode=true&amp;query=idn%3D1066847185</v>
      </c>
      <c r="E4202" s="74" t="s">
        <v>5532</v>
      </c>
      <c r="F4202" s="74"/>
      <c r="G4202" s="76"/>
      <c r="H4202" s="77"/>
      <c r="I4202" s="76"/>
      <c r="J4202" s="77"/>
      <c r="K4202" s="77"/>
      <c r="L4202" s="76"/>
      <c r="M4202" s="76"/>
      <c r="N4202" s="76"/>
      <c r="O4202" s="76"/>
      <c r="P4202" s="76"/>
      <c r="Q4202" s="76"/>
      <c r="R4202" s="76"/>
      <c r="S4202" s="76"/>
      <c r="BD4202" s="99">
        <f t="shared" si="137"/>
        <v>0</v>
      </c>
      <c r="CC4202" s="99"/>
      <c r="CV4202" s="99"/>
      <c r="CW4202" s="63"/>
    </row>
    <row r="4203" spans="1:101" x14ac:dyDescent="0.15">
      <c r="A4203" s="76">
        <v>3942</v>
      </c>
      <c r="B4203" s="74" t="s">
        <v>5533</v>
      </c>
      <c r="C4203" s="74" t="s">
        <v>5534</v>
      </c>
      <c r="D4203" s="78" t="str">
        <f t="shared" si="138"/>
        <v>https://portal.dnb.de/opac.htm?method=simpleSearch&amp;cqlMode=true&amp;query=idn%3D99400656X</v>
      </c>
      <c r="E4203" s="74" t="s">
        <v>5535</v>
      </c>
      <c r="F4203" s="74"/>
      <c r="G4203" s="76"/>
      <c r="H4203" s="77"/>
      <c r="I4203" s="76"/>
      <c r="J4203" s="77"/>
      <c r="K4203" s="77"/>
      <c r="L4203" s="76"/>
      <c r="M4203" s="76"/>
      <c r="N4203" s="76"/>
      <c r="O4203" s="76"/>
      <c r="P4203" s="76"/>
      <c r="Q4203" s="76"/>
      <c r="R4203" s="76"/>
      <c r="S4203" s="76"/>
      <c r="BD4203" s="99">
        <f t="shared" si="137"/>
        <v>0</v>
      </c>
      <c r="CC4203" s="99"/>
      <c r="CV4203" s="99"/>
      <c r="CW4203" s="63"/>
    </row>
    <row r="4204" spans="1:101" x14ac:dyDescent="0.15">
      <c r="A4204" s="76">
        <v>3943</v>
      </c>
      <c r="B4204" s="74" t="s">
        <v>5536</v>
      </c>
      <c r="C4204" s="74">
        <v>993916309</v>
      </c>
      <c r="D4204" s="78" t="str">
        <f t="shared" si="138"/>
        <v>https://portal.dnb.de/opac.htm?method=simpleSearch&amp;cqlMode=true&amp;query=idn%3D993916309</v>
      </c>
      <c r="E4204" s="74" t="s">
        <v>5537</v>
      </c>
      <c r="F4204" s="74"/>
      <c r="G4204" s="76"/>
      <c r="H4204" s="77"/>
      <c r="I4204" s="76"/>
      <c r="J4204" s="77"/>
      <c r="K4204" s="77"/>
      <c r="L4204" s="76"/>
      <c r="M4204" s="76"/>
      <c r="N4204" s="76"/>
      <c r="O4204" s="76"/>
      <c r="P4204" s="76"/>
      <c r="Q4204" s="76"/>
      <c r="R4204" s="76"/>
      <c r="S4204" s="76"/>
      <c r="BD4204" s="99">
        <f t="shared" si="137"/>
        <v>0</v>
      </c>
      <c r="CC4204" s="99"/>
      <c r="CV4204" s="99"/>
      <c r="CW4204" s="63"/>
    </row>
    <row r="4205" spans="1:101" x14ac:dyDescent="0.15">
      <c r="A4205" s="76">
        <v>3944</v>
      </c>
      <c r="B4205" s="74" t="s">
        <v>5540</v>
      </c>
      <c r="C4205" s="74">
        <v>1066961670</v>
      </c>
      <c r="D4205" s="78" t="str">
        <f t="shared" si="138"/>
        <v>https://portal.dnb.de/opac.htm?method=simpleSearch&amp;cqlMode=true&amp;query=idn%3D1066961670</v>
      </c>
      <c r="E4205" s="74" t="s">
        <v>5541</v>
      </c>
      <c r="F4205" s="74"/>
      <c r="G4205" s="76"/>
      <c r="H4205" s="77"/>
      <c r="I4205" s="76"/>
      <c r="J4205" s="77"/>
      <c r="K4205" s="77"/>
      <c r="L4205" s="76"/>
      <c r="M4205" s="76"/>
      <c r="N4205" s="76"/>
      <c r="O4205" s="76"/>
      <c r="P4205" s="76"/>
      <c r="Q4205" s="76"/>
      <c r="R4205" s="76"/>
      <c r="S4205" s="76"/>
      <c r="BD4205" s="99">
        <f t="shared" si="137"/>
        <v>0</v>
      </c>
      <c r="CC4205" s="99"/>
      <c r="CV4205" s="99"/>
      <c r="CW4205" s="63"/>
    </row>
    <row r="4206" spans="1:101" x14ac:dyDescent="0.15">
      <c r="A4206" s="76">
        <v>3945</v>
      </c>
      <c r="B4206" s="74" t="s">
        <v>5548</v>
      </c>
      <c r="C4206" s="74">
        <v>1066842116</v>
      </c>
      <c r="D4206" s="78" t="str">
        <f t="shared" si="138"/>
        <v>https://portal.dnb.de/opac.htm?method=simpleSearch&amp;cqlMode=true&amp;query=idn%3D1066842116</v>
      </c>
      <c r="E4206" s="74" t="s">
        <v>5549</v>
      </c>
      <c r="F4206" s="74"/>
      <c r="G4206" s="76"/>
      <c r="H4206" s="77"/>
      <c r="I4206" s="76"/>
      <c r="J4206" s="77"/>
      <c r="K4206" s="77"/>
      <c r="L4206" s="76"/>
      <c r="M4206" s="76"/>
      <c r="N4206" s="76"/>
      <c r="O4206" s="76"/>
      <c r="P4206" s="76"/>
      <c r="Q4206" s="76"/>
      <c r="R4206" s="76"/>
      <c r="S4206" s="76"/>
      <c r="BD4206" s="99">
        <f t="shared" si="137"/>
        <v>0</v>
      </c>
      <c r="CC4206" s="99"/>
      <c r="CV4206" s="99"/>
      <c r="CW4206" s="63"/>
    </row>
    <row r="4207" spans="1:101" x14ac:dyDescent="0.15">
      <c r="A4207" s="76">
        <v>3946</v>
      </c>
      <c r="B4207" s="74" t="s">
        <v>5550</v>
      </c>
      <c r="C4207" s="74">
        <v>999040014</v>
      </c>
      <c r="D4207" s="78" t="str">
        <f t="shared" si="138"/>
        <v>https://portal.dnb.de/opac.htm?method=simpleSearch&amp;cqlMode=true&amp;query=idn%3D999040014</v>
      </c>
      <c r="E4207" s="74" t="s">
        <v>5551</v>
      </c>
      <c r="F4207" s="74"/>
      <c r="G4207" s="76"/>
      <c r="H4207" s="77"/>
      <c r="I4207" s="76"/>
      <c r="J4207" s="77"/>
      <c r="K4207" s="77"/>
      <c r="L4207" s="76"/>
      <c r="M4207" s="76"/>
      <c r="N4207" s="76"/>
      <c r="O4207" s="76"/>
      <c r="P4207" s="76"/>
      <c r="Q4207" s="76"/>
      <c r="R4207" s="76"/>
      <c r="S4207" s="76"/>
      <c r="BD4207" s="99">
        <f t="shared" si="137"/>
        <v>0</v>
      </c>
      <c r="CC4207" s="99"/>
      <c r="CV4207" s="99"/>
      <c r="CW4207" s="63"/>
    </row>
    <row r="4208" spans="1:101" x14ac:dyDescent="0.15">
      <c r="A4208" s="76">
        <v>3947</v>
      </c>
      <c r="B4208" s="74" t="s">
        <v>5552</v>
      </c>
      <c r="C4208" s="74">
        <v>1001002520</v>
      </c>
      <c r="D4208" s="78" t="str">
        <f t="shared" si="138"/>
        <v>https://portal.dnb.de/opac.htm?method=simpleSearch&amp;cqlMode=true&amp;query=idn%3D1001002520</v>
      </c>
      <c r="E4208" s="74" t="s">
        <v>5553</v>
      </c>
      <c r="F4208" s="74"/>
      <c r="G4208" s="76"/>
      <c r="H4208" s="77"/>
      <c r="I4208" s="76"/>
      <c r="J4208" s="77"/>
      <c r="K4208" s="77"/>
      <c r="L4208" s="76"/>
      <c r="M4208" s="76"/>
      <c r="N4208" s="76"/>
      <c r="O4208" s="76"/>
      <c r="P4208" s="76"/>
      <c r="Q4208" s="76"/>
      <c r="R4208" s="76"/>
      <c r="S4208" s="76"/>
      <c r="BD4208" s="99">
        <f t="shared" si="137"/>
        <v>0</v>
      </c>
      <c r="CC4208" s="99"/>
      <c r="CV4208" s="99"/>
      <c r="CW4208" s="63"/>
    </row>
    <row r="4209" spans="1:101" x14ac:dyDescent="0.15">
      <c r="A4209" s="76">
        <v>3948</v>
      </c>
      <c r="B4209" s="74" t="s">
        <v>5554</v>
      </c>
      <c r="C4209" s="74">
        <v>1001002407</v>
      </c>
      <c r="D4209" s="78" t="str">
        <f t="shared" si="138"/>
        <v>https://portal.dnb.de/opac.htm?method=simpleSearch&amp;cqlMode=true&amp;query=idn%3D1001002407</v>
      </c>
      <c r="E4209" s="74" t="s">
        <v>5553</v>
      </c>
      <c r="F4209" s="74"/>
      <c r="G4209" s="76"/>
      <c r="H4209" s="77"/>
      <c r="I4209" s="76"/>
      <c r="J4209" s="77"/>
      <c r="K4209" s="77"/>
      <c r="L4209" s="76"/>
      <c r="M4209" s="76"/>
      <c r="N4209" s="76"/>
      <c r="O4209" s="76"/>
      <c r="P4209" s="76"/>
      <c r="Q4209" s="76"/>
      <c r="R4209" s="76"/>
      <c r="S4209" s="76"/>
      <c r="BD4209" s="99">
        <f t="shared" si="137"/>
        <v>0</v>
      </c>
      <c r="CC4209" s="99"/>
      <c r="CV4209" s="99"/>
      <c r="CW4209" s="63"/>
    </row>
    <row r="4210" spans="1:101" x14ac:dyDescent="0.15">
      <c r="A4210" s="76">
        <v>3949</v>
      </c>
      <c r="B4210" s="74" t="s">
        <v>5555</v>
      </c>
      <c r="C4210" s="74">
        <v>1001003063</v>
      </c>
      <c r="D4210" s="78" t="str">
        <f t="shared" si="138"/>
        <v>https://portal.dnb.de/opac.htm?method=simpleSearch&amp;cqlMode=true&amp;query=idn%3D1001003063</v>
      </c>
      <c r="E4210" s="74" t="s">
        <v>5556</v>
      </c>
      <c r="F4210" s="74"/>
      <c r="G4210" s="76"/>
      <c r="H4210" s="77"/>
      <c r="I4210" s="76"/>
      <c r="J4210" s="77"/>
      <c r="K4210" s="77"/>
      <c r="L4210" s="76"/>
      <c r="M4210" s="76"/>
      <c r="N4210" s="76"/>
      <c r="O4210" s="76"/>
      <c r="P4210" s="76"/>
      <c r="Q4210" s="76"/>
      <c r="R4210" s="76"/>
      <c r="S4210" s="76"/>
      <c r="BD4210" s="99">
        <f t="shared" si="137"/>
        <v>0</v>
      </c>
      <c r="CC4210" s="99"/>
      <c r="CV4210" s="99"/>
      <c r="CW4210" s="63"/>
    </row>
    <row r="4211" spans="1:101" x14ac:dyDescent="0.15">
      <c r="A4211" s="76">
        <v>3950</v>
      </c>
      <c r="B4211" s="74" t="s">
        <v>5557</v>
      </c>
      <c r="C4211" s="74">
        <v>1177953900</v>
      </c>
      <c r="D4211" s="78" t="str">
        <f t="shared" si="138"/>
        <v>https://portal.dnb.de/opac.htm?method=simpleSearch&amp;cqlMode=true&amp;query=idn%3D1177953900</v>
      </c>
      <c r="E4211" s="74" t="s">
        <v>5558</v>
      </c>
      <c r="F4211" s="74"/>
      <c r="G4211" s="76"/>
      <c r="H4211" s="77"/>
      <c r="I4211" s="76"/>
      <c r="J4211" s="77"/>
      <c r="K4211" s="77"/>
      <c r="L4211" s="76"/>
      <c r="M4211" s="76"/>
      <c r="N4211" s="76"/>
      <c r="O4211" s="76"/>
      <c r="P4211" s="76"/>
      <c r="Q4211" s="76"/>
      <c r="R4211" s="76"/>
      <c r="S4211" s="76"/>
      <c r="BD4211" s="99">
        <f t="shared" si="137"/>
        <v>0</v>
      </c>
      <c r="CC4211" s="99"/>
      <c r="CV4211" s="99"/>
      <c r="CW4211" s="63"/>
    </row>
    <row r="4212" spans="1:101" x14ac:dyDescent="0.15">
      <c r="A4212" s="76">
        <v>3951</v>
      </c>
      <c r="B4212" s="74" t="s">
        <v>5542</v>
      </c>
      <c r="C4212" s="74">
        <v>1002118662</v>
      </c>
      <c r="D4212" s="78" t="str">
        <f t="shared" si="138"/>
        <v>https://portal.dnb.de/opac.htm?method=simpleSearch&amp;cqlMode=true&amp;query=idn%3D1002118662</v>
      </c>
      <c r="E4212" s="74" t="s">
        <v>5543</v>
      </c>
      <c r="F4212" s="74"/>
      <c r="G4212" s="76"/>
      <c r="H4212" s="77"/>
      <c r="I4212" s="76"/>
      <c r="J4212" s="77"/>
      <c r="K4212" s="77"/>
      <c r="L4212" s="76"/>
      <c r="M4212" s="76"/>
      <c r="N4212" s="76"/>
      <c r="O4212" s="76"/>
      <c r="P4212" s="76"/>
      <c r="Q4212" s="76"/>
      <c r="R4212" s="76"/>
      <c r="S4212" s="76"/>
      <c r="BD4212" s="99">
        <f t="shared" si="137"/>
        <v>0</v>
      </c>
      <c r="CC4212" s="99"/>
      <c r="CV4212" s="99"/>
      <c r="CW4212" s="63"/>
    </row>
    <row r="4213" spans="1:101" x14ac:dyDescent="0.15">
      <c r="A4213" s="76">
        <v>3952</v>
      </c>
      <c r="B4213" s="74" t="s">
        <v>5544</v>
      </c>
      <c r="C4213" s="74">
        <v>995844763</v>
      </c>
      <c r="D4213" s="78" t="str">
        <f t="shared" si="138"/>
        <v>https://portal.dnb.de/opac.htm?method=simpleSearch&amp;cqlMode=true&amp;query=idn%3D995844763</v>
      </c>
      <c r="E4213" s="74" t="s">
        <v>5545</v>
      </c>
      <c r="F4213" s="74"/>
      <c r="G4213" s="76"/>
      <c r="H4213" s="77"/>
      <c r="I4213" s="76"/>
      <c r="J4213" s="77"/>
      <c r="K4213" s="77"/>
      <c r="L4213" s="76"/>
      <c r="M4213" s="76"/>
      <c r="N4213" s="76"/>
      <c r="O4213" s="76"/>
      <c r="P4213" s="76"/>
      <c r="Q4213" s="76"/>
      <c r="R4213" s="76"/>
      <c r="S4213" s="76"/>
      <c r="BD4213" s="99">
        <f t="shared" si="137"/>
        <v>0</v>
      </c>
      <c r="CC4213" s="99"/>
      <c r="CV4213" s="99"/>
      <c r="CW4213" s="63"/>
    </row>
    <row r="4214" spans="1:101" x14ac:dyDescent="0.15">
      <c r="A4214" s="76">
        <v>3953</v>
      </c>
      <c r="B4214" s="74" t="s">
        <v>5546</v>
      </c>
      <c r="C4214" s="74">
        <v>995845530</v>
      </c>
      <c r="D4214" s="78" t="str">
        <f t="shared" si="138"/>
        <v>https://portal.dnb.de/opac.htm?method=simpleSearch&amp;cqlMode=true&amp;query=idn%3D995845530</v>
      </c>
      <c r="E4214" s="74" t="s">
        <v>5547</v>
      </c>
      <c r="F4214" s="74"/>
      <c r="G4214" s="76"/>
      <c r="H4214" s="77"/>
      <c r="I4214" s="76"/>
      <c r="J4214" s="77"/>
      <c r="K4214" s="77"/>
      <c r="L4214" s="76"/>
      <c r="M4214" s="76"/>
      <c r="N4214" s="76"/>
      <c r="O4214" s="76"/>
      <c r="P4214" s="76"/>
      <c r="Q4214" s="76"/>
      <c r="R4214" s="76"/>
      <c r="S4214" s="76"/>
      <c r="BD4214" s="99">
        <f t="shared" si="137"/>
        <v>0</v>
      </c>
      <c r="CC4214" s="99"/>
      <c r="CV4214" s="99"/>
      <c r="CW4214" s="63"/>
    </row>
    <row r="4215" spans="1:101" x14ac:dyDescent="0.15">
      <c r="A4215" s="76">
        <v>3954</v>
      </c>
      <c r="B4215" s="74" t="s">
        <v>5579</v>
      </c>
      <c r="C4215" s="74">
        <v>1066877068</v>
      </c>
      <c r="D4215" s="78" t="str">
        <f t="shared" si="138"/>
        <v>https://portal.dnb.de/opac.htm?method=simpleSearch&amp;cqlMode=true&amp;query=idn%3D1066877068</v>
      </c>
      <c r="E4215" s="74" t="s">
        <v>5580</v>
      </c>
      <c r="F4215" s="74"/>
      <c r="G4215" s="76"/>
      <c r="H4215" s="77"/>
      <c r="I4215" s="76"/>
      <c r="J4215" s="77"/>
      <c r="K4215" s="77"/>
      <c r="L4215" s="76"/>
      <c r="M4215" s="76"/>
      <c r="N4215" s="76"/>
      <c r="O4215" s="76"/>
      <c r="P4215" s="76"/>
      <c r="Q4215" s="76"/>
      <c r="R4215" s="76"/>
      <c r="S4215" s="76"/>
      <c r="BD4215" s="99">
        <f t="shared" si="137"/>
        <v>0</v>
      </c>
      <c r="CC4215" s="99"/>
      <c r="CV4215" s="99"/>
      <c r="CW4215" s="63"/>
    </row>
    <row r="4216" spans="1:101" x14ac:dyDescent="0.15">
      <c r="A4216" s="76">
        <v>3955</v>
      </c>
      <c r="B4216" s="74" t="s">
        <v>5581</v>
      </c>
      <c r="C4216" s="74">
        <v>1066871027</v>
      </c>
      <c r="D4216" s="78" t="str">
        <f t="shared" si="138"/>
        <v>https://portal.dnb.de/opac.htm?method=simpleSearch&amp;cqlMode=true&amp;query=idn%3D1066871027</v>
      </c>
      <c r="E4216" s="74" t="s">
        <v>5582</v>
      </c>
      <c r="F4216" s="74"/>
      <c r="G4216" s="76"/>
      <c r="H4216" s="77"/>
      <c r="I4216" s="76"/>
      <c r="J4216" s="77"/>
      <c r="K4216" s="77"/>
      <c r="L4216" s="76"/>
      <c r="M4216" s="76"/>
      <c r="N4216" s="76"/>
      <c r="O4216" s="76"/>
      <c r="P4216" s="76"/>
      <c r="Q4216" s="76"/>
      <c r="R4216" s="76"/>
      <c r="S4216" s="76"/>
      <c r="BD4216" s="99">
        <f t="shared" si="137"/>
        <v>0</v>
      </c>
      <c r="CC4216" s="99"/>
      <c r="CV4216" s="99"/>
      <c r="CW4216" s="63"/>
    </row>
    <row r="4217" spans="1:101" x14ac:dyDescent="0.15">
      <c r="A4217" s="76">
        <v>3956</v>
      </c>
      <c r="B4217" s="74" t="s">
        <v>5583</v>
      </c>
      <c r="C4217" s="74" t="s">
        <v>5584</v>
      </c>
      <c r="D4217" s="78" t="str">
        <f t="shared" si="138"/>
        <v>https://portal.dnb.de/opac.htm?method=simpleSearch&amp;cqlMode=true&amp;query=idn%3D106694136X</v>
      </c>
      <c r="E4217" s="74" t="s">
        <v>5585</v>
      </c>
      <c r="F4217" s="74"/>
      <c r="G4217" s="76"/>
      <c r="H4217" s="77"/>
      <c r="I4217" s="76"/>
      <c r="J4217" s="77"/>
      <c r="K4217" s="77"/>
      <c r="L4217" s="76"/>
      <c r="M4217" s="76"/>
      <c r="N4217" s="76"/>
      <c r="O4217" s="76"/>
      <c r="P4217" s="76"/>
      <c r="Q4217" s="76"/>
      <c r="R4217" s="76"/>
      <c r="S4217" s="76"/>
      <c r="BD4217" s="99">
        <f t="shared" si="137"/>
        <v>0</v>
      </c>
      <c r="CC4217" s="99"/>
      <c r="CV4217" s="99"/>
      <c r="CW4217" s="63"/>
    </row>
    <row r="4218" spans="1:101" x14ac:dyDescent="0.15">
      <c r="A4218" s="76">
        <v>3957</v>
      </c>
      <c r="B4218" s="74" t="s">
        <v>5586</v>
      </c>
      <c r="C4218" s="74" t="s">
        <v>5587</v>
      </c>
      <c r="D4218" s="78" t="str">
        <f t="shared" si="138"/>
        <v>https://portal.dnb.de/opac.htm?method=simpleSearch&amp;cqlMode=true&amp;query=idn%3D106694217X</v>
      </c>
      <c r="E4218" s="74" t="s">
        <v>5588</v>
      </c>
      <c r="F4218" s="74"/>
      <c r="G4218" s="76"/>
      <c r="H4218" s="77"/>
      <c r="I4218" s="76"/>
      <c r="J4218" s="77"/>
      <c r="K4218" s="77"/>
      <c r="L4218" s="76"/>
      <c r="M4218" s="76"/>
      <c r="N4218" s="76"/>
      <c r="O4218" s="76"/>
      <c r="P4218" s="76"/>
      <c r="Q4218" s="76"/>
      <c r="R4218" s="76"/>
      <c r="S4218" s="76"/>
      <c r="BD4218" s="99">
        <f t="shared" si="137"/>
        <v>0</v>
      </c>
      <c r="CC4218" s="99"/>
      <c r="CV4218" s="99"/>
      <c r="CW4218" s="63"/>
    </row>
    <row r="4219" spans="1:101" x14ac:dyDescent="0.15">
      <c r="A4219" s="76">
        <v>3958</v>
      </c>
      <c r="B4219" s="74" t="s">
        <v>5589</v>
      </c>
      <c r="C4219" s="74">
        <v>1066940053</v>
      </c>
      <c r="D4219" s="78" t="str">
        <f t="shared" si="138"/>
        <v>https://portal.dnb.de/opac.htm?method=simpleSearch&amp;cqlMode=true&amp;query=idn%3D1066940053</v>
      </c>
      <c r="E4219" s="74" t="s">
        <v>5590</v>
      </c>
      <c r="F4219" s="74"/>
      <c r="G4219" s="76"/>
      <c r="H4219" s="77"/>
      <c r="I4219" s="76"/>
      <c r="J4219" s="77"/>
      <c r="K4219" s="77"/>
      <c r="L4219" s="76"/>
      <c r="M4219" s="76"/>
      <c r="N4219" s="76"/>
      <c r="O4219" s="76"/>
      <c r="P4219" s="76"/>
      <c r="Q4219" s="76"/>
      <c r="R4219" s="76"/>
      <c r="S4219" s="76"/>
      <c r="BD4219" s="99">
        <f t="shared" si="137"/>
        <v>0</v>
      </c>
      <c r="CC4219" s="99"/>
      <c r="CV4219" s="99"/>
      <c r="CW4219" s="63"/>
    </row>
    <row r="4220" spans="1:101" ht="56.25" x14ac:dyDescent="0.15">
      <c r="A4220" s="76">
        <v>3959</v>
      </c>
      <c r="B4220" s="74" t="s">
        <v>5612</v>
      </c>
      <c r="C4220" s="74">
        <v>1066941785</v>
      </c>
      <c r="D4220" s="78" t="str">
        <f t="shared" si="138"/>
        <v>https://portal.dnb.de/opac.htm?method=simpleSearch&amp;cqlMode=true&amp;query=idn%3D1066941785</v>
      </c>
      <c r="E4220" s="74" t="s">
        <v>5613</v>
      </c>
      <c r="F4220" s="74"/>
      <c r="G4220" s="76"/>
      <c r="H4220" s="77"/>
      <c r="I4220" s="76" t="s">
        <v>53</v>
      </c>
      <c r="J4220" s="77"/>
      <c r="K4220" s="77"/>
      <c r="L4220" s="76"/>
      <c r="M4220" s="76"/>
      <c r="N4220" s="76"/>
      <c r="O4220" s="76"/>
      <c r="P4220" s="76"/>
      <c r="Q4220" s="76"/>
      <c r="R4220" s="76"/>
      <c r="S4220" s="76"/>
      <c r="Y4220" s="95" t="s">
        <v>9723</v>
      </c>
      <c r="AA4220" s="95" t="s">
        <v>8541</v>
      </c>
      <c r="AC4220" s="95" t="s">
        <v>9724</v>
      </c>
      <c r="AI4220" s="95" t="s">
        <v>9725</v>
      </c>
      <c r="AW4220" s="95" t="s">
        <v>9733</v>
      </c>
      <c r="BC4220" s="96" t="s">
        <v>9796</v>
      </c>
      <c r="BD4220" s="99">
        <f t="shared" si="137"/>
        <v>4</v>
      </c>
      <c r="BH4220" s="95" t="s">
        <v>8541</v>
      </c>
      <c r="BL4220" s="70" t="s">
        <v>10275</v>
      </c>
      <c r="BP4220" s="69" t="s">
        <v>8541</v>
      </c>
      <c r="BQ4220" s="95" t="s">
        <v>8541</v>
      </c>
      <c r="BT4220" s="95" t="s">
        <v>9772</v>
      </c>
      <c r="BU4220" s="95">
        <v>5</v>
      </c>
      <c r="CA4220" s="95" t="s">
        <v>9911</v>
      </c>
      <c r="CC4220" s="99">
        <v>4</v>
      </c>
      <c r="CD4220" s="90" t="s">
        <v>10276</v>
      </c>
      <c r="CV4220" s="99"/>
      <c r="CW4220" s="63"/>
    </row>
    <row r="4221" spans="1:101" x14ac:dyDescent="0.15">
      <c r="A4221" s="76">
        <v>3960</v>
      </c>
      <c r="B4221" s="74" t="s">
        <v>5614</v>
      </c>
      <c r="C4221" s="74">
        <v>1066938644</v>
      </c>
      <c r="D4221" s="78" t="str">
        <f t="shared" si="138"/>
        <v>https://portal.dnb.de/opac.htm?method=simpleSearch&amp;cqlMode=true&amp;query=idn%3D1066938644</v>
      </c>
      <c r="E4221" s="74" t="s">
        <v>5615</v>
      </c>
      <c r="F4221" s="74"/>
      <c r="G4221" s="76"/>
      <c r="H4221" s="77"/>
      <c r="I4221" s="76" t="s">
        <v>53</v>
      </c>
      <c r="J4221" s="77"/>
      <c r="K4221" s="77"/>
      <c r="L4221" s="76"/>
      <c r="M4221" s="76"/>
      <c r="N4221" s="76"/>
      <c r="O4221" s="76"/>
      <c r="P4221" s="76"/>
      <c r="Q4221" s="76"/>
      <c r="R4221" s="76"/>
      <c r="S4221" s="76"/>
      <c r="Y4221" s="95" t="s">
        <v>9729</v>
      </c>
      <c r="AA4221" s="95" t="s">
        <v>8541</v>
      </c>
      <c r="AC4221" s="95" t="s">
        <v>9739</v>
      </c>
      <c r="AI4221" s="95" t="s">
        <v>9725</v>
      </c>
      <c r="AW4221" s="95">
        <v>110</v>
      </c>
      <c r="BC4221" s="96" t="s">
        <v>9726</v>
      </c>
      <c r="BD4221" s="99">
        <f t="shared" si="137"/>
        <v>1</v>
      </c>
      <c r="BH4221" s="95" t="s">
        <v>8541</v>
      </c>
      <c r="BP4221" s="69" t="s">
        <v>8541</v>
      </c>
      <c r="BQ4221" s="95" t="s">
        <v>8541</v>
      </c>
      <c r="BR4221" s="95" t="s">
        <v>8541</v>
      </c>
      <c r="BT4221" s="95" t="s">
        <v>9775</v>
      </c>
      <c r="CC4221" s="99">
        <v>1</v>
      </c>
      <c r="CD4221" s="90" t="s">
        <v>10277</v>
      </c>
      <c r="CV4221" s="99"/>
      <c r="CW4221" s="63"/>
    </row>
    <row r="4222" spans="1:101" x14ac:dyDescent="0.15">
      <c r="A4222" s="76">
        <v>3961</v>
      </c>
      <c r="B4222" s="74" t="s">
        <v>5616</v>
      </c>
      <c r="C4222" s="74">
        <v>1000874826</v>
      </c>
      <c r="D4222" s="78" t="str">
        <f t="shared" si="138"/>
        <v>https://portal.dnb.de/opac.htm?method=simpleSearch&amp;cqlMode=true&amp;query=idn%3D1000874826</v>
      </c>
      <c r="E4222" s="74" t="s">
        <v>5617</v>
      </c>
      <c r="F4222" s="74"/>
      <c r="G4222" s="76"/>
      <c r="H4222" s="77"/>
      <c r="I4222" s="76"/>
      <c r="J4222" s="77"/>
      <c r="K4222" s="77"/>
      <c r="L4222" s="76"/>
      <c r="M4222" s="76"/>
      <c r="N4222" s="76"/>
      <c r="O4222" s="76"/>
      <c r="P4222" s="76"/>
      <c r="Q4222" s="76"/>
      <c r="R4222" s="76"/>
      <c r="S4222" s="76"/>
      <c r="BD4222" s="99">
        <f t="shared" si="137"/>
        <v>0</v>
      </c>
      <c r="CC4222" s="99"/>
      <c r="CV4222" s="99"/>
      <c r="CW4222" s="63"/>
    </row>
    <row r="4223" spans="1:101" x14ac:dyDescent="0.15">
      <c r="A4223" s="76">
        <v>3962</v>
      </c>
      <c r="B4223" s="74" t="s">
        <v>5618</v>
      </c>
      <c r="C4223" s="74">
        <v>1000819159</v>
      </c>
      <c r="D4223" s="78" t="str">
        <f t="shared" si="138"/>
        <v>https://portal.dnb.de/opac.htm?method=simpleSearch&amp;cqlMode=true&amp;query=idn%3D1000819159</v>
      </c>
      <c r="E4223" s="74" t="s">
        <v>5619</v>
      </c>
      <c r="F4223" s="74"/>
      <c r="G4223" s="76"/>
      <c r="H4223" s="77"/>
      <c r="I4223" s="76"/>
      <c r="J4223" s="77"/>
      <c r="K4223" s="77"/>
      <c r="L4223" s="76"/>
      <c r="M4223" s="76"/>
      <c r="N4223" s="76"/>
      <c r="O4223" s="76"/>
      <c r="P4223" s="76"/>
      <c r="Q4223" s="76"/>
      <c r="R4223" s="76"/>
      <c r="S4223" s="76"/>
      <c r="BD4223" s="99">
        <f t="shared" si="137"/>
        <v>0</v>
      </c>
      <c r="CC4223" s="99"/>
      <c r="CV4223" s="99"/>
      <c r="CW4223" s="63"/>
    </row>
    <row r="4224" spans="1:101" x14ac:dyDescent="0.15">
      <c r="A4224" s="76">
        <v>3963</v>
      </c>
      <c r="B4224" s="74" t="s">
        <v>5620</v>
      </c>
      <c r="C4224" s="74">
        <v>997933402</v>
      </c>
      <c r="D4224" s="78" t="str">
        <f t="shared" si="138"/>
        <v>https://portal.dnb.de/opac.htm?method=simpleSearch&amp;cqlMode=true&amp;query=idn%3D997933402</v>
      </c>
      <c r="E4224" s="74" t="s">
        <v>5621</v>
      </c>
      <c r="F4224" s="74"/>
      <c r="G4224" s="76"/>
      <c r="H4224" s="77"/>
      <c r="I4224" s="76"/>
      <c r="J4224" s="77"/>
      <c r="K4224" s="77"/>
      <c r="L4224" s="76"/>
      <c r="M4224" s="76"/>
      <c r="N4224" s="76"/>
      <c r="O4224" s="76"/>
      <c r="P4224" s="76"/>
      <c r="Q4224" s="76"/>
      <c r="R4224" s="76"/>
      <c r="S4224" s="76"/>
      <c r="BD4224" s="99">
        <f t="shared" si="137"/>
        <v>0</v>
      </c>
      <c r="CC4224" s="99"/>
      <c r="CV4224" s="99"/>
      <c r="CW4224" s="63"/>
    </row>
    <row r="4225" spans="1:101" x14ac:dyDescent="0.15">
      <c r="A4225" s="76">
        <v>3964</v>
      </c>
      <c r="B4225" s="74" t="s">
        <v>5622</v>
      </c>
      <c r="C4225" s="74">
        <v>997107855</v>
      </c>
      <c r="D4225" s="78" t="str">
        <f t="shared" si="138"/>
        <v>https://portal.dnb.de/opac.htm?method=simpleSearch&amp;cqlMode=true&amp;query=idn%3D997107855</v>
      </c>
      <c r="E4225" s="74" t="s">
        <v>5623</v>
      </c>
      <c r="F4225" s="74"/>
      <c r="G4225" s="76"/>
      <c r="H4225" s="77"/>
      <c r="I4225" s="76"/>
      <c r="J4225" s="77"/>
      <c r="K4225" s="77"/>
      <c r="L4225" s="76"/>
      <c r="M4225" s="76"/>
      <c r="N4225" s="76"/>
      <c r="O4225" s="76"/>
      <c r="P4225" s="76"/>
      <c r="Q4225" s="76"/>
      <c r="R4225" s="76"/>
      <c r="S4225" s="76"/>
      <c r="BD4225" s="99">
        <f t="shared" si="137"/>
        <v>0</v>
      </c>
      <c r="CC4225" s="99"/>
      <c r="CV4225" s="99"/>
      <c r="CW4225" s="63"/>
    </row>
    <row r="4226" spans="1:101" x14ac:dyDescent="0.15">
      <c r="A4226" s="76">
        <v>3965</v>
      </c>
      <c r="B4226" s="74" t="s">
        <v>5624</v>
      </c>
      <c r="C4226" s="74">
        <v>997107960</v>
      </c>
      <c r="D4226" s="78" t="str">
        <f t="shared" si="138"/>
        <v>https://portal.dnb.de/opac.htm?method=simpleSearch&amp;cqlMode=true&amp;query=idn%3D997107960</v>
      </c>
      <c r="E4226" s="74" t="s">
        <v>5623</v>
      </c>
      <c r="F4226" s="74"/>
      <c r="G4226" s="76"/>
      <c r="H4226" s="77"/>
      <c r="I4226" s="76"/>
      <c r="J4226" s="77"/>
      <c r="K4226" s="77"/>
      <c r="L4226" s="76"/>
      <c r="M4226" s="76"/>
      <c r="N4226" s="76"/>
      <c r="O4226" s="76"/>
      <c r="P4226" s="76"/>
      <c r="Q4226" s="76"/>
      <c r="R4226" s="76"/>
      <c r="S4226" s="76"/>
      <c r="BD4226" s="99">
        <f t="shared" si="137"/>
        <v>0</v>
      </c>
      <c r="CC4226" s="99"/>
      <c r="CV4226" s="99"/>
      <c r="CW4226" s="63"/>
    </row>
    <row r="4227" spans="1:101" x14ac:dyDescent="0.15">
      <c r="A4227" s="76">
        <v>3966</v>
      </c>
      <c r="B4227" s="74" t="s">
        <v>5625</v>
      </c>
      <c r="C4227" s="74">
        <v>997108037</v>
      </c>
      <c r="D4227" s="78" t="str">
        <f t="shared" si="138"/>
        <v>https://portal.dnb.de/opac.htm?method=simpleSearch&amp;cqlMode=true&amp;query=idn%3D997108037</v>
      </c>
      <c r="E4227" s="74" t="s">
        <v>5623</v>
      </c>
      <c r="F4227" s="74"/>
      <c r="G4227" s="76"/>
      <c r="H4227" s="77"/>
      <c r="I4227" s="76"/>
      <c r="J4227" s="77"/>
      <c r="K4227" s="77"/>
      <c r="L4227" s="76"/>
      <c r="M4227" s="76"/>
      <c r="N4227" s="76"/>
      <c r="O4227" s="76"/>
      <c r="P4227" s="76"/>
      <c r="Q4227" s="76"/>
      <c r="R4227" s="76"/>
      <c r="S4227" s="76"/>
      <c r="BD4227" s="99">
        <f t="shared" ref="BD4227:BD4290" si="139">CC4227+CV4227</f>
        <v>0</v>
      </c>
      <c r="CC4227" s="99"/>
      <c r="CV4227" s="99"/>
      <c r="CW4227" s="63"/>
    </row>
    <row r="4228" spans="1:101" x14ac:dyDescent="0.15">
      <c r="A4228" s="76">
        <v>3967</v>
      </c>
      <c r="B4228" s="74" t="s">
        <v>5626</v>
      </c>
      <c r="C4228" s="74">
        <v>12810851</v>
      </c>
      <c r="D4228" s="78" t="str">
        <f t="shared" si="138"/>
        <v>https://portal.dnb.de/opac.htm?method=simpleSearch&amp;cqlMode=true&amp;query=idn%3D12810851</v>
      </c>
      <c r="E4228" s="74" t="s">
        <v>5623</v>
      </c>
      <c r="F4228" s="74"/>
      <c r="G4228" s="76"/>
      <c r="H4228" s="77"/>
      <c r="I4228" s="76"/>
      <c r="J4228" s="77"/>
      <c r="K4228" s="77"/>
      <c r="L4228" s="76"/>
      <c r="M4228" s="76"/>
      <c r="N4228" s="76"/>
      <c r="O4228" s="76"/>
      <c r="P4228" s="76"/>
      <c r="Q4228" s="76"/>
      <c r="R4228" s="76"/>
      <c r="S4228" s="76"/>
      <c r="BD4228" s="99">
        <f t="shared" si="139"/>
        <v>0</v>
      </c>
      <c r="CC4228" s="99"/>
      <c r="CV4228" s="99"/>
      <c r="CW4228" s="63"/>
    </row>
    <row r="4229" spans="1:101" x14ac:dyDescent="0.15">
      <c r="A4229" s="76">
        <v>3968</v>
      </c>
      <c r="B4229" s="74" t="s">
        <v>5627</v>
      </c>
      <c r="C4229" s="74">
        <v>1003011462</v>
      </c>
      <c r="D4229" s="78" t="str">
        <f t="shared" si="138"/>
        <v>https://portal.dnb.de/opac.htm?method=simpleSearch&amp;cqlMode=true&amp;query=idn%3D1003011462</v>
      </c>
      <c r="E4229" s="74" t="s">
        <v>5628</v>
      </c>
      <c r="F4229" s="74"/>
      <c r="G4229" s="76"/>
      <c r="H4229" s="77"/>
      <c r="I4229" s="76"/>
      <c r="J4229" s="77"/>
      <c r="K4229" s="77"/>
      <c r="L4229" s="76"/>
      <c r="M4229" s="76"/>
      <c r="N4229" s="76"/>
      <c r="O4229" s="76"/>
      <c r="P4229" s="76"/>
      <c r="Q4229" s="76"/>
      <c r="R4229" s="76"/>
      <c r="S4229" s="76"/>
      <c r="BD4229" s="99">
        <f t="shared" si="139"/>
        <v>0</v>
      </c>
      <c r="CC4229" s="99"/>
      <c r="CV4229" s="99"/>
      <c r="CW4229" s="63"/>
    </row>
    <row r="4230" spans="1:101" x14ac:dyDescent="0.15">
      <c r="A4230" s="76">
        <v>3969</v>
      </c>
      <c r="B4230" s="74" t="s">
        <v>5629</v>
      </c>
      <c r="C4230" s="74">
        <v>997104619</v>
      </c>
      <c r="D4230" s="78" t="str">
        <f t="shared" si="138"/>
        <v>https://portal.dnb.de/opac.htm?method=simpleSearch&amp;cqlMode=true&amp;query=idn%3D997104619</v>
      </c>
      <c r="E4230" s="74" t="s">
        <v>5630</v>
      </c>
      <c r="F4230" s="74"/>
      <c r="G4230" s="76"/>
      <c r="H4230" s="77"/>
      <c r="I4230" s="76"/>
      <c r="J4230" s="77"/>
      <c r="K4230" s="77"/>
      <c r="L4230" s="76"/>
      <c r="M4230" s="76"/>
      <c r="N4230" s="76"/>
      <c r="O4230" s="76"/>
      <c r="P4230" s="76"/>
      <c r="Q4230" s="76"/>
      <c r="R4230" s="76"/>
      <c r="S4230" s="76"/>
      <c r="BD4230" s="99">
        <f t="shared" si="139"/>
        <v>0</v>
      </c>
      <c r="CC4230" s="99"/>
      <c r="CV4230" s="99"/>
      <c r="CW4230" s="63"/>
    </row>
    <row r="4231" spans="1:101" x14ac:dyDescent="0.15">
      <c r="A4231" s="76">
        <v>3970</v>
      </c>
      <c r="B4231" s="74" t="s">
        <v>5631</v>
      </c>
      <c r="C4231" s="74">
        <v>997104546</v>
      </c>
      <c r="D4231" s="78" t="str">
        <f t="shared" si="138"/>
        <v>https://portal.dnb.de/opac.htm?method=simpleSearch&amp;cqlMode=true&amp;query=idn%3D997104546</v>
      </c>
      <c r="E4231" s="74" t="s">
        <v>5630</v>
      </c>
      <c r="F4231" s="74"/>
      <c r="G4231" s="76"/>
      <c r="H4231" s="77"/>
      <c r="I4231" s="76"/>
      <c r="J4231" s="77"/>
      <c r="K4231" s="77"/>
      <c r="L4231" s="76"/>
      <c r="M4231" s="76"/>
      <c r="N4231" s="76"/>
      <c r="O4231" s="76"/>
      <c r="P4231" s="76"/>
      <c r="Q4231" s="76"/>
      <c r="R4231" s="76"/>
      <c r="S4231" s="76"/>
      <c r="BD4231" s="99">
        <f t="shared" si="139"/>
        <v>0</v>
      </c>
      <c r="CC4231" s="99"/>
      <c r="CV4231" s="99"/>
      <c r="CW4231" s="63"/>
    </row>
    <row r="4232" spans="1:101" x14ac:dyDescent="0.15">
      <c r="A4232" s="76">
        <v>3971</v>
      </c>
      <c r="B4232" s="74" t="s">
        <v>5632</v>
      </c>
      <c r="C4232" s="74" t="s">
        <v>5633</v>
      </c>
      <c r="D4232" s="78" t="str">
        <f t="shared" si="138"/>
        <v>https://portal.dnb.de/opac.htm?method=simpleSearch&amp;cqlMode=true&amp;query=idn%3D99710452X</v>
      </c>
      <c r="E4232" s="74" t="s">
        <v>5630</v>
      </c>
      <c r="F4232" s="74"/>
      <c r="G4232" s="76"/>
      <c r="H4232" s="77"/>
      <c r="I4232" s="76"/>
      <c r="J4232" s="77"/>
      <c r="K4232" s="77"/>
      <c r="L4232" s="76"/>
      <c r="M4232" s="76"/>
      <c r="N4232" s="76"/>
      <c r="O4232" s="76"/>
      <c r="P4232" s="76"/>
      <c r="Q4232" s="76"/>
      <c r="R4232" s="76"/>
      <c r="S4232" s="76"/>
      <c r="BD4232" s="99">
        <f t="shared" si="139"/>
        <v>0</v>
      </c>
      <c r="CC4232" s="99"/>
      <c r="CV4232" s="99"/>
      <c r="CW4232" s="63"/>
    </row>
    <row r="4233" spans="1:101" x14ac:dyDescent="0.15">
      <c r="A4233" s="76">
        <v>3972</v>
      </c>
      <c r="B4233" s="74" t="s">
        <v>5634</v>
      </c>
      <c r="C4233" s="74">
        <v>997104481</v>
      </c>
      <c r="D4233" s="78" t="str">
        <f t="shared" si="138"/>
        <v>https://portal.dnb.de/opac.htm?method=simpleSearch&amp;cqlMode=true&amp;query=idn%3D997104481</v>
      </c>
      <c r="E4233" s="74" t="s">
        <v>5630</v>
      </c>
      <c r="F4233" s="74"/>
      <c r="G4233" s="76"/>
      <c r="H4233" s="77"/>
      <c r="I4233" s="76"/>
      <c r="J4233" s="77"/>
      <c r="K4233" s="77"/>
      <c r="L4233" s="76"/>
      <c r="M4233" s="76"/>
      <c r="N4233" s="76"/>
      <c r="O4233" s="76"/>
      <c r="P4233" s="76"/>
      <c r="Q4233" s="76"/>
      <c r="R4233" s="76"/>
      <c r="S4233" s="76"/>
      <c r="BD4233" s="99">
        <f t="shared" si="139"/>
        <v>0</v>
      </c>
      <c r="CC4233" s="99"/>
      <c r="CV4233" s="99"/>
      <c r="CW4233" s="63"/>
    </row>
    <row r="4234" spans="1:101" x14ac:dyDescent="0.15">
      <c r="A4234" s="76">
        <v>3973</v>
      </c>
      <c r="B4234" s="74" t="s">
        <v>5591</v>
      </c>
      <c r="C4234" s="74">
        <v>997104449</v>
      </c>
      <c r="D4234" s="78" t="str">
        <f t="shared" si="138"/>
        <v>https://portal.dnb.de/opac.htm?method=simpleSearch&amp;cqlMode=true&amp;query=idn%3D997104449</v>
      </c>
      <c r="E4234" s="74" t="s">
        <v>5592</v>
      </c>
      <c r="F4234" s="74"/>
      <c r="G4234" s="76"/>
      <c r="H4234" s="77"/>
      <c r="I4234" s="76"/>
      <c r="J4234" s="77"/>
      <c r="K4234" s="77"/>
      <c r="L4234" s="76"/>
      <c r="M4234" s="76"/>
      <c r="N4234" s="76"/>
      <c r="O4234" s="76"/>
      <c r="P4234" s="76"/>
      <c r="Q4234" s="76"/>
      <c r="R4234" s="76"/>
      <c r="S4234" s="76"/>
      <c r="BD4234" s="99">
        <f t="shared" si="139"/>
        <v>0</v>
      </c>
      <c r="CC4234" s="99"/>
      <c r="CV4234" s="99"/>
      <c r="CW4234" s="63"/>
    </row>
    <row r="4235" spans="1:101" x14ac:dyDescent="0.15">
      <c r="A4235" s="76">
        <v>3974</v>
      </c>
      <c r="B4235" s="74" t="s">
        <v>5593</v>
      </c>
      <c r="C4235" s="74">
        <v>997104376</v>
      </c>
      <c r="D4235" s="78" t="str">
        <f t="shared" si="138"/>
        <v>https://portal.dnb.de/opac.htm?method=simpleSearch&amp;cqlMode=true&amp;query=idn%3D997104376</v>
      </c>
      <c r="E4235" s="74" t="s">
        <v>5592</v>
      </c>
      <c r="F4235" s="74"/>
      <c r="G4235" s="76"/>
      <c r="H4235" s="77"/>
      <c r="I4235" s="76"/>
      <c r="J4235" s="77"/>
      <c r="K4235" s="77"/>
      <c r="L4235" s="76"/>
      <c r="M4235" s="76"/>
      <c r="N4235" s="76"/>
      <c r="O4235" s="76"/>
      <c r="P4235" s="76"/>
      <c r="Q4235" s="76"/>
      <c r="R4235" s="76"/>
      <c r="S4235" s="76"/>
      <c r="BD4235" s="99">
        <f t="shared" si="139"/>
        <v>0</v>
      </c>
      <c r="CC4235" s="99"/>
      <c r="CV4235" s="99"/>
      <c r="CW4235" s="63"/>
    </row>
    <row r="4236" spans="1:101" x14ac:dyDescent="0.15">
      <c r="A4236" s="76">
        <v>3975</v>
      </c>
      <c r="B4236" s="74" t="s">
        <v>5594</v>
      </c>
      <c r="C4236" s="74">
        <v>997106026</v>
      </c>
      <c r="D4236" s="78" t="str">
        <f t="shared" si="138"/>
        <v>https://portal.dnb.de/opac.htm?method=simpleSearch&amp;cqlMode=true&amp;query=idn%3D997106026</v>
      </c>
      <c r="E4236" s="74" t="s">
        <v>5595</v>
      </c>
      <c r="F4236" s="74"/>
      <c r="G4236" s="76"/>
      <c r="H4236" s="77"/>
      <c r="I4236" s="76"/>
      <c r="J4236" s="77"/>
      <c r="K4236" s="77"/>
      <c r="L4236" s="76"/>
      <c r="M4236" s="76"/>
      <c r="N4236" s="76"/>
      <c r="O4236" s="76"/>
      <c r="P4236" s="76"/>
      <c r="Q4236" s="76"/>
      <c r="R4236" s="76"/>
      <c r="S4236" s="76"/>
      <c r="BD4236" s="99">
        <f t="shared" si="139"/>
        <v>0</v>
      </c>
      <c r="CC4236" s="99"/>
      <c r="CV4236" s="99"/>
      <c r="CW4236" s="63"/>
    </row>
    <row r="4237" spans="1:101" x14ac:dyDescent="0.15">
      <c r="A4237" s="76">
        <v>3976</v>
      </c>
      <c r="B4237" s="74" t="s">
        <v>5596</v>
      </c>
      <c r="C4237" s="74">
        <v>997105968</v>
      </c>
      <c r="D4237" s="78" t="str">
        <f t="shared" si="138"/>
        <v>https://portal.dnb.de/opac.htm?method=simpleSearch&amp;cqlMode=true&amp;query=idn%3D997105968</v>
      </c>
      <c r="E4237" s="74" t="s">
        <v>5595</v>
      </c>
      <c r="F4237" s="74"/>
      <c r="G4237" s="76"/>
      <c r="H4237" s="77"/>
      <c r="I4237" s="76"/>
      <c r="J4237" s="77"/>
      <c r="K4237" s="77"/>
      <c r="L4237" s="76"/>
      <c r="M4237" s="76"/>
      <c r="N4237" s="76"/>
      <c r="O4237" s="76"/>
      <c r="P4237" s="76"/>
      <c r="Q4237" s="76"/>
      <c r="R4237" s="76"/>
      <c r="S4237" s="76"/>
      <c r="BD4237" s="99">
        <f t="shared" si="139"/>
        <v>0</v>
      </c>
      <c r="CC4237" s="99"/>
      <c r="CV4237" s="99"/>
      <c r="CW4237" s="63"/>
    </row>
    <row r="4238" spans="1:101" x14ac:dyDescent="0.15">
      <c r="A4238" s="76">
        <v>3977</v>
      </c>
      <c r="B4238" s="74" t="s">
        <v>5597</v>
      </c>
      <c r="C4238" s="74">
        <v>997106018</v>
      </c>
      <c r="D4238" s="78" t="str">
        <f t="shared" si="138"/>
        <v>https://portal.dnb.de/opac.htm?method=simpleSearch&amp;cqlMode=true&amp;query=idn%3D997106018</v>
      </c>
      <c r="E4238" s="74" t="s">
        <v>5595</v>
      </c>
      <c r="F4238" s="74"/>
      <c r="G4238" s="76"/>
      <c r="H4238" s="77"/>
      <c r="I4238" s="76"/>
      <c r="J4238" s="77"/>
      <c r="K4238" s="77"/>
      <c r="L4238" s="76"/>
      <c r="M4238" s="76"/>
      <c r="N4238" s="76"/>
      <c r="O4238" s="76"/>
      <c r="P4238" s="76"/>
      <c r="Q4238" s="76"/>
      <c r="R4238" s="76"/>
      <c r="S4238" s="76"/>
      <c r="BD4238" s="99">
        <f t="shared" si="139"/>
        <v>0</v>
      </c>
      <c r="CC4238" s="99"/>
      <c r="CV4238" s="99"/>
      <c r="CW4238" s="63"/>
    </row>
    <row r="4239" spans="1:101" x14ac:dyDescent="0.15">
      <c r="A4239" s="76">
        <v>3978</v>
      </c>
      <c r="B4239" s="74" t="s">
        <v>5598</v>
      </c>
      <c r="C4239" s="74">
        <v>997106700</v>
      </c>
      <c r="D4239" s="78" t="str">
        <f t="shared" si="138"/>
        <v>https://portal.dnb.de/opac.htm?method=simpleSearch&amp;cqlMode=true&amp;query=idn%3D997106700</v>
      </c>
      <c r="E4239" s="74" t="s">
        <v>5599</v>
      </c>
      <c r="F4239" s="74"/>
      <c r="G4239" s="76"/>
      <c r="H4239" s="77"/>
      <c r="I4239" s="76"/>
      <c r="J4239" s="77"/>
      <c r="K4239" s="77"/>
      <c r="L4239" s="76"/>
      <c r="M4239" s="76"/>
      <c r="N4239" s="76"/>
      <c r="O4239" s="76"/>
      <c r="P4239" s="76"/>
      <c r="Q4239" s="76"/>
      <c r="R4239" s="76"/>
      <c r="S4239" s="76"/>
      <c r="BD4239" s="99">
        <f t="shared" si="139"/>
        <v>0</v>
      </c>
      <c r="CC4239" s="99"/>
      <c r="CV4239" s="99"/>
      <c r="CW4239" s="63"/>
    </row>
    <row r="4240" spans="1:101" x14ac:dyDescent="0.15">
      <c r="A4240" s="76">
        <v>3979</v>
      </c>
      <c r="B4240" s="74" t="s">
        <v>5600</v>
      </c>
      <c r="C4240" s="74">
        <v>997102624</v>
      </c>
      <c r="D4240" s="78" t="str">
        <f t="shared" si="138"/>
        <v>https://portal.dnb.de/opac.htm?method=simpleSearch&amp;cqlMode=true&amp;query=idn%3D997102624</v>
      </c>
      <c r="E4240" s="74" t="s">
        <v>5601</v>
      </c>
      <c r="F4240" s="74"/>
      <c r="G4240" s="76"/>
      <c r="H4240" s="77"/>
      <c r="I4240" s="76"/>
      <c r="J4240" s="77"/>
      <c r="K4240" s="77"/>
      <c r="L4240" s="76"/>
      <c r="M4240" s="76"/>
      <c r="N4240" s="76"/>
      <c r="O4240" s="76"/>
      <c r="P4240" s="76"/>
      <c r="Q4240" s="76"/>
      <c r="R4240" s="76"/>
      <c r="S4240" s="76"/>
      <c r="BD4240" s="99">
        <f t="shared" si="139"/>
        <v>0</v>
      </c>
      <c r="CC4240" s="99"/>
      <c r="CV4240" s="99"/>
      <c r="CW4240" s="63"/>
    </row>
    <row r="4241" spans="1:101" x14ac:dyDescent="0.15">
      <c r="A4241" s="76">
        <v>3980</v>
      </c>
      <c r="B4241" s="74" t="s">
        <v>5602</v>
      </c>
      <c r="C4241" s="74">
        <v>997124865</v>
      </c>
      <c r="D4241" s="78" t="str">
        <f t="shared" si="138"/>
        <v>https://portal.dnb.de/opac.htm?method=simpleSearch&amp;cqlMode=true&amp;query=idn%3D997124865</v>
      </c>
      <c r="E4241" s="74" t="s">
        <v>5603</v>
      </c>
      <c r="F4241" s="74"/>
      <c r="G4241" s="76"/>
      <c r="H4241" s="77"/>
      <c r="I4241" s="76"/>
      <c r="J4241" s="77"/>
      <c r="K4241" s="77"/>
      <c r="L4241" s="76"/>
      <c r="M4241" s="76"/>
      <c r="N4241" s="76"/>
      <c r="O4241" s="76"/>
      <c r="P4241" s="76"/>
      <c r="Q4241" s="76"/>
      <c r="R4241" s="76"/>
      <c r="S4241" s="76"/>
      <c r="BD4241" s="99">
        <f t="shared" si="139"/>
        <v>0</v>
      </c>
      <c r="CC4241" s="99"/>
      <c r="CV4241" s="99"/>
      <c r="CW4241" s="63"/>
    </row>
    <row r="4242" spans="1:101" x14ac:dyDescent="0.15">
      <c r="A4242" s="76">
        <v>3981</v>
      </c>
      <c r="B4242" s="74" t="s">
        <v>5604</v>
      </c>
      <c r="C4242" s="74">
        <v>997124989</v>
      </c>
      <c r="D4242" s="78" t="str">
        <f t="shared" si="138"/>
        <v>https://portal.dnb.de/opac.htm?method=simpleSearch&amp;cqlMode=true&amp;query=idn%3D997124989</v>
      </c>
      <c r="E4242" s="74" t="s">
        <v>5603</v>
      </c>
      <c r="F4242" s="74"/>
      <c r="G4242" s="76"/>
      <c r="H4242" s="77"/>
      <c r="I4242" s="76"/>
      <c r="J4242" s="77"/>
      <c r="K4242" s="77"/>
      <c r="L4242" s="76"/>
      <c r="M4242" s="76"/>
      <c r="N4242" s="76"/>
      <c r="O4242" s="76"/>
      <c r="P4242" s="76"/>
      <c r="Q4242" s="76"/>
      <c r="R4242" s="76"/>
      <c r="S4242" s="76"/>
      <c r="BD4242" s="99">
        <f t="shared" si="139"/>
        <v>0</v>
      </c>
      <c r="CC4242" s="99"/>
      <c r="CV4242" s="99"/>
      <c r="CW4242" s="63"/>
    </row>
    <row r="4243" spans="1:101" x14ac:dyDescent="0.15">
      <c r="A4243" s="76">
        <v>3982</v>
      </c>
      <c r="B4243" s="74" t="s">
        <v>5605</v>
      </c>
      <c r="C4243" s="74">
        <v>997124881</v>
      </c>
      <c r="D4243" s="78" t="str">
        <f t="shared" si="138"/>
        <v>https://portal.dnb.de/opac.htm?method=simpleSearch&amp;cqlMode=true&amp;query=idn%3D997124881</v>
      </c>
      <c r="E4243" s="74" t="s">
        <v>5603</v>
      </c>
      <c r="F4243" s="74"/>
      <c r="G4243" s="76"/>
      <c r="H4243" s="77"/>
      <c r="I4243" s="76"/>
      <c r="J4243" s="77"/>
      <c r="K4243" s="77"/>
      <c r="L4243" s="76"/>
      <c r="M4243" s="76"/>
      <c r="N4243" s="76"/>
      <c r="O4243" s="76"/>
      <c r="P4243" s="76"/>
      <c r="Q4243" s="76"/>
      <c r="R4243" s="76"/>
      <c r="S4243" s="76"/>
      <c r="BD4243" s="99">
        <f t="shared" si="139"/>
        <v>0</v>
      </c>
      <c r="CC4243" s="99"/>
      <c r="CV4243" s="99"/>
      <c r="CW4243" s="63"/>
    </row>
    <row r="4244" spans="1:101" x14ac:dyDescent="0.15">
      <c r="A4244" s="76">
        <v>3983</v>
      </c>
      <c r="B4244" s="74" t="s">
        <v>5606</v>
      </c>
      <c r="C4244" s="74">
        <v>997106360</v>
      </c>
      <c r="D4244" s="78" t="str">
        <f t="shared" si="138"/>
        <v>https://portal.dnb.de/opac.htm?method=simpleSearch&amp;cqlMode=true&amp;query=idn%3D997106360</v>
      </c>
      <c r="E4244" s="74" t="s">
        <v>5607</v>
      </c>
      <c r="F4244" s="74"/>
      <c r="G4244" s="76"/>
      <c r="H4244" s="77"/>
      <c r="I4244" s="76"/>
      <c r="J4244" s="77"/>
      <c r="K4244" s="77"/>
      <c r="L4244" s="76"/>
      <c r="M4244" s="76"/>
      <c r="N4244" s="76"/>
      <c r="O4244" s="76"/>
      <c r="P4244" s="76"/>
      <c r="Q4244" s="76"/>
      <c r="R4244" s="76"/>
      <c r="S4244" s="76"/>
      <c r="BD4244" s="99">
        <f t="shared" si="139"/>
        <v>0</v>
      </c>
      <c r="CC4244" s="99"/>
      <c r="CV4244" s="99"/>
      <c r="CW4244" s="63"/>
    </row>
    <row r="4245" spans="1:101" x14ac:dyDescent="0.15">
      <c r="A4245" s="76">
        <v>3984</v>
      </c>
      <c r="B4245" s="74" t="s">
        <v>5608</v>
      </c>
      <c r="C4245" s="74">
        <v>997106247</v>
      </c>
      <c r="D4245" s="78" t="str">
        <f t="shared" si="138"/>
        <v>https://portal.dnb.de/opac.htm?method=simpleSearch&amp;cqlMode=true&amp;query=idn%3D997106247</v>
      </c>
      <c r="E4245" s="74" t="s">
        <v>5607</v>
      </c>
      <c r="F4245" s="74"/>
      <c r="G4245" s="76"/>
      <c r="H4245" s="77"/>
      <c r="I4245" s="76"/>
      <c r="J4245" s="77"/>
      <c r="K4245" s="77"/>
      <c r="L4245" s="76"/>
      <c r="M4245" s="76"/>
      <c r="N4245" s="76"/>
      <c r="O4245" s="76"/>
      <c r="P4245" s="76"/>
      <c r="Q4245" s="76"/>
      <c r="R4245" s="76"/>
      <c r="S4245" s="76"/>
      <c r="BD4245" s="99">
        <f t="shared" si="139"/>
        <v>0</v>
      </c>
      <c r="CC4245" s="99"/>
      <c r="CV4245" s="99"/>
      <c r="CW4245" s="63"/>
    </row>
    <row r="4246" spans="1:101" x14ac:dyDescent="0.15">
      <c r="A4246" s="76">
        <v>3985</v>
      </c>
      <c r="B4246" s="74" t="s">
        <v>5609</v>
      </c>
      <c r="C4246" s="74">
        <v>997107340</v>
      </c>
      <c r="D4246" s="78" t="str">
        <f t="shared" si="138"/>
        <v>https://portal.dnb.de/opac.htm?method=simpleSearch&amp;cqlMode=true&amp;query=idn%3D997107340</v>
      </c>
      <c r="E4246" s="74" t="s">
        <v>5610</v>
      </c>
      <c r="F4246" s="74"/>
      <c r="G4246" s="76"/>
      <c r="H4246" s="77"/>
      <c r="I4246" s="76"/>
      <c r="J4246" s="77"/>
      <c r="K4246" s="77"/>
      <c r="L4246" s="76"/>
      <c r="M4246" s="76"/>
      <c r="N4246" s="76"/>
      <c r="O4246" s="76"/>
      <c r="P4246" s="76"/>
      <c r="Q4246" s="76"/>
      <c r="R4246" s="76"/>
      <c r="S4246" s="76"/>
      <c r="BD4246" s="99">
        <f t="shared" si="139"/>
        <v>0</v>
      </c>
      <c r="CC4246" s="99"/>
      <c r="CV4246" s="99"/>
      <c r="CW4246" s="63"/>
    </row>
    <row r="4247" spans="1:101" x14ac:dyDescent="0.15">
      <c r="A4247" s="76">
        <v>3986</v>
      </c>
      <c r="B4247" s="74" t="s">
        <v>5611</v>
      </c>
      <c r="C4247" s="74">
        <v>997107286</v>
      </c>
      <c r="D4247" s="78" t="str">
        <f t="shared" si="138"/>
        <v>https://portal.dnb.de/opac.htm?method=simpleSearch&amp;cqlMode=true&amp;query=idn%3D997107286</v>
      </c>
      <c r="E4247" s="74" t="s">
        <v>5610</v>
      </c>
      <c r="F4247" s="74"/>
      <c r="G4247" s="76"/>
      <c r="H4247" s="77"/>
      <c r="I4247" s="76"/>
      <c r="J4247" s="77"/>
      <c r="K4247" s="77"/>
      <c r="L4247" s="76"/>
      <c r="M4247" s="76"/>
      <c r="N4247" s="76"/>
      <c r="O4247" s="76"/>
      <c r="P4247" s="76"/>
      <c r="Q4247" s="76"/>
      <c r="R4247" s="76"/>
      <c r="S4247" s="76"/>
      <c r="BD4247" s="99">
        <f t="shared" si="139"/>
        <v>0</v>
      </c>
      <c r="CC4247" s="99"/>
      <c r="CV4247" s="99"/>
      <c r="CW4247" s="63"/>
    </row>
    <row r="4248" spans="1:101" x14ac:dyDescent="0.15">
      <c r="A4248" s="76">
        <v>3987</v>
      </c>
      <c r="B4248" s="74" t="s">
        <v>5640</v>
      </c>
      <c r="C4248" s="74">
        <v>998022381</v>
      </c>
      <c r="D4248" s="78" t="str">
        <f t="shared" si="138"/>
        <v>https://portal.dnb.de/opac.htm?method=simpleSearch&amp;cqlMode=true&amp;query=idn%3D998022381</v>
      </c>
      <c r="E4248" s="74" t="s">
        <v>5641</v>
      </c>
      <c r="F4248" s="74"/>
      <c r="G4248" s="76"/>
      <c r="H4248" s="77"/>
      <c r="I4248" s="76"/>
      <c r="J4248" s="77"/>
      <c r="K4248" s="77"/>
      <c r="L4248" s="76"/>
      <c r="M4248" s="76"/>
      <c r="N4248" s="76"/>
      <c r="O4248" s="76"/>
      <c r="P4248" s="76"/>
      <c r="Q4248" s="76"/>
      <c r="R4248" s="76"/>
      <c r="S4248" s="76"/>
      <c r="BD4248" s="99">
        <f t="shared" si="139"/>
        <v>0</v>
      </c>
      <c r="CC4248" s="99"/>
      <c r="CV4248" s="99"/>
      <c r="CW4248" s="63"/>
    </row>
    <row r="4249" spans="1:101" x14ac:dyDescent="0.15">
      <c r="A4249" s="76">
        <v>3988</v>
      </c>
      <c r="B4249" s="74" t="s">
        <v>5635</v>
      </c>
      <c r="C4249" s="74">
        <v>1066941629</v>
      </c>
      <c r="D4249" s="78" t="str">
        <f t="shared" si="138"/>
        <v>https://portal.dnb.de/opac.htm?method=simpleSearch&amp;cqlMode=true&amp;query=idn%3D1066941629</v>
      </c>
      <c r="E4249" s="74" t="s">
        <v>5636</v>
      </c>
      <c r="F4249" s="74"/>
      <c r="G4249" s="76"/>
      <c r="H4249" s="77"/>
      <c r="I4249" s="76"/>
      <c r="J4249" s="77"/>
      <c r="K4249" s="77"/>
      <c r="L4249" s="76"/>
      <c r="M4249" s="76"/>
      <c r="N4249" s="76"/>
      <c r="O4249" s="76"/>
      <c r="P4249" s="76"/>
      <c r="Q4249" s="76"/>
      <c r="R4249" s="76"/>
      <c r="S4249" s="76"/>
      <c r="BD4249" s="99">
        <f t="shared" si="139"/>
        <v>0</v>
      </c>
      <c r="CC4249" s="99"/>
      <c r="CV4249" s="99"/>
      <c r="CW4249" s="63"/>
    </row>
    <row r="4250" spans="1:101" x14ac:dyDescent="0.15">
      <c r="A4250" s="76">
        <v>3989</v>
      </c>
      <c r="B4250" s="74" t="s">
        <v>5637</v>
      </c>
      <c r="C4250" s="74">
        <v>999769693</v>
      </c>
      <c r="D4250" s="78" t="str">
        <f t="shared" si="138"/>
        <v>https://portal.dnb.de/opac.htm?method=simpleSearch&amp;cqlMode=true&amp;query=idn%3D999769693</v>
      </c>
      <c r="E4250" s="74" t="s">
        <v>5638</v>
      </c>
      <c r="F4250" s="74"/>
      <c r="G4250" s="76"/>
      <c r="H4250" s="77"/>
      <c r="I4250" s="76"/>
      <c r="J4250" s="77"/>
      <c r="K4250" s="77"/>
      <c r="L4250" s="76"/>
      <c r="M4250" s="76"/>
      <c r="N4250" s="76"/>
      <c r="O4250" s="76"/>
      <c r="P4250" s="76"/>
      <c r="Q4250" s="76"/>
      <c r="R4250" s="76"/>
      <c r="S4250" s="76"/>
      <c r="BD4250" s="99">
        <f t="shared" si="139"/>
        <v>0</v>
      </c>
      <c r="CC4250" s="99"/>
      <c r="CV4250" s="99"/>
      <c r="CW4250" s="63"/>
    </row>
    <row r="4251" spans="1:101" x14ac:dyDescent="0.15">
      <c r="A4251" s="76">
        <v>3990</v>
      </c>
      <c r="B4251" s="74" t="s">
        <v>5639</v>
      </c>
      <c r="C4251" s="74">
        <v>993883435</v>
      </c>
      <c r="D4251" s="78" t="str">
        <f t="shared" si="138"/>
        <v>https://portal.dnb.de/opac.htm?method=simpleSearch&amp;cqlMode=true&amp;query=idn%3D993883435</v>
      </c>
      <c r="E4251" s="74" t="s">
        <v>5638</v>
      </c>
      <c r="F4251" s="74"/>
      <c r="G4251" s="76"/>
      <c r="H4251" s="77"/>
      <c r="I4251" s="76"/>
      <c r="J4251" s="77"/>
      <c r="K4251" s="77"/>
      <c r="L4251" s="76"/>
      <c r="M4251" s="76"/>
      <c r="N4251" s="76"/>
      <c r="O4251" s="76"/>
      <c r="P4251" s="76"/>
      <c r="Q4251" s="76"/>
      <c r="R4251" s="76"/>
      <c r="S4251" s="76"/>
      <c r="BD4251" s="99">
        <f t="shared" si="139"/>
        <v>0</v>
      </c>
      <c r="CC4251" s="99"/>
      <c r="CV4251" s="99"/>
      <c r="CW4251" s="63"/>
    </row>
    <row r="4252" spans="1:101" ht="22.5" x14ac:dyDescent="0.15">
      <c r="A4252" s="76">
        <v>3991</v>
      </c>
      <c r="B4252" s="74" t="s">
        <v>5642</v>
      </c>
      <c r="C4252" s="74">
        <v>1066780463</v>
      </c>
      <c r="D4252" s="78" t="str">
        <f t="shared" si="138"/>
        <v>https://portal.dnb.de/opac.htm?method=simpleSearch&amp;cqlMode=true&amp;query=idn%3D1066780463</v>
      </c>
      <c r="E4252" s="74" t="s">
        <v>5643</v>
      </c>
      <c r="F4252" s="74"/>
      <c r="G4252" s="76"/>
      <c r="H4252" s="77"/>
      <c r="I4252" s="76" t="s">
        <v>53</v>
      </c>
      <c r="J4252" s="77"/>
      <c r="K4252" s="77"/>
      <c r="L4252" s="76"/>
      <c r="M4252" s="76"/>
      <c r="N4252" s="76"/>
      <c r="O4252" s="76"/>
      <c r="P4252" s="76"/>
      <c r="Q4252" s="76"/>
      <c r="R4252" s="76"/>
      <c r="S4252" s="76"/>
      <c r="X4252" s="95" t="s">
        <v>8541</v>
      </c>
      <c r="Y4252" s="95" t="s">
        <v>9763</v>
      </c>
      <c r="AC4252" s="95" t="s">
        <v>9724</v>
      </c>
      <c r="AI4252" s="95" t="s">
        <v>9725</v>
      </c>
      <c r="AU4252" s="95">
        <v>2</v>
      </c>
      <c r="AV4252" s="95" t="s">
        <v>8541</v>
      </c>
      <c r="AW4252" s="95">
        <v>45</v>
      </c>
      <c r="BC4252" s="96" t="s">
        <v>9726</v>
      </c>
      <c r="BD4252" s="99">
        <f t="shared" si="139"/>
        <v>0.5</v>
      </c>
      <c r="BH4252" s="95" t="s">
        <v>8541</v>
      </c>
      <c r="BP4252" s="69" t="s">
        <v>8541</v>
      </c>
      <c r="BQ4252" s="95" t="s">
        <v>8541</v>
      </c>
      <c r="BR4252" s="95" t="s">
        <v>8541</v>
      </c>
      <c r="BT4252" s="95" t="s">
        <v>9772</v>
      </c>
      <c r="CC4252" s="99">
        <v>0.5</v>
      </c>
      <c r="CD4252" s="90" t="s">
        <v>10278</v>
      </c>
      <c r="CV4252" s="99"/>
      <c r="CW4252" s="63"/>
    </row>
    <row r="4253" spans="1:101" x14ac:dyDescent="0.15">
      <c r="A4253" s="76">
        <v>3992</v>
      </c>
      <c r="B4253" s="74" t="s">
        <v>5644</v>
      </c>
      <c r="C4253" s="74">
        <v>1066782253</v>
      </c>
      <c r="D4253" s="78" t="str">
        <f t="shared" si="138"/>
        <v>https://portal.dnb.de/opac.htm?method=simpleSearch&amp;cqlMode=true&amp;query=idn%3D1066782253</v>
      </c>
      <c r="E4253" s="74" t="s">
        <v>5645</v>
      </c>
      <c r="F4253" s="74"/>
      <c r="G4253" s="76"/>
      <c r="H4253" s="77"/>
      <c r="I4253" s="76"/>
      <c r="J4253" s="77"/>
      <c r="K4253" s="77"/>
      <c r="L4253" s="76"/>
      <c r="M4253" s="76"/>
      <c r="N4253" s="76"/>
      <c r="O4253" s="76"/>
      <c r="P4253" s="76"/>
      <c r="Q4253" s="76"/>
      <c r="R4253" s="76"/>
      <c r="S4253" s="76"/>
      <c r="BD4253" s="99">
        <f t="shared" si="139"/>
        <v>0</v>
      </c>
      <c r="CC4253" s="99"/>
      <c r="CV4253" s="99"/>
      <c r="CW4253" s="63"/>
    </row>
    <row r="4254" spans="1:101" x14ac:dyDescent="0.15">
      <c r="A4254" s="76">
        <v>3993</v>
      </c>
      <c r="B4254" s="74" t="s">
        <v>5646</v>
      </c>
      <c r="C4254" s="74">
        <v>1066941734</v>
      </c>
      <c r="D4254" s="78" t="str">
        <f t="shared" si="138"/>
        <v>https://portal.dnb.de/opac.htm?method=simpleSearch&amp;cqlMode=true&amp;query=idn%3D1066941734</v>
      </c>
      <c r="E4254" s="74" t="s">
        <v>5647</v>
      </c>
      <c r="F4254" s="74"/>
      <c r="G4254" s="76"/>
      <c r="H4254" s="77"/>
      <c r="I4254" s="76"/>
      <c r="J4254" s="77"/>
      <c r="K4254" s="77"/>
      <c r="L4254" s="76"/>
      <c r="M4254" s="76"/>
      <c r="N4254" s="76"/>
      <c r="O4254" s="76"/>
      <c r="P4254" s="76"/>
      <c r="Q4254" s="76"/>
      <c r="R4254" s="76"/>
      <c r="S4254" s="76"/>
      <c r="BD4254" s="99">
        <f t="shared" si="139"/>
        <v>0</v>
      </c>
      <c r="CC4254" s="99"/>
      <c r="CV4254" s="99"/>
      <c r="CW4254" s="63"/>
    </row>
    <row r="4255" spans="1:101" x14ac:dyDescent="0.15">
      <c r="A4255" s="76">
        <v>3994</v>
      </c>
      <c r="B4255" s="74" t="s">
        <v>5648</v>
      </c>
      <c r="C4255" s="74">
        <v>1000819094</v>
      </c>
      <c r="D4255" s="78" t="str">
        <f t="shared" si="138"/>
        <v>https://portal.dnb.de/opac.htm?method=simpleSearch&amp;cqlMode=true&amp;query=idn%3D1000819094</v>
      </c>
      <c r="E4255" s="74" t="s">
        <v>5649</v>
      </c>
      <c r="F4255" s="74"/>
      <c r="G4255" s="76"/>
      <c r="H4255" s="77"/>
      <c r="I4255" s="76"/>
      <c r="J4255" s="77"/>
      <c r="K4255" s="77"/>
      <c r="L4255" s="76"/>
      <c r="M4255" s="76"/>
      <c r="N4255" s="76"/>
      <c r="O4255" s="76"/>
      <c r="P4255" s="76"/>
      <c r="Q4255" s="76"/>
      <c r="R4255" s="76"/>
      <c r="S4255" s="76"/>
      <c r="BD4255" s="99">
        <f t="shared" si="139"/>
        <v>0</v>
      </c>
      <c r="CC4255" s="99"/>
      <c r="CV4255" s="99"/>
      <c r="CW4255" s="63"/>
    </row>
    <row r="4256" spans="1:101" x14ac:dyDescent="0.15">
      <c r="A4256" s="76">
        <v>3995</v>
      </c>
      <c r="B4256" s="74" t="s">
        <v>5650</v>
      </c>
      <c r="C4256" s="74">
        <v>1066780226</v>
      </c>
      <c r="D4256" s="78" t="str">
        <f t="shared" ref="D4256:D4319" si="140">HYPERLINK(CONCATENATE("https://portal.dnb.de/opac.htm?method=simpleSearch&amp;cqlMode=true&amp;query=idn%3D",C4256))</f>
        <v>https://portal.dnb.de/opac.htm?method=simpleSearch&amp;cqlMode=true&amp;query=idn%3D1066780226</v>
      </c>
      <c r="E4256" s="74" t="s">
        <v>5651</v>
      </c>
      <c r="F4256" s="74"/>
      <c r="G4256" s="76"/>
      <c r="H4256" s="77"/>
      <c r="I4256" s="76"/>
      <c r="J4256" s="77"/>
      <c r="K4256" s="77"/>
      <c r="L4256" s="76"/>
      <c r="M4256" s="76"/>
      <c r="N4256" s="76"/>
      <c r="O4256" s="76"/>
      <c r="P4256" s="76"/>
      <c r="Q4256" s="76"/>
      <c r="R4256" s="76"/>
      <c r="S4256" s="76"/>
      <c r="BD4256" s="99">
        <f t="shared" si="139"/>
        <v>0</v>
      </c>
      <c r="CC4256" s="99"/>
      <c r="CV4256" s="99"/>
      <c r="CW4256" s="63"/>
    </row>
    <row r="4257" spans="1:101" x14ac:dyDescent="0.15">
      <c r="A4257" s="76">
        <v>3996</v>
      </c>
      <c r="B4257" s="74" t="s">
        <v>5652</v>
      </c>
      <c r="C4257" s="74">
        <v>1066837813</v>
      </c>
      <c r="D4257" s="78" t="str">
        <f t="shared" si="140"/>
        <v>https://portal.dnb.de/opac.htm?method=simpleSearch&amp;cqlMode=true&amp;query=idn%3D1066837813</v>
      </c>
      <c r="E4257" s="74" t="s">
        <v>5653</v>
      </c>
      <c r="F4257" s="74"/>
      <c r="G4257" s="76"/>
      <c r="H4257" s="77"/>
      <c r="I4257" s="76"/>
      <c r="J4257" s="77"/>
      <c r="K4257" s="77"/>
      <c r="L4257" s="76"/>
      <c r="M4257" s="76"/>
      <c r="N4257" s="76"/>
      <c r="O4257" s="76"/>
      <c r="P4257" s="76"/>
      <c r="Q4257" s="76"/>
      <c r="R4257" s="76"/>
      <c r="S4257" s="76"/>
      <c r="BD4257" s="99">
        <f t="shared" si="139"/>
        <v>0</v>
      </c>
      <c r="CC4257" s="99"/>
      <c r="CV4257" s="99"/>
      <c r="CW4257" s="63"/>
    </row>
    <row r="4258" spans="1:101" x14ac:dyDescent="0.15">
      <c r="A4258" s="76">
        <v>3997</v>
      </c>
      <c r="B4258" s="74" t="s">
        <v>5687</v>
      </c>
      <c r="C4258" s="74">
        <v>1132647452</v>
      </c>
      <c r="D4258" s="78" t="str">
        <f t="shared" si="140"/>
        <v>https://portal.dnb.de/opac.htm?method=simpleSearch&amp;cqlMode=true&amp;query=idn%3D1132647452</v>
      </c>
      <c r="E4258" s="74" t="s">
        <v>10472</v>
      </c>
      <c r="F4258" s="74"/>
      <c r="G4258" s="76"/>
      <c r="H4258" s="77"/>
      <c r="I4258" s="76"/>
      <c r="J4258" s="77"/>
      <c r="K4258" s="77"/>
      <c r="L4258" s="76"/>
      <c r="M4258" s="76"/>
      <c r="N4258" s="76"/>
      <c r="O4258" s="76"/>
      <c r="P4258" s="76"/>
      <c r="Q4258" s="76"/>
      <c r="R4258" s="76"/>
      <c r="S4258" s="76"/>
      <c r="BD4258" s="99">
        <f t="shared" si="139"/>
        <v>0</v>
      </c>
      <c r="CC4258" s="99"/>
      <c r="CV4258" s="99"/>
      <c r="CW4258" s="63"/>
    </row>
    <row r="4259" spans="1:101" ht="22.5" x14ac:dyDescent="0.15">
      <c r="A4259" s="76">
        <v>3998</v>
      </c>
      <c r="B4259" s="74" t="s">
        <v>5689</v>
      </c>
      <c r="C4259" s="74">
        <v>1132647444</v>
      </c>
      <c r="D4259" s="78" t="str">
        <f t="shared" si="140"/>
        <v>https://portal.dnb.de/opac.htm?method=simpleSearch&amp;cqlMode=true&amp;query=idn%3D1132647444</v>
      </c>
      <c r="E4259" s="74" t="s">
        <v>5688</v>
      </c>
      <c r="F4259" s="74"/>
      <c r="G4259" s="76"/>
      <c r="H4259" s="77"/>
      <c r="I4259" s="76" t="s">
        <v>54</v>
      </c>
      <c r="J4259" s="77"/>
      <c r="K4259" s="77"/>
      <c r="L4259" s="76"/>
      <c r="M4259" s="76"/>
      <c r="N4259" s="76"/>
      <c r="O4259" s="76"/>
      <c r="P4259" s="76"/>
      <c r="Q4259" s="76"/>
      <c r="R4259" s="76"/>
      <c r="S4259" s="76"/>
      <c r="V4259" s="95" t="s">
        <v>10473</v>
      </c>
      <c r="Y4259" s="95" t="s">
        <v>9725</v>
      </c>
      <c r="AC4259" s="95" t="s">
        <v>9739</v>
      </c>
      <c r="AI4259" s="95" t="s">
        <v>9725</v>
      </c>
      <c r="AL4259" s="95" t="s">
        <v>8541</v>
      </c>
      <c r="AR4259" s="95" t="s">
        <v>8541</v>
      </c>
      <c r="AT4259" s="95" t="s">
        <v>8541</v>
      </c>
      <c r="AW4259" s="95" t="s">
        <v>9733</v>
      </c>
      <c r="BC4259" s="96" t="s">
        <v>9726</v>
      </c>
      <c r="BD4259" s="99">
        <f t="shared" si="139"/>
        <v>4.5</v>
      </c>
      <c r="BF4259" s="95" t="s">
        <v>10005</v>
      </c>
      <c r="BP4259" s="69" t="s">
        <v>8541</v>
      </c>
      <c r="BR4259" s="95" t="s">
        <v>8541</v>
      </c>
      <c r="CC4259" s="99">
        <v>1.5</v>
      </c>
      <c r="CD4259" s="63" t="s">
        <v>10475</v>
      </c>
      <c r="CE4259" s="95" t="s">
        <v>8541</v>
      </c>
      <c r="CV4259" s="99">
        <v>3</v>
      </c>
      <c r="CW4259" s="90" t="s">
        <v>10474</v>
      </c>
    </row>
    <row r="4260" spans="1:101" x14ac:dyDescent="0.15">
      <c r="A4260" s="76">
        <v>3999</v>
      </c>
      <c r="B4260" s="74" t="s">
        <v>5690</v>
      </c>
      <c r="C4260" s="74">
        <v>1132647460</v>
      </c>
      <c r="D4260" s="78" t="str">
        <f t="shared" si="140"/>
        <v>https://portal.dnb.de/opac.htm?method=simpleSearch&amp;cqlMode=true&amp;query=idn%3D1132647460</v>
      </c>
      <c r="E4260" s="74" t="s">
        <v>10472</v>
      </c>
      <c r="F4260" s="74"/>
      <c r="G4260" s="76"/>
      <c r="H4260" s="77"/>
      <c r="I4260" s="76"/>
      <c r="J4260" s="77"/>
      <c r="K4260" s="77"/>
      <c r="L4260" s="76"/>
      <c r="M4260" s="76"/>
      <c r="N4260" s="76"/>
      <c r="O4260" s="76"/>
      <c r="P4260" s="76"/>
      <c r="Q4260" s="76"/>
      <c r="R4260" s="76"/>
      <c r="S4260" s="76"/>
      <c r="BD4260" s="99">
        <f t="shared" si="139"/>
        <v>0</v>
      </c>
      <c r="CC4260" s="99"/>
      <c r="CV4260" s="99"/>
      <c r="CW4260" s="63"/>
    </row>
    <row r="4261" spans="1:101" x14ac:dyDescent="0.15">
      <c r="A4261" s="76">
        <v>4000</v>
      </c>
      <c r="B4261" s="74" t="s">
        <v>5695</v>
      </c>
      <c r="C4261" s="74">
        <v>1066941254</v>
      </c>
      <c r="D4261" s="78" t="str">
        <f t="shared" si="140"/>
        <v>https://portal.dnb.de/opac.htm?method=simpleSearch&amp;cqlMode=true&amp;query=idn%3D1066941254</v>
      </c>
      <c r="E4261" s="74" t="s">
        <v>5696</v>
      </c>
      <c r="F4261" s="74"/>
      <c r="G4261" s="76"/>
      <c r="H4261" s="77"/>
      <c r="I4261" s="76"/>
      <c r="J4261" s="77"/>
      <c r="K4261" s="77"/>
      <c r="L4261" s="76"/>
      <c r="M4261" s="76"/>
      <c r="N4261" s="76"/>
      <c r="O4261" s="76"/>
      <c r="P4261" s="76"/>
      <c r="Q4261" s="76"/>
      <c r="R4261" s="76"/>
      <c r="S4261" s="76"/>
      <c r="BD4261" s="99">
        <f t="shared" si="139"/>
        <v>0</v>
      </c>
      <c r="CC4261" s="99"/>
      <c r="CV4261" s="99"/>
      <c r="CW4261" s="63"/>
    </row>
    <row r="4262" spans="1:101" x14ac:dyDescent="0.15">
      <c r="A4262" s="76">
        <v>4001</v>
      </c>
      <c r="B4262" s="74" t="s">
        <v>5697</v>
      </c>
      <c r="C4262" s="74" t="s">
        <v>5698</v>
      </c>
      <c r="D4262" s="78" t="str">
        <f t="shared" si="140"/>
        <v>https://portal.dnb.de/opac.htm?method=simpleSearch&amp;cqlMode=true&amp;query=idn%3D106683458X</v>
      </c>
      <c r="E4262" s="74" t="s">
        <v>5699</v>
      </c>
      <c r="F4262" s="74"/>
      <c r="G4262" s="76"/>
      <c r="H4262" s="77"/>
      <c r="I4262" s="76"/>
      <c r="J4262" s="77"/>
      <c r="K4262" s="77"/>
      <c r="L4262" s="76"/>
      <c r="M4262" s="76"/>
      <c r="N4262" s="76"/>
      <c r="O4262" s="76"/>
      <c r="P4262" s="76"/>
      <c r="Q4262" s="76"/>
      <c r="R4262" s="76"/>
      <c r="S4262" s="76"/>
      <c r="BD4262" s="99">
        <f t="shared" si="139"/>
        <v>0</v>
      </c>
      <c r="CC4262" s="99"/>
      <c r="CV4262" s="99"/>
      <c r="CW4262" s="63"/>
    </row>
    <row r="4263" spans="1:101" x14ac:dyDescent="0.15">
      <c r="A4263" s="76">
        <v>4002</v>
      </c>
      <c r="B4263" s="74" t="s">
        <v>5702</v>
      </c>
      <c r="C4263" s="74">
        <v>999575775</v>
      </c>
      <c r="D4263" s="78" t="str">
        <f t="shared" si="140"/>
        <v>https://portal.dnb.de/opac.htm?method=simpleSearch&amp;cqlMode=true&amp;query=idn%3D999575775</v>
      </c>
      <c r="E4263" s="74" t="s">
        <v>5703</v>
      </c>
      <c r="F4263" s="74"/>
      <c r="G4263" s="76"/>
      <c r="H4263" s="77"/>
      <c r="I4263" s="76"/>
      <c r="J4263" s="77"/>
      <c r="K4263" s="77"/>
      <c r="L4263" s="76"/>
      <c r="M4263" s="76"/>
      <c r="N4263" s="76"/>
      <c r="O4263" s="76"/>
      <c r="P4263" s="76"/>
      <c r="Q4263" s="76"/>
      <c r="R4263" s="76"/>
      <c r="S4263" s="76"/>
      <c r="BD4263" s="99">
        <f t="shared" si="139"/>
        <v>0</v>
      </c>
      <c r="CC4263" s="99"/>
      <c r="CV4263" s="99"/>
      <c r="CW4263" s="63"/>
    </row>
    <row r="4264" spans="1:101" x14ac:dyDescent="0.15">
      <c r="A4264" s="76">
        <v>4003</v>
      </c>
      <c r="B4264" s="74" t="s">
        <v>5704</v>
      </c>
      <c r="C4264" s="74">
        <v>1000126846</v>
      </c>
      <c r="D4264" s="78" t="str">
        <f t="shared" si="140"/>
        <v>https://portal.dnb.de/opac.htm?method=simpleSearch&amp;cqlMode=true&amp;query=idn%3D1000126846</v>
      </c>
      <c r="E4264" s="74" t="s">
        <v>5705</v>
      </c>
      <c r="F4264" s="74"/>
      <c r="G4264" s="76"/>
      <c r="H4264" s="77"/>
      <c r="I4264" s="76"/>
      <c r="J4264" s="77"/>
      <c r="K4264" s="77"/>
      <c r="L4264" s="76"/>
      <c r="M4264" s="76"/>
      <c r="N4264" s="76"/>
      <c r="O4264" s="76"/>
      <c r="P4264" s="76"/>
      <c r="Q4264" s="76"/>
      <c r="R4264" s="76"/>
      <c r="S4264" s="76"/>
      <c r="BD4264" s="99">
        <f t="shared" si="139"/>
        <v>0</v>
      </c>
      <c r="CC4264" s="99"/>
      <c r="CV4264" s="99"/>
      <c r="CW4264" s="63"/>
    </row>
    <row r="4265" spans="1:101" x14ac:dyDescent="0.15">
      <c r="A4265" s="76">
        <v>4004</v>
      </c>
      <c r="B4265" s="74" t="s">
        <v>5706</v>
      </c>
      <c r="C4265" s="74" t="s">
        <v>5707</v>
      </c>
      <c r="D4265" s="78" t="str">
        <f t="shared" si="140"/>
        <v>https://portal.dnb.de/opac.htm?method=simpleSearch&amp;cqlMode=true&amp;query=idn%3D99440476X</v>
      </c>
      <c r="E4265" s="74" t="s">
        <v>5708</v>
      </c>
      <c r="F4265" s="74"/>
      <c r="G4265" s="76"/>
      <c r="H4265" s="77"/>
      <c r="I4265" s="76"/>
      <c r="J4265" s="77"/>
      <c r="K4265" s="77"/>
      <c r="L4265" s="76"/>
      <c r="M4265" s="76"/>
      <c r="N4265" s="76"/>
      <c r="O4265" s="76"/>
      <c r="P4265" s="76"/>
      <c r="Q4265" s="76"/>
      <c r="R4265" s="76"/>
      <c r="S4265" s="76"/>
      <c r="BD4265" s="99">
        <f t="shared" si="139"/>
        <v>0</v>
      </c>
      <c r="CC4265" s="99"/>
      <c r="CV4265" s="99"/>
      <c r="CW4265" s="63"/>
    </row>
    <row r="4266" spans="1:101" x14ac:dyDescent="0.15">
      <c r="A4266" s="76">
        <v>4005</v>
      </c>
      <c r="B4266" s="74" t="s">
        <v>5709</v>
      </c>
      <c r="C4266" s="74" t="s">
        <v>5710</v>
      </c>
      <c r="D4266" s="78" t="str">
        <f t="shared" si="140"/>
        <v>https://portal.dnb.de/opac.htm?method=simpleSearch&amp;cqlMode=true&amp;query=idn%3D99386550X</v>
      </c>
      <c r="E4266" s="74" t="s">
        <v>5711</v>
      </c>
      <c r="F4266" s="74"/>
      <c r="G4266" s="76"/>
      <c r="H4266" s="77"/>
      <c r="I4266" s="76"/>
      <c r="J4266" s="77"/>
      <c r="K4266" s="77"/>
      <c r="L4266" s="76"/>
      <c r="M4266" s="76"/>
      <c r="N4266" s="76"/>
      <c r="O4266" s="76"/>
      <c r="P4266" s="76"/>
      <c r="Q4266" s="76"/>
      <c r="R4266" s="76"/>
      <c r="S4266" s="76"/>
      <c r="BD4266" s="99">
        <f t="shared" si="139"/>
        <v>0</v>
      </c>
      <c r="CC4266" s="99"/>
      <c r="CV4266" s="99"/>
      <c r="CW4266" s="63"/>
    </row>
    <row r="4267" spans="1:101" x14ac:dyDescent="0.15">
      <c r="A4267" s="76">
        <v>4006</v>
      </c>
      <c r="B4267" s="74" t="s">
        <v>5712</v>
      </c>
      <c r="C4267" s="74" t="s">
        <v>5713</v>
      </c>
      <c r="D4267" s="78" t="str">
        <f t="shared" si="140"/>
        <v>https://portal.dnb.de/opac.htm?method=simpleSearch&amp;cqlMode=true&amp;query=idn%3D99405601X</v>
      </c>
      <c r="E4267" s="74" t="s">
        <v>5714</v>
      </c>
      <c r="F4267" s="74"/>
      <c r="G4267" s="76"/>
      <c r="H4267" s="77"/>
      <c r="I4267" s="76"/>
      <c r="J4267" s="77"/>
      <c r="K4267" s="77"/>
      <c r="L4267" s="76"/>
      <c r="M4267" s="76"/>
      <c r="N4267" s="76"/>
      <c r="O4267" s="76"/>
      <c r="P4267" s="76"/>
      <c r="Q4267" s="76"/>
      <c r="R4267" s="76"/>
      <c r="S4267" s="76"/>
      <c r="BD4267" s="99">
        <f t="shared" si="139"/>
        <v>0</v>
      </c>
      <c r="CC4267" s="99"/>
      <c r="CV4267" s="99"/>
      <c r="CW4267" s="63"/>
    </row>
    <row r="4268" spans="1:101" x14ac:dyDescent="0.15">
      <c r="A4268" s="76">
        <v>4007</v>
      </c>
      <c r="B4268" s="74" t="s">
        <v>5658</v>
      </c>
      <c r="C4268" s="74">
        <v>994119208</v>
      </c>
      <c r="D4268" s="78" t="str">
        <f t="shared" si="140"/>
        <v>https://portal.dnb.de/opac.htm?method=simpleSearch&amp;cqlMode=true&amp;query=idn%3D994119208</v>
      </c>
      <c r="E4268" s="74" t="s">
        <v>5659</v>
      </c>
      <c r="F4268" s="74"/>
      <c r="G4268" s="76"/>
      <c r="H4268" s="77"/>
      <c r="I4268" s="76"/>
      <c r="J4268" s="77"/>
      <c r="K4268" s="77"/>
      <c r="L4268" s="76"/>
      <c r="M4268" s="76"/>
      <c r="N4268" s="76"/>
      <c r="O4268" s="76"/>
      <c r="P4268" s="76"/>
      <c r="Q4268" s="76"/>
      <c r="R4268" s="76"/>
      <c r="S4268" s="76"/>
      <c r="BD4268" s="99">
        <f t="shared" si="139"/>
        <v>0</v>
      </c>
      <c r="CC4268" s="99"/>
      <c r="CV4268" s="99"/>
      <c r="CW4268" s="63"/>
    </row>
    <row r="4269" spans="1:101" x14ac:dyDescent="0.15">
      <c r="A4269" s="76">
        <v>4008</v>
      </c>
      <c r="B4269" s="74" t="s">
        <v>5660</v>
      </c>
      <c r="C4269" s="74">
        <v>994119356</v>
      </c>
      <c r="D4269" s="78" t="str">
        <f t="shared" si="140"/>
        <v>https://portal.dnb.de/opac.htm?method=simpleSearch&amp;cqlMode=true&amp;query=idn%3D994119356</v>
      </c>
      <c r="E4269" s="74" t="s">
        <v>5661</v>
      </c>
      <c r="F4269" s="74"/>
      <c r="G4269" s="76"/>
      <c r="H4269" s="77"/>
      <c r="I4269" s="76"/>
      <c r="J4269" s="77"/>
      <c r="K4269" s="77"/>
      <c r="L4269" s="76"/>
      <c r="M4269" s="76"/>
      <c r="N4269" s="76"/>
      <c r="O4269" s="76"/>
      <c r="P4269" s="76"/>
      <c r="Q4269" s="76"/>
      <c r="R4269" s="76"/>
      <c r="S4269" s="76"/>
      <c r="BD4269" s="99">
        <f t="shared" si="139"/>
        <v>0</v>
      </c>
      <c r="CC4269" s="99"/>
      <c r="CV4269" s="99"/>
      <c r="CW4269" s="63"/>
    </row>
    <row r="4270" spans="1:101" x14ac:dyDescent="0.15">
      <c r="A4270" s="76">
        <v>4009</v>
      </c>
      <c r="B4270" s="74" t="s">
        <v>5662</v>
      </c>
      <c r="C4270" s="74">
        <v>997521910</v>
      </c>
      <c r="D4270" s="78" t="str">
        <f t="shared" si="140"/>
        <v>https://portal.dnb.de/opac.htm?method=simpleSearch&amp;cqlMode=true&amp;query=idn%3D997521910</v>
      </c>
      <c r="E4270" s="74" t="s">
        <v>5663</v>
      </c>
      <c r="F4270" s="74"/>
      <c r="G4270" s="76"/>
      <c r="H4270" s="77"/>
      <c r="I4270" s="76"/>
      <c r="J4270" s="77"/>
      <c r="K4270" s="77"/>
      <c r="L4270" s="76"/>
      <c r="M4270" s="76"/>
      <c r="N4270" s="76"/>
      <c r="O4270" s="76"/>
      <c r="P4270" s="76"/>
      <c r="Q4270" s="76"/>
      <c r="R4270" s="76"/>
      <c r="S4270" s="76"/>
      <c r="BD4270" s="99">
        <f t="shared" si="139"/>
        <v>0</v>
      </c>
      <c r="CC4270" s="99"/>
      <c r="CV4270" s="99"/>
      <c r="CW4270" s="63"/>
    </row>
    <row r="4271" spans="1:101" x14ac:dyDescent="0.15">
      <c r="A4271" s="76">
        <v>4010</v>
      </c>
      <c r="B4271" s="74" t="s">
        <v>5664</v>
      </c>
      <c r="C4271" s="74">
        <v>994491158</v>
      </c>
      <c r="D4271" s="78" t="str">
        <f t="shared" si="140"/>
        <v>https://portal.dnb.de/opac.htm?method=simpleSearch&amp;cqlMode=true&amp;query=idn%3D994491158</v>
      </c>
      <c r="E4271" s="74" t="s">
        <v>5665</v>
      </c>
      <c r="F4271" s="74"/>
      <c r="G4271" s="76"/>
      <c r="H4271" s="77"/>
      <c r="I4271" s="76"/>
      <c r="J4271" s="77"/>
      <c r="K4271" s="77"/>
      <c r="L4271" s="76"/>
      <c r="M4271" s="76"/>
      <c r="N4271" s="76"/>
      <c r="O4271" s="76"/>
      <c r="P4271" s="76"/>
      <c r="Q4271" s="76"/>
      <c r="R4271" s="76"/>
      <c r="S4271" s="76"/>
      <c r="BD4271" s="99">
        <f t="shared" si="139"/>
        <v>0</v>
      </c>
      <c r="CC4271" s="99"/>
      <c r="CV4271" s="99"/>
      <c r="CW4271" s="63"/>
    </row>
    <row r="4272" spans="1:101" x14ac:dyDescent="0.15">
      <c r="A4272" s="76">
        <v>4011</v>
      </c>
      <c r="B4272" s="74" t="s">
        <v>5666</v>
      </c>
      <c r="C4272" s="74">
        <v>999562436</v>
      </c>
      <c r="D4272" s="78" t="str">
        <f t="shared" si="140"/>
        <v>https://portal.dnb.de/opac.htm?method=simpleSearch&amp;cqlMode=true&amp;query=idn%3D999562436</v>
      </c>
      <c r="E4272" s="74" t="s">
        <v>5667</v>
      </c>
      <c r="F4272" s="74"/>
      <c r="G4272" s="76"/>
      <c r="H4272" s="77"/>
      <c r="I4272" s="76"/>
      <c r="J4272" s="77"/>
      <c r="K4272" s="77"/>
      <c r="L4272" s="76"/>
      <c r="M4272" s="76"/>
      <c r="N4272" s="76"/>
      <c r="O4272" s="76"/>
      <c r="P4272" s="76"/>
      <c r="Q4272" s="76"/>
      <c r="R4272" s="76"/>
      <c r="S4272" s="76"/>
      <c r="BD4272" s="99">
        <f t="shared" si="139"/>
        <v>0</v>
      </c>
      <c r="CC4272" s="99"/>
      <c r="CV4272" s="99"/>
      <c r="CW4272" s="63"/>
    </row>
    <row r="4273" spans="1:101" ht="22.5" x14ac:dyDescent="0.15">
      <c r="A4273" s="76">
        <v>4012</v>
      </c>
      <c r="B4273" s="74" t="s">
        <v>5668</v>
      </c>
      <c r="C4273" s="74">
        <v>1000025349</v>
      </c>
      <c r="D4273" s="78" t="str">
        <f t="shared" si="140"/>
        <v>https://portal.dnb.de/opac.htm?method=simpleSearch&amp;cqlMode=true&amp;query=idn%3D1000025349</v>
      </c>
      <c r="E4273" s="74" t="s">
        <v>5669</v>
      </c>
      <c r="F4273" s="79" t="s">
        <v>10542</v>
      </c>
      <c r="G4273" s="76"/>
      <c r="H4273" s="77"/>
      <c r="I4273" s="76"/>
      <c r="J4273" s="77"/>
      <c r="K4273" s="77"/>
      <c r="L4273" s="76"/>
      <c r="M4273" s="76"/>
      <c r="N4273" s="76"/>
      <c r="O4273" s="76"/>
      <c r="P4273" s="76"/>
      <c r="Q4273" s="76"/>
      <c r="R4273" s="76"/>
      <c r="S4273" s="76"/>
      <c r="BD4273" s="99">
        <f t="shared" si="139"/>
        <v>0</v>
      </c>
      <c r="CC4273" s="99"/>
      <c r="CV4273" s="99"/>
      <c r="CW4273" s="63"/>
    </row>
    <row r="4274" spans="1:101" ht="22.5" x14ac:dyDescent="0.15">
      <c r="A4274" s="76">
        <v>4013</v>
      </c>
      <c r="B4274" s="74" t="s">
        <v>5670</v>
      </c>
      <c r="C4274" s="74" t="s">
        <v>5671</v>
      </c>
      <c r="D4274" s="78" t="str">
        <f t="shared" si="140"/>
        <v>https://portal.dnb.de/opac.htm?method=simpleSearch&amp;cqlMode=true&amp;query=idn%3D100002508X</v>
      </c>
      <c r="E4274" s="74" t="s">
        <v>5669</v>
      </c>
      <c r="F4274" s="79" t="s">
        <v>10542</v>
      </c>
      <c r="G4274" s="76"/>
      <c r="H4274" s="77"/>
      <c r="I4274" s="76"/>
      <c r="J4274" s="77"/>
      <c r="K4274" s="77"/>
      <c r="L4274" s="76"/>
      <c r="M4274" s="76"/>
      <c r="N4274" s="76"/>
      <c r="O4274" s="76"/>
      <c r="P4274" s="76"/>
      <c r="Q4274" s="76"/>
      <c r="R4274" s="76"/>
      <c r="S4274" s="76"/>
      <c r="BD4274" s="99">
        <f t="shared" si="139"/>
        <v>0</v>
      </c>
      <c r="CC4274" s="99"/>
      <c r="CV4274" s="99"/>
      <c r="CW4274" s="63"/>
    </row>
    <row r="4275" spans="1:101" ht="45" x14ac:dyDescent="0.15">
      <c r="A4275" s="76">
        <v>4014</v>
      </c>
      <c r="B4275" s="74" t="s">
        <v>5672</v>
      </c>
      <c r="C4275" s="74">
        <v>1000024806</v>
      </c>
      <c r="D4275" s="78" t="str">
        <f t="shared" si="140"/>
        <v>https://portal.dnb.de/opac.htm?method=simpleSearch&amp;cqlMode=true&amp;query=idn%3D1000024806</v>
      </c>
      <c r="E4275" s="74" t="s">
        <v>5669</v>
      </c>
      <c r="F4275" s="74"/>
      <c r="G4275" s="76"/>
      <c r="H4275" s="77"/>
      <c r="I4275" s="76" t="s">
        <v>56</v>
      </c>
      <c r="J4275" s="77"/>
      <c r="K4275" s="77"/>
      <c r="L4275" s="76"/>
      <c r="M4275" s="76"/>
      <c r="N4275" s="76"/>
      <c r="O4275" s="76"/>
      <c r="P4275" s="76"/>
      <c r="Q4275" s="76"/>
      <c r="R4275" s="76"/>
      <c r="S4275" s="76"/>
      <c r="U4275" s="95" t="s">
        <v>9826</v>
      </c>
      <c r="Y4275" s="95" t="s">
        <v>9869</v>
      </c>
      <c r="AB4275" s="95" t="s">
        <v>8541</v>
      </c>
      <c r="AC4275" s="95" t="s">
        <v>9737</v>
      </c>
      <c r="AI4275" s="95" t="s">
        <v>9725</v>
      </c>
      <c r="AP4275" s="95" t="s">
        <v>8541</v>
      </c>
      <c r="AQ4275" s="96" t="s">
        <v>9828</v>
      </c>
      <c r="AR4275" s="95" t="s">
        <v>8541</v>
      </c>
      <c r="AT4275" s="95" t="s">
        <v>8541</v>
      </c>
      <c r="AW4275" s="95" t="s">
        <v>9764</v>
      </c>
      <c r="AY4275" s="96" t="s">
        <v>9827</v>
      </c>
      <c r="AZ4275" s="96"/>
      <c r="BC4275" s="96" t="s">
        <v>9734</v>
      </c>
      <c r="BD4275" s="99">
        <f t="shared" si="139"/>
        <v>0</v>
      </c>
      <c r="BF4275" s="95" t="s">
        <v>10005</v>
      </c>
      <c r="CC4275" s="99"/>
      <c r="CV4275" s="99"/>
      <c r="CW4275" s="63"/>
    </row>
    <row r="4276" spans="1:101" x14ac:dyDescent="0.15">
      <c r="A4276" s="76">
        <v>4015</v>
      </c>
      <c r="B4276" s="74" t="s">
        <v>5673</v>
      </c>
      <c r="C4276" s="74">
        <v>1000278336</v>
      </c>
      <c r="D4276" s="78" t="str">
        <f t="shared" si="140"/>
        <v>https://portal.dnb.de/opac.htm?method=simpleSearch&amp;cqlMode=true&amp;query=idn%3D1000278336</v>
      </c>
      <c r="E4276" s="74" t="s">
        <v>5674</v>
      </c>
      <c r="F4276" s="74"/>
      <c r="G4276" s="76"/>
      <c r="H4276" s="77"/>
      <c r="I4276" s="76"/>
      <c r="J4276" s="77"/>
      <c r="K4276" s="77"/>
      <c r="L4276" s="76"/>
      <c r="M4276" s="76"/>
      <c r="N4276" s="76"/>
      <c r="O4276" s="76"/>
      <c r="P4276" s="76"/>
      <c r="Q4276" s="76"/>
      <c r="R4276" s="76"/>
      <c r="S4276" s="76"/>
      <c r="BD4276" s="99">
        <f t="shared" si="139"/>
        <v>0</v>
      </c>
      <c r="CC4276" s="99"/>
      <c r="CV4276" s="99"/>
      <c r="CW4276" s="63"/>
    </row>
    <row r="4277" spans="1:101" x14ac:dyDescent="0.15">
      <c r="A4277" s="76">
        <v>4016</v>
      </c>
      <c r="B4277" s="74" t="s">
        <v>5675</v>
      </c>
      <c r="C4277" s="74">
        <v>1002848385</v>
      </c>
      <c r="D4277" s="78" t="str">
        <f t="shared" si="140"/>
        <v>https://portal.dnb.de/opac.htm?method=simpleSearch&amp;cqlMode=true&amp;query=idn%3D1002848385</v>
      </c>
      <c r="E4277" s="74" t="s">
        <v>5676</v>
      </c>
      <c r="F4277" s="74"/>
      <c r="G4277" s="76"/>
      <c r="H4277" s="77"/>
      <c r="I4277" s="76"/>
      <c r="J4277" s="77"/>
      <c r="K4277" s="77"/>
      <c r="L4277" s="76"/>
      <c r="M4277" s="76"/>
      <c r="N4277" s="76"/>
      <c r="O4277" s="76"/>
      <c r="P4277" s="76"/>
      <c r="Q4277" s="76"/>
      <c r="R4277" s="76"/>
      <c r="S4277" s="76"/>
      <c r="BD4277" s="99">
        <f t="shared" si="139"/>
        <v>0</v>
      </c>
      <c r="CC4277" s="99"/>
      <c r="CV4277" s="99"/>
      <c r="CW4277" s="63"/>
    </row>
    <row r="4278" spans="1:101" x14ac:dyDescent="0.15">
      <c r="A4278" s="76">
        <v>4017</v>
      </c>
      <c r="B4278" s="74" t="s">
        <v>5677</v>
      </c>
      <c r="C4278" s="74">
        <v>1002848415</v>
      </c>
      <c r="D4278" s="78" t="str">
        <f t="shared" si="140"/>
        <v>https://portal.dnb.de/opac.htm?method=simpleSearch&amp;cqlMode=true&amp;query=idn%3D1002848415</v>
      </c>
      <c r="E4278" s="74" t="s">
        <v>5676</v>
      </c>
      <c r="F4278" s="74"/>
      <c r="G4278" s="76"/>
      <c r="H4278" s="77"/>
      <c r="I4278" s="76"/>
      <c r="J4278" s="77"/>
      <c r="K4278" s="77"/>
      <c r="L4278" s="76"/>
      <c r="M4278" s="76"/>
      <c r="N4278" s="76"/>
      <c r="O4278" s="76"/>
      <c r="P4278" s="76"/>
      <c r="Q4278" s="76"/>
      <c r="R4278" s="76"/>
      <c r="S4278" s="76"/>
      <c r="BD4278" s="99">
        <f t="shared" si="139"/>
        <v>0</v>
      </c>
      <c r="CC4278" s="99"/>
      <c r="CV4278" s="99"/>
      <c r="CW4278" s="63"/>
    </row>
    <row r="4279" spans="1:101" x14ac:dyDescent="0.15">
      <c r="A4279" s="76">
        <v>4018</v>
      </c>
      <c r="B4279" s="74" t="s">
        <v>5678</v>
      </c>
      <c r="C4279" s="74">
        <v>1002848431</v>
      </c>
      <c r="D4279" s="78" t="str">
        <f t="shared" si="140"/>
        <v>https://portal.dnb.de/opac.htm?method=simpleSearch&amp;cqlMode=true&amp;query=idn%3D1002848431</v>
      </c>
      <c r="E4279" s="74" t="s">
        <v>5676</v>
      </c>
      <c r="F4279" s="74"/>
      <c r="G4279" s="76"/>
      <c r="H4279" s="77"/>
      <c r="I4279" s="76"/>
      <c r="J4279" s="77"/>
      <c r="K4279" s="77"/>
      <c r="L4279" s="76"/>
      <c r="M4279" s="76"/>
      <c r="N4279" s="76"/>
      <c r="O4279" s="76"/>
      <c r="P4279" s="76"/>
      <c r="Q4279" s="76"/>
      <c r="R4279" s="76"/>
      <c r="S4279" s="76"/>
      <c r="BD4279" s="99">
        <f t="shared" si="139"/>
        <v>0</v>
      </c>
      <c r="CC4279" s="99"/>
      <c r="CV4279" s="99"/>
      <c r="CW4279" s="63"/>
    </row>
    <row r="4280" spans="1:101" x14ac:dyDescent="0.15">
      <c r="A4280" s="76">
        <v>4019</v>
      </c>
      <c r="B4280" s="74" t="s">
        <v>5679</v>
      </c>
      <c r="C4280" s="74">
        <v>1002909864</v>
      </c>
      <c r="D4280" s="78" t="str">
        <f t="shared" si="140"/>
        <v>https://portal.dnb.de/opac.htm?method=simpleSearch&amp;cqlMode=true&amp;query=idn%3D1002909864</v>
      </c>
      <c r="E4280" s="74" t="s">
        <v>5680</v>
      </c>
      <c r="F4280" s="74"/>
      <c r="G4280" s="76"/>
      <c r="H4280" s="77"/>
      <c r="I4280" s="76"/>
      <c r="J4280" s="77"/>
      <c r="K4280" s="77"/>
      <c r="L4280" s="76"/>
      <c r="M4280" s="76"/>
      <c r="N4280" s="76"/>
      <c r="O4280" s="76"/>
      <c r="P4280" s="76"/>
      <c r="Q4280" s="76"/>
      <c r="R4280" s="76"/>
      <c r="S4280" s="76"/>
      <c r="BD4280" s="99">
        <f t="shared" si="139"/>
        <v>0</v>
      </c>
      <c r="CC4280" s="99"/>
      <c r="CV4280" s="99"/>
      <c r="CW4280" s="63"/>
    </row>
    <row r="4281" spans="1:101" x14ac:dyDescent="0.15">
      <c r="A4281" s="76">
        <v>4020</v>
      </c>
      <c r="B4281" s="74" t="s">
        <v>5681</v>
      </c>
      <c r="C4281" s="74">
        <v>1002910471</v>
      </c>
      <c r="D4281" s="78" t="str">
        <f t="shared" si="140"/>
        <v>https://portal.dnb.de/opac.htm?method=simpleSearch&amp;cqlMode=true&amp;query=idn%3D1002910471</v>
      </c>
      <c r="E4281" s="74" t="s">
        <v>5680</v>
      </c>
      <c r="F4281" s="74"/>
      <c r="G4281" s="76"/>
      <c r="H4281" s="77"/>
      <c r="I4281" s="76"/>
      <c r="J4281" s="77"/>
      <c r="K4281" s="77"/>
      <c r="L4281" s="76"/>
      <c r="M4281" s="76"/>
      <c r="N4281" s="76"/>
      <c r="O4281" s="76"/>
      <c r="P4281" s="76"/>
      <c r="Q4281" s="76"/>
      <c r="R4281" s="76"/>
      <c r="S4281" s="76"/>
      <c r="BD4281" s="99">
        <f t="shared" si="139"/>
        <v>0</v>
      </c>
      <c r="CC4281" s="99"/>
      <c r="CV4281" s="99"/>
      <c r="CW4281" s="63"/>
    </row>
    <row r="4282" spans="1:101" x14ac:dyDescent="0.15">
      <c r="A4282" s="76">
        <v>4021</v>
      </c>
      <c r="B4282" s="74" t="s">
        <v>5682</v>
      </c>
      <c r="C4282" s="74">
        <v>1002910722</v>
      </c>
      <c r="D4282" s="78" t="str">
        <f t="shared" si="140"/>
        <v>https://portal.dnb.de/opac.htm?method=simpleSearch&amp;cqlMode=true&amp;query=idn%3D1002910722</v>
      </c>
      <c r="E4282" s="74" t="s">
        <v>5680</v>
      </c>
      <c r="F4282" s="74"/>
      <c r="G4282" s="76"/>
      <c r="H4282" s="77"/>
      <c r="I4282" s="76"/>
      <c r="J4282" s="77"/>
      <c r="K4282" s="77"/>
      <c r="L4282" s="76"/>
      <c r="M4282" s="76"/>
      <c r="N4282" s="76"/>
      <c r="O4282" s="76"/>
      <c r="P4282" s="76"/>
      <c r="Q4282" s="76"/>
      <c r="R4282" s="76"/>
      <c r="S4282" s="76"/>
      <c r="BD4282" s="99">
        <f t="shared" si="139"/>
        <v>0</v>
      </c>
      <c r="CC4282" s="99"/>
      <c r="CV4282" s="99"/>
      <c r="CW4282" s="63"/>
    </row>
    <row r="4283" spans="1:101" x14ac:dyDescent="0.15">
      <c r="A4283" s="76">
        <v>4022</v>
      </c>
      <c r="B4283" s="74" t="s">
        <v>5683</v>
      </c>
      <c r="C4283" s="74">
        <v>998005002</v>
      </c>
      <c r="D4283" s="78" t="str">
        <f t="shared" si="140"/>
        <v>https://portal.dnb.de/opac.htm?method=simpleSearch&amp;cqlMode=true&amp;query=idn%3D998005002</v>
      </c>
      <c r="E4283" s="74" t="s">
        <v>5684</v>
      </c>
      <c r="F4283" s="74"/>
      <c r="G4283" s="76"/>
      <c r="H4283" s="77"/>
      <c r="I4283" s="76"/>
      <c r="J4283" s="77"/>
      <c r="K4283" s="77"/>
      <c r="L4283" s="76"/>
      <c r="M4283" s="76"/>
      <c r="N4283" s="76"/>
      <c r="O4283" s="76"/>
      <c r="P4283" s="76"/>
      <c r="Q4283" s="76"/>
      <c r="R4283" s="76"/>
      <c r="S4283" s="76"/>
      <c r="BD4283" s="99">
        <f t="shared" si="139"/>
        <v>0</v>
      </c>
      <c r="CC4283" s="99"/>
      <c r="CV4283" s="99"/>
      <c r="CW4283" s="63"/>
    </row>
    <row r="4284" spans="1:101" x14ac:dyDescent="0.15">
      <c r="A4284" s="76">
        <v>4023</v>
      </c>
      <c r="B4284" s="74" t="s">
        <v>5693</v>
      </c>
      <c r="C4284" s="74">
        <v>1026394007</v>
      </c>
      <c r="D4284" s="78" t="str">
        <f t="shared" si="140"/>
        <v>https://portal.dnb.de/opac.htm?method=simpleSearch&amp;cqlMode=true&amp;query=idn%3D1026394007</v>
      </c>
      <c r="E4284" s="74" t="s">
        <v>5694</v>
      </c>
      <c r="F4284" s="74"/>
      <c r="G4284" s="76"/>
      <c r="H4284" s="77"/>
      <c r="I4284" s="76"/>
      <c r="J4284" s="77"/>
      <c r="K4284" s="77"/>
      <c r="L4284" s="76"/>
      <c r="M4284" s="76"/>
      <c r="N4284" s="76"/>
      <c r="O4284" s="76"/>
      <c r="P4284" s="76"/>
      <c r="Q4284" s="76"/>
      <c r="R4284" s="76"/>
      <c r="S4284" s="76"/>
      <c r="BD4284" s="99">
        <f t="shared" si="139"/>
        <v>0</v>
      </c>
      <c r="CC4284" s="99"/>
      <c r="CV4284" s="99"/>
      <c r="CW4284" s="63"/>
    </row>
    <row r="4285" spans="1:101" x14ac:dyDescent="0.15">
      <c r="A4285" s="76">
        <v>4024</v>
      </c>
      <c r="B4285" s="74" t="s">
        <v>5654</v>
      </c>
      <c r="C4285" s="74">
        <v>997907452</v>
      </c>
      <c r="D4285" s="78" t="str">
        <f t="shared" si="140"/>
        <v>https://portal.dnb.de/opac.htm?method=simpleSearch&amp;cqlMode=true&amp;query=idn%3D997907452</v>
      </c>
      <c r="E4285" s="74" t="s">
        <v>5655</v>
      </c>
      <c r="F4285" s="74"/>
      <c r="G4285" s="76"/>
      <c r="H4285" s="77"/>
      <c r="I4285" s="76"/>
      <c r="J4285" s="77"/>
      <c r="K4285" s="77"/>
      <c r="L4285" s="76"/>
      <c r="M4285" s="76"/>
      <c r="N4285" s="76"/>
      <c r="O4285" s="76"/>
      <c r="P4285" s="76"/>
      <c r="Q4285" s="76"/>
      <c r="R4285" s="76"/>
      <c r="S4285" s="76"/>
      <c r="BD4285" s="99">
        <f t="shared" si="139"/>
        <v>0</v>
      </c>
      <c r="CC4285" s="99"/>
      <c r="CV4285" s="99"/>
      <c r="CW4285" s="63"/>
    </row>
    <row r="4286" spans="1:101" x14ac:dyDescent="0.15">
      <c r="A4286" s="76">
        <v>4025</v>
      </c>
      <c r="B4286" s="74" t="s">
        <v>5656</v>
      </c>
      <c r="C4286" s="74">
        <v>1000491382</v>
      </c>
      <c r="D4286" s="78" t="str">
        <f t="shared" si="140"/>
        <v>https://portal.dnb.de/opac.htm?method=simpleSearch&amp;cqlMode=true&amp;query=idn%3D1000491382</v>
      </c>
      <c r="E4286" s="74" t="s">
        <v>5657</v>
      </c>
      <c r="F4286" s="74"/>
      <c r="G4286" s="76"/>
      <c r="H4286" s="77"/>
      <c r="I4286" s="76"/>
      <c r="J4286" s="77"/>
      <c r="K4286" s="77"/>
      <c r="L4286" s="76"/>
      <c r="M4286" s="76"/>
      <c r="N4286" s="76"/>
      <c r="O4286" s="76"/>
      <c r="P4286" s="76"/>
      <c r="Q4286" s="76"/>
      <c r="R4286" s="76"/>
      <c r="S4286" s="76"/>
      <c r="BD4286" s="99">
        <f t="shared" si="139"/>
        <v>0</v>
      </c>
      <c r="CC4286" s="99"/>
      <c r="CV4286" s="99"/>
      <c r="CW4286" s="63"/>
    </row>
    <row r="4287" spans="1:101" x14ac:dyDescent="0.15">
      <c r="A4287" s="76">
        <v>4026</v>
      </c>
      <c r="B4287" s="74" t="s">
        <v>5685</v>
      </c>
      <c r="C4287" s="74">
        <v>993911323</v>
      </c>
      <c r="D4287" s="78" t="str">
        <f t="shared" si="140"/>
        <v>https://portal.dnb.de/opac.htm?method=simpleSearch&amp;cqlMode=true&amp;query=idn%3D993911323</v>
      </c>
      <c r="E4287" s="74" t="s">
        <v>5686</v>
      </c>
      <c r="F4287" s="74"/>
      <c r="G4287" s="76"/>
      <c r="H4287" s="77"/>
      <c r="I4287" s="76"/>
      <c r="J4287" s="77"/>
      <c r="K4287" s="77"/>
      <c r="L4287" s="76"/>
      <c r="M4287" s="76"/>
      <c r="N4287" s="76"/>
      <c r="O4287" s="76"/>
      <c r="P4287" s="76"/>
      <c r="Q4287" s="76"/>
      <c r="R4287" s="76"/>
      <c r="S4287" s="76"/>
      <c r="BD4287" s="99">
        <f t="shared" si="139"/>
        <v>0</v>
      </c>
      <c r="CC4287" s="99"/>
      <c r="CV4287" s="99"/>
      <c r="CW4287" s="63"/>
    </row>
    <row r="4288" spans="1:101" x14ac:dyDescent="0.15">
      <c r="A4288" s="76">
        <v>4027</v>
      </c>
      <c r="B4288" s="74" t="s">
        <v>5691</v>
      </c>
      <c r="C4288" s="74">
        <v>1209709856</v>
      </c>
      <c r="D4288" s="78" t="str">
        <f t="shared" si="140"/>
        <v>https://portal.dnb.de/opac.htm?method=simpleSearch&amp;cqlMode=true&amp;query=idn%3D1209709856</v>
      </c>
      <c r="E4288" s="74" t="s">
        <v>5692</v>
      </c>
      <c r="F4288" s="74"/>
      <c r="G4288" s="76"/>
      <c r="H4288" s="77"/>
      <c r="I4288" s="76"/>
      <c r="J4288" s="77"/>
      <c r="K4288" s="77"/>
      <c r="L4288" s="76"/>
      <c r="M4288" s="76"/>
      <c r="N4288" s="76"/>
      <c r="O4288" s="76"/>
      <c r="P4288" s="76"/>
      <c r="Q4288" s="76"/>
      <c r="R4288" s="76"/>
      <c r="S4288" s="76"/>
      <c r="BD4288" s="99">
        <f t="shared" si="139"/>
        <v>0</v>
      </c>
      <c r="CC4288" s="99"/>
      <c r="CV4288" s="99"/>
      <c r="CW4288" s="63"/>
    </row>
    <row r="4289" spans="1:101" x14ac:dyDescent="0.15">
      <c r="A4289" s="76">
        <v>4028</v>
      </c>
      <c r="B4289" s="74" t="s">
        <v>5700</v>
      </c>
      <c r="C4289" s="74">
        <v>995885001</v>
      </c>
      <c r="D4289" s="78" t="str">
        <f t="shared" si="140"/>
        <v>https://portal.dnb.de/opac.htm?method=simpleSearch&amp;cqlMode=true&amp;query=idn%3D995885001</v>
      </c>
      <c r="E4289" s="74" t="s">
        <v>5701</v>
      </c>
      <c r="F4289" s="74"/>
      <c r="G4289" s="76"/>
      <c r="H4289" s="77"/>
      <c r="I4289" s="76"/>
      <c r="J4289" s="77"/>
      <c r="K4289" s="77"/>
      <c r="L4289" s="76"/>
      <c r="M4289" s="76"/>
      <c r="N4289" s="76"/>
      <c r="O4289" s="76"/>
      <c r="P4289" s="76"/>
      <c r="Q4289" s="76"/>
      <c r="R4289" s="76"/>
      <c r="S4289" s="76"/>
      <c r="BD4289" s="99">
        <f t="shared" si="139"/>
        <v>0</v>
      </c>
      <c r="CC4289" s="99"/>
      <c r="CV4289" s="99"/>
      <c r="CW4289" s="63"/>
    </row>
    <row r="4290" spans="1:101" x14ac:dyDescent="0.15">
      <c r="A4290" s="76">
        <v>4029</v>
      </c>
      <c r="B4290" s="74" t="s">
        <v>5715</v>
      </c>
      <c r="C4290" s="74">
        <v>1066776555</v>
      </c>
      <c r="D4290" s="78" t="str">
        <f t="shared" si="140"/>
        <v>https://portal.dnb.de/opac.htm?method=simpleSearch&amp;cqlMode=true&amp;query=idn%3D1066776555</v>
      </c>
      <c r="E4290" s="74" t="s">
        <v>5716</v>
      </c>
      <c r="F4290" s="74"/>
      <c r="G4290" s="76"/>
      <c r="H4290" s="77"/>
      <c r="I4290" s="76"/>
      <c r="J4290" s="77"/>
      <c r="K4290" s="77"/>
      <c r="L4290" s="76"/>
      <c r="M4290" s="76"/>
      <c r="N4290" s="76"/>
      <c r="O4290" s="76"/>
      <c r="P4290" s="76"/>
      <c r="Q4290" s="76"/>
      <c r="R4290" s="76"/>
      <c r="S4290" s="76"/>
      <c r="BD4290" s="99">
        <f t="shared" si="139"/>
        <v>0</v>
      </c>
      <c r="CC4290" s="99"/>
      <c r="CV4290" s="99"/>
      <c r="CW4290" s="63"/>
    </row>
    <row r="4291" spans="1:101" x14ac:dyDescent="0.15">
      <c r="A4291" s="76">
        <v>4030</v>
      </c>
      <c r="B4291" s="74" t="s">
        <v>5717</v>
      </c>
      <c r="C4291" s="74">
        <v>1066937915</v>
      </c>
      <c r="D4291" s="78" t="str">
        <f t="shared" si="140"/>
        <v>https://portal.dnb.de/opac.htm?method=simpleSearch&amp;cqlMode=true&amp;query=idn%3D1066937915</v>
      </c>
      <c r="E4291" s="74" t="s">
        <v>5718</v>
      </c>
      <c r="F4291" s="74"/>
      <c r="G4291" s="76"/>
      <c r="H4291" s="77"/>
      <c r="I4291" s="76"/>
      <c r="J4291" s="77"/>
      <c r="K4291" s="77"/>
      <c r="L4291" s="76"/>
      <c r="M4291" s="76"/>
      <c r="N4291" s="76"/>
      <c r="O4291" s="76"/>
      <c r="P4291" s="76"/>
      <c r="Q4291" s="76"/>
      <c r="R4291" s="76"/>
      <c r="S4291" s="76"/>
      <c r="BD4291" s="99">
        <f t="shared" ref="BD4291:BD4354" si="141">CC4291+CV4291</f>
        <v>0</v>
      </c>
      <c r="CC4291" s="99"/>
      <c r="CV4291" s="99"/>
      <c r="CW4291" s="63"/>
    </row>
    <row r="4292" spans="1:101" x14ac:dyDescent="0.15">
      <c r="A4292" s="76">
        <v>4031</v>
      </c>
      <c r="B4292" s="74" t="s">
        <v>5734</v>
      </c>
      <c r="C4292" s="74">
        <v>1066868905</v>
      </c>
      <c r="D4292" s="78" t="str">
        <f t="shared" si="140"/>
        <v>https://portal.dnb.de/opac.htm?method=simpleSearch&amp;cqlMode=true&amp;query=idn%3D1066868905</v>
      </c>
      <c r="E4292" s="74" t="s">
        <v>5735</v>
      </c>
      <c r="F4292" s="74"/>
      <c r="G4292" s="76"/>
      <c r="H4292" s="77"/>
      <c r="I4292" s="76"/>
      <c r="J4292" s="77"/>
      <c r="K4292" s="77"/>
      <c r="L4292" s="76"/>
      <c r="M4292" s="76"/>
      <c r="N4292" s="76"/>
      <c r="O4292" s="76"/>
      <c r="P4292" s="76"/>
      <c r="Q4292" s="76"/>
      <c r="R4292" s="76"/>
      <c r="S4292" s="76"/>
      <c r="BD4292" s="99">
        <f t="shared" si="141"/>
        <v>0</v>
      </c>
      <c r="CC4292" s="99"/>
      <c r="CV4292" s="99"/>
      <c r="CW4292" s="63"/>
    </row>
    <row r="4293" spans="1:101" x14ac:dyDescent="0.15">
      <c r="A4293" s="76">
        <v>4032</v>
      </c>
      <c r="B4293" s="74" t="s">
        <v>6052</v>
      </c>
      <c r="C4293" s="74">
        <v>1066937605</v>
      </c>
      <c r="D4293" s="78" t="str">
        <f t="shared" si="140"/>
        <v>https://portal.dnb.de/opac.htm?method=simpleSearch&amp;cqlMode=true&amp;query=idn%3D1066937605</v>
      </c>
      <c r="E4293" s="74" t="s">
        <v>6053</v>
      </c>
      <c r="F4293" s="74"/>
      <c r="G4293" s="76"/>
      <c r="H4293" s="77"/>
      <c r="I4293" s="76"/>
      <c r="J4293" s="77"/>
      <c r="K4293" s="77"/>
      <c r="L4293" s="76"/>
      <c r="M4293" s="76"/>
      <c r="N4293" s="76"/>
      <c r="O4293" s="76"/>
      <c r="P4293" s="76"/>
      <c r="Q4293" s="76"/>
      <c r="R4293" s="76"/>
      <c r="S4293" s="76"/>
      <c r="BD4293" s="99">
        <f t="shared" si="141"/>
        <v>0</v>
      </c>
      <c r="CC4293" s="99"/>
      <c r="CV4293" s="99"/>
      <c r="CW4293" s="63"/>
    </row>
    <row r="4294" spans="1:101" x14ac:dyDescent="0.15">
      <c r="A4294" s="76">
        <v>4033</v>
      </c>
      <c r="B4294" s="74" t="s">
        <v>6054</v>
      </c>
      <c r="C4294" s="74">
        <v>1066779406</v>
      </c>
      <c r="D4294" s="78" t="str">
        <f t="shared" si="140"/>
        <v>https://portal.dnb.de/opac.htm?method=simpleSearch&amp;cqlMode=true&amp;query=idn%3D1066779406</v>
      </c>
      <c r="E4294" s="74" t="s">
        <v>6055</v>
      </c>
      <c r="F4294" s="74"/>
      <c r="G4294" s="76"/>
      <c r="H4294" s="77"/>
      <c r="I4294" s="76"/>
      <c r="J4294" s="77"/>
      <c r="K4294" s="77"/>
      <c r="L4294" s="76"/>
      <c r="M4294" s="76"/>
      <c r="N4294" s="76"/>
      <c r="O4294" s="76"/>
      <c r="P4294" s="76"/>
      <c r="Q4294" s="76"/>
      <c r="R4294" s="76"/>
      <c r="S4294" s="76"/>
      <c r="BD4294" s="99">
        <f t="shared" si="141"/>
        <v>0</v>
      </c>
      <c r="CC4294" s="99"/>
      <c r="CV4294" s="99"/>
      <c r="CW4294" s="63"/>
    </row>
    <row r="4295" spans="1:101" x14ac:dyDescent="0.15">
      <c r="A4295" s="76">
        <v>4034</v>
      </c>
      <c r="B4295" s="74" t="s">
        <v>6056</v>
      </c>
      <c r="C4295" s="74">
        <v>1066779856</v>
      </c>
      <c r="D4295" s="78" t="str">
        <f t="shared" si="140"/>
        <v>https://portal.dnb.de/opac.htm?method=simpleSearch&amp;cqlMode=true&amp;query=idn%3D1066779856</v>
      </c>
      <c r="E4295" s="74" t="s">
        <v>6057</v>
      </c>
      <c r="F4295" s="74"/>
      <c r="G4295" s="76"/>
      <c r="H4295" s="77"/>
      <c r="I4295" s="76"/>
      <c r="J4295" s="77"/>
      <c r="K4295" s="77"/>
      <c r="L4295" s="76"/>
      <c r="M4295" s="76"/>
      <c r="N4295" s="76"/>
      <c r="O4295" s="76"/>
      <c r="P4295" s="76"/>
      <c r="Q4295" s="76"/>
      <c r="R4295" s="76"/>
      <c r="S4295" s="76"/>
      <c r="BD4295" s="99">
        <f t="shared" si="141"/>
        <v>0</v>
      </c>
      <c r="CC4295" s="99"/>
      <c r="CV4295" s="99"/>
      <c r="CW4295" s="63"/>
    </row>
    <row r="4296" spans="1:101" x14ac:dyDescent="0.15">
      <c r="A4296" s="76">
        <v>4035</v>
      </c>
      <c r="B4296" s="74" t="s">
        <v>6058</v>
      </c>
      <c r="C4296" s="74">
        <v>1066837554</v>
      </c>
      <c r="D4296" s="78" t="str">
        <f t="shared" si="140"/>
        <v>https://portal.dnb.de/opac.htm?method=simpleSearch&amp;cqlMode=true&amp;query=idn%3D1066837554</v>
      </c>
      <c r="E4296" s="74" t="s">
        <v>6059</v>
      </c>
      <c r="F4296" s="74"/>
      <c r="G4296" s="76"/>
      <c r="H4296" s="77"/>
      <c r="I4296" s="76"/>
      <c r="J4296" s="77"/>
      <c r="K4296" s="77"/>
      <c r="L4296" s="76"/>
      <c r="M4296" s="76"/>
      <c r="N4296" s="76"/>
      <c r="O4296" s="76"/>
      <c r="P4296" s="76"/>
      <c r="Q4296" s="76"/>
      <c r="R4296" s="76"/>
      <c r="S4296" s="76"/>
      <c r="BD4296" s="99">
        <f t="shared" si="141"/>
        <v>0</v>
      </c>
      <c r="CC4296" s="99"/>
      <c r="CV4296" s="99"/>
      <c r="CW4296" s="63"/>
    </row>
    <row r="4297" spans="1:101" x14ac:dyDescent="0.15">
      <c r="A4297" s="76">
        <v>4036</v>
      </c>
      <c r="B4297" s="74" t="s">
        <v>6060</v>
      </c>
      <c r="C4297" s="74">
        <v>1066790949</v>
      </c>
      <c r="D4297" s="78" t="str">
        <f t="shared" si="140"/>
        <v>https://portal.dnb.de/opac.htm?method=simpleSearch&amp;cqlMode=true&amp;query=idn%3D1066790949</v>
      </c>
      <c r="E4297" s="74" t="s">
        <v>6061</v>
      </c>
      <c r="F4297" s="74"/>
      <c r="G4297" s="76"/>
      <c r="H4297" s="77"/>
      <c r="I4297" s="76"/>
      <c r="J4297" s="77"/>
      <c r="K4297" s="77"/>
      <c r="L4297" s="76"/>
      <c r="M4297" s="76"/>
      <c r="N4297" s="76"/>
      <c r="O4297" s="76"/>
      <c r="P4297" s="76"/>
      <c r="Q4297" s="76"/>
      <c r="R4297" s="76"/>
      <c r="S4297" s="76"/>
      <c r="BD4297" s="99">
        <f t="shared" si="141"/>
        <v>0</v>
      </c>
      <c r="CC4297" s="99"/>
      <c r="CV4297" s="99"/>
      <c r="CW4297" s="63"/>
    </row>
    <row r="4298" spans="1:101" x14ac:dyDescent="0.15">
      <c r="A4298" s="76">
        <v>4037</v>
      </c>
      <c r="B4298" s="74" t="s">
        <v>6062</v>
      </c>
      <c r="C4298" s="74">
        <v>997309466</v>
      </c>
      <c r="D4298" s="78" t="str">
        <f t="shared" si="140"/>
        <v>https://portal.dnb.de/opac.htm?method=simpleSearch&amp;cqlMode=true&amp;query=idn%3D997309466</v>
      </c>
      <c r="E4298" s="74" t="s">
        <v>6063</v>
      </c>
      <c r="F4298" s="74"/>
      <c r="G4298" s="76"/>
      <c r="H4298" s="77"/>
      <c r="I4298" s="76"/>
      <c r="J4298" s="77"/>
      <c r="K4298" s="77"/>
      <c r="L4298" s="76"/>
      <c r="M4298" s="76"/>
      <c r="N4298" s="76"/>
      <c r="O4298" s="76"/>
      <c r="P4298" s="76"/>
      <c r="Q4298" s="76"/>
      <c r="R4298" s="76"/>
      <c r="S4298" s="76"/>
      <c r="BD4298" s="99">
        <f t="shared" si="141"/>
        <v>0</v>
      </c>
      <c r="CC4298" s="99"/>
      <c r="CV4298" s="99"/>
      <c r="CW4298" s="63"/>
    </row>
    <row r="4299" spans="1:101" x14ac:dyDescent="0.15">
      <c r="A4299" s="76">
        <v>4038</v>
      </c>
      <c r="B4299" s="74" t="s">
        <v>6064</v>
      </c>
      <c r="C4299" s="74">
        <v>1002268907</v>
      </c>
      <c r="D4299" s="78" t="str">
        <f t="shared" si="140"/>
        <v>https://portal.dnb.de/opac.htm?method=simpleSearch&amp;cqlMode=true&amp;query=idn%3D1002268907</v>
      </c>
      <c r="E4299" s="74" t="s">
        <v>6065</v>
      </c>
      <c r="F4299" s="74"/>
      <c r="G4299" s="76"/>
      <c r="H4299" s="77"/>
      <c r="I4299" s="76"/>
      <c r="J4299" s="77"/>
      <c r="K4299" s="77"/>
      <c r="L4299" s="76"/>
      <c r="M4299" s="76"/>
      <c r="N4299" s="76"/>
      <c r="O4299" s="76"/>
      <c r="P4299" s="76"/>
      <c r="Q4299" s="76"/>
      <c r="R4299" s="76"/>
      <c r="S4299" s="76"/>
      <c r="BD4299" s="99">
        <f t="shared" si="141"/>
        <v>0</v>
      </c>
      <c r="CC4299" s="99"/>
      <c r="CV4299" s="99"/>
      <c r="CW4299" s="63"/>
    </row>
    <row r="4300" spans="1:101" x14ac:dyDescent="0.15">
      <c r="A4300" s="76">
        <v>4039</v>
      </c>
      <c r="B4300" s="74" t="s">
        <v>6066</v>
      </c>
      <c r="C4300" s="74">
        <v>997309105</v>
      </c>
      <c r="D4300" s="78" t="str">
        <f t="shared" si="140"/>
        <v>https://portal.dnb.de/opac.htm?method=simpleSearch&amp;cqlMode=true&amp;query=idn%3D997309105</v>
      </c>
      <c r="E4300" s="74" t="s">
        <v>6067</v>
      </c>
      <c r="F4300" s="74"/>
      <c r="G4300" s="76"/>
      <c r="H4300" s="77"/>
      <c r="I4300" s="76"/>
      <c r="J4300" s="77"/>
      <c r="K4300" s="77"/>
      <c r="L4300" s="76"/>
      <c r="M4300" s="76"/>
      <c r="N4300" s="76"/>
      <c r="O4300" s="76"/>
      <c r="P4300" s="76"/>
      <c r="Q4300" s="76"/>
      <c r="R4300" s="76"/>
      <c r="S4300" s="76"/>
      <c r="BD4300" s="99">
        <f t="shared" si="141"/>
        <v>0</v>
      </c>
      <c r="CC4300" s="99"/>
      <c r="CV4300" s="99"/>
      <c r="CW4300" s="63"/>
    </row>
    <row r="4301" spans="1:101" x14ac:dyDescent="0.15">
      <c r="A4301" s="76">
        <v>4040</v>
      </c>
      <c r="B4301" s="74" t="s">
        <v>6068</v>
      </c>
      <c r="C4301" s="74">
        <v>999825828</v>
      </c>
      <c r="D4301" s="78" t="str">
        <f t="shared" si="140"/>
        <v>https://portal.dnb.de/opac.htm?method=simpleSearch&amp;cqlMode=true&amp;query=idn%3D999825828</v>
      </c>
      <c r="E4301" s="74" t="s">
        <v>6069</v>
      </c>
      <c r="F4301" s="74"/>
      <c r="G4301" s="76"/>
      <c r="H4301" s="77"/>
      <c r="I4301" s="76"/>
      <c r="J4301" s="77"/>
      <c r="K4301" s="77"/>
      <c r="L4301" s="76"/>
      <c r="M4301" s="76"/>
      <c r="N4301" s="76"/>
      <c r="O4301" s="76"/>
      <c r="P4301" s="76"/>
      <c r="Q4301" s="76"/>
      <c r="R4301" s="76"/>
      <c r="S4301" s="76"/>
      <c r="BD4301" s="99">
        <f t="shared" si="141"/>
        <v>0</v>
      </c>
      <c r="CC4301" s="99"/>
      <c r="CV4301" s="99"/>
      <c r="CW4301" s="63"/>
    </row>
    <row r="4302" spans="1:101" x14ac:dyDescent="0.15">
      <c r="A4302" s="76">
        <v>4041</v>
      </c>
      <c r="B4302" s="74" t="s">
        <v>6070</v>
      </c>
      <c r="C4302" s="74">
        <v>1066941378</v>
      </c>
      <c r="D4302" s="78" t="str">
        <f t="shared" si="140"/>
        <v>https://portal.dnb.de/opac.htm?method=simpleSearch&amp;cqlMode=true&amp;query=idn%3D1066941378</v>
      </c>
      <c r="E4302" s="74" t="s">
        <v>6071</v>
      </c>
      <c r="F4302" s="74"/>
      <c r="G4302" s="76"/>
      <c r="H4302" s="77"/>
      <c r="I4302" s="76" t="s">
        <v>53</v>
      </c>
      <c r="J4302" s="77"/>
      <c r="K4302" s="77"/>
      <c r="L4302" s="76"/>
      <c r="M4302" s="76"/>
      <c r="N4302" s="76"/>
      <c r="O4302" s="76"/>
      <c r="P4302" s="76"/>
      <c r="Q4302" s="76"/>
      <c r="R4302" s="76"/>
      <c r="S4302" s="76"/>
      <c r="Y4302" s="95" t="s">
        <v>9763</v>
      </c>
      <c r="AC4302" s="95" t="s">
        <v>9730</v>
      </c>
      <c r="AI4302" s="95" t="s">
        <v>9725</v>
      </c>
      <c r="AW4302" s="95">
        <v>80</v>
      </c>
      <c r="BC4302" s="96" t="s">
        <v>9726</v>
      </c>
      <c r="BD4302" s="99">
        <f t="shared" si="141"/>
        <v>2.5</v>
      </c>
      <c r="BH4302" s="95" t="s">
        <v>8541</v>
      </c>
      <c r="BP4302" s="69" t="s">
        <v>8541</v>
      </c>
      <c r="BR4302" s="95" t="s">
        <v>8541</v>
      </c>
      <c r="CC4302" s="99">
        <v>0.5</v>
      </c>
      <c r="CE4302" s="95" t="s">
        <v>8541</v>
      </c>
      <c r="CI4302" s="95" t="s">
        <v>8541</v>
      </c>
      <c r="CN4302" s="95" t="s">
        <v>8541</v>
      </c>
      <c r="CV4302" s="99">
        <v>2</v>
      </c>
      <c r="CW4302" s="63"/>
    </row>
    <row r="4303" spans="1:101" x14ac:dyDescent="0.15">
      <c r="A4303" s="76">
        <v>4042</v>
      </c>
      <c r="B4303" s="74" t="s">
        <v>6072</v>
      </c>
      <c r="C4303" s="74">
        <v>1208240870</v>
      </c>
      <c r="D4303" s="78" t="str">
        <f t="shared" si="140"/>
        <v>https://portal.dnb.de/opac.htm?method=simpleSearch&amp;cqlMode=true&amp;query=idn%3D1208240870</v>
      </c>
      <c r="E4303" s="74" t="s">
        <v>6073</v>
      </c>
      <c r="F4303" s="74"/>
      <c r="G4303" s="76"/>
      <c r="H4303" s="77"/>
      <c r="I4303" s="76"/>
      <c r="J4303" s="77"/>
      <c r="K4303" s="77"/>
      <c r="L4303" s="76"/>
      <c r="M4303" s="76"/>
      <c r="N4303" s="76"/>
      <c r="O4303" s="76"/>
      <c r="P4303" s="76"/>
      <c r="Q4303" s="76"/>
      <c r="R4303" s="76"/>
      <c r="S4303" s="76"/>
      <c r="BD4303" s="99">
        <f t="shared" si="141"/>
        <v>0</v>
      </c>
      <c r="CC4303" s="99"/>
      <c r="CV4303" s="99"/>
      <c r="CW4303" s="63"/>
    </row>
    <row r="4304" spans="1:101" x14ac:dyDescent="0.15">
      <c r="A4304" s="76">
        <v>4043</v>
      </c>
      <c r="B4304" s="74" t="s">
        <v>6074</v>
      </c>
      <c r="C4304" s="74">
        <v>1066774757</v>
      </c>
      <c r="D4304" s="78" t="str">
        <f t="shared" si="140"/>
        <v>https://portal.dnb.de/opac.htm?method=simpleSearch&amp;cqlMode=true&amp;query=idn%3D1066774757</v>
      </c>
      <c r="E4304" s="74" t="s">
        <v>6075</v>
      </c>
      <c r="F4304" s="74"/>
      <c r="G4304" s="76"/>
      <c r="H4304" s="77"/>
      <c r="I4304" s="76"/>
      <c r="J4304" s="77"/>
      <c r="K4304" s="77"/>
      <c r="L4304" s="76"/>
      <c r="M4304" s="76"/>
      <c r="N4304" s="76"/>
      <c r="O4304" s="76"/>
      <c r="P4304" s="76"/>
      <c r="Q4304" s="76"/>
      <c r="R4304" s="76"/>
      <c r="S4304" s="76"/>
      <c r="BD4304" s="99">
        <f t="shared" si="141"/>
        <v>0</v>
      </c>
      <c r="CC4304" s="99"/>
      <c r="CV4304" s="99"/>
      <c r="CW4304" s="63"/>
    </row>
    <row r="4305" spans="1:101" x14ac:dyDescent="0.15">
      <c r="A4305" s="76">
        <v>4044</v>
      </c>
      <c r="B4305" s="74" t="s">
        <v>6076</v>
      </c>
      <c r="C4305" s="74">
        <v>994023960</v>
      </c>
      <c r="D4305" s="78" t="str">
        <f t="shared" si="140"/>
        <v>https://portal.dnb.de/opac.htm?method=simpleSearch&amp;cqlMode=true&amp;query=idn%3D994023960</v>
      </c>
      <c r="E4305" s="74" t="s">
        <v>6077</v>
      </c>
      <c r="F4305" s="74"/>
      <c r="G4305" s="76"/>
      <c r="H4305" s="77"/>
      <c r="I4305" s="76"/>
      <c r="J4305" s="77"/>
      <c r="K4305" s="77"/>
      <c r="L4305" s="76"/>
      <c r="M4305" s="76"/>
      <c r="N4305" s="76"/>
      <c r="O4305" s="76"/>
      <c r="P4305" s="76"/>
      <c r="Q4305" s="76"/>
      <c r="R4305" s="76"/>
      <c r="S4305" s="76"/>
      <c r="BD4305" s="99">
        <f t="shared" si="141"/>
        <v>0</v>
      </c>
      <c r="CC4305" s="99"/>
      <c r="CV4305" s="99"/>
      <c r="CW4305" s="63"/>
    </row>
    <row r="4306" spans="1:101" x14ac:dyDescent="0.15">
      <c r="A4306" s="76">
        <v>4045</v>
      </c>
      <c r="B4306" s="74" t="s">
        <v>6078</v>
      </c>
      <c r="C4306" s="74">
        <v>1066834571</v>
      </c>
      <c r="D4306" s="78" t="str">
        <f t="shared" si="140"/>
        <v>https://portal.dnb.de/opac.htm?method=simpleSearch&amp;cqlMode=true&amp;query=idn%3D1066834571</v>
      </c>
      <c r="E4306" s="74" t="s">
        <v>6079</v>
      </c>
      <c r="F4306" s="74"/>
      <c r="G4306" s="76"/>
      <c r="H4306" s="77"/>
      <c r="I4306" s="76"/>
      <c r="J4306" s="77"/>
      <c r="K4306" s="77"/>
      <c r="L4306" s="76"/>
      <c r="M4306" s="76"/>
      <c r="N4306" s="76"/>
      <c r="O4306" s="76"/>
      <c r="P4306" s="76"/>
      <c r="Q4306" s="76"/>
      <c r="R4306" s="76"/>
      <c r="S4306" s="76"/>
      <c r="BD4306" s="99">
        <f t="shared" si="141"/>
        <v>0</v>
      </c>
      <c r="CC4306" s="99"/>
      <c r="CV4306" s="99"/>
      <c r="CW4306" s="63"/>
    </row>
    <row r="4307" spans="1:101" ht="45" x14ac:dyDescent="0.15">
      <c r="A4307" s="76">
        <v>4046</v>
      </c>
      <c r="B4307" s="74" t="s">
        <v>6082</v>
      </c>
      <c r="C4307" s="74">
        <v>993860931</v>
      </c>
      <c r="D4307" s="78" t="str">
        <f t="shared" si="140"/>
        <v>https://portal.dnb.de/opac.htm?method=simpleSearch&amp;cqlMode=true&amp;query=idn%3D993860931</v>
      </c>
      <c r="E4307" s="74" t="s">
        <v>6083</v>
      </c>
      <c r="F4307" s="74"/>
      <c r="G4307" s="76"/>
      <c r="H4307" s="77"/>
      <c r="I4307" s="76" t="s">
        <v>53</v>
      </c>
      <c r="J4307" s="77"/>
      <c r="K4307" s="77"/>
      <c r="L4307" s="76"/>
      <c r="M4307" s="76"/>
      <c r="N4307" s="76"/>
      <c r="O4307" s="76"/>
      <c r="P4307" s="76"/>
      <c r="Q4307" s="76"/>
      <c r="R4307" s="76"/>
      <c r="S4307" s="76"/>
      <c r="Y4307" s="95" t="s">
        <v>9736</v>
      </c>
      <c r="AC4307" s="95" t="s">
        <v>9737</v>
      </c>
      <c r="AD4307" s="95" t="s">
        <v>8541</v>
      </c>
      <c r="AI4307" s="95" t="s">
        <v>9725</v>
      </c>
      <c r="AW4307" s="95">
        <v>45</v>
      </c>
      <c r="BC4307" s="96" t="s">
        <v>9726</v>
      </c>
      <c r="BD4307" s="99">
        <f t="shared" si="141"/>
        <v>3</v>
      </c>
      <c r="BH4307" s="95" t="s">
        <v>8541</v>
      </c>
      <c r="BP4307" s="69" t="s">
        <v>8541</v>
      </c>
      <c r="BR4307" s="95" t="s">
        <v>8541</v>
      </c>
      <c r="BX4307" s="96" t="s">
        <v>10547</v>
      </c>
      <c r="CB4307" s="95" t="s">
        <v>10217</v>
      </c>
      <c r="CC4307" s="99">
        <v>3</v>
      </c>
      <c r="CD4307" s="90" t="s">
        <v>10288</v>
      </c>
      <c r="CV4307" s="99"/>
      <c r="CW4307" s="63"/>
    </row>
    <row r="4308" spans="1:101" x14ac:dyDescent="0.15">
      <c r="A4308" s="76">
        <v>4047</v>
      </c>
      <c r="B4308" s="74" t="s">
        <v>6080</v>
      </c>
      <c r="C4308" s="74">
        <v>1211526011</v>
      </c>
      <c r="D4308" s="78" t="str">
        <f t="shared" si="140"/>
        <v>https://portal.dnb.de/opac.htm?method=simpleSearch&amp;cqlMode=true&amp;query=idn%3D1211526011</v>
      </c>
      <c r="E4308" s="74" t="s">
        <v>6081</v>
      </c>
      <c r="F4308" s="74"/>
      <c r="G4308" s="76"/>
      <c r="H4308" s="77"/>
      <c r="I4308" s="76"/>
      <c r="J4308" s="77"/>
      <c r="K4308" s="77"/>
      <c r="L4308" s="76"/>
      <c r="M4308" s="76"/>
      <c r="N4308" s="76"/>
      <c r="O4308" s="76"/>
      <c r="P4308" s="76"/>
      <c r="Q4308" s="76"/>
      <c r="R4308" s="76"/>
      <c r="S4308" s="76"/>
      <c r="BD4308" s="99">
        <f t="shared" si="141"/>
        <v>0</v>
      </c>
      <c r="CC4308" s="99"/>
      <c r="CV4308" s="99"/>
      <c r="CW4308" s="63"/>
    </row>
    <row r="4309" spans="1:101" x14ac:dyDescent="0.15">
      <c r="A4309" s="76">
        <v>4048</v>
      </c>
      <c r="B4309" s="74" t="s">
        <v>6086</v>
      </c>
      <c r="C4309" s="74">
        <v>1066937222</v>
      </c>
      <c r="D4309" s="78" t="str">
        <f t="shared" si="140"/>
        <v>https://portal.dnb.de/opac.htm?method=simpleSearch&amp;cqlMode=true&amp;query=idn%3D1066937222</v>
      </c>
      <c r="E4309" s="74" t="s">
        <v>6087</v>
      </c>
      <c r="F4309" s="74"/>
      <c r="G4309" s="76"/>
      <c r="H4309" s="77"/>
      <c r="I4309" s="76"/>
      <c r="J4309" s="77"/>
      <c r="K4309" s="77"/>
      <c r="L4309" s="76"/>
      <c r="M4309" s="76"/>
      <c r="N4309" s="76"/>
      <c r="O4309" s="76"/>
      <c r="P4309" s="76"/>
      <c r="Q4309" s="76"/>
      <c r="R4309" s="76"/>
      <c r="S4309" s="76"/>
      <c r="BD4309" s="99">
        <f t="shared" si="141"/>
        <v>0</v>
      </c>
      <c r="CC4309" s="99"/>
      <c r="CV4309" s="99"/>
      <c r="CW4309" s="63"/>
    </row>
    <row r="4310" spans="1:101" x14ac:dyDescent="0.15">
      <c r="A4310" s="76">
        <v>4049</v>
      </c>
      <c r="B4310" s="74" t="s">
        <v>6088</v>
      </c>
      <c r="C4310" s="74">
        <v>1066937699</v>
      </c>
      <c r="D4310" s="78" t="str">
        <f t="shared" si="140"/>
        <v>https://portal.dnb.de/opac.htm?method=simpleSearch&amp;cqlMode=true&amp;query=idn%3D1066937699</v>
      </c>
      <c r="E4310" s="74" t="s">
        <v>6089</v>
      </c>
      <c r="F4310" s="74"/>
      <c r="G4310" s="76"/>
      <c r="H4310" s="77"/>
      <c r="I4310" s="76"/>
      <c r="J4310" s="77"/>
      <c r="K4310" s="77"/>
      <c r="L4310" s="76"/>
      <c r="M4310" s="76"/>
      <c r="N4310" s="76"/>
      <c r="O4310" s="76"/>
      <c r="P4310" s="76"/>
      <c r="Q4310" s="76"/>
      <c r="R4310" s="76"/>
      <c r="S4310" s="76"/>
      <c r="BD4310" s="99">
        <f t="shared" si="141"/>
        <v>0</v>
      </c>
      <c r="CC4310" s="99"/>
      <c r="CV4310" s="99"/>
      <c r="CW4310" s="63"/>
    </row>
    <row r="4311" spans="1:101" x14ac:dyDescent="0.15">
      <c r="A4311" s="76">
        <v>4050</v>
      </c>
      <c r="B4311" s="74" t="s">
        <v>6090</v>
      </c>
      <c r="C4311" s="74">
        <v>1066875456</v>
      </c>
      <c r="D4311" s="78" t="str">
        <f t="shared" si="140"/>
        <v>https://portal.dnb.de/opac.htm?method=simpleSearch&amp;cqlMode=true&amp;query=idn%3D1066875456</v>
      </c>
      <c r="E4311" s="74" t="s">
        <v>6091</v>
      </c>
      <c r="F4311" s="74"/>
      <c r="G4311" s="76"/>
      <c r="H4311" s="77"/>
      <c r="I4311" s="76"/>
      <c r="J4311" s="77"/>
      <c r="K4311" s="77"/>
      <c r="L4311" s="76"/>
      <c r="M4311" s="76"/>
      <c r="N4311" s="76"/>
      <c r="O4311" s="76"/>
      <c r="P4311" s="76"/>
      <c r="Q4311" s="76"/>
      <c r="R4311" s="76"/>
      <c r="S4311" s="76"/>
      <c r="BD4311" s="99">
        <f t="shared" si="141"/>
        <v>0</v>
      </c>
      <c r="CC4311" s="99"/>
      <c r="CV4311" s="99"/>
      <c r="CW4311" s="63"/>
    </row>
    <row r="4312" spans="1:101" x14ac:dyDescent="0.15">
      <c r="A4312" s="76">
        <v>4051</v>
      </c>
      <c r="B4312" s="74" t="s">
        <v>6092</v>
      </c>
      <c r="C4312" s="74">
        <v>1066962758</v>
      </c>
      <c r="D4312" s="78" t="str">
        <f t="shared" si="140"/>
        <v>https://portal.dnb.de/opac.htm?method=simpleSearch&amp;cqlMode=true&amp;query=idn%3D1066962758</v>
      </c>
      <c r="E4312" s="74" t="s">
        <v>6093</v>
      </c>
      <c r="F4312" s="74"/>
      <c r="G4312" s="76"/>
      <c r="H4312" s="77"/>
      <c r="I4312" s="76"/>
      <c r="J4312" s="77"/>
      <c r="K4312" s="77"/>
      <c r="L4312" s="76"/>
      <c r="M4312" s="76"/>
      <c r="N4312" s="76"/>
      <c r="O4312" s="76"/>
      <c r="P4312" s="76"/>
      <c r="Q4312" s="76"/>
      <c r="R4312" s="76"/>
      <c r="S4312" s="76"/>
      <c r="BD4312" s="99">
        <f t="shared" si="141"/>
        <v>0</v>
      </c>
      <c r="CC4312" s="99"/>
      <c r="CV4312" s="99"/>
      <c r="CW4312" s="63"/>
    </row>
    <row r="4313" spans="1:101" x14ac:dyDescent="0.15">
      <c r="A4313" s="76">
        <v>4052</v>
      </c>
      <c r="B4313" s="74" t="s">
        <v>6094</v>
      </c>
      <c r="C4313" s="74">
        <v>1066964033</v>
      </c>
      <c r="D4313" s="78" t="str">
        <f t="shared" si="140"/>
        <v>https://portal.dnb.de/opac.htm?method=simpleSearch&amp;cqlMode=true&amp;query=idn%3D1066964033</v>
      </c>
      <c r="E4313" s="74" t="s">
        <v>6095</v>
      </c>
      <c r="F4313" s="74"/>
      <c r="G4313" s="76"/>
      <c r="H4313" s="77"/>
      <c r="I4313" s="76"/>
      <c r="J4313" s="77"/>
      <c r="K4313" s="77"/>
      <c r="L4313" s="76"/>
      <c r="M4313" s="76"/>
      <c r="N4313" s="76"/>
      <c r="O4313" s="76"/>
      <c r="P4313" s="76"/>
      <c r="Q4313" s="76"/>
      <c r="R4313" s="76"/>
      <c r="S4313" s="76"/>
      <c r="BD4313" s="99">
        <f t="shared" si="141"/>
        <v>0</v>
      </c>
      <c r="CC4313" s="99"/>
      <c r="CV4313" s="99"/>
      <c r="CW4313" s="63"/>
    </row>
    <row r="4314" spans="1:101" ht="56.25" x14ac:dyDescent="0.15">
      <c r="A4314" s="76">
        <v>4053</v>
      </c>
      <c r="B4314" s="74" t="s">
        <v>6096</v>
      </c>
      <c r="C4314" s="74">
        <v>1132654815</v>
      </c>
      <c r="D4314" s="78" t="str">
        <f t="shared" si="140"/>
        <v>https://portal.dnb.de/opac.htm?method=simpleSearch&amp;cqlMode=true&amp;query=idn%3D1132654815</v>
      </c>
      <c r="E4314" s="74" t="s">
        <v>10279</v>
      </c>
      <c r="F4314" s="74"/>
      <c r="G4314" s="76"/>
      <c r="H4314" s="77"/>
      <c r="I4314" s="76" t="s">
        <v>54</v>
      </c>
      <c r="J4314" s="77"/>
      <c r="K4314" s="77"/>
      <c r="L4314" s="76"/>
      <c r="M4314" s="76"/>
      <c r="N4314" s="76"/>
      <c r="O4314" s="76"/>
      <c r="P4314" s="76"/>
      <c r="Q4314" s="76"/>
      <c r="R4314" s="76"/>
      <c r="S4314" s="76"/>
      <c r="Y4314" s="95" t="s">
        <v>9736</v>
      </c>
      <c r="AA4314" s="95" t="s">
        <v>8541</v>
      </c>
      <c r="AC4314" s="95" t="s">
        <v>9737</v>
      </c>
      <c r="AI4314" s="95" t="s">
        <v>9725</v>
      </c>
      <c r="AM4314" s="95" t="s">
        <v>8541</v>
      </c>
      <c r="AW4314" s="95">
        <v>45</v>
      </c>
      <c r="BC4314" s="96" t="s">
        <v>9726</v>
      </c>
      <c r="BD4314" s="99">
        <f t="shared" si="141"/>
        <v>9</v>
      </c>
      <c r="BH4314" s="95" t="s">
        <v>8541</v>
      </c>
      <c r="BP4314" s="69" t="s">
        <v>8541</v>
      </c>
      <c r="BR4314" s="95" t="s">
        <v>8541</v>
      </c>
      <c r="BT4314" s="95" t="s">
        <v>9775</v>
      </c>
      <c r="CC4314" s="99">
        <v>7</v>
      </c>
      <c r="CD4314" s="90" t="s">
        <v>10280</v>
      </c>
      <c r="CI4314" s="95" t="s">
        <v>8541</v>
      </c>
      <c r="CL4314" s="95" t="s">
        <v>8541</v>
      </c>
      <c r="CV4314" s="99">
        <v>2</v>
      </c>
      <c r="CW4314" s="63" t="s">
        <v>10281</v>
      </c>
    </row>
    <row r="4315" spans="1:101" ht="33.75" x14ac:dyDescent="0.15">
      <c r="A4315" s="76">
        <v>4054</v>
      </c>
      <c r="B4315" s="74" t="s">
        <v>6097</v>
      </c>
      <c r="C4315" s="74">
        <v>1132654823</v>
      </c>
      <c r="D4315" s="78" t="str">
        <f t="shared" si="140"/>
        <v>https://portal.dnb.de/opac.htm?method=simpleSearch&amp;cqlMode=true&amp;query=idn%3D1132654823</v>
      </c>
      <c r="E4315" s="74" t="s">
        <v>10282</v>
      </c>
      <c r="F4315" s="74"/>
      <c r="G4315" s="76"/>
      <c r="H4315" s="77"/>
      <c r="I4315" s="76" t="s">
        <v>54</v>
      </c>
      <c r="J4315" s="77"/>
      <c r="K4315" s="77"/>
      <c r="L4315" s="76"/>
      <c r="M4315" s="76"/>
      <c r="N4315" s="76"/>
      <c r="O4315" s="76"/>
      <c r="P4315" s="76"/>
      <c r="Q4315" s="76"/>
      <c r="R4315" s="76"/>
      <c r="S4315" s="76"/>
      <c r="Y4315" s="95" t="s">
        <v>9736</v>
      </c>
      <c r="AA4315" s="95" t="s">
        <v>8541</v>
      </c>
      <c r="AC4315" s="95" t="s">
        <v>9737</v>
      </c>
      <c r="AI4315" s="95" t="s">
        <v>9725</v>
      </c>
      <c r="AM4315" s="95" t="s">
        <v>8541</v>
      </c>
      <c r="AW4315" s="95">
        <v>45</v>
      </c>
      <c r="BC4315" s="96" t="s">
        <v>9726</v>
      </c>
      <c r="BD4315" s="99">
        <f t="shared" si="141"/>
        <v>3</v>
      </c>
      <c r="BH4315" s="95" t="s">
        <v>8541</v>
      </c>
      <c r="BP4315" s="69" t="s">
        <v>8541</v>
      </c>
      <c r="BR4315" s="95" t="s">
        <v>8541</v>
      </c>
      <c r="BT4315" s="95" t="s">
        <v>9775</v>
      </c>
      <c r="CC4315" s="99">
        <v>2</v>
      </c>
      <c r="CD4315" s="90" t="s">
        <v>10283</v>
      </c>
      <c r="CL4315" s="95" t="s">
        <v>8541</v>
      </c>
      <c r="CV4315" s="99">
        <v>1</v>
      </c>
      <c r="CW4315" s="63" t="s">
        <v>10284</v>
      </c>
    </row>
    <row r="4316" spans="1:101" x14ac:dyDescent="0.15">
      <c r="A4316" s="76">
        <v>4055</v>
      </c>
      <c r="B4316" s="74" t="s">
        <v>6098</v>
      </c>
      <c r="C4316" s="74">
        <v>998440779</v>
      </c>
      <c r="D4316" s="78" t="str">
        <f t="shared" si="140"/>
        <v>https://portal.dnb.de/opac.htm?method=simpleSearch&amp;cqlMode=true&amp;query=idn%3D998440779</v>
      </c>
      <c r="E4316" s="74" t="s">
        <v>6099</v>
      </c>
      <c r="F4316" s="74"/>
      <c r="G4316" s="76"/>
      <c r="H4316" s="77"/>
      <c r="I4316" s="76"/>
      <c r="J4316" s="77"/>
      <c r="K4316" s="77"/>
      <c r="L4316" s="76"/>
      <c r="M4316" s="76"/>
      <c r="N4316" s="76"/>
      <c r="O4316" s="76"/>
      <c r="P4316" s="76"/>
      <c r="Q4316" s="76"/>
      <c r="R4316" s="76"/>
      <c r="S4316" s="76"/>
      <c r="BD4316" s="99">
        <f t="shared" si="141"/>
        <v>0</v>
      </c>
      <c r="CC4316" s="99"/>
      <c r="CV4316" s="99"/>
      <c r="CW4316" s="63"/>
    </row>
    <row r="4317" spans="1:101" ht="78.75" x14ac:dyDescent="0.15">
      <c r="A4317" s="76">
        <v>4056</v>
      </c>
      <c r="B4317" s="74" t="s">
        <v>6100</v>
      </c>
      <c r="C4317" s="74">
        <v>1066870144</v>
      </c>
      <c r="D4317" s="78" t="str">
        <f t="shared" si="140"/>
        <v>https://portal.dnb.de/opac.htm?method=simpleSearch&amp;cqlMode=true&amp;query=idn%3D1066870144</v>
      </c>
      <c r="E4317" s="74" t="s">
        <v>6101</v>
      </c>
      <c r="F4317" s="74"/>
      <c r="G4317" s="76"/>
      <c r="H4317" s="77"/>
      <c r="I4317" s="76" t="s">
        <v>53</v>
      </c>
      <c r="J4317" s="77"/>
      <c r="K4317" s="77"/>
      <c r="L4317" s="76"/>
      <c r="M4317" s="76"/>
      <c r="N4317" s="76"/>
      <c r="O4317" s="76"/>
      <c r="P4317" s="76"/>
      <c r="Q4317" s="76"/>
      <c r="R4317" s="76"/>
      <c r="S4317" s="76"/>
      <c r="Y4317" s="95" t="s">
        <v>9723</v>
      </c>
      <c r="AA4317" s="95" t="s">
        <v>8541</v>
      </c>
      <c r="AC4317" s="95" t="s">
        <v>9724</v>
      </c>
      <c r="AI4317" s="95" t="s">
        <v>9725</v>
      </c>
      <c r="AW4317" s="95">
        <v>60</v>
      </c>
      <c r="BC4317" s="96" t="s">
        <v>9726</v>
      </c>
      <c r="BD4317" s="99">
        <f t="shared" si="141"/>
        <v>7.5</v>
      </c>
      <c r="BH4317" s="95" t="s">
        <v>8541</v>
      </c>
      <c r="BP4317" s="69" t="s">
        <v>8541</v>
      </c>
      <c r="BQ4317" s="95" t="s">
        <v>8541</v>
      </c>
      <c r="BR4317" s="95" t="s">
        <v>8541</v>
      </c>
      <c r="BT4317" s="95" t="s">
        <v>9772</v>
      </c>
      <c r="BU4317" s="95">
        <v>5</v>
      </c>
      <c r="CA4317" s="95" t="s">
        <v>9911</v>
      </c>
      <c r="CB4317" s="95" t="s">
        <v>9882</v>
      </c>
      <c r="CC4317" s="99">
        <v>7.5</v>
      </c>
      <c r="CD4317" s="90" t="s">
        <v>10285</v>
      </c>
      <c r="CV4317" s="99"/>
      <c r="CW4317" s="63"/>
    </row>
    <row r="4318" spans="1:101" x14ac:dyDescent="0.15">
      <c r="A4318" s="76">
        <v>4057</v>
      </c>
      <c r="B4318" s="74" t="s">
        <v>6102</v>
      </c>
      <c r="C4318" s="74">
        <v>1211526429</v>
      </c>
      <c r="D4318" s="78" t="str">
        <f t="shared" si="140"/>
        <v>https://portal.dnb.de/opac.htm?method=simpleSearch&amp;cqlMode=true&amp;query=idn%3D1211526429</v>
      </c>
      <c r="E4318" s="74" t="s">
        <v>6103</v>
      </c>
      <c r="F4318" s="74"/>
      <c r="G4318" s="76"/>
      <c r="H4318" s="77"/>
      <c r="I4318" s="76"/>
      <c r="J4318" s="77"/>
      <c r="K4318" s="77"/>
      <c r="L4318" s="76"/>
      <c r="M4318" s="76"/>
      <c r="N4318" s="76"/>
      <c r="O4318" s="76"/>
      <c r="P4318" s="76"/>
      <c r="Q4318" s="76"/>
      <c r="R4318" s="76"/>
      <c r="S4318" s="76"/>
      <c r="BD4318" s="99">
        <f t="shared" si="141"/>
        <v>0</v>
      </c>
      <c r="CC4318" s="99"/>
      <c r="CV4318" s="99"/>
      <c r="CW4318" s="63"/>
    </row>
    <row r="4319" spans="1:101" x14ac:dyDescent="0.15">
      <c r="A4319" s="76">
        <v>4058</v>
      </c>
      <c r="B4319" s="74" t="s">
        <v>6121</v>
      </c>
      <c r="C4319" s="74">
        <v>1066942471</v>
      </c>
      <c r="D4319" s="78" t="str">
        <f t="shared" si="140"/>
        <v>https://portal.dnb.de/opac.htm?method=simpleSearch&amp;cqlMode=true&amp;query=idn%3D1066942471</v>
      </c>
      <c r="E4319" s="74" t="s">
        <v>6122</v>
      </c>
      <c r="F4319" s="74"/>
      <c r="G4319" s="76"/>
      <c r="H4319" s="77"/>
      <c r="I4319" s="76"/>
      <c r="J4319" s="77"/>
      <c r="K4319" s="77"/>
      <c r="L4319" s="76"/>
      <c r="M4319" s="76"/>
      <c r="N4319" s="76"/>
      <c r="O4319" s="76"/>
      <c r="P4319" s="76"/>
      <c r="Q4319" s="76"/>
      <c r="R4319" s="76"/>
      <c r="S4319" s="76"/>
      <c r="BD4319" s="99">
        <f t="shared" si="141"/>
        <v>0</v>
      </c>
      <c r="CC4319" s="99"/>
      <c r="CV4319" s="99"/>
      <c r="CW4319" s="63"/>
    </row>
    <row r="4320" spans="1:101" x14ac:dyDescent="0.15">
      <c r="A4320" s="76">
        <v>4059</v>
      </c>
      <c r="B4320" s="74" t="s">
        <v>6123</v>
      </c>
      <c r="C4320" s="74">
        <v>1066838348</v>
      </c>
      <c r="D4320" s="78" t="str">
        <f t="shared" ref="D4320:D4384" si="142">HYPERLINK(CONCATENATE("https://portal.dnb.de/opac.htm?method=simpleSearch&amp;cqlMode=true&amp;query=idn%3D",C4320))</f>
        <v>https://portal.dnb.de/opac.htm?method=simpleSearch&amp;cqlMode=true&amp;query=idn%3D1066838348</v>
      </c>
      <c r="E4320" s="74" t="s">
        <v>6124</v>
      </c>
      <c r="F4320" s="74"/>
      <c r="G4320" s="76"/>
      <c r="H4320" s="77"/>
      <c r="I4320" s="76"/>
      <c r="J4320" s="77"/>
      <c r="K4320" s="77"/>
      <c r="L4320" s="76"/>
      <c r="M4320" s="76"/>
      <c r="N4320" s="76"/>
      <c r="O4320" s="76"/>
      <c r="P4320" s="76"/>
      <c r="Q4320" s="76"/>
      <c r="R4320" s="76"/>
      <c r="S4320" s="76"/>
      <c r="BD4320" s="99">
        <f t="shared" si="141"/>
        <v>0</v>
      </c>
      <c r="CC4320" s="99"/>
      <c r="CV4320" s="99"/>
      <c r="CW4320" s="63"/>
    </row>
    <row r="4321" spans="1:101" x14ac:dyDescent="0.15">
      <c r="A4321" s="76">
        <v>4060</v>
      </c>
      <c r="B4321" s="74" t="s">
        <v>6127</v>
      </c>
      <c r="C4321" s="74">
        <v>1066875685</v>
      </c>
      <c r="D4321" s="78" t="str">
        <f t="shared" si="142"/>
        <v>https://portal.dnb.de/opac.htm?method=simpleSearch&amp;cqlMode=true&amp;query=idn%3D1066875685</v>
      </c>
      <c r="E4321" s="74" t="s">
        <v>6128</v>
      </c>
      <c r="F4321" s="74"/>
      <c r="G4321" s="76"/>
      <c r="H4321" s="77"/>
      <c r="I4321" s="76"/>
      <c r="J4321" s="77"/>
      <c r="K4321" s="77"/>
      <c r="L4321" s="76"/>
      <c r="M4321" s="76"/>
      <c r="N4321" s="76"/>
      <c r="O4321" s="76"/>
      <c r="P4321" s="76"/>
      <c r="Q4321" s="76"/>
      <c r="R4321" s="76"/>
      <c r="S4321" s="76"/>
      <c r="BD4321" s="99">
        <f t="shared" si="141"/>
        <v>0</v>
      </c>
      <c r="CC4321" s="99"/>
      <c r="CV4321" s="99"/>
      <c r="CW4321" s="63"/>
    </row>
    <row r="4322" spans="1:101" x14ac:dyDescent="0.15">
      <c r="A4322" s="76">
        <v>4061</v>
      </c>
      <c r="B4322" s="74" t="s">
        <v>6129</v>
      </c>
      <c r="C4322" s="74" t="s">
        <v>6130</v>
      </c>
      <c r="D4322" s="78" t="str">
        <f t="shared" si="142"/>
        <v>https://portal.dnb.de/opac.htm?method=simpleSearch&amp;cqlMode=true&amp;query=idn%3D106683461X</v>
      </c>
      <c r="E4322" s="74" t="s">
        <v>6131</v>
      </c>
      <c r="F4322" s="74"/>
      <c r="G4322" s="76"/>
      <c r="H4322" s="77"/>
      <c r="I4322" s="76"/>
      <c r="J4322" s="77"/>
      <c r="K4322" s="77"/>
      <c r="L4322" s="76"/>
      <c r="M4322" s="76"/>
      <c r="N4322" s="76"/>
      <c r="O4322" s="76"/>
      <c r="P4322" s="76"/>
      <c r="Q4322" s="76"/>
      <c r="R4322" s="76"/>
      <c r="S4322" s="76"/>
      <c r="BD4322" s="99">
        <f t="shared" si="141"/>
        <v>0</v>
      </c>
      <c r="CC4322" s="99"/>
      <c r="CV4322" s="99"/>
      <c r="CW4322" s="63"/>
    </row>
    <row r="4323" spans="1:101" x14ac:dyDescent="0.15">
      <c r="A4323" s="76">
        <v>4062</v>
      </c>
      <c r="B4323" s="74" t="s">
        <v>6132</v>
      </c>
      <c r="C4323" s="74">
        <v>994590318</v>
      </c>
      <c r="D4323" s="78" t="str">
        <f t="shared" si="142"/>
        <v>https://portal.dnb.de/opac.htm?method=simpleSearch&amp;cqlMode=true&amp;query=idn%3D994590318</v>
      </c>
      <c r="E4323" s="74" t="s">
        <v>6133</v>
      </c>
      <c r="F4323" s="74"/>
      <c r="G4323" s="76"/>
      <c r="H4323" s="77"/>
      <c r="I4323" s="76"/>
      <c r="J4323" s="77"/>
      <c r="K4323" s="77"/>
      <c r="L4323" s="76"/>
      <c r="M4323" s="76"/>
      <c r="N4323" s="76"/>
      <c r="O4323" s="76"/>
      <c r="P4323" s="76"/>
      <c r="Q4323" s="76"/>
      <c r="R4323" s="76"/>
      <c r="S4323" s="76"/>
      <c r="BD4323" s="99">
        <f t="shared" si="141"/>
        <v>0</v>
      </c>
      <c r="CC4323" s="99"/>
      <c r="CV4323" s="99"/>
      <c r="CW4323" s="63"/>
    </row>
    <row r="4324" spans="1:101" x14ac:dyDescent="0.15">
      <c r="A4324" s="76">
        <v>4063</v>
      </c>
      <c r="B4324" s="74" t="s">
        <v>6134</v>
      </c>
      <c r="C4324" s="74">
        <v>998085294</v>
      </c>
      <c r="D4324" s="78" t="str">
        <f t="shared" si="142"/>
        <v>https://portal.dnb.de/opac.htm?method=simpleSearch&amp;cqlMode=true&amp;query=idn%3D998085294</v>
      </c>
      <c r="E4324" s="74" t="s">
        <v>6135</v>
      </c>
      <c r="F4324" s="74"/>
      <c r="G4324" s="76"/>
      <c r="H4324" s="77"/>
      <c r="I4324" s="76"/>
      <c r="J4324" s="77"/>
      <c r="K4324" s="77"/>
      <c r="L4324" s="76"/>
      <c r="M4324" s="76"/>
      <c r="N4324" s="76"/>
      <c r="O4324" s="76"/>
      <c r="P4324" s="76"/>
      <c r="Q4324" s="76"/>
      <c r="R4324" s="76"/>
      <c r="S4324" s="76"/>
      <c r="BD4324" s="99">
        <f t="shared" si="141"/>
        <v>0</v>
      </c>
      <c r="CC4324" s="99"/>
      <c r="CV4324" s="99"/>
      <c r="CW4324" s="63"/>
    </row>
    <row r="4325" spans="1:101" ht="33.75" x14ac:dyDescent="0.15">
      <c r="A4325" s="76">
        <v>4064</v>
      </c>
      <c r="B4325" s="74" t="s">
        <v>6141</v>
      </c>
      <c r="C4325" s="74">
        <v>11889160</v>
      </c>
      <c r="D4325" s="78" t="str">
        <f t="shared" si="142"/>
        <v>https://portal.dnb.de/opac.htm?method=simpleSearch&amp;cqlMode=true&amp;query=idn%3D11889160</v>
      </c>
      <c r="E4325" s="74" t="s">
        <v>6142</v>
      </c>
      <c r="F4325" s="79" t="s">
        <v>10543</v>
      </c>
      <c r="G4325" s="76"/>
      <c r="H4325" s="77"/>
      <c r="I4325" s="76"/>
      <c r="J4325" s="77"/>
      <c r="K4325" s="77"/>
      <c r="L4325" s="76"/>
      <c r="M4325" s="76"/>
      <c r="N4325" s="76"/>
      <c r="O4325" s="76"/>
      <c r="P4325" s="76"/>
      <c r="Q4325" s="76"/>
      <c r="R4325" s="76"/>
      <c r="S4325" s="76"/>
      <c r="BD4325" s="99">
        <f t="shared" si="141"/>
        <v>0</v>
      </c>
      <c r="CC4325" s="99"/>
      <c r="CV4325" s="99"/>
      <c r="CW4325" s="63"/>
    </row>
    <row r="4326" spans="1:101" ht="33.75" x14ac:dyDescent="0.15">
      <c r="A4326" s="76">
        <v>4065</v>
      </c>
      <c r="B4326" s="74" t="s">
        <v>6143</v>
      </c>
      <c r="C4326" s="74">
        <v>12973696</v>
      </c>
      <c r="D4326" s="78" t="str">
        <f t="shared" si="142"/>
        <v>https://portal.dnb.de/opac.htm?method=simpleSearch&amp;cqlMode=true&amp;query=idn%3D12973696</v>
      </c>
      <c r="E4326" s="74" t="s">
        <v>6142</v>
      </c>
      <c r="F4326" s="79" t="s">
        <v>10543</v>
      </c>
      <c r="G4326" s="76"/>
      <c r="H4326" s="77"/>
      <c r="I4326" s="76"/>
      <c r="J4326" s="77"/>
      <c r="K4326" s="77"/>
      <c r="L4326" s="76"/>
      <c r="M4326" s="76"/>
      <c r="N4326" s="76"/>
      <c r="O4326" s="76"/>
      <c r="P4326" s="76"/>
      <c r="Q4326" s="76"/>
      <c r="R4326" s="76"/>
      <c r="S4326" s="76"/>
      <c r="BD4326" s="99">
        <f t="shared" si="141"/>
        <v>0</v>
      </c>
      <c r="CC4326" s="99"/>
      <c r="CV4326" s="99"/>
      <c r="CW4326" s="63"/>
    </row>
    <row r="4327" spans="1:101" ht="22.5" x14ac:dyDescent="0.15">
      <c r="A4327" s="76"/>
      <c r="B4327" s="74"/>
      <c r="C4327" s="74"/>
      <c r="D4327" s="78"/>
      <c r="E4327" s="74" t="s">
        <v>10286</v>
      </c>
      <c r="F4327" s="74"/>
      <c r="G4327" s="76"/>
      <c r="H4327" s="77"/>
      <c r="I4327" s="76" t="s">
        <v>53</v>
      </c>
      <c r="J4327" s="77"/>
      <c r="K4327" s="77"/>
      <c r="L4327" s="76"/>
      <c r="M4327" s="76"/>
      <c r="N4327" s="76"/>
      <c r="O4327" s="76"/>
      <c r="P4327" s="76"/>
      <c r="Q4327" s="76"/>
      <c r="R4327" s="76"/>
      <c r="S4327" s="76"/>
      <c r="Y4327" s="95" t="s">
        <v>9729</v>
      </c>
      <c r="AC4327" s="95" t="s">
        <v>9730</v>
      </c>
      <c r="AI4327" s="95" t="s">
        <v>9725</v>
      </c>
      <c r="AP4327" s="95" t="s">
        <v>8541</v>
      </c>
      <c r="AQ4327" s="96" t="s">
        <v>10287</v>
      </c>
      <c r="AW4327" s="95">
        <v>45</v>
      </c>
      <c r="BC4327" s="96" t="s">
        <v>9734</v>
      </c>
      <c r="BD4327" s="99">
        <f t="shared" si="141"/>
        <v>0</v>
      </c>
      <c r="BL4327" s="70" t="s">
        <v>10015</v>
      </c>
      <c r="CC4327" s="99"/>
      <c r="CV4327" s="99"/>
      <c r="CW4327" s="63"/>
    </row>
    <row r="4328" spans="1:101" x14ac:dyDescent="0.15">
      <c r="A4328" s="76">
        <v>4066</v>
      </c>
      <c r="B4328" s="74" t="s">
        <v>6144</v>
      </c>
      <c r="C4328" s="74">
        <v>997521325</v>
      </c>
      <c r="D4328" s="78" t="str">
        <f t="shared" si="142"/>
        <v>https://portal.dnb.de/opac.htm?method=simpleSearch&amp;cqlMode=true&amp;query=idn%3D997521325</v>
      </c>
      <c r="E4328" s="74" t="s">
        <v>6145</v>
      </c>
      <c r="F4328" s="74"/>
      <c r="G4328" s="76"/>
      <c r="H4328" s="77"/>
      <c r="I4328" s="76"/>
      <c r="J4328" s="77"/>
      <c r="K4328" s="77"/>
      <c r="L4328" s="76"/>
      <c r="M4328" s="76"/>
      <c r="N4328" s="76"/>
      <c r="O4328" s="76"/>
      <c r="P4328" s="76"/>
      <c r="Q4328" s="76"/>
      <c r="R4328" s="76"/>
      <c r="S4328" s="76"/>
      <c r="BD4328" s="99">
        <f t="shared" si="141"/>
        <v>0</v>
      </c>
      <c r="CC4328" s="99"/>
      <c r="CV4328" s="99"/>
      <c r="CW4328" s="63"/>
    </row>
    <row r="4329" spans="1:101" x14ac:dyDescent="0.15">
      <c r="A4329" s="76">
        <v>4067</v>
      </c>
      <c r="B4329" s="74" t="s">
        <v>6146</v>
      </c>
      <c r="C4329" s="74">
        <v>994352115</v>
      </c>
      <c r="D4329" s="78" t="str">
        <f t="shared" si="142"/>
        <v>https://portal.dnb.de/opac.htm?method=simpleSearch&amp;cqlMode=true&amp;query=idn%3D994352115</v>
      </c>
      <c r="E4329" s="74" t="s">
        <v>6147</v>
      </c>
      <c r="F4329" s="74"/>
      <c r="G4329" s="76"/>
      <c r="H4329" s="77"/>
      <c r="I4329" s="76"/>
      <c r="J4329" s="77"/>
      <c r="K4329" s="77"/>
      <c r="L4329" s="76"/>
      <c r="M4329" s="76"/>
      <c r="N4329" s="76"/>
      <c r="O4329" s="76"/>
      <c r="P4329" s="76"/>
      <c r="Q4329" s="76"/>
      <c r="R4329" s="76"/>
      <c r="S4329" s="76"/>
      <c r="BD4329" s="99">
        <f t="shared" si="141"/>
        <v>0</v>
      </c>
      <c r="CC4329" s="99"/>
      <c r="CV4329" s="99"/>
      <c r="CW4329" s="63"/>
    </row>
    <row r="4330" spans="1:101" x14ac:dyDescent="0.15">
      <c r="A4330" s="76">
        <v>4068</v>
      </c>
      <c r="B4330" s="74" t="s">
        <v>6136</v>
      </c>
      <c r="C4330" s="74" t="s">
        <v>6137</v>
      </c>
      <c r="D4330" s="78" t="str">
        <f t="shared" si="142"/>
        <v>https://portal.dnb.de/opac.htm?method=simpleSearch&amp;cqlMode=true&amp;query=idn%3D99982869X</v>
      </c>
      <c r="E4330" s="74" t="s">
        <v>6138</v>
      </c>
      <c r="F4330" s="74"/>
      <c r="G4330" s="76"/>
      <c r="H4330" s="77"/>
      <c r="I4330" s="76"/>
      <c r="J4330" s="77"/>
      <c r="K4330" s="77"/>
      <c r="L4330" s="76"/>
      <c r="M4330" s="76"/>
      <c r="N4330" s="76"/>
      <c r="O4330" s="76"/>
      <c r="P4330" s="76"/>
      <c r="Q4330" s="76"/>
      <c r="R4330" s="76"/>
      <c r="S4330" s="76"/>
      <c r="BD4330" s="99">
        <f t="shared" si="141"/>
        <v>0</v>
      </c>
      <c r="CC4330" s="99"/>
      <c r="CV4330" s="99"/>
      <c r="CW4330" s="63"/>
    </row>
    <row r="4331" spans="1:101" x14ac:dyDescent="0.15">
      <c r="A4331" s="76">
        <v>4069</v>
      </c>
      <c r="B4331" s="74" t="s">
        <v>6139</v>
      </c>
      <c r="C4331" s="74">
        <v>997091924</v>
      </c>
      <c r="D4331" s="78" t="str">
        <f t="shared" si="142"/>
        <v>https://portal.dnb.de/opac.htm?method=simpleSearch&amp;cqlMode=true&amp;query=idn%3D997091924</v>
      </c>
      <c r="E4331" s="74" t="s">
        <v>6140</v>
      </c>
      <c r="F4331" s="74"/>
      <c r="G4331" s="76"/>
      <c r="H4331" s="77"/>
      <c r="I4331" s="76"/>
      <c r="J4331" s="77"/>
      <c r="K4331" s="77"/>
      <c r="L4331" s="76"/>
      <c r="M4331" s="76"/>
      <c r="N4331" s="76"/>
      <c r="O4331" s="76"/>
      <c r="P4331" s="76"/>
      <c r="Q4331" s="76"/>
      <c r="R4331" s="76"/>
      <c r="S4331" s="76"/>
      <c r="BD4331" s="99">
        <f t="shared" si="141"/>
        <v>0</v>
      </c>
      <c r="CC4331" s="99"/>
      <c r="CV4331" s="99"/>
      <c r="CW4331" s="63"/>
    </row>
    <row r="4332" spans="1:101" x14ac:dyDescent="0.15">
      <c r="A4332" s="76">
        <v>4070</v>
      </c>
      <c r="B4332" s="74" t="s">
        <v>6148</v>
      </c>
      <c r="C4332" s="74">
        <v>1132657148</v>
      </c>
      <c r="D4332" s="78" t="str">
        <f t="shared" si="142"/>
        <v>https://portal.dnb.de/opac.htm?method=simpleSearch&amp;cqlMode=true&amp;query=idn%3D1132657148</v>
      </c>
      <c r="E4332" s="74" t="s">
        <v>6149</v>
      </c>
      <c r="F4332" s="74"/>
      <c r="G4332" s="76"/>
      <c r="H4332" s="77"/>
      <c r="I4332" s="76"/>
      <c r="J4332" s="77"/>
      <c r="K4332" s="77"/>
      <c r="L4332" s="76"/>
      <c r="M4332" s="76"/>
      <c r="N4332" s="76"/>
      <c r="O4332" s="76"/>
      <c r="P4332" s="76"/>
      <c r="Q4332" s="76"/>
      <c r="R4332" s="76"/>
      <c r="S4332" s="76"/>
      <c r="BD4332" s="99">
        <f t="shared" si="141"/>
        <v>0</v>
      </c>
      <c r="CC4332" s="99"/>
      <c r="CV4332" s="99"/>
      <c r="CW4332" s="63"/>
    </row>
    <row r="4333" spans="1:101" x14ac:dyDescent="0.15">
      <c r="A4333" s="76">
        <v>4071</v>
      </c>
      <c r="B4333" s="74" t="s">
        <v>6150</v>
      </c>
      <c r="C4333" s="74">
        <v>993916252</v>
      </c>
      <c r="D4333" s="78" t="str">
        <f t="shared" si="142"/>
        <v>https://portal.dnb.de/opac.htm?method=simpleSearch&amp;cqlMode=true&amp;query=idn%3D993916252</v>
      </c>
      <c r="E4333" s="74" t="s">
        <v>6151</v>
      </c>
      <c r="F4333" s="74"/>
      <c r="G4333" s="76"/>
      <c r="H4333" s="77"/>
      <c r="I4333" s="76"/>
      <c r="J4333" s="77"/>
      <c r="K4333" s="77"/>
      <c r="L4333" s="76"/>
      <c r="M4333" s="76"/>
      <c r="N4333" s="76"/>
      <c r="O4333" s="76"/>
      <c r="P4333" s="76"/>
      <c r="Q4333" s="76"/>
      <c r="R4333" s="76"/>
      <c r="S4333" s="76"/>
      <c r="BD4333" s="99">
        <f t="shared" si="141"/>
        <v>0</v>
      </c>
      <c r="CC4333" s="99"/>
      <c r="CV4333" s="99"/>
      <c r="CW4333" s="63"/>
    </row>
    <row r="4334" spans="1:101" x14ac:dyDescent="0.15">
      <c r="A4334" s="76">
        <v>4072</v>
      </c>
      <c r="B4334" s="74" t="s">
        <v>6152</v>
      </c>
      <c r="C4334" s="74">
        <v>1066940398</v>
      </c>
      <c r="D4334" s="78" t="str">
        <f t="shared" si="142"/>
        <v>https://portal.dnb.de/opac.htm?method=simpleSearch&amp;cqlMode=true&amp;query=idn%3D1066940398</v>
      </c>
      <c r="E4334" s="74" t="s">
        <v>6153</v>
      </c>
      <c r="F4334" s="74"/>
      <c r="G4334" s="76"/>
      <c r="H4334" s="77"/>
      <c r="I4334" s="76"/>
      <c r="J4334" s="77"/>
      <c r="K4334" s="77"/>
      <c r="L4334" s="76"/>
      <c r="M4334" s="76"/>
      <c r="N4334" s="76"/>
      <c r="O4334" s="76"/>
      <c r="P4334" s="76"/>
      <c r="Q4334" s="76"/>
      <c r="R4334" s="76"/>
      <c r="S4334" s="76"/>
      <c r="BD4334" s="99">
        <f t="shared" si="141"/>
        <v>0</v>
      </c>
      <c r="CC4334" s="99"/>
      <c r="CV4334" s="99"/>
      <c r="CW4334" s="63"/>
    </row>
    <row r="4335" spans="1:101" x14ac:dyDescent="0.15">
      <c r="A4335" s="76">
        <v>4073</v>
      </c>
      <c r="B4335" s="74" t="s">
        <v>6154</v>
      </c>
      <c r="C4335" s="74">
        <v>993906540</v>
      </c>
      <c r="D4335" s="78" t="str">
        <f t="shared" si="142"/>
        <v>https://portal.dnb.de/opac.htm?method=simpleSearch&amp;cqlMode=true&amp;query=idn%3D993906540</v>
      </c>
      <c r="E4335" s="74" t="s">
        <v>6155</v>
      </c>
      <c r="F4335" s="74"/>
      <c r="G4335" s="76"/>
      <c r="H4335" s="77"/>
      <c r="I4335" s="76"/>
      <c r="J4335" s="77"/>
      <c r="K4335" s="77"/>
      <c r="L4335" s="76"/>
      <c r="M4335" s="76"/>
      <c r="N4335" s="76"/>
      <c r="O4335" s="76"/>
      <c r="P4335" s="76"/>
      <c r="Q4335" s="76"/>
      <c r="R4335" s="76"/>
      <c r="S4335" s="76"/>
      <c r="BD4335" s="99">
        <f t="shared" si="141"/>
        <v>0</v>
      </c>
      <c r="CC4335" s="99"/>
      <c r="CV4335" s="99"/>
      <c r="CW4335" s="63"/>
    </row>
    <row r="4336" spans="1:101" x14ac:dyDescent="0.15">
      <c r="A4336" s="76">
        <v>4074</v>
      </c>
      <c r="B4336" s="74" t="s">
        <v>6156</v>
      </c>
      <c r="C4336" s="74">
        <v>1066962464</v>
      </c>
      <c r="D4336" s="78" t="str">
        <f t="shared" si="142"/>
        <v>https://portal.dnb.de/opac.htm?method=simpleSearch&amp;cqlMode=true&amp;query=idn%3D1066962464</v>
      </c>
      <c r="E4336" s="74" t="s">
        <v>6157</v>
      </c>
      <c r="F4336" s="74"/>
      <c r="G4336" s="76"/>
      <c r="H4336" s="77"/>
      <c r="I4336" s="76"/>
      <c r="J4336" s="77"/>
      <c r="K4336" s="77"/>
      <c r="L4336" s="76"/>
      <c r="M4336" s="76"/>
      <c r="N4336" s="76"/>
      <c r="O4336" s="76"/>
      <c r="P4336" s="76"/>
      <c r="Q4336" s="76"/>
      <c r="R4336" s="76"/>
      <c r="S4336" s="76"/>
      <c r="BD4336" s="99">
        <f t="shared" si="141"/>
        <v>0</v>
      </c>
      <c r="CC4336" s="99"/>
      <c r="CV4336" s="99"/>
      <c r="CW4336" s="63"/>
    </row>
    <row r="4337" spans="1:101" x14ac:dyDescent="0.15">
      <c r="A4337" s="76">
        <v>4075</v>
      </c>
      <c r="B4337" s="74" t="s">
        <v>6158</v>
      </c>
      <c r="C4337" s="74">
        <v>1066938024</v>
      </c>
      <c r="D4337" s="78" t="str">
        <f t="shared" si="142"/>
        <v>https://portal.dnb.de/opac.htm?method=simpleSearch&amp;cqlMode=true&amp;query=idn%3D1066938024</v>
      </c>
      <c r="E4337" s="74" t="s">
        <v>6159</v>
      </c>
      <c r="F4337" s="74"/>
      <c r="G4337" s="76"/>
      <c r="H4337" s="77"/>
      <c r="I4337" s="76" t="s">
        <v>53</v>
      </c>
      <c r="J4337" s="77"/>
      <c r="K4337" s="77"/>
      <c r="L4337" s="76"/>
      <c r="M4337" s="76"/>
      <c r="N4337" s="76"/>
      <c r="O4337" s="76"/>
      <c r="P4337" s="76"/>
      <c r="Q4337" s="76"/>
      <c r="R4337" s="76"/>
      <c r="S4337" s="76"/>
      <c r="Y4337" s="95" t="s">
        <v>9735</v>
      </c>
      <c r="AA4337" s="95" t="s">
        <v>8541</v>
      </c>
      <c r="AC4337" s="95" t="s">
        <v>9739</v>
      </c>
      <c r="AI4337" s="95" t="s">
        <v>9725</v>
      </c>
      <c r="AU4337" s="95">
        <v>2</v>
      </c>
      <c r="AW4337" s="95">
        <v>110</v>
      </c>
      <c r="BC4337" s="96" t="s">
        <v>9726</v>
      </c>
      <c r="BD4337" s="99">
        <f t="shared" si="141"/>
        <v>0.5</v>
      </c>
      <c r="BP4337" s="69" t="s">
        <v>8541</v>
      </c>
      <c r="BR4337" s="95" t="s">
        <v>8541</v>
      </c>
      <c r="CC4337" s="99">
        <v>0.5</v>
      </c>
      <c r="CV4337" s="99"/>
      <c r="CW4337" s="63"/>
    </row>
    <row r="4338" spans="1:101" x14ac:dyDescent="0.15">
      <c r="A4338" s="76">
        <v>4076</v>
      </c>
      <c r="B4338" s="74" t="s">
        <v>6160</v>
      </c>
      <c r="C4338" s="74">
        <v>1066937273</v>
      </c>
      <c r="D4338" s="78" t="str">
        <f t="shared" si="142"/>
        <v>https://portal.dnb.de/opac.htm?method=simpleSearch&amp;cqlMode=true&amp;query=idn%3D1066937273</v>
      </c>
      <c r="E4338" s="74" t="s">
        <v>6161</v>
      </c>
      <c r="F4338" s="74"/>
      <c r="G4338" s="76"/>
      <c r="H4338" s="77"/>
      <c r="I4338" s="76"/>
      <c r="J4338" s="77"/>
      <c r="K4338" s="77"/>
      <c r="L4338" s="76"/>
      <c r="M4338" s="76"/>
      <c r="N4338" s="76"/>
      <c r="O4338" s="76"/>
      <c r="P4338" s="76"/>
      <c r="Q4338" s="76"/>
      <c r="R4338" s="76"/>
      <c r="S4338" s="76"/>
      <c r="BD4338" s="99">
        <f t="shared" si="141"/>
        <v>0</v>
      </c>
      <c r="CC4338" s="99"/>
      <c r="CV4338" s="99"/>
      <c r="CW4338" s="63"/>
    </row>
    <row r="4339" spans="1:101" x14ac:dyDescent="0.15">
      <c r="A4339" s="76">
        <v>4077</v>
      </c>
      <c r="B4339" s="74" t="s">
        <v>6162</v>
      </c>
      <c r="C4339" s="74">
        <v>997975822</v>
      </c>
      <c r="D4339" s="78" t="str">
        <f t="shared" si="142"/>
        <v>https://portal.dnb.de/opac.htm?method=simpleSearch&amp;cqlMode=true&amp;query=idn%3D997975822</v>
      </c>
      <c r="E4339" s="74" t="s">
        <v>6163</v>
      </c>
      <c r="F4339" s="74"/>
      <c r="G4339" s="76"/>
      <c r="H4339" s="77"/>
      <c r="I4339" s="76"/>
      <c r="J4339" s="77"/>
      <c r="K4339" s="77"/>
      <c r="L4339" s="76"/>
      <c r="M4339" s="76"/>
      <c r="N4339" s="76"/>
      <c r="O4339" s="76"/>
      <c r="P4339" s="76"/>
      <c r="Q4339" s="76"/>
      <c r="R4339" s="76"/>
      <c r="S4339" s="76"/>
      <c r="BD4339" s="99">
        <f t="shared" si="141"/>
        <v>0</v>
      </c>
      <c r="CC4339" s="99"/>
      <c r="CV4339" s="99"/>
      <c r="CW4339" s="63"/>
    </row>
    <row r="4340" spans="1:101" x14ac:dyDescent="0.15">
      <c r="A4340" s="76">
        <v>4078</v>
      </c>
      <c r="B4340" s="74" t="s">
        <v>6164</v>
      </c>
      <c r="C4340" s="74">
        <v>997975741</v>
      </c>
      <c r="D4340" s="78" t="str">
        <f t="shared" si="142"/>
        <v>https://portal.dnb.de/opac.htm?method=simpleSearch&amp;cqlMode=true&amp;query=idn%3D997975741</v>
      </c>
      <c r="E4340" s="74" t="s">
        <v>6163</v>
      </c>
      <c r="F4340" s="74"/>
      <c r="G4340" s="76"/>
      <c r="H4340" s="77"/>
      <c r="I4340" s="76"/>
      <c r="J4340" s="77"/>
      <c r="K4340" s="77"/>
      <c r="L4340" s="76"/>
      <c r="M4340" s="76"/>
      <c r="N4340" s="76"/>
      <c r="O4340" s="76"/>
      <c r="P4340" s="76"/>
      <c r="Q4340" s="76"/>
      <c r="R4340" s="76"/>
      <c r="S4340" s="76"/>
      <c r="BD4340" s="99">
        <f t="shared" si="141"/>
        <v>0</v>
      </c>
      <c r="CC4340" s="99"/>
      <c r="CV4340" s="99"/>
      <c r="CW4340" s="63"/>
    </row>
    <row r="4341" spans="1:101" x14ac:dyDescent="0.15">
      <c r="A4341" s="76">
        <v>4079</v>
      </c>
      <c r="B4341" s="74" t="s">
        <v>6165</v>
      </c>
      <c r="C4341" s="74">
        <v>978931386</v>
      </c>
      <c r="D4341" s="78" t="str">
        <f t="shared" si="142"/>
        <v>https://portal.dnb.de/opac.htm?method=simpleSearch&amp;cqlMode=true&amp;query=idn%3D978931386</v>
      </c>
      <c r="E4341" s="74" t="s">
        <v>6166</v>
      </c>
      <c r="F4341" s="74"/>
      <c r="G4341" s="76"/>
      <c r="H4341" s="77"/>
      <c r="I4341" s="76"/>
      <c r="J4341" s="77"/>
      <c r="K4341" s="77"/>
      <c r="L4341" s="76"/>
      <c r="M4341" s="76"/>
      <c r="N4341" s="76"/>
      <c r="O4341" s="76"/>
      <c r="P4341" s="76"/>
      <c r="Q4341" s="76"/>
      <c r="R4341" s="76"/>
      <c r="S4341" s="76"/>
      <c r="BD4341" s="99">
        <f t="shared" si="141"/>
        <v>0</v>
      </c>
      <c r="CC4341" s="99"/>
      <c r="CV4341" s="99"/>
      <c r="CW4341" s="63"/>
    </row>
    <row r="4342" spans="1:101" x14ac:dyDescent="0.15">
      <c r="A4342" s="76">
        <v>4080</v>
      </c>
      <c r="B4342" s="74" t="s">
        <v>6167</v>
      </c>
      <c r="C4342" s="74">
        <v>1066936641</v>
      </c>
      <c r="D4342" s="78" t="str">
        <f t="shared" si="142"/>
        <v>https://portal.dnb.de/opac.htm?method=simpleSearch&amp;cqlMode=true&amp;query=idn%3D1066936641</v>
      </c>
      <c r="E4342" s="74" t="s">
        <v>6168</v>
      </c>
      <c r="F4342" s="74"/>
      <c r="G4342" s="76"/>
      <c r="H4342" s="77"/>
      <c r="I4342" s="76"/>
      <c r="J4342" s="77"/>
      <c r="K4342" s="77"/>
      <c r="L4342" s="76"/>
      <c r="M4342" s="76"/>
      <c r="N4342" s="76"/>
      <c r="O4342" s="76"/>
      <c r="P4342" s="76"/>
      <c r="Q4342" s="76"/>
      <c r="R4342" s="76"/>
      <c r="S4342" s="76"/>
      <c r="BD4342" s="99">
        <f t="shared" si="141"/>
        <v>0</v>
      </c>
      <c r="CC4342" s="99"/>
      <c r="CV4342" s="99"/>
      <c r="CW4342" s="63"/>
    </row>
    <row r="4343" spans="1:101" x14ac:dyDescent="0.15">
      <c r="A4343" s="76">
        <v>4081</v>
      </c>
      <c r="B4343" s="74" t="s">
        <v>6169</v>
      </c>
      <c r="C4343" s="74">
        <v>1066940282</v>
      </c>
      <c r="D4343" s="78" t="str">
        <f t="shared" si="142"/>
        <v>https://portal.dnb.de/opac.htm?method=simpleSearch&amp;cqlMode=true&amp;query=idn%3D1066940282</v>
      </c>
      <c r="E4343" s="74" t="s">
        <v>6170</v>
      </c>
      <c r="F4343" s="74"/>
      <c r="G4343" s="76"/>
      <c r="H4343" s="77"/>
      <c r="I4343" s="76"/>
      <c r="J4343" s="77"/>
      <c r="K4343" s="77"/>
      <c r="L4343" s="76"/>
      <c r="M4343" s="76"/>
      <c r="N4343" s="76"/>
      <c r="O4343" s="76"/>
      <c r="P4343" s="76"/>
      <c r="Q4343" s="76"/>
      <c r="R4343" s="76"/>
      <c r="S4343" s="76"/>
      <c r="BD4343" s="99">
        <f t="shared" si="141"/>
        <v>0</v>
      </c>
      <c r="CC4343" s="99"/>
      <c r="CV4343" s="99"/>
      <c r="CW4343" s="63"/>
    </row>
    <row r="4344" spans="1:101" x14ac:dyDescent="0.15">
      <c r="A4344" s="76">
        <v>4082</v>
      </c>
      <c r="B4344" s="74" t="s">
        <v>6175</v>
      </c>
      <c r="C4344" s="74">
        <v>1066838208</v>
      </c>
      <c r="D4344" s="78" t="str">
        <f t="shared" si="142"/>
        <v>https://portal.dnb.de/opac.htm?method=simpleSearch&amp;cqlMode=true&amp;query=idn%3D1066838208</v>
      </c>
      <c r="E4344" s="74" t="s">
        <v>6176</v>
      </c>
      <c r="F4344" s="74"/>
      <c r="G4344" s="76"/>
      <c r="H4344" s="77"/>
      <c r="I4344" s="76"/>
      <c r="J4344" s="77"/>
      <c r="K4344" s="77"/>
      <c r="L4344" s="76"/>
      <c r="M4344" s="76"/>
      <c r="N4344" s="76"/>
      <c r="O4344" s="76"/>
      <c r="P4344" s="76"/>
      <c r="Q4344" s="76"/>
      <c r="R4344" s="76"/>
      <c r="S4344" s="76"/>
      <c r="BD4344" s="99">
        <f t="shared" si="141"/>
        <v>0</v>
      </c>
      <c r="CC4344" s="99"/>
      <c r="CV4344" s="99"/>
      <c r="CW4344" s="63"/>
    </row>
    <row r="4345" spans="1:101" x14ac:dyDescent="0.15">
      <c r="A4345" s="76">
        <v>4083</v>
      </c>
      <c r="B4345" s="74" t="s">
        <v>6177</v>
      </c>
      <c r="C4345" s="74">
        <v>1066834520</v>
      </c>
      <c r="D4345" s="78" t="str">
        <f t="shared" si="142"/>
        <v>https://portal.dnb.de/opac.htm?method=simpleSearch&amp;cqlMode=true&amp;query=idn%3D1066834520</v>
      </c>
      <c r="E4345" s="74" t="s">
        <v>6178</v>
      </c>
      <c r="F4345" s="74"/>
      <c r="G4345" s="76"/>
      <c r="H4345" s="77"/>
      <c r="I4345" s="76"/>
      <c r="J4345" s="77"/>
      <c r="K4345" s="77"/>
      <c r="L4345" s="76"/>
      <c r="M4345" s="76"/>
      <c r="N4345" s="76"/>
      <c r="O4345" s="76"/>
      <c r="P4345" s="76"/>
      <c r="Q4345" s="76"/>
      <c r="R4345" s="76"/>
      <c r="S4345" s="76"/>
      <c r="BD4345" s="99">
        <f t="shared" si="141"/>
        <v>0</v>
      </c>
      <c r="CC4345" s="99"/>
      <c r="CV4345" s="99"/>
      <c r="CW4345" s="63"/>
    </row>
    <row r="4346" spans="1:101" x14ac:dyDescent="0.15">
      <c r="A4346" s="76">
        <v>4084</v>
      </c>
      <c r="B4346" s="74" t="s">
        <v>6179</v>
      </c>
      <c r="C4346" s="74">
        <v>1066836817</v>
      </c>
      <c r="D4346" s="78" t="str">
        <f t="shared" si="142"/>
        <v>https://portal.dnb.de/opac.htm?method=simpleSearch&amp;cqlMode=true&amp;query=idn%3D1066836817</v>
      </c>
      <c r="E4346" s="74" t="s">
        <v>6180</v>
      </c>
      <c r="F4346" s="74"/>
      <c r="G4346" s="76"/>
      <c r="H4346" s="77"/>
      <c r="I4346" s="76" t="s">
        <v>53</v>
      </c>
      <c r="J4346" s="77"/>
      <c r="K4346" s="77"/>
      <c r="L4346" s="76"/>
      <c r="M4346" s="76"/>
      <c r="N4346" s="76"/>
      <c r="O4346" s="76"/>
      <c r="P4346" s="76"/>
      <c r="Q4346" s="76"/>
      <c r="R4346" s="76"/>
      <c r="S4346" s="76"/>
      <c r="Y4346" s="95" t="s">
        <v>9723</v>
      </c>
      <c r="AC4346" s="95" t="s">
        <v>9724</v>
      </c>
      <c r="AI4346" s="95" t="s">
        <v>9725</v>
      </c>
      <c r="AU4346" s="95">
        <v>2</v>
      </c>
      <c r="AV4346" s="95" t="s">
        <v>8541</v>
      </c>
      <c r="AW4346" s="95">
        <v>60</v>
      </c>
      <c r="BC4346" s="96" t="s">
        <v>9726</v>
      </c>
      <c r="BD4346" s="99">
        <f t="shared" si="141"/>
        <v>0.5</v>
      </c>
      <c r="BP4346" s="69" t="s">
        <v>8541</v>
      </c>
      <c r="BQ4346" s="95" t="s">
        <v>8541</v>
      </c>
      <c r="BR4346" s="95" t="s">
        <v>8541</v>
      </c>
      <c r="CC4346" s="99">
        <v>0.5</v>
      </c>
      <c r="CV4346" s="99"/>
      <c r="CW4346" s="63"/>
    </row>
    <row r="4347" spans="1:101" x14ac:dyDescent="0.15">
      <c r="A4347" s="76">
        <v>4085</v>
      </c>
      <c r="B4347" s="74" t="s">
        <v>6181</v>
      </c>
      <c r="C4347" s="74">
        <v>1066862966</v>
      </c>
      <c r="D4347" s="78" t="str">
        <f t="shared" si="142"/>
        <v>https://portal.dnb.de/opac.htm?method=simpleSearch&amp;cqlMode=true&amp;query=idn%3D1066862966</v>
      </c>
      <c r="E4347" s="74" t="s">
        <v>6182</v>
      </c>
      <c r="F4347" s="74"/>
      <c r="G4347" s="76"/>
      <c r="H4347" s="77"/>
      <c r="I4347" s="76"/>
      <c r="J4347" s="77"/>
      <c r="K4347" s="77"/>
      <c r="L4347" s="76"/>
      <c r="M4347" s="76"/>
      <c r="N4347" s="76"/>
      <c r="O4347" s="76"/>
      <c r="P4347" s="76"/>
      <c r="Q4347" s="76"/>
      <c r="R4347" s="76"/>
      <c r="S4347" s="76"/>
      <c r="BD4347" s="99">
        <f t="shared" si="141"/>
        <v>0</v>
      </c>
      <c r="CC4347" s="99"/>
      <c r="CV4347" s="99"/>
      <c r="CW4347" s="63"/>
    </row>
    <row r="4348" spans="1:101" x14ac:dyDescent="0.15">
      <c r="A4348" s="76">
        <v>4086</v>
      </c>
      <c r="B4348" s="74" t="s">
        <v>6183</v>
      </c>
      <c r="C4348" s="74">
        <v>1066876908</v>
      </c>
      <c r="D4348" s="78" t="str">
        <f t="shared" si="142"/>
        <v>https://portal.dnb.de/opac.htm?method=simpleSearch&amp;cqlMode=true&amp;query=idn%3D1066876908</v>
      </c>
      <c r="E4348" s="74" t="s">
        <v>6184</v>
      </c>
      <c r="F4348" s="74"/>
      <c r="G4348" s="76"/>
      <c r="H4348" s="77"/>
      <c r="I4348" s="76"/>
      <c r="J4348" s="77"/>
      <c r="K4348" s="77"/>
      <c r="L4348" s="76"/>
      <c r="M4348" s="76"/>
      <c r="N4348" s="76"/>
      <c r="O4348" s="76"/>
      <c r="P4348" s="76"/>
      <c r="Q4348" s="76"/>
      <c r="R4348" s="76"/>
      <c r="S4348" s="76"/>
      <c r="BD4348" s="99">
        <f t="shared" si="141"/>
        <v>0</v>
      </c>
      <c r="CC4348" s="99"/>
      <c r="CV4348" s="99"/>
      <c r="CW4348" s="63"/>
    </row>
    <row r="4349" spans="1:101" x14ac:dyDescent="0.15">
      <c r="A4349" s="76">
        <v>4087</v>
      </c>
      <c r="B4349" s="74" t="s">
        <v>6185</v>
      </c>
      <c r="C4349" s="74">
        <v>1066867666</v>
      </c>
      <c r="D4349" s="78" t="str">
        <f t="shared" si="142"/>
        <v>https://portal.dnb.de/opac.htm?method=simpleSearch&amp;cqlMode=true&amp;query=idn%3D1066867666</v>
      </c>
      <c r="E4349" s="74" t="s">
        <v>6186</v>
      </c>
      <c r="F4349" s="74"/>
      <c r="G4349" s="76"/>
      <c r="H4349" s="77"/>
      <c r="I4349" s="76"/>
      <c r="J4349" s="77"/>
      <c r="K4349" s="77"/>
      <c r="L4349" s="76"/>
      <c r="M4349" s="76"/>
      <c r="N4349" s="76"/>
      <c r="O4349" s="76"/>
      <c r="P4349" s="76"/>
      <c r="Q4349" s="76"/>
      <c r="R4349" s="76"/>
      <c r="S4349" s="76"/>
      <c r="BD4349" s="99">
        <f t="shared" si="141"/>
        <v>0</v>
      </c>
      <c r="CC4349" s="99"/>
      <c r="CV4349" s="99"/>
      <c r="CW4349" s="63"/>
    </row>
    <row r="4350" spans="1:101" x14ac:dyDescent="0.15">
      <c r="A4350" s="76">
        <v>4088</v>
      </c>
      <c r="B4350" s="74" t="s">
        <v>6187</v>
      </c>
      <c r="C4350" s="74">
        <v>1066786208</v>
      </c>
      <c r="D4350" s="78" t="str">
        <f t="shared" si="142"/>
        <v>https://portal.dnb.de/opac.htm?method=simpleSearch&amp;cqlMode=true&amp;query=idn%3D1066786208</v>
      </c>
      <c r="E4350" s="74" t="s">
        <v>6188</v>
      </c>
      <c r="F4350" s="74"/>
      <c r="G4350" s="76"/>
      <c r="H4350" s="77"/>
      <c r="I4350" s="76"/>
      <c r="J4350" s="77"/>
      <c r="K4350" s="77"/>
      <c r="L4350" s="76"/>
      <c r="M4350" s="76"/>
      <c r="N4350" s="76"/>
      <c r="O4350" s="76"/>
      <c r="P4350" s="76"/>
      <c r="Q4350" s="76"/>
      <c r="R4350" s="76"/>
      <c r="S4350" s="76"/>
      <c r="BD4350" s="99">
        <f t="shared" si="141"/>
        <v>0</v>
      </c>
      <c r="CC4350" s="99"/>
      <c r="CV4350" s="99"/>
      <c r="CW4350" s="63"/>
    </row>
    <row r="4351" spans="1:101" x14ac:dyDescent="0.15">
      <c r="A4351" s="76">
        <v>4089</v>
      </c>
      <c r="B4351" s="74" t="s">
        <v>6189</v>
      </c>
      <c r="C4351" s="74">
        <v>1001739965</v>
      </c>
      <c r="D4351" s="78" t="str">
        <f t="shared" si="142"/>
        <v>https://portal.dnb.de/opac.htm?method=simpleSearch&amp;cqlMode=true&amp;query=idn%3D1001739965</v>
      </c>
      <c r="E4351" s="74" t="s">
        <v>6190</v>
      </c>
      <c r="F4351" s="74"/>
      <c r="G4351" s="76"/>
      <c r="H4351" s="77"/>
      <c r="I4351" s="76"/>
      <c r="J4351" s="77"/>
      <c r="K4351" s="77"/>
      <c r="L4351" s="76"/>
      <c r="M4351" s="76"/>
      <c r="N4351" s="76"/>
      <c r="O4351" s="76"/>
      <c r="P4351" s="76"/>
      <c r="Q4351" s="76"/>
      <c r="R4351" s="76"/>
      <c r="S4351" s="76"/>
      <c r="BD4351" s="99">
        <f t="shared" si="141"/>
        <v>0</v>
      </c>
      <c r="CC4351" s="99"/>
      <c r="CV4351" s="99"/>
      <c r="CW4351" s="63"/>
    </row>
    <row r="4352" spans="1:101" x14ac:dyDescent="0.15">
      <c r="A4352" s="76">
        <v>4090</v>
      </c>
      <c r="B4352" s="74" t="s">
        <v>6191</v>
      </c>
      <c r="C4352" s="74">
        <v>1001739892</v>
      </c>
      <c r="D4352" s="78" t="str">
        <f t="shared" si="142"/>
        <v>https://portal.dnb.de/opac.htm?method=simpleSearch&amp;cqlMode=true&amp;query=idn%3D1001739892</v>
      </c>
      <c r="E4352" s="74" t="s">
        <v>6190</v>
      </c>
      <c r="F4352" s="74"/>
      <c r="G4352" s="76"/>
      <c r="H4352" s="77"/>
      <c r="I4352" s="76"/>
      <c r="J4352" s="77"/>
      <c r="K4352" s="77"/>
      <c r="L4352" s="76"/>
      <c r="M4352" s="76"/>
      <c r="N4352" s="76"/>
      <c r="O4352" s="76"/>
      <c r="P4352" s="76"/>
      <c r="Q4352" s="76"/>
      <c r="R4352" s="76"/>
      <c r="S4352" s="76"/>
      <c r="BD4352" s="99">
        <f t="shared" si="141"/>
        <v>0</v>
      </c>
      <c r="CC4352" s="99"/>
      <c r="CV4352" s="99"/>
      <c r="CW4352" s="63"/>
    </row>
    <row r="4353" spans="1:101" x14ac:dyDescent="0.15">
      <c r="A4353" s="76">
        <v>4091</v>
      </c>
      <c r="B4353" s="74" t="s">
        <v>6196</v>
      </c>
      <c r="C4353" s="74">
        <v>575067659</v>
      </c>
      <c r="D4353" s="78" t="str">
        <f t="shared" si="142"/>
        <v>https://portal.dnb.de/opac.htm?method=simpleSearch&amp;cqlMode=true&amp;query=idn%3D575067659</v>
      </c>
      <c r="E4353" s="74" t="s">
        <v>6197</v>
      </c>
      <c r="F4353" s="74"/>
      <c r="G4353" s="76"/>
      <c r="H4353" s="77"/>
      <c r="I4353" s="76"/>
      <c r="J4353" s="77"/>
      <c r="K4353" s="77"/>
      <c r="L4353" s="76"/>
      <c r="M4353" s="76"/>
      <c r="N4353" s="76"/>
      <c r="O4353" s="76"/>
      <c r="P4353" s="76"/>
      <c r="Q4353" s="76"/>
      <c r="R4353" s="76"/>
      <c r="S4353" s="76"/>
      <c r="BD4353" s="99">
        <f t="shared" si="141"/>
        <v>0</v>
      </c>
      <c r="CC4353" s="99"/>
      <c r="CV4353" s="99"/>
      <c r="CW4353" s="63"/>
    </row>
    <row r="4354" spans="1:101" x14ac:dyDescent="0.15">
      <c r="A4354" s="76">
        <v>4092</v>
      </c>
      <c r="B4354" s="74" t="s">
        <v>6198</v>
      </c>
      <c r="C4354" s="74">
        <v>999728202</v>
      </c>
      <c r="D4354" s="78" t="str">
        <f t="shared" si="142"/>
        <v>https://portal.dnb.de/opac.htm?method=simpleSearch&amp;cqlMode=true&amp;query=idn%3D999728202</v>
      </c>
      <c r="E4354" s="74" t="s">
        <v>6199</v>
      </c>
      <c r="F4354" s="74"/>
      <c r="G4354" s="76"/>
      <c r="H4354" s="77"/>
      <c r="I4354" s="76"/>
      <c r="J4354" s="77"/>
      <c r="K4354" s="77"/>
      <c r="L4354" s="76"/>
      <c r="M4354" s="76"/>
      <c r="N4354" s="76"/>
      <c r="O4354" s="76"/>
      <c r="P4354" s="76"/>
      <c r="Q4354" s="76"/>
      <c r="R4354" s="76"/>
      <c r="S4354" s="76"/>
      <c r="BD4354" s="99">
        <f t="shared" si="141"/>
        <v>0</v>
      </c>
      <c r="CC4354" s="99"/>
      <c r="CV4354" s="99"/>
      <c r="CW4354" s="63"/>
    </row>
    <row r="4355" spans="1:101" x14ac:dyDescent="0.15">
      <c r="A4355" s="76">
        <v>4093</v>
      </c>
      <c r="B4355" s="74" t="s">
        <v>6202</v>
      </c>
      <c r="C4355" s="74">
        <v>1066940576</v>
      </c>
      <c r="D4355" s="78" t="str">
        <f t="shared" si="142"/>
        <v>https://portal.dnb.de/opac.htm?method=simpleSearch&amp;cqlMode=true&amp;query=idn%3D1066940576</v>
      </c>
      <c r="E4355" s="74" t="s">
        <v>6203</v>
      </c>
      <c r="F4355" s="74"/>
      <c r="G4355" s="76"/>
      <c r="H4355" s="77"/>
      <c r="I4355" s="76"/>
      <c r="J4355" s="77"/>
      <c r="K4355" s="77"/>
      <c r="L4355" s="76"/>
      <c r="M4355" s="76"/>
      <c r="N4355" s="76"/>
      <c r="O4355" s="76"/>
      <c r="P4355" s="76"/>
      <c r="Q4355" s="76"/>
      <c r="R4355" s="76"/>
      <c r="S4355" s="76"/>
      <c r="BD4355" s="99">
        <f t="shared" ref="BD4355:BD4418" si="143">CC4355+CV4355</f>
        <v>0</v>
      </c>
      <c r="CC4355" s="99"/>
      <c r="CV4355" s="99"/>
      <c r="CW4355" s="63"/>
    </row>
    <row r="4356" spans="1:101" x14ac:dyDescent="0.15">
      <c r="A4356" s="76">
        <v>4094</v>
      </c>
      <c r="B4356" s="74" t="s">
        <v>6204</v>
      </c>
      <c r="C4356" s="74">
        <v>1066846839</v>
      </c>
      <c r="D4356" s="78" t="str">
        <f t="shared" si="142"/>
        <v>https://portal.dnb.de/opac.htm?method=simpleSearch&amp;cqlMode=true&amp;query=idn%3D1066846839</v>
      </c>
      <c r="E4356" s="74" t="s">
        <v>6205</v>
      </c>
      <c r="F4356" s="74"/>
      <c r="G4356" s="76"/>
      <c r="H4356" s="77"/>
      <c r="I4356" s="76"/>
      <c r="J4356" s="77"/>
      <c r="K4356" s="77"/>
      <c r="L4356" s="76"/>
      <c r="M4356" s="76"/>
      <c r="N4356" s="76"/>
      <c r="O4356" s="76"/>
      <c r="P4356" s="76"/>
      <c r="Q4356" s="76"/>
      <c r="R4356" s="76"/>
      <c r="S4356" s="76"/>
      <c r="BD4356" s="99">
        <f t="shared" si="143"/>
        <v>0</v>
      </c>
      <c r="CC4356" s="99"/>
      <c r="CV4356" s="99"/>
      <c r="CW4356" s="63"/>
    </row>
    <row r="4357" spans="1:101" x14ac:dyDescent="0.15">
      <c r="A4357" s="76">
        <v>4095</v>
      </c>
      <c r="B4357" s="74" t="s">
        <v>6206</v>
      </c>
      <c r="C4357" s="74" t="s">
        <v>6207</v>
      </c>
      <c r="D4357" s="78" t="str">
        <f t="shared" si="142"/>
        <v>https://portal.dnb.de/opac.htm?method=simpleSearch&amp;cqlMode=true&amp;query=idn%3D100011287X</v>
      </c>
      <c r="E4357" s="74" t="s">
        <v>6208</v>
      </c>
      <c r="F4357" s="74"/>
      <c r="G4357" s="76"/>
      <c r="H4357" s="77"/>
      <c r="I4357" s="76"/>
      <c r="J4357" s="77"/>
      <c r="K4357" s="77"/>
      <c r="L4357" s="76"/>
      <c r="M4357" s="76"/>
      <c r="N4357" s="76"/>
      <c r="O4357" s="76"/>
      <c r="P4357" s="76"/>
      <c r="Q4357" s="76"/>
      <c r="R4357" s="76"/>
      <c r="S4357" s="76"/>
      <c r="BD4357" s="99">
        <f t="shared" si="143"/>
        <v>0</v>
      </c>
      <c r="CC4357" s="99"/>
      <c r="CV4357" s="99"/>
      <c r="CW4357" s="63"/>
    </row>
    <row r="4358" spans="1:101" x14ac:dyDescent="0.15">
      <c r="A4358" s="76">
        <v>4096</v>
      </c>
      <c r="B4358" s="74" t="s">
        <v>6209</v>
      </c>
      <c r="C4358" s="74">
        <v>1000201430</v>
      </c>
      <c r="D4358" s="78" t="str">
        <f t="shared" si="142"/>
        <v>https://portal.dnb.de/opac.htm?method=simpleSearch&amp;cqlMode=true&amp;query=idn%3D1000201430</v>
      </c>
      <c r="E4358" s="74" t="s">
        <v>6210</v>
      </c>
      <c r="F4358" s="74"/>
      <c r="G4358" s="76"/>
      <c r="H4358" s="77"/>
      <c r="I4358" s="76"/>
      <c r="J4358" s="77"/>
      <c r="K4358" s="77"/>
      <c r="L4358" s="76"/>
      <c r="M4358" s="76"/>
      <c r="N4358" s="76"/>
      <c r="O4358" s="76"/>
      <c r="P4358" s="76"/>
      <c r="Q4358" s="76"/>
      <c r="R4358" s="76"/>
      <c r="S4358" s="76"/>
      <c r="BD4358" s="99">
        <f t="shared" si="143"/>
        <v>0</v>
      </c>
      <c r="CC4358" s="99"/>
      <c r="CV4358" s="99"/>
      <c r="CW4358" s="63"/>
    </row>
    <row r="4359" spans="1:101" x14ac:dyDescent="0.15">
      <c r="A4359" s="76">
        <v>4097</v>
      </c>
      <c r="B4359" s="74" t="s">
        <v>6211</v>
      </c>
      <c r="C4359" s="74">
        <v>994217471</v>
      </c>
      <c r="D4359" s="78" t="str">
        <f t="shared" si="142"/>
        <v>https://portal.dnb.de/opac.htm?method=simpleSearch&amp;cqlMode=true&amp;query=idn%3D994217471</v>
      </c>
      <c r="E4359" s="74" t="s">
        <v>6212</v>
      </c>
      <c r="F4359" s="74"/>
      <c r="G4359" s="76"/>
      <c r="H4359" s="77"/>
      <c r="I4359" s="76"/>
      <c r="J4359" s="77"/>
      <c r="K4359" s="77"/>
      <c r="L4359" s="76"/>
      <c r="M4359" s="76"/>
      <c r="N4359" s="76"/>
      <c r="O4359" s="76"/>
      <c r="P4359" s="76"/>
      <c r="Q4359" s="76"/>
      <c r="R4359" s="76"/>
      <c r="S4359" s="76"/>
      <c r="BD4359" s="99">
        <f t="shared" si="143"/>
        <v>0</v>
      </c>
      <c r="CC4359" s="99"/>
      <c r="CV4359" s="99"/>
      <c r="CW4359" s="63"/>
    </row>
    <row r="4360" spans="1:101" x14ac:dyDescent="0.15">
      <c r="A4360" s="76">
        <v>4098</v>
      </c>
      <c r="B4360" s="74" t="s">
        <v>6213</v>
      </c>
      <c r="C4360" s="74">
        <v>1066938652</v>
      </c>
      <c r="D4360" s="78" t="str">
        <f t="shared" si="142"/>
        <v>https://portal.dnb.de/opac.htm?method=simpleSearch&amp;cqlMode=true&amp;query=idn%3D1066938652</v>
      </c>
      <c r="E4360" s="74" t="s">
        <v>6214</v>
      </c>
      <c r="F4360" s="74"/>
      <c r="G4360" s="76"/>
      <c r="H4360" s="77"/>
      <c r="I4360" s="76"/>
      <c r="J4360" s="77"/>
      <c r="K4360" s="77"/>
      <c r="L4360" s="76"/>
      <c r="M4360" s="76"/>
      <c r="N4360" s="76"/>
      <c r="O4360" s="76"/>
      <c r="P4360" s="76"/>
      <c r="Q4360" s="76"/>
      <c r="R4360" s="76"/>
      <c r="S4360" s="76"/>
      <c r="BD4360" s="99">
        <f t="shared" si="143"/>
        <v>0</v>
      </c>
      <c r="CC4360" s="99"/>
      <c r="CV4360" s="99"/>
      <c r="CW4360" s="63"/>
    </row>
    <row r="4361" spans="1:101" x14ac:dyDescent="0.15">
      <c r="A4361" s="76">
        <v>4099</v>
      </c>
      <c r="B4361" s="74" t="s">
        <v>6215</v>
      </c>
      <c r="C4361" s="74">
        <v>1066942404</v>
      </c>
      <c r="D4361" s="78" t="str">
        <f t="shared" si="142"/>
        <v>https://portal.dnb.de/opac.htm?method=simpleSearch&amp;cqlMode=true&amp;query=idn%3D1066942404</v>
      </c>
      <c r="E4361" s="74" t="s">
        <v>6216</v>
      </c>
      <c r="F4361" s="74"/>
      <c r="G4361" s="76"/>
      <c r="H4361" s="77"/>
      <c r="I4361" s="76"/>
      <c r="J4361" s="77"/>
      <c r="K4361" s="77"/>
      <c r="L4361" s="76"/>
      <c r="M4361" s="76"/>
      <c r="N4361" s="76"/>
      <c r="O4361" s="76"/>
      <c r="P4361" s="76"/>
      <c r="Q4361" s="76"/>
      <c r="R4361" s="76"/>
      <c r="S4361" s="76"/>
      <c r="BD4361" s="99">
        <f t="shared" si="143"/>
        <v>0</v>
      </c>
      <c r="CC4361" s="99"/>
      <c r="CV4361" s="99"/>
      <c r="CW4361" s="63"/>
    </row>
    <row r="4362" spans="1:101" x14ac:dyDescent="0.15">
      <c r="A4362" s="76">
        <v>4100</v>
      </c>
      <c r="B4362" s="74" t="s">
        <v>6217</v>
      </c>
      <c r="C4362" s="74">
        <v>1132642914</v>
      </c>
      <c r="D4362" s="78" t="str">
        <f t="shared" si="142"/>
        <v>https://portal.dnb.de/opac.htm?method=simpleSearch&amp;cqlMode=true&amp;query=idn%3D1132642914</v>
      </c>
      <c r="E4362" s="74" t="s">
        <v>6218</v>
      </c>
      <c r="F4362" s="74"/>
      <c r="G4362" s="76"/>
      <c r="H4362" s="77"/>
      <c r="I4362" s="76"/>
      <c r="J4362" s="77"/>
      <c r="K4362" s="77"/>
      <c r="L4362" s="76"/>
      <c r="M4362" s="76"/>
      <c r="N4362" s="76"/>
      <c r="O4362" s="76"/>
      <c r="P4362" s="76"/>
      <c r="Q4362" s="76"/>
      <c r="R4362" s="76"/>
      <c r="S4362" s="76"/>
      <c r="BD4362" s="99">
        <f t="shared" si="143"/>
        <v>0</v>
      </c>
      <c r="CC4362" s="99"/>
      <c r="CV4362" s="99"/>
      <c r="CW4362" s="63"/>
    </row>
    <row r="4363" spans="1:101" x14ac:dyDescent="0.15">
      <c r="A4363" s="76">
        <v>4101</v>
      </c>
      <c r="B4363" s="74" t="s">
        <v>6219</v>
      </c>
      <c r="C4363" s="74">
        <v>1132642922</v>
      </c>
      <c r="D4363" s="78" t="str">
        <f t="shared" si="142"/>
        <v>https://portal.dnb.de/opac.htm?method=simpleSearch&amp;cqlMode=true&amp;query=idn%3D1132642922</v>
      </c>
      <c r="E4363" s="74" t="s">
        <v>6218</v>
      </c>
      <c r="F4363" s="74"/>
      <c r="G4363" s="76"/>
      <c r="H4363" s="77"/>
      <c r="I4363" s="76"/>
      <c r="J4363" s="77"/>
      <c r="K4363" s="77"/>
      <c r="L4363" s="76"/>
      <c r="M4363" s="76"/>
      <c r="N4363" s="76"/>
      <c r="O4363" s="76"/>
      <c r="P4363" s="76"/>
      <c r="Q4363" s="76"/>
      <c r="R4363" s="76"/>
      <c r="S4363" s="76"/>
      <c r="BD4363" s="99">
        <f t="shared" si="143"/>
        <v>0</v>
      </c>
      <c r="CC4363" s="99"/>
      <c r="CV4363" s="99"/>
      <c r="CW4363" s="63"/>
    </row>
    <row r="4364" spans="1:101" x14ac:dyDescent="0.15">
      <c r="A4364" s="76">
        <v>4102</v>
      </c>
      <c r="B4364" s="74" t="s">
        <v>6220</v>
      </c>
      <c r="C4364" s="74">
        <v>1066760152</v>
      </c>
      <c r="D4364" s="78" t="str">
        <f t="shared" si="142"/>
        <v>https://portal.dnb.de/opac.htm?method=simpleSearch&amp;cqlMode=true&amp;query=idn%3D1066760152</v>
      </c>
      <c r="E4364" s="74" t="s">
        <v>6221</v>
      </c>
      <c r="F4364" s="74"/>
      <c r="G4364" s="76"/>
      <c r="H4364" s="77"/>
      <c r="I4364" s="76"/>
      <c r="J4364" s="77"/>
      <c r="K4364" s="77"/>
      <c r="L4364" s="76"/>
      <c r="M4364" s="76"/>
      <c r="N4364" s="76"/>
      <c r="O4364" s="76"/>
      <c r="P4364" s="76"/>
      <c r="Q4364" s="76"/>
      <c r="R4364" s="76"/>
      <c r="S4364" s="76"/>
      <c r="BD4364" s="99">
        <f t="shared" si="143"/>
        <v>0</v>
      </c>
      <c r="CC4364" s="99"/>
      <c r="CV4364" s="99"/>
      <c r="CW4364" s="63"/>
    </row>
    <row r="4365" spans="1:101" x14ac:dyDescent="0.15">
      <c r="A4365" s="76">
        <v>4103</v>
      </c>
      <c r="B4365" s="74" t="s">
        <v>6222</v>
      </c>
      <c r="C4365" s="74" t="s">
        <v>6223</v>
      </c>
      <c r="D4365" s="78" t="str">
        <f t="shared" si="142"/>
        <v>https://portal.dnb.de/opac.htm?method=simpleSearch&amp;cqlMode=true&amp;query=idn%3D106687087X</v>
      </c>
      <c r="E4365" s="74" t="s">
        <v>6224</v>
      </c>
      <c r="F4365" s="74"/>
      <c r="G4365" s="76"/>
      <c r="H4365" s="77"/>
      <c r="I4365" s="76"/>
      <c r="J4365" s="77"/>
      <c r="K4365" s="77"/>
      <c r="L4365" s="76"/>
      <c r="M4365" s="76"/>
      <c r="N4365" s="76"/>
      <c r="O4365" s="76"/>
      <c r="P4365" s="76"/>
      <c r="Q4365" s="76"/>
      <c r="R4365" s="76"/>
      <c r="S4365" s="76"/>
      <c r="BD4365" s="99">
        <f t="shared" si="143"/>
        <v>0</v>
      </c>
      <c r="CC4365" s="99"/>
      <c r="CV4365" s="99"/>
      <c r="CW4365" s="63"/>
    </row>
    <row r="4366" spans="1:101" x14ac:dyDescent="0.15">
      <c r="A4366" s="76">
        <v>4104</v>
      </c>
      <c r="B4366" s="74" t="s">
        <v>6227</v>
      </c>
      <c r="C4366" s="74">
        <v>1066936927</v>
      </c>
      <c r="D4366" s="78" t="str">
        <f t="shared" si="142"/>
        <v>https://portal.dnb.de/opac.htm?method=simpleSearch&amp;cqlMode=true&amp;query=idn%3D1066936927</v>
      </c>
      <c r="E4366" s="74" t="s">
        <v>6228</v>
      </c>
      <c r="F4366" s="74"/>
      <c r="G4366" s="76"/>
      <c r="H4366" s="77"/>
      <c r="I4366" s="76"/>
      <c r="J4366" s="77"/>
      <c r="K4366" s="77"/>
      <c r="L4366" s="76"/>
      <c r="M4366" s="76"/>
      <c r="N4366" s="76"/>
      <c r="O4366" s="76"/>
      <c r="P4366" s="76"/>
      <c r="Q4366" s="76"/>
      <c r="R4366" s="76"/>
      <c r="S4366" s="76"/>
      <c r="BD4366" s="99">
        <f t="shared" si="143"/>
        <v>0</v>
      </c>
      <c r="CC4366" s="99"/>
      <c r="CV4366" s="99"/>
      <c r="CW4366" s="63"/>
    </row>
    <row r="4367" spans="1:101" x14ac:dyDescent="0.15">
      <c r="A4367" s="76">
        <v>4105</v>
      </c>
      <c r="B4367" s="74" t="s">
        <v>6229</v>
      </c>
      <c r="C4367" s="74">
        <v>1066938431</v>
      </c>
      <c r="D4367" s="78" t="str">
        <f t="shared" si="142"/>
        <v>https://portal.dnb.de/opac.htm?method=simpleSearch&amp;cqlMode=true&amp;query=idn%3D1066938431</v>
      </c>
      <c r="E4367" s="74" t="s">
        <v>6230</v>
      </c>
      <c r="F4367" s="74"/>
      <c r="G4367" s="76"/>
      <c r="H4367" s="77"/>
      <c r="I4367" s="76"/>
      <c r="J4367" s="77"/>
      <c r="K4367" s="77"/>
      <c r="L4367" s="76"/>
      <c r="M4367" s="76"/>
      <c r="N4367" s="76"/>
      <c r="O4367" s="76"/>
      <c r="P4367" s="76"/>
      <c r="Q4367" s="76"/>
      <c r="R4367" s="76"/>
      <c r="S4367" s="76"/>
      <c r="BD4367" s="99">
        <f t="shared" si="143"/>
        <v>0</v>
      </c>
      <c r="CC4367" s="99"/>
      <c r="CV4367" s="99"/>
      <c r="CW4367" s="63"/>
    </row>
    <row r="4368" spans="1:101" x14ac:dyDescent="0.15">
      <c r="A4368" s="76">
        <v>4106</v>
      </c>
      <c r="B4368" s="74" t="s">
        <v>6231</v>
      </c>
      <c r="C4368" s="74">
        <v>1066775761</v>
      </c>
      <c r="D4368" s="78" t="str">
        <f t="shared" si="142"/>
        <v>https://portal.dnb.de/opac.htm?method=simpleSearch&amp;cqlMode=true&amp;query=idn%3D1066775761</v>
      </c>
      <c r="E4368" s="74" t="s">
        <v>6232</v>
      </c>
      <c r="F4368" s="74"/>
      <c r="G4368" s="76"/>
      <c r="H4368" s="77"/>
      <c r="I4368" s="76"/>
      <c r="J4368" s="77"/>
      <c r="K4368" s="77"/>
      <c r="L4368" s="76"/>
      <c r="M4368" s="76"/>
      <c r="N4368" s="76"/>
      <c r="O4368" s="76"/>
      <c r="P4368" s="76"/>
      <c r="Q4368" s="76"/>
      <c r="R4368" s="76"/>
      <c r="S4368" s="76"/>
      <c r="BD4368" s="99">
        <f t="shared" si="143"/>
        <v>0</v>
      </c>
      <c r="CC4368" s="99"/>
      <c r="CV4368" s="99"/>
      <c r="CW4368" s="63"/>
    </row>
    <row r="4369" spans="1:101" x14ac:dyDescent="0.15">
      <c r="A4369" s="76">
        <v>4107</v>
      </c>
      <c r="B4369" s="74" t="s">
        <v>6233</v>
      </c>
      <c r="C4369" s="74">
        <v>1000040542</v>
      </c>
      <c r="D4369" s="78" t="str">
        <f t="shared" si="142"/>
        <v>https://portal.dnb.de/opac.htm?method=simpleSearch&amp;cqlMode=true&amp;query=idn%3D1000040542</v>
      </c>
      <c r="E4369" s="74" t="s">
        <v>6234</v>
      </c>
      <c r="F4369" s="74"/>
      <c r="G4369" s="76"/>
      <c r="H4369" s="77"/>
      <c r="I4369" s="76"/>
      <c r="J4369" s="77"/>
      <c r="K4369" s="77"/>
      <c r="L4369" s="76"/>
      <c r="M4369" s="76"/>
      <c r="N4369" s="76"/>
      <c r="O4369" s="76"/>
      <c r="P4369" s="76"/>
      <c r="Q4369" s="76"/>
      <c r="R4369" s="76"/>
      <c r="S4369" s="76"/>
      <c r="BD4369" s="99">
        <f t="shared" si="143"/>
        <v>0</v>
      </c>
      <c r="CC4369" s="99"/>
      <c r="CV4369" s="99"/>
      <c r="CW4369" s="63"/>
    </row>
    <row r="4370" spans="1:101" x14ac:dyDescent="0.15">
      <c r="A4370" s="76">
        <v>4108</v>
      </c>
      <c r="B4370" s="74" t="s">
        <v>6235</v>
      </c>
      <c r="C4370" s="74" t="s">
        <v>6236</v>
      </c>
      <c r="D4370" s="78" t="str">
        <f t="shared" si="142"/>
        <v>https://portal.dnb.de/opac.htm?method=simpleSearch&amp;cqlMode=true&amp;query=idn%3D99904303X</v>
      </c>
      <c r="E4370" s="74" t="s">
        <v>6234</v>
      </c>
      <c r="F4370" s="74"/>
      <c r="G4370" s="76"/>
      <c r="H4370" s="77"/>
      <c r="I4370" s="76"/>
      <c r="J4370" s="77"/>
      <c r="K4370" s="77"/>
      <c r="L4370" s="76"/>
      <c r="M4370" s="76"/>
      <c r="N4370" s="76"/>
      <c r="O4370" s="76"/>
      <c r="P4370" s="76"/>
      <c r="Q4370" s="76"/>
      <c r="R4370" s="76"/>
      <c r="S4370" s="76"/>
      <c r="BD4370" s="99">
        <f t="shared" si="143"/>
        <v>0</v>
      </c>
      <c r="CC4370" s="99"/>
      <c r="CV4370" s="99"/>
      <c r="CW4370" s="63"/>
    </row>
    <row r="4371" spans="1:101" x14ac:dyDescent="0.15">
      <c r="A4371" s="76">
        <v>4109</v>
      </c>
      <c r="B4371" s="74" t="s">
        <v>6237</v>
      </c>
      <c r="C4371" s="74">
        <v>999042394</v>
      </c>
      <c r="D4371" s="78" t="str">
        <f t="shared" si="142"/>
        <v>https://portal.dnb.de/opac.htm?method=simpleSearch&amp;cqlMode=true&amp;query=idn%3D999042394</v>
      </c>
      <c r="E4371" s="74" t="s">
        <v>6234</v>
      </c>
      <c r="F4371" s="74"/>
      <c r="G4371" s="76"/>
      <c r="H4371" s="77"/>
      <c r="I4371" s="76"/>
      <c r="J4371" s="77"/>
      <c r="K4371" s="77"/>
      <c r="L4371" s="76"/>
      <c r="M4371" s="76"/>
      <c r="N4371" s="76"/>
      <c r="O4371" s="76"/>
      <c r="P4371" s="76"/>
      <c r="Q4371" s="76"/>
      <c r="R4371" s="76"/>
      <c r="S4371" s="76"/>
      <c r="BD4371" s="99">
        <f t="shared" si="143"/>
        <v>0</v>
      </c>
      <c r="CC4371" s="99"/>
      <c r="CV4371" s="99"/>
      <c r="CW4371" s="63"/>
    </row>
    <row r="4372" spans="1:101" x14ac:dyDescent="0.15">
      <c r="A4372" s="76">
        <v>4110</v>
      </c>
      <c r="B4372" s="74" t="s">
        <v>6238</v>
      </c>
      <c r="C4372" s="74" t="s">
        <v>6239</v>
      </c>
      <c r="D4372" s="78" t="str">
        <f t="shared" si="142"/>
        <v>https://portal.dnb.de/opac.htm?method=simpleSearch&amp;cqlMode=true&amp;query=idn%3D99997548X</v>
      </c>
      <c r="E4372" s="74" t="s">
        <v>6234</v>
      </c>
      <c r="F4372" s="74"/>
      <c r="G4372" s="76"/>
      <c r="H4372" s="77"/>
      <c r="I4372" s="76"/>
      <c r="J4372" s="77"/>
      <c r="K4372" s="77"/>
      <c r="L4372" s="76"/>
      <c r="M4372" s="76"/>
      <c r="N4372" s="76"/>
      <c r="O4372" s="76"/>
      <c r="P4372" s="76"/>
      <c r="Q4372" s="76"/>
      <c r="R4372" s="76"/>
      <c r="S4372" s="76"/>
      <c r="BD4372" s="99">
        <f t="shared" si="143"/>
        <v>0</v>
      </c>
      <c r="CC4372" s="99"/>
      <c r="CV4372" s="99"/>
      <c r="CW4372" s="63"/>
    </row>
    <row r="4373" spans="1:101" x14ac:dyDescent="0.15">
      <c r="A4373" s="76">
        <v>4111</v>
      </c>
      <c r="B4373" s="74" t="s">
        <v>6240</v>
      </c>
      <c r="C4373" s="74">
        <v>999368192</v>
      </c>
      <c r="D4373" s="78" t="str">
        <f t="shared" si="142"/>
        <v>https://portal.dnb.de/opac.htm?method=simpleSearch&amp;cqlMode=true&amp;query=idn%3D999368192</v>
      </c>
      <c r="E4373" s="74" t="s">
        <v>6234</v>
      </c>
      <c r="F4373" s="74"/>
      <c r="G4373" s="76"/>
      <c r="H4373" s="77"/>
      <c r="I4373" s="76"/>
      <c r="J4373" s="77"/>
      <c r="K4373" s="77"/>
      <c r="L4373" s="76"/>
      <c r="M4373" s="76"/>
      <c r="N4373" s="76"/>
      <c r="O4373" s="76"/>
      <c r="P4373" s="76"/>
      <c r="Q4373" s="76"/>
      <c r="R4373" s="76"/>
      <c r="S4373" s="76"/>
      <c r="BD4373" s="99">
        <f t="shared" si="143"/>
        <v>0</v>
      </c>
      <c r="CC4373" s="99"/>
      <c r="CV4373" s="99"/>
      <c r="CW4373" s="63"/>
    </row>
    <row r="4374" spans="1:101" x14ac:dyDescent="0.15">
      <c r="A4374" s="76">
        <v>4112</v>
      </c>
      <c r="B4374" s="74" t="s">
        <v>6241</v>
      </c>
      <c r="C4374" s="74">
        <v>999041924</v>
      </c>
      <c r="D4374" s="78" t="str">
        <f t="shared" si="142"/>
        <v>https://portal.dnb.de/opac.htm?method=simpleSearch&amp;cqlMode=true&amp;query=idn%3D999041924</v>
      </c>
      <c r="E4374" s="74" t="s">
        <v>6234</v>
      </c>
      <c r="F4374" s="74"/>
      <c r="G4374" s="76"/>
      <c r="H4374" s="77"/>
      <c r="I4374" s="76"/>
      <c r="J4374" s="77"/>
      <c r="K4374" s="77"/>
      <c r="L4374" s="76"/>
      <c r="M4374" s="76"/>
      <c r="N4374" s="76"/>
      <c r="O4374" s="76"/>
      <c r="P4374" s="76"/>
      <c r="Q4374" s="76"/>
      <c r="R4374" s="76"/>
      <c r="S4374" s="76"/>
      <c r="BD4374" s="99">
        <f t="shared" si="143"/>
        <v>0</v>
      </c>
      <c r="CC4374" s="99"/>
      <c r="CV4374" s="99"/>
      <c r="CW4374" s="63"/>
    </row>
    <row r="4375" spans="1:101" x14ac:dyDescent="0.15">
      <c r="A4375" s="76">
        <v>4113</v>
      </c>
      <c r="B4375" s="74" t="s">
        <v>6242</v>
      </c>
      <c r="C4375" s="74" t="s">
        <v>6243</v>
      </c>
      <c r="D4375" s="78" t="str">
        <f t="shared" si="142"/>
        <v>https://portal.dnb.de/opac.htm?method=simpleSearch&amp;cqlMode=true&amp;query=idn%3D99419658X</v>
      </c>
      <c r="E4375" s="74" t="s">
        <v>6234</v>
      </c>
      <c r="F4375" s="74"/>
      <c r="G4375" s="76"/>
      <c r="H4375" s="77"/>
      <c r="I4375" s="76"/>
      <c r="J4375" s="77"/>
      <c r="K4375" s="77"/>
      <c r="L4375" s="76"/>
      <c r="M4375" s="76"/>
      <c r="N4375" s="76"/>
      <c r="O4375" s="76"/>
      <c r="P4375" s="76"/>
      <c r="Q4375" s="76"/>
      <c r="R4375" s="76"/>
      <c r="S4375" s="76"/>
      <c r="BD4375" s="99">
        <f t="shared" si="143"/>
        <v>0</v>
      </c>
      <c r="CC4375" s="99"/>
      <c r="CV4375" s="99"/>
      <c r="CW4375" s="63"/>
    </row>
    <row r="4376" spans="1:101" x14ac:dyDescent="0.15">
      <c r="A4376" s="76">
        <v>4114</v>
      </c>
      <c r="B4376" s="74" t="s">
        <v>6248</v>
      </c>
      <c r="C4376" s="74">
        <v>1066942390</v>
      </c>
      <c r="D4376" s="78" t="str">
        <f t="shared" si="142"/>
        <v>https://portal.dnb.de/opac.htm?method=simpleSearch&amp;cqlMode=true&amp;query=idn%3D1066942390</v>
      </c>
      <c r="E4376" s="74" t="s">
        <v>6249</v>
      </c>
      <c r="F4376" s="74"/>
      <c r="G4376" s="76"/>
      <c r="H4376" s="77"/>
      <c r="I4376" s="76"/>
      <c r="J4376" s="77"/>
      <c r="K4376" s="77"/>
      <c r="L4376" s="76"/>
      <c r="M4376" s="76"/>
      <c r="N4376" s="76"/>
      <c r="O4376" s="76"/>
      <c r="P4376" s="76"/>
      <c r="Q4376" s="76"/>
      <c r="R4376" s="76"/>
      <c r="S4376" s="76"/>
      <c r="BD4376" s="99">
        <f t="shared" si="143"/>
        <v>0</v>
      </c>
      <c r="CC4376" s="99"/>
      <c r="CV4376" s="99"/>
      <c r="CW4376" s="63"/>
    </row>
    <row r="4377" spans="1:101" x14ac:dyDescent="0.15">
      <c r="A4377" s="76">
        <v>4115</v>
      </c>
      <c r="B4377" s="74" t="s">
        <v>6250</v>
      </c>
      <c r="C4377" s="74">
        <v>1066936374</v>
      </c>
      <c r="D4377" s="78" t="str">
        <f t="shared" si="142"/>
        <v>https://portal.dnb.de/opac.htm?method=simpleSearch&amp;cqlMode=true&amp;query=idn%3D1066936374</v>
      </c>
      <c r="E4377" s="74" t="s">
        <v>6251</v>
      </c>
      <c r="F4377" s="74"/>
      <c r="G4377" s="76"/>
      <c r="H4377" s="77"/>
      <c r="I4377" s="76"/>
      <c r="J4377" s="77"/>
      <c r="K4377" s="77"/>
      <c r="L4377" s="76"/>
      <c r="M4377" s="76"/>
      <c r="N4377" s="76"/>
      <c r="O4377" s="76"/>
      <c r="P4377" s="76"/>
      <c r="Q4377" s="76"/>
      <c r="R4377" s="76"/>
      <c r="S4377" s="76"/>
      <c r="BD4377" s="99">
        <f t="shared" si="143"/>
        <v>0</v>
      </c>
      <c r="CC4377" s="99"/>
      <c r="CV4377" s="99"/>
      <c r="CW4377" s="63"/>
    </row>
    <row r="4378" spans="1:101" x14ac:dyDescent="0.15">
      <c r="A4378" s="76">
        <v>4116</v>
      </c>
      <c r="B4378" s="74" t="s">
        <v>6252</v>
      </c>
      <c r="C4378" s="74">
        <v>1066964467</v>
      </c>
      <c r="D4378" s="78" t="str">
        <f t="shared" si="142"/>
        <v>https://portal.dnb.de/opac.htm?method=simpleSearch&amp;cqlMode=true&amp;query=idn%3D1066964467</v>
      </c>
      <c r="E4378" s="74" t="s">
        <v>6253</v>
      </c>
      <c r="F4378" s="74"/>
      <c r="G4378" s="76"/>
      <c r="H4378" s="77"/>
      <c r="I4378" s="76" t="s">
        <v>53</v>
      </c>
      <c r="J4378" s="77"/>
      <c r="K4378" s="77"/>
      <c r="L4378" s="76"/>
      <c r="M4378" s="76"/>
      <c r="N4378" s="76"/>
      <c r="O4378" s="76"/>
      <c r="P4378" s="76"/>
      <c r="Q4378" s="76"/>
      <c r="R4378" s="76"/>
      <c r="S4378" s="76"/>
      <c r="Y4378" s="95" t="s">
        <v>9735</v>
      </c>
      <c r="AA4378" s="95" t="s">
        <v>8541</v>
      </c>
      <c r="AC4378" s="95" t="s">
        <v>9739</v>
      </c>
      <c r="AI4378" s="95" t="s">
        <v>9725</v>
      </c>
      <c r="AJ4378" s="95" t="s">
        <v>8541</v>
      </c>
      <c r="AW4378" s="95">
        <v>110</v>
      </c>
      <c r="BC4378" s="96" t="s">
        <v>9726</v>
      </c>
      <c r="BD4378" s="99">
        <f t="shared" si="143"/>
        <v>0.5</v>
      </c>
      <c r="BH4378" s="95" t="s">
        <v>8541</v>
      </c>
      <c r="BP4378" s="69" t="s">
        <v>8541</v>
      </c>
      <c r="BR4378" s="95" t="s">
        <v>8541</v>
      </c>
      <c r="CC4378" s="99">
        <v>0.5</v>
      </c>
      <c r="CV4378" s="99"/>
      <c r="CW4378" s="63"/>
    </row>
    <row r="4379" spans="1:101" x14ac:dyDescent="0.15">
      <c r="A4379" s="76">
        <v>4117</v>
      </c>
      <c r="B4379" s="74" t="s">
        <v>6254</v>
      </c>
      <c r="C4379" s="74">
        <v>1066834539</v>
      </c>
      <c r="D4379" s="78" t="str">
        <f t="shared" si="142"/>
        <v>https://portal.dnb.de/opac.htm?method=simpleSearch&amp;cqlMode=true&amp;query=idn%3D1066834539</v>
      </c>
      <c r="E4379" s="74" t="s">
        <v>6255</v>
      </c>
      <c r="F4379" s="74"/>
      <c r="G4379" s="76"/>
      <c r="H4379" s="77"/>
      <c r="I4379" s="76"/>
      <c r="J4379" s="77"/>
      <c r="K4379" s="77"/>
      <c r="L4379" s="76"/>
      <c r="M4379" s="76"/>
      <c r="N4379" s="76"/>
      <c r="O4379" s="76"/>
      <c r="P4379" s="76"/>
      <c r="Q4379" s="76"/>
      <c r="R4379" s="76"/>
      <c r="S4379" s="76"/>
      <c r="BD4379" s="99">
        <f t="shared" si="143"/>
        <v>0</v>
      </c>
      <c r="CC4379" s="99"/>
      <c r="CV4379" s="99"/>
      <c r="CW4379" s="63"/>
    </row>
    <row r="4380" spans="1:101" x14ac:dyDescent="0.15">
      <c r="A4380" s="76">
        <v>4118</v>
      </c>
      <c r="B4380" s="74" t="s">
        <v>6256</v>
      </c>
      <c r="C4380" s="74">
        <v>1000955370</v>
      </c>
      <c r="D4380" s="78" t="str">
        <f t="shared" si="142"/>
        <v>https://portal.dnb.de/opac.htm?method=simpleSearch&amp;cqlMode=true&amp;query=idn%3D1000955370</v>
      </c>
      <c r="E4380" s="74" t="s">
        <v>6257</v>
      </c>
      <c r="F4380" s="74"/>
      <c r="G4380" s="76"/>
      <c r="H4380" s="77"/>
      <c r="I4380" s="76"/>
      <c r="J4380" s="77"/>
      <c r="K4380" s="77"/>
      <c r="L4380" s="76"/>
      <c r="M4380" s="76"/>
      <c r="N4380" s="76"/>
      <c r="O4380" s="76"/>
      <c r="P4380" s="76"/>
      <c r="Q4380" s="76"/>
      <c r="R4380" s="76"/>
      <c r="S4380" s="76"/>
      <c r="BD4380" s="99">
        <f t="shared" si="143"/>
        <v>0</v>
      </c>
      <c r="CC4380" s="99"/>
      <c r="CV4380" s="99"/>
      <c r="CW4380" s="63"/>
    </row>
    <row r="4381" spans="1:101" x14ac:dyDescent="0.15">
      <c r="A4381" s="76">
        <v>4119</v>
      </c>
      <c r="B4381" s="74" t="s">
        <v>6258</v>
      </c>
      <c r="C4381" s="74">
        <v>1001986393</v>
      </c>
      <c r="D4381" s="78" t="str">
        <f t="shared" si="142"/>
        <v>https://portal.dnb.de/opac.htm?method=simpleSearch&amp;cqlMode=true&amp;query=idn%3D1001986393</v>
      </c>
      <c r="E4381" s="74" t="s">
        <v>6257</v>
      </c>
      <c r="F4381" s="74"/>
      <c r="G4381" s="76"/>
      <c r="H4381" s="77"/>
      <c r="I4381" s="76"/>
      <c r="J4381" s="77"/>
      <c r="K4381" s="77"/>
      <c r="L4381" s="76"/>
      <c r="M4381" s="76"/>
      <c r="N4381" s="76"/>
      <c r="O4381" s="76"/>
      <c r="P4381" s="76"/>
      <c r="Q4381" s="76"/>
      <c r="R4381" s="76"/>
      <c r="S4381" s="76"/>
      <c r="BD4381" s="99">
        <f t="shared" si="143"/>
        <v>0</v>
      </c>
      <c r="CC4381" s="99"/>
      <c r="CV4381" s="99"/>
      <c r="CW4381" s="63"/>
    </row>
    <row r="4382" spans="1:101" x14ac:dyDescent="0.15">
      <c r="A4382" s="76">
        <v>4120</v>
      </c>
      <c r="B4382" s="74" t="s">
        <v>6262</v>
      </c>
      <c r="C4382" s="74">
        <v>1066834466</v>
      </c>
      <c r="D4382" s="78" t="str">
        <f t="shared" si="142"/>
        <v>https://portal.dnb.de/opac.htm?method=simpleSearch&amp;cqlMode=true&amp;query=idn%3D1066834466</v>
      </c>
      <c r="E4382" s="74" t="s">
        <v>6263</v>
      </c>
      <c r="F4382" s="74"/>
      <c r="G4382" s="76"/>
      <c r="H4382" s="77"/>
      <c r="I4382" s="76"/>
      <c r="J4382" s="77"/>
      <c r="K4382" s="77"/>
      <c r="L4382" s="76"/>
      <c r="M4382" s="76"/>
      <c r="N4382" s="76"/>
      <c r="O4382" s="76"/>
      <c r="P4382" s="76"/>
      <c r="Q4382" s="76"/>
      <c r="R4382" s="76"/>
      <c r="S4382" s="76"/>
      <c r="BD4382" s="99">
        <f t="shared" si="143"/>
        <v>0</v>
      </c>
      <c r="CC4382" s="99"/>
      <c r="CV4382" s="99"/>
      <c r="CW4382" s="63"/>
    </row>
    <row r="4383" spans="1:101" x14ac:dyDescent="0.15">
      <c r="A4383" s="76">
        <v>4121</v>
      </c>
      <c r="B4383" s="74" t="s">
        <v>6264</v>
      </c>
      <c r="C4383" s="74">
        <v>1066764956</v>
      </c>
      <c r="D4383" s="78" t="str">
        <f t="shared" si="142"/>
        <v>https://portal.dnb.de/opac.htm?method=simpleSearch&amp;cqlMode=true&amp;query=idn%3D1066764956</v>
      </c>
      <c r="E4383" s="74" t="s">
        <v>6265</v>
      </c>
      <c r="F4383" s="74"/>
      <c r="G4383" s="76"/>
      <c r="H4383" s="77"/>
      <c r="I4383" s="76"/>
      <c r="J4383" s="77"/>
      <c r="K4383" s="77"/>
      <c r="L4383" s="76"/>
      <c r="M4383" s="76"/>
      <c r="N4383" s="76"/>
      <c r="O4383" s="76"/>
      <c r="P4383" s="76"/>
      <c r="Q4383" s="76"/>
      <c r="R4383" s="76"/>
      <c r="S4383" s="76"/>
      <c r="BD4383" s="99">
        <f t="shared" si="143"/>
        <v>0</v>
      </c>
      <c r="CC4383" s="99"/>
      <c r="CV4383" s="99"/>
      <c r="CW4383" s="63"/>
    </row>
    <row r="4384" spans="1:101" x14ac:dyDescent="0.15">
      <c r="A4384" s="76">
        <v>4122</v>
      </c>
      <c r="B4384" s="74" t="s">
        <v>6266</v>
      </c>
      <c r="C4384" s="74">
        <v>1066840091</v>
      </c>
      <c r="D4384" s="78" t="str">
        <f t="shared" si="142"/>
        <v>https://portal.dnb.de/opac.htm?method=simpleSearch&amp;cqlMode=true&amp;query=idn%3D1066840091</v>
      </c>
      <c r="E4384" s="74" t="s">
        <v>6267</v>
      </c>
      <c r="F4384" s="74"/>
      <c r="G4384" s="76"/>
      <c r="H4384" s="77"/>
      <c r="I4384" s="76"/>
      <c r="J4384" s="77"/>
      <c r="K4384" s="77"/>
      <c r="L4384" s="76"/>
      <c r="M4384" s="76"/>
      <c r="N4384" s="76"/>
      <c r="O4384" s="76"/>
      <c r="P4384" s="76"/>
      <c r="Q4384" s="76"/>
      <c r="R4384" s="76"/>
      <c r="S4384" s="76"/>
      <c r="BD4384" s="99">
        <f t="shared" si="143"/>
        <v>0</v>
      </c>
      <c r="CC4384" s="99"/>
      <c r="CV4384" s="99"/>
      <c r="CW4384" s="63"/>
    </row>
    <row r="4385" spans="1:101" x14ac:dyDescent="0.15">
      <c r="A4385" s="76">
        <v>4123</v>
      </c>
      <c r="B4385" s="74" t="s">
        <v>6271</v>
      </c>
      <c r="C4385" s="74">
        <v>1066761256</v>
      </c>
      <c r="D4385" s="78" t="str">
        <f t="shared" ref="D4385:D4448" si="144">HYPERLINK(CONCATENATE("https://portal.dnb.de/opac.htm?method=simpleSearch&amp;cqlMode=true&amp;query=idn%3D",C4385))</f>
        <v>https://portal.dnb.de/opac.htm?method=simpleSearch&amp;cqlMode=true&amp;query=idn%3D1066761256</v>
      </c>
      <c r="E4385" s="74" t="s">
        <v>6272</v>
      </c>
      <c r="F4385" s="74"/>
      <c r="G4385" s="76"/>
      <c r="H4385" s="77"/>
      <c r="I4385" s="76"/>
      <c r="J4385" s="77"/>
      <c r="K4385" s="77"/>
      <c r="L4385" s="76"/>
      <c r="M4385" s="76"/>
      <c r="N4385" s="76"/>
      <c r="O4385" s="76"/>
      <c r="P4385" s="76"/>
      <c r="Q4385" s="76"/>
      <c r="R4385" s="76"/>
      <c r="S4385" s="76"/>
      <c r="BD4385" s="99">
        <f t="shared" si="143"/>
        <v>0</v>
      </c>
      <c r="CC4385" s="99"/>
      <c r="CV4385" s="99"/>
      <c r="CW4385" s="63"/>
    </row>
    <row r="4386" spans="1:101" x14ac:dyDescent="0.15">
      <c r="A4386" s="76">
        <v>4124</v>
      </c>
      <c r="B4386" s="74" t="s">
        <v>6273</v>
      </c>
      <c r="C4386" s="74">
        <v>997637498</v>
      </c>
      <c r="D4386" s="78" t="str">
        <f t="shared" si="144"/>
        <v>https://portal.dnb.de/opac.htm?method=simpleSearch&amp;cqlMode=true&amp;query=idn%3D997637498</v>
      </c>
      <c r="E4386" s="74" t="s">
        <v>6274</v>
      </c>
      <c r="F4386" s="74"/>
      <c r="G4386" s="76"/>
      <c r="H4386" s="77"/>
      <c r="I4386" s="76"/>
      <c r="J4386" s="77"/>
      <c r="K4386" s="77"/>
      <c r="L4386" s="76"/>
      <c r="M4386" s="76"/>
      <c r="N4386" s="76"/>
      <c r="O4386" s="76"/>
      <c r="P4386" s="76"/>
      <c r="Q4386" s="76"/>
      <c r="R4386" s="76"/>
      <c r="S4386" s="76"/>
      <c r="BD4386" s="99">
        <f t="shared" si="143"/>
        <v>0</v>
      </c>
      <c r="CC4386" s="99"/>
      <c r="CV4386" s="99"/>
      <c r="CW4386" s="63"/>
    </row>
    <row r="4387" spans="1:101" x14ac:dyDescent="0.15">
      <c r="A4387" s="76">
        <v>4125</v>
      </c>
      <c r="B4387" s="74" t="s">
        <v>6275</v>
      </c>
      <c r="C4387" s="74">
        <v>1066837783</v>
      </c>
      <c r="D4387" s="78" t="str">
        <f t="shared" si="144"/>
        <v>https://portal.dnb.de/opac.htm?method=simpleSearch&amp;cqlMode=true&amp;query=idn%3D1066837783</v>
      </c>
      <c r="E4387" s="74" t="s">
        <v>6276</v>
      </c>
      <c r="F4387" s="74"/>
      <c r="G4387" s="76"/>
      <c r="H4387" s="77"/>
      <c r="I4387" s="76"/>
      <c r="J4387" s="77"/>
      <c r="K4387" s="77"/>
      <c r="L4387" s="76"/>
      <c r="M4387" s="76"/>
      <c r="N4387" s="76"/>
      <c r="O4387" s="76"/>
      <c r="P4387" s="76"/>
      <c r="Q4387" s="76"/>
      <c r="R4387" s="76"/>
      <c r="S4387" s="76"/>
      <c r="BD4387" s="99">
        <f t="shared" si="143"/>
        <v>0</v>
      </c>
      <c r="CC4387" s="99"/>
      <c r="CV4387" s="99"/>
      <c r="CW4387" s="63"/>
    </row>
    <row r="4388" spans="1:101" x14ac:dyDescent="0.15">
      <c r="A4388" s="76">
        <v>4126</v>
      </c>
      <c r="B4388" s="74" t="s">
        <v>6277</v>
      </c>
      <c r="C4388" s="74">
        <v>1132656923</v>
      </c>
      <c r="D4388" s="78" t="str">
        <f t="shared" si="144"/>
        <v>https://portal.dnb.de/opac.htm?method=simpleSearch&amp;cqlMode=true&amp;query=idn%3D1132656923</v>
      </c>
      <c r="E4388" s="74" t="s">
        <v>6278</v>
      </c>
      <c r="F4388" s="74"/>
      <c r="G4388" s="76"/>
      <c r="H4388" s="77"/>
      <c r="I4388" s="76"/>
      <c r="J4388" s="77"/>
      <c r="K4388" s="77"/>
      <c r="L4388" s="76"/>
      <c r="M4388" s="76"/>
      <c r="N4388" s="76"/>
      <c r="O4388" s="76"/>
      <c r="P4388" s="76"/>
      <c r="Q4388" s="76"/>
      <c r="R4388" s="76"/>
      <c r="S4388" s="76"/>
      <c r="BD4388" s="99">
        <f t="shared" si="143"/>
        <v>0</v>
      </c>
      <c r="CC4388" s="99"/>
      <c r="CV4388" s="99"/>
      <c r="CW4388" s="63"/>
    </row>
    <row r="4389" spans="1:101" x14ac:dyDescent="0.15">
      <c r="A4389" s="76">
        <v>4127</v>
      </c>
      <c r="B4389" s="74" t="s">
        <v>6279</v>
      </c>
      <c r="C4389" s="74">
        <v>1132656915</v>
      </c>
      <c r="D4389" s="78" t="str">
        <f t="shared" si="144"/>
        <v>https://portal.dnb.de/opac.htm?method=simpleSearch&amp;cqlMode=true&amp;query=idn%3D1132656915</v>
      </c>
      <c r="E4389" s="74" t="s">
        <v>6278</v>
      </c>
      <c r="F4389" s="74"/>
      <c r="G4389" s="76"/>
      <c r="H4389" s="77"/>
      <c r="I4389" s="76"/>
      <c r="J4389" s="77"/>
      <c r="K4389" s="77"/>
      <c r="L4389" s="76"/>
      <c r="M4389" s="76"/>
      <c r="N4389" s="76"/>
      <c r="O4389" s="76"/>
      <c r="P4389" s="76"/>
      <c r="Q4389" s="76"/>
      <c r="R4389" s="76"/>
      <c r="S4389" s="76"/>
      <c r="BD4389" s="99">
        <f t="shared" si="143"/>
        <v>0</v>
      </c>
      <c r="CC4389" s="99"/>
      <c r="CV4389" s="99"/>
      <c r="CW4389" s="63"/>
    </row>
    <row r="4390" spans="1:101" x14ac:dyDescent="0.15">
      <c r="A4390" s="76">
        <v>4128</v>
      </c>
      <c r="B4390" s="74" t="s">
        <v>6280</v>
      </c>
      <c r="C4390" s="74">
        <v>1066935238</v>
      </c>
      <c r="D4390" s="78" t="str">
        <f t="shared" si="144"/>
        <v>https://portal.dnb.de/opac.htm?method=simpleSearch&amp;cqlMode=true&amp;query=idn%3D1066935238</v>
      </c>
      <c r="E4390" s="74" t="s">
        <v>6281</v>
      </c>
      <c r="F4390" s="74"/>
      <c r="G4390" s="76"/>
      <c r="H4390" s="77"/>
      <c r="I4390" s="76"/>
      <c r="J4390" s="77"/>
      <c r="K4390" s="77"/>
      <c r="L4390" s="76"/>
      <c r="M4390" s="76"/>
      <c r="N4390" s="76"/>
      <c r="O4390" s="76"/>
      <c r="P4390" s="76"/>
      <c r="Q4390" s="76"/>
      <c r="R4390" s="76"/>
      <c r="S4390" s="76"/>
      <c r="BD4390" s="99">
        <f t="shared" si="143"/>
        <v>0</v>
      </c>
      <c r="CC4390" s="99"/>
      <c r="CV4390" s="99"/>
      <c r="CW4390" s="63"/>
    </row>
    <row r="4391" spans="1:101" x14ac:dyDescent="0.15">
      <c r="A4391" s="76">
        <v>4129</v>
      </c>
      <c r="B4391" s="74" t="s">
        <v>6282</v>
      </c>
      <c r="C4391" s="74">
        <v>996020829</v>
      </c>
      <c r="D4391" s="78" t="str">
        <f t="shared" si="144"/>
        <v>https://portal.dnb.de/opac.htm?method=simpleSearch&amp;cqlMode=true&amp;query=idn%3D996020829</v>
      </c>
      <c r="E4391" s="74" t="s">
        <v>10289</v>
      </c>
      <c r="F4391" s="74"/>
      <c r="G4391" s="76"/>
      <c r="H4391" s="77"/>
      <c r="I4391" s="76"/>
      <c r="J4391" s="77"/>
      <c r="K4391" s="77"/>
      <c r="L4391" s="76"/>
      <c r="M4391" s="76"/>
      <c r="N4391" s="76"/>
      <c r="O4391" s="76"/>
      <c r="P4391" s="76"/>
      <c r="Q4391" s="76"/>
      <c r="R4391" s="76"/>
      <c r="S4391" s="76"/>
      <c r="BD4391" s="99">
        <f t="shared" si="143"/>
        <v>0</v>
      </c>
      <c r="CC4391" s="99"/>
      <c r="CV4391" s="99"/>
      <c r="CW4391" s="63"/>
    </row>
    <row r="4392" spans="1:101" x14ac:dyDescent="0.15">
      <c r="A4392" s="76">
        <v>4130</v>
      </c>
      <c r="B4392" s="74" t="s">
        <v>6284</v>
      </c>
      <c r="C4392" s="74">
        <v>1001907949</v>
      </c>
      <c r="D4392" s="78" t="str">
        <f t="shared" si="144"/>
        <v>https://portal.dnb.de/opac.htm?method=simpleSearch&amp;cqlMode=true&amp;query=idn%3D1001907949</v>
      </c>
      <c r="E4392" s="74" t="s">
        <v>10289</v>
      </c>
      <c r="F4392" s="74"/>
      <c r="G4392" s="76"/>
      <c r="H4392" s="77"/>
      <c r="I4392" s="76"/>
      <c r="J4392" s="77"/>
      <c r="K4392" s="77"/>
      <c r="L4392" s="76"/>
      <c r="M4392" s="76"/>
      <c r="N4392" s="76"/>
      <c r="O4392" s="76"/>
      <c r="P4392" s="76"/>
      <c r="Q4392" s="76"/>
      <c r="R4392" s="76"/>
      <c r="S4392" s="76"/>
      <c r="BD4392" s="99">
        <f t="shared" si="143"/>
        <v>0</v>
      </c>
      <c r="CC4392" s="99"/>
      <c r="CV4392" s="99"/>
      <c r="CW4392" s="63"/>
    </row>
    <row r="4393" spans="1:101" ht="45" x14ac:dyDescent="0.15">
      <c r="A4393" s="76">
        <v>4131</v>
      </c>
      <c r="B4393" s="74" t="s">
        <v>6285</v>
      </c>
      <c r="C4393" s="74">
        <v>994053924</v>
      </c>
      <c r="D4393" s="78" t="str">
        <f t="shared" si="144"/>
        <v>https://portal.dnb.de/opac.htm?method=simpleSearch&amp;cqlMode=true&amp;query=idn%3D994053924</v>
      </c>
      <c r="E4393" s="74" t="s">
        <v>6283</v>
      </c>
      <c r="F4393" s="74"/>
      <c r="G4393" s="76"/>
      <c r="H4393" s="77"/>
      <c r="I4393" s="76" t="s">
        <v>54</v>
      </c>
      <c r="J4393" s="77"/>
      <c r="K4393" s="77"/>
      <c r="L4393" s="76"/>
      <c r="M4393" s="76"/>
      <c r="N4393" s="76"/>
      <c r="O4393" s="76"/>
      <c r="P4393" s="76"/>
      <c r="Q4393" s="76"/>
      <c r="R4393" s="76"/>
      <c r="S4393" s="76"/>
      <c r="Y4393" s="95" t="s">
        <v>9723</v>
      </c>
      <c r="AA4393" s="95" t="s">
        <v>8541</v>
      </c>
      <c r="AC4393" s="95" t="s">
        <v>9724</v>
      </c>
      <c r="AI4393" s="95" t="s">
        <v>9725</v>
      </c>
      <c r="AW4393" s="95">
        <v>0</v>
      </c>
      <c r="BB4393" s="95" t="s">
        <v>8541</v>
      </c>
      <c r="BC4393" s="96" t="s">
        <v>10503</v>
      </c>
      <c r="BD4393" s="99">
        <f t="shared" si="143"/>
        <v>11</v>
      </c>
      <c r="BH4393" s="95" t="s">
        <v>8541</v>
      </c>
      <c r="BP4393" s="69" t="s">
        <v>8541</v>
      </c>
      <c r="BQ4393" s="95" t="s">
        <v>8541</v>
      </c>
      <c r="BR4393" s="95" t="s">
        <v>8541</v>
      </c>
      <c r="BT4393" s="95" t="s">
        <v>9772</v>
      </c>
      <c r="BY4393" s="95" t="s">
        <v>8541</v>
      </c>
      <c r="CC4393" s="99">
        <v>9</v>
      </c>
      <c r="CD4393" s="90" t="s">
        <v>10290</v>
      </c>
      <c r="CL4393" s="95" t="s">
        <v>8541</v>
      </c>
      <c r="CN4393" s="95" t="s">
        <v>8541</v>
      </c>
      <c r="CV4393" s="99">
        <v>2</v>
      </c>
      <c r="CW4393" s="90" t="s">
        <v>10291</v>
      </c>
    </row>
    <row r="4394" spans="1:101" x14ac:dyDescent="0.15">
      <c r="A4394" s="76">
        <v>4132</v>
      </c>
      <c r="B4394" s="74" t="s">
        <v>6286</v>
      </c>
      <c r="C4394" s="74">
        <v>993883915</v>
      </c>
      <c r="D4394" s="78" t="str">
        <f t="shared" si="144"/>
        <v>https://portal.dnb.de/opac.htm?method=simpleSearch&amp;cqlMode=true&amp;query=idn%3D993883915</v>
      </c>
      <c r="E4394" s="74" t="s">
        <v>10289</v>
      </c>
      <c r="F4394" s="74"/>
      <c r="G4394" s="76"/>
      <c r="H4394" s="77"/>
      <c r="I4394" s="76"/>
      <c r="J4394" s="77"/>
      <c r="K4394" s="77"/>
      <c r="L4394" s="76"/>
      <c r="M4394" s="76"/>
      <c r="N4394" s="76"/>
      <c r="O4394" s="76"/>
      <c r="P4394" s="76"/>
      <c r="Q4394" s="76"/>
      <c r="R4394" s="76"/>
      <c r="S4394" s="76"/>
      <c r="BD4394" s="99">
        <f t="shared" si="143"/>
        <v>0</v>
      </c>
      <c r="CC4394" s="99"/>
      <c r="CV4394" s="99"/>
      <c r="CW4394" s="63"/>
    </row>
    <row r="4395" spans="1:101" x14ac:dyDescent="0.15">
      <c r="A4395" s="76">
        <v>4133</v>
      </c>
      <c r="B4395" s="74" t="s">
        <v>6287</v>
      </c>
      <c r="C4395" s="74">
        <v>1001613325</v>
      </c>
      <c r="D4395" s="78" t="str">
        <f t="shared" si="144"/>
        <v>https://portal.dnb.de/opac.htm?method=simpleSearch&amp;cqlMode=true&amp;query=idn%3D1001613325</v>
      </c>
      <c r="E4395" s="74" t="s">
        <v>6288</v>
      </c>
      <c r="F4395" s="74"/>
      <c r="G4395" s="76"/>
      <c r="H4395" s="77"/>
      <c r="I4395" s="76"/>
      <c r="J4395" s="77"/>
      <c r="K4395" s="77"/>
      <c r="L4395" s="76"/>
      <c r="M4395" s="76"/>
      <c r="N4395" s="76"/>
      <c r="O4395" s="76"/>
      <c r="P4395" s="76"/>
      <c r="Q4395" s="76"/>
      <c r="R4395" s="76"/>
      <c r="S4395" s="76"/>
      <c r="BD4395" s="99">
        <f t="shared" si="143"/>
        <v>0</v>
      </c>
      <c r="CC4395" s="99"/>
      <c r="CV4395" s="99"/>
      <c r="CW4395" s="63"/>
    </row>
    <row r="4396" spans="1:101" x14ac:dyDescent="0.15">
      <c r="A4396" s="76">
        <v>4134</v>
      </c>
      <c r="B4396" s="74" t="s">
        <v>6289</v>
      </c>
      <c r="C4396" s="74" t="s">
        <v>6290</v>
      </c>
      <c r="D4396" s="78" t="str">
        <f t="shared" si="144"/>
        <v>https://portal.dnb.de/opac.htm?method=simpleSearch&amp;cqlMode=true&amp;query=idn%3D99466902X</v>
      </c>
      <c r="E4396" s="74" t="s">
        <v>6291</v>
      </c>
      <c r="F4396" s="74"/>
      <c r="G4396" s="76"/>
      <c r="H4396" s="77"/>
      <c r="I4396" s="76"/>
      <c r="J4396" s="77"/>
      <c r="K4396" s="77"/>
      <c r="L4396" s="76"/>
      <c r="M4396" s="76"/>
      <c r="N4396" s="76"/>
      <c r="O4396" s="76"/>
      <c r="P4396" s="76"/>
      <c r="Q4396" s="76"/>
      <c r="R4396" s="76"/>
      <c r="S4396" s="76"/>
      <c r="BD4396" s="99">
        <f t="shared" si="143"/>
        <v>0</v>
      </c>
      <c r="CC4396" s="99"/>
      <c r="CV4396" s="99"/>
      <c r="CW4396" s="63"/>
    </row>
    <row r="4397" spans="1:101" ht="67.5" x14ac:dyDescent="0.15">
      <c r="A4397" s="76">
        <v>4135</v>
      </c>
      <c r="B4397" s="74" t="s">
        <v>6302</v>
      </c>
      <c r="C4397" s="74">
        <v>1066800812</v>
      </c>
      <c r="D4397" s="78" t="str">
        <f t="shared" si="144"/>
        <v>https://portal.dnb.de/opac.htm?method=simpleSearch&amp;cqlMode=true&amp;query=idn%3D1066800812</v>
      </c>
      <c r="E4397" s="74" t="s">
        <v>6303</v>
      </c>
      <c r="F4397" s="74"/>
      <c r="G4397" s="76"/>
      <c r="H4397" s="77"/>
      <c r="I4397" s="76" t="s">
        <v>53</v>
      </c>
      <c r="J4397" s="77"/>
      <c r="K4397" s="77"/>
      <c r="L4397" s="76"/>
      <c r="M4397" s="76"/>
      <c r="N4397" s="76"/>
      <c r="O4397" s="76"/>
      <c r="P4397" s="76"/>
      <c r="Q4397" s="76"/>
      <c r="R4397" s="76"/>
      <c r="S4397" s="76"/>
      <c r="Y4397" s="95" t="s">
        <v>9723</v>
      </c>
      <c r="AA4397" s="95" t="s">
        <v>8541</v>
      </c>
      <c r="AC4397" s="95" t="s">
        <v>9739</v>
      </c>
      <c r="AI4397" s="95" t="s">
        <v>9725</v>
      </c>
      <c r="AW4397" s="95">
        <v>110</v>
      </c>
      <c r="BC4397" s="96" t="s">
        <v>9726</v>
      </c>
      <c r="BD4397" s="99">
        <f t="shared" si="143"/>
        <v>7.5</v>
      </c>
      <c r="BH4397" s="95" t="s">
        <v>8541</v>
      </c>
      <c r="BP4397" s="69" t="s">
        <v>8541</v>
      </c>
      <c r="BQ4397" s="95" t="s">
        <v>8541</v>
      </c>
      <c r="BR4397" s="95" t="s">
        <v>8541</v>
      </c>
      <c r="BT4397" s="95" t="s">
        <v>9772</v>
      </c>
      <c r="BU4397" s="95">
        <v>5</v>
      </c>
      <c r="BV4397" s="95" t="s">
        <v>8541</v>
      </c>
      <c r="CC4397" s="99">
        <v>7.5</v>
      </c>
      <c r="CD4397" s="90" t="s">
        <v>10292</v>
      </c>
      <c r="CV4397" s="99"/>
      <c r="CW4397" s="63"/>
    </row>
    <row r="4398" spans="1:101" x14ac:dyDescent="0.15">
      <c r="A4398" s="76">
        <v>4136</v>
      </c>
      <c r="B4398" s="74" t="s">
        <v>6304</v>
      </c>
      <c r="C4398" s="74">
        <v>1066683859</v>
      </c>
      <c r="D4398" s="78" t="str">
        <f t="shared" si="144"/>
        <v>https://portal.dnb.de/opac.htm?method=simpleSearch&amp;cqlMode=true&amp;query=idn%3D1066683859</v>
      </c>
      <c r="E4398" s="74" t="s">
        <v>6305</v>
      </c>
      <c r="F4398" s="74"/>
      <c r="G4398" s="76"/>
      <c r="H4398" s="77"/>
      <c r="I4398" s="76"/>
      <c r="J4398" s="77"/>
      <c r="K4398" s="77"/>
      <c r="L4398" s="76"/>
      <c r="M4398" s="76"/>
      <c r="N4398" s="76"/>
      <c r="O4398" s="76"/>
      <c r="P4398" s="76"/>
      <c r="Q4398" s="76"/>
      <c r="R4398" s="76"/>
      <c r="S4398" s="76"/>
      <c r="BD4398" s="99">
        <f t="shared" si="143"/>
        <v>0</v>
      </c>
      <c r="CC4398" s="99"/>
      <c r="CV4398" s="99"/>
      <c r="CW4398" s="63"/>
    </row>
    <row r="4399" spans="1:101" x14ac:dyDescent="0.15">
      <c r="A4399" s="76">
        <v>4137</v>
      </c>
      <c r="B4399" s="74" t="s">
        <v>6306</v>
      </c>
      <c r="C4399" s="74">
        <v>994520239</v>
      </c>
      <c r="D4399" s="78" t="str">
        <f t="shared" si="144"/>
        <v>https://portal.dnb.de/opac.htm?method=simpleSearch&amp;cqlMode=true&amp;query=idn%3D994520239</v>
      </c>
      <c r="E4399" s="74" t="s">
        <v>6307</v>
      </c>
      <c r="F4399" s="74"/>
      <c r="G4399" s="76"/>
      <c r="H4399" s="77"/>
      <c r="I4399" s="76"/>
      <c r="J4399" s="77"/>
      <c r="K4399" s="77"/>
      <c r="L4399" s="76"/>
      <c r="M4399" s="76"/>
      <c r="N4399" s="76"/>
      <c r="O4399" s="76"/>
      <c r="P4399" s="76"/>
      <c r="Q4399" s="76"/>
      <c r="R4399" s="76"/>
      <c r="S4399" s="76"/>
      <c r="BD4399" s="99">
        <f t="shared" si="143"/>
        <v>0</v>
      </c>
      <c r="CC4399" s="99"/>
      <c r="CV4399" s="99"/>
      <c r="CW4399" s="63"/>
    </row>
    <row r="4400" spans="1:101" x14ac:dyDescent="0.15">
      <c r="A4400" s="76">
        <v>4138</v>
      </c>
      <c r="B4400" s="74" t="s">
        <v>6310</v>
      </c>
      <c r="C4400" s="74">
        <v>997965924</v>
      </c>
      <c r="D4400" s="78" t="str">
        <f t="shared" si="144"/>
        <v>https://portal.dnb.de/opac.htm?method=simpleSearch&amp;cqlMode=true&amp;query=idn%3D997965924</v>
      </c>
      <c r="E4400" s="74" t="s">
        <v>6311</v>
      </c>
      <c r="F4400" s="74"/>
      <c r="G4400" s="76"/>
      <c r="H4400" s="77"/>
      <c r="I4400" s="76"/>
      <c r="J4400" s="77"/>
      <c r="K4400" s="77"/>
      <c r="L4400" s="76"/>
      <c r="M4400" s="76"/>
      <c r="N4400" s="76"/>
      <c r="O4400" s="76"/>
      <c r="P4400" s="76"/>
      <c r="Q4400" s="76"/>
      <c r="R4400" s="76"/>
      <c r="S4400" s="76"/>
      <c r="BD4400" s="99">
        <f t="shared" si="143"/>
        <v>0</v>
      </c>
      <c r="CC4400" s="99"/>
      <c r="CV4400" s="99"/>
      <c r="CW4400" s="63"/>
    </row>
    <row r="4401" spans="1:101" x14ac:dyDescent="0.15">
      <c r="A4401" s="76">
        <v>4139</v>
      </c>
      <c r="B4401" s="74" t="s">
        <v>6312</v>
      </c>
      <c r="C4401" s="74">
        <v>998897302</v>
      </c>
      <c r="D4401" s="78" t="str">
        <f t="shared" si="144"/>
        <v>https://portal.dnb.de/opac.htm?method=simpleSearch&amp;cqlMode=true&amp;query=idn%3D998897302</v>
      </c>
      <c r="E4401" s="74" t="s">
        <v>6313</v>
      </c>
      <c r="F4401" s="74"/>
      <c r="G4401" s="76"/>
      <c r="H4401" s="77"/>
      <c r="I4401" s="76"/>
      <c r="J4401" s="77"/>
      <c r="K4401" s="77"/>
      <c r="L4401" s="76"/>
      <c r="M4401" s="76"/>
      <c r="N4401" s="76"/>
      <c r="O4401" s="76"/>
      <c r="P4401" s="76"/>
      <c r="Q4401" s="76"/>
      <c r="R4401" s="76"/>
      <c r="S4401" s="76"/>
      <c r="BD4401" s="99">
        <f t="shared" si="143"/>
        <v>0</v>
      </c>
      <c r="CC4401" s="99"/>
      <c r="CV4401" s="99"/>
      <c r="CW4401" s="63"/>
    </row>
    <row r="4402" spans="1:101" x14ac:dyDescent="0.15">
      <c r="A4402" s="76">
        <v>4140</v>
      </c>
      <c r="B4402" s="74" t="s">
        <v>6314</v>
      </c>
      <c r="C4402" s="74">
        <v>1002925665</v>
      </c>
      <c r="D4402" s="78" t="str">
        <f t="shared" si="144"/>
        <v>https://portal.dnb.de/opac.htm?method=simpleSearch&amp;cqlMode=true&amp;query=idn%3D1002925665</v>
      </c>
      <c r="E4402" s="74" t="s">
        <v>6313</v>
      </c>
      <c r="F4402" s="74"/>
      <c r="G4402" s="76"/>
      <c r="H4402" s="77"/>
      <c r="I4402" s="76"/>
      <c r="J4402" s="77"/>
      <c r="K4402" s="77"/>
      <c r="L4402" s="76"/>
      <c r="M4402" s="76"/>
      <c r="N4402" s="76"/>
      <c r="O4402" s="76"/>
      <c r="P4402" s="76"/>
      <c r="Q4402" s="76"/>
      <c r="R4402" s="76"/>
      <c r="S4402" s="76"/>
      <c r="BD4402" s="99">
        <f t="shared" si="143"/>
        <v>0</v>
      </c>
      <c r="CC4402" s="99"/>
      <c r="CV4402" s="99"/>
      <c r="CW4402" s="63"/>
    </row>
    <row r="4403" spans="1:101" x14ac:dyDescent="0.15">
      <c r="A4403" s="76">
        <v>4141</v>
      </c>
      <c r="B4403" s="74" t="s">
        <v>6315</v>
      </c>
      <c r="C4403" s="74" t="s">
        <v>6316</v>
      </c>
      <c r="D4403" s="78" t="str">
        <f t="shared" si="144"/>
        <v>https://portal.dnb.de/opac.htm?method=simpleSearch&amp;cqlMode=true&amp;query=idn%3D106668572X</v>
      </c>
      <c r="E4403" s="74" t="s">
        <v>6317</v>
      </c>
      <c r="F4403" s="74"/>
      <c r="G4403" s="76"/>
      <c r="H4403" s="77"/>
      <c r="I4403" s="76"/>
      <c r="J4403" s="77"/>
      <c r="K4403" s="77"/>
      <c r="L4403" s="76"/>
      <c r="M4403" s="76"/>
      <c r="N4403" s="76"/>
      <c r="O4403" s="76"/>
      <c r="P4403" s="76"/>
      <c r="Q4403" s="76"/>
      <c r="R4403" s="76"/>
      <c r="S4403" s="76"/>
      <c r="BD4403" s="99">
        <f t="shared" si="143"/>
        <v>0</v>
      </c>
      <c r="CC4403" s="99"/>
      <c r="CV4403" s="99"/>
      <c r="CW4403" s="63"/>
    </row>
    <row r="4404" spans="1:101" x14ac:dyDescent="0.15">
      <c r="A4404" s="76">
        <v>4142</v>
      </c>
      <c r="B4404" s="74" t="s">
        <v>6308</v>
      </c>
      <c r="C4404" s="74">
        <v>994520239</v>
      </c>
      <c r="D4404" s="78" t="str">
        <f t="shared" si="144"/>
        <v>https://portal.dnb.de/opac.htm?method=simpleSearch&amp;cqlMode=true&amp;query=idn%3D994520239</v>
      </c>
      <c r="E4404" s="74" t="s">
        <v>6309</v>
      </c>
      <c r="F4404" s="74"/>
      <c r="G4404" s="76"/>
      <c r="H4404" s="77"/>
      <c r="I4404" s="76"/>
      <c r="J4404" s="77"/>
      <c r="K4404" s="77"/>
      <c r="L4404" s="76"/>
      <c r="M4404" s="76"/>
      <c r="N4404" s="76"/>
      <c r="O4404" s="76"/>
      <c r="P4404" s="76"/>
      <c r="Q4404" s="76"/>
      <c r="R4404" s="76"/>
      <c r="S4404" s="76"/>
      <c r="BD4404" s="99">
        <f t="shared" si="143"/>
        <v>0</v>
      </c>
      <c r="CC4404" s="99"/>
      <c r="CV4404" s="99"/>
      <c r="CW4404" s="63"/>
    </row>
    <row r="4405" spans="1:101" x14ac:dyDescent="0.15">
      <c r="A4405" s="76">
        <v>4143</v>
      </c>
      <c r="B4405" s="74" t="s">
        <v>6320</v>
      </c>
      <c r="C4405" s="74">
        <v>1066780250</v>
      </c>
      <c r="D4405" s="78" t="str">
        <f t="shared" si="144"/>
        <v>https://portal.dnb.de/opac.htm?method=simpleSearch&amp;cqlMode=true&amp;query=idn%3D1066780250</v>
      </c>
      <c r="E4405" s="74" t="s">
        <v>6321</v>
      </c>
      <c r="F4405" s="74"/>
      <c r="G4405" s="76"/>
      <c r="H4405" s="77"/>
      <c r="I4405" s="76"/>
      <c r="J4405" s="77"/>
      <c r="K4405" s="77"/>
      <c r="L4405" s="76"/>
      <c r="M4405" s="76"/>
      <c r="N4405" s="76"/>
      <c r="O4405" s="76"/>
      <c r="P4405" s="76"/>
      <c r="Q4405" s="76"/>
      <c r="R4405" s="76"/>
      <c r="S4405" s="76"/>
      <c r="BD4405" s="99">
        <f t="shared" si="143"/>
        <v>0</v>
      </c>
      <c r="CC4405" s="99"/>
      <c r="CV4405" s="99"/>
      <c r="CW4405" s="63"/>
    </row>
    <row r="4406" spans="1:101" x14ac:dyDescent="0.15">
      <c r="A4406" s="76">
        <v>4144</v>
      </c>
      <c r="B4406" s="74" t="s">
        <v>6322</v>
      </c>
      <c r="C4406" s="74" t="s">
        <v>6323</v>
      </c>
      <c r="D4406" s="78" t="str">
        <f t="shared" si="144"/>
        <v>https://portal.dnb.de/opac.htm?method=simpleSearch&amp;cqlMode=true&amp;query=idn%3D106694234X</v>
      </c>
      <c r="E4406" s="74" t="s">
        <v>6324</v>
      </c>
      <c r="F4406" s="74"/>
      <c r="G4406" s="76"/>
      <c r="H4406" s="77"/>
      <c r="I4406" s="76"/>
      <c r="J4406" s="77"/>
      <c r="K4406" s="77"/>
      <c r="L4406" s="76"/>
      <c r="M4406" s="76"/>
      <c r="N4406" s="76"/>
      <c r="O4406" s="76"/>
      <c r="P4406" s="76"/>
      <c r="Q4406" s="76"/>
      <c r="R4406" s="76"/>
      <c r="S4406" s="76"/>
      <c r="BD4406" s="99">
        <f t="shared" si="143"/>
        <v>0</v>
      </c>
      <c r="CC4406" s="99"/>
      <c r="CV4406" s="99"/>
      <c r="CW4406" s="63"/>
    </row>
    <row r="4407" spans="1:101" x14ac:dyDescent="0.15">
      <c r="A4407" s="76">
        <v>4145</v>
      </c>
      <c r="B4407" s="74" t="s">
        <v>6325</v>
      </c>
      <c r="C4407" s="74">
        <v>998081248</v>
      </c>
      <c r="D4407" s="78" t="str">
        <f t="shared" si="144"/>
        <v>https://portal.dnb.de/opac.htm?method=simpleSearch&amp;cqlMode=true&amp;query=idn%3D998081248</v>
      </c>
      <c r="E4407" s="74" t="s">
        <v>6326</v>
      </c>
      <c r="F4407" s="74"/>
      <c r="G4407" s="76"/>
      <c r="H4407" s="77"/>
      <c r="I4407" s="76"/>
      <c r="J4407" s="77"/>
      <c r="K4407" s="77"/>
      <c r="L4407" s="76"/>
      <c r="M4407" s="76"/>
      <c r="N4407" s="76"/>
      <c r="O4407" s="76"/>
      <c r="P4407" s="76"/>
      <c r="Q4407" s="76"/>
      <c r="R4407" s="76"/>
      <c r="S4407" s="76"/>
      <c r="BD4407" s="99">
        <f t="shared" si="143"/>
        <v>0</v>
      </c>
      <c r="CC4407" s="99"/>
      <c r="CV4407" s="99"/>
      <c r="CW4407" s="63"/>
    </row>
    <row r="4408" spans="1:101" x14ac:dyDescent="0.15">
      <c r="A4408" s="76">
        <v>4146</v>
      </c>
      <c r="B4408" s="74" t="s">
        <v>6327</v>
      </c>
      <c r="C4408" s="74">
        <v>994161530</v>
      </c>
      <c r="D4408" s="78" t="str">
        <f t="shared" si="144"/>
        <v>https://portal.dnb.de/opac.htm?method=simpleSearch&amp;cqlMode=true&amp;query=idn%3D994161530</v>
      </c>
      <c r="E4408" s="74" t="s">
        <v>6328</v>
      </c>
      <c r="F4408" s="74"/>
      <c r="G4408" s="76"/>
      <c r="H4408" s="77"/>
      <c r="I4408" s="76"/>
      <c r="J4408" s="77"/>
      <c r="K4408" s="77"/>
      <c r="L4408" s="76"/>
      <c r="M4408" s="76"/>
      <c r="N4408" s="76"/>
      <c r="O4408" s="76"/>
      <c r="P4408" s="76"/>
      <c r="Q4408" s="76"/>
      <c r="R4408" s="76"/>
      <c r="S4408" s="76"/>
      <c r="BD4408" s="99">
        <f t="shared" si="143"/>
        <v>0</v>
      </c>
      <c r="CC4408" s="99"/>
      <c r="CV4408" s="99"/>
      <c r="CW4408" s="63"/>
    </row>
    <row r="4409" spans="1:101" x14ac:dyDescent="0.15">
      <c r="A4409" s="76">
        <v>4147</v>
      </c>
      <c r="B4409" s="74" t="s">
        <v>6329</v>
      </c>
      <c r="C4409" s="74">
        <v>995830223</v>
      </c>
      <c r="D4409" s="78" t="str">
        <f t="shared" si="144"/>
        <v>https://portal.dnb.de/opac.htm?method=simpleSearch&amp;cqlMode=true&amp;query=idn%3D995830223</v>
      </c>
      <c r="E4409" s="74" t="s">
        <v>6330</v>
      </c>
      <c r="F4409" s="74"/>
      <c r="G4409" s="76"/>
      <c r="H4409" s="77"/>
      <c r="I4409" s="76"/>
      <c r="J4409" s="77"/>
      <c r="K4409" s="77"/>
      <c r="L4409" s="76"/>
      <c r="M4409" s="76"/>
      <c r="N4409" s="76"/>
      <c r="O4409" s="76"/>
      <c r="P4409" s="76"/>
      <c r="Q4409" s="76"/>
      <c r="R4409" s="76"/>
      <c r="S4409" s="76"/>
      <c r="BD4409" s="99">
        <f t="shared" si="143"/>
        <v>0</v>
      </c>
      <c r="CC4409" s="99"/>
      <c r="CV4409" s="99"/>
      <c r="CW4409" s="63"/>
    </row>
    <row r="4410" spans="1:101" x14ac:dyDescent="0.15">
      <c r="A4410" s="76">
        <v>4148</v>
      </c>
      <c r="B4410" s="74" t="s">
        <v>6331</v>
      </c>
      <c r="C4410" s="74">
        <v>995830398</v>
      </c>
      <c r="D4410" s="78" t="str">
        <f t="shared" si="144"/>
        <v>https://portal.dnb.de/opac.htm?method=simpleSearch&amp;cqlMode=true&amp;query=idn%3D995830398</v>
      </c>
      <c r="E4410" s="74" t="s">
        <v>6332</v>
      </c>
      <c r="F4410" s="74"/>
      <c r="G4410" s="76"/>
      <c r="H4410" s="77"/>
      <c r="I4410" s="76"/>
      <c r="J4410" s="77"/>
      <c r="K4410" s="77"/>
      <c r="L4410" s="76"/>
      <c r="M4410" s="76"/>
      <c r="N4410" s="76"/>
      <c r="O4410" s="76"/>
      <c r="P4410" s="76"/>
      <c r="Q4410" s="76"/>
      <c r="R4410" s="76"/>
      <c r="S4410" s="76"/>
      <c r="BD4410" s="99">
        <f t="shared" si="143"/>
        <v>0</v>
      </c>
      <c r="CC4410" s="99"/>
      <c r="CV4410" s="99"/>
      <c r="CW4410" s="63"/>
    </row>
    <row r="4411" spans="1:101" x14ac:dyDescent="0.15">
      <c r="A4411" s="76">
        <v>4149</v>
      </c>
      <c r="B4411" s="74" t="s">
        <v>6333</v>
      </c>
      <c r="C4411" s="74">
        <v>1001122089</v>
      </c>
      <c r="D4411" s="78" t="str">
        <f t="shared" si="144"/>
        <v>https://portal.dnb.de/opac.htm?method=simpleSearch&amp;cqlMode=true&amp;query=idn%3D1001122089</v>
      </c>
      <c r="E4411" s="74" t="s">
        <v>6334</v>
      </c>
      <c r="F4411" s="74"/>
      <c r="G4411" s="76"/>
      <c r="H4411" s="77"/>
      <c r="I4411" s="76"/>
      <c r="J4411" s="77"/>
      <c r="K4411" s="77"/>
      <c r="L4411" s="76"/>
      <c r="M4411" s="76"/>
      <c r="N4411" s="76"/>
      <c r="O4411" s="76"/>
      <c r="P4411" s="76"/>
      <c r="Q4411" s="76"/>
      <c r="R4411" s="76"/>
      <c r="S4411" s="76"/>
      <c r="BD4411" s="99">
        <f t="shared" si="143"/>
        <v>0</v>
      </c>
      <c r="CC4411" s="99"/>
      <c r="CV4411" s="99"/>
      <c r="CW4411" s="63"/>
    </row>
    <row r="4412" spans="1:101" ht="78.75" x14ac:dyDescent="0.15">
      <c r="A4412" s="76">
        <v>4150</v>
      </c>
      <c r="B4412" s="74" t="s">
        <v>6419</v>
      </c>
      <c r="C4412" s="74">
        <v>994197993</v>
      </c>
      <c r="D4412" s="78" t="str">
        <f t="shared" si="144"/>
        <v>https://portal.dnb.de/opac.htm?method=simpleSearch&amp;cqlMode=true&amp;query=idn%3D994197993</v>
      </c>
      <c r="E4412" s="74" t="s">
        <v>6420</v>
      </c>
      <c r="F4412" s="74"/>
      <c r="G4412" s="76"/>
      <c r="H4412" s="77"/>
      <c r="I4412" s="76" t="s">
        <v>55</v>
      </c>
      <c r="J4412" s="77"/>
      <c r="K4412" s="77"/>
      <c r="L4412" s="76"/>
      <c r="M4412" s="76"/>
      <c r="N4412" s="76"/>
      <c r="O4412" s="76"/>
      <c r="P4412" s="76"/>
      <c r="Q4412" s="76"/>
      <c r="R4412" s="76"/>
      <c r="S4412" s="76"/>
      <c r="Y4412" s="95" t="s">
        <v>9729</v>
      </c>
      <c r="AC4412" s="95" t="s">
        <v>9724</v>
      </c>
      <c r="AI4412" s="95" t="s">
        <v>9725</v>
      </c>
      <c r="AS4412" s="95" t="s">
        <v>9788</v>
      </c>
      <c r="AT4412" s="95" t="s">
        <v>8541</v>
      </c>
      <c r="AU4412" s="95">
        <v>4</v>
      </c>
      <c r="AV4412" s="95" t="s">
        <v>8541</v>
      </c>
      <c r="AW4412" s="95">
        <v>60</v>
      </c>
      <c r="BC4412" s="96" t="s">
        <v>9726</v>
      </c>
      <c r="BD4412" s="99">
        <f t="shared" si="143"/>
        <v>15.5</v>
      </c>
      <c r="BH4412" s="95" t="s">
        <v>8541</v>
      </c>
      <c r="BP4412" s="69" t="s">
        <v>8541</v>
      </c>
      <c r="BQ4412" s="95" t="s">
        <v>8541</v>
      </c>
      <c r="BR4412" s="95" t="s">
        <v>8541</v>
      </c>
      <c r="BY4412" s="95" t="s">
        <v>8541</v>
      </c>
      <c r="CB4412" s="95" t="s">
        <v>9818</v>
      </c>
      <c r="CC4412" s="99">
        <v>2.5</v>
      </c>
      <c r="CD4412" s="90" t="s">
        <v>10477</v>
      </c>
      <c r="CE4412" s="95" t="s">
        <v>8541</v>
      </c>
      <c r="CJ4412" s="95" t="s">
        <v>8541</v>
      </c>
      <c r="CN4412" s="95" t="s">
        <v>8541</v>
      </c>
      <c r="CV4412" s="99">
        <v>13</v>
      </c>
      <c r="CW4412" s="90" t="s">
        <v>10478</v>
      </c>
    </row>
    <row r="4413" spans="1:101" x14ac:dyDescent="0.15">
      <c r="A4413" s="76">
        <v>4151</v>
      </c>
      <c r="B4413" s="74" t="s">
        <v>6421</v>
      </c>
      <c r="C4413" s="74">
        <v>994198000</v>
      </c>
      <c r="D4413" s="78" t="str">
        <f t="shared" si="144"/>
        <v>https://portal.dnb.de/opac.htm?method=simpleSearch&amp;cqlMode=true&amp;query=idn%3D994198000</v>
      </c>
      <c r="E4413" s="74" t="s">
        <v>10476</v>
      </c>
      <c r="F4413" s="74"/>
      <c r="G4413" s="76"/>
      <c r="H4413" s="77"/>
      <c r="I4413" s="76"/>
      <c r="J4413" s="77"/>
      <c r="K4413" s="77"/>
      <c r="L4413" s="76"/>
      <c r="M4413" s="76"/>
      <c r="N4413" s="76"/>
      <c r="O4413" s="76"/>
      <c r="P4413" s="76"/>
      <c r="Q4413" s="76"/>
      <c r="R4413" s="76"/>
      <c r="S4413" s="76"/>
      <c r="BD4413" s="99">
        <f t="shared" si="143"/>
        <v>0</v>
      </c>
      <c r="CC4413" s="99"/>
      <c r="CV4413" s="99"/>
      <c r="CW4413" s="63"/>
    </row>
    <row r="4414" spans="1:101" x14ac:dyDescent="0.15">
      <c r="A4414" s="76">
        <v>4152</v>
      </c>
      <c r="B4414" s="74" t="s">
        <v>6422</v>
      </c>
      <c r="C4414" s="74">
        <v>994198027</v>
      </c>
      <c r="D4414" s="78" t="str">
        <f t="shared" si="144"/>
        <v>https://portal.dnb.de/opac.htm?method=simpleSearch&amp;cqlMode=true&amp;query=idn%3D994198027</v>
      </c>
      <c r="E4414" s="74" t="s">
        <v>10476</v>
      </c>
      <c r="F4414" s="74"/>
      <c r="G4414" s="76"/>
      <c r="H4414" s="77"/>
      <c r="I4414" s="76"/>
      <c r="J4414" s="77"/>
      <c r="K4414" s="77"/>
      <c r="L4414" s="76"/>
      <c r="M4414" s="76"/>
      <c r="N4414" s="76"/>
      <c r="O4414" s="76"/>
      <c r="P4414" s="76"/>
      <c r="Q4414" s="76"/>
      <c r="R4414" s="76"/>
      <c r="S4414" s="76"/>
      <c r="BD4414" s="99">
        <f t="shared" si="143"/>
        <v>0</v>
      </c>
      <c r="CC4414" s="99"/>
      <c r="CV4414" s="99"/>
      <c r="CW4414" s="63"/>
    </row>
    <row r="4415" spans="1:101" x14ac:dyDescent="0.15">
      <c r="A4415" s="76">
        <v>4153</v>
      </c>
      <c r="B4415" s="74" t="s">
        <v>6335</v>
      </c>
      <c r="C4415" s="74">
        <v>1066800561</v>
      </c>
      <c r="D4415" s="78" t="str">
        <f t="shared" si="144"/>
        <v>https://portal.dnb.de/opac.htm?method=simpleSearch&amp;cqlMode=true&amp;query=idn%3D1066800561</v>
      </c>
      <c r="E4415" s="74" t="s">
        <v>6336</v>
      </c>
      <c r="F4415" s="74"/>
      <c r="G4415" s="76"/>
      <c r="H4415" s="77"/>
      <c r="I4415" s="76"/>
      <c r="J4415" s="77"/>
      <c r="K4415" s="77"/>
      <c r="L4415" s="76"/>
      <c r="M4415" s="76"/>
      <c r="N4415" s="76"/>
      <c r="O4415" s="76"/>
      <c r="P4415" s="76"/>
      <c r="Q4415" s="76"/>
      <c r="R4415" s="76"/>
      <c r="S4415" s="76"/>
      <c r="BD4415" s="99">
        <f t="shared" si="143"/>
        <v>0</v>
      </c>
      <c r="CC4415" s="99"/>
      <c r="CV4415" s="99"/>
      <c r="CW4415" s="63"/>
    </row>
    <row r="4416" spans="1:101" x14ac:dyDescent="0.15">
      <c r="A4416" s="76">
        <v>4154</v>
      </c>
      <c r="B4416" s="74" t="s">
        <v>6401</v>
      </c>
      <c r="C4416" s="74">
        <v>1066959900</v>
      </c>
      <c r="D4416" s="78" t="str">
        <f t="shared" si="144"/>
        <v>https://portal.dnb.de/opac.htm?method=simpleSearch&amp;cqlMode=true&amp;query=idn%3D1066959900</v>
      </c>
      <c r="E4416" s="74" t="s">
        <v>6402</v>
      </c>
      <c r="F4416" s="74"/>
      <c r="G4416" s="76"/>
      <c r="H4416" s="77"/>
      <c r="I4416" s="76"/>
      <c r="J4416" s="77"/>
      <c r="K4416" s="77"/>
      <c r="L4416" s="76"/>
      <c r="M4416" s="76"/>
      <c r="N4416" s="76"/>
      <c r="O4416" s="76"/>
      <c r="P4416" s="76"/>
      <c r="Q4416" s="76"/>
      <c r="R4416" s="76"/>
      <c r="S4416" s="76"/>
      <c r="BD4416" s="99">
        <f t="shared" si="143"/>
        <v>0</v>
      </c>
      <c r="CC4416" s="99"/>
      <c r="CV4416" s="99"/>
      <c r="CW4416" s="63"/>
    </row>
    <row r="4417" spans="1:101" x14ac:dyDescent="0.15">
      <c r="A4417" s="76">
        <v>4155</v>
      </c>
      <c r="B4417" s="74" t="s">
        <v>6405</v>
      </c>
      <c r="C4417" s="74">
        <v>1066959919</v>
      </c>
      <c r="D4417" s="78" t="str">
        <f t="shared" si="144"/>
        <v>https://portal.dnb.de/opac.htm?method=simpleSearch&amp;cqlMode=true&amp;query=idn%3D1066959919</v>
      </c>
      <c r="E4417" s="74" t="s">
        <v>6406</v>
      </c>
      <c r="F4417" s="74"/>
      <c r="G4417" s="76"/>
      <c r="H4417" s="77"/>
      <c r="I4417" s="76"/>
      <c r="J4417" s="77"/>
      <c r="K4417" s="77"/>
      <c r="L4417" s="76"/>
      <c r="M4417" s="76"/>
      <c r="N4417" s="76"/>
      <c r="O4417" s="76"/>
      <c r="P4417" s="76"/>
      <c r="Q4417" s="76"/>
      <c r="R4417" s="76"/>
      <c r="S4417" s="76"/>
      <c r="BD4417" s="99">
        <f t="shared" si="143"/>
        <v>0</v>
      </c>
      <c r="CC4417" s="99"/>
      <c r="CV4417" s="99"/>
      <c r="CW4417" s="63"/>
    </row>
    <row r="4418" spans="1:101" ht="22.5" x14ac:dyDescent="0.15">
      <c r="A4418" s="76">
        <v>4156</v>
      </c>
      <c r="B4418" s="74" t="s">
        <v>6407</v>
      </c>
      <c r="C4418" s="74">
        <v>1066849420</v>
      </c>
      <c r="D4418" s="78" t="str">
        <f t="shared" si="144"/>
        <v>https://portal.dnb.de/opac.htm?method=simpleSearch&amp;cqlMode=true&amp;query=idn%3D1066849420</v>
      </c>
      <c r="E4418" s="74" t="s">
        <v>6408</v>
      </c>
      <c r="F4418" s="74"/>
      <c r="G4418" s="76"/>
      <c r="H4418" s="77"/>
      <c r="I4418" s="76" t="s">
        <v>53</v>
      </c>
      <c r="J4418" s="77"/>
      <c r="K4418" s="77"/>
      <c r="L4418" s="76"/>
      <c r="M4418" s="76"/>
      <c r="N4418" s="76"/>
      <c r="O4418" s="76"/>
      <c r="P4418" s="76"/>
      <c r="Q4418" s="76"/>
      <c r="R4418" s="76"/>
      <c r="S4418" s="76"/>
      <c r="Y4418" s="95" t="s">
        <v>9725</v>
      </c>
      <c r="AA4418" s="95" t="s">
        <v>8541</v>
      </c>
      <c r="AC4418" s="95" t="s">
        <v>9739</v>
      </c>
      <c r="AI4418" s="95" t="s">
        <v>9725</v>
      </c>
      <c r="AW4418" s="95">
        <v>110</v>
      </c>
      <c r="BC4418" s="96" t="s">
        <v>9726</v>
      </c>
      <c r="BD4418" s="99">
        <f t="shared" si="143"/>
        <v>4.5</v>
      </c>
      <c r="BH4418" s="95" t="s">
        <v>8541</v>
      </c>
      <c r="BP4418" s="69" t="s">
        <v>8541</v>
      </c>
      <c r="BR4418" s="95" t="s">
        <v>8541</v>
      </c>
      <c r="CC4418" s="99">
        <v>1</v>
      </c>
      <c r="CI4418" s="95" t="s">
        <v>8541</v>
      </c>
      <c r="CK4418" s="95" t="s">
        <v>8541</v>
      </c>
      <c r="CV4418" s="99">
        <v>3.5</v>
      </c>
      <c r="CW4418" s="90" t="s">
        <v>10294</v>
      </c>
    </row>
    <row r="4419" spans="1:101" ht="56.25" x14ac:dyDescent="0.15">
      <c r="A4419" s="76">
        <v>4157</v>
      </c>
      <c r="B4419" s="74" t="s">
        <v>6409</v>
      </c>
      <c r="C4419" s="74" t="s">
        <v>6410</v>
      </c>
      <c r="D4419" s="78" t="str">
        <f t="shared" si="144"/>
        <v>https://portal.dnb.de/opac.htm?method=simpleSearch&amp;cqlMode=true&amp;query=idn%3D106696193X</v>
      </c>
      <c r="E4419" s="74" t="s">
        <v>6411</v>
      </c>
      <c r="F4419" s="74"/>
      <c r="G4419" s="76"/>
      <c r="H4419" s="77"/>
      <c r="I4419" s="76" t="s">
        <v>53</v>
      </c>
      <c r="J4419" s="77"/>
      <c r="K4419" s="77"/>
      <c r="L4419" s="76"/>
      <c r="M4419" s="76"/>
      <c r="N4419" s="76"/>
      <c r="O4419" s="76"/>
      <c r="P4419" s="76"/>
      <c r="Q4419" s="76"/>
      <c r="R4419" s="76"/>
      <c r="S4419" s="76"/>
      <c r="Y4419" s="95" t="s">
        <v>9723</v>
      </c>
      <c r="AC4419" s="95" t="s">
        <v>9737</v>
      </c>
      <c r="AI4419" s="95" t="s">
        <v>9725</v>
      </c>
      <c r="AW4419" s="95">
        <v>110</v>
      </c>
      <c r="BC4419" s="96" t="s">
        <v>9726</v>
      </c>
      <c r="BD4419" s="99">
        <f t="shared" ref="BD4419:BD4482" si="145">CC4419+CV4419</f>
        <v>5</v>
      </c>
      <c r="BP4419" s="69" t="s">
        <v>8541</v>
      </c>
      <c r="BQ4419" s="95" t="s">
        <v>8541</v>
      </c>
      <c r="BR4419" s="95" t="s">
        <v>8541</v>
      </c>
      <c r="BT4419" s="95" t="s">
        <v>9775</v>
      </c>
      <c r="BV4419" s="95" t="s">
        <v>8541</v>
      </c>
      <c r="CC4419" s="99">
        <v>4.5</v>
      </c>
      <c r="CD4419" s="90" t="s">
        <v>10295</v>
      </c>
      <c r="CJ4419" s="95" t="s">
        <v>8541</v>
      </c>
      <c r="CV4419" s="99">
        <v>0.5</v>
      </c>
      <c r="CW4419" s="63" t="s">
        <v>10296</v>
      </c>
    </row>
    <row r="4420" spans="1:101" x14ac:dyDescent="0.15">
      <c r="A4420" s="76">
        <v>4158</v>
      </c>
      <c r="B4420" s="74" t="s">
        <v>6412</v>
      </c>
      <c r="C4420" s="74" t="s">
        <v>6413</v>
      </c>
      <c r="D4420" s="78" t="str">
        <f t="shared" si="144"/>
        <v>https://portal.dnb.de/opac.htm?method=simpleSearch&amp;cqlMode=true&amp;query=idn%3D106696405X</v>
      </c>
      <c r="E4420" s="74" t="s">
        <v>6414</v>
      </c>
      <c r="F4420" s="74"/>
      <c r="G4420" s="76"/>
      <c r="H4420" s="77"/>
      <c r="I4420" s="76"/>
      <c r="J4420" s="77"/>
      <c r="K4420" s="77"/>
      <c r="L4420" s="76"/>
      <c r="M4420" s="76"/>
      <c r="N4420" s="76"/>
      <c r="O4420" s="76"/>
      <c r="P4420" s="76"/>
      <c r="Q4420" s="76"/>
      <c r="R4420" s="76"/>
      <c r="S4420" s="76"/>
      <c r="BD4420" s="99">
        <f t="shared" si="145"/>
        <v>0</v>
      </c>
      <c r="CC4420" s="99"/>
      <c r="CV4420" s="99"/>
      <c r="CW4420" s="63"/>
    </row>
    <row r="4421" spans="1:101" ht="22.5" x14ac:dyDescent="0.15">
      <c r="A4421" s="76">
        <v>4159</v>
      </c>
      <c r="B4421" s="74" t="s">
        <v>6415</v>
      </c>
      <c r="C4421" s="74">
        <v>1066962243</v>
      </c>
      <c r="D4421" s="78" t="str">
        <f t="shared" si="144"/>
        <v>https://portal.dnb.de/opac.htm?method=simpleSearch&amp;cqlMode=true&amp;query=idn%3D1066962243</v>
      </c>
      <c r="E4421" s="74" t="s">
        <v>6416</v>
      </c>
      <c r="F4421" s="74"/>
      <c r="G4421" s="76"/>
      <c r="H4421" s="77"/>
      <c r="I4421" s="76" t="s">
        <v>54</v>
      </c>
      <c r="J4421" s="77"/>
      <c r="K4421" s="77"/>
      <c r="L4421" s="76"/>
      <c r="M4421" s="76"/>
      <c r="N4421" s="76"/>
      <c r="O4421" s="76"/>
      <c r="P4421" s="76"/>
      <c r="Q4421" s="76"/>
      <c r="R4421" s="76"/>
      <c r="S4421" s="76"/>
      <c r="Y4421" s="95" t="s">
        <v>9736</v>
      </c>
      <c r="AA4421" s="95" t="s">
        <v>8541</v>
      </c>
      <c r="AC4421" s="95" t="s">
        <v>9737</v>
      </c>
      <c r="AD4421" s="95" t="s">
        <v>8541</v>
      </c>
      <c r="AI4421" s="95" t="s">
        <v>9725</v>
      </c>
      <c r="AW4421" s="95">
        <v>110</v>
      </c>
      <c r="BC4421" s="96" t="s">
        <v>9726</v>
      </c>
      <c r="BD4421" s="99">
        <f t="shared" si="145"/>
        <v>1.5</v>
      </c>
      <c r="BH4421" s="95" t="s">
        <v>8541</v>
      </c>
      <c r="BP4421" s="69" t="s">
        <v>8541</v>
      </c>
      <c r="BR4421" s="95" t="s">
        <v>8541</v>
      </c>
      <c r="BT4421" s="95" t="s">
        <v>9775</v>
      </c>
      <c r="CC4421" s="99">
        <v>1.5</v>
      </c>
      <c r="CD4421" s="90" t="s">
        <v>10297</v>
      </c>
      <c r="CV4421" s="99"/>
      <c r="CW4421" s="63"/>
    </row>
    <row r="4422" spans="1:101" ht="22.5" x14ac:dyDescent="0.15">
      <c r="A4422" s="76">
        <v>4160</v>
      </c>
      <c r="B4422" s="74" t="s">
        <v>6417</v>
      </c>
      <c r="C4422" s="74">
        <v>1066937117</v>
      </c>
      <c r="D4422" s="78" t="str">
        <f t="shared" si="144"/>
        <v>https://portal.dnb.de/opac.htm?method=simpleSearch&amp;cqlMode=true&amp;query=idn%3D1066937117</v>
      </c>
      <c r="E4422" s="74" t="s">
        <v>6418</v>
      </c>
      <c r="F4422" s="74"/>
      <c r="G4422" s="76"/>
      <c r="H4422" s="77"/>
      <c r="I4422" s="76" t="s">
        <v>54</v>
      </c>
      <c r="J4422" s="77"/>
      <c r="K4422" s="77"/>
      <c r="L4422" s="76"/>
      <c r="M4422" s="76"/>
      <c r="N4422" s="76"/>
      <c r="O4422" s="76"/>
      <c r="P4422" s="76"/>
      <c r="Q4422" s="76"/>
      <c r="R4422" s="76"/>
      <c r="S4422" s="76"/>
      <c r="Y4422" s="95" t="s">
        <v>9736</v>
      </c>
      <c r="AA4422" s="95" t="s">
        <v>8541</v>
      </c>
      <c r="AC4422" s="95" t="s">
        <v>9737</v>
      </c>
      <c r="AI4422" s="95" t="s">
        <v>9725</v>
      </c>
      <c r="AM4422" s="95" t="s">
        <v>8541</v>
      </c>
      <c r="AW4422" s="95">
        <v>45</v>
      </c>
      <c r="BB4422" s="95" t="s">
        <v>8541</v>
      </c>
      <c r="BC4422" s="96" t="s">
        <v>9726</v>
      </c>
      <c r="BD4422" s="99">
        <f t="shared" si="145"/>
        <v>9</v>
      </c>
      <c r="BH4422" s="95" t="s">
        <v>8541</v>
      </c>
      <c r="BP4422" s="69" t="s">
        <v>8541</v>
      </c>
      <c r="BR4422" s="95" t="s">
        <v>8541</v>
      </c>
      <c r="BT4422" s="95" t="s">
        <v>9772</v>
      </c>
      <c r="BU4422" s="95">
        <v>7</v>
      </c>
      <c r="CC4422" s="99">
        <v>8</v>
      </c>
      <c r="CD4422" s="90" t="s">
        <v>10298</v>
      </c>
      <c r="CL4422" s="95" t="s">
        <v>8541</v>
      </c>
      <c r="CM4422" s="95" t="s">
        <v>8541</v>
      </c>
      <c r="CV4422" s="99">
        <v>1</v>
      </c>
      <c r="CW4422" s="63" t="s">
        <v>10299</v>
      </c>
    </row>
    <row r="4423" spans="1:101" x14ac:dyDescent="0.15">
      <c r="A4423" s="76">
        <v>4161</v>
      </c>
      <c r="B4423" s="74" t="s">
        <v>6425</v>
      </c>
      <c r="C4423" s="74">
        <v>1066799865</v>
      </c>
      <c r="D4423" s="78" t="str">
        <f t="shared" si="144"/>
        <v>https://portal.dnb.de/opac.htm?method=simpleSearch&amp;cqlMode=true&amp;query=idn%3D1066799865</v>
      </c>
      <c r="E4423" s="74" t="s">
        <v>6426</v>
      </c>
      <c r="F4423" s="74"/>
      <c r="G4423" s="76"/>
      <c r="H4423" s="77"/>
      <c r="I4423" s="76"/>
      <c r="J4423" s="77"/>
      <c r="K4423" s="77"/>
      <c r="L4423" s="76"/>
      <c r="M4423" s="76"/>
      <c r="N4423" s="76"/>
      <c r="O4423" s="76"/>
      <c r="P4423" s="76"/>
      <c r="Q4423" s="76"/>
      <c r="R4423" s="76"/>
      <c r="S4423" s="76"/>
      <c r="BD4423" s="99">
        <f t="shared" si="145"/>
        <v>0</v>
      </c>
      <c r="CC4423" s="99"/>
      <c r="CV4423" s="99"/>
      <c r="CW4423" s="63"/>
    </row>
    <row r="4424" spans="1:101" x14ac:dyDescent="0.15">
      <c r="A4424" s="76">
        <v>4162</v>
      </c>
      <c r="B4424" s="74" t="s">
        <v>6352</v>
      </c>
      <c r="C4424" s="74">
        <v>1066799733</v>
      </c>
      <c r="D4424" s="78" t="str">
        <f t="shared" si="144"/>
        <v>https://portal.dnb.de/opac.htm?method=simpleSearch&amp;cqlMode=true&amp;query=idn%3D1066799733</v>
      </c>
      <c r="E4424" s="74" t="s">
        <v>6353</v>
      </c>
      <c r="F4424" s="74"/>
      <c r="G4424" s="76"/>
      <c r="H4424" s="77"/>
      <c r="I4424" s="76"/>
      <c r="J4424" s="77"/>
      <c r="K4424" s="77"/>
      <c r="L4424" s="76"/>
      <c r="M4424" s="76"/>
      <c r="N4424" s="76"/>
      <c r="O4424" s="76"/>
      <c r="P4424" s="76"/>
      <c r="Q4424" s="76"/>
      <c r="R4424" s="76"/>
      <c r="S4424" s="76"/>
      <c r="BD4424" s="99">
        <f t="shared" si="145"/>
        <v>0</v>
      </c>
      <c r="CC4424" s="99"/>
      <c r="CV4424" s="99"/>
      <c r="CW4424" s="63"/>
    </row>
    <row r="4425" spans="1:101" x14ac:dyDescent="0.15">
      <c r="A4425" s="76">
        <v>4163</v>
      </c>
      <c r="B4425" s="74" t="s">
        <v>6360</v>
      </c>
      <c r="C4425" s="74">
        <v>1066773327</v>
      </c>
      <c r="D4425" s="78" t="str">
        <f t="shared" si="144"/>
        <v>https://portal.dnb.de/opac.htm?method=simpleSearch&amp;cqlMode=true&amp;query=idn%3D1066773327</v>
      </c>
      <c r="E4425" s="74" t="s">
        <v>6361</v>
      </c>
      <c r="F4425" s="74"/>
      <c r="G4425" s="76"/>
      <c r="H4425" s="77"/>
      <c r="I4425" s="76"/>
      <c r="J4425" s="77"/>
      <c r="K4425" s="77"/>
      <c r="L4425" s="76"/>
      <c r="M4425" s="76"/>
      <c r="N4425" s="76"/>
      <c r="O4425" s="76"/>
      <c r="P4425" s="76"/>
      <c r="Q4425" s="76"/>
      <c r="R4425" s="76"/>
      <c r="S4425" s="76"/>
      <c r="BD4425" s="99">
        <f t="shared" si="145"/>
        <v>0</v>
      </c>
      <c r="CC4425" s="99"/>
      <c r="CV4425" s="99"/>
      <c r="CW4425" s="63"/>
    </row>
    <row r="4426" spans="1:101" x14ac:dyDescent="0.15">
      <c r="A4426" s="76">
        <v>4164</v>
      </c>
      <c r="B4426" s="74" t="s">
        <v>6362</v>
      </c>
      <c r="C4426" s="74">
        <v>1132652863</v>
      </c>
      <c r="D4426" s="78" t="str">
        <f t="shared" si="144"/>
        <v>https://portal.dnb.de/opac.htm?method=simpleSearch&amp;cqlMode=true&amp;query=idn%3D1132652863</v>
      </c>
      <c r="E4426" s="74" t="s">
        <v>6363</v>
      </c>
      <c r="F4426" s="74"/>
      <c r="G4426" s="76"/>
      <c r="H4426" s="77"/>
      <c r="I4426" s="76"/>
      <c r="J4426" s="77"/>
      <c r="K4426" s="77"/>
      <c r="L4426" s="76"/>
      <c r="M4426" s="76"/>
      <c r="N4426" s="76"/>
      <c r="O4426" s="76"/>
      <c r="P4426" s="76"/>
      <c r="Q4426" s="76"/>
      <c r="R4426" s="76"/>
      <c r="S4426" s="76"/>
      <c r="BD4426" s="99">
        <f t="shared" si="145"/>
        <v>0</v>
      </c>
      <c r="CC4426" s="99"/>
      <c r="CV4426" s="99"/>
      <c r="CW4426" s="63"/>
    </row>
    <row r="4427" spans="1:101" x14ac:dyDescent="0.15">
      <c r="A4427" s="76">
        <v>4165</v>
      </c>
      <c r="B4427" s="74" t="s">
        <v>6364</v>
      </c>
      <c r="C4427" s="74" t="s">
        <v>6365</v>
      </c>
      <c r="D4427" s="78" t="str">
        <f t="shared" si="144"/>
        <v>https://portal.dnb.de/opac.htm?method=simpleSearch&amp;cqlMode=true&amp;query=idn%3D106675487X</v>
      </c>
      <c r="E4427" s="74" t="s">
        <v>6366</v>
      </c>
      <c r="F4427" s="74"/>
      <c r="G4427" s="76"/>
      <c r="H4427" s="77"/>
      <c r="I4427" s="76"/>
      <c r="J4427" s="77"/>
      <c r="K4427" s="77"/>
      <c r="L4427" s="76"/>
      <c r="M4427" s="76"/>
      <c r="N4427" s="76"/>
      <c r="O4427" s="76"/>
      <c r="P4427" s="76"/>
      <c r="Q4427" s="76"/>
      <c r="R4427" s="76"/>
      <c r="S4427" s="76"/>
      <c r="BD4427" s="99">
        <f t="shared" si="145"/>
        <v>0</v>
      </c>
      <c r="CC4427" s="99"/>
      <c r="CV4427" s="99"/>
      <c r="CW4427" s="63"/>
    </row>
    <row r="4428" spans="1:101" x14ac:dyDescent="0.15">
      <c r="A4428" s="76">
        <v>4166</v>
      </c>
      <c r="B4428" s="74" t="s">
        <v>6367</v>
      </c>
      <c r="C4428" s="74">
        <v>994366116</v>
      </c>
      <c r="D4428" s="78" t="str">
        <f t="shared" si="144"/>
        <v>https://portal.dnb.de/opac.htm?method=simpleSearch&amp;cqlMode=true&amp;query=idn%3D994366116</v>
      </c>
      <c r="E4428" s="74" t="s">
        <v>6368</v>
      </c>
      <c r="F4428" s="74"/>
      <c r="G4428" s="76"/>
      <c r="H4428" s="77"/>
      <c r="I4428" s="76"/>
      <c r="J4428" s="77"/>
      <c r="K4428" s="77"/>
      <c r="L4428" s="76"/>
      <c r="M4428" s="76"/>
      <c r="N4428" s="76"/>
      <c r="O4428" s="76"/>
      <c r="P4428" s="76"/>
      <c r="Q4428" s="76"/>
      <c r="R4428" s="76"/>
      <c r="S4428" s="76"/>
      <c r="BD4428" s="99">
        <f t="shared" si="145"/>
        <v>0</v>
      </c>
      <c r="CC4428" s="99"/>
      <c r="CV4428" s="99"/>
      <c r="CW4428" s="63"/>
    </row>
    <row r="4429" spans="1:101" x14ac:dyDescent="0.15">
      <c r="A4429" s="76">
        <v>4167</v>
      </c>
      <c r="B4429" s="74" t="s">
        <v>6369</v>
      </c>
      <c r="C4429" s="74">
        <v>994365977</v>
      </c>
      <c r="D4429" s="78" t="str">
        <f t="shared" si="144"/>
        <v>https://portal.dnb.de/opac.htm?method=simpleSearch&amp;cqlMode=true&amp;query=idn%3D994365977</v>
      </c>
      <c r="E4429" s="74" t="s">
        <v>6368</v>
      </c>
      <c r="F4429" s="74"/>
      <c r="G4429" s="76"/>
      <c r="H4429" s="77"/>
      <c r="I4429" s="76"/>
      <c r="J4429" s="77"/>
      <c r="K4429" s="77"/>
      <c r="L4429" s="76"/>
      <c r="M4429" s="76"/>
      <c r="N4429" s="76"/>
      <c r="O4429" s="76"/>
      <c r="P4429" s="76"/>
      <c r="Q4429" s="76"/>
      <c r="R4429" s="76"/>
      <c r="S4429" s="76"/>
      <c r="BD4429" s="99">
        <f t="shared" si="145"/>
        <v>0</v>
      </c>
      <c r="CC4429" s="99"/>
      <c r="CV4429" s="99"/>
      <c r="CW4429" s="63"/>
    </row>
    <row r="4430" spans="1:101" x14ac:dyDescent="0.15">
      <c r="A4430" s="76">
        <v>4168</v>
      </c>
      <c r="B4430" s="74" t="s">
        <v>6370</v>
      </c>
      <c r="C4430" s="74">
        <v>994260458</v>
      </c>
      <c r="D4430" s="78" t="str">
        <f t="shared" si="144"/>
        <v>https://portal.dnb.de/opac.htm?method=simpleSearch&amp;cqlMode=true&amp;query=idn%3D994260458</v>
      </c>
      <c r="E4430" s="74" t="s">
        <v>6371</v>
      </c>
      <c r="F4430" s="74"/>
      <c r="G4430" s="76"/>
      <c r="H4430" s="77"/>
      <c r="I4430" s="76"/>
      <c r="J4430" s="77"/>
      <c r="K4430" s="77"/>
      <c r="L4430" s="76"/>
      <c r="M4430" s="76"/>
      <c r="N4430" s="76"/>
      <c r="O4430" s="76"/>
      <c r="P4430" s="76"/>
      <c r="Q4430" s="76"/>
      <c r="R4430" s="76"/>
      <c r="S4430" s="76"/>
      <c r="BD4430" s="99">
        <f t="shared" si="145"/>
        <v>0</v>
      </c>
      <c r="CC4430" s="99"/>
      <c r="CV4430" s="99"/>
      <c r="CW4430" s="63"/>
    </row>
    <row r="4431" spans="1:101" x14ac:dyDescent="0.15">
      <c r="A4431" s="76">
        <v>4169</v>
      </c>
      <c r="B4431" s="74" t="s">
        <v>6372</v>
      </c>
      <c r="C4431" s="74">
        <v>999414496</v>
      </c>
      <c r="D4431" s="78" t="str">
        <f t="shared" si="144"/>
        <v>https://portal.dnb.de/opac.htm?method=simpleSearch&amp;cqlMode=true&amp;query=idn%3D999414496</v>
      </c>
      <c r="E4431" s="74" t="s">
        <v>6373</v>
      </c>
      <c r="F4431" s="74"/>
      <c r="G4431" s="76"/>
      <c r="H4431" s="77"/>
      <c r="I4431" s="76"/>
      <c r="J4431" s="77"/>
      <c r="K4431" s="77"/>
      <c r="L4431" s="76"/>
      <c r="M4431" s="76"/>
      <c r="N4431" s="76"/>
      <c r="O4431" s="76"/>
      <c r="P4431" s="76"/>
      <c r="Q4431" s="76"/>
      <c r="R4431" s="76"/>
      <c r="S4431" s="76"/>
      <c r="BD4431" s="99">
        <f t="shared" si="145"/>
        <v>0</v>
      </c>
      <c r="CC4431" s="99"/>
      <c r="CV4431" s="99"/>
      <c r="CW4431" s="63"/>
    </row>
    <row r="4432" spans="1:101" x14ac:dyDescent="0.15">
      <c r="A4432" s="76">
        <v>4170</v>
      </c>
      <c r="B4432" s="74" t="s">
        <v>6374</v>
      </c>
      <c r="C4432" s="74">
        <v>999414887</v>
      </c>
      <c r="D4432" s="78" t="str">
        <f t="shared" si="144"/>
        <v>https://portal.dnb.de/opac.htm?method=simpleSearch&amp;cqlMode=true&amp;query=idn%3D999414887</v>
      </c>
      <c r="E4432" s="74" t="s">
        <v>6373</v>
      </c>
      <c r="F4432" s="74"/>
      <c r="G4432" s="76"/>
      <c r="H4432" s="77"/>
      <c r="I4432" s="76"/>
      <c r="J4432" s="77"/>
      <c r="K4432" s="77"/>
      <c r="L4432" s="76"/>
      <c r="M4432" s="76"/>
      <c r="N4432" s="76"/>
      <c r="O4432" s="76"/>
      <c r="P4432" s="76"/>
      <c r="Q4432" s="76"/>
      <c r="R4432" s="76"/>
      <c r="S4432" s="76"/>
      <c r="BD4432" s="99">
        <f t="shared" si="145"/>
        <v>0</v>
      </c>
      <c r="CC4432" s="99"/>
      <c r="CV4432" s="99"/>
      <c r="CW4432" s="63"/>
    </row>
    <row r="4433" spans="1:101" x14ac:dyDescent="0.15">
      <c r="A4433" s="76">
        <v>4171</v>
      </c>
      <c r="B4433" s="74" t="s">
        <v>6375</v>
      </c>
      <c r="C4433" s="74">
        <v>997235268</v>
      </c>
      <c r="D4433" s="78" t="str">
        <f t="shared" si="144"/>
        <v>https://portal.dnb.de/opac.htm?method=simpleSearch&amp;cqlMode=true&amp;query=idn%3D997235268</v>
      </c>
      <c r="E4433" s="74" t="s">
        <v>6376</v>
      </c>
      <c r="F4433" s="74"/>
      <c r="G4433" s="76"/>
      <c r="H4433" s="77"/>
      <c r="I4433" s="76"/>
      <c r="J4433" s="77"/>
      <c r="K4433" s="77"/>
      <c r="L4433" s="76"/>
      <c r="M4433" s="76"/>
      <c r="N4433" s="76"/>
      <c r="O4433" s="76"/>
      <c r="P4433" s="76"/>
      <c r="Q4433" s="76"/>
      <c r="R4433" s="76"/>
      <c r="S4433" s="76"/>
      <c r="BD4433" s="99">
        <f t="shared" si="145"/>
        <v>0</v>
      </c>
      <c r="CC4433" s="99"/>
      <c r="CV4433" s="99"/>
      <c r="CW4433" s="63"/>
    </row>
    <row r="4434" spans="1:101" x14ac:dyDescent="0.15">
      <c r="A4434" s="76">
        <v>4172</v>
      </c>
      <c r="B4434" s="74" t="s">
        <v>6377</v>
      </c>
      <c r="C4434" s="74">
        <v>995983224</v>
      </c>
      <c r="D4434" s="78" t="str">
        <f t="shared" si="144"/>
        <v>https://portal.dnb.de/opac.htm?method=simpleSearch&amp;cqlMode=true&amp;query=idn%3D995983224</v>
      </c>
      <c r="E4434" s="74" t="s">
        <v>6378</v>
      </c>
      <c r="F4434" s="74"/>
      <c r="G4434" s="76"/>
      <c r="H4434" s="77"/>
      <c r="I4434" s="76"/>
      <c r="J4434" s="77"/>
      <c r="K4434" s="77"/>
      <c r="L4434" s="76"/>
      <c r="M4434" s="76"/>
      <c r="N4434" s="76"/>
      <c r="O4434" s="76"/>
      <c r="P4434" s="76"/>
      <c r="Q4434" s="76"/>
      <c r="R4434" s="76"/>
      <c r="S4434" s="76"/>
      <c r="BD4434" s="99">
        <f t="shared" si="145"/>
        <v>0</v>
      </c>
      <c r="CC4434" s="99"/>
      <c r="CV4434" s="99"/>
      <c r="CW4434" s="63"/>
    </row>
    <row r="4435" spans="1:101" x14ac:dyDescent="0.15">
      <c r="A4435" s="76">
        <v>4173</v>
      </c>
      <c r="B4435" s="74" t="s">
        <v>6379</v>
      </c>
      <c r="C4435" s="74" t="s">
        <v>6380</v>
      </c>
      <c r="D4435" s="78" t="str">
        <f t="shared" si="144"/>
        <v>https://portal.dnb.de/opac.htm?method=simpleSearch&amp;cqlMode=true&amp;query=idn%3D99598199X</v>
      </c>
      <c r="E4435" s="74" t="s">
        <v>6378</v>
      </c>
      <c r="F4435" s="74"/>
      <c r="G4435" s="76"/>
      <c r="H4435" s="77"/>
      <c r="I4435" s="76"/>
      <c r="J4435" s="77"/>
      <c r="K4435" s="77"/>
      <c r="L4435" s="76"/>
      <c r="M4435" s="76"/>
      <c r="N4435" s="76"/>
      <c r="O4435" s="76"/>
      <c r="P4435" s="76"/>
      <c r="Q4435" s="76"/>
      <c r="R4435" s="76"/>
      <c r="S4435" s="76"/>
      <c r="BD4435" s="99">
        <f t="shared" si="145"/>
        <v>0</v>
      </c>
      <c r="CC4435" s="99"/>
      <c r="CV4435" s="99"/>
      <c r="CW4435" s="63"/>
    </row>
    <row r="4436" spans="1:101" x14ac:dyDescent="0.15">
      <c r="A4436" s="76">
        <v>4174</v>
      </c>
      <c r="B4436" s="74" t="s">
        <v>6381</v>
      </c>
      <c r="C4436" s="74" t="s">
        <v>6382</v>
      </c>
      <c r="D4436" s="78" t="str">
        <f t="shared" si="144"/>
        <v>https://portal.dnb.de/opac.htm?method=simpleSearch&amp;cqlMode=true&amp;query=idn%3D99598266X</v>
      </c>
      <c r="E4436" s="74" t="s">
        <v>6378</v>
      </c>
      <c r="F4436" s="74"/>
      <c r="G4436" s="76"/>
      <c r="H4436" s="77"/>
      <c r="I4436" s="76"/>
      <c r="J4436" s="77"/>
      <c r="K4436" s="77"/>
      <c r="L4436" s="76"/>
      <c r="M4436" s="76"/>
      <c r="N4436" s="76"/>
      <c r="O4436" s="76"/>
      <c r="P4436" s="76"/>
      <c r="Q4436" s="76"/>
      <c r="R4436" s="76"/>
      <c r="S4436" s="76"/>
      <c r="BD4436" s="99">
        <f t="shared" si="145"/>
        <v>0</v>
      </c>
      <c r="CC4436" s="99"/>
      <c r="CV4436" s="99"/>
      <c r="CW4436" s="63"/>
    </row>
    <row r="4437" spans="1:101" x14ac:dyDescent="0.15">
      <c r="A4437" s="76">
        <v>4175</v>
      </c>
      <c r="B4437" s="74" t="s">
        <v>6383</v>
      </c>
      <c r="C4437" s="74">
        <v>995982783</v>
      </c>
      <c r="D4437" s="78" t="str">
        <f t="shared" si="144"/>
        <v>https://portal.dnb.de/opac.htm?method=simpleSearch&amp;cqlMode=true&amp;query=idn%3D995982783</v>
      </c>
      <c r="E4437" s="74" t="s">
        <v>6378</v>
      </c>
      <c r="F4437" s="74"/>
      <c r="G4437" s="76"/>
      <c r="H4437" s="77"/>
      <c r="I4437" s="76"/>
      <c r="J4437" s="77"/>
      <c r="K4437" s="77"/>
      <c r="L4437" s="76"/>
      <c r="M4437" s="76"/>
      <c r="N4437" s="76"/>
      <c r="O4437" s="76"/>
      <c r="P4437" s="76"/>
      <c r="Q4437" s="76"/>
      <c r="R4437" s="76"/>
      <c r="S4437" s="76"/>
      <c r="BD4437" s="99">
        <f t="shared" si="145"/>
        <v>0</v>
      </c>
      <c r="CC4437" s="99"/>
      <c r="CV4437" s="99"/>
      <c r="CW4437" s="63"/>
    </row>
    <row r="4438" spans="1:101" x14ac:dyDescent="0.15">
      <c r="A4438" s="76">
        <v>4176</v>
      </c>
      <c r="B4438" s="74" t="s">
        <v>6384</v>
      </c>
      <c r="C4438" s="74">
        <v>995982090</v>
      </c>
      <c r="D4438" s="78" t="str">
        <f t="shared" si="144"/>
        <v>https://portal.dnb.de/opac.htm?method=simpleSearch&amp;cqlMode=true&amp;query=idn%3D995982090</v>
      </c>
      <c r="E4438" s="74" t="s">
        <v>6378</v>
      </c>
      <c r="F4438" s="74"/>
      <c r="G4438" s="76"/>
      <c r="H4438" s="77"/>
      <c r="I4438" s="76"/>
      <c r="J4438" s="77"/>
      <c r="K4438" s="77"/>
      <c r="L4438" s="76"/>
      <c r="M4438" s="76"/>
      <c r="N4438" s="76"/>
      <c r="O4438" s="76"/>
      <c r="P4438" s="76"/>
      <c r="Q4438" s="76"/>
      <c r="R4438" s="76"/>
      <c r="S4438" s="76"/>
      <c r="BD4438" s="99">
        <f t="shared" si="145"/>
        <v>0</v>
      </c>
      <c r="CC4438" s="99"/>
      <c r="CV4438" s="99"/>
      <c r="CW4438" s="63"/>
    </row>
    <row r="4439" spans="1:101" x14ac:dyDescent="0.15">
      <c r="A4439" s="76">
        <v>4177</v>
      </c>
      <c r="B4439" s="74" t="s">
        <v>6385</v>
      </c>
      <c r="C4439" s="74">
        <v>995982279</v>
      </c>
      <c r="D4439" s="78" t="str">
        <f t="shared" si="144"/>
        <v>https://portal.dnb.de/opac.htm?method=simpleSearch&amp;cqlMode=true&amp;query=idn%3D995982279</v>
      </c>
      <c r="E4439" s="74" t="s">
        <v>6378</v>
      </c>
      <c r="F4439" s="74"/>
      <c r="G4439" s="76"/>
      <c r="H4439" s="77"/>
      <c r="I4439" s="76"/>
      <c r="J4439" s="77"/>
      <c r="K4439" s="77"/>
      <c r="L4439" s="76"/>
      <c r="M4439" s="76"/>
      <c r="N4439" s="76"/>
      <c r="O4439" s="76"/>
      <c r="P4439" s="76"/>
      <c r="Q4439" s="76"/>
      <c r="R4439" s="76"/>
      <c r="S4439" s="76"/>
      <c r="BD4439" s="99">
        <f t="shared" si="145"/>
        <v>0</v>
      </c>
      <c r="CC4439" s="99"/>
      <c r="CV4439" s="99"/>
      <c r="CW4439" s="63"/>
    </row>
    <row r="4440" spans="1:101" x14ac:dyDescent="0.15">
      <c r="A4440" s="76">
        <v>4178</v>
      </c>
      <c r="B4440" s="74" t="s">
        <v>6386</v>
      </c>
      <c r="C4440" s="74">
        <v>995981914</v>
      </c>
      <c r="D4440" s="78" t="str">
        <f t="shared" si="144"/>
        <v>https://portal.dnb.de/opac.htm?method=simpleSearch&amp;cqlMode=true&amp;query=idn%3D995981914</v>
      </c>
      <c r="E4440" s="74" t="s">
        <v>6378</v>
      </c>
      <c r="F4440" s="74"/>
      <c r="G4440" s="76"/>
      <c r="H4440" s="77"/>
      <c r="I4440" s="76"/>
      <c r="J4440" s="77"/>
      <c r="K4440" s="77"/>
      <c r="L4440" s="76"/>
      <c r="M4440" s="76"/>
      <c r="N4440" s="76"/>
      <c r="O4440" s="76"/>
      <c r="P4440" s="76"/>
      <c r="Q4440" s="76"/>
      <c r="R4440" s="76"/>
      <c r="S4440" s="76"/>
      <c r="BD4440" s="99">
        <f t="shared" si="145"/>
        <v>0</v>
      </c>
      <c r="CC4440" s="99"/>
      <c r="CV4440" s="99"/>
      <c r="CW4440" s="63"/>
    </row>
    <row r="4441" spans="1:101" x14ac:dyDescent="0.15">
      <c r="A4441" s="76">
        <v>4179</v>
      </c>
      <c r="B4441" s="74" t="s">
        <v>6387</v>
      </c>
      <c r="C4441" s="74">
        <v>995983062</v>
      </c>
      <c r="D4441" s="78" t="str">
        <f t="shared" si="144"/>
        <v>https://portal.dnb.de/opac.htm?method=simpleSearch&amp;cqlMode=true&amp;query=idn%3D995983062</v>
      </c>
      <c r="E4441" s="74" t="s">
        <v>6378</v>
      </c>
      <c r="F4441" s="74"/>
      <c r="G4441" s="76"/>
      <c r="H4441" s="77"/>
      <c r="I4441" s="76"/>
      <c r="J4441" s="77"/>
      <c r="K4441" s="77"/>
      <c r="L4441" s="76"/>
      <c r="M4441" s="76"/>
      <c r="N4441" s="76"/>
      <c r="O4441" s="76"/>
      <c r="P4441" s="76"/>
      <c r="Q4441" s="76"/>
      <c r="R4441" s="76"/>
      <c r="S4441" s="76"/>
      <c r="BD4441" s="99">
        <f t="shared" si="145"/>
        <v>0</v>
      </c>
      <c r="CC4441" s="99"/>
      <c r="CV4441" s="99"/>
      <c r="CW4441" s="63"/>
    </row>
    <row r="4442" spans="1:101" x14ac:dyDescent="0.15">
      <c r="A4442" s="76">
        <v>4180</v>
      </c>
      <c r="B4442" s="74" t="s">
        <v>6388</v>
      </c>
      <c r="C4442" s="74">
        <v>999036882</v>
      </c>
      <c r="D4442" s="78" t="str">
        <f t="shared" si="144"/>
        <v>https://portal.dnb.de/opac.htm?method=simpleSearch&amp;cqlMode=true&amp;query=idn%3D999036882</v>
      </c>
      <c r="E4442" s="74" t="s">
        <v>6389</v>
      </c>
      <c r="F4442" s="74"/>
      <c r="G4442" s="76"/>
      <c r="H4442" s="77"/>
      <c r="I4442" s="76"/>
      <c r="J4442" s="77"/>
      <c r="K4442" s="77"/>
      <c r="L4442" s="76"/>
      <c r="M4442" s="76"/>
      <c r="N4442" s="76"/>
      <c r="O4442" s="76"/>
      <c r="P4442" s="76"/>
      <c r="Q4442" s="76"/>
      <c r="R4442" s="76"/>
      <c r="S4442" s="76"/>
      <c r="BD4442" s="99">
        <f t="shared" si="145"/>
        <v>0</v>
      </c>
      <c r="CC4442" s="99"/>
      <c r="CV4442" s="99"/>
      <c r="CW4442" s="63"/>
    </row>
    <row r="4443" spans="1:101" x14ac:dyDescent="0.15">
      <c r="A4443" s="76">
        <v>4181</v>
      </c>
      <c r="B4443" s="74" t="s">
        <v>6403</v>
      </c>
      <c r="C4443" s="74">
        <v>995601720</v>
      </c>
      <c r="D4443" s="78" t="str">
        <f t="shared" si="144"/>
        <v>https://portal.dnb.de/opac.htm?method=simpleSearch&amp;cqlMode=true&amp;query=idn%3D995601720</v>
      </c>
      <c r="E4443" s="74" t="s">
        <v>6404</v>
      </c>
      <c r="F4443" s="74"/>
      <c r="G4443" s="76"/>
      <c r="H4443" s="77"/>
      <c r="I4443" s="76"/>
      <c r="J4443" s="77"/>
      <c r="K4443" s="77"/>
      <c r="L4443" s="76"/>
      <c r="M4443" s="76"/>
      <c r="N4443" s="76"/>
      <c r="O4443" s="76"/>
      <c r="P4443" s="76"/>
      <c r="Q4443" s="76"/>
      <c r="R4443" s="76"/>
      <c r="S4443" s="76"/>
      <c r="BD4443" s="99">
        <f t="shared" si="145"/>
        <v>0</v>
      </c>
      <c r="CC4443" s="99"/>
      <c r="CV4443" s="99"/>
      <c r="CW4443" s="63"/>
    </row>
    <row r="4444" spans="1:101" x14ac:dyDescent="0.15">
      <c r="A4444" s="76">
        <v>4182</v>
      </c>
      <c r="B4444" s="74" t="s">
        <v>6337</v>
      </c>
      <c r="C4444" s="74" t="s">
        <v>6338</v>
      </c>
      <c r="D4444" s="78" t="str">
        <f t="shared" si="144"/>
        <v>https://portal.dnb.de/opac.htm?method=simpleSearch&amp;cqlMode=true&amp;query=idn%3D120866526X</v>
      </c>
      <c r="E4444" s="74" t="s">
        <v>6339</v>
      </c>
      <c r="F4444" s="74"/>
      <c r="G4444" s="76"/>
      <c r="H4444" s="77"/>
      <c r="I4444" s="76"/>
      <c r="J4444" s="77"/>
      <c r="K4444" s="77"/>
      <c r="L4444" s="76"/>
      <c r="M4444" s="76"/>
      <c r="N4444" s="76"/>
      <c r="O4444" s="76"/>
      <c r="P4444" s="76"/>
      <c r="Q4444" s="76"/>
      <c r="R4444" s="76"/>
      <c r="S4444" s="76"/>
      <c r="BD4444" s="99">
        <f t="shared" si="145"/>
        <v>0</v>
      </c>
      <c r="CC4444" s="99"/>
      <c r="CV4444" s="99"/>
      <c r="CW4444" s="63"/>
    </row>
    <row r="4445" spans="1:101" x14ac:dyDescent="0.15">
      <c r="A4445" s="76">
        <v>4183</v>
      </c>
      <c r="B4445" s="74" t="s">
        <v>6340</v>
      </c>
      <c r="C4445" s="74">
        <v>1001346327</v>
      </c>
      <c r="D4445" s="78" t="str">
        <f t="shared" si="144"/>
        <v>https://portal.dnb.de/opac.htm?method=simpleSearch&amp;cqlMode=true&amp;query=idn%3D1001346327</v>
      </c>
      <c r="E4445" s="74" t="s">
        <v>6341</v>
      </c>
      <c r="F4445" s="74"/>
      <c r="G4445" s="76"/>
      <c r="H4445" s="77"/>
      <c r="I4445" s="76"/>
      <c r="J4445" s="77"/>
      <c r="K4445" s="77"/>
      <c r="L4445" s="76"/>
      <c r="M4445" s="76"/>
      <c r="N4445" s="76"/>
      <c r="O4445" s="76"/>
      <c r="P4445" s="76"/>
      <c r="Q4445" s="76"/>
      <c r="R4445" s="76"/>
      <c r="S4445" s="76"/>
      <c r="BD4445" s="99">
        <f t="shared" si="145"/>
        <v>0</v>
      </c>
      <c r="CC4445" s="99"/>
      <c r="CV4445" s="99"/>
      <c r="CW4445" s="63"/>
    </row>
    <row r="4446" spans="1:101" x14ac:dyDescent="0.15">
      <c r="A4446" s="76">
        <v>4184</v>
      </c>
      <c r="B4446" s="74" t="s">
        <v>6342</v>
      </c>
      <c r="C4446" s="74">
        <v>1000240541</v>
      </c>
      <c r="D4446" s="78" t="str">
        <f t="shared" si="144"/>
        <v>https://portal.dnb.de/opac.htm?method=simpleSearch&amp;cqlMode=true&amp;query=idn%3D1000240541</v>
      </c>
      <c r="E4446" s="74" t="s">
        <v>6343</v>
      </c>
      <c r="F4446" s="74"/>
      <c r="G4446" s="76"/>
      <c r="H4446" s="77"/>
      <c r="I4446" s="76"/>
      <c r="J4446" s="77"/>
      <c r="K4446" s="77"/>
      <c r="L4446" s="76"/>
      <c r="M4446" s="76"/>
      <c r="N4446" s="76"/>
      <c r="O4446" s="76"/>
      <c r="P4446" s="76"/>
      <c r="Q4446" s="76"/>
      <c r="R4446" s="76"/>
      <c r="S4446" s="76"/>
      <c r="BD4446" s="99">
        <f t="shared" si="145"/>
        <v>0</v>
      </c>
      <c r="CC4446" s="99"/>
      <c r="CV4446" s="99"/>
      <c r="CW4446" s="63"/>
    </row>
    <row r="4447" spans="1:101" ht="33.75" x14ac:dyDescent="0.15">
      <c r="A4447" s="76">
        <v>4185</v>
      </c>
      <c r="B4447" s="74" t="s">
        <v>6344</v>
      </c>
      <c r="C4447" s="74">
        <v>997638400</v>
      </c>
      <c r="D4447" s="78" t="str">
        <f t="shared" si="144"/>
        <v>https://portal.dnb.de/opac.htm?method=simpleSearch&amp;cqlMode=true&amp;query=idn%3D997638400</v>
      </c>
      <c r="E4447" s="74" t="s">
        <v>6345</v>
      </c>
      <c r="F4447" s="74"/>
      <c r="G4447" s="76"/>
      <c r="H4447" s="77"/>
      <c r="I4447" s="76" t="s">
        <v>54</v>
      </c>
      <c r="J4447" s="77"/>
      <c r="K4447" s="77"/>
      <c r="L4447" s="76"/>
      <c r="M4447" s="76"/>
      <c r="N4447" s="76"/>
      <c r="O4447" s="76"/>
      <c r="P4447" s="76"/>
      <c r="Q4447" s="76"/>
      <c r="R4447" s="76"/>
      <c r="S4447" s="76"/>
      <c r="Y4447" s="95" t="s">
        <v>9729</v>
      </c>
      <c r="AC4447" s="95" t="s">
        <v>9739</v>
      </c>
      <c r="AE4447" s="95" t="s">
        <v>8541</v>
      </c>
      <c r="AI4447" s="95" t="s">
        <v>9725</v>
      </c>
      <c r="AW4447" s="95">
        <v>45</v>
      </c>
      <c r="BC4447" s="96" t="s">
        <v>9726</v>
      </c>
      <c r="BD4447" s="99">
        <f t="shared" si="145"/>
        <v>4.5</v>
      </c>
      <c r="BO4447" s="70" t="s">
        <v>10036</v>
      </c>
      <c r="BP4447" s="69" t="s">
        <v>8541</v>
      </c>
      <c r="BQ4447" s="95" t="s">
        <v>8541</v>
      </c>
      <c r="BR4447" s="95" t="s">
        <v>8541</v>
      </c>
      <c r="BT4447" s="95" t="s">
        <v>9775</v>
      </c>
      <c r="CC4447" s="99">
        <v>2</v>
      </c>
      <c r="CD4447" s="90" t="s">
        <v>10293</v>
      </c>
      <c r="CH4447" s="95" t="s">
        <v>8541</v>
      </c>
      <c r="CL4447" s="95" t="s">
        <v>8541</v>
      </c>
      <c r="CN4447" s="95" t="s">
        <v>8541</v>
      </c>
      <c r="CV4447" s="99">
        <v>2.5</v>
      </c>
      <c r="CW4447" s="63"/>
    </row>
    <row r="4448" spans="1:101" x14ac:dyDescent="0.15">
      <c r="A4448" s="76">
        <v>4186</v>
      </c>
      <c r="B4448" s="74" t="s">
        <v>6346</v>
      </c>
      <c r="C4448" s="74">
        <v>997039531</v>
      </c>
      <c r="D4448" s="78" t="str">
        <f t="shared" si="144"/>
        <v>https://portal.dnb.de/opac.htm?method=simpleSearch&amp;cqlMode=true&amp;query=idn%3D997039531</v>
      </c>
      <c r="E4448" s="74" t="s">
        <v>6347</v>
      </c>
      <c r="F4448" s="74"/>
      <c r="G4448" s="76"/>
      <c r="H4448" s="77"/>
      <c r="I4448" s="76"/>
      <c r="J4448" s="77"/>
      <c r="K4448" s="77"/>
      <c r="L4448" s="76"/>
      <c r="M4448" s="76"/>
      <c r="N4448" s="76"/>
      <c r="O4448" s="76"/>
      <c r="P4448" s="76"/>
      <c r="Q4448" s="76"/>
      <c r="R4448" s="76"/>
      <c r="S4448" s="76"/>
      <c r="BD4448" s="99">
        <f t="shared" si="145"/>
        <v>0</v>
      </c>
      <c r="CC4448" s="99"/>
      <c r="CV4448" s="99"/>
      <c r="CW4448" s="63"/>
    </row>
    <row r="4449" spans="1:101" x14ac:dyDescent="0.15">
      <c r="A4449" s="76">
        <v>4187</v>
      </c>
      <c r="B4449" s="74" t="s">
        <v>6348</v>
      </c>
      <c r="C4449" s="74">
        <v>997038217</v>
      </c>
      <c r="D4449" s="78" t="str">
        <f t="shared" ref="D4449:D4512" si="146">HYPERLINK(CONCATENATE("https://portal.dnb.de/opac.htm?method=simpleSearch&amp;cqlMode=true&amp;query=idn%3D",C4449))</f>
        <v>https://portal.dnb.de/opac.htm?method=simpleSearch&amp;cqlMode=true&amp;query=idn%3D997038217</v>
      </c>
      <c r="E4449" s="74" t="s">
        <v>6349</v>
      </c>
      <c r="F4449" s="74"/>
      <c r="G4449" s="76"/>
      <c r="H4449" s="77"/>
      <c r="I4449" s="76"/>
      <c r="J4449" s="77"/>
      <c r="K4449" s="77"/>
      <c r="L4449" s="76"/>
      <c r="M4449" s="76"/>
      <c r="N4449" s="76"/>
      <c r="O4449" s="76"/>
      <c r="P4449" s="76"/>
      <c r="Q4449" s="76"/>
      <c r="R4449" s="76"/>
      <c r="S4449" s="76"/>
      <c r="BD4449" s="99">
        <f t="shared" si="145"/>
        <v>0</v>
      </c>
      <c r="CC4449" s="99"/>
      <c r="CV4449" s="99"/>
      <c r="CW4449" s="63"/>
    </row>
    <row r="4450" spans="1:101" x14ac:dyDescent="0.15">
      <c r="A4450" s="76">
        <v>4188</v>
      </c>
      <c r="B4450" s="74" t="s">
        <v>6350</v>
      </c>
      <c r="C4450" s="74">
        <v>994896794</v>
      </c>
      <c r="D4450" s="78" t="str">
        <f t="shared" si="146"/>
        <v>https://portal.dnb.de/opac.htm?method=simpleSearch&amp;cqlMode=true&amp;query=idn%3D994896794</v>
      </c>
      <c r="E4450" s="74" t="s">
        <v>6351</v>
      </c>
      <c r="F4450" s="74"/>
      <c r="G4450" s="76"/>
      <c r="H4450" s="77"/>
      <c r="I4450" s="76"/>
      <c r="J4450" s="77"/>
      <c r="K4450" s="77"/>
      <c r="L4450" s="76"/>
      <c r="M4450" s="76"/>
      <c r="N4450" s="76"/>
      <c r="O4450" s="76"/>
      <c r="P4450" s="76"/>
      <c r="Q4450" s="76"/>
      <c r="R4450" s="76"/>
      <c r="S4450" s="76"/>
      <c r="BD4450" s="99">
        <f t="shared" si="145"/>
        <v>0</v>
      </c>
      <c r="CC4450" s="99"/>
      <c r="CV4450" s="99"/>
      <c r="CW4450" s="63"/>
    </row>
    <row r="4451" spans="1:101" x14ac:dyDescent="0.15">
      <c r="A4451" s="76">
        <v>4189</v>
      </c>
      <c r="B4451" s="74" t="s">
        <v>6354</v>
      </c>
      <c r="C4451" s="74">
        <v>997926147</v>
      </c>
      <c r="D4451" s="78" t="str">
        <f t="shared" si="146"/>
        <v>https://portal.dnb.de/opac.htm?method=simpleSearch&amp;cqlMode=true&amp;query=idn%3D997926147</v>
      </c>
      <c r="E4451" s="74" t="s">
        <v>6355</v>
      </c>
      <c r="F4451" s="74"/>
      <c r="G4451" s="76"/>
      <c r="H4451" s="77"/>
      <c r="I4451" s="76"/>
      <c r="J4451" s="77"/>
      <c r="K4451" s="77"/>
      <c r="L4451" s="76"/>
      <c r="M4451" s="76"/>
      <c r="N4451" s="76"/>
      <c r="O4451" s="76"/>
      <c r="P4451" s="76"/>
      <c r="Q4451" s="76"/>
      <c r="R4451" s="76"/>
      <c r="S4451" s="76"/>
      <c r="BD4451" s="99">
        <f t="shared" si="145"/>
        <v>0</v>
      </c>
      <c r="CC4451" s="99"/>
      <c r="CV4451" s="99"/>
      <c r="CW4451" s="63"/>
    </row>
    <row r="4452" spans="1:101" x14ac:dyDescent="0.15">
      <c r="A4452" s="76">
        <v>4190</v>
      </c>
      <c r="B4452" s="74" t="s">
        <v>6356</v>
      </c>
      <c r="C4452" s="74">
        <v>1066937656</v>
      </c>
      <c r="D4452" s="78" t="str">
        <f t="shared" si="146"/>
        <v>https://portal.dnb.de/opac.htm?method=simpleSearch&amp;cqlMode=true&amp;query=idn%3D1066937656</v>
      </c>
      <c r="E4452" s="74" t="s">
        <v>6357</v>
      </c>
      <c r="F4452" s="74"/>
      <c r="G4452" s="76"/>
      <c r="H4452" s="77"/>
      <c r="I4452" s="76"/>
      <c r="J4452" s="77"/>
      <c r="K4452" s="77"/>
      <c r="L4452" s="76"/>
      <c r="M4452" s="76"/>
      <c r="N4452" s="76"/>
      <c r="O4452" s="76"/>
      <c r="P4452" s="76"/>
      <c r="Q4452" s="76"/>
      <c r="R4452" s="76"/>
      <c r="S4452" s="76"/>
      <c r="BD4452" s="99">
        <f t="shared" si="145"/>
        <v>0</v>
      </c>
      <c r="CC4452" s="99"/>
      <c r="CV4452" s="99"/>
      <c r="CW4452" s="63"/>
    </row>
    <row r="4453" spans="1:101" x14ac:dyDescent="0.15">
      <c r="A4453" s="76">
        <v>4191</v>
      </c>
      <c r="B4453" s="74" t="s">
        <v>6358</v>
      </c>
      <c r="C4453" s="74">
        <v>998434523</v>
      </c>
      <c r="D4453" s="78" t="str">
        <f t="shared" si="146"/>
        <v>https://portal.dnb.de/opac.htm?method=simpleSearch&amp;cqlMode=true&amp;query=idn%3D998434523</v>
      </c>
      <c r="E4453" s="74" t="s">
        <v>6359</v>
      </c>
      <c r="F4453" s="74"/>
      <c r="G4453" s="76"/>
      <c r="H4453" s="77"/>
      <c r="I4453" s="76"/>
      <c r="J4453" s="77"/>
      <c r="K4453" s="77"/>
      <c r="L4453" s="76"/>
      <c r="M4453" s="76"/>
      <c r="N4453" s="76"/>
      <c r="O4453" s="76"/>
      <c r="P4453" s="76"/>
      <c r="Q4453" s="76"/>
      <c r="R4453" s="76"/>
      <c r="S4453" s="76"/>
      <c r="BD4453" s="99">
        <f t="shared" si="145"/>
        <v>0</v>
      </c>
      <c r="CC4453" s="99"/>
      <c r="CV4453" s="99"/>
      <c r="CW4453" s="63"/>
    </row>
    <row r="4454" spans="1:101" x14ac:dyDescent="0.15">
      <c r="A4454" s="76">
        <v>4192</v>
      </c>
      <c r="B4454" s="74" t="s">
        <v>6390</v>
      </c>
      <c r="C4454" s="74" t="s">
        <v>6391</v>
      </c>
      <c r="D4454" s="78" t="str">
        <f t="shared" si="146"/>
        <v>https://portal.dnb.de/opac.htm?method=simpleSearch&amp;cqlMode=true&amp;query=idn%3D99425010X</v>
      </c>
      <c r="E4454" s="74" t="s">
        <v>6392</v>
      </c>
      <c r="F4454" s="74"/>
      <c r="G4454" s="76"/>
      <c r="H4454" s="77"/>
      <c r="I4454" s="76"/>
      <c r="J4454" s="77"/>
      <c r="K4454" s="77"/>
      <c r="L4454" s="76"/>
      <c r="M4454" s="76"/>
      <c r="N4454" s="76"/>
      <c r="O4454" s="76"/>
      <c r="P4454" s="76"/>
      <c r="Q4454" s="76"/>
      <c r="R4454" s="76"/>
      <c r="S4454" s="76"/>
      <c r="BD4454" s="99">
        <f t="shared" si="145"/>
        <v>0</v>
      </c>
      <c r="CC4454" s="99"/>
      <c r="CV4454" s="99"/>
      <c r="CW4454" s="63"/>
    </row>
    <row r="4455" spans="1:101" x14ac:dyDescent="0.15">
      <c r="A4455" s="76">
        <v>4193</v>
      </c>
      <c r="B4455" s="74" t="s">
        <v>6393</v>
      </c>
      <c r="C4455" s="74">
        <v>994249411</v>
      </c>
      <c r="D4455" s="78" t="str">
        <f t="shared" si="146"/>
        <v>https://portal.dnb.de/opac.htm?method=simpleSearch&amp;cqlMode=true&amp;query=idn%3D994249411</v>
      </c>
      <c r="E4455" s="74" t="s">
        <v>6392</v>
      </c>
      <c r="F4455" s="74"/>
      <c r="G4455" s="76"/>
      <c r="H4455" s="77"/>
      <c r="I4455" s="76"/>
      <c r="J4455" s="77"/>
      <c r="K4455" s="77"/>
      <c r="L4455" s="76"/>
      <c r="M4455" s="76"/>
      <c r="N4455" s="76"/>
      <c r="O4455" s="76"/>
      <c r="P4455" s="76"/>
      <c r="Q4455" s="76"/>
      <c r="R4455" s="76"/>
      <c r="S4455" s="76"/>
      <c r="BD4455" s="99">
        <f t="shared" si="145"/>
        <v>0</v>
      </c>
      <c r="CC4455" s="99"/>
      <c r="CV4455" s="99"/>
      <c r="CW4455" s="63"/>
    </row>
    <row r="4456" spans="1:101" x14ac:dyDescent="0.15">
      <c r="A4456" s="76">
        <v>4194</v>
      </c>
      <c r="B4456" s="74" t="s">
        <v>6394</v>
      </c>
      <c r="C4456" s="74">
        <v>1001684435</v>
      </c>
      <c r="D4456" s="78" t="str">
        <f t="shared" si="146"/>
        <v>https://portal.dnb.de/opac.htm?method=simpleSearch&amp;cqlMode=true&amp;query=idn%3D1001684435</v>
      </c>
      <c r="E4456" s="74" t="s">
        <v>6395</v>
      </c>
      <c r="F4456" s="74"/>
      <c r="G4456" s="76"/>
      <c r="H4456" s="77"/>
      <c r="I4456" s="76"/>
      <c r="J4456" s="77"/>
      <c r="K4456" s="77"/>
      <c r="L4456" s="76"/>
      <c r="M4456" s="76"/>
      <c r="N4456" s="76"/>
      <c r="O4456" s="76"/>
      <c r="P4456" s="76"/>
      <c r="Q4456" s="76"/>
      <c r="R4456" s="76"/>
      <c r="S4456" s="76"/>
      <c r="BD4456" s="99">
        <f t="shared" si="145"/>
        <v>0</v>
      </c>
      <c r="CC4456" s="99"/>
      <c r="CV4456" s="99"/>
      <c r="CW4456" s="63"/>
    </row>
    <row r="4457" spans="1:101" x14ac:dyDescent="0.15">
      <c r="A4457" s="76">
        <v>4195</v>
      </c>
      <c r="B4457" s="74" t="s">
        <v>6396</v>
      </c>
      <c r="C4457" s="74" t="s">
        <v>6397</v>
      </c>
      <c r="D4457" s="78" t="str">
        <f t="shared" si="146"/>
        <v>https://portal.dnb.de/opac.htm?method=simpleSearch&amp;cqlMode=true&amp;query=idn%3D100199390X</v>
      </c>
      <c r="E4457" s="74" t="s">
        <v>6398</v>
      </c>
      <c r="F4457" s="74"/>
      <c r="G4457" s="76"/>
      <c r="H4457" s="77"/>
      <c r="I4457" s="76"/>
      <c r="J4457" s="77"/>
      <c r="K4457" s="77"/>
      <c r="L4457" s="76"/>
      <c r="M4457" s="76"/>
      <c r="N4457" s="76"/>
      <c r="O4457" s="76"/>
      <c r="P4457" s="76"/>
      <c r="Q4457" s="76"/>
      <c r="R4457" s="76"/>
      <c r="S4457" s="76"/>
      <c r="BD4457" s="99">
        <f t="shared" si="145"/>
        <v>0</v>
      </c>
      <c r="CC4457" s="99"/>
      <c r="CV4457" s="99"/>
      <c r="CW4457" s="63"/>
    </row>
    <row r="4458" spans="1:101" x14ac:dyDescent="0.15">
      <c r="A4458" s="76">
        <v>4196</v>
      </c>
      <c r="B4458" s="74" t="s">
        <v>6399</v>
      </c>
      <c r="C4458" s="74">
        <v>994366035</v>
      </c>
      <c r="D4458" s="78" t="str">
        <f t="shared" si="146"/>
        <v>https://portal.dnb.de/opac.htm?method=simpleSearch&amp;cqlMode=true&amp;query=idn%3D994366035</v>
      </c>
      <c r="E4458" s="74" t="s">
        <v>6398</v>
      </c>
      <c r="F4458" s="74"/>
      <c r="G4458" s="76"/>
      <c r="H4458" s="77"/>
      <c r="I4458" s="76"/>
      <c r="J4458" s="77"/>
      <c r="K4458" s="77"/>
      <c r="L4458" s="76"/>
      <c r="M4458" s="76"/>
      <c r="N4458" s="76"/>
      <c r="O4458" s="76"/>
      <c r="P4458" s="76"/>
      <c r="Q4458" s="76"/>
      <c r="R4458" s="76"/>
      <c r="S4458" s="76"/>
      <c r="BD4458" s="99">
        <f t="shared" si="145"/>
        <v>0</v>
      </c>
      <c r="CC4458" s="99"/>
      <c r="CV4458" s="99"/>
      <c r="CW4458" s="63"/>
    </row>
    <row r="4459" spans="1:101" x14ac:dyDescent="0.15">
      <c r="A4459" s="76">
        <v>4197</v>
      </c>
      <c r="B4459" s="74" t="s">
        <v>6400</v>
      </c>
      <c r="C4459" s="74">
        <v>994427573</v>
      </c>
      <c r="D4459" s="78" t="str">
        <f t="shared" si="146"/>
        <v>https://portal.dnb.de/opac.htm?method=simpleSearch&amp;cqlMode=true&amp;query=idn%3D994427573</v>
      </c>
      <c r="E4459" s="74" t="s">
        <v>6398</v>
      </c>
      <c r="F4459" s="74"/>
      <c r="G4459" s="76"/>
      <c r="H4459" s="77"/>
      <c r="I4459" s="76"/>
      <c r="J4459" s="77"/>
      <c r="K4459" s="77"/>
      <c r="L4459" s="76"/>
      <c r="M4459" s="76"/>
      <c r="N4459" s="76"/>
      <c r="O4459" s="76"/>
      <c r="P4459" s="76"/>
      <c r="Q4459" s="76"/>
      <c r="R4459" s="76"/>
      <c r="S4459" s="76"/>
      <c r="BD4459" s="99">
        <f t="shared" si="145"/>
        <v>0</v>
      </c>
      <c r="CC4459" s="99"/>
      <c r="CV4459" s="99"/>
      <c r="CW4459" s="63"/>
    </row>
    <row r="4460" spans="1:101" x14ac:dyDescent="0.15">
      <c r="A4460" s="76">
        <v>4198</v>
      </c>
      <c r="B4460" s="74" t="s">
        <v>6423</v>
      </c>
      <c r="C4460" s="74">
        <v>994198167</v>
      </c>
      <c r="D4460" s="78" t="str">
        <f t="shared" si="146"/>
        <v>https://portal.dnb.de/opac.htm?method=simpleSearch&amp;cqlMode=true&amp;query=idn%3D994198167</v>
      </c>
      <c r="E4460" s="74" t="s">
        <v>6424</v>
      </c>
      <c r="F4460" s="74"/>
      <c r="G4460" s="76"/>
      <c r="H4460" s="77"/>
      <c r="I4460" s="76"/>
      <c r="J4460" s="77"/>
      <c r="K4460" s="77"/>
      <c r="L4460" s="76"/>
      <c r="M4460" s="76"/>
      <c r="N4460" s="76"/>
      <c r="O4460" s="76"/>
      <c r="P4460" s="76"/>
      <c r="Q4460" s="76"/>
      <c r="R4460" s="76"/>
      <c r="S4460" s="76"/>
      <c r="BD4460" s="99">
        <f t="shared" si="145"/>
        <v>0</v>
      </c>
      <c r="CC4460" s="99"/>
      <c r="CV4460" s="99"/>
      <c r="CW4460" s="63"/>
    </row>
    <row r="4461" spans="1:101" x14ac:dyDescent="0.15">
      <c r="A4461" s="76">
        <v>4199</v>
      </c>
      <c r="B4461" s="74" t="s">
        <v>6427</v>
      </c>
      <c r="C4461" s="74" t="s">
        <v>6428</v>
      </c>
      <c r="D4461" s="78" t="str">
        <f t="shared" si="146"/>
        <v>https://portal.dnb.de/opac.htm?method=simpleSearch&amp;cqlMode=true&amp;query=idn%3D106694119X</v>
      </c>
      <c r="E4461" s="74" t="s">
        <v>6429</v>
      </c>
      <c r="F4461" s="74"/>
      <c r="G4461" s="76"/>
      <c r="H4461" s="77"/>
      <c r="I4461" s="76"/>
      <c r="J4461" s="77"/>
      <c r="K4461" s="77"/>
      <c r="L4461" s="76"/>
      <c r="M4461" s="76"/>
      <c r="N4461" s="76"/>
      <c r="O4461" s="76"/>
      <c r="P4461" s="76"/>
      <c r="Q4461" s="76"/>
      <c r="R4461" s="76"/>
      <c r="S4461" s="76"/>
      <c r="BD4461" s="99">
        <f t="shared" si="145"/>
        <v>0</v>
      </c>
      <c r="CC4461" s="99"/>
      <c r="CV4461" s="99"/>
      <c r="CW4461" s="63"/>
    </row>
    <row r="4462" spans="1:101" x14ac:dyDescent="0.15">
      <c r="A4462" s="76">
        <v>4200</v>
      </c>
      <c r="B4462" s="74" t="s">
        <v>6430</v>
      </c>
      <c r="C4462" s="74">
        <v>1066841233</v>
      </c>
      <c r="D4462" s="78" t="str">
        <f t="shared" si="146"/>
        <v>https://portal.dnb.de/opac.htm?method=simpleSearch&amp;cqlMode=true&amp;query=idn%3D1066841233</v>
      </c>
      <c r="E4462" s="74" t="s">
        <v>6431</v>
      </c>
      <c r="F4462" s="74"/>
      <c r="G4462" s="76"/>
      <c r="H4462" s="77"/>
      <c r="I4462" s="76"/>
      <c r="J4462" s="77"/>
      <c r="K4462" s="77"/>
      <c r="L4462" s="76"/>
      <c r="M4462" s="76"/>
      <c r="N4462" s="76"/>
      <c r="O4462" s="76"/>
      <c r="P4462" s="76"/>
      <c r="Q4462" s="76"/>
      <c r="R4462" s="76"/>
      <c r="S4462" s="76"/>
      <c r="BD4462" s="99">
        <f t="shared" si="145"/>
        <v>0</v>
      </c>
      <c r="CC4462" s="99"/>
      <c r="CV4462" s="99"/>
      <c r="CW4462" s="63"/>
    </row>
    <row r="4463" spans="1:101" x14ac:dyDescent="0.15">
      <c r="A4463" s="76">
        <v>4201</v>
      </c>
      <c r="B4463" s="74" t="s">
        <v>6434</v>
      </c>
      <c r="C4463" s="74">
        <v>1066870098</v>
      </c>
      <c r="D4463" s="78" t="str">
        <f t="shared" si="146"/>
        <v>https://portal.dnb.de/opac.htm?method=simpleSearch&amp;cqlMode=true&amp;query=idn%3D1066870098</v>
      </c>
      <c r="E4463" s="74" t="s">
        <v>6435</v>
      </c>
      <c r="F4463" s="74"/>
      <c r="G4463" s="76"/>
      <c r="H4463" s="77"/>
      <c r="I4463" s="76"/>
      <c r="J4463" s="77"/>
      <c r="K4463" s="77"/>
      <c r="L4463" s="76"/>
      <c r="M4463" s="76"/>
      <c r="N4463" s="76"/>
      <c r="O4463" s="76"/>
      <c r="P4463" s="76"/>
      <c r="Q4463" s="76"/>
      <c r="R4463" s="76"/>
      <c r="S4463" s="76"/>
      <c r="BD4463" s="99">
        <f t="shared" si="145"/>
        <v>0</v>
      </c>
      <c r="CC4463" s="99"/>
      <c r="CV4463" s="99"/>
      <c r="CW4463" s="63"/>
    </row>
    <row r="4464" spans="1:101" x14ac:dyDescent="0.15">
      <c r="A4464" s="76">
        <v>4202</v>
      </c>
      <c r="B4464" s="74" t="s">
        <v>6436</v>
      </c>
      <c r="C4464" s="74">
        <v>999254561</v>
      </c>
      <c r="D4464" s="78" t="str">
        <f t="shared" si="146"/>
        <v>https://portal.dnb.de/opac.htm?method=simpleSearch&amp;cqlMode=true&amp;query=idn%3D999254561</v>
      </c>
      <c r="E4464" s="74" t="s">
        <v>6437</v>
      </c>
      <c r="F4464" s="74"/>
      <c r="G4464" s="76"/>
      <c r="H4464" s="77"/>
      <c r="I4464" s="76"/>
      <c r="J4464" s="77"/>
      <c r="K4464" s="77"/>
      <c r="L4464" s="76"/>
      <c r="M4464" s="76"/>
      <c r="N4464" s="76"/>
      <c r="O4464" s="76"/>
      <c r="P4464" s="76"/>
      <c r="Q4464" s="76"/>
      <c r="R4464" s="76"/>
      <c r="S4464" s="76"/>
      <c r="BD4464" s="99">
        <f t="shared" si="145"/>
        <v>0</v>
      </c>
      <c r="CC4464" s="99"/>
      <c r="CV4464" s="99"/>
      <c r="CW4464" s="63"/>
    </row>
    <row r="4465" spans="1:101" x14ac:dyDescent="0.15">
      <c r="A4465" s="76">
        <v>4203</v>
      </c>
      <c r="B4465" s="74" t="s">
        <v>6438</v>
      </c>
      <c r="C4465" s="74">
        <v>997037547</v>
      </c>
      <c r="D4465" s="78" t="str">
        <f t="shared" si="146"/>
        <v>https://portal.dnb.de/opac.htm?method=simpleSearch&amp;cqlMode=true&amp;query=idn%3D997037547</v>
      </c>
      <c r="E4465" s="74" t="s">
        <v>6437</v>
      </c>
      <c r="F4465" s="74"/>
      <c r="G4465" s="76"/>
      <c r="H4465" s="77"/>
      <c r="I4465" s="76"/>
      <c r="J4465" s="77"/>
      <c r="K4465" s="77"/>
      <c r="L4465" s="76"/>
      <c r="M4465" s="76"/>
      <c r="N4465" s="76"/>
      <c r="O4465" s="76"/>
      <c r="P4465" s="76"/>
      <c r="Q4465" s="76"/>
      <c r="R4465" s="76"/>
      <c r="S4465" s="76"/>
      <c r="BD4465" s="99">
        <f t="shared" si="145"/>
        <v>0</v>
      </c>
      <c r="CC4465" s="99"/>
      <c r="CV4465" s="99"/>
      <c r="CW4465" s="63"/>
    </row>
    <row r="4466" spans="1:101" x14ac:dyDescent="0.15">
      <c r="A4466" s="76">
        <v>4204</v>
      </c>
      <c r="B4466" s="74" t="s">
        <v>6439</v>
      </c>
      <c r="C4466" s="74">
        <v>994042795</v>
      </c>
      <c r="D4466" s="78" t="str">
        <f t="shared" si="146"/>
        <v>https://portal.dnb.de/opac.htm?method=simpleSearch&amp;cqlMode=true&amp;query=idn%3D994042795</v>
      </c>
      <c r="E4466" s="74" t="s">
        <v>6440</v>
      </c>
      <c r="F4466" s="74"/>
      <c r="G4466" s="76"/>
      <c r="H4466" s="77"/>
      <c r="I4466" s="76"/>
      <c r="J4466" s="77"/>
      <c r="K4466" s="77"/>
      <c r="L4466" s="76"/>
      <c r="M4466" s="76"/>
      <c r="N4466" s="76"/>
      <c r="O4466" s="76"/>
      <c r="P4466" s="76"/>
      <c r="Q4466" s="76"/>
      <c r="R4466" s="76"/>
      <c r="S4466" s="76"/>
      <c r="BD4466" s="99">
        <f t="shared" si="145"/>
        <v>0</v>
      </c>
      <c r="CC4466" s="99"/>
      <c r="CV4466" s="99"/>
      <c r="CW4466" s="63"/>
    </row>
    <row r="4467" spans="1:101" x14ac:dyDescent="0.15">
      <c r="A4467" s="76">
        <v>4205</v>
      </c>
      <c r="B4467" s="74" t="s">
        <v>6441</v>
      </c>
      <c r="C4467" s="74">
        <v>994042701</v>
      </c>
      <c r="D4467" s="78" t="str">
        <f t="shared" si="146"/>
        <v>https://portal.dnb.de/opac.htm?method=simpleSearch&amp;cqlMode=true&amp;query=idn%3D994042701</v>
      </c>
      <c r="E4467" s="74" t="s">
        <v>6440</v>
      </c>
      <c r="F4467" s="74"/>
      <c r="G4467" s="76"/>
      <c r="H4467" s="77"/>
      <c r="I4467" s="76"/>
      <c r="J4467" s="77"/>
      <c r="K4467" s="77"/>
      <c r="L4467" s="76"/>
      <c r="M4467" s="76"/>
      <c r="N4467" s="76"/>
      <c r="O4467" s="76"/>
      <c r="P4467" s="76"/>
      <c r="Q4467" s="76"/>
      <c r="R4467" s="76"/>
      <c r="S4467" s="76"/>
      <c r="BD4467" s="99">
        <f t="shared" si="145"/>
        <v>0</v>
      </c>
      <c r="CC4467" s="99"/>
      <c r="CV4467" s="99"/>
      <c r="CW4467" s="63"/>
    </row>
    <row r="4468" spans="1:101" ht="45" x14ac:dyDescent="0.15">
      <c r="A4468" s="76">
        <v>4206</v>
      </c>
      <c r="B4468" s="74" t="s">
        <v>6442</v>
      </c>
      <c r="C4468" s="74">
        <v>1066847835</v>
      </c>
      <c r="D4468" s="78" t="str">
        <f t="shared" si="146"/>
        <v>https://portal.dnb.de/opac.htm?method=simpleSearch&amp;cqlMode=true&amp;query=idn%3D1066847835</v>
      </c>
      <c r="E4468" s="74" t="s">
        <v>6443</v>
      </c>
      <c r="F4468" s="74"/>
      <c r="G4468" s="76"/>
      <c r="H4468" s="77"/>
      <c r="I4468" s="76" t="s">
        <v>54</v>
      </c>
      <c r="J4468" s="77"/>
      <c r="K4468" s="77"/>
      <c r="L4468" s="76"/>
      <c r="M4468" s="76"/>
      <c r="N4468" s="76"/>
      <c r="O4468" s="76"/>
      <c r="P4468" s="76"/>
      <c r="Q4468" s="76"/>
      <c r="R4468" s="76"/>
      <c r="S4468" s="76"/>
      <c r="Y4468" s="95" t="s">
        <v>9735</v>
      </c>
      <c r="AA4468" s="95" t="s">
        <v>8541</v>
      </c>
      <c r="AC4468" s="95" t="s">
        <v>9739</v>
      </c>
      <c r="AI4468" s="95" t="s">
        <v>9725</v>
      </c>
      <c r="AW4468" s="95">
        <v>110</v>
      </c>
      <c r="BC4468" s="96" t="s">
        <v>9726</v>
      </c>
      <c r="BD4468" s="99">
        <f t="shared" si="145"/>
        <v>2.5</v>
      </c>
      <c r="BH4468" s="95" t="s">
        <v>8541</v>
      </c>
      <c r="BP4468" s="69" t="s">
        <v>8541</v>
      </c>
      <c r="BR4468" s="95" t="s">
        <v>8541</v>
      </c>
      <c r="BT4468" s="95" t="s">
        <v>9737</v>
      </c>
      <c r="CC4468" s="99">
        <v>2</v>
      </c>
      <c r="CD4468" s="90" t="s">
        <v>10300</v>
      </c>
      <c r="CL4468" s="95" t="s">
        <v>8541</v>
      </c>
      <c r="CV4468" s="99">
        <v>0.5</v>
      </c>
      <c r="CW4468" s="63"/>
    </row>
    <row r="4469" spans="1:101" ht="22.5" x14ac:dyDescent="0.15">
      <c r="A4469" s="76">
        <v>4207</v>
      </c>
      <c r="B4469" s="74" t="s">
        <v>6444</v>
      </c>
      <c r="C4469" s="74">
        <v>1066936951</v>
      </c>
      <c r="D4469" s="78" t="str">
        <f t="shared" si="146"/>
        <v>https://portal.dnb.de/opac.htm?method=simpleSearch&amp;cqlMode=true&amp;query=idn%3D1066936951</v>
      </c>
      <c r="E4469" s="74" t="s">
        <v>6445</v>
      </c>
      <c r="F4469" s="74"/>
      <c r="G4469" s="76"/>
      <c r="H4469" s="77"/>
      <c r="I4469" s="76" t="s">
        <v>54</v>
      </c>
      <c r="J4469" s="77"/>
      <c r="K4469" s="77"/>
      <c r="L4469" s="76"/>
      <c r="M4469" s="76"/>
      <c r="N4469" s="76"/>
      <c r="O4469" s="76"/>
      <c r="P4469" s="76"/>
      <c r="Q4469" s="76"/>
      <c r="R4469" s="76"/>
      <c r="S4469" s="76"/>
      <c r="Y4469" s="95" t="s">
        <v>9735</v>
      </c>
      <c r="AA4469" s="95" t="s">
        <v>8541</v>
      </c>
      <c r="AC4469" s="95" t="s">
        <v>9739</v>
      </c>
      <c r="AI4469" s="95" t="s">
        <v>9725</v>
      </c>
      <c r="AW4469" s="95">
        <v>80</v>
      </c>
      <c r="BC4469" s="96" t="s">
        <v>9726</v>
      </c>
      <c r="BD4469" s="99">
        <f t="shared" si="145"/>
        <v>2.5</v>
      </c>
      <c r="BH4469" s="95" t="s">
        <v>8541</v>
      </c>
      <c r="BP4469" s="69" t="s">
        <v>8541</v>
      </c>
      <c r="BR4469" s="95" t="s">
        <v>8541</v>
      </c>
      <c r="BT4469" s="95" t="s">
        <v>9772</v>
      </c>
      <c r="CC4469" s="99">
        <v>1.5</v>
      </c>
      <c r="CD4469" s="90" t="s">
        <v>10301</v>
      </c>
      <c r="CI4469" s="95" t="s">
        <v>8541</v>
      </c>
      <c r="CL4469" s="95" t="s">
        <v>8541</v>
      </c>
      <c r="CV4469" s="99">
        <v>1</v>
      </c>
      <c r="CW4469" s="63" t="s">
        <v>10302</v>
      </c>
    </row>
    <row r="4470" spans="1:101" x14ac:dyDescent="0.15">
      <c r="A4470" s="76">
        <v>4208</v>
      </c>
      <c r="B4470" s="74" t="s">
        <v>6446</v>
      </c>
      <c r="C4470" s="74">
        <v>1066874522</v>
      </c>
      <c r="D4470" s="78" t="str">
        <f t="shared" si="146"/>
        <v>https://portal.dnb.de/opac.htm?method=simpleSearch&amp;cqlMode=true&amp;query=idn%3D1066874522</v>
      </c>
      <c r="E4470" s="74" t="s">
        <v>6447</v>
      </c>
      <c r="F4470" s="74"/>
      <c r="G4470" s="76"/>
      <c r="H4470" s="77"/>
      <c r="I4470" s="76"/>
      <c r="J4470" s="77"/>
      <c r="K4470" s="77"/>
      <c r="L4470" s="76"/>
      <c r="M4470" s="76"/>
      <c r="N4470" s="76"/>
      <c r="O4470" s="76"/>
      <c r="P4470" s="76"/>
      <c r="Q4470" s="76"/>
      <c r="R4470" s="76"/>
      <c r="S4470" s="76"/>
      <c r="BD4470" s="99">
        <f t="shared" si="145"/>
        <v>0</v>
      </c>
      <c r="CC4470" s="99"/>
      <c r="CV4470" s="99"/>
      <c r="CW4470" s="63"/>
    </row>
    <row r="4471" spans="1:101" x14ac:dyDescent="0.15">
      <c r="A4471" s="76">
        <v>4209</v>
      </c>
      <c r="B4471" s="74" t="s">
        <v>6448</v>
      </c>
      <c r="C4471" s="74">
        <v>995171726</v>
      </c>
      <c r="D4471" s="78" t="str">
        <f t="shared" si="146"/>
        <v>https://portal.dnb.de/opac.htm?method=simpleSearch&amp;cqlMode=true&amp;query=idn%3D995171726</v>
      </c>
      <c r="E4471" s="74" t="s">
        <v>6449</v>
      </c>
      <c r="F4471" s="74"/>
      <c r="G4471" s="76"/>
      <c r="H4471" s="77"/>
      <c r="I4471" s="76"/>
      <c r="J4471" s="77"/>
      <c r="K4471" s="77"/>
      <c r="L4471" s="76"/>
      <c r="M4471" s="76"/>
      <c r="N4471" s="76"/>
      <c r="O4471" s="76"/>
      <c r="P4471" s="76"/>
      <c r="Q4471" s="76"/>
      <c r="R4471" s="76"/>
      <c r="S4471" s="76"/>
      <c r="BD4471" s="99">
        <f t="shared" si="145"/>
        <v>0</v>
      </c>
      <c r="CC4471" s="99"/>
      <c r="CV4471" s="99"/>
      <c r="CW4471" s="63"/>
    </row>
    <row r="4472" spans="1:101" x14ac:dyDescent="0.15">
      <c r="A4472" s="76">
        <v>4210</v>
      </c>
      <c r="B4472" s="74" t="s">
        <v>8511</v>
      </c>
      <c r="C4472" s="74">
        <v>993839630</v>
      </c>
      <c r="D4472" s="78" t="str">
        <f t="shared" si="146"/>
        <v>https://portal.dnb.de/opac.htm?method=simpleSearch&amp;cqlMode=true&amp;query=idn%3D993839630</v>
      </c>
      <c r="E4472" s="74" t="s">
        <v>8528</v>
      </c>
      <c r="F4472" s="74"/>
      <c r="G4472" s="76"/>
      <c r="H4472" s="77"/>
      <c r="I4472" s="76"/>
      <c r="J4472" s="77"/>
      <c r="K4472" s="77"/>
      <c r="L4472" s="76"/>
      <c r="M4472" s="76"/>
      <c r="N4472" s="76"/>
      <c r="O4472" s="76"/>
      <c r="P4472" s="76"/>
      <c r="Q4472" s="76"/>
      <c r="R4472" s="76"/>
      <c r="S4472" s="76"/>
      <c r="BD4472" s="99">
        <f t="shared" si="145"/>
        <v>0</v>
      </c>
      <c r="CC4472" s="99"/>
      <c r="CV4472" s="99"/>
      <c r="CW4472" s="63"/>
    </row>
    <row r="4473" spans="1:101" x14ac:dyDescent="0.15">
      <c r="A4473" s="76">
        <v>4211</v>
      </c>
      <c r="B4473" s="74" t="s">
        <v>6450</v>
      </c>
      <c r="C4473" s="74">
        <v>1066849412</v>
      </c>
      <c r="D4473" s="78" t="str">
        <f t="shared" si="146"/>
        <v>https://portal.dnb.de/opac.htm?method=simpleSearch&amp;cqlMode=true&amp;query=idn%3D1066849412</v>
      </c>
      <c r="E4473" s="74" t="s">
        <v>6451</v>
      </c>
      <c r="F4473" s="74"/>
      <c r="G4473" s="76"/>
      <c r="H4473" s="77"/>
      <c r="I4473" s="76"/>
      <c r="J4473" s="77"/>
      <c r="K4473" s="77"/>
      <c r="L4473" s="76"/>
      <c r="M4473" s="76"/>
      <c r="N4473" s="76"/>
      <c r="O4473" s="76"/>
      <c r="P4473" s="76"/>
      <c r="Q4473" s="76"/>
      <c r="R4473" s="76"/>
      <c r="S4473" s="76"/>
      <c r="BD4473" s="99">
        <f t="shared" si="145"/>
        <v>0</v>
      </c>
      <c r="CC4473" s="99"/>
      <c r="CV4473" s="99"/>
      <c r="CW4473" s="63"/>
    </row>
    <row r="4474" spans="1:101" x14ac:dyDescent="0.15">
      <c r="A4474" s="76">
        <v>4212</v>
      </c>
      <c r="B4474" s="74" t="s">
        <v>6454</v>
      </c>
      <c r="C4474" s="74" t="s">
        <v>6455</v>
      </c>
      <c r="D4474" s="78" t="str">
        <f t="shared" si="146"/>
        <v>https://portal.dnb.de/opac.htm?method=simpleSearch&amp;cqlMode=true&amp;query=idn%3D100110658X</v>
      </c>
      <c r="E4474" s="74" t="s">
        <v>6456</v>
      </c>
      <c r="F4474" s="74"/>
      <c r="G4474" s="76"/>
      <c r="H4474" s="77"/>
      <c r="I4474" s="76"/>
      <c r="J4474" s="77"/>
      <c r="K4474" s="77"/>
      <c r="L4474" s="76"/>
      <c r="M4474" s="76"/>
      <c r="N4474" s="76"/>
      <c r="O4474" s="76"/>
      <c r="P4474" s="76"/>
      <c r="Q4474" s="76"/>
      <c r="R4474" s="76"/>
      <c r="S4474" s="76"/>
      <c r="BD4474" s="99">
        <f t="shared" si="145"/>
        <v>0</v>
      </c>
      <c r="CC4474" s="99"/>
      <c r="CV4474" s="99"/>
      <c r="CW4474" s="63"/>
    </row>
    <row r="4475" spans="1:101" x14ac:dyDescent="0.15">
      <c r="A4475" s="76">
        <v>4213</v>
      </c>
      <c r="B4475" s="74" t="s">
        <v>6457</v>
      </c>
      <c r="C4475" s="74">
        <v>999264850</v>
      </c>
      <c r="D4475" s="78" t="str">
        <f t="shared" si="146"/>
        <v>https://portal.dnb.de/opac.htm?method=simpleSearch&amp;cqlMode=true&amp;query=idn%3D999264850</v>
      </c>
      <c r="E4475" s="74" t="s">
        <v>6458</v>
      </c>
      <c r="F4475" s="74"/>
      <c r="G4475" s="76"/>
      <c r="H4475" s="77"/>
      <c r="I4475" s="76"/>
      <c r="J4475" s="77"/>
      <c r="K4475" s="77"/>
      <c r="L4475" s="76"/>
      <c r="M4475" s="76"/>
      <c r="N4475" s="76"/>
      <c r="O4475" s="76"/>
      <c r="P4475" s="76"/>
      <c r="Q4475" s="76"/>
      <c r="R4475" s="76"/>
      <c r="S4475" s="76"/>
      <c r="BD4475" s="99">
        <f t="shared" si="145"/>
        <v>0</v>
      </c>
      <c r="CC4475" s="99"/>
      <c r="CV4475" s="99"/>
      <c r="CW4475" s="63"/>
    </row>
    <row r="4476" spans="1:101" x14ac:dyDescent="0.15">
      <c r="A4476" s="76">
        <v>4214</v>
      </c>
      <c r="B4476" s="74" t="s">
        <v>6452</v>
      </c>
      <c r="C4476" s="74">
        <v>1000966593</v>
      </c>
      <c r="D4476" s="78" t="str">
        <f t="shared" si="146"/>
        <v>https://portal.dnb.de/opac.htm?method=simpleSearch&amp;cqlMode=true&amp;query=idn%3D1000966593</v>
      </c>
      <c r="E4476" s="74" t="s">
        <v>6453</v>
      </c>
      <c r="F4476" s="74"/>
      <c r="G4476" s="76"/>
      <c r="H4476" s="77"/>
      <c r="I4476" s="76"/>
      <c r="J4476" s="77"/>
      <c r="K4476" s="77"/>
      <c r="L4476" s="76"/>
      <c r="M4476" s="76"/>
      <c r="N4476" s="76"/>
      <c r="O4476" s="76"/>
      <c r="P4476" s="76"/>
      <c r="Q4476" s="76"/>
      <c r="R4476" s="76"/>
      <c r="S4476" s="76"/>
      <c r="BD4476" s="99">
        <f t="shared" si="145"/>
        <v>0</v>
      </c>
      <c r="CC4476" s="99"/>
      <c r="CV4476" s="99"/>
      <c r="CW4476" s="63"/>
    </row>
    <row r="4477" spans="1:101" x14ac:dyDescent="0.15">
      <c r="A4477" s="76">
        <v>4215</v>
      </c>
      <c r="B4477" s="74" t="s">
        <v>6459</v>
      </c>
      <c r="C4477" s="74">
        <v>1066937664</v>
      </c>
      <c r="D4477" s="78" t="str">
        <f t="shared" si="146"/>
        <v>https://portal.dnb.de/opac.htm?method=simpleSearch&amp;cqlMode=true&amp;query=idn%3D1066937664</v>
      </c>
      <c r="E4477" s="74" t="s">
        <v>6460</v>
      </c>
      <c r="F4477" s="74"/>
      <c r="G4477" s="76"/>
      <c r="H4477" s="77"/>
      <c r="I4477" s="76" t="s">
        <v>53</v>
      </c>
      <c r="J4477" s="77"/>
      <c r="K4477" s="77"/>
      <c r="L4477" s="76"/>
      <c r="M4477" s="76"/>
      <c r="N4477" s="76"/>
      <c r="O4477" s="76"/>
      <c r="P4477" s="76"/>
      <c r="Q4477" s="76"/>
      <c r="R4477" s="76"/>
      <c r="S4477" s="76"/>
      <c r="X4477" s="95" t="s">
        <v>8541</v>
      </c>
      <c r="Y4477" s="95" t="s">
        <v>9723</v>
      </c>
      <c r="AC4477" s="95" t="s">
        <v>9730</v>
      </c>
      <c r="AI4477" s="95" t="s">
        <v>9725</v>
      </c>
      <c r="AW4477" s="95">
        <v>60</v>
      </c>
      <c r="BC4477" s="96" t="s">
        <v>9726</v>
      </c>
      <c r="BD4477" s="99">
        <f t="shared" si="145"/>
        <v>0.5</v>
      </c>
      <c r="BP4477" s="69" t="s">
        <v>8541</v>
      </c>
      <c r="BQ4477" s="95" t="s">
        <v>8541</v>
      </c>
      <c r="BR4477" s="95" t="s">
        <v>8541</v>
      </c>
      <c r="CC4477" s="99">
        <v>0.5</v>
      </c>
      <c r="CV4477" s="99"/>
      <c r="CW4477" s="63"/>
    </row>
    <row r="4478" spans="1:101" x14ac:dyDescent="0.15">
      <c r="A4478" s="76">
        <v>4216</v>
      </c>
      <c r="B4478" s="74" t="s">
        <v>6461</v>
      </c>
      <c r="C4478" s="74" t="s">
        <v>6462</v>
      </c>
      <c r="D4478" s="78" t="str">
        <f t="shared" si="146"/>
        <v>https://portal.dnb.de/opac.htm?method=simpleSearch&amp;cqlMode=true&amp;query=idn%3D106695657X</v>
      </c>
      <c r="E4478" s="74" t="s">
        <v>6463</v>
      </c>
      <c r="F4478" s="74"/>
      <c r="G4478" s="76"/>
      <c r="H4478" s="77"/>
      <c r="I4478" s="76"/>
      <c r="J4478" s="77"/>
      <c r="K4478" s="77"/>
      <c r="L4478" s="76"/>
      <c r="M4478" s="76"/>
      <c r="N4478" s="76"/>
      <c r="O4478" s="76"/>
      <c r="P4478" s="76"/>
      <c r="Q4478" s="76"/>
      <c r="R4478" s="76"/>
      <c r="S4478" s="76"/>
      <c r="BD4478" s="99">
        <f t="shared" si="145"/>
        <v>0</v>
      </c>
      <c r="CC4478" s="99"/>
      <c r="CV4478" s="99"/>
      <c r="CW4478" s="63"/>
    </row>
    <row r="4479" spans="1:101" x14ac:dyDescent="0.15">
      <c r="A4479" s="76">
        <v>4217</v>
      </c>
      <c r="B4479" s="74" t="s">
        <v>6464</v>
      </c>
      <c r="C4479" s="74">
        <v>1066959943</v>
      </c>
      <c r="D4479" s="78" t="str">
        <f t="shared" si="146"/>
        <v>https://portal.dnb.de/opac.htm?method=simpleSearch&amp;cqlMode=true&amp;query=idn%3D1066959943</v>
      </c>
      <c r="E4479" s="74" t="s">
        <v>6465</v>
      </c>
      <c r="F4479" s="74"/>
      <c r="G4479" s="76"/>
      <c r="H4479" s="77"/>
      <c r="I4479" s="76"/>
      <c r="J4479" s="77"/>
      <c r="K4479" s="77"/>
      <c r="L4479" s="76"/>
      <c r="M4479" s="76"/>
      <c r="N4479" s="76"/>
      <c r="O4479" s="76"/>
      <c r="P4479" s="76"/>
      <c r="Q4479" s="76"/>
      <c r="R4479" s="76"/>
      <c r="S4479" s="76"/>
      <c r="BD4479" s="99">
        <f t="shared" si="145"/>
        <v>0</v>
      </c>
      <c r="CC4479" s="99"/>
      <c r="CV4479" s="99"/>
      <c r="CW4479" s="63"/>
    </row>
    <row r="4480" spans="1:101" x14ac:dyDescent="0.15">
      <c r="A4480" s="76">
        <v>4218</v>
      </c>
      <c r="B4480" s="74" t="s">
        <v>6466</v>
      </c>
      <c r="C4480" s="74">
        <v>994665148</v>
      </c>
      <c r="D4480" s="78" t="str">
        <f t="shared" si="146"/>
        <v>https://portal.dnb.de/opac.htm?method=simpleSearch&amp;cqlMode=true&amp;query=idn%3D994665148</v>
      </c>
      <c r="E4480" s="74" t="s">
        <v>6467</v>
      </c>
      <c r="F4480" s="74"/>
      <c r="G4480" s="76"/>
      <c r="H4480" s="77"/>
      <c r="I4480" s="76"/>
      <c r="J4480" s="77"/>
      <c r="K4480" s="77"/>
      <c r="L4480" s="76"/>
      <c r="M4480" s="76"/>
      <c r="N4480" s="76"/>
      <c r="O4480" s="76"/>
      <c r="P4480" s="76"/>
      <c r="Q4480" s="76"/>
      <c r="R4480" s="76"/>
      <c r="S4480" s="76"/>
      <c r="BD4480" s="99">
        <f t="shared" si="145"/>
        <v>0</v>
      </c>
      <c r="CC4480" s="99"/>
      <c r="CV4480" s="99"/>
      <c r="CW4480" s="63"/>
    </row>
    <row r="4481" spans="1:101" x14ac:dyDescent="0.15">
      <c r="A4481" s="76">
        <v>4219</v>
      </c>
      <c r="B4481" s="74" t="s">
        <v>6468</v>
      </c>
      <c r="C4481" s="74">
        <v>994665075</v>
      </c>
      <c r="D4481" s="78" t="str">
        <f t="shared" si="146"/>
        <v>https://portal.dnb.de/opac.htm?method=simpleSearch&amp;cqlMode=true&amp;query=idn%3D994665075</v>
      </c>
      <c r="E4481" s="74" t="s">
        <v>6467</v>
      </c>
      <c r="F4481" s="74"/>
      <c r="G4481" s="76"/>
      <c r="H4481" s="77"/>
      <c r="I4481" s="76"/>
      <c r="J4481" s="77"/>
      <c r="K4481" s="77"/>
      <c r="L4481" s="76"/>
      <c r="M4481" s="76"/>
      <c r="N4481" s="76"/>
      <c r="O4481" s="76"/>
      <c r="P4481" s="76"/>
      <c r="Q4481" s="76"/>
      <c r="R4481" s="76"/>
      <c r="S4481" s="76"/>
      <c r="BD4481" s="99">
        <f t="shared" si="145"/>
        <v>0</v>
      </c>
      <c r="CC4481" s="99"/>
      <c r="CV4481" s="99"/>
      <c r="CW4481" s="63"/>
    </row>
    <row r="4482" spans="1:101" x14ac:dyDescent="0.15">
      <c r="A4482" s="76">
        <v>4220</v>
      </c>
      <c r="B4482" s="74" t="s">
        <v>6469</v>
      </c>
      <c r="C4482" s="74">
        <v>994596693</v>
      </c>
      <c r="D4482" s="78" t="str">
        <f t="shared" si="146"/>
        <v>https://portal.dnb.de/opac.htm?method=simpleSearch&amp;cqlMode=true&amp;query=idn%3D994596693</v>
      </c>
      <c r="E4482" s="74" t="s">
        <v>6467</v>
      </c>
      <c r="F4482" s="74"/>
      <c r="G4482" s="76"/>
      <c r="H4482" s="77"/>
      <c r="I4482" s="76"/>
      <c r="J4482" s="77"/>
      <c r="K4482" s="77"/>
      <c r="L4482" s="76"/>
      <c r="M4482" s="76"/>
      <c r="N4482" s="76"/>
      <c r="O4482" s="76"/>
      <c r="P4482" s="76"/>
      <c r="Q4482" s="76"/>
      <c r="R4482" s="76"/>
      <c r="S4482" s="76"/>
      <c r="BD4482" s="99">
        <f t="shared" si="145"/>
        <v>0</v>
      </c>
      <c r="CC4482" s="99"/>
      <c r="CV4482" s="99"/>
      <c r="CW4482" s="63"/>
    </row>
    <row r="4483" spans="1:101" x14ac:dyDescent="0.15">
      <c r="A4483" s="76">
        <v>4221</v>
      </c>
      <c r="B4483" s="74" t="s">
        <v>6470</v>
      </c>
      <c r="C4483" s="74" t="s">
        <v>6471</v>
      </c>
      <c r="D4483" s="78" t="str">
        <f t="shared" si="146"/>
        <v>https://portal.dnb.de/opac.htm?method=simpleSearch&amp;cqlMode=true&amp;query=idn%3D106693665X</v>
      </c>
      <c r="E4483" s="74" t="s">
        <v>6472</v>
      </c>
      <c r="F4483" s="74"/>
      <c r="G4483" s="76"/>
      <c r="H4483" s="77"/>
      <c r="I4483" s="76"/>
      <c r="J4483" s="77"/>
      <c r="K4483" s="77"/>
      <c r="L4483" s="76"/>
      <c r="M4483" s="76"/>
      <c r="N4483" s="76"/>
      <c r="O4483" s="76"/>
      <c r="P4483" s="76"/>
      <c r="Q4483" s="76"/>
      <c r="R4483" s="76"/>
      <c r="S4483" s="76"/>
      <c r="BD4483" s="99">
        <f t="shared" ref="BD4483:BD4546" si="147">CC4483+CV4483</f>
        <v>0</v>
      </c>
      <c r="CC4483" s="99"/>
      <c r="CV4483" s="99"/>
      <c r="CW4483" s="63"/>
    </row>
    <row r="4484" spans="1:101" x14ac:dyDescent="0.15">
      <c r="A4484" s="76">
        <v>4222</v>
      </c>
      <c r="B4484" s="74" t="s">
        <v>6473</v>
      </c>
      <c r="C4484" s="74">
        <v>1066937028</v>
      </c>
      <c r="D4484" s="78" t="str">
        <f t="shared" si="146"/>
        <v>https://portal.dnb.de/opac.htm?method=simpleSearch&amp;cqlMode=true&amp;query=idn%3D1066937028</v>
      </c>
      <c r="E4484" s="74" t="s">
        <v>6474</v>
      </c>
      <c r="F4484" s="74"/>
      <c r="G4484" s="76"/>
      <c r="H4484" s="77"/>
      <c r="I4484" s="76"/>
      <c r="J4484" s="77"/>
      <c r="K4484" s="77"/>
      <c r="L4484" s="76"/>
      <c r="M4484" s="76"/>
      <c r="N4484" s="76"/>
      <c r="O4484" s="76"/>
      <c r="P4484" s="76"/>
      <c r="Q4484" s="76"/>
      <c r="R4484" s="76"/>
      <c r="S4484" s="76"/>
      <c r="BD4484" s="99">
        <f t="shared" si="147"/>
        <v>0</v>
      </c>
      <c r="CC4484" s="99"/>
      <c r="CV4484" s="99"/>
      <c r="CW4484" s="63"/>
    </row>
    <row r="4485" spans="1:101" x14ac:dyDescent="0.15">
      <c r="A4485" s="76">
        <v>4223</v>
      </c>
      <c r="B4485" s="74" t="s">
        <v>6475</v>
      </c>
      <c r="C4485" s="74">
        <v>1066959951</v>
      </c>
      <c r="D4485" s="78" t="str">
        <f t="shared" si="146"/>
        <v>https://portal.dnb.de/opac.htm?method=simpleSearch&amp;cqlMode=true&amp;query=idn%3D1066959951</v>
      </c>
      <c r="E4485" s="74" t="s">
        <v>6476</v>
      </c>
      <c r="F4485" s="74"/>
      <c r="G4485" s="76"/>
      <c r="H4485" s="77"/>
      <c r="I4485" s="76"/>
      <c r="J4485" s="77"/>
      <c r="K4485" s="77"/>
      <c r="L4485" s="76"/>
      <c r="M4485" s="76"/>
      <c r="N4485" s="76"/>
      <c r="O4485" s="76"/>
      <c r="P4485" s="76"/>
      <c r="Q4485" s="76"/>
      <c r="R4485" s="76"/>
      <c r="S4485" s="76"/>
      <c r="BD4485" s="99">
        <f t="shared" si="147"/>
        <v>0</v>
      </c>
      <c r="CC4485" s="99"/>
      <c r="CV4485" s="99"/>
      <c r="CW4485" s="63"/>
    </row>
    <row r="4486" spans="1:101" x14ac:dyDescent="0.15">
      <c r="A4486" s="76">
        <v>4224</v>
      </c>
      <c r="B4486" s="74" t="s">
        <v>6477</v>
      </c>
      <c r="C4486" s="74">
        <v>1066849374</v>
      </c>
      <c r="D4486" s="78" t="str">
        <f t="shared" si="146"/>
        <v>https://portal.dnb.de/opac.htm?method=simpleSearch&amp;cqlMode=true&amp;query=idn%3D1066849374</v>
      </c>
      <c r="E4486" s="74" t="s">
        <v>6478</v>
      </c>
      <c r="F4486" s="74"/>
      <c r="G4486" s="76"/>
      <c r="H4486" s="77"/>
      <c r="I4486" s="76"/>
      <c r="J4486" s="77"/>
      <c r="K4486" s="77"/>
      <c r="L4486" s="76"/>
      <c r="M4486" s="76"/>
      <c r="N4486" s="76"/>
      <c r="O4486" s="76"/>
      <c r="P4486" s="76"/>
      <c r="Q4486" s="76"/>
      <c r="R4486" s="76"/>
      <c r="S4486" s="76"/>
      <c r="BD4486" s="99">
        <f t="shared" si="147"/>
        <v>0</v>
      </c>
      <c r="CC4486" s="99"/>
      <c r="CV4486" s="99"/>
      <c r="CW4486" s="63"/>
    </row>
    <row r="4487" spans="1:101" x14ac:dyDescent="0.15">
      <c r="A4487" s="76">
        <v>4225</v>
      </c>
      <c r="B4487" s="74" t="s">
        <v>6479</v>
      </c>
      <c r="C4487" s="74">
        <v>1066837546</v>
      </c>
      <c r="D4487" s="78" t="str">
        <f t="shared" si="146"/>
        <v>https://portal.dnb.de/opac.htm?method=simpleSearch&amp;cqlMode=true&amp;query=idn%3D1066837546</v>
      </c>
      <c r="E4487" s="74" t="s">
        <v>6480</v>
      </c>
      <c r="F4487" s="74"/>
      <c r="G4487" s="76"/>
      <c r="H4487" s="77"/>
      <c r="I4487" s="76"/>
      <c r="J4487" s="77"/>
      <c r="K4487" s="77"/>
      <c r="L4487" s="76"/>
      <c r="M4487" s="76"/>
      <c r="N4487" s="76"/>
      <c r="O4487" s="76"/>
      <c r="P4487" s="76"/>
      <c r="Q4487" s="76"/>
      <c r="R4487" s="76"/>
      <c r="S4487" s="76"/>
      <c r="BD4487" s="99">
        <f t="shared" si="147"/>
        <v>0</v>
      </c>
      <c r="CC4487" s="99"/>
      <c r="CV4487" s="99"/>
      <c r="CW4487" s="63"/>
    </row>
    <row r="4488" spans="1:101" x14ac:dyDescent="0.15">
      <c r="A4488" s="76">
        <v>4226</v>
      </c>
      <c r="B4488" s="74" t="s">
        <v>6491</v>
      </c>
      <c r="C4488" s="74">
        <v>1066963614</v>
      </c>
      <c r="D4488" s="78" t="str">
        <f t="shared" si="146"/>
        <v>https://portal.dnb.de/opac.htm?method=simpleSearch&amp;cqlMode=true&amp;query=idn%3D1066963614</v>
      </c>
      <c r="E4488" s="74" t="s">
        <v>6492</v>
      </c>
      <c r="F4488" s="74"/>
      <c r="G4488" s="76"/>
      <c r="H4488" s="77"/>
      <c r="I4488" s="76"/>
      <c r="J4488" s="77"/>
      <c r="K4488" s="77"/>
      <c r="L4488" s="76"/>
      <c r="M4488" s="76"/>
      <c r="N4488" s="76"/>
      <c r="O4488" s="76"/>
      <c r="P4488" s="76"/>
      <c r="Q4488" s="76"/>
      <c r="R4488" s="76"/>
      <c r="S4488" s="76"/>
      <c r="BD4488" s="99">
        <f t="shared" si="147"/>
        <v>0</v>
      </c>
      <c r="CC4488" s="99"/>
      <c r="CV4488" s="99"/>
      <c r="CW4488" s="63"/>
    </row>
    <row r="4489" spans="1:101" x14ac:dyDescent="0.15">
      <c r="A4489" s="76">
        <v>4227</v>
      </c>
      <c r="B4489" s="74" t="s">
        <v>6493</v>
      </c>
      <c r="C4489" s="74">
        <v>997115440</v>
      </c>
      <c r="D4489" s="78" t="str">
        <f t="shared" si="146"/>
        <v>https://portal.dnb.de/opac.htm?method=simpleSearch&amp;cqlMode=true&amp;query=idn%3D997115440</v>
      </c>
      <c r="E4489" s="74" t="s">
        <v>6494</v>
      </c>
      <c r="F4489" s="74"/>
      <c r="G4489" s="76"/>
      <c r="H4489" s="77"/>
      <c r="I4489" s="76"/>
      <c r="J4489" s="77"/>
      <c r="K4489" s="77"/>
      <c r="L4489" s="76"/>
      <c r="M4489" s="76"/>
      <c r="N4489" s="76"/>
      <c r="O4489" s="76"/>
      <c r="P4489" s="76"/>
      <c r="Q4489" s="76"/>
      <c r="R4489" s="76"/>
      <c r="S4489" s="76"/>
      <c r="BD4489" s="99">
        <f t="shared" si="147"/>
        <v>0</v>
      </c>
      <c r="CC4489" s="99"/>
      <c r="CV4489" s="99"/>
      <c r="CW4489" s="63"/>
    </row>
    <row r="4490" spans="1:101" x14ac:dyDescent="0.15">
      <c r="A4490" s="76">
        <v>4228</v>
      </c>
      <c r="B4490" s="74" t="s">
        <v>6495</v>
      </c>
      <c r="C4490" s="74">
        <v>999967800</v>
      </c>
      <c r="D4490" s="78" t="str">
        <f t="shared" si="146"/>
        <v>https://portal.dnb.de/opac.htm?method=simpleSearch&amp;cqlMode=true&amp;query=idn%3D999967800</v>
      </c>
      <c r="E4490" s="74" t="s">
        <v>6494</v>
      </c>
      <c r="F4490" s="74"/>
      <c r="G4490" s="76"/>
      <c r="H4490" s="77"/>
      <c r="I4490" s="76"/>
      <c r="J4490" s="77"/>
      <c r="K4490" s="77"/>
      <c r="L4490" s="76"/>
      <c r="M4490" s="76"/>
      <c r="N4490" s="76"/>
      <c r="O4490" s="76"/>
      <c r="P4490" s="76"/>
      <c r="Q4490" s="76"/>
      <c r="R4490" s="76"/>
      <c r="S4490" s="76"/>
      <c r="BD4490" s="99">
        <f t="shared" si="147"/>
        <v>0</v>
      </c>
      <c r="CC4490" s="99"/>
      <c r="CV4490" s="99"/>
      <c r="CW4490" s="63"/>
    </row>
    <row r="4491" spans="1:101" x14ac:dyDescent="0.15">
      <c r="A4491" s="76">
        <v>4229</v>
      </c>
      <c r="B4491" s="74" t="s">
        <v>6496</v>
      </c>
      <c r="C4491" s="74" t="s">
        <v>6497</v>
      </c>
      <c r="D4491" s="78" t="str">
        <f t="shared" si="146"/>
        <v>https://portal.dnb.de/opac.htm?method=simpleSearch&amp;cqlMode=true&amp;query=idn%3D100012052X</v>
      </c>
      <c r="E4491" s="74" t="s">
        <v>6494</v>
      </c>
      <c r="F4491" s="74"/>
      <c r="G4491" s="76"/>
      <c r="H4491" s="77"/>
      <c r="I4491" s="76"/>
      <c r="J4491" s="77"/>
      <c r="K4491" s="77"/>
      <c r="L4491" s="76"/>
      <c r="M4491" s="76"/>
      <c r="N4491" s="76"/>
      <c r="O4491" s="76"/>
      <c r="P4491" s="76"/>
      <c r="Q4491" s="76"/>
      <c r="R4491" s="76"/>
      <c r="S4491" s="76"/>
      <c r="BD4491" s="99">
        <f t="shared" si="147"/>
        <v>0</v>
      </c>
      <c r="CC4491" s="99"/>
      <c r="CV4491" s="99"/>
      <c r="CW4491" s="63"/>
    </row>
    <row r="4492" spans="1:101" x14ac:dyDescent="0.15">
      <c r="A4492" s="76">
        <v>4230</v>
      </c>
      <c r="B4492" s="74" t="s">
        <v>6498</v>
      </c>
      <c r="C4492" s="74">
        <v>1002091624</v>
      </c>
      <c r="D4492" s="78" t="str">
        <f t="shared" si="146"/>
        <v>https://portal.dnb.de/opac.htm?method=simpleSearch&amp;cqlMode=true&amp;query=idn%3D1002091624</v>
      </c>
      <c r="E4492" s="74" t="s">
        <v>6494</v>
      </c>
      <c r="F4492" s="74"/>
      <c r="G4492" s="76"/>
      <c r="H4492" s="77"/>
      <c r="I4492" s="76"/>
      <c r="J4492" s="77"/>
      <c r="K4492" s="77"/>
      <c r="L4492" s="76"/>
      <c r="M4492" s="76"/>
      <c r="N4492" s="76"/>
      <c r="O4492" s="76"/>
      <c r="P4492" s="76"/>
      <c r="Q4492" s="76"/>
      <c r="R4492" s="76"/>
      <c r="S4492" s="76"/>
      <c r="BD4492" s="99">
        <f t="shared" si="147"/>
        <v>0</v>
      </c>
      <c r="CC4492" s="99"/>
      <c r="CV4492" s="99"/>
      <c r="CW4492" s="63"/>
    </row>
    <row r="4493" spans="1:101" x14ac:dyDescent="0.15">
      <c r="A4493" s="76">
        <v>4231</v>
      </c>
      <c r="B4493" s="74" t="s">
        <v>6499</v>
      </c>
      <c r="C4493" s="74">
        <v>993948057</v>
      </c>
      <c r="D4493" s="78" t="str">
        <f t="shared" si="146"/>
        <v>https://portal.dnb.de/opac.htm?method=simpleSearch&amp;cqlMode=true&amp;query=idn%3D993948057</v>
      </c>
      <c r="E4493" s="74" t="s">
        <v>6500</v>
      </c>
      <c r="F4493" s="74"/>
      <c r="G4493" s="76"/>
      <c r="H4493" s="77"/>
      <c r="I4493" s="76"/>
      <c r="J4493" s="77"/>
      <c r="K4493" s="77"/>
      <c r="L4493" s="76"/>
      <c r="M4493" s="76"/>
      <c r="N4493" s="76"/>
      <c r="O4493" s="76"/>
      <c r="P4493" s="76"/>
      <c r="Q4493" s="76"/>
      <c r="R4493" s="76"/>
      <c r="S4493" s="76"/>
      <c r="BD4493" s="99">
        <f t="shared" si="147"/>
        <v>0</v>
      </c>
      <c r="CC4493" s="99"/>
      <c r="CV4493" s="99"/>
      <c r="CW4493" s="63"/>
    </row>
    <row r="4494" spans="1:101" x14ac:dyDescent="0.15">
      <c r="A4494" s="76">
        <v>4232</v>
      </c>
      <c r="B4494" s="74" t="s">
        <v>6501</v>
      </c>
      <c r="C4494" s="74">
        <v>1066938407</v>
      </c>
      <c r="D4494" s="78" t="str">
        <f t="shared" si="146"/>
        <v>https://portal.dnb.de/opac.htm?method=simpleSearch&amp;cqlMode=true&amp;query=idn%3D1066938407</v>
      </c>
      <c r="E4494" s="74" t="s">
        <v>6502</v>
      </c>
      <c r="F4494" s="74"/>
      <c r="G4494" s="76"/>
      <c r="H4494" s="77"/>
      <c r="I4494" s="76"/>
      <c r="J4494" s="77"/>
      <c r="K4494" s="77"/>
      <c r="L4494" s="76"/>
      <c r="M4494" s="76"/>
      <c r="N4494" s="76"/>
      <c r="O4494" s="76"/>
      <c r="P4494" s="76"/>
      <c r="Q4494" s="76"/>
      <c r="R4494" s="76"/>
      <c r="S4494" s="76"/>
      <c r="BD4494" s="99">
        <f t="shared" si="147"/>
        <v>0</v>
      </c>
      <c r="CC4494" s="99"/>
      <c r="CV4494" s="99"/>
      <c r="CW4494" s="63"/>
    </row>
    <row r="4495" spans="1:101" x14ac:dyDescent="0.15">
      <c r="A4495" s="76">
        <v>4233</v>
      </c>
      <c r="B4495" s="74" t="s">
        <v>6503</v>
      </c>
      <c r="C4495" s="74" t="s">
        <v>6504</v>
      </c>
      <c r="D4495" s="78" t="str">
        <f t="shared" si="146"/>
        <v>https://portal.dnb.de/opac.htm?method=simpleSearch&amp;cqlMode=true&amp;query=idn%3D106676445X</v>
      </c>
      <c r="E4495" s="74" t="s">
        <v>6505</v>
      </c>
      <c r="F4495" s="74"/>
      <c r="G4495" s="76"/>
      <c r="H4495" s="77"/>
      <c r="I4495" s="76" t="s">
        <v>53</v>
      </c>
      <c r="J4495" s="77"/>
      <c r="K4495" s="77"/>
      <c r="L4495" s="76"/>
      <c r="M4495" s="76"/>
      <c r="N4495" s="76"/>
      <c r="O4495" s="76"/>
      <c r="P4495" s="76"/>
      <c r="Q4495" s="76"/>
      <c r="R4495" s="76"/>
      <c r="S4495" s="76"/>
      <c r="Y4495" s="95" t="s">
        <v>9723</v>
      </c>
      <c r="AC4495" s="95" t="s">
        <v>9724</v>
      </c>
      <c r="AI4495" s="95" t="s">
        <v>9725</v>
      </c>
      <c r="AW4495" s="95">
        <v>60</v>
      </c>
      <c r="BC4495" s="96" t="s">
        <v>9726</v>
      </c>
      <c r="BD4495" s="99">
        <f t="shared" si="147"/>
        <v>1.5</v>
      </c>
      <c r="BP4495" s="69" t="s">
        <v>8541</v>
      </c>
      <c r="BQ4495" s="95" t="s">
        <v>8541</v>
      </c>
      <c r="BR4495" s="95" t="s">
        <v>8541</v>
      </c>
      <c r="BT4495" s="95" t="s">
        <v>9775</v>
      </c>
      <c r="CC4495" s="99">
        <v>1</v>
      </c>
      <c r="CD4495" s="90" t="s">
        <v>10303</v>
      </c>
      <c r="CI4495" s="95" t="s">
        <v>8541</v>
      </c>
      <c r="CV4495" s="99">
        <v>0.5</v>
      </c>
      <c r="CW4495" s="63"/>
    </row>
    <row r="4496" spans="1:101" x14ac:dyDescent="0.15">
      <c r="A4496" s="76">
        <v>4234</v>
      </c>
      <c r="B4496" s="74" t="s">
        <v>8512</v>
      </c>
      <c r="C4496" s="74">
        <v>993864155</v>
      </c>
      <c r="D4496" s="78" t="str">
        <f t="shared" si="146"/>
        <v>https://portal.dnb.de/opac.htm?method=simpleSearch&amp;cqlMode=true&amp;query=idn%3D993864155</v>
      </c>
      <c r="E4496" s="74" t="s">
        <v>8529</v>
      </c>
      <c r="F4496" s="74"/>
      <c r="G4496" s="76"/>
      <c r="H4496" s="77"/>
      <c r="I4496" s="76" t="s">
        <v>53</v>
      </c>
      <c r="J4496" s="77"/>
      <c r="K4496" s="77"/>
      <c r="L4496" s="76"/>
      <c r="M4496" s="76"/>
      <c r="N4496" s="76"/>
      <c r="O4496" s="76"/>
      <c r="P4496" s="76"/>
      <c r="Q4496" s="76"/>
      <c r="R4496" s="76"/>
      <c r="S4496" s="76"/>
      <c r="X4496" s="95" t="s">
        <v>8541</v>
      </c>
      <c r="Y4496" s="95" t="s">
        <v>9723</v>
      </c>
      <c r="AC4496" s="95" t="s">
        <v>9724</v>
      </c>
      <c r="AI4496" s="95" t="s">
        <v>9725</v>
      </c>
      <c r="AW4496" s="95">
        <v>45</v>
      </c>
      <c r="BC4496" s="96" t="s">
        <v>9726</v>
      </c>
      <c r="BD4496" s="99">
        <f t="shared" si="147"/>
        <v>0.5</v>
      </c>
      <c r="BP4496" s="69" t="s">
        <v>8541</v>
      </c>
      <c r="BQ4496" s="95" t="s">
        <v>8541</v>
      </c>
      <c r="BR4496" s="95" t="s">
        <v>8541</v>
      </c>
      <c r="CC4496" s="99">
        <v>0.5</v>
      </c>
      <c r="CV4496" s="99"/>
      <c r="CW4496" s="63"/>
    </row>
    <row r="4497" spans="1:101" x14ac:dyDescent="0.15">
      <c r="A4497" s="76">
        <v>4235</v>
      </c>
      <c r="B4497" s="74" t="s">
        <v>6506</v>
      </c>
      <c r="C4497" s="74">
        <v>1209234599</v>
      </c>
      <c r="D4497" s="78" t="str">
        <f t="shared" si="146"/>
        <v>https://portal.dnb.de/opac.htm?method=simpleSearch&amp;cqlMode=true&amp;query=idn%3D1209234599</v>
      </c>
      <c r="E4497" s="74" t="s">
        <v>6507</v>
      </c>
      <c r="F4497" s="74"/>
      <c r="G4497" s="76"/>
      <c r="H4497" s="77"/>
      <c r="I4497" s="76"/>
      <c r="J4497" s="77"/>
      <c r="K4497" s="77"/>
      <c r="L4497" s="76"/>
      <c r="M4497" s="76"/>
      <c r="N4497" s="76"/>
      <c r="O4497" s="76"/>
      <c r="P4497" s="76"/>
      <c r="Q4497" s="76"/>
      <c r="R4497" s="76"/>
      <c r="S4497" s="76"/>
      <c r="BD4497" s="99">
        <f t="shared" si="147"/>
        <v>0</v>
      </c>
      <c r="CC4497" s="99"/>
      <c r="CV4497" s="99"/>
      <c r="CW4497" s="63"/>
    </row>
    <row r="4498" spans="1:101" ht="45" x14ac:dyDescent="0.15">
      <c r="A4498" s="76">
        <v>4236</v>
      </c>
      <c r="B4498" s="74" t="s">
        <v>6508</v>
      </c>
      <c r="C4498" s="74">
        <v>994051581</v>
      </c>
      <c r="D4498" s="78" t="str">
        <f t="shared" si="146"/>
        <v>https://portal.dnb.de/opac.htm?method=simpleSearch&amp;cqlMode=true&amp;query=idn%3D994051581</v>
      </c>
      <c r="E4498" s="74" t="s">
        <v>6509</v>
      </c>
      <c r="F4498" s="74"/>
      <c r="G4498" s="76"/>
      <c r="H4498" s="77"/>
      <c r="I4498" s="76" t="s">
        <v>54</v>
      </c>
      <c r="J4498" s="77"/>
      <c r="K4498" s="77"/>
      <c r="L4498" s="76"/>
      <c r="M4498" s="76"/>
      <c r="N4498" s="76"/>
      <c r="O4498" s="76"/>
      <c r="P4498" s="76"/>
      <c r="Q4498" s="76"/>
      <c r="R4498" s="76"/>
      <c r="S4498" s="76"/>
      <c r="Y4498" s="95" t="s">
        <v>9723</v>
      </c>
      <c r="AC4498" s="95" t="s">
        <v>9724</v>
      </c>
      <c r="AI4498" s="95" t="s">
        <v>9725</v>
      </c>
      <c r="AW4498" s="95">
        <v>60</v>
      </c>
      <c r="BC4498" s="96" t="s">
        <v>9726</v>
      </c>
      <c r="BD4498" s="99">
        <f t="shared" si="147"/>
        <v>6</v>
      </c>
      <c r="BJ4498" s="95" t="s">
        <v>9741</v>
      </c>
      <c r="BK4498" s="95" t="s">
        <v>8541</v>
      </c>
      <c r="BO4498" s="70" t="s">
        <v>10479</v>
      </c>
      <c r="BP4498" s="69" t="s">
        <v>8541</v>
      </c>
      <c r="BQ4498" s="95" t="s">
        <v>8541</v>
      </c>
      <c r="BR4498" s="95" t="s">
        <v>8541</v>
      </c>
      <c r="BT4498" s="95" t="s">
        <v>9772</v>
      </c>
      <c r="CB4498" s="95" t="s">
        <v>9882</v>
      </c>
      <c r="CC4498" s="99">
        <v>6</v>
      </c>
      <c r="CD4498" s="90" t="s">
        <v>10480</v>
      </c>
      <c r="CV4498" s="99"/>
      <c r="CW4498" s="63"/>
    </row>
    <row r="4499" spans="1:101" x14ac:dyDescent="0.15">
      <c r="A4499" s="76">
        <v>4237</v>
      </c>
      <c r="B4499" s="74" t="s">
        <v>6510</v>
      </c>
      <c r="C4499" s="74">
        <v>1066798036</v>
      </c>
      <c r="D4499" s="78" t="str">
        <f t="shared" si="146"/>
        <v>https://portal.dnb.de/opac.htm?method=simpleSearch&amp;cqlMode=true&amp;query=idn%3D1066798036</v>
      </c>
      <c r="E4499" s="74" t="s">
        <v>6511</v>
      </c>
      <c r="F4499" s="74"/>
      <c r="G4499" s="76"/>
      <c r="H4499" s="77"/>
      <c r="I4499" s="76"/>
      <c r="J4499" s="77"/>
      <c r="K4499" s="77"/>
      <c r="L4499" s="76"/>
      <c r="M4499" s="76"/>
      <c r="N4499" s="76"/>
      <c r="O4499" s="76"/>
      <c r="P4499" s="76"/>
      <c r="Q4499" s="76"/>
      <c r="R4499" s="76"/>
      <c r="S4499" s="76"/>
      <c r="BD4499" s="99">
        <f t="shared" si="147"/>
        <v>0</v>
      </c>
      <c r="CC4499" s="99"/>
      <c r="CV4499" s="99"/>
      <c r="CW4499" s="63"/>
    </row>
    <row r="4500" spans="1:101" x14ac:dyDescent="0.15">
      <c r="A4500" s="76">
        <v>4238</v>
      </c>
      <c r="B4500" s="74" t="s">
        <v>6512</v>
      </c>
      <c r="C4500" s="74">
        <v>1001720253</v>
      </c>
      <c r="D4500" s="78" t="str">
        <f t="shared" si="146"/>
        <v>https://portal.dnb.de/opac.htm?method=simpleSearch&amp;cqlMode=true&amp;query=idn%3D1001720253</v>
      </c>
      <c r="E4500" s="74" t="s">
        <v>6513</v>
      </c>
      <c r="F4500" s="74"/>
      <c r="G4500" s="76"/>
      <c r="H4500" s="77"/>
      <c r="I4500" s="76"/>
      <c r="J4500" s="77"/>
      <c r="K4500" s="77"/>
      <c r="L4500" s="76"/>
      <c r="M4500" s="76"/>
      <c r="N4500" s="76"/>
      <c r="O4500" s="76"/>
      <c r="P4500" s="76"/>
      <c r="Q4500" s="76"/>
      <c r="R4500" s="76"/>
      <c r="S4500" s="76"/>
      <c r="BD4500" s="99">
        <f t="shared" si="147"/>
        <v>0</v>
      </c>
      <c r="CC4500" s="99"/>
      <c r="CV4500" s="99"/>
      <c r="CW4500" s="63"/>
    </row>
    <row r="4501" spans="1:101" x14ac:dyDescent="0.15">
      <c r="A4501" s="76">
        <v>4239</v>
      </c>
      <c r="B4501" s="74" t="s">
        <v>6514</v>
      </c>
      <c r="C4501" s="74">
        <v>999783238</v>
      </c>
      <c r="D4501" s="78" t="str">
        <f t="shared" si="146"/>
        <v>https://portal.dnb.de/opac.htm?method=simpleSearch&amp;cqlMode=true&amp;query=idn%3D999783238</v>
      </c>
      <c r="E4501" s="74" t="s">
        <v>6513</v>
      </c>
      <c r="F4501" s="74"/>
      <c r="G4501" s="76"/>
      <c r="H4501" s="77"/>
      <c r="I4501" s="76"/>
      <c r="J4501" s="77"/>
      <c r="K4501" s="77"/>
      <c r="L4501" s="76"/>
      <c r="M4501" s="76"/>
      <c r="N4501" s="76"/>
      <c r="O4501" s="76"/>
      <c r="P4501" s="76"/>
      <c r="Q4501" s="76"/>
      <c r="R4501" s="76"/>
      <c r="S4501" s="76"/>
      <c r="BD4501" s="99">
        <f t="shared" si="147"/>
        <v>0</v>
      </c>
      <c r="CC4501" s="99"/>
      <c r="CV4501" s="99"/>
      <c r="CW4501" s="63"/>
    </row>
    <row r="4502" spans="1:101" x14ac:dyDescent="0.15">
      <c r="A4502" s="76">
        <v>4240</v>
      </c>
      <c r="B4502" s="74" t="s">
        <v>6515</v>
      </c>
      <c r="C4502" s="74">
        <v>1002643775</v>
      </c>
      <c r="D4502" s="78" t="str">
        <f t="shared" si="146"/>
        <v>https://portal.dnb.de/opac.htm?method=simpleSearch&amp;cqlMode=true&amp;query=idn%3D1002643775</v>
      </c>
      <c r="E4502" s="74" t="s">
        <v>6516</v>
      </c>
      <c r="F4502" s="74"/>
      <c r="G4502" s="76"/>
      <c r="H4502" s="77"/>
      <c r="I4502" s="76"/>
      <c r="J4502" s="77"/>
      <c r="K4502" s="77"/>
      <c r="L4502" s="76"/>
      <c r="M4502" s="76"/>
      <c r="N4502" s="76"/>
      <c r="O4502" s="76"/>
      <c r="P4502" s="76"/>
      <c r="Q4502" s="76"/>
      <c r="R4502" s="76"/>
      <c r="S4502" s="76"/>
      <c r="BD4502" s="99">
        <f t="shared" si="147"/>
        <v>0</v>
      </c>
      <c r="CC4502" s="99"/>
      <c r="CV4502" s="99"/>
      <c r="CW4502" s="63"/>
    </row>
    <row r="4503" spans="1:101" x14ac:dyDescent="0.15">
      <c r="A4503" s="76">
        <v>4241</v>
      </c>
      <c r="B4503" s="74" t="s">
        <v>6517</v>
      </c>
      <c r="C4503" s="74">
        <v>1075293723</v>
      </c>
      <c r="D4503" s="78" t="str">
        <f t="shared" si="146"/>
        <v>https://portal.dnb.de/opac.htm?method=simpleSearch&amp;cqlMode=true&amp;query=idn%3D1075293723</v>
      </c>
      <c r="E4503" s="74" t="s">
        <v>6518</v>
      </c>
      <c r="F4503" s="74"/>
      <c r="G4503" s="76"/>
      <c r="H4503" s="77"/>
      <c r="I4503" s="76"/>
      <c r="J4503" s="77"/>
      <c r="K4503" s="77"/>
      <c r="L4503" s="76"/>
      <c r="M4503" s="76"/>
      <c r="N4503" s="76"/>
      <c r="O4503" s="76"/>
      <c r="P4503" s="76"/>
      <c r="Q4503" s="76"/>
      <c r="R4503" s="76"/>
      <c r="S4503" s="76"/>
      <c r="BD4503" s="99">
        <f t="shared" si="147"/>
        <v>0</v>
      </c>
      <c r="CC4503" s="99"/>
      <c r="CV4503" s="99"/>
      <c r="CW4503" s="63"/>
    </row>
    <row r="4504" spans="1:101" x14ac:dyDescent="0.15">
      <c r="A4504" s="76">
        <v>4242</v>
      </c>
      <c r="B4504" s="74" t="s">
        <v>6519</v>
      </c>
      <c r="C4504" s="74">
        <v>1066835675</v>
      </c>
      <c r="D4504" s="78" t="str">
        <f t="shared" si="146"/>
        <v>https://portal.dnb.de/opac.htm?method=simpleSearch&amp;cqlMode=true&amp;query=idn%3D1066835675</v>
      </c>
      <c r="E4504" s="74" t="s">
        <v>6520</v>
      </c>
      <c r="F4504" s="74"/>
      <c r="G4504" s="76"/>
      <c r="H4504" s="77"/>
      <c r="I4504" s="76"/>
      <c r="J4504" s="77"/>
      <c r="K4504" s="77"/>
      <c r="L4504" s="76"/>
      <c r="M4504" s="76"/>
      <c r="N4504" s="76"/>
      <c r="O4504" s="76"/>
      <c r="P4504" s="76"/>
      <c r="Q4504" s="76"/>
      <c r="R4504" s="76"/>
      <c r="S4504" s="76"/>
      <c r="BD4504" s="99">
        <f t="shared" si="147"/>
        <v>0</v>
      </c>
      <c r="CC4504" s="99"/>
      <c r="CV4504" s="99"/>
      <c r="CW4504" s="63"/>
    </row>
    <row r="4505" spans="1:101" x14ac:dyDescent="0.15">
      <c r="A4505" s="76">
        <v>4243</v>
      </c>
      <c r="B4505" s="74" t="s">
        <v>6521</v>
      </c>
      <c r="C4505" s="74">
        <v>999736485</v>
      </c>
      <c r="D4505" s="78" t="str">
        <f t="shared" si="146"/>
        <v>https://portal.dnb.de/opac.htm?method=simpleSearch&amp;cqlMode=true&amp;query=idn%3D999736485</v>
      </c>
      <c r="E4505" s="74" t="s">
        <v>6522</v>
      </c>
      <c r="F4505" s="74"/>
      <c r="G4505" s="76"/>
      <c r="H4505" s="77"/>
      <c r="I4505" s="76"/>
      <c r="J4505" s="77"/>
      <c r="K4505" s="77"/>
      <c r="L4505" s="76"/>
      <c r="M4505" s="76"/>
      <c r="N4505" s="76"/>
      <c r="O4505" s="76"/>
      <c r="P4505" s="76"/>
      <c r="Q4505" s="76"/>
      <c r="R4505" s="76"/>
      <c r="S4505" s="76"/>
      <c r="BD4505" s="99">
        <f t="shared" si="147"/>
        <v>0</v>
      </c>
      <c r="CC4505" s="99"/>
      <c r="CV4505" s="99"/>
      <c r="CW4505" s="63"/>
    </row>
    <row r="4506" spans="1:101" x14ac:dyDescent="0.15">
      <c r="A4506" s="76">
        <v>4244</v>
      </c>
      <c r="B4506" s="74" t="s">
        <v>6531</v>
      </c>
      <c r="C4506" s="74">
        <v>996738029</v>
      </c>
      <c r="D4506" s="78" t="str">
        <f t="shared" si="146"/>
        <v>https://portal.dnb.de/opac.htm?method=simpleSearch&amp;cqlMode=true&amp;query=idn%3D996738029</v>
      </c>
      <c r="E4506" s="74" t="s">
        <v>6532</v>
      </c>
      <c r="F4506" s="74"/>
      <c r="G4506" s="76"/>
      <c r="H4506" s="77"/>
      <c r="I4506" s="76"/>
      <c r="J4506" s="77"/>
      <c r="K4506" s="77"/>
      <c r="L4506" s="76"/>
      <c r="M4506" s="76"/>
      <c r="N4506" s="76"/>
      <c r="O4506" s="76"/>
      <c r="P4506" s="76"/>
      <c r="Q4506" s="76"/>
      <c r="R4506" s="76"/>
      <c r="S4506" s="76"/>
      <c r="BD4506" s="99">
        <f t="shared" si="147"/>
        <v>0</v>
      </c>
      <c r="CC4506" s="99"/>
      <c r="CV4506" s="99"/>
      <c r="CW4506" s="63"/>
    </row>
    <row r="4507" spans="1:101" x14ac:dyDescent="0.15">
      <c r="A4507" s="76">
        <v>4245</v>
      </c>
      <c r="B4507" s="74" t="s">
        <v>6553</v>
      </c>
      <c r="C4507" s="74">
        <v>1066777705</v>
      </c>
      <c r="D4507" s="78" t="str">
        <f t="shared" si="146"/>
        <v>https://portal.dnb.de/opac.htm?method=simpleSearch&amp;cqlMode=true&amp;query=idn%3D1066777705</v>
      </c>
      <c r="E4507" s="74" t="s">
        <v>6554</v>
      </c>
      <c r="F4507" s="74"/>
      <c r="G4507" s="76"/>
      <c r="H4507" s="77"/>
      <c r="I4507" s="76"/>
      <c r="J4507" s="77"/>
      <c r="K4507" s="77"/>
      <c r="L4507" s="76"/>
      <c r="M4507" s="76"/>
      <c r="N4507" s="76"/>
      <c r="O4507" s="76"/>
      <c r="P4507" s="76"/>
      <c r="Q4507" s="76"/>
      <c r="R4507" s="76"/>
      <c r="S4507" s="76"/>
      <c r="BD4507" s="99">
        <f t="shared" si="147"/>
        <v>0</v>
      </c>
      <c r="CC4507" s="99"/>
      <c r="CV4507" s="99"/>
      <c r="CW4507" s="63"/>
    </row>
    <row r="4508" spans="1:101" x14ac:dyDescent="0.15">
      <c r="A4508" s="76">
        <v>4246</v>
      </c>
      <c r="B4508" s="74" t="s">
        <v>6525</v>
      </c>
      <c r="C4508" s="74">
        <v>1066960313</v>
      </c>
      <c r="D4508" s="78" t="str">
        <f t="shared" si="146"/>
        <v>https://portal.dnb.de/opac.htm?method=simpleSearch&amp;cqlMode=true&amp;query=idn%3D1066960313</v>
      </c>
      <c r="E4508" s="74" t="s">
        <v>6526</v>
      </c>
      <c r="F4508" s="74"/>
      <c r="G4508" s="76"/>
      <c r="H4508" s="77"/>
      <c r="I4508" s="76"/>
      <c r="J4508" s="77"/>
      <c r="K4508" s="77"/>
      <c r="L4508" s="76"/>
      <c r="M4508" s="76"/>
      <c r="N4508" s="76"/>
      <c r="O4508" s="76"/>
      <c r="P4508" s="76"/>
      <c r="Q4508" s="76"/>
      <c r="R4508" s="76"/>
      <c r="S4508" s="76"/>
      <c r="BD4508" s="99">
        <f t="shared" si="147"/>
        <v>0</v>
      </c>
      <c r="CC4508" s="99"/>
      <c r="CV4508" s="99"/>
      <c r="CW4508" s="63"/>
    </row>
    <row r="4509" spans="1:101" x14ac:dyDescent="0.15">
      <c r="A4509" s="76">
        <v>4247</v>
      </c>
      <c r="B4509" s="74" t="s">
        <v>6544</v>
      </c>
      <c r="C4509" s="74" t="s">
        <v>6545</v>
      </c>
      <c r="D4509" s="78" t="str">
        <f t="shared" si="146"/>
        <v>https://portal.dnb.de/opac.htm?method=simpleSearch&amp;cqlMode=true&amp;query=idn%3D106693357X</v>
      </c>
      <c r="E4509" s="74" t="s">
        <v>6546</v>
      </c>
      <c r="F4509" s="74"/>
      <c r="G4509" s="76"/>
      <c r="H4509" s="77"/>
      <c r="I4509" s="76"/>
      <c r="J4509" s="77"/>
      <c r="K4509" s="77"/>
      <c r="L4509" s="76"/>
      <c r="M4509" s="76"/>
      <c r="N4509" s="76"/>
      <c r="O4509" s="76"/>
      <c r="P4509" s="76"/>
      <c r="Q4509" s="76"/>
      <c r="R4509" s="76"/>
      <c r="S4509" s="76"/>
      <c r="BD4509" s="99">
        <f t="shared" si="147"/>
        <v>0</v>
      </c>
      <c r="CC4509" s="99"/>
      <c r="CV4509" s="99"/>
      <c r="CW4509" s="63"/>
    </row>
    <row r="4510" spans="1:101" ht="67.5" x14ac:dyDescent="0.15">
      <c r="A4510" s="76">
        <v>4248</v>
      </c>
      <c r="B4510" s="74" t="s">
        <v>6549</v>
      </c>
      <c r="C4510" s="74">
        <v>1066777705</v>
      </c>
      <c r="D4510" s="78" t="str">
        <f t="shared" si="146"/>
        <v>https://portal.dnb.de/opac.htm?method=simpleSearch&amp;cqlMode=true&amp;query=idn%3D1066777705</v>
      </c>
      <c r="E4510" s="74" t="s">
        <v>6550</v>
      </c>
      <c r="F4510" s="74"/>
      <c r="G4510" s="76"/>
      <c r="H4510" s="77"/>
      <c r="I4510" s="76" t="s">
        <v>56</v>
      </c>
      <c r="J4510" s="77"/>
      <c r="K4510" s="77"/>
      <c r="L4510" s="76"/>
      <c r="M4510" s="76"/>
      <c r="N4510" s="76"/>
      <c r="O4510" s="76"/>
      <c r="P4510" s="76"/>
      <c r="Q4510" s="76"/>
      <c r="R4510" s="76"/>
      <c r="S4510" s="76"/>
      <c r="W4510" s="95" t="s">
        <v>8541</v>
      </c>
      <c r="Y4510" s="95" t="s">
        <v>9763</v>
      </c>
      <c r="AA4510" s="95" t="s">
        <v>8541</v>
      </c>
      <c r="AC4510" s="95" t="s">
        <v>9724</v>
      </c>
      <c r="AF4510" s="95" t="s">
        <v>8541</v>
      </c>
      <c r="AI4510" s="95" t="s">
        <v>9725</v>
      </c>
      <c r="AP4510" s="95" t="s">
        <v>8541</v>
      </c>
      <c r="AQ4510" s="96" t="s">
        <v>10481</v>
      </c>
      <c r="AW4510" s="95">
        <v>45</v>
      </c>
      <c r="AY4510" s="95" t="s">
        <v>8541</v>
      </c>
      <c r="BC4510" s="96" t="s">
        <v>9726</v>
      </c>
      <c r="BD4510" s="99">
        <f t="shared" si="147"/>
        <v>7</v>
      </c>
      <c r="BH4510" s="95" t="s">
        <v>8541</v>
      </c>
      <c r="BP4510" s="69" t="s">
        <v>8541</v>
      </c>
      <c r="BR4510" s="95" t="s">
        <v>8541</v>
      </c>
      <c r="BZ4510" s="95" t="s">
        <v>8541</v>
      </c>
      <c r="CC4510" s="99">
        <v>5</v>
      </c>
      <c r="CD4510" s="90" t="s">
        <v>10482</v>
      </c>
      <c r="CE4510" s="95" t="s">
        <v>8541</v>
      </c>
      <c r="CQ4510" s="95" t="s">
        <v>8541</v>
      </c>
      <c r="CV4510" s="99">
        <v>2</v>
      </c>
      <c r="CW4510" s="90" t="s">
        <v>10483</v>
      </c>
    </row>
    <row r="4511" spans="1:101" x14ac:dyDescent="0.15">
      <c r="A4511" s="76">
        <v>4249</v>
      </c>
      <c r="B4511" s="74" t="s">
        <v>6559</v>
      </c>
      <c r="C4511" s="74">
        <v>994185774</v>
      </c>
      <c r="D4511" s="78" t="str">
        <f t="shared" si="146"/>
        <v>https://portal.dnb.de/opac.htm?method=simpleSearch&amp;cqlMode=true&amp;query=idn%3D994185774</v>
      </c>
      <c r="E4511" s="74" t="s">
        <v>6560</v>
      </c>
      <c r="F4511" s="74"/>
      <c r="G4511" s="76"/>
      <c r="H4511" s="77"/>
      <c r="I4511" s="76"/>
      <c r="J4511" s="77"/>
      <c r="K4511" s="77"/>
      <c r="L4511" s="76"/>
      <c r="M4511" s="76"/>
      <c r="N4511" s="76"/>
      <c r="O4511" s="76"/>
      <c r="P4511" s="76"/>
      <c r="Q4511" s="76"/>
      <c r="R4511" s="76"/>
      <c r="S4511" s="76"/>
      <c r="BD4511" s="99">
        <f t="shared" si="147"/>
        <v>0</v>
      </c>
      <c r="CC4511" s="99"/>
      <c r="CV4511" s="99"/>
      <c r="CW4511" s="63"/>
    </row>
    <row r="4512" spans="1:101" x14ac:dyDescent="0.15">
      <c r="A4512" s="76">
        <v>4250</v>
      </c>
      <c r="B4512" s="74" t="s">
        <v>6561</v>
      </c>
      <c r="C4512" s="74">
        <v>994186010</v>
      </c>
      <c r="D4512" s="78" t="str">
        <f t="shared" si="146"/>
        <v>https://portal.dnb.de/opac.htm?method=simpleSearch&amp;cqlMode=true&amp;query=idn%3D994186010</v>
      </c>
      <c r="E4512" s="74" t="s">
        <v>6560</v>
      </c>
      <c r="F4512" s="74"/>
      <c r="G4512" s="76"/>
      <c r="H4512" s="77"/>
      <c r="I4512" s="76"/>
      <c r="J4512" s="77"/>
      <c r="K4512" s="77"/>
      <c r="L4512" s="76"/>
      <c r="M4512" s="76"/>
      <c r="N4512" s="76"/>
      <c r="O4512" s="76"/>
      <c r="P4512" s="76"/>
      <c r="Q4512" s="76"/>
      <c r="R4512" s="76"/>
      <c r="S4512" s="76"/>
      <c r="BD4512" s="99">
        <f t="shared" si="147"/>
        <v>0</v>
      </c>
      <c r="CC4512" s="99"/>
      <c r="CV4512" s="99"/>
      <c r="CW4512" s="63"/>
    </row>
    <row r="4513" spans="1:101" x14ac:dyDescent="0.15">
      <c r="A4513" s="76">
        <v>4251</v>
      </c>
      <c r="B4513" s="74" t="s">
        <v>6562</v>
      </c>
      <c r="C4513" s="74">
        <v>11251980</v>
      </c>
      <c r="D4513" s="78" t="str">
        <f t="shared" ref="D4513:D4577" si="148">HYPERLINK(CONCATENATE("https://portal.dnb.de/opac.htm?method=simpleSearch&amp;cqlMode=true&amp;query=idn%3D",C4513))</f>
        <v>https://portal.dnb.de/opac.htm?method=simpleSearch&amp;cqlMode=true&amp;query=idn%3D11251980</v>
      </c>
      <c r="E4513" s="74" t="s">
        <v>6563</v>
      </c>
      <c r="F4513" s="74"/>
      <c r="G4513" s="76"/>
      <c r="H4513" s="77"/>
      <c r="I4513" s="76"/>
      <c r="J4513" s="77"/>
      <c r="K4513" s="77"/>
      <c r="L4513" s="76"/>
      <c r="M4513" s="76"/>
      <c r="N4513" s="76"/>
      <c r="O4513" s="76"/>
      <c r="P4513" s="76"/>
      <c r="Q4513" s="76"/>
      <c r="R4513" s="76"/>
      <c r="S4513" s="76"/>
      <c r="BD4513" s="99">
        <f t="shared" si="147"/>
        <v>0</v>
      </c>
      <c r="CC4513" s="99"/>
      <c r="CV4513" s="99"/>
      <c r="CW4513" s="63"/>
    </row>
    <row r="4514" spans="1:101" x14ac:dyDescent="0.15">
      <c r="A4514" s="76">
        <v>4252</v>
      </c>
      <c r="B4514" s="74" t="s">
        <v>6564</v>
      </c>
      <c r="C4514" s="74" t="s">
        <v>6565</v>
      </c>
      <c r="D4514" s="78" t="str">
        <f t="shared" si="148"/>
        <v>https://portal.dnb.de/opac.htm?method=simpleSearch&amp;cqlMode=true&amp;query=idn%3D01118857X</v>
      </c>
      <c r="E4514" s="74" t="s">
        <v>6566</v>
      </c>
      <c r="F4514" s="74"/>
      <c r="G4514" s="76"/>
      <c r="H4514" s="77"/>
      <c r="I4514" s="76"/>
      <c r="J4514" s="77"/>
      <c r="K4514" s="77"/>
      <c r="L4514" s="76"/>
      <c r="M4514" s="76"/>
      <c r="N4514" s="76"/>
      <c r="O4514" s="76"/>
      <c r="P4514" s="76"/>
      <c r="Q4514" s="76"/>
      <c r="R4514" s="76"/>
      <c r="S4514" s="76"/>
      <c r="BD4514" s="99">
        <f t="shared" si="147"/>
        <v>0</v>
      </c>
      <c r="CC4514" s="99"/>
      <c r="CV4514" s="99"/>
      <c r="CW4514" s="63"/>
    </row>
    <row r="4515" spans="1:101" x14ac:dyDescent="0.15">
      <c r="A4515" s="76">
        <v>4253</v>
      </c>
      <c r="B4515" s="74" t="s">
        <v>6573</v>
      </c>
      <c r="C4515" s="74">
        <v>11188596</v>
      </c>
      <c r="D4515" s="78" t="str">
        <f t="shared" si="148"/>
        <v>https://portal.dnb.de/opac.htm?method=simpleSearch&amp;cqlMode=true&amp;query=idn%3D11188596</v>
      </c>
      <c r="E4515" s="74" t="s">
        <v>6566</v>
      </c>
      <c r="F4515" s="74"/>
      <c r="G4515" s="76"/>
      <c r="H4515" s="77"/>
      <c r="I4515" s="76"/>
      <c r="J4515" s="77"/>
      <c r="K4515" s="77"/>
      <c r="L4515" s="76"/>
      <c r="M4515" s="76"/>
      <c r="N4515" s="76"/>
      <c r="O4515" s="76"/>
      <c r="P4515" s="76"/>
      <c r="Q4515" s="76"/>
      <c r="R4515" s="76"/>
      <c r="S4515" s="76"/>
      <c r="BD4515" s="99">
        <f t="shared" si="147"/>
        <v>0</v>
      </c>
      <c r="CC4515" s="99"/>
      <c r="CV4515" s="99"/>
      <c r="CW4515" s="63"/>
    </row>
    <row r="4516" spans="1:101" x14ac:dyDescent="0.15">
      <c r="A4516" s="76">
        <v>4254</v>
      </c>
      <c r="B4516" s="74" t="s">
        <v>6567</v>
      </c>
      <c r="C4516" s="74">
        <v>1001136055</v>
      </c>
      <c r="D4516" s="78" t="str">
        <f t="shared" si="148"/>
        <v>https://portal.dnb.de/opac.htm?method=simpleSearch&amp;cqlMode=true&amp;query=idn%3D1001136055</v>
      </c>
      <c r="E4516" s="74" t="s">
        <v>6568</v>
      </c>
      <c r="F4516" s="74"/>
      <c r="G4516" s="76"/>
      <c r="H4516" s="77"/>
      <c r="I4516" s="76"/>
      <c r="J4516" s="77"/>
      <c r="K4516" s="77"/>
      <c r="L4516" s="76"/>
      <c r="M4516" s="76"/>
      <c r="N4516" s="76"/>
      <c r="O4516" s="76"/>
      <c r="P4516" s="76"/>
      <c r="Q4516" s="76"/>
      <c r="R4516" s="76"/>
      <c r="S4516" s="76"/>
      <c r="BD4516" s="99">
        <f t="shared" si="147"/>
        <v>0</v>
      </c>
      <c r="CC4516" s="99"/>
      <c r="CV4516" s="99"/>
      <c r="CW4516" s="63"/>
    </row>
    <row r="4517" spans="1:101" x14ac:dyDescent="0.15">
      <c r="A4517" s="76">
        <v>4255</v>
      </c>
      <c r="B4517" s="74" t="s">
        <v>6569</v>
      </c>
      <c r="C4517" s="74">
        <v>997155388</v>
      </c>
      <c r="D4517" s="78" t="str">
        <f t="shared" si="148"/>
        <v>https://portal.dnb.de/opac.htm?method=simpleSearch&amp;cqlMode=true&amp;query=idn%3D997155388</v>
      </c>
      <c r="E4517" s="74" t="s">
        <v>6570</v>
      </c>
      <c r="F4517" s="74"/>
      <c r="G4517" s="76"/>
      <c r="H4517" s="77"/>
      <c r="I4517" s="76"/>
      <c r="J4517" s="77"/>
      <c r="K4517" s="77"/>
      <c r="L4517" s="76"/>
      <c r="M4517" s="76"/>
      <c r="N4517" s="76"/>
      <c r="O4517" s="76"/>
      <c r="P4517" s="76"/>
      <c r="Q4517" s="76"/>
      <c r="R4517" s="76"/>
      <c r="S4517" s="76"/>
      <c r="BD4517" s="99">
        <f t="shared" si="147"/>
        <v>0</v>
      </c>
      <c r="CC4517" s="99"/>
      <c r="CV4517" s="99"/>
      <c r="CW4517" s="63"/>
    </row>
    <row r="4518" spans="1:101" x14ac:dyDescent="0.15">
      <c r="A4518" s="76">
        <v>4256</v>
      </c>
      <c r="B4518" s="74" t="s">
        <v>6571</v>
      </c>
      <c r="C4518" s="74">
        <v>994406754</v>
      </c>
      <c r="D4518" s="78" t="str">
        <f t="shared" si="148"/>
        <v>https://portal.dnb.de/opac.htm?method=simpleSearch&amp;cqlMode=true&amp;query=idn%3D994406754</v>
      </c>
      <c r="E4518" s="74" t="s">
        <v>6572</v>
      </c>
      <c r="F4518" s="74"/>
      <c r="G4518" s="76"/>
      <c r="H4518" s="77"/>
      <c r="I4518" s="76"/>
      <c r="J4518" s="77"/>
      <c r="K4518" s="77"/>
      <c r="L4518" s="76"/>
      <c r="M4518" s="76"/>
      <c r="N4518" s="76"/>
      <c r="O4518" s="76"/>
      <c r="P4518" s="76"/>
      <c r="Q4518" s="76"/>
      <c r="R4518" s="76"/>
      <c r="S4518" s="76"/>
      <c r="BD4518" s="99">
        <f t="shared" si="147"/>
        <v>0</v>
      </c>
      <c r="CC4518" s="99"/>
      <c r="CV4518" s="99"/>
      <c r="CW4518" s="63"/>
    </row>
    <row r="4519" spans="1:101" x14ac:dyDescent="0.15">
      <c r="A4519" s="76">
        <v>4257</v>
      </c>
      <c r="B4519" s="74" t="s">
        <v>6535</v>
      </c>
      <c r="C4519" s="74">
        <v>15238245</v>
      </c>
      <c r="D4519" s="78" t="str">
        <f t="shared" si="148"/>
        <v>https://portal.dnb.de/opac.htm?method=simpleSearch&amp;cqlMode=true&amp;query=idn%3D15238245</v>
      </c>
      <c r="E4519" s="74" t="s">
        <v>6536</v>
      </c>
      <c r="F4519" s="74"/>
      <c r="G4519" s="76"/>
      <c r="H4519" s="77"/>
      <c r="I4519" s="76"/>
      <c r="J4519" s="77"/>
      <c r="K4519" s="77"/>
      <c r="L4519" s="76"/>
      <c r="M4519" s="76"/>
      <c r="N4519" s="76"/>
      <c r="O4519" s="76"/>
      <c r="P4519" s="76"/>
      <c r="Q4519" s="76"/>
      <c r="R4519" s="76"/>
      <c r="S4519" s="76"/>
      <c r="BD4519" s="99">
        <f t="shared" si="147"/>
        <v>0</v>
      </c>
      <c r="CC4519" s="99"/>
      <c r="CV4519" s="99"/>
      <c r="CW4519" s="63"/>
    </row>
    <row r="4520" spans="1:101" ht="22.5" x14ac:dyDescent="0.15">
      <c r="A4520" s="76"/>
      <c r="B4520" s="74"/>
      <c r="C4520" s="74"/>
      <c r="D4520" s="78"/>
      <c r="E4520" s="74" t="s">
        <v>10304</v>
      </c>
      <c r="F4520" s="74"/>
      <c r="G4520" s="76"/>
      <c r="H4520" s="77"/>
      <c r="I4520" s="76" t="s">
        <v>53</v>
      </c>
      <c r="J4520" s="77"/>
      <c r="K4520" s="77"/>
      <c r="L4520" s="76"/>
      <c r="M4520" s="76"/>
      <c r="N4520" s="76"/>
      <c r="O4520" s="76"/>
      <c r="P4520" s="76"/>
      <c r="Q4520" s="76"/>
      <c r="R4520" s="76"/>
      <c r="S4520" s="76"/>
      <c r="Y4520" s="95" t="s">
        <v>9763</v>
      </c>
      <c r="AC4520" s="95" t="s">
        <v>9730</v>
      </c>
      <c r="AI4520" s="95" t="s">
        <v>9725</v>
      </c>
      <c r="AW4520" s="95">
        <v>60</v>
      </c>
      <c r="BC4520" s="96" t="s">
        <v>9726</v>
      </c>
      <c r="BD4520" s="99">
        <f t="shared" si="147"/>
        <v>2</v>
      </c>
      <c r="BF4520" s="95" t="s">
        <v>10006</v>
      </c>
      <c r="BL4520" s="70" t="s">
        <v>10306</v>
      </c>
      <c r="BP4520" s="69" t="s">
        <v>8541</v>
      </c>
      <c r="BQ4520" s="95" t="s">
        <v>8541</v>
      </c>
      <c r="BR4520" s="95" t="s">
        <v>8541</v>
      </c>
      <c r="BT4520" s="95" t="s">
        <v>9772</v>
      </c>
      <c r="CB4520" s="95" t="s">
        <v>10217</v>
      </c>
      <c r="CC4520" s="99">
        <v>2</v>
      </c>
      <c r="CD4520" s="90" t="s">
        <v>10305</v>
      </c>
      <c r="CV4520" s="99"/>
      <c r="CW4520" s="63"/>
    </row>
    <row r="4521" spans="1:101" x14ac:dyDescent="0.15">
      <c r="A4521" s="76">
        <v>4258</v>
      </c>
      <c r="B4521" s="74" t="s">
        <v>6527</v>
      </c>
      <c r="C4521" s="74">
        <v>1208708600</v>
      </c>
      <c r="D4521" s="78" t="str">
        <f t="shared" si="148"/>
        <v>https://portal.dnb.de/opac.htm?method=simpleSearch&amp;cqlMode=true&amp;query=idn%3D1208708600</v>
      </c>
      <c r="E4521" s="74" t="s">
        <v>6528</v>
      </c>
      <c r="F4521" s="74"/>
      <c r="G4521" s="76"/>
      <c r="H4521" s="77"/>
      <c r="I4521" s="76"/>
      <c r="J4521" s="77"/>
      <c r="K4521" s="77"/>
      <c r="L4521" s="76"/>
      <c r="M4521" s="76"/>
      <c r="N4521" s="76"/>
      <c r="O4521" s="76"/>
      <c r="P4521" s="76"/>
      <c r="Q4521" s="76"/>
      <c r="R4521" s="76"/>
      <c r="S4521" s="76"/>
      <c r="BD4521" s="99">
        <f t="shared" si="147"/>
        <v>0</v>
      </c>
      <c r="CC4521" s="99"/>
      <c r="CV4521" s="99"/>
      <c r="CW4521" s="63"/>
    </row>
    <row r="4522" spans="1:101" x14ac:dyDescent="0.15">
      <c r="A4522" s="76">
        <v>4259</v>
      </c>
      <c r="B4522" s="74" t="s">
        <v>6529</v>
      </c>
      <c r="C4522" s="74">
        <v>1208709860</v>
      </c>
      <c r="D4522" s="78" t="str">
        <f t="shared" si="148"/>
        <v>https://portal.dnb.de/opac.htm?method=simpleSearch&amp;cqlMode=true&amp;query=idn%3D1208709860</v>
      </c>
      <c r="E4522" s="74" t="s">
        <v>6530</v>
      </c>
      <c r="F4522" s="74"/>
      <c r="G4522" s="76"/>
      <c r="H4522" s="77"/>
      <c r="I4522" s="76"/>
      <c r="J4522" s="77"/>
      <c r="K4522" s="77"/>
      <c r="L4522" s="76"/>
      <c r="M4522" s="76"/>
      <c r="N4522" s="76"/>
      <c r="O4522" s="76"/>
      <c r="P4522" s="76"/>
      <c r="Q4522" s="76"/>
      <c r="R4522" s="76"/>
      <c r="S4522" s="76"/>
      <c r="BD4522" s="99">
        <f t="shared" si="147"/>
        <v>0</v>
      </c>
      <c r="CC4522" s="99"/>
      <c r="CV4522" s="99"/>
      <c r="CW4522" s="63"/>
    </row>
    <row r="4523" spans="1:101" x14ac:dyDescent="0.15">
      <c r="A4523" s="76">
        <v>4260</v>
      </c>
      <c r="B4523" s="74" t="s">
        <v>6533</v>
      </c>
      <c r="C4523" s="74">
        <v>994129378</v>
      </c>
      <c r="D4523" s="78" t="str">
        <f t="shared" si="148"/>
        <v>https://portal.dnb.de/opac.htm?method=simpleSearch&amp;cqlMode=true&amp;query=idn%3D994129378</v>
      </c>
      <c r="E4523" s="74" t="s">
        <v>6534</v>
      </c>
      <c r="F4523" s="74"/>
      <c r="G4523" s="76"/>
      <c r="H4523" s="77"/>
      <c r="I4523" s="76"/>
      <c r="J4523" s="77"/>
      <c r="K4523" s="77"/>
      <c r="L4523" s="76"/>
      <c r="M4523" s="76"/>
      <c r="N4523" s="76"/>
      <c r="O4523" s="76"/>
      <c r="P4523" s="76"/>
      <c r="Q4523" s="76"/>
      <c r="R4523" s="76"/>
      <c r="S4523" s="76"/>
      <c r="BD4523" s="99">
        <f t="shared" si="147"/>
        <v>0</v>
      </c>
      <c r="CC4523" s="99"/>
      <c r="CV4523" s="99"/>
      <c r="CW4523" s="63"/>
    </row>
    <row r="4524" spans="1:101" x14ac:dyDescent="0.15">
      <c r="A4524" s="76">
        <v>4261</v>
      </c>
      <c r="B4524" s="74" t="s">
        <v>6537</v>
      </c>
      <c r="C4524" s="74">
        <v>1001520548</v>
      </c>
      <c r="D4524" s="78" t="str">
        <f t="shared" si="148"/>
        <v>https://portal.dnb.de/opac.htm?method=simpleSearch&amp;cqlMode=true&amp;query=idn%3D1001520548</v>
      </c>
      <c r="E4524" s="74" t="s">
        <v>6538</v>
      </c>
      <c r="F4524" s="74"/>
      <c r="G4524" s="76"/>
      <c r="H4524" s="77"/>
      <c r="I4524" s="76"/>
      <c r="J4524" s="77"/>
      <c r="K4524" s="77"/>
      <c r="L4524" s="76"/>
      <c r="M4524" s="76"/>
      <c r="N4524" s="76"/>
      <c r="O4524" s="76"/>
      <c r="P4524" s="76"/>
      <c r="Q4524" s="76"/>
      <c r="R4524" s="76"/>
      <c r="S4524" s="76"/>
      <c r="BD4524" s="99">
        <f t="shared" si="147"/>
        <v>0</v>
      </c>
      <c r="CC4524" s="99"/>
      <c r="CV4524" s="99"/>
      <c r="CW4524" s="63"/>
    </row>
    <row r="4525" spans="1:101" x14ac:dyDescent="0.15">
      <c r="A4525" s="76">
        <v>4262</v>
      </c>
      <c r="B4525" s="74" t="s">
        <v>6539</v>
      </c>
      <c r="C4525" s="74">
        <v>999777912</v>
      </c>
      <c r="D4525" s="78" t="str">
        <f t="shared" si="148"/>
        <v>https://portal.dnb.de/opac.htm?method=simpleSearch&amp;cqlMode=true&amp;query=idn%3D999777912</v>
      </c>
      <c r="E4525" s="74" t="s">
        <v>6540</v>
      </c>
      <c r="F4525" s="74"/>
      <c r="G4525" s="76"/>
      <c r="H4525" s="77"/>
      <c r="I4525" s="76"/>
      <c r="J4525" s="77"/>
      <c r="K4525" s="77"/>
      <c r="L4525" s="76"/>
      <c r="M4525" s="76"/>
      <c r="N4525" s="76"/>
      <c r="O4525" s="76"/>
      <c r="P4525" s="76"/>
      <c r="Q4525" s="76"/>
      <c r="R4525" s="76"/>
      <c r="S4525" s="76"/>
      <c r="BD4525" s="99">
        <f t="shared" si="147"/>
        <v>0</v>
      </c>
      <c r="CC4525" s="99"/>
      <c r="CV4525" s="99"/>
      <c r="CW4525" s="63"/>
    </row>
    <row r="4526" spans="1:101" x14ac:dyDescent="0.15">
      <c r="A4526" s="76">
        <v>4263</v>
      </c>
      <c r="B4526" s="74" t="s">
        <v>6541</v>
      </c>
      <c r="C4526" s="74">
        <v>997440961</v>
      </c>
      <c r="D4526" s="78" t="str">
        <f t="shared" si="148"/>
        <v>https://portal.dnb.de/opac.htm?method=simpleSearch&amp;cqlMode=true&amp;query=idn%3D997440961</v>
      </c>
      <c r="E4526" s="74" t="s">
        <v>6540</v>
      </c>
      <c r="F4526" s="74"/>
      <c r="G4526" s="76"/>
      <c r="H4526" s="77"/>
      <c r="I4526" s="76"/>
      <c r="J4526" s="77"/>
      <c r="K4526" s="77"/>
      <c r="L4526" s="76"/>
      <c r="M4526" s="76"/>
      <c r="N4526" s="76"/>
      <c r="O4526" s="76"/>
      <c r="P4526" s="76"/>
      <c r="Q4526" s="76"/>
      <c r="R4526" s="76"/>
      <c r="S4526" s="76"/>
      <c r="BD4526" s="99">
        <f t="shared" si="147"/>
        <v>0</v>
      </c>
      <c r="CC4526" s="99"/>
      <c r="CV4526" s="99"/>
      <c r="CW4526" s="63"/>
    </row>
    <row r="4527" spans="1:101" x14ac:dyDescent="0.15">
      <c r="A4527" s="76">
        <v>4264</v>
      </c>
      <c r="B4527" s="74" t="s">
        <v>6542</v>
      </c>
      <c r="C4527" s="74" t="s">
        <v>6543</v>
      </c>
      <c r="D4527" s="78" t="str">
        <f t="shared" si="148"/>
        <v>https://portal.dnb.de/opac.htm?method=simpleSearch&amp;cqlMode=true&amp;query=idn%3D99977767X</v>
      </c>
      <c r="E4527" s="74" t="s">
        <v>6540</v>
      </c>
      <c r="F4527" s="74"/>
      <c r="G4527" s="76"/>
      <c r="H4527" s="77"/>
      <c r="I4527" s="76"/>
      <c r="J4527" s="77"/>
      <c r="K4527" s="77"/>
      <c r="L4527" s="76"/>
      <c r="M4527" s="76"/>
      <c r="N4527" s="76"/>
      <c r="O4527" s="76"/>
      <c r="P4527" s="76"/>
      <c r="Q4527" s="76"/>
      <c r="R4527" s="76"/>
      <c r="S4527" s="76"/>
      <c r="BD4527" s="99">
        <f t="shared" si="147"/>
        <v>0</v>
      </c>
      <c r="CC4527" s="99"/>
      <c r="CV4527" s="99"/>
      <c r="CW4527" s="63"/>
    </row>
    <row r="4528" spans="1:101" x14ac:dyDescent="0.15">
      <c r="A4528" s="76">
        <v>4265</v>
      </c>
      <c r="B4528" s="74" t="s">
        <v>6547</v>
      </c>
      <c r="C4528" s="74">
        <v>1209229838</v>
      </c>
      <c r="D4528" s="78" t="str">
        <f t="shared" si="148"/>
        <v>https://portal.dnb.de/opac.htm?method=simpleSearch&amp;cqlMode=true&amp;query=idn%3D1209229838</v>
      </c>
      <c r="E4528" s="74" t="s">
        <v>6548</v>
      </c>
      <c r="F4528" s="74"/>
      <c r="G4528" s="76"/>
      <c r="H4528" s="77"/>
      <c r="I4528" s="76"/>
      <c r="J4528" s="77"/>
      <c r="K4528" s="77"/>
      <c r="L4528" s="76"/>
      <c r="M4528" s="76"/>
      <c r="N4528" s="76"/>
      <c r="O4528" s="76"/>
      <c r="P4528" s="76"/>
      <c r="Q4528" s="76"/>
      <c r="R4528" s="76"/>
      <c r="S4528" s="76"/>
      <c r="BD4528" s="99">
        <f t="shared" si="147"/>
        <v>0</v>
      </c>
      <c r="CC4528" s="99"/>
      <c r="CV4528" s="99"/>
      <c r="CW4528" s="63"/>
    </row>
    <row r="4529" spans="1:101" x14ac:dyDescent="0.15">
      <c r="A4529" s="76">
        <v>4266</v>
      </c>
      <c r="B4529" s="74" t="s">
        <v>6551</v>
      </c>
      <c r="C4529" s="74">
        <v>1207559571</v>
      </c>
      <c r="D4529" s="78" t="str">
        <f t="shared" si="148"/>
        <v>https://portal.dnb.de/opac.htm?method=simpleSearch&amp;cqlMode=true&amp;query=idn%3D1207559571</v>
      </c>
      <c r="E4529" s="74" t="s">
        <v>6552</v>
      </c>
      <c r="F4529" s="74"/>
      <c r="G4529" s="76"/>
      <c r="H4529" s="77"/>
      <c r="I4529" s="76"/>
      <c r="J4529" s="77"/>
      <c r="K4529" s="77"/>
      <c r="L4529" s="76"/>
      <c r="M4529" s="76"/>
      <c r="N4529" s="76"/>
      <c r="O4529" s="76"/>
      <c r="P4529" s="76"/>
      <c r="Q4529" s="76"/>
      <c r="R4529" s="76"/>
      <c r="S4529" s="76"/>
      <c r="BD4529" s="99">
        <f t="shared" si="147"/>
        <v>0</v>
      </c>
      <c r="CC4529" s="99"/>
      <c r="CV4529" s="99"/>
      <c r="CW4529" s="63"/>
    </row>
    <row r="4530" spans="1:101" x14ac:dyDescent="0.15">
      <c r="A4530" s="76">
        <v>4267</v>
      </c>
      <c r="B4530" s="74" t="s">
        <v>6555</v>
      </c>
      <c r="C4530" s="74">
        <v>1207558397</v>
      </c>
      <c r="D4530" s="78" t="str">
        <f t="shared" si="148"/>
        <v>https://portal.dnb.de/opac.htm?method=simpleSearch&amp;cqlMode=true&amp;query=idn%3D1207558397</v>
      </c>
      <c r="E4530" s="74" t="s">
        <v>6556</v>
      </c>
      <c r="F4530" s="74"/>
      <c r="G4530" s="76"/>
      <c r="H4530" s="77"/>
      <c r="I4530" s="76"/>
      <c r="J4530" s="77"/>
      <c r="K4530" s="77"/>
      <c r="L4530" s="76"/>
      <c r="M4530" s="76"/>
      <c r="N4530" s="76"/>
      <c r="O4530" s="76"/>
      <c r="P4530" s="76"/>
      <c r="Q4530" s="76"/>
      <c r="R4530" s="76"/>
      <c r="S4530" s="76"/>
      <c r="BD4530" s="99">
        <f t="shared" si="147"/>
        <v>0</v>
      </c>
      <c r="CC4530" s="99"/>
      <c r="CV4530" s="99"/>
      <c r="CW4530" s="63"/>
    </row>
    <row r="4531" spans="1:101" x14ac:dyDescent="0.15">
      <c r="A4531" s="76">
        <v>4268</v>
      </c>
      <c r="B4531" s="74" t="s">
        <v>6557</v>
      </c>
      <c r="C4531" s="74">
        <v>1207559571</v>
      </c>
      <c r="D4531" s="78" t="str">
        <f t="shared" si="148"/>
        <v>https://portal.dnb.de/opac.htm?method=simpleSearch&amp;cqlMode=true&amp;query=idn%3D1207559571</v>
      </c>
      <c r="E4531" s="74" t="s">
        <v>6558</v>
      </c>
      <c r="F4531" s="74"/>
      <c r="G4531" s="76"/>
      <c r="H4531" s="77"/>
      <c r="I4531" s="76"/>
      <c r="J4531" s="77"/>
      <c r="K4531" s="77"/>
      <c r="L4531" s="76"/>
      <c r="M4531" s="76"/>
      <c r="N4531" s="76"/>
      <c r="O4531" s="76"/>
      <c r="P4531" s="76"/>
      <c r="Q4531" s="76"/>
      <c r="R4531" s="76"/>
      <c r="S4531" s="76"/>
      <c r="BD4531" s="99">
        <f t="shared" si="147"/>
        <v>0</v>
      </c>
      <c r="CC4531" s="99"/>
      <c r="CV4531" s="99"/>
      <c r="CW4531" s="63"/>
    </row>
    <row r="4532" spans="1:101" x14ac:dyDescent="0.15">
      <c r="A4532" s="76">
        <v>4269</v>
      </c>
      <c r="B4532" s="74" t="s">
        <v>6574</v>
      </c>
      <c r="C4532" s="74">
        <v>1066837457</v>
      </c>
      <c r="D4532" s="78" t="str">
        <f t="shared" si="148"/>
        <v>https://portal.dnb.de/opac.htm?method=simpleSearch&amp;cqlMode=true&amp;query=idn%3D1066837457</v>
      </c>
      <c r="E4532" s="74" t="s">
        <v>6575</v>
      </c>
      <c r="F4532" s="74"/>
      <c r="G4532" s="76"/>
      <c r="H4532" s="77"/>
      <c r="I4532" s="76"/>
      <c r="J4532" s="77"/>
      <c r="K4532" s="77"/>
      <c r="L4532" s="76"/>
      <c r="M4532" s="76"/>
      <c r="N4532" s="76"/>
      <c r="O4532" s="76"/>
      <c r="P4532" s="76"/>
      <c r="Q4532" s="76"/>
      <c r="R4532" s="76"/>
      <c r="S4532" s="76"/>
      <c r="BD4532" s="99">
        <f t="shared" si="147"/>
        <v>0</v>
      </c>
      <c r="CC4532" s="99"/>
      <c r="CV4532" s="99"/>
      <c r="CW4532" s="63"/>
    </row>
    <row r="4533" spans="1:101" ht="22.5" x14ac:dyDescent="0.15">
      <c r="A4533" s="76">
        <v>4270</v>
      </c>
      <c r="B4533" s="74" t="s">
        <v>6576</v>
      </c>
      <c r="C4533" s="74">
        <v>1066879397</v>
      </c>
      <c r="D4533" s="78" t="str">
        <f t="shared" si="148"/>
        <v>https://portal.dnb.de/opac.htm?method=simpleSearch&amp;cqlMode=true&amp;query=idn%3D1066879397</v>
      </c>
      <c r="E4533" s="74" t="s">
        <v>6577</v>
      </c>
      <c r="F4533" s="74"/>
      <c r="G4533" s="76"/>
      <c r="H4533" s="77"/>
      <c r="I4533" s="76" t="s">
        <v>53</v>
      </c>
      <c r="J4533" s="77"/>
      <c r="K4533" s="77"/>
      <c r="L4533" s="76"/>
      <c r="M4533" s="76"/>
      <c r="N4533" s="76"/>
      <c r="O4533" s="76"/>
      <c r="P4533" s="76"/>
      <c r="Q4533" s="76"/>
      <c r="R4533" s="76"/>
      <c r="S4533" s="76"/>
      <c r="Y4533" s="95" t="s">
        <v>9723</v>
      </c>
      <c r="AC4533" s="95" t="s">
        <v>9724</v>
      </c>
      <c r="AI4533" s="95" t="s">
        <v>9725</v>
      </c>
      <c r="AW4533" s="95">
        <v>60</v>
      </c>
      <c r="BC4533" s="96" t="s">
        <v>9726</v>
      </c>
      <c r="BD4533" s="99">
        <f t="shared" si="147"/>
        <v>2.5</v>
      </c>
      <c r="BP4533" s="69" t="s">
        <v>8541</v>
      </c>
      <c r="BQ4533" s="95" t="s">
        <v>8541</v>
      </c>
      <c r="BR4533" s="95" t="s">
        <v>8541</v>
      </c>
      <c r="BT4533" s="95" t="s">
        <v>9772</v>
      </c>
      <c r="CC4533" s="99">
        <v>2.5</v>
      </c>
      <c r="CD4533" s="90" t="s">
        <v>10307</v>
      </c>
      <c r="CV4533" s="99"/>
      <c r="CW4533" s="63"/>
    </row>
    <row r="4534" spans="1:101" x14ac:dyDescent="0.15">
      <c r="A4534" s="76">
        <v>4271</v>
      </c>
      <c r="B4534" s="74" t="s">
        <v>6578</v>
      </c>
      <c r="C4534" s="74" t="s">
        <v>6579</v>
      </c>
      <c r="D4534" s="78" t="str">
        <f t="shared" si="148"/>
        <v>https://portal.dnb.de/opac.htm?method=simpleSearch&amp;cqlMode=true&amp;query=idn%3D106694038X</v>
      </c>
      <c r="E4534" s="74" t="s">
        <v>6580</v>
      </c>
      <c r="F4534" s="74"/>
      <c r="G4534" s="76"/>
      <c r="H4534" s="77"/>
      <c r="I4534" s="76"/>
      <c r="J4534" s="77"/>
      <c r="K4534" s="77"/>
      <c r="L4534" s="76"/>
      <c r="M4534" s="76"/>
      <c r="N4534" s="76"/>
      <c r="O4534" s="76"/>
      <c r="P4534" s="76"/>
      <c r="Q4534" s="76"/>
      <c r="R4534" s="76"/>
      <c r="S4534" s="76"/>
      <c r="BD4534" s="99">
        <f t="shared" si="147"/>
        <v>0</v>
      </c>
      <c r="CC4534" s="99"/>
      <c r="CV4534" s="99"/>
      <c r="CW4534" s="63"/>
    </row>
    <row r="4535" spans="1:101" x14ac:dyDescent="0.15">
      <c r="A4535" s="76">
        <v>4272</v>
      </c>
      <c r="B4535" s="74" t="s">
        <v>6581</v>
      </c>
      <c r="C4535" s="74" t="s">
        <v>6582</v>
      </c>
      <c r="D4535" s="78" t="str">
        <f t="shared" si="148"/>
        <v>https://portal.dnb.de/opac.htm?method=simpleSearch&amp;cqlMode=true&amp;query=idn%3D106684593X</v>
      </c>
      <c r="E4535" s="74" t="s">
        <v>6583</v>
      </c>
      <c r="F4535" s="74"/>
      <c r="G4535" s="76"/>
      <c r="H4535" s="77"/>
      <c r="I4535" s="76"/>
      <c r="J4535" s="77"/>
      <c r="K4535" s="77"/>
      <c r="L4535" s="76"/>
      <c r="M4535" s="76"/>
      <c r="N4535" s="76"/>
      <c r="O4535" s="76"/>
      <c r="P4535" s="76"/>
      <c r="Q4535" s="76"/>
      <c r="R4535" s="76"/>
      <c r="S4535" s="76"/>
      <c r="BD4535" s="99">
        <f t="shared" si="147"/>
        <v>0</v>
      </c>
      <c r="CC4535" s="99"/>
      <c r="CV4535" s="99"/>
      <c r="CW4535" s="63"/>
    </row>
    <row r="4536" spans="1:101" x14ac:dyDescent="0.15">
      <c r="A4536" s="76">
        <v>4273</v>
      </c>
      <c r="B4536" s="74" t="s">
        <v>6587</v>
      </c>
      <c r="C4536" s="74">
        <v>1001239911</v>
      </c>
      <c r="D4536" s="78" t="str">
        <f t="shared" si="148"/>
        <v>https://portal.dnb.de/opac.htm?method=simpleSearch&amp;cqlMode=true&amp;query=idn%3D1001239911</v>
      </c>
      <c r="E4536" s="74" t="s">
        <v>6588</v>
      </c>
      <c r="F4536" s="74"/>
      <c r="G4536" s="76"/>
      <c r="H4536" s="77"/>
      <c r="I4536" s="76"/>
      <c r="J4536" s="77"/>
      <c r="K4536" s="77"/>
      <c r="L4536" s="76"/>
      <c r="M4536" s="76"/>
      <c r="N4536" s="76"/>
      <c r="O4536" s="76"/>
      <c r="P4536" s="76"/>
      <c r="Q4536" s="76"/>
      <c r="R4536" s="76"/>
      <c r="S4536" s="76"/>
      <c r="BD4536" s="99">
        <f t="shared" si="147"/>
        <v>0</v>
      </c>
      <c r="CC4536" s="99"/>
      <c r="CV4536" s="99"/>
      <c r="CW4536" s="63"/>
    </row>
    <row r="4537" spans="1:101" x14ac:dyDescent="0.15">
      <c r="A4537" s="76">
        <v>4274</v>
      </c>
      <c r="B4537" s="74" t="s">
        <v>6584</v>
      </c>
      <c r="C4537" s="74" t="s">
        <v>6585</v>
      </c>
      <c r="D4537" s="78" t="str">
        <f t="shared" si="148"/>
        <v>https://portal.dnb.de/opac.htm?method=simpleSearch&amp;cqlMode=true&amp;query=idn%3D121095284X</v>
      </c>
      <c r="E4537" s="74" t="s">
        <v>6586</v>
      </c>
      <c r="F4537" s="74"/>
      <c r="G4537" s="76"/>
      <c r="H4537" s="77"/>
      <c r="I4537" s="76"/>
      <c r="J4537" s="77"/>
      <c r="K4537" s="77"/>
      <c r="L4537" s="76"/>
      <c r="M4537" s="76"/>
      <c r="N4537" s="76"/>
      <c r="O4537" s="76"/>
      <c r="P4537" s="76"/>
      <c r="Q4537" s="76"/>
      <c r="R4537" s="76"/>
      <c r="S4537" s="76"/>
      <c r="BD4537" s="99">
        <f t="shared" si="147"/>
        <v>0</v>
      </c>
      <c r="CC4537" s="99"/>
      <c r="CV4537" s="99"/>
      <c r="CW4537" s="63"/>
    </row>
    <row r="4538" spans="1:101" x14ac:dyDescent="0.15">
      <c r="A4538" s="76">
        <v>4275</v>
      </c>
      <c r="B4538" s="74" t="s">
        <v>6622</v>
      </c>
      <c r="C4538" s="74">
        <v>1066873232</v>
      </c>
      <c r="D4538" s="78" t="str">
        <f t="shared" si="148"/>
        <v>https://portal.dnb.de/opac.htm?method=simpleSearch&amp;cqlMode=true&amp;query=idn%3D1066873232</v>
      </c>
      <c r="E4538" s="74" t="s">
        <v>6623</v>
      </c>
      <c r="F4538" s="74"/>
      <c r="G4538" s="76"/>
      <c r="H4538" s="77"/>
      <c r="I4538" s="76"/>
      <c r="J4538" s="77"/>
      <c r="K4538" s="77"/>
      <c r="L4538" s="76"/>
      <c r="M4538" s="76"/>
      <c r="N4538" s="76"/>
      <c r="O4538" s="76"/>
      <c r="P4538" s="76"/>
      <c r="Q4538" s="76"/>
      <c r="R4538" s="76"/>
      <c r="S4538" s="76"/>
      <c r="BD4538" s="99">
        <f t="shared" si="147"/>
        <v>0</v>
      </c>
      <c r="CC4538" s="99"/>
      <c r="CV4538" s="99"/>
      <c r="CW4538" s="63"/>
    </row>
    <row r="4539" spans="1:101" x14ac:dyDescent="0.15">
      <c r="A4539" s="76">
        <v>4276</v>
      </c>
      <c r="B4539" s="74" t="s">
        <v>6624</v>
      </c>
      <c r="C4539" s="74">
        <v>1066850356</v>
      </c>
      <c r="D4539" s="78" t="str">
        <f t="shared" si="148"/>
        <v>https://portal.dnb.de/opac.htm?method=simpleSearch&amp;cqlMode=true&amp;query=idn%3D1066850356</v>
      </c>
      <c r="E4539" s="74" t="s">
        <v>6625</v>
      </c>
      <c r="F4539" s="74"/>
      <c r="G4539" s="76"/>
      <c r="H4539" s="77"/>
      <c r="I4539" s="76"/>
      <c r="J4539" s="77"/>
      <c r="K4539" s="77"/>
      <c r="L4539" s="76"/>
      <c r="M4539" s="76"/>
      <c r="N4539" s="76"/>
      <c r="O4539" s="76"/>
      <c r="P4539" s="76"/>
      <c r="Q4539" s="76"/>
      <c r="R4539" s="76"/>
      <c r="S4539" s="76"/>
      <c r="BD4539" s="99">
        <f t="shared" si="147"/>
        <v>0</v>
      </c>
      <c r="CC4539" s="99"/>
      <c r="CV4539" s="99"/>
      <c r="CW4539" s="63"/>
    </row>
    <row r="4540" spans="1:101" x14ac:dyDescent="0.15">
      <c r="A4540" s="76">
        <v>4277</v>
      </c>
      <c r="B4540" s="74" t="s">
        <v>6626</v>
      </c>
      <c r="C4540" s="74">
        <v>1003656048</v>
      </c>
      <c r="D4540" s="78" t="str">
        <f t="shared" si="148"/>
        <v>https://portal.dnb.de/opac.htm?method=simpleSearch&amp;cqlMode=true&amp;query=idn%3D1003656048</v>
      </c>
      <c r="E4540" s="74" t="s">
        <v>6627</v>
      </c>
      <c r="F4540" s="74"/>
      <c r="G4540" s="76"/>
      <c r="H4540" s="77"/>
      <c r="I4540" s="76"/>
      <c r="J4540" s="77"/>
      <c r="K4540" s="77"/>
      <c r="L4540" s="76"/>
      <c r="M4540" s="76"/>
      <c r="N4540" s="76"/>
      <c r="O4540" s="76"/>
      <c r="P4540" s="76"/>
      <c r="Q4540" s="76"/>
      <c r="R4540" s="76"/>
      <c r="S4540" s="76"/>
      <c r="BD4540" s="99">
        <f t="shared" si="147"/>
        <v>0</v>
      </c>
      <c r="CC4540" s="99"/>
      <c r="CV4540" s="99"/>
      <c r="CW4540" s="63"/>
    </row>
    <row r="4541" spans="1:101" x14ac:dyDescent="0.15">
      <c r="A4541" s="76">
        <v>4278</v>
      </c>
      <c r="B4541" s="74" t="s">
        <v>6628</v>
      </c>
      <c r="C4541" s="74">
        <v>1003656072</v>
      </c>
      <c r="D4541" s="78" t="str">
        <f t="shared" si="148"/>
        <v>https://portal.dnb.de/opac.htm?method=simpleSearch&amp;cqlMode=true&amp;query=idn%3D1003656072</v>
      </c>
      <c r="E4541" s="74" t="s">
        <v>6627</v>
      </c>
      <c r="F4541" s="74"/>
      <c r="G4541" s="76"/>
      <c r="H4541" s="77"/>
      <c r="I4541" s="76"/>
      <c r="J4541" s="77"/>
      <c r="K4541" s="77"/>
      <c r="L4541" s="76"/>
      <c r="M4541" s="76"/>
      <c r="N4541" s="76"/>
      <c r="O4541" s="76"/>
      <c r="P4541" s="76"/>
      <c r="Q4541" s="76"/>
      <c r="R4541" s="76"/>
      <c r="S4541" s="76"/>
      <c r="BD4541" s="99">
        <f t="shared" si="147"/>
        <v>0</v>
      </c>
      <c r="CC4541" s="99"/>
      <c r="CV4541" s="99"/>
      <c r="CW4541" s="63"/>
    </row>
    <row r="4542" spans="1:101" x14ac:dyDescent="0.15">
      <c r="A4542" s="76">
        <v>4279</v>
      </c>
      <c r="B4542" s="74" t="s">
        <v>6629</v>
      </c>
      <c r="C4542" s="74">
        <v>996387846</v>
      </c>
      <c r="D4542" s="78" t="str">
        <f t="shared" si="148"/>
        <v>https://portal.dnb.de/opac.htm?method=simpleSearch&amp;cqlMode=true&amp;query=idn%3D996387846</v>
      </c>
      <c r="E4542" s="74" t="s">
        <v>6630</v>
      </c>
      <c r="F4542" s="74"/>
      <c r="G4542" s="76"/>
      <c r="H4542" s="77"/>
      <c r="I4542" s="76"/>
      <c r="J4542" s="77"/>
      <c r="K4542" s="77"/>
      <c r="L4542" s="76"/>
      <c r="M4542" s="76"/>
      <c r="N4542" s="76"/>
      <c r="O4542" s="76"/>
      <c r="P4542" s="76"/>
      <c r="Q4542" s="76"/>
      <c r="R4542" s="76"/>
      <c r="S4542" s="76"/>
      <c r="BD4542" s="99">
        <f t="shared" si="147"/>
        <v>0</v>
      </c>
      <c r="CC4542" s="99"/>
      <c r="CV4542" s="99"/>
      <c r="CW4542" s="63"/>
    </row>
    <row r="4543" spans="1:101" x14ac:dyDescent="0.15">
      <c r="A4543" s="76">
        <v>4280</v>
      </c>
      <c r="B4543" s="74" t="s">
        <v>6631</v>
      </c>
      <c r="C4543" s="74">
        <v>1002240557</v>
      </c>
      <c r="D4543" s="78" t="str">
        <f t="shared" si="148"/>
        <v>https://portal.dnb.de/opac.htm?method=simpleSearch&amp;cqlMode=true&amp;query=idn%3D1002240557</v>
      </c>
      <c r="E4543" s="74" t="s">
        <v>6632</v>
      </c>
      <c r="F4543" s="74"/>
      <c r="G4543" s="76"/>
      <c r="H4543" s="77"/>
      <c r="I4543" s="76"/>
      <c r="J4543" s="77"/>
      <c r="K4543" s="77"/>
      <c r="L4543" s="76"/>
      <c r="M4543" s="76"/>
      <c r="N4543" s="76"/>
      <c r="O4543" s="76"/>
      <c r="P4543" s="76"/>
      <c r="Q4543" s="76"/>
      <c r="R4543" s="76"/>
      <c r="S4543" s="76"/>
      <c r="BD4543" s="99">
        <f t="shared" si="147"/>
        <v>0</v>
      </c>
      <c r="CC4543" s="99"/>
      <c r="CV4543" s="99"/>
      <c r="CW4543" s="63"/>
    </row>
    <row r="4544" spans="1:101" x14ac:dyDescent="0.15">
      <c r="A4544" s="76">
        <v>4281</v>
      </c>
      <c r="B4544" s="74" t="s">
        <v>6633</v>
      </c>
      <c r="C4544" s="74">
        <v>1001033701</v>
      </c>
      <c r="D4544" s="78" t="str">
        <f t="shared" si="148"/>
        <v>https://portal.dnb.de/opac.htm?method=simpleSearch&amp;cqlMode=true&amp;query=idn%3D1001033701</v>
      </c>
      <c r="E4544" s="74" t="s">
        <v>6634</v>
      </c>
      <c r="F4544" s="74"/>
      <c r="G4544" s="76"/>
      <c r="H4544" s="77"/>
      <c r="I4544" s="76"/>
      <c r="J4544" s="77"/>
      <c r="K4544" s="77"/>
      <c r="L4544" s="76"/>
      <c r="M4544" s="76"/>
      <c r="N4544" s="76"/>
      <c r="O4544" s="76"/>
      <c r="P4544" s="76"/>
      <c r="Q4544" s="76"/>
      <c r="R4544" s="76"/>
      <c r="S4544" s="76"/>
      <c r="BD4544" s="99">
        <f t="shared" si="147"/>
        <v>0</v>
      </c>
      <c r="CC4544" s="99"/>
      <c r="CV4544" s="99"/>
      <c r="CW4544" s="63"/>
    </row>
    <row r="4545" spans="1:101" x14ac:dyDescent="0.15">
      <c r="A4545" s="76">
        <v>4282</v>
      </c>
      <c r="B4545" s="74" t="s">
        <v>6635</v>
      </c>
      <c r="C4545" s="74">
        <v>1003408095</v>
      </c>
      <c r="D4545" s="78" t="str">
        <f t="shared" si="148"/>
        <v>https://portal.dnb.de/opac.htm?method=simpleSearch&amp;cqlMode=true&amp;query=idn%3D1003408095</v>
      </c>
      <c r="E4545" s="74" t="s">
        <v>6634</v>
      </c>
      <c r="F4545" s="74"/>
      <c r="G4545" s="76"/>
      <c r="H4545" s="77"/>
      <c r="I4545" s="76"/>
      <c r="J4545" s="77"/>
      <c r="K4545" s="77"/>
      <c r="L4545" s="76"/>
      <c r="M4545" s="76"/>
      <c r="N4545" s="76"/>
      <c r="O4545" s="76"/>
      <c r="P4545" s="76"/>
      <c r="Q4545" s="76"/>
      <c r="R4545" s="76"/>
      <c r="S4545" s="76"/>
      <c r="BD4545" s="99">
        <f t="shared" si="147"/>
        <v>0</v>
      </c>
      <c r="CC4545" s="99"/>
      <c r="CV4545" s="99"/>
      <c r="CW4545" s="63"/>
    </row>
    <row r="4546" spans="1:101" x14ac:dyDescent="0.15">
      <c r="A4546" s="76">
        <v>4283</v>
      </c>
      <c r="B4546" s="74" t="s">
        <v>6636</v>
      </c>
      <c r="C4546" s="74">
        <v>1002048192</v>
      </c>
      <c r="D4546" s="78" t="str">
        <f t="shared" si="148"/>
        <v>https://portal.dnb.de/opac.htm?method=simpleSearch&amp;cqlMode=true&amp;query=idn%3D1002048192</v>
      </c>
      <c r="E4546" s="74" t="s">
        <v>6634</v>
      </c>
      <c r="F4546" s="74"/>
      <c r="G4546" s="76"/>
      <c r="H4546" s="77"/>
      <c r="I4546" s="76"/>
      <c r="J4546" s="77"/>
      <c r="K4546" s="77"/>
      <c r="L4546" s="76"/>
      <c r="M4546" s="76"/>
      <c r="N4546" s="76"/>
      <c r="O4546" s="76"/>
      <c r="P4546" s="76"/>
      <c r="Q4546" s="76"/>
      <c r="R4546" s="76"/>
      <c r="S4546" s="76"/>
      <c r="BD4546" s="99">
        <f t="shared" si="147"/>
        <v>0</v>
      </c>
      <c r="CC4546" s="99"/>
      <c r="CV4546" s="99"/>
      <c r="CW4546" s="63"/>
    </row>
    <row r="4547" spans="1:101" x14ac:dyDescent="0.15">
      <c r="A4547" s="76">
        <v>4284</v>
      </c>
      <c r="B4547" s="74" t="s">
        <v>6637</v>
      </c>
      <c r="C4547" s="74">
        <v>1001115546</v>
      </c>
      <c r="D4547" s="78" t="str">
        <f t="shared" si="148"/>
        <v>https://portal.dnb.de/opac.htm?method=simpleSearch&amp;cqlMode=true&amp;query=idn%3D1001115546</v>
      </c>
      <c r="E4547" s="74" t="s">
        <v>6634</v>
      </c>
      <c r="F4547" s="74"/>
      <c r="G4547" s="76"/>
      <c r="H4547" s="77"/>
      <c r="I4547" s="76"/>
      <c r="J4547" s="77"/>
      <c r="K4547" s="77"/>
      <c r="L4547" s="76"/>
      <c r="M4547" s="76"/>
      <c r="N4547" s="76"/>
      <c r="O4547" s="76"/>
      <c r="P4547" s="76"/>
      <c r="Q4547" s="76"/>
      <c r="R4547" s="76"/>
      <c r="S4547" s="76"/>
      <c r="BD4547" s="99">
        <f t="shared" ref="BD4547:BD4610" si="149">CC4547+CV4547</f>
        <v>0</v>
      </c>
      <c r="CC4547" s="99"/>
      <c r="CV4547" s="99"/>
      <c r="CW4547" s="63"/>
    </row>
    <row r="4548" spans="1:101" x14ac:dyDescent="0.15">
      <c r="A4548" s="76">
        <v>4285</v>
      </c>
      <c r="B4548" s="74" t="s">
        <v>6638</v>
      </c>
      <c r="C4548" s="74">
        <v>1002256674</v>
      </c>
      <c r="D4548" s="78" t="str">
        <f t="shared" si="148"/>
        <v>https://portal.dnb.de/opac.htm?method=simpleSearch&amp;cqlMode=true&amp;query=idn%3D1002256674</v>
      </c>
      <c r="E4548" s="74" t="s">
        <v>6634</v>
      </c>
      <c r="F4548" s="74"/>
      <c r="G4548" s="76"/>
      <c r="H4548" s="77"/>
      <c r="I4548" s="76"/>
      <c r="J4548" s="77"/>
      <c r="K4548" s="77"/>
      <c r="L4548" s="76"/>
      <c r="M4548" s="76"/>
      <c r="N4548" s="76"/>
      <c r="O4548" s="76"/>
      <c r="P4548" s="76"/>
      <c r="Q4548" s="76"/>
      <c r="R4548" s="76"/>
      <c r="S4548" s="76"/>
      <c r="BD4548" s="99">
        <f t="shared" si="149"/>
        <v>0</v>
      </c>
      <c r="CC4548" s="99"/>
      <c r="CV4548" s="99"/>
      <c r="CW4548" s="63"/>
    </row>
    <row r="4549" spans="1:101" x14ac:dyDescent="0.15">
      <c r="A4549" s="76">
        <v>4286</v>
      </c>
      <c r="B4549" s="74" t="s">
        <v>6639</v>
      </c>
      <c r="C4549" s="74">
        <v>999798456</v>
      </c>
      <c r="D4549" s="78" t="str">
        <f t="shared" si="148"/>
        <v>https://portal.dnb.de/opac.htm?method=simpleSearch&amp;cqlMode=true&amp;query=idn%3D999798456</v>
      </c>
      <c r="E4549" s="74" t="s">
        <v>6634</v>
      </c>
      <c r="F4549" s="74"/>
      <c r="G4549" s="76"/>
      <c r="H4549" s="77"/>
      <c r="I4549" s="76"/>
      <c r="J4549" s="77"/>
      <c r="K4549" s="77"/>
      <c r="L4549" s="76"/>
      <c r="M4549" s="76"/>
      <c r="N4549" s="76"/>
      <c r="O4549" s="76"/>
      <c r="P4549" s="76"/>
      <c r="Q4549" s="76"/>
      <c r="R4549" s="76"/>
      <c r="S4549" s="76"/>
      <c r="BD4549" s="99">
        <f t="shared" si="149"/>
        <v>0</v>
      </c>
      <c r="CC4549" s="99"/>
      <c r="CV4549" s="99"/>
      <c r="CW4549" s="63"/>
    </row>
    <row r="4550" spans="1:101" x14ac:dyDescent="0.15">
      <c r="A4550" s="76">
        <v>4287</v>
      </c>
      <c r="B4550" s="74" t="s">
        <v>6640</v>
      </c>
      <c r="C4550" s="74">
        <v>1001118871</v>
      </c>
      <c r="D4550" s="78" t="str">
        <f t="shared" si="148"/>
        <v>https://portal.dnb.de/opac.htm?method=simpleSearch&amp;cqlMode=true&amp;query=idn%3D1001118871</v>
      </c>
      <c r="E4550" s="74" t="s">
        <v>6634</v>
      </c>
      <c r="F4550" s="74"/>
      <c r="G4550" s="76"/>
      <c r="H4550" s="77"/>
      <c r="I4550" s="76"/>
      <c r="J4550" s="77"/>
      <c r="K4550" s="77"/>
      <c r="L4550" s="76"/>
      <c r="M4550" s="76"/>
      <c r="N4550" s="76"/>
      <c r="O4550" s="76"/>
      <c r="P4550" s="76"/>
      <c r="Q4550" s="76"/>
      <c r="R4550" s="76"/>
      <c r="S4550" s="76"/>
      <c r="BD4550" s="99">
        <f t="shared" si="149"/>
        <v>0</v>
      </c>
      <c r="CC4550" s="99"/>
      <c r="CV4550" s="99"/>
      <c r="CW4550" s="63"/>
    </row>
    <row r="4551" spans="1:101" x14ac:dyDescent="0.15">
      <c r="A4551" s="76">
        <v>4288</v>
      </c>
      <c r="B4551" s="74" t="s">
        <v>6641</v>
      </c>
      <c r="C4551" s="74">
        <v>997527102</v>
      </c>
      <c r="D4551" s="78" t="str">
        <f t="shared" si="148"/>
        <v>https://portal.dnb.de/opac.htm?method=simpleSearch&amp;cqlMode=true&amp;query=idn%3D997527102</v>
      </c>
      <c r="E4551" s="74" t="s">
        <v>6642</v>
      </c>
      <c r="F4551" s="74"/>
      <c r="G4551" s="76"/>
      <c r="H4551" s="77"/>
      <c r="I4551" s="76"/>
      <c r="J4551" s="77"/>
      <c r="K4551" s="77"/>
      <c r="L4551" s="76"/>
      <c r="M4551" s="76"/>
      <c r="N4551" s="76"/>
      <c r="O4551" s="76"/>
      <c r="P4551" s="76"/>
      <c r="Q4551" s="76"/>
      <c r="R4551" s="76"/>
      <c r="S4551" s="76"/>
      <c r="BD4551" s="99">
        <f t="shared" si="149"/>
        <v>0</v>
      </c>
      <c r="CC4551" s="99"/>
      <c r="CV4551" s="99"/>
      <c r="CW4551" s="63"/>
    </row>
    <row r="4552" spans="1:101" x14ac:dyDescent="0.15">
      <c r="A4552" s="76">
        <v>4289</v>
      </c>
      <c r="B4552" s="74" t="s">
        <v>6643</v>
      </c>
      <c r="C4552" s="74">
        <v>1066756066</v>
      </c>
      <c r="D4552" s="78" t="str">
        <f t="shared" si="148"/>
        <v>https://portal.dnb.de/opac.htm?method=simpleSearch&amp;cqlMode=true&amp;query=idn%3D1066756066</v>
      </c>
      <c r="E4552" s="74" t="s">
        <v>6644</v>
      </c>
      <c r="F4552" s="74"/>
      <c r="G4552" s="76"/>
      <c r="H4552" s="77"/>
      <c r="I4552" s="76"/>
      <c r="J4552" s="77"/>
      <c r="K4552" s="77"/>
      <c r="L4552" s="76"/>
      <c r="M4552" s="76"/>
      <c r="N4552" s="76"/>
      <c r="O4552" s="76"/>
      <c r="P4552" s="76"/>
      <c r="Q4552" s="76"/>
      <c r="R4552" s="76"/>
      <c r="S4552" s="76"/>
      <c r="BD4552" s="99">
        <f t="shared" si="149"/>
        <v>0</v>
      </c>
      <c r="CC4552" s="99"/>
      <c r="CV4552" s="99"/>
      <c r="CW4552" s="63"/>
    </row>
    <row r="4553" spans="1:101" x14ac:dyDescent="0.15">
      <c r="A4553" s="76">
        <v>4290</v>
      </c>
      <c r="B4553" s="74" t="s">
        <v>6645</v>
      </c>
      <c r="C4553" s="74">
        <v>1066769699</v>
      </c>
      <c r="D4553" s="78" t="str">
        <f t="shared" si="148"/>
        <v>https://portal.dnb.de/opac.htm?method=simpleSearch&amp;cqlMode=true&amp;query=idn%3D1066769699</v>
      </c>
      <c r="E4553" s="74" t="s">
        <v>6646</v>
      </c>
      <c r="F4553" s="74"/>
      <c r="G4553" s="76"/>
      <c r="H4553" s="77"/>
      <c r="I4553" s="76"/>
      <c r="J4553" s="77"/>
      <c r="K4553" s="77"/>
      <c r="L4553" s="76"/>
      <c r="M4553" s="76"/>
      <c r="N4553" s="76"/>
      <c r="O4553" s="76"/>
      <c r="P4553" s="76"/>
      <c r="Q4553" s="76"/>
      <c r="R4553" s="76"/>
      <c r="S4553" s="76"/>
      <c r="BD4553" s="99">
        <f t="shared" si="149"/>
        <v>0</v>
      </c>
      <c r="CC4553" s="99"/>
      <c r="CV4553" s="99"/>
      <c r="CW4553" s="63"/>
    </row>
    <row r="4554" spans="1:101" x14ac:dyDescent="0.15">
      <c r="A4554" s="76">
        <v>4291</v>
      </c>
      <c r="B4554" s="74" t="s">
        <v>6647</v>
      </c>
      <c r="C4554" s="74">
        <v>1066934754</v>
      </c>
      <c r="D4554" s="78" t="str">
        <f t="shared" si="148"/>
        <v>https://portal.dnb.de/opac.htm?method=simpleSearch&amp;cqlMode=true&amp;query=idn%3D1066934754</v>
      </c>
      <c r="E4554" s="74" t="s">
        <v>6648</v>
      </c>
      <c r="F4554" s="74"/>
      <c r="G4554" s="76"/>
      <c r="H4554" s="77"/>
      <c r="I4554" s="76"/>
      <c r="J4554" s="77"/>
      <c r="K4554" s="77"/>
      <c r="L4554" s="76"/>
      <c r="M4554" s="76"/>
      <c r="N4554" s="76"/>
      <c r="O4554" s="76"/>
      <c r="P4554" s="76"/>
      <c r="Q4554" s="76"/>
      <c r="R4554" s="76"/>
      <c r="S4554" s="76"/>
      <c r="BD4554" s="99">
        <f t="shared" si="149"/>
        <v>0</v>
      </c>
      <c r="CC4554" s="99"/>
      <c r="CV4554" s="99"/>
      <c r="CW4554" s="63"/>
    </row>
    <row r="4555" spans="1:101" x14ac:dyDescent="0.15">
      <c r="A4555" s="76">
        <v>4292</v>
      </c>
      <c r="B4555" s="74" t="s">
        <v>6649</v>
      </c>
      <c r="C4555" s="74">
        <v>1002918472</v>
      </c>
      <c r="D4555" s="78" t="str">
        <f t="shared" si="148"/>
        <v>https://portal.dnb.de/opac.htm?method=simpleSearch&amp;cqlMode=true&amp;query=idn%3D1002918472</v>
      </c>
      <c r="E4555" s="74" t="s">
        <v>6650</v>
      </c>
      <c r="F4555" s="74"/>
      <c r="G4555" s="76"/>
      <c r="H4555" s="77"/>
      <c r="I4555" s="76"/>
      <c r="J4555" s="77"/>
      <c r="K4555" s="77"/>
      <c r="L4555" s="76"/>
      <c r="M4555" s="76"/>
      <c r="N4555" s="76"/>
      <c r="O4555" s="76"/>
      <c r="P4555" s="76"/>
      <c r="Q4555" s="76"/>
      <c r="R4555" s="76"/>
      <c r="S4555" s="76"/>
      <c r="BD4555" s="99">
        <f t="shared" si="149"/>
        <v>0</v>
      </c>
      <c r="CC4555" s="99"/>
      <c r="CV4555" s="99"/>
      <c r="CW4555" s="63"/>
    </row>
    <row r="4556" spans="1:101" x14ac:dyDescent="0.15">
      <c r="A4556" s="76">
        <v>4293</v>
      </c>
      <c r="B4556" s="74" t="s">
        <v>6651</v>
      </c>
      <c r="C4556" s="74">
        <v>994048173</v>
      </c>
      <c r="D4556" s="78" t="str">
        <f t="shared" si="148"/>
        <v>https://portal.dnb.de/opac.htm?method=simpleSearch&amp;cqlMode=true&amp;query=idn%3D994048173</v>
      </c>
      <c r="E4556" s="74" t="s">
        <v>6652</v>
      </c>
      <c r="F4556" s="74"/>
      <c r="G4556" s="76"/>
      <c r="H4556" s="77"/>
      <c r="I4556" s="76"/>
      <c r="J4556" s="77"/>
      <c r="K4556" s="77"/>
      <c r="L4556" s="76"/>
      <c r="M4556" s="76"/>
      <c r="N4556" s="76"/>
      <c r="O4556" s="76"/>
      <c r="P4556" s="76"/>
      <c r="Q4556" s="76"/>
      <c r="R4556" s="76"/>
      <c r="S4556" s="76"/>
      <c r="BD4556" s="99">
        <f t="shared" si="149"/>
        <v>0</v>
      </c>
      <c r="CC4556" s="99"/>
      <c r="CV4556" s="99"/>
      <c r="CW4556" s="63"/>
    </row>
    <row r="4557" spans="1:101" x14ac:dyDescent="0.15">
      <c r="A4557" s="76">
        <v>4294</v>
      </c>
      <c r="B4557" s="74" t="s">
        <v>6659</v>
      </c>
      <c r="C4557" s="74">
        <v>999654659</v>
      </c>
      <c r="D4557" s="78" t="str">
        <f t="shared" si="148"/>
        <v>https://portal.dnb.de/opac.htm?method=simpleSearch&amp;cqlMode=true&amp;query=idn%3D999654659</v>
      </c>
      <c r="E4557" s="74" t="s">
        <v>6660</v>
      </c>
      <c r="F4557" s="74"/>
      <c r="G4557" s="76"/>
      <c r="H4557" s="77"/>
      <c r="I4557" s="76"/>
      <c r="J4557" s="77"/>
      <c r="K4557" s="77"/>
      <c r="L4557" s="76"/>
      <c r="M4557" s="76"/>
      <c r="N4557" s="76"/>
      <c r="O4557" s="76"/>
      <c r="P4557" s="76"/>
      <c r="Q4557" s="76"/>
      <c r="R4557" s="76"/>
      <c r="S4557" s="76"/>
      <c r="BD4557" s="99">
        <f t="shared" si="149"/>
        <v>0</v>
      </c>
      <c r="CC4557" s="99"/>
      <c r="CV4557" s="99"/>
      <c r="CW4557" s="63"/>
    </row>
    <row r="4558" spans="1:101" x14ac:dyDescent="0.15">
      <c r="A4558" s="76">
        <v>4295</v>
      </c>
      <c r="B4558" s="74" t="s">
        <v>6661</v>
      </c>
      <c r="C4558" s="74">
        <v>999652540</v>
      </c>
      <c r="D4558" s="78" t="str">
        <f t="shared" si="148"/>
        <v>https://portal.dnb.de/opac.htm?method=simpleSearch&amp;cqlMode=true&amp;query=idn%3D999652540</v>
      </c>
      <c r="E4558" s="74" t="s">
        <v>6660</v>
      </c>
      <c r="F4558" s="74"/>
      <c r="G4558" s="76"/>
      <c r="H4558" s="77"/>
      <c r="I4558" s="76"/>
      <c r="J4558" s="77"/>
      <c r="K4558" s="77"/>
      <c r="L4558" s="76"/>
      <c r="M4558" s="76"/>
      <c r="N4558" s="76"/>
      <c r="O4558" s="76"/>
      <c r="P4558" s="76"/>
      <c r="Q4558" s="76"/>
      <c r="R4558" s="76"/>
      <c r="S4558" s="76"/>
      <c r="BD4558" s="99">
        <f t="shared" si="149"/>
        <v>0</v>
      </c>
      <c r="CC4558" s="99"/>
      <c r="CV4558" s="99"/>
      <c r="CW4558" s="63"/>
    </row>
    <row r="4559" spans="1:101" x14ac:dyDescent="0.15">
      <c r="A4559" s="76">
        <v>4296</v>
      </c>
      <c r="B4559" s="74" t="s">
        <v>6662</v>
      </c>
      <c r="C4559" s="74">
        <v>999653105</v>
      </c>
      <c r="D4559" s="78" t="str">
        <f t="shared" si="148"/>
        <v>https://portal.dnb.de/opac.htm?method=simpleSearch&amp;cqlMode=true&amp;query=idn%3D999653105</v>
      </c>
      <c r="E4559" s="74" t="s">
        <v>6660</v>
      </c>
      <c r="F4559" s="74"/>
      <c r="G4559" s="76"/>
      <c r="H4559" s="77"/>
      <c r="I4559" s="76"/>
      <c r="J4559" s="77"/>
      <c r="K4559" s="77"/>
      <c r="L4559" s="76"/>
      <c r="M4559" s="76"/>
      <c r="N4559" s="76"/>
      <c r="O4559" s="76"/>
      <c r="P4559" s="76"/>
      <c r="Q4559" s="76"/>
      <c r="R4559" s="76"/>
      <c r="S4559" s="76"/>
      <c r="BD4559" s="99">
        <f t="shared" si="149"/>
        <v>0</v>
      </c>
      <c r="CC4559" s="99"/>
      <c r="CV4559" s="99"/>
      <c r="CW4559" s="63"/>
    </row>
    <row r="4560" spans="1:101" x14ac:dyDescent="0.15">
      <c r="A4560" s="76">
        <v>4297</v>
      </c>
      <c r="B4560" s="74" t="s">
        <v>6653</v>
      </c>
      <c r="C4560" s="74">
        <v>1066962235</v>
      </c>
      <c r="D4560" s="78" t="str">
        <f t="shared" si="148"/>
        <v>https://portal.dnb.de/opac.htm?method=simpleSearch&amp;cqlMode=true&amp;query=idn%3D1066962235</v>
      </c>
      <c r="E4560" s="74" t="s">
        <v>6654</v>
      </c>
      <c r="F4560" s="74"/>
      <c r="G4560" s="76"/>
      <c r="H4560" s="77"/>
      <c r="I4560" s="76"/>
      <c r="J4560" s="77"/>
      <c r="K4560" s="77"/>
      <c r="L4560" s="76"/>
      <c r="M4560" s="76"/>
      <c r="N4560" s="76"/>
      <c r="O4560" s="76"/>
      <c r="P4560" s="76"/>
      <c r="Q4560" s="76"/>
      <c r="R4560" s="76"/>
      <c r="S4560" s="76"/>
      <c r="BD4560" s="99">
        <f t="shared" si="149"/>
        <v>0</v>
      </c>
      <c r="CC4560" s="99"/>
      <c r="CV4560" s="99"/>
      <c r="CW4560" s="63"/>
    </row>
    <row r="4561" spans="1:101" x14ac:dyDescent="0.15">
      <c r="A4561" s="76">
        <v>4298</v>
      </c>
      <c r="B4561" s="74" t="s">
        <v>6655</v>
      </c>
      <c r="C4561" s="74">
        <v>1066942374</v>
      </c>
      <c r="D4561" s="78" t="str">
        <f t="shared" si="148"/>
        <v>https://portal.dnb.de/opac.htm?method=simpleSearch&amp;cqlMode=true&amp;query=idn%3D1066942374</v>
      </c>
      <c r="E4561" s="74" t="s">
        <v>6656</v>
      </c>
      <c r="F4561" s="74"/>
      <c r="G4561" s="76"/>
      <c r="H4561" s="77"/>
      <c r="I4561" s="76"/>
      <c r="J4561" s="77"/>
      <c r="K4561" s="77"/>
      <c r="L4561" s="76"/>
      <c r="M4561" s="76"/>
      <c r="N4561" s="76"/>
      <c r="O4561" s="76"/>
      <c r="P4561" s="76"/>
      <c r="Q4561" s="76"/>
      <c r="R4561" s="76"/>
      <c r="S4561" s="76"/>
      <c r="BD4561" s="99">
        <f t="shared" si="149"/>
        <v>0</v>
      </c>
      <c r="CC4561" s="99"/>
      <c r="CV4561" s="99"/>
      <c r="CW4561" s="63"/>
    </row>
    <row r="4562" spans="1:101" x14ac:dyDescent="0.15">
      <c r="A4562" s="76">
        <v>4299</v>
      </c>
      <c r="B4562" s="74" t="s">
        <v>6657</v>
      </c>
      <c r="C4562" s="74">
        <v>1066874441</v>
      </c>
      <c r="D4562" s="78" t="str">
        <f t="shared" si="148"/>
        <v>https://portal.dnb.de/opac.htm?method=simpleSearch&amp;cqlMode=true&amp;query=idn%3D1066874441</v>
      </c>
      <c r="E4562" s="74" t="s">
        <v>6658</v>
      </c>
      <c r="F4562" s="74"/>
      <c r="G4562" s="76"/>
      <c r="H4562" s="77"/>
      <c r="I4562" s="76"/>
      <c r="J4562" s="77"/>
      <c r="K4562" s="77"/>
      <c r="L4562" s="76"/>
      <c r="M4562" s="76"/>
      <c r="N4562" s="76"/>
      <c r="O4562" s="76"/>
      <c r="P4562" s="76"/>
      <c r="Q4562" s="76"/>
      <c r="R4562" s="76"/>
      <c r="S4562" s="76"/>
      <c r="BD4562" s="99">
        <f t="shared" si="149"/>
        <v>0</v>
      </c>
      <c r="CC4562" s="99"/>
      <c r="CV4562" s="99"/>
      <c r="CW4562" s="63"/>
    </row>
    <row r="4563" spans="1:101" x14ac:dyDescent="0.15">
      <c r="A4563" s="76">
        <v>4300</v>
      </c>
      <c r="B4563" s="74" t="s">
        <v>6668</v>
      </c>
      <c r="C4563" s="74">
        <v>1066940169</v>
      </c>
      <c r="D4563" s="78" t="str">
        <f t="shared" si="148"/>
        <v>https://portal.dnb.de/opac.htm?method=simpleSearch&amp;cqlMode=true&amp;query=idn%3D1066940169</v>
      </c>
      <c r="E4563" s="74" t="s">
        <v>6669</v>
      </c>
      <c r="F4563" s="74"/>
      <c r="G4563" s="76"/>
      <c r="H4563" s="77"/>
      <c r="I4563" s="76"/>
      <c r="J4563" s="77"/>
      <c r="K4563" s="77"/>
      <c r="L4563" s="76"/>
      <c r="M4563" s="76"/>
      <c r="N4563" s="76"/>
      <c r="O4563" s="76"/>
      <c r="P4563" s="76"/>
      <c r="Q4563" s="76"/>
      <c r="R4563" s="76"/>
      <c r="S4563" s="76"/>
      <c r="BD4563" s="99">
        <f t="shared" si="149"/>
        <v>0</v>
      </c>
      <c r="CC4563" s="99"/>
      <c r="CV4563" s="99"/>
      <c r="CW4563" s="63"/>
    </row>
    <row r="4564" spans="1:101" x14ac:dyDescent="0.15">
      <c r="A4564" s="76">
        <v>4301</v>
      </c>
      <c r="B4564" s="74" t="s">
        <v>6670</v>
      </c>
      <c r="C4564" s="74">
        <v>1066941904</v>
      </c>
      <c r="D4564" s="78" t="str">
        <f t="shared" si="148"/>
        <v>https://portal.dnb.de/opac.htm?method=simpleSearch&amp;cqlMode=true&amp;query=idn%3D1066941904</v>
      </c>
      <c r="E4564" s="74" t="s">
        <v>6671</v>
      </c>
      <c r="F4564" s="74"/>
      <c r="G4564" s="76"/>
      <c r="H4564" s="77"/>
      <c r="I4564" s="76"/>
      <c r="J4564" s="77"/>
      <c r="K4564" s="77"/>
      <c r="L4564" s="76"/>
      <c r="M4564" s="76"/>
      <c r="N4564" s="76"/>
      <c r="O4564" s="76"/>
      <c r="P4564" s="76"/>
      <c r="Q4564" s="76"/>
      <c r="R4564" s="76"/>
      <c r="S4564" s="76"/>
      <c r="BD4564" s="99">
        <f t="shared" si="149"/>
        <v>0</v>
      </c>
      <c r="CC4564" s="99"/>
      <c r="CV4564" s="99"/>
      <c r="CW4564" s="63"/>
    </row>
    <row r="4565" spans="1:101" x14ac:dyDescent="0.15">
      <c r="A4565" s="76">
        <v>4302</v>
      </c>
      <c r="B4565" s="74" t="s">
        <v>6672</v>
      </c>
      <c r="C4565" s="74">
        <v>1066957517</v>
      </c>
      <c r="D4565" s="78" t="str">
        <f t="shared" si="148"/>
        <v>https://portal.dnb.de/opac.htm?method=simpleSearch&amp;cqlMode=true&amp;query=idn%3D1066957517</v>
      </c>
      <c r="E4565" s="74" t="s">
        <v>6673</v>
      </c>
      <c r="F4565" s="74"/>
      <c r="G4565" s="76"/>
      <c r="H4565" s="77"/>
      <c r="I4565" s="76"/>
      <c r="J4565" s="77"/>
      <c r="K4565" s="77"/>
      <c r="L4565" s="76"/>
      <c r="M4565" s="76"/>
      <c r="N4565" s="76"/>
      <c r="O4565" s="76"/>
      <c r="P4565" s="76"/>
      <c r="Q4565" s="76"/>
      <c r="R4565" s="76"/>
      <c r="S4565" s="76"/>
      <c r="BD4565" s="99">
        <f t="shared" si="149"/>
        <v>0</v>
      </c>
      <c r="CC4565" s="99"/>
      <c r="CV4565" s="99"/>
      <c r="CW4565" s="63"/>
    </row>
    <row r="4566" spans="1:101" x14ac:dyDescent="0.15">
      <c r="A4566" s="76">
        <v>4303</v>
      </c>
      <c r="B4566" s="74" t="s">
        <v>6674</v>
      </c>
      <c r="C4566" s="74">
        <v>1066859485</v>
      </c>
      <c r="D4566" s="78" t="str">
        <f t="shared" si="148"/>
        <v>https://portal.dnb.de/opac.htm?method=simpleSearch&amp;cqlMode=true&amp;query=idn%3D1066859485</v>
      </c>
      <c r="E4566" s="74" t="s">
        <v>6675</v>
      </c>
      <c r="F4566" s="74"/>
      <c r="G4566" s="76"/>
      <c r="H4566" s="77"/>
      <c r="I4566" s="76"/>
      <c r="J4566" s="77"/>
      <c r="K4566" s="77"/>
      <c r="L4566" s="76"/>
      <c r="M4566" s="76"/>
      <c r="N4566" s="76"/>
      <c r="O4566" s="76"/>
      <c r="P4566" s="76"/>
      <c r="Q4566" s="76"/>
      <c r="R4566" s="76"/>
      <c r="S4566" s="76"/>
      <c r="BD4566" s="99">
        <f t="shared" si="149"/>
        <v>0</v>
      </c>
      <c r="CC4566" s="99"/>
      <c r="CV4566" s="99"/>
      <c r="CW4566" s="63"/>
    </row>
    <row r="4567" spans="1:101" x14ac:dyDescent="0.15">
      <c r="A4567" s="76">
        <v>4304</v>
      </c>
      <c r="B4567" s="74" t="s">
        <v>6663</v>
      </c>
      <c r="C4567" s="74">
        <v>1001749677</v>
      </c>
      <c r="D4567" s="78" t="str">
        <f t="shared" si="148"/>
        <v>https://portal.dnb.de/opac.htm?method=simpleSearch&amp;cqlMode=true&amp;query=idn%3D1001749677</v>
      </c>
      <c r="E4567" s="74" t="s">
        <v>6664</v>
      </c>
      <c r="F4567" s="74"/>
      <c r="G4567" s="76"/>
      <c r="H4567" s="77"/>
      <c r="I4567" s="76"/>
      <c r="J4567" s="77"/>
      <c r="K4567" s="77"/>
      <c r="L4567" s="76"/>
      <c r="M4567" s="76"/>
      <c r="N4567" s="76"/>
      <c r="O4567" s="76"/>
      <c r="P4567" s="76"/>
      <c r="Q4567" s="76"/>
      <c r="R4567" s="76"/>
      <c r="S4567" s="76"/>
      <c r="BD4567" s="99">
        <f t="shared" si="149"/>
        <v>0</v>
      </c>
      <c r="CC4567" s="99"/>
      <c r="CV4567" s="99"/>
      <c r="CW4567" s="63"/>
    </row>
    <row r="4568" spans="1:101" x14ac:dyDescent="0.15">
      <c r="A4568" s="76">
        <v>4305</v>
      </c>
      <c r="B4568" s="74" t="s">
        <v>6665</v>
      </c>
      <c r="C4568" s="74">
        <v>1066924988</v>
      </c>
      <c r="D4568" s="78" t="str">
        <f t="shared" si="148"/>
        <v>https://portal.dnb.de/opac.htm?method=simpleSearch&amp;cqlMode=true&amp;query=idn%3D1066924988</v>
      </c>
      <c r="E4568" s="74" t="s">
        <v>6664</v>
      </c>
      <c r="F4568" s="74"/>
      <c r="G4568" s="76"/>
      <c r="H4568" s="77"/>
      <c r="I4568" s="76"/>
      <c r="J4568" s="77"/>
      <c r="K4568" s="77"/>
      <c r="L4568" s="76"/>
      <c r="M4568" s="76"/>
      <c r="N4568" s="76"/>
      <c r="O4568" s="76"/>
      <c r="P4568" s="76"/>
      <c r="Q4568" s="76"/>
      <c r="R4568" s="76"/>
      <c r="S4568" s="76"/>
      <c r="BD4568" s="99">
        <f t="shared" si="149"/>
        <v>0</v>
      </c>
      <c r="CC4568" s="99"/>
      <c r="CV4568" s="99"/>
      <c r="CW4568" s="63"/>
    </row>
    <row r="4569" spans="1:101" x14ac:dyDescent="0.15">
      <c r="A4569" s="76">
        <v>4306</v>
      </c>
      <c r="B4569" s="74" t="s">
        <v>6666</v>
      </c>
      <c r="C4569" s="74">
        <v>1001741234</v>
      </c>
      <c r="D4569" s="78" t="str">
        <f t="shared" si="148"/>
        <v>https://portal.dnb.de/opac.htm?method=simpleSearch&amp;cqlMode=true&amp;query=idn%3D1001741234</v>
      </c>
      <c r="E4569" s="74" t="s">
        <v>6667</v>
      </c>
      <c r="F4569" s="74"/>
      <c r="G4569" s="76"/>
      <c r="H4569" s="77"/>
      <c r="I4569" s="76"/>
      <c r="J4569" s="77"/>
      <c r="K4569" s="77"/>
      <c r="L4569" s="76"/>
      <c r="M4569" s="76"/>
      <c r="N4569" s="76"/>
      <c r="O4569" s="76"/>
      <c r="P4569" s="76"/>
      <c r="Q4569" s="76"/>
      <c r="R4569" s="76"/>
      <c r="S4569" s="76"/>
      <c r="BD4569" s="99">
        <f t="shared" si="149"/>
        <v>0</v>
      </c>
      <c r="CC4569" s="99"/>
      <c r="CV4569" s="99"/>
      <c r="CW4569" s="63"/>
    </row>
    <row r="4570" spans="1:101" x14ac:dyDescent="0.15">
      <c r="A4570" s="76">
        <v>4307</v>
      </c>
      <c r="B4570" s="74" t="s">
        <v>6678</v>
      </c>
      <c r="C4570" s="74">
        <v>1066937141</v>
      </c>
      <c r="D4570" s="78" t="str">
        <f t="shared" si="148"/>
        <v>https://portal.dnb.de/opac.htm?method=simpleSearch&amp;cqlMode=true&amp;query=idn%3D1066937141</v>
      </c>
      <c r="E4570" s="74" t="s">
        <v>6679</v>
      </c>
      <c r="F4570" s="74"/>
      <c r="G4570" s="76"/>
      <c r="H4570" s="77"/>
      <c r="I4570" s="76"/>
      <c r="J4570" s="77"/>
      <c r="K4570" s="77"/>
      <c r="L4570" s="76"/>
      <c r="M4570" s="76"/>
      <c r="N4570" s="76"/>
      <c r="O4570" s="76"/>
      <c r="P4570" s="76"/>
      <c r="Q4570" s="76"/>
      <c r="R4570" s="76"/>
      <c r="S4570" s="76"/>
      <c r="BD4570" s="99">
        <f t="shared" si="149"/>
        <v>0</v>
      </c>
      <c r="CC4570" s="99"/>
      <c r="CV4570" s="99"/>
      <c r="CW4570" s="63"/>
    </row>
    <row r="4571" spans="1:101" x14ac:dyDescent="0.15">
      <c r="A4571" s="76">
        <v>4308</v>
      </c>
      <c r="B4571" s="74" t="s">
        <v>6682</v>
      </c>
      <c r="C4571" s="74">
        <v>1066777187</v>
      </c>
      <c r="D4571" s="78" t="str">
        <f t="shared" si="148"/>
        <v>https://portal.dnb.de/opac.htm?method=simpleSearch&amp;cqlMode=true&amp;query=idn%3D1066777187</v>
      </c>
      <c r="E4571" s="74" t="s">
        <v>6683</v>
      </c>
      <c r="F4571" s="74"/>
      <c r="G4571" s="76"/>
      <c r="H4571" s="77"/>
      <c r="I4571" s="76"/>
      <c r="J4571" s="77"/>
      <c r="K4571" s="77"/>
      <c r="L4571" s="76"/>
      <c r="M4571" s="76"/>
      <c r="N4571" s="76"/>
      <c r="O4571" s="76"/>
      <c r="P4571" s="76"/>
      <c r="Q4571" s="76"/>
      <c r="R4571" s="76"/>
      <c r="S4571" s="76"/>
      <c r="BD4571" s="99">
        <f t="shared" si="149"/>
        <v>0</v>
      </c>
      <c r="CC4571" s="99"/>
      <c r="CV4571" s="99"/>
      <c r="CW4571" s="63"/>
    </row>
    <row r="4572" spans="1:101" x14ac:dyDescent="0.15">
      <c r="A4572" s="76">
        <v>4309</v>
      </c>
      <c r="B4572" s="74" t="s">
        <v>6684</v>
      </c>
      <c r="C4572" s="74">
        <v>1066767165</v>
      </c>
      <c r="D4572" s="78" t="str">
        <f t="shared" si="148"/>
        <v>https://portal.dnb.de/opac.htm?method=simpleSearch&amp;cqlMode=true&amp;query=idn%3D1066767165</v>
      </c>
      <c r="E4572" s="74" t="s">
        <v>6685</v>
      </c>
      <c r="F4572" s="74"/>
      <c r="G4572" s="76"/>
      <c r="H4572" s="77"/>
      <c r="I4572" s="76"/>
      <c r="J4572" s="77"/>
      <c r="K4572" s="77"/>
      <c r="L4572" s="76"/>
      <c r="M4572" s="76"/>
      <c r="N4572" s="76"/>
      <c r="O4572" s="76"/>
      <c r="P4572" s="76"/>
      <c r="Q4572" s="76"/>
      <c r="R4572" s="76"/>
      <c r="S4572" s="76"/>
      <c r="BD4572" s="99">
        <f t="shared" si="149"/>
        <v>0</v>
      </c>
      <c r="CC4572" s="99"/>
      <c r="CV4572" s="99"/>
      <c r="CW4572" s="63"/>
    </row>
    <row r="4573" spans="1:101" x14ac:dyDescent="0.15">
      <c r="A4573" s="76">
        <v>4310</v>
      </c>
      <c r="B4573" s="74" t="s">
        <v>6688</v>
      </c>
      <c r="C4573" s="74">
        <v>1000203506</v>
      </c>
      <c r="D4573" s="78" t="str">
        <f t="shared" si="148"/>
        <v>https://portal.dnb.de/opac.htm?method=simpleSearch&amp;cqlMode=true&amp;query=idn%3D1000203506</v>
      </c>
      <c r="E4573" s="74" t="s">
        <v>6689</v>
      </c>
      <c r="F4573" s="74"/>
      <c r="G4573" s="76"/>
      <c r="H4573" s="77"/>
      <c r="I4573" s="76" t="s">
        <v>56</v>
      </c>
      <c r="J4573" s="77"/>
      <c r="K4573" s="77"/>
      <c r="L4573" s="76"/>
      <c r="M4573" s="76"/>
      <c r="N4573" s="76"/>
      <c r="O4573" s="76"/>
      <c r="P4573" s="76"/>
      <c r="Q4573" s="76"/>
      <c r="R4573" s="76"/>
      <c r="S4573" s="76"/>
      <c r="U4573" s="95" t="s">
        <v>9824</v>
      </c>
      <c r="Y4573" s="95" t="s">
        <v>9868</v>
      </c>
      <c r="AI4573" s="95" t="s">
        <v>9725</v>
      </c>
      <c r="AR4573" s="95" t="s">
        <v>8541</v>
      </c>
      <c r="AT4573" s="95" t="s">
        <v>8541</v>
      </c>
      <c r="AW4573" s="95">
        <v>180</v>
      </c>
      <c r="BC4573" s="96" t="s">
        <v>9734</v>
      </c>
      <c r="BD4573" s="99">
        <f t="shared" si="149"/>
        <v>0</v>
      </c>
      <c r="BF4573" s="95" t="s">
        <v>10005</v>
      </c>
      <c r="CC4573" s="99"/>
      <c r="CV4573" s="99"/>
      <c r="CW4573" s="63"/>
    </row>
    <row r="4574" spans="1:101" x14ac:dyDescent="0.15">
      <c r="A4574" s="76">
        <v>4311</v>
      </c>
      <c r="B4574" s="74" t="s">
        <v>6692</v>
      </c>
      <c r="C4574" s="74">
        <v>1002108551</v>
      </c>
      <c r="D4574" s="78" t="str">
        <f t="shared" si="148"/>
        <v>https://portal.dnb.de/opac.htm?method=simpleSearch&amp;cqlMode=true&amp;query=idn%3D1002108551</v>
      </c>
      <c r="E4574" s="74" t="s">
        <v>6693</v>
      </c>
      <c r="F4574" s="74"/>
      <c r="G4574" s="76"/>
      <c r="H4574" s="77"/>
      <c r="I4574" s="76"/>
      <c r="J4574" s="77"/>
      <c r="K4574" s="77"/>
      <c r="L4574" s="76"/>
      <c r="M4574" s="76"/>
      <c r="N4574" s="76"/>
      <c r="O4574" s="76"/>
      <c r="P4574" s="76"/>
      <c r="Q4574" s="76"/>
      <c r="R4574" s="76"/>
      <c r="S4574" s="76"/>
      <c r="BD4574" s="99">
        <f t="shared" si="149"/>
        <v>0</v>
      </c>
      <c r="CC4574" s="99"/>
      <c r="CV4574" s="99"/>
      <c r="CW4574" s="63"/>
    </row>
    <row r="4575" spans="1:101" x14ac:dyDescent="0.15">
      <c r="A4575" s="76">
        <v>4312</v>
      </c>
      <c r="B4575" s="74" t="s">
        <v>6694</v>
      </c>
      <c r="C4575" s="74">
        <v>1001347765</v>
      </c>
      <c r="D4575" s="78" t="str">
        <f t="shared" si="148"/>
        <v>https://portal.dnb.de/opac.htm?method=simpleSearch&amp;cqlMode=true&amp;query=idn%3D1001347765</v>
      </c>
      <c r="E4575" s="74" t="s">
        <v>6695</v>
      </c>
      <c r="F4575" s="74"/>
      <c r="G4575" s="76"/>
      <c r="H4575" s="77"/>
      <c r="I4575" s="76"/>
      <c r="J4575" s="77"/>
      <c r="K4575" s="77"/>
      <c r="L4575" s="76"/>
      <c r="M4575" s="76"/>
      <c r="N4575" s="76"/>
      <c r="O4575" s="76"/>
      <c r="P4575" s="76"/>
      <c r="Q4575" s="76"/>
      <c r="R4575" s="76"/>
      <c r="S4575" s="76"/>
      <c r="BD4575" s="99">
        <f t="shared" si="149"/>
        <v>0</v>
      </c>
      <c r="CC4575" s="99"/>
      <c r="CV4575" s="99"/>
      <c r="CW4575" s="63"/>
    </row>
    <row r="4576" spans="1:101" x14ac:dyDescent="0.15">
      <c r="A4576" s="76">
        <v>4313</v>
      </c>
      <c r="B4576" s="74" t="s">
        <v>6696</v>
      </c>
      <c r="C4576" s="74">
        <v>1000774538</v>
      </c>
      <c r="D4576" s="78" t="str">
        <f t="shared" si="148"/>
        <v>https://portal.dnb.de/opac.htm?method=simpleSearch&amp;cqlMode=true&amp;query=idn%3D1000774538</v>
      </c>
      <c r="E4576" s="74" t="s">
        <v>6695</v>
      </c>
      <c r="F4576" s="74"/>
      <c r="G4576" s="76"/>
      <c r="H4576" s="77"/>
      <c r="I4576" s="76"/>
      <c r="J4576" s="77"/>
      <c r="K4576" s="77"/>
      <c r="L4576" s="76"/>
      <c r="M4576" s="76"/>
      <c r="N4576" s="76"/>
      <c r="O4576" s="76"/>
      <c r="P4576" s="76"/>
      <c r="Q4576" s="76"/>
      <c r="R4576" s="76"/>
      <c r="S4576" s="76"/>
      <c r="BD4576" s="99">
        <f t="shared" si="149"/>
        <v>0</v>
      </c>
      <c r="CC4576" s="99"/>
      <c r="CV4576" s="99"/>
      <c r="CW4576" s="63"/>
    </row>
    <row r="4577" spans="1:101" x14ac:dyDescent="0.15">
      <c r="A4577" s="76">
        <v>4314</v>
      </c>
      <c r="B4577" s="74" t="s">
        <v>6697</v>
      </c>
      <c r="C4577" s="74">
        <v>1002437644</v>
      </c>
      <c r="D4577" s="78" t="str">
        <f t="shared" si="148"/>
        <v>https://portal.dnb.de/opac.htm?method=simpleSearch&amp;cqlMode=true&amp;query=idn%3D1002437644</v>
      </c>
      <c r="E4577" s="74" t="s">
        <v>6695</v>
      </c>
      <c r="F4577" s="74"/>
      <c r="G4577" s="76"/>
      <c r="H4577" s="77"/>
      <c r="I4577" s="76"/>
      <c r="J4577" s="77"/>
      <c r="K4577" s="77"/>
      <c r="L4577" s="76"/>
      <c r="M4577" s="76"/>
      <c r="N4577" s="76"/>
      <c r="O4577" s="76"/>
      <c r="P4577" s="76"/>
      <c r="Q4577" s="76"/>
      <c r="R4577" s="76"/>
      <c r="S4577" s="76"/>
      <c r="BD4577" s="99">
        <f t="shared" si="149"/>
        <v>0</v>
      </c>
      <c r="CC4577" s="99"/>
      <c r="CV4577" s="99"/>
      <c r="CW4577" s="63"/>
    </row>
    <row r="4578" spans="1:101" x14ac:dyDescent="0.15">
      <c r="A4578" s="76">
        <v>4315</v>
      </c>
      <c r="B4578" s="74" t="s">
        <v>6680</v>
      </c>
      <c r="C4578" s="74">
        <v>1209569655</v>
      </c>
      <c r="D4578" s="78" t="str">
        <f t="shared" ref="D4578:D4641" si="150">HYPERLINK(CONCATENATE("https://portal.dnb.de/opac.htm?method=simpleSearch&amp;cqlMode=true&amp;query=idn%3D",C4578))</f>
        <v>https://portal.dnb.de/opac.htm?method=simpleSearch&amp;cqlMode=true&amp;query=idn%3D1209569655</v>
      </c>
      <c r="E4578" s="74" t="s">
        <v>6681</v>
      </c>
      <c r="F4578" s="74"/>
      <c r="G4578" s="76"/>
      <c r="H4578" s="77"/>
      <c r="I4578" s="76"/>
      <c r="J4578" s="77"/>
      <c r="K4578" s="77"/>
      <c r="L4578" s="76"/>
      <c r="M4578" s="76"/>
      <c r="N4578" s="76"/>
      <c r="O4578" s="76"/>
      <c r="P4578" s="76"/>
      <c r="Q4578" s="76"/>
      <c r="R4578" s="76"/>
      <c r="S4578" s="76"/>
      <c r="BD4578" s="99">
        <f t="shared" si="149"/>
        <v>0</v>
      </c>
      <c r="CC4578" s="99"/>
      <c r="CV4578" s="99"/>
      <c r="CW4578" s="63"/>
    </row>
    <row r="4579" spans="1:101" x14ac:dyDescent="0.15">
      <c r="A4579" s="76">
        <v>4316</v>
      </c>
      <c r="B4579" s="74" t="s">
        <v>6686</v>
      </c>
      <c r="C4579" s="74">
        <v>1208538209</v>
      </c>
      <c r="D4579" s="78" t="str">
        <f t="shared" si="150"/>
        <v>https://portal.dnb.de/opac.htm?method=simpleSearch&amp;cqlMode=true&amp;query=idn%3D1208538209</v>
      </c>
      <c r="E4579" s="74" t="s">
        <v>6687</v>
      </c>
      <c r="F4579" s="74"/>
      <c r="G4579" s="76"/>
      <c r="H4579" s="77"/>
      <c r="I4579" s="76"/>
      <c r="J4579" s="77"/>
      <c r="K4579" s="77"/>
      <c r="L4579" s="76"/>
      <c r="M4579" s="76"/>
      <c r="N4579" s="76"/>
      <c r="O4579" s="76"/>
      <c r="P4579" s="76"/>
      <c r="Q4579" s="76"/>
      <c r="R4579" s="76"/>
      <c r="S4579" s="76"/>
      <c r="BD4579" s="99">
        <f t="shared" si="149"/>
        <v>0</v>
      </c>
      <c r="CC4579" s="99"/>
      <c r="CV4579" s="99"/>
      <c r="CW4579" s="63"/>
    </row>
    <row r="4580" spans="1:101" x14ac:dyDescent="0.15">
      <c r="A4580" s="76">
        <v>4317</v>
      </c>
      <c r="B4580" s="74" t="s">
        <v>6690</v>
      </c>
      <c r="C4580" s="74">
        <v>994000618</v>
      </c>
      <c r="D4580" s="78" t="str">
        <f t="shared" si="150"/>
        <v>https://portal.dnb.de/opac.htm?method=simpleSearch&amp;cqlMode=true&amp;query=idn%3D994000618</v>
      </c>
      <c r="E4580" s="74" t="s">
        <v>6691</v>
      </c>
      <c r="F4580" s="74"/>
      <c r="G4580" s="76"/>
      <c r="H4580" s="77"/>
      <c r="I4580" s="76"/>
      <c r="J4580" s="77"/>
      <c r="K4580" s="77"/>
      <c r="L4580" s="76"/>
      <c r="M4580" s="76"/>
      <c r="N4580" s="76"/>
      <c r="O4580" s="76"/>
      <c r="P4580" s="76"/>
      <c r="Q4580" s="76"/>
      <c r="R4580" s="76"/>
      <c r="S4580" s="76"/>
      <c r="BD4580" s="99">
        <f t="shared" si="149"/>
        <v>0</v>
      </c>
      <c r="CC4580" s="99"/>
      <c r="CV4580" s="99"/>
      <c r="CW4580" s="63"/>
    </row>
    <row r="4581" spans="1:101" ht="56.25" x14ac:dyDescent="0.15">
      <c r="A4581" s="76">
        <v>4318</v>
      </c>
      <c r="B4581" s="74" t="s">
        <v>6762</v>
      </c>
      <c r="C4581" s="74">
        <v>1066678324</v>
      </c>
      <c r="D4581" s="78" t="str">
        <f t="shared" si="150"/>
        <v>https://portal.dnb.de/opac.htm?method=simpleSearch&amp;cqlMode=true&amp;query=idn%3D1066678324</v>
      </c>
      <c r="E4581" s="74" t="s">
        <v>6763</v>
      </c>
      <c r="F4581" s="74"/>
      <c r="G4581" s="76"/>
      <c r="H4581" s="77"/>
      <c r="I4581" s="76" t="s">
        <v>54</v>
      </c>
      <c r="J4581" s="77"/>
      <c r="K4581" s="77"/>
      <c r="L4581" s="76"/>
      <c r="M4581" s="76"/>
      <c r="N4581" s="76"/>
      <c r="O4581" s="76"/>
      <c r="P4581" s="76"/>
      <c r="Q4581" s="76"/>
      <c r="R4581" s="76"/>
      <c r="S4581" s="76"/>
      <c r="Y4581" s="95" t="s">
        <v>9723</v>
      </c>
      <c r="AC4581" s="95" t="s">
        <v>9724</v>
      </c>
      <c r="AI4581" s="95" t="s">
        <v>9725</v>
      </c>
      <c r="AW4581" s="95">
        <v>60</v>
      </c>
      <c r="BC4581" s="96" t="s">
        <v>9726</v>
      </c>
      <c r="BD4581" s="99">
        <f t="shared" si="149"/>
        <v>7.5</v>
      </c>
      <c r="BJ4581" s="95" t="s">
        <v>9741</v>
      </c>
      <c r="BK4581" s="95" t="s">
        <v>8541</v>
      </c>
      <c r="BL4581" s="70" t="s">
        <v>10485</v>
      </c>
      <c r="BO4581" s="70" t="s">
        <v>10484</v>
      </c>
      <c r="BP4581" s="69" t="s">
        <v>8541</v>
      </c>
      <c r="BR4581" s="95" t="s">
        <v>8541</v>
      </c>
      <c r="BY4581" s="95" t="s">
        <v>8541</v>
      </c>
      <c r="CC4581" s="99">
        <v>2.5</v>
      </c>
      <c r="CD4581" s="90" t="s">
        <v>10486</v>
      </c>
      <c r="CE4581" s="95" t="s">
        <v>8541</v>
      </c>
      <c r="CJ4581" s="95" t="s">
        <v>8541</v>
      </c>
      <c r="CM4581" s="95" t="s">
        <v>8541</v>
      </c>
      <c r="CN4581" s="95" t="s">
        <v>8541</v>
      </c>
      <c r="CQ4581" s="95" t="s">
        <v>8541</v>
      </c>
      <c r="CV4581" s="99">
        <v>5</v>
      </c>
      <c r="CW4581" s="90" t="s">
        <v>10487</v>
      </c>
    </row>
    <row r="4582" spans="1:101" x14ac:dyDescent="0.15">
      <c r="A4582" s="76">
        <v>4319</v>
      </c>
      <c r="B4582" s="74" t="s">
        <v>6784</v>
      </c>
      <c r="C4582" s="74" t="s">
        <v>6785</v>
      </c>
      <c r="D4582" s="78" t="str">
        <f t="shared" si="150"/>
        <v>https://portal.dnb.de/opac.htm?method=simpleSearch&amp;cqlMode=true&amp;query=idn%3D113264285X</v>
      </c>
      <c r="E4582" s="74" t="s">
        <v>6786</v>
      </c>
      <c r="F4582" s="74"/>
      <c r="G4582" s="76"/>
      <c r="H4582" s="77"/>
      <c r="I4582" s="76"/>
      <c r="J4582" s="77"/>
      <c r="K4582" s="77"/>
      <c r="L4582" s="76"/>
      <c r="M4582" s="76"/>
      <c r="N4582" s="76"/>
      <c r="O4582" s="76"/>
      <c r="P4582" s="76"/>
      <c r="Q4582" s="76"/>
      <c r="R4582" s="76"/>
      <c r="S4582" s="76"/>
      <c r="BD4582" s="99">
        <f t="shared" si="149"/>
        <v>0</v>
      </c>
      <c r="CC4582" s="99"/>
      <c r="CV4582" s="99"/>
      <c r="CW4582" s="63"/>
    </row>
    <row r="4583" spans="1:101" x14ac:dyDescent="0.15">
      <c r="A4583" s="76">
        <v>4320</v>
      </c>
      <c r="B4583" s="74" t="s">
        <v>6787</v>
      </c>
      <c r="C4583" s="74">
        <v>1132642868</v>
      </c>
      <c r="D4583" s="78" t="str">
        <f t="shared" si="150"/>
        <v>https://portal.dnb.de/opac.htm?method=simpleSearch&amp;cqlMode=true&amp;query=idn%3D1132642868</v>
      </c>
      <c r="E4583" s="74" t="s">
        <v>6786</v>
      </c>
      <c r="F4583" s="74"/>
      <c r="G4583" s="76"/>
      <c r="H4583" s="77"/>
      <c r="I4583" s="76"/>
      <c r="J4583" s="77"/>
      <c r="K4583" s="77"/>
      <c r="L4583" s="76"/>
      <c r="M4583" s="76"/>
      <c r="N4583" s="76"/>
      <c r="O4583" s="76"/>
      <c r="P4583" s="76"/>
      <c r="Q4583" s="76"/>
      <c r="R4583" s="76"/>
      <c r="S4583" s="76"/>
      <c r="BD4583" s="99">
        <f t="shared" si="149"/>
        <v>0</v>
      </c>
      <c r="CC4583" s="99"/>
      <c r="CV4583" s="99"/>
      <c r="CW4583" s="63"/>
    </row>
    <row r="4584" spans="1:101" x14ac:dyDescent="0.15">
      <c r="A4584" s="76">
        <v>4321</v>
      </c>
      <c r="B4584" s="74" t="s">
        <v>6698</v>
      </c>
      <c r="C4584" s="74">
        <v>1066935386</v>
      </c>
      <c r="D4584" s="78" t="str">
        <f t="shared" si="150"/>
        <v>https://portal.dnb.de/opac.htm?method=simpleSearch&amp;cqlMode=true&amp;query=idn%3D1066935386</v>
      </c>
      <c r="E4584" s="74" t="s">
        <v>6699</v>
      </c>
      <c r="F4584" s="74"/>
      <c r="G4584" s="76"/>
      <c r="H4584" s="77"/>
      <c r="I4584" s="76"/>
      <c r="J4584" s="77"/>
      <c r="K4584" s="77"/>
      <c r="L4584" s="76"/>
      <c r="M4584" s="76"/>
      <c r="N4584" s="76"/>
      <c r="O4584" s="76"/>
      <c r="P4584" s="76"/>
      <c r="Q4584" s="76"/>
      <c r="R4584" s="76"/>
      <c r="S4584" s="76"/>
      <c r="BD4584" s="99">
        <f t="shared" si="149"/>
        <v>0</v>
      </c>
      <c r="CC4584" s="99"/>
      <c r="CV4584" s="99"/>
      <c r="CW4584" s="63"/>
    </row>
    <row r="4585" spans="1:101" x14ac:dyDescent="0.15">
      <c r="A4585" s="76">
        <v>4322</v>
      </c>
      <c r="B4585" s="74" t="s">
        <v>6725</v>
      </c>
      <c r="C4585" s="74" t="s">
        <v>6726</v>
      </c>
      <c r="D4585" s="78" t="str">
        <f t="shared" si="150"/>
        <v>https://portal.dnb.de/opac.htm?method=simpleSearch&amp;cqlMode=true&amp;query=idn%3D113265033X</v>
      </c>
      <c r="E4585" s="74" t="s">
        <v>6727</v>
      </c>
      <c r="F4585" s="74"/>
      <c r="G4585" s="76"/>
      <c r="H4585" s="77"/>
      <c r="I4585" s="76"/>
      <c r="J4585" s="77"/>
      <c r="K4585" s="77"/>
      <c r="L4585" s="76"/>
      <c r="M4585" s="76"/>
      <c r="N4585" s="76"/>
      <c r="O4585" s="76"/>
      <c r="P4585" s="76"/>
      <c r="Q4585" s="76"/>
      <c r="R4585" s="76"/>
      <c r="S4585" s="76"/>
      <c r="BD4585" s="99">
        <f t="shared" si="149"/>
        <v>0</v>
      </c>
      <c r="CC4585" s="99"/>
      <c r="CV4585" s="99"/>
      <c r="CW4585" s="63"/>
    </row>
    <row r="4586" spans="1:101" x14ac:dyDescent="0.15">
      <c r="A4586" s="76">
        <v>4323</v>
      </c>
      <c r="B4586" s="74" t="s">
        <v>6756</v>
      </c>
      <c r="C4586" s="74">
        <v>994062273</v>
      </c>
      <c r="D4586" s="78" t="str">
        <f t="shared" si="150"/>
        <v>https://portal.dnb.de/opac.htm?method=simpleSearch&amp;cqlMode=true&amp;query=idn%3D994062273</v>
      </c>
      <c r="E4586" s="74" t="s">
        <v>6757</v>
      </c>
      <c r="F4586" s="74"/>
      <c r="G4586" s="76"/>
      <c r="H4586" s="77"/>
      <c r="I4586" s="76"/>
      <c r="J4586" s="77"/>
      <c r="K4586" s="77"/>
      <c r="L4586" s="76"/>
      <c r="M4586" s="76"/>
      <c r="N4586" s="76"/>
      <c r="O4586" s="76"/>
      <c r="P4586" s="76"/>
      <c r="Q4586" s="76"/>
      <c r="R4586" s="76"/>
      <c r="S4586" s="76"/>
      <c r="BD4586" s="99">
        <f t="shared" si="149"/>
        <v>0</v>
      </c>
      <c r="CC4586" s="99"/>
      <c r="CV4586" s="99"/>
      <c r="CW4586" s="63"/>
    </row>
    <row r="4587" spans="1:101" x14ac:dyDescent="0.15">
      <c r="A4587" s="76">
        <v>4324</v>
      </c>
      <c r="B4587" s="74" t="s">
        <v>6758</v>
      </c>
      <c r="C4587" s="74">
        <v>993936822</v>
      </c>
      <c r="D4587" s="78" t="str">
        <f t="shared" si="150"/>
        <v>https://portal.dnb.de/opac.htm?method=simpleSearch&amp;cqlMode=true&amp;query=idn%3D993936822</v>
      </c>
      <c r="E4587" s="74" t="s">
        <v>6759</v>
      </c>
      <c r="F4587" s="74"/>
      <c r="G4587" s="76"/>
      <c r="H4587" s="77"/>
      <c r="I4587" s="76"/>
      <c r="J4587" s="77"/>
      <c r="K4587" s="77"/>
      <c r="L4587" s="76"/>
      <c r="M4587" s="76"/>
      <c r="N4587" s="76"/>
      <c r="O4587" s="76"/>
      <c r="P4587" s="76"/>
      <c r="Q4587" s="76"/>
      <c r="R4587" s="76"/>
      <c r="S4587" s="76"/>
      <c r="BD4587" s="99">
        <f t="shared" si="149"/>
        <v>0</v>
      </c>
      <c r="CC4587" s="99"/>
      <c r="CV4587" s="99"/>
      <c r="CW4587" s="63"/>
    </row>
    <row r="4588" spans="1:101" x14ac:dyDescent="0.15">
      <c r="A4588" s="76">
        <v>4325</v>
      </c>
      <c r="B4588" s="74" t="s">
        <v>6760</v>
      </c>
      <c r="C4588" s="74">
        <v>1066840474</v>
      </c>
      <c r="D4588" s="78" t="str">
        <f t="shared" si="150"/>
        <v>https://portal.dnb.de/opac.htm?method=simpleSearch&amp;cqlMode=true&amp;query=idn%3D1066840474</v>
      </c>
      <c r="E4588" s="74" t="s">
        <v>6761</v>
      </c>
      <c r="F4588" s="74"/>
      <c r="G4588" s="76"/>
      <c r="H4588" s="77"/>
      <c r="I4588" s="76"/>
      <c r="J4588" s="77"/>
      <c r="K4588" s="77"/>
      <c r="L4588" s="76"/>
      <c r="M4588" s="76"/>
      <c r="N4588" s="76"/>
      <c r="O4588" s="76"/>
      <c r="P4588" s="76"/>
      <c r="Q4588" s="76"/>
      <c r="R4588" s="76"/>
      <c r="S4588" s="76"/>
      <c r="BD4588" s="99">
        <f t="shared" si="149"/>
        <v>0</v>
      </c>
      <c r="CC4588" s="99"/>
      <c r="CV4588" s="99"/>
      <c r="CW4588" s="63"/>
    </row>
    <row r="4589" spans="1:101" x14ac:dyDescent="0.15">
      <c r="A4589" s="76">
        <v>4326</v>
      </c>
      <c r="B4589" s="74" t="s">
        <v>6766</v>
      </c>
      <c r="C4589" s="74">
        <v>1066938229</v>
      </c>
      <c r="D4589" s="78" t="str">
        <f t="shared" si="150"/>
        <v>https://portal.dnb.de/opac.htm?method=simpleSearch&amp;cqlMode=true&amp;query=idn%3D1066938229</v>
      </c>
      <c r="E4589" s="74" t="s">
        <v>6767</v>
      </c>
      <c r="F4589" s="74"/>
      <c r="G4589" s="76"/>
      <c r="H4589" s="77"/>
      <c r="I4589" s="76"/>
      <c r="J4589" s="77"/>
      <c r="K4589" s="77"/>
      <c r="L4589" s="76"/>
      <c r="M4589" s="76"/>
      <c r="N4589" s="76"/>
      <c r="O4589" s="76"/>
      <c r="P4589" s="76"/>
      <c r="Q4589" s="76"/>
      <c r="R4589" s="76"/>
      <c r="S4589" s="76"/>
      <c r="BD4589" s="99">
        <f t="shared" si="149"/>
        <v>0</v>
      </c>
      <c r="CC4589" s="99"/>
      <c r="CV4589" s="99"/>
      <c r="CW4589" s="63"/>
    </row>
    <row r="4590" spans="1:101" x14ac:dyDescent="0.15">
      <c r="A4590" s="76">
        <v>4327</v>
      </c>
      <c r="B4590" s="74" t="s">
        <v>6768</v>
      </c>
      <c r="C4590" s="74">
        <v>1066873399</v>
      </c>
      <c r="D4590" s="78" t="str">
        <f t="shared" si="150"/>
        <v>https://portal.dnb.de/opac.htm?method=simpleSearch&amp;cqlMode=true&amp;query=idn%3D1066873399</v>
      </c>
      <c r="E4590" s="74" t="s">
        <v>6769</v>
      </c>
      <c r="F4590" s="74"/>
      <c r="G4590" s="76"/>
      <c r="H4590" s="77"/>
      <c r="I4590" s="76"/>
      <c r="J4590" s="77"/>
      <c r="K4590" s="77"/>
      <c r="L4590" s="76"/>
      <c r="M4590" s="76"/>
      <c r="N4590" s="76"/>
      <c r="O4590" s="76"/>
      <c r="P4590" s="76"/>
      <c r="Q4590" s="76"/>
      <c r="R4590" s="76"/>
      <c r="S4590" s="76"/>
      <c r="BD4590" s="99">
        <f t="shared" si="149"/>
        <v>0</v>
      </c>
      <c r="CC4590" s="99"/>
      <c r="CV4590" s="99"/>
      <c r="CW4590" s="63"/>
    </row>
    <row r="4591" spans="1:101" x14ac:dyDescent="0.15">
      <c r="A4591" s="76">
        <v>4328</v>
      </c>
      <c r="B4591" s="74" t="s">
        <v>6770</v>
      </c>
      <c r="C4591" s="74">
        <v>1066800537</v>
      </c>
      <c r="D4591" s="78" t="str">
        <f t="shared" si="150"/>
        <v>https://portal.dnb.de/opac.htm?method=simpleSearch&amp;cqlMode=true&amp;query=idn%3D1066800537</v>
      </c>
      <c r="E4591" s="74" t="s">
        <v>6771</v>
      </c>
      <c r="F4591" s="74"/>
      <c r="G4591" s="76"/>
      <c r="H4591" s="77"/>
      <c r="I4591" s="76"/>
      <c r="J4591" s="77"/>
      <c r="K4591" s="77"/>
      <c r="L4591" s="76"/>
      <c r="M4591" s="76"/>
      <c r="N4591" s="76"/>
      <c r="O4591" s="76"/>
      <c r="P4591" s="76"/>
      <c r="Q4591" s="76"/>
      <c r="R4591" s="76"/>
      <c r="S4591" s="76"/>
      <c r="BD4591" s="99">
        <f t="shared" si="149"/>
        <v>0</v>
      </c>
      <c r="CC4591" s="99"/>
      <c r="CV4591" s="99"/>
      <c r="CW4591" s="63"/>
    </row>
    <row r="4592" spans="1:101" x14ac:dyDescent="0.15">
      <c r="A4592" s="76">
        <v>4329</v>
      </c>
      <c r="B4592" s="74" t="s">
        <v>6772</v>
      </c>
      <c r="C4592" s="74">
        <v>1132657229</v>
      </c>
      <c r="D4592" s="78" t="str">
        <f t="shared" si="150"/>
        <v>https://portal.dnb.de/opac.htm?method=simpleSearch&amp;cqlMode=true&amp;query=idn%3D1132657229</v>
      </c>
      <c r="E4592" s="74" t="s">
        <v>6773</v>
      </c>
      <c r="F4592" s="74"/>
      <c r="G4592" s="76"/>
      <c r="H4592" s="77"/>
      <c r="I4592" s="76"/>
      <c r="J4592" s="77"/>
      <c r="K4592" s="77"/>
      <c r="L4592" s="76"/>
      <c r="M4592" s="76"/>
      <c r="N4592" s="76"/>
      <c r="O4592" s="76"/>
      <c r="P4592" s="76"/>
      <c r="Q4592" s="76"/>
      <c r="R4592" s="76"/>
      <c r="S4592" s="76"/>
      <c r="BD4592" s="99">
        <f t="shared" si="149"/>
        <v>0</v>
      </c>
      <c r="CC4592" s="99"/>
      <c r="CV4592" s="99"/>
      <c r="CW4592" s="63"/>
    </row>
    <row r="4593" spans="1:101" x14ac:dyDescent="0.15">
      <c r="A4593" s="76">
        <v>4330</v>
      </c>
      <c r="B4593" s="74" t="s">
        <v>6774</v>
      </c>
      <c r="C4593" s="74">
        <v>1132657253</v>
      </c>
      <c r="D4593" s="78" t="str">
        <f t="shared" si="150"/>
        <v>https://portal.dnb.de/opac.htm?method=simpleSearch&amp;cqlMode=true&amp;query=idn%3D1132657253</v>
      </c>
      <c r="E4593" s="74" t="s">
        <v>6773</v>
      </c>
      <c r="F4593" s="74"/>
      <c r="G4593" s="76"/>
      <c r="H4593" s="77"/>
      <c r="I4593" s="76"/>
      <c r="J4593" s="77"/>
      <c r="K4593" s="77"/>
      <c r="L4593" s="76"/>
      <c r="M4593" s="76"/>
      <c r="N4593" s="76"/>
      <c r="O4593" s="76"/>
      <c r="P4593" s="76"/>
      <c r="Q4593" s="76"/>
      <c r="R4593" s="76"/>
      <c r="S4593" s="76"/>
      <c r="BD4593" s="99">
        <f t="shared" si="149"/>
        <v>0</v>
      </c>
      <c r="CC4593" s="99"/>
      <c r="CV4593" s="99"/>
      <c r="CW4593" s="63"/>
    </row>
    <row r="4594" spans="1:101" x14ac:dyDescent="0.15">
      <c r="A4594" s="76">
        <v>4331</v>
      </c>
      <c r="B4594" s="74" t="s">
        <v>6775</v>
      </c>
      <c r="C4594" s="74">
        <v>1132657261</v>
      </c>
      <c r="D4594" s="78" t="str">
        <f t="shared" si="150"/>
        <v>https://portal.dnb.de/opac.htm?method=simpleSearch&amp;cqlMode=true&amp;query=idn%3D1132657261</v>
      </c>
      <c r="E4594" s="74" t="s">
        <v>6773</v>
      </c>
      <c r="F4594" s="74"/>
      <c r="G4594" s="76"/>
      <c r="H4594" s="77"/>
      <c r="I4594" s="76"/>
      <c r="J4594" s="77"/>
      <c r="K4594" s="77"/>
      <c r="L4594" s="76"/>
      <c r="M4594" s="76"/>
      <c r="N4594" s="76"/>
      <c r="O4594" s="76"/>
      <c r="P4594" s="76"/>
      <c r="Q4594" s="76"/>
      <c r="R4594" s="76"/>
      <c r="S4594" s="76"/>
      <c r="BD4594" s="99">
        <f t="shared" si="149"/>
        <v>0</v>
      </c>
      <c r="CC4594" s="99"/>
      <c r="CV4594" s="99"/>
      <c r="CW4594" s="63"/>
    </row>
    <row r="4595" spans="1:101" x14ac:dyDescent="0.15">
      <c r="A4595" s="76">
        <v>4332</v>
      </c>
      <c r="B4595" s="74" t="s">
        <v>6776</v>
      </c>
      <c r="C4595" s="74" t="s">
        <v>6777</v>
      </c>
      <c r="D4595" s="78" t="str">
        <f t="shared" si="150"/>
        <v>https://portal.dnb.de/opac.htm?method=simpleSearch&amp;cqlMode=true&amp;query=idn%3D113265727X</v>
      </c>
      <c r="E4595" s="74" t="s">
        <v>6773</v>
      </c>
      <c r="F4595" s="74"/>
      <c r="G4595" s="76"/>
      <c r="H4595" s="77"/>
      <c r="I4595" s="76"/>
      <c r="J4595" s="77"/>
      <c r="K4595" s="77"/>
      <c r="L4595" s="76"/>
      <c r="M4595" s="76"/>
      <c r="N4595" s="76"/>
      <c r="O4595" s="76"/>
      <c r="P4595" s="76"/>
      <c r="Q4595" s="76"/>
      <c r="R4595" s="76"/>
      <c r="S4595" s="76"/>
      <c r="BD4595" s="99">
        <f t="shared" si="149"/>
        <v>0</v>
      </c>
      <c r="CC4595" s="99"/>
      <c r="CV4595" s="99"/>
      <c r="CW4595" s="63"/>
    </row>
    <row r="4596" spans="1:101" x14ac:dyDescent="0.15">
      <c r="A4596" s="76">
        <v>4333</v>
      </c>
      <c r="B4596" s="74" t="s">
        <v>6778</v>
      </c>
      <c r="C4596" s="74">
        <v>1132657245</v>
      </c>
      <c r="D4596" s="78" t="str">
        <f t="shared" si="150"/>
        <v>https://portal.dnb.de/opac.htm?method=simpleSearch&amp;cqlMode=true&amp;query=idn%3D1132657245</v>
      </c>
      <c r="E4596" s="74" t="s">
        <v>6773</v>
      </c>
      <c r="F4596" s="74"/>
      <c r="G4596" s="76"/>
      <c r="H4596" s="77"/>
      <c r="I4596" s="76"/>
      <c r="J4596" s="77"/>
      <c r="K4596" s="77"/>
      <c r="L4596" s="76"/>
      <c r="M4596" s="76"/>
      <c r="N4596" s="76"/>
      <c r="O4596" s="76"/>
      <c r="P4596" s="76"/>
      <c r="Q4596" s="76"/>
      <c r="R4596" s="76"/>
      <c r="S4596" s="76"/>
      <c r="BD4596" s="99">
        <f t="shared" si="149"/>
        <v>0</v>
      </c>
      <c r="CC4596" s="99"/>
      <c r="CV4596" s="99"/>
      <c r="CW4596" s="63"/>
    </row>
    <row r="4597" spans="1:101" x14ac:dyDescent="0.15">
      <c r="A4597" s="76">
        <v>4334</v>
      </c>
      <c r="B4597" s="74" t="s">
        <v>6779</v>
      </c>
      <c r="C4597" s="74">
        <v>1132657237</v>
      </c>
      <c r="D4597" s="78" t="str">
        <f t="shared" si="150"/>
        <v>https://portal.dnb.de/opac.htm?method=simpleSearch&amp;cqlMode=true&amp;query=idn%3D1132657237</v>
      </c>
      <c r="E4597" s="74" t="s">
        <v>6773</v>
      </c>
      <c r="F4597" s="74"/>
      <c r="G4597" s="76"/>
      <c r="H4597" s="77"/>
      <c r="I4597" s="76"/>
      <c r="J4597" s="77"/>
      <c r="K4597" s="77"/>
      <c r="L4597" s="76"/>
      <c r="M4597" s="76"/>
      <c r="N4597" s="76"/>
      <c r="O4597" s="76"/>
      <c r="P4597" s="76"/>
      <c r="Q4597" s="76"/>
      <c r="R4597" s="76"/>
      <c r="S4597" s="76"/>
      <c r="BD4597" s="99">
        <f t="shared" si="149"/>
        <v>0</v>
      </c>
      <c r="CC4597" s="99"/>
      <c r="CV4597" s="99"/>
      <c r="CW4597" s="63"/>
    </row>
    <row r="4598" spans="1:101" x14ac:dyDescent="0.15">
      <c r="A4598" s="76">
        <v>4335</v>
      </c>
      <c r="B4598" s="74" t="s">
        <v>6700</v>
      </c>
      <c r="C4598" s="74">
        <v>1066768935</v>
      </c>
      <c r="D4598" s="78" t="str">
        <f t="shared" si="150"/>
        <v>https://portal.dnb.de/opac.htm?method=simpleSearch&amp;cqlMode=true&amp;query=idn%3D1066768935</v>
      </c>
      <c r="E4598" s="74" t="s">
        <v>6701</v>
      </c>
      <c r="F4598" s="74"/>
      <c r="G4598" s="76"/>
      <c r="H4598" s="77"/>
      <c r="I4598" s="76"/>
      <c r="J4598" s="77"/>
      <c r="K4598" s="77"/>
      <c r="L4598" s="76"/>
      <c r="M4598" s="76"/>
      <c r="N4598" s="76"/>
      <c r="O4598" s="76"/>
      <c r="P4598" s="76"/>
      <c r="Q4598" s="76"/>
      <c r="R4598" s="76"/>
      <c r="S4598" s="76"/>
      <c r="BD4598" s="99">
        <f t="shared" si="149"/>
        <v>0</v>
      </c>
      <c r="CC4598" s="99"/>
      <c r="CV4598" s="99"/>
      <c r="CW4598" s="63"/>
    </row>
    <row r="4599" spans="1:101" x14ac:dyDescent="0.15">
      <c r="A4599" s="76">
        <v>4336</v>
      </c>
      <c r="B4599" s="74" t="s">
        <v>6702</v>
      </c>
      <c r="C4599" s="74">
        <v>1002741645</v>
      </c>
      <c r="D4599" s="78" t="str">
        <f t="shared" si="150"/>
        <v>https://portal.dnb.de/opac.htm?method=simpleSearch&amp;cqlMode=true&amp;query=idn%3D1002741645</v>
      </c>
      <c r="E4599" s="74" t="s">
        <v>6703</v>
      </c>
      <c r="F4599" s="74"/>
      <c r="G4599" s="76"/>
      <c r="H4599" s="77"/>
      <c r="I4599" s="76"/>
      <c r="J4599" s="77"/>
      <c r="K4599" s="77"/>
      <c r="L4599" s="76"/>
      <c r="M4599" s="76"/>
      <c r="N4599" s="76"/>
      <c r="O4599" s="76"/>
      <c r="P4599" s="76"/>
      <c r="Q4599" s="76"/>
      <c r="R4599" s="76"/>
      <c r="S4599" s="76"/>
      <c r="BD4599" s="99">
        <f t="shared" si="149"/>
        <v>0</v>
      </c>
      <c r="CC4599" s="99"/>
      <c r="CV4599" s="99"/>
      <c r="CW4599" s="63"/>
    </row>
    <row r="4600" spans="1:101" x14ac:dyDescent="0.15">
      <c r="A4600" s="76">
        <v>4337</v>
      </c>
      <c r="B4600" s="74" t="s">
        <v>6704</v>
      </c>
      <c r="C4600" s="74">
        <v>1000013936</v>
      </c>
      <c r="D4600" s="78" t="str">
        <f t="shared" si="150"/>
        <v>https://portal.dnb.de/opac.htm?method=simpleSearch&amp;cqlMode=true&amp;query=idn%3D1000013936</v>
      </c>
      <c r="E4600" s="74" t="s">
        <v>6705</v>
      </c>
      <c r="F4600" s="74"/>
      <c r="G4600" s="76"/>
      <c r="H4600" s="77"/>
      <c r="I4600" s="76"/>
      <c r="J4600" s="77"/>
      <c r="K4600" s="77"/>
      <c r="L4600" s="76"/>
      <c r="M4600" s="76"/>
      <c r="N4600" s="76"/>
      <c r="O4600" s="76"/>
      <c r="P4600" s="76"/>
      <c r="Q4600" s="76"/>
      <c r="R4600" s="76"/>
      <c r="S4600" s="76"/>
      <c r="BD4600" s="99">
        <f t="shared" si="149"/>
        <v>0</v>
      </c>
      <c r="CC4600" s="99"/>
      <c r="CV4600" s="99"/>
      <c r="CW4600" s="63"/>
    </row>
    <row r="4601" spans="1:101" x14ac:dyDescent="0.15">
      <c r="A4601" s="76">
        <v>4338</v>
      </c>
      <c r="B4601" s="74" t="s">
        <v>6706</v>
      </c>
      <c r="C4601" s="74">
        <v>999965794</v>
      </c>
      <c r="D4601" s="78" t="str">
        <f t="shared" si="150"/>
        <v>https://portal.dnb.de/opac.htm?method=simpleSearch&amp;cqlMode=true&amp;query=idn%3D999965794</v>
      </c>
      <c r="E4601" s="74" t="s">
        <v>6707</v>
      </c>
      <c r="F4601" s="74"/>
      <c r="G4601" s="76"/>
      <c r="H4601" s="77"/>
      <c r="I4601" s="76"/>
      <c r="J4601" s="77"/>
      <c r="K4601" s="77"/>
      <c r="L4601" s="76"/>
      <c r="M4601" s="76"/>
      <c r="N4601" s="76"/>
      <c r="O4601" s="76"/>
      <c r="P4601" s="76"/>
      <c r="Q4601" s="76"/>
      <c r="R4601" s="76"/>
      <c r="S4601" s="76"/>
      <c r="BD4601" s="99">
        <f t="shared" si="149"/>
        <v>0</v>
      </c>
      <c r="CC4601" s="99"/>
      <c r="CV4601" s="99"/>
      <c r="CW4601" s="63"/>
    </row>
    <row r="4602" spans="1:101" x14ac:dyDescent="0.15">
      <c r="A4602" s="76">
        <v>4339</v>
      </c>
      <c r="B4602" s="74" t="s">
        <v>6708</v>
      </c>
      <c r="C4602" s="74">
        <v>1002236258</v>
      </c>
      <c r="D4602" s="78" t="str">
        <f t="shared" si="150"/>
        <v>https://portal.dnb.de/opac.htm?method=simpleSearch&amp;cqlMode=true&amp;query=idn%3D1002236258</v>
      </c>
      <c r="E4602" s="74" t="s">
        <v>6709</v>
      </c>
      <c r="F4602" s="74"/>
      <c r="G4602" s="76"/>
      <c r="H4602" s="77"/>
      <c r="I4602" s="76"/>
      <c r="J4602" s="77"/>
      <c r="K4602" s="77"/>
      <c r="L4602" s="76"/>
      <c r="M4602" s="76"/>
      <c r="N4602" s="76"/>
      <c r="O4602" s="76"/>
      <c r="P4602" s="76"/>
      <c r="Q4602" s="76"/>
      <c r="R4602" s="76"/>
      <c r="S4602" s="76"/>
      <c r="BD4602" s="99">
        <f t="shared" si="149"/>
        <v>0</v>
      </c>
      <c r="CC4602" s="99"/>
      <c r="CV4602" s="99"/>
      <c r="CW4602" s="63"/>
    </row>
    <row r="4603" spans="1:101" x14ac:dyDescent="0.15">
      <c r="A4603" s="76">
        <v>4340</v>
      </c>
      <c r="B4603" s="74" t="s">
        <v>6710</v>
      </c>
      <c r="C4603" s="74" t="s">
        <v>6711</v>
      </c>
      <c r="D4603" s="78" t="str">
        <f t="shared" si="150"/>
        <v>https://portal.dnb.de/opac.htm?method=simpleSearch&amp;cqlMode=true&amp;query=idn%3D100232081X</v>
      </c>
      <c r="E4603" s="74" t="s">
        <v>6712</v>
      </c>
      <c r="F4603" s="74"/>
      <c r="G4603" s="76"/>
      <c r="H4603" s="77"/>
      <c r="I4603" s="76"/>
      <c r="J4603" s="77"/>
      <c r="K4603" s="77"/>
      <c r="L4603" s="76"/>
      <c r="M4603" s="76"/>
      <c r="N4603" s="76"/>
      <c r="O4603" s="76"/>
      <c r="P4603" s="76"/>
      <c r="Q4603" s="76"/>
      <c r="R4603" s="76"/>
      <c r="S4603" s="76"/>
      <c r="BD4603" s="99">
        <f t="shared" si="149"/>
        <v>0</v>
      </c>
      <c r="CC4603" s="99"/>
      <c r="CV4603" s="99"/>
      <c r="CW4603" s="63"/>
    </row>
    <row r="4604" spans="1:101" x14ac:dyDescent="0.15">
      <c r="A4604" s="76">
        <v>4341</v>
      </c>
      <c r="B4604" s="74" t="s">
        <v>6713</v>
      </c>
      <c r="C4604" s="74">
        <v>994491239</v>
      </c>
      <c r="D4604" s="78" t="str">
        <f t="shared" si="150"/>
        <v>https://portal.dnb.de/opac.htm?method=simpleSearch&amp;cqlMode=true&amp;query=idn%3D994491239</v>
      </c>
      <c r="E4604" s="74" t="s">
        <v>6714</v>
      </c>
      <c r="F4604" s="74"/>
      <c r="G4604" s="76"/>
      <c r="H4604" s="77"/>
      <c r="I4604" s="76"/>
      <c r="J4604" s="77"/>
      <c r="K4604" s="77"/>
      <c r="L4604" s="76"/>
      <c r="M4604" s="76"/>
      <c r="N4604" s="76"/>
      <c r="O4604" s="76"/>
      <c r="P4604" s="76"/>
      <c r="Q4604" s="76"/>
      <c r="R4604" s="76"/>
      <c r="S4604" s="76"/>
      <c r="BD4604" s="99">
        <f t="shared" si="149"/>
        <v>0</v>
      </c>
      <c r="CC4604" s="99"/>
      <c r="CV4604" s="99"/>
      <c r="CW4604" s="63"/>
    </row>
    <row r="4605" spans="1:101" x14ac:dyDescent="0.15">
      <c r="A4605" s="76">
        <v>4342</v>
      </c>
      <c r="B4605" s="74" t="s">
        <v>6717</v>
      </c>
      <c r="C4605" s="74">
        <v>1001602757</v>
      </c>
      <c r="D4605" s="78" t="str">
        <f t="shared" si="150"/>
        <v>https://portal.dnb.de/opac.htm?method=simpleSearch&amp;cqlMode=true&amp;query=idn%3D1001602757</v>
      </c>
      <c r="E4605" s="74" t="s">
        <v>6718</v>
      </c>
      <c r="F4605" s="74"/>
      <c r="G4605" s="76"/>
      <c r="H4605" s="77"/>
      <c r="I4605" s="76"/>
      <c r="J4605" s="77"/>
      <c r="K4605" s="77"/>
      <c r="L4605" s="76"/>
      <c r="M4605" s="76"/>
      <c r="N4605" s="76"/>
      <c r="O4605" s="76"/>
      <c r="P4605" s="76"/>
      <c r="Q4605" s="76"/>
      <c r="R4605" s="76"/>
      <c r="S4605" s="76"/>
      <c r="BD4605" s="99">
        <f t="shared" si="149"/>
        <v>0</v>
      </c>
      <c r="CC4605" s="99"/>
      <c r="CV4605" s="99"/>
      <c r="CW4605" s="63"/>
    </row>
    <row r="4606" spans="1:101" x14ac:dyDescent="0.15">
      <c r="A4606" s="76">
        <v>4343</v>
      </c>
      <c r="B4606" s="74" t="s">
        <v>6719</v>
      </c>
      <c r="C4606" s="74">
        <v>993972357</v>
      </c>
      <c r="D4606" s="78" t="str">
        <f t="shared" si="150"/>
        <v>https://portal.dnb.de/opac.htm?method=simpleSearch&amp;cqlMode=true&amp;query=idn%3D993972357</v>
      </c>
      <c r="E4606" s="74" t="s">
        <v>6718</v>
      </c>
      <c r="F4606" s="74"/>
      <c r="G4606" s="76"/>
      <c r="H4606" s="77"/>
      <c r="I4606" s="76"/>
      <c r="J4606" s="77"/>
      <c r="K4606" s="77"/>
      <c r="L4606" s="76"/>
      <c r="M4606" s="76"/>
      <c r="N4606" s="76"/>
      <c r="O4606" s="76"/>
      <c r="P4606" s="76"/>
      <c r="Q4606" s="76"/>
      <c r="R4606" s="76"/>
      <c r="S4606" s="76"/>
      <c r="BD4606" s="99">
        <f t="shared" si="149"/>
        <v>0</v>
      </c>
      <c r="CC4606" s="99"/>
      <c r="CV4606" s="99"/>
      <c r="CW4606" s="63"/>
    </row>
    <row r="4607" spans="1:101" x14ac:dyDescent="0.15">
      <c r="A4607" s="76">
        <v>4344</v>
      </c>
      <c r="B4607" s="74" t="s">
        <v>6720</v>
      </c>
      <c r="C4607" s="74">
        <v>994669321</v>
      </c>
      <c r="D4607" s="78" t="str">
        <f t="shared" si="150"/>
        <v>https://portal.dnb.de/opac.htm?method=simpleSearch&amp;cqlMode=true&amp;query=idn%3D994669321</v>
      </c>
      <c r="E4607" s="74" t="s">
        <v>6721</v>
      </c>
      <c r="F4607" s="74"/>
      <c r="G4607" s="76"/>
      <c r="H4607" s="77"/>
      <c r="I4607" s="76"/>
      <c r="J4607" s="77"/>
      <c r="K4607" s="77"/>
      <c r="L4607" s="76"/>
      <c r="M4607" s="76"/>
      <c r="N4607" s="76"/>
      <c r="O4607" s="76"/>
      <c r="P4607" s="76"/>
      <c r="Q4607" s="76"/>
      <c r="R4607" s="76"/>
      <c r="S4607" s="76"/>
      <c r="BD4607" s="99">
        <f t="shared" si="149"/>
        <v>0</v>
      </c>
      <c r="CC4607" s="99"/>
      <c r="CV4607" s="99"/>
      <c r="CW4607" s="63"/>
    </row>
    <row r="4608" spans="1:101" x14ac:dyDescent="0.15">
      <c r="A4608" s="76">
        <v>4345</v>
      </c>
      <c r="B4608" s="74" t="s">
        <v>6722</v>
      </c>
      <c r="C4608" s="74">
        <v>999738895</v>
      </c>
      <c r="D4608" s="78" t="str">
        <f t="shared" si="150"/>
        <v>https://portal.dnb.de/opac.htm?method=simpleSearch&amp;cqlMode=true&amp;query=idn%3D999738895</v>
      </c>
      <c r="E4608" s="74" t="s">
        <v>6723</v>
      </c>
      <c r="F4608" s="74"/>
      <c r="G4608" s="76"/>
      <c r="H4608" s="77"/>
      <c r="I4608" s="76"/>
      <c r="J4608" s="77"/>
      <c r="K4608" s="77"/>
      <c r="L4608" s="76"/>
      <c r="M4608" s="76"/>
      <c r="N4608" s="76"/>
      <c r="O4608" s="76"/>
      <c r="P4608" s="76"/>
      <c r="Q4608" s="76"/>
      <c r="R4608" s="76"/>
      <c r="S4608" s="76"/>
      <c r="BD4608" s="99">
        <f t="shared" si="149"/>
        <v>0</v>
      </c>
      <c r="CC4608" s="99"/>
      <c r="CV4608" s="99"/>
      <c r="CW4608" s="63"/>
    </row>
    <row r="4609" spans="1:101" x14ac:dyDescent="0.15">
      <c r="A4609" s="76">
        <v>4346</v>
      </c>
      <c r="B4609" s="74" t="s">
        <v>6724</v>
      </c>
      <c r="C4609" s="74">
        <v>999739123</v>
      </c>
      <c r="D4609" s="78" t="str">
        <f t="shared" si="150"/>
        <v>https://portal.dnb.de/opac.htm?method=simpleSearch&amp;cqlMode=true&amp;query=idn%3D999739123</v>
      </c>
      <c r="E4609" s="74" t="s">
        <v>6723</v>
      </c>
      <c r="F4609" s="74"/>
      <c r="G4609" s="76"/>
      <c r="H4609" s="77"/>
      <c r="I4609" s="76"/>
      <c r="J4609" s="77"/>
      <c r="K4609" s="77"/>
      <c r="L4609" s="76"/>
      <c r="M4609" s="76"/>
      <c r="N4609" s="76"/>
      <c r="O4609" s="76"/>
      <c r="P4609" s="76"/>
      <c r="Q4609" s="76"/>
      <c r="R4609" s="76"/>
      <c r="S4609" s="76"/>
      <c r="BD4609" s="99">
        <f t="shared" si="149"/>
        <v>0</v>
      </c>
      <c r="CC4609" s="99"/>
      <c r="CV4609" s="99"/>
      <c r="CW4609" s="63"/>
    </row>
    <row r="4610" spans="1:101" x14ac:dyDescent="0.15">
      <c r="A4610" s="76">
        <v>4347</v>
      </c>
      <c r="B4610" s="74" t="s">
        <v>6728</v>
      </c>
      <c r="C4610" s="74">
        <v>994313225</v>
      </c>
      <c r="D4610" s="78" t="str">
        <f t="shared" si="150"/>
        <v>https://portal.dnb.de/opac.htm?method=simpleSearch&amp;cqlMode=true&amp;query=idn%3D994313225</v>
      </c>
      <c r="E4610" s="74" t="s">
        <v>6729</v>
      </c>
      <c r="F4610" s="74"/>
      <c r="G4610" s="76"/>
      <c r="H4610" s="77"/>
      <c r="I4610" s="76"/>
      <c r="J4610" s="77"/>
      <c r="K4610" s="77"/>
      <c r="L4610" s="76"/>
      <c r="M4610" s="76"/>
      <c r="N4610" s="76"/>
      <c r="O4610" s="76"/>
      <c r="P4610" s="76"/>
      <c r="Q4610" s="76"/>
      <c r="R4610" s="76"/>
      <c r="S4610" s="76"/>
      <c r="BD4610" s="99">
        <f t="shared" si="149"/>
        <v>0</v>
      </c>
      <c r="CC4610" s="99"/>
      <c r="CV4610" s="99"/>
      <c r="CW4610" s="63"/>
    </row>
    <row r="4611" spans="1:101" x14ac:dyDescent="0.15">
      <c r="A4611" s="76">
        <v>4348</v>
      </c>
      <c r="B4611" s="74" t="s">
        <v>6730</v>
      </c>
      <c r="C4611" s="74">
        <v>994834187</v>
      </c>
      <c r="D4611" s="78" t="str">
        <f t="shared" si="150"/>
        <v>https://portal.dnb.de/opac.htm?method=simpleSearch&amp;cqlMode=true&amp;query=idn%3D994834187</v>
      </c>
      <c r="E4611" s="74" t="s">
        <v>6729</v>
      </c>
      <c r="F4611" s="74"/>
      <c r="G4611" s="76"/>
      <c r="H4611" s="77"/>
      <c r="I4611" s="76"/>
      <c r="J4611" s="77"/>
      <c r="K4611" s="77"/>
      <c r="L4611" s="76"/>
      <c r="M4611" s="76"/>
      <c r="N4611" s="76"/>
      <c r="O4611" s="76"/>
      <c r="P4611" s="76"/>
      <c r="Q4611" s="76"/>
      <c r="R4611" s="76"/>
      <c r="S4611" s="76"/>
      <c r="BD4611" s="99">
        <f t="shared" ref="BD4611:BD4674" si="151">CC4611+CV4611</f>
        <v>0</v>
      </c>
      <c r="CC4611" s="99"/>
      <c r="CV4611" s="99"/>
      <c r="CW4611" s="63"/>
    </row>
    <row r="4612" spans="1:101" x14ac:dyDescent="0.15">
      <c r="A4612" s="76">
        <v>4349</v>
      </c>
      <c r="B4612" s="74" t="s">
        <v>6731</v>
      </c>
      <c r="C4612" s="74">
        <v>1132641071</v>
      </c>
      <c r="D4612" s="78" t="str">
        <f t="shared" si="150"/>
        <v>https://portal.dnb.de/opac.htm?method=simpleSearch&amp;cqlMode=true&amp;query=idn%3D1132641071</v>
      </c>
      <c r="E4612" s="74" t="s">
        <v>6732</v>
      </c>
      <c r="F4612" s="74"/>
      <c r="G4612" s="76"/>
      <c r="H4612" s="77"/>
      <c r="I4612" s="76"/>
      <c r="J4612" s="77"/>
      <c r="K4612" s="77"/>
      <c r="L4612" s="76"/>
      <c r="M4612" s="76"/>
      <c r="N4612" s="76"/>
      <c r="O4612" s="76"/>
      <c r="P4612" s="76"/>
      <c r="Q4612" s="76"/>
      <c r="R4612" s="76"/>
      <c r="S4612" s="76"/>
      <c r="BD4612" s="99">
        <f t="shared" si="151"/>
        <v>0</v>
      </c>
      <c r="CC4612" s="99"/>
      <c r="CV4612" s="99"/>
      <c r="CW4612" s="63"/>
    </row>
    <row r="4613" spans="1:101" x14ac:dyDescent="0.15">
      <c r="A4613" s="76">
        <v>4350</v>
      </c>
      <c r="B4613" s="74" t="s">
        <v>6733</v>
      </c>
      <c r="C4613" s="74">
        <v>994523505</v>
      </c>
      <c r="D4613" s="78" t="str">
        <f t="shared" si="150"/>
        <v>https://portal.dnb.de/opac.htm?method=simpleSearch&amp;cqlMode=true&amp;query=idn%3D994523505</v>
      </c>
      <c r="E4613" s="74" t="s">
        <v>6734</v>
      </c>
      <c r="F4613" s="74"/>
      <c r="G4613" s="76"/>
      <c r="H4613" s="77"/>
      <c r="I4613" s="76"/>
      <c r="J4613" s="77"/>
      <c r="K4613" s="77"/>
      <c r="L4613" s="76"/>
      <c r="M4613" s="76"/>
      <c r="N4613" s="76"/>
      <c r="O4613" s="76"/>
      <c r="P4613" s="76"/>
      <c r="Q4613" s="76"/>
      <c r="R4613" s="76"/>
      <c r="S4613" s="76"/>
      <c r="BD4613" s="99">
        <f t="shared" si="151"/>
        <v>0</v>
      </c>
      <c r="CC4613" s="99"/>
      <c r="CV4613" s="99"/>
      <c r="CW4613" s="63"/>
    </row>
    <row r="4614" spans="1:101" x14ac:dyDescent="0.15">
      <c r="A4614" s="76">
        <v>4351</v>
      </c>
      <c r="B4614" s="74" t="s">
        <v>6735</v>
      </c>
      <c r="C4614" s="74">
        <v>1002729858</v>
      </c>
      <c r="D4614" s="78" t="str">
        <f t="shared" si="150"/>
        <v>https://portal.dnb.de/opac.htm?method=simpleSearch&amp;cqlMode=true&amp;query=idn%3D1002729858</v>
      </c>
      <c r="E4614" s="74" t="s">
        <v>6736</v>
      </c>
      <c r="F4614" s="74"/>
      <c r="G4614" s="76"/>
      <c r="H4614" s="77"/>
      <c r="I4614" s="76"/>
      <c r="J4614" s="77"/>
      <c r="K4614" s="77"/>
      <c r="L4614" s="76"/>
      <c r="M4614" s="76"/>
      <c r="N4614" s="76"/>
      <c r="O4614" s="76"/>
      <c r="P4614" s="76"/>
      <c r="Q4614" s="76"/>
      <c r="R4614" s="76"/>
      <c r="S4614" s="76"/>
      <c r="BD4614" s="99">
        <f t="shared" si="151"/>
        <v>0</v>
      </c>
      <c r="CC4614" s="99"/>
      <c r="CV4614" s="99"/>
      <c r="CW4614" s="63"/>
    </row>
    <row r="4615" spans="1:101" x14ac:dyDescent="0.15">
      <c r="A4615" s="76">
        <v>4352</v>
      </c>
      <c r="B4615" s="74" t="s">
        <v>6737</v>
      </c>
      <c r="C4615" s="74">
        <v>575617349</v>
      </c>
      <c r="D4615" s="78" t="str">
        <f t="shared" si="150"/>
        <v>https://portal.dnb.de/opac.htm?method=simpleSearch&amp;cqlMode=true&amp;query=idn%3D575617349</v>
      </c>
      <c r="E4615" s="74" t="s">
        <v>6738</v>
      </c>
      <c r="F4615" s="74"/>
      <c r="G4615" s="76"/>
      <c r="H4615" s="77"/>
      <c r="I4615" s="76"/>
      <c r="J4615" s="77"/>
      <c r="K4615" s="77"/>
      <c r="L4615" s="76"/>
      <c r="M4615" s="76"/>
      <c r="N4615" s="76"/>
      <c r="O4615" s="76"/>
      <c r="P4615" s="76"/>
      <c r="Q4615" s="76"/>
      <c r="R4615" s="76"/>
      <c r="S4615" s="76"/>
      <c r="BD4615" s="99">
        <f t="shared" si="151"/>
        <v>0</v>
      </c>
      <c r="CC4615" s="99"/>
      <c r="CV4615" s="99"/>
      <c r="CW4615" s="63"/>
    </row>
    <row r="4616" spans="1:101" x14ac:dyDescent="0.15">
      <c r="A4616" s="76">
        <v>4353</v>
      </c>
      <c r="B4616" s="74" t="s">
        <v>6741</v>
      </c>
      <c r="C4616" s="74">
        <v>995690146</v>
      </c>
      <c r="D4616" s="78" t="str">
        <f t="shared" si="150"/>
        <v>https://portal.dnb.de/opac.htm?method=simpleSearch&amp;cqlMode=true&amp;query=idn%3D995690146</v>
      </c>
      <c r="E4616" s="74" t="s">
        <v>6742</v>
      </c>
      <c r="F4616" s="74"/>
      <c r="G4616" s="76"/>
      <c r="H4616" s="77"/>
      <c r="I4616" s="76"/>
      <c r="J4616" s="77"/>
      <c r="K4616" s="77"/>
      <c r="L4616" s="76"/>
      <c r="M4616" s="76"/>
      <c r="N4616" s="76"/>
      <c r="O4616" s="76"/>
      <c r="P4616" s="76"/>
      <c r="Q4616" s="76"/>
      <c r="R4616" s="76"/>
      <c r="S4616" s="76"/>
      <c r="BD4616" s="99">
        <f t="shared" si="151"/>
        <v>0</v>
      </c>
      <c r="CC4616" s="99"/>
      <c r="CV4616" s="99"/>
      <c r="CW4616" s="63"/>
    </row>
    <row r="4617" spans="1:101" x14ac:dyDescent="0.15">
      <c r="A4617" s="76">
        <v>4354</v>
      </c>
      <c r="B4617" s="74" t="s">
        <v>6743</v>
      </c>
      <c r="C4617" s="74">
        <v>999010786</v>
      </c>
      <c r="D4617" s="78" t="str">
        <f t="shared" si="150"/>
        <v>https://portal.dnb.de/opac.htm?method=simpleSearch&amp;cqlMode=true&amp;query=idn%3D999010786</v>
      </c>
      <c r="E4617" s="74" t="s">
        <v>6744</v>
      </c>
      <c r="F4617" s="74"/>
      <c r="G4617" s="76"/>
      <c r="H4617" s="77"/>
      <c r="I4617" s="76"/>
      <c r="J4617" s="77"/>
      <c r="K4617" s="77"/>
      <c r="L4617" s="76"/>
      <c r="M4617" s="76"/>
      <c r="N4617" s="76"/>
      <c r="O4617" s="76"/>
      <c r="P4617" s="76"/>
      <c r="Q4617" s="76"/>
      <c r="R4617" s="76"/>
      <c r="S4617" s="76"/>
      <c r="BD4617" s="99">
        <f t="shared" si="151"/>
        <v>0</v>
      </c>
      <c r="CC4617" s="99"/>
      <c r="CV4617" s="99"/>
      <c r="CW4617" s="63"/>
    </row>
    <row r="4618" spans="1:101" x14ac:dyDescent="0.15">
      <c r="A4618" s="76">
        <v>4355</v>
      </c>
      <c r="B4618" s="74" t="s">
        <v>6745</v>
      </c>
      <c r="C4618" s="74">
        <v>999738178</v>
      </c>
      <c r="D4618" s="78" t="str">
        <f t="shared" si="150"/>
        <v>https://portal.dnb.de/opac.htm?method=simpleSearch&amp;cqlMode=true&amp;query=idn%3D999738178</v>
      </c>
      <c r="E4618" s="74" t="s">
        <v>6746</v>
      </c>
      <c r="F4618" s="74"/>
      <c r="G4618" s="76"/>
      <c r="H4618" s="77"/>
      <c r="I4618" s="76"/>
      <c r="J4618" s="77"/>
      <c r="K4618" s="77"/>
      <c r="L4618" s="76"/>
      <c r="M4618" s="76"/>
      <c r="N4618" s="76"/>
      <c r="O4618" s="76"/>
      <c r="P4618" s="76"/>
      <c r="Q4618" s="76"/>
      <c r="R4618" s="76"/>
      <c r="S4618" s="76"/>
      <c r="BD4618" s="99">
        <f t="shared" si="151"/>
        <v>0</v>
      </c>
      <c r="CC4618" s="99"/>
      <c r="CV4618" s="99"/>
      <c r="CW4618" s="63"/>
    </row>
    <row r="4619" spans="1:101" x14ac:dyDescent="0.15">
      <c r="A4619" s="76">
        <v>4356</v>
      </c>
      <c r="B4619" s="74" t="s">
        <v>6747</v>
      </c>
      <c r="C4619" s="74">
        <v>995001634</v>
      </c>
      <c r="D4619" s="78" t="str">
        <f t="shared" si="150"/>
        <v>https://portal.dnb.de/opac.htm?method=simpleSearch&amp;cqlMode=true&amp;query=idn%3D995001634</v>
      </c>
      <c r="E4619" s="74" t="s">
        <v>6746</v>
      </c>
      <c r="F4619" s="74"/>
      <c r="G4619" s="76"/>
      <c r="H4619" s="77"/>
      <c r="I4619" s="76"/>
      <c r="J4619" s="77"/>
      <c r="K4619" s="77"/>
      <c r="L4619" s="76"/>
      <c r="M4619" s="76"/>
      <c r="N4619" s="76"/>
      <c r="O4619" s="76"/>
      <c r="P4619" s="76"/>
      <c r="Q4619" s="76"/>
      <c r="R4619" s="76"/>
      <c r="S4619" s="76"/>
      <c r="BD4619" s="99">
        <f t="shared" si="151"/>
        <v>0</v>
      </c>
      <c r="CC4619" s="99"/>
      <c r="CV4619" s="99"/>
      <c r="CW4619" s="63"/>
    </row>
    <row r="4620" spans="1:101" x14ac:dyDescent="0.15">
      <c r="A4620" s="76">
        <v>4357</v>
      </c>
      <c r="B4620" s="74" t="s">
        <v>6751</v>
      </c>
      <c r="C4620" s="74">
        <v>1000045129</v>
      </c>
      <c r="D4620" s="78" t="str">
        <f t="shared" si="150"/>
        <v>https://portal.dnb.de/opac.htm?method=simpleSearch&amp;cqlMode=true&amp;query=idn%3D1000045129</v>
      </c>
      <c r="E4620" s="74" t="s">
        <v>6752</v>
      </c>
      <c r="F4620" s="74"/>
      <c r="G4620" s="76"/>
      <c r="H4620" s="77"/>
      <c r="I4620" s="76"/>
      <c r="J4620" s="77"/>
      <c r="K4620" s="77"/>
      <c r="L4620" s="76"/>
      <c r="M4620" s="76"/>
      <c r="N4620" s="76"/>
      <c r="O4620" s="76"/>
      <c r="P4620" s="76"/>
      <c r="Q4620" s="76"/>
      <c r="R4620" s="76"/>
      <c r="S4620" s="76"/>
      <c r="BD4620" s="99">
        <f t="shared" si="151"/>
        <v>0</v>
      </c>
      <c r="CC4620" s="99"/>
      <c r="CV4620" s="99"/>
      <c r="CW4620" s="63"/>
    </row>
    <row r="4621" spans="1:101" x14ac:dyDescent="0.15">
      <c r="A4621" s="76">
        <v>4358</v>
      </c>
      <c r="B4621" s="74" t="s">
        <v>6753</v>
      </c>
      <c r="C4621" s="74">
        <v>1000045188</v>
      </c>
      <c r="D4621" s="78" t="str">
        <f t="shared" si="150"/>
        <v>https://portal.dnb.de/opac.htm?method=simpleSearch&amp;cqlMode=true&amp;query=idn%3D1000045188</v>
      </c>
      <c r="E4621" s="74" t="s">
        <v>6752</v>
      </c>
      <c r="F4621" s="74"/>
      <c r="G4621" s="76"/>
      <c r="H4621" s="77"/>
      <c r="I4621" s="76"/>
      <c r="J4621" s="77"/>
      <c r="K4621" s="77"/>
      <c r="L4621" s="76"/>
      <c r="M4621" s="76"/>
      <c r="N4621" s="76"/>
      <c r="O4621" s="76"/>
      <c r="P4621" s="76"/>
      <c r="Q4621" s="76"/>
      <c r="R4621" s="76"/>
      <c r="S4621" s="76"/>
      <c r="BD4621" s="99">
        <f t="shared" si="151"/>
        <v>0</v>
      </c>
      <c r="CC4621" s="99"/>
      <c r="CV4621" s="99"/>
      <c r="CW4621" s="63"/>
    </row>
    <row r="4622" spans="1:101" ht="45" x14ac:dyDescent="0.15">
      <c r="A4622" s="76">
        <v>4359</v>
      </c>
      <c r="B4622" s="74" t="s">
        <v>6754</v>
      </c>
      <c r="C4622" s="74">
        <v>1066675082</v>
      </c>
      <c r="D4622" s="78" t="str">
        <f t="shared" si="150"/>
        <v>https://portal.dnb.de/opac.htm?method=simpleSearch&amp;cqlMode=true&amp;query=idn%3D1066675082</v>
      </c>
      <c r="E4622" s="74" t="s">
        <v>6755</v>
      </c>
      <c r="F4622" s="74"/>
      <c r="G4622" s="76"/>
      <c r="H4622" s="77"/>
      <c r="I4622" s="76" t="s">
        <v>53</v>
      </c>
      <c r="J4622" s="77"/>
      <c r="K4622" s="77"/>
      <c r="L4622" s="76"/>
      <c r="M4622" s="76"/>
      <c r="N4622" s="76"/>
      <c r="O4622" s="76"/>
      <c r="P4622" s="76"/>
      <c r="Q4622" s="76"/>
      <c r="R4622" s="76"/>
      <c r="S4622" s="76"/>
      <c r="Y4622" s="95" t="s">
        <v>9723</v>
      </c>
      <c r="AC4622" s="95" t="s">
        <v>9739</v>
      </c>
      <c r="AI4622" s="95" t="s">
        <v>9725</v>
      </c>
      <c r="AW4622" s="95">
        <v>80</v>
      </c>
      <c r="BC4622" s="96" t="s">
        <v>9726</v>
      </c>
      <c r="BD4622" s="99">
        <f t="shared" si="151"/>
        <v>5.5</v>
      </c>
      <c r="BH4622" s="95" t="s">
        <v>8541</v>
      </c>
      <c r="BP4622" s="69" t="s">
        <v>8541</v>
      </c>
      <c r="BQ4622" s="95" t="s">
        <v>8541</v>
      </c>
      <c r="BR4622" s="95" t="s">
        <v>8541</v>
      </c>
      <c r="CC4622" s="99">
        <v>4.5</v>
      </c>
      <c r="CD4622" s="90" t="s">
        <v>10308</v>
      </c>
      <c r="CH4622" s="95" t="s">
        <v>8541</v>
      </c>
      <c r="CI4622" s="95" t="s">
        <v>8541</v>
      </c>
      <c r="CV4622" s="99">
        <v>1</v>
      </c>
      <c r="CW4622" s="90" t="s">
        <v>10309</v>
      </c>
    </row>
    <row r="4623" spans="1:101" x14ac:dyDescent="0.15">
      <c r="A4623" s="76">
        <v>4360</v>
      </c>
      <c r="B4623" s="74" t="s">
        <v>6780</v>
      </c>
      <c r="C4623" s="74">
        <v>1132657288</v>
      </c>
      <c r="D4623" s="78" t="str">
        <f t="shared" si="150"/>
        <v>https://portal.dnb.de/opac.htm?method=simpleSearch&amp;cqlMode=true&amp;query=idn%3D1132657288</v>
      </c>
      <c r="E4623" s="74" t="s">
        <v>6781</v>
      </c>
      <c r="F4623" s="74"/>
      <c r="G4623" s="76"/>
      <c r="H4623" s="77"/>
      <c r="I4623" s="76"/>
      <c r="J4623" s="77"/>
      <c r="K4623" s="77"/>
      <c r="L4623" s="76"/>
      <c r="M4623" s="76"/>
      <c r="N4623" s="76"/>
      <c r="O4623" s="76"/>
      <c r="P4623" s="76"/>
      <c r="Q4623" s="76"/>
      <c r="R4623" s="76"/>
      <c r="S4623" s="76"/>
      <c r="BD4623" s="99">
        <f t="shared" si="151"/>
        <v>0</v>
      </c>
      <c r="CC4623" s="99"/>
      <c r="CV4623" s="99"/>
      <c r="CW4623" s="63"/>
    </row>
    <row r="4624" spans="1:101" x14ac:dyDescent="0.15">
      <c r="A4624" s="76">
        <v>4361</v>
      </c>
      <c r="B4624" s="74" t="s">
        <v>6715</v>
      </c>
      <c r="C4624" s="74">
        <v>994508301</v>
      </c>
      <c r="D4624" s="78" t="str">
        <f t="shared" si="150"/>
        <v>https://portal.dnb.de/opac.htm?method=simpleSearch&amp;cqlMode=true&amp;query=idn%3D994508301</v>
      </c>
      <c r="E4624" s="74" t="s">
        <v>6716</v>
      </c>
      <c r="F4624" s="74"/>
      <c r="G4624" s="76"/>
      <c r="H4624" s="77"/>
      <c r="I4624" s="76"/>
      <c r="J4624" s="77"/>
      <c r="K4624" s="77"/>
      <c r="L4624" s="76"/>
      <c r="M4624" s="76"/>
      <c r="N4624" s="76"/>
      <c r="O4624" s="76"/>
      <c r="P4624" s="76"/>
      <c r="Q4624" s="76"/>
      <c r="R4624" s="76"/>
      <c r="S4624" s="76"/>
      <c r="BD4624" s="99">
        <f t="shared" si="151"/>
        <v>0</v>
      </c>
      <c r="CC4624" s="99"/>
      <c r="CV4624" s="99"/>
      <c r="CW4624" s="63"/>
    </row>
    <row r="4625" spans="1:101" x14ac:dyDescent="0.15">
      <c r="A4625" s="76">
        <v>4362</v>
      </c>
      <c r="B4625" s="74" t="s">
        <v>6739</v>
      </c>
      <c r="C4625" s="74">
        <v>995628416</v>
      </c>
      <c r="D4625" s="78" t="str">
        <f t="shared" si="150"/>
        <v>https://portal.dnb.de/opac.htm?method=simpleSearch&amp;cqlMode=true&amp;query=idn%3D995628416</v>
      </c>
      <c r="E4625" s="74" t="s">
        <v>6740</v>
      </c>
      <c r="F4625" s="74"/>
      <c r="G4625" s="76"/>
      <c r="H4625" s="77"/>
      <c r="I4625" s="76"/>
      <c r="J4625" s="77"/>
      <c r="K4625" s="77"/>
      <c r="L4625" s="76"/>
      <c r="M4625" s="76"/>
      <c r="N4625" s="76"/>
      <c r="O4625" s="76"/>
      <c r="P4625" s="76"/>
      <c r="Q4625" s="76"/>
      <c r="R4625" s="76"/>
      <c r="S4625" s="76"/>
      <c r="BD4625" s="99">
        <f t="shared" si="151"/>
        <v>0</v>
      </c>
      <c r="CC4625" s="99"/>
      <c r="CV4625" s="99"/>
      <c r="CW4625" s="63"/>
    </row>
    <row r="4626" spans="1:101" x14ac:dyDescent="0.15">
      <c r="A4626" s="76">
        <v>4363</v>
      </c>
      <c r="B4626" s="74" t="s">
        <v>6748</v>
      </c>
      <c r="C4626" s="74" t="s">
        <v>6749</v>
      </c>
      <c r="D4626" s="78" t="str">
        <f t="shared" si="150"/>
        <v>https://portal.dnb.de/opac.htm?method=simpleSearch&amp;cqlMode=true&amp;query=idn%3D99454328X</v>
      </c>
      <c r="E4626" s="74" t="s">
        <v>6750</v>
      </c>
      <c r="F4626" s="74"/>
      <c r="G4626" s="76"/>
      <c r="H4626" s="77"/>
      <c r="I4626" s="76"/>
      <c r="J4626" s="77"/>
      <c r="K4626" s="77"/>
      <c r="L4626" s="76"/>
      <c r="M4626" s="76"/>
      <c r="N4626" s="76"/>
      <c r="O4626" s="76"/>
      <c r="P4626" s="76"/>
      <c r="Q4626" s="76"/>
      <c r="R4626" s="76"/>
      <c r="S4626" s="76"/>
      <c r="BD4626" s="99">
        <f t="shared" si="151"/>
        <v>0</v>
      </c>
      <c r="CC4626" s="99"/>
      <c r="CV4626" s="99"/>
      <c r="CW4626" s="63"/>
    </row>
    <row r="4627" spans="1:101" x14ac:dyDescent="0.15">
      <c r="A4627" s="76">
        <v>4364</v>
      </c>
      <c r="B4627" s="74" t="s">
        <v>6764</v>
      </c>
      <c r="C4627" s="74">
        <v>1000169766</v>
      </c>
      <c r="D4627" s="78" t="str">
        <f t="shared" si="150"/>
        <v>https://portal.dnb.de/opac.htm?method=simpleSearch&amp;cqlMode=true&amp;query=idn%3D1000169766</v>
      </c>
      <c r="E4627" s="74" t="s">
        <v>6765</v>
      </c>
      <c r="F4627" s="74"/>
      <c r="G4627" s="76"/>
      <c r="H4627" s="77"/>
      <c r="I4627" s="76"/>
      <c r="J4627" s="77"/>
      <c r="K4627" s="77"/>
      <c r="L4627" s="76"/>
      <c r="M4627" s="76"/>
      <c r="N4627" s="76"/>
      <c r="O4627" s="76"/>
      <c r="P4627" s="76"/>
      <c r="Q4627" s="76"/>
      <c r="R4627" s="76"/>
      <c r="S4627" s="76"/>
      <c r="BD4627" s="99">
        <f t="shared" si="151"/>
        <v>0</v>
      </c>
      <c r="CC4627" s="99"/>
      <c r="CV4627" s="99"/>
      <c r="CW4627" s="63"/>
    </row>
    <row r="4628" spans="1:101" x14ac:dyDescent="0.15">
      <c r="A4628" s="76">
        <v>4365</v>
      </c>
      <c r="B4628" s="74" t="s">
        <v>6782</v>
      </c>
      <c r="C4628" s="74">
        <v>1210519836</v>
      </c>
      <c r="D4628" s="78" t="str">
        <f t="shared" si="150"/>
        <v>https://portal.dnb.de/opac.htm?method=simpleSearch&amp;cqlMode=true&amp;query=idn%3D1210519836</v>
      </c>
      <c r="E4628" s="74" t="s">
        <v>6783</v>
      </c>
      <c r="F4628" s="74"/>
      <c r="G4628" s="76"/>
      <c r="H4628" s="77"/>
      <c r="I4628" s="76"/>
      <c r="J4628" s="77"/>
      <c r="K4628" s="77"/>
      <c r="L4628" s="76"/>
      <c r="M4628" s="76"/>
      <c r="N4628" s="76"/>
      <c r="O4628" s="76"/>
      <c r="P4628" s="76"/>
      <c r="Q4628" s="76"/>
      <c r="R4628" s="76"/>
      <c r="S4628" s="76"/>
      <c r="BD4628" s="99">
        <f t="shared" si="151"/>
        <v>0</v>
      </c>
      <c r="CC4628" s="99"/>
      <c r="CV4628" s="99"/>
      <c r="CW4628" s="63"/>
    </row>
    <row r="4629" spans="1:101" x14ac:dyDescent="0.15">
      <c r="A4629" s="76">
        <v>4366</v>
      </c>
      <c r="B4629" s="74" t="s">
        <v>6788</v>
      </c>
      <c r="C4629" s="74">
        <v>998391972</v>
      </c>
      <c r="D4629" s="78" t="str">
        <f t="shared" si="150"/>
        <v>https://portal.dnb.de/opac.htm?method=simpleSearch&amp;cqlMode=true&amp;query=idn%3D998391972</v>
      </c>
      <c r="E4629" s="74" t="s">
        <v>6789</v>
      </c>
      <c r="F4629" s="74"/>
      <c r="G4629" s="76"/>
      <c r="H4629" s="77"/>
      <c r="I4629" s="76"/>
      <c r="J4629" s="77"/>
      <c r="K4629" s="77"/>
      <c r="L4629" s="76"/>
      <c r="M4629" s="76"/>
      <c r="N4629" s="76"/>
      <c r="O4629" s="76"/>
      <c r="P4629" s="76"/>
      <c r="Q4629" s="76"/>
      <c r="R4629" s="76"/>
      <c r="S4629" s="76"/>
      <c r="BD4629" s="99">
        <f t="shared" si="151"/>
        <v>0</v>
      </c>
      <c r="CC4629" s="99"/>
      <c r="CV4629" s="99"/>
      <c r="CW4629" s="63"/>
    </row>
    <row r="4630" spans="1:101" x14ac:dyDescent="0.15">
      <c r="A4630" s="76">
        <v>4367</v>
      </c>
      <c r="B4630" s="74" t="s">
        <v>6790</v>
      </c>
      <c r="C4630" s="74">
        <v>1000787559</v>
      </c>
      <c r="D4630" s="78" t="str">
        <f t="shared" si="150"/>
        <v>https://portal.dnb.de/opac.htm?method=simpleSearch&amp;cqlMode=true&amp;query=idn%3D1000787559</v>
      </c>
      <c r="E4630" s="74" t="s">
        <v>6791</v>
      </c>
      <c r="F4630" s="74"/>
      <c r="G4630" s="76"/>
      <c r="H4630" s="77"/>
      <c r="I4630" s="76"/>
      <c r="J4630" s="77"/>
      <c r="K4630" s="77"/>
      <c r="L4630" s="76"/>
      <c r="M4630" s="76"/>
      <c r="N4630" s="76"/>
      <c r="O4630" s="76"/>
      <c r="P4630" s="76"/>
      <c r="Q4630" s="76"/>
      <c r="R4630" s="76"/>
      <c r="S4630" s="76"/>
      <c r="BD4630" s="99">
        <f t="shared" si="151"/>
        <v>0</v>
      </c>
      <c r="CC4630" s="99"/>
      <c r="CV4630" s="99"/>
      <c r="CW4630" s="63"/>
    </row>
    <row r="4631" spans="1:101" x14ac:dyDescent="0.15">
      <c r="A4631" s="76">
        <v>4368</v>
      </c>
      <c r="B4631" s="74" t="s">
        <v>6792</v>
      </c>
      <c r="C4631" s="74">
        <v>1002235383</v>
      </c>
      <c r="D4631" s="78" t="str">
        <f t="shared" si="150"/>
        <v>https://portal.dnb.de/opac.htm?method=simpleSearch&amp;cqlMode=true&amp;query=idn%3D1002235383</v>
      </c>
      <c r="E4631" s="74" t="s">
        <v>6793</v>
      </c>
      <c r="F4631" s="74"/>
      <c r="G4631" s="76"/>
      <c r="H4631" s="77"/>
      <c r="I4631" s="76"/>
      <c r="J4631" s="77"/>
      <c r="K4631" s="77"/>
      <c r="L4631" s="76"/>
      <c r="M4631" s="76"/>
      <c r="N4631" s="76"/>
      <c r="O4631" s="76"/>
      <c r="P4631" s="76"/>
      <c r="Q4631" s="76"/>
      <c r="R4631" s="76"/>
      <c r="S4631" s="76"/>
      <c r="BD4631" s="99">
        <f t="shared" si="151"/>
        <v>0</v>
      </c>
      <c r="CC4631" s="99"/>
      <c r="CV4631" s="99"/>
      <c r="CW4631" s="63"/>
    </row>
    <row r="4632" spans="1:101" x14ac:dyDescent="0.15">
      <c r="A4632" s="76">
        <v>4369</v>
      </c>
      <c r="B4632" s="74" t="s">
        <v>6794</v>
      </c>
      <c r="C4632" s="74">
        <v>1002234662</v>
      </c>
      <c r="D4632" s="78" t="str">
        <f t="shared" si="150"/>
        <v>https://portal.dnb.de/opac.htm?method=simpleSearch&amp;cqlMode=true&amp;query=idn%3D1002234662</v>
      </c>
      <c r="E4632" s="74" t="s">
        <v>6795</v>
      </c>
      <c r="F4632" s="74"/>
      <c r="G4632" s="76"/>
      <c r="H4632" s="77"/>
      <c r="I4632" s="76"/>
      <c r="J4632" s="77"/>
      <c r="K4632" s="77"/>
      <c r="L4632" s="76"/>
      <c r="M4632" s="76"/>
      <c r="N4632" s="76"/>
      <c r="O4632" s="76"/>
      <c r="P4632" s="76"/>
      <c r="Q4632" s="76"/>
      <c r="R4632" s="76"/>
      <c r="S4632" s="76"/>
      <c r="BD4632" s="99">
        <f t="shared" si="151"/>
        <v>0</v>
      </c>
      <c r="CC4632" s="99"/>
      <c r="CV4632" s="99"/>
      <c r="CW4632" s="63"/>
    </row>
    <row r="4633" spans="1:101" x14ac:dyDescent="0.15">
      <c r="A4633" s="76">
        <v>4370</v>
      </c>
      <c r="B4633" s="74" t="s">
        <v>6796</v>
      </c>
      <c r="C4633" s="74">
        <v>1066938458</v>
      </c>
      <c r="D4633" s="78" t="str">
        <f t="shared" si="150"/>
        <v>https://portal.dnb.de/opac.htm?method=simpleSearch&amp;cqlMode=true&amp;query=idn%3D1066938458</v>
      </c>
      <c r="E4633" s="74" t="s">
        <v>6797</v>
      </c>
      <c r="F4633" s="74"/>
      <c r="G4633" s="76"/>
      <c r="H4633" s="77"/>
      <c r="I4633" s="76"/>
      <c r="J4633" s="77"/>
      <c r="K4633" s="77"/>
      <c r="L4633" s="76"/>
      <c r="M4633" s="76"/>
      <c r="N4633" s="76"/>
      <c r="O4633" s="76"/>
      <c r="P4633" s="76"/>
      <c r="Q4633" s="76"/>
      <c r="R4633" s="76"/>
      <c r="S4633" s="76"/>
      <c r="BD4633" s="99">
        <f t="shared" si="151"/>
        <v>0</v>
      </c>
      <c r="CC4633" s="99"/>
      <c r="CV4633" s="99"/>
      <c r="CW4633" s="63"/>
    </row>
    <row r="4634" spans="1:101" x14ac:dyDescent="0.15">
      <c r="A4634" s="76">
        <v>4371</v>
      </c>
      <c r="B4634" s="74" t="s">
        <v>6800</v>
      </c>
      <c r="C4634" s="74">
        <v>1066880352</v>
      </c>
      <c r="D4634" s="78" t="str">
        <f t="shared" si="150"/>
        <v>https://portal.dnb.de/opac.htm?method=simpleSearch&amp;cqlMode=true&amp;query=idn%3D1066880352</v>
      </c>
      <c r="E4634" s="74" t="s">
        <v>6801</v>
      </c>
      <c r="F4634" s="74"/>
      <c r="G4634" s="76"/>
      <c r="H4634" s="77"/>
      <c r="I4634" s="76"/>
      <c r="J4634" s="77"/>
      <c r="K4634" s="77"/>
      <c r="L4634" s="76"/>
      <c r="M4634" s="76"/>
      <c r="N4634" s="76"/>
      <c r="O4634" s="76"/>
      <c r="P4634" s="76"/>
      <c r="Q4634" s="76"/>
      <c r="R4634" s="76"/>
      <c r="S4634" s="76"/>
      <c r="BD4634" s="99">
        <f t="shared" si="151"/>
        <v>0</v>
      </c>
      <c r="CC4634" s="99"/>
      <c r="CV4634" s="99"/>
      <c r="CW4634" s="63"/>
    </row>
    <row r="4635" spans="1:101" x14ac:dyDescent="0.15">
      <c r="A4635" s="76">
        <v>4372</v>
      </c>
      <c r="B4635" s="74" t="s">
        <v>6802</v>
      </c>
      <c r="C4635" s="74">
        <v>1132655129</v>
      </c>
      <c r="D4635" s="78" t="str">
        <f t="shared" si="150"/>
        <v>https://portal.dnb.de/opac.htm?method=simpleSearch&amp;cqlMode=true&amp;query=idn%3D1132655129</v>
      </c>
      <c r="E4635" s="74" t="s">
        <v>6803</v>
      </c>
      <c r="F4635" s="74"/>
      <c r="G4635" s="76"/>
      <c r="H4635" s="77"/>
      <c r="I4635" s="76"/>
      <c r="J4635" s="77"/>
      <c r="K4635" s="77"/>
      <c r="L4635" s="76"/>
      <c r="M4635" s="76"/>
      <c r="N4635" s="76"/>
      <c r="O4635" s="76"/>
      <c r="P4635" s="76"/>
      <c r="Q4635" s="76"/>
      <c r="R4635" s="76"/>
      <c r="S4635" s="76"/>
      <c r="BD4635" s="99">
        <f t="shared" si="151"/>
        <v>0</v>
      </c>
      <c r="CC4635" s="99"/>
      <c r="CV4635" s="99"/>
      <c r="CW4635" s="63"/>
    </row>
    <row r="4636" spans="1:101" x14ac:dyDescent="0.15">
      <c r="A4636" s="76">
        <v>4373</v>
      </c>
      <c r="B4636" s="74" t="s">
        <v>6804</v>
      </c>
      <c r="C4636" s="74">
        <v>1132655137</v>
      </c>
      <c r="D4636" s="78" t="str">
        <f t="shared" si="150"/>
        <v>https://portal.dnb.de/opac.htm?method=simpleSearch&amp;cqlMode=true&amp;query=idn%3D1132655137</v>
      </c>
      <c r="E4636" s="74" t="s">
        <v>6803</v>
      </c>
      <c r="F4636" s="74"/>
      <c r="G4636" s="76"/>
      <c r="H4636" s="77"/>
      <c r="I4636" s="76"/>
      <c r="J4636" s="77"/>
      <c r="K4636" s="77"/>
      <c r="L4636" s="76"/>
      <c r="M4636" s="76"/>
      <c r="N4636" s="76"/>
      <c r="O4636" s="76"/>
      <c r="P4636" s="76"/>
      <c r="Q4636" s="76"/>
      <c r="R4636" s="76"/>
      <c r="S4636" s="76"/>
      <c r="BD4636" s="99">
        <f t="shared" si="151"/>
        <v>0</v>
      </c>
      <c r="CC4636" s="99"/>
      <c r="CV4636" s="99"/>
      <c r="CW4636" s="63"/>
    </row>
    <row r="4637" spans="1:101" x14ac:dyDescent="0.15">
      <c r="A4637" s="76">
        <v>4374</v>
      </c>
      <c r="B4637" s="74" t="s">
        <v>6805</v>
      </c>
      <c r="C4637" s="74">
        <v>993943306</v>
      </c>
      <c r="D4637" s="78" t="str">
        <f t="shared" si="150"/>
        <v>https://portal.dnb.de/opac.htm?method=simpleSearch&amp;cqlMode=true&amp;query=idn%3D993943306</v>
      </c>
      <c r="E4637" s="74" t="s">
        <v>6806</v>
      </c>
      <c r="F4637" s="74"/>
      <c r="G4637" s="76"/>
      <c r="H4637" s="77"/>
      <c r="I4637" s="76"/>
      <c r="J4637" s="77"/>
      <c r="K4637" s="77"/>
      <c r="L4637" s="76"/>
      <c r="M4637" s="76"/>
      <c r="N4637" s="76"/>
      <c r="O4637" s="76"/>
      <c r="P4637" s="76"/>
      <c r="Q4637" s="76"/>
      <c r="R4637" s="76"/>
      <c r="S4637" s="76"/>
      <c r="BD4637" s="99">
        <f t="shared" si="151"/>
        <v>0</v>
      </c>
      <c r="CC4637" s="99"/>
      <c r="CV4637" s="99"/>
      <c r="CW4637" s="63"/>
    </row>
    <row r="4638" spans="1:101" x14ac:dyDescent="0.15">
      <c r="A4638" s="76">
        <v>4375</v>
      </c>
      <c r="B4638" s="74" t="s">
        <v>6807</v>
      </c>
      <c r="C4638" s="74">
        <v>993943276</v>
      </c>
      <c r="D4638" s="78" t="str">
        <f t="shared" si="150"/>
        <v>https://portal.dnb.de/opac.htm?method=simpleSearch&amp;cqlMode=true&amp;query=idn%3D993943276</v>
      </c>
      <c r="E4638" s="74" t="s">
        <v>6806</v>
      </c>
      <c r="F4638" s="74"/>
      <c r="G4638" s="76"/>
      <c r="H4638" s="77"/>
      <c r="I4638" s="76"/>
      <c r="J4638" s="77"/>
      <c r="K4638" s="77"/>
      <c r="L4638" s="76"/>
      <c r="M4638" s="76"/>
      <c r="N4638" s="76"/>
      <c r="O4638" s="76"/>
      <c r="P4638" s="76"/>
      <c r="Q4638" s="76"/>
      <c r="R4638" s="76"/>
      <c r="S4638" s="76"/>
      <c r="BD4638" s="99">
        <f t="shared" si="151"/>
        <v>0</v>
      </c>
      <c r="CC4638" s="99"/>
      <c r="CV4638" s="99"/>
      <c r="CW4638" s="63"/>
    </row>
    <row r="4639" spans="1:101" x14ac:dyDescent="0.15">
      <c r="A4639" s="76">
        <v>4376</v>
      </c>
      <c r="B4639" s="74" t="s">
        <v>6808</v>
      </c>
      <c r="C4639" s="74">
        <v>1002783496</v>
      </c>
      <c r="D4639" s="78" t="str">
        <f t="shared" si="150"/>
        <v>https://portal.dnb.de/opac.htm?method=simpleSearch&amp;cqlMode=true&amp;query=idn%3D1002783496</v>
      </c>
      <c r="E4639" s="74" t="s">
        <v>6809</v>
      </c>
      <c r="F4639" s="74"/>
      <c r="G4639" s="76"/>
      <c r="H4639" s="77"/>
      <c r="I4639" s="76"/>
      <c r="J4639" s="77"/>
      <c r="K4639" s="77"/>
      <c r="L4639" s="76"/>
      <c r="M4639" s="76"/>
      <c r="N4639" s="76"/>
      <c r="O4639" s="76"/>
      <c r="P4639" s="76"/>
      <c r="Q4639" s="76"/>
      <c r="R4639" s="76"/>
      <c r="S4639" s="76"/>
      <c r="BD4639" s="99">
        <f t="shared" si="151"/>
        <v>0</v>
      </c>
      <c r="CC4639" s="99"/>
      <c r="CV4639" s="99"/>
      <c r="CW4639" s="63"/>
    </row>
    <row r="4640" spans="1:101" x14ac:dyDescent="0.15">
      <c r="A4640" s="76">
        <v>4377</v>
      </c>
      <c r="B4640" s="74" t="s">
        <v>6810</v>
      </c>
      <c r="C4640" s="74">
        <v>1002783550</v>
      </c>
      <c r="D4640" s="78" t="str">
        <f t="shared" si="150"/>
        <v>https://portal.dnb.de/opac.htm?method=simpleSearch&amp;cqlMode=true&amp;query=idn%3D1002783550</v>
      </c>
      <c r="E4640" s="74" t="s">
        <v>6809</v>
      </c>
      <c r="F4640" s="74"/>
      <c r="G4640" s="76"/>
      <c r="H4640" s="77"/>
      <c r="I4640" s="76"/>
      <c r="J4640" s="77"/>
      <c r="K4640" s="77"/>
      <c r="L4640" s="76"/>
      <c r="M4640" s="76"/>
      <c r="N4640" s="76"/>
      <c r="O4640" s="76"/>
      <c r="P4640" s="76"/>
      <c r="Q4640" s="76"/>
      <c r="R4640" s="76"/>
      <c r="S4640" s="76"/>
      <c r="BD4640" s="99">
        <f t="shared" si="151"/>
        <v>0</v>
      </c>
      <c r="CC4640" s="99"/>
      <c r="CV4640" s="99"/>
      <c r="CW4640" s="63"/>
    </row>
    <row r="4641" spans="1:101" x14ac:dyDescent="0.15">
      <c r="A4641" s="76">
        <v>4378</v>
      </c>
      <c r="B4641" s="74" t="s">
        <v>6811</v>
      </c>
      <c r="C4641" s="74">
        <v>998787701</v>
      </c>
      <c r="D4641" s="78" t="str">
        <f t="shared" si="150"/>
        <v>https://portal.dnb.de/opac.htm?method=simpleSearch&amp;cqlMode=true&amp;query=idn%3D998787701</v>
      </c>
      <c r="E4641" s="74" t="s">
        <v>6812</v>
      </c>
      <c r="F4641" s="74"/>
      <c r="G4641" s="76"/>
      <c r="H4641" s="77"/>
      <c r="I4641" s="76"/>
      <c r="J4641" s="77"/>
      <c r="K4641" s="77"/>
      <c r="L4641" s="76"/>
      <c r="M4641" s="76"/>
      <c r="N4641" s="76"/>
      <c r="O4641" s="76"/>
      <c r="P4641" s="76"/>
      <c r="Q4641" s="76"/>
      <c r="R4641" s="76"/>
      <c r="S4641" s="76"/>
      <c r="BD4641" s="99">
        <f t="shared" si="151"/>
        <v>0</v>
      </c>
      <c r="CC4641" s="99"/>
      <c r="CV4641" s="99"/>
      <c r="CW4641" s="63"/>
    </row>
    <row r="4642" spans="1:101" x14ac:dyDescent="0.15">
      <c r="A4642" s="76">
        <v>4379</v>
      </c>
      <c r="B4642" s="74" t="s">
        <v>6817</v>
      </c>
      <c r="C4642" s="74">
        <v>1066791228</v>
      </c>
      <c r="D4642" s="78" t="str">
        <f t="shared" ref="D4642:D4705" si="152">HYPERLINK(CONCATENATE("https://portal.dnb.de/opac.htm?method=simpleSearch&amp;cqlMode=true&amp;query=idn%3D",C4642))</f>
        <v>https://portal.dnb.de/opac.htm?method=simpleSearch&amp;cqlMode=true&amp;query=idn%3D1066791228</v>
      </c>
      <c r="E4642" s="74" t="s">
        <v>6818</v>
      </c>
      <c r="F4642" s="74"/>
      <c r="G4642" s="76"/>
      <c r="H4642" s="77"/>
      <c r="I4642" s="76"/>
      <c r="J4642" s="77"/>
      <c r="K4642" s="77"/>
      <c r="L4642" s="76"/>
      <c r="M4642" s="76"/>
      <c r="N4642" s="76"/>
      <c r="O4642" s="76"/>
      <c r="P4642" s="76"/>
      <c r="Q4642" s="76"/>
      <c r="R4642" s="76"/>
      <c r="S4642" s="76"/>
      <c r="BD4642" s="99">
        <f t="shared" si="151"/>
        <v>0</v>
      </c>
      <c r="CC4642" s="99"/>
      <c r="CV4642" s="99"/>
      <c r="CW4642" s="63"/>
    </row>
    <row r="4643" spans="1:101" x14ac:dyDescent="0.15">
      <c r="A4643" s="76">
        <v>4380</v>
      </c>
      <c r="B4643" s="74" t="s">
        <v>6819</v>
      </c>
      <c r="C4643" s="74">
        <v>1066941009</v>
      </c>
      <c r="D4643" s="78" t="str">
        <f t="shared" si="152"/>
        <v>https://portal.dnb.de/opac.htm?method=simpleSearch&amp;cqlMode=true&amp;query=idn%3D1066941009</v>
      </c>
      <c r="E4643" s="74" t="s">
        <v>6820</v>
      </c>
      <c r="F4643" s="74"/>
      <c r="G4643" s="76"/>
      <c r="H4643" s="77"/>
      <c r="I4643" s="76"/>
      <c r="J4643" s="77"/>
      <c r="K4643" s="77"/>
      <c r="L4643" s="76"/>
      <c r="M4643" s="76"/>
      <c r="N4643" s="76"/>
      <c r="O4643" s="76"/>
      <c r="P4643" s="76"/>
      <c r="Q4643" s="76"/>
      <c r="R4643" s="76"/>
      <c r="S4643" s="76"/>
      <c r="BD4643" s="99">
        <f t="shared" si="151"/>
        <v>0</v>
      </c>
      <c r="CC4643" s="99"/>
      <c r="CV4643" s="99"/>
      <c r="CW4643" s="63"/>
    </row>
    <row r="4644" spans="1:101" x14ac:dyDescent="0.15">
      <c r="A4644" s="76">
        <v>4381</v>
      </c>
      <c r="B4644" s="74" t="s">
        <v>6823</v>
      </c>
      <c r="C4644" s="74">
        <v>1066935173</v>
      </c>
      <c r="D4644" s="78" t="str">
        <f t="shared" si="152"/>
        <v>https://portal.dnb.de/opac.htm?method=simpleSearch&amp;cqlMode=true&amp;query=idn%3D1066935173</v>
      </c>
      <c r="E4644" s="74" t="s">
        <v>6824</v>
      </c>
      <c r="F4644" s="74"/>
      <c r="G4644" s="76"/>
      <c r="H4644" s="77"/>
      <c r="I4644" s="76"/>
      <c r="J4644" s="77"/>
      <c r="K4644" s="77"/>
      <c r="L4644" s="76"/>
      <c r="M4644" s="76"/>
      <c r="N4644" s="76"/>
      <c r="O4644" s="76"/>
      <c r="P4644" s="76"/>
      <c r="Q4644" s="76"/>
      <c r="R4644" s="76"/>
      <c r="S4644" s="76"/>
      <c r="BD4644" s="99">
        <f t="shared" si="151"/>
        <v>0</v>
      </c>
      <c r="CC4644" s="99"/>
      <c r="CV4644" s="99"/>
      <c r="CW4644" s="63"/>
    </row>
    <row r="4645" spans="1:101" x14ac:dyDescent="0.15">
      <c r="A4645" s="76">
        <v>4382</v>
      </c>
      <c r="B4645" s="74" t="s">
        <v>6825</v>
      </c>
      <c r="C4645" s="74">
        <v>1066765324</v>
      </c>
      <c r="D4645" s="78" t="str">
        <f t="shared" si="152"/>
        <v>https://portal.dnb.de/opac.htm?method=simpleSearch&amp;cqlMode=true&amp;query=idn%3D1066765324</v>
      </c>
      <c r="E4645" s="74" t="s">
        <v>6826</v>
      </c>
      <c r="F4645" s="74"/>
      <c r="G4645" s="76"/>
      <c r="H4645" s="77"/>
      <c r="I4645" s="76"/>
      <c r="J4645" s="77"/>
      <c r="K4645" s="77"/>
      <c r="L4645" s="76"/>
      <c r="M4645" s="76"/>
      <c r="N4645" s="76"/>
      <c r="O4645" s="76"/>
      <c r="P4645" s="76"/>
      <c r="Q4645" s="76"/>
      <c r="R4645" s="76"/>
      <c r="S4645" s="76"/>
      <c r="BD4645" s="99">
        <f t="shared" si="151"/>
        <v>0</v>
      </c>
      <c r="CC4645" s="99"/>
      <c r="CV4645" s="99"/>
      <c r="CW4645" s="63"/>
    </row>
    <row r="4646" spans="1:101" x14ac:dyDescent="0.15">
      <c r="A4646" s="76">
        <v>4383</v>
      </c>
      <c r="B4646" s="74" t="s">
        <v>6827</v>
      </c>
      <c r="C4646" s="74">
        <v>1066940460</v>
      </c>
      <c r="D4646" s="78" t="str">
        <f t="shared" si="152"/>
        <v>https://portal.dnb.de/opac.htm?method=simpleSearch&amp;cqlMode=true&amp;query=idn%3D1066940460</v>
      </c>
      <c r="E4646" s="74" t="s">
        <v>6828</v>
      </c>
      <c r="F4646" s="74"/>
      <c r="G4646" s="76"/>
      <c r="H4646" s="77"/>
      <c r="I4646" s="76"/>
      <c r="J4646" s="77"/>
      <c r="K4646" s="77"/>
      <c r="L4646" s="76"/>
      <c r="M4646" s="76"/>
      <c r="N4646" s="76"/>
      <c r="O4646" s="76"/>
      <c r="P4646" s="76"/>
      <c r="Q4646" s="76"/>
      <c r="R4646" s="76"/>
      <c r="S4646" s="76"/>
      <c r="BD4646" s="99">
        <f t="shared" si="151"/>
        <v>0</v>
      </c>
      <c r="CC4646" s="99"/>
      <c r="CV4646" s="99"/>
      <c r="CW4646" s="63"/>
    </row>
    <row r="4647" spans="1:101" ht="33.75" x14ac:dyDescent="0.15">
      <c r="A4647" s="76">
        <v>4384</v>
      </c>
      <c r="B4647" s="74" t="s">
        <v>6829</v>
      </c>
      <c r="C4647" s="74">
        <v>1132645859</v>
      </c>
      <c r="D4647" s="78" t="str">
        <f t="shared" si="152"/>
        <v>https://portal.dnb.de/opac.htm?method=simpleSearch&amp;cqlMode=true&amp;query=idn%3D1132645859</v>
      </c>
      <c r="E4647" s="74" t="s">
        <v>6830</v>
      </c>
      <c r="F4647" s="74"/>
      <c r="G4647" s="76"/>
      <c r="H4647" s="77"/>
      <c r="I4647" s="76" t="s">
        <v>53</v>
      </c>
      <c r="J4647" s="77"/>
      <c r="K4647" s="77"/>
      <c r="L4647" s="76"/>
      <c r="M4647" s="76"/>
      <c r="N4647" s="76"/>
      <c r="O4647" s="76"/>
      <c r="P4647" s="76"/>
      <c r="Q4647" s="76"/>
      <c r="R4647" s="76"/>
      <c r="S4647" s="76"/>
      <c r="Y4647" s="95" t="s">
        <v>9723</v>
      </c>
      <c r="AC4647" s="95" t="s">
        <v>9724</v>
      </c>
      <c r="AE4647" s="95" t="s">
        <v>8541</v>
      </c>
      <c r="AI4647" s="95" t="s">
        <v>9725</v>
      </c>
      <c r="AU4647" s="95">
        <v>2</v>
      </c>
      <c r="AV4647" s="95" t="s">
        <v>8541</v>
      </c>
      <c r="AW4647" s="95">
        <v>60</v>
      </c>
      <c r="BC4647" s="96" t="s">
        <v>9726</v>
      </c>
      <c r="BD4647" s="99">
        <f t="shared" si="151"/>
        <v>1</v>
      </c>
      <c r="BO4647" s="70" t="s">
        <v>10036</v>
      </c>
      <c r="BP4647" s="69" t="s">
        <v>8541</v>
      </c>
      <c r="BQ4647" s="95" t="s">
        <v>8541</v>
      </c>
      <c r="BR4647" s="95" t="s">
        <v>8541</v>
      </c>
      <c r="BT4647" s="95" t="s">
        <v>9775</v>
      </c>
      <c r="CC4647" s="99">
        <v>1</v>
      </c>
      <c r="CD4647" s="90" t="s">
        <v>10310</v>
      </c>
      <c r="CV4647" s="99"/>
      <c r="CW4647" s="63"/>
    </row>
    <row r="4648" spans="1:101" x14ac:dyDescent="0.15">
      <c r="A4648" s="76">
        <v>4385</v>
      </c>
      <c r="B4648" s="74" t="s">
        <v>6842</v>
      </c>
      <c r="C4648" s="74">
        <v>1066936846</v>
      </c>
      <c r="D4648" s="78" t="str">
        <f t="shared" si="152"/>
        <v>https://portal.dnb.de/opac.htm?method=simpleSearch&amp;cqlMode=true&amp;query=idn%3D1066936846</v>
      </c>
      <c r="E4648" s="74" t="s">
        <v>6843</v>
      </c>
      <c r="F4648" s="74"/>
      <c r="G4648" s="76"/>
      <c r="H4648" s="77"/>
      <c r="I4648" s="76"/>
      <c r="J4648" s="77"/>
      <c r="K4648" s="77"/>
      <c r="L4648" s="76"/>
      <c r="M4648" s="76"/>
      <c r="N4648" s="76"/>
      <c r="O4648" s="76"/>
      <c r="P4648" s="76"/>
      <c r="Q4648" s="76"/>
      <c r="R4648" s="76"/>
      <c r="S4648" s="76"/>
      <c r="BD4648" s="99">
        <f t="shared" si="151"/>
        <v>0</v>
      </c>
      <c r="CC4648" s="99"/>
      <c r="CV4648" s="99"/>
      <c r="CW4648" s="63"/>
    </row>
    <row r="4649" spans="1:101" x14ac:dyDescent="0.15">
      <c r="A4649" s="76">
        <v>4386</v>
      </c>
      <c r="B4649" s="74" t="s">
        <v>6844</v>
      </c>
      <c r="C4649" s="74" t="s">
        <v>6845</v>
      </c>
      <c r="D4649" s="78" t="str">
        <f t="shared" si="152"/>
        <v>https://portal.dnb.de/opac.htm?method=simpleSearch&amp;cqlMode=true&amp;query=idn%3D99391764X</v>
      </c>
      <c r="E4649" s="74" t="s">
        <v>6846</v>
      </c>
      <c r="F4649" s="74"/>
      <c r="G4649" s="76"/>
      <c r="H4649" s="77"/>
      <c r="I4649" s="76"/>
      <c r="J4649" s="77"/>
      <c r="K4649" s="77"/>
      <c r="L4649" s="76"/>
      <c r="M4649" s="76"/>
      <c r="N4649" s="76"/>
      <c r="O4649" s="76"/>
      <c r="P4649" s="76"/>
      <c r="Q4649" s="76"/>
      <c r="R4649" s="76"/>
      <c r="S4649" s="76"/>
      <c r="BD4649" s="99">
        <f t="shared" si="151"/>
        <v>0</v>
      </c>
      <c r="CC4649" s="99"/>
      <c r="CV4649" s="99"/>
      <c r="CW4649" s="63"/>
    </row>
    <row r="4650" spans="1:101" x14ac:dyDescent="0.15">
      <c r="A4650" s="76">
        <v>4387</v>
      </c>
      <c r="B4650" s="74" t="s">
        <v>6847</v>
      </c>
      <c r="C4650" s="74">
        <v>1066852073</v>
      </c>
      <c r="D4650" s="78" t="str">
        <f t="shared" si="152"/>
        <v>https://portal.dnb.de/opac.htm?method=simpleSearch&amp;cqlMode=true&amp;query=idn%3D1066852073</v>
      </c>
      <c r="E4650" s="74" t="s">
        <v>6848</v>
      </c>
      <c r="F4650" s="74"/>
      <c r="G4650" s="76"/>
      <c r="H4650" s="77"/>
      <c r="I4650" s="76"/>
      <c r="J4650" s="77"/>
      <c r="K4650" s="77"/>
      <c r="L4650" s="76"/>
      <c r="M4650" s="76"/>
      <c r="N4650" s="76"/>
      <c r="O4650" s="76"/>
      <c r="P4650" s="76"/>
      <c r="Q4650" s="76"/>
      <c r="R4650" s="76"/>
      <c r="S4650" s="76"/>
      <c r="BD4650" s="99">
        <f t="shared" si="151"/>
        <v>0</v>
      </c>
      <c r="CC4650" s="99"/>
      <c r="CV4650" s="99"/>
      <c r="CW4650" s="63"/>
    </row>
    <row r="4651" spans="1:101" x14ac:dyDescent="0.15">
      <c r="A4651" s="76">
        <v>4388</v>
      </c>
      <c r="B4651" s="74" t="s">
        <v>6849</v>
      </c>
      <c r="C4651" s="74" t="s">
        <v>6850</v>
      </c>
      <c r="D4651" s="78" t="str">
        <f t="shared" si="152"/>
        <v>https://portal.dnb.de/opac.htm?method=simpleSearch&amp;cqlMode=true&amp;query=idn%3D120735239X</v>
      </c>
      <c r="E4651" s="74" t="s">
        <v>6851</v>
      </c>
      <c r="F4651" s="74"/>
      <c r="G4651" s="76"/>
      <c r="H4651" s="77"/>
      <c r="I4651" s="76"/>
      <c r="J4651" s="77"/>
      <c r="K4651" s="77"/>
      <c r="L4651" s="76"/>
      <c r="M4651" s="76"/>
      <c r="N4651" s="76"/>
      <c r="O4651" s="76"/>
      <c r="P4651" s="76"/>
      <c r="Q4651" s="76"/>
      <c r="R4651" s="76"/>
      <c r="S4651" s="76"/>
      <c r="BD4651" s="99">
        <f t="shared" si="151"/>
        <v>0</v>
      </c>
      <c r="CC4651" s="99"/>
      <c r="CV4651" s="99"/>
      <c r="CW4651" s="63"/>
    </row>
    <row r="4652" spans="1:101" x14ac:dyDescent="0.15">
      <c r="A4652" s="76">
        <v>4389</v>
      </c>
      <c r="B4652" s="74" t="s">
        <v>6852</v>
      </c>
      <c r="C4652" s="74">
        <v>1066937230</v>
      </c>
      <c r="D4652" s="78" t="str">
        <f t="shared" si="152"/>
        <v>https://portal.dnb.de/opac.htm?method=simpleSearch&amp;cqlMode=true&amp;query=idn%3D1066937230</v>
      </c>
      <c r="E4652" s="74" t="s">
        <v>6853</v>
      </c>
      <c r="F4652" s="74"/>
      <c r="G4652" s="76"/>
      <c r="H4652" s="77"/>
      <c r="I4652" s="76"/>
      <c r="J4652" s="77"/>
      <c r="K4652" s="77"/>
      <c r="L4652" s="76"/>
      <c r="M4652" s="76"/>
      <c r="N4652" s="76"/>
      <c r="O4652" s="76"/>
      <c r="P4652" s="76"/>
      <c r="Q4652" s="76"/>
      <c r="R4652" s="76"/>
      <c r="S4652" s="76"/>
      <c r="BD4652" s="99">
        <f t="shared" si="151"/>
        <v>0</v>
      </c>
      <c r="CC4652" s="99"/>
      <c r="CV4652" s="99"/>
      <c r="CW4652" s="63"/>
    </row>
    <row r="4653" spans="1:101" x14ac:dyDescent="0.15">
      <c r="A4653" s="76">
        <v>4390</v>
      </c>
      <c r="B4653" s="74" t="s">
        <v>6854</v>
      </c>
      <c r="C4653" s="74">
        <v>1066790914</v>
      </c>
      <c r="D4653" s="78" t="str">
        <f t="shared" si="152"/>
        <v>https://portal.dnb.de/opac.htm?method=simpleSearch&amp;cqlMode=true&amp;query=idn%3D1066790914</v>
      </c>
      <c r="E4653" s="74" t="s">
        <v>6855</v>
      </c>
      <c r="F4653" s="74"/>
      <c r="G4653" s="76"/>
      <c r="H4653" s="77"/>
      <c r="I4653" s="76"/>
      <c r="J4653" s="77"/>
      <c r="K4653" s="77"/>
      <c r="L4653" s="76"/>
      <c r="M4653" s="76"/>
      <c r="N4653" s="76"/>
      <c r="O4653" s="76"/>
      <c r="P4653" s="76"/>
      <c r="Q4653" s="76"/>
      <c r="R4653" s="76"/>
      <c r="S4653" s="76"/>
      <c r="BD4653" s="99">
        <f t="shared" si="151"/>
        <v>0</v>
      </c>
      <c r="CC4653" s="99"/>
      <c r="CV4653" s="99"/>
      <c r="CW4653" s="63"/>
    </row>
    <row r="4654" spans="1:101" x14ac:dyDescent="0.15">
      <c r="A4654" s="76">
        <v>4391</v>
      </c>
      <c r="B4654" s="74" t="s">
        <v>6858</v>
      </c>
      <c r="C4654" s="74">
        <v>1066787360</v>
      </c>
      <c r="D4654" s="78" t="str">
        <f t="shared" si="152"/>
        <v>https://portal.dnb.de/opac.htm?method=simpleSearch&amp;cqlMode=true&amp;query=idn%3D1066787360</v>
      </c>
      <c r="E4654" s="74" t="s">
        <v>6859</v>
      </c>
      <c r="F4654" s="74"/>
      <c r="G4654" s="76"/>
      <c r="H4654" s="77"/>
      <c r="I4654" s="76"/>
      <c r="J4654" s="77"/>
      <c r="K4654" s="77"/>
      <c r="L4654" s="76"/>
      <c r="M4654" s="76"/>
      <c r="N4654" s="76"/>
      <c r="O4654" s="76"/>
      <c r="P4654" s="76"/>
      <c r="Q4654" s="76"/>
      <c r="R4654" s="76"/>
      <c r="S4654" s="76"/>
      <c r="BD4654" s="99">
        <f t="shared" si="151"/>
        <v>0</v>
      </c>
      <c r="CC4654" s="99"/>
      <c r="CV4654" s="99"/>
      <c r="CW4654" s="63"/>
    </row>
    <row r="4655" spans="1:101" x14ac:dyDescent="0.15">
      <c r="A4655" s="76">
        <v>4392</v>
      </c>
      <c r="B4655" s="74" t="s">
        <v>6860</v>
      </c>
      <c r="C4655" s="74">
        <v>1066870047</v>
      </c>
      <c r="D4655" s="78" t="str">
        <f t="shared" si="152"/>
        <v>https://portal.dnb.de/opac.htm?method=simpleSearch&amp;cqlMode=true&amp;query=idn%3D1066870047</v>
      </c>
      <c r="E4655" s="74" t="s">
        <v>6861</v>
      </c>
      <c r="F4655" s="74"/>
      <c r="G4655" s="76"/>
      <c r="H4655" s="77"/>
      <c r="I4655" s="76"/>
      <c r="J4655" s="77"/>
      <c r="K4655" s="77"/>
      <c r="L4655" s="76"/>
      <c r="M4655" s="76"/>
      <c r="N4655" s="76"/>
      <c r="O4655" s="76"/>
      <c r="P4655" s="76"/>
      <c r="Q4655" s="76"/>
      <c r="R4655" s="76"/>
      <c r="S4655" s="76"/>
      <c r="BD4655" s="99">
        <f t="shared" si="151"/>
        <v>0</v>
      </c>
      <c r="CC4655" s="99"/>
      <c r="CV4655" s="99"/>
      <c r="CW4655" s="63"/>
    </row>
    <row r="4656" spans="1:101" x14ac:dyDescent="0.15">
      <c r="A4656" s="76">
        <v>4393</v>
      </c>
      <c r="B4656" s="74" t="s">
        <v>6866</v>
      </c>
      <c r="C4656" s="74">
        <v>11285222</v>
      </c>
      <c r="D4656" s="78" t="str">
        <f t="shared" si="152"/>
        <v>https://portal.dnb.de/opac.htm?method=simpleSearch&amp;cqlMode=true&amp;query=idn%3D11285222</v>
      </c>
      <c r="E4656" s="74" t="s">
        <v>6867</v>
      </c>
      <c r="F4656" s="74"/>
      <c r="G4656" s="76"/>
      <c r="H4656" s="77"/>
      <c r="I4656" s="76"/>
      <c r="J4656" s="77"/>
      <c r="K4656" s="77"/>
      <c r="L4656" s="76"/>
      <c r="M4656" s="76"/>
      <c r="N4656" s="76"/>
      <c r="O4656" s="76"/>
      <c r="P4656" s="76"/>
      <c r="Q4656" s="76"/>
      <c r="R4656" s="76"/>
      <c r="S4656" s="76"/>
      <c r="BD4656" s="99">
        <f t="shared" si="151"/>
        <v>0</v>
      </c>
      <c r="CC4656" s="99"/>
      <c r="CV4656" s="99"/>
      <c r="CW4656" s="63"/>
    </row>
    <row r="4657" spans="1:101" x14ac:dyDescent="0.15">
      <c r="A4657" s="76">
        <v>4394</v>
      </c>
      <c r="B4657" s="74" t="s">
        <v>6868</v>
      </c>
      <c r="C4657" s="74">
        <v>11285230</v>
      </c>
      <c r="D4657" s="78" t="str">
        <f t="shared" si="152"/>
        <v>https://portal.dnb.de/opac.htm?method=simpleSearch&amp;cqlMode=true&amp;query=idn%3D11285230</v>
      </c>
      <c r="E4657" s="74" t="s">
        <v>6867</v>
      </c>
      <c r="F4657" s="74"/>
      <c r="G4657" s="76"/>
      <c r="H4657" s="77"/>
      <c r="I4657" s="76"/>
      <c r="J4657" s="77"/>
      <c r="K4657" s="77"/>
      <c r="L4657" s="76"/>
      <c r="M4657" s="76"/>
      <c r="N4657" s="76"/>
      <c r="O4657" s="76"/>
      <c r="P4657" s="76"/>
      <c r="Q4657" s="76"/>
      <c r="R4657" s="76"/>
      <c r="S4657" s="76"/>
      <c r="BD4657" s="99">
        <f t="shared" si="151"/>
        <v>0</v>
      </c>
      <c r="CC4657" s="99"/>
      <c r="CV4657" s="99"/>
      <c r="CW4657" s="63"/>
    </row>
    <row r="4658" spans="1:101" x14ac:dyDescent="0.15">
      <c r="A4658" s="76">
        <v>4395</v>
      </c>
      <c r="B4658" s="74" t="s">
        <v>6869</v>
      </c>
      <c r="C4658" s="74">
        <v>11989750</v>
      </c>
      <c r="D4658" s="78" t="str">
        <f t="shared" si="152"/>
        <v>https://portal.dnb.de/opac.htm?method=simpleSearch&amp;cqlMode=true&amp;query=idn%3D11989750</v>
      </c>
      <c r="E4658" s="74" t="s">
        <v>6867</v>
      </c>
      <c r="F4658" s="74"/>
      <c r="G4658" s="76"/>
      <c r="H4658" s="77"/>
      <c r="I4658" s="76"/>
      <c r="J4658" s="77"/>
      <c r="K4658" s="77"/>
      <c r="L4658" s="76"/>
      <c r="M4658" s="76"/>
      <c r="N4658" s="76"/>
      <c r="O4658" s="76"/>
      <c r="P4658" s="76"/>
      <c r="Q4658" s="76"/>
      <c r="R4658" s="76"/>
      <c r="S4658" s="76"/>
      <c r="BD4658" s="99">
        <f t="shared" si="151"/>
        <v>0</v>
      </c>
      <c r="CC4658" s="99"/>
      <c r="CV4658" s="99"/>
      <c r="CW4658" s="63"/>
    </row>
    <row r="4659" spans="1:101" x14ac:dyDescent="0.15">
      <c r="A4659" s="76">
        <v>4396</v>
      </c>
      <c r="B4659" s="74" t="s">
        <v>6870</v>
      </c>
      <c r="C4659" s="74">
        <v>995830010</v>
      </c>
      <c r="D4659" s="78" t="str">
        <f t="shared" si="152"/>
        <v>https://portal.dnb.de/opac.htm?method=simpleSearch&amp;cqlMode=true&amp;query=idn%3D995830010</v>
      </c>
      <c r="E4659" s="74" t="s">
        <v>6871</v>
      </c>
      <c r="F4659" s="74"/>
      <c r="G4659" s="76"/>
      <c r="H4659" s="77"/>
      <c r="I4659" s="76"/>
      <c r="J4659" s="77"/>
      <c r="K4659" s="77"/>
      <c r="L4659" s="76"/>
      <c r="M4659" s="76"/>
      <c r="N4659" s="76"/>
      <c r="O4659" s="76"/>
      <c r="P4659" s="76"/>
      <c r="Q4659" s="76"/>
      <c r="R4659" s="76"/>
      <c r="S4659" s="76"/>
      <c r="BD4659" s="99">
        <f t="shared" si="151"/>
        <v>0</v>
      </c>
      <c r="CC4659" s="99"/>
      <c r="CV4659" s="99"/>
      <c r="CW4659" s="63"/>
    </row>
    <row r="4660" spans="1:101" x14ac:dyDescent="0.15">
      <c r="A4660" s="76">
        <v>4397</v>
      </c>
      <c r="B4660" s="74" t="s">
        <v>6872</v>
      </c>
      <c r="C4660" s="74">
        <v>1132636361</v>
      </c>
      <c r="D4660" s="78" t="str">
        <f t="shared" si="152"/>
        <v>https://portal.dnb.de/opac.htm?method=simpleSearch&amp;cqlMode=true&amp;query=idn%3D1132636361</v>
      </c>
      <c r="E4660" s="74" t="s">
        <v>6873</v>
      </c>
      <c r="F4660" s="74"/>
      <c r="G4660" s="76"/>
      <c r="H4660" s="77"/>
      <c r="I4660" s="76"/>
      <c r="J4660" s="77"/>
      <c r="K4660" s="77"/>
      <c r="L4660" s="76"/>
      <c r="M4660" s="76"/>
      <c r="N4660" s="76"/>
      <c r="O4660" s="76"/>
      <c r="P4660" s="76"/>
      <c r="Q4660" s="76"/>
      <c r="R4660" s="76"/>
      <c r="S4660" s="76"/>
      <c r="BD4660" s="99">
        <f t="shared" si="151"/>
        <v>0</v>
      </c>
      <c r="CC4660" s="99"/>
      <c r="CV4660" s="99"/>
      <c r="CW4660" s="63"/>
    </row>
    <row r="4661" spans="1:101" x14ac:dyDescent="0.15">
      <c r="A4661" s="76">
        <v>4398</v>
      </c>
      <c r="B4661" s="74" t="s">
        <v>6862</v>
      </c>
      <c r="C4661" s="74">
        <v>1003323529</v>
      </c>
      <c r="D4661" s="78" t="str">
        <f t="shared" si="152"/>
        <v>https://portal.dnb.de/opac.htm?method=simpleSearch&amp;cqlMode=true&amp;query=idn%3D1003323529</v>
      </c>
      <c r="E4661" s="74" t="s">
        <v>6863</v>
      </c>
      <c r="F4661" s="74"/>
      <c r="G4661" s="76"/>
      <c r="H4661" s="77"/>
      <c r="I4661" s="76"/>
      <c r="J4661" s="77"/>
      <c r="K4661" s="77"/>
      <c r="L4661" s="76"/>
      <c r="M4661" s="76"/>
      <c r="N4661" s="76"/>
      <c r="O4661" s="76"/>
      <c r="P4661" s="76"/>
      <c r="Q4661" s="76"/>
      <c r="R4661" s="76"/>
      <c r="S4661" s="76"/>
      <c r="BD4661" s="99">
        <f t="shared" si="151"/>
        <v>0</v>
      </c>
      <c r="CC4661" s="99"/>
      <c r="CV4661" s="99"/>
      <c r="CW4661" s="63"/>
    </row>
    <row r="4662" spans="1:101" x14ac:dyDescent="0.15">
      <c r="A4662" s="76">
        <v>4399</v>
      </c>
      <c r="B4662" s="74" t="s">
        <v>6864</v>
      </c>
      <c r="C4662" s="74">
        <v>1003323596</v>
      </c>
      <c r="D4662" s="78" t="str">
        <f t="shared" si="152"/>
        <v>https://portal.dnb.de/opac.htm?method=simpleSearch&amp;cqlMode=true&amp;query=idn%3D1003323596</v>
      </c>
      <c r="E4662" s="74" t="s">
        <v>6863</v>
      </c>
      <c r="F4662" s="74"/>
      <c r="G4662" s="76"/>
      <c r="H4662" s="77"/>
      <c r="I4662" s="76"/>
      <c r="J4662" s="77"/>
      <c r="K4662" s="77"/>
      <c r="L4662" s="76"/>
      <c r="M4662" s="76"/>
      <c r="N4662" s="76"/>
      <c r="O4662" s="76"/>
      <c r="P4662" s="76"/>
      <c r="Q4662" s="76"/>
      <c r="R4662" s="76"/>
      <c r="S4662" s="76"/>
      <c r="BD4662" s="99">
        <f t="shared" si="151"/>
        <v>0</v>
      </c>
      <c r="CC4662" s="99"/>
      <c r="CV4662" s="99"/>
      <c r="CW4662" s="63"/>
    </row>
    <row r="4663" spans="1:101" x14ac:dyDescent="0.15">
      <c r="A4663" s="76">
        <v>4400</v>
      </c>
      <c r="B4663" s="74" t="s">
        <v>6865</v>
      </c>
      <c r="C4663" s="74">
        <v>1003323626</v>
      </c>
      <c r="D4663" s="78" t="str">
        <f t="shared" si="152"/>
        <v>https://portal.dnb.de/opac.htm?method=simpleSearch&amp;cqlMode=true&amp;query=idn%3D1003323626</v>
      </c>
      <c r="E4663" s="74" t="s">
        <v>6863</v>
      </c>
      <c r="F4663" s="74"/>
      <c r="G4663" s="76"/>
      <c r="H4663" s="77"/>
      <c r="I4663" s="76"/>
      <c r="J4663" s="77"/>
      <c r="K4663" s="77"/>
      <c r="L4663" s="76"/>
      <c r="M4663" s="76"/>
      <c r="N4663" s="76"/>
      <c r="O4663" s="76"/>
      <c r="P4663" s="76"/>
      <c r="Q4663" s="76"/>
      <c r="R4663" s="76"/>
      <c r="S4663" s="76"/>
      <c r="BD4663" s="99">
        <f t="shared" si="151"/>
        <v>0</v>
      </c>
      <c r="CC4663" s="99"/>
      <c r="CV4663" s="99"/>
      <c r="CW4663" s="63"/>
    </row>
    <row r="4664" spans="1:101" x14ac:dyDescent="0.15">
      <c r="A4664" s="76">
        <v>4401</v>
      </c>
      <c r="B4664" s="74" t="s">
        <v>6874</v>
      </c>
      <c r="C4664" s="74">
        <v>1066786755</v>
      </c>
      <c r="D4664" s="78" t="str">
        <f t="shared" si="152"/>
        <v>https://portal.dnb.de/opac.htm?method=simpleSearch&amp;cqlMode=true&amp;query=idn%3D1066786755</v>
      </c>
      <c r="E4664" s="74" t="s">
        <v>6875</v>
      </c>
      <c r="F4664" s="74"/>
      <c r="G4664" s="76"/>
      <c r="H4664" s="77"/>
      <c r="I4664" s="76"/>
      <c r="J4664" s="77"/>
      <c r="K4664" s="77"/>
      <c r="L4664" s="76"/>
      <c r="M4664" s="76"/>
      <c r="N4664" s="76"/>
      <c r="O4664" s="76"/>
      <c r="P4664" s="76"/>
      <c r="Q4664" s="76"/>
      <c r="R4664" s="76"/>
      <c r="S4664" s="76"/>
      <c r="BD4664" s="99">
        <f t="shared" si="151"/>
        <v>0</v>
      </c>
      <c r="CC4664" s="99"/>
      <c r="CV4664" s="99"/>
      <c r="CW4664" s="63"/>
    </row>
    <row r="4665" spans="1:101" x14ac:dyDescent="0.15">
      <c r="A4665" s="76">
        <v>4402</v>
      </c>
      <c r="B4665" s="74" t="s">
        <v>6876</v>
      </c>
      <c r="C4665" s="74">
        <v>1066936005</v>
      </c>
      <c r="D4665" s="78" t="str">
        <f t="shared" si="152"/>
        <v>https://portal.dnb.de/opac.htm?method=simpleSearch&amp;cqlMode=true&amp;query=idn%3D1066936005</v>
      </c>
      <c r="E4665" s="74" t="s">
        <v>6877</v>
      </c>
      <c r="F4665" s="74"/>
      <c r="G4665" s="76"/>
      <c r="H4665" s="77"/>
      <c r="I4665" s="76"/>
      <c r="J4665" s="77"/>
      <c r="K4665" s="77"/>
      <c r="L4665" s="76"/>
      <c r="M4665" s="76"/>
      <c r="N4665" s="76"/>
      <c r="O4665" s="76"/>
      <c r="P4665" s="76"/>
      <c r="Q4665" s="76"/>
      <c r="R4665" s="76"/>
      <c r="S4665" s="76"/>
      <c r="BD4665" s="99">
        <f t="shared" si="151"/>
        <v>0</v>
      </c>
      <c r="CC4665" s="99"/>
      <c r="CV4665" s="99"/>
      <c r="CW4665" s="63"/>
    </row>
    <row r="4666" spans="1:101" ht="45" x14ac:dyDescent="0.15">
      <c r="A4666" s="76">
        <v>4403</v>
      </c>
      <c r="B4666" s="74" t="s">
        <v>6878</v>
      </c>
      <c r="C4666" s="74">
        <v>1132650364</v>
      </c>
      <c r="D4666" s="78" t="str">
        <f t="shared" si="152"/>
        <v>https://portal.dnb.de/opac.htm?method=simpleSearch&amp;cqlMode=true&amp;query=idn%3D1132650364</v>
      </c>
      <c r="E4666" s="74" t="s">
        <v>6879</v>
      </c>
      <c r="F4666" s="74"/>
      <c r="G4666" s="76"/>
      <c r="H4666" s="77"/>
      <c r="I4666" s="76" t="s">
        <v>53</v>
      </c>
      <c r="J4666" s="77"/>
      <c r="K4666" s="77"/>
      <c r="L4666" s="76"/>
      <c r="M4666" s="76"/>
      <c r="N4666" s="76"/>
      <c r="O4666" s="76"/>
      <c r="P4666" s="76"/>
      <c r="Q4666" s="76"/>
      <c r="R4666" s="76"/>
      <c r="S4666" s="76"/>
      <c r="Y4666" s="95" t="s">
        <v>9723</v>
      </c>
      <c r="AC4666" s="95" t="s">
        <v>9724</v>
      </c>
      <c r="AI4666" s="95" t="s">
        <v>9725</v>
      </c>
      <c r="AU4666" s="95">
        <v>2</v>
      </c>
      <c r="AV4666" s="95" t="s">
        <v>8541</v>
      </c>
      <c r="AW4666" s="95">
        <v>45</v>
      </c>
      <c r="BB4666" s="95" t="s">
        <v>8541</v>
      </c>
      <c r="BC4666" s="96" t="s">
        <v>9726</v>
      </c>
      <c r="BD4666" s="99">
        <f t="shared" si="151"/>
        <v>3</v>
      </c>
      <c r="BP4666" s="69" t="s">
        <v>8541</v>
      </c>
      <c r="BQ4666" s="95" t="s">
        <v>8541</v>
      </c>
      <c r="BR4666" s="95" t="s">
        <v>8541</v>
      </c>
      <c r="BT4666" s="95" t="s">
        <v>9775</v>
      </c>
      <c r="CC4666" s="99">
        <v>3</v>
      </c>
      <c r="CD4666" s="90" t="s">
        <v>10311</v>
      </c>
      <c r="CV4666" s="99"/>
      <c r="CW4666" s="63"/>
    </row>
    <row r="4667" spans="1:101" x14ac:dyDescent="0.15">
      <c r="A4667" s="76">
        <v>4404</v>
      </c>
      <c r="B4667" s="74" t="s">
        <v>6880</v>
      </c>
      <c r="C4667" s="74">
        <v>1066964610</v>
      </c>
      <c r="D4667" s="78" t="str">
        <f t="shared" si="152"/>
        <v>https://portal.dnb.de/opac.htm?method=simpleSearch&amp;cqlMode=true&amp;query=idn%3D1066964610</v>
      </c>
      <c r="E4667" s="74" t="s">
        <v>6881</v>
      </c>
      <c r="F4667" s="74"/>
      <c r="G4667" s="76"/>
      <c r="H4667" s="77"/>
      <c r="I4667" s="76"/>
      <c r="J4667" s="77"/>
      <c r="K4667" s="77"/>
      <c r="L4667" s="76"/>
      <c r="M4667" s="76"/>
      <c r="N4667" s="76"/>
      <c r="O4667" s="76"/>
      <c r="P4667" s="76"/>
      <c r="Q4667" s="76"/>
      <c r="R4667" s="76"/>
      <c r="S4667" s="76"/>
      <c r="BD4667" s="99">
        <f t="shared" si="151"/>
        <v>0</v>
      </c>
      <c r="CC4667" s="99"/>
      <c r="CV4667" s="99"/>
      <c r="CW4667" s="63"/>
    </row>
    <row r="4668" spans="1:101" x14ac:dyDescent="0.15">
      <c r="A4668" s="76">
        <v>4405</v>
      </c>
      <c r="B4668" s="74" t="s">
        <v>6882</v>
      </c>
      <c r="C4668" s="74">
        <v>1066963738</v>
      </c>
      <c r="D4668" s="78" t="str">
        <f t="shared" si="152"/>
        <v>https://portal.dnb.de/opac.htm?method=simpleSearch&amp;cqlMode=true&amp;query=idn%3D1066963738</v>
      </c>
      <c r="E4668" s="74" t="s">
        <v>6883</v>
      </c>
      <c r="F4668" s="74"/>
      <c r="G4668" s="76"/>
      <c r="H4668" s="77"/>
      <c r="I4668" s="76"/>
      <c r="J4668" s="77"/>
      <c r="K4668" s="77"/>
      <c r="L4668" s="76"/>
      <c r="M4668" s="76"/>
      <c r="N4668" s="76"/>
      <c r="O4668" s="76"/>
      <c r="P4668" s="76"/>
      <c r="Q4668" s="76"/>
      <c r="R4668" s="76"/>
      <c r="S4668" s="76"/>
      <c r="BD4668" s="99">
        <f t="shared" si="151"/>
        <v>0</v>
      </c>
      <c r="CC4668" s="99"/>
      <c r="CV4668" s="99"/>
      <c r="CW4668" s="63"/>
    </row>
    <row r="4669" spans="1:101" x14ac:dyDescent="0.15">
      <c r="A4669" s="76">
        <v>4406</v>
      </c>
      <c r="B4669" s="74" t="s">
        <v>6884</v>
      </c>
      <c r="C4669" s="74">
        <v>1001658337</v>
      </c>
      <c r="D4669" s="78" t="str">
        <f t="shared" si="152"/>
        <v>https://portal.dnb.de/opac.htm?method=simpleSearch&amp;cqlMode=true&amp;query=idn%3D1001658337</v>
      </c>
      <c r="E4669" s="74" t="s">
        <v>6885</v>
      </c>
      <c r="F4669" s="74"/>
      <c r="G4669" s="76"/>
      <c r="H4669" s="77"/>
      <c r="I4669" s="76"/>
      <c r="J4669" s="77"/>
      <c r="K4669" s="77"/>
      <c r="L4669" s="76"/>
      <c r="M4669" s="76"/>
      <c r="N4669" s="76"/>
      <c r="O4669" s="76"/>
      <c r="P4669" s="76"/>
      <c r="Q4669" s="76"/>
      <c r="R4669" s="76"/>
      <c r="S4669" s="76"/>
      <c r="BD4669" s="99">
        <f t="shared" si="151"/>
        <v>0</v>
      </c>
      <c r="CC4669" s="99"/>
      <c r="CV4669" s="99"/>
      <c r="CW4669" s="63"/>
    </row>
    <row r="4670" spans="1:101" x14ac:dyDescent="0.15">
      <c r="A4670" s="76">
        <v>4407</v>
      </c>
      <c r="B4670" s="74" t="s">
        <v>6888</v>
      </c>
      <c r="C4670" s="74" t="s">
        <v>6889</v>
      </c>
      <c r="D4670" s="78" t="str">
        <f t="shared" si="152"/>
        <v>https://portal.dnb.de/opac.htm?method=simpleSearch&amp;cqlMode=true&amp;query=idn%3D99636028X</v>
      </c>
      <c r="E4670" s="74" t="s">
        <v>6890</v>
      </c>
      <c r="F4670" s="74"/>
      <c r="G4670" s="76"/>
      <c r="H4670" s="77"/>
      <c r="I4670" s="76"/>
      <c r="J4670" s="77"/>
      <c r="K4670" s="77"/>
      <c r="L4670" s="76"/>
      <c r="M4670" s="76"/>
      <c r="N4670" s="76"/>
      <c r="O4670" s="76"/>
      <c r="P4670" s="76"/>
      <c r="Q4670" s="76"/>
      <c r="R4670" s="76"/>
      <c r="S4670" s="76"/>
      <c r="BD4670" s="99">
        <f t="shared" si="151"/>
        <v>0</v>
      </c>
      <c r="CC4670" s="99"/>
      <c r="CV4670" s="99"/>
      <c r="CW4670" s="63"/>
    </row>
    <row r="4671" spans="1:101" x14ac:dyDescent="0.15">
      <c r="A4671" s="76">
        <v>4408</v>
      </c>
      <c r="B4671" s="74" t="s">
        <v>6886</v>
      </c>
      <c r="C4671" s="74">
        <v>1066936595</v>
      </c>
      <c r="D4671" s="78" t="str">
        <f t="shared" si="152"/>
        <v>https://portal.dnb.de/opac.htm?method=simpleSearch&amp;cqlMode=true&amp;query=idn%3D1066936595</v>
      </c>
      <c r="E4671" s="74" t="s">
        <v>6887</v>
      </c>
      <c r="F4671" s="74"/>
      <c r="G4671" s="76"/>
      <c r="H4671" s="77"/>
      <c r="I4671" s="76"/>
      <c r="J4671" s="77"/>
      <c r="K4671" s="77"/>
      <c r="L4671" s="76"/>
      <c r="M4671" s="76"/>
      <c r="N4671" s="76"/>
      <c r="O4671" s="76"/>
      <c r="P4671" s="76"/>
      <c r="Q4671" s="76"/>
      <c r="R4671" s="76"/>
      <c r="S4671" s="76"/>
      <c r="BD4671" s="99">
        <f t="shared" si="151"/>
        <v>0</v>
      </c>
      <c r="CC4671" s="99"/>
      <c r="CV4671" s="99"/>
      <c r="CW4671" s="63"/>
    </row>
    <row r="4672" spans="1:101" x14ac:dyDescent="0.15">
      <c r="A4672" s="76">
        <v>4409</v>
      </c>
      <c r="B4672" s="74" t="s">
        <v>6891</v>
      </c>
      <c r="C4672" s="74">
        <v>1008035890</v>
      </c>
      <c r="D4672" s="78" t="str">
        <f t="shared" si="152"/>
        <v>https://portal.dnb.de/opac.htm?method=simpleSearch&amp;cqlMode=true&amp;query=idn%3D1008035890</v>
      </c>
      <c r="E4672" s="74" t="s">
        <v>6892</v>
      </c>
      <c r="F4672" s="74"/>
      <c r="G4672" s="76"/>
      <c r="H4672" s="77"/>
      <c r="I4672" s="76"/>
      <c r="J4672" s="77"/>
      <c r="K4672" s="77"/>
      <c r="L4672" s="76"/>
      <c r="M4672" s="76"/>
      <c r="N4672" s="76"/>
      <c r="O4672" s="76"/>
      <c r="P4672" s="76"/>
      <c r="Q4672" s="76"/>
      <c r="R4672" s="76"/>
      <c r="S4672" s="76"/>
      <c r="BD4672" s="99">
        <f t="shared" si="151"/>
        <v>0</v>
      </c>
      <c r="CC4672" s="99"/>
      <c r="CV4672" s="99"/>
      <c r="CW4672" s="63"/>
    </row>
    <row r="4673" spans="1:101" x14ac:dyDescent="0.15">
      <c r="A4673" s="76">
        <v>4410</v>
      </c>
      <c r="B4673" s="74" t="s">
        <v>6893</v>
      </c>
      <c r="C4673" s="74">
        <v>1066940339</v>
      </c>
      <c r="D4673" s="78" t="str">
        <f t="shared" si="152"/>
        <v>https://portal.dnb.de/opac.htm?method=simpleSearch&amp;cqlMode=true&amp;query=idn%3D1066940339</v>
      </c>
      <c r="E4673" s="74" t="s">
        <v>6894</v>
      </c>
      <c r="F4673" s="74"/>
      <c r="G4673" s="76"/>
      <c r="H4673" s="77"/>
      <c r="I4673" s="76"/>
      <c r="J4673" s="77"/>
      <c r="K4673" s="77"/>
      <c r="L4673" s="76"/>
      <c r="M4673" s="76"/>
      <c r="N4673" s="76"/>
      <c r="O4673" s="76"/>
      <c r="P4673" s="76"/>
      <c r="Q4673" s="76"/>
      <c r="R4673" s="76"/>
      <c r="S4673" s="76"/>
      <c r="BD4673" s="99">
        <f t="shared" si="151"/>
        <v>0</v>
      </c>
      <c r="CC4673" s="99"/>
      <c r="CV4673" s="99"/>
      <c r="CW4673" s="63"/>
    </row>
    <row r="4674" spans="1:101" x14ac:dyDescent="0.15">
      <c r="A4674" s="76">
        <v>4411</v>
      </c>
      <c r="B4674" s="74" t="s">
        <v>6895</v>
      </c>
      <c r="C4674" s="74">
        <v>1066937524</v>
      </c>
      <c r="D4674" s="78" t="str">
        <f t="shared" si="152"/>
        <v>https://portal.dnb.de/opac.htm?method=simpleSearch&amp;cqlMode=true&amp;query=idn%3D1066937524</v>
      </c>
      <c r="E4674" s="74" t="s">
        <v>6896</v>
      </c>
      <c r="F4674" s="74"/>
      <c r="G4674" s="76"/>
      <c r="H4674" s="77"/>
      <c r="I4674" s="76"/>
      <c r="J4674" s="77"/>
      <c r="K4674" s="77"/>
      <c r="L4674" s="76"/>
      <c r="M4674" s="76"/>
      <c r="N4674" s="76"/>
      <c r="O4674" s="76"/>
      <c r="P4674" s="76"/>
      <c r="Q4674" s="76"/>
      <c r="R4674" s="76"/>
      <c r="S4674" s="76"/>
      <c r="BD4674" s="99">
        <f t="shared" si="151"/>
        <v>0</v>
      </c>
      <c r="CC4674" s="99"/>
      <c r="CV4674" s="99"/>
      <c r="CW4674" s="63"/>
    </row>
    <row r="4675" spans="1:101" x14ac:dyDescent="0.15">
      <c r="A4675" s="76">
        <v>4412</v>
      </c>
      <c r="B4675" s="74" t="s">
        <v>6899</v>
      </c>
      <c r="C4675" s="74">
        <v>1066858063</v>
      </c>
      <c r="D4675" s="78" t="str">
        <f t="shared" si="152"/>
        <v>https://portal.dnb.de/opac.htm?method=simpleSearch&amp;cqlMode=true&amp;query=idn%3D1066858063</v>
      </c>
      <c r="E4675" s="74" t="s">
        <v>6900</v>
      </c>
      <c r="F4675" s="74"/>
      <c r="G4675" s="76"/>
      <c r="H4675" s="77"/>
      <c r="I4675" s="76"/>
      <c r="J4675" s="77"/>
      <c r="K4675" s="77"/>
      <c r="L4675" s="76"/>
      <c r="M4675" s="76"/>
      <c r="N4675" s="76"/>
      <c r="O4675" s="76"/>
      <c r="P4675" s="76"/>
      <c r="Q4675" s="76"/>
      <c r="R4675" s="76"/>
      <c r="S4675" s="76"/>
      <c r="BD4675" s="99">
        <f t="shared" ref="BD4675:BD4738" si="153">CC4675+CV4675</f>
        <v>0</v>
      </c>
      <c r="CC4675" s="99"/>
      <c r="CV4675" s="99"/>
      <c r="CW4675" s="63"/>
    </row>
    <row r="4676" spans="1:101" x14ac:dyDescent="0.15">
      <c r="A4676" s="76">
        <v>4413</v>
      </c>
      <c r="B4676" s="74" t="s">
        <v>6897</v>
      </c>
      <c r="C4676" s="74">
        <v>1211364755</v>
      </c>
      <c r="D4676" s="78" t="str">
        <f t="shared" si="152"/>
        <v>https://portal.dnb.de/opac.htm?method=simpleSearch&amp;cqlMode=true&amp;query=idn%3D1211364755</v>
      </c>
      <c r="E4676" s="74" t="s">
        <v>6898</v>
      </c>
      <c r="F4676" s="74"/>
      <c r="G4676" s="76"/>
      <c r="H4676" s="77"/>
      <c r="I4676" s="76"/>
      <c r="J4676" s="77"/>
      <c r="K4676" s="77"/>
      <c r="L4676" s="76"/>
      <c r="M4676" s="76"/>
      <c r="N4676" s="76"/>
      <c r="O4676" s="76"/>
      <c r="P4676" s="76"/>
      <c r="Q4676" s="76"/>
      <c r="R4676" s="76"/>
      <c r="S4676" s="76"/>
      <c r="BD4676" s="99">
        <f t="shared" si="153"/>
        <v>0</v>
      </c>
      <c r="CC4676" s="99"/>
      <c r="CV4676" s="99"/>
      <c r="CW4676" s="63"/>
    </row>
    <row r="4677" spans="1:101" x14ac:dyDescent="0.15">
      <c r="A4677" s="76">
        <v>4414</v>
      </c>
      <c r="B4677" s="74" t="s">
        <v>6905</v>
      </c>
      <c r="C4677" s="74">
        <v>1066778728</v>
      </c>
      <c r="D4677" s="78" t="str">
        <f t="shared" si="152"/>
        <v>https://portal.dnb.de/opac.htm?method=simpleSearch&amp;cqlMode=true&amp;query=idn%3D1066778728</v>
      </c>
      <c r="E4677" s="74" t="s">
        <v>6906</v>
      </c>
      <c r="F4677" s="74"/>
      <c r="G4677" s="76"/>
      <c r="H4677" s="77"/>
      <c r="I4677" s="76"/>
      <c r="J4677" s="77"/>
      <c r="K4677" s="77"/>
      <c r="L4677" s="76"/>
      <c r="M4677" s="76"/>
      <c r="N4677" s="76"/>
      <c r="O4677" s="76"/>
      <c r="P4677" s="76"/>
      <c r="Q4677" s="76"/>
      <c r="R4677" s="76"/>
      <c r="S4677" s="76"/>
      <c r="BD4677" s="99">
        <f t="shared" si="153"/>
        <v>0</v>
      </c>
      <c r="CC4677" s="99"/>
      <c r="CV4677" s="99"/>
      <c r="CW4677" s="63"/>
    </row>
    <row r="4678" spans="1:101" x14ac:dyDescent="0.15">
      <c r="A4678" s="76">
        <v>4415</v>
      </c>
      <c r="B4678" s="74" t="s">
        <v>6907</v>
      </c>
      <c r="C4678" s="74">
        <v>1066778728</v>
      </c>
      <c r="D4678" s="78" t="str">
        <f t="shared" si="152"/>
        <v>https://portal.dnb.de/opac.htm?method=simpleSearch&amp;cqlMode=true&amp;query=idn%3D1066778728</v>
      </c>
      <c r="E4678" s="74" t="s">
        <v>6908</v>
      </c>
      <c r="F4678" s="74"/>
      <c r="G4678" s="76"/>
      <c r="H4678" s="77"/>
      <c r="I4678" s="76"/>
      <c r="J4678" s="77"/>
      <c r="K4678" s="77"/>
      <c r="L4678" s="76"/>
      <c r="M4678" s="76"/>
      <c r="N4678" s="76"/>
      <c r="O4678" s="76"/>
      <c r="P4678" s="76"/>
      <c r="Q4678" s="76"/>
      <c r="R4678" s="76"/>
      <c r="S4678" s="76"/>
      <c r="BD4678" s="99">
        <f t="shared" si="153"/>
        <v>0</v>
      </c>
      <c r="CC4678" s="99"/>
      <c r="CV4678" s="99"/>
      <c r="CW4678" s="63"/>
    </row>
    <row r="4679" spans="1:101" x14ac:dyDescent="0.15">
      <c r="A4679" s="76">
        <v>4416</v>
      </c>
      <c r="B4679" s="74" t="s">
        <v>6909</v>
      </c>
      <c r="C4679" s="74">
        <v>1066861293</v>
      </c>
      <c r="D4679" s="78" t="str">
        <f t="shared" si="152"/>
        <v>https://portal.dnb.de/opac.htm?method=simpleSearch&amp;cqlMode=true&amp;query=idn%3D1066861293</v>
      </c>
      <c r="E4679" s="74" t="s">
        <v>6910</v>
      </c>
      <c r="F4679" s="74"/>
      <c r="G4679" s="76"/>
      <c r="H4679" s="77"/>
      <c r="I4679" s="76"/>
      <c r="J4679" s="77"/>
      <c r="K4679" s="77"/>
      <c r="L4679" s="76"/>
      <c r="M4679" s="76"/>
      <c r="N4679" s="76"/>
      <c r="O4679" s="76"/>
      <c r="P4679" s="76"/>
      <c r="Q4679" s="76"/>
      <c r="R4679" s="76"/>
      <c r="S4679" s="76"/>
      <c r="BD4679" s="99">
        <f t="shared" si="153"/>
        <v>0</v>
      </c>
      <c r="CC4679" s="99"/>
      <c r="CV4679" s="99"/>
      <c r="CW4679" s="63"/>
    </row>
    <row r="4680" spans="1:101" x14ac:dyDescent="0.15">
      <c r="A4680" s="76">
        <v>4417</v>
      </c>
      <c r="B4680" s="74" t="s">
        <v>7012</v>
      </c>
      <c r="C4680" s="74" t="s">
        <v>7013</v>
      </c>
      <c r="D4680" s="78" t="str">
        <f t="shared" si="152"/>
        <v>https://portal.dnb.de/opac.htm?method=simpleSearch&amp;cqlMode=true&amp;query=idn%3D113265484X</v>
      </c>
      <c r="E4680" s="74" t="s">
        <v>7014</v>
      </c>
      <c r="F4680" s="74"/>
      <c r="G4680" s="76"/>
      <c r="H4680" s="77"/>
      <c r="I4680" s="76"/>
      <c r="J4680" s="77"/>
      <c r="K4680" s="77"/>
      <c r="L4680" s="76"/>
      <c r="M4680" s="76"/>
      <c r="N4680" s="76"/>
      <c r="O4680" s="76"/>
      <c r="P4680" s="76"/>
      <c r="Q4680" s="76"/>
      <c r="R4680" s="76"/>
      <c r="S4680" s="76"/>
      <c r="BD4680" s="99">
        <f t="shared" si="153"/>
        <v>0</v>
      </c>
      <c r="CC4680" s="99"/>
      <c r="CV4680" s="99"/>
      <c r="CW4680" s="63"/>
    </row>
    <row r="4681" spans="1:101" x14ac:dyDescent="0.15">
      <c r="A4681" s="76">
        <v>4418</v>
      </c>
      <c r="B4681" s="74" t="s">
        <v>7015</v>
      </c>
      <c r="C4681" s="74">
        <v>1132654831</v>
      </c>
      <c r="D4681" s="78" t="str">
        <f t="shared" si="152"/>
        <v>https://portal.dnb.de/opac.htm?method=simpleSearch&amp;cqlMode=true&amp;query=idn%3D1132654831</v>
      </c>
      <c r="E4681" s="74" t="s">
        <v>7014</v>
      </c>
      <c r="F4681" s="74"/>
      <c r="G4681" s="76"/>
      <c r="H4681" s="77"/>
      <c r="I4681" s="76"/>
      <c r="J4681" s="77"/>
      <c r="K4681" s="77"/>
      <c r="L4681" s="76"/>
      <c r="M4681" s="76"/>
      <c r="N4681" s="76"/>
      <c r="O4681" s="76"/>
      <c r="P4681" s="76"/>
      <c r="Q4681" s="76"/>
      <c r="R4681" s="76"/>
      <c r="S4681" s="76"/>
      <c r="BD4681" s="99">
        <f t="shared" si="153"/>
        <v>0</v>
      </c>
      <c r="CC4681" s="99"/>
      <c r="CV4681" s="99"/>
      <c r="CW4681" s="63"/>
    </row>
    <row r="4682" spans="1:101" x14ac:dyDescent="0.15">
      <c r="A4682" s="76">
        <v>4419</v>
      </c>
      <c r="B4682" s="74" t="s">
        <v>7050</v>
      </c>
      <c r="C4682" s="74">
        <v>1066753253</v>
      </c>
      <c r="D4682" s="78" t="str">
        <f t="shared" si="152"/>
        <v>https://portal.dnb.de/opac.htm?method=simpleSearch&amp;cqlMode=true&amp;query=idn%3D1066753253</v>
      </c>
      <c r="E4682" s="74" t="s">
        <v>7051</v>
      </c>
      <c r="F4682" s="74"/>
      <c r="G4682" s="76"/>
      <c r="H4682" s="77"/>
      <c r="I4682" s="76"/>
      <c r="J4682" s="77"/>
      <c r="K4682" s="77"/>
      <c r="L4682" s="76"/>
      <c r="M4682" s="76"/>
      <c r="N4682" s="76"/>
      <c r="O4682" s="76"/>
      <c r="P4682" s="76"/>
      <c r="Q4682" s="76"/>
      <c r="R4682" s="76"/>
      <c r="S4682" s="76"/>
      <c r="BD4682" s="99">
        <f t="shared" si="153"/>
        <v>0</v>
      </c>
      <c r="CC4682" s="99"/>
      <c r="CV4682" s="99"/>
      <c r="CW4682" s="63"/>
    </row>
    <row r="4683" spans="1:101" ht="33.75" x14ac:dyDescent="0.15">
      <c r="A4683" s="76">
        <v>4420</v>
      </c>
      <c r="B4683" s="74" t="s">
        <v>7065</v>
      </c>
      <c r="C4683" s="74">
        <v>1132655234</v>
      </c>
      <c r="D4683" s="78" t="str">
        <f t="shared" si="152"/>
        <v>https://portal.dnb.de/opac.htm?method=simpleSearch&amp;cqlMode=true&amp;query=idn%3D1132655234</v>
      </c>
      <c r="E4683" s="74" t="s">
        <v>10312</v>
      </c>
      <c r="F4683" s="74"/>
      <c r="G4683" s="76"/>
      <c r="H4683" s="77"/>
      <c r="I4683" s="76" t="s">
        <v>54</v>
      </c>
      <c r="J4683" s="77"/>
      <c r="K4683" s="77"/>
      <c r="L4683" s="76"/>
      <c r="M4683" s="76"/>
      <c r="N4683" s="76"/>
      <c r="O4683" s="76"/>
      <c r="P4683" s="76"/>
      <c r="Q4683" s="76"/>
      <c r="R4683" s="76"/>
      <c r="S4683" s="76"/>
      <c r="Y4683" s="95" t="s">
        <v>9725</v>
      </c>
      <c r="AC4683" s="95" t="s">
        <v>9739</v>
      </c>
      <c r="AI4683" s="95" t="s">
        <v>9725</v>
      </c>
      <c r="AW4683" s="95" t="s">
        <v>9733</v>
      </c>
      <c r="BC4683" s="96" t="s">
        <v>9726</v>
      </c>
      <c r="BD4683" s="99">
        <f t="shared" si="153"/>
        <v>2</v>
      </c>
      <c r="BJ4683" s="95" t="s">
        <v>9741</v>
      </c>
      <c r="BK4683" s="95" t="s">
        <v>8541</v>
      </c>
      <c r="BP4683" s="69" t="s">
        <v>8541</v>
      </c>
      <c r="BR4683" s="95" t="s">
        <v>8541</v>
      </c>
      <c r="CC4683" s="99">
        <v>2</v>
      </c>
      <c r="CD4683" s="90" t="s">
        <v>10314</v>
      </c>
      <c r="CV4683" s="99"/>
      <c r="CW4683" s="63"/>
    </row>
    <row r="4684" spans="1:101" ht="22.5" x14ac:dyDescent="0.15">
      <c r="A4684" s="76">
        <v>4421</v>
      </c>
      <c r="B4684" s="74" t="s">
        <v>7066</v>
      </c>
      <c r="C4684" s="74">
        <v>1132655242</v>
      </c>
      <c r="D4684" s="78" t="str">
        <f t="shared" si="152"/>
        <v>https://portal.dnb.de/opac.htm?method=simpleSearch&amp;cqlMode=true&amp;query=idn%3D1132655242</v>
      </c>
      <c r="E4684" s="74" t="s">
        <v>10313</v>
      </c>
      <c r="F4684" s="74"/>
      <c r="G4684" s="76"/>
      <c r="H4684" s="77"/>
      <c r="I4684" s="76" t="s">
        <v>54</v>
      </c>
      <c r="J4684" s="77"/>
      <c r="K4684" s="77"/>
      <c r="L4684" s="76"/>
      <c r="M4684" s="76"/>
      <c r="N4684" s="76"/>
      <c r="O4684" s="76"/>
      <c r="P4684" s="76"/>
      <c r="Q4684" s="76"/>
      <c r="R4684" s="76"/>
      <c r="S4684" s="76"/>
      <c r="Y4684" s="95" t="s">
        <v>9725</v>
      </c>
      <c r="AC4684" s="95" t="s">
        <v>9739</v>
      </c>
      <c r="AI4684" s="95" t="s">
        <v>9725</v>
      </c>
      <c r="AW4684" s="95" t="s">
        <v>9733</v>
      </c>
      <c r="BC4684" s="96" t="s">
        <v>9726</v>
      </c>
      <c r="BD4684" s="99">
        <f t="shared" si="153"/>
        <v>1</v>
      </c>
      <c r="BJ4684" s="95" t="s">
        <v>9741</v>
      </c>
      <c r="BK4684" s="95" t="s">
        <v>8541</v>
      </c>
      <c r="BP4684" s="69" t="s">
        <v>10316</v>
      </c>
      <c r="BR4684" s="95" t="s">
        <v>8541</v>
      </c>
      <c r="CC4684" s="99">
        <v>1</v>
      </c>
      <c r="CD4684" s="90" t="s">
        <v>10315</v>
      </c>
      <c r="CV4684" s="99"/>
      <c r="CW4684" s="63"/>
    </row>
    <row r="4685" spans="1:101" x14ac:dyDescent="0.15">
      <c r="A4685" s="76">
        <v>4422</v>
      </c>
      <c r="B4685" s="74" t="s">
        <v>7067</v>
      </c>
      <c r="C4685" s="74">
        <v>1066753245</v>
      </c>
      <c r="D4685" s="78" t="str">
        <f t="shared" si="152"/>
        <v>https://portal.dnb.de/opac.htm?method=simpleSearch&amp;cqlMode=true&amp;query=idn%3D1066753245</v>
      </c>
      <c r="E4685" s="74" t="s">
        <v>7068</v>
      </c>
      <c r="F4685" s="74"/>
      <c r="G4685" s="76"/>
      <c r="H4685" s="77"/>
      <c r="I4685" s="76"/>
      <c r="J4685" s="77"/>
      <c r="K4685" s="77"/>
      <c r="L4685" s="76"/>
      <c r="M4685" s="76"/>
      <c r="N4685" s="76"/>
      <c r="O4685" s="76"/>
      <c r="P4685" s="76"/>
      <c r="Q4685" s="76"/>
      <c r="R4685" s="76"/>
      <c r="S4685" s="76"/>
      <c r="BD4685" s="99">
        <f t="shared" si="153"/>
        <v>0</v>
      </c>
      <c r="CC4685" s="99"/>
      <c r="CV4685" s="99"/>
      <c r="CW4685" s="63"/>
    </row>
    <row r="4686" spans="1:101" x14ac:dyDescent="0.15">
      <c r="A4686" s="76">
        <v>4423</v>
      </c>
      <c r="B4686" s="74" t="s">
        <v>7069</v>
      </c>
      <c r="C4686" s="74">
        <v>1066753962</v>
      </c>
      <c r="D4686" s="78" t="str">
        <f t="shared" si="152"/>
        <v>https://portal.dnb.de/opac.htm?method=simpleSearch&amp;cqlMode=true&amp;query=idn%3D1066753962</v>
      </c>
      <c r="E4686" s="74" t="s">
        <v>7070</v>
      </c>
      <c r="F4686" s="74"/>
      <c r="G4686" s="76"/>
      <c r="H4686" s="77"/>
      <c r="I4686" s="76"/>
      <c r="J4686" s="77"/>
      <c r="K4686" s="77"/>
      <c r="L4686" s="76"/>
      <c r="M4686" s="76"/>
      <c r="N4686" s="76"/>
      <c r="O4686" s="76"/>
      <c r="P4686" s="76"/>
      <c r="Q4686" s="76"/>
      <c r="R4686" s="76"/>
      <c r="S4686" s="76"/>
      <c r="BD4686" s="99">
        <f t="shared" si="153"/>
        <v>0</v>
      </c>
      <c r="CC4686" s="99"/>
      <c r="CV4686" s="99"/>
      <c r="CW4686" s="63"/>
    </row>
    <row r="4687" spans="1:101" ht="22.5" x14ac:dyDescent="0.15">
      <c r="A4687" s="76">
        <v>4424</v>
      </c>
      <c r="B4687" s="74" t="s">
        <v>7071</v>
      </c>
      <c r="C4687" s="74">
        <v>995386358</v>
      </c>
      <c r="D4687" s="78" t="str">
        <f t="shared" si="152"/>
        <v>https://portal.dnb.de/opac.htm?method=simpleSearch&amp;cqlMode=true&amp;query=idn%3D995386358</v>
      </c>
      <c r="E4687" s="74" t="s">
        <v>7072</v>
      </c>
      <c r="F4687" s="74"/>
      <c r="G4687" s="76"/>
      <c r="H4687" s="77"/>
      <c r="I4687" s="76" t="s">
        <v>53</v>
      </c>
      <c r="J4687" s="77"/>
      <c r="K4687" s="77"/>
      <c r="L4687" s="76"/>
      <c r="M4687" s="76"/>
      <c r="N4687" s="76"/>
      <c r="O4687" s="76"/>
      <c r="P4687" s="76"/>
      <c r="Q4687" s="76"/>
      <c r="R4687" s="76"/>
      <c r="S4687" s="76"/>
      <c r="Y4687" s="95" t="s">
        <v>9729</v>
      </c>
      <c r="AC4687" s="95" t="s">
        <v>9730</v>
      </c>
      <c r="AI4687" s="95" t="s">
        <v>9725</v>
      </c>
      <c r="AW4687" s="95">
        <v>60</v>
      </c>
      <c r="BB4687" s="95" t="s">
        <v>8541</v>
      </c>
      <c r="BC4687" s="96" t="s">
        <v>9726</v>
      </c>
      <c r="BD4687" s="99">
        <f t="shared" si="153"/>
        <v>2</v>
      </c>
      <c r="BP4687" s="69" t="s">
        <v>8541</v>
      </c>
      <c r="BQ4687" s="95" t="s">
        <v>8541</v>
      </c>
      <c r="BR4687" s="95" t="s">
        <v>8541</v>
      </c>
      <c r="CC4687" s="99">
        <v>2</v>
      </c>
      <c r="CD4687" s="90" t="s">
        <v>10317</v>
      </c>
      <c r="CV4687" s="99"/>
      <c r="CW4687" s="63"/>
    </row>
    <row r="4688" spans="1:101" x14ac:dyDescent="0.15">
      <c r="A4688" s="76">
        <v>4425</v>
      </c>
      <c r="B4688" s="74" t="s">
        <v>7073</v>
      </c>
      <c r="C4688" s="74">
        <v>1001760409</v>
      </c>
      <c r="D4688" s="78" t="str">
        <f t="shared" si="152"/>
        <v>https://portal.dnb.de/opac.htm?method=simpleSearch&amp;cqlMode=true&amp;query=idn%3D1001760409</v>
      </c>
      <c r="E4688" s="74" t="s">
        <v>7074</v>
      </c>
      <c r="F4688" s="74"/>
      <c r="G4688" s="76"/>
      <c r="H4688" s="77"/>
      <c r="I4688" s="76"/>
      <c r="J4688" s="77"/>
      <c r="K4688" s="77"/>
      <c r="L4688" s="76"/>
      <c r="M4688" s="76"/>
      <c r="N4688" s="76"/>
      <c r="O4688" s="76"/>
      <c r="P4688" s="76"/>
      <c r="Q4688" s="76"/>
      <c r="R4688" s="76"/>
      <c r="S4688" s="76"/>
      <c r="BD4688" s="99">
        <f t="shared" si="153"/>
        <v>0</v>
      </c>
      <c r="CC4688" s="99"/>
      <c r="CV4688" s="99"/>
      <c r="CW4688" s="63"/>
    </row>
    <row r="4689" spans="1:101" x14ac:dyDescent="0.15">
      <c r="A4689" s="76">
        <v>4426</v>
      </c>
      <c r="B4689" s="74" t="s">
        <v>6911</v>
      </c>
      <c r="C4689" s="74">
        <v>1001821238</v>
      </c>
      <c r="D4689" s="78" t="str">
        <f t="shared" si="152"/>
        <v>https://portal.dnb.de/opac.htm?method=simpleSearch&amp;cqlMode=true&amp;query=idn%3D1001821238</v>
      </c>
      <c r="E4689" s="74" t="s">
        <v>6912</v>
      </c>
      <c r="F4689" s="74"/>
      <c r="G4689" s="76"/>
      <c r="H4689" s="77"/>
      <c r="I4689" s="76"/>
      <c r="J4689" s="77"/>
      <c r="K4689" s="77"/>
      <c r="L4689" s="76"/>
      <c r="M4689" s="76"/>
      <c r="N4689" s="76"/>
      <c r="O4689" s="76"/>
      <c r="P4689" s="76"/>
      <c r="Q4689" s="76"/>
      <c r="R4689" s="76"/>
      <c r="S4689" s="76"/>
      <c r="BD4689" s="99">
        <f t="shared" si="153"/>
        <v>0</v>
      </c>
      <c r="CC4689" s="99"/>
      <c r="CV4689" s="99"/>
      <c r="CW4689" s="63"/>
    </row>
    <row r="4690" spans="1:101" x14ac:dyDescent="0.15">
      <c r="A4690" s="76">
        <v>4427</v>
      </c>
      <c r="B4690" s="74" t="s">
        <v>6913</v>
      </c>
      <c r="C4690" s="74">
        <v>1002781582</v>
      </c>
      <c r="D4690" s="78" t="str">
        <f t="shared" si="152"/>
        <v>https://portal.dnb.de/opac.htm?method=simpleSearch&amp;cqlMode=true&amp;query=idn%3D1002781582</v>
      </c>
      <c r="E4690" s="74" t="s">
        <v>6914</v>
      </c>
      <c r="F4690" s="74"/>
      <c r="G4690" s="76"/>
      <c r="H4690" s="77"/>
      <c r="I4690" s="76"/>
      <c r="J4690" s="77"/>
      <c r="K4690" s="77"/>
      <c r="L4690" s="76"/>
      <c r="M4690" s="76"/>
      <c r="N4690" s="76"/>
      <c r="O4690" s="76"/>
      <c r="P4690" s="76"/>
      <c r="Q4690" s="76"/>
      <c r="R4690" s="76"/>
      <c r="S4690" s="76"/>
      <c r="BD4690" s="99">
        <f t="shared" si="153"/>
        <v>0</v>
      </c>
      <c r="CC4690" s="99"/>
      <c r="CV4690" s="99"/>
      <c r="CW4690" s="63"/>
    </row>
    <row r="4691" spans="1:101" x14ac:dyDescent="0.15">
      <c r="A4691" s="76">
        <v>4428</v>
      </c>
      <c r="B4691" s="74" t="s">
        <v>6915</v>
      </c>
      <c r="C4691" s="74">
        <v>998899143</v>
      </c>
      <c r="D4691" s="78" t="str">
        <f t="shared" si="152"/>
        <v>https://portal.dnb.de/opac.htm?method=simpleSearch&amp;cqlMode=true&amp;query=idn%3D998899143</v>
      </c>
      <c r="E4691" s="74" t="s">
        <v>6916</v>
      </c>
      <c r="F4691" s="74"/>
      <c r="G4691" s="76"/>
      <c r="H4691" s="77"/>
      <c r="I4691" s="76"/>
      <c r="J4691" s="77"/>
      <c r="K4691" s="77"/>
      <c r="L4691" s="76"/>
      <c r="M4691" s="76"/>
      <c r="N4691" s="76"/>
      <c r="O4691" s="76"/>
      <c r="P4691" s="76"/>
      <c r="Q4691" s="76"/>
      <c r="R4691" s="76"/>
      <c r="S4691" s="76"/>
      <c r="BD4691" s="99">
        <f t="shared" si="153"/>
        <v>0</v>
      </c>
      <c r="CC4691" s="99"/>
      <c r="CV4691" s="99"/>
      <c r="CW4691" s="63"/>
    </row>
    <row r="4692" spans="1:101" x14ac:dyDescent="0.15">
      <c r="A4692" s="76">
        <v>4429</v>
      </c>
      <c r="B4692" s="74" t="s">
        <v>6917</v>
      </c>
      <c r="C4692" s="74">
        <v>994248318</v>
      </c>
      <c r="D4692" s="78" t="str">
        <f t="shared" si="152"/>
        <v>https://portal.dnb.de/opac.htm?method=simpleSearch&amp;cqlMode=true&amp;query=idn%3D994248318</v>
      </c>
      <c r="E4692" s="74" t="s">
        <v>6918</v>
      </c>
      <c r="F4692" s="74"/>
      <c r="G4692" s="76"/>
      <c r="H4692" s="77"/>
      <c r="I4692" s="76"/>
      <c r="J4692" s="77"/>
      <c r="K4692" s="77"/>
      <c r="L4692" s="76"/>
      <c r="M4692" s="76"/>
      <c r="N4692" s="76"/>
      <c r="O4692" s="76"/>
      <c r="P4692" s="76"/>
      <c r="Q4692" s="76"/>
      <c r="R4692" s="76"/>
      <c r="S4692" s="76"/>
      <c r="BD4692" s="99">
        <f t="shared" si="153"/>
        <v>0</v>
      </c>
      <c r="CC4692" s="99"/>
      <c r="CV4692" s="99"/>
      <c r="CW4692" s="63"/>
    </row>
    <row r="4693" spans="1:101" x14ac:dyDescent="0.15">
      <c r="A4693" s="76">
        <v>4430</v>
      </c>
      <c r="B4693" s="74" t="s">
        <v>6919</v>
      </c>
      <c r="C4693" s="74">
        <v>994248369</v>
      </c>
      <c r="D4693" s="78" t="str">
        <f t="shared" si="152"/>
        <v>https://portal.dnb.de/opac.htm?method=simpleSearch&amp;cqlMode=true&amp;query=idn%3D994248369</v>
      </c>
      <c r="E4693" s="74" t="s">
        <v>6918</v>
      </c>
      <c r="F4693" s="74"/>
      <c r="G4693" s="76"/>
      <c r="H4693" s="77"/>
      <c r="I4693" s="76"/>
      <c r="J4693" s="77"/>
      <c r="K4693" s="77"/>
      <c r="L4693" s="76"/>
      <c r="M4693" s="76"/>
      <c r="N4693" s="76"/>
      <c r="O4693" s="76"/>
      <c r="P4693" s="76"/>
      <c r="Q4693" s="76"/>
      <c r="R4693" s="76"/>
      <c r="S4693" s="76"/>
      <c r="BD4693" s="99">
        <f t="shared" si="153"/>
        <v>0</v>
      </c>
      <c r="CC4693" s="99"/>
      <c r="CV4693" s="99"/>
      <c r="CW4693" s="63"/>
    </row>
    <row r="4694" spans="1:101" x14ac:dyDescent="0.15">
      <c r="A4694" s="76">
        <v>4431</v>
      </c>
      <c r="B4694" s="74" t="s">
        <v>6926</v>
      </c>
      <c r="C4694" s="74" t="s">
        <v>6927</v>
      </c>
      <c r="D4694" s="78" t="str">
        <f t="shared" si="152"/>
        <v>https://portal.dnb.de/opac.htm?method=simpleSearch&amp;cqlMode=true&amp;query=idn%3D99391490X</v>
      </c>
      <c r="E4694" s="74" t="s">
        <v>6928</v>
      </c>
      <c r="F4694" s="74"/>
      <c r="G4694" s="76"/>
      <c r="H4694" s="77"/>
      <c r="I4694" s="76"/>
      <c r="J4694" s="77"/>
      <c r="K4694" s="77"/>
      <c r="L4694" s="76"/>
      <c r="M4694" s="76"/>
      <c r="N4694" s="76"/>
      <c r="O4694" s="76"/>
      <c r="P4694" s="76"/>
      <c r="Q4694" s="76"/>
      <c r="R4694" s="76"/>
      <c r="S4694" s="76"/>
      <c r="BD4694" s="99">
        <f t="shared" si="153"/>
        <v>0</v>
      </c>
      <c r="CC4694" s="99"/>
      <c r="CV4694" s="99"/>
      <c r="CW4694" s="63"/>
    </row>
    <row r="4695" spans="1:101" x14ac:dyDescent="0.15">
      <c r="A4695" s="76">
        <v>4432</v>
      </c>
      <c r="B4695" s="74" t="s">
        <v>6929</v>
      </c>
      <c r="C4695" s="74">
        <v>999972286</v>
      </c>
      <c r="D4695" s="78" t="str">
        <f t="shared" si="152"/>
        <v>https://portal.dnb.de/opac.htm?method=simpleSearch&amp;cqlMode=true&amp;query=idn%3D999972286</v>
      </c>
      <c r="E4695" s="74" t="s">
        <v>6930</v>
      </c>
      <c r="F4695" s="74"/>
      <c r="G4695" s="76"/>
      <c r="H4695" s="77"/>
      <c r="I4695" s="76"/>
      <c r="J4695" s="77"/>
      <c r="K4695" s="77"/>
      <c r="L4695" s="76"/>
      <c r="M4695" s="76"/>
      <c r="N4695" s="76"/>
      <c r="O4695" s="76"/>
      <c r="P4695" s="76"/>
      <c r="Q4695" s="76"/>
      <c r="R4695" s="76"/>
      <c r="S4695" s="76"/>
      <c r="BD4695" s="99">
        <f t="shared" si="153"/>
        <v>0</v>
      </c>
      <c r="CC4695" s="99"/>
      <c r="CV4695" s="99"/>
      <c r="CW4695" s="63"/>
    </row>
    <row r="4696" spans="1:101" x14ac:dyDescent="0.15">
      <c r="A4696" s="76">
        <v>4433</v>
      </c>
      <c r="B4696" s="74" t="s">
        <v>6931</v>
      </c>
      <c r="C4696" s="74">
        <v>1002437547</v>
      </c>
      <c r="D4696" s="78" t="str">
        <f t="shared" si="152"/>
        <v>https://portal.dnb.de/opac.htm?method=simpleSearch&amp;cqlMode=true&amp;query=idn%3D1002437547</v>
      </c>
      <c r="E4696" s="74" t="s">
        <v>6930</v>
      </c>
      <c r="F4696" s="74"/>
      <c r="G4696" s="76"/>
      <c r="H4696" s="77"/>
      <c r="I4696" s="76"/>
      <c r="J4696" s="77"/>
      <c r="K4696" s="77"/>
      <c r="L4696" s="76"/>
      <c r="M4696" s="76"/>
      <c r="N4696" s="76"/>
      <c r="O4696" s="76"/>
      <c r="P4696" s="76"/>
      <c r="Q4696" s="76"/>
      <c r="R4696" s="76"/>
      <c r="S4696" s="76"/>
      <c r="BD4696" s="99">
        <f t="shared" si="153"/>
        <v>0</v>
      </c>
      <c r="CC4696" s="99"/>
      <c r="CV4696" s="99"/>
      <c r="CW4696" s="63"/>
    </row>
    <row r="4697" spans="1:101" x14ac:dyDescent="0.15">
      <c r="A4697" s="76">
        <v>4434</v>
      </c>
      <c r="B4697" s="74" t="s">
        <v>6932</v>
      </c>
      <c r="C4697" s="74">
        <v>994047983</v>
      </c>
      <c r="D4697" s="78" t="str">
        <f t="shared" si="152"/>
        <v>https://portal.dnb.de/opac.htm?method=simpleSearch&amp;cqlMode=true&amp;query=idn%3D994047983</v>
      </c>
      <c r="E4697" s="74" t="s">
        <v>6933</v>
      </c>
      <c r="F4697" s="74"/>
      <c r="G4697" s="76"/>
      <c r="H4697" s="77"/>
      <c r="I4697" s="76"/>
      <c r="J4697" s="77"/>
      <c r="K4697" s="77"/>
      <c r="L4697" s="76"/>
      <c r="M4697" s="76"/>
      <c r="N4697" s="76"/>
      <c r="O4697" s="76"/>
      <c r="P4697" s="76"/>
      <c r="Q4697" s="76"/>
      <c r="R4697" s="76"/>
      <c r="S4697" s="76"/>
      <c r="BD4697" s="99">
        <f t="shared" si="153"/>
        <v>0</v>
      </c>
      <c r="CC4697" s="99"/>
      <c r="CV4697" s="99"/>
      <c r="CW4697" s="63"/>
    </row>
    <row r="4698" spans="1:101" x14ac:dyDescent="0.15">
      <c r="A4698" s="76">
        <v>4435</v>
      </c>
      <c r="B4698" s="74" t="s">
        <v>6934</v>
      </c>
      <c r="C4698" s="74">
        <v>994877242</v>
      </c>
      <c r="D4698" s="78" t="str">
        <f t="shared" si="152"/>
        <v>https://portal.dnb.de/opac.htm?method=simpleSearch&amp;cqlMode=true&amp;query=idn%3D994877242</v>
      </c>
      <c r="E4698" s="74" t="s">
        <v>6935</v>
      </c>
      <c r="F4698" s="74"/>
      <c r="G4698" s="76"/>
      <c r="H4698" s="77"/>
      <c r="I4698" s="76"/>
      <c r="J4698" s="77"/>
      <c r="K4698" s="77"/>
      <c r="L4698" s="76"/>
      <c r="M4698" s="76"/>
      <c r="N4698" s="76"/>
      <c r="O4698" s="76"/>
      <c r="P4698" s="76"/>
      <c r="Q4698" s="76"/>
      <c r="R4698" s="76"/>
      <c r="S4698" s="76"/>
      <c r="BD4698" s="99">
        <f t="shared" si="153"/>
        <v>0</v>
      </c>
      <c r="CC4698" s="99"/>
      <c r="CV4698" s="99"/>
      <c r="CW4698" s="63"/>
    </row>
    <row r="4699" spans="1:101" x14ac:dyDescent="0.15">
      <c r="A4699" s="76">
        <v>4436</v>
      </c>
      <c r="B4699" s="74" t="s">
        <v>6936</v>
      </c>
      <c r="C4699" s="74">
        <v>998677078</v>
      </c>
      <c r="D4699" s="78" t="str">
        <f t="shared" si="152"/>
        <v>https://portal.dnb.de/opac.htm?method=simpleSearch&amp;cqlMode=true&amp;query=idn%3D998677078</v>
      </c>
      <c r="E4699" s="74" t="s">
        <v>6937</v>
      </c>
      <c r="F4699" s="74"/>
      <c r="G4699" s="76"/>
      <c r="H4699" s="77"/>
      <c r="I4699" s="76"/>
      <c r="J4699" s="77"/>
      <c r="K4699" s="77"/>
      <c r="L4699" s="76"/>
      <c r="M4699" s="76"/>
      <c r="N4699" s="76"/>
      <c r="O4699" s="76"/>
      <c r="P4699" s="76"/>
      <c r="Q4699" s="76"/>
      <c r="R4699" s="76"/>
      <c r="S4699" s="76"/>
      <c r="BD4699" s="99">
        <f t="shared" si="153"/>
        <v>0</v>
      </c>
      <c r="CC4699" s="99"/>
      <c r="CV4699" s="99"/>
      <c r="CW4699" s="63"/>
    </row>
    <row r="4700" spans="1:101" x14ac:dyDescent="0.15">
      <c r="A4700" s="76">
        <v>4437</v>
      </c>
      <c r="B4700" s="74" t="s">
        <v>6938</v>
      </c>
      <c r="C4700" s="74">
        <v>993860184</v>
      </c>
      <c r="D4700" s="78" t="str">
        <f t="shared" si="152"/>
        <v>https://portal.dnb.de/opac.htm?method=simpleSearch&amp;cqlMode=true&amp;query=idn%3D993860184</v>
      </c>
      <c r="E4700" s="74" t="s">
        <v>6939</v>
      </c>
      <c r="F4700" s="74"/>
      <c r="G4700" s="76"/>
      <c r="H4700" s="77"/>
      <c r="I4700" s="76"/>
      <c r="J4700" s="77"/>
      <c r="K4700" s="77"/>
      <c r="L4700" s="76"/>
      <c r="M4700" s="76"/>
      <c r="N4700" s="76"/>
      <c r="O4700" s="76"/>
      <c r="P4700" s="76"/>
      <c r="Q4700" s="76"/>
      <c r="R4700" s="76"/>
      <c r="S4700" s="76"/>
      <c r="BD4700" s="99">
        <f t="shared" si="153"/>
        <v>0</v>
      </c>
      <c r="CC4700" s="99"/>
      <c r="CV4700" s="99"/>
      <c r="CW4700" s="63"/>
    </row>
    <row r="4701" spans="1:101" x14ac:dyDescent="0.15">
      <c r="A4701" s="76">
        <v>4438</v>
      </c>
      <c r="B4701" s="74" t="s">
        <v>6940</v>
      </c>
      <c r="C4701" s="74">
        <v>999418718</v>
      </c>
      <c r="D4701" s="78" t="str">
        <f t="shared" si="152"/>
        <v>https://portal.dnb.de/opac.htm?method=simpleSearch&amp;cqlMode=true&amp;query=idn%3D999418718</v>
      </c>
      <c r="E4701" s="74" t="s">
        <v>6941</v>
      </c>
      <c r="F4701" s="74"/>
      <c r="G4701" s="76"/>
      <c r="H4701" s="77"/>
      <c r="I4701" s="76"/>
      <c r="J4701" s="77"/>
      <c r="K4701" s="77"/>
      <c r="L4701" s="76"/>
      <c r="M4701" s="76"/>
      <c r="N4701" s="76"/>
      <c r="O4701" s="76"/>
      <c r="P4701" s="76"/>
      <c r="Q4701" s="76"/>
      <c r="R4701" s="76"/>
      <c r="S4701" s="76"/>
      <c r="BD4701" s="99">
        <f t="shared" si="153"/>
        <v>0</v>
      </c>
      <c r="CC4701" s="99"/>
      <c r="CV4701" s="99"/>
      <c r="CW4701" s="63"/>
    </row>
    <row r="4702" spans="1:101" x14ac:dyDescent="0.15">
      <c r="A4702" s="76">
        <v>4439</v>
      </c>
      <c r="B4702" s="74" t="s">
        <v>6942</v>
      </c>
      <c r="C4702" s="74">
        <v>999418688</v>
      </c>
      <c r="D4702" s="78" t="str">
        <f t="shared" si="152"/>
        <v>https://portal.dnb.de/opac.htm?method=simpleSearch&amp;cqlMode=true&amp;query=idn%3D999418688</v>
      </c>
      <c r="E4702" s="74" t="s">
        <v>6941</v>
      </c>
      <c r="F4702" s="74"/>
      <c r="G4702" s="76"/>
      <c r="H4702" s="77"/>
      <c r="I4702" s="76"/>
      <c r="J4702" s="77"/>
      <c r="K4702" s="77"/>
      <c r="L4702" s="76"/>
      <c r="M4702" s="76"/>
      <c r="N4702" s="76"/>
      <c r="O4702" s="76"/>
      <c r="P4702" s="76"/>
      <c r="Q4702" s="76"/>
      <c r="R4702" s="76"/>
      <c r="S4702" s="76"/>
      <c r="BD4702" s="99">
        <f t="shared" si="153"/>
        <v>0</v>
      </c>
      <c r="CC4702" s="99"/>
      <c r="CV4702" s="99"/>
      <c r="CW4702" s="63"/>
    </row>
    <row r="4703" spans="1:101" x14ac:dyDescent="0.15">
      <c r="A4703" s="76">
        <v>4440</v>
      </c>
      <c r="B4703" s="74" t="s">
        <v>6943</v>
      </c>
      <c r="C4703" s="74">
        <v>999418696</v>
      </c>
      <c r="D4703" s="78" t="str">
        <f t="shared" si="152"/>
        <v>https://portal.dnb.de/opac.htm?method=simpleSearch&amp;cqlMode=true&amp;query=idn%3D999418696</v>
      </c>
      <c r="E4703" s="74" t="s">
        <v>6941</v>
      </c>
      <c r="F4703" s="74"/>
      <c r="G4703" s="76"/>
      <c r="H4703" s="77"/>
      <c r="I4703" s="76"/>
      <c r="J4703" s="77"/>
      <c r="K4703" s="77"/>
      <c r="L4703" s="76"/>
      <c r="M4703" s="76"/>
      <c r="N4703" s="76"/>
      <c r="O4703" s="76"/>
      <c r="P4703" s="76"/>
      <c r="Q4703" s="76"/>
      <c r="R4703" s="76"/>
      <c r="S4703" s="76"/>
      <c r="BD4703" s="99">
        <f t="shared" si="153"/>
        <v>0</v>
      </c>
      <c r="CC4703" s="99"/>
      <c r="CV4703" s="99"/>
      <c r="CW4703" s="63"/>
    </row>
    <row r="4704" spans="1:101" x14ac:dyDescent="0.15">
      <c r="A4704" s="76">
        <v>4441</v>
      </c>
      <c r="B4704" s="74" t="s">
        <v>6944</v>
      </c>
      <c r="C4704" s="74" t="s">
        <v>6945</v>
      </c>
      <c r="D4704" s="78" t="str">
        <f t="shared" si="152"/>
        <v>https://portal.dnb.de/opac.htm?method=simpleSearch&amp;cqlMode=true&amp;query=idn%3D99941870X</v>
      </c>
      <c r="E4704" s="74" t="s">
        <v>6941</v>
      </c>
      <c r="F4704" s="74"/>
      <c r="G4704" s="76"/>
      <c r="H4704" s="77"/>
      <c r="I4704" s="76"/>
      <c r="J4704" s="77"/>
      <c r="K4704" s="77"/>
      <c r="L4704" s="76"/>
      <c r="M4704" s="76"/>
      <c r="N4704" s="76"/>
      <c r="O4704" s="76"/>
      <c r="P4704" s="76"/>
      <c r="Q4704" s="76"/>
      <c r="R4704" s="76"/>
      <c r="S4704" s="76"/>
      <c r="BD4704" s="99">
        <f t="shared" si="153"/>
        <v>0</v>
      </c>
      <c r="CC4704" s="99"/>
      <c r="CV4704" s="99"/>
      <c r="CW4704" s="63"/>
    </row>
    <row r="4705" spans="1:101" x14ac:dyDescent="0.15">
      <c r="A4705" s="76">
        <v>4442</v>
      </c>
      <c r="B4705" s="74" t="s">
        <v>6946</v>
      </c>
      <c r="C4705" s="74">
        <v>999418726</v>
      </c>
      <c r="D4705" s="78" t="str">
        <f t="shared" si="152"/>
        <v>https://portal.dnb.de/opac.htm?method=simpleSearch&amp;cqlMode=true&amp;query=idn%3D999418726</v>
      </c>
      <c r="E4705" s="74" t="s">
        <v>6941</v>
      </c>
      <c r="F4705" s="74"/>
      <c r="G4705" s="76"/>
      <c r="H4705" s="77"/>
      <c r="I4705" s="76"/>
      <c r="J4705" s="77"/>
      <c r="K4705" s="77"/>
      <c r="L4705" s="76"/>
      <c r="M4705" s="76"/>
      <c r="N4705" s="76"/>
      <c r="O4705" s="76"/>
      <c r="P4705" s="76"/>
      <c r="Q4705" s="76"/>
      <c r="R4705" s="76"/>
      <c r="S4705" s="76"/>
      <c r="BD4705" s="99">
        <f t="shared" si="153"/>
        <v>0</v>
      </c>
      <c r="CC4705" s="99"/>
      <c r="CV4705" s="99"/>
      <c r="CW4705" s="63"/>
    </row>
    <row r="4706" spans="1:101" x14ac:dyDescent="0.15">
      <c r="A4706" s="76">
        <v>4443</v>
      </c>
      <c r="B4706" s="74" t="s">
        <v>6947</v>
      </c>
      <c r="C4706" s="74">
        <v>999418734</v>
      </c>
      <c r="D4706" s="78" t="str">
        <f t="shared" ref="D4706:D4769" si="154">HYPERLINK(CONCATENATE("https://portal.dnb.de/opac.htm?method=simpleSearch&amp;cqlMode=true&amp;query=idn%3D",C4706))</f>
        <v>https://portal.dnb.de/opac.htm?method=simpleSearch&amp;cqlMode=true&amp;query=idn%3D999418734</v>
      </c>
      <c r="E4706" s="74" t="s">
        <v>6941</v>
      </c>
      <c r="F4706" s="74"/>
      <c r="G4706" s="76"/>
      <c r="H4706" s="77"/>
      <c r="I4706" s="76"/>
      <c r="J4706" s="77"/>
      <c r="K4706" s="77"/>
      <c r="L4706" s="76"/>
      <c r="M4706" s="76"/>
      <c r="N4706" s="76"/>
      <c r="O4706" s="76"/>
      <c r="P4706" s="76"/>
      <c r="Q4706" s="76"/>
      <c r="R4706" s="76"/>
      <c r="S4706" s="76"/>
      <c r="BD4706" s="99">
        <f t="shared" si="153"/>
        <v>0</v>
      </c>
      <c r="CC4706" s="99"/>
      <c r="CV4706" s="99"/>
      <c r="CW4706" s="63"/>
    </row>
    <row r="4707" spans="1:101" x14ac:dyDescent="0.15">
      <c r="A4707" s="76">
        <v>4444</v>
      </c>
      <c r="B4707" s="74" t="s">
        <v>6948</v>
      </c>
      <c r="C4707" s="74">
        <v>1002736919</v>
      </c>
      <c r="D4707" s="78" t="str">
        <f t="shared" si="154"/>
        <v>https://portal.dnb.de/opac.htm?method=simpleSearch&amp;cqlMode=true&amp;query=idn%3D1002736919</v>
      </c>
      <c r="E4707" s="74" t="s">
        <v>6949</v>
      </c>
      <c r="F4707" s="74"/>
      <c r="G4707" s="76"/>
      <c r="H4707" s="77"/>
      <c r="I4707" s="76"/>
      <c r="J4707" s="77"/>
      <c r="K4707" s="77"/>
      <c r="L4707" s="76"/>
      <c r="M4707" s="76"/>
      <c r="N4707" s="76"/>
      <c r="O4707" s="76"/>
      <c r="P4707" s="76"/>
      <c r="Q4707" s="76"/>
      <c r="R4707" s="76"/>
      <c r="S4707" s="76"/>
      <c r="BD4707" s="99">
        <f t="shared" si="153"/>
        <v>0</v>
      </c>
      <c r="CC4707" s="99"/>
      <c r="CV4707" s="99"/>
      <c r="CW4707" s="63"/>
    </row>
    <row r="4708" spans="1:101" x14ac:dyDescent="0.15">
      <c r="A4708" s="76">
        <v>4445</v>
      </c>
      <c r="B4708" s="74" t="s">
        <v>6950</v>
      </c>
      <c r="C4708" s="74">
        <v>1002737052</v>
      </c>
      <c r="D4708" s="78" t="str">
        <f t="shared" si="154"/>
        <v>https://portal.dnb.de/opac.htm?method=simpleSearch&amp;cqlMode=true&amp;query=idn%3D1002737052</v>
      </c>
      <c r="E4708" s="74" t="s">
        <v>6949</v>
      </c>
      <c r="F4708" s="74"/>
      <c r="G4708" s="76"/>
      <c r="H4708" s="77"/>
      <c r="I4708" s="76"/>
      <c r="J4708" s="77"/>
      <c r="K4708" s="77"/>
      <c r="L4708" s="76"/>
      <c r="M4708" s="76"/>
      <c r="N4708" s="76"/>
      <c r="O4708" s="76"/>
      <c r="P4708" s="76"/>
      <c r="Q4708" s="76"/>
      <c r="R4708" s="76"/>
      <c r="S4708" s="76"/>
      <c r="BD4708" s="99">
        <f t="shared" si="153"/>
        <v>0</v>
      </c>
      <c r="CC4708" s="99"/>
      <c r="CV4708" s="99"/>
      <c r="CW4708" s="63"/>
    </row>
    <row r="4709" spans="1:101" x14ac:dyDescent="0.15">
      <c r="A4709" s="76">
        <v>4446</v>
      </c>
      <c r="B4709" s="74" t="s">
        <v>6951</v>
      </c>
      <c r="C4709" s="74">
        <v>1002737028</v>
      </c>
      <c r="D4709" s="78" t="str">
        <f t="shared" si="154"/>
        <v>https://portal.dnb.de/opac.htm?method=simpleSearch&amp;cqlMode=true&amp;query=idn%3D1002737028</v>
      </c>
      <c r="E4709" s="74" t="s">
        <v>6949</v>
      </c>
      <c r="F4709" s="74"/>
      <c r="G4709" s="76"/>
      <c r="H4709" s="77"/>
      <c r="I4709" s="76"/>
      <c r="J4709" s="77"/>
      <c r="K4709" s="77"/>
      <c r="L4709" s="76"/>
      <c r="M4709" s="76"/>
      <c r="N4709" s="76"/>
      <c r="O4709" s="76"/>
      <c r="P4709" s="76"/>
      <c r="Q4709" s="76"/>
      <c r="R4709" s="76"/>
      <c r="S4709" s="76"/>
      <c r="BD4709" s="99">
        <f t="shared" si="153"/>
        <v>0</v>
      </c>
      <c r="CC4709" s="99"/>
      <c r="CV4709" s="99"/>
      <c r="CW4709" s="63"/>
    </row>
    <row r="4710" spans="1:101" x14ac:dyDescent="0.15">
      <c r="A4710" s="76">
        <v>4447</v>
      </c>
      <c r="B4710" s="74" t="s">
        <v>6952</v>
      </c>
      <c r="C4710" s="74">
        <v>995375194</v>
      </c>
      <c r="D4710" s="78" t="str">
        <f t="shared" si="154"/>
        <v>https://portal.dnb.de/opac.htm?method=simpleSearch&amp;cqlMode=true&amp;query=idn%3D995375194</v>
      </c>
      <c r="E4710" s="74" t="s">
        <v>6953</v>
      </c>
      <c r="F4710" s="74"/>
      <c r="G4710" s="76"/>
      <c r="H4710" s="77"/>
      <c r="I4710" s="76"/>
      <c r="J4710" s="77"/>
      <c r="K4710" s="77"/>
      <c r="L4710" s="76"/>
      <c r="M4710" s="76"/>
      <c r="N4710" s="76"/>
      <c r="O4710" s="76"/>
      <c r="P4710" s="76"/>
      <c r="Q4710" s="76"/>
      <c r="R4710" s="76"/>
      <c r="S4710" s="76"/>
      <c r="BD4710" s="99">
        <f t="shared" si="153"/>
        <v>0</v>
      </c>
      <c r="CC4710" s="99"/>
      <c r="CV4710" s="99"/>
      <c r="CW4710" s="63"/>
    </row>
    <row r="4711" spans="1:101" x14ac:dyDescent="0.15">
      <c r="A4711" s="76">
        <v>4448</v>
      </c>
      <c r="B4711" s="74" t="s">
        <v>6954</v>
      </c>
      <c r="C4711" s="74">
        <v>996907963</v>
      </c>
      <c r="D4711" s="78" t="str">
        <f t="shared" si="154"/>
        <v>https://portal.dnb.de/opac.htm?method=simpleSearch&amp;cqlMode=true&amp;query=idn%3D996907963</v>
      </c>
      <c r="E4711" s="74" t="s">
        <v>6955</v>
      </c>
      <c r="F4711" s="74"/>
      <c r="G4711" s="76"/>
      <c r="H4711" s="77"/>
      <c r="I4711" s="76"/>
      <c r="J4711" s="77"/>
      <c r="K4711" s="77"/>
      <c r="L4711" s="76"/>
      <c r="M4711" s="76"/>
      <c r="N4711" s="76"/>
      <c r="O4711" s="76"/>
      <c r="P4711" s="76"/>
      <c r="Q4711" s="76"/>
      <c r="R4711" s="76"/>
      <c r="S4711" s="76"/>
      <c r="BD4711" s="99">
        <f t="shared" si="153"/>
        <v>0</v>
      </c>
      <c r="CC4711" s="99"/>
      <c r="CV4711" s="99"/>
      <c r="CW4711" s="63"/>
    </row>
    <row r="4712" spans="1:101" x14ac:dyDescent="0.15">
      <c r="A4712" s="76">
        <v>4449</v>
      </c>
      <c r="B4712" s="74" t="s">
        <v>6956</v>
      </c>
      <c r="C4712" s="74">
        <v>996908005</v>
      </c>
      <c r="D4712" s="78" t="str">
        <f t="shared" si="154"/>
        <v>https://portal.dnb.de/opac.htm?method=simpleSearch&amp;cqlMode=true&amp;query=idn%3D996908005</v>
      </c>
      <c r="E4712" s="74" t="s">
        <v>6955</v>
      </c>
      <c r="F4712" s="74"/>
      <c r="G4712" s="76"/>
      <c r="H4712" s="77"/>
      <c r="I4712" s="76"/>
      <c r="J4712" s="77"/>
      <c r="K4712" s="77"/>
      <c r="L4712" s="76"/>
      <c r="M4712" s="76"/>
      <c r="N4712" s="76"/>
      <c r="O4712" s="76"/>
      <c r="P4712" s="76"/>
      <c r="Q4712" s="76"/>
      <c r="R4712" s="76"/>
      <c r="S4712" s="76"/>
      <c r="BD4712" s="99">
        <f t="shared" si="153"/>
        <v>0</v>
      </c>
      <c r="CC4712" s="99"/>
      <c r="CV4712" s="99"/>
      <c r="CW4712" s="63"/>
    </row>
    <row r="4713" spans="1:101" x14ac:dyDescent="0.15">
      <c r="A4713" s="76">
        <v>4450</v>
      </c>
      <c r="B4713" s="74" t="s">
        <v>6957</v>
      </c>
      <c r="C4713" s="74">
        <v>996907939</v>
      </c>
      <c r="D4713" s="78" t="str">
        <f t="shared" si="154"/>
        <v>https://portal.dnb.de/opac.htm?method=simpleSearch&amp;cqlMode=true&amp;query=idn%3D996907939</v>
      </c>
      <c r="E4713" s="74" t="s">
        <v>6955</v>
      </c>
      <c r="F4713" s="74"/>
      <c r="G4713" s="76"/>
      <c r="H4713" s="77"/>
      <c r="I4713" s="76"/>
      <c r="J4713" s="77"/>
      <c r="K4713" s="77"/>
      <c r="L4713" s="76"/>
      <c r="M4713" s="76"/>
      <c r="N4713" s="76"/>
      <c r="O4713" s="76"/>
      <c r="P4713" s="76"/>
      <c r="Q4713" s="76"/>
      <c r="R4713" s="76"/>
      <c r="S4713" s="76"/>
      <c r="BD4713" s="99">
        <f t="shared" si="153"/>
        <v>0</v>
      </c>
      <c r="CC4713" s="99"/>
      <c r="CV4713" s="99"/>
      <c r="CW4713" s="63"/>
    </row>
    <row r="4714" spans="1:101" x14ac:dyDescent="0.15">
      <c r="A4714" s="76">
        <v>4451</v>
      </c>
      <c r="B4714" s="74" t="s">
        <v>6958</v>
      </c>
      <c r="C4714" s="74">
        <v>996908056</v>
      </c>
      <c r="D4714" s="78" t="str">
        <f t="shared" si="154"/>
        <v>https://portal.dnb.de/opac.htm?method=simpleSearch&amp;cqlMode=true&amp;query=idn%3D996908056</v>
      </c>
      <c r="E4714" s="74" t="s">
        <v>6955</v>
      </c>
      <c r="F4714" s="74"/>
      <c r="G4714" s="76"/>
      <c r="H4714" s="77"/>
      <c r="I4714" s="76"/>
      <c r="J4714" s="77"/>
      <c r="K4714" s="77"/>
      <c r="L4714" s="76"/>
      <c r="M4714" s="76"/>
      <c r="N4714" s="76"/>
      <c r="O4714" s="76"/>
      <c r="P4714" s="76"/>
      <c r="Q4714" s="76"/>
      <c r="R4714" s="76"/>
      <c r="S4714" s="76"/>
      <c r="BD4714" s="99">
        <f t="shared" si="153"/>
        <v>0</v>
      </c>
      <c r="CC4714" s="99"/>
      <c r="CV4714" s="99"/>
      <c r="CW4714" s="63"/>
    </row>
    <row r="4715" spans="1:101" x14ac:dyDescent="0.15">
      <c r="A4715" s="76">
        <v>4452</v>
      </c>
      <c r="B4715" s="74" t="s">
        <v>6959</v>
      </c>
      <c r="C4715" s="74" t="s">
        <v>6960</v>
      </c>
      <c r="D4715" s="78" t="str">
        <f t="shared" si="154"/>
        <v>https://portal.dnb.de/opac.htm?method=simpleSearch&amp;cqlMode=true&amp;query=idn%3D99690803X</v>
      </c>
      <c r="E4715" s="74" t="s">
        <v>6955</v>
      </c>
      <c r="F4715" s="74"/>
      <c r="G4715" s="76"/>
      <c r="H4715" s="77"/>
      <c r="I4715" s="76"/>
      <c r="J4715" s="77"/>
      <c r="K4715" s="77"/>
      <c r="L4715" s="76"/>
      <c r="M4715" s="76"/>
      <c r="N4715" s="76"/>
      <c r="O4715" s="76"/>
      <c r="P4715" s="76"/>
      <c r="Q4715" s="76"/>
      <c r="R4715" s="76"/>
      <c r="S4715" s="76"/>
      <c r="BD4715" s="99">
        <f t="shared" si="153"/>
        <v>0</v>
      </c>
      <c r="CC4715" s="99"/>
      <c r="CV4715" s="99"/>
      <c r="CW4715" s="63"/>
    </row>
    <row r="4716" spans="1:101" x14ac:dyDescent="0.15">
      <c r="A4716" s="76">
        <v>4453</v>
      </c>
      <c r="B4716" s="74" t="s">
        <v>6986</v>
      </c>
      <c r="C4716" s="74">
        <v>1000884767</v>
      </c>
      <c r="D4716" s="78" t="str">
        <f t="shared" si="154"/>
        <v>https://portal.dnb.de/opac.htm?method=simpleSearch&amp;cqlMode=true&amp;query=idn%3D1000884767</v>
      </c>
      <c r="E4716" s="74" t="s">
        <v>6987</v>
      </c>
      <c r="F4716" s="74"/>
      <c r="G4716" s="76"/>
      <c r="H4716" s="77"/>
      <c r="I4716" s="76"/>
      <c r="J4716" s="77"/>
      <c r="K4716" s="77"/>
      <c r="L4716" s="76"/>
      <c r="M4716" s="76"/>
      <c r="N4716" s="76"/>
      <c r="O4716" s="76"/>
      <c r="P4716" s="76"/>
      <c r="Q4716" s="76"/>
      <c r="R4716" s="76"/>
      <c r="S4716" s="76"/>
      <c r="BD4716" s="99">
        <f t="shared" si="153"/>
        <v>0</v>
      </c>
      <c r="CC4716" s="99"/>
      <c r="CV4716" s="99"/>
      <c r="CW4716" s="63"/>
    </row>
    <row r="4717" spans="1:101" x14ac:dyDescent="0.15">
      <c r="A4717" s="76">
        <v>4454</v>
      </c>
      <c r="B4717" s="74" t="s">
        <v>6988</v>
      </c>
      <c r="C4717" s="74">
        <v>999029517</v>
      </c>
      <c r="D4717" s="78" t="str">
        <f t="shared" si="154"/>
        <v>https://portal.dnb.de/opac.htm?method=simpleSearch&amp;cqlMode=true&amp;query=idn%3D999029517</v>
      </c>
      <c r="E4717" s="74" t="s">
        <v>6989</v>
      </c>
      <c r="F4717" s="74"/>
      <c r="G4717" s="76"/>
      <c r="H4717" s="77"/>
      <c r="I4717" s="76"/>
      <c r="J4717" s="77"/>
      <c r="K4717" s="77"/>
      <c r="L4717" s="76"/>
      <c r="M4717" s="76"/>
      <c r="N4717" s="76"/>
      <c r="O4717" s="76"/>
      <c r="P4717" s="76"/>
      <c r="Q4717" s="76"/>
      <c r="R4717" s="76"/>
      <c r="S4717" s="76"/>
      <c r="BD4717" s="99">
        <f t="shared" si="153"/>
        <v>0</v>
      </c>
      <c r="CC4717" s="99"/>
      <c r="CV4717" s="99"/>
      <c r="CW4717" s="63"/>
    </row>
    <row r="4718" spans="1:101" x14ac:dyDescent="0.15">
      <c r="A4718" s="76">
        <v>4455</v>
      </c>
      <c r="B4718" s="74" t="s">
        <v>6990</v>
      </c>
      <c r="C4718" s="74">
        <v>996907734</v>
      </c>
      <c r="D4718" s="78" t="str">
        <f t="shared" si="154"/>
        <v>https://portal.dnb.de/opac.htm?method=simpleSearch&amp;cqlMode=true&amp;query=idn%3D996907734</v>
      </c>
      <c r="E4718" s="74" t="s">
        <v>6991</v>
      </c>
      <c r="F4718" s="74"/>
      <c r="G4718" s="76"/>
      <c r="H4718" s="77"/>
      <c r="I4718" s="76"/>
      <c r="J4718" s="77"/>
      <c r="K4718" s="77"/>
      <c r="L4718" s="76"/>
      <c r="M4718" s="76"/>
      <c r="N4718" s="76"/>
      <c r="O4718" s="76"/>
      <c r="P4718" s="76"/>
      <c r="Q4718" s="76"/>
      <c r="R4718" s="76"/>
      <c r="S4718" s="76"/>
      <c r="BD4718" s="99">
        <f t="shared" si="153"/>
        <v>0</v>
      </c>
      <c r="CC4718" s="99"/>
      <c r="CV4718" s="99"/>
      <c r="CW4718" s="63"/>
    </row>
    <row r="4719" spans="1:101" x14ac:dyDescent="0.15">
      <c r="A4719" s="76">
        <v>4456</v>
      </c>
      <c r="B4719" s="74" t="s">
        <v>6992</v>
      </c>
      <c r="C4719" s="74">
        <v>996907726</v>
      </c>
      <c r="D4719" s="78" t="str">
        <f t="shared" si="154"/>
        <v>https://portal.dnb.de/opac.htm?method=simpleSearch&amp;cqlMode=true&amp;query=idn%3D996907726</v>
      </c>
      <c r="E4719" s="74" t="s">
        <v>6991</v>
      </c>
      <c r="F4719" s="74"/>
      <c r="G4719" s="76"/>
      <c r="H4719" s="77"/>
      <c r="I4719" s="76"/>
      <c r="J4719" s="77"/>
      <c r="K4719" s="77"/>
      <c r="L4719" s="76"/>
      <c r="M4719" s="76"/>
      <c r="N4719" s="76"/>
      <c r="O4719" s="76"/>
      <c r="P4719" s="76"/>
      <c r="Q4719" s="76"/>
      <c r="R4719" s="76"/>
      <c r="S4719" s="76"/>
      <c r="BD4719" s="99">
        <f t="shared" si="153"/>
        <v>0</v>
      </c>
      <c r="CC4719" s="99"/>
      <c r="CV4719" s="99"/>
      <c r="CW4719" s="63"/>
    </row>
    <row r="4720" spans="1:101" x14ac:dyDescent="0.15">
      <c r="A4720" s="76">
        <v>4457</v>
      </c>
      <c r="B4720" s="74" t="s">
        <v>6993</v>
      </c>
      <c r="C4720" s="74">
        <v>996907769</v>
      </c>
      <c r="D4720" s="78" t="str">
        <f t="shared" si="154"/>
        <v>https://portal.dnb.de/opac.htm?method=simpleSearch&amp;cqlMode=true&amp;query=idn%3D996907769</v>
      </c>
      <c r="E4720" s="74" t="s">
        <v>6991</v>
      </c>
      <c r="F4720" s="74"/>
      <c r="G4720" s="76"/>
      <c r="H4720" s="77"/>
      <c r="I4720" s="76"/>
      <c r="J4720" s="77"/>
      <c r="K4720" s="77"/>
      <c r="L4720" s="76"/>
      <c r="M4720" s="76"/>
      <c r="N4720" s="76"/>
      <c r="O4720" s="76"/>
      <c r="P4720" s="76"/>
      <c r="Q4720" s="76"/>
      <c r="R4720" s="76"/>
      <c r="S4720" s="76"/>
      <c r="BD4720" s="99">
        <f t="shared" si="153"/>
        <v>0</v>
      </c>
      <c r="CC4720" s="99"/>
      <c r="CV4720" s="99"/>
      <c r="CW4720" s="63"/>
    </row>
    <row r="4721" spans="1:101" x14ac:dyDescent="0.15">
      <c r="A4721" s="76">
        <v>4458</v>
      </c>
      <c r="B4721" s="74" t="s">
        <v>6996</v>
      </c>
      <c r="C4721" s="74">
        <v>999029835</v>
      </c>
      <c r="D4721" s="78" t="str">
        <f t="shared" si="154"/>
        <v>https://portal.dnb.de/opac.htm?method=simpleSearch&amp;cqlMode=true&amp;query=idn%3D999029835</v>
      </c>
      <c r="E4721" s="74" t="s">
        <v>6997</v>
      </c>
      <c r="F4721" s="74"/>
      <c r="G4721" s="76"/>
      <c r="H4721" s="77"/>
      <c r="I4721" s="76"/>
      <c r="J4721" s="77"/>
      <c r="K4721" s="77"/>
      <c r="L4721" s="76"/>
      <c r="M4721" s="76"/>
      <c r="N4721" s="76"/>
      <c r="O4721" s="76"/>
      <c r="P4721" s="76"/>
      <c r="Q4721" s="76"/>
      <c r="R4721" s="76"/>
      <c r="S4721" s="76"/>
      <c r="BD4721" s="99">
        <f t="shared" si="153"/>
        <v>0</v>
      </c>
      <c r="CC4721" s="99"/>
      <c r="CV4721" s="99"/>
      <c r="CW4721" s="63"/>
    </row>
    <row r="4722" spans="1:101" x14ac:dyDescent="0.15">
      <c r="A4722" s="76">
        <v>4459</v>
      </c>
      <c r="B4722" s="74" t="s">
        <v>6998</v>
      </c>
      <c r="C4722" s="74">
        <v>999040669</v>
      </c>
      <c r="D4722" s="78" t="str">
        <f t="shared" si="154"/>
        <v>https://portal.dnb.de/opac.htm?method=simpleSearch&amp;cqlMode=true&amp;query=idn%3D999040669</v>
      </c>
      <c r="E4722" s="74" t="s">
        <v>6999</v>
      </c>
      <c r="F4722" s="74"/>
      <c r="G4722" s="76"/>
      <c r="H4722" s="77"/>
      <c r="I4722" s="76"/>
      <c r="J4722" s="77"/>
      <c r="K4722" s="77"/>
      <c r="L4722" s="76"/>
      <c r="M4722" s="76"/>
      <c r="N4722" s="76"/>
      <c r="O4722" s="76"/>
      <c r="P4722" s="76"/>
      <c r="Q4722" s="76"/>
      <c r="R4722" s="76"/>
      <c r="S4722" s="76"/>
      <c r="BD4722" s="99">
        <f t="shared" si="153"/>
        <v>0</v>
      </c>
      <c r="CC4722" s="99"/>
      <c r="CV4722" s="99"/>
      <c r="CW4722" s="63"/>
    </row>
    <row r="4723" spans="1:101" x14ac:dyDescent="0.15">
      <c r="A4723" s="76">
        <v>4460</v>
      </c>
      <c r="B4723" s="74" t="s">
        <v>7003</v>
      </c>
      <c r="C4723" s="74">
        <v>998534021</v>
      </c>
      <c r="D4723" s="78" t="str">
        <f t="shared" si="154"/>
        <v>https://portal.dnb.de/opac.htm?method=simpleSearch&amp;cqlMode=true&amp;query=idn%3D998534021</v>
      </c>
      <c r="E4723" s="74" t="s">
        <v>7004</v>
      </c>
      <c r="F4723" s="74"/>
      <c r="G4723" s="76"/>
      <c r="H4723" s="77"/>
      <c r="I4723" s="76"/>
      <c r="J4723" s="77"/>
      <c r="K4723" s="77"/>
      <c r="L4723" s="76"/>
      <c r="M4723" s="76"/>
      <c r="N4723" s="76"/>
      <c r="O4723" s="76"/>
      <c r="P4723" s="76"/>
      <c r="Q4723" s="76"/>
      <c r="R4723" s="76"/>
      <c r="S4723" s="76"/>
      <c r="BD4723" s="99">
        <f t="shared" si="153"/>
        <v>0</v>
      </c>
      <c r="CC4723" s="99"/>
      <c r="CV4723" s="99"/>
      <c r="CW4723" s="63"/>
    </row>
    <row r="4724" spans="1:101" x14ac:dyDescent="0.15">
      <c r="A4724" s="76">
        <v>4461</v>
      </c>
      <c r="B4724" s="74" t="s">
        <v>7016</v>
      </c>
      <c r="C4724" s="74">
        <v>997637153</v>
      </c>
      <c r="D4724" s="78" t="str">
        <f t="shared" si="154"/>
        <v>https://portal.dnb.de/opac.htm?method=simpleSearch&amp;cqlMode=true&amp;query=idn%3D997637153</v>
      </c>
      <c r="E4724" s="74" t="s">
        <v>7017</v>
      </c>
      <c r="F4724" s="74"/>
      <c r="G4724" s="76"/>
      <c r="H4724" s="77"/>
      <c r="I4724" s="76"/>
      <c r="J4724" s="77"/>
      <c r="K4724" s="77"/>
      <c r="L4724" s="76"/>
      <c r="M4724" s="76"/>
      <c r="N4724" s="76"/>
      <c r="O4724" s="76"/>
      <c r="P4724" s="76"/>
      <c r="Q4724" s="76"/>
      <c r="R4724" s="76"/>
      <c r="S4724" s="76"/>
      <c r="BD4724" s="99">
        <f t="shared" si="153"/>
        <v>0</v>
      </c>
      <c r="CC4724" s="99"/>
      <c r="CV4724" s="99"/>
      <c r="CW4724" s="63"/>
    </row>
    <row r="4725" spans="1:101" x14ac:dyDescent="0.15">
      <c r="A4725" s="76">
        <v>4462</v>
      </c>
      <c r="B4725" s="74" t="s">
        <v>7018</v>
      </c>
      <c r="C4725" s="74">
        <v>994193866</v>
      </c>
      <c r="D4725" s="78" t="str">
        <f t="shared" si="154"/>
        <v>https://portal.dnb.de/opac.htm?method=simpleSearch&amp;cqlMode=true&amp;query=idn%3D994193866</v>
      </c>
      <c r="E4725" s="74" t="s">
        <v>7019</v>
      </c>
      <c r="F4725" s="74"/>
      <c r="G4725" s="76"/>
      <c r="H4725" s="77"/>
      <c r="I4725" s="76"/>
      <c r="J4725" s="77"/>
      <c r="K4725" s="77"/>
      <c r="L4725" s="76"/>
      <c r="M4725" s="76"/>
      <c r="N4725" s="76"/>
      <c r="O4725" s="76"/>
      <c r="P4725" s="76"/>
      <c r="Q4725" s="76"/>
      <c r="R4725" s="76"/>
      <c r="S4725" s="76"/>
      <c r="BD4725" s="99">
        <f t="shared" si="153"/>
        <v>0</v>
      </c>
      <c r="CC4725" s="99"/>
      <c r="CV4725" s="99"/>
      <c r="CW4725" s="63"/>
    </row>
    <row r="4726" spans="1:101" x14ac:dyDescent="0.15">
      <c r="A4726" s="76">
        <v>4463</v>
      </c>
      <c r="B4726" s="74" t="s">
        <v>7026</v>
      </c>
      <c r="C4726" s="74">
        <v>998945552</v>
      </c>
      <c r="D4726" s="78" t="str">
        <f t="shared" si="154"/>
        <v>https://portal.dnb.de/opac.htm?method=simpleSearch&amp;cqlMode=true&amp;query=idn%3D998945552</v>
      </c>
      <c r="E4726" s="74" t="s">
        <v>7027</v>
      </c>
      <c r="F4726" s="74"/>
      <c r="G4726" s="76"/>
      <c r="H4726" s="77"/>
      <c r="I4726" s="76"/>
      <c r="J4726" s="77"/>
      <c r="K4726" s="77"/>
      <c r="L4726" s="76"/>
      <c r="M4726" s="76"/>
      <c r="N4726" s="76"/>
      <c r="O4726" s="76"/>
      <c r="P4726" s="76"/>
      <c r="Q4726" s="76"/>
      <c r="R4726" s="76"/>
      <c r="S4726" s="76"/>
      <c r="BD4726" s="99">
        <f t="shared" si="153"/>
        <v>0</v>
      </c>
      <c r="CC4726" s="99"/>
      <c r="CV4726" s="99"/>
      <c r="CW4726" s="63"/>
    </row>
    <row r="4727" spans="1:101" x14ac:dyDescent="0.15">
      <c r="A4727" s="76">
        <v>4464</v>
      </c>
      <c r="B4727" s="74" t="s">
        <v>7028</v>
      </c>
      <c r="C4727" s="74">
        <v>998945366</v>
      </c>
      <c r="D4727" s="78" t="str">
        <f t="shared" si="154"/>
        <v>https://portal.dnb.de/opac.htm?method=simpleSearch&amp;cqlMode=true&amp;query=idn%3D998945366</v>
      </c>
      <c r="E4727" s="74" t="s">
        <v>7027</v>
      </c>
      <c r="F4727" s="74"/>
      <c r="G4727" s="76"/>
      <c r="H4727" s="77"/>
      <c r="I4727" s="76"/>
      <c r="J4727" s="77"/>
      <c r="K4727" s="77"/>
      <c r="L4727" s="76"/>
      <c r="M4727" s="76"/>
      <c r="N4727" s="76"/>
      <c r="O4727" s="76"/>
      <c r="P4727" s="76"/>
      <c r="Q4727" s="76"/>
      <c r="R4727" s="76"/>
      <c r="S4727" s="76"/>
      <c r="BD4727" s="99">
        <f t="shared" si="153"/>
        <v>0</v>
      </c>
      <c r="CC4727" s="99"/>
      <c r="CV4727" s="99"/>
      <c r="CW4727" s="63"/>
    </row>
    <row r="4728" spans="1:101" x14ac:dyDescent="0.15">
      <c r="A4728" s="76">
        <v>4465</v>
      </c>
      <c r="B4728" s="74" t="s">
        <v>7029</v>
      </c>
      <c r="C4728" s="74">
        <v>998945544</v>
      </c>
      <c r="D4728" s="78" t="str">
        <f t="shared" si="154"/>
        <v>https://portal.dnb.de/opac.htm?method=simpleSearch&amp;cqlMode=true&amp;query=idn%3D998945544</v>
      </c>
      <c r="E4728" s="74" t="s">
        <v>7027</v>
      </c>
      <c r="F4728" s="74"/>
      <c r="G4728" s="76"/>
      <c r="H4728" s="77"/>
      <c r="I4728" s="76"/>
      <c r="J4728" s="77"/>
      <c r="K4728" s="77"/>
      <c r="L4728" s="76"/>
      <c r="M4728" s="76"/>
      <c r="N4728" s="76"/>
      <c r="O4728" s="76"/>
      <c r="P4728" s="76"/>
      <c r="Q4728" s="76"/>
      <c r="R4728" s="76"/>
      <c r="S4728" s="76"/>
      <c r="BD4728" s="99">
        <f t="shared" si="153"/>
        <v>0</v>
      </c>
      <c r="CC4728" s="99"/>
      <c r="CV4728" s="99"/>
      <c r="CW4728" s="63"/>
    </row>
    <row r="4729" spans="1:101" x14ac:dyDescent="0.15">
      <c r="A4729" s="76">
        <v>4466</v>
      </c>
      <c r="B4729" s="74" t="s">
        <v>7030</v>
      </c>
      <c r="C4729" s="74">
        <v>998945420</v>
      </c>
      <c r="D4729" s="78" t="str">
        <f t="shared" si="154"/>
        <v>https://portal.dnb.de/opac.htm?method=simpleSearch&amp;cqlMode=true&amp;query=idn%3D998945420</v>
      </c>
      <c r="E4729" s="74" t="s">
        <v>7027</v>
      </c>
      <c r="F4729" s="74"/>
      <c r="G4729" s="76"/>
      <c r="H4729" s="77"/>
      <c r="I4729" s="76"/>
      <c r="J4729" s="77"/>
      <c r="K4729" s="77"/>
      <c r="L4729" s="76"/>
      <c r="M4729" s="76"/>
      <c r="N4729" s="76"/>
      <c r="O4729" s="76"/>
      <c r="P4729" s="76"/>
      <c r="Q4729" s="76"/>
      <c r="R4729" s="76"/>
      <c r="S4729" s="76"/>
      <c r="BD4729" s="99">
        <f t="shared" si="153"/>
        <v>0</v>
      </c>
      <c r="CC4729" s="99"/>
      <c r="CV4729" s="99"/>
      <c r="CW4729" s="63"/>
    </row>
    <row r="4730" spans="1:101" x14ac:dyDescent="0.15">
      <c r="A4730" s="76">
        <v>4467</v>
      </c>
      <c r="B4730" s="74" t="s">
        <v>7031</v>
      </c>
      <c r="C4730" s="74" t="s">
        <v>7032</v>
      </c>
      <c r="D4730" s="78" t="str">
        <f t="shared" si="154"/>
        <v>https://portal.dnb.de/opac.htm?method=simpleSearch&amp;cqlMode=true&amp;query=idn%3D99894534X</v>
      </c>
      <c r="E4730" s="74" t="s">
        <v>7027</v>
      </c>
      <c r="F4730" s="74"/>
      <c r="G4730" s="76"/>
      <c r="H4730" s="77"/>
      <c r="I4730" s="76"/>
      <c r="J4730" s="77"/>
      <c r="K4730" s="77"/>
      <c r="L4730" s="76"/>
      <c r="M4730" s="76"/>
      <c r="N4730" s="76"/>
      <c r="O4730" s="76"/>
      <c r="P4730" s="76"/>
      <c r="Q4730" s="76"/>
      <c r="R4730" s="76"/>
      <c r="S4730" s="76"/>
      <c r="BD4730" s="99">
        <f t="shared" si="153"/>
        <v>0</v>
      </c>
      <c r="CC4730" s="99"/>
      <c r="CV4730" s="99"/>
      <c r="CW4730" s="63"/>
    </row>
    <row r="4731" spans="1:101" x14ac:dyDescent="0.15">
      <c r="A4731" s="76">
        <v>4468</v>
      </c>
      <c r="B4731" s="74" t="s">
        <v>7033</v>
      </c>
      <c r="C4731" s="74">
        <v>998945404</v>
      </c>
      <c r="D4731" s="78" t="str">
        <f t="shared" si="154"/>
        <v>https://portal.dnb.de/opac.htm?method=simpleSearch&amp;cqlMode=true&amp;query=idn%3D998945404</v>
      </c>
      <c r="E4731" s="74" t="s">
        <v>7027</v>
      </c>
      <c r="F4731" s="74"/>
      <c r="G4731" s="76"/>
      <c r="H4731" s="77"/>
      <c r="I4731" s="76"/>
      <c r="J4731" s="77"/>
      <c r="K4731" s="77"/>
      <c r="L4731" s="76"/>
      <c r="M4731" s="76"/>
      <c r="N4731" s="76"/>
      <c r="O4731" s="76"/>
      <c r="P4731" s="76"/>
      <c r="Q4731" s="76"/>
      <c r="R4731" s="76"/>
      <c r="S4731" s="76"/>
      <c r="BD4731" s="99">
        <f t="shared" si="153"/>
        <v>0</v>
      </c>
      <c r="CC4731" s="99"/>
      <c r="CV4731" s="99"/>
      <c r="CW4731" s="63"/>
    </row>
    <row r="4732" spans="1:101" x14ac:dyDescent="0.15">
      <c r="A4732" s="76">
        <v>4469</v>
      </c>
      <c r="B4732" s="74" t="s">
        <v>7034</v>
      </c>
      <c r="C4732" s="74">
        <v>995378991</v>
      </c>
      <c r="D4732" s="78" t="str">
        <f t="shared" si="154"/>
        <v>https://portal.dnb.de/opac.htm?method=simpleSearch&amp;cqlMode=true&amp;query=idn%3D995378991</v>
      </c>
      <c r="E4732" s="74" t="s">
        <v>7035</v>
      </c>
      <c r="F4732" s="74"/>
      <c r="G4732" s="76"/>
      <c r="H4732" s="77"/>
      <c r="I4732" s="76"/>
      <c r="J4732" s="77"/>
      <c r="K4732" s="77"/>
      <c r="L4732" s="76"/>
      <c r="M4732" s="76"/>
      <c r="N4732" s="76"/>
      <c r="O4732" s="76"/>
      <c r="P4732" s="76"/>
      <c r="Q4732" s="76"/>
      <c r="R4732" s="76"/>
      <c r="S4732" s="76"/>
      <c r="BD4732" s="99">
        <f t="shared" si="153"/>
        <v>0</v>
      </c>
      <c r="CC4732" s="99"/>
      <c r="CV4732" s="99"/>
      <c r="CW4732" s="63"/>
    </row>
    <row r="4733" spans="1:101" x14ac:dyDescent="0.15">
      <c r="A4733" s="76">
        <v>4470</v>
      </c>
      <c r="B4733" s="74" t="s">
        <v>7036</v>
      </c>
      <c r="C4733" s="74">
        <v>1003579450</v>
      </c>
      <c r="D4733" s="78" t="str">
        <f t="shared" si="154"/>
        <v>https://portal.dnb.de/opac.htm?method=simpleSearch&amp;cqlMode=true&amp;query=idn%3D1003579450</v>
      </c>
      <c r="E4733" s="74" t="s">
        <v>7037</v>
      </c>
      <c r="F4733" s="74"/>
      <c r="G4733" s="76"/>
      <c r="H4733" s="77"/>
      <c r="I4733" s="76"/>
      <c r="J4733" s="77"/>
      <c r="K4733" s="77"/>
      <c r="L4733" s="76"/>
      <c r="M4733" s="76"/>
      <c r="N4733" s="76"/>
      <c r="O4733" s="76"/>
      <c r="P4733" s="76"/>
      <c r="Q4733" s="76"/>
      <c r="R4733" s="76"/>
      <c r="S4733" s="76"/>
      <c r="BD4733" s="99">
        <f t="shared" si="153"/>
        <v>0</v>
      </c>
      <c r="CC4733" s="99"/>
      <c r="CV4733" s="99"/>
      <c r="CW4733" s="63"/>
    </row>
    <row r="4734" spans="1:101" x14ac:dyDescent="0.15">
      <c r="A4734" s="76">
        <v>4471</v>
      </c>
      <c r="B4734" s="74" t="s">
        <v>7038</v>
      </c>
      <c r="C4734" s="74">
        <v>998851752</v>
      </c>
      <c r="D4734" s="78" t="str">
        <f t="shared" si="154"/>
        <v>https://portal.dnb.de/opac.htm?method=simpleSearch&amp;cqlMode=true&amp;query=idn%3D998851752</v>
      </c>
      <c r="E4734" s="74" t="s">
        <v>7039</v>
      </c>
      <c r="F4734" s="74"/>
      <c r="G4734" s="76"/>
      <c r="H4734" s="77"/>
      <c r="I4734" s="76"/>
      <c r="J4734" s="77"/>
      <c r="K4734" s="77"/>
      <c r="L4734" s="76"/>
      <c r="M4734" s="76"/>
      <c r="N4734" s="76"/>
      <c r="O4734" s="76"/>
      <c r="P4734" s="76"/>
      <c r="Q4734" s="76"/>
      <c r="R4734" s="76"/>
      <c r="S4734" s="76"/>
      <c r="BD4734" s="99">
        <f t="shared" si="153"/>
        <v>0</v>
      </c>
      <c r="CC4734" s="99"/>
      <c r="CV4734" s="99"/>
      <c r="CW4734" s="63"/>
    </row>
    <row r="4735" spans="1:101" x14ac:dyDescent="0.15">
      <c r="A4735" s="76">
        <v>4472</v>
      </c>
      <c r="B4735" s="74" t="s">
        <v>7040</v>
      </c>
      <c r="C4735" s="74">
        <v>998851760</v>
      </c>
      <c r="D4735" s="78" t="str">
        <f t="shared" si="154"/>
        <v>https://portal.dnb.de/opac.htm?method=simpleSearch&amp;cqlMode=true&amp;query=idn%3D998851760</v>
      </c>
      <c r="E4735" s="74" t="s">
        <v>7039</v>
      </c>
      <c r="F4735" s="74"/>
      <c r="G4735" s="76"/>
      <c r="H4735" s="77"/>
      <c r="I4735" s="76"/>
      <c r="J4735" s="77"/>
      <c r="K4735" s="77"/>
      <c r="L4735" s="76"/>
      <c r="M4735" s="76"/>
      <c r="N4735" s="76"/>
      <c r="O4735" s="76"/>
      <c r="P4735" s="76"/>
      <c r="Q4735" s="76"/>
      <c r="R4735" s="76"/>
      <c r="S4735" s="76"/>
      <c r="BD4735" s="99">
        <f t="shared" si="153"/>
        <v>0</v>
      </c>
      <c r="CC4735" s="99"/>
      <c r="CV4735" s="99"/>
      <c r="CW4735" s="63"/>
    </row>
    <row r="4736" spans="1:101" x14ac:dyDescent="0.15">
      <c r="A4736" s="76">
        <v>4473</v>
      </c>
      <c r="B4736" s="74" t="s">
        <v>7041</v>
      </c>
      <c r="C4736" s="74">
        <v>1001959833</v>
      </c>
      <c r="D4736" s="78" t="str">
        <f t="shared" si="154"/>
        <v>https://portal.dnb.de/opac.htm?method=simpleSearch&amp;cqlMode=true&amp;query=idn%3D1001959833</v>
      </c>
      <c r="E4736" s="74" t="s">
        <v>7042</v>
      </c>
      <c r="F4736" s="74"/>
      <c r="G4736" s="76"/>
      <c r="H4736" s="77"/>
      <c r="I4736" s="76"/>
      <c r="J4736" s="77"/>
      <c r="K4736" s="77"/>
      <c r="L4736" s="76"/>
      <c r="M4736" s="76"/>
      <c r="N4736" s="76"/>
      <c r="O4736" s="76"/>
      <c r="P4736" s="76"/>
      <c r="Q4736" s="76"/>
      <c r="R4736" s="76"/>
      <c r="S4736" s="76"/>
      <c r="BD4736" s="99">
        <f t="shared" si="153"/>
        <v>0</v>
      </c>
      <c r="CC4736" s="99"/>
      <c r="CV4736" s="99"/>
      <c r="CW4736" s="63"/>
    </row>
    <row r="4737" spans="1:101" x14ac:dyDescent="0.15">
      <c r="A4737" s="76">
        <v>4474</v>
      </c>
      <c r="B4737" s="74" t="s">
        <v>7043</v>
      </c>
      <c r="C4737" s="74">
        <v>993914578</v>
      </c>
      <c r="D4737" s="78" t="str">
        <f t="shared" si="154"/>
        <v>https://portal.dnb.de/opac.htm?method=simpleSearch&amp;cqlMode=true&amp;query=idn%3D993914578</v>
      </c>
      <c r="E4737" s="74" t="s">
        <v>7042</v>
      </c>
      <c r="F4737" s="74"/>
      <c r="G4737" s="76"/>
      <c r="H4737" s="77"/>
      <c r="I4737" s="76"/>
      <c r="J4737" s="77"/>
      <c r="K4737" s="77"/>
      <c r="L4737" s="76"/>
      <c r="M4737" s="76"/>
      <c r="N4737" s="76"/>
      <c r="O4737" s="76"/>
      <c r="P4737" s="76"/>
      <c r="Q4737" s="76"/>
      <c r="R4737" s="76"/>
      <c r="S4737" s="76"/>
      <c r="BD4737" s="99">
        <f t="shared" si="153"/>
        <v>0</v>
      </c>
      <c r="CC4737" s="99"/>
      <c r="CV4737" s="99"/>
      <c r="CW4737" s="63"/>
    </row>
    <row r="4738" spans="1:101" x14ac:dyDescent="0.15">
      <c r="A4738" s="76">
        <v>4475</v>
      </c>
      <c r="B4738" s="74" t="s">
        <v>7044</v>
      </c>
      <c r="C4738" s="74">
        <v>1002613477</v>
      </c>
      <c r="D4738" s="78" t="str">
        <f t="shared" si="154"/>
        <v>https://portal.dnb.de/opac.htm?method=simpleSearch&amp;cqlMode=true&amp;query=idn%3D1002613477</v>
      </c>
      <c r="E4738" s="74" t="s">
        <v>7045</v>
      </c>
      <c r="F4738" s="74"/>
      <c r="G4738" s="76"/>
      <c r="H4738" s="77"/>
      <c r="I4738" s="76"/>
      <c r="J4738" s="77"/>
      <c r="K4738" s="77"/>
      <c r="L4738" s="76"/>
      <c r="M4738" s="76"/>
      <c r="N4738" s="76"/>
      <c r="O4738" s="76"/>
      <c r="P4738" s="76"/>
      <c r="Q4738" s="76"/>
      <c r="R4738" s="76"/>
      <c r="S4738" s="76"/>
      <c r="BD4738" s="99">
        <f t="shared" si="153"/>
        <v>0</v>
      </c>
      <c r="CC4738" s="99"/>
      <c r="CV4738" s="99"/>
      <c r="CW4738" s="63"/>
    </row>
    <row r="4739" spans="1:101" x14ac:dyDescent="0.15">
      <c r="A4739" s="76">
        <v>4476</v>
      </c>
      <c r="B4739" s="74" t="s">
        <v>7046</v>
      </c>
      <c r="C4739" s="74">
        <v>994364431</v>
      </c>
      <c r="D4739" s="78" t="str">
        <f t="shared" si="154"/>
        <v>https://portal.dnb.de/opac.htm?method=simpleSearch&amp;cqlMode=true&amp;query=idn%3D994364431</v>
      </c>
      <c r="E4739" s="74" t="s">
        <v>7047</v>
      </c>
      <c r="F4739" s="74"/>
      <c r="G4739" s="76"/>
      <c r="H4739" s="77"/>
      <c r="I4739" s="76"/>
      <c r="J4739" s="77"/>
      <c r="K4739" s="77"/>
      <c r="L4739" s="76"/>
      <c r="M4739" s="76"/>
      <c r="N4739" s="76"/>
      <c r="O4739" s="76"/>
      <c r="P4739" s="76"/>
      <c r="Q4739" s="76"/>
      <c r="R4739" s="76"/>
      <c r="S4739" s="76"/>
      <c r="BD4739" s="99">
        <f t="shared" ref="BD4739:BD4802" si="155">CC4739+CV4739</f>
        <v>0</v>
      </c>
      <c r="CC4739" s="99"/>
      <c r="CV4739" s="99"/>
      <c r="CW4739" s="63"/>
    </row>
    <row r="4740" spans="1:101" x14ac:dyDescent="0.15">
      <c r="A4740" s="76">
        <v>4477</v>
      </c>
      <c r="B4740" s="74" t="s">
        <v>7048</v>
      </c>
      <c r="C4740" s="74">
        <v>997850426</v>
      </c>
      <c r="D4740" s="78" t="str">
        <f t="shared" si="154"/>
        <v>https://portal.dnb.de/opac.htm?method=simpleSearch&amp;cqlMode=true&amp;query=idn%3D997850426</v>
      </c>
      <c r="E4740" s="74" t="s">
        <v>7049</v>
      </c>
      <c r="F4740" s="74"/>
      <c r="G4740" s="76"/>
      <c r="H4740" s="77"/>
      <c r="I4740" s="76"/>
      <c r="J4740" s="77"/>
      <c r="K4740" s="77"/>
      <c r="L4740" s="76"/>
      <c r="M4740" s="76"/>
      <c r="N4740" s="76"/>
      <c r="O4740" s="76"/>
      <c r="P4740" s="76"/>
      <c r="Q4740" s="76"/>
      <c r="R4740" s="76"/>
      <c r="S4740" s="76"/>
      <c r="BD4740" s="99">
        <f t="shared" si="155"/>
        <v>0</v>
      </c>
      <c r="CC4740" s="99"/>
      <c r="CV4740" s="99"/>
      <c r="CW4740" s="63"/>
    </row>
    <row r="4741" spans="1:101" x14ac:dyDescent="0.15">
      <c r="A4741" s="76">
        <v>4478</v>
      </c>
      <c r="B4741" s="74" t="s">
        <v>7052</v>
      </c>
      <c r="C4741" s="74">
        <v>995830363</v>
      </c>
      <c r="D4741" s="78" t="str">
        <f t="shared" si="154"/>
        <v>https://portal.dnb.de/opac.htm?method=simpleSearch&amp;cqlMode=true&amp;query=idn%3D995830363</v>
      </c>
      <c r="E4741" s="74" t="s">
        <v>7053</v>
      </c>
      <c r="F4741" s="74"/>
      <c r="G4741" s="76"/>
      <c r="H4741" s="77"/>
      <c r="I4741" s="76"/>
      <c r="J4741" s="77"/>
      <c r="K4741" s="77"/>
      <c r="L4741" s="76"/>
      <c r="M4741" s="76"/>
      <c r="N4741" s="76"/>
      <c r="O4741" s="76"/>
      <c r="P4741" s="76"/>
      <c r="Q4741" s="76"/>
      <c r="R4741" s="76"/>
      <c r="S4741" s="76"/>
      <c r="BD4741" s="99">
        <f t="shared" si="155"/>
        <v>0</v>
      </c>
      <c r="CC4741" s="99"/>
      <c r="CV4741" s="99"/>
      <c r="CW4741" s="63"/>
    </row>
    <row r="4742" spans="1:101" x14ac:dyDescent="0.15">
      <c r="A4742" s="76">
        <v>4479</v>
      </c>
      <c r="B4742" s="74" t="s">
        <v>7054</v>
      </c>
      <c r="C4742" s="74">
        <v>1000277712</v>
      </c>
      <c r="D4742" s="78" t="str">
        <f t="shared" si="154"/>
        <v>https://portal.dnb.de/opac.htm?method=simpleSearch&amp;cqlMode=true&amp;query=idn%3D1000277712</v>
      </c>
      <c r="E4742" s="74" t="s">
        <v>7055</v>
      </c>
      <c r="F4742" s="74"/>
      <c r="G4742" s="76"/>
      <c r="H4742" s="77"/>
      <c r="I4742" s="76"/>
      <c r="J4742" s="77"/>
      <c r="K4742" s="77"/>
      <c r="L4742" s="76"/>
      <c r="M4742" s="76"/>
      <c r="N4742" s="76"/>
      <c r="O4742" s="76"/>
      <c r="P4742" s="76"/>
      <c r="Q4742" s="76"/>
      <c r="R4742" s="76"/>
      <c r="S4742" s="76"/>
      <c r="BD4742" s="99">
        <f t="shared" si="155"/>
        <v>0</v>
      </c>
      <c r="CC4742" s="99"/>
      <c r="CV4742" s="99"/>
      <c r="CW4742" s="63"/>
    </row>
    <row r="4743" spans="1:101" x14ac:dyDescent="0.15">
      <c r="A4743" s="76">
        <v>4480</v>
      </c>
      <c r="B4743" s="74" t="s">
        <v>7056</v>
      </c>
      <c r="C4743" s="74">
        <v>1132630819</v>
      </c>
      <c r="D4743" s="78" t="str">
        <f t="shared" si="154"/>
        <v>https://portal.dnb.de/opac.htm?method=simpleSearch&amp;cqlMode=true&amp;query=idn%3D1132630819</v>
      </c>
      <c r="E4743" s="74" t="s">
        <v>7057</v>
      </c>
      <c r="F4743" s="74"/>
      <c r="G4743" s="76"/>
      <c r="H4743" s="77"/>
      <c r="I4743" s="76"/>
      <c r="J4743" s="77"/>
      <c r="K4743" s="77"/>
      <c r="L4743" s="76"/>
      <c r="M4743" s="76"/>
      <c r="N4743" s="76"/>
      <c r="O4743" s="76"/>
      <c r="P4743" s="76"/>
      <c r="Q4743" s="76"/>
      <c r="R4743" s="76"/>
      <c r="S4743" s="76"/>
      <c r="BD4743" s="99">
        <f t="shared" si="155"/>
        <v>0</v>
      </c>
      <c r="CC4743" s="99"/>
      <c r="CV4743" s="99"/>
      <c r="CW4743" s="63"/>
    </row>
    <row r="4744" spans="1:101" x14ac:dyDescent="0.15">
      <c r="A4744" s="76">
        <v>4481</v>
      </c>
      <c r="B4744" s="74" t="s">
        <v>7058</v>
      </c>
      <c r="C4744" s="74">
        <v>1034403648</v>
      </c>
      <c r="D4744" s="78" t="str">
        <f t="shared" si="154"/>
        <v>https://portal.dnb.de/opac.htm?method=simpleSearch&amp;cqlMode=true&amp;query=idn%3D1034403648</v>
      </c>
      <c r="E4744" s="74" t="s">
        <v>7059</v>
      </c>
      <c r="F4744" s="74"/>
      <c r="G4744" s="76"/>
      <c r="H4744" s="77"/>
      <c r="I4744" s="76"/>
      <c r="J4744" s="77"/>
      <c r="K4744" s="77"/>
      <c r="L4744" s="76"/>
      <c r="M4744" s="76"/>
      <c r="N4744" s="76"/>
      <c r="O4744" s="76"/>
      <c r="P4744" s="76"/>
      <c r="Q4744" s="76"/>
      <c r="R4744" s="76"/>
      <c r="S4744" s="76"/>
      <c r="BD4744" s="99">
        <f t="shared" si="155"/>
        <v>0</v>
      </c>
      <c r="CC4744" s="99"/>
      <c r="CV4744" s="99"/>
      <c r="CW4744" s="63"/>
    </row>
    <row r="4745" spans="1:101" x14ac:dyDescent="0.15">
      <c r="A4745" s="76">
        <v>4482</v>
      </c>
      <c r="B4745" s="74" t="s">
        <v>7060</v>
      </c>
      <c r="C4745" s="74">
        <v>1044340533</v>
      </c>
      <c r="D4745" s="78" t="str">
        <f t="shared" si="154"/>
        <v>https://portal.dnb.de/opac.htm?method=simpleSearch&amp;cqlMode=true&amp;query=idn%3D1044340533</v>
      </c>
      <c r="E4745" s="74" t="s">
        <v>7061</v>
      </c>
      <c r="F4745" s="74"/>
      <c r="G4745" s="76"/>
      <c r="H4745" s="77"/>
      <c r="I4745" s="76"/>
      <c r="J4745" s="77"/>
      <c r="K4745" s="77"/>
      <c r="L4745" s="76"/>
      <c r="M4745" s="76"/>
      <c r="N4745" s="76"/>
      <c r="O4745" s="76"/>
      <c r="P4745" s="76"/>
      <c r="Q4745" s="76"/>
      <c r="R4745" s="76"/>
      <c r="S4745" s="76"/>
      <c r="BD4745" s="99">
        <f t="shared" si="155"/>
        <v>0</v>
      </c>
      <c r="CC4745" s="99"/>
      <c r="CV4745" s="99"/>
      <c r="CW4745" s="63"/>
    </row>
    <row r="4746" spans="1:101" x14ac:dyDescent="0.15">
      <c r="A4746" s="76">
        <v>4483</v>
      </c>
      <c r="B4746" s="74" t="s">
        <v>7062</v>
      </c>
      <c r="C4746" s="74" t="s">
        <v>7063</v>
      </c>
      <c r="D4746" s="78" t="str">
        <f t="shared" si="154"/>
        <v>https://portal.dnb.de/opac.htm?method=simpleSearch&amp;cqlMode=true&amp;query=idn%3D119240257X</v>
      </c>
      <c r="E4746" s="74" t="s">
        <v>7064</v>
      </c>
      <c r="F4746" s="74"/>
      <c r="G4746" s="76"/>
      <c r="H4746" s="77"/>
      <c r="I4746" s="76"/>
      <c r="J4746" s="77"/>
      <c r="K4746" s="77"/>
      <c r="L4746" s="76"/>
      <c r="M4746" s="76"/>
      <c r="N4746" s="76"/>
      <c r="O4746" s="76"/>
      <c r="P4746" s="76"/>
      <c r="Q4746" s="76"/>
      <c r="R4746" s="76"/>
      <c r="S4746" s="76"/>
      <c r="BD4746" s="99">
        <f t="shared" si="155"/>
        <v>0</v>
      </c>
      <c r="CC4746" s="99"/>
      <c r="CV4746" s="99"/>
      <c r="CW4746" s="63"/>
    </row>
    <row r="4747" spans="1:101" x14ac:dyDescent="0.15">
      <c r="A4747" s="76">
        <v>4484</v>
      </c>
      <c r="B4747" s="74" t="s">
        <v>6961</v>
      </c>
      <c r="C4747" s="74">
        <v>996908005</v>
      </c>
      <c r="D4747" s="78" t="str">
        <f t="shared" si="154"/>
        <v>https://portal.dnb.de/opac.htm?method=simpleSearch&amp;cqlMode=true&amp;query=idn%3D996908005</v>
      </c>
      <c r="E4747" s="74" t="s">
        <v>6962</v>
      </c>
      <c r="F4747" s="74"/>
      <c r="G4747" s="76"/>
      <c r="H4747" s="77"/>
      <c r="I4747" s="76"/>
      <c r="J4747" s="77"/>
      <c r="K4747" s="77"/>
      <c r="L4747" s="76"/>
      <c r="M4747" s="76"/>
      <c r="N4747" s="76"/>
      <c r="O4747" s="76"/>
      <c r="P4747" s="76"/>
      <c r="Q4747" s="76"/>
      <c r="R4747" s="76"/>
      <c r="S4747" s="76"/>
      <c r="BD4747" s="99">
        <f t="shared" si="155"/>
        <v>0</v>
      </c>
      <c r="CC4747" s="99"/>
      <c r="CV4747" s="99"/>
      <c r="CW4747" s="63"/>
    </row>
    <row r="4748" spans="1:101" x14ac:dyDescent="0.15">
      <c r="A4748" s="76">
        <v>4485</v>
      </c>
      <c r="B4748" s="74" t="s">
        <v>6963</v>
      </c>
      <c r="C4748" s="74">
        <v>996907939</v>
      </c>
      <c r="D4748" s="78" t="str">
        <f t="shared" si="154"/>
        <v>https://portal.dnb.de/opac.htm?method=simpleSearch&amp;cqlMode=true&amp;query=idn%3D996907939</v>
      </c>
      <c r="E4748" s="74" t="s">
        <v>6962</v>
      </c>
      <c r="F4748" s="74"/>
      <c r="G4748" s="76"/>
      <c r="H4748" s="77"/>
      <c r="I4748" s="76"/>
      <c r="J4748" s="77"/>
      <c r="K4748" s="77"/>
      <c r="L4748" s="76"/>
      <c r="M4748" s="76"/>
      <c r="N4748" s="76"/>
      <c r="O4748" s="76"/>
      <c r="P4748" s="76"/>
      <c r="Q4748" s="76"/>
      <c r="R4748" s="76"/>
      <c r="S4748" s="76"/>
      <c r="BD4748" s="99">
        <f t="shared" si="155"/>
        <v>0</v>
      </c>
      <c r="CC4748" s="99"/>
      <c r="CV4748" s="99"/>
      <c r="CW4748" s="63"/>
    </row>
    <row r="4749" spans="1:101" x14ac:dyDescent="0.15">
      <c r="A4749" s="76">
        <v>4486</v>
      </c>
      <c r="B4749" s="74" t="s">
        <v>6964</v>
      </c>
      <c r="C4749" s="74">
        <v>996908056</v>
      </c>
      <c r="D4749" s="78" t="str">
        <f t="shared" si="154"/>
        <v>https://portal.dnb.de/opac.htm?method=simpleSearch&amp;cqlMode=true&amp;query=idn%3D996908056</v>
      </c>
      <c r="E4749" s="74" t="s">
        <v>6962</v>
      </c>
      <c r="F4749" s="74"/>
      <c r="G4749" s="76"/>
      <c r="H4749" s="77"/>
      <c r="I4749" s="76"/>
      <c r="J4749" s="77"/>
      <c r="K4749" s="77"/>
      <c r="L4749" s="76"/>
      <c r="M4749" s="76"/>
      <c r="N4749" s="76"/>
      <c r="O4749" s="76"/>
      <c r="P4749" s="76"/>
      <c r="Q4749" s="76"/>
      <c r="R4749" s="76"/>
      <c r="S4749" s="76"/>
      <c r="BD4749" s="99">
        <f t="shared" si="155"/>
        <v>0</v>
      </c>
      <c r="CC4749" s="99"/>
      <c r="CV4749" s="99"/>
      <c r="CW4749" s="63"/>
    </row>
    <row r="4750" spans="1:101" x14ac:dyDescent="0.15">
      <c r="A4750" s="76">
        <v>4487</v>
      </c>
      <c r="B4750" s="74" t="s">
        <v>6965</v>
      </c>
      <c r="C4750" s="74">
        <v>996907963</v>
      </c>
      <c r="D4750" s="78" t="str">
        <f t="shared" si="154"/>
        <v>https://portal.dnb.de/opac.htm?method=simpleSearch&amp;cqlMode=true&amp;query=idn%3D996907963</v>
      </c>
      <c r="E4750" s="74" t="s">
        <v>6962</v>
      </c>
      <c r="F4750" s="74"/>
      <c r="G4750" s="76"/>
      <c r="H4750" s="77"/>
      <c r="I4750" s="76"/>
      <c r="J4750" s="77"/>
      <c r="K4750" s="77"/>
      <c r="L4750" s="76"/>
      <c r="M4750" s="76"/>
      <c r="N4750" s="76"/>
      <c r="O4750" s="76"/>
      <c r="P4750" s="76"/>
      <c r="Q4750" s="76"/>
      <c r="R4750" s="76"/>
      <c r="S4750" s="76"/>
      <c r="BD4750" s="99">
        <f t="shared" si="155"/>
        <v>0</v>
      </c>
      <c r="CC4750" s="99"/>
      <c r="CV4750" s="99"/>
      <c r="CW4750" s="63"/>
    </row>
    <row r="4751" spans="1:101" x14ac:dyDescent="0.15">
      <c r="A4751" s="76">
        <v>4488</v>
      </c>
      <c r="B4751" s="74" t="s">
        <v>6966</v>
      </c>
      <c r="C4751" s="74" t="s">
        <v>6960</v>
      </c>
      <c r="D4751" s="78" t="str">
        <f t="shared" si="154"/>
        <v>https://portal.dnb.de/opac.htm?method=simpleSearch&amp;cqlMode=true&amp;query=idn%3D99690803X</v>
      </c>
      <c r="E4751" s="74" t="s">
        <v>6962</v>
      </c>
      <c r="F4751" s="74"/>
      <c r="G4751" s="76"/>
      <c r="H4751" s="77"/>
      <c r="I4751" s="76"/>
      <c r="J4751" s="77"/>
      <c r="K4751" s="77"/>
      <c r="L4751" s="76"/>
      <c r="M4751" s="76"/>
      <c r="N4751" s="76"/>
      <c r="O4751" s="76"/>
      <c r="P4751" s="76"/>
      <c r="Q4751" s="76"/>
      <c r="R4751" s="76"/>
      <c r="S4751" s="76"/>
      <c r="BD4751" s="99">
        <f t="shared" si="155"/>
        <v>0</v>
      </c>
      <c r="CC4751" s="99"/>
      <c r="CV4751" s="99"/>
      <c r="CW4751" s="63"/>
    </row>
    <row r="4752" spans="1:101" x14ac:dyDescent="0.15">
      <c r="A4752" s="76">
        <v>4489</v>
      </c>
      <c r="B4752" s="74" t="s">
        <v>6920</v>
      </c>
      <c r="C4752" s="74">
        <v>1000057879</v>
      </c>
      <c r="D4752" s="78" t="str">
        <f t="shared" si="154"/>
        <v>https://portal.dnb.de/opac.htm?method=simpleSearch&amp;cqlMode=true&amp;query=idn%3D1000057879</v>
      </c>
      <c r="E4752" s="74" t="s">
        <v>6921</v>
      </c>
      <c r="F4752" s="74"/>
      <c r="G4752" s="76"/>
      <c r="H4752" s="77"/>
      <c r="I4752" s="76"/>
      <c r="J4752" s="77"/>
      <c r="K4752" s="77"/>
      <c r="L4752" s="76"/>
      <c r="M4752" s="76"/>
      <c r="N4752" s="76"/>
      <c r="O4752" s="76"/>
      <c r="P4752" s="76"/>
      <c r="Q4752" s="76"/>
      <c r="R4752" s="76"/>
      <c r="S4752" s="76"/>
      <c r="BD4752" s="99">
        <f t="shared" si="155"/>
        <v>0</v>
      </c>
      <c r="CC4752" s="99"/>
      <c r="CV4752" s="99"/>
      <c r="CW4752" s="63"/>
    </row>
    <row r="4753" spans="1:101" x14ac:dyDescent="0.15">
      <c r="A4753" s="76">
        <v>4490</v>
      </c>
      <c r="B4753" s="74" t="s">
        <v>6922</v>
      </c>
      <c r="C4753" s="74">
        <v>1008766984</v>
      </c>
      <c r="D4753" s="78" t="str">
        <f t="shared" si="154"/>
        <v>https://portal.dnb.de/opac.htm?method=simpleSearch&amp;cqlMode=true&amp;query=idn%3D1008766984</v>
      </c>
      <c r="E4753" s="74" t="s">
        <v>6923</v>
      </c>
      <c r="F4753" s="74"/>
      <c r="G4753" s="76"/>
      <c r="H4753" s="77"/>
      <c r="I4753" s="76"/>
      <c r="J4753" s="77"/>
      <c r="K4753" s="77"/>
      <c r="L4753" s="76"/>
      <c r="M4753" s="76"/>
      <c r="N4753" s="76"/>
      <c r="O4753" s="76"/>
      <c r="P4753" s="76"/>
      <c r="Q4753" s="76"/>
      <c r="R4753" s="76"/>
      <c r="S4753" s="76"/>
      <c r="BD4753" s="99">
        <f t="shared" si="155"/>
        <v>0</v>
      </c>
      <c r="CC4753" s="99"/>
      <c r="CV4753" s="99"/>
      <c r="CW4753" s="63"/>
    </row>
    <row r="4754" spans="1:101" x14ac:dyDescent="0.15">
      <c r="A4754" s="76">
        <v>4491</v>
      </c>
      <c r="B4754" s="74" t="s">
        <v>6924</v>
      </c>
      <c r="C4754" s="74">
        <v>1008767220</v>
      </c>
      <c r="D4754" s="78" t="str">
        <f t="shared" si="154"/>
        <v>https://portal.dnb.de/opac.htm?method=simpleSearch&amp;cqlMode=true&amp;query=idn%3D1008767220</v>
      </c>
      <c r="E4754" s="74" t="s">
        <v>6923</v>
      </c>
      <c r="F4754" s="74"/>
      <c r="G4754" s="76"/>
      <c r="H4754" s="77"/>
      <c r="I4754" s="76"/>
      <c r="J4754" s="77"/>
      <c r="K4754" s="77"/>
      <c r="L4754" s="76"/>
      <c r="M4754" s="76"/>
      <c r="N4754" s="76"/>
      <c r="O4754" s="76"/>
      <c r="P4754" s="76"/>
      <c r="Q4754" s="76"/>
      <c r="R4754" s="76"/>
      <c r="S4754" s="76"/>
      <c r="BD4754" s="99">
        <f t="shared" si="155"/>
        <v>0</v>
      </c>
      <c r="CC4754" s="99"/>
      <c r="CV4754" s="99"/>
      <c r="CW4754" s="63"/>
    </row>
    <row r="4755" spans="1:101" x14ac:dyDescent="0.15">
      <c r="A4755" s="76">
        <v>4492</v>
      </c>
      <c r="B4755" s="74" t="s">
        <v>6925</v>
      </c>
      <c r="C4755" s="74">
        <v>1008046329</v>
      </c>
      <c r="D4755" s="78" t="str">
        <f t="shared" si="154"/>
        <v>https://portal.dnb.de/opac.htm?method=simpleSearch&amp;cqlMode=true&amp;query=idn%3D1008046329</v>
      </c>
      <c r="E4755" s="74" t="s">
        <v>6923</v>
      </c>
      <c r="F4755" s="74"/>
      <c r="G4755" s="76"/>
      <c r="H4755" s="77"/>
      <c r="I4755" s="76"/>
      <c r="J4755" s="77"/>
      <c r="K4755" s="77"/>
      <c r="L4755" s="76"/>
      <c r="M4755" s="76"/>
      <c r="N4755" s="76"/>
      <c r="O4755" s="76"/>
      <c r="P4755" s="76"/>
      <c r="Q4755" s="76"/>
      <c r="R4755" s="76"/>
      <c r="S4755" s="76"/>
      <c r="BD4755" s="99">
        <f t="shared" si="155"/>
        <v>0</v>
      </c>
      <c r="CC4755" s="99"/>
      <c r="CV4755" s="99"/>
      <c r="CW4755" s="63"/>
    </row>
    <row r="4756" spans="1:101" x14ac:dyDescent="0.15">
      <c r="A4756" s="76">
        <v>4493</v>
      </c>
      <c r="B4756" s="74" t="s">
        <v>6967</v>
      </c>
      <c r="C4756" s="74" t="s">
        <v>6968</v>
      </c>
      <c r="D4756" s="78" t="str">
        <f t="shared" si="154"/>
        <v>https://portal.dnb.de/opac.htm?method=simpleSearch&amp;cqlMode=true&amp;query=idn%3D99797270X</v>
      </c>
      <c r="E4756" s="74" t="s">
        <v>6969</v>
      </c>
      <c r="F4756" s="74"/>
      <c r="G4756" s="76"/>
      <c r="H4756" s="77"/>
      <c r="I4756" s="76"/>
      <c r="J4756" s="77"/>
      <c r="K4756" s="77"/>
      <c r="L4756" s="76"/>
      <c r="M4756" s="76"/>
      <c r="N4756" s="76"/>
      <c r="O4756" s="76"/>
      <c r="P4756" s="76"/>
      <c r="Q4756" s="76"/>
      <c r="R4756" s="76"/>
      <c r="S4756" s="76"/>
      <c r="BD4756" s="99">
        <f t="shared" si="155"/>
        <v>0</v>
      </c>
      <c r="CC4756" s="99"/>
      <c r="CV4756" s="99"/>
      <c r="CW4756" s="63"/>
    </row>
    <row r="4757" spans="1:101" x14ac:dyDescent="0.15">
      <c r="A4757" s="76">
        <v>4494</v>
      </c>
      <c r="B4757" s="74" t="s">
        <v>6970</v>
      </c>
      <c r="C4757" s="74">
        <v>997972602</v>
      </c>
      <c r="D4757" s="78" t="str">
        <f t="shared" si="154"/>
        <v>https://portal.dnb.de/opac.htm?method=simpleSearch&amp;cqlMode=true&amp;query=idn%3D997972602</v>
      </c>
      <c r="E4757" s="74" t="s">
        <v>6969</v>
      </c>
      <c r="F4757" s="74"/>
      <c r="G4757" s="76"/>
      <c r="H4757" s="77"/>
      <c r="I4757" s="76"/>
      <c r="J4757" s="77"/>
      <c r="K4757" s="77"/>
      <c r="L4757" s="76"/>
      <c r="M4757" s="76"/>
      <c r="N4757" s="76"/>
      <c r="O4757" s="76"/>
      <c r="P4757" s="76"/>
      <c r="Q4757" s="76"/>
      <c r="R4757" s="76"/>
      <c r="S4757" s="76"/>
      <c r="BD4757" s="99">
        <f t="shared" si="155"/>
        <v>0</v>
      </c>
      <c r="CC4757" s="99"/>
      <c r="CV4757" s="99"/>
      <c r="CW4757" s="63"/>
    </row>
    <row r="4758" spans="1:101" x14ac:dyDescent="0.15">
      <c r="A4758" s="76">
        <v>4495</v>
      </c>
      <c r="B4758" s="74" t="s">
        <v>6971</v>
      </c>
      <c r="C4758" s="74">
        <v>997972572</v>
      </c>
      <c r="D4758" s="78" t="str">
        <f t="shared" si="154"/>
        <v>https://portal.dnb.de/opac.htm?method=simpleSearch&amp;cqlMode=true&amp;query=idn%3D997972572</v>
      </c>
      <c r="E4758" s="74" t="s">
        <v>6969</v>
      </c>
      <c r="F4758" s="74"/>
      <c r="G4758" s="76"/>
      <c r="H4758" s="77"/>
      <c r="I4758" s="76"/>
      <c r="J4758" s="77"/>
      <c r="K4758" s="77"/>
      <c r="L4758" s="76"/>
      <c r="M4758" s="76"/>
      <c r="N4758" s="76"/>
      <c r="O4758" s="76"/>
      <c r="P4758" s="76"/>
      <c r="Q4758" s="76"/>
      <c r="R4758" s="76"/>
      <c r="S4758" s="76"/>
      <c r="BD4758" s="99">
        <f t="shared" si="155"/>
        <v>0</v>
      </c>
      <c r="CC4758" s="99"/>
      <c r="CV4758" s="99"/>
      <c r="CW4758" s="63"/>
    </row>
    <row r="4759" spans="1:101" x14ac:dyDescent="0.15">
      <c r="A4759" s="76">
        <v>4496</v>
      </c>
      <c r="B4759" s="74" t="s">
        <v>6972</v>
      </c>
      <c r="C4759" s="74">
        <v>997972483</v>
      </c>
      <c r="D4759" s="78" t="str">
        <f t="shared" si="154"/>
        <v>https://portal.dnb.de/opac.htm?method=simpleSearch&amp;cqlMode=true&amp;query=idn%3D997972483</v>
      </c>
      <c r="E4759" s="74" t="s">
        <v>6969</v>
      </c>
      <c r="F4759" s="74"/>
      <c r="G4759" s="76"/>
      <c r="H4759" s="77"/>
      <c r="I4759" s="76"/>
      <c r="J4759" s="77"/>
      <c r="K4759" s="77"/>
      <c r="L4759" s="76"/>
      <c r="M4759" s="76"/>
      <c r="N4759" s="76"/>
      <c r="O4759" s="76"/>
      <c r="P4759" s="76"/>
      <c r="Q4759" s="76"/>
      <c r="R4759" s="76"/>
      <c r="S4759" s="76"/>
      <c r="BD4759" s="99">
        <f t="shared" si="155"/>
        <v>0</v>
      </c>
      <c r="CC4759" s="99"/>
      <c r="CV4759" s="99"/>
      <c r="CW4759" s="63"/>
    </row>
    <row r="4760" spans="1:101" x14ac:dyDescent="0.15">
      <c r="A4760" s="76">
        <v>4497</v>
      </c>
      <c r="B4760" s="74" t="s">
        <v>6973</v>
      </c>
      <c r="C4760" s="74">
        <v>997971592</v>
      </c>
      <c r="D4760" s="78" t="str">
        <f t="shared" si="154"/>
        <v>https://portal.dnb.de/opac.htm?method=simpleSearch&amp;cqlMode=true&amp;query=idn%3D997971592</v>
      </c>
      <c r="E4760" s="74" t="s">
        <v>6969</v>
      </c>
      <c r="F4760" s="74"/>
      <c r="G4760" s="76"/>
      <c r="H4760" s="77"/>
      <c r="I4760" s="76"/>
      <c r="J4760" s="77"/>
      <c r="K4760" s="77"/>
      <c r="L4760" s="76"/>
      <c r="M4760" s="76"/>
      <c r="N4760" s="76"/>
      <c r="O4760" s="76"/>
      <c r="P4760" s="76"/>
      <c r="Q4760" s="76"/>
      <c r="R4760" s="76"/>
      <c r="S4760" s="76"/>
      <c r="BD4760" s="99">
        <f t="shared" si="155"/>
        <v>0</v>
      </c>
      <c r="CC4760" s="99"/>
      <c r="CV4760" s="99"/>
      <c r="CW4760" s="63"/>
    </row>
    <row r="4761" spans="1:101" x14ac:dyDescent="0.15">
      <c r="A4761" s="76">
        <v>4498</v>
      </c>
      <c r="B4761" s="74" t="s">
        <v>6974</v>
      </c>
      <c r="C4761" s="74">
        <v>1001115031</v>
      </c>
      <c r="D4761" s="78" t="str">
        <f t="shared" si="154"/>
        <v>https://portal.dnb.de/opac.htm?method=simpleSearch&amp;cqlMode=true&amp;query=idn%3D1001115031</v>
      </c>
      <c r="E4761" s="74" t="s">
        <v>6969</v>
      </c>
      <c r="F4761" s="74"/>
      <c r="G4761" s="76"/>
      <c r="H4761" s="77"/>
      <c r="I4761" s="76"/>
      <c r="J4761" s="77"/>
      <c r="K4761" s="77"/>
      <c r="L4761" s="76"/>
      <c r="M4761" s="76"/>
      <c r="N4761" s="76"/>
      <c r="O4761" s="76"/>
      <c r="P4761" s="76"/>
      <c r="Q4761" s="76"/>
      <c r="R4761" s="76"/>
      <c r="S4761" s="76"/>
      <c r="BD4761" s="99">
        <f t="shared" si="155"/>
        <v>0</v>
      </c>
      <c r="CC4761" s="99"/>
      <c r="CV4761" s="99"/>
      <c r="CW4761" s="63"/>
    </row>
    <row r="4762" spans="1:101" x14ac:dyDescent="0.15">
      <c r="A4762" s="76">
        <v>4499</v>
      </c>
      <c r="B4762" s="74" t="s">
        <v>6975</v>
      </c>
      <c r="C4762" s="74">
        <v>997971568</v>
      </c>
      <c r="D4762" s="78" t="str">
        <f t="shared" si="154"/>
        <v>https://portal.dnb.de/opac.htm?method=simpleSearch&amp;cqlMode=true&amp;query=idn%3D997971568</v>
      </c>
      <c r="E4762" s="74" t="s">
        <v>6969</v>
      </c>
      <c r="F4762" s="74"/>
      <c r="G4762" s="76"/>
      <c r="H4762" s="77"/>
      <c r="I4762" s="76"/>
      <c r="J4762" s="77"/>
      <c r="K4762" s="77"/>
      <c r="L4762" s="76"/>
      <c r="M4762" s="76"/>
      <c r="N4762" s="76"/>
      <c r="O4762" s="76"/>
      <c r="P4762" s="76"/>
      <c r="Q4762" s="76"/>
      <c r="R4762" s="76"/>
      <c r="S4762" s="76"/>
      <c r="BD4762" s="99">
        <f t="shared" si="155"/>
        <v>0</v>
      </c>
      <c r="CC4762" s="99"/>
      <c r="CV4762" s="99"/>
      <c r="CW4762" s="63"/>
    </row>
    <row r="4763" spans="1:101" x14ac:dyDescent="0.15">
      <c r="A4763" s="76">
        <v>4500</v>
      </c>
      <c r="B4763" s="74" t="s">
        <v>6976</v>
      </c>
      <c r="C4763" s="74">
        <v>1002377056</v>
      </c>
      <c r="D4763" s="78" t="str">
        <f t="shared" si="154"/>
        <v>https://portal.dnb.de/opac.htm?method=simpleSearch&amp;cqlMode=true&amp;query=idn%3D1002377056</v>
      </c>
      <c r="E4763" s="74" t="s">
        <v>6977</v>
      </c>
      <c r="F4763" s="74"/>
      <c r="G4763" s="76"/>
      <c r="H4763" s="77"/>
      <c r="I4763" s="76"/>
      <c r="J4763" s="77"/>
      <c r="K4763" s="77"/>
      <c r="L4763" s="76"/>
      <c r="M4763" s="76"/>
      <c r="N4763" s="76"/>
      <c r="O4763" s="76"/>
      <c r="P4763" s="76"/>
      <c r="Q4763" s="76"/>
      <c r="R4763" s="76"/>
      <c r="S4763" s="76"/>
      <c r="BD4763" s="99">
        <f t="shared" si="155"/>
        <v>0</v>
      </c>
      <c r="CC4763" s="99"/>
      <c r="CV4763" s="99"/>
      <c r="CW4763" s="63"/>
    </row>
    <row r="4764" spans="1:101" x14ac:dyDescent="0.15">
      <c r="A4764" s="76">
        <v>4501</v>
      </c>
      <c r="B4764" s="74" t="s">
        <v>6978</v>
      </c>
      <c r="C4764" s="74">
        <v>1003227813</v>
      </c>
      <c r="D4764" s="78" t="str">
        <f t="shared" si="154"/>
        <v>https://portal.dnb.de/opac.htm?method=simpleSearch&amp;cqlMode=true&amp;query=idn%3D1003227813</v>
      </c>
      <c r="E4764" s="74" t="s">
        <v>6979</v>
      </c>
      <c r="F4764" s="74"/>
      <c r="G4764" s="76"/>
      <c r="H4764" s="77"/>
      <c r="I4764" s="76"/>
      <c r="J4764" s="77"/>
      <c r="K4764" s="77"/>
      <c r="L4764" s="76"/>
      <c r="M4764" s="76"/>
      <c r="N4764" s="76"/>
      <c r="O4764" s="76"/>
      <c r="P4764" s="76"/>
      <c r="Q4764" s="76"/>
      <c r="R4764" s="76"/>
      <c r="S4764" s="76"/>
      <c r="BD4764" s="99">
        <f t="shared" si="155"/>
        <v>0</v>
      </c>
      <c r="CC4764" s="99"/>
      <c r="CV4764" s="99"/>
      <c r="CW4764" s="63"/>
    </row>
    <row r="4765" spans="1:101" x14ac:dyDescent="0.15">
      <c r="A4765" s="76">
        <v>4502</v>
      </c>
      <c r="B4765" s="74" t="s">
        <v>6980</v>
      </c>
      <c r="C4765" s="74">
        <v>1003227805</v>
      </c>
      <c r="D4765" s="78" t="str">
        <f t="shared" si="154"/>
        <v>https://portal.dnb.de/opac.htm?method=simpleSearch&amp;cqlMode=true&amp;query=idn%3D1003227805</v>
      </c>
      <c r="E4765" s="74" t="s">
        <v>6979</v>
      </c>
      <c r="F4765" s="74"/>
      <c r="G4765" s="76"/>
      <c r="H4765" s="77"/>
      <c r="I4765" s="76"/>
      <c r="J4765" s="77"/>
      <c r="K4765" s="77"/>
      <c r="L4765" s="76"/>
      <c r="M4765" s="76"/>
      <c r="N4765" s="76"/>
      <c r="O4765" s="76"/>
      <c r="P4765" s="76"/>
      <c r="Q4765" s="76"/>
      <c r="R4765" s="76"/>
      <c r="S4765" s="76"/>
      <c r="BD4765" s="99">
        <f t="shared" si="155"/>
        <v>0</v>
      </c>
      <c r="CC4765" s="99"/>
      <c r="CV4765" s="99"/>
      <c r="CW4765" s="63"/>
    </row>
    <row r="4766" spans="1:101" x14ac:dyDescent="0.15">
      <c r="A4766" s="76">
        <v>4503</v>
      </c>
      <c r="B4766" s="74" t="s">
        <v>6981</v>
      </c>
      <c r="C4766" s="74">
        <v>1003227791</v>
      </c>
      <c r="D4766" s="78" t="str">
        <f t="shared" si="154"/>
        <v>https://portal.dnb.de/opac.htm?method=simpleSearch&amp;cqlMode=true&amp;query=idn%3D1003227791</v>
      </c>
      <c r="E4766" s="74" t="s">
        <v>6979</v>
      </c>
      <c r="F4766" s="74"/>
      <c r="G4766" s="76"/>
      <c r="H4766" s="77"/>
      <c r="I4766" s="76"/>
      <c r="J4766" s="77"/>
      <c r="K4766" s="77"/>
      <c r="L4766" s="76"/>
      <c r="M4766" s="76"/>
      <c r="N4766" s="76"/>
      <c r="O4766" s="76"/>
      <c r="P4766" s="76"/>
      <c r="Q4766" s="76"/>
      <c r="R4766" s="76"/>
      <c r="S4766" s="76"/>
      <c r="BD4766" s="99">
        <f t="shared" si="155"/>
        <v>0</v>
      </c>
      <c r="CC4766" s="99"/>
      <c r="CV4766" s="99"/>
      <c r="CW4766" s="63"/>
    </row>
    <row r="4767" spans="1:101" x14ac:dyDescent="0.15">
      <c r="A4767" s="76">
        <v>4504</v>
      </c>
      <c r="B4767" s="74" t="s">
        <v>6982</v>
      </c>
      <c r="C4767" s="74">
        <v>999987232</v>
      </c>
      <c r="D4767" s="78" t="str">
        <f t="shared" si="154"/>
        <v>https://portal.dnb.de/opac.htm?method=simpleSearch&amp;cqlMode=true&amp;query=idn%3D999987232</v>
      </c>
      <c r="E4767" s="74" t="s">
        <v>6983</v>
      </c>
      <c r="F4767" s="74"/>
      <c r="G4767" s="76"/>
      <c r="H4767" s="77"/>
      <c r="I4767" s="76"/>
      <c r="J4767" s="77"/>
      <c r="K4767" s="77"/>
      <c r="L4767" s="76"/>
      <c r="M4767" s="76"/>
      <c r="N4767" s="76"/>
      <c r="O4767" s="76"/>
      <c r="P4767" s="76"/>
      <c r="Q4767" s="76"/>
      <c r="R4767" s="76"/>
      <c r="S4767" s="76"/>
      <c r="BD4767" s="99">
        <f t="shared" si="155"/>
        <v>0</v>
      </c>
      <c r="CC4767" s="99"/>
      <c r="CV4767" s="99"/>
      <c r="CW4767" s="63"/>
    </row>
    <row r="4768" spans="1:101" x14ac:dyDescent="0.15">
      <c r="A4768" s="76">
        <v>4505</v>
      </c>
      <c r="B4768" s="74" t="s">
        <v>6984</v>
      </c>
      <c r="C4768" s="74">
        <v>999987348</v>
      </c>
      <c r="D4768" s="78" t="str">
        <f t="shared" si="154"/>
        <v>https://portal.dnb.de/opac.htm?method=simpleSearch&amp;cqlMode=true&amp;query=idn%3D999987348</v>
      </c>
      <c r="E4768" s="74" t="s">
        <v>6983</v>
      </c>
      <c r="F4768" s="74"/>
      <c r="G4768" s="76"/>
      <c r="H4768" s="77"/>
      <c r="I4768" s="76"/>
      <c r="J4768" s="77"/>
      <c r="K4768" s="77"/>
      <c r="L4768" s="76"/>
      <c r="M4768" s="76"/>
      <c r="N4768" s="76"/>
      <c r="O4768" s="76"/>
      <c r="P4768" s="76"/>
      <c r="Q4768" s="76"/>
      <c r="R4768" s="76"/>
      <c r="S4768" s="76"/>
      <c r="BD4768" s="99">
        <f t="shared" si="155"/>
        <v>0</v>
      </c>
      <c r="CC4768" s="99"/>
      <c r="CV4768" s="99"/>
      <c r="CW4768" s="63"/>
    </row>
    <row r="4769" spans="1:101" x14ac:dyDescent="0.15">
      <c r="A4769" s="76">
        <v>4506</v>
      </c>
      <c r="B4769" s="74" t="s">
        <v>6985</v>
      </c>
      <c r="C4769" s="74">
        <v>999987429</v>
      </c>
      <c r="D4769" s="78" t="str">
        <f t="shared" si="154"/>
        <v>https://portal.dnb.de/opac.htm?method=simpleSearch&amp;cqlMode=true&amp;query=idn%3D999987429</v>
      </c>
      <c r="E4769" s="74" t="s">
        <v>6983</v>
      </c>
      <c r="F4769" s="74"/>
      <c r="G4769" s="76"/>
      <c r="H4769" s="77"/>
      <c r="I4769" s="76"/>
      <c r="J4769" s="77"/>
      <c r="K4769" s="77"/>
      <c r="L4769" s="76"/>
      <c r="M4769" s="76"/>
      <c r="N4769" s="76"/>
      <c r="O4769" s="76"/>
      <c r="P4769" s="76"/>
      <c r="Q4769" s="76"/>
      <c r="R4769" s="76"/>
      <c r="S4769" s="76"/>
      <c r="BD4769" s="99">
        <f t="shared" si="155"/>
        <v>0</v>
      </c>
      <c r="CC4769" s="99"/>
      <c r="CV4769" s="99"/>
      <c r="CW4769" s="63"/>
    </row>
    <row r="4770" spans="1:101" x14ac:dyDescent="0.15">
      <c r="A4770" s="76">
        <v>4507</v>
      </c>
      <c r="B4770" s="74" t="s">
        <v>6994</v>
      </c>
      <c r="C4770" s="74">
        <v>995984395</v>
      </c>
      <c r="D4770" s="78" t="str">
        <f t="shared" ref="D4770:D4833" si="156">HYPERLINK(CONCATENATE("https://portal.dnb.de/opac.htm?method=simpleSearch&amp;cqlMode=true&amp;query=idn%3D",C4770))</f>
        <v>https://portal.dnb.de/opac.htm?method=simpleSearch&amp;cqlMode=true&amp;query=idn%3D995984395</v>
      </c>
      <c r="E4770" s="74" t="s">
        <v>6995</v>
      </c>
      <c r="F4770" s="74"/>
      <c r="G4770" s="76"/>
      <c r="H4770" s="77"/>
      <c r="I4770" s="76"/>
      <c r="J4770" s="77"/>
      <c r="K4770" s="77"/>
      <c r="L4770" s="76"/>
      <c r="M4770" s="76"/>
      <c r="N4770" s="76"/>
      <c r="O4770" s="76"/>
      <c r="P4770" s="76"/>
      <c r="Q4770" s="76"/>
      <c r="R4770" s="76"/>
      <c r="S4770" s="76"/>
      <c r="BD4770" s="99">
        <f t="shared" si="155"/>
        <v>0</v>
      </c>
      <c r="CC4770" s="99"/>
      <c r="CV4770" s="99"/>
      <c r="CW4770" s="63"/>
    </row>
    <row r="4771" spans="1:101" x14ac:dyDescent="0.15">
      <c r="A4771" s="76">
        <v>4508</v>
      </c>
      <c r="B4771" s="74" t="s">
        <v>7000</v>
      </c>
      <c r="C4771" s="74" t="s">
        <v>7001</v>
      </c>
      <c r="D4771" s="78" t="str">
        <f t="shared" si="156"/>
        <v>https://portal.dnb.de/opac.htm?method=simpleSearch&amp;cqlMode=true&amp;query=idn%3D100054804X</v>
      </c>
      <c r="E4771" s="74" t="s">
        <v>7002</v>
      </c>
      <c r="F4771" s="74"/>
      <c r="G4771" s="76"/>
      <c r="H4771" s="77"/>
      <c r="I4771" s="76"/>
      <c r="J4771" s="77"/>
      <c r="K4771" s="77"/>
      <c r="L4771" s="76"/>
      <c r="M4771" s="76"/>
      <c r="N4771" s="76"/>
      <c r="O4771" s="76"/>
      <c r="P4771" s="76"/>
      <c r="Q4771" s="76"/>
      <c r="R4771" s="76"/>
      <c r="S4771" s="76"/>
      <c r="BD4771" s="99">
        <f t="shared" si="155"/>
        <v>0</v>
      </c>
      <c r="CC4771" s="99"/>
      <c r="CV4771" s="99"/>
      <c r="CW4771" s="63"/>
    </row>
    <row r="4772" spans="1:101" x14ac:dyDescent="0.15">
      <c r="A4772" s="76">
        <v>4509</v>
      </c>
      <c r="B4772" s="74" t="s">
        <v>7005</v>
      </c>
      <c r="C4772" s="74">
        <v>994234414</v>
      </c>
      <c r="D4772" s="78" t="str">
        <f t="shared" si="156"/>
        <v>https://portal.dnb.de/opac.htm?method=simpleSearch&amp;cqlMode=true&amp;query=idn%3D994234414</v>
      </c>
      <c r="E4772" s="74" t="s">
        <v>7006</v>
      </c>
      <c r="F4772" s="74"/>
      <c r="G4772" s="76"/>
      <c r="H4772" s="77"/>
      <c r="I4772" s="76"/>
      <c r="J4772" s="77"/>
      <c r="K4772" s="77"/>
      <c r="L4772" s="76"/>
      <c r="M4772" s="76"/>
      <c r="N4772" s="76"/>
      <c r="O4772" s="76"/>
      <c r="P4772" s="76"/>
      <c r="Q4772" s="76"/>
      <c r="R4772" s="76"/>
      <c r="S4772" s="76"/>
      <c r="BD4772" s="99">
        <f t="shared" si="155"/>
        <v>0</v>
      </c>
      <c r="CC4772" s="99"/>
      <c r="CV4772" s="99"/>
      <c r="CW4772" s="63"/>
    </row>
    <row r="4773" spans="1:101" x14ac:dyDescent="0.15">
      <c r="A4773" s="76">
        <v>4510</v>
      </c>
      <c r="B4773" s="74" t="s">
        <v>7007</v>
      </c>
      <c r="C4773" s="74">
        <v>994241879</v>
      </c>
      <c r="D4773" s="78" t="str">
        <f t="shared" si="156"/>
        <v>https://portal.dnb.de/opac.htm?method=simpleSearch&amp;cqlMode=true&amp;query=idn%3D994241879</v>
      </c>
      <c r="E4773" s="74" t="s">
        <v>7006</v>
      </c>
      <c r="F4773" s="74"/>
      <c r="G4773" s="76"/>
      <c r="H4773" s="77"/>
      <c r="I4773" s="76"/>
      <c r="J4773" s="77"/>
      <c r="K4773" s="77"/>
      <c r="L4773" s="76"/>
      <c r="M4773" s="76"/>
      <c r="N4773" s="76"/>
      <c r="O4773" s="76"/>
      <c r="P4773" s="76"/>
      <c r="Q4773" s="76"/>
      <c r="R4773" s="76"/>
      <c r="S4773" s="76"/>
      <c r="BD4773" s="99">
        <f t="shared" si="155"/>
        <v>0</v>
      </c>
      <c r="CC4773" s="99"/>
      <c r="CV4773" s="99"/>
      <c r="CW4773" s="63"/>
    </row>
    <row r="4774" spans="1:101" x14ac:dyDescent="0.15">
      <c r="A4774" s="76">
        <v>4511</v>
      </c>
      <c r="B4774" s="74" t="s">
        <v>7008</v>
      </c>
      <c r="C4774" s="74">
        <v>1003196969</v>
      </c>
      <c r="D4774" s="78" t="str">
        <f t="shared" si="156"/>
        <v>https://portal.dnb.de/opac.htm?method=simpleSearch&amp;cqlMode=true&amp;query=idn%3D1003196969</v>
      </c>
      <c r="E4774" s="74" t="s">
        <v>7009</v>
      </c>
      <c r="F4774" s="74"/>
      <c r="G4774" s="76"/>
      <c r="H4774" s="77"/>
      <c r="I4774" s="76"/>
      <c r="J4774" s="77"/>
      <c r="K4774" s="77"/>
      <c r="L4774" s="76"/>
      <c r="M4774" s="76"/>
      <c r="N4774" s="76"/>
      <c r="O4774" s="76"/>
      <c r="P4774" s="76"/>
      <c r="Q4774" s="76"/>
      <c r="R4774" s="76"/>
      <c r="S4774" s="76"/>
      <c r="BD4774" s="99">
        <f t="shared" si="155"/>
        <v>0</v>
      </c>
      <c r="CC4774" s="99"/>
      <c r="CV4774" s="99"/>
      <c r="CW4774" s="63"/>
    </row>
    <row r="4775" spans="1:101" x14ac:dyDescent="0.15">
      <c r="A4775" s="76">
        <v>4512</v>
      </c>
      <c r="B4775" s="74" t="s">
        <v>7010</v>
      </c>
      <c r="C4775" s="74" t="s">
        <v>7011</v>
      </c>
      <c r="D4775" s="78" t="str">
        <f t="shared" si="156"/>
        <v>https://portal.dnb.de/opac.htm?method=simpleSearch&amp;cqlMode=true&amp;query=idn%3D100319687X</v>
      </c>
      <c r="E4775" s="74" t="s">
        <v>7009</v>
      </c>
      <c r="F4775" s="74"/>
      <c r="G4775" s="76"/>
      <c r="H4775" s="77"/>
      <c r="I4775" s="76"/>
      <c r="J4775" s="77"/>
      <c r="K4775" s="77"/>
      <c r="L4775" s="76"/>
      <c r="M4775" s="76"/>
      <c r="N4775" s="76"/>
      <c r="O4775" s="76"/>
      <c r="P4775" s="76"/>
      <c r="Q4775" s="76"/>
      <c r="R4775" s="76"/>
      <c r="S4775" s="76"/>
      <c r="BD4775" s="99">
        <f t="shared" si="155"/>
        <v>0</v>
      </c>
      <c r="CC4775" s="99"/>
      <c r="CV4775" s="99"/>
      <c r="CW4775" s="63"/>
    </row>
    <row r="4776" spans="1:101" x14ac:dyDescent="0.15">
      <c r="A4776" s="76">
        <v>4513</v>
      </c>
      <c r="B4776" s="74" t="s">
        <v>7020</v>
      </c>
      <c r="C4776" s="74">
        <v>997595256</v>
      </c>
      <c r="D4776" s="78" t="str">
        <f t="shared" si="156"/>
        <v>https://portal.dnb.de/opac.htm?method=simpleSearch&amp;cqlMode=true&amp;query=idn%3D997595256</v>
      </c>
      <c r="E4776" s="74" t="s">
        <v>7021</v>
      </c>
      <c r="F4776" s="74"/>
      <c r="G4776" s="76"/>
      <c r="H4776" s="77"/>
      <c r="I4776" s="76"/>
      <c r="J4776" s="77"/>
      <c r="K4776" s="77"/>
      <c r="L4776" s="76"/>
      <c r="M4776" s="76"/>
      <c r="N4776" s="76"/>
      <c r="O4776" s="76"/>
      <c r="P4776" s="76"/>
      <c r="Q4776" s="76"/>
      <c r="R4776" s="76"/>
      <c r="S4776" s="76"/>
      <c r="BD4776" s="99">
        <f t="shared" si="155"/>
        <v>0</v>
      </c>
      <c r="CC4776" s="99"/>
      <c r="CV4776" s="99"/>
      <c r="CW4776" s="63"/>
    </row>
    <row r="4777" spans="1:101" x14ac:dyDescent="0.15">
      <c r="A4777" s="76">
        <v>4514</v>
      </c>
      <c r="B4777" s="74" t="s">
        <v>7022</v>
      </c>
      <c r="C4777" s="74">
        <v>1001924517</v>
      </c>
      <c r="D4777" s="78" t="str">
        <f t="shared" si="156"/>
        <v>https://portal.dnb.de/opac.htm?method=simpleSearch&amp;cqlMode=true&amp;query=idn%3D1001924517</v>
      </c>
      <c r="E4777" s="74" t="s">
        <v>7023</v>
      </c>
      <c r="F4777" s="74"/>
      <c r="G4777" s="76"/>
      <c r="H4777" s="77"/>
      <c r="I4777" s="76"/>
      <c r="J4777" s="77"/>
      <c r="K4777" s="77"/>
      <c r="L4777" s="76"/>
      <c r="M4777" s="76"/>
      <c r="N4777" s="76"/>
      <c r="O4777" s="76"/>
      <c r="P4777" s="76"/>
      <c r="Q4777" s="76"/>
      <c r="R4777" s="76"/>
      <c r="S4777" s="76"/>
      <c r="BD4777" s="99">
        <f t="shared" si="155"/>
        <v>0</v>
      </c>
      <c r="CC4777" s="99"/>
      <c r="CV4777" s="99"/>
      <c r="CW4777" s="63"/>
    </row>
    <row r="4778" spans="1:101" x14ac:dyDescent="0.15">
      <c r="A4778" s="76">
        <v>4515</v>
      </c>
      <c r="B4778" s="74" t="s">
        <v>7024</v>
      </c>
      <c r="C4778" s="74">
        <v>1001924355</v>
      </c>
      <c r="D4778" s="78" t="str">
        <f t="shared" si="156"/>
        <v>https://portal.dnb.de/opac.htm?method=simpleSearch&amp;cqlMode=true&amp;query=idn%3D1001924355</v>
      </c>
      <c r="E4778" s="74" t="s">
        <v>7025</v>
      </c>
      <c r="F4778" s="74"/>
      <c r="G4778" s="76"/>
      <c r="H4778" s="77"/>
      <c r="I4778" s="76"/>
      <c r="J4778" s="77"/>
      <c r="K4778" s="77"/>
      <c r="L4778" s="76"/>
      <c r="M4778" s="76"/>
      <c r="N4778" s="76"/>
      <c r="O4778" s="76"/>
      <c r="P4778" s="76"/>
      <c r="Q4778" s="76"/>
      <c r="R4778" s="76"/>
      <c r="S4778" s="76"/>
      <c r="BD4778" s="99">
        <f t="shared" si="155"/>
        <v>0</v>
      </c>
      <c r="CC4778" s="99"/>
      <c r="CV4778" s="99"/>
      <c r="CW4778" s="63"/>
    </row>
    <row r="4779" spans="1:101" x14ac:dyDescent="0.15">
      <c r="A4779" s="76">
        <v>4516</v>
      </c>
      <c r="B4779" s="74" t="s">
        <v>7078</v>
      </c>
      <c r="C4779" s="74" t="s">
        <v>7079</v>
      </c>
      <c r="D4779" s="78" t="str">
        <f t="shared" si="156"/>
        <v>https://portal.dnb.de/opac.htm?method=simpleSearch&amp;cqlMode=true&amp;query=idn%3D106683590X</v>
      </c>
      <c r="E4779" s="74" t="s">
        <v>7080</v>
      </c>
      <c r="F4779" s="74"/>
      <c r="G4779" s="76"/>
      <c r="H4779" s="77"/>
      <c r="I4779" s="76"/>
      <c r="J4779" s="77"/>
      <c r="K4779" s="77"/>
      <c r="L4779" s="76"/>
      <c r="M4779" s="76"/>
      <c r="N4779" s="76"/>
      <c r="O4779" s="76"/>
      <c r="P4779" s="76"/>
      <c r="Q4779" s="76"/>
      <c r="R4779" s="76"/>
      <c r="S4779" s="76"/>
      <c r="BD4779" s="99">
        <f t="shared" si="155"/>
        <v>0</v>
      </c>
      <c r="CC4779" s="99"/>
      <c r="CV4779" s="99"/>
      <c r="CW4779" s="63"/>
    </row>
    <row r="4780" spans="1:101" x14ac:dyDescent="0.15">
      <c r="A4780" s="76">
        <v>4517</v>
      </c>
      <c r="B4780" s="74" t="s">
        <v>7081</v>
      </c>
      <c r="C4780" s="74" t="s">
        <v>7082</v>
      </c>
      <c r="D4780" s="78" t="str">
        <f t="shared" si="156"/>
        <v>https://portal.dnb.de/opac.htm?method=simpleSearch&amp;cqlMode=true&amp;query=idn%3D106645793X</v>
      </c>
      <c r="E4780" s="74" t="s">
        <v>7083</v>
      </c>
      <c r="F4780" s="74"/>
      <c r="G4780" s="76"/>
      <c r="H4780" s="77"/>
      <c r="I4780" s="76"/>
      <c r="J4780" s="77"/>
      <c r="K4780" s="77"/>
      <c r="L4780" s="76"/>
      <c r="M4780" s="76"/>
      <c r="N4780" s="76"/>
      <c r="O4780" s="76"/>
      <c r="P4780" s="76"/>
      <c r="Q4780" s="76"/>
      <c r="R4780" s="76"/>
      <c r="S4780" s="76"/>
      <c r="BD4780" s="99">
        <f t="shared" si="155"/>
        <v>0</v>
      </c>
      <c r="CC4780" s="99"/>
      <c r="CV4780" s="99"/>
      <c r="CW4780" s="63"/>
    </row>
    <row r="4781" spans="1:101" x14ac:dyDescent="0.15">
      <c r="A4781" s="76">
        <v>4518</v>
      </c>
      <c r="B4781" s="74" t="s">
        <v>7084</v>
      </c>
      <c r="C4781" s="74">
        <v>1066781249</v>
      </c>
      <c r="D4781" s="78" t="str">
        <f t="shared" si="156"/>
        <v>https://portal.dnb.de/opac.htm?method=simpleSearch&amp;cqlMode=true&amp;query=idn%3D1066781249</v>
      </c>
      <c r="E4781" s="74" t="s">
        <v>7085</v>
      </c>
      <c r="F4781" s="74"/>
      <c r="G4781" s="76"/>
      <c r="H4781" s="77"/>
      <c r="I4781" s="76"/>
      <c r="J4781" s="77"/>
      <c r="K4781" s="77"/>
      <c r="L4781" s="76"/>
      <c r="M4781" s="76"/>
      <c r="N4781" s="76"/>
      <c r="O4781" s="76"/>
      <c r="P4781" s="76"/>
      <c r="Q4781" s="76"/>
      <c r="R4781" s="76"/>
      <c r="S4781" s="76"/>
      <c r="BD4781" s="99">
        <f t="shared" si="155"/>
        <v>0</v>
      </c>
      <c r="CC4781" s="99"/>
      <c r="CV4781" s="99"/>
      <c r="CW4781" s="63"/>
    </row>
    <row r="4782" spans="1:101" x14ac:dyDescent="0.15">
      <c r="A4782" s="76">
        <v>4519</v>
      </c>
      <c r="B4782" s="74" t="s">
        <v>7091</v>
      </c>
      <c r="C4782" s="74">
        <v>1066956499</v>
      </c>
      <c r="D4782" s="78" t="str">
        <f t="shared" si="156"/>
        <v>https://portal.dnb.de/opac.htm?method=simpleSearch&amp;cqlMode=true&amp;query=idn%3D1066956499</v>
      </c>
      <c r="E4782" s="74" t="s">
        <v>7092</v>
      </c>
      <c r="F4782" s="74"/>
      <c r="G4782" s="76"/>
      <c r="H4782" s="77"/>
      <c r="I4782" s="76" t="s">
        <v>53</v>
      </c>
      <c r="J4782" s="77"/>
      <c r="K4782" s="77"/>
      <c r="L4782" s="76"/>
      <c r="M4782" s="76"/>
      <c r="N4782" s="76"/>
      <c r="O4782" s="76"/>
      <c r="P4782" s="76"/>
      <c r="Q4782" s="76"/>
      <c r="R4782" s="76"/>
      <c r="S4782" s="76"/>
      <c r="Y4782" s="95" t="s">
        <v>9735</v>
      </c>
      <c r="AA4782" s="95" t="s">
        <v>8541</v>
      </c>
      <c r="AC4782" s="95" t="s">
        <v>9739</v>
      </c>
      <c r="AI4782" s="95" t="s">
        <v>9725</v>
      </c>
      <c r="AJ4782" s="95" t="s">
        <v>8541</v>
      </c>
      <c r="AW4782" s="95">
        <v>110</v>
      </c>
      <c r="BC4782" s="96" t="s">
        <v>9726</v>
      </c>
      <c r="BD4782" s="99">
        <f t="shared" si="155"/>
        <v>0.5</v>
      </c>
      <c r="BP4782" s="69" t="s">
        <v>8541</v>
      </c>
      <c r="BR4782" s="95" t="s">
        <v>8541</v>
      </c>
      <c r="CC4782" s="99">
        <v>0.5</v>
      </c>
      <c r="CV4782" s="99"/>
      <c r="CW4782" s="63"/>
    </row>
    <row r="4783" spans="1:101" x14ac:dyDescent="0.15">
      <c r="A4783" s="76">
        <v>4520</v>
      </c>
      <c r="B4783" s="74" t="s">
        <v>7093</v>
      </c>
      <c r="C4783" s="74">
        <v>1000729176</v>
      </c>
      <c r="D4783" s="78" t="str">
        <f t="shared" si="156"/>
        <v>https://portal.dnb.de/opac.htm?method=simpleSearch&amp;cqlMode=true&amp;query=idn%3D1000729176</v>
      </c>
      <c r="E4783" s="74" t="s">
        <v>7094</v>
      </c>
      <c r="F4783" s="74"/>
      <c r="G4783" s="76"/>
      <c r="H4783" s="77"/>
      <c r="I4783" s="76"/>
      <c r="J4783" s="77"/>
      <c r="K4783" s="77"/>
      <c r="L4783" s="76"/>
      <c r="M4783" s="76"/>
      <c r="N4783" s="76"/>
      <c r="O4783" s="76"/>
      <c r="P4783" s="76"/>
      <c r="Q4783" s="76"/>
      <c r="R4783" s="76"/>
      <c r="S4783" s="76"/>
      <c r="BD4783" s="99">
        <f t="shared" si="155"/>
        <v>0</v>
      </c>
      <c r="CC4783" s="99"/>
      <c r="CV4783" s="99"/>
      <c r="CW4783" s="63"/>
    </row>
    <row r="4784" spans="1:101" x14ac:dyDescent="0.15">
      <c r="A4784" s="76">
        <v>4521</v>
      </c>
      <c r="B4784" s="74" t="s">
        <v>7095</v>
      </c>
      <c r="C4784" s="74">
        <v>1066684928</v>
      </c>
      <c r="D4784" s="78" t="str">
        <f t="shared" si="156"/>
        <v>https://portal.dnb.de/opac.htm?method=simpleSearch&amp;cqlMode=true&amp;query=idn%3D1066684928</v>
      </c>
      <c r="E4784" s="74" t="s">
        <v>7096</v>
      </c>
      <c r="F4784" s="74"/>
      <c r="G4784" s="76"/>
      <c r="H4784" s="77"/>
      <c r="I4784" s="76"/>
      <c r="J4784" s="77"/>
      <c r="K4784" s="77"/>
      <c r="L4784" s="76"/>
      <c r="M4784" s="76"/>
      <c r="N4784" s="76"/>
      <c r="O4784" s="76"/>
      <c r="P4784" s="76"/>
      <c r="Q4784" s="76"/>
      <c r="R4784" s="76"/>
      <c r="S4784" s="76"/>
      <c r="BD4784" s="99">
        <f t="shared" si="155"/>
        <v>0</v>
      </c>
      <c r="CC4784" s="99"/>
      <c r="CV4784" s="99"/>
      <c r="CW4784" s="63"/>
    </row>
    <row r="4785" spans="1:101" x14ac:dyDescent="0.15">
      <c r="A4785" s="76">
        <v>4522</v>
      </c>
      <c r="B4785" s="74" t="s">
        <v>7097</v>
      </c>
      <c r="C4785" s="74">
        <v>1209624605</v>
      </c>
      <c r="D4785" s="78" t="str">
        <f t="shared" si="156"/>
        <v>https://portal.dnb.de/opac.htm?method=simpleSearch&amp;cqlMode=true&amp;query=idn%3D1209624605</v>
      </c>
      <c r="E4785" s="74" t="s">
        <v>7098</v>
      </c>
      <c r="F4785" s="74"/>
      <c r="G4785" s="76"/>
      <c r="H4785" s="77"/>
      <c r="I4785" s="76"/>
      <c r="J4785" s="77"/>
      <c r="K4785" s="77"/>
      <c r="L4785" s="76"/>
      <c r="M4785" s="76"/>
      <c r="N4785" s="76"/>
      <c r="O4785" s="76"/>
      <c r="P4785" s="76"/>
      <c r="Q4785" s="76"/>
      <c r="R4785" s="76"/>
      <c r="S4785" s="76"/>
      <c r="BD4785" s="99">
        <f t="shared" si="155"/>
        <v>0</v>
      </c>
      <c r="CC4785" s="99"/>
      <c r="CV4785" s="99"/>
      <c r="CW4785" s="63"/>
    </row>
    <row r="4786" spans="1:101" x14ac:dyDescent="0.15">
      <c r="A4786" s="76">
        <v>4523</v>
      </c>
      <c r="B4786" s="74" t="s">
        <v>7099</v>
      </c>
      <c r="C4786" s="74">
        <v>1066956898</v>
      </c>
      <c r="D4786" s="78" t="str">
        <f t="shared" si="156"/>
        <v>https://portal.dnb.de/opac.htm?method=simpleSearch&amp;cqlMode=true&amp;query=idn%3D1066956898</v>
      </c>
      <c r="E4786" s="74" t="s">
        <v>7100</v>
      </c>
      <c r="F4786" s="74"/>
      <c r="G4786" s="76"/>
      <c r="H4786" s="77"/>
      <c r="I4786" s="76"/>
      <c r="J4786" s="77"/>
      <c r="K4786" s="77"/>
      <c r="L4786" s="76"/>
      <c r="M4786" s="76"/>
      <c r="N4786" s="76"/>
      <c r="O4786" s="76"/>
      <c r="P4786" s="76"/>
      <c r="Q4786" s="76"/>
      <c r="R4786" s="76"/>
      <c r="S4786" s="76"/>
      <c r="BD4786" s="99">
        <f t="shared" si="155"/>
        <v>0</v>
      </c>
      <c r="CC4786" s="99"/>
      <c r="CV4786" s="99"/>
      <c r="CW4786" s="63"/>
    </row>
    <row r="4787" spans="1:101" x14ac:dyDescent="0.15">
      <c r="A4787" s="76">
        <v>4524</v>
      </c>
      <c r="B4787" s="74" t="s">
        <v>7129</v>
      </c>
      <c r="C4787" s="74">
        <v>1066796300</v>
      </c>
      <c r="D4787" s="78" t="str">
        <f t="shared" si="156"/>
        <v>https://portal.dnb.de/opac.htm?method=simpleSearch&amp;cqlMode=true&amp;query=idn%3D1066796300</v>
      </c>
      <c r="E4787" s="74" t="s">
        <v>7130</v>
      </c>
      <c r="F4787" s="74"/>
      <c r="G4787" s="76"/>
      <c r="H4787" s="77"/>
      <c r="I4787" s="76"/>
      <c r="J4787" s="77"/>
      <c r="K4787" s="77"/>
      <c r="L4787" s="76"/>
      <c r="M4787" s="76"/>
      <c r="N4787" s="76"/>
      <c r="O4787" s="76"/>
      <c r="P4787" s="76"/>
      <c r="Q4787" s="76"/>
      <c r="R4787" s="76"/>
      <c r="S4787" s="76"/>
      <c r="BD4787" s="99">
        <f t="shared" si="155"/>
        <v>0</v>
      </c>
      <c r="CC4787" s="99"/>
      <c r="CV4787" s="99"/>
      <c r="CW4787" s="63"/>
    </row>
    <row r="4788" spans="1:101" ht="78.75" x14ac:dyDescent="0.15">
      <c r="A4788" s="76">
        <v>4525</v>
      </c>
      <c r="B4788" s="74" t="s">
        <v>7154</v>
      </c>
      <c r="C4788" s="74">
        <v>994150873</v>
      </c>
      <c r="D4788" s="78" t="str">
        <f t="shared" si="156"/>
        <v>https://portal.dnb.de/opac.htm?method=simpleSearch&amp;cqlMode=true&amp;query=idn%3D994150873</v>
      </c>
      <c r="E4788" s="74" t="s">
        <v>7155</v>
      </c>
      <c r="F4788" s="74"/>
      <c r="G4788" s="76"/>
      <c r="H4788" s="77"/>
      <c r="I4788" s="76" t="s">
        <v>53</v>
      </c>
      <c r="J4788" s="77"/>
      <c r="K4788" s="77"/>
      <c r="L4788" s="76"/>
      <c r="M4788" s="76"/>
      <c r="N4788" s="76"/>
      <c r="O4788" s="76"/>
      <c r="P4788" s="76"/>
      <c r="Q4788" s="76"/>
      <c r="R4788" s="76"/>
      <c r="S4788" s="76"/>
      <c r="Y4788" s="95" t="s">
        <v>9735</v>
      </c>
      <c r="AA4788" s="95" t="s">
        <v>8541</v>
      </c>
      <c r="AC4788" s="95" t="s">
        <v>9739</v>
      </c>
      <c r="AI4788" s="95" t="s">
        <v>9725</v>
      </c>
      <c r="AW4788" s="95">
        <v>45</v>
      </c>
      <c r="BC4788" s="96" t="s">
        <v>9726</v>
      </c>
      <c r="BD4788" s="99">
        <f t="shared" si="155"/>
        <v>2</v>
      </c>
      <c r="BH4788" s="95" t="s">
        <v>8541</v>
      </c>
      <c r="BP4788" s="69" t="s">
        <v>8541</v>
      </c>
      <c r="BR4788" s="95" t="s">
        <v>8541</v>
      </c>
      <c r="BT4788" s="95" t="s">
        <v>9775</v>
      </c>
      <c r="CC4788" s="99">
        <v>2</v>
      </c>
      <c r="CD4788" s="90" t="s">
        <v>10318</v>
      </c>
      <c r="CV4788" s="99"/>
      <c r="CW4788" s="63"/>
    </row>
    <row r="4789" spans="1:101" x14ac:dyDescent="0.15">
      <c r="A4789" s="76">
        <v>4526</v>
      </c>
      <c r="B4789" s="74" t="s">
        <v>7156</v>
      </c>
      <c r="C4789" s="74" t="s">
        <v>7157</v>
      </c>
      <c r="D4789" s="78" t="str">
        <f t="shared" si="156"/>
        <v>https://portal.dnb.de/opac.htm?method=simpleSearch&amp;cqlMode=true&amp;query=idn%3D113264027X</v>
      </c>
      <c r="E4789" s="74" t="s">
        <v>7158</v>
      </c>
      <c r="F4789" s="74"/>
      <c r="G4789" s="76"/>
      <c r="H4789" s="77"/>
      <c r="I4789" s="76"/>
      <c r="J4789" s="77"/>
      <c r="K4789" s="77"/>
      <c r="L4789" s="76"/>
      <c r="M4789" s="76"/>
      <c r="N4789" s="76"/>
      <c r="O4789" s="76"/>
      <c r="P4789" s="76"/>
      <c r="Q4789" s="76"/>
      <c r="R4789" s="76"/>
      <c r="S4789" s="76"/>
      <c r="BD4789" s="99">
        <f t="shared" si="155"/>
        <v>0</v>
      </c>
      <c r="CC4789" s="99"/>
      <c r="CV4789" s="99"/>
      <c r="CW4789" s="63"/>
    </row>
    <row r="4790" spans="1:101" x14ac:dyDescent="0.15">
      <c r="A4790" s="76">
        <v>4527</v>
      </c>
      <c r="B4790" s="74" t="s">
        <v>7159</v>
      </c>
      <c r="C4790" s="74">
        <v>1132640261</v>
      </c>
      <c r="D4790" s="78" t="str">
        <f t="shared" si="156"/>
        <v>https://portal.dnb.de/opac.htm?method=simpleSearch&amp;cqlMode=true&amp;query=idn%3D1132640261</v>
      </c>
      <c r="E4790" s="74" t="s">
        <v>7158</v>
      </c>
      <c r="F4790" s="74"/>
      <c r="G4790" s="76"/>
      <c r="H4790" s="77"/>
      <c r="I4790" s="76"/>
      <c r="J4790" s="77"/>
      <c r="K4790" s="77"/>
      <c r="L4790" s="76"/>
      <c r="M4790" s="76"/>
      <c r="N4790" s="76"/>
      <c r="O4790" s="76"/>
      <c r="P4790" s="76"/>
      <c r="Q4790" s="76"/>
      <c r="R4790" s="76"/>
      <c r="S4790" s="76"/>
      <c r="BD4790" s="99">
        <f t="shared" si="155"/>
        <v>0</v>
      </c>
      <c r="CC4790" s="99"/>
      <c r="CV4790" s="99"/>
      <c r="CW4790" s="63"/>
    </row>
    <row r="4791" spans="1:101" x14ac:dyDescent="0.15">
      <c r="A4791" s="76">
        <v>4528</v>
      </c>
      <c r="B4791" s="74" t="s">
        <v>7160</v>
      </c>
      <c r="C4791" s="74">
        <v>1132640288</v>
      </c>
      <c r="D4791" s="78" t="str">
        <f t="shared" si="156"/>
        <v>https://portal.dnb.de/opac.htm?method=simpleSearch&amp;cqlMode=true&amp;query=idn%3D1132640288</v>
      </c>
      <c r="E4791" s="74" t="s">
        <v>7158</v>
      </c>
      <c r="F4791" s="74"/>
      <c r="G4791" s="76"/>
      <c r="H4791" s="77"/>
      <c r="I4791" s="76"/>
      <c r="J4791" s="77"/>
      <c r="K4791" s="77"/>
      <c r="L4791" s="76"/>
      <c r="M4791" s="76"/>
      <c r="N4791" s="76"/>
      <c r="O4791" s="76"/>
      <c r="P4791" s="76"/>
      <c r="Q4791" s="76"/>
      <c r="R4791" s="76"/>
      <c r="S4791" s="76"/>
      <c r="BD4791" s="99">
        <f t="shared" si="155"/>
        <v>0</v>
      </c>
      <c r="CC4791" s="99"/>
      <c r="CV4791" s="99"/>
      <c r="CW4791" s="63"/>
    </row>
    <row r="4792" spans="1:101" x14ac:dyDescent="0.15">
      <c r="A4792" s="76">
        <v>4529</v>
      </c>
      <c r="B4792" s="74" t="s">
        <v>7161</v>
      </c>
      <c r="C4792" s="74">
        <v>994184263</v>
      </c>
      <c r="D4792" s="78" t="str">
        <f t="shared" si="156"/>
        <v>https://portal.dnb.de/opac.htm?method=simpleSearch&amp;cqlMode=true&amp;query=idn%3D994184263</v>
      </c>
      <c r="E4792" s="74" t="s">
        <v>7162</v>
      </c>
      <c r="F4792" s="74"/>
      <c r="G4792" s="76"/>
      <c r="H4792" s="77"/>
      <c r="I4792" s="76"/>
      <c r="J4792" s="77"/>
      <c r="K4792" s="77"/>
      <c r="L4792" s="76"/>
      <c r="M4792" s="76"/>
      <c r="N4792" s="76"/>
      <c r="O4792" s="76"/>
      <c r="P4792" s="76"/>
      <c r="Q4792" s="76"/>
      <c r="R4792" s="76"/>
      <c r="S4792" s="76"/>
      <c r="BD4792" s="99">
        <f t="shared" si="155"/>
        <v>0</v>
      </c>
      <c r="CC4792" s="99"/>
      <c r="CV4792" s="99"/>
      <c r="CW4792" s="63"/>
    </row>
    <row r="4793" spans="1:101" x14ac:dyDescent="0.15">
      <c r="A4793" s="76">
        <v>4530</v>
      </c>
      <c r="B4793" s="74" t="s">
        <v>7163</v>
      </c>
      <c r="C4793" s="74" t="s">
        <v>7164</v>
      </c>
      <c r="D4793" s="78" t="str">
        <f t="shared" si="156"/>
        <v>https://portal.dnb.de/opac.htm?method=simpleSearch&amp;cqlMode=true&amp;query=idn%3D99433768X</v>
      </c>
      <c r="E4793" s="74" t="s">
        <v>10319</v>
      </c>
      <c r="F4793" s="74"/>
      <c r="G4793" s="76"/>
      <c r="H4793" s="77"/>
      <c r="I4793" s="76" t="s">
        <v>53</v>
      </c>
      <c r="J4793" s="77"/>
      <c r="K4793" s="77"/>
      <c r="L4793" s="76"/>
      <c r="M4793" s="76"/>
      <c r="N4793" s="76"/>
      <c r="O4793" s="76"/>
      <c r="P4793" s="76"/>
      <c r="Q4793" s="76"/>
      <c r="R4793" s="76"/>
      <c r="S4793" s="76"/>
      <c r="Y4793" s="95" t="s">
        <v>9763</v>
      </c>
      <c r="AC4793" s="95" t="s">
        <v>9730</v>
      </c>
      <c r="AI4793" s="95" t="s">
        <v>9725</v>
      </c>
      <c r="AU4793" s="95">
        <v>2</v>
      </c>
      <c r="AV4793" s="95" t="s">
        <v>8541</v>
      </c>
      <c r="AW4793" s="95">
        <v>45</v>
      </c>
      <c r="BC4793" s="96" t="s">
        <v>9726</v>
      </c>
      <c r="BD4793" s="99">
        <f t="shared" si="155"/>
        <v>3.5</v>
      </c>
      <c r="BH4793" s="95" t="s">
        <v>8541</v>
      </c>
      <c r="BP4793" s="69" t="s">
        <v>8541</v>
      </c>
      <c r="BR4793" s="95" t="s">
        <v>8541</v>
      </c>
      <c r="CC4793" s="99">
        <v>0.5</v>
      </c>
      <c r="CI4793" s="95" t="s">
        <v>8541</v>
      </c>
      <c r="CJ4793" s="95" t="s">
        <v>8541</v>
      </c>
      <c r="CV4793" s="99">
        <v>3</v>
      </c>
      <c r="CW4793" s="90" t="s">
        <v>10321</v>
      </c>
    </row>
    <row r="4794" spans="1:101" ht="67.5" x14ac:dyDescent="0.15">
      <c r="A4794" s="76">
        <v>4531</v>
      </c>
      <c r="B4794" s="74" t="s">
        <v>7165</v>
      </c>
      <c r="C4794" s="74">
        <v>994337493</v>
      </c>
      <c r="D4794" s="78" t="str">
        <f t="shared" si="156"/>
        <v>https://portal.dnb.de/opac.htm?method=simpleSearch&amp;cqlMode=true&amp;query=idn%3D994337493</v>
      </c>
      <c r="E4794" s="74" t="s">
        <v>10320</v>
      </c>
      <c r="F4794" s="74"/>
      <c r="G4794" s="76"/>
      <c r="H4794" s="77"/>
      <c r="I4794" s="76" t="s">
        <v>53</v>
      </c>
      <c r="J4794" s="77"/>
      <c r="K4794" s="77"/>
      <c r="L4794" s="76"/>
      <c r="M4794" s="76"/>
      <c r="N4794" s="76"/>
      <c r="O4794" s="76"/>
      <c r="P4794" s="76"/>
      <c r="Q4794" s="76"/>
      <c r="R4794" s="76"/>
      <c r="S4794" s="76"/>
      <c r="Y4794" s="95" t="s">
        <v>9763</v>
      </c>
      <c r="AC4794" s="95" t="s">
        <v>9730</v>
      </c>
      <c r="AI4794" s="95" t="s">
        <v>9725</v>
      </c>
      <c r="AW4794" s="95" t="s">
        <v>9733</v>
      </c>
      <c r="BC4794" s="96" t="s">
        <v>9726</v>
      </c>
      <c r="BD4794" s="99">
        <f t="shared" si="155"/>
        <v>2</v>
      </c>
      <c r="BH4794" s="95" t="s">
        <v>8541</v>
      </c>
      <c r="BP4794" s="69" t="s">
        <v>8541</v>
      </c>
      <c r="BR4794" s="95" t="s">
        <v>8541</v>
      </c>
      <c r="BX4794" s="95" t="s">
        <v>10217</v>
      </c>
      <c r="CC4794" s="99">
        <v>1</v>
      </c>
      <c r="CD4794" s="90" t="s">
        <v>10322</v>
      </c>
      <c r="CI4794" s="95" t="s">
        <v>8541</v>
      </c>
      <c r="CV4794" s="99">
        <v>1</v>
      </c>
      <c r="CW4794" s="90" t="s">
        <v>10323</v>
      </c>
    </row>
    <row r="4795" spans="1:101" x14ac:dyDescent="0.15">
      <c r="A4795" s="76">
        <v>4532</v>
      </c>
      <c r="B4795" s="74" t="s">
        <v>7166</v>
      </c>
      <c r="C4795" s="74">
        <v>1003609198</v>
      </c>
      <c r="D4795" s="78" t="str">
        <f t="shared" si="156"/>
        <v>https://portal.dnb.de/opac.htm?method=simpleSearch&amp;cqlMode=true&amp;query=idn%3D1003609198</v>
      </c>
      <c r="E4795" s="74" t="s">
        <v>7167</v>
      </c>
      <c r="F4795" s="74"/>
      <c r="G4795" s="76"/>
      <c r="H4795" s="77"/>
      <c r="I4795" s="76"/>
      <c r="J4795" s="77"/>
      <c r="K4795" s="77"/>
      <c r="L4795" s="76"/>
      <c r="M4795" s="76"/>
      <c r="N4795" s="76"/>
      <c r="O4795" s="76"/>
      <c r="P4795" s="76"/>
      <c r="Q4795" s="76"/>
      <c r="R4795" s="76"/>
      <c r="S4795" s="76"/>
      <c r="BD4795" s="99">
        <f t="shared" si="155"/>
        <v>0</v>
      </c>
      <c r="CC4795" s="99"/>
      <c r="CV4795" s="99"/>
      <c r="CW4795" s="63"/>
    </row>
    <row r="4796" spans="1:101" x14ac:dyDescent="0.15">
      <c r="A4796" s="76">
        <v>4533</v>
      </c>
      <c r="B4796" s="74" t="s">
        <v>7168</v>
      </c>
      <c r="C4796" s="74">
        <v>994195826</v>
      </c>
      <c r="D4796" s="78" t="str">
        <f t="shared" si="156"/>
        <v>https://portal.dnb.de/opac.htm?method=simpleSearch&amp;cqlMode=true&amp;query=idn%3D994195826</v>
      </c>
      <c r="E4796" s="74" t="s">
        <v>7169</v>
      </c>
      <c r="F4796" s="74"/>
      <c r="G4796" s="76"/>
      <c r="H4796" s="77"/>
      <c r="I4796" s="76"/>
      <c r="J4796" s="77"/>
      <c r="K4796" s="77"/>
      <c r="L4796" s="76"/>
      <c r="M4796" s="76"/>
      <c r="N4796" s="76"/>
      <c r="O4796" s="76"/>
      <c r="P4796" s="76"/>
      <c r="Q4796" s="76"/>
      <c r="R4796" s="76"/>
      <c r="S4796" s="76"/>
      <c r="BD4796" s="99">
        <f t="shared" si="155"/>
        <v>0</v>
      </c>
      <c r="CC4796" s="99"/>
      <c r="CV4796" s="99"/>
      <c r="CW4796" s="63"/>
    </row>
    <row r="4797" spans="1:101" x14ac:dyDescent="0.15">
      <c r="A4797" s="76">
        <v>4534</v>
      </c>
      <c r="B4797" s="74" t="s">
        <v>7170</v>
      </c>
      <c r="C4797" s="74">
        <v>994195893</v>
      </c>
      <c r="D4797" s="78" t="str">
        <f t="shared" si="156"/>
        <v>https://portal.dnb.de/opac.htm?method=simpleSearch&amp;cqlMode=true&amp;query=idn%3D994195893</v>
      </c>
      <c r="E4797" s="74" t="s">
        <v>7169</v>
      </c>
      <c r="F4797" s="74"/>
      <c r="G4797" s="76"/>
      <c r="H4797" s="77"/>
      <c r="I4797" s="76"/>
      <c r="J4797" s="77"/>
      <c r="K4797" s="77"/>
      <c r="L4797" s="76"/>
      <c r="M4797" s="76"/>
      <c r="N4797" s="76"/>
      <c r="O4797" s="76"/>
      <c r="P4797" s="76"/>
      <c r="Q4797" s="76"/>
      <c r="R4797" s="76"/>
      <c r="S4797" s="76"/>
      <c r="BD4797" s="99">
        <f t="shared" si="155"/>
        <v>0</v>
      </c>
      <c r="CC4797" s="99"/>
      <c r="CV4797" s="99"/>
      <c r="CW4797" s="63"/>
    </row>
    <row r="4798" spans="1:101" x14ac:dyDescent="0.15">
      <c r="A4798" s="76">
        <v>4535</v>
      </c>
      <c r="B4798" s="74" t="s">
        <v>7171</v>
      </c>
      <c r="C4798" s="74">
        <v>999548042</v>
      </c>
      <c r="D4798" s="78" t="str">
        <f t="shared" si="156"/>
        <v>https://portal.dnb.de/opac.htm?method=simpleSearch&amp;cqlMode=true&amp;query=idn%3D999548042</v>
      </c>
      <c r="E4798" s="74" t="s">
        <v>7172</v>
      </c>
      <c r="F4798" s="74"/>
      <c r="G4798" s="76"/>
      <c r="H4798" s="77"/>
      <c r="I4798" s="76"/>
      <c r="J4798" s="77"/>
      <c r="K4798" s="77"/>
      <c r="L4798" s="76"/>
      <c r="M4798" s="76"/>
      <c r="N4798" s="76"/>
      <c r="O4798" s="76"/>
      <c r="P4798" s="76"/>
      <c r="Q4798" s="76"/>
      <c r="R4798" s="76"/>
      <c r="S4798" s="76"/>
      <c r="BD4798" s="99">
        <f t="shared" si="155"/>
        <v>0</v>
      </c>
      <c r="CC4798" s="99"/>
      <c r="CV4798" s="99"/>
      <c r="CW4798" s="63"/>
    </row>
    <row r="4799" spans="1:101" x14ac:dyDescent="0.15">
      <c r="A4799" s="76">
        <v>4536</v>
      </c>
      <c r="B4799" s="74" t="s">
        <v>7101</v>
      </c>
      <c r="C4799" s="74">
        <v>994487584</v>
      </c>
      <c r="D4799" s="78" t="str">
        <f t="shared" si="156"/>
        <v>https://portal.dnb.de/opac.htm?method=simpleSearch&amp;cqlMode=true&amp;query=idn%3D994487584</v>
      </c>
      <c r="E4799" s="74" t="s">
        <v>7102</v>
      </c>
      <c r="F4799" s="74"/>
      <c r="G4799" s="76"/>
      <c r="H4799" s="77"/>
      <c r="I4799" s="76"/>
      <c r="J4799" s="77"/>
      <c r="K4799" s="77"/>
      <c r="L4799" s="76"/>
      <c r="M4799" s="76"/>
      <c r="N4799" s="76"/>
      <c r="O4799" s="76"/>
      <c r="P4799" s="76"/>
      <c r="Q4799" s="76"/>
      <c r="R4799" s="76"/>
      <c r="S4799" s="76"/>
      <c r="BD4799" s="99">
        <f t="shared" si="155"/>
        <v>0</v>
      </c>
      <c r="CC4799" s="99"/>
      <c r="CV4799" s="99"/>
      <c r="CW4799" s="63"/>
    </row>
    <row r="4800" spans="1:101" x14ac:dyDescent="0.15">
      <c r="A4800" s="76">
        <v>4537</v>
      </c>
      <c r="B4800" s="74" t="s">
        <v>7103</v>
      </c>
      <c r="C4800" s="74">
        <v>996413413</v>
      </c>
      <c r="D4800" s="78" t="str">
        <f t="shared" si="156"/>
        <v>https://portal.dnb.de/opac.htm?method=simpleSearch&amp;cqlMode=true&amp;query=idn%3D996413413</v>
      </c>
      <c r="E4800" s="74" t="s">
        <v>7104</v>
      </c>
      <c r="F4800" s="74"/>
      <c r="G4800" s="76"/>
      <c r="H4800" s="77"/>
      <c r="I4800" s="76"/>
      <c r="J4800" s="77"/>
      <c r="K4800" s="77"/>
      <c r="L4800" s="76"/>
      <c r="M4800" s="76"/>
      <c r="N4800" s="76"/>
      <c r="O4800" s="76"/>
      <c r="P4800" s="76"/>
      <c r="Q4800" s="76"/>
      <c r="R4800" s="76"/>
      <c r="S4800" s="76"/>
      <c r="BD4800" s="99">
        <f t="shared" si="155"/>
        <v>0</v>
      </c>
      <c r="CC4800" s="99"/>
      <c r="CV4800" s="99"/>
      <c r="CW4800" s="63"/>
    </row>
    <row r="4801" spans="1:101" x14ac:dyDescent="0.15">
      <c r="A4801" s="76">
        <v>4538</v>
      </c>
      <c r="B4801" s="74" t="s">
        <v>7105</v>
      </c>
      <c r="C4801" s="74">
        <v>1002519217</v>
      </c>
      <c r="D4801" s="78" t="str">
        <f t="shared" si="156"/>
        <v>https://portal.dnb.de/opac.htm?method=simpleSearch&amp;cqlMode=true&amp;query=idn%3D1002519217</v>
      </c>
      <c r="E4801" s="74" t="s">
        <v>7106</v>
      </c>
      <c r="F4801" s="74"/>
      <c r="G4801" s="76"/>
      <c r="H4801" s="77"/>
      <c r="I4801" s="76"/>
      <c r="J4801" s="77"/>
      <c r="K4801" s="77"/>
      <c r="L4801" s="76"/>
      <c r="M4801" s="76"/>
      <c r="N4801" s="76"/>
      <c r="O4801" s="76"/>
      <c r="P4801" s="76"/>
      <c r="Q4801" s="76"/>
      <c r="R4801" s="76"/>
      <c r="S4801" s="76"/>
      <c r="BD4801" s="99">
        <f t="shared" si="155"/>
        <v>0</v>
      </c>
      <c r="CC4801" s="99"/>
      <c r="CV4801" s="99"/>
      <c r="CW4801" s="63"/>
    </row>
    <row r="4802" spans="1:101" x14ac:dyDescent="0.15">
      <c r="A4802" s="76">
        <v>4539</v>
      </c>
      <c r="B4802" s="74" t="s">
        <v>7107</v>
      </c>
      <c r="C4802" s="74">
        <v>994553587</v>
      </c>
      <c r="D4802" s="78" t="str">
        <f t="shared" si="156"/>
        <v>https://portal.dnb.de/opac.htm?method=simpleSearch&amp;cqlMode=true&amp;query=idn%3D994553587</v>
      </c>
      <c r="E4802" s="74" t="s">
        <v>7108</v>
      </c>
      <c r="F4802" s="74"/>
      <c r="G4802" s="76"/>
      <c r="H4802" s="77"/>
      <c r="I4802" s="76"/>
      <c r="J4802" s="77"/>
      <c r="K4802" s="77"/>
      <c r="L4802" s="76"/>
      <c r="M4802" s="76"/>
      <c r="N4802" s="76"/>
      <c r="O4802" s="76"/>
      <c r="P4802" s="76"/>
      <c r="Q4802" s="76"/>
      <c r="R4802" s="76"/>
      <c r="S4802" s="76"/>
      <c r="BD4802" s="99">
        <f t="shared" si="155"/>
        <v>0</v>
      </c>
      <c r="CC4802" s="99"/>
      <c r="CV4802" s="99"/>
      <c r="CW4802" s="63"/>
    </row>
    <row r="4803" spans="1:101" x14ac:dyDescent="0.15">
      <c r="A4803" s="76">
        <v>4540</v>
      </c>
      <c r="B4803" s="74" t="s">
        <v>7109</v>
      </c>
      <c r="C4803" s="74" t="s">
        <v>7110</v>
      </c>
      <c r="D4803" s="78" t="str">
        <f t="shared" si="156"/>
        <v>https://portal.dnb.de/opac.htm?method=simpleSearch&amp;cqlMode=true&amp;query=idn%3D99413200X</v>
      </c>
      <c r="E4803" s="74" t="s">
        <v>7111</v>
      </c>
      <c r="F4803" s="74"/>
      <c r="G4803" s="76"/>
      <c r="H4803" s="77"/>
      <c r="I4803" s="76"/>
      <c r="J4803" s="77"/>
      <c r="K4803" s="77"/>
      <c r="L4803" s="76"/>
      <c r="M4803" s="76"/>
      <c r="N4803" s="76"/>
      <c r="O4803" s="76"/>
      <c r="P4803" s="76"/>
      <c r="Q4803" s="76"/>
      <c r="R4803" s="76"/>
      <c r="S4803" s="76"/>
      <c r="BD4803" s="99">
        <f t="shared" ref="BD4803:BD4866" si="157">CC4803+CV4803</f>
        <v>0</v>
      </c>
      <c r="CC4803" s="99"/>
      <c r="CV4803" s="99"/>
      <c r="CW4803" s="63"/>
    </row>
    <row r="4804" spans="1:101" x14ac:dyDescent="0.15">
      <c r="A4804" s="76">
        <v>4541</v>
      </c>
      <c r="B4804" s="74" t="s">
        <v>7114</v>
      </c>
      <c r="C4804" s="74">
        <v>993851347</v>
      </c>
      <c r="D4804" s="78" t="str">
        <f t="shared" si="156"/>
        <v>https://portal.dnb.de/opac.htm?method=simpleSearch&amp;cqlMode=true&amp;query=idn%3D993851347</v>
      </c>
      <c r="E4804" s="74" t="s">
        <v>7115</v>
      </c>
      <c r="F4804" s="74"/>
      <c r="G4804" s="76"/>
      <c r="H4804" s="77"/>
      <c r="I4804" s="76"/>
      <c r="J4804" s="77"/>
      <c r="K4804" s="77"/>
      <c r="L4804" s="76"/>
      <c r="M4804" s="76"/>
      <c r="N4804" s="76"/>
      <c r="O4804" s="76"/>
      <c r="P4804" s="76"/>
      <c r="Q4804" s="76"/>
      <c r="R4804" s="76"/>
      <c r="S4804" s="76"/>
      <c r="BD4804" s="99">
        <f t="shared" si="157"/>
        <v>0</v>
      </c>
      <c r="CC4804" s="99"/>
      <c r="CV4804" s="99"/>
      <c r="CW4804" s="63"/>
    </row>
    <row r="4805" spans="1:101" x14ac:dyDescent="0.15">
      <c r="A4805" s="76">
        <v>4542</v>
      </c>
      <c r="B4805" s="74" t="s">
        <v>7116</v>
      </c>
      <c r="C4805" s="74">
        <v>999167642</v>
      </c>
      <c r="D4805" s="78" t="str">
        <f t="shared" si="156"/>
        <v>https://portal.dnb.de/opac.htm?method=simpleSearch&amp;cqlMode=true&amp;query=idn%3D999167642</v>
      </c>
      <c r="E4805" s="74" t="s">
        <v>7117</v>
      </c>
      <c r="F4805" s="74"/>
      <c r="G4805" s="76"/>
      <c r="H4805" s="77"/>
      <c r="I4805" s="76"/>
      <c r="J4805" s="77"/>
      <c r="K4805" s="77"/>
      <c r="L4805" s="76"/>
      <c r="M4805" s="76"/>
      <c r="N4805" s="76"/>
      <c r="O4805" s="76"/>
      <c r="P4805" s="76"/>
      <c r="Q4805" s="76"/>
      <c r="R4805" s="76"/>
      <c r="S4805" s="76"/>
      <c r="BD4805" s="99">
        <f t="shared" si="157"/>
        <v>0</v>
      </c>
      <c r="CC4805" s="99"/>
      <c r="CV4805" s="99"/>
      <c r="CW4805" s="63"/>
    </row>
    <row r="4806" spans="1:101" x14ac:dyDescent="0.15">
      <c r="A4806" s="76">
        <v>4543</v>
      </c>
      <c r="B4806" s="74" t="s">
        <v>7118</v>
      </c>
      <c r="C4806" s="74">
        <v>999170716</v>
      </c>
      <c r="D4806" s="78" t="str">
        <f t="shared" si="156"/>
        <v>https://portal.dnb.de/opac.htm?method=simpleSearch&amp;cqlMode=true&amp;query=idn%3D999170716</v>
      </c>
      <c r="E4806" s="74" t="s">
        <v>7119</v>
      </c>
      <c r="F4806" s="74"/>
      <c r="G4806" s="76"/>
      <c r="H4806" s="77"/>
      <c r="I4806" s="76"/>
      <c r="J4806" s="77"/>
      <c r="K4806" s="77"/>
      <c r="L4806" s="76"/>
      <c r="M4806" s="76"/>
      <c r="N4806" s="76"/>
      <c r="O4806" s="76"/>
      <c r="P4806" s="76"/>
      <c r="Q4806" s="76"/>
      <c r="R4806" s="76"/>
      <c r="S4806" s="76"/>
      <c r="BD4806" s="99">
        <f t="shared" si="157"/>
        <v>0</v>
      </c>
      <c r="CC4806" s="99"/>
      <c r="CV4806" s="99"/>
      <c r="CW4806" s="63"/>
    </row>
    <row r="4807" spans="1:101" x14ac:dyDescent="0.15">
      <c r="A4807" s="76">
        <v>4544</v>
      </c>
      <c r="B4807" s="74" t="s">
        <v>7120</v>
      </c>
      <c r="C4807" s="74" t="s">
        <v>7121</v>
      </c>
      <c r="D4807" s="78" t="str">
        <f t="shared" si="156"/>
        <v>https://portal.dnb.de/opac.htm?method=simpleSearch&amp;cqlMode=true&amp;query=idn%3D99897224X</v>
      </c>
      <c r="E4807" s="74" t="s">
        <v>7122</v>
      </c>
      <c r="F4807" s="74"/>
      <c r="G4807" s="76"/>
      <c r="H4807" s="77"/>
      <c r="I4807" s="76"/>
      <c r="J4807" s="77"/>
      <c r="K4807" s="77"/>
      <c r="L4807" s="76"/>
      <c r="M4807" s="76"/>
      <c r="N4807" s="76"/>
      <c r="O4807" s="76"/>
      <c r="P4807" s="76"/>
      <c r="Q4807" s="76"/>
      <c r="R4807" s="76"/>
      <c r="S4807" s="76"/>
      <c r="BD4807" s="99">
        <f t="shared" si="157"/>
        <v>0</v>
      </c>
      <c r="CC4807" s="99"/>
      <c r="CV4807" s="99"/>
      <c r="CW4807" s="63"/>
    </row>
    <row r="4808" spans="1:101" x14ac:dyDescent="0.15">
      <c r="A4808" s="76">
        <v>4545</v>
      </c>
      <c r="B4808" s="74" t="s">
        <v>7123</v>
      </c>
      <c r="C4808" s="74">
        <v>1000403653</v>
      </c>
      <c r="D4808" s="78" t="str">
        <f t="shared" si="156"/>
        <v>https://portal.dnb.de/opac.htm?method=simpleSearch&amp;cqlMode=true&amp;query=idn%3D1000403653</v>
      </c>
      <c r="E4808" s="74" t="s">
        <v>7124</v>
      </c>
      <c r="F4808" s="74"/>
      <c r="G4808" s="76"/>
      <c r="H4808" s="77"/>
      <c r="I4808" s="76"/>
      <c r="J4808" s="77"/>
      <c r="K4808" s="77"/>
      <c r="L4808" s="76"/>
      <c r="M4808" s="76"/>
      <c r="N4808" s="76"/>
      <c r="O4808" s="76"/>
      <c r="P4808" s="76"/>
      <c r="Q4808" s="76"/>
      <c r="R4808" s="76"/>
      <c r="S4808" s="76"/>
      <c r="BD4808" s="99">
        <f t="shared" si="157"/>
        <v>0</v>
      </c>
      <c r="CC4808" s="99"/>
      <c r="CV4808" s="99"/>
      <c r="CW4808" s="63"/>
    </row>
    <row r="4809" spans="1:101" x14ac:dyDescent="0.15">
      <c r="A4809" s="76">
        <v>4546</v>
      </c>
      <c r="B4809" s="74" t="s">
        <v>7131</v>
      </c>
      <c r="C4809" s="74">
        <v>998636665</v>
      </c>
      <c r="D4809" s="78" t="str">
        <f t="shared" si="156"/>
        <v>https://portal.dnb.de/opac.htm?method=simpleSearch&amp;cqlMode=true&amp;query=idn%3D998636665</v>
      </c>
      <c r="E4809" s="74" t="s">
        <v>7132</v>
      </c>
      <c r="F4809" s="74"/>
      <c r="G4809" s="76"/>
      <c r="H4809" s="77"/>
      <c r="I4809" s="76"/>
      <c r="J4809" s="77"/>
      <c r="K4809" s="77"/>
      <c r="L4809" s="76"/>
      <c r="M4809" s="76"/>
      <c r="N4809" s="76"/>
      <c r="O4809" s="76"/>
      <c r="P4809" s="76"/>
      <c r="Q4809" s="76"/>
      <c r="R4809" s="76"/>
      <c r="S4809" s="76"/>
      <c r="BD4809" s="99">
        <f t="shared" si="157"/>
        <v>0</v>
      </c>
      <c r="CC4809" s="99"/>
      <c r="CV4809" s="99"/>
      <c r="CW4809" s="63"/>
    </row>
    <row r="4810" spans="1:101" x14ac:dyDescent="0.15">
      <c r="A4810" s="76">
        <v>4547</v>
      </c>
      <c r="B4810" s="74" t="s">
        <v>7133</v>
      </c>
      <c r="C4810" s="74">
        <v>997037296</v>
      </c>
      <c r="D4810" s="78" t="str">
        <f t="shared" si="156"/>
        <v>https://portal.dnb.de/opac.htm?method=simpleSearch&amp;cqlMode=true&amp;query=idn%3D997037296</v>
      </c>
      <c r="E4810" s="74" t="s">
        <v>7134</v>
      </c>
      <c r="F4810" s="74"/>
      <c r="G4810" s="76"/>
      <c r="H4810" s="77"/>
      <c r="I4810" s="76"/>
      <c r="J4810" s="77"/>
      <c r="K4810" s="77"/>
      <c r="L4810" s="76"/>
      <c r="M4810" s="76"/>
      <c r="N4810" s="76"/>
      <c r="O4810" s="76"/>
      <c r="P4810" s="76"/>
      <c r="Q4810" s="76"/>
      <c r="R4810" s="76"/>
      <c r="S4810" s="76"/>
      <c r="BD4810" s="99">
        <f t="shared" si="157"/>
        <v>0</v>
      </c>
      <c r="CC4810" s="99"/>
      <c r="CV4810" s="99"/>
      <c r="CW4810" s="63"/>
    </row>
    <row r="4811" spans="1:101" x14ac:dyDescent="0.15">
      <c r="A4811" s="76">
        <v>4548</v>
      </c>
      <c r="B4811" s="74" t="s">
        <v>7138</v>
      </c>
      <c r="C4811" s="74">
        <v>997037660</v>
      </c>
      <c r="D4811" s="78" t="str">
        <f t="shared" si="156"/>
        <v>https://portal.dnb.de/opac.htm?method=simpleSearch&amp;cqlMode=true&amp;query=idn%3D997037660</v>
      </c>
      <c r="E4811" s="74" t="s">
        <v>7139</v>
      </c>
      <c r="F4811" s="74"/>
      <c r="G4811" s="76"/>
      <c r="H4811" s="77"/>
      <c r="I4811" s="76"/>
      <c r="J4811" s="77"/>
      <c r="K4811" s="77"/>
      <c r="L4811" s="76"/>
      <c r="M4811" s="76"/>
      <c r="N4811" s="76"/>
      <c r="O4811" s="76"/>
      <c r="P4811" s="76"/>
      <c r="Q4811" s="76"/>
      <c r="R4811" s="76"/>
      <c r="S4811" s="76"/>
      <c r="BD4811" s="99">
        <f t="shared" si="157"/>
        <v>0</v>
      </c>
      <c r="CC4811" s="99"/>
      <c r="CV4811" s="99"/>
      <c r="CW4811" s="63"/>
    </row>
    <row r="4812" spans="1:101" x14ac:dyDescent="0.15">
      <c r="A4812" s="76">
        <v>4549</v>
      </c>
      <c r="B4812" s="74" t="s">
        <v>7146</v>
      </c>
      <c r="C4812" s="74">
        <v>998858560</v>
      </c>
      <c r="D4812" s="78" t="str">
        <f t="shared" si="156"/>
        <v>https://portal.dnb.de/opac.htm?method=simpleSearch&amp;cqlMode=true&amp;query=idn%3D998858560</v>
      </c>
      <c r="E4812" s="74" t="s">
        <v>7147</v>
      </c>
      <c r="F4812" s="74"/>
      <c r="G4812" s="76"/>
      <c r="H4812" s="77"/>
      <c r="I4812" s="76"/>
      <c r="J4812" s="77"/>
      <c r="K4812" s="77"/>
      <c r="L4812" s="76"/>
      <c r="M4812" s="76"/>
      <c r="N4812" s="76"/>
      <c r="O4812" s="76"/>
      <c r="P4812" s="76"/>
      <c r="Q4812" s="76"/>
      <c r="R4812" s="76"/>
      <c r="S4812" s="76"/>
      <c r="BD4812" s="99">
        <f t="shared" si="157"/>
        <v>0</v>
      </c>
      <c r="CC4812" s="99"/>
      <c r="CV4812" s="99"/>
      <c r="CW4812" s="63"/>
    </row>
    <row r="4813" spans="1:101" x14ac:dyDescent="0.15">
      <c r="A4813" s="76">
        <v>4550</v>
      </c>
      <c r="B4813" s="74" t="s">
        <v>7148</v>
      </c>
      <c r="C4813" s="74">
        <v>998858471</v>
      </c>
      <c r="D4813" s="78" t="str">
        <f t="shared" si="156"/>
        <v>https://portal.dnb.de/opac.htm?method=simpleSearch&amp;cqlMode=true&amp;query=idn%3D998858471</v>
      </c>
      <c r="E4813" s="74" t="s">
        <v>7147</v>
      </c>
      <c r="F4813" s="74"/>
      <c r="G4813" s="76"/>
      <c r="H4813" s="77"/>
      <c r="I4813" s="76"/>
      <c r="J4813" s="77"/>
      <c r="K4813" s="77"/>
      <c r="L4813" s="76"/>
      <c r="M4813" s="76"/>
      <c r="N4813" s="76"/>
      <c r="O4813" s="76"/>
      <c r="P4813" s="76"/>
      <c r="Q4813" s="76"/>
      <c r="R4813" s="76"/>
      <c r="S4813" s="76"/>
      <c r="BD4813" s="99">
        <f t="shared" si="157"/>
        <v>0</v>
      </c>
      <c r="CC4813" s="99"/>
      <c r="CV4813" s="99"/>
      <c r="CW4813" s="63"/>
    </row>
    <row r="4814" spans="1:101" x14ac:dyDescent="0.15">
      <c r="A4814" s="76">
        <v>4551</v>
      </c>
      <c r="B4814" s="74" t="s">
        <v>7149</v>
      </c>
      <c r="C4814" s="74">
        <v>998353388</v>
      </c>
      <c r="D4814" s="78" t="str">
        <f t="shared" si="156"/>
        <v>https://portal.dnb.de/opac.htm?method=simpleSearch&amp;cqlMode=true&amp;query=idn%3D998353388</v>
      </c>
      <c r="E4814" s="74" t="s">
        <v>7150</v>
      </c>
      <c r="F4814" s="74"/>
      <c r="G4814" s="76"/>
      <c r="H4814" s="77"/>
      <c r="I4814" s="76"/>
      <c r="J4814" s="77"/>
      <c r="K4814" s="77"/>
      <c r="L4814" s="76"/>
      <c r="M4814" s="76"/>
      <c r="N4814" s="76"/>
      <c r="O4814" s="76"/>
      <c r="P4814" s="76"/>
      <c r="Q4814" s="76"/>
      <c r="R4814" s="76"/>
      <c r="S4814" s="76"/>
      <c r="BD4814" s="99">
        <f t="shared" si="157"/>
        <v>0</v>
      </c>
      <c r="CC4814" s="99"/>
      <c r="CV4814" s="99"/>
      <c r="CW4814" s="63"/>
    </row>
    <row r="4815" spans="1:101" x14ac:dyDescent="0.15">
      <c r="A4815" s="76">
        <v>4552</v>
      </c>
      <c r="B4815" s="74" t="s">
        <v>7151</v>
      </c>
      <c r="C4815" s="74">
        <v>1046230891</v>
      </c>
      <c r="D4815" s="78" t="str">
        <f t="shared" si="156"/>
        <v>https://portal.dnb.de/opac.htm?method=simpleSearch&amp;cqlMode=true&amp;query=idn%3D1046230891</v>
      </c>
      <c r="E4815" s="74" t="s">
        <v>7152</v>
      </c>
      <c r="F4815" s="74"/>
      <c r="G4815" s="76"/>
      <c r="H4815" s="77"/>
      <c r="I4815" s="76"/>
      <c r="J4815" s="77"/>
      <c r="K4815" s="77"/>
      <c r="L4815" s="76"/>
      <c r="M4815" s="76"/>
      <c r="N4815" s="76"/>
      <c r="O4815" s="76"/>
      <c r="P4815" s="76"/>
      <c r="Q4815" s="76"/>
      <c r="R4815" s="76"/>
      <c r="S4815" s="76"/>
      <c r="BD4815" s="99">
        <f t="shared" si="157"/>
        <v>0</v>
      </c>
      <c r="CC4815" s="99"/>
      <c r="CV4815" s="99"/>
      <c r="CW4815" s="63"/>
    </row>
    <row r="4816" spans="1:101" x14ac:dyDescent="0.15">
      <c r="A4816" s="76">
        <v>4553</v>
      </c>
      <c r="B4816" s="74" t="s">
        <v>7153</v>
      </c>
      <c r="C4816" s="74">
        <v>1035556022</v>
      </c>
      <c r="D4816" s="78" t="str">
        <f t="shared" si="156"/>
        <v>https://portal.dnb.de/opac.htm?method=simpleSearch&amp;cqlMode=true&amp;query=idn%3D1035556022</v>
      </c>
      <c r="E4816" s="74" t="s">
        <v>7152</v>
      </c>
      <c r="F4816" s="74"/>
      <c r="G4816" s="76"/>
      <c r="H4816" s="77"/>
      <c r="I4816" s="76"/>
      <c r="J4816" s="77"/>
      <c r="K4816" s="77"/>
      <c r="L4816" s="76"/>
      <c r="M4816" s="76"/>
      <c r="N4816" s="76"/>
      <c r="O4816" s="76"/>
      <c r="P4816" s="76"/>
      <c r="Q4816" s="76"/>
      <c r="R4816" s="76"/>
      <c r="S4816" s="76"/>
      <c r="BD4816" s="99">
        <f t="shared" si="157"/>
        <v>0</v>
      </c>
      <c r="CC4816" s="99"/>
      <c r="CV4816" s="99"/>
      <c r="CW4816" s="63"/>
    </row>
    <row r="4817" spans="1:101" x14ac:dyDescent="0.15">
      <c r="A4817" s="76">
        <v>4554</v>
      </c>
      <c r="B4817" s="74" t="s">
        <v>7112</v>
      </c>
      <c r="C4817" s="74">
        <v>994131798</v>
      </c>
      <c r="D4817" s="78" t="str">
        <f t="shared" si="156"/>
        <v>https://portal.dnb.de/opac.htm?method=simpleSearch&amp;cqlMode=true&amp;query=idn%3D994131798</v>
      </c>
      <c r="E4817" s="74" t="s">
        <v>7113</v>
      </c>
      <c r="F4817" s="74"/>
      <c r="G4817" s="76"/>
      <c r="H4817" s="77"/>
      <c r="I4817" s="76"/>
      <c r="J4817" s="77"/>
      <c r="K4817" s="77"/>
      <c r="L4817" s="76"/>
      <c r="M4817" s="76"/>
      <c r="N4817" s="76"/>
      <c r="O4817" s="76"/>
      <c r="P4817" s="76"/>
      <c r="Q4817" s="76"/>
      <c r="R4817" s="76"/>
      <c r="S4817" s="76"/>
      <c r="BD4817" s="99">
        <f t="shared" si="157"/>
        <v>0</v>
      </c>
      <c r="CC4817" s="99"/>
      <c r="CV4817" s="99"/>
      <c r="CW4817" s="63"/>
    </row>
    <row r="4818" spans="1:101" x14ac:dyDescent="0.15">
      <c r="A4818" s="76">
        <v>4555</v>
      </c>
      <c r="B4818" s="74" t="s">
        <v>7125</v>
      </c>
      <c r="C4818" s="74">
        <v>994196164</v>
      </c>
      <c r="D4818" s="78" t="str">
        <f t="shared" si="156"/>
        <v>https://portal.dnb.de/opac.htm?method=simpleSearch&amp;cqlMode=true&amp;query=idn%3D994196164</v>
      </c>
      <c r="E4818" s="74" t="s">
        <v>7126</v>
      </c>
      <c r="F4818" s="74"/>
      <c r="G4818" s="76"/>
      <c r="H4818" s="77"/>
      <c r="I4818" s="76"/>
      <c r="J4818" s="77"/>
      <c r="K4818" s="77"/>
      <c r="L4818" s="76"/>
      <c r="M4818" s="76"/>
      <c r="N4818" s="76"/>
      <c r="O4818" s="76"/>
      <c r="P4818" s="76"/>
      <c r="Q4818" s="76"/>
      <c r="R4818" s="76"/>
      <c r="S4818" s="76"/>
      <c r="BD4818" s="99">
        <f t="shared" si="157"/>
        <v>0</v>
      </c>
      <c r="CC4818" s="99"/>
      <c r="CV4818" s="99"/>
      <c r="CW4818" s="63"/>
    </row>
    <row r="4819" spans="1:101" x14ac:dyDescent="0.15">
      <c r="A4819" s="76">
        <v>4556</v>
      </c>
      <c r="B4819" s="74" t="s">
        <v>7127</v>
      </c>
      <c r="C4819" s="74">
        <v>994196954</v>
      </c>
      <c r="D4819" s="78" t="str">
        <f t="shared" si="156"/>
        <v>https://portal.dnb.de/opac.htm?method=simpleSearch&amp;cqlMode=true&amp;query=idn%3D994196954</v>
      </c>
      <c r="E4819" s="74" t="s">
        <v>7126</v>
      </c>
      <c r="F4819" s="74"/>
      <c r="G4819" s="76"/>
      <c r="H4819" s="77"/>
      <c r="I4819" s="76"/>
      <c r="J4819" s="77"/>
      <c r="K4819" s="77"/>
      <c r="L4819" s="76"/>
      <c r="M4819" s="76"/>
      <c r="N4819" s="76"/>
      <c r="O4819" s="76"/>
      <c r="P4819" s="76"/>
      <c r="Q4819" s="76"/>
      <c r="R4819" s="76"/>
      <c r="S4819" s="76"/>
      <c r="BD4819" s="99">
        <f t="shared" si="157"/>
        <v>0</v>
      </c>
      <c r="CC4819" s="99"/>
      <c r="CV4819" s="99"/>
      <c r="CW4819" s="63"/>
    </row>
    <row r="4820" spans="1:101" x14ac:dyDescent="0.15">
      <c r="A4820" s="76">
        <v>4557</v>
      </c>
      <c r="B4820" s="74" t="s">
        <v>7128</v>
      </c>
      <c r="C4820" s="74">
        <v>997309393</v>
      </c>
      <c r="D4820" s="78" t="str">
        <f t="shared" si="156"/>
        <v>https://portal.dnb.de/opac.htm?method=simpleSearch&amp;cqlMode=true&amp;query=idn%3D997309393</v>
      </c>
      <c r="E4820" s="74" t="s">
        <v>7126</v>
      </c>
      <c r="F4820" s="74"/>
      <c r="G4820" s="76"/>
      <c r="H4820" s="77"/>
      <c r="I4820" s="76"/>
      <c r="J4820" s="77"/>
      <c r="K4820" s="77"/>
      <c r="L4820" s="76"/>
      <c r="M4820" s="76"/>
      <c r="N4820" s="76"/>
      <c r="O4820" s="76"/>
      <c r="P4820" s="76"/>
      <c r="Q4820" s="76"/>
      <c r="R4820" s="76"/>
      <c r="S4820" s="76"/>
      <c r="BD4820" s="99">
        <f t="shared" si="157"/>
        <v>0</v>
      </c>
      <c r="CC4820" s="99"/>
      <c r="CV4820" s="99"/>
      <c r="CW4820" s="63"/>
    </row>
    <row r="4821" spans="1:101" x14ac:dyDescent="0.15">
      <c r="A4821" s="76">
        <v>4558</v>
      </c>
      <c r="B4821" s="74" t="s">
        <v>7135</v>
      </c>
      <c r="C4821" s="74">
        <v>361475179</v>
      </c>
      <c r="D4821" s="78" t="str">
        <f t="shared" si="156"/>
        <v>https://portal.dnb.de/opac.htm?method=simpleSearch&amp;cqlMode=true&amp;query=idn%3D361475179</v>
      </c>
      <c r="E4821" s="74" t="s">
        <v>7136</v>
      </c>
      <c r="F4821" s="74"/>
      <c r="G4821" s="76"/>
      <c r="H4821" s="77"/>
      <c r="I4821" s="76"/>
      <c r="J4821" s="77"/>
      <c r="K4821" s="77"/>
      <c r="L4821" s="76"/>
      <c r="M4821" s="76"/>
      <c r="N4821" s="76"/>
      <c r="O4821" s="76"/>
      <c r="P4821" s="76"/>
      <c r="Q4821" s="76"/>
      <c r="R4821" s="76"/>
      <c r="S4821" s="76"/>
      <c r="BD4821" s="99">
        <f t="shared" si="157"/>
        <v>0</v>
      </c>
      <c r="CC4821" s="99"/>
      <c r="CV4821" s="99"/>
      <c r="CW4821" s="63"/>
    </row>
    <row r="4822" spans="1:101" x14ac:dyDescent="0.15">
      <c r="A4822" s="76">
        <v>4559</v>
      </c>
      <c r="B4822" s="74" t="s">
        <v>7137</v>
      </c>
      <c r="C4822" s="74">
        <v>997125403</v>
      </c>
      <c r="D4822" s="78" t="str">
        <f t="shared" si="156"/>
        <v>https://portal.dnb.de/opac.htm?method=simpleSearch&amp;cqlMode=true&amp;query=idn%3D997125403</v>
      </c>
      <c r="E4822" s="74" t="s">
        <v>7136</v>
      </c>
      <c r="F4822" s="74"/>
      <c r="G4822" s="76"/>
      <c r="H4822" s="77"/>
      <c r="I4822" s="76"/>
      <c r="J4822" s="77"/>
      <c r="K4822" s="77"/>
      <c r="L4822" s="76"/>
      <c r="M4822" s="76"/>
      <c r="N4822" s="76"/>
      <c r="O4822" s="76"/>
      <c r="P4822" s="76"/>
      <c r="Q4822" s="76"/>
      <c r="R4822" s="76"/>
      <c r="S4822" s="76"/>
      <c r="BD4822" s="99">
        <f t="shared" si="157"/>
        <v>0</v>
      </c>
      <c r="CC4822" s="99"/>
      <c r="CV4822" s="99"/>
      <c r="CW4822" s="63"/>
    </row>
    <row r="4823" spans="1:101" x14ac:dyDescent="0.15">
      <c r="A4823" s="76">
        <v>4560</v>
      </c>
      <c r="B4823" s="74" t="s">
        <v>7140</v>
      </c>
      <c r="C4823" s="74">
        <v>999739506</v>
      </c>
      <c r="D4823" s="78" t="str">
        <f t="shared" si="156"/>
        <v>https://portal.dnb.de/opac.htm?method=simpleSearch&amp;cqlMode=true&amp;query=idn%3D999739506</v>
      </c>
      <c r="E4823" s="74" t="s">
        <v>7141</v>
      </c>
      <c r="F4823" s="74"/>
      <c r="G4823" s="76"/>
      <c r="H4823" s="77"/>
      <c r="I4823" s="76"/>
      <c r="J4823" s="77"/>
      <c r="K4823" s="77"/>
      <c r="L4823" s="76"/>
      <c r="M4823" s="76"/>
      <c r="N4823" s="76"/>
      <c r="O4823" s="76"/>
      <c r="P4823" s="76"/>
      <c r="Q4823" s="76"/>
      <c r="R4823" s="76"/>
      <c r="S4823" s="76"/>
      <c r="BD4823" s="99">
        <f t="shared" si="157"/>
        <v>0</v>
      </c>
      <c r="CC4823" s="99"/>
      <c r="CV4823" s="99"/>
      <c r="CW4823" s="63"/>
    </row>
    <row r="4824" spans="1:101" x14ac:dyDescent="0.15">
      <c r="A4824" s="76">
        <v>4561</v>
      </c>
      <c r="B4824" s="74" t="s">
        <v>7142</v>
      </c>
      <c r="C4824" s="74">
        <v>1003493262</v>
      </c>
      <c r="D4824" s="78" t="str">
        <f t="shared" si="156"/>
        <v>https://portal.dnb.de/opac.htm?method=simpleSearch&amp;cqlMode=true&amp;query=idn%3D1003493262</v>
      </c>
      <c r="E4824" s="74" t="s">
        <v>7143</v>
      </c>
      <c r="F4824" s="74"/>
      <c r="G4824" s="76"/>
      <c r="H4824" s="77"/>
      <c r="I4824" s="76"/>
      <c r="J4824" s="77"/>
      <c r="K4824" s="77"/>
      <c r="L4824" s="76"/>
      <c r="M4824" s="76"/>
      <c r="N4824" s="76"/>
      <c r="O4824" s="76"/>
      <c r="P4824" s="76"/>
      <c r="Q4824" s="76"/>
      <c r="R4824" s="76"/>
      <c r="S4824" s="76"/>
      <c r="BD4824" s="99">
        <f t="shared" si="157"/>
        <v>0</v>
      </c>
      <c r="CC4824" s="99"/>
      <c r="CV4824" s="99"/>
      <c r="CW4824" s="63"/>
    </row>
    <row r="4825" spans="1:101" x14ac:dyDescent="0.15">
      <c r="A4825" s="76">
        <v>4562</v>
      </c>
      <c r="B4825" s="74" t="s">
        <v>7144</v>
      </c>
      <c r="C4825" s="74">
        <v>1003493157</v>
      </c>
      <c r="D4825" s="78" t="str">
        <f t="shared" si="156"/>
        <v>https://portal.dnb.de/opac.htm?method=simpleSearch&amp;cqlMode=true&amp;query=idn%3D1003493157</v>
      </c>
      <c r="E4825" s="74" t="s">
        <v>7143</v>
      </c>
      <c r="F4825" s="74"/>
      <c r="G4825" s="76"/>
      <c r="H4825" s="77"/>
      <c r="I4825" s="76"/>
      <c r="J4825" s="77"/>
      <c r="K4825" s="77"/>
      <c r="L4825" s="76"/>
      <c r="M4825" s="76"/>
      <c r="N4825" s="76"/>
      <c r="O4825" s="76"/>
      <c r="P4825" s="76"/>
      <c r="Q4825" s="76"/>
      <c r="R4825" s="76"/>
      <c r="S4825" s="76"/>
      <c r="BD4825" s="99">
        <f t="shared" si="157"/>
        <v>0</v>
      </c>
      <c r="CC4825" s="99"/>
      <c r="CV4825" s="99"/>
      <c r="CW4825" s="63"/>
    </row>
    <row r="4826" spans="1:101" x14ac:dyDescent="0.15">
      <c r="A4826" s="76">
        <v>4563</v>
      </c>
      <c r="B4826" s="74" t="s">
        <v>7145</v>
      </c>
      <c r="C4826" s="74">
        <v>997038071</v>
      </c>
      <c r="D4826" s="78" t="str">
        <f t="shared" si="156"/>
        <v>https://portal.dnb.de/opac.htm?method=simpleSearch&amp;cqlMode=true&amp;query=idn%3D997038071</v>
      </c>
      <c r="E4826" s="74" t="s">
        <v>7143</v>
      </c>
      <c r="F4826" s="74"/>
      <c r="G4826" s="76"/>
      <c r="H4826" s="77"/>
      <c r="I4826" s="76"/>
      <c r="J4826" s="77"/>
      <c r="K4826" s="77"/>
      <c r="L4826" s="76"/>
      <c r="M4826" s="76"/>
      <c r="N4826" s="76"/>
      <c r="O4826" s="76"/>
      <c r="P4826" s="76"/>
      <c r="Q4826" s="76"/>
      <c r="R4826" s="76"/>
      <c r="S4826" s="76"/>
      <c r="BD4826" s="99">
        <f t="shared" si="157"/>
        <v>0</v>
      </c>
      <c r="CC4826" s="99"/>
      <c r="CV4826" s="99"/>
      <c r="CW4826" s="63"/>
    </row>
    <row r="4827" spans="1:101" x14ac:dyDescent="0.15">
      <c r="A4827" s="76">
        <v>4564</v>
      </c>
      <c r="B4827" s="74" t="s">
        <v>7173</v>
      </c>
      <c r="C4827" s="74">
        <v>1066874387</v>
      </c>
      <c r="D4827" s="78" t="str">
        <f t="shared" si="156"/>
        <v>https://portal.dnb.de/opac.htm?method=simpleSearch&amp;cqlMode=true&amp;query=idn%3D1066874387</v>
      </c>
      <c r="E4827" s="74" t="s">
        <v>7174</v>
      </c>
      <c r="F4827" s="74"/>
      <c r="G4827" s="76"/>
      <c r="H4827" s="77"/>
      <c r="I4827" s="76" t="s">
        <v>53</v>
      </c>
      <c r="J4827" s="77"/>
      <c r="K4827" s="77"/>
      <c r="L4827" s="76"/>
      <c r="M4827" s="76"/>
      <c r="N4827" s="76"/>
      <c r="O4827" s="76"/>
      <c r="P4827" s="76"/>
      <c r="Q4827" s="76"/>
      <c r="R4827" s="76"/>
      <c r="S4827" s="76"/>
      <c r="Y4827" s="95" t="s">
        <v>9763</v>
      </c>
      <c r="AA4827" s="95" t="s">
        <v>8541</v>
      </c>
      <c r="AC4827" s="95" t="s">
        <v>9724</v>
      </c>
      <c r="AI4827" s="95" t="s">
        <v>9725</v>
      </c>
      <c r="AW4827" s="95">
        <v>45</v>
      </c>
      <c r="BC4827" s="96" t="s">
        <v>9726</v>
      </c>
      <c r="BD4827" s="99">
        <f t="shared" si="157"/>
        <v>0.5</v>
      </c>
      <c r="BH4827" s="95" t="s">
        <v>8541</v>
      </c>
      <c r="BP4827" s="69" t="s">
        <v>8541</v>
      </c>
      <c r="BQ4827" s="95" t="s">
        <v>8541</v>
      </c>
      <c r="BR4827" s="95" t="s">
        <v>8541</v>
      </c>
      <c r="CC4827" s="99">
        <v>0.5</v>
      </c>
      <c r="CD4827" s="90" t="s">
        <v>10324</v>
      </c>
      <c r="CV4827" s="99"/>
      <c r="CW4827" s="63"/>
    </row>
    <row r="4828" spans="1:101" x14ac:dyDescent="0.15">
      <c r="A4828" s="76">
        <v>4565</v>
      </c>
      <c r="B4828" s="74" t="s">
        <v>7180</v>
      </c>
      <c r="C4828" s="74">
        <v>1066874689</v>
      </c>
      <c r="D4828" s="78" t="str">
        <f t="shared" si="156"/>
        <v>https://portal.dnb.de/opac.htm?method=simpleSearch&amp;cqlMode=true&amp;query=idn%3D1066874689</v>
      </c>
      <c r="E4828" s="74" t="s">
        <v>7181</v>
      </c>
      <c r="F4828" s="74"/>
      <c r="G4828" s="76"/>
      <c r="H4828" s="77"/>
      <c r="I4828" s="76" t="s">
        <v>53</v>
      </c>
      <c r="J4828" s="77"/>
      <c r="K4828" s="77"/>
      <c r="L4828" s="76"/>
      <c r="M4828" s="76"/>
      <c r="N4828" s="76"/>
      <c r="O4828" s="76"/>
      <c r="P4828" s="76"/>
      <c r="Q4828" s="76"/>
      <c r="R4828" s="76"/>
      <c r="S4828" s="76"/>
      <c r="Y4828" s="95" t="s">
        <v>9729</v>
      </c>
      <c r="AA4828" s="95" t="s">
        <v>8541</v>
      </c>
      <c r="AC4828" s="95" t="s">
        <v>9739</v>
      </c>
      <c r="AI4828" s="95" t="s">
        <v>9725</v>
      </c>
      <c r="AW4828" s="95" t="s">
        <v>9733</v>
      </c>
      <c r="BC4828" s="96" t="s">
        <v>9734</v>
      </c>
      <c r="BD4828" s="99">
        <f t="shared" si="157"/>
        <v>0</v>
      </c>
      <c r="BL4828" s="70" t="s">
        <v>10015</v>
      </c>
      <c r="BM4828" s="69" t="s">
        <v>10007</v>
      </c>
      <c r="CC4828" s="99"/>
      <c r="CV4828" s="99"/>
      <c r="CW4828" s="63"/>
    </row>
    <row r="4829" spans="1:101" x14ac:dyDescent="0.15">
      <c r="A4829" s="76">
        <v>4566</v>
      </c>
      <c r="B4829" s="74" t="s">
        <v>7182</v>
      </c>
      <c r="C4829" s="74" t="s">
        <v>7183</v>
      </c>
      <c r="D4829" s="78" t="str">
        <f t="shared" si="156"/>
        <v>https://portal.dnb.de/opac.htm?method=simpleSearch&amp;cqlMode=true&amp;query=idn%3D106695707X</v>
      </c>
      <c r="E4829" s="74" t="s">
        <v>7184</v>
      </c>
      <c r="F4829" s="74"/>
      <c r="G4829" s="76"/>
      <c r="H4829" s="77"/>
      <c r="I4829" s="76"/>
      <c r="J4829" s="77"/>
      <c r="K4829" s="77"/>
      <c r="L4829" s="76"/>
      <c r="M4829" s="76"/>
      <c r="N4829" s="76"/>
      <c r="O4829" s="76"/>
      <c r="P4829" s="76"/>
      <c r="Q4829" s="76"/>
      <c r="R4829" s="76"/>
      <c r="S4829" s="76"/>
      <c r="BD4829" s="99">
        <f t="shared" si="157"/>
        <v>0</v>
      </c>
      <c r="CC4829" s="99"/>
      <c r="CV4829" s="99"/>
      <c r="CW4829" s="63"/>
    </row>
    <row r="4830" spans="1:101" x14ac:dyDescent="0.15">
      <c r="A4830" s="76">
        <v>4567</v>
      </c>
      <c r="B4830" s="74" t="s">
        <v>7185</v>
      </c>
      <c r="C4830" s="74">
        <v>1066942161</v>
      </c>
      <c r="D4830" s="78" t="str">
        <f t="shared" si="156"/>
        <v>https://portal.dnb.de/opac.htm?method=simpleSearch&amp;cqlMode=true&amp;query=idn%3D1066942161</v>
      </c>
      <c r="E4830" s="74" t="s">
        <v>7186</v>
      </c>
      <c r="F4830" s="74"/>
      <c r="G4830" s="76"/>
      <c r="H4830" s="77"/>
      <c r="I4830" s="76"/>
      <c r="J4830" s="77"/>
      <c r="K4830" s="77"/>
      <c r="L4830" s="76"/>
      <c r="M4830" s="76"/>
      <c r="N4830" s="76"/>
      <c r="O4830" s="76"/>
      <c r="P4830" s="76"/>
      <c r="Q4830" s="76"/>
      <c r="R4830" s="76"/>
      <c r="S4830" s="76"/>
      <c r="BD4830" s="99">
        <f t="shared" si="157"/>
        <v>0</v>
      </c>
      <c r="CC4830" s="99"/>
      <c r="CV4830" s="99"/>
      <c r="CW4830" s="63"/>
    </row>
    <row r="4831" spans="1:101" ht="22.5" x14ac:dyDescent="0.15">
      <c r="A4831" s="76">
        <v>4568</v>
      </c>
      <c r="B4831" s="74" t="s">
        <v>7187</v>
      </c>
      <c r="C4831" s="74">
        <v>1066942366</v>
      </c>
      <c r="D4831" s="78" t="str">
        <f t="shared" si="156"/>
        <v>https://portal.dnb.de/opac.htm?method=simpleSearch&amp;cqlMode=true&amp;query=idn%3D1066942366</v>
      </c>
      <c r="E4831" s="74" t="s">
        <v>7188</v>
      </c>
      <c r="F4831" s="74"/>
      <c r="G4831" s="76"/>
      <c r="H4831" s="77"/>
      <c r="I4831" s="76" t="s">
        <v>53</v>
      </c>
      <c r="J4831" s="77"/>
      <c r="K4831" s="77"/>
      <c r="L4831" s="76"/>
      <c r="M4831" s="76"/>
      <c r="N4831" s="76"/>
      <c r="O4831" s="76"/>
      <c r="P4831" s="76"/>
      <c r="Q4831" s="76"/>
      <c r="R4831" s="76"/>
      <c r="S4831" s="76"/>
      <c r="Y4831" s="95" t="s">
        <v>9735</v>
      </c>
      <c r="AA4831" s="95" t="s">
        <v>8541</v>
      </c>
      <c r="AC4831" s="95" t="s">
        <v>9739</v>
      </c>
      <c r="AI4831" s="95" t="s">
        <v>9725</v>
      </c>
      <c r="AJ4831" s="95" t="s">
        <v>8541</v>
      </c>
      <c r="AW4831" s="95">
        <v>110</v>
      </c>
      <c r="BB4831" s="95" t="s">
        <v>8541</v>
      </c>
      <c r="BC4831" s="96" t="s">
        <v>9726</v>
      </c>
      <c r="BD4831" s="99">
        <f t="shared" si="157"/>
        <v>0.5</v>
      </c>
      <c r="BL4831" s="70" t="s">
        <v>10545</v>
      </c>
      <c r="BP4831" s="69" t="s">
        <v>8541</v>
      </c>
      <c r="BR4831" s="95" t="s">
        <v>8541</v>
      </c>
      <c r="CC4831" s="99">
        <v>0.5</v>
      </c>
      <c r="CD4831" s="90" t="s">
        <v>10510</v>
      </c>
      <c r="CV4831" s="99"/>
      <c r="CW4831" s="63"/>
    </row>
    <row r="4832" spans="1:101" x14ac:dyDescent="0.15">
      <c r="A4832" s="76">
        <v>4569</v>
      </c>
      <c r="B4832" s="74" t="s">
        <v>7189</v>
      </c>
      <c r="C4832" s="74">
        <v>1066671273</v>
      </c>
      <c r="D4832" s="78" t="str">
        <f t="shared" si="156"/>
        <v>https://portal.dnb.de/opac.htm?method=simpleSearch&amp;cqlMode=true&amp;query=idn%3D1066671273</v>
      </c>
      <c r="E4832" s="74" t="s">
        <v>7190</v>
      </c>
      <c r="F4832" s="74"/>
      <c r="G4832" s="76"/>
      <c r="H4832" s="77"/>
      <c r="I4832" s="76"/>
      <c r="J4832" s="77"/>
      <c r="K4832" s="77"/>
      <c r="L4832" s="76"/>
      <c r="M4832" s="76"/>
      <c r="N4832" s="76"/>
      <c r="O4832" s="76"/>
      <c r="P4832" s="76"/>
      <c r="Q4832" s="76"/>
      <c r="R4832" s="76"/>
      <c r="S4832" s="76"/>
      <c r="BD4832" s="99">
        <f t="shared" si="157"/>
        <v>0</v>
      </c>
      <c r="CC4832" s="99"/>
      <c r="CV4832" s="99"/>
      <c r="CW4832" s="63"/>
    </row>
    <row r="4833" spans="1:101" x14ac:dyDescent="0.15">
      <c r="A4833" s="76">
        <v>4570</v>
      </c>
      <c r="B4833" s="74" t="s">
        <v>7191</v>
      </c>
      <c r="C4833" s="74">
        <v>1066836892</v>
      </c>
      <c r="D4833" s="78" t="str">
        <f t="shared" si="156"/>
        <v>https://portal.dnb.de/opac.htm?method=simpleSearch&amp;cqlMode=true&amp;query=idn%3D1066836892</v>
      </c>
      <c r="E4833" s="74" t="s">
        <v>7192</v>
      </c>
      <c r="F4833" s="74"/>
      <c r="G4833" s="76"/>
      <c r="H4833" s="77"/>
      <c r="I4833" s="76"/>
      <c r="J4833" s="77"/>
      <c r="K4833" s="77"/>
      <c r="L4833" s="76"/>
      <c r="M4833" s="76"/>
      <c r="N4833" s="76"/>
      <c r="O4833" s="76"/>
      <c r="P4833" s="76"/>
      <c r="Q4833" s="76"/>
      <c r="R4833" s="76"/>
      <c r="S4833" s="76"/>
      <c r="BD4833" s="99">
        <f t="shared" si="157"/>
        <v>0</v>
      </c>
      <c r="CC4833" s="99"/>
      <c r="CV4833" s="99"/>
      <c r="CW4833" s="63"/>
    </row>
    <row r="4834" spans="1:101" x14ac:dyDescent="0.15">
      <c r="A4834" s="76">
        <v>4571</v>
      </c>
      <c r="B4834" s="74" t="s">
        <v>7193</v>
      </c>
      <c r="C4834" s="74">
        <v>994029543</v>
      </c>
      <c r="D4834" s="78" t="str">
        <f t="shared" ref="D4834:D4897" si="158">HYPERLINK(CONCATENATE("https://portal.dnb.de/opac.htm?method=simpleSearch&amp;cqlMode=true&amp;query=idn%3D",C4834))</f>
        <v>https://portal.dnb.de/opac.htm?method=simpleSearch&amp;cqlMode=true&amp;query=idn%3D994029543</v>
      </c>
      <c r="E4834" s="74" t="s">
        <v>7194</v>
      </c>
      <c r="F4834" s="74"/>
      <c r="G4834" s="76"/>
      <c r="H4834" s="77"/>
      <c r="I4834" s="76"/>
      <c r="J4834" s="77"/>
      <c r="K4834" s="77"/>
      <c r="L4834" s="76"/>
      <c r="M4834" s="76"/>
      <c r="N4834" s="76"/>
      <c r="O4834" s="76"/>
      <c r="P4834" s="76"/>
      <c r="Q4834" s="76"/>
      <c r="R4834" s="76"/>
      <c r="S4834" s="76"/>
      <c r="BD4834" s="99">
        <f t="shared" si="157"/>
        <v>0</v>
      </c>
      <c r="CC4834" s="99"/>
      <c r="CV4834" s="99"/>
      <c r="CW4834" s="63"/>
    </row>
    <row r="4835" spans="1:101" x14ac:dyDescent="0.15">
      <c r="A4835" s="76">
        <v>4572</v>
      </c>
      <c r="B4835" s="74" t="s">
        <v>7195</v>
      </c>
      <c r="C4835" s="74">
        <v>994418485</v>
      </c>
      <c r="D4835" s="78" t="str">
        <f t="shared" si="158"/>
        <v>https://portal.dnb.de/opac.htm?method=simpleSearch&amp;cqlMode=true&amp;query=idn%3D994418485</v>
      </c>
      <c r="E4835" s="74" t="s">
        <v>7196</v>
      </c>
      <c r="F4835" s="74"/>
      <c r="G4835" s="76"/>
      <c r="H4835" s="77"/>
      <c r="I4835" s="76"/>
      <c r="J4835" s="77"/>
      <c r="K4835" s="77"/>
      <c r="L4835" s="76"/>
      <c r="M4835" s="76"/>
      <c r="N4835" s="76"/>
      <c r="O4835" s="76"/>
      <c r="P4835" s="76"/>
      <c r="Q4835" s="76"/>
      <c r="R4835" s="76"/>
      <c r="S4835" s="76"/>
      <c r="BD4835" s="99">
        <f t="shared" si="157"/>
        <v>0</v>
      </c>
      <c r="CC4835" s="99"/>
      <c r="CV4835" s="99"/>
      <c r="CW4835" s="63"/>
    </row>
    <row r="4836" spans="1:101" x14ac:dyDescent="0.15">
      <c r="A4836" s="76">
        <v>4573</v>
      </c>
      <c r="B4836" s="74" t="s">
        <v>7175</v>
      </c>
      <c r="C4836" s="74">
        <v>997073454</v>
      </c>
      <c r="D4836" s="78" t="str">
        <f t="shared" si="158"/>
        <v>https://portal.dnb.de/opac.htm?method=simpleSearch&amp;cqlMode=true&amp;query=idn%3D997073454</v>
      </c>
      <c r="E4836" s="74" t="s">
        <v>7176</v>
      </c>
      <c r="F4836" s="74"/>
      <c r="G4836" s="76"/>
      <c r="H4836" s="77"/>
      <c r="I4836" s="76"/>
      <c r="J4836" s="77"/>
      <c r="K4836" s="77"/>
      <c r="L4836" s="76"/>
      <c r="M4836" s="76"/>
      <c r="N4836" s="76"/>
      <c r="O4836" s="76"/>
      <c r="P4836" s="76"/>
      <c r="Q4836" s="76"/>
      <c r="R4836" s="76"/>
      <c r="S4836" s="76"/>
      <c r="BD4836" s="99">
        <f t="shared" si="157"/>
        <v>0</v>
      </c>
      <c r="CC4836" s="99"/>
      <c r="CV4836" s="99"/>
      <c r="CW4836" s="63"/>
    </row>
    <row r="4837" spans="1:101" x14ac:dyDescent="0.15">
      <c r="A4837" s="76">
        <v>4574</v>
      </c>
      <c r="B4837" s="74" t="s">
        <v>7177</v>
      </c>
      <c r="C4837" s="74">
        <v>1000440109</v>
      </c>
      <c r="D4837" s="78" t="str">
        <f t="shared" si="158"/>
        <v>https://portal.dnb.de/opac.htm?method=simpleSearch&amp;cqlMode=true&amp;query=idn%3D1000440109</v>
      </c>
      <c r="E4837" s="74" t="s">
        <v>7178</v>
      </c>
      <c r="F4837" s="74"/>
      <c r="G4837" s="76"/>
      <c r="H4837" s="77"/>
      <c r="I4837" s="76"/>
      <c r="J4837" s="77"/>
      <c r="K4837" s="77"/>
      <c r="L4837" s="76"/>
      <c r="M4837" s="76"/>
      <c r="N4837" s="76"/>
      <c r="O4837" s="76"/>
      <c r="P4837" s="76"/>
      <c r="Q4837" s="76"/>
      <c r="R4837" s="76"/>
      <c r="S4837" s="76"/>
      <c r="BD4837" s="99">
        <f t="shared" si="157"/>
        <v>0</v>
      </c>
      <c r="CC4837" s="99"/>
      <c r="CV4837" s="99"/>
      <c r="CW4837" s="63"/>
    </row>
    <row r="4838" spans="1:101" x14ac:dyDescent="0.15">
      <c r="A4838" s="76">
        <v>4575</v>
      </c>
      <c r="B4838" s="74" t="s">
        <v>7179</v>
      </c>
      <c r="C4838" s="74">
        <v>1000401049</v>
      </c>
      <c r="D4838" s="78" t="str">
        <f t="shared" si="158"/>
        <v>https://portal.dnb.de/opac.htm?method=simpleSearch&amp;cqlMode=true&amp;query=idn%3D1000401049</v>
      </c>
      <c r="E4838" s="74" t="s">
        <v>7178</v>
      </c>
      <c r="F4838" s="74"/>
      <c r="G4838" s="76"/>
      <c r="H4838" s="77"/>
      <c r="I4838" s="76"/>
      <c r="J4838" s="77"/>
      <c r="K4838" s="77"/>
      <c r="L4838" s="76"/>
      <c r="M4838" s="76"/>
      <c r="N4838" s="76"/>
      <c r="O4838" s="76"/>
      <c r="P4838" s="76"/>
      <c r="Q4838" s="76"/>
      <c r="R4838" s="76"/>
      <c r="S4838" s="76"/>
      <c r="BD4838" s="99">
        <f t="shared" si="157"/>
        <v>0</v>
      </c>
      <c r="CC4838" s="99"/>
      <c r="CV4838" s="99"/>
      <c r="CW4838" s="63"/>
    </row>
    <row r="4839" spans="1:101" x14ac:dyDescent="0.15">
      <c r="A4839" s="76">
        <v>4576</v>
      </c>
      <c r="B4839" s="74" t="s">
        <v>7197</v>
      </c>
      <c r="C4839" s="74">
        <v>1066963215</v>
      </c>
      <c r="D4839" s="78" t="str">
        <f t="shared" si="158"/>
        <v>https://portal.dnb.de/opac.htm?method=simpleSearch&amp;cqlMode=true&amp;query=idn%3D1066963215</v>
      </c>
      <c r="E4839" s="74" t="s">
        <v>7198</v>
      </c>
      <c r="F4839" s="74"/>
      <c r="G4839" s="76"/>
      <c r="H4839" s="77"/>
      <c r="I4839" s="76"/>
      <c r="J4839" s="77"/>
      <c r="K4839" s="77"/>
      <c r="L4839" s="76"/>
      <c r="M4839" s="76"/>
      <c r="N4839" s="76"/>
      <c r="O4839" s="76"/>
      <c r="P4839" s="76"/>
      <c r="Q4839" s="76"/>
      <c r="R4839" s="76"/>
      <c r="S4839" s="76"/>
      <c r="BD4839" s="99">
        <f t="shared" si="157"/>
        <v>0</v>
      </c>
      <c r="CC4839" s="99"/>
      <c r="CV4839" s="99"/>
      <c r="CW4839" s="63"/>
    </row>
    <row r="4840" spans="1:101" x14ac:dyDescent="0.15">
      <c r="A4840" s="76">
        <v>4577</v>
      </c>
      <c r="B4840" s="74" t="s">
        <v>7199</v>
      </c>
      <c r="C4840" s="74">
        <v>1066871094</v>
      </c>
      <c r="D4840" s="78" t="str">
        <f t="shared" si="158"/>
        <v>https://portal.dnb.de/opac.htm?method=simpleSearch&amp;cqlMode=true&amp;query=idn%3D1066871094</v>
      </c>
      <c r="E4840" s="74" t="s">
        <v>7200</v>
      </c>
      <c r="F4840" s="74"/>
      <c r="G4840" s="76"/>
      <c r="H4840" s="77"/>
      <c r="I4840" s="76" t="s">
        <v>54</v>
      </c>
      <c r="J4840" s="77"/>
      <c r="K4840" s="77"/>
      <c r="L4840" s="76"/>
      <c r="M4840" s="76"/>
      <c r="N4840" s="76"/>
      <c r="O4840" s="76"/>
      <c r="P4840" s="76"/>
      <c r="Q4840" s="76"/>
      <c r="R4840" s="76"/>
      <c r="S4840" s="76"/>
      <c r="Y4840" s="95" t="s">
        <v>9763</v>
      </c>
      <c r="AA4840" s="95" t="s">
        <v>8541</v>
      </c>
      <c r="AC4840" s="95" t="s">
        <v>9724</v>
      </c>
      <c r="AI4840" s="95" t="s">
        <v>9725</v>
      </c>
      <c r="AK4840" s="95" t="s">
        <v>8541</v>
      </c>
      <c r="AW4840" s="95">
        <v>60</v>
      </c>
      <c r="BC4840" s="96" t="s">
        <v>9726</v>
      </c>
      <c r="BD4840" s="99">
        <f t="shared" si="157"/>
        <v>2.5</v>
      </c>
      <c r="BH4840" s="95" t="s">
        <v>8541</v>
      </c>
      <c r="BP4840" s="69" t="s">
        <v>8541</v>
      </c>
      <c r="BQ4840" s="95" t="s">
        <v>8541</v>
      </c>
      <c r="BR4840" s="95" t="s">
        <v>8541</v>
      </c>
      <c r="CC4840" s="99">
        <v>1</v>
      </c>
      <c r="CD4840" s="90" t="s">
        <v>10325</v>
      </c>
      <c r="CN4840" s="95" t="s">
        <v>8541</v>
      </c>
      <c r="CV4840" s="99">
        <v>1.5</v>
      </c>
      <c r="CW4840" s="63" t="s">
        <v>10326</v>
      </c>
    </row>
    <row r="4841" spans="1:101" x14ac:dyDescent="0.15">
      <c r="A4841" s="76">
        <v>4578</v>
      </c>
      <c r="B4841" s="74" t="s">
        <v>7201</v>
      </c>
      <c r="C4841" s="74" t="s">
        <v>7202</v>
      </c>
      <c r="D4841" s="78" t="str">
        <f t="shared" si="158"/>
        <v>https://portal.dnb.de/opac.htm?method=simpleSearch&amp;cqlMode=true&amp;query=idn%3D106687428X</v>
      </c>
      <c r="E4841" s="74" t="s">
        <v>7203</v>
      </c>
      <c r="F4841" s="74"/>
      <c r="G4841" s="76"/>
      <c r="H4841" s="77"/>
      <c r="I4841" s="76"/>
      <c r="J4841" s="77"/>
      <c r="K4841" s="77"/>
      <c r="L4841" s="76"/>
      <c r="M4841" s="76"/>
      <c r="N4841" s="76"/>
      <c r="O4841" s="76"/>
      <c r="P4841" s="76"/>
      <c r="Q4841" s="76"/>
      <c r="R4841" s="76"/>
      <c r="S4841" s="76"/>
      <c r="BD4841" s="99">
        <f t="shared" si="157"/>
        <v>0</v>
      </c>
      <c r="CC4841" s="99"/>
      <c r="CV4841" s="99"/>
      <c r="CW4841" s="63"/>
    </row>
    <row r="4842" spans="1:101" x14ac:dyDescent="0.15">
      <c r="A4842" s="76">
        <v>4579</v>
      </c>
      <c r="B4842" s="74" t="s">
        <v>7204</v>
      </c>
      <c r="C4842" s="74">
        <v>1066851980</v>
      </c>
      <c r="D4842" s="78" t="str">
        <f t="shared" si="158"/>
        <v>https://portal.dnb.de/opac.htm?method=simpleSearch&amp;cqlMode=true&amp;query=idn%3D1066851980</v>
      </c>
      <c r="E4842" s="74" t="s">
        <v>7205</v>
      </c>
      <c r="F4842" s="74"/>
      <c r="G4842" s="76"/>
      <c r="H4842" s="77"/>
      <c r="I4842" s="76"/>
      <c r="J4842" s="77"/>
      <c r="K4842" s="77"/>
      <c r="L4842" s="76"/>
      <c r="M4842" s="76"/>
      <c r="N4842" s="76"/>
      <c r="O4842" s="76"/>
      <c r="P4842" s="76"/>
      <c r="Q4842" s="76"/>
      <c r="R4842" s="76"/>
      <c r="S4842" s="76"/>
      <c r="BD4842" s="99">
        <f t="shared" si="157"/>
        <v>0</v>
      </c>
      <c r="CC4842" s="99"/>
      <c r="CV4842" s="99"/>
      <c r="CW4842" s="63"/>
    </row>
    <row r="4843" spans="1:101" x14ac:dyDescent="0.15">
      <c r="A4843" s="76">
        <v>4580</v>
      </c>
      <c r="B4843" s="74" t="s">
        <v>7206</v>
      </c>
      <c r="C4843" s="74">
        <v>1021587796</v>
      </c>
      <c r="D4843" s="78" t="str">
        <f t="shared" si="158"/>
        <v>https://portal.dnb.de/opac.htm?method=simpleSearch&amp;cqlMode=true&amp;query=idn%3D1021587796</v>
      </c>
      <c r="E4843" s="74" t="s">
        <v>7207</v>
      </c>
      <c r="F4843" s="74"/>
      <c r="G4843" s="76"/>
      <c r="H4843" s="77"/>
      <c r="I4843" s="76"/>
      <c r="J4843" s="77"/>
      <c r="K4843" s="77"/>
      <c r="L4843" s="76"/>
      <c r="M4843" s="76"/>
      <c r="N4843" s="76"/>
      <c r="O4843" s="76"/>
      <c r="P4843" s="76"/>
      <c r="Q4843" s="76"/>
      <c r="R4843" s="76"/>
      <c r="S4843" s="76"/>
      <c r="BD4843" s="99">
        <f t="shared" si="157"/>
        <v>0</v>
      </c>
      <c r="CC4843" s="99"/>
      <c r="CV4843" s="99"/>
      <c r="CW4843" s="63"/>
    </row>
    <row r="4844" spans="1:101" x14ac:dyDescent="0.15">
      <c r="A4844" s="76">
        <v>4581</v>
      </c>
      <c r="B4844" s="74" t="s">
        <v>7208</v>
      </c>
      <c r="C4844" s="74">
        <v>1021580686</v>
      </c>
      <c r="D4844" s="78" t="str">
        <f t="shared" si="158"/>
        <v>https://portal.dnb.de/opac.htm?method=simpleSearch&amp;cqlMode=true&amp;query=idn%3D1021580686</v>
      </c>
      <c r="E4844" s="74" t="s">
        <v>7207</v>
      </c>
      <c r="F4844" s="74"/>
      <c r="G4844" s="76"/>
      <c r="H4844" s="77"/>
      <c r="I4844" s="76"/>
      <c r="J4844" s="77"/>
      <c r="K4844" s="77"/>
      <c r="L4844" s="76"/>
      <c r="M4844" s="76"/>
      <c r="N4844" s="76"/>
      <c r="O4844" s="76"/>
      <c r="P4844" s="76"/>
      <c r="Q4844" s="76"/>
      <c r="R4844" s="76"/>
      <c r="S4844" s="76"/>
      <c r="BD4844" s="99">
        <f t="shared" si="157"/>
        <v>0</v>
      </c>
      <c r="CC4844" s="99"/>
      <c r="CV4844" s="99"/>
      <c r="CW4844" s="63"/>
    </row>
    <row r="4845" spans="1:101" x14ac:dyDescent="0.15">
      <c r="A4845" s="76">
        <v>4582</v>
      </c>
      <c r="B4845" s="74" t="s">
        <v>7209</v>
      </c>
      <c r="C4845" s="74">
        <v>993994539</v>
      </c>
      <c r="D4845" s="78" t="str">
        <f t="shared" si="158"/>
        <v>https://portal.dnb.de/opac.htm?method=simpleSearch&amp;cqlMode=true&amp;query=idn%3D993994539</v>
      </c>
      <c r="E4845" s="74" t="s">
        <v>7207</v>
      </c>
      <c r="F4845" s="74"/>
      <c r="G4845" s="76"/>
      <c r="H4845" s="77"/>
      <c r="I4845" s="76"/>
      <c r="J4845" s="77"/>
      <c r="K4845" s="77"/>
      <c r="L4845" s="76"/>
      <c r="M4845" s="76"/>
      <c r="N4845" s="76"/>
      <c r="O4845" s="76"/>
      <c r="P4845" s="76"/>
      <c r="Q4845" s="76"/>
      <c r="R4845" s="76"/>
      <c r="S4845" s="76"/>
      <c r="BD4845" s="99">
        <f t="shared" si="157"/>
        <v>0</v>
      </c>
      <c r="CC4845" s="99"/>
      <c r="CV4845" s="99"/>
      <c r="CW4845" s="63"/>
    </row>
    <row r="4846" spans="1:101" x14ac:dyDescent="0.15">
      <c r="A4846" s="76">
        <v>4583</v>
      </c>
      <c r="B4846" s="74" t="s">
        <v>7210</v>
      </c>
      <c r="C4846" s="74">
        <v>1066675341</v>
      </c>
      <c r="D4846" s="78" t="str">
        <f t="shared" si="158"/>
        <v>https://portal.dnb.de/opac.htm?method=simpleSearch&amp;cqlMode=true&amp;query=idn%3D1066675341</v>
      </c>
      <c r="E4846" s="74" t="s">
        <v>7211</v>
      </c>
      <c r="F4846" s="74"/>
      <c r="G4846" s="76"/>
      <c r="H4846" s="77"/>
      <c r="I4846" s="76"/>
      <c r="J4846" s="77"/>
      <c r="K4846" s="77"/>
      <c r="L4846" s="76"/>
      <c r="M4846" s="76"/>
      <c r="N4846" s="76"/>
      <c r="O4846" s="76"/>
      <c r="P4846" s="76"/>
      <c r="Q4846" s="76"/>
      <c r="R4846" s="76"/>
      <c r="S4846" s="76"/>
      <c r="BD4846" s="99">
        <f t="shared" si="157"/>
        <v>0</v>
      </c>
      <c r="CC4846" s="99"/>
      <c r="CV4846" s="99"/>
      <c r="CW4846" s="63"/>
    </row>
    <row r="4847" spans="1:101" x14ac:dyDescent="0.15">
      <c r="A4847" s="76">
        <v>4584</v>
      </c>
      <c r="B4847" s="74" t="s">
        <v>7212</v>
      </c>
      <c r="C4847" s="74">
        <v>993962645</v>
      </c>
      <c r="D4847" s="78" t="str">
        <f t="shared" si="158"/>
        <v>https://portal.dnb.de/opac.htm?method=simpleSearch&amp;cqlMode=true&amp;query=idn%3D993962645</v>
      </c>
      <c r="E4847" s="74" t="s">
        <v>7213</v>
      </c>
      <c r="F4847" s="74"/>
      <c r="G4847" s="76"/>
      <c r="H4847" s="77"/>
      <c r="I4847" s="76"/>
      <c r="J4847" s="77"/>
      <c r="K4847" s="77"/>
      <c r="L4847" s="76"/>
      <c r="M4847" s="76"/>
      <c r="N4847" s="76"/>
      <c r="O4847" s="76"/>
      <c r="P4847" s="76"/>
      <c r="Q4847" s="76"/>
      <c r="R4847" s="76"/>
      <c r="S4847" s="76"/>
      <c r="BD4847" s="99">
        <f t="shared" si="157"/>
        <v>0</v>
      </c>
      <c r="CC4847" s="99"/>
      <c r="CV4847" s="99"/>
      <c r="CW4847" s="63"/>
    </row>
    <row r="4848" spans="1:101" x14ac:dyDescent="0.15">
      <c r="A4848" s="76">
        <v>4585</v>
      </c>
      <c r="B4848" s="74" t="s">
        <v>7214</v>
      </c>
      <c r="C4848" s="74">
        <v>1003394450</v>
      </c>
      <c r="D4848" s="78" t="str">
        <f t="shared" si="158"/>
        <v>https://portal.dnb.de/opac.htm?method=simpleSearch&amp;cqlMode=true&amp;query=idn%3D1003394450</v>
      </c>
      <c r="E4848" s="74" t="s">
        <v>7215</v>
      </c>
      <c r="F4848" s="74"/>
      <c r="G4848" s="76"/>
      <c r="H4848" s="77"/>
      <c r="I4848" s="76"/>
      <c r="J4848" s="77"/>
      <c r="K4848" s="77"/>
      <c r="L4848" s="76"/>
      <c r="M4848" s="76"/>
      <c r="N4848" s="76"/>
      <c r="O4848" s="76"/>
      <c r="P4848" s="76"/>
      <c r="Q4848" s="76"/>
      <c r="R4848" s="76"/>
      <c r="S4848" s="76"/>
      <c r="BD4848" s="99">
        <f t="shared" si="157"/>
        <v>0</v>
      </c>
      <c r="CC4848" s="99"/>
      <c r="CV4848" s="99"/>
      <c r="CW4848" s="63"/>
    </row>
    <row r="4849" spans="1:101" x14ac:dyDescent="0.15">
      <c r="A4849" s="76">
        <v>4586</v>
      </c>
      <c r="B4849" s="74" t="s">
        <v>7216</v>
      </c>
      <c r="C4849" s="74">
        <v>1003394353</v>
      </c>
      <c r="D4849" s="78" t="str">
        <f t="shared" si="158"/>
        <v>https://portal.dnb.de/opac.htm?method=simpleSearch&amp;cqlMode=true&amp;query=idn%3D1003394353</v>
      </c>
      <c r="E4849" s="74" t="s">
        <v>7215</v>
      </c>
      <c r="F4849" s="74"/>
      <c r="G4849" s="76"/>
      <c r="H4849" s="77"/>
      <c r="I4849" s="76"/>
      <c r="J4849" s="77"/>
      <c r="K4849" s="77"/>
      <c r="L4849" s="76"/>
      <c r="M4849" s="76"/>
      <c r="N4849" s="76"/>
      <c r="O4849" s="76"/>
      <c r="P4849" s="76"/>
      <c r="Q4849" s="76"/>
      <c r="R4849" s="76"/>
      <c r="S4849" s="76"/>
      <c r="BD4849" s="99">
        <f t="shared" si="157"/>
        <v>0</v>
      </c>
      <c r="CC4849" s="99"/>
      <c r="CV4849" s="99"/>
      <c r="CW4849" s="63"/>
    </row>
    <row r="4850" spans="1:101" x14ac:dyDescent="0.15">
      <c r="A4850" s="76">
        <v>4587</v>
      </c>
      <c r="B4850" s="74" t="s">
        <v>7217</v>
      </c>
      <c r="C4850" s="74">
        <v>1066871590</v>
      </c>
      <c r="D4850" s="78" t="str">
        <f t="shared" si="158"/>
        <v>https://portal.dnb.de/opac.htm?method=simpleSearch&amp;cqlMode=true&amp;query=idn%3D1066871590</v>
      </c>
      <c r="E4850" s="74" t="s">
        <v>7218</v>
      </c>
      <c r="F4850" s="74"/>
      <c r="G4850" s="76"/>
      <c r="H4850" s="77"/>
      <c r="I4850" s="76"/>
      <c r="J4850" s="77"/>
      <c r="K4850" s="77"/>
      <c r="L4850" s="76"/>
      <c r="M4850" s="76"/>
      <c r="N4850" s="76"/>
      <c r="O4850" s="76"/>
      <c r="P4850" s="76"/>
      <c r="Q4850" s="76"/>
      <c r="R4850" s="76"/>
      <c r="S4850" s="76"/>
      <c r="BD4850" s="99">
        <f t="shared" si="157"/>
        <v>0</v>
      </c>
      <c r="CC4850" s="99"/>
      <c r="CV4850" s="99"/>
      <c r="CW4850" s="63"/>
    </row>
    <row r="4851" spans="1:101" x14ac:dyDescent="0.15">
      <c r="A4851" s="76">
        <v>4588</v>
      </c>
      <c r="B4851" s="74" t="s">
        <v>7225</v>
      </c>
      <c r="C4851" s="74">
        <v>1066858438</v>
      </c>
      <c r="D4851" s="78" t="str">
        <f t="shared" si="158"/>
        <v>https://portal.dnb.de/opac.htm?method=simpleSearch&amp;cqlMode=true&amp;query=idn%3D1066858438</v>
      </c>
      <c r="E4851" s="74" t="s">
        <v>7226</v>
      </c>
      <c r="F4851" s="74"/>
      <c r="G4851" s="76"/>
      <c r="H4851" s="77"/>
      <c r="I4851" s="76"/>
      <c r="J4851" s="77"/>
      <c r="K4851" s="77"/>
      <c r="L4851" s="76"/>
      <c r="M4851" s="76"/>
      <c r="N4851" s="76"/>
      <c r="O4851" s="76"/>
      <c r="P4851" s="76"/>
      <c r="Q4851" s="76"/>
      <c r="R4851" s="76"/>
      <c r="S4851" s="76"/>
      <c r="BD4851" s="99">
        <f t="shared" si="157"/>
        <v>0</v>
      </c>
      <c r="CC4851" s="99"/>
      <c r="CV4851" s="99"/>
      <c r="CW4851" s="63"/>
    </row>
    <row r="4852" spans="1:101" x14ac:dyDescent="0.15">
      <c r="A4852" s="76">
        <v>4589</v>
      </c>
      <c r="B4852" s="74" t="s">
        <v>7227</v>
      </c>
      <c r="C4852" s="74">
        <v>1066756481</v>
      </c>
      <c r="D4852" s="78" t="str">
        <f t="shared" si="158"/>
        <v>https://portal.dnb.de/opac.htm?method=simpleSearch&amp;cqlMode=true&amp;query=idn%3D1066756481</v>
      </c>
      <c r="E4852" s="74" t="s">
        <v>7228</v>
      </c>
      <c r="F4852" s="74"/>
      <c r="G4852" s="76"/>
      <c r="H4852" s="77"/>
      <c r="I4852" s="76"/>
      <c r="J4852" s="77"/>
      <c r="K4852" s="77"/>
      <c r="L4852" s="76"/>
      <c r="M4852" s="76"/>
      <c r="N4852" s="76"/>
      <c r="O4852" s="76"/>
      <c r="P4852" s="76"/>
      <c r="Q4852" s="76"/>
      <c r="R4852" s="76"/>
      <c r="S4852" s="76"/>
      <c r="BD4852" s="99">
        <f t="shared" si="157"/>
        <v>0</v>
      </c>
      <c r="CC4852" s="99"/>
      <c r="CV4852" s="99"/>
      <c r="CW4852" s="63"/>
    </row>
    <row r="4853" spans="1:101" x14ac:dyDescent="0.15">
      <c r="A4853" s="76">
        <v>4590</v>
      </c>
      <c r="B4853" s="74" t="s">
        <v>7229</v>
      </c>
      <c r="C4853" s="74">
        <v>1003759602</v>
      </c>
      <c r="D4853" s="78" t="str">
        <f t="shared" si="158"/>
        <v>https://portal.dnb.de/opac.htm?method=simpleSearch&amp;cqlMode=true&amp;query=idn%3D1003759602</v>
      </c>
      <c r="E4853" s="74" t="s">
        <v>7230</v>
      </c>
      <c r="F4853" s="74"/>
      <c r="G4853" s="76"/>
      <c r="H4853" s="77"/>
      <c r="I4853" s="76"/>
      <c r="J4853" s="77"/>
      <c r="K4853" s="77"/>
      <c r="L4853" s="76"/>
      <c r="M4853" s="76"/>
      <c r="N4853" s="76"/>
      <c r="O4853" s="76"/>
      <c r="P4853" s="76"/>
      <c r="Q4853" s="76"/>
      <c r="R4853" s="76"/>
      <c r="S4853" s="76"/>
      <c r="BD4853" s="99">
        <f t="shared" si="157"/>
        <v>0</v>
      </c>
      <c r="CC4853" s="99"/>
      <c r="CV4853" s="99"/>
      <c r="CW4853" s="63"/>
    </row>
    <row r="4854" spans="1:101" x14ac:dyDescent="0.15">
      <c r="A4854" s="76">
        <v>4591</v>
      </c>
      <c r="B4854" s="74" t="s">
        <v>7231</v>
      </c>
      <c r="C4854" s="74">
        <v>995444250</v>
      </c>
      <c r="D4854" s="78" t="str">
        <f t="shared" si="158"/>
        <v>https://portal.dnb.de/opac.htm?method=simpleSearch&amp;cqlMode=true&amp;query=idn%3D995444250</v>
      </c>
      <c r="E4854" s="74" t="s">
        <v>7230</v>
      </c>
      <c r="F4854" s="74"/>
      <c r="G4854" s="76"/>
      <c r="H4854" s="77"/>
      <c r="I4854" s="76"/>
      <c r="J4854" s="77"/>
      <c r="K4854" s="77"/>
      <c r="L4854" s="76"/>
      <c r="M4854" s="76"/>
      <c r="N4854" s="76"/>
      <c r="O4854" s="76"/>
      <c r="P4854" s="76"/>
      <c r="Q4854" s="76"/>
      <c r="R4854" s="76"/>
      <c r="S4854" s="76"/>
      <c r="BD4854" s="99">
        <f t="shared" si="157"/>
        <v>0</v>
      </c>
      <c r="CC4854" s="99"/>
      <c r="CV4854" s="99"/>
      <c r="CW4854" s="63"/>
    </row>
    <row r="4855" spans="1:101" x14ac:dyDescent="0.15">
      <c r="A4855" s="76">
        <v>4592</v>
      </c>
      <c r="B4855" s="74" t="s">
        <v>7244</v>
      </c>
      <c r="C4855" s="74">
        <v>993907644</v>
      </c>
      <c r="D4855" s="78" t="str">
        <f t="shared" si="158"/>
        <v>https://portal.dnb.de/opac.htm?method=simpleSearch&amp;cqlMode=true&amp;query=idn%3D993907644</v>
      </c>
      <c r="E4855" s="74" t="s">
        <v>7245</v>
      </c>
      <c r="F4855" s="74"/>
      <c r="G4855" s="76"/>
      <c r="H4855" s="77"/>
      <c r="I4855" s="76"/>
      <c r="J4855" s="77"/>
      <c r="K4855" s="77"/>
      <c r="L4855" s="76"/>
      <c r="M4855" s="76"/>
      <c r="N4855" s="76"/>
      <c r="O4855" s="76"/>
      <c r="P4855" s="76"/>
      <c r="Q4855" s="76"/>
      <c r="R4855" s="76"/>
      <c r="S4855" s="76"/>
      <c r="BD4855" s="99">
        <f t="shared" si="157"/>
        <v>0</v>
      </c>
      <c r="CC4855" s="99"/>
      <c r="CV4855" s="99"/>
      <c r="CW4855" s="63"/>
    </row>
    <row r="4856" spans="1:101" x14ac:dyDescent="0.15">
      <c r="A4856" s="76">
        <v>4593</v>
      </c>
      <c r="B4856" s="74" t="s">
        <v>7241</v>
      </c>
      <c r="C4856" s="74" t="s">
        <v>7242</v>
      </c>
      <c r="D4856" s="78" t="str">
        <f t="shared" si="158"/>
        <v>https://portal.dnb.de/opac.htm?method=simpleSearch&amp;cqlMode=true&amp;query=idn%3D106696064X</v>
      </c>
      <c r="E4856" s="74" t="s">
        <v>7243</v>
      </c>
      <c r="F4856" s="74"/>
      <c r="G4856" s="76"/>
      <c r="H4856" s="77"/>
      <c r="I4856" s="76"/>
      <c r="J4856" s="77"/>
      <c r="K4856" s="77"/>
      <c r="L4856" s="76"/>
      <c r="M4856" s="76"/>
      <c r="N4856" s="76"/>
      <c r="O4856" s="76"/>
      <c r="P4856" s="76"/>
      <c r="Q4856" s="76"/>
      <c r="R4856" s="76"/>
      <c r="S4856" s="76"/>
      <c r="BD4856" s="99">
        <f t="shared" si="157"/>
        <v>0</v>
      </c>
      <c r="CC4856" s="99"/>
      <c r="CV4856" s="99"/>
      <c r="CW4856" s="63"/>
    </row>
    <row r="4857" spans="1:101" ht="33.75" x14ac:dyDescent="0.15">
      <c r="A4857" s="76">
        <v>4594</v>
      </c>
      <c r="B4857" s="74" t="s">
        <v>7246</v>
      </c>
      <c r="C4857" s="74">
        <v>1066786585</v>
      </c>
      <c r="D4857" s="78" t="str">
        <f t="shared" si="158"/>
        <v>https://portal.dnb.de/opac.htm?method=simpleSearch&amp;cqlMode=true&amp;query=idn%3D1066786585</v>
      </c>
      <c r="E4857" s="74" t="s">
        <v>7247</v>
      </c>
      <c r="F4857" s="74"/>
      <c r="G4857" s="76"/>
      <c r="H4857" s="77"/>
      <c r="I4857" s="76" t="s">
        <v>53</v>
      </c>
      <c r="J4857" s="77"/>
      <c r="K4857" s="77"/>
      <c r="L4857" s="76"/>
      <c r="M4857" s="76"/>
      <c r="N4857" s="76"/>
      <c r="O4857" s="76"/>
      <c r="P4857" s="76"/>
      <c r="Q4857" s="76"/>
      <c r="R4857" s="76"/>
      <c r="S4857" s="76"/>
      <c r="Y4857" s="95" t="s">
        <v>9729</v>
      </c>
      <c r="AC4857" s="95" t="s">
        <v>9739</v>
      </c>
      <c r="AI4857" s="95" t="s">
        <v>9725</v>
      </c>
      <c r="AW4857" s="95">
        <v>60</v>
      </c>
      <c r="BC4857" s="96" t="s">
        <v>9726</v>
      </c>
      <c r="BD4857" s="99">
        <f t="shared" si="157"/>
        <v>1.5</v>
      </c>
      <c r="BP4857" s="69" t="s">
        <v>8541</v>
      </c>
      <c r="BQ4857" s="95" t="s">
        <v>8541</v>
      </c>
      <c r="BR4857" s="95" t="s">
        <v>8541</v>
      </c>
      <c r="BT4857" s="95" t="s">
        <v>9737</v>
      </c>
      <c r="CC4857" s="99">
        <v>1.5</v>
      </c>
      <c r="CD4857" s="90" t="s">
        <v>10372</v>
      </c>
      <c r="CE4857" s="95" t="s">
        <v>8541</v>
      </c>
      <c r="CV4857" s="99"/>
      <c r="CW4857" s="63"/>
    </row>
    <row r="4858" spans="1:101" x14ac:dyDescent="0.15">
      <c r="A4858" s="76">
        <v>4595</v>
      </c>
      <c r="B4858" s="74" t="s">
        <v>7248</v>
      </c>
      <c r="C4858" s="74">
        <v>1066940886</v>
      </c>
      <c r="D4858" s="78" t="str">
        <f t="shared" si="158"/>
        <v>https://portal.dnb.de/opac.htm?method=simpleSearch&amp;cqlMode=true&amp;query=idn%3D1066940886</v>
      </c>
      <c r="E4858" s="74" t="s">
        <v>7249</v>
      </c>
      <c r="F4858" s="74"/>
      <c r="G4858" s="76"/>
      <c r="H4858" s="77"/>
      <c r="I4858" s="76" t="s">
        <v>53</v>
      </c>
      <c r="J4858" s="77"/>
      <c r="K4858" s="77"/>
      <c r="L4858" s="76"/>
      <c r="M4858" s="76"/>
      <c r="N4858" s="76"/>
      <c r="O4858" s="76"/>
      <c r="P4858" s="76"/>
      <c r="Q4858" s="76"/>
      <c r="R4858" s="76"/>
      <c r="S4858" s="76"/>
      <c r="Y4858" s="95" t="s">
        <v>9735</v>
      </c>
      <c r="AA4858" s="95" t="s">
        <v>8541</v>
      </c>
      <c r="AC4858" s="95" t="s">
        <v>9739</v>
      </c>
      <c r="AI4858" s="95" t="s">
        <v>9725</v>
      </c>
      <c r="AJ4858" s="95" t="s">
        <v>8541</v>
      </c>
      <c r="AW4858" s="95">
        <v>110</v>
      </c>
      <c r="BB4858" s="95" t="s">
        <v>8541</v>
      </c>
      <c r="BC4858" s="96" t="s">
        <v>9726</v>
      </c>
      <c r="BD4858" s="99">
        <f t="shared" si="157"/>
        <v>2</v>
      </c>
      <c r="BH4858" s="95" t="s">
        <v>8541</v>
      </c>
      <c r="BP4858" s="69" t="s">
        <v>8541</v>
      </c>
      <c r="BR4858" s="95" t="s">
        <v>8541</v>
      </c>
      <c r="BT4858" s="95" t="s">
        <v>9775</v>
      </c>
      <c r="CC4858" s="99">
        <v>1.5</v>
      </c>
      <c r="CD4858" s="90" t="s">
        <v>10373</v>
      </c>
      <c r="CI4858" s="95" t="s">
        <v>8541</v>
      </c>
      <c r="CV4858" s="99">
        <v>0.5</v>
      </c>
      <c r="CW4858" s="63" t="s">
        <v>10374</v>
      </c>
    </row>
    <row r="4859" spans="1:101" x14ac:dyDescent="0.15">
      <c r="A4859" s="76">
        <v>4596</v>
      </c>
      <c r="B4859" s="74" t="s">
        <v>7250</v>
      </c>
      <c r="C4859" s="74">
        <v>1001447131</v>
      </c>
      <c r="D4859" s="78" t="str">
        <f t="shared" si="158"/>
        <v>https://portal.dnb.de/opac.htm?method=simpleSearch&amp;cqlMode=true&amp;query=idn%3D1001447131</v>
      </c>
      <c r="E4859" s="74" t="s">
        <v>7251</v>
      </c>
      <c r="F4859" s="74"/>
      <c r="G4859" s="76"/>
      <c r="H4859" s="77"/>
      <c r="I4859" s="76"/>
      <c r="J4859" s="77"/>
      <c r="K4859" s="77"/>
      <c r="L4859" s="76"/>
      <c r="M4859" s="76"/>
      <c r="N4859" s="76"/>
      <c r="O4859" s="76"/>
      <c r="P4859" s="76"/>
      <c r="Q4859" s="76"/>
      <c r="R4859" s="76"/>
      <c r="S4859" s="76"/>
      <c r="BD4859" s="99">
        <f t="shared" si="157"/>
        <v>0</v>
      </c>
      <c r="CC4859" s="99"/>
      <c r="CV4859" s="99"/>
      <c r="CW4859" s="63"/>
    </row>
    <row r="4860" spans="1:101" x14ac:dyDescent="0.15">
      <c r="A4860" s="76">
        <v>4597</v>
      </c>
      <c r="B4860" s="74" t="s">
        <v>7252</v>
      </c>
      <c r="C4860" s="74" t="s">
        <v>7253</v>
      </c>
      <c r="D4860" s="78" t="str">
        <f t="shared" si="158"/>
        <v>https://portal.dnb.de/opac.htm?method=simpleSearch&amp;cqlMode=true&amp;query=idn%3D99449338X</v>
      </c>
      <c r="E4860" s="74" t="s">
        <v>7254</v>
      </c>
      <c r="F4860" s="74"/>
      <c r="G4860" s="76"/>
      <c r="H4860" s="77"/>
      <c r="I4860" s="76"/>
      <c r="J4860" s="77"/>
      <c r="K4860" s="77"/>
      <c r="L4860" s="76"/>
      <c r="M4860" s="76"/>
      <c r="N4860" s="76"/>
      <c r="O4860" s="76"/>
      <c r="P4860" s="76"/>
      <c r="Q4860" s="76"/>
      <c r="R4860" s="76"/>
      <c r="S4860" s="76"/>
      <c r="BD4860" s="99">
        <f t="shared" si="157"/>
        <v>0</v>
      </c>
      <c r="CC4860" s="99"/>
      <c r="CV4860" s="99"/>
      <c r="CW4860" s="63"/>
    </row>
    <row r="4861" spans="1:101" ht="270" x14ac:dyDescent="0.15">
      <c r="A4861" s="76">
        <v>4598</v>
      </c>
      <c r="B4861" s="74" t="s">
        <v>7257</v>
      </c>
      <c r="C4861" s="74" t="s">
        <v>7258</v>
      </c>
      <c r="D4861" s="78" t="str">
        <f t="shared" si="158"/>
        <v>https://portal.dnb.de/opac.htm?method=simpleSearch&amp;cqlMode=true&amp;query=idn%3D113265520X</v>
      </c>
      <c r="E4861" s="74" t="s">
        <v>10488</v>
      </c>
      <c r="F4861" s="79" t="s">
        <v>10544</v>
      </c>
      <c r="G4861" s="76"/>
      <c r="H4861" s="77"/>
      <c r="I4861" s="76" t="s">
        <v>54</v>
      </c>
      <c r="J4861" s="77"/>
      <c r="K4861" s="77"/>
      <c r="L4861" s="76"/>
      <c r="M4861" s="76"/>
      <c r="N4861" s="76"/>
      <c r="O4861" s="76"/>
      <c r="P4861" s="76"/>
      <c r="Q4861" s="76"/>
      <c r="R4861" s="76"/>
      <c r="S4861" s="76"/>
      <c r="Y4861" s="95" t="s">
        <v>9723</v>
      </c>
      <c r="AC4861" s="95" t="s">
        <v>9724</v>
      </c>
      <c r="AE4861" s="95" t="s">
        <v>10494</v>
      </c>
      <c r="AI4861" s="95" t="s">
        <v>9725</v>
      </c>
      <c r="AW4861" s="95">
        <v>80</v>
      </c>
      <c r="BC4861" s="96" t="s">
        <v>9726</v>
      </c>
      <c r="BD4861" s="99">
        <f t="shared" si="157"/>
        <v>13</v>
      </c>
      <c r="BH4861" s="95" t="s">
        <v>8541</v>
      </c>
      <c r="BL4861" s="70" t="s">
        <v>10495</v>
      </c>
      <c r="BO4861" s="70" t="s">
        <v>10493</v>
      </c>
      <c r="BP4861" s="69" t="s">
        <v>8541</v>
      </c>
      <c r="BQ4861" s="95" t="s">
        <v>8541</v>
      </c>
      <c r="BR4861" s="95" t="s">
        <v>8541</v>
      </c>
      <c r="BT4861" s="95" t="s">
        <v>9772</v>
      </c>
      <c r="CB4861" s="95" t="s">
        <v>9882</v>
      </c>
      <c r="CC4861" s="99">
        <v>7.5</v>
      </c>
      <c r="CD4861" s="90" t="s">
        <v>10492</v>
      </c>
      <c r="CE4861" s="95" t="s">
        <v>8541</v>
      </c>
      <c r="CV4861" s="99">
        <v>5.5</v>
      </c>
      <c r="CW4861" s="90" t="s">
        <v>10497</v>
      </c>
    </row>
    <row r="4862" spans="1:101" ht="270" x14ac:dyDescent="0.15">
      <c r="A4862" s="76">
        <v>4599</v>
      </c>
      <c r="B4862" s="74" t="s">
        <v>7259</v>
      </c>
      <c r="C4862" s="74">
        <v>1132655226</v>
      </c>
      <c r="D4862" s="78" t="str">
        <f t="shared" si="158"/>
        <v>https://portal.dnb.de/opac.htm?method=simpleSearch&amp;cqlMode=true&amp;query=idn%3D1132655226</v>
      </c>
      <c r="E4862" s="74" t="s">
        <v>10489</v>
      </c>
      <c r="F4862" s="79" t="s">
        <v>10544</v>
      </c>
      <c r="G4862" s="76"/>
      <c r="H4862" s="77"/>
      <c r="I4862" s="76" t="s">
        <v>54</v>
      </c>
      <c r="J4862" s="77"/>
      <c r="K4862" s="77"/>
      <c r="L4862" s="76"/>
      <c r="M4862" s="76"/>
      <c r="N4862" s="76"/>
      <c r="O4862" s="76"/>
      <c r="P4862" s="76"/>
      <c r="Q4862" s="76"/>
      <c r="R4862" s="76"/>
      <c r="S4862" s="76"/>
      <c r="Y4862" s="95" t="s">
        <v>9723</v>
      </c>
      <c r="AC4862" s="95" t="s">
        <v>9724</v>
      </c>
      <c r="AE4862" s="95" t="s">
        <v>10494</v>
      </c>
      <c r="AI4862" s="95" t="s">
        <v>9725</v>
      </c>
      <c r="AW4862" s="95">
        <v>80</v>
      </c>
      <c r="BC4862" s="96" t="s">
        <v>9726</v>
      </c>
      <c r="BD4862" s="99">
        <f t="shared" si="157"/>
        <v>8.5</v>
      </c>
      <c r="BH4862" s="95" t="s">
        <v>8541</v>
      </c>
      <c r="BL4862" s="70" t="s">
        <v>10495</v>
      </c>
      <c r="BO4862" s="70" t="s">
        <v>10493</v>
      </c>
      <c r="BP4862" s="69" t="s">
        <v>8541</v>
      </c>
      <c r="BQ4862" s="95" t="s">
        <v>8541</v>
      </c>
      <c r="BR4862" s="95" t="s">
        <v>8541</v>
      </c>
      <c r="BT4862" s="95" t="s">
        <v>9772</v>
      </c>
      <c r="CC4862" s="99">
        <v>4</v>
      </c>
      <c r="CD4862" s="90" t="s">
        <v>10496</v>
      </c>
      <c r="CE4862" s="95" t="s">
        <v>8541</v>
      </c>
      <c r="CN4862" s="95" t="s">
        <v>8541</v>
      </c>
      <c r="CV4862" s="99">
        <v>4.5</v>
      </c>
      <c r="CW4862" s="90" t="s">
        <v>10498</v>
      </c>
    </row>
    <row r="4863" spans="1:101" ht="270" x14ac:dyDescent="0.15">
      <c r="A4863" s="76">
        <v>4600</v>
      </c>
      <c r="B4863" s="74" t="s">
        <v>7260</v>
      </c>
      <c r="C4863" s="74">
        <v>1132655218</v>
      </c>
      <c r="D4863" s="78" t="str">
        <f t="shared" si="158"/>
        <v>https://portal.dnb.de/opac.htm?method=simpleSearch&amp;cqlMode=true&amp;query=idn%3D1132655218</v>
      </c>
      <c r="E4863" s="74" t="s">
        <v>10490</v>
      </c>
      <c r="F4863" s="79" t="s">
        <v>10544</v>
      </c>
      <c r="G4863" s="76"/>
      <c r="H4863" s="77"/>
      <c r="I4863" s="76" t="s">
        <v>54</v>
      </c>
      <c r="J4863" s="77"/>
      <c r="K4863" s="77"/>
      <c r="L4863" s="76"/>
      <c r="M4863" s="76"/>
      <c r="N4863" s="76"/>
      <c r="O4863" s="76"/>
      <c r="P4863" s="76"/>
      <c r="Q4863" s="76"/>
      <c r="R4863" s="76"/>
      <c r="S4863" s="76"/>
      <c r="Y4863" s="95" t="s">
        <v>9723</v>
      </c>
      <c r="AC4863" s="95" t="s">
        <v>9724</v>
      </c>
      <c r="AE4863" s="95" t="s">
        <v>10494</v>
      </c>
      <c r="AI4863" s="95" t="s">
        <v>9725</v>
      </c>
      <c r="AW4863" s="95">
        <v>60</v>
      </c>
      <c r="BC4863" s="96" t="s">
        <v>9726</v>
      </c>
      <c r="BD4863" s="99">
        <f t="shared" si="157"/>
        <v>10.5</v>
      </c>
      <c r="BH4863" s="95" t="s">
        <v>8541</v>
      </c>
      <c r="BL4863" s="70" t="s">
        <v>10495</v>
      </c>
      <c r="BO4863" s="70" t="s">
        <v>10493</v>
      </c>
      <c r="BP4863" s="69" t="s">
        <v>8541</v>
      </c>
      <c r="BQ4863" s="95" t="s">
        <v>8541</v>
      </c>
      <c r="BR4863" s="95" t="s">
        <v>8541</v>
      </c>
      <c r="BT4863" s="95" t="s">
        <v>9772</v>
      </c>
      <c r="CC4863" s="99">
        <v>4.5</v>
      </c>
      <c r="CD4863" s="90" t="s">
        <v>10499</v>
      </c>
      <c r="CE4863" s="95" t="s">
        <v>8541</v>
      </c>
      <c r="CV4863" s="99">
        <v>6</v>
      </c>
      <c r="CW4863" s="90" t="s">
        <v>10500</v>
      </c>
    </row>
    <row r="4864" spans="1:101" ht="270" x14ac:dyDescent="0.15">
      <c r="A4864" s="76">
        <v>4601</v>
      </c>
      <c r="B4864" s="74" t="s">
        <v>7261</v>
      </c>
      <c r="C4864" s="74" t="s">
        <v>7262</v>
      </c>
      <c r="D4864" s="78" t="str">
        <f t="shared" si="158"/>
        <v>https://portal.dnb.de/opac.htm?method=simpleSearch&amp;cqlMode=true&amp;query=idn%3D113265517X</v>
      </c>
      <c r="E4864" s="74" t="s">
        <v>10491</v>
      </c>
      <c r="F4864" s="79" t="s">
        <v>10544</v>
      </c>
      <c r="G4864" s="76"/>
      <c r="H4864" s="77"/>
      <c r="I4864" s="76" t="s">
        <v>54</v>
      </c>
      <c r="J4864" s="77"/>
      <c r="K4864" s="77"/>
      <c r="L4864" s="76"/>
      <c r="M4864" s="76"/>
      <c r="N4864" s="76"/>
      <c r="O4864" s="76"/>
      <c r="P4864" s="76"/>
      <c r="Q4864" s="76"/>
      <c r="R4864" s="76"/>
      <c r="S4864" s="76"/>
      <c r="Y4864" s="95" t="s">
        <v>9723</v>
      </c>
      <c r="AC4864" s="95" t="s">
        <v>9724</v>
      </c>
      <c r="AE4864" s="95" t="s">
        <v>10494</v>
      </c>
      <c r="AI4864" s="95" t="s">
        <v>9725</v>
      </c>
      <c r="AW4864" s="95">
        <v>80</v>
      </c>
      <c r="BC4864" s="96" t="s">
        <v>9726</v>
      </c>
      <c r="BD4864" s="99">
        <f t="shared" si="157"/>
        <v>12.5</v>
      </c>
      <c r="BH4864" s="95" t="s">
        <v>8541</v>
      </c>
      <c r="BL4864" s="70" t="s">
        <v>10495</v>
      </c>
      <c r="BO4864" s="70" t="s">
        <v>10493</v>
      </c>
      <c r="BP4864" s="69" t="s">
        <v>8541</v>
      </c>
      <c r="BQ4864" s="95" t="s">
        <v>8541</v>
      </c>
      <c r="BR4864" s="95" t="s">
        <v>8541</v>
      </c>
      <c r="BT4864" s="95" t="s">
        <v>9772</v>
      </c>
      <c r="CB4864" s="95" t="s">
        <v>9882</v>
      </c>
      <c r="CC4864" s="99">
        <v>6</v>
      </c>
      <c r="CD4864" s="90" t="s">
        <v>10501</v>
      </c>
      <c r="CE4864" s="95" t="s">
        <v>8541</v>
      </c>
      <c r="CJ4864" s="95" t="s">
        <v>8541</v>
      </c>
      <c r="CQ4864" s="95" t="s">
        <v>8541</v>
      </c>
      <c r="CV4864" s="99">
        <v>6.5</v>
      </c>
      <c r="CW4864" s="90" t="s">
        <v>10502</v>
      </c>
    </row>
    <row r="4865" spans="1:101" x14ac:dyDescent="0.15">
      <c r="A4865" s="76">
        <v>4602</v>
      </c>
      <c r="B4865" s="74" t="s">
        <v>7263</v>
      </c>
      <c r="C4865" s="74">
        <v>993966225</v>
      </c>
      <c r="D4865" s="78" t="str">
        <f t="shared" si="158"/>
        <v>https://portal.dnb.de/opac.htm?method=simpleSearch&amp;cqlMode=true&amp;query=idn%3D993966225</v>
      </c>
      <c r="E4865" s="74" t="s">
        <v>7264</v>
      </c>
      <c r="F4865" s="74"/>
      <c r="G4865" s="76"/>
      <c r="H4865" s="77"/>
      <c r="I4865" s="76"/>
      <c r="J4865" s="77"/>
      <c r="K4865" s="77"/>
      <c r="L4865" s="76"/>
      <c r="M4865" s="76"/>
      <c r="N4865" s="76"/>
      <c r="O4865" s="76"/>
      <c r="P4865" s="76"/>
      <c r="Q4865" s="76"/>
      <c r="R4865" s="76"/>
      <c r="S4865" s="76"/>
      <c r="BD4865" s="99">
        <f t="shared" si="157"/>
        <v>0</v>
      </c>
      <c r="CC4865" s="99"/>
      <c r="CV4865" s="99"/>
      <c r="CW4865" s="63"/>
    </row>
    <row r="4866" spans="1:101" x14ac:dyDescent="0.15">
      <c r="A4866" s="76">
        <v>4603</v>
      </c>
      <c r="B4866" s="74" t="s">
        <v>7265</v>
      </c>
      <c r="C4866" s="74">
        <v>1000522881</v>
      </c>
      <c r="D4866" s="78" t="str">
        <f t="shared" si="158"/>
        <v>https://portal.dnb.de/opac.htm?method=simpleSearch&amp;cqlMode=true&amp;query=idn%3D1000522881</v>
      </c>
      <c r="E4866" s="74" t="s">
        <v>7266</v>
      </c>
      <c r="F4866" s="74"/>
      <c r="G4866" s="76"/>
      <c r="H4866" s="77"/>
      <c r="I4866" s="76"/>
      <c r="J4866" s="77"/>
      <c r="K4866" s="77"/>
      <c r="L4866" s="76"/>
      <c r="M4866" s="76"/>
      <c r="N4866" s="76"/>
      <c r="O4866" s="76"/>
      <c r="P4866" s="76"/>
      <c r="Q4866" s="76"/>
      <c r="R4866" s="76"/>
      <c r="S4866" s="76"/>
      <c r="BD4866" s="99">
        <f t="shared" si="157"/>
        <v>0</v>
      </c>
      <c r="CC4866" s="99"/>
      <c r="CV4866" s="99"/>
      <c r="CW4866" s="63"/>
    </row>
    <row r="4867" spans="1:101" x14ac:dyDescent="0.15">
      <c r="A4867" s="76">
        <v>4604</v>
      </c>
      <c r="B4867" s="74" t="s">
        <v>7267</v>
      </c>
      <c r="C4867" s="74">
        <v>997044438</v>
      </c>
      <c r="D4867" s="78" t="str">
        <f t="shared" si="158"/>
        <v>https://portal.dnb.de/opac.htm?method=simpleSearch&amp;cqlMode=true&amp;query=idn%3D997044438</v>
      </c>
      <c r="E4867" s="74" t="s">
        <v>7268</v>
      </c>
      <c r="F4867" s="74"/>
      <c r="G4867" s="76"/>
      <c r="H4867" s="77"/>
      <c r="I4867" s="76"/>
      <c r="J4867" s="77"/>
      <c r="K4867" s="77"/>
      <c r="L4867" s="76"/>
      <c r="M4867" s="76"/>
      <c r="N4867" s="76"/>
      <c r="O4867" s="76"/>
      <c r="P4867" s="76"/>
      <c r="Q4867" s="76"/>
      <c r="R4867" s="76"/>
      <c r="S4867" s="76"/>
      <c r="BD4867" s="99">
        <f t="shared" ref="BD4867:BD4930" si="159">CC4867+CV4867</f>
        <v>0</v>
      </c>
      <c r="CC4867" s="99"/>
      <c r="CV4867" s="99"/>
      <c r="CW4867" s="63"/>
    </row>
    <row r="4868" spans="1:101" x14ac:dyDescent="0.15">
      <c r="A4868" s="76">
        <v>4605</v>
      </c>
      <c r="B4868" s="74" t="s">
        <v>7269</v>
      </c>
      <c r="C4868" s="74" t="s">
        <v>7270</v>
      </c>
      <c r="D4868" s="78" t="str">
        <f t="shared" si="158"/>
        <v>https://portal.dnb.de/opac.htm?method=simpleSearch&amp;cqlMode=true&amp;query=idn%3D100028994X</v>
      </c>
      <c r="E4868" s="74" t="s">
        <v>7271</v>
      </c>
      <c r="F4868" s="74"/>
      <c r="G4868" s="76"/>
      <c r="H4868" s="77"/>
      <c r="I4868" s="76"/>
      <c r="J4868" s="77"/>
      <c r="K4868" s="77"/>
      <c r="L4868" s="76"/>
      <c r="M4868" s="76"/>
      <c r="N4868" s="76"/>
      <c r="O4868" s="76"/>
      <c r="P4868" s="76"/>
      <c r="Q4868" s="76"/>
      <c r="R4868" s="76"/>
      <c r="S4868" s="76"/>
      <c r="BD4868" s="99">
        <f t="shared" si="159"/>
        <v>0</v>
      </c>
      <c r="CC4868" s="99"/>
      <c r="CV4868" s="99"/>
      <c r="CW4868" s="63"/>
    </row>
    <row r="4869" spans="1:101" x14ac:dyDescent="0.15">
      <c r="A4869" s="76">
        <v>4606</v>
      </c>
      <c r="B4869" s="74" t="s">
        <v>7255</v>
      </c>
      <c r="C4869" s="74">
        <v>13034936</v>
      </c>
      <c r="D4869" s="78" t="str">
        <f t="shared" si="158"/>
        <v>https://portal.dnb.de/opac.htm?method=simpleSearch&amp;cqlMode=true&amp;query=idn%3D13034936</v>
      </c>
      <c r="E4869" s="74" t="s">
        <v>7256</v>
      </c>
      <c r="F4869" s="74"/>
      <c r="G4869" s="76"/>
      <c r="H4869" s="77"/>
      <c r="I4869" s="76"/>
      <c r="J4869" s="77"/>
      <c r="K4869" s="77"/>
      <c r="L4869" s="76"/>
      <c r="M4869" s="76"/>
      <c r="N4869" s="76"/>
      <c r="O4869" s="76"/>
      <c r="P4869" s="76"/>
      <c r="Q4869" s="76"/>
      <c r="R4869" s="76"/>
      <c r="S4869" s="76"/>
      <c r="BD4869" s="99">
        <f t="shared" si="159"/>
        <v>0</v>
      </c>
      <c r="CC4869" s="99"/>
      <c r="CV4869" s="99"/>
      <c r="CW4869" s="63"/>
    </row>
    <row r="4870" spans="1:101" ht="45" x14ac:dyDescent="0.15">
      <c r="A4870" s="76">
        <v>4607</v>
      </c>
      <c r="B4870" s="74" t="s">
        <v>7272</v>
      </c>
      <c r="C4870" s="74">
        <v>1066941408</v>
      </c>
      <c r="D4870" s="78" t="str">
        <f t="shared" si="158"/>
        <v>https://portal.dnb.de/opac.htm?method=simpleSearch&amp;cqlMode=true&amp;query=idn%3D1066941408</v>
      </c>
      <c r="E4870" s="74" t="s">
        <v>7273</v>
      </c>
      <c r="F4870" s="74"/>
      <c r="G4870" s="76"/>
      <c r="H4870" s="77"/>
      <c r="I4870" s="76" t="s">
        <v>54</v>
      </c>
      <c r="J4870" s="77"/>
      <c r="K4870" s="77"/>
      <c r="L4870" s="76"/>
      <c r="M4870" s="76"/>
      <c r="N4870" s="76"/>
      <c r="O4870" s="76"/>
      <c r="P4870" s="76"/>
      <c r="Q4870" s="76"/>
      <c r="R4870" s="76"/>
      <c r="S4870" s="76"/>
      <c r="Y4870" s="95" t="s">
        <v>9780</v>
      </c>
      <c r="AA4870" s="95" t="s">
        <v>8541</v>
      </c>
      <c r="AC4870" s="95" t="s">
        <v>9739</v>
      </c>
      <c r="AI4870" s="95" t="s">
        <v>9725</v>
      </c>
      <c r="AW4870" s="95">
        <v>80</v>
      </c>
      <c r="BC4870" s="96" t="s">
        <v>9726</v>
      </c>
      <c r="BD4870" s="99">
        <f t="shared" si="159"/>
        <v>4</v>
      </c>
      <c r="BH4870" s="95" t="s">
        <v>8541</v>
      </c>
      <c r="BP4870" s="69" t="s">
        <v>8541</v>
      </c>
      <c r="BR4870" s="95" t="s">
        <v>8541</v>
      </c>
      <c r="BT4870" s="95" t="s">
        <v>9772</v>
      </c>
      <c r="CC4870" s="99">
        <v>3</v>
      </c>
      <c r="CD4870" s="90" t="s">
        <v>10375</v>
      </c>
      <c r="CL4870" s="95" t="s">
        <v>8541</v>
      </c>
      <c r="CV4870" s="99">
        <v>1</v>
      </c>
      <c r="CW4870" s="90" t="s">
        <v>10376</v>
      </c>
    </row>
    <row r="4871" spans="1:101" x14ac:dyDescent="0.15">
      <c r="A4871" s="76">
        <v>4608</v>
      </c>
      <c r="B4871" s="74" t="s">
        <v>7280</v>
      </c>
      <c r="C4871" s="74">
        <v>1066962510</v>
      </c>
      <c r="D4871" s="78" t="str">
        <f t="shared" si="158"/>
        <v>https://portal.dnb.de/opac.htm?method=simpleSearch&amp;cqlMode=true&amp;query=idn%3D1066962510</v>
      </c>
      <c r="E4871" s="74" t="s">
        <v>7281</v>
      </c>
      <c r="F4871" s="74"/>
      <c r="G4871" s="76"/>
      <c r="H4871" s="77"/>
      <c r="I4871" s="76"/>
      <c r="J4871" s="77"/>
      <c r="K4871" s="77"/>
      <c r="L4871" s="76"/>
      <c r="M4871" s="76"/>
      <c r="N4871" s="76"/>
      <c r="O4871" s="76"/>
      <c r="P4871" s="76"/>
      <c r="Q4871" s="76"/>
      <c r="R4871" s="76"/>
      <c r="S4871" s="76"/>
      <c r="BD4871" s="99">
        <f t="shared" si="159"/>
        <v>0</v>
      </c>
      <c r="CC4871" s="99"/>
      <c r="CV4871" s="99"/>
      <c r="CW4871" s="63"/>
    </row>
    <row r="4872" spans="1:101" x14ac:dyDescent="0.15">
      <c r="A4872" s="76">
        <v>4609</v>
      </c>
      <c r="B4872" s="74" t="s">
        <v>7286</v>
      </c>
      <c r="C4872" s="74">
        <v>1132635667</v>
      </c>
      <c r="D4872" s="78" t="str">
        <f t="shared" si="158"/>
        <v>https://portal.dnb.de/opac.htm?method=simpleSearch&amp;cqlMode=true&amp;query=idn%3D1132635667</v>
      </c>
      <c r="E4872" s="74" t="s">
        <v>7287</v>
      </c>
      <c r="F4872" s="74"/>
      <c r="G4872" s="76"/>
      <c r="H4872" s="77"/>
      <c r="I4872" s="76"/>
      <c r="J4872" s="77"/>
      <c r="K4872" s="77"/>
      <c r="L4872" s="76"/>
      <c r="M4872" s="76"/>
      <c r="N4872" s="76"/>
      <c r="O4872" s="76"/>
      <c r="P4872" s="76"/>
      <c r="Q4872" s="76"/>
      <c r="R4872" s="76"/>
      <c r="S4872" s="76"/>
      <c r="BD4872" s="99">
        <f t="shared" si="159"/>
        <v>0</v>
      </c>
      <c r="CC4872" s="99"/>
      <c r="CV4872" s="99"/>
      <c r="CW4872" s="63"/>
    </row>
    <row r="4873" spans="1:101" x14ac:dyDescent="0.15">
      <c r="A4873" s="76">
        <v>4610</v>
      </c>
      <c r="B4873" s="74" t="s">
        <v>7288</v>
      </c>
      <c r="C4873" s="74">
        <v>1132635675</v>
      </c>
      <c r="D4873" s="78" t="str">
        <f t="shared" si="158"/>
        <v>https://portal.dnb.de/opac.htm?method=simpleSearch&amp;cqlMode=true&amp;query=idn%3D1132635675</v>
      </c>
      <c r="E4873" s="74" t="s">
        <v>7287</v>
      </c>
      <c r="F4873" s="74"/>
      <c r="G4873" s="76"/>
      <c r="H4873" s="77"/>
      <c r="I4873" s="76"/>
      <c r="J4873" s="77"/>
      <c r="K4873" s="77"/>
      <c r="L4873" s="76"/>
      <c r="M4873" s="76"/>
      <c r="N4873" s="76"/>
      <c r="O4873" s="76"/>
      <c r="P4873" s="76"/>
      <c r="Q4873" s="76"/>
      <c r="R4873" s="76"/>
      <c r="S4873" s="76"/>
      <c r="BD4873" s="99">
        <f t="shared" si="159"/>
        <v>0</v>
      </c>
      <c r="CC4873" s="99"/>
      <c r="CV4873" s="99"/>
      <c r="CW4873" s="63"/>
    </row>
    <row r="4874" spans="1:101" x14ac:dyDescent="0.15">
      <c r="A4874" s="76">
        <v>4611</v>
      </c>
      <c r="B4874" s="74" t="s">
        <v>7289</v>
      </c>
      <c r="C4874" s="74">
        <v>1132635659</v>
      </c>
      <c r="D4874" s="78" t="str">
        <f t="shared" si="158"/>
        <v>https://portal.dnb.de/opac.htm?method=simpleSearch&amp;cqlMode=true&amp;query=idn%3D1132635659</v>
      </c>
      <c r="E4874" s="74" t="s">
        <v>7287</v>
      </c>
      <c r="F4874" s="74"/>
      <c r="G4874" s="76"/>
      <c r="H4874" s="77"/>
      <c r="I4874" s="76"/>
      <c r="J4874" s="77"/>
      <c r="K4874" s="77"/>
      <c r="L4874" s="76"/>
      <c r="M4874" s="76"/>
      <c r="N4874" s="76"/>
      <c r="O4874" s="76"/>
      <c r="P4874" s="76"/>
      <c r="Q4874" s="76"/>
      <c r="R4874" s="76"/>
      <c r="S4874" s="76"/>
      <c r="BD4874" s="99">
        <f t="shared" si="159"/>
        <v>0</v>
      </c>
      <c r="CC4874" s="99"/>
      <c r="CV4874" s="99"/>
      <c r="CW4874" s="63"/>
    </row>
    <row r="4875" spans="1:101" x14ac:dyDescent="0.15">
      <c r="A4875" s="76">
        <v>4612</v>
      </c>
      <c r="B4875" s="74" t="s">
        <v>7290</v>
      </c>
      <c r="C4875" s="74">
        <v>1132635683</v>
      </c>
      <c r="D4875" s="78" t="str">
        <f t="shared" si="158"/>
        <v>https://portal.dnb.de/opac.htm?method=simpleSearch&amp;cqlMode=true&amp;query=idn%3D1132635683</v>
      </c>
      <c r="E4875" s="74" t="s">
        <v>7287</v>
      </c>
      <c r="F4875" s="74"/>
      <c r="G4875" s="76"/>
      <c r="H4875" s="77"/>
      <c r="I4875" s="76"/>
      <c r="J4875" s="77"/>
      <c r="K4875" s="77"/>
      <c r="L4875" s="76"/>
      <c r="M4875" s="76"/>
      <c r="N4875" s="76"/>
      <c r="O4875" s="76"/>
      <c r="P4875" s="76"/>
      <c r="Q4875" s="76"/>
      <c r="R4875" s="76"/>
      <c r="S4875" s="76"/>
      <c r="BD4875" s="99">
        <f t="shared" si="159"/>
        <v>0</v>
      </c>
      <c r="CC4875" s="99"/>
      <c r="CV4875" s="99"/>
      <c r="CW4875" s="63"/>
    </row>
    <row r="4876" spans="1:101" x14ac:dyDescent="0.15">
      <c r="A4876" s="76">
        <v>4613</v>
      </c>
      <c r="B4876" s="74" t="s">
        <v>7293</v>
      </c>
      <c r="C4876" s="74">
        <v>1132653843</v>
      </c>
      <c r="D4876" s="78" t="str">
        <f t="shared" si="158"/>
        <v>https://portal.dnb.de/opac.htm?method=simpleSearch&amp;cqlMode=true&amp;query=idn%3D1132653843</v>
      </c>
      <c r="E4876" s="74" t="s">
        <v>7294</v>
      </c>
      <c r="F4876" s="74"/>
      <c r="G4876" s="76"/>
      <c r="H4876" s="77"/>
      <c r="I4876" s="76"/>
      <c r="J4876" s="77"/>
      <c r="K4876" s="77"/>
      <c r="L4876" s="76"/>
      <c r="M4876" s="76"/>
      <c r="N4876" s="76"/>
      <c r="O4876" s="76"/>
      <c r="P4876" s="76"/>
      <c r="Q4876" s="76"/>
      <c r="R4876" s="76"/>
      <c r="S4876" s="76"/>
      <c r="BD4876" s="99">
        <f t="shared" si="159"/>
        <v>0</v>
      </c>
      <c r="CC4876" s="99"/>
      <c r="CV4876" s="99"/>
      <c r="CW4876" s="63"/>
    </row>
    <row r="4877" spans="1:101" x14ac:dyDescent="0.15">
      <c r="A4877" s="76">
        <v>4614</v>
      </c>
      <c r="B4877" s="74" t="s">
        <v>7295</v>
      </c>
      <c r="C4877" s="74">
        <v>1132653835</v>
      </c>
      <c r="D4877" s="78" t="str">
        <f t="shared" si="158"/>
        <v>https://portal.dnb.de/opac.htm?method=simpleSearch&amp;cqlMode=true&amp;query=idn%3D1132653835</v>
      </c>
      <c r="E4877" s="74" t="s">
        <v>7294</v>
      </c>
      <c r="F4877" s="74"/>
      <c r="G4877" s="76"/>
      <c r="H4877" s="77"/>
      <c r="I4877" s="76"/>
      <c r="J4877" s="77"/>
      <c r="K4877" s="77"/>
      <c r="L4877" s="76"/>
      <c r="M4877" s="76"/>
      <c r="N4877" s="76"/>
      <c r="O4877" s="76"/>
      <c r="P4877" s="76"/>
      <c r="Q4877" s="76"/>
      <c r="R4877" s="76"/>
      <c r="S4877" s="76"/>
      <c r="BD4877" s="99">
        <f t="shared" si="159"/>
        <v>0</v>
      </c>
      <c r="CC4877" s="99"/>
      <c r="CV4877" s="99"/>
      <c r="CW4877" s="63"/>
    </row>
    <row r="4878" spans="1:101" x14ac:dyDescent="0.15">
      <c r="A4878" s="76">
        <v>4615</v>
      </c>
      <c r="B4878" s="74" t="s">
        <v>7296</v>
      </c>
      <c r="C4878" s="74">
        <v>1132653819</v>
      </c>
      <c r="D4878" s="78" t="str">
        <f t="shared" si="158"/>
        <v>https://portal.dnb.de/opac.htm?method=simpleSearch&amp;cqlMode=true&amp;query=idn%3D1132653819</v>
      </c>
      <c r="E4878" s="74" t="s">
        <v>7294</v>
      </c>
      <c r="F4878" s="74"/>
      <c r="G4878" s="76"/>
      <c r="H4878" s="77"/>
      <c r="I4878" s="76"/>
      <c r="J4878" s="77"/>
      <c r="K4878" s="77"/>
      <c r="L4878" s="76"/>
      <c r="M4878" s="76"/>
      <c r="N4878" s="76"/>
      <c r="O4878" s="76"/>
      <c r="P4878" s="76"/>
      <c r="Q4878" s="76"/>
      <c r="R4878" s="76"/>
      <c r="S4878" s="76"/>
      <c r="BD4878" s="99">
        <f t="shared" si="159"/>
        <v>0</v>
      </c>
      <c r="CC4878" s="99"/>
      <c r="CV4878" s="99"/>
      <c r="CW4878" s="63"/>
    </row>
    <row r="4879" spans="1:101" x14ac:dyDescent="0.15">
      <c r="A4879" s="76">
        <v>4616</v>
      </c>
      <c r="B4879" s="74" t="s">
        <v>7297</v>
      </c>
      <c r="C4879" s="74">
        <v>1132653800</v>
      </c>
      <c r="D4879" s="78" t="str">
        <f t="shared" si="158"/>
        <v>https://portal.dnb.de/opac.htm?method=simpleSearch&amp;cqlMode=true&amp;query=idn%3D1132653800</v>
      </c>
      <c r="E4879" s="74" t="s">
        <v>7294</v>
      </c>
      <c r="F4879" s="74"/>
      <c r="G4879" s="76"/>
      <c r="H4879" s="77"/>
      <c r="I4879" s="76"/>
      <c r="J4879" s="77"/>
      <c r="K4879" s="77"/>
      <c r="L4879" s="76"/>
      <c r="M4879" s="76"/>
      <c r="N4879" s="76"/>
      <c r="O4879" s="76"/>
      <c r="P4879" s="76"/>
      <c r="Q4879" s="76"/>
      <c r="R4879" s="76"/>
      <c r="S4879" s="76"/>
      <c r="BD4879" s="99">
        <f t="shared" si="159"/>
        <v>0</v>
      </c>
      <c r="CC4879" s="99"/>
      <c r="CV4879" s="99"/>
      <c r="CW4879" s="63"/>
    </row>
    <row r="4880" spans="1:101" x14ac:dyDescent="0.15">
      <c r="A4880" s="76">
        <v>4617</v>
      </c>
      <c r="B4880" s="74" t="s">
        <v>7298</v>
      </c>
      <c r="C4880" s="74">
        <v>1132653827</v>
      </c>
      <c r="D4880" s="78" t="str">
        <f t="shared" si="158"/>
        <v>https://portal.dnb.de/opac.htm?method=simpleSearch&amp;cqlMode=true&amp;query=idn%3D1132653827</v>
      </c>
      <c r="E4880" s="74" t="s">
        <v>7294</v>
      </c>
      <c r="F4880" s="74"/>
      <c r="G4880" s="76"/>
      <c r="H4880" s="77"/>
      <c r="I4880" s="76"/>
      <c r="J4880" s="77"/>
      <c r="K4880" s="77"/>
      <c r="L4880" s="76"/>
      <c r="M4880" s="76"/>
      <c r="N4880" s="76"/>
      <c r="O4880" s="76"/>
      <c r="P4880" s="76"/>
      <c r="Q4880" s="76"/>
      <c r="R4880" s="76"/>
      <c r="S4880" s="76"/>
      <c r="BD4880" s="99">
        <f t="shared" si="159"/>
        <v>0</v>
      </c>
      <c r="CC4880" s="99"/>
      <c r="CV4880" s="99"/>
      <c r="CW4880" s="63"/>
    </row>
    <row r="4881" spans="1:101" x14ac:dyDescent="0.15">
      <c r="A4881" s="76">
        <v>4618</v>
      </c>
      <c r="B4881" s="74" t="s">
        <v>7299</v>
      </c>
      <c r="C4881" s="74">
        <v>1132637023</v>
      </c>
      <c r="D4881" s="78" t="str">
        <f t="shared" si="158"/>
        <v>https://portal.dnb.de/opac.htm?method=simpleSearch&amp;cqlMode=true&amp;query=idn%3D1132637023</v>
      </c>
      <c r="E4881" s="74" t="s">
        <v>10377</v>
      </c>
      <c r="F4881" s="74"/>
      <c r="G4881" s="76"/>
      <c r="H4881" s="77"/>
      <c r="I4881" s="76" t="s">
        <v>54</v>
      </c>
      <c r="J4881" s="77"/>
      <c r="K4881" s="77"/>
      <c r="L4881" s="76"/>
      <c r="M4881" s="76"/>
      <c r="N4881" s="76"/>
      <c r="O4881" s="76"/>
      <c r="P4881" s="76"/>
      <c r="Q4881" s="76"/>
      <c r="R4881" s="76"/>
      <c r="S4881" s="76"/>
      <c r="Y4881" s="95" t="s">
        <v>9729</v>
      </c>
      <c r="AB4881" s="95" t="s">
        <v>8541</v>
      </c>
      <c r="AC4881" s="95" t="s">
        <v>9739</v>
      </c>
      <c r="AI4881" s="95" t="s">
        <v>9725</v>
      </c>
      <c r="AW4881" s="95">
        <v>110</v>
      </c>
      <c r="BC4881" s="96" t="s">
        <v>9726</v>
      </c>
      <c r="BD4881" s="99">
        <f t="shared" si="159"/>
        <v>0.5</v>
      </c>
      <c r="BG4881" s="95" t="s">
        <v>8541</v>
      </c>
      <c r="BP4881" s="69" t="s">
        <v>8541</v>
      </c>
      <c r="BQ4881" s="95" t="s">
        <v>8541</v>
      </c>
      <c r="BR4881" s="95" t="s">
        <v>8541</v>
      </c>
      <c r="CC4881" s="99">
        <v>0.5</v>
      </c>
      <c r="CV4881" s="99"/>
      <c r="CW4881" s="63"/>
    </row>
    <row r="4882" spans="1:101" ht="33.75" x14ac:dyDescent="0.15">
      <c r="A4882" s="76">
        <v>4619</v>
      </c>
      <c r="B4882" s="74" t="s">
        <v>7300</v>
      </c>
      <c r="C4882" s="74">
        <v>1132637031</v>
      </c>
      <c r="D4882" s="78" t="str">
        <f t="shared" si="158"/>
        <v>https://portal.dnb.de/opac.htm?method=simpleSearch&amp;cqlMode=true&amp;query=idn%3D1132637031</v>
      </c>
      <c r="E4882" s="74" t="s">
        <v>10378</v>
      </c>
      <c r="F4882" s="74"/>
      <c r="G4882" s="76"/>
      <c r="H4882" s="77"/>
      <c r="I4882" s="76" t="s">
        <v>54</v>
      </c>
      <c r="J4882" s="77"/>
      <c r="K4882" s="77"/>
      <c r="L4882" s="76"/>
      <c r="M4882" s="76"/>
      <c r="N4882" s="76"/>
      <c r="O4882" s="76"/>
      <c r="P4882" s="76"/>
      <c r="Q4882" s="76"/>
      <c r="R4882" s="76"/>
      <c r="S4882" s="76"/>
      <c r="Y4882" s="95" t="s">
        <v>9729</v>
      </c>
      <c r="AB4882" s="95" t="s">
        <v>8541</v>
      </c>
      <c r="AC4882" s="95" t="s">
        <v>9724</v>
      </c>
      <c r="AI4882" s="95" t="s">
        <v>9725</v>
      </c>
      <c r="AW4882" s="95">
        <v>0</v>
      </c>
      <c r="BC4882" s="96" t="s">
        <v>10503</v>
      </c>
      <c r="BD4882" s="99">
        <f t="shared" si="159"/>
        <v>2.5</v>
      </c>
      <c r="BG4882" s="95" t="s">
        <v>8541</v>
      </c>
      <c r="BP4882" s="69" t="s">
        <v>8541</v>
      </c>
      <c r="BQ4882" s="95" t="s">
        <v>8541</v>
      </c>
      <c r="BR4882" s="95" t="s">
        <v>8541</v>
      </c>
      <c r="CC4882" s="99">
        <v>2.5</v>
      </c>
      <c r="CD4882" s="90" t="s">
        <v>10379</v>
      </c>
      <c r="CV4882" s="99"/>
      <c r="CW4882" s="63"/>
    </row>
    <row r="4883" spans="1:101" x14ac:dyDescent="0.15">
      <c r="A4883" s="76">
        <v>4620</v>
      </c>
      <c r="B4883" s="74" t="s">
        <v>7301</v>
      </c>
      <c r="C4883" s="74">
        <v>996362509</v>
      </c>
      <c r="D4883" s="78" t="str">
        <f t="shared" si="158"/>
        <v>https://portal.dnb.de/opac.htm?method=simpleSearch&amp;cqlMode=true&amp;query=idn%3D996362509</v>
      </c>
      <c r="E4883" s="74" t="s">
        <v>7302</v>
      </c>
      <c r="F4883" s="74"/>
      <c r="G4883" s="76"/>
      <c r="H4883" s="77"/>
      <c r="I4883" s="76"/>
      <c r="J4883" s="77"/>
      <c r="K4883" s="77"/>
      <c r="L4883" s="76"/>
      <c r="M4883" s="76"/>
      <c r="N4883" s="76"/>
      <c r="O4883" s="76"/>
      <c r="P4883" s="76"/>
      <c r="Q4883" s="76"/>
      <c r="R4883" s="76"/>
      <c r="S4883" s="76"/>
      <c r="BD4883" s="99">
        <f t="shared" si="159"/>
        <v>0</v>
      </c>
      <c r="CC4883" s="99"/>
      <c r="CV4883" s="99"/>
      <c r="CW4883" s="63"/>
    </row>
    <row r="4884" spans="1:101" x14ac:dyDescent="0.15">
      <c r="A4884" s="76">
        <v>4621</v>
      </c>
      <c r="B4884" s="74" t="s">
        <v>7303</v>
      </c>
      <c r="C4884" s="74">
        <v>996362223</v>
      </c>
      <c r="D4884" s="78" t="str">
        <f t="shared" si="158"/>
        <v>https://portal.dnb.de/opac.htm?method=simpleSearch&amp;cqlMode=true&amp;query=idn%3D996362223</v>
      </c>
      <c r="E4884" s="74" t="s">
        <v>7302</v>
      </c>
      <c r="F4884" s="74"/>
      <c r="G4884" s="76"/>
      <c r="H4884" s="77"/>
      <c r="I4884" s="76"/>
      <c r="J4884" s="77"/>
      <c r="K4884" s="77"/>
      <c r="L4884" s="76"/>
      <c r="M4884" s="76"/>
      <c r="N4884" s="76"/>
      <c r="O4884" s="76"/>
      <c r="P4884" s="76"/>
      <c r="Q4884" s="76"/>
      <c r="R4884" s="76"/>
      <c r="S4884" s="76"/>
      <c r="BD4884" s="99">
        <f t="shared" si="159"/>
        <v>0</v>
      </c>
      <c r="CC4884" s="99"/>
      <c r="CV4884" s="99"/>
      <c r="CW4884" s="63"/>
    </row>
    <row r="4885" spans="1:101" x14ac:dyDescent="0.15">
      <c r="A4885" s="76">
        <v>4622</v>
      </c>
      <c r="B4885" s="74" t="s">
        <v>7304</v>
      </c>
      <c r="C4885" s="74">
        <v>1003362648</v>
      </c>
      <c r="D4885" s="78" t="str">
        <f t="shared" si="158"/>
        <v>https://portal.dnb.de/opac.htm?method=simpleSearch&amp;cqlMode=true&amp;query=idn%3D1003362648</v>
      </c>
      <c r="E4885" s="74" t="s">
        <v>7305</v>
      </c>
      <c r="F4885" s="74"/>
      <c r="G4885" s="76"/>
      <c r="H4885" s="77"/>
      <c r="I4885" s="76"/>
      <c r="J4885" s="77"/>
      <c r="K4885" s="77"/>
      <c r="L4885" s="76"/>
      <c r="M4885" s="76"/>
      <c r="N4885" s="76"/>
      <c r="O4885" s="76"/>
      <c r="P4885" s="76"/>
      <c r="Q4885" s="76"/>
      <c r="R4885" s="76"/>
      <c r="S4885" s="76"/>
      <c r="BD4885" s="99">
        <f t="shared" si="159"/>
        <v>0</v>
      </c>
      <c r="CC4885" s="99"/>
      <c r="CV4885" s="99"/>
      <c r="CW4885" s="63"/>
    </row>
    <row r="4886" spans="1:101" x14ac:dyDescent="0.15">
      <c r="A4886" s="76">
        <v>4623</v>
      </c>
      <c r="B4886" s="74" t="s">
        <v>7306</v>
      </c>
      <c r="C4886" s="74">
        <v>1003362575</v>
      </c>
      <c r="D4886" s="78" t="str">
        <f t="shared" si="158"/>
        <v>https://portal.dnb.de/opac.htm?method=simpleSearch&amp;cqlMode=true&amp;query=idn%3D1003362575</v>
      </c>
      <c r="E4886" s="74" t="s">
        <v>7305</v>
      </c>
      <c r="F4886" s="74"/>
      <c r="G4886" s="76"/>
      <c r="H4886" s="77"/>
      <c r="I4886" s="76"/>
      <c r="J4886" s="77"/>
      <c r="K4886" s="77"/>
      <c r="L4886" s="76"/>
      <c r="M4886" s="76"/>
      <c r="N4886" s="76"/>
      <c r="O4886" s="76"/>
      <c r="P4886" s="76"/>
      <c r="Q4886" s="76"/>
      <c r="R4886" s="76"/>
      <c r="S4886" s="76"/>
      <c r="BD4886" s="99">
        <f t="shared" si="159"/>
        <v>0</v>
      </c>
      <c r="CC4886" s="99"/>
      <c r="CV4886" s="99"/>
      <c r="CW4886" s="63"/>
    </row>
    <row r="4887" spans="1:101" x14ac:dyDescent="0.15">
      <c r="A4887" s="76">
        <v>4624</v>
      </c>
      <c r="B4887" s="74" t="s">
        <v>7307</v>
      </c>
      <c r="C4887" s="74">
        <v>1003362664</v>
      </c>
      <c r="D4887" s="78" t="str">
        <f t="shared" si="158"/>
        <v>https://portal.dnb.de/opac.htm?method=simpleSearch&amp;cqlMode=true&amp;query=idn%3D1003362664</v>
      </c>
      <c r="E4887" s="74" t="s">
        <v>7305</v>
      </c>
      <c r="F4887" s="74"/>
      <c r="G4887" s="76"/>
      <c r="H4887" s="77"/>
      <c r="I4887" s="76"/>
      <c r="J4887" s="77"/>
      <c r="K4887" s="77"/>
      <c r="L4887" s="76"/>
      <c r="M4887" s="76"/>
      <c r="N4887" s="76"/>
      <c r="O4887" s="76"/>
      <c r="P4887" s="76"/>
      <c r="Q4887" s="76"/>
      <c r="R4887" s="76"/>
      <c r="S4887" s="76"/>
      <c r="BD4887" s="99">
        <f t="shared" si="159"/>
        <v>0</v>
      </c>
      <c r="CC4887" s="99"/>
      <c r="CV4887" s="99"/>
      <c r="CW4887" s="63"/>
    </row>
    <row r="4888" spans="1:101" x14ac:dyDescent="0.15">
      <c r="A4888" s="76">
        <v>4625</v>
      </c>
      <c r="B4888" s="74" t="s">
        <v>7308</v>
      </c>
      <c r="C4888" s="74">
        <v>999265288</v>
      </c>
      <c r="D4888" s="78" t="str">
        <f t="shared" si="158"/>
        <v>https://portal.dnb.de/opac.htm?method=simpleSearch&amp;cqlMode=true&amp;query=idn%3D999265288</v>
      </c>
      <c r="E4888" s="74" t="s">
        <v>7309</v>
      </c>
      <c r="F4888" s="74"/>
      <c r="G4888" s="76"/>
      <c r="H4888" s="77"/>
      <c r="I4888" s="76"/>
      <c r="J4888" s="77"/>
      <c r="K4888" s="77"/>
      <c r="L4888" s="76"/>
      <c r="M4888" s="76"/>
      <c r="N4888" s="76"/>
      <c r="O4888" s="76"/>
      <c r="P4888" s="76"/>
      <c r="Q4888" s="76"/>
      <c r="R4888" s="76"/>
      <c r="S4888" s="76"/>
      <c r="BD4888" s="99">
        <f t="shared" si="159"/>
        <v>0</v>
      </c>
      <c r="CC4888" s="99"/>
      <c r="CV4888" s="99"/>
      <c r="CW4888" s="63"/>
    </row>
    <row r="4889" spans="1:101" x14ac:dyDescent="0.15">
      <c r="A4889" s="76">
        <v>4626</v>
      </c>
      <c r="B4889" s="74" t="s">
        <v>7310</v>
      </c>
      <c r="C4889" s="74">
        <v>1002397715</v>
      </c>
      <c r="D4889" s="78" t="str">
        <f t="shared" si="158"/>
        <v>https://portal.dnb.de/opac.htm?method=simpleSearch&amp;cqlMode=true&amp;query=idn%3D1002397715</v>
      </c>
      <c r="E4889" s="74" t="s">
        <v>7311</v>
      </c>
      <c r="F4889" s="74"/>
      <c r="G4889" s="76"/>
      <c r="H4889" s="77"/>
      <c r="I4889" s="76"/>
      <c r="J4889" s="77"/>
      <c r="K4889" s="77"/>
      <c r="L4889" s="76"/>
      <c r="M4889" s="76"/>
      <c r="N4889" s="76"/>
      <c r="O4889" s="76"/>
      <c r="P4889" s="76"/>
      <c r="Q4889" s="76"/>
      <c r="R4889" s="76"/>
      <c r="S4889" s="76"/>
      <c r="BD4889" s="99">
        <f t="shared" si="159"/>
        <v>0</v>
      </c>
      <c r="CC4889" s="99"/>
      <c r="CV4889" s="99"/>
      <c r="CW4889" s="63"/>
    </row>
    <row r="4890" spans="1:101" x14ac:dyDescent="0.15">
      <c r="A4890" s="76">
        <v>4627</v>
      </c>
      <c r="B4890" s="74" t="s">
        <v>7274</v>
      </c>
      <c r="C4890" s="74">
        <v>1002693756</v>
      </c>
      <c r="D4890" s="78" t="str">
        <f t="shared" si="158"/>
        <v>https://portal.dnb.de/opac.htm?method=simpleSearch&amp;cqlMode=true&amp;query=idn%3D1002693756</v>
      </c>
      <c r="E4890" s="74" t="s">
        <v>7275</v>
      </c>
      <c r="F4890" s="74"/>
      <c r="G4890" s="76"/>
      <c r="H4890" s="77"/>
      <c r="I4890" s="76"/>
      <c r="J4890" s="77"/>
      <c r="K4890" s="77"/>
      <c r="L4890" s="76"/>
      <c r="M4890" s="76"/>
      <c r="N4890" s="76"/>
      <c r="O4890" s="76"/>
      <c r="P4890" s="76"/>
      <c r="Q4890" s="76"/>
      <c r="R4890" s="76"/>
      <c r="S4890" s="76"/>
      <c r="BD4890" s="99">
        <f t="shared" si="159"/>
        <v>0</v>
      </c>
      <c r="CC4890" s="99"/>
      <c r="CV4890" s="99"/>
      <c r="CW4890" s="63"/>
    </row>
    <row r="4891" spans="1:101" x14ac:dyDescent="0.15">
      <c r="A4891" s="76">
        <v>4628</v>
      </c>
      <c r="B4891" s="74" t="s">
        <v>7276</v>
      </c>
      <c r="C4891" s="74">
        <v>1002691974</v>
      </c>
      <c r="D4891" s="78" t="str">
        <f t="shared" si="158"/>
        <v>https://portal.dnb.de/opac.htm?method=simpleSearch&amp;cqlMode=true&amp;query=idn%3D1002691974</v>
      </c>
      <c r="E4891" s="74" t="s">
        <v>7277</v>
      </c>
      <c r="F4891" s="74"/>
      <c r="G4891" s="76"/>
      <c r="H4891" s="77"/>
      <c r="I4891" s="76"/>
      <c r="J4891" s="77"/>
      <c r="K4891" s="77"/>
      <c r="L4891" s="76"/>
      <c r="M4891" s="76"/>
      <c r="N4891" s="76"/>
      <c r="O4891" s="76"/>
      <c r="P4891" s="76"/>
      <c r="Q4891" s="76"/>
      <c r="R4891" s="76"/>
      <c r="S4891" s="76"/>
      <c r="BD4891" s="99">
        <f t="shared" si="159"/>
        <v>0</v>
      </c>
      <c r="CC4891" s="99"/>
      <c r="CV4891" s="99"/>
      <c r="CW4891" s="63"/>
    </row>
    <row r="4892" spans="1:101" x14ac:dyDescent="0.15">
      <c r="A4892" s="76">
        <v>4629</v>
      </c>
      <c r="B4892" s="74" t="s">
        <v>7278</v>
      </c>
      <c r="C4892" s="74">
        <v>1002577810</v>
      </c>
      <c r="D4892" s="78" t="str">
        <f t="shared" si="158"/>
        <v>https://portal.dnb.de/opac.htm?method=simpleSearch&amp;cqlMode=true&amp;query=idn%3D1002577810</v>
      </c>
      <c r="E4892" s="74" t="s">
        <v>7279</v>
      </c>
      <c r="F4892" s="74"/>
      <c r="G4892" s="76"/>
      <c r="H4892" s="77"/>
      <c r="I4892" s="76"/>
      <c r="J4892" s="77"/>
      <c r="K4892" s="77"/>
      <c r="L4892" s="76"/>
      <c r="M4892" s="76"/>
      <c r="N4892" s="76"/>
      <c r="O4892" s="76"/>
      <c r="P4892" s="76"/>
      <c r="Q4892" s="76"/>
      <c r="R4892" s="76"/>
      <c r="S4892" s="76"/>
      <c r="BD4892" s="99">
        <f t="shared" si="159"/>
        <v>0</v>
      </c>
      <c r="CC4892" s="99"/>
      <c r="CV4892" s="99"/>
      <c r="CW4892" s="63"/>
    </row>
    <row r="4893" spans="1:101" x14ac:dyDescent="0.15">
      <c r="A4893" s="76">
        <v>4630</v>
      </c>
      <c r="B4893" s="74" t="s">
        <v>7282</v>
      </c>
      <c r="C4893" s="74">
        <v>1066840938</v>
      </c>
      <c r="D4893" s="78" t="str">
        <f t="shared" si="158"/>
        <v>https://portal.dnb.de/opac.htm?method=simpleSearch&amp;cqlMode=true&amp;query=idn%3D1066840938</v>
      </c>
      <c r="E4893" s="74" t="s">
        <v>7283</v>
      </c>
      <c r="F4893" s="74"/>
      <c r="G4893" s="76"/>
      <c r="H4893" s="77"/>
      <c r="I4893" s="76"/>
      <c r="J4893" s="77"/>
      <c r="K4893" s="77"/>
      <c r="L4893" s="76"/>
      <c r="M4893" s="76"/>
      <c r="N4893" s="76"/>
      <c r="O4893" s="76"/>
      <c r="P4893" s="76"/>
      <c r="Q4893" s="76"/>
      <c r="R4893" s="76"/>
      <c r="S4893" s="76"/>
      <c r="BD4893" s="99">
        <f t="shared" si="159"/>
        <v>0</v>
      </c>
      <c r="CC4893" s="99"/>
      <c r="CV4893" s="99"/>
      <c r="CW4893" s="63"/>
    </row>
    <row r="4894" spans="1:101" x14ac:dyDescent="0.15">
      <c r="A4894" s="76">
        <v>4631</v>
      </c>
      <c r="B4894" s="74" t="s">
        <v>7284</v>
      </c>
      <c r="C4894" s="74">
        <v>1210215705</v>
      </c>
      <c r="D4894" s="78" t="str">
        <f t="shared" si="158"/>
        <v>https://portal.dnb.de/opac.htm?method=simpleSearch&amp;cqlMode=true&amp;query=idn%3D1210215705</v>
      </c>
      <c r="E4894" s="74" t="s">
        <v>7285</v>
      </c>
      <c r="F4894" s="74"/>
      <c r="G4894" s="76"/>
      <c r="H4894" s="77"/>
      <c r="I4894" s="76"/>
      <c r="J4894" s="77"/>
      <c r="K4894" s="77"/>
      <c r="L4894" s="76"/>
      <c r="M4894" s="76"/>
      <c r="N4894" s="76"/>
      <c r="O4894" s="76"/>
      <c r="P4894" s="76"/>
      <c r="Q4894" s="76"/>
      <c r="R4894" s="76"/>
      <c r="S4894" s="76"/>
      <c r="BD4894" s="99">
        <f t="shared" si="159"/>
        <v>0</v>
      </c>
      <c r="CC4894" s="99"/>
      <c r="CV4894" s="99"/>
      <c r="CW4894" s="63"/>
    </row>
    <row r="4895" spans="1:101" x14ac:dyDescent="0.15">
      <c r="A4895" s="76">
        <v>4632</v>
      </c>
      <c r="B4895" s="74" t="s">
        <v>7291</v>
      </c>
      <c r="C4895" s="74">
        <v>996914048</v>
      </c>
      <c r="D4895" s="78" t="str">
        <f t="shared" si="158"/>
        <v>https://portal.dnb.de/opac.htm?method=simpleSearch&amp;cqlMode=true&amp;query=idn%3D996914048</v>
      </c>
      <c r="E4895" s="74" t="s">
        <v>7292</v>
      </c>
      <c r="F4895" s="74"/>
      <c r="G4895" s="76"/>
      <c r="H4895" s="77"/>
      <c r="I4895" s="76"/>
      <c r="J4895" s="77"/>
      <c r="K4895" s="77"/>
      <c r="L4895" s="76"/>
      <c r="M4895" s="76"/>
      <c r="N4895" s="76"/>
      <c r="O4895" s="76"/>
      <c r="P4895" s="76"/>
      <c r="Q4895" s="76"/>
      <c r="R4895" s="76"/>
      <c r="S4895" s="76"/>
      <c r="BD4895" s="99">
        <f t="shared" si="159"/>
        <v>0</v>
      </c>
      <c r="CC4895" s="99"/>
      <c r="CV4895" s="99"/>
      <c r="CW4895" s="63"/>
    </row>
    <row r="4896" spans="1:101" x14ac:dyDescent="0.15">
      <c r="A4896" s="76">
        <v>4633</v>
      </c>
      <c r="B4896" s="74" t="s">
        <v>7312</v>
      </c>
      <c r="C4896" s="74">
        <v>996359346</v>
      </c>
      <c r="D4896" s="78" t="str">
        <f t="shared" si="158"/>
        <v>https://portal.dnb.de/opac.htm?method=simpleSearch&amp;cqlMode=true&amp;query=idn%3D996359346</v>
      </c>
      <c r="E4896" s="74" t="s">
        <v>7313</v>
      </c>
      <c r="F4896" s="74"/>
      <c r="G4896" s="76"/>
      <c r="H4896" s="77"/>
      <c r="I4896" s="76"/>
      <c r="J4896" s="77"/>
      <c r="K4896" s="77"/>
      <c r="L4896" s="76"/>
      <c r="M4896" s="76"/>
      <c r="N4896" s="76"/>
      <c r="O4896" s="76"/>
      <c r="P4896" s="76"/>
      <c r="Q4896" s="76"/>
      <c r="R4896" s="76"/>
      <c r="S4896" s="76"/>
      <c r="BD4896" s="99">
        <f t="shared" si="159"/>
        <v>0</v>
      </c>
      <c r="CC4896" s="99"/>
      <c r="CV4896" s="99"/>
      <c r="CW4896" s="63"/>
    </row>
    <row r="4897" spans="1:101" x14ac:dyDescent="0.15">
      <c r="A4897" s="76">
        <v>4634</v>
      </c>
      <c r="B4897" s="74" t="s">
        <v>7314</v>
      </c>
      <c r="C4897" s="74">
        <v>1002435323</v>
      </c>
      <c r="D4897" s="78" t="str">
        <f t="shared" si="158"/>
        <v>https://portal.dnb.de/opac.htm?method=simpleSearch&amp;cqlMode=true&amp;query=idn%3D1002435323</v>
      </c>
      <c r="E4897" s="74" t="s">
        <v>7315</v>
      </c>
      <c r="F4897" s="74"/>
      <c r="G4897" s="76"/>
      <c r="H4897" s="77"/>
      <c r="I4897" s="76"/>
      <c r="J4897" s="77"/>
      <c r="K4897" s="77"/>
      <c r="L4897" s="76"/>
      <c r="M4897" s="76"/>
      <c r="N4897" s="76"/>
      <c r="O4897" s="76"/>
      <c r="P4897" s="76"/>
      <c r="Q4897" s="76"/>
      <c r="R4897" s="76"/>
      <c r="S4897" s="76"/>
      <c r="BD4897" s="99">
        <f t="shared" si="159"/>
        <v>0</v>
      </c>
      <c r="CC4897" s="99"/>
      <c r="CV4897" s="99"/>
      <c r="CW4897" s="63"/>
    </row>
    <row r="4898" spans="1:101" x14ac:dyDescent="0.15">
      <c r="A4898" s="76">
        <v>4635</v>
      </c>
      <c r="B4898" s="74" t="s">
        <v>7316</v>
      </c>
      <c r="C4898" s="74">
        <v>1002043816</v>
      </c>
      <c r="D4898" s="78" t="str">
        <f t="shared" ref="D4898:D4961" si="160">HYPERLINK(CONCATENATE("https://portal.dnb.de/opac.htm?method=simpleSearch&amp;cqlMode=true&amp;query=idn%3D",C4898))</f>
        <v>https://portal.dnb.de/opac.htm?method=simpleSearch&amp;cqlMode=true&amp;query=idn%3D1002043816</v>
      </c>
      <c r="E4898" s="74" t="s">
        <v>7317</v>
      </c>
      <c r="F4898" s="74"/>
      <c r="G4898" s="76"/>
      <c r="H4898" s="77"/>
      <c r="I4898" s="76"/>
      <c r="J4898" s="77"/>
      <c r="K4898" s="77"/>
      <c r="L4898" s="76"/>
      <c r="M4898" s="76"/>
      <c r="N4898" s="76"/>
      <c r="O4898" s="76"/>
      <c r="P4898" s="76"/>
      <c r="Q4898" s="76"/>
      <c r="R4898" s="76"/>
      <c r="S4898" s="76"/>
      <c r="BD4898" s="99">
        <f t="shared" si="159"/>
        <v>0</v>
      </c>
      <c r="CC4898" s="99"/>
      <c r="CV4898" s="99"/>
      <c r="CW4898" s="63"/>
    </row>
    <row r="4899" spans="1:101" x14ac:dyDescent="0.15">
      <c r="A4899" s="76">
        <v>4636</v>
      </c>
      <c r="B4899" s="74" t="s">
        <v>7318</v>
      </c>
      <c r="C4899" s="74">
        <v>1066874344</v>
      </c>
      <c r="D4899" s="78" t="str">
        <f t="shared" si="160"/>
        <v>https://portal.dnb.de/opac.htm?method=simpleSearch&amp;cqlMode=true&amp;query=idn%3D1066874344</v>
      </c>
      <c r="E4899" s="74" t="s">
        <v>7319</v>
      </c>
      <c r="F4899" s="74"/>
      <c r="G4899" s="76"/>
      <c r="H4899" s="77"/>
      <c r="I4899" s="76"/>
      <c r="J4899" s="77"/>
      <c r="K4899" s="77"/>
      <c r="L4899" s="76"/>
      <c r="M4899" s="76"/>
      <c r="N4899" s="76"/>
      <c r="O4899" s="76"/>
      <c r="P4899" s="76"/>
      <c r="Q4899" s="76"/>
      <c r="R4899" s="76"/>
      <c r="S4899" s="76"/>
      <c r="BD4899" s="99">
        <f t="shared" si="159"/>
        <v>0</v>
      </c>
      <c r="CC4899" s="99"/>
      <c r="CV4899" s="99"/>
      <c r="CW4899" s="63"/>
    </row>
    <row r="4900" spans="1:101" x14ac:dyDescent="0.15">
      <c r="A4900" s="76">
        <v>4637</v>
      </c>
      <c r="B4900" s="74" t="s">
        <v>7320</v>
      </c>
      <c r="C4900" s="74">
        <v>1066753555</v>
      </c>
      <c r="D4900" s="78" t="str">
        <f t="shared" si="160"/>
        <v>https://portal.dnb.de/opac.htm?method=simpleSearch&amp;cqlMode=true&amp;query=idn%3D1066753555</v>
      </c>
      <c r="E4900" s="74" t="s">
        <v>7321</v>
      </c>
      <c r="F4900" s="74"/>
      <c r="G4900" s="76"/>
      <c r="H4900" s="77"/>
      <c r="I4900" s="76"/>
      <c r="J4900" s="77"/>
      <c r="K4900" s="77"/>
      <c r="L4900" s="76"/>
      <c r="M4900" s="76"/>
      <c r="N4900" s="76"/>
      <c r="O4900" s="76"/>
      <c r="P4900" s="76"/>
      <c r="Q4900" s="76"/>
      <c r="R4900" s="76"/>
      <c r="S4900" s="76"/>
      <c r="BD4900" s="99">
        <f t="shared" si="159"/>
        <v>0</v>
      </c>
      <c r="CC4900" s="99"/>
      <c r="CV4900" s="99"/>
      <c r="CW4900" s="63"/>
    </row>
    <row r="4901" spans="1:101" x14ac:dyDescent="0.15">
      <c r="A4901" s="76">
        <v>4638</v>
      </c>
      <c r="B4901" s="74" t="s">
        <v>7324</v>
      </c>
      <c r="C4901" s="74">
        <v>1132639948</v>
      </c>
      <c r="D4901" s="78" t="str">
        <f t="shared" si="160"/>
        <v>https://portal.dnb.de/opac.htm?method=simpleSearch&amp;cqlMode=true&amp;query=idn%3D1132639948</v>
      </c>
      <c r="E4901" s="74" t="s">
        <v>7325</v>
      </c>
      <c r="F4901" s="74"/>
      <c r="G4901" s="76"/>
      <c r="H4901" s="77"/>
      <c r="I4901" s="76"/>
      <c r="J4901" s="77"/>
      <c r="K4901" s="77"/>
      <c r="L4901" s="76"/>
      <c r="M4901" s="76"/>
      <c r="N4901" s="76"/>
      <c r="O4901" s="76"/>
      <c r="P4901" s="76"/>
      <c r="Q4901" s="76"/>
      <c r="R4901" s="76"/>
      <c r="S4901" s="76"/>
      <c r="BD4901" s="99">
        <f t="shared" si="159"/>
        <v>0</v>
      </c>
      <c r="CC4901" s="99"/>
      <c r="CV4901" s="99"/>
      <c r="CW4901" s="63"/>
    </row>
    <row r="4902" spans="1:101" x14ac:dyDescent="0.15">
      <c r="A4902" s="76">
        <v>4639</v>
      </c>
      <c r="B4902" s="74" t="s">
        <v>7326</v>
      </c>
      <c r="C4902" s="74" t="s">
        <v>7327</v>
      </c>
      <c r="D4902" s="78" t="str">
        <f t="shared" si="160"/>
        <v>https://portal.dnb.de/opac.htm?method=simpleSearch&amp;cqlMode=true&amp;query=idn%3D113263993X</v>
      </c>
      <c r="E4902" s="74" t="s">
        <v>7325</v>
      </c>
      <c r="F4902" s="74"/>
      <c r="G4902" s="76"/>
      <c r="H4902" s="77"/>
      <c r="I4902" s="76"/>
      <c r="J4902" s="77"/>
      <c r="K4902" s="77"/>
      <c r="L4902" s="76"/>
      <c r="M4902" s="76"/>
      <c r="N4902" s="76"/>
      <c r="O4902" s="76"/>
      <c r="P4902" s="76"/>
      <c r="Q4902" s="76"/>
      <c r="R4902" s="76"/>
      <c r="S4902" s="76"/>
      <c r="BD4902" s="99">
        <f t="shared" si="159"/>
        <v>0</v>
      </c>
      <c r="CC4902" s="99"/>
      <c r="CV4902" s="99"/>
      <c r="CW4902" s="63"/>
    </row>
    <row r="4903" spans="1:101" x14ac:dyDescent="0.15">
      <c r="A4903" s="76">
        <v>4640</v>
      </c>
      <c r="B4903" s="74" t="s">
        <v>7328</v>
      </c>
      <c r="C4903" s="74">
        <v>1001530195</v>
      </c>
      <c r="D4903" s="78" t="str">
        <f t="shared" si="160"/>
        <v>https://portal.dnb.de/opac.htm?method=simpleSearch&amp;cqlMode=true&amp;query=idn%3D1001530195</v>
      </c>
      <c r="E4903" s="74" t="s">
        <v>7329</v>
      </c>
      <c r="F4903" s="74"/>
      <c r="G4903" s="76"/>
      <c r="H4903" s="77"/>
      <c r="I4903" s="76"/>
      <c r="J4903" s="77"/>
      <c r="K4903" s="77"/>
      <c r="L4903" s="76"/>
      <c r="M4903" s="76"/>
      <c r="N4903" s="76"/>
      <c r="O4903" s="76"/>
      <c r="P4903" s="76"/>
      <c r="Q4903" s="76"/>
      <c r="R4903" s="76"/>
      <c r="S4903" s="76"/>
      <c r="BD4903" s="99">
        <f t="shared" si="159"/>
        <v>0</v>
      </c>
      <c r="CC4903" s="99"/>
      <c r="CV4903" s="99"/>
      <c r="CW4903" s="63"/>
    </row>
    <row r="4904" spans="1:101" x14ac:dyDescent="0.15">
      <c r="A4904" s="76">
        <v>4641</v>
      </c>
      <c r="B4904" s="74" t="s">
        <v>7330</v>
      </c>
      <c r="C4904" s="74">
        <v>1001530225</v>
      </c>
      <c r="D4904" s="78" t="str">
        <f t="shared" si="160"/>
        <v>https://portal.dnb.de/opac.htm?method=simpleSearch&amp;cqlMode=true&amp;query=idn%3D1001530225</v>
      </c>
      <c r="E4904" s="74" t="s">
        <v>7329</v>
      </c>
      <c r="F4904" s="74"/>
      <c r="G4904" s="76"/>
      <c r="H4904" s="77"/>
      <c r="I4904" s="76"/>
      <c r="J4904" s="77"/>
      <c r="K4904" s="77"/>
      <c r="L4904" s="76"/>
      <c r="M4904" s="76"/>
      <c r="N4904" s="76"/>
      <c r="O4904" s="76"/>
      <c r="P4904" s="76"/>
      <c r="Q4904" s="76"/>
      <c r="R4904" s="76"/>
      <c r="S4904" s="76"/>
      <c r="BD4904" s="99">
        <f t="shared" si="159"/>
        <v>0</v>
      </c>
      <c r="CC4904" s="99"/>
      <c r="CV4904" s="99"/>
      <c r="CW4904" s="63"/>
    </row>
    <row r="4905" spans="1:101" x14ac:dyDescent="0.15">
      <c r="A4905" s="76">
        <v>4642</v>
      </c>
      <c r="B4905" s="74" t="s">
        <v>7331</v>
      </c>
      <c r="C4905" s="74" t="s">
        <v>7332</v>
      </c>
      <c r="D4905" s="78" t="str">
        <f t="shared" si="160"/>
        <v>https://portal.dnb.de/opac.htm?method=simpleSearch&amp;cqlMode=true&amp;query=idn%3D100153011X</v>
      </c>
      <c r="E4905" s="74" t="s">
        <v>7329</v>
      </c>
      <c r="F4905" s="74"/>
      <c r="G4905" s="76"/>
      <c r="H4905" s="77"/>
      <c r="I4905" s="76"/>
      <c r="J4905" s="77"/>
      <c r="K4905" s="77"/>
      <c r="L4905" s="76"/>
      <c r="M4905" s="76"/>
      <c r="N4905" s="76"/>
      <c r="O4905" s="76"/>
      <c r="P4905" s="76"/>
      <c r="Q4905" s="76"/>
      <c r="R4905" s="76"/>
      <c r="S4905" s="76"/>
      <c r="BD4905" s="99">
        <f t="shared" si="159"/>
        <v>0</v>
      </c>
      <c r="CC4905" s="99"/>
      <c r="CV4905" s="99"/>
      <c r="CW4905" s="63"/>
    </row>
    <row r="4906" spans="1:101" x14ac:dyDescent="0.15">
      <c r="A4906" s="76">
        <v>4643</v>
      </c>
      <c r="B4906" s="74" t="s">
        <v>7333</v>
      </c>
      <c r="C4906" s="74">
        <v>1000070751</v>
      </c>
      <c r="D4906" s="78" t="str">
        <f t="shared" si="160"/>
        <v>https://portal.dnb.de/opac.htm?method=simpleSearch&amp;cqlMode=true&amp;query=idn%3D1000070751</v>
      </c>
      <c r="E4906" s="74" t="s">
        <v>7334</v>
      </c>
      <c r="F4906" s="74"/>
      <c r="G4906" s="76"/>
      <c r="H4906" s="77"/>
      <c r="I4906" s="76"/>
      <c r="J4906" s="77"/>
      <c r="K4906" s="77"/>
      <c r="L4906" s="76"/>
      <c r="M4906" s="76"/>
      <c r="N4906" s="76"/>
      <c r="O4906" s="76"/>
      <c r="P4906" s="76"/>
      <c r="Q4906" s="76"/>
      <c r="R4906" s="76"/>
      <c r="S4906" s="76"/>
      <c r="BD4906" s="99">
        <f t="shared" si="159"/>
        <v>0</v>
      </c>
      <c r="CC4906" s="99"/>
      <c r="CV4906" s="99"/>
      <c r="CW4906" s="63"/>
    </row>
    <row r="4907" spans="1:101" x14ac:dyDescent="0.15">
      <c r="A4907" s="76">
        <v>4644</v>
      </c>
      <c r="B4907" s="74" t="s">
        <v>7335</v>
      </c>
      <c r="C4907" s="74">
        <v>1000070689</v>
      </c>
      <c r="D4907" s="78" t="str">
        <f t="shared" si="160"/>
        <v>https://portal.dnb.de/opac.htm?method=simpleSearch&amp;cqlMode=true&amp;query=idn%3D1000070689</v>
      </c>
      <c r="E4907" s="74" t="s">
        <v>7334</v>
      </c>
      <c r="F4907" s="74"/>
      <c r="G4907" s="76"/>
      <c r="H4907" s="77"/>
      <c r="I4907" s="76"/>
      <c r="J4907" s="77"/>
      <c r="K4907" s="77"/>
      <c r="L4907" s="76"/>
      <c r="M4907" s="76"/>
      <c r="N4907" s="76"/>
      <c r="O4907" s="76"/>
      <c r="P4907" s="76"/>
      <c r="Q4907" s="76"/>
      <c r="R4907" s="76"/>
      <c r="S4907" s="76"/>
      <c r="BD4907" s="99">
        <f t="shared" si="159"/>
        <v>0</v>
      </c>
      <c r="CC4907" s="99"/>
      <c r="CV4907" s="99"/>
      <c r="CW4907" s="63"/>
    </row>
    <row r="4908" spans="1:101" x14ac:dyDescent="0.15">
      <c r="A4908" s="76">
        <v>4645</v>
      </c>
      <c r="B4908" s="74" t="s">
        <v>7336</v>
      </c>
      <c r="C4908" s="74">
        <v>1000070646</v>
      </c>
      <c r="D4908" s="78" t="str">
        <f t="shared" si="160"/>
        <v>https://portal.dnb.de/opac.htm?method=simpleSearch&amp;cqlMode=true&amp;query=idn%3D1000070646</v>
      </c>
      <c r="E4908" s="74" t="s">
        <v>7334</v>
      </c>
      <c r="F4908" s="74"/>
      <c r="G4908" s="76"/>
      <c r="H4908" s="77"/>
      <c r="I4908" s="76"/>
      <c r="J4908" s="77"/>
      <c r="K4908" s="77"/>
      <c r="L4908" s="76"/>
      <c r="M4908" s="76"/>
      <c r="N4908" s="76"/>
      <c r="O4908" s="76"/>
      <c r="P4908" s="76"/>
      <c r="Q4908" s="76"/>
      <c r="R4908" s="76"/>
      <c r="S4908" s="76"/>
      <c r="BD4908" s="99">
        <f t="shared" si="159"/>
        <v>0</v>
      </c>
      <c r="CC4908" s="99"/>
      <c r="CV4908" s="99"/>
      <c r="CW4908" s="63"/>
    </row>
    <row r="4909" spans="1:101" x14ac:dyDescent="0.15">
      <c r="A4909" s="76">
        <v>4646</v>
      </c>
      <c r="B4909" s="74" t="s">
        <v>7337</v>
      </c>
      <c r="C4909" s="74">
        <v>1000070611</v>
      </c>
      <c r="D4909" s="78" t="str">
        <f t="shared" si="160"/>
        <v>https://portal.dnb.de/opac.htm?method=simpleSearch&amp;cqlMode=true&amp;query=idn%3D1000070611</v>
      </c>
      <c r="E4909" s="74" t="s">
        <v>7334</v>
      </c>
      <c r="F4909" s="74"/>
      <c r="G4909" s="76"/>
      <c r="H4909" s="77"/>
      <c r="I4909" s="76"/>
      <c r="J4909" s="77"/>
      <c r="K4909" s="77"/>
      <c r="L4909" s="76"/>
      <c r="M4909" s="76"/>
      <c r="N4909" s="76"/>
      <c r="O4909" s="76"/>
      <c r="P4909" s="76"/>
      <c r="Q4909" s="76"/>
      <c r="R4909" s="76"/>
      <c r="S4909" s="76"/>
      <c r="BD4909" s="99">
        <f t="shared" si="159"/>
        <v>0</v>
      </c>
      <c r="CC4909" s="99"/>
      <c r="CV4909" s="99"/>
      <c r="CW4909" s="63"/>
    </row>
    <row r="4910" spans="1:101" x14ac:dyDescent="0.15">
      <c r="A4910" s="76">
        <v>4647</v>
      </c>
      <c r="B4910" s="74" t="s">
        <v>7338</v>
      </c>
      <c r="C4910" s="74" t="s">
        <v>7339</v>
      </c>
      <c r="D4910" s="78" t="str">
        <f t="shared" si="160"/>
        <v>https://portal.dnb.de/opac.htm?method=simpleSearch&amp;cqlMode=true&amp;query=idn%3D100007059X</v>
      </c>
      <c r="E4910" s="74" t="s">
        <v>7334</v>
      </c>
      <c r="F4910" s="74"/>
      <c r="G4910" s="76"/>
      <c r="H4910" s="77"/>
      <c r="I4910" s="76"/>
      <c r="J4910" s="77"/>
      <c r="K4910" s="77"/>
      <c r="L4910" s="76"/>
      <c r="M4910" s="76"/>
      <c r="N4910" s="76"/>
      <c r="O4910" s="76"/>
      <c r="P4910" s="76"/>
      <c r="Q4910" s="76"/>
      <c r="R4910" s="76"/>
      <c r="S4910" s="76"/>
      <c r="BD4910" s="99">
        <f t="shared" si="159"/>
        <v>0</v>
      </c>
      <c r="CC4910" s="99"/>
      <c r="CV4910" s="99"/>
      <c r="CW4910" s="63"/>
    </row>
    <row r="4911" spans="1:101" x14ac:dyDescent="0.15">
      <c r="A4911" s="76">
        <v>4648</v>
      </c>
      <c r="B4911" s="74" t="s">
        <v>7349</v>
      </c>
      <c r="C4911" s="74">
        <v>1001554736</v>
      </c>
      <c r="D4911" s="78" t="str">
        <f t="shared" si="160"/>
        <v>https://portal.dnb.de/opac.htm?method=simpleSearch&amp;cqlMode=true&amp;query=idn%3D1001554736</v>
      </c>
      <c r="E4911" s="74" t="s">
        <v>7350</v>
      </c>
      <c r="F4911" s="74"/>
      <c r="G4911" s="76"/>
      <c r="H4911" s="77"/>
      <c r="I4911" s="76"/>
      <c r="J4911" s="77"/>
      <c r="K4911" s="77"/>
      <c r="L4911" s="76"/>
      <c r="M4911" s="76"/>
      <c r="N4911" s="76"/>
      <c r="O4911" s="76"/>
      <c r="P4911" s="76"/>
      <c r="Q4911" s="76"/>
      <c r="R4911" s="76"/>
      <c r="S4911" s="76"/>
      <c r="BD4911" s="99">
        <f t="shared" si="159"/>
        <v>0</v>
      </c>
      <c r="CC4911" s="99"/>
      <c r="CV4911" s="99"/>
      <c r="CW4911" s="63"/>
    </row>
    <row r="4912" spans="1:101" x14ac:dyDescent="0.15">
      <c r="A4912" s="76">
        <v>4649</v>
      </c>
      <c r="B4912" s="74" t="s">
        <v>7351</v>
      </c>
      <c r="C4912" s="74">
        <v>999957708</v>
      </c>
      <c r="D4912" s="78" t="str">
        <f t="shared" si="160"/>
        <v>https://portal.dnb.de/opac.htm?method=simpleSearch&amp;cqlMode=true&amp;query=idn%3D999957708</v>
      </c>
      <c r="E4912" s="74" t="s">
        <v>7350</v>
      </c>
      <c r="F4912" s="74"/>
      <c r="G4912" s="76"/>
      <c r="H4912" s="77"/>
      <c r="I4912" s="76"/>
      <c r="J4912" s="77"/>
      <c r="K4912" s="77"/>
      <c r="L4912" s="76"/>
      <c r="M4912" s="76"/>
      <c r="N4912" s="76"/>
      <c r="O4912" s="76"/>
      <c r="P4912" s="76"/>
      <c r="Q4912" s="76"/>
      <c r="R4912" s="76"/>
      <c r="S4912" s="76"/>
      <c r="BD4912" s="99">
        <f t="shared" si="159"/>
        <v>0</v>
      </c>
      <c r="CC4912" s="99"/>
      <c r="CV4912" s="99"/>
      <c r="CW4912" s="63"/>
    </row>
    <row r="4913" spans="1:101" x14ac:dyDescent="0.15">
      <c r="A4913" s="76">
        <v>4650</v>
      </c>
      <c r="B4913" s="74" t="s">
        <v>7352</v>
      </c>
      <c r="C4913" s="74">
        <v>1000915131</v>
      </c>
      <c r="D4913" s="78" t="str">
        <f t="shared" si="160"/>
        <v>https://portal.dnb.de/opac.htm?method=simpleSearch&amp;cqlMode=true&amp;query=idn%3D1000915131</v>
      </c>
      <c r="E4913" s="74" t="s">
        <v>7350</v>
      </c>
      <c r="F4913" s="74"/>
      <c r="G4913" s="76"/>
      <c r="H4913" s="77"/>
      <c r="I4913" s="76"/>
      <c r="J4913" s="77"/>
      <c r="K4913" s="77"/>
      <c r="L4913" s="76"/>
      <c r="M4913" s="76"/>
      <c r="N4913" s="76"/>
      <c r="O4913" s="76"/>
      <c r="P4913" s="76"/>
      <c r="Q4913" s="76"/>
      <c r="R4913" s="76"/>
      <c r="S4913" s="76"/>
      <c r="BD4913" s="99">
        <f t="shared" si="159"/>
        <v>0</v>
      </c>
      <c r="CC4913" s="99"/>
      <c r="CV4913" s="99"/>
      <c r="CW4913" s="63"/>
    </row>
    <row r="4914" spans="1:101" x14ac:dyDescent="0.15">
      <c r="A4914" s="76">
        <v>4651</v>
      </c>
      <c r="B4914" s="74" t="s">
        <v>7353</v>
      </c>
      <c r="C4914" s="74">
        <v>1001530330</v>
      </c>
      <c r="D4914" s="78" t="str">
        <f t="shared" si="160"/>
        <v>https://portal.dnb.de/opac.htm?method=simpleSearch&amp;cqlMode=true&amp;query=idn%3D1001530330</v>
      </c>
      <c r="E4914" s="74" t="s">
        <v>7354</v>
      </c>
      <c r="F4914" s="74"/>
      <c r="G4914" s="76"/>
      <c r="H4914" s="77"/>
      <c r="I4914" s="76"/>
      <c r="J4914" s="77"/>
      <c r="K4914" s="77"/>
      <c r="L4914" s="76"/>
      <c r="M4914" s="76"/>
      <c r="N4914" s="76"/>
      <c r="O4914" s="76"/>
      <c r="P4914" s="76"/>
      <c r="Q4914" s="76"/>
      <c r="R4914" s="76"/>
      <c r="S4914" s="76"/>
      <c r="BD4914" s="99">
        <f t="shared" si="159"/>
        <v>0</v>
      </c>
      <c r="CC4914" s="99"/>
      <c r="CV4914" s="99"/>
      <c r="CW4914" s="63"/>
    </row>
    <row r="4915" spans="1:101" x14ac:dyDescent="0.15">
      <c r="A4915" s="76">
        <v>4652</v>
      </c>
      <c r="B4915" s="74" t="s">
        <v>7359</v>
      </c>
      <c r="C4915" s="74">
        <v>1002693314</v>
      </c>
      <c r="D4915" s="78" t="str">
        <f t="shared" si="160"/>
        <v>https://portal.dnb.de/opac.htm?method=simpleSearch&amp;cqlMode=true&amp;query=idn%3D1002693314</v>
      </c>
      <c r="E4915" s="74" t="s">
        <v>7360</v>
      </c>
      <c r="F4915" s="74"/>
      <c r="G4915" s="76"/>
      <c r="H4915" s="77"/>
      <c r="I4915" s="76"/>
      <c r="J4915" s="77"/>
      <c r="K4915" s="77"/>
      <c r="L4915" s="76"/>
      <c r="M4915" s="76"/>
      <c r="N4915" s="76"/>
      <c r="O4915" s="76"/>
      <c r="P4915" s="76"/>
      <c r="Q4915" s="76"/>
      <c r="R4915" s="76"/>
      <c r="S4915" s="76"/>
      <c r="BD4915" s="99">
        <f t="shared" si="159"/>
        <v>0</v>
      </c>
      <c r="CC4915" s="99"/>
      <c r="CV4915" s="99"/>
      <c r="CW4915" s="63"/>
    </row>
    <row r="4916" spans="1:101" x14ac:dyDescent="0.15">
      <c r="A4916" s="76">
        <v>4653</v>
      </c>
      <c r="B4916" s="74" t="s">
        <v>7361</v>
      </c>
      <c r="C4916" s="74">
        <v>1002181011</v>
      </c>
      <c r="D4916" s="78" t="str">
        <f t="shared" si="160"/>
        <v>https://portal.dnb.de/opac.htm?method=simpleSearch&amp;cqlMode=true&amp;query=idn%3D1002181011</v>
      </c>
      <c r="E4916" s="74" t="s">
        <v>7362</v>
      </c>
      <c r="F4916" s="74"/>
      <c r="G4916" s="76"/>
      <c r="H4916" s="77"/>
      <c r="I4916" s="76"/>
      <c r="J4916" s="77"/>
      <c r="K4916" s="77"/>
      <c r="L4916" s="76"/>
      <c r="M4916" s="76"/>
      <c r="N4916" s="76"/>
      <c r="O4916" s="76"/>
      <c r="P4916" s="76"/>
      <c r="Q4916" s="76"/>
      <c r="R4916" s="76"/>
      <c r="S4916" s="76"/>
      <c r="BD4916" s="99">
        <f t="shared" si="159"/>
        <v>0</v>
      </c>
      <c r="CC4916" s="99"/>
      <c r="CV4916" s="99"/>
      <c r="CW4916" s="63"/>
    </row>
    <row r="4917" spans="1:101" x14ac:dyDescent="0.15">
      <c r="A4917" s="76">
        <v>4654</v>
      </c>
      <c r="B4917" s="74" t="s">
        <v>7363</v>
      </c>
      <c r="C4917" s="74">
        <v>1002181054</v>
      </c>
      <c r="D4917" s="78" t="str">
        <f t="shared" si="160"/>
        <v>https://portal.dnb.de/opac.htm?method=simpleSearch&amp;cqlMode=true&amp;query=idn%3D1002181054</v>
      </c>
      <c r="E4917" s="74" t="s">
        <v>7362</v>
      </c>
      <c r="F4917" s="74"/>
      <c r="G4917" s="76"/>
      <c r="H4917" s="77"/>
      <c r="I4917" s="76"/>
      <c r="J4917" s="77"/>
      <c r="K4917" s="77"/>
      <c r="L4917" s="76"/>
      <c r="M4917" s="76"/>
      <c r="N4917" s="76"/>
      <c r="O4917" s="76"/>
      <c r="P4917" s="76"/>
      <c r="Q4917" s="76"/>
      <c r="R4917" s="76"/>
      <c r="S4917" s="76"/>
      <c r="BD4917" s="99">
        <f t="shared" si="159"/>
        <v>0</v>
      </c>
      <c r="CC4917" s="99"/>
      <c r="CV4917" s="99"/>
      <c r="CW4917" s="63"/>
    </row>
    <row r="4918" spans="1:101" x14ac:dyDescent="0.15">
      <c r="A4918" s="76">
        <v>4655</v>
      </c>
      <c r="B4918" s="74" t="s">
        <v>7364</v>
      </c>
      <c r="C4918" s="74" t="s">
        <v>7365</v>
      </c>
      <c r="D4918" s="78" t="str">
        <f t="shared" si="160"/>
        <v>https://portal.dnb.de/opac.htm?method=simpleSearch&amp;cqlMode=true&amp;query=idn%3D100088841X</v>
      </c>
      <c r="E4918" s="74" t="s">
        <v>7366</v>
      </c>
      <c r="F4918" s="74"/>
      <c r="G4918" s="76"/>
      <c r="H4918" s="77"/>
      <c r="I4918" s="76"/>
      <c r="J4918" s="77"/>
      <c r="K4918" s="77"/>
      <c r="L4918" s="76"/>
      <c r="M4918" s="76"/>
      <c r="N4918" s="76"/>
      <c r="O4918" s="76"/>
      <c r="P4918" s="76"/>
      <c r="Q4918" s="76"/>
      <c r="R4918" s="76"/>
      <c r="S4918" s="76"/>
      <c r="BD4918" s="99">
        <f t="shared" si="159"/>
        <v>0</v>
      </c>
      <c r="CC4918" s="99"/>
      <c r="CV4918" s="99"/>
      <c r="CW4918" s="63"/>
    </row>
    <row r="4919" spans="1:101" x14ac:dyDescent="0.15">
      <c r="A4919" s="76">
        <v>4656</v>
      </c>
      <c r="B4919" s="74" t="s">
        <v>7322</v>
      </c>
      <c r="C4919" s="74">
        <v>1002270480</v>
      </c>
      <c r="D4919" s="78" t="str">
        <f t="shared" si="160"/>
        <v>https://portal.dnb.de/opac.htm?method=simpleSearch&amp;cqlMode=true&amp;query=idn%3D1002270480</v>
      </c>
      <c r="E4919" s="74" t="s">
        <v>7323</v>
      </c>
      <c r="F4919" s="74"/>
      <c r="G4919" s="76"/>
      <c r="H4919" s="77"/>
      <c r="I4919" s="76"/>
      <c r="J4919" s="77"/>
      <c r="K4919" s="77"/>
      <c r="L4919" s="76"/>
      <c r="M4919" s="76"/>
      <c r="N4919" s="76"/>
      <c r="O4919" s="76"/>
      <c r="P4919" s="76"/>
      <c r="Q4919" s="76"/>
      <c r="R4919" s="76"/>
      <c r="S4919" s="76"/>
      <c r="BD4919" s="99">
        <f t="shared" si="159"/>
        <v>0</v>
      </c>
      <c r="CC4919" s="99"/>
      <c r="CV4919" s="99"/>
      <c r="CW4919" s="63"/>
    </row>
    <row r="4920" spans="1:101" x14ac:dyDescent="0.15">
      <c r="A4920" s="76">
        <v>4657</v>
      </c>
      <c r="B4920" s="74" t="s">
        <v>7340</v>
      </c>
      <c r="C4920" s="74">
        <v>1000191524</v>
      </c>
      <c r="D4920" s="78" t="str">
        <f t="shared" si="160"/>
        <v>https://portal.dnb.de/opac.htm?method=simpleSearch&amp;cqlMode=true&amp;query=idn%3D1000191524</v>
      </c>
      <c r="E4920" s="74" t="s">
        <v>7341</v>
      </c>
      <c r="F4920" s="74"/>
      <c r="G4920" s="76"/>
      <c r="H4920" s="77"/>
      <c r="I4920" s="76"/>
      <c r="J4920" s="77"/>
      <c r="K4920" s="77"/>
      <c r="L4920" s="76"/>
      <c r="M4920" s="76"/>
      <c r="N4920" s="76"/>
      <c r="O4920" s="76"/>
      <c r="P4920" s="76"/>
      <c r="Q4920" s="76"/>
      <c r="R4920" s="76"/>
      <c r="S4920" s="76"/>
      <c r="BD4920" s="99">
        <f t="shared" si="159"/>
        <v>0</v>
      </c>
      <c r="CC4920" s="99"/>
      <c r="CV4920" s="99"/>
      <c r="CW4920" s="63"/>
    </row>
    <row r="4921" spans="1:101" x14ac:dyDescent="0.15">
      <c r="A4921" s="76">
        <v>4658</v>
      </c>
      <c r="B4921" s="74" t="s">
        <v>7342</v>
      </c>
      <c r="C4921" s="74">
        <v>999995944</v>
      </c>
      <c r="D4921" s="78" t="str">
        <f t="shared" si="160"/>
        <v>https://portal.dnb.de/opac.htm?method=simpleSearch&amp;cqlMode=true&amp;query=idn%3D999995944</v>
      </c>
      <c r="E4921" s="74" t="s">
        <v>7341</v>
      </c>
      <c r="F4921" s="74"/>
      <c r="G4921" s="76"/>
      <c r="H4921" s="77"/>
      <c r="I4921" s="76"/>
      <c r="J4921" s="77"/>
      <c r="K4921" s="77"/>
      <c r="L4921" s="76"/>
      <c r="M4921" s="76"/>
      <c r="N4921" s="76"/>
      <c r="O4921" s="76"/>
      <c r="P4921" s="76"/>
      <c r="Q4921" s="76"/>
      <c r="R4921" s="76"/>
      <c r="S4921" s="76"/>
      <c r="BD4921" s="99">
        <f t="shared" si="159"/>
        <v>0</v>
      </c>
      <c r="CC4921" s="99"/>
      <c r="CV4921" s="99"/>
      <c r="CW4921" s="63"/>
    </row>
    <row r="4922" spans="1:101" x14ac:dyDescent="0.15">
      <c r="A4922" s="76">
        <v>4659</v>
      </c>
      <c r="B4922" s="74" t="s">
        <v>7343</v>
      </c>
      <c r="C4922" s="74">
        <v>1000208362</v>
      </c>
      <c r="D4922" s="78" t="str">
        <f t="shared" si="160"/>
        <v>https://portal.dnb.de/opac.htm?method=simpleSearch&amp;cqlMode=true&amp;query=idn%3D1000208362</v>
      </c>
      <c r="E4922" s="74" t="s">
        <v>7344</v>
      </c>
      <c r="F4922" s="74"/>
      <c r="G4922" s="76"/>
      <c r="H4922" s="77"/>
      <c r="I4922" s="76"/>
      <c r="J4922" s="77"/>
      <c r="K4922" s="77"/>
      <c r="L4922" s="76"/>
      <c r="M4922" s="76"/>
      <c r="N4922" s="76"/>
      <c r="O4922" s="76"/>
      <c r="P4922" s="76"/>
      <c r="Q4922" s="76"/>
      <c r="R4922" s="76"/>
      <c r="S4922" s="76"/>
      <c r="BD4922" s="99">
        <f t="shared" si="159"/>
        <v>0</v>
      </c>
      <c r="CC4922" s="99"/>
      <c r="CV4922" s="99"/>
      <c r="CW4922" s="63"/>
    </row>
    <row r="4923" spans="1:101" x14ac:dyDescent="0.15">
      <c r="A4923" s="76">
        <v>4660</v>
      </c>
      <c r="B4923" s="74" t="s">
        <v>7345</v>
      </c>
      <c r="C4923" s="74">
        <v>1000208346</v>
      </c>
      <c r="D4923" s="78" t="str">
        <f t="shared" si="160"/>
        <v>https://portal.dnb.de/opac.htm?method=simpleSearch&amp;cqlMode=true&amp;query=idn%3D1000208346</v>
      </c>
      <c r="E4923" s="74" t="s">
        <v>7344</v>
      </c>
      <c r="F4923" s="74"/>
      <c r="G4923" s="76"/>
      <c r="H4923" s="77"/>
      <c r="I4923" s="76"/>
      <c r="J4923" s="77"/>
      <c r="K4923" s="77"/>
      <c r="L4923" s="76"/>
      <c r="M4923" s="76"/>
      <c r="N4923" s="76"/>
      <c r="O4923" s="76"/>
      <c r="P4923" s="76"/>
      <c r="Q4923" s="76"/>
      <c r="R4923" s="76"/>
      <c r="S4923" s="76"/>
      <c r="BD4923" s="99">
        <f t="shared" si="159"/>
        <v>0</v>
      </c>
      <c r="CC4923" s="99"/>
      <c r="CV4923" s="99"/>
      <c r="CW4923" s="63"/>
    </row>
    <row r="4924" spans="1:101" x14ac:dyDescent="0.15">
      <c r="A4924" s="76">
        <v>4661</v>
      </c>
      <c r="B4924" s="74" t="s">
        <v>7346</v>
      </c>
      <c r="C4924" s="74">
        <v>1000208257</v>
      </c>
      <c r="D4924" s="78" t="str">
        <f t="shared" si="160"/>
        <v>https://portal.dnb.de/opac.htm?method=simpleSearch&amp;cqlMode=true&amp;query=idn%3D1000208257</v>
      </c>
      <c r="E4924" s="74" t="s">
        <v>7344</v>
      </c>
      <c r="F4924" s="74"/>
      <c r="G4924" s="76"/>
      <c r="H4924" s="77"/>
      <c r="I4924" s="76"/>
      <c r="J4924" s="77"/>
      <c r="K4924" s="77"/>
      <c r="L4924" s="76"/>
      <c r="M4924" s="76"/>
      <c r="N4924" s="76"/>
      <c r="O4924" s="76"/>
      <c r="P4924" s="76"/>
      <c r="Q4924" s="76"/>
      <c r="R4924" s="76"/>
      <c r="S4924" s="76"/>
      <c r="BD4924" s="99">
        <f t="shared" si="159"/>
        <v>0</v>
      </c>
      <c r="CC4924" s="99"/>
      <c r="CV4924" s="99"/>
      <c r="CW4924" s="63"/>
    </row>
    <row r="4925" spans="1:101" x14ac:dyDescent="0.15">
      <c r="A4925" s="76">
        <v>4662</v>
      </c>
      <c r="B4925" s="74" t="s">
        <v>7347</v>
      </c>
      <c r="C4925" s="74" t="s">
        <v>7348</v>
      </c>
      <c r="D4925" s="78" t="str">
        <f t="shared" si="160"/>
        <v>https://portal.dnb.de/opac.htm?method=simpleSearch&amp;cqlMode=true&amp;query=idn%3D100020829X</v>
      </c>
      <c r="E4925" s="74" t="s">
        <v>7344</v>
      </c>
      <c r="F4925" s="74"/>
      <c r="G4925" s="76"/>
      <c r="H4925" s="77"/>
      <c r="I4925" s="76"/>
      <c r="J4925" s="77"/>
      <c r="K4925" s="77"/>
      <c r="L4925" s="76"/>
      <c r="M4925" s="76"/>
      <c r="N4925" s="76"/>
      <c r="O4925" s="76"/>
      <c r="P4925" s="76"/>
      <c r="Q4925" s="76"/>
      <c r="R4925" s="76"/>
      <c r="S4925" s="76"/>
      <c r="BD4925" s="99">
        <f t="shared" si="159"/>
        <v>0</v>
      </c>
      <c r="CC4925" s="99"/>
      <c r="CV4925" s="99"/>
      <c r="CW4925" s="63"/>
    </row>
    <row r="4926" spans="1:101" x14ac:dyDescent="0.15">
      <c r="A4926" s="76">
        <v>4663</v>
      </c>
      <c r="B4926" s="74" t="s">
        <v>7355</v>
      </c>
      <c r="C4926" s="74">
        <v>999811916</v>
      </c>
      <c r="D4926" s="78" t="str">
        <f t="shared" si="160"/>
        <v>https://portal.dnb.de/opac.htm?method=simpleSearch&amp;cqlMode=true&amp;query=idn%3D999811916</v>
      </c>
      <c r="E4926" s="74" t="s">
        <v>7356</v>
      </c>
      <c r="F4926" s="74"/>
      <c r="G4926" s="76"/>
      <c r="H4926" s="77"/>
      <c r="I4926" s="76"/>
      <c r="J4926" s="77"/>
      <c r="K4926" s="77"/>
      <c r="L4926" s="76"/>
      <c r="M4926" s="76"/>
      <c r="N4926" s="76"/>
      <c r="O4926" s="76"/>
      <c r="P4926" s="76"/>
      <c r="Q4926" s="76"/>
      <c r="R4926" s="76"/>
      <c r="S4926" s="76"/>
      <c r="BD4926" s="99">
        <f t="shared" si="159"/>
        <v>0</v>
      </c>
      <c r="CC4926" s="99"/>
      <c r="CV4926" s="99"/>
      <c r="CW4926" s="63"/>
    </row>
    <row r="4927" spans="1:101" x14ac:dyDescent="0.15">
      <c r="A4927" s="76">
        <v>4664</v>
      </c>
      <c r="B4927" s="74" t="s">
        <v>7357</v>
      </c>
      <c r="C4927" s="74">
        <v>999811940</v>
      </c>
      <c r="D4927" s="78" t="str">
        <f t="shared" si="160"/>
        <v>https://portal.dnb.de/opac.htm?method=simpleSearch&amp;cqlMode=true&amp;query=idn%3D999811940</v>
      </c>
      <c r="E4927" s="74" t="s">
        <v>7356</v>
      </c>
      <c r="F4927" s="74"/>
      <c r="G4927" s="76"/>
      <c r="H4927" s="77"/>
      <c r="I4927" s="76"/>
      <c r="J4927" s="77"/>
      <c r="K4927" s="77"/>
      <c r="L4927" s="76"/>
      <c r="M4927" s="76"/>
      <c r="N4927" s="76"/>
      <c r="O4927" s="76"/>
      <c r="P4927" s="76"/>
      <c r="Q4927" s="76"/>
      <c r="R4927" s="76"/>
      <c r="S4927" s="76"/>
      <c r="BD4927" s="99">
        <f t="shared" si="159"/>
        <v>0</v>
      </c>
      <c r="CC4927" s="99"/>
      <c r="CV4927" s="99"/>
      <c r="CW4927" s="63"/>
    </row>
    <row r="4928" spans="1:101" x14ac:dyDescent="0.15">
      <c r="A4928" s="76">
        <v>4665</v>
      </c>
      <c r="B4928" s="74" t="s">
        <v>7358</v>
      </c>
      <c r="C4928" s="74">
        <v>999811983</v>
      </c>
      <c r="D4928" s="78" t="str">
        <f t="shared" si="160"/>
        <v>https://portal.dnb.de/opac.htm?method=simpleSearch&amp;cqlMode=true&amp;query=idn%3D999811983</v>
      </c>
      <c r="E4928" s="74" t="s">
        <v>7356</v>
      </c>
      <c r="F4928" s="74"/>
      <c r="G4928" s="76"/>
      <c r="H4928" s="77"/>
      <c r="I4928" s="76"/>
      <c r="J4928" s="77"/>
      <c r="K4928" s="77"/>
      <c r="L4928" s="76"/>
      <c r="M4928" s="76"/>
      <c r="N4928" s="76"/>
      <c r="O4928" s="76"/>
      <c r="P4928" s="76"/>
      <c r="Q4928" s="76"/>
      <c r="R4928" s="76"/>
      <c r="S4928" s="76"/>
      <c r="BD4928" s="99">
        <f t="shared" si="159"/>
        <v>0</v>
      </c>
      <c r="CC4928" s="99"/>
      <c r="CV4928" s="99"/>
      <c r="CW4928" s="63"/>
    </row>
    <row r="4929" spans="1:101" x14ac:dyDescent="0.15">
      <c r="A4929" s="76">
        <v>4666</v>
      </c>
      <c r="B4929" s="74" t="s">
        <v>7367</v>
      </c>
      <c r="C4929" s="74">
        <v>994188412</v>
      </c>
      <c r="D4929" s="78" t="str">
        <f t="shared" si="160"/>
        <v>https://portal.dnb.de/opac.htm?method=simpleSearch&amp;cqlMode=true&amp;query=idn%3D994188412</v>
      </c>
      <c r="E4929" s="74" t="s">
        <v>7368</v>
      </c>
      <c r="F4929" s="74"/>
      <c r="G4929" s="76"/>
      <c r="H4929" s="77"/>
      <c r="I4929" s="76"/>
      <c r="J4929" s="77"/>
      <c r="K4929" s="77"/>
      <c r="L4929" s="76"/>
      <c r="M4929" s="76"/>
      <c r="N4929" s="76"/>
      <c r="O4929" s="76"/>
      <c r="P4929" s="76"/>
      <c r="Q4929" s="76"/>
      <c r="R4929" s="76"/>
      <c r="S4929" s="76"/>
      <c r="BD4929" s="99">
        <f t="shared" si="159"/>
        <v>0</v>
      </c>
      <c r="CC4929" s="99"/>
      <c r="CV4929" s="99"/>
      <c r="CW4929" s="63"/>
    </row>
    <row r="4930" spans="1:101" x14ac:dyDescent="0.15">
      <c r="A4930" s="76">
        <v>4667</v>
      </c>
      <c r="B4930" s="74" t="s">
        <v>7369</v>
      </c>
      <c r="C4930" s="74">
        <v>1066691118</v>
      </c>
      <c r="D4930" s="78" t="str">
        <f t="shared" si="160"/>
        <v>https://portal.dnb.de/opac.htm?method=simpleSearch&amp;cqlMode=true&amp;query=idn%3D1066691118</v>
      </c>
      <c r="E4930" s="74" t="s">
        <v>7370</v>
      </c>
      <c r="F4930" s="74"/>
      <c r="G4930" s="76"/>
      <c r="H4930" s="77"/>
      <c r="I4930" s="76"/>
      <c r="J4930" s="77"/>
      <c r="K4930" s="77"/>
      <c r="L4930" s="76"/>
      <c r="M4930" s="76"/>
      <c r="N4930" s="76"/>
      <c r="O4930" s="76"/>
      <c r="P4930" s="76"/>
      <c r="Q4930" s="76"/>
      <c r="R4930" s="76"/>
      <c r="S4930" s="76"/>
      <c r="BD4930" s="99">
        <f t="shared" si="159"/>
        <v>0</v>
      </c>
      <c r="CC4930" s="99"/>
      <c r="CV4930" s="99"/>
      <c r="CW4930" s="63"/>
    </row>
    <row r="4931" spans="1:101" ht="22.5" x14ac:dyDescent="0.15">
      <c r="A4931" s="76">
        <v>4668</v>
      </c>
      <c r="B4931" s="74" t="s">
        <v>7371</v>
      </c>
      <c r="C4931" s="74">
        <v>1132645131</v>
      </c>
      <c r="D4931" s="78" t="str">
        <f t="shared" si="160"/>
        <v>https://portal.dnb.de/opac.htm?method=simpleSearch&amp;cqlMode=true&amp;query=idn%3D1132645131</v>
      </c>
      <c r="E4931" s="74" t="s">
        <v>7372</v>
      </c>
      <c r="F4931" s="74"/>
      <c r="G4931" s="76"/>
      <c r="H4931" s="77"/>
      <c r="I4931" s="76" t="s">
        <v>53</v>
      </c>
      <c r="J4931" s="77"/>
      <c r="K4931" s="77"/>
      <c r="L4931" s="76"/>
      <c r="M4931" s="76"/>
      <c r="N4931" s="76"/>
      <c r="O4931" s="76"/>
      <c r="P4931" s="76"/>
      <c r="Q4931" s="76"/>
      <c r="R4931" s="76"/>
      <c r="S4931" s="76"/>
      <c r="X4931" s="95" t="s">
        <v>8541</v>
      </c>
      <c r="Y4931" s="95" t="s">
        <v>9735</v>
      </c>
      <c r="AA4931" s="95" t="s">
        <v>8541</v>
      </c>
      <c r="AC4931" s="95" t="s">
        <v>9739</v>
      </c>
      <c r="AI4931" s="95" t="s">
        <v>9725</v>
      </c>
      <c r="AW4931" s="95">
        <v>110</v>
      </c>
      <c r="BB4931" s="95" t="s">
        <v>8541</v>
      </c>
      <c r="BC4931" s="96" t="s">
        <v>9726</v>
      </c>
      <c r="BD4931" s="99">
        <f t="shared" ref="BD4931:BD4994" si="161">CC4931+CV4931</f>
        <v>1</v>
      </c>
      <c r="BH4931" s="95" t="s">
        <v>8541</v>
      </c>
      <c r="BP4931" s="69" t="s">
        <v>8541</v>
      </c>
      <c r="BR4931" s="95" t="s">
        <v>8541</v>
      </c>
      <c r="BT4931" s="95" t="s">
        <v>9772</v>
      </c>
      <c r="CC4931" s="99">
        <v>1</v>
      </c>
      <c r="CD4931" s="90" t="s">
        <v>10380</v>
      </c>
      <c r="CV4931" s="99"/>
      <c r="CW4931" s="63"/>
    </row>
    <row r="4932" spans="1:101" x14ac:dyDescent="0.15">
      <c r="A4932" s="76">
        <v>4669</v>
      </c>
      <c r="B4932" s="74" t="s">
        <v>7373</v>
      </c>
      <c r="C4932" s="74">
        <v>998561983</v>
      </c>
      <c r="D4932" s="78" t="str">
        <f t="shared" si="160"/>
        <v>https://portal.dnb.de/opac.htm?method=simpleSearch&amp;cqlMode=true&amp;query=idn%3D998561983</v>
      </c>
      <c r="E4932" s="74" t="s">
        <v>7374</v>
      </c>
      <c r="F4932" s="74"/>
      <c r="G4932" s="76"/>
      <c r="H4932" s="77"/>
      <c r="I4932" s="76"/>
      <c r="J4932" s="77"/>
      <c r="K4932" s="77"/>
      <c r="L4932" s="76"/>
      <c r="M4932" s="76"/>
      <c r="N4932" s="76"/>
      <c r="O4932" s="76"/>
      <c r="P4932" s="76"/>
      <c r="Q4932" s="76"/>
      <c r="R4932" s="76"/>
      <c r="S4932" s="76"/>
      <c r="BD4932" s="99">
        <f t="shared" si="161"/>
        <v>0</v>
      </c>
      <c r="CC4932" s="99"/>
      <c r="CV4932" s="99"/>
      <c r="CW4932" s="63"/>
    </row>
    <row r="4933" spans="1:101" ht="90" x14ac:dyDescent="0.15">
      <c r="A4933" s="76">
        <v>4670</v>
      </c>
      <c r="B4933" s="74" t="s">
        <v>7375</v>
      </c>
      <c r="C4933" s="74">
        <v>996688994</v>
      </c>
      <c r="D4933" s="78" t="str">
        <f t="shared" si="160"/>
        <v>https://portal.dnb.de/opac.htm?method=simpleSearch&amp;cqlMode=true&amp;query=idn%3D996688994</v>
      </c>
      <c r="E4933" s="74" t="s">
        <v>7376</v>
      </c>
      <c r="F4933" s="74"/>
      <c r="G4933" s="76"/>
      <c r="H4933" s="77"/>
      <c r="I4933" s="76" t="s">
        <v>53</v>
      </c>
      <c r="J4933" s="77"/>
      <c r="K4933" s="77"/>
      <c r="L4933" s="76"/>
      <c r="M4933" s="76"/>
      <c r="N4933" s="76"/>
      <c r="O4933" s="76"/>
      <c r="P4933" s="76"/>
      <c r="Q4933" s="76"/>
      <c r="R4933" s="76"/>
      <c r="S4933" s="76"/>
      <c r="Y4933" s="95" t="s">
        <v>9723</v>
      </c>
      <c r="AB4933" s="95" t="s">
        <v>8541</v>
      </c>
      <c r="AC4933" s="95" t="s">
        <v>9724</v>
      </c>
      <c r="AI4933" s="95" t="s">
        <v>9725</v>
      </c>
      <c r="AP4933" s="95" t="s">
        <v>8541</v>
      </c>
      <c r="AQ4933" s="96" t="s">
        <v>10381</v>
      </c>
      <c r="AW4933" s="95">
        <v>60</v>
      </c>
      <c r="BC4933" s="96" t="s">
        <v>9726</v>
      </c>
      <c r="BD4933" s="99">
        <f t="shared" si="161"/>
        <v>7.5</v>
      </c>
      <c r="BO4933" s="70" t="s">
        <v>10147</v>
      </c>
      <c r="BP4933" s="69" t="s">
        <v>8541</v>
      </c>
      <c r="BQ4933" s="95" t="s">
        <v>8541</v>
      </c>
      <c r="BR4933" s="95" t="s">
        <v>8541</v>
      </c>
      <c r="CC4933" s="99">
        <v>1</v>
      </c>
      <c r="CD4933" s="90" t="s">
        <v>10382</v>
      </c>
      <c r="CL4933" s="95" t="s">
        <v>8541</v>
      </c>
      <c r="CO4933" s="95" t="s">
        <v>8541</v>
      </c>
      <c r="CU4933" s="95" t="s">
        <v>8541</v>
      </c>
      <c r="CV4933" s="99">
        <v>6.5</v>
      </c>
      <c r="CW4933" s="90" t="s">
        <v>10383</v>
      </c>
    </row>
    <row r="4934" spans="1:101" x14ac:dyDescent="0.15">
      <c r="A4934" s="76">
        <v>4671</v>
      </c>
      <c r="B4934" s="74" t="s">
        <v>7377</v>
      </c>
      <c r="C4934" s="74">
        <v>999970321</v>
      </c>
      <c r="D4934" s="78" t="str">
        <f t="shared" si="160"/>
        <v>https://portal.dnb.de/opac.htm?method=simpleSearch&amp;cqlMode=true&amp;query=idn%3D999970321</v>
      </c>
      <c r="E4934" s="74" t="s">
        <v>7378</v>
      </c>
      <c r="F4934" s="74"/>
      <c r="G4934" s="76"/>
      <c r="H4934" s="77"/>
      <c r="I4934" s="76"/>
      <c r="J4934" s="77"/>
      <c r="K4934" s="77"/>
      <c r="L4934" s="76"/>
      <c r="M4934" s="76"/>
      <c r="N4934" s="76"/>
      <c r="O4934" s="76"/>
      <c r="P4934" s="76"/>
      <c r="Q4934" s="76"/>
      <c r="R4934" s="76"/>
      <c r="S4934" s="76"/>
      <c r="BD4934" s="99">
        <f t="shared" si="161"/>
        <v>0</v>
      </c>
      <c r="CC4934" s="99"/>
      <c r="CV4934" s="99"/>
      <c r="CW4934" s="63"/>
    </row>
    <row r="4935" spans="1:101" x14ac:dyDescent="0.15">
      <c r="A4935" s="76">
        <v>4672</v>
      </c>
      <c r="B4935" s="74" t="s">
        <v>7379</v>
      </c>
      <c r="C4935" s="74">
        <v>999970364</v>
      </c>
      <c r="D4935" s="78" t="str">
        <f t="shared" si="160"/>
        <v>https://portal.dnb.de/opac.htm?method=simpleSearch&amp;cqlMode=true&amp;query=idn%3D999970364</v>
      </c>
      <c r="E4935" s="74" t="s">
        <v>7378</v>
      </c>
      <c r="F4935" s="74"/>
      <c r="G4935" s="76"/>
      <c r="H4935" s="77"/>
      <c r="I4935" s="76"/>
      <c r="J4935" s="77"/>
      <c r="K4935" s="77"/>
      <c r="L4935" s="76"/>
      <c r="M4935" s="76"/>
      <c r="N4935" s="76"/>
      <c r="O4935" s="76"/>
      <c r="P4935" s="76"/>
      <c r="Q4935" s="76"/>
      <c r="R4935" s="76"/>
      <c r="S4935" s="76"/>
      <c r="BD4935" s="99">
        <f t="shared" si="161"/>
        <v>0</v>
      </c>
      <c r="CC4935" s="99"/>
      <c r="CV4935" s="99"/>
      <c r="CW4935" s="63"/>
    </row>
    <row r="4936" spans="1:101" x14ac:dyDescent="0.15">
      <c r="A4936" s="76">
        <v>4673</v>
      </c>
      <c r="B4936" s="74" t="s">
        <v>7380</v>
      </c>
      <c r="C4936" s="74">
        <v>999813269</v>
      </c>
      <c r="D4936" s="78" t="str">
        <f t="shared" si="160"/>
        <v>https://portal.dnb.de/opac.htm?method=simpleSearch&amp;cqlMode=true&amp;query=idn%3D999813269</v>
      </c>
      <c r="E4936" s="74" t="s">
        <v>7381</v>
      </c>
      <c r="F4936" s="74"/>
      <c r="G4936" s="76"/>
      <c r="H4936" s="77"/>
      <c r="I4936" s="76"/>
      <c r="J4936" s="77"/>
      <c r="K4936" s="77"/>
      <c r="L4936" s="76"/>
      <c r="M4936" s="76"/>
      <c r="N4936" s="76"/>
      <c r="O4936" s="76"/>
      <c r="P4936" s="76"/>
      <c r="Q4936" s="76"/>
      <c r="R4936" s="76"/>
      <c r="S4936" s="76"/>
      <c r="BD4936" s="99">
        <f t="shared" si="161"/>
        <v>0</v>
      </c>
      <c r="CC4936" s="99"/>
      <c r="CV4936" s="99"/>
      <c r="CW4936" s="63"/>
    </row>
    <row r="4937" spans="1:101" x14ac:dyDescent="0.15">
      <c r="A4937" s="76">
        <v>4674</v>
      </c>
      <c r="B4937" s="74" t="s">
        <v>7390</v>
      </c>
      <c r="C4937" s="74">
        <v>1000056783</v>
      </c>
      <c r="D4937" s="78" t="str">
        <f t="shared" si="160"/>
        <v>https://portal.dnb.de/opac.htm?method=simpleSearch&amp;cqlMode=true&amp;query=idn%3D1000056783</v>
      </c>
      <c r="E4937" s="74" t="s">
        <v>7391</v>
      </c>
      <c r="F4937" s="74"/>
      <c r="G4937" s="76"/>
      <c r="H4937" s="77"/>
      <c r="I4937" s="76"/>
      <c r="J4937" s="77"/>
      <c r="K4937" s="77"/>
      <c r="L4937" s="76"/>
      <c r="M4937" s="76"/>
      <c r="N4937" s="76"/>
      <c r="O4937" s="76"/>
      <c r="P4937" s="76"/>
      <c r="Q4937" s="76"/>
      <c r="R4937" s="76"/>
      <c r="S4937" s="76"/>
      <c r="BD4937" s="99">
        <f t="shared" si="161"/>
        <v>0</v>
      </c>
      <c r="CC4937" s="99"/>
      <c r="CV4937" s="99"/>
      <c r="CW4937" s="63"/>
    </row>
    <row r="4938" spans="1:101" x14ac:dyDescent="0.15">
      <c r="A4938" s="76">
        <v>4675</v>
      </c>
      <c r="B4938" s="74" t="s">
        <v>7410</v>
      </c>
      <c r="C4938" s="74">
        <v>1066874425</v>
      </c>
      <c r="D4938" s="78" t="str">
        <f t="shared" si="160"/>
        <v>https://portal.dnb.de/opac.htm?method=simpleSearch&amp;cqlMode=true&amp;query=idn%3D1066874425</v>
      </c>
      <c r="E4938" s="74" t="s">
        <v>7411</v>
      </c>
      <c r="F4938" s="74"/>
      <c r="G4938" s="76"/>
      <c r="H4938" s="77"/>
      <c r="I4938" s="76"/>
      <c r="J4938" s="77"/>
      <c r="K4938" s="77"/>
      <c r="L4938" s="76"/>
      <c r="M4938" s="76"/>
      <c r="N4938" s="76"/>
      <c r="O4938" s="76"/>
      <c r="P4938" s="76"/>
      <c r="Q4938" s="76"/>
      <c r="R4938" s="76"/>
      <c r="S4938" s="76"/>
      <c r="BD4938" s="99">
        <f t="shared" si="161"/>
        <v>0</v>
      </c>
      <c r="CC4938" s="99"/>
      <c r="CV4938" s="99"/>
      <c r="CW4938" s="63"/>
    </row>
    <row r="4939" spans="1:101" x14ac:dyDescent="0.15">
      <c r="A4939" s="76">
        <v>4676</v>
      </c>
      <c r="B4939" s="74" t="s">
        <v>7435</v>
      </c>
      <c r="C4939" s="74">
        <v>995808511</v>
      </c>
      <c r="D4939" s="78" t="str">
        <f t="shared" si="160"/>
        <v>https://portal.dnb.de/opac.htm?method=simpleSearch&amp;cqlMode=true&amp;query=idn%3D995808511</v>
      </c>
      <c r="E4939" s="74" t="s">
        <v>7436</v>
      </c>
      <c r="F4939" s="74"/>
      <c r="G4939" s="76"/>
      <c r="H4939" s="77"/>
      <c r="I4939" s="76"/>
      <c r="J4939" s="77"/>
      <c r="K4939" s="77"/>
      <c r="L4939" s="76"/>
      <c r="M4939" s="76"/>
      <c r="N4939" s="76"/>
      <c r="O4939" s="76"/>
      <c r="P4939" s="76"/>
      <c r="Q4939" s="76"/>
      <c r="R4939" s="76"/>
      <c r="S4939" s="76"/>
      <c r="BD4939" s="99">
        <f t="shared" si="161"/>
        <v>0</v>
      </c>
      <c r="CC4939" s="99"/>
      <c r="CV4939" s="99"/>
      <c r="CW4939" s="63"/>
    </row>
    <row r="4940" spans="1:101" x14ac:dyDescent="0.15">
      <c r="A4940" s="76">
        <v>4677</v>
      </c>
      <c r="B4940" s="74" t="s">
        <v>7442</v>
      </c>
      <c r="C4940" s="74">
        <v>999839918</v>
      </c>
      <c r="D4940" s="78" t="str">
        <f t="shared" si="160"/>
        <v>https://portal.dnb.de/opac.htm?method=simpleSearch&amp;cqlMode=true&amp;query=idn%3D999839918</v>
      </c>
      <c r="E4940" s="74" t="s">
        <v>7443</v>
      </c>
      <c r="F4940" s="74"/>
      <c r="G4940" s="76"/>
      <c r="H4940" s="77"/>
      <c r="I4940" s="76"/>
      <c r="J4940" s="77"/>
      <c r="K4940" s="77"/>
      <c r="L4940" s="76"/>
      <c r="M4940" s="76"/>
      <c r="N4940" s="76"/>
      <c r="O4940" s="76"/>
      <c r="P4940" s="76"/>
      <c r="Q4940" s="76"/>
      <c r="R4940" s="76"/>
      <c r="S4940" s="76"/>
      <c r="BD4940" s="99">
        <f t="shared" si="161"/>
        <v>0</v>
      </c>
      <c r="CC4940" s="99"/>
      <c r="CV4940" s="99"/>
      <c r="CW4940" s="63"/>
    </row>
    <row r="4941" spans="1:101" x14ac:dyDescent="0.15">
      <c r="A4941" s="76">
        <v>4678</v>
      </c>
      <c r="B4941" s="74" t="s">
        <v>7444</v>
      </c>
      <c r="C4941" s="74">
        <v>994726805</v>
      </c>
      <c r="D4941" s="78" t="str">
        <f t="shared" si="160"/>
        <v>https://portal.dnb.de/opac.htm?method=simpleSearch&amp;cqlMode=true&amp;query=idn%3D994726805</v>
      </c>
      <c r="E4941" s="74" t="s">
        <v>7445</v>
      </c>
      <c r="F4941" s="74"/>
      <c r="G4941" s="76"/>
      <c r="H4941" s="77"/>
      <c r="I4941" s="76"/>
      <c r="J4941" s="77"/>
      <c r="K4941" s="77"/>
      <c r="L4941" s="76"/>
      <c r="M4941" s="76"/>
      <c r="N4941" s="76"/>
      <c r="O4941" s="76"/>
      <c r="P4941" s="76"/>
      <c r="Q4941" s="76"/>
      <c r="R4941" s="76"/>
      <c r="S4941" s="76"/>
      <c r="BD4941" s="99">
        <f t="shared" si="161"/>
        <v>0</v>
      </c>
      <c r="CC4941" s="99"/>
      <c r="CV4941" s="99"/>
      <c r="CW4941" s="63"/>
    </row>
    <row r="4942" spans="1:101" x14ac:dyDescent="0.15">
      <c r="A4942" s="76">
        <v>4679</v>
      </c>
      <c r="B4942" s="74" t="s">
        <v>7446</v>
      </c>
      <c r="C4942" s="74">
        <v>995808635</v>
      </c>
      <c r="D4942" s="78" t="str">
        <f t="shared" si="160"/>
        <v>https://portal.dnb.de/opac.htm?method=simpleSearch&amp;cqlMode=true&amp;query=idn%3D995808635</v>
      </c>
      <c r="E4942" s="74" t="s">
        <v>7447</v>
      </c>
      <c r="F4942" s="74"/>
      <c r="G4942" s="76"/>
      <c r="H4942" s="77"/>
      <c r="I4942" s="76"/>
      <c r="J4942" s="77"/>
      <c r="K4942" s="77"/>
      <c r="L4942" s="76"/>
      <c r="M4942" s="76"/>
      <c r="N4942" s="76"/>
      <c r="O4942" s="76"/>
      <c r="P4942" s="76"/>
      <c r="Q4942" s="76"/>
      <c r="R4942" s="76"/>
      <c r="S4942" s="76"/>
      <c r="BD4942" s="99">
        <f t="shared" si="161"/>
        <v>0</v>
      </c>
      <c r="CC4942" s="99"/>
      <c r="CV4942" s="99"/>
      <c r="CW4942" s="63"/>
    </row>
    <row r="4943" spans="1:101" x14ac:dyDescent="0.15">
      <c r="A4943" s="76">
        <v>4680</v>
      </c>
      <c r="B4943" s="74" t="s">
        <v>7448</v>
      </c>
      <c r="C4943" s="74">
        <v>995808716</v>
      </c>
      <c r="D4943" s="78" t="str">
        <f t="shared" si="160"/>
        <v>https://portal.dnb.de/opac.htm?method=simpleSearch&amp;cqlMode=true&amp;query=idn%3D995808716</v>
      </c>
      <c r="E4943" s="74" t="s">
        <v>7449</v>
      </c>
      <c r="F4943" s="74"/>
      <c r="G4943" s="76"/>
      <c r="H4943" s="77"/>
      <c r="I4943" s="76"/>
      <c r="J4943" s="77"/>
      <c r="K4943" s="77"/>
      <c r="L4943" s="76"/>
      <c r="M4943" s="76"/>
      <c r="N4943" s="76"/>
      <c r="O4943" s="76"/>
      <c r="P4943" s="76"/>
      <c r="Q4943" s="76"/>
      <c r="R4943" s="76"/>
      <c r="S4943" s="76"/>
      <c r="BD4943" s="99">
        <f t="shared" si="161"/>
        <v>0</v>
      </c>
      <c r="CC4943" s="99"/>
      <c r="CV4943" s="99"/>
      <c r="CW4943" s="63"/>
    </row>
    <row r="4944" spans="1:101" x14ac:dyDescent="0.15">
      <c r="A4944" s="76">
        <v>4681</v>
      </c>
      <c r="B4944" s="74" t="s">
        <v>7450</v>
      </c>
      <c r="C4944" s="74">
        <v>993862101</v>
      </c>
      <c r="D4944" s="78" t="str">
        <f t="shared" si="160"/>
        <v>https://portal.dnb.de/opac.htm?method=simpleSearch&amp;cqlMode=true&amp;query=idn%3D993862101</v>
      </c>
      <c r="E4944" s="74" t="s">
        <v>7451</v>
      </c>
      <c r="F4944" s="74"/>
      <c r="G4944" s="76"/>
      <c r="H4944" s="77"/>
      <c r="I4944" s="76"/>
      <c r="J4944" s="77"/>
      <c r="K4944" s="77"/>
      <c r="L4944" s="76"/>
      <c r="M4944" s="76"/>
      <c r="N4944" s="76"/>
      <c r="O4944" s="76"/>
      <c r="P4944" s="76"/>
      <c r="Q4944" s="76"/>
      <c r="R4944" s="76"/>
      <c r="S4944" s="76"/>
      <c r="BD4944" s="99">
        <f t="shared" si="161"/>
        <v>0</v>
      </c>
      <c r="CC4944" s="99"/>
      <c r="CV4944" s="99"/>
      <c r="CW4944" s="63"/>
    </row>
    <row r="4945" spans="1:101" x14ac:dyDescent="0.15">
      <c r="A4945" s="76">
        <v>4682</v>
      </c>
      <c r="B4945" s="74" t="s">
        <v>7452</v>
      </c>
      <c r="C4945" s="74">
        <v>994151403</v>
      </c>
      <c r="D4945" s="78" t="str">
        <f t="shared" si="160"/>
        <v>https://portal.dnb.de/opac.htm?method=simpleSearch&amp;cqlMode=true&amp;query=idn%3D994151403</v>
      </c>
      <c r="E4945" s="74" t="s">
        <v>7453</v>
      </c>
      <c r="F4945" s="74"/>
      <c r="G4945" s="76"/>
      <c r="H4945" s="77"/>
      <c r="I4945" s="76"/>
      <c r="J4945" s="77"/>
      <c r="K4945" s="77"/>
      <c r="L4945" s="76"/>
      <c r="M4945" s="76"/>
      <c r="N4945" s="76"/>
      <c r="O4945" s="76"/>
      <c r="P4945" s="76"/>
      <c r="Q4945" s="76"/>
      <c r="R4945" s="76"/>
      <c r="S4945" s="76"/>
      <c r="BD4945" s="99">
        <f t="shared" si="161"/>
        <v>0</v>
      </c>
      <c r="CC4945" s="99"/>
      <c r="CV4945" s="99"/>
      <c r="CW4945" s="63"/>
    </row>
    <row r="4946" spans="1:101" x14ac:dyDescent="0.15">
      <c r="A4946" s="76">
        <v>4683</v>
      </c>
      <c r="B4946" s="74" t="s">
        <v>7392</v>
      </c>
      <c r="C4946" s="74">
        <v>996709916</v>
      </c>
      <c r="D4946" s="78" t="str">
        <f t="shared" si="160"/>
        <v>https://portal.dnb.de/opac.htm?method=simpleSearch&amp;cqlMode=true&amp;query=idn%3D996709916</v>
      </c>
      <c r="E4946" s="74" t="s">
        <v>7393</v>
      </c>
      <c r="F4946" s="74"/>
      <c r="G4946" s="76"/>
      <c r="H4946" s="77"/>
      <c r="I4946" s="76"/>
      <c r="J4946" s="77"/>
      <c r="K4946" s="77"/>
      <c r="L4946" s="76"/>
      <c r="M4946" s="76"/>
      <c r="N4946" s="76"/>
      <c r="O4946" s="76"/>
      <c r="P4946" s="76"/>
      <c r="Q4946" s="76"/>
      <c r="R4946" s="76"/>
      <c r="S4946" s="76"/>
      <c r="BD4946" s="99">
        <f t="shared" si="161"/>
        <v>0</v>
      </c>
      <c r="CC4946" s="99"/>
      <c r="CV4946" s="99"/>
      <c r="CW4946" s="63"/>
    </row>
    <row r="4947" spans="1:101" x14ac:dyDescent="0.15">
      <c r="A4947" s="76">
        <v>4684</v>
      </c>
      <c r="B4947" s="74" t="s">
        <v>7394</v>
      </c>
      <c r="C4947" s="74">
        <v>993883079</v>
      </c>
      <c r="D4947" s="78" t="str">
        <f t="shared" si="160"/>
        <v>https://portal.dnb.de/opac.htm?method=simpleSearch&amp;cqlMode=true&amp;query=idn%3D993883079</v>
      </c>
      <c r="E4947" s="74" t="s">
        <v>7395</v>
      </c>
      <c r="F4947" s="74"/>
      <c r="G4947" s="76"/>
      <c r="H4947" s="77"/>
      <c r="I4947" s="76"/>
      <c r="J4947" s="77"/>
      <c r="K4947" s="77"/>
      <c r="L4947" s="76"/>
      <c r="M4947" s="76"/>
      <c r="N4947" s="76"/>
      <c r="O4947" s="76"/>
      <c r="P4947" s="76"/>
      <c r="Q4947" s="76"/>
      <c r="R4947" s="76"/>
      <c r="S4947" s="76"/>
      <c r="BD4947" s="99">
        <f t="shared" si="161"/>
        <v>0</v>
      </c>
      <c r="CC4947" s="99"/>
      <c r="CV4947" s="99"/>
      <c r="CW4947" s="63"/>
    </row>
    <row r="4948" spans="1:101" x14ac:dyDescent="0.15">
      <c r="A4948" s="76">
        <v>4685</v>
      </c>
      <c r="B4948" s="74" t="s">
        <v>7396</v>
      </c>
      <c r="C4948" s="74">
        <v>994404700</v>
      </c>
      <c r="D4948" s="78" t="str">
        <f t="shared" si="160"/>
        <v>https://portal.dnb.de/opac.htm?method=simpleSearch&amp;cqlMode=true&amp;query=idn%3D994404700</v>
      </c>
      <c r="E4948" s="74" t="s">
        <v>7397</v>
      </c>
      <c r="F4948" s="74"/>
      <c r="G4948" s="76"/>
      <c r="H4948" s="77"/>
      <c r="I4948" s="76"/>
      <c r="J4948" s="77"/>
      <c r="K4948" s="77"/>
      <c r="L4948" s="76"/>
      <c r="M4948" s="76"/>
      <c r="N4948" s="76"/>
      <c r="O4948" s="76"/>
      <c r="P4948" s="76"/>
      <c r="Q4948" s="76"/>
      <c r="R4948" s="76"/>
      <c r="S4948" s="76"/>
      <c r="BD4948" s="99">
        <f t="shared" si="161"/>
        <v>0</v>
      </c>
      <c r="CC4948" s="99"/>
      <c r="CV4948" s="99"/>
      <c r="CW4948" s="63"/>
    </row>
    <row r="4949" spans="1:101" x14ac:dyDescent="0.15">
      <c r="A4949" s="76">
        <v>4686</v>
      </c>
      <c r="B4949" s="74" t="s">
        <v>7398</v>
      </c>
      <c r="C4949" s="74">
        <v>999123378</v>
      </c>
      <c r="D4949" s="78" t="str">
        <f t="shared" si="160"/>
        <v>https://portal.dnb.de/opac.htm?method=simpleSearch&amp;cqlMode=true&amp;query=idn%3D999123378</v>
      </c>
      <c r="E4949" s="74" t="s">
        <v>7399</v>
      </c>
      <c r="F4949" s="74"/>
      <c r="G4949" s="76"/>
      <c r="H4949" s="77"/>
      <c r="I4949" s="76"/>
      <c r="J4949" s="77"/>
      <c r="K4949" s="77"/>
      <c r="L4949" s="76"/>
      <c r="M4949" s="76"/>
      <c r="N4949" s="76"/>
      <c r="O4949" s="76"/>
      <c r="P4949" s="76"/>
      <c r="Q4949" s="76"/>
      <c r="R4949" s="76"/>
      <c r="S4949" s="76"/>
      <c r="BD4949" s="99">
        <f t="shared" si="161"/>
        <v>0</v>
      </c>
      <c r="CC4949" s="99"/>
      <c r="CV4949" s="99"/>
      <c r="CW4949" s="63"/>
    </row>
    <row r="4950" spans="1:101" x14ac:dyDescent="0.15">
      <c r="A4950" s="76">
        <v>4687</v>
      </c>
      <c r="B4950" s="74" t="s">
        <v>7400</v>
      </c>
      <c r="C4950" s="74">
        <v>994228856</v>
      </c>
      <c r="D4950" s="78" t="str">
        <f t="shared" si="160"/>
        <v>https://portal.dnb.de/opac.htm?method=simpleSearch&amp;cqlMode=true&amp;query=idn%3D994228856</v>
      </c>
      <c r="E4950" s="74" t="s">
        <v>7401</v>
      </c>
      <c r="F4950" s="74"/>
      <c r="G4950" s="76"/>
      <c r="H4950" s="77"/>
      <c r="I4950" s="76"/>
      <c r="J4950" s="77"/>
      <c r="K4950" s="77"/>
      <c r="L4950" s="76"/>
      <c r="M4950" s="76"/>
      <c r="N4950" s="76"/>
      <c r="O4950" s="76"/>
      <c r="P4950" s="76"/>
      <c r="Q4950" s="76"/>
      <c r="R4950" s="76"/>
      <c r="S4950" s="76"/>
      <c r="BD4950" s="99">
        <f t="shared" si="161"/>
        <v>0</v>
      </c>
      <c r="CC4950" s="99"/>
      <c r="CV4950" s="99"/>
      <c r="CW4950" s="63"/>
    </row>
    <row r="4951" spans="1:101" x14ac:dyDescent="0.15">
      <c r="A4951" s="76">
        <v>4688</v>
      </c>
      <c r="B4951" s="74" t="s">
        <v>7402</v>
      </c>
      <c r="C4951" s="74">
        <v>1001871480</v>
      </c>
      <c r="D4951" s="78" t="str">
        <f t="shared" si="160"/>
        <v>https://portal.dnb.de/opac.htm?method=simpleSearch&amp;cqlMode=true&amp;query=idn%3D1001871480</v>
      </c>
      <c r="E4951" s="74" t="s">
        <v>7403</v>
      </c>
      <c r="F4951" s="74"/>
      <c r="G4951" s="76"/>
      <c r="H4951" s="77"/>
      <c r="I4951" s="76"/>
      <c r="J4951" s="77"/>
      <c r="K4951" s="77"/>
      <c r="L4951" s="76"/>
      <c r="M4951" s="76"/>
      <c r="N4951" s="76"/>
      <c r="O4951" s="76"/>
      <c r="P4951" s="76"/>
      <c r="Q4951" s="76"/>
      <c r="R4951" s="76"/>
      <c r="S4951" s="76"/>
      <c r="BD4951" s="99">
        <f t="shared" si="161"/>
        <v>0</v>
      </c>
      <c r="CC4951" s="99"/>
      <c r="CV4951" s="99"/>
      <c r="CW4951" s="63"/>
    </row>
    <row r="4952" spans="1:101" x14ac:dyDescent="0.15">
      <c r="A4952" s="76">
        <v>4689</v>
      </c>
      <c r="B4952" s="74" t="s">
        <v>7404</v>
      </c>
      <c r="C4952" s="74">
        <v>998017205</v>
      </c>
      <c r="D4952" s="78" t="str">
        <f t="shared" si="160"/>
        <v>https://portal.dnb.de/opac.htm?method=simpleSearch&amp;cqlMode=true&amp;query=idn%3D998017205</v>
      </c>
      <c r="E4952" s="74" t="s">
        <v>7405</v>
      </c>
      <c r="F4952" s="74"/>
      <c r="G4952" s="76"/>
      <c r="H4952" s="77"/>
      <c r="I4952" s="76"/>
      <c r="J4952" s="77"/>
      <c r="K4952" s="77"/>
      <c r="L4952" s="76"/>
      <c r="M4952" s="76"/>
      <c r="N4952" s="76"/>
      <c r="O4952" s="76"/>
      <c r="P4952" s="76"/>
      <c r="Q4952" s="76"/>
      <c r="R4952" s="76"/>
      <c r="S4952" s="76"/>
      <c r="BD4952" s="99">
        <f t="shared" si="161"/>
        <v>0</v>
      </c>
      <c r="CC4952" s="99"/>
      <c r="CV4952" s="99"/>
      <c r="CW4952" s="63"/>
    </row>
    <row r="4953" spans="1:101" x14ac:dyDescent="0.15">
      <c r="A4953" s="76">
        <v>4690</v>
      </c>
      <c r="B4953" s="74" t="s">
        <v>7406</v>
      </c>
      <c r="C4953" s="74">
        <v>995484856</v>
      </c>
      <c r="D4953" s="78" t="str">
        <f t="shared" si="160"/>
        <v>https://portal.dnb.de/opac.htm?method=simpleSearch&amp;cqlMode=true&amp;query=idn%3D995484856</v>
      </c>
      <c r="E4953" s="74" t="s">
        <v>7407</v>
      </c>
      <c r="F4953" s="74"/>
      <c r="G4953" s="76"/>
      <c r="H4953" s="77"/>
      <c r="I4953" s="76"/>
      <c r="J4953" s="77"/>
      <c r="K4953" s="77"/>
      <c r="L4953" s="76"/>
      <c r="M4953" s="76"/>
      <c r="N4953" s="76"/>
      <c r="O4953" s="76"/>
      <c r="P4953" s="76"/>
      <c r="Q4953" s="76"/>
      <c r="R4953" s="76"/>
      <c r="S4953" s="76"/>
      <c r="BD4953" s="99">
        <f t="shared" si="161"/>
        <v>0</v>
      </c>
      <c r="CC4953" s="99"/>
      <c r="CV4953" s="99"/>
      <c r="CW4953" s="63"/>
    </row>
    <row r="4954" spans="1:101" x14ac:dyDescent="0.15">
      <c r="A4954" s="76">
        <v>4691</v>
      </c>
      <c r="B4954" s="74" t="s">
        <v>7408</v>
      </c>
      <c r="C4954" s="74">
        <v>994053398</v>
      </c>
      <c r="D4954" s="78" t="str">
        <f t="shared" si="160"/>
        <v>https://portal.dnb.de/opac.htm?method=simpleSearch&amp;cqlMode=true&amp;query=idn%3D994053398</v>
      </c>
      <c r="E4954" s="74" t="s">
        <v>7409</v>
      </c>
      <c r="F4954" s="74"/>
      <c r="G4954" s="76"/>
      <c r="H4954" s="77"/>
      <c r="I4954" s="76"/>
      <c r="J4954" s="77"/>
      <c r="K4954" s="77"/>
      <c r="L4954" s="76"/>
      <c r="M4954" s="76"/>
      <c r="N4954" s="76"/>
      <c r="O4954" s="76"/>
      <c r="P4954" s="76"/>
      <c r="Q4954" s="76"/>
      <c r="R4954" s="76"/>
      <c r="S4954" s="76"/>
      <c r="BD4954" s="99">
        <f t="shared" si="161"/>
        <v>0</v>
      </c>
      <c r="CC4954" s="99"/>
      <c r="CV4954" s="99"/>
      <c r="CW4954" s="63"/>
    </row>
    <row r="4955" spans="1:101" x14ac:dyDescent="0.15">
      <c r="A4955" s="76">
        <v>4692</v>
      </c>
      <c r="B4955" s="74" t="s">
        <v>7412</v>
      </c>
      <c r="C4955" s="74">
        <v>1000192245</v>
      </c>
      <c r="D4955" s="78" t="str">
        <f t="shared" si="160"/>
        <v>https://portal.dnb.de/opac.htm?method=simpleSearch&amp;cqlMode=true&amp;query=idn%3D1000192245</v>
      </c>
      <c r="E4955" s="74" t="s">
        <v>7413</v>
      </c>
      <c r="F4955" s="74"/>
      <c r="G4955" s="76"/>
      <c r="H4955" s="77"/>
      <c r="I4955" s="76"/>
      <c r="J4955" s="77"/>
      <c r="K4955" s="77"/>
      <c r="L4955" s="76"/>
      <c r="M4955" s="76"/>
      <c r="N4955" s="76"/>
      <c r="O4955" s="76"/>
      <c r="P4955" s="76"/>
      <c r="Q4955" s="76"/>
      <c r="R4955" s="76"/>
      <c r="S4955" s="76"/>
      <c r="BD4955" s="99">
        <f t="shared" si="161"/>
        <v>0</v>
      </c>
      <c r="CC4955" s="99"/>
      <c r="CV4955" s="99"/>
      <c r="CW4955" s="63"/>
    </row>
    <row r="4956" spans="1:101" x14ac:dyDescent="0.15">
      <c r="A4956" s="76">
        <v>4693</v>
      </c>
      <c r="B4956" s="74" t="s">
        <v>7414</v>
      </c>
      <c r="C4956" s="74">
        <v>1002118409</v>
      </c>
      <c r="D4956" s="78" t="str">
        <f t="shared" si="160"/>
        <v>https://portal.dnb.de/opac.htm?method=simpleSearch&amp;cqlMode=true&amp;query=idn%3D1002118409</v>
      </c>
      <c r="E4956" s="74" t="s">
        <v>7415</v>
      </c>
      <c r="F4956" s="74"/>
      <c r="G4956" s="76"/>
      <c r="H4956" s="77"/>
      <c r="I4956" s="76"/>
      <c r="J4956" s="77"/>
      <c r="K4956" s="77"/>
      <c r="L4956" s="76"/>
      <c r="M4956" s="76"/>
      <c r="N4956" s="76"/>
      <c r="O4956" s="76"/>
      <c r="P4956" s="76"/>
      <c r="Q4956" s="76"/>
      <c r="R4956" s="76"/>
      <c r="S4956" s="76"/>
      <c r="BD4956" s="99">
        <f t="shared" si="161"/>
        <v>0</v>
      </c>
      <c r="CC4956" s="99"/>
      <c r="CV4956" s="99"/>
      <c r="CW4956" s="63"/>
    </row>
    <row r="4957" spans="1:101" x14ac:dyDescent="0.15">
      <c r="A4957" s="76">
        <v>4694</v>
      </c>
      <c r="B4957" s="74" t="s">
        <v>7416</v>
      </c>
      <c r="C4957" s="74">
        <v>1002531276</v>
      </c>
      <c r="D4957" s="78" t="str">
        <f t="shared" si="160"/>
        <v>https://portal.dnb.de/opac.htm?method=simpleSearch&amp;cqlMode=true&amp;query=idn%3D1002531276</v>
      </c>
      <c r="E4957" s="74" t="s">
        <v>7417</v>
      </c>
      <c r="F4957" s="74"/>
      <c r="G4957" s="76"/>
      <c r="H4957" s="77"/>
      <c r="I4957" s="76"/>
      <c r="J4957" s="77"/>
      <c r="K4957" s="77"/>
      <c r="L4957" s="76"/>
      <c r="M4957" s="76"/>
      <c r="N4957" s="76"/>
      <c r="O4957" s="76"/>
      <c r="P4957" s="76"/>
      <c r="Q4957" s="76"/>
      <c r="R4957" s="76"/>
      <c r="S4957" s="76"/>
      <c r="BD4957" s="99">
        <f t="shared" si="161"/>
        <v>0</v>
      </c>
      <c r="CC4957" s="99"/>
      <c r="CV4957" s="99"/>
      <c r="CW4957" s="63"/>
    </row>
    <row r="4958" spans="1:101" x14ac:dyDescent="0.15">
      <c r="A4958" s="76">
        <v>4695</v>
      </c>
      <c r="B4958" s="74" t="s">
        <v>7418</v>
      </c>
      <c r="C4958" s="74">
        <v>1003698387</v>
      </c>
      <c r="D4958" s="78" t="str">
        <f t="shared" si="160"/>
        <v>https://portal.dnb.de/opac.htm?method=simpleSearch&amp;cqlMode=true&amp;query=idn%3D1003698387</v>
      </c>
      <c r="E4958" s="74" t="s">
        <v>7419</v>
      </c>
      <c r="F4958" s="74"/>
      <c r="G4958" s="76"/>
      <c r="H4958" s="77"/>
      <c r="I4958" s="76"/>
      <c r="J4958" s="77"/>
      <c r="K4958" s="77"/>
      <c r="L4958" s="76"/>
      <c r="M4958" s="76"/>
      <c r="N4958" s="76"/>
      <c r="O4958" s="76"/>
      <c r="P4958" s="76"/>
      <c r="Q4958" s="76"/>
      <c r="R4958" s="76"/>
      <c r="S4958" s="76"/>
      <c r="BD4958" s="99">
        <f t="shared" si="161"/>
        <v>0</v>
      </c>
      <c r="CC4958" s="99"/>
      <c r="CV4958" s="99"/>
      <c r="CW4958" s="63"/>
    </row>
    <row r="4959" spans="1:101" x14ac:dyDescent="0.15">
      <c r="A4959" s="76">
        <v>4696</v>
      </c>
      <c r="B4959" s="74" t="s">
        <v>7420</v>
      </c>
      <c r="C4959" s="74">
        <v>1001187679</v>
      </c>
      <c r="D4959" s="78" t="str">
        <f t="shared" si="160"/>
        <v>https://portal.dnb.de/opac.htm?method=simpleSearch&amp;cqlMode=true&amp;query=idn%3D1001187679</v>
      </c>
      <c r="E4959" s="74" t="s">
        <v>7421</v>
      </c>
      <c r="F4959" s="74"/>
      <c r="G4959" s="76"/>
      <c r="H4959" s="77"/>
      <c r="I4959" s="76"/>
      <c r="J4959" s="77"/>
      <c r="K4959" s="77"/>
      <c r="L4959" s="76"/>
      <c r="M4959" s="76"/>
      <c r="N4959" s="76"/>
      <c r="O4959" s="76"/>
      <c r="P4959" s="76"/>
      <c r="Q4959" s="76"/>
      <c r="R4959" s="76"/>
      <c r="S4959" s="76"/>
      <c r="BD4959" s="99">
        <f t="shared" si="161"/>
        <v>0</v>
      </c>
      <c r="CC4959" s="99"/>
      <c r="CV4959" s="99"/>
      <c r="CW4959" s="63"/>
    </row>
    <row r="4960" spans="1:101" x14ac:dyDescent="0.15">
      <c r="A4960" s="76">
        <v>4697</v>
      </c>
      <c r="B4960" s="74" t="s">
        <v>7422</v>
      </c>
      <c r="C4960" s="74">
        <v>1000489418</v>
      </c>
      <c r="D4960" s="78" t="str">
        <f t="shared" si="160"/>
        <v>https://portal.dnb.de/opac.htm?method=simpleSearch&amp;cqlMode=true&amp;query=idn%3D1000489418</v>
      </c>
      <c r="E4960" s="74" t="s">
        <v>7423</v>
      </c>
      <c r="F4960" s="74"/>
      <c r="G4960" s="76"/>
      <c r="H4960" s="77"/>
      <c r="I4960" s="76"/>
      <c r="J4960" s="77"/>
      <c r="K4960" s="77"/>
      <c r="L4960" s="76"/>
      <c r="M4960" s="76"/>
      <c r="N4960" s="76"/>
      <c r="O4960" s="76"/>
      <c r="P4960" s="76"/>
      <c r="Q4960" s="76"/>
      <c r="R4960" s="76"/>
      <c r="S4960" s="76"/>
      <c r="BD4960" s="99">
        <f t="shared" si="161"/>
        <v>0</v>
      </c>
      <c r="CC4960" s="99"/>
      <c r="CV4960" s="99"/>
      <c r="CW4960" s="63"/>
    </row>
    <row r="4961" spans="1:101" x14ac:dyDescent="0.15">
      <c r="A4961" s="76">
        <v>4698</v>
      </c>
      <c r="B4961" s="74" t="s">
        <v>7424</v>
      </c>
      <c r="C4961" s="74">
        <v>1001446585</v>
      </c>
      <c r="D4961" s="78" t="str">
        <f t="shared" si="160"/>
        <v>https://portal.dnb.de/opac.htm?method=simpleSearch&amp;cqlMode=true&amp;query=idn%3D1001446585</v>
      </c>
      <c r="E4961" s="74" t="s">
        <v>7425</v>
      </c>
      <c r="F4961" s="74"/>
      <c r="G4961" s="76"/>
      <c r="H4961" s="77"/>
      <c r="I4961" s="76"/>
      <c r="J4961" s="77"/>
      <c r="K4961" s="77"/>
      <c r="L4961" s="76"/>
      <c r="M4961" s="76"/>
      <c r="N4961" s="76"/>
      <c r="O4961" s="76"/>
      <c r="P4961" s="76"/>
      <c r="Q4961" s="76"/>
      <c r="R4961" s="76"/>
      <c r="S4961" s="76"/>
      <c r="BD4961" s="99">
        <f t="shared" si="161"/>
        <v>0</v>
      </c>
      <c r="CC4961" s="99"/>
      <c r="CV4961" s="99"/>
      <c r="CW4961" s="63"/>
    </row>
    <row r="4962" spans="1:101" x14ac:dyDescent="0.15">
      <c r="A4962" s="76">
        <v>4699</v>
      </c>
      <c r="B4962" s="74" t="s">
        <v>7426</v>
      </c>
      <c r="C4962" s="74">
        <v>997067063</v>
      </c>
      <c r="D4962" s="78" t="str">
        <f t="shared" ref="D4962:D4993" si="162">HYPERLINK(CONCATENATE("https://portal.dnb.de/opac.htm?method=simpleSearch&amp;cqlMode=true&amp;query=idn%3D",C4962))</f>
        <v>https://portal.dnb.de/opac.htm?method=simpleSearch&amp;cqlMode=true&amp;query=idn%3D997067063</v>
      </c>
      <c r="E4962" s="74" t="s">
        <v>7427</v>
      </c>
      <c r="F4962" s="74"/>
      <c r="G4962" s="76"/>
      <c r="H4962" s="77"/>
      <c r="I4962" s="76"/>
      <c r="J4962" s="77"/>
      <c r="K4962" s="77"/>
      <c r="L4962" s="76"/>
      <c r="M4962" s="76"/>
      <c r="N4962" s="76"/>
      <c r="O4962" s="76"/>
      <c r="P4962" s="76"/>
      <c r="Q4962" s="76"/>
      <c r="R4962" s="76"/>
      <c r="S4962" s="76"/>
      <c r="BD4962" s="99">
        <f t="shared" si="161"/>
        <v>0</v>
      </c>
      <c r="CC4962" s="99"/>
      <c r="CV4962" s="99"/>
      <c r="CW4962" s="63"/>
    </row>
    <row r="4963" spans="1:101" x14ac:dyDescent="0.15">
      <c r="A4963" s="76">
        <v>4700</v>
      </c>
      <c r="B4963" s="74" t="s">
        <v>7428</v>
      </c>
      <c r="C4963" s="74">
        <v>995411891</v>
      </c>
      <c r="D4963" s="78" t="str">
        <f t="shared" si="162"/>
        <v>https://portal.dnb.de/opac.htm?method=simpleSearch&amp;cqlMode=true&amp;query=idn%3D995411891</v>
      </c>
      <c r="E4963" s="74" t="s">
        <v>7429</v>
      </c>
      <c r="F4963" s="74"/>
      <c r="G4963" s="76"/>
      <c r="H4963" s="77"/>
      <c r="I4963" s="76"/>
      <c r="J4963" s="77"/>
      <c r="K4963" s="77"/>
      <c r="L4963" s="76"/>
      <c r="M4963" s="76"/>
      <c r="N4963" s="76"/>
      <c r="O4963" s="76"/>
      <c r="P4963" s="76"/>
      <c r="Q4963" s="76"/>
      <c r="R4963" s="76"/>
      <c r="S4963" s="76"/>
      <c r="BD4963" s="99">
        <f t="shared" si="161"/>
        <v>0</v>
      </c>
      <c r="CC4963" s="99"/>
      <c r="CV4963" s="99"/>
      <c r="CW4963" s="63"/>
    </row>
    <row r="4964" spans="1:101" x14ac:dyDescent="0.15">
      <c r="A4964" s="76">
        <v>4701</v>
      </c>
      <c r="B4964" s="74" t="s">
        <v>7430</v>
      </c>
      <c r="C4964" s="74">
        <v>994510608</v>
      </c>
      <c r="D4964" s="78" t="str">
        <f t="shared" si="162"/>
        <v>https://portal.dnb.de/opac.htm?method=simpleSearch&amp;cqlMode=true&amp;query=idn%3D994510608</v>
      </c>
      <c r="E4964" s="74" t="s">
        <v>7429</v>
      </c>
      <c r="F4964" s="74"/>
      <c r="G4964" s="76"/>
      <c r="H4964" s="77"/>
      <c r="I4964" s="76"/>
      <c r="J4964" s="77"/>
      <c r="K4964" s="77"/>
      <c r="L4964" s="76"/>
      <c r="M4964" s="76"/>
      <c r="N4964" s="76"/>
      <c r="O4964" s="76"/>
      <c r="P4964" s="76"/>
      <c r="Q4964" s="76"/>
      <c r="R4964" s="76"/>
      <c r="S4964" s="76"/>
      <c r="BD4964" s="99">
        <f t="shared" si="161"/>
        <v>0</v>
      </c>
      <c r="CC4964" s="99"/>
      <c r="CV4964" s="99"/>
      <c r="CW4964" s="63"/>
    </row>
    <row r="4965" spans="1:101" x14ac:dyDescent="0.15">
      <c r="A4965" s="76">
        <v>4702</v>
      </c>
      <c r="B4965" s="74" t="s">
        <v>7431</v>
      </c>
      <c r="C4965" s="74">
        <v>994552750</v>
      </c>
      <c r="D4965" s="78" t="str">
        <f t="shared" si="162"/>
        <v>https://portal.dnb.de/opac.htm?method=simpleSearch&amp;cqlMode=true&amp;query=idn%3D994552750</v>
      </c>
      <c r="E4965" s="74" t="s">
        <v>7429</v>
      </c>
      <c r="F4965" s="74"/>
      <c r="G4965" s="76"/>
      <c r="H4965" s="77"/>
      <c r="I4965" s="76"/>
      <c r="J4965" s="77"/>
      <c r="K4965" s="77"/>
      <c r="L4965" s="76"/>
      <c r="M4965" s="76"/>
      <c r="N4965" s="76"/>
      <c r="O4965" s="76"/>
      <c r="P4965" s="76"/>
      <c r="Q4965" s="76"/>
      <c r="R4965" s="76"/>
      <c r="S4965" s="76"/>
      <c r="BD4965" s="99">
        <f t="shared" si="161"/>
        <v>0</v>
      </c>
      <c r="CC4965" s="99"/>
      <c r="CV4965" s="99"/>
      <c r="CW4965" s="63"/>
    </row>
    <row r="4966" spans="1:101" x14ac:dyDescent="0.15">
      <c r="A4966" s="76">
        <v>4703</v>
      </c>
      <c r="B4966" s="74" t="s">
        <v>7432</v>
      </c>
      <c r="C4966" s="74">
        <v>999155628</v>
      </c>
      <c r="D4966" s="78" t="str">
        <f t="shared" si="162"/>
        <v>https://portal.dnb.de/opac.htm?method=simpleSearch&amp;cqlMode=true&amp;query=idn%3D999155628</v>
      </c>
      <c r="E4966" s="74" t="s">
        <v>7429</v>
      </c>
      <c r="F4966" s="74"/>
      <c r="G4966" s="76"/>
      <c r="H4966" s="77"/>
      <c r="I4966" s="76"/>
      <c r="J4966" s="77"/>
      <c r="K4966" s="77"/>
      <c r="L4966" s="76"/>
      <c r="M4966" s="76"/>
      <c r="N4966" s="76"/>
      <c r="O4966" s="76"/>
      <c r="P4966" s="76"/>
      <c r="Q4966" s="76"/>
      <c r="R4966" s="76"/>
      <c r="S4966" s="76"/>
      <c r="BD4966" s="99">
        <f t="shared" si="161"/>
        <v>0</v>
      </c>
      <c r="CC4966" s="99"/>
      <c r="CV4966" s="99"/>
      <c r="CW4966" s="63"/>
    </row>
    <row r="4967" spans="1:101" x14ac:dyDescent="0.15">
      <c r="A4967" s="76">
        <v>4704</v>
      </c>
      <c r="B4967" s="74" t="s">
        <v>7433</v>
      </c>
      <c r="C4967" s="74" t="s">
        <v>7434</v>
      </c>
      <c r="D4967" s="78" t="str">
        <f t="shared" si="162"/>
        <v>https://portal.dnb.de/opac.htm?method=simpleSearch&amp;cqlMode=true&amp;query=idn%3D99888331X</v>
      </c>
      <c r="E4967" s="74" t="s">
        <v>7429</v>
      </c>
      <c r="F4967" s="74"/>
      <c r="G4967" s="76"/>
      <c r="H4967" s="77"/>
      <c r="I4967" s="76"/>
      <c r="J4967" s="77"/>
      <c r="K4967" s="77"/>
      <c r="L4967" s="76"/>
      <c r="M4967" s="76"/>
      <c r="N4967" s="76"/>
      <c r="O4967" s="76"/>
      <c r="P4967" s="76"/>
      <c r="Q4967" s="76"/>
      <c r="R4967" s="76"/>
      <c r="S4967" s="76"/>
      <c r="BD4967" s="99">
        <f t="shared" si="161"/>
        <v>0</v>
      </c>
      <c r="CC4967" s="99"/>
      <c r="CV4967" s="99"/>
      <c r="CW4967" s="63"/>
    </row>
    <row r="4968" spans="1:101" x14ac:dyDescent="0.15">
      <c r="A4968" s="76">
        <v>4705</v>
      </c>
      <c r="B4968" s="74" t="s">
        <v>7437</v>
      </c>
      <c r="C4968" s="74">
        <v>997351217</v>
      </c>
      <c r="D4968" s="78" t="str">
        <f t="shared" si="162"/>
        <v>https://portal.dnb.de/opac.htm?method=simpleSearch&amp;cqlMode=true&amp;query=idn%3D997351217</v>
      </c>
      <c r="E4968" s="74" t="s">
        <v>7438</v>
      </c>
      <c r="F4968" s="74"/>
      <c r="G4968" s="76"/>
      <c r="H4968" s="77"/>
      <c r="I4968" s="76"/>
      <c r="J4968" s="77"/>
      <c r="K4968" s="77"/>
      <c r="L4968" s="76"/>
      <c r="M4968" s="76"/>
      <c r="N4968" s="76"/>
      <c r="O4968" s="76"/>
      <c r="P4968" s="76"/>
      <c r="Q4968" s="76"/>
      <c r="R4968" s="76"/>
      <c r="S4968" s="76"/>
      <c r="BD4968" s="99">
        <f t="shared" si="161"/>
        <v>0</v>
      </c>
      <c r="CC4968" s="99"/>
      <c r="CV4968" s="99"/>
      <c r="CW4968" s="63"/>
    </row>
    <row r="4969" spans="1:101" x14ac:dyDescent="0.15">
      <c r="A4969" s="76">
        <v>4706</v>
      </c>
      <c r="B4969" s="74" t="s">
        <v>7439</v>
      </c>
      <c r="C4969" s="74">
        <v>997351217</v>
      </c>
      <c r="D4969" s="78" t="str">
        <f t="shared" si="162"/>
        <v>https://portal.dnb.de/opac.htm?method=simpleSearch&amp;cqlMode=true&amp;query=idn%3D997351217</v>
      </c>
      <c r="E4969" s="74" t="s">
        <v>7438</v>
      </c>
      <c r="F4969" s="74"/>
      <c r="G4969" s="76"/>
      <c r="H4969" s="77"/>
      <c r="I4969" s="76"/>
      <c r="J4969" s="77"/>
      <c r="K4969" s="77"/>
      <c r="L4969" s="76"/>
      <c r="M4969" s="76"/>
      <c r="N4969" s="76"/>
      <c r="O4969" s="76"/>
      <c r="P4969" s="76"/>
      <c r="Q4969" s="76"/>
      <c r="R4969" s="76"/>
      <c r="S4969" s="76"/>
      <c r="BD4969" s="99">
        <f t="shared" si="161"/>
        <v>0</v>
      </c>
      <c r="CC4969" s="99"/>
      <c r="CV4969" s="99"/>
      <c r="CW4969" s="63"/>
    </row>
    <row r="4970" spans="1:101" x14ac:dyDescent="0.15">
      <c r="A4970" s="76">
        <v>4707</v>
      </c>
      <c r="B4970" s="74" t="s">
        <v>7440</v>
      </c>
      <c r="C4970" s="74">
        <v>1197557385</v>
      </c>
      <c r="D4970" s="78" t="str">
        <f t="shared" si="162"/>
        <v>https://portal.dnb.de/opac.htm?method=simpleSearch&amp;cqlMode=true&amp;query=idn%3D1197557385</v>
      </c>
      <c r="E4970" s="74" t="s">
        <v>7441</v>
      </c>
      <c r="F4970" s="74"/>
      <c r="G4970" s="76"/>
      <c r="H4970" s="77"/>
      <c r="I4970" s="76"/>
      <c r="J4970" s="77"/>
      <c r="K4970" s="77"/>
      <c r="L4970" s="76"/>
      <c r="M4970" s="76"/>
      <c r="N4970" s="76"/>
      <c r="O4970" s="76"/>
      <c r="P4970" s="76"/>
      <c r="Q4970" s="76"/>
      <c r="R4970" s="76"/>
      <c r="S4970" s="76"/>
      <c r="BD4970" s="99">
        <f t="shared" si="161"/>
        <v>0</v>
      </c>
      <c r="CC4970" s="99"/>
      <c r="CV4970" s="99"/>
      <c r="CW4970" s="63"/>
    </row>
    <row r="4971" spans="1:101" ht="33.75" x14ac:dyDescent="0.15">
      <c r="A4971" s="76">
        <v>4708</v>
      </c>
      <c r="B4971" s="74" t="s">
        <v>2257</v>
      </c>
      <c r="C4971" s="74">
        <v>1066777306</v>
      </c>
      <c r="D4971" s="78" t="str">
        <f t="shared" si="162"/>
        <v>https://portal.dnb.de/opac.htm?method=simpleSearch&amp;cqlMode=true&amp;query=idn%3D1066777306</v>
      </c>
      <c r="E4971" s="74" t="s">
        <v>8530</v>
      </c>
      <c r="F4971" s="74"/>
      <c r="G4971" s="76" t="s">
        <v>8515</v>
      </c>
      <c r="H4971" s="77" t="s">
        <v>48</v>
      </c>
      <c r="I4971" s="76" t="s">
        <v>53</v>
      </c>
      <c r="J4971" s="77" t="s">
        <v>8516</v>
      </c>
      <c r="K4971" s="77" t="s">
        <v>8540</v>
      </c>
      <c r="L4971" s="76"/>
      <c r="M4971" s="76" t="s">
        <v>38</v>
      </c>
      <c r="N4971" s="76" t="s">
        <v>40</v>
      </c>
      <c r="O4971" s="76">
        <v>1</v>
      </c>
      <c r="P4971" s="76"/>
      <c r="Q4971" s="76"/>
      <c r="R4971" s="76"/>
      <c r="S4971" s="76"/>
      <c r="BD4971" s="99">
        <f t="shared" si="161"/>
        <v>0</v>
      </c>
      <c r="CC4971" s="99"/>
      <c r="CV4971" s="99"/>
      <c r="CW4971" s="63"/>
    </row>
    <row r="4972" spans="1:101" x14ac:dyDescent="0.15">
      <c r="A4972" s="76">
        <v>4709</v>
      </c>
      <c r="B4972" s="74" t="s">
        <v>2258</v>
      </c>
      <c r="C4972" s="74">
        <v>1210521296</v>
      </c>
      <c r="D4972" s="78" t="str">
        <f t="shared" si="162"/>
        <v>https://portal.dnb.de/opac.htm?method=simpleSearch&amp;cqlMode=true&amp;query=idn%3D1210521296</v>
      </c>
      <c r="E4972" s="74" t="s">
        <v>8531</v>
      </c>
      <c r="F4972" s="74"/>
      <c r="G4972" s="76"/>
      <c r="H4972" s="77"/>
      <c r="I4972" s="76"/>
      <c r="J4972" s="77"/>
      <c r="K4972" s="77"/>
      <c r="L4972" s="76"/>
      <c r="M4972" s="76"/>
      <c r="N4972" s="76"/>
      <c r="O4972" s="76"/>
      <c r="P4972" s="76"/>
      <c r="Q4972" s="76"/>
      <c r="R4972" s="76"/>
      <c r="S4972" s="76"/>
      <c r="BD4972" s="99">
        <f t="shared" si="161"/>
        <v>0</v>
      </c>
      <c r="CC4972" s="99"/>
      <c r="CV4972" s="99"/>
      <c r="CW4972" s="63"/>
    </row>
    <row r="4973" spans="1:101" x14ac:dyDescent="0.15">
      <c r="A4973" s="76">
        <v>4710</v>
      </c>
      <c r="B4973" s="74" t="s">
        <v>2259</v>
      </c>
      <c r="C4973" s="74">
        <v>1210520958</v>
      </c>
      <c r="D4973" s="78" t="str">
        <f t="shared" si="162"/>
        <v>https://portal.dnb.de/opac.htm?method=simpleSearch&amp;cqlMode=true&amp;query=idn%3D1210520958</v>
      </c>
      <c r="E4973" s="74" t="s">
        <v>8532</v>
      </c>
      <c r="F4973" s="74"/>
      <c r="G4973" s="76"/>
      <c r="H4973" s="77"/>
      <c r="I4973" s="76"/>
      <c r="J4973" s="77"/>
      <c r="K4973" s="77"/>
      <c r="L4973" s="76"/>
      <c r="M4973" s="76"/>
      <c r="N4973" s="76"/>
      <c r="O4973" s="76"/>
      <c r="P4973" s="76"/>
      <c r="Q4973" s="76"/>
      <c r="R4973" s="76"/>
      <c r="S4973" s="76"/>
      <c r="BD4973" s="99">
        <f t="shared" si="161"/>
        <v>0</v>
      </c>
      <c r="CC4973" s="99"/>
      <c r="CV4973" s="99"/>
      <c r="CW4973" s="63"/>
    </row>
    <row r="4974" spans="1:101" x14ac:dyDescent="0.15">
      <c r="A4974" s="76">
        <v>4711</v>
      </c>
      <c r="B4974" s="74" t="s">
        <v>2260</v>
      </c>
      <c r="C4974" s="74">
        <v>1210520680</v>
      </c>
      <c r="D4974" s="78" t="str">
        <f t="shared" si="162"/>
        <v>https://portal.dnb.de/opac.htm?method=simpleSearch&amp;cqlMode=true&amp;query=idn%3D1210520680</v>
      </c>
      <c r="E4974" s="74" t="s">
        <v>8533</v>
      </c>
      <c r="F4974" s="74"/>
      <c r="G4974" s="76"/>
      <c r="H4974" s="77"/>
      <c r="I4974" s="76"/>
      <c r="J4974" s="77"/>
      <c r="K4974" s="77"/>
      <c r="L4974" s="76"/>
      <c r="M4974" s="76"/>
      <c r="N4974" s="76"/>
      <c r="O4974" s="76"/>
      <c r="P4974" s="76"/>
      <c r="Q4974" s="76"/>
      <c r="R4974" s="76"/>
      <c r="S4974" s="76"/>
      <c r="BD4974" s="99">
        <f t="shared" si="161"/>
        <v>0</v>
      </c>
      <c r="CC4974" s="99"/>
      <c r="CV4974" s="99"/>
      <c r="CW4974" s="63"/>
    </row>
    <row r="4975" spans="1:101" ht="22.5" x14ac:dyDescent="0.15">
      <c r="A4975" s="76">
        <v>4712</v>
      </c>
      <c r="B4975" s="74" t="s">
        <v>102</v>
      </c>
      <c r="C4975" s="74">
        <v>1001517156</v>
      </c>
      <c r="D4975" s="78" t="str">
        <f t="shared" si="162"/>
        <v>https://portal.dnb.de/opac.htm?method=simpleSearch&amp;cqlMode=true&amp;query=idn%3D1001517156</v>
      </c>
      <c r="E4975" s="74" t="s">
        <v>103</v>
      </c>
      <c r="F4975" s="74"/>
      <c r="G4975" s="76"/>
      <c r="H4975" s="77" t="s">
        <v>18</v>
      </c>
      <c r="I4975" s="76" t="s">
        <v>53</v>
      </c>
      <c r="J4975" s="77" t="s">
        <v>58</v>
      </c>
      <c r="K4975" s="77" t="s">
        <v>84</v>
      </c>
      <c r="L4975" s="76"/>
      <c r="M4975" s="76" t="s">
        <v>36</v>
      </c>
      <c r="N4975" s="76" t="s">
        <v>39</v>
      </c>
      <c r="O4975" s="76">
        <v>0</v>
      </c>
      <c r="P4975" s="76"/>
      <c r="Q4975" s="76"/>
      <c r="R4975" s="76"/>
      <c r="S4975" s="76"/>
      <c r="BD4975" s="99">
        <f t="shared" si="161"/>
        <v>0</v>
      </c>
      <c r="CC4975" s="99"/>
      <c r="CV4975" s="99"/>
      <c r="CW4975" s="63"/>
    </row>
    <row r="4976" spans="1:101" x14ac:dyDescent="0.15">
      <c r="A4976" s="76">
        <v>4713</v>
      </c>
      <c r="B4976" s="74" t="s">
        <v>104</v>
      </c>
      <c r="C4976" s="74">
        <v>1000657566</v>
      </c>
      <c r="D4976" s="78" t="str">
        <f t="shared" si="162"/>
        <v>https://portal.dnb.de/opac.htm?method=simpleSearch&amp;cqlMode=true&amp;query=idn%3D1000657566</v>
      </c>
      <c r="E4976" s="74" t="s">
        <v>105</v>
      </c>
      <c r="F4976" s="74"/>
      <c r="G4976" s="76"/>
      <c r="H4976" s="77"/>
      <c r="I4976" s="76"/>
      <c r="J4976" s="77"/>
      <c r="K4976" s="77"/>
      <c r="L4976" s="76"/>
      <c r="M4976" s="76"/>
      <c r="N4976" s="76"/>
      <c r="O4976" s="76"/>
      <c r="P4976" s="76"/>
      <c r="Q4976" s="76"/>
      <c r="R4976" s="76"/>
      <c r="S4976" s="76"/>
      <c r="BD4976" s="99">
        <f t="shared" si="161"/>
        <v>0</v>
      </c>
      <c r="CC4976" s="99"/>
      <c r="CV4976" s="99"/>
      <c r="CW4976" s="63"/>
    </row>
    <row r="4977" spans="1:101" x14ac:dyDescent="0.15">
      <c r="A4977" s="76">
        <v>4714</v>
      </c>
      <c r="B4977" s="74" t="s">
        <v>106</v>
      </c>
      <c r="C4977" s="74">
        <v>13888781</v>
      </c>
      <c r="D4977" s="78" t="str">
        <f t="shared" si="162"/>
        <v>https://portal.dnb.de/opac.htm?method=simpleSearch&amp;cqlMode=true&amp;query=idn%3D13888781</v>
      </c>
      <c r="E4977" s="74" t="s">
        <v>105</v>
      </c>
      <c r="F4977" s="74"/>
      <c r="G4977" s="76"/>
      <c r="H4977" s="77"/>
      <c r="I4977" s="76"/>
      <c r="J4977" s="77"/>
      <c r="K4977" s="77"/>
      <c r="L4977" s="76"/>
      <c r="M4977" s="76"/>
      <c r="N4977" s="76"/>
      <c r="O4977" s="76"/>
      <c r="P4977" s="76"/>
      <c r="Q4977" s="76"/>
      <c r="R4977" s="76"/>
      <c r="S4977" s="76"/>
      <c r="BD4977" s="99">
        <f t="shared" si="161"/>
        <v>0</v>
      </c>
      <c r="CC4977" s="99"/>
      <c r="CV4977" s="99"/>
      <c r="CW4977" s="63"/>
    </row>
    <row r="4978" spans="1:101" x14ac:dyDescent="0.15">
      <c r="A4978" s="76">
        <v>4715</v>
      </c>
      <c r="B4978" s="74" t="s">
        <v>107</v>
      </c>
      <c r="C4978" s="74" t="s">
        <v>108</v>
      </c>
      <c r="D4978" s="78" t="str">
        <f t="shared" si="162"/>
        <v>https://portal.dnb.de/opac.htm?method=simpleSearch&amp;cqlMode=true&amp;query=idn%3D100065768X</v>
      </c>
      <c r="E4978" s="74" t="s">
        <v>105</v>
      </c>
      <c r="F4978" s="74"/>
      <c r="G4978" s="76"/>
      <c r="H4978" s="77"/>
      <c r="I4978" s="76"/>
      <c r="J4978" s="77"/>
      <c r="K4978" s="77"/>
      <c r="L4978" s="76"/>
      <c r="M4978" s="76"/>
      <c r="N4978" s="76"/>
      <c r="O4978" s="76"/>
      <c r="P4978" s="76"/>
      <c r="Q4978" s="76"/>
      <c r="R4978" s="76"/>
      <c r="S4978" s="76"/>
      <c r="BD4978" s="99">
        <f t="shared" si="161"/>
        <v>0</v>
      </c>
      <c r="CC4978" s="99"/>
      <c r="CV4978" s="99"/>
      <c r="CW4978" s="63"/>
    </row>
    <row r="4979" spans="1:101" x14ac:dyDescent="0.15">
      <c r="A4979" s="76">
        <v>4716</v>
      </c>
      <c r="B4979" s="74" t="s">
        <v>109</v>
      </c>
      <c r="C4979" s="74">
        <v>1000657825</v>
      </c>
      <c r="D4979" s="78" t="str">
        <f t="shared" si="162"/>
        <v>https://portal.dnb.de/opac.htm?method=simpleSearch&amp;cqlMode=true&amp;query=idn%3D1000657825</v>
      </c>
      <c r="E4979" s="74" t="s">
        <v>105</v>
      </c>
      <c r="F4979" s="74"/>
      <c r="G4979" s="76"/>
      <c r="H4979" s="77"/>
      <c r="I4979" s="76"/>
      <c r="J4979" s="77"/>
      <c r="K4979" s="77"/>
      <c r="L4979" s="76"/>
      <c r="M4979" s="76"/>
      <c r="N4979" s="76"/>
      <c r="O4979" s="76"/>
      <c r="P4979" s="76"/>
      <c r="Q4979" s="76"/>
      <c r="R4979" s="76"/>
      <c r="S4979" s="76"/>
      <c r="BD4979" s="99">
        <f t="shared" si="161"/>
        <v>0</v>
      </c>
      <c r="CC4979" s="99"/>
      <c r="CV4979" s="99"/>
      <c r="CW4979" s="63"/>
    </row>
    <row r="4980" spans="1:101" x14ac:dyDescent="0.15">
      <c r="A4980" s="76">
        <v>4717</v>
      </c>
      <c r="B4980" s="74" t="s">
        <v>178</v>
      </c>
      <c r="C4980" s="74">
        <v>1000012867</v>
      </c>
      <c r="D4980" s="78" t="str">
        <f t="shared" si="162"/>
        <v>https://portal.dnb.de/opac.htm?method=simpleSearch&amp;cqlMode=true&amp;query=idn%3D1000012867</v>
      </c>
      <c r="E4980" s="74" t="s">
        <v>179</v>
      </c>
      <c r="F4980" s="74"/>
      <c r="G4980" s="76"/>
      <c r="H4980" s="77" t="s">
        <v>5</v>
      </c>
      <c r="I4980" s="76" t="s">
        <v>55</v>
      </c>
      <c r="J4980" s="77" t="s">
        <v>89</v>
      </c>
      <c r="K4980" s="77" t="s">
        <v>8520</v>
      </c>
      <c r="L4980" s="76"/>
      <c r="M4980" s="76" t="s">
        <v>38</v>
      </c>
      <c r="N4980" s="76" t="s">
        <v>40</v>
      </c>
      <c r="O4980" s="76">
        <v>0</v>
      </c>
      <c r="P4980" s="76"/>
      <c r="Q4980" s="76"/>
      <c r="R4980" s="76"/>
      <c r="S4980" s="76"/>
      <c r="BD4980" s="99">
        <f t="shared" si="161"/>
        <v>0</v>
      </c>
      <c r="CC4980" s="99"/>
      <c r="CV4980" s="99"/>
      <c r="CW4980" s="63"/>
    </row>
    <row r="4981" spans="1:101" x14ac:dyDescent="0.15">
      <c r="A4981" s="76">
        <v>4718</v>
      </c>
      <c r="B4981" s="74" t="s">
        <v>180</v>
      </c>
      <c r="C4981" s="74">
        <v>1000941973</v>
      </c>
      <c r="D4981" s="78" t="str">
        <f t="shared" si="162"/>
        <v>https://portal.dnb.de/opac.htm?method=simpleSearch&amp;cqlMode=true&amp;query=idn%3D1000941973</v>
      </c>
      <c r="E4981" s="74" t="s">
        <v>181</v>
      </c>
      <c r="F4981" s="74"/>
      <c r="G4981" s="76"/>
      <c r="H4981" s="77" t="s">
        <v>48</v>
      </c>
      <c r="I4981" s="76" t="s">
        <v>53</v>
      </c>
      <c r="J4981" s="77" t="s">
        <v>8516</v>
      </c>
      <c r="K4981" s="77" t="s">
        <v>84</v>
      </c>
      <c r="L4981" s="76"/>
      <c r="M4981" s="76" t="s">
        <v>38</v>
      </c>
      <c r="N4981" s="76" t="s">
        <v>40</v>
      </c>
      <c r="O4981" s="76">
        <v>0</v>
      </c>
      <c r="P4981" s="76"/>
      <c r="Q4981" s="76"/>
      <c r="R4981" s="76"/>
      <c r="S4981" s="76"/>
      <c r="BD4981" s="99">
        <f t="shared" si="161"/>
        <v>0</v>
      </c>
      <c r="CC4981" s="99"/>
      <c r="CV4981" s="99"/>
      <c r="CW4981" s="63"/>
    </row>
    <row r="4982" spans="1:101" x14ac:dyDescent="0.15">
      <c r="A4982" s="76">
        <v>4719</v>
      </c>
      <c r="B4982" s="74" t="s">
        <v>216</v>
      </c>
      <c r="C4982" s="74">
        <v>1066696322</v>
      </c>
      <c r="D4982" s="78" t="str">
        <f t="shared" si="162"/>
        <v>https://portal.dnb.de/opac.htm?method=simpleSearch&amp;cqlMode=true&amp;query=idn%3D1066696322</v>
      </c>
      <c r="E4982" s="74" t="s">
        <v>217</v>
      </c>
      <c r="F4982" s="74"/>
      <c r="G4982" s="76"/>
      <c r="H4982" s="77" t="s">
        <v>8668</v>
      </c>
      <c r="I4982" s="76" t="s">
        <v>54</v>
      </c>
      <c r="J4982" s="77" t="s">
        <v>58</v>
      </c>
      <c r="K4982" s="77"/>
      <c r="L4982" s="76"/>
      <c r="M4982" s="76" t="s">
        <v>34</v>
      </c>
      <c r="N4982" s="76" t="s">
        <v>40</v>
      </c>
      <c r="O4982" s="76">
        <v>0</v>
      </c>
      <c r="P4982" s="76"/>
      <c r="Q4982" s="76"/>
      <c r="R4982" s="76"/>
      <c r="S4982" s="76"/>
      <c r="BD4982" s="99">
        <f t="shared" si="161"/>
        <v>0</v>
      </c>
      <c r="CC4982" s="99"/>
      <c r="CV4982" s="99"/>
      <c r="CW4982" s="63"/>
    </row>
    <row r="4983" spans="1:101" x14ac:dyDescent="0.15">
      <c r="A4983" s="76">
        <v>4720</v>
      </c>
      <c r="B4983" s="74" t="s">
        <v>218</v>
      </c>
      <c r="C4983" s="74">
        <v>1066696594</v>
      </c>
      <c r="D4983" s="78" t="str">
        <f t="shared" si="162"/>
        <v>https://portal.dnb.de/opac.htm?method=simpleSearch&amp;cqlMode=true&amp;query=idn%3D1066696594</v>
      </c>
      <c r="E4983" s="74" t="s">
        <v>219</v>
      </c>
      <c r="F4983" s="74"/>
      <c r="G4983" s="76"/>
      <c r="H4983" s="77" t="s">
        <v>8668</v>
      </c>
      <c r="I4983" s="76" t="s">
        <v>54</v>
      </c>
      <c r="J4983" s="77" t="s">
        <v>58</v>
      </c>
      <c r="K4983" s="77"/>
      <c r="L4983" s="76"/>
      <c r="M4983" s="76" t="s">
        <v>34</v>
      </c>
      <c r="N4983" s="76" t="s">
        <v>40</v>
      </c>
      <c r="O4983" s="76">
        <v>0</v>
      </c>
      <c r="P4983" s="76"/>
      <c r="Q4983" s="76"/>
      <c r="R4983" s="76"/>
      <c r="S4983" s="76"/>
      <c r="BD4983" s="99">
        <f t="shared" si="161"/>
        <v>0</v>
      </c>
      <c r="CC4983" s="99"/>
      <c r="CV4983" s="99"/>
      <c r="CW4983" s="63"/>
    </row>
    <row r="4984" spans="1:101" ht="22.5" x14ac:dyDescent="0.15">
      <c r="A4984" s="76">
        <v>4721</v>
      </c>
      <c r="B4984" s="74" t="s">
        <v>496</v>
      </c>
      <c r="C4984" s="74" t="s">
        <v>497</v>
      </c>
      <c r="D4984" s="78" t="str">
        <f t="shared" si="162"/>
        <v>https://portal.dnb.de/opac.htm?method=simpleSearch&amp;cqlMode=true&amp;query=idn%3D100957129X</v>
      </c>
      <c r="E4984" s="74" t="s">
        <v>498</v>
      </c>
      <c r="F4984" s="74"/>
      <c r="G4984" s="76" t="s">
        <v>8515</v>
      </c>
      <c r="H4984" s="77" t="s">
        <v>18</v>
      </c>
      <c r="I4984" s="76" t="s">
        <v>53</v>
      </c>
      <c r="J4984" s="77" t="s">
        <v>8516</v>
      </c>
      <c r="K4984" s="77" t="s">
        <v>8577</v>
      </c>
      <c r="L4984" s="76"/>
      <c r="M4984" s="76" t="s">
        <v>8925</v>
      </c>
      <c r="N4984" s="76" t="s">
        <v>39</v>
      </c>
      <c r="O4984" s="76">
        <v>0</v>
      </c>
      <c r="P4984" s="76"/>
      <c r="Q4984" s="76"/>
      <c r="R4984" s="76"/>
      <c r="S4984" s="76"/>
      <c r="BD4984" s="99">
        <f t="shared" si="161"/>
        <v>0</v>
      </c>
      <c r="CC4984" s="99"/>
      <c r="CV4984" s="99"/>
      <c r="CW4984" s="63"/>
    </row>
    <row r="4985" spans="1:101" x14ac:dyDescent="0.15">
      <c r="A4985" s="76">
        <v>4722</v>
      </c>
      <c r="B4985" s="74" t="s">
        <v>499</v>
      </c>
      <c r="C4985" s="74">
        <v>1002455804</v>
      </c>
      <c r="D4985" s="78" t="str">
        <f t="shared" si="162"/>
        <v>https://portal.dnb.de/opac.htm?method=simpleSearch&amp;cqlMode=true&amp;query=idn%3D1002455804</v>
      </c>
      <c r="E4985" s="74" t="s">
        <v>9639</v>
      </c>
      <c r="F4985" s="74"/>
      <c r="G4985" s="76"/>
      <c r="H4985" s="77"/>
      <c r="I4985" s="76"/>
      <c r="J4985" s="77"/>
      <c r="K4985" s="77"/>
      <c r="L4985" s="76"/>
      <c r="M4985" s="76"/>
      <c r="N4985" s="76"/>
      <c r="O4985" s="76"/>
      <c r="P4985" s="76"/>
      <c r="Q4985" s="76"/>
      <c r="R4985" s="76"/>
      <c r="S4985" s="76"/>
      <c r="BD4985" s="99">
        <f t="shared" si="161"/>
        <v>0</v>
      </c>
      <c r="CC4985" s="99"/>
      <c r="CV4985" s="99"/>
      <c r="CW4985" s="63"/>
    </row>
    <row r="4986" spans="1:101" x14ac:dyDescent="0.15">
      <c r="A4986" s="76">
        <v>4723</v>
      </c>
      <c r="B4986" s="74" t="s">
        <v>501</v>
      </c>
      <c r="C4986" s="74">
        <v>1002455871</v>
      </c>
      <c r="D4986" s="78" t="str">
        <f t="shared" si="162"/>
        <v>https://portal.dnb.de/opac.htm?method=simpleSearch&amp;cqlMode=true&amp;query=idn%3D1002455871</v>
      </c>
      <c r="E4986" s="74" t="s">
        <v>500</v>
      </c>
      <c r="F4986" s="74"/>
      <c r="G4986" s="76"/>
      <c r="H4986" s="77"/>
      <c r="I4986" s="76"/>
      <c r="J4986" s="77"/>
      <c r="K4986" s="77"/>
      <c r="L4986" s="76"/>
      <c r="M4986" s="76"/>
      <c r="N4986" s="76"/>
      <c r="O4986" s="76"/>
      <c r="P4986" s="76"/>
      <c r="Q4986" s="76"/>
      <c r="R4986" s="76"/>
      <c r="S4986" s="76"/>
      <c r="BD4986" s="99">
        <f t="shared" si="161"/>
        <v>0</v>
      </c>
      <c r="CC4986" s="99"/>
      <c r="CV4986" s="99"/>
      <c r="CW4986" s="63"/>
    </row>
    <row r="4987" spans="1:101" x14ac:dyDescent="0.15">
      <c r="A4987" s="76">
        <v>4724</v>
      </c>
      <c r="B4987" s="74" t="s">
        <v>502</v>
      </c>
      <c r="C4987" s="74" t="s">
        <v>503</v>
      </c>
      <c r="D4987" s="78" t="str">
        <f t="shared" si="162"/>
        <v>https://portal.dnb.de/opac.htm?method=simpleSearch&amp;cqlMode=true&amp;query=idn%3D100245591X</v>
      </c>
      <c r="E4987" s="74" t="s">
        <v>500</v>
      </c>
      <c r="F4987" s="74"/>
      <c r="G4987" s="76"/>
      <c r="H4987" s="77"/>
      <c r="I4987" s="76"/>
      <c r="J4987" s="77"/>
      <c r="K4987" s="77"/>
      <c r="L4987" s="76"/>
      <c r="M4987" s="76"/>
      <c r="N4987" s="76"/>
      <c r="O4987" s="76"/>
      <c r="P4987" s="76"/>
      <c r="Q4987" s="76"/>
      <c r="R4987" s="76"/>
      <c r="S4987" s="76"/>
      <c r="BD4987" s="99">
        <f t="shared" si="161"/>
        <v>0</v>
      </c>
      <c r="CC4987" s="99"/>
      <c r="CV4987" s="99"/>
      <c r="CW4987" s="63"/>
    </row>
    <row r="4988" spans="1:101" x14ac:dyDescent="0.15">
      <c r="A4988" s="76">
        <v>4725</v>
      </c>
      <c r="B4988" s="74" t="s">
        <v>504</v>
      </c>
      <c r="C4988" s="74">
        <v>1002456002</v>
      </c>
      <c r="D4988" s="78" t="str">
        <f t="shared" si="162"/>
        <v>https://portal.dnb.de/opac.htm?method=simpleSearch&amp;cqlMode=true&amp;query=idn%3D1002456002</v>
      </c>
      <c r="E4988" s="74" t="s">
        <v>500</v>
      </c>
      <c r="F4988" s="74"/>
      <c r="G4988" s="76"/>
      <c r="H4988" s="77"/>
      <c r="I4988" s="76"/>
      <c r="J4988" s="77"/>
      <c r="K4988" s="77"/>
      <c r="L4988" s="76"/>
      <c r="M4988" s="76"/>
      <c r="N4988" s="76"/>
      <c r="O4988" s="76"/>
      <c r="P4988" s="76"/>
      <c r="Q4988" s="76"/>
      <c r="R4988" s="76"/>
      <c r="S4988" s="76"/>
      <c r="BD4988" s="99">
        <f t="shared" si="161"/>
        <v>0</v>
      </c>
      <c r="CC4988" s="99"/>
      <c r="CV4988" s="99"/>
      <c r="CW4988" s="63"/>
    </row>
    <row r="4989" spans="1:101" ht="22.5" x14ac:dyDescent="0.15">
      <c r="A4989" s="76">
        <v>4726</v>
      </c>
      <c r="B4989" s="74" t="s">
        <v>505</v>
      </c>
      <c r="C4989" s="74">
        <v>1002456061</v>
      </c>
      <c r="D4989" s="78" t="str">
        <f t="shared" si="162"/>
        <v>https://portal.dnb.de/opac.htm?method=simpleSearch&amp;cqlMode=true&amp;query=idn%3D1002456061</v>
      </c>
      <c r="E4989" s="74" t="s">
        <v>9640</v>
      </c>
      <c r="F4989" s="74"/>
      <c r="G4989" s="76" t="s">
        <v>8515</v>
      </c>
      <c r="H4989" s="77" t="s">
        <v>8547</v>
      </c>
      <c r="I4989" s="76" t="s">
        <v>54</v>
      </c>
      <c r="J4989" s="77" t="s">
        <v>8516</v>
      </c>
      <c r="K4989" s="77" t="s">
        <v>72</v>
      </c>
      <c r="L4989" s="76"/>
      <c r="M4989" s="76" t="s">
        <v>38</v>
      </c>
      <c r="N4989" s="76" t="s">
        <v>40</v>
      </c>
      <c r="O4989" s="76">
        <v>0</v>
      </c>
      <c r="P4989" s="76"/>
      <c r="Q4989" s="76"/>
      <c r="R4989" s="76"/>
      <c r="S4989" s="76"/>
      <c r="BD4989" s="99">
        <f t="shared" si="161"/>
        <v>0</v>
      </c>
      <c r="CC4989" s="99"/>
      <c r="CV4989" s="99"/>
      <c r="CW4989" s="63"/>
    </row>
    <row r="4990" spans="1:101" x14ac:dyDescent="0.15">
      <c r="A4990" s="76">
        <v>4727</v>
      </c>
      <c r="B4990" s="74" t="s">
        <v>506</v>
      </c>
      <c r="C4990" s="74">
        <v>1002456126</v>
      </c>
      <c r="D4990" s="78" t="str">
        <f t="shared" si="162"/>
        <v>https://portal.dnb.de/opac.htm?method=simpleSearch&amp;cqlMode=true&amp;query=idn%3D1002456126</v>
      </c>
      <c r="E4990" s="74" t="s">
        <v>500</v>
      </c>
      <c r="F4990" s="74"/>
      <c r="G4990" s="76"/>
      <c r="H4990" s="77"/>
      <c r="I4990" s="76"/>
      <c r="J4990" s="77"/>
      <c r="K4990" s="77"/>
      <c r="L4990" s="76"/>
      <c r="M4990" s="76"/>
      <c r="N4990" s="76"/>
      <c r="O4990" s="76"/>
      <c r="P4990" s="76"/>
      <c r="Q4990" s="76"/>
      <c r="R4990" s="76"/>
      <c r="S4990" s="76"/>
      <c r="BD4990" s="99">
        <f t="shared" si="161"/>
        <v>0</v>
      </c>
      <c r="CC4990" s="99"/>
      <c r="CV4990" s="99"/>
      <c r="CW4990" s="63"/>
    </row>
    <row r="4991" spans="1:101" ht="22.5" x14ac:dyDescent="0.15">
      <c r="A4991" s="76">
        <v>4728</v>
      </c>
      <c r="B4991" s="74" t="s">
        <v>507</v>
      </c>
      <c r="C4991" s="74">
        <v>1002455421</v>
      </c>
      <c r="D4991" s="78" t="str">
        <f t="shared" si="162"/>
        <v>https://portal.dnb.de/opac.htm?method=simpleSearch&amp;cqlMode=true&amp;query=idn%3D1002455421</v>
      </c>
      <c r="E4991" s="74" t="s">
        <v>9638</v>
      </c>
      <c r="F4991" s="74"/>
      <c r="G4991" s="76" t="s">
        <v>8515</v>
      </c>
      <c r="H4991" s="77" t="s">
        <v>8547</v>
      </c>
      <c r="I4991" s="76" t="s">
        <v>54</v>
      </c>
      <c r="J4991" s="77" t="s">
        <v>8516</v>
      </c>
      <c r="K4991" s="77" t="s">
        <v>72</v>
      </c>
      <c r="L4991" s="76"/>
      <c r="M4991" s="76" t="s">
        <v>38</v>
      </c>
      <c r="N4991" s="76" t="s">
        <v>40</v>
      </c>
      <c r="O4991" s="76">
        <v>0</v>
      </c>
      <c r="P4991" s="76"/>
      <c r="Q4991" s="76"/>
      <c r="R4991" s="76"/>
      <c r="S4991" s="76"/>
      <c r="BD4991" s="99">
        <f t="shared" si="161"/>
        <v>0</v>
      </c>
      <c r="CC4991" s="99"/>
      <c r="CV4991" s="99"/>
      <c r="CW4991" s="63"/>
    </row>
    <row r="4992" spans="1:101" x14ac:dyDescent="0.15">
      <c r="A4992" s="76">
        <v>4729</v>
      </c>
      <c r="B4992" s="74" t="s">
        <v>508</v>
      </c>
      <c r="C4992" s="74">
        <v>1002456185</v>
      </c>
      <c r="D4992" s="78" t="str">
        <f t="shared" si="162"/>
        <v>https://portal.dnb.de/opac.htm?method=simpleSearch&amp;cqlMode=true&amp;query=idn%3D1002456185</v>
      </c>
      <c r="E4992" s="74" t="s">
        <v>500</v>
      </c>
      <c r="F4992" s="74"/>
      <c r="G4992" s="76"/>
      <c r="H4992" s="77"/>
      <c r="I4992" s="76"/>
      <c r="J4992" s="77"/>
      <c r="K4992" s="77"/>
      <c r="L4992" s="76"/>
      <c r="M4992" s="76"/>
      <c r="N4992" s="76"/>
      <c r="O4992" s="76"/>
      <c r="P4992" s="76"/>
      <c r="Q4992" s="76"/>
      <c r="R4992" s="76"/>
      <c r="S4992" s="76"/>
      <c r="BD4992" s="99">
        <f t="shared" si="161"/>
        <v>0</v>
      </c>
      <c r="CC4992" s="99"/>
      <c r="CV4992" s="99"/>
      <c r="CW4992" s="63"/>
    </row>
    <row r="4993" spans="1:101" x14ac:dyDescent="0.15">
      <c r="A4993" s="76">
        <v>4730</v>
      </c>
      <c r="B4993" s="74" t="s">
        <v>509</v>
      </c>
      <c r="C4993" s="74">
        <v>1002455529</v>
      </c>
      <c r="D4993" s="78" t="str">
        <f t="shared" si="162"/>
        <v>https://portal.dnb.de/opac.htm?method=simpleSearch&amp;cqlMode=true&amp;query=idn%3D1002455529</v>
      </c>
      <c r="E4993" s="74" t="s">
        <v>500</v>
      </c>
      <c r="F4993" s="74"/>
      <c r="G4993" s="76"/>
      <c r="H4993" s="77"/>
      <c r="I4993" s="76"/>
      <c r="J4993" s="77"/>
      <c r="K4993" s="77"/>
      <c r="L4993" s="76"/>
      <c r="M4993" s="76"/>
      <c r="N4993" s="76"/>
      <c r="O4993" s="76"/>
      <c r="P4993" s="76"/>
      <c r="Q4993" s="76"/>
      <c r="R4993" s="76"/>
      <c r="S4993" s="76"/>
      <c r="BD4993" s="99">
        <f t="shared" si="161"/>
        <v>0</v>
      </c>
      <c r="CC4993" s="99"/>
      <c r="CV4993" s="99"/>
      <c r="CW4993" s="63"/>
    </row>
    <row r="4994" spans="1:101" x14ac:dyDescent="0.15">
      <c r="A4994" s="76">
        <v>4731</v>
      </c>
      <c r="B4994" s="74" t="s">
        <v>510</v>
      </c>
      <c r="C4994" s="74" t="s">
        <v>511</v>
      </c>
      <c r="D4994" s="78" t="str">
        <f t="shared" ref="D4994:D5016" si="163">HYPERLINK(CONCATENATE("https://portal.dnb.de/opac.htm?method=simpleSearch&amp;cqlMode=true&amp;query=idn%3D",C4994))</f>
        <v>https://portal.dnb.de/opac.htm?method=simpleSearch&amp;cqlMode=true&amp;query=idn%3D100245624X</v>
      </c>
      <c r="E4994" s="74" t="s">
        <v>500</v>
      </c>
      <c r="F4994" s="74"/>
      <c r="G4994" s="76"/>
      <c r="H4994" s="77"/>
      <c r="I4994" s="76"/>
      <c r="J4994" s="77"/>
      <c r="K4994" s="77"/>
      <c r="L4994" s="76"/>
      <c r="M4994" s="76"/>
      <c r="N4994" s="76"/>
      <c r="O4994" s="76"/>
      <c r="P4994" s="76"/>
      <c r="Q4994" s="76"/>
      <c r="R4994" s="76"/>
      <c r="S4994" s="76"/>
      <c r="BD4994" s="99">
        <f t="shared" si="161"/>
        <v>0</v>
      </c>
      <c r="CC4994" s="99"/>
      <c r="CV4994" s="99"/>
      <c r="CW4994" s="63"/>
    </row>
    <row r="4995" spans="1:101" x14ac:dyDescent="0.15">
      <c r="A4995" s="76">
        <v>4732</v>
      </c>
      <c r="B4995" s="74" t="s">
        <v>512</v>
      </c>
      <c r="C4995" s="74">
        <v>1002455626</v>
      </c>
      <c r="D4995" s="78" t="str">
        <f t="shared" si="163"/>
        <v>https://portal.dnb.de/opac.htm?method=simpleSearch&amp;cqlMode=true&amp;query=idn%3D1002455626</v>
      </c>
      <c r="E4995" s="74" t="s">
        <v>500</v>
      </c>
      <c r="F4995" s="74"/>
      <c r="G4995" s="76"/>
      <c r="H4995" s="77"/>
      <c r="I4995" s="76"/>
      <c r="J4995" s="77"/>
      <c r="K4995" s="77"/>
      <c r="L4995" s="76"/>
      <c r="M4995" s="76"/>
      <c r="N4995" s="76"/>
      <c r="O4995" s="76"/>
      <c r="P4995" s="76"/>
      <c r="Q4995" s="76"/>
      <c r="R4995" s="76"/>
      <c r="S4995" s="76"/>
      <c r="BD4995" s="99">
        <f t="shared" ref="BD4995:BD5058" si="164">CC4995+CV4995</f>
        <v>0</v>
      </c>
      <c r="CC4995" s="99"/>
      <c r="CV4995" s="99"/>
      <c r="CW4995" s="63"/>
    </row>
    <row r="4996" spans="1:101" ht="22.5" x14ac:dyDescent="0.15">
      <c r="A4996" s="76">
        <v>4733</v>
      </c>
      <c r="B4996" s="74" t="s">
        <v>513</v>
      </c>
      <c r="C4996" s="74">
        <v>1002455596</v>
      </c>
      <c r="D4996" s="78" t="str">
        <f t="shared" si="163"/>
        <v>https://portal.dnb.de/opac.htm?method=simpleSearch&amp;cqlMode=true&amp;query=idn%3D1002455596</v>
      </c>
      <c r="E4996" s="74" t="s">
        <v>9637</v>
      </c>
      <c r="F4996" s="74"/>
      <c r="G4996" s="76" t="s">
        <v>8515</v>
      </c>
      <c r="H4996" s="77" t="s">
        <v>8547</v>
      </c>
      <c r="I4996" s="76" t="s">
        <v>54</v>
      </c>
      <c r="J4996" s="77" t="s">
        <v>8516</v>
      </c>
      <c r="K4996" s="77" t="s">
        <v>72</v>
      </c>
      <c r="L4996" s="76"/>
      <c r="M4996" s="76" t="s">
        <v>38</v>
      </c>
      <c r="N4996" s="76" t="s">
        <v>40</v>
      </c>
      <c r="O4996" s="76">
        <v>0</v>
      </c>
      <c r="P4996" s="76"/>
      <c r="Q4996" s="76"/>
      <c r="R4996" s="76"/>
      <c r="S4996" s="76"/>
      <c r="BD4996" s="99">
        <f t="shared" si="164"/>
        <v>0</v>
      </c>
      <c r="CC4996" s="99"/>
      <c r="CV4996" s="99"/>
      <c r="CW4996" s="63"/>
    </row>
    <row r="4997" spans="1:101" x14ac:dyDescent="0.15">
      <c r="A4997" s="76">
        <v>4734</v>
      </c>
      <c r="B4997" s="74" t="s">
        <v>514</v>
      </c>
      <c r="C4997" s="74">
        <v>1002455766</v>
      </c>
      <c r="D4997" s="78" t="str">
        <f t="shared" si="163"/>
        <v>https://portal.dnb.de/opac.htm?method=simpleSearch&amp;cqlMode=true&amp;query=idn%3D1002455766</v>
      </c>
      <c r="E4997" s="74" t="s">
        <v>500</v>
      </c>
      <c r="F4997" s="74"/>
      <c r="G4997" s="76"/>
      <c r="H4997" s="77"/>
      <c r="I4997" s="76"/>
      <c r="J4997" s="77"/>
      <c r="K4997" s="77"/>
      <c r="L4997" s="76"/>
      <c r="M4997" s="76"/>
      <c r="N4997" s="76"/>
      <c r="O4997" s="76"/>
      <c r="P4997" s="76"/>
      <c r="Q4997" s="76"/>
      <c r="R4997" s="76"/>
      <c r="S4997" s="76"/>
      <c r="BD4997" s="99">
        <f t="shared" si="164"/>
        <v>0</v>
      </c>
      <c r="CC4997" s="99"/>
      <c r="CV4997" s="99"/>
      <c r="CW4997" s="63"/>
    </row>
    <row r="4998" spans="1:101" x14ac:dyDescent="0.15">
      <c r="A4998" s="76">
        <v>4735</v>
      </c>
      <c r="B4998" s="74" t="s">
        <v>515</v>
      </c>
      <c r="C4998" s="74">
        <v>1002455553</v>
      </c>
      <c r="D4998" s="78" t="str">
        <f t="shared" si="163"/>
        <v>https://portal.dnb.de/opac.htm?method=simpleSearch&amp;cqlMode=true&amp;query=idn%3D1002455553</v>
      </c>
      <c r="E4998" s="74" t="s">
        <v>500</v>
      </c>
      <c r="F4998" s="74"/>
      <c r="G4998" s="76"/>
      <c r="H4998" s="77"/>
      <c r="I4998" s="76"/>
      <c r="J4998" s="77"/>
      <c r="K4998" s="77"/>
      <c r="L4998" s="76"/>
      <c r="M4998" s="76"/>
      <c r="N4998" s="76"/>
      <c r="O4998" s="76"/>
      <c r="P4998" s="76"/>
      <c r="Q4998" s="76"/>
      <c r="R4998" s="76"/>
      <c r="S4998" s="76"/>
      <c r="BD4998" s="99">
        <f t="shared" si="164"/>
        <v>0</v>
      </c>
      <c r="CC4998" s="99"/>
      <c r="CV4998" s="99"/>
      <c r="CW4998" s="63"/>
    </row>
    <row r="4999" spans="1:101" ht="45" x14ac:dyDescent="0.15">
      <c r="A4999" s="76">
        <v>4736</v>
      </c>
      <c r="B4999" s="74" t="s">
        <v>780</v>
      </c>
      <c r="C4999" s="74">
        <v>997758899</v>
      </c>
      <c r="D4999" s="78" t="str">
        <f t="shared" si="163"/>
        <v>https://portal.dnb.de/opac.htm?method=simpleSearch&amp;cqlMode=true&amp;query=idn%3D997758899</v>
      </c>
      <c r="E4999" s="74" t="s">
        <v>781</v>
      </c>
      <c r="F4999" s="74"/>
      <c r="G4999" s="76"/>
      <c r="H4999" s="77" t="s">
        <v>5</v>
      </c>
      <c r="I4999" s="76" t="s">
        <v>56</v>
      </c>
      <c r="J4999" s="77" t="s">
        <v>8516</v>
      </c>
      <c r="K4999" s="77" t="s">
        <v>9633</v>
      </c>
      <c r="L4999" s="76"/>
      <c r="M4999" s="76" t="s">
        <v>38</v>
      </c>
      <c r="N4999" s="76" t="s">
        <v>40</v>
      </c>
      <c r="O4999" s="76">
        <v>3</v>
      </c>
      <c r="P4999" s="76"/>
      <c r="Q4999" s="76"/>
      <c r="R4999" s="76"/>
      <c r="S4999" s="76"/>
      <c r="BD4999" s="99">
        <f t="shared" si="164"/>
        <v>0</v>
      </c>
      <c r="CC4999" s="99"/>
      <c r="CV4999" s="99"/>
      <c r="CW4999" s="63"/>
    </row>
    <row r="5000" spans="1:101" ht="22.5" x14ac:dyDescent="0.15">
      <c r="A5000" s="76">
        <v>4737</v>
      </c>
      <c r="B5000" s="74" t="s">
        <v>943</v>
      </c>
      <c r="C5000" s="74">
        <v>997048492</v>
      </c>
      <c r="D5000" s="78" t="str">
        <f t="shared" si="163"/>
        <v>https://portal.dnb.de/opac.htm?method=simpleSearch&amp;cqlMode=true&amp;query=idn%3D997048492</v>
      </c>
      <c r="E5000" s="74" t="s">
        <v>944</v>
      </c>
      <c r="F5000" s="74"/>
      <c r="G5000" s="76"/>
      <c r="H5000" s="77" t="s">
        <v>48</v>
      </c>
      <c r="I5000" s="76" t="s">
        <v>53</v>
      </c>
      <c r="J5000" s="77" t="s">
        <v>8516</v>
      </c>
      <c r="K5000" s="77" t="s">
        <v>8565</v>
      </c>
      <c r="L5000" s="76"/>
      <c r="M5000" s="76" t="s">
        <v>38</v>
      </c>
      <c r="N5000" s="76" t="s">
        <v>40</v>
      </c>
      <c r="O5000" s="76">
        <v>0</v>
      </c>
      <c r="P5000" s="76"/>
      <c r="Q5000" s="76"/>
      <c r="R5000" s="76"/>
      <c r="S5000" s="76"/>
      <c r="BD5000" s="99">
        <f t="shared" si="164"/>
        <v>0</v>
      </c>
      <c r="CC5000" s="99"/>
      <c r="CV5000" s="99"/>
      <c r="CW5000" s="63"/>
    </row>
    <row r="5001" spans="1:101" ht="33.75" x14ac:dyDescent="0.15">
      <c r="A5001" s="76">
        <v>4738</v>
      </c>
      <c r="B5001" s="74" t="s">
        <v>945</v>
      </c>
      <c r="C5001" s="74">
        <v>12817910</v>
      </c>
      <c r="D5001" s="78" t="str">
        <f t="shared" si="163"/>
        <v>https://portal.dnb.de/opac.htm?method=simpleSearch&amp;cqlMode=true&amp;query=idn%3D12817910</v>
      </c>
      <c r="E5001" s="74" t="s">
        <v>946</v>
      </c>
      <c r="F5001" s="74"/>
      <c r="G5001" s="76"/>
      <c r="H5001" s="77" t="s">
        <v>5</v>
      </c>
      <c r="I5001" s="76" t="s">
        <v>53</v>
      </c>
      <c r="J5001" s="77" t="s">
        <v>8516</v>
      </c>
      <c r="K5001" s="77" t="s">
        <v>8667</v>
      </c>
      <c r="L5001" s="76"/>
      <c r="M5001" s="76" t="s">
        <v>36</v>
      </c>
      <c r="N5001" s="76" t="s">
        <v>39</v>
      </c>
      <c r="O5001" s="76">
        <v>0</v>
      </c>
      <c r="P5001" s="76"/>
      <c r="Q5001" s="76"/>
      <c r="R5001" s="76"/>
      <c r="S5001" s="76"/>
      <c r="BD5001" s="99">
        <f t="shared" si="164"/>
        <v>0</v>
      </c>
      <c r="CC5001" s="99"/>
      <c r="CV5001" s="99"/>
      <c r="CW5001" s="63"/>
    </row>
    <row r="5002" spans="1:101" ht="33.75" x14ac:dyDescent="0.15">
      <c r="A5002" s="76">
        <v>4739</v>
      </c>
      <c r="B5002" s="74" t="s">
        <v>947</v>
      </c>
      <c r="C5002" s="74">
        <v>998016411</v>
      </c>
      <c r="D5002" s="78" t="str">
        <f t="shared" si="163"/>
        <v>https://portal.dnb.de/opac.htm?method=simpleSearch&amp;cqlMode=true&amp;query=idn%3D998016411</v>
      </c>
      <c r="E5002" s="74" t="s">
        <v>948</v>
      </c>
      <c r="F5002" s="74"/>
      <c r="G5002" s="76"/>
      <c r="H5002" s="77" t="s">
        <v>48</v>
      </c>
      <c r="I5002" s="76" t="s">
        <v>53</v>
      </c>
      <c r="J5002" s="77" t="s">
        <v>89</v>
      </c>
      <c r="K5002" s="77" t="s">
        <v>8566</v>
      </c>
      <c r="L5002" s="76"/>
      <c r="M5002" s="76"/>
      <c r="N5002" s="76" t="s">
        <v>8660</v>
      </c>
      <c r="O5002" s="76">
        <v>0</v>
      </c>
      <c r="P5002" s="76"/>
      <c r="Q5002" s="76"/>
      <c r="R5002" s="76"/>
      <c r="S5002" s="76"/>
      <c r="BD5002" s="99">
        <f t="shared" si="164"/>
        <v>0</v>
      </c>
      <c r="CC5002" s="99"/>
      <c r="CV5002" s="99"/>
      <c r="CW5002" s="63"/>
    </row>
    <row r="5003" spans="1:101" x14ac:dyDescent="0.15">
      <c r="A5003" s="76">
        <v>4740</v>
      </c>
      <c r="B5003" s="74" t="s">
        <v>949</v>
      </c>
      <c r="C5003" s="74">
        <v>994519451</v>
      </c>
      <c r="D5003" s="78" t="str">
        <f t="shared" si="163"/>
        <v>https://portal.dnb.de/opac.htm?method=simpleSearch&amp;cqlMode=true&amp;query=idn%3D994519451</v>
      </c>
      <c r="E5003" s="74" t="s">
        <v>948</v>
      </c>
      <c r="F5003" s="74"/>
      <c r="G5003" s="76"/>
      <c r="H5003" s="77"/>
      <c r="I5003" s="76"/>
      <c r="J5003" s="77"/>
      <c r="K5003" s="77"/>
      <c r="L5003" s="76"/>
      <c r="M5003" s="76"/>
      <c r="N5003" s="76"/>
      <c r="O5003" s="76"/>
      <c r="P5003" s="76"/>
      <c r="Q5003" s="76"/>
      <c r="R5003" s="76"/>
      <c r="S5003" s="76"/>
      <c r="BD5003" s="99">
        <f t="shared" si="164"/>
        <v>0</v>
      </c>
      <c r="CC5003" s="99"/>
      <c r="CV5003" s="99"/>
      <c r="CW5003" s="63"/>
    </row>
    <row r="5004" spans="1:101" x14ac:dyDescent="0.15">
      <c r="A5004" s="76">
        <v>4741</v>
      </c>
      <c r="B5004" s="74" t="s">
        <v>1181</v>
      </c>
      <c r="C5004" s="74">
        <v>1000875318</v>
      </c>
      <c r="D5004" s="78" t="str">
        <f t="shared" si="163"/>
        <v>https://portal.dnb.de/opac.htm?method=simpleSearch&amp;cqlMode=true&amp;query=idn%3D1000875318</v>
      </c>
      <c r="E5004" s="74" t="s">
        <v>8999</v>
      </c>
      <c r="F5004" s="74"/>
      <c r="G5004" s="76"/>
      <c r="H5004" s="77" t="s">
        <v>5</v>
      </c>
      <c r="I5004" s="76" t="s">
        <v>53</v>
      </c>
      <c r="J5004" s="77" t="s">
        <v>58</v>
      </c>
      <c r="K5004" s="77" t="s">
        <v>84</v>
      </c>
      <c r="L5004" s="76"/>
      <c r="M5004" s="76" t="s">
        <v>36</v>
      </c>
      <c r="N5004" s="76" t="s">
        <v>39</v>
      </c>
      <c r="O5004" s="76">
        <v>0</v>
      </c>
      <c r="P5004" s="76"/>
      <c r="Q5004" s="76"/>
      <c r="R5004" s="76"/>
      <c r="S5004" s="76"/>
      <c r="BD5004" s="99">
        <f t="shared" si="164"/>
        <v>0</v>
      </c>
      <c r="CC5004" s="99"/>
      <c r="CV5004" s="99"/>
      <c r="CW5004" s="63"/>
    </row>
    <row r="5005" spans="1:101" x14ac:dyDescent="0.15">
      <c r="A5005" s="76">
        <v>4742</v>
      </c>
      <c r="B5005" s="74" t="s">
        <v>1182</v>
      </c>
      <c r="C5005" s="74">
        <v>1000875377</v>
      </c>
      <c r="D5005" s="78" t="str">
        <f t="shared" si="163"/>
        <v>https://portal.dnb.de/opac.htm?method=simpleSearch&amp;cqlMode=true&amp;query=idn%3D1000875377</v>
      </c>
      <c r="E5005" s="74" t="s">
        <v>9000</v>
      </c>
      <c r="F5005" s="74"/>
      <c r="G5005" s="76"/>
      <c r="H5005" s="77" t="s">
        <v>5</v>
      </c>
      <c r="I5005" s="76" t="s">
        <v>53</v>
      </c>
      <c r="J5005" s="77" t="s">
        <v>58</v>
      </c>
      <c r="K5005" s="77" t="s">
        <v>84</v>
      </c>
      <c r="L5005" s="76"/>
      <c r="M5005" s="76" t="s">
        <v>36</v>
      </c>
      <c r="N5005" s="76" t="s">
        <v>39</v>
      </c>
      <c r="O5005" s="76">
        <v>0</v>
      </c>
      <c r="P5005" s="76"/>
      <c r="Q5005" s="76"/>
      <c r="R5005" s="76"/>
      <c r="S5005" s="76"/>
      <c r="BD5005" s="99">
        <f t="shared" si="164"/>
        <v>0</v>
      </c>
      <c r="CC5005" s="99"/>
      <c r="CV5005" s="99"/>
      <c r="CW5005" s="63"/>
    </row>
    <row r="5006" spans="1:101" x14ac:dyDescent="0.15">
      <c r="A5006" s="76">
        <v>4743</v>
      </c>
      <c r="B5006" s="74" t="s">
        <v>1183</v>
      </c>
      <c r="C5006" s="74">
        <v>995711461</v>
      </c>
      <c r="D5006" s="78" t="str">
        <f t="shared" si="163"/>
        <v>https://portal.dnb.de/opac.htm?method=simpleSearch&amp;cqlMode=true&amp;query=idn%3D995711461</v>
      </c>
      <c r="E5006" s="74" t="s">
        <v>1184</v>
      </c>
      <c r="F5006" s="74"/>
      <c r="G5006" s="76"/>
      <c r="H5006" s="77"/>
      <c r="I5006" s="76"/>
      <c r="J5006" s="77"/>
      <c r="K5006" s="77"/>
      <c r="L5006" s="76"/>
      <c r="M5006" s="76"/>
      <c r="N5006" s="76"/>
      <c r="O5006" s="76"/>
      <c r="P5006" s="76"/>
      <c r="Q5006" s="76"/>
      <c r="R5006" s="76"/>
      <c r="S5006" s="76"/>
      <c r="BD5006" s="99">
        <f t="shared" si="164"/>
        <v>0</v>
      </c>
      <c r="CC5006" s="99"/>
      <c r="CV5006" s="99"/>
      <c r="CW5006" s="63"/>
    </row>
    <row r="5007" spans="1:101" x14ac:dyDescent="0.15">
      <c r="A5007" s="76">
        <v>4744</v>
      </c>
      <c r="B5007" s="74" t="s">
        <v>1185</v>
      </c>
      <c r="C5007" s="74">
        <v>995712212</v>
      </c>
      <c r="D5007" s="78" t="str">
        <f t="shared" si="163"/>
        <v>https://portal.dnb.de/opac.htm?method=simpleSearch&amp;cqlMode=true&amp;query=idn%3D995712212</v>
      </c>
      <c r="E5007" s="74" t="s">
        <v>1184</v>
      </c>
      <c r="F5007" s="74"/>
      <c r="G5007" s="76"/>
      <c r="H5007" s="77" t="s">
        <v>4</v>
      </c>
      <c r="I5007" s="76" t="s">
        <v>53</v>
      </c>
      <c r="J5007" s="77" t="s">
        <v>58</v>
      </c>
      <c r="K5007" s="77" t="s">
        <v>8785</v>
      </c>
      <c r="L5007" s="76"/>
      <c r="M5007" s="76" t="s">
        <v>36</v>
      </c>
      <c r="N5007" s="76" t="s">
        <v>39</v>
      </c>
      <c r="O5007" s="76"/>
      <c r="P5007" s="76"/>
      <c r="Q5007" s="76"/>
      <c r="R5007" s="76"/>
      <c r="S5007" s="76"/>
      <c r="BD5007" s="99">
        <f t="shared" si="164"/>
        <v>0</v>
      </c>
      <c r="CC5007" s="99"/>
      <c r="CV5007" s="99"/>
      <c r="CW5007" s="63"/>
    </row>
    <row r="5008" spans="1:101" x14ac:dyDescent="0.15">
      <c r="A5008" s="76">
        <v>4745</v>
      </c>
      <c r="B5008" s="74" t="s">
        <v>1186</v>
      </c>
      <c r="C5008" s="74" t="s">
        <v>1187</v>
      </c>
      <c r="D5008" s="78" t="str">
        <f t="shared" si="163"/>
        <v>https://portal.dnb.de/opac.htm?method=simpleSearch&amp;cqlMode=true&amp;query=idn%3D99571133X</v>
      </c>
      <c r="E5008" s="74" t="s">
        <v>1184</v>
      </c>
      <c r="F5008" s="74"/>
      <c r="G5008" s="76"/>
      <c r="H5008" s="77"/>
      <c r="I5008" s="76"/>
      <c r="J5008" s="77"/>
      <c r="K5008" s="77"/>
      <c r="L5008" s="76"/>
      <c r="M5008" s="76"/>
      <c r="N5008" s="76"/>
      <c r="O5008" s="76"/>
      <c r="P5008" s="76"/>
      <c r="Q5008" s="76"/>
      <c r="R5008" s="76"/>
      <c r="S5008" s="76"/>
      <c r="BD5008" s="99">
        <f t="shared" si="164"/>
        <v>0</v>
      </c>
      <c r="CC5008" s="99"/>
      <c r="CV5008" s="99"/>
      <c r="CW5008" s="63"/>
    </row>
    <row r="5009" spans="1:101" x14ac:dyDescent="0.15">
      <c r="A5009" s="76">
        <v>4746</v>
      </c>
      <c r="B5009" s="74" t="s">
        <v>1188</v>
      </c>
      <c r="C5009" s="74">
        <v>1001795318</v>
      </c>
      <c r="D5009" s="78" t="str">
        <f t="shared" si="163"/>
        <v>https://portal.dnb.de/opac.htm?method=simpleSearch&amp;cqlMode=true&amp;query=idn%3D1001795318</v>
      </c>
      <c r="E5009" s="74" t="s">
        <v>1189</v>
      </c>
      <c r="F5009" s="74"/>
      <c r="G5009" s="76"/>
      <c r="H5009" s="77" t="s">
        <v>48</v>
      </c>
      <c r="I5009" s="76" t="s">
        <v>53</v>
      </c>
      <c r="J5009" s="77" t="s">
        <v>58</v>
      </c>
      <c r="K5009" s="77" t="s">
        <v>84</v>
      </c>
      <c r="L5009" s="76"/>
      <c r="M5009" s="76"/>
      <c r="N5009" s="76"/>
      <c r="O5009" s="76">
        <v>0</v>
      </c>
      <c r="P5009" s="76"/>
      <c r="Q5009" s="76"/>
      <c r="R5009" s="76"/>
      <c r="S5009" s="76"/>
      <c r="BD5009" s="99">
        <f t="shared" si="164"/>
        <v>0</v>
      </c>
      <c r="CC5009" s="99"/>
      <c r="CV5009" s="99"/>
      <c r="CW5009" s="63"/>
    </row>
    <row r="5010" spans="1:101" x14ac:dyDescent="0.15">
      <c r="A5010" s="76">
        <v>4747</v>
      </c>
      <c r="B5010" s="74" t="s">
        <v>1654</v>
      </c>
      <c r="C5010" s="74">
        <v>997073144</v>
      </c>
      <c r="D5010" s="78" t="str">
        <f t="shared" si="163"/>
        <v>https://portal.dnb.de/opac.htm?method=simpleSearch&amp;cqlMode=true&amp;query=idn%3D997073144</v>
      </c>
      <c r="E5010" s="74" t="s">
        <v>1655</v>
      </c>
      <c r="F5010" s="74"/>
      <c r="G5010" s="76"/>
      <c r="H5010" s="77"/>
      <c r="I5010" s="76"/>
      <c r="J5010" s="77"/>
      <c r="K5010" s="77"/>
      <c r="L5010" s="76"/>
      <c r="M5010" s="76"/>
      <c r="N5010" s="76"/>
      <c r="O5010" s="76"/>
      <c r="P5010" s="76"/>
      <c r="Q5010" s="76"/>
      <c r="R5010" s="76"/>
      <c r="S5010" s="76"/>
      <c r="BD5010" s="99">
        <f t="shared" si="164"/>
        <v>0</v>
      </c>
      <c r="CC5010" s="99"/>
      <c r="CV5010" s="99"/>
      <c r="CW5010" s="63"/>
    </row>
    <row r="5011" spans="1:101" x14ac:dyDescent="0.15">
      <c r="A5011" s="76">
        <v>4748</v>
      </c>
      <c r="B5011" s="74" t="s">
        <v>1656</v>
      </c>
      <c r="C5011" s="74">
        <v>1000188817</v>
      </c>
      <c r="D5011" s="78" t="str">
        <f t="shared" si="163"/>
        <v>https://portal.dnb.de/opac.htm?method=simpleSearch&amp;cqlMode=true&amp;query=idn%3D1000188817</v>
      </c>
      <c r="E5011" s="74" t="s">
        <v>1657</v>
      </c>
      <c r="F5011" s="74"/>
      <c r="G5011" s="76"/>
      <c r="H5011" s="77" t="s">
        <v>5</v>
      </c>
      <c r="I5011" s="76" t="s">
        <v>53</v>
      </c>
      <c r="J5011" s="77" t="s">
        <v>89</v>
      </c>
      <c r="K5011" s="77" t="s">
        <v>72</v>
      </c>
      <c r="L5011" s="76"/>
      <c r="M5011" s="76"/>
      <c r="N5011" s="76" t="s">
        <v>40</v>
      </c>
      <c r="O5011" s="76">
        <v>0</v>
      </c>
      <c r="P5011" s="76"/>
      <c r="Q5011" s="76"/>
      <c r="R5011" s="76"/>
      <c r="S5011" s="76"/>
      <c r="BD5011" s="99">
        <f t="shared" si="164"/>
        <v>0</v>
      </c>
      <c r="CC5011" s="99"/>
      <c r="CV5011" s="99"/>
      <c r="CW5011" s="63"/>
    </row>
    <row r="5012" spans="1:101" x14ac:dyDescent="0.15">
      <c r="A5012" s="76">
        <v>4749</v>
      </c>
      <c r="B5012" s="74" t="s">
        <v>1652</v>
      </c>
      <c r="C5012" s="74" t="s">
        <v>1653</v>
      </c>
      <c r="D5012" s="78" t="str">
        <f t="shared" si="163"/>
        <v>https://portal.dnb.de/opac.htm?method=simpleSearch&amp;cqlMode=true&amp;query=idn%3D99594041X</v>
      </c>
      <c r="E5012" s="74" t="s">
        <v>1657</v>
      </c>
      <c r="F5012" s="74"/>
      <c r="G5012" s="76"/>
      <c r="H5012" s="77"/>
      <c r="I5012" s="76"/>
      <c r="J5012" s="77"/>
      <c r="K5012" s="77"/>
      <c r="L5012" s="76"/>
      <c r="M5012" s="76"/>
      <c r="N5012" s="76"/>
      <c r="O5012" s="76"/>
      <c r="P5012" s="76"/>
      <c r="Q5012" s="76"/>
      <c r="R5012" s="76"/>
      <c r="S5012" s="76"/>
      <c r="BD5012" s="99">
        <f t="shared" si="164"/>
        <v>0</v>
      </c>
      <c r="CC5012" s="99"/>
      <c r="CV5012" s="99"/>
      <c r="CW5012" s="63"/>
    </row>
    <row r="5013" spans="1:101" x14ac:dyDescent="0.15">
      <c r="A5013" s="76">
        <v>4750</v>
      </c>
      <c r="B5013" s="74" t="s">
        <v>1786</v>
      </c>
      <c r="C5013" s="74" t="s">
        <v>1787</v>
      </c>
      <c r="D5013" s="78" t="str">
        <f t="shared" si="163"/>
        <v>https://portal.dnb.de/opac.htm?method=simpleSearch&amp;cqlMode=true&amp;query=idn%3D106678034X</v>
      </c>
      <c r="E5013" s="74" t="s">
        <v>1788</v>
      </c>
      <c r="F5013" s="74"/>
      <c r="G5013" s="76"/>
      <c r="H5013" s="77"/>
      <c r="I5013" s="76"/>
      <c r="J5013" s="77"/>
      <c r="K5013" s="77"/>
      <c r="L5013" s="76"/>
      <c r="M5013" s="76"/>
      <c r="N5013" s="76"/>
      <c r="O5013" s="76"/>
      <c r="P5013" s="76"/>
      <c r="Q5013" s="76"/>
      <c r="R5013" s="76"/>
      <c r="S5013" s="76"/>
      <c r="BD5013" s="99">
        <f t="shared" si="164"/>
        <v>0</v>
      </c>
      <c r="CC5013" s="99"/>
      <c r="CV5013" s="99"/>
      <c r="CW5013" s="63"/>
    </row>
    <row r="5014" spans="1:101" x14ac:dyDescent="0.15">
      <c r="A5014" s="76">
        <v>4751</v>
      </c>
      <c r="B5014" s="74" t="s">
        <v>1990</v>
      </c>
      <c r="C5014" s="74">
        <v>1012429733</v>
      </c>
      <c r="D5014" s="78" t="str">
        <f t="shared" si="163"/>
        <v>https://portal.dnb.de/opac.htm?method=simpleSearch&amp;cqlMode=true&amp;query=idn%3D1012429733</v>
      </c>
      <c r="E5014" s="74" t="s">
        <v>1991</v>
      </c>
      <c r="F5014" s="74"/>
      <c r="G5014" s="76" t="s">
        <v>8515</v>
      </c>
      <c r="H5014" s="77" t="s">
        <v>48</v>
      </c>
      <c r="I5014" s="76" t="s">
        <v>53</v>
      </c>
      <c r="J5014" s="77" t="s">
        <v>58</v>
      </c>
      <c r="K5014" s="77" t="s">
        <v>84</v>
      </c>
      <c r="L5014" s="76"/>
      <c r="M5014" s="76" t="s">
        <v>36</v>
      </c>
      <c r="N5014" s="76" t="s">
        <v>40</v>
      </c>
      <c r="O5014" s="76">
        <v>0</v>
      </c>
      <c r="P5014" s="76"/>
      <c r="Q5014" s="76"/>
      <c r="R5014" s="76"/>
      <c r="S5014" s="76"/>
      <c r="BD5014" s="99">
        <f t="shared" si="164"/>
        <v>0</v>
      </c>
      <c r="CC5014" s="99"/>
      <c r="CV5014" s="99"/>
      <c r="CW5014" s="63"/>
    </row>
    <row r="5015" spans="1:101" x14ac:dyDescent="0.15">
      <c r="A5015" s="76">
        <v>4752</v>
      </c>
      <c r="B5015" s="74" t="s">
        <v>2006</v>
      </c>
      <c r="C5015" s="74">
        <v>1132656753</v>
      </c>
      <c r="D5015" s="78" t="str">
        <f t="shared" si="163"/>
        <v>https://portal.dnb.de/opac.htm?method=simpleSearch&amp;cqlMode=true&amp;query=idn%3D1132656753</v>
      </c>
      <c r="E5015" s="74" t="s">
        <v>8534</v>
      </c>
      <c r="F5015" s="74"/>
      <c r="G5015" s="76" t="s">
        <v>8515</v>
      </c>
      <c r="H5015" s="77" t="s">
        <v>49</v>
      </c>
      <c r="I5015" s="76" t="s">
        <v>54</v>
      </c>
      <c r="J5015" s="77" t="s">
        <v>8516</v>
      </c>
      <c r="K5015" s="77" t="s">
        <v>62</v>
      </c>
      <c r="L5015" s="76"/>
      <c r="M5015" s="76"/>
      <c r="N5015" s="76"/>
      <c r="O5015" s="76">
        <v>0</v>
      </c>
      <c r="P5015" s="76"/>
      <c r="Q5015" s="76"/>
      <c r="R5015" s="76"/>
      <c r="S5015" s="76"/>
      <c r="BD5015" s="99">
        <f t="shared" si="164"/>
        <v>0</v>
      </c>
      <c r="CC5015" s="99"/>
      <c r="CV5015" s="99"/>
      <c r="CW5015" s="63"/>
    </row>
    <row r="5016" spans="1:101" x14ac:dyDescent="0.15">
      <c r="A5016" s="76">
        <v>4753</v>
      </c>
      <c r="B5016" s="74" t="s">
        <v>2057</v>
      </c>
      <c r="C5016" s="74">
        <v>1002995671</v>
      </c>
      <c r="D5016" s="82" t="str">
        <f t="shared" si="163"/>
        <v>https://portal.dnb.de/opac.htm?method=simpleSearch&amp;cqlMode=true&amp;query=idn%3D1002995671</v>
      </c>
      <c r="E5016" s="74" t="s">
        <v>9074</v>
      </c>
      <c r="F5016" s="74"/>
      <c r="G5016" s="76"/>
      <c r="H5016" s="77" t="s">
        <v>5</v>
      </c>
      <c r="I5016" s="76" t="s">
        <v>53</v>
      </c>
      <c r="J5016" s="77" t="s">
        <v>8516</v>
      </c>
      <c r="K5016" s="77" t="s">
        <v>8520</v>
      </c>
      <c r="L5016" s="76"/>
      <c r="M5016" s="76" t="s">
        <v>36</v>
      </c>
      <c r="N5016" s="76" t="s">
        <v>39</v>
      </c>
      <c r="O5016" s="76">
        <v>0</v>
      </c>
      <c r="P5016" s="76"/>
      <c r="Q5016" s="76"/>
      <c r="R5016" s="76"/>
      <c r="S5016" s="76"/>
      <c r="BD5016" s="99">
        <f t="shared" si="164"/>
        <v>0</v>
      </c>
      <c r="CC5016" s="99"/>
      <c r="CV5016" s="99"/>
      <c r="CW5016" s="63"/>
    </row>
    <row r="5017" spans="1:101" x14ac:dyDescent="0.15">
      <c r="A5017" s="76"/>
      <c r="B5017" s="74"/>
      <c r="C5017" s="74"/>
      <c r="D5017" s="85"/>
      <c r="E5017" s="74" t="s">
        <v>9075</v>
      </c>
      <c r="F5017" s="74"/>
      <c r="G5017" s="76"/>
      <c r="H5017" s="77" t="s">
        <v>5</v>
      </c>
      <c r="I5017" s="76" t="s">
        <v>53</v>
      </c>
      <c r="J5017" s="77" t="s">
        <v>8516</v>
      </c>
      <c r="K5017" s="77" t="s">
        <v>8520</v>
      </c>
      <c r="L5017" s="76"/>
      <c r="M5017" s="76" t="s">
        <v>36</v>
      </c>
      <c r="N5017" s="76" t="s">
        <v>39</v>
      </c>
      <c r="O5017" s="76">
        <v>0</v>
      </c>
      <c r="P5017" s="76"/>
      <c r="Q5017" s="76"/>
      <c r="R5017" s="76"/>
      <c r="S5017" s="76"/>
      <c r="BD5017" s="99">
        <f t="shared" si="164"/>
        <v>0</v>
      </c>
      <c r="CC5017" s="99"/>
      <c r="CV5017" s="99"/>
      <c r="CW5017" s="63"/>
    </row>
    <row r="5018" spans="1:101" x14ac:dyDescent="0.15">
      <c r="A5018" s="76"/>
      <c r="B5018" s="74"/>
      <c r="C5018" s="74"/>
      <c r="D5018" s="85"/>
      <c r="E5018" s="74" t="s">
        <v>9076</v>
      </c>
      <c r="F5018" s="74"/>
      <c r="G5018" s="76"/>
      <c r="H5018" s="77" t="s">
        <v>5</v>
      </c>
      <c r="I5018" s="76" t="s">
        <v>53</v>
      </c>
      <c r="J5018" s="77" t="s">
        <v>8516</v>
      </c>
      <c r="K5018" s="77" t="s">
        <v>8520</v>
      </c>
      <c r="L5018" s="76"/>
      <c r="M5018" s="76" t="s">
        <v>36</v>
      </c>
      <c r="N5018" s="76" t="s">
        <v>39</v>
      </c>
      <c r="O5018" s="76">
        <v>0</v>
      </c>
      <c r="P5018" s="76"/>
      <c r="Q5018" s="76"/>
      <c r="R5018" s="76"/>
      <c r="S5018" s="76"/>
      <c r="BD5018" s="99">
        <f t="shared" si="164"/>
        <v>0</v>
      </c>
      <c r="CC5018" s="99"/>
      <c r="CV5018" s="99"/>
      <c r="CW5018" s="63"/>
    </row>
    <row r="5019" spans="1:101" x14ac:dyDescent="0.15">
      <c r="A5019" s="76"/>
      <c r="B5019" s="74"/>
      <c r="C5019" s="74"/>
      <c r="D5019" s="85"/>
      <c r="E5019" s="74" t="s">
        <v>9077</v>
      </c>
      <c r="F5019" s="74"/>
      <c r="G5019" s="76"/>
      <c r="H5019" s="77" t="s">
        <v>5</v>
      </c>
      <c r="I5019" s="76" t="s">
        <v>53</v>
      </c>
      <c r="J5019" s="77" t="s">
        <v>8516</v>
      </c>
      <c r="K5019" s="77" t="s">
        <v>8520</v>
      </c>
      <c r="L5019" s="76"/>
      <c r="M5019" s="76" t="s">
        <v>36</v>
      </c>
      <c r="N5019" s="76" t="s">
        <v>39</v>
      </c>
      <c r="O5019" s="76">
        <v>0</v>
      </c>
      <c r="P5019" s="76"/>
      <c r="Q5019" s="76"/>
      <c r="R5019" s="76"/>
      <c r="S5019" s="76"/>
      <c r="BD5019" s="99">
        <f t="shared" si="164"/>
        <v>0</v>
      </c>
      <c r="CC5019" s="99"/>
      <c r="CV5019" s="99"/>
      <c r="CW5019" s="63"/>
    </row>
    <row r="5020" spans="1:101" x14ac:dyDescent="0.15">
      <c r="A5020" s="76"/>
      <c r="B5020" s="74"/>
      <c r="C5020" s="74"/>
      <c r="D5020" s="85"/>
      <c r="E5020" s="74" t="s">
        <v>9078</v>
      </c>
      <c r="F5020" s="74"/>
      <c r="G5020" s="76"/>
      <c r="H5020" s="77" t="s">
        <v>5</v>
      </c>
      <c r="I5020" s="76" t="s">
        <v>53</v>
      </c>
      <c r="J5020" s="77" t="s">
        <v>8516</v>
      </c>
      <c r="K5020" s="77" t="s">
        <v>8520</v>
      </c>
      <c r="L5020" s="76"/>
      <c r="M5020" s="76" t="s">
        <v>36</v>
      </c>
      <c r="N5020" s="76" t="s">
        <v>39</v>
      </c>
      <c r="O5020" s="76">
        <v>0</v>
      </c>
      <c r="P5020" s="76"/>
      <c r="Q5020" s="76"/>
      <c r="R5020" s="76"/>
      <c r="S5020" s="76"/>
      <c r="BD5020" s="99">
        <f t="shared" si="164"/>
        <v>0</v>
      </c>
      <c r="CC5020" s="99"/>
      <c r="CV5020" s="99"/>
      <c r="CW5020" s="63"/>
    </row>
    <row r="5021" spans="1:101" x14ac:dyDescent="0.15">
      <c r="A5021" s="76"/>
      <c r="B5021" s="74"/>
      <c r="C5021" s="74"/>
      <c r="D5021" s="85"/>
      <c r="E5021" s="74" t="s">
        <v>9079</v>
      </c>
      <c r="F5021" s="74"/>
      <c r="G5021" s="76"/>
      <c r="H5021" s="77" t="s">
        <v>5</v>
      </c>
      <c r="I5021" s="76" t="s">
        <v>53</v>
      </c>
      <c r="J5021" s="77" t="s">
        <v>8516</v>
      </c>
      <c r="K5021" s="77" t="s">
        <v>8520</v>
      </c>
      <c r="L5021" s="76"/>
      <c r="M5021" s="76" t="s">
        <v>36</v>
      </c>
      <c r="N5021" s="76" t="s">
        <v>39</v>
      </c>
      <c r="O5021" s="76">
        <v>0</v>
      </c>
      <c r="P5021" s="76"/>
      <c r="Q5021" s="76"/>
      <c r="R5021" s="76"/>
      <c r="S5021" s="76"/>
      <c r="BD5021" s="99">
        <f t="shared" si="164"/>
        <v>0</v>
      </c>
      <c r="CC5021" s="99"/>
      <c r="CV5021" s="99"/>
      <c r="CW5021" s="63"/>
    </row>
    <row r="5022" spans="1:101" x14ac:dyDescent="0.15">
      <c r="A5022" s="76"/>
      <c r="B5022" s="74"/>
      <c r="C5022" s="74"/>
      <c r="D5022" s="85"/>
      <c r="E5022" s="74" t="s">
        <v>9080</v>
      </c>
      <c r="F5022" s="74"/>
      <c r="G5022" s="76"/>
      <c r="H5022" s="77" t="s">
        <v>5</v>
      </c>
      <c r="I5022" s="76" t="s">
        <v>53</v>
      </c>
      <c r="J5022" s="77" t="s">
        <v>8516</v>
      </c>
      <c r="K5022" s="77" t="s">
        <v>8520</v>
      </c>
      <c r="L5022" s="76"/>
      <c r="M5022" s="76" t="s">
        <v>36</v>
      </c>
      <c r="N5022" s="76" t="s">
        <v>39</v>
      </c>
      <c r="O5022" s="76">
        <v>0</v>
      </c>
      <c r="P5022" s="76"/>
      <c r="Q5022" s="76"/>
      <c r="R5022" s="76"/>
      <c r="S5022" s="76"/>
      <c r="BD5022" s="99">
        <f t="shared" si="164"/>
        <v>0</v>
      </c>
      <c r="CC5022" s="99"/>
      <c r="CV5022" s="99"/>
      <c r="CW5022" s="63"/>
    </row>
    <row r="5023" spans="1:101" x14ac:dyDescent="0.15">
      <c r="A5023" s="76"/>
      <c r="B5023" s="74"/>
      <c r="C5023" s="74"/>
      <c r="D5023" s="85"/>
      <c r="E5023" s="74" t="s">
        <v>9081</v>
      </c>
      <c r="F5023" s="74"/>
      <c r="G5023" s="76"/>
      <c r="H5023" s="77" t="s">
        <v>5</v>
      </c>
      <c r="I5023" s="76" t="s">
        <v>53</v>
      </c>
      <c r="J5023" s="77" t="s">
        <v>8516</v>
      </c>
      <c r="K5023" s="77" t="s">
        <v>8520</v>
      </c>
      <c r="L5023" s="76"/>
      <c r="M5023" s="76" t="s">
        <v>36</v>
      </c>
      <c r="N5023" s="76" t="s">
        <v>39</v>
      </c>
      <c r="O5023" s="76">
        <v>0</v>
      </c>
      <c r="P5023" s="76"/>
      <c r="Q5023" s="76"/>
      <c r="R5023" s="76"/>
      <c r="S5023" s="76"/>
      <c r="BD5023" s="99">
        <f t="shared" si="164"/>
        <v>0</v>
      </c>
      <c r="CC5023" s="99"/>
      <c r="CV5023" s="99"/>
      <c r="CW5023" s="63"/>
    </row>
    <row r="5024" spans="1:101" x14ac:dyDescent="0.15">
      <c r="A5024" s="76"/>
      <c r="B5024" s="74"/>
      <c r="C5024" s="74"/>
      <c r="D5024" s="85"/>
      <c r="E5024" s="74" t="s">
        <v>9082</v>
      </c>
      <c r="F5024" s="74"/>
      <c r="G5024" s="76" t="s">
        <v>8541</v>
      </c>
      <c r="H5024" s="77" t="s">
        <v>5</v>
      </c>
      <c r="I5024" s="76" t="s">
        <v>53</v>
      </c>
      <c r="J5024" s="77" t="s">
        <v>8516</v>
      </c>
      <c r="K5024" s="77" t="s">
        <v>8520</v>
      </c>
      <c r="L5024" s="76"/>
      <c r="M5024" s="76" t="s">
        <v>36</v>
      </c>
      <c r="N5024" s="76" t="s">
        <v>39</v>
      </c>
      <c r="O5024" s="76">
        <v>0</v>
      </c>
      <c r="P5024" s="76"/>
      <c r="Q5024" s="76"/>
      <c r="R5024" s="76"/>
      <c r="S5024" s="76"/>
      <c r="BD5024" s="99">
        <f t="shared" si="164"/>
        <v>0</v>
      </c>
      <c r="CC5024" s="99"/>
      <c r="CV5024" s="99"/>
      <c r="CW5024" s="63"/>
    </row>
    <row r="5025" spans="1:101" x14ac:dyDescent="0.15">
      <c r="A5025" s="76"/>
      <c r="B5025" s="74"/>
      <c r="C5025" s="74"/>
      <c r="D5025" s="85"/>
      <c r="E5025" s="74" t="s">
        <v>9083</v>
      </c>
      <c r="F5025" s="74"/>
      <c r="G5025" s="76"/>
      <c r="H5025" s="77" t="s">
        <v>5</v>
      </c>
      <c r="I5025" s="76" t="s">
        <v>53</v>
      </c>
      <c r="J5025" s="77" t="s">
        <v>8516</v>
      </c>
      <c r="K5025" s="77" t="s">
        <v>8520</v>
      </c>
      <c r="L5025" s="76"/>
      <c r="M5025" s="76" t="s">
        <v>36</v>
      </c>
      <c r="N5025" s="76" t="s">
        <v>39</v>
      </c>
      <c r="O5025" s="76">
        <v>0</v>
      </c>
      <c r="P5025" s="76"/>
      <c r="Q5025" s="76"/>
      <c r="R5025" s="76"/>
      <c r="S5025" s="76"/>
      <c r="BD5025" s="99">
        <f t="shared" si="164"/>
        <v>0</v>
      </c>
      <c r="CC5025" s="99"/>
      <c r="CV5025" s="99"/>
      <c r="CW5025" s="63"/>
    </row>
    <row r="5026" spans="1:101" x14ac:dyDescent="0.15">
      <c r="A5026" s="76"/>
      <c r="B5026" s="74"/>
      <c r="C5026" s="74"/>
      <c r="D5026" s="85"/>
      <c r="E5026" s="74" t="s">
        <v>9084</v>
      </c>
      <c r="F5026" s="74"/>
      <c r="G5026" s="76"/>
      <c r="H5026" s="77" t="s">
        <v>5</v>
      </c>
      <c r="I5026" s="76" t="s">
        <v>53</v>
      </c>
      <c r="J5026" s="77" t="s">
        <v>8516</v>
      </c>
      <c r="K5026" s="77" t="s">
        <v>8520</v>
      </c>
      <c r="L5026" s="76"/>
      <c r="M5026" s="76" t="s">
        <v>36</v>
      </c>
      <c r="N5026" s="76" t="s">
        <v>39</v>
      </c>
      <c r="O5026" s="76">
        <v>0</v>
      </c>
      <c r="P5026" s="76"/>
      <c r="Q5026" s="76"/>
      <c r="R5026" s="76"/>
      <c r="S5026" s="76"/>
      <c r="BD5026" s="99">
        <f t="shared" si="164"/>
        <v>0</v>
      </c>
      <c r="CC5026" s="99"/>
      <c r="CV5026" s="99"/>
      <c r="CW5026" s="63"/>
    </row>
    <row r="5027" spans="1:101" x14ac:dyDescent="0.15">
      <c r="A5027" s="76"/>
      <c r="B5027" s="74"/>
      <c r="C5027" s="74"/>
      <c r="D5027" s="85"/>
      <c r="E5027" s="74" t="s">
        <v>9085</v>
      </c>
      <c r="F5027" s="74"/>
      <c r="G5027" s="76"/>
      <c r="H5027" s="77" t="s">
        <v>5</v>
      </c>
      <c r="I5027" s="76" t="s">
        <v>53</v>
      </c>
      <c r="J5027" s="77" t="s">
        <v>8516</v>
      </c>
      <c r="K5027" s="77" t="s">
        <v>8520</v>
      </c>
      <c r="L5027" s="76"/>
      <c r="M5027" s="76" t="s">
        <v>36</v>
      </c>
      <c r="N5027" s="76" t="s">
        <v>39</v>
      </c>
      <c r="O5027" s="76">
        <v>0</v>
      </c>
      <c r="P5027" s="76"/>
      <c r="Q5027" s="76"/>
      <c r="R5027" s="76"/>
      <c r="S5027" s="76"/>
      <c r="BD5027" s="99">
        <f t="shared" si="164"/>
        <v>0</v>
      </c>
      <c r="CC5027" s="99"/>
      <c r="CV5027" s="99"/>
      <c r="CW5027" s="63"/>
    </row>
    <row r="5028" spans="1:101" x14ac:dyDescent="0.15">
      <c r="A5028" s="76"/>
      <c r="B5028" s="74"/>
      <c r="C5028" s="74"/>
      <c r="D5028" s="85"/>
      <c r="E5028" s="74" t="s">
        <v>9086</v>
      </c>
      <c r="F5028" s="74"/>
      <c r="G5028" s="76"/>
      <c r="H5028" s="77" t="s">
        <v>5</v>
      </c>
      <c r="I5028" s="76" t="s">
        <v>53</v>
      </c>
      <c r="J5028" s="77" t="s">
        <v>8516</v>
      </c>
      <c r="K5028" s="77" t="s">
        <v>8520</v>
      </c>
      <c r="L5028" s="76"/>
      <c r="M5028" s="76" t="s">
        <v>36</v>
      </c>
      <c r="N5028" s="76" t="s">
        <v>39</v>
      </c>
      <c r="O5028" s="76">
        <v>0</v>
      </c>
      <c r="P5028" s="76"/>
      <c r="Q5028" s="76"/>
      <c r="R5028" s="76"/>
      <c r="S5028" s="76"/>
      <c r="BD5028" s="99">
        <f t="shared" si="164"/>
        <v>0</v>
      </c>
      <c r="CC5028" s="99"/>
      <c r="CV5028" s="99"/>
      <c r="CW5028" s="63"/>
    </row>
    <row r="5029" spans="1:101" x14ac:dyDescent="0.15">
      <c r="A5029" s="76"/>
      <c r="B5029" s="74"/>
      <c r="C5029" s="74"/>
      <c r="D5029" s="85"/>
      <c r="E5029" s="74" t="s">
        <v>9087</v>
      </c>
      <c r="F5029" s="74"/>
      <c r="G5029" s="76"/>
      <c r="H5029" s="77" t="s">
        <v>5</v>
      </c>
      <c r="I5029" s="76" t="s">
        <v>53</v>
      </c>
      <c r="J5029" s="77" t="s">
        <v>8516</v>
      </c>
      <c r="K5029" s="77" t="s">
        <v>8520</v>
      </c>
      <c r="L5029" s="76"/>
      <c r="M5029" s="76" t="s">
        <v>36</v>
      </c>
      <c r="N5029" s="76" t="s">
        <v>39</v>
      </c>
      <c r="O5029" s="76">
        <v>0</v>
      </c>
      <c r="P5029" s="76"/>
      <c r="Q5029" s="76"/>
      <c r="R5029" s="76"/>
      <c r="S5029" s="76"/>
      <c r="BD5029" s="99">
        <f t="shared" si="164"/>
        <v>0</v>
      </c>
      <c r="CC5029" s="99"/>
      <c r="CV5029" s="99"/>
      <c r="CW5029" s="63"/>
    </row>
    <row r="5030" spans="1:101" x14ac:dyDescent="0.15">
      <c r="A5030" s="76"/>
      <c r="B5030" s="74"/>
      <c r="C5030" s="74"/>
      <c r="D5030" s="85"/>
      <c r="E5030" s="74" t="s">
        <v>9088</v>
      </c>
      <c r="F5030" s="74"/>
      <c r="G5030" s="76"/>
      <c r="H5030" s="77" t="s">
        <v>5</v>
      </c>
      <c r="I5030" s="76" t="s">
        <v>53</v>
      </c>
      <c r="J5030" s="77" t="s">
        <v>8516</v>
      </c>
      <c r="K5030" s="77" t="s">
        <v>8520</v>
      </c>
      <c r="L5030" s="76"/>
      <c r="M5030" s="76" t="s">
        <v>36</v>
      </c>
      <c r="N5030" s="76" t="s">
        <v>39</v>
      </c>
      <c r="O5030" s="76">
        <v>0</v>
      </c>
      <c r="P5030" s="76"/>
      <c r="Q5030" s="76"/>
      <c r="R5030" s="76"/>
      <c r="S5030" s="76"/>
      <c r="BD5030" s="99">
        <f t="shared" si="164"/>
        <v>0</v>
      </c>
      <c r="CC5030" s="99"/>
      <c r="CV5030" s="99"/>
      <c r="CW5030" s="63"/>
    </row>
    <row r="5031" spans="1:101" x14ac:dyDescent="0.15">
      <c r="A5031" s="76"/>
      <c r="B5031" s="74"/>
      <c r="C5031" s="74"/>
      <c r="D5031" s="85"/>
      <c r="E5031" s="74" t="s">
        <v>9089</v>
      </c>
      <c r="F5031" s="74"/>
      <c r="G5031" s="76"/>
      <c r="H5031" s="77" t="s">
        <v>5</v>
      </c>
      <c r="I5031" s="76" t="s">
        <v>53</v>
      </c>
      <c r="J5031" s="77" t="s">
        <v>8516</v>
      </c>
      <c r="K5031" s="77" t="s">
        <v>8520</v>
      </c>
      <c r="L5031" s="76"/>
      <c r="M5031" s="76" t="s">
        <v>36</v>
      </c>
      <c r="N5031" s="76" t="s">
        <v>39</v>
      </c>
      <c r="O5031" s="76">
        <v>0</v>
      </c>
      <c r="P5031" s="76"/>
      <c r="Q5031" s="76"/>
      <c r="R5031" s="76"/>
      <c r="S5031" s="76"/>
      <c r="BD5031" s="99">
        <f t="shared" si="164"/>
        <v>0</v>
      </c>
      <c r="CC5031" s="99"/>
      <c r="CV5031" s="99"/>
      <c r="CW5031" s="63"/>
    </row>
    <row r="5032" spans="1:101" x14ac:dyDescent="0.15">
      <c r="A5032" s="76"/>
      <c r="B5032" s="74"/>
      <c r="C5032" s="74"/>
      <c r="D5032" s="85"/>
      <c r="E5032" s="74" t="s">
        <v>9090</v>
      </c>
      <c r="F5032" s="74"/>
      <c r="G5032" s="76"/>
      <c r="H5032" s="77" t="s">
        <v>5</v>
      </c>
      <c r="I5032" s="76" t="s">
        <v>53</v>
      </c>
      <c r="J5032" s="77" t="s">
        <v>8516</v>
      </c>
      <c r="K5032" s="77" t="s">
        <v>8520</v>
      </c>
      <c r="L5032" s="76"/>
      <c r="M5032" s="76" t="s">
        <v>36</v>
      </c>
      <c r="N5032" s="76" t="s">
        <v>39</v>
      </c>
      <c r="O5032" s="76">
        <v>0</v>
      </c>
      <c r="P5032" s="76"/>
      <c r="Q5032" s="76"/>
      <c r="R5032" s="76"/>
      <c r="S5032" s="76"/>
      <c r="BD5032" s="99">
        <f t="shared" si="164"/>
        <v>0</v>
      </c>
      <c r="CC5032" s="99"/>
      <c r="CV5032" s="99"/>
      <c r="CW5032" s="63"/>
    </row>
    <row r="5033" spans="1:101" x14ac:dyDescent="0.15">
      <c r="A5033" s="76"/>
      <c r="B5033" s="74"/>
      <c r="C5033" s="74"/>
      <c r="D5033" s="85"/>
      <c r="E5033" s="74" t="s">
        <v>9091</v>
      </c>
      <c r="F5033" s="74"/>
      <c r="G5033" s="76"/>
      <c r="H5033" s="77" t="s">
        <v>5</v>
      </c>
      <c r="I5033" s="76" t="s">
        <v>53</v>
      </c>
      <c r="J5033" s="77" t="s">
        <v>8516</v>
      </c>
      <c r="K5033" s="77" t="s">
        <v>8520</v>
      </c>
      <c r="L5033" s="76"/>
      <c r="M5033" s="76" t="s">
        <v>36</v>
      </c>
      <c r="N5033" s="76" t="s">
        <v>39</v>
      </c>
      <c r="O5033" s="76">
        <v>0</v>
      </c>
      <c r="P5033" s="76"/>
      <c r="Q5033" s="76"/>
      <c r="R5033" s="76"/>
      <c r="S5033" s="76"/>
      <c r="BD5033" s="99">
        <f t="shared" si="164"/>
        <v>0</v>
      </c>
      <c r="CC5033" s="99"/>
      <c r="CV5033" s="99"/>
      <c r="CW5033" s="63"/>
    </row>
    <row r="5034" spans="1:101" x14ac:dyDescent="0.15">
      <c r="A5034" s="76"/>
      <c r="B5034" s="74"/>
      <c r="C5034" s="74"/>
      <c r="D5034" s="85"/>
      <c r="E5034" s="74" t="s">
        <v>9092</v>
      </c>
      <c r="F5034" s="74"/>
      <c r="G5034" s="76"/>
      <c r="H5034" s="77" t="s">
        <v>5</v>
      </c>
      <c r="I5034" s="76" t="s">
        <v>53</v>
      </c>
      <c r="J5034" s="77" t="s">
        <v>8516</v>
      </c>
      <c r="K5034" s="77" t="s">
        <v>8520</v>
      </c>
      <c r="L5034" s="76"/>
      <c r="M5034" s="76" t="s">
        <v>36</v>
      </c>
      <c r="N5034" s="76" t="s">
        <v>39</v>
      </c>
      <c r="O5034" s="76">
        <v>0</v>
      </c>
      <c r="P5034" s="76"/>
      <c r="Q5034" s="76"/>
      <c r="R5034" s="76"/>
      <c r="S5034" s="76"/>
      <c r="BD5034" s="99">
        <f t="shared" si="164"/>
        <v>0</v>
      </c>
      <c r="CC5034" s="99"/>
      <c r="CV5034" s="99"/>
      <c r="CW5034" s="63"/>
    </row>
    <row r="5035" spans="1:101" x14ac:dyDescent="0.15">
      <c r="A5035" s="76"/>
      <c r="B5035" s="74"/>
      <c r="C5035" s="74"/>
      <c r="D5035" s="85"/>
      <c r="E5035" s="74" t="s">
        <v>9093</v>
      </c>
      <c r="F5035" s="74"/>
      <c r="G5035" s="76"/>
      <c r="H5035" s="77" t="s">
        <v>5</v>
      </c>
      <c r="I5035" s="76" t="s">
        <v>53</v>
      </c>
      <c r="J5035" s="77" t="s">
        <v>8516</v>
      </c>
      <c r="K5035" s="77" t="s">
        <v>8520</v>
      </c>
      <c r="L5035" s="76"/>
      <c r="M5035" s="76" t="s">
        <v>36</v>
      </c>
      <c r="N5035" s="76" t="s">
        <v>39</v>
      </c>
      <c r="O5035" s="76">
        <v>0</v>
      </c>
      <c r="P5035" s="76"/>
      <c r="Q5035" s="76"/>
      <c r="R5035" s="76"/>
      <c r="S5035" s="76"/>
      <c r="BD5035" s="99">
        <f t="shared" si="164"/>
        <v>0</v>
      </c>
      <c r="CC5035" s="99"/>
      <c r="CV5035" s="99"/>
      <c r="CW5035" s="63"/>
    </row>
    <row r="5036" spans="1:101" x14ac:dyDescent="0.15">
      <c r="A5036" s="76"/>
      <c r="B5036" s="74"/>
      <c r="C5036" s="74"/>
      <c r="D5036" s="85"/>
      <c r="E5036" s="74" t="s">
        <v>9094</v>
      </c>
      <c r="F5036" s="74"/>
      <c r="G5036" s="76"/>
      <c r="H5036" s="77" t="s">
        <v>5</v>
      </c>
      <c r="I5036" s="76" t="s">
        <v>53</v>
      </c>
      <c r="J5036" s="77" t="s">
        <v>8516</v>
      </c>
      <c r="K5036" s="77" t="s">
        <v>8520</v>
      </c>
      <c r="L5036" s="76"/>
      <c r="M5036" s="76" t="s">
        <v>36</v>
      </c>
      <c r="N5036" s="76" t="s">
        <v>39</v>
      </c>
      <c r="O5036" s="76">
        <v>0</v>
      </c>
      <c r="P5036" s="76"/>
      <c r="Q5036" s="76"/>
      <c r="R5036" s="76"/>
      <c r="S5036" s="76"/>
      <c r="BD5036" s="99">
        <f t="shared" si="164"/>
        <v>0</v>
      </c>
      <c r="CC5036" s="99"/>
      <c r="CV5036" s="99"/>
      <c r="CW5036" s="63"/>
    </row>
    <row r="5037" spans="1:101" x14ac:dyDescent="0.15">
      <c r="A5037" s="76"/>
      <c r="B5037" s="74"/>
      <c r="C5037" s="74"/>
      <c r="D5037" s="85"/>
      <c r="E5037" s="74" t="s">
        <v>9095</v>
      </c>
      <c r="F5037" s="74"/>
      <c r="G5037" s="76"/>
      <c r="H5037" s="77" t="s">
        <v>5</v>
      </c>
      <c r="I5037" s="76" t="s">
        <v>53</v>
      </c>
      <c r="J5037" s="77" t="s">
        <v>8516</v>
      </c>
      <c r="K5037" s="77" t="s">
        <v>8520</v>
      </c>
      <c r="L5037" s="76"/>
      <c r="M5037" s="76" t="s">
        <v>36</v>
      </c>
      <c r="N5037" s="76" t="s">
        <v>39</v>
      </c>
      <c r="O5037" s="76">
        <v>0</v>
      </c>
      <c r="P5037" s="76"/>
      <c r="Q5037" s="76"/>
      <c r="R5037" s="76"/>
      <c r="S5037" s="76"/>
      <c r="BD5037" s="99">
        <f t="shared" si="164"/>
        <v>0</v>
      </c>
      <c r="CC5037" s="99"/>
      <c r="CV5037" s="99"/>
      <c r="CW5037" s="63"/>
    </row>
    <row r="5038" spans="1:101" x14ac:dyDescent="0.15">
      <c r="A5038" s="76"/>
      <c r="B5038" s="74"/>
      <c r="C5038" s="74"/>
      <c r="D5038" s="85"/>
      <c r="E5038" s="74" t="s">
        <v>9096</v>
      </c>
      <c r="F5038" s="74"/>
      <c r="G5038" s="76"/>
      <c r="H5038" s="77" t="s">
        <v>5</v>
      </c>
      <c r="I5038" s="76" t="s">
        <v>53</v>
      </c>
      <c r="J5038" s="77" t="s">
        <v>8516</v>
      </c>
      <c r="K5038" s="77" t="s">
        <v>8520</v>
      </c>
      <c r="L5038" s="76"/>
      <c r="M5038" s="76" t="s">
        <v>36</v>
      </c>
      <c r="N5038" s="76" t="s">
        <v>39</v>
      </c>
      <c r="O5038" s="76">
        <v>0</v>
      </c>
      <c r="P5038" s="76"/>
      <c r="Q5038" s="76"/>
      <c r="R5038" s="76"/>
      <c r="S5038" s="76"/>
      <c r="BD5038" s="99">
        <f t="shared" si="164"/>
        <v>0</v>
      </c>
      <c r="CC5038" s="99"/>
      <c r="CV5038" s="99"/>
      <c r="CW5038" s="63"/>
    </row>
    <row r="5039" spans="1:101" x14ac:dyDescent="0.15">
      <c r="A5039" s="76"/>
      <c r="B5039" s="74"/>
      <c r="C5039" s="74"/>
      <c r="D5039" s="85"/>
      <c r="E5039" s="74" t="s">
        <v>9097</v>
      </c>
      <c r="F5039" s="74"/>
      <c r="G5039" s="76"/>
      <c r="H5039" s="77" t="s">
        <v>5</v>
      </c>
      <c r="I5039" s="76" t="s">
        <v>53</v>
      </c>
      <c r="J5039" s="77" t="s">
        <v>8516</v>
      </c>
      <c r="K5039" s="77" t="s">
        <v>8520</v>
      </c>
      <c r="L5039" s="76"/>
      <c r="M5039" s="76" t="s">
        <v>36</v>
      </c>
      <c r="N5039" s="76" t="s">
        <v>39</v>
      </c>
      <c r="O5039" s="76">
        <v>0</v>
      </c>
      <c r="P5039" s="76"/>
      <c r="Q5039" s="76"/>
      <c r="R5039" s="76"/>
      <c r="S5039" s="76"/>
      <c r="BD5039" s="99">
        <f t="shared" si="164"/>
        <v>0</v>
      </c>
      <c r="CC5039" s="99"/>
      <c r="CV5039" s="99"/>
      <c r="CW5039" s="63"/>
    </row>
    <row r="5040" spans="1:101" x14ac:dyDescent="0.15">
      <c r="A5040" s="76"/>
      <c r="B5040" s="74"/>
      <c r="C5040" s="74"/>
      <c r="D5040" s="85"/>
      <c r="E5040" s="74" t="s">
        <v>9098</v>
      </c>
      <c r="F5040" s="74"/>
      <c r="G5040" s="76"/>
      <c r="H5040" s="77" t="s">
        <v>5</v>
      </c>
      <c r="I5040" s="76" t="s">
        <v>53</v>
      </c>
      <c r="J5040" s="77" t="s">
        <v>8516</v>
      </c>
      <c r="K5040" s="77" t="s">
        <v>8520</v>
      </c>
      <c r="L5040" s="76"/>
      <c r="M5040" s="76" t="s">
        <v>36</v>
      </c>
      <c r="N5040" s="76" t="s">
        <v>39</v>
      </c>
      <c r="O5040" s="76">
        <v>0</v>
      </c>
      <c r="P5040" s="76"/>
      <c r="Q5040" s="76"/>
      <c r="R5040" s="76"/>
      <c r="S5040" s="76"/>
      <c r="BD5040" s="99">
        <f t="shared" si="164"/>
        <v>0</v>
      </c>
      <c r="CC5040" s="99"/>
      <c r="CV5040" s="99"/>
      <c r="CW5040" s="63"/>
    </row>
    <row r="5041" spans="1:101" x14ac:dyDescent="0.15">
      <c r="A5041" s="76"/>
      <c r="B5041" s="74"/>
      <c r="C5041" s="74"/>
      <c r="D5041" s="85"/>
      <c r="E5041" s="74" t="s">
        <v>9099</v>
      </c>
      <c r="F5041" s="74"/>
      <c r="G5041" s="76"/>
      <c r="H5041" s="77" t="s">
        <v>5</v>
      </c>
      <c r="I5041" s="76" t="s">
        <v>53</v>
      </c>
      <c r="J5041" s="77" t="s">
        <v>8516</v>
      </c>
      <c r="K5041" s="77" t="s">
        <v>8520</v>
      </c>
      <c r="L5041" s="76"/>
      <c r="M5041" s="76" t="s">
        <v>36</v>
      </c>
      <c r="N5041" s="76" t="s">
        <v>39</v>
      </c>
      <c r="O5041" s="76">
        <v>0</v>
      </c>
      <c r="P5041" s="76"/>
      <c r="Q5041" s="76"/>
      <c r="R5041" s="76"/>
      <c r="S5041" s="76"/>
      <c r="BD5041" s="99">
        <f t="shared" si="164"/>
        <v>0</v>
      </c>
      <c r="CC5041" s="99"/>
      <c r="CV5041" s="99"/>
      <c r="CW5041" s="63"/>
    </row>
    <row r="5042" spans="1:101" x14ac:dyDescent="0.15">
      <c r="A5042" s="76"/>
      <c r="B5042" s="74"/>
      <c r="C5042" s="74"/>
      <c r="D5042" s="85"/>
      <c r="E5042" s="74" t="s">
        <v>9100</v>
      </c>
      <c r="F5042" s="74"/>
      <c r="G5042" s="76"/>
      <c r="H5042" s="77" t="s">
        <v>5</v>
      </c>
      <c r="I5042" s="76" t="s">
        <v>53</v>
      </c>
      <c r="J5042" s="77" t="s">
        <v>8516</v>
      </c>
      <c r="K5042" s="77" t="s">
        <v>8520</v>
      </c>
      <c r="L5042" s="76"/>
      <c r="M5042" s="76" t="s">
        <v>36</v>
      </c>
      <c r="N5042" s="76" t="s">
        <v>39</v>
      </c>
      <c r="O5042" s="76">
        <v>0</v>
      </c>
      <c r="P5042" s="76"/>
      <c r="Q5042" s="76"/>
      <c r="R5042" s="76"/>
      <c r="S5042" s="76"/>
      <c r="BD5042" s="99">
        <f t="shared" si="164"/>
        <v>0</v>
      </c>
      <c r="CC5042" s="99"/>
      <c r="CV5042" s="99"/>
      <c r="CW5042" s="63"/>
    </row>
    <row r="5043" spans="1:101" x14ac:dyDescent="0.15">
      <c r="A5043" s="76"/>
      <c r="B5043" s="74"/>
      <c r="C5043" s="74"/>
      <c r="D5043" s="85"/>
      <c r="E5043" s="74" t="s">
        <v>9101</v>
      </c>
      <c r="F5043" s="74"/>
      <c r="G5043" s="76"/>
      <c r="H5043" s="77" t="s">
        <v>5</v>
      </c>
      <c r="I5043" s="76" t="s">
        <v>53</v>
      </c>
      <c r="J5043" s="77" t="s">
        <v>8516</v>
      </c>
      <c r="K5043" s="77" t="s">
        <v>8520</v>
      </c>
      <c r="L5043" s="76"/>
      <c r="M5043" s="76" t="s">
        <v>36</v>
      </c>
      <c r="N5043" s="76" t="s">
        <v>39</v>
      </c>
      <c r="O5043" s="76">
        <v>0</v>
      </c>
      <c r="P5043" s="76"/>
      <c r="Q5043" s="76"/>
      <c r="R5043" s="76"/>
      <c r="S5043" s="76"/>
      <c r="BD5043" s="99">
        <f t="shared" si="164"/>
        <v>0</v>
      </c>
      <c r="CC5043" s="99"/>
      <c r="CV5043" s="99"/>
      <c r="CW5043" s="63"/>
    </row>
    <row r="5044" spans="1:101" x14ac:dyDescent="0.15">
      <c r="A5044" s="76"/>
      <c r="B5044" s="74"/>
      <c r="C5044" s="74"/>
      <c r="D5044" s="85"/>
      <c r="E5044" s="74" t="s">
        <v>9102</v>
      </c>
      <c r="F5044" s="74"/>
      <c r="G5044" s="76"/>
      <c r="H5044" s="77" t="s">
        <v>5</v>
      </c>
      <c r="I5044" s="76" t="s">
        <v>53</v>
      </c>
      <c r="J5044" s="77" t="s">
        <v>8516</v>
      </c>
      <c r="K5044" s="77" t="s">
        <v>8520</v>
      </c>
      <c r="L5044" s="76"/>
      <c r="M5044" s="76" t="s">
        <v>36</v>
      </c>
      <c r="N5044" s="76" t="s">
        <v>39</v>
      </c>
      <c r="O5044" s="76">
        <v>0</v>
      </c>
      <c r="P5044" s="76"/>
      <c r="Q5044" s="76"/>
      <c r="R5044" s="76"/>
      <c r="S5044" s="76"/>
      <c r="BD5044" s="99">
        <f t="shared" si="164"/>
        <v>0</v>
      </c>
      <c r="CC5044" s="99"/>
      <c r="CV5044" s="99"/>
      <c r="CW5044" s="63"/>
    </row>
    <row r="5045" spans="1:101" x14ac:dyDescent="0.15">
      <c r="A5045" s="76"/>
      <c r="B5045" s="74"/>
      <c r="C5045" s="74"/>
      <c r="D5045" s="85"/>
      <c r="E5045" s="74" t="s">
        <v>9103</v>
      </c>
      <c r="F5045" s="74"/>
      <c r="G5045" s="76"/>
      <c r="H5045" s="77" t="s">
        <v>5</v>
      </c>
      <c r="I5045" s="76" t="s">
        <v>53</v>
      </c>
      <c r="J5045" s="77" t="s">
        <v>8516</v>
      </c>
      <c r="K5045" s="77" t="s">
        <v>8520</v>
      </c>
      <c r="L5045" s="76"/>
      <c r="M5045" s="76" t="s">
        <v>36</v>
      </c>
      <c r="N5045" s="76" t="s">
        <v>39</v>
      </c>
      <c r="O5045" s="76">
        <v>0</v>
      </c>
      <c r="P5045" s="76"/>
      <c r="Q5045" s="76"/>
      <c r="R5045" s="76"/>
      <c r="S5045" s="76"/>
      <c r="BD5045" s="99">
        <f t="shared" si="164"/>
        <v>0</v>
      </c>
      <c r="CC5045" s="99"/>
      <c r="CV5045" s="99"/>
      <c r="CW5045" s="63"/>
    </row>
    <row r="5046" spans="1:101" x14ac:dyDescent="0.15">
      <c r="A5046" s="76"/>
      <c r="B5046" s="74"/>
      <c r="C5046" s="74"/>
      <c r="D5046" s="85"/>
      <c r="E5046" s="74" t="s">
        <v>9104</v>
      </c>
      <c r="F5046" s="74"/>
      <c r="G5046" s="76"/>
      <c r="H5046" s="77" t="s">
        <v>5</v>
      </c>
      <c r="I5046" s="76" t="s">
        <v>53</v>
      </c>
      <c r="J5046" s="77" t="s">
        <v>8516</v>
      </c>
      <c r="K5046" s="77" t="s">
        <v>8520</v>
      </c>
      <c r="L5046" s="76"/>
      <c r="M5046" s="76" t="s">
        <v>36</v>
      </c>
      <c r="N5046" s="76" t="s">
        <v>39</v>
      </c>
      <c r="O5046" s="76">
        <v>0</v>
      </c>
      <c r="P5046" s="76"/>
      <c r="Q5046" s="76" t="s">
        <v>9165</v>
      </c>
      <c r="R5046" s="76"/>
      <c r="S5046" s="76"/>
      <c r="BD5046" s="99">
        <f t="shared" si="164"/>
        <v>0</v>
      </c>
      <c r="CC5046" s="99"/>
      <c r="CV5046" s="99"/>
      <c r="CW5046" s="63"/>
    </row>
    <row r="5047" spans="1:101" x14ac:dyDescent="0.15">
      <c r="A5047" s="76"/>
      <c r="B5047" s="74"/>
      <c r="C5047" s="74"/>
      <c r="D5047" s="85"/>
      <c r="E5047" s="74" t="s">
        <v>9105</v>
      </c>
      <c r="F5047" s="74"/>
      <c r="G5047" s="76"/>
      <c r="H5047" s="77" t="s">
        <v>5</v>
      </c>
      <c r="I5047" s="76" t="s">
        <v>53</v>
      </c>
      <c r="J5047" s="77" t="s">
        <v>8516</v>
      </c>
      <c r="K5047" s="77" t="s">
        <v>8520</v>
      </c>
      <c r="L5047" s="76"/>
      <c r="M5047" s="76" t="s">
        <v>36</v>
      </c>
      <c r="N5047" s="76" t="s">
        <v>39</v>
      </c>
      <c r="O5047" s="76">
        <v>0</v>
      </c>
      <c r="P5047" s="76"/>
      <c r="Q5047" s="76" t="s">
        <v>9165</v>
      </c>
      <c r="R5047" s="76"/>
      <c r="S5047" s="76"/>
      <c r="BD5047" s="99">
        <f t="shared" si="164"/>
        <v>0</v>
      </c>
      <c r="CC5047" s="99"/>
      <c r="CV5047" s="99"/>
      <c r="CW5047" s="63"/>
    </row>
    <row r="5048" spans="1:101" x14ac:dyDescent="0.15">
      <c r="A5048" s="76"/>
      <c r="B5048" s="74"/>
      <c r="C5048" s="74"/>
      <c r="D5048" s="85"/>
      <c r="E5048" s="74" t="s">
        <v>9106</v>
      </c>
      <c r="F5048" s="74"/>
      <c r="G5048" s="76"/>
      <c r="H5048" s="77" t="s">
        <v>5</v>
      </c>
      <c r="I5048" s="76" t="s">
        <v>53</v>
      </c>
      <c r="J5048" s="77" t="s">
        <v>8516</v>
      </c>
      <c r="K5048" s="77" t="s">
        <v>8520</v>
      </c>
      <c r="L5048" s="76"/>
      <c r="M5048" s="76" t="s">
        <v>36</v>
      </c>
      <c r="N5048" s="76" t="s">
        <v>39</v>
      </c>
      <c r="O5048" s="76">
        <v>0</v>
      </c>
      <c r="P5048" s="76"/>
      <c r="Q5048" s="76"/>
      <c r="R5048" s="76"/>
      <c r="S5048" s="76"/>
      <c r="BD5048" s="99">
        <f t="shared" si="164"/>
        <v>0</v>
      </c>
      <c r="CC5048" s="99"/>
      <c r="CV5048" s="99"/>
      <c r="CW5048" s="63"/>
    </row>
    <row r="5049" spans="1:101" x14ac:dyDescent="0.15">
      <c r="A5049" s="76"/>
      <c r="B5049" s="74"/>
      <c r="C5049" s="74"/>
      <c r="D5049" s="85"/>
      <c r="E5049" s="74" t="s">
        <v>9107</v>
      </c>
      <c r="F5049" s="74"/>
      <c r="G5049" s="76"/>
      <c r="H5049" s="77" t="s">
        <v>5</v>
      </c>
      <c r="I5049" s="76" t="s">
        <v>53</v>
      </c>
      <c r="J5049" s="77" t="s">
        <v>8516</v>
      </c>
      <c r="K5049" s="77" t="s">
        <v>8520</v>
      </c>
      <c r="L5049" s="76"/>
      <c r="M5049" s="76" t="s">
        <v>36</v>
      </c>
      <c r="N5049" s="76" t="s">
        <v>39</v>
      </c>
      <c r="O5049" s="76">
        <v>0</v>
      </c>
      <c r="P5049" s="76"/>
      <c r="Q5049" s="76"/>
      <c r="R5049" s="76"/>
      <c r="S5049" s="76"/>
      <c r="BD5049" s="99">
        <f t="shared" si="164"/>
        <v>0</v>
      </c>
      <c r="CC5049" s="99"/>
      <c r="CV5049" s="99"/>
      <c r="CW5049" s="63"/>
    </row>
    <row r="5050" spans="1:101" x14ac:dyDescent="0.15">
      <c r="A5050" s="76"/>
      <c r="B5050" s="74"/>
      <c r="C5050" s="74"/>
      <c r="D5050" s="85"/>
      <c r="E5050" s="74" t="s">
        <v>9108</v>
      </c>
      <c r="F5050" s="74"/>
      <c r="G5050" s="76"/>
      <c r="H5050" s="77" t="s">
        <v>5</v>
      </c>
      <c r="I5050" s="76" t="s">
        <v>53</v>
      </c>
      <c r="J5050" s="77" t="s">
        <v>8516</v>
      </c>
      <c r="K5050" s="77" t="s">
        <v>8520</v>
      </c>
      <c r="L5050" s="76"/>
      <c r="M5050" s="76" t="s">
        <v>36</v>
      </c>
      <c r="N5050" s="76" t="s">
        <v>39</v>
      </c>
      <c r="O5050" s="76">
        <v>0</v>
      </c>
      <c r="P5050" s="76"/>
      <c r="Q5050" s="76" t="s">
        <v>9165</v>
      </c>
      <c r="R5050" s="76"/>
      <c r="S5050" s="76"/>
      <c r="BD5050" s="99">
        <f t="shared" si="164"/>
        <v>0</v>
      </c>
      <c r="CC5050" s="99"/>
      <c r="CV5050" s="99"/>
      <c r="CW5050" s="63"/>
    </row>
    <row r="5051" spans="1:101" x14ac:dyDescent="0.15">
      <c r="A5051" s="76"/>
      <c r="B5051" s="74"/>
      <c r="C5051" s="74"/>
      <c r="D5051" s="85"/>
      <c r="E5051" s="74" t="s">
        <v>9109</v>
      </c>
      <c r="F5051" s="74"/>
      <c r="G5051" s="76"/>
      <c r="H5051" s="77" t="s">
        <v>5</v>
      </c>
      <c r="I5051" s="76" t="s">
        <v>53</v>
      </c>
      <c r="J5051" s="77" t="s">
        <v>8516</v>
      </c>
      <c r="K5051" s="77" t="s">
        <v>8520</v>
      </c>
      <c r="L5051" s="76"/>
      <c r="M5051" s="76" t="s">
        <v>36</v>
      </c>
      <c r="N5051" s="76" t="s">
        <v>39</v>
      </c>
      <c r="O5051" s="76">
        <v>0</v>
      </c>
      <c r="P5051" s="76"/>
      <c r="Q5051" s="76" t="s">
        <v>9165</v>
      </c>
      <c r="R5051" s="76"/>
      <c r="S5051" s="76"/>
      <c r="BD5051" s="99">
        <f t="shared" si="164"/>
        <v>0</v>
      </c>
      <c r="CC5051" s="99"/>
      <c r="CV5051" s="99"/>
      <c r="CW5051" s="63"/>
    </row>
    <row r="5052" spans="1:101" x14ac:dyDescent="0.15">
      <c r="A5052" s="76"/>
      <c r="B5052" s="74"/>
      <c r="C5052" s="74"/>
      <c r="D5052" s="85"/>
      <c r="E5052" s="74" t="s">
        <v>9110</v>
      </c>
      <c r="F5052" s="74"/>
      <c r="G5052" s="76"/>
      <c r="H5052" s="77" t="s">
        <v>5</v>
      </c>
      <c r="I5052" s="76" t="s">
        <v>53</v>
      </c>
      <c r="J5052" s="77" t="s">
        <v>8516</v>
      </c>
      <c r="K5052" s="77" t="s">
        <v>8520</v>
      </c>
      <c r="L5052" s="76"/>
      <c r="M5052" s="76" t="s">
        <v>36</v>
      </c>
      <c r="N5052" s="76" t="s">
        <v>39</v>
      </c>
      <c r="O5052" s="76">
        <v>0</v>
      </c>
      <c r="P5052" s="76"/>
      <c r="Q5052" s="76" t="s">
        <v>9165</v>
      </c>
      <c r="R5052" s="76"/>
      <c r="S5052" s="76"/>
      <c r="BD5052" s="99">
        <f t="shared" si="164"/>
        <v>0</v>
      </c>
      <c r="CC5052" s="99"/>
      <c r="CV5052" s="99"/>
      <c r="CW5052" s="63"/>
    </row>
    <row r="5053" spans="1:101" x14ac:dyDescent="0.15">
      <c r="A5053" s="76"/>
      <c r="B5053" s="74"/>
      <c r="C5053" s="74"/>
      <c r="D5053" s="85"/>
      <c r="E5053" s="74" t="s">
        <v>9111</v>
      </c>
      <c r="F5053" s="74"/>
      <c r="G5053" s="76"/>
      <c r="H5053" s="77" t="s">
        <v>5</v>
      </c>
      <c r="I5053" s="76" t="s">
        <v>53</v>
      </c>
      <c r="J5053" s="77" t="s">
        <v>8516</v>
      </c>
      <c r="K5053" s="77" t="s">
        <v>8520</v>
      </c>
      <c r="L5053" s="76"/>
      <c r="M5053" s="76" t="s">
        <v>36</v>
      </c>
      <c r="N5053" s="76" t="s">
        <v>39</v>
      </c>
      <c r="O5053" s="76">
        <v>0</v>
      </c>
      <c r="P5053" s="76"/>
      <c r="Q5053" s="76" t="s">
        <v>9165</v>
      </c>
      <c r="R5053" s="76"/>
      <c r="S5053" s="76"/>
      <c r="BD5053" s="99">
        <f t="shared" si="164"/>
        <v>0</v>
      </c>
      <c r="CC5053" s="99"/>
      <c r="CV5053" s="99"/>
      <c r="CW5053" s="63"/>
    </row>
    <row r="5054" spans="1:101" x14ac:dyDescent="0.15">
      <c r="A5054" s="76"/>
      <c r="B5054" s="74"/>
      <c r="C5054" s="74"/>
      <c r="D5054" s="85"/>
      <c r="E5054" s="74" t="s">
        <v>9112</v>
      </c>
      <c r="F5054" s="74"/>
      <c r="G5054" s="76"/>
      <c r="H5054" s="77" t="s">
        <v>5</v>
      </c>
      <c r="I5054" s="76" t="s">
        <v>53</v>
      </c>
      <c r="J5054" s="77" t="s">
        <v>8516</v>
      </c>
      <c r="K5054" s="77" t="s">
        <v>8520</v>
      </c>
      <c r="L5054" s="76"/>
      <c r="M5054" s="76" t="s">
        <v>36</v>
      </c>
      <c r="N5054" s="76" t="s">
        <v>39</v>
      </c>
      <c r="O5054" s="76">
        <v>0</v>
      </c>
      <c r="P5054" s="76"/>
      <c r="Q5054" s="76" t="s">
        <v>9165</v>
      </c>
      <c r="R5054" s="76"/>
      <c r="S5054" s="76"/>
      <c r="BD5054" s="99">
        <f t="shared" si="164"/>
        <v>0</v>
      </c>
      <c r="CC5054" s="99"/>
      <c r="CV5054" s="99"/>
      <c r="CW5054" s="63"/>
    </row>
    <row r="5055" spans="1:101" x14ac:dyDescent="0.15">
      <c r="A5055" s="76"/>
      <c r="B5055" s="74"/>
      <c r="C5055" s="74"/>
      <c r="D5055" s="85"/>
      <c r="E5055" s="74" t="s">
        <v>9113</v>
      </c>
      <c r="F5055" s="74"/>
      <c r="G5055" s="76"/>
      <c r="H5055" s="77" t="s">
        <v>5</v>
      </c>
      <c r="I5055" s="76" t="s">
        <v>53</v>
      </c>
      <c r="J5055" s="77" t="s">
        <v>8516</v>
      </c>
      <c r="K5055" s="77" t="s">
        <v>8520</v>
      </c>
      <c r="L5055" s="76"/>
      <c r="M5055" s="76" t="s">
        <v>36</v>
      </c>
      <c r="N5055" s="76" t="s">
        <v>39</v>
      </c>
      <c r="O5055" s="76">
        <v>0</v>
      </c>
      <c r="P5055" s="76"/>
      <c r="Q5055" s="76"/>
      <c r="R5055" s="76"/>
      <c r="S5055" s="76"/>
      <c r="BD5055" s="99">
        <f t="shared" si="164"/>
        <v>0</v>
      </c>
      <c r="CC5055" s="99"/>
      <c r="CV5055" s="99"/>
      <c r="CW5055" s="63"/>
    </row>
    <row r="5056" spans="1:101" x14ac:dyDescent="0.15">
      <c r="A5056" s="76"/>
      <c r="B5056" s="74"/>
      <c r="C5056" s="74"/>
      <c r="D5056" s="85"/>
      <c r="E5056" s="74" t="s">
        <v>9114</v>
      </c>
      <c r="F5056" s="74"/>
      <c r="G5056" s="76"/>
      <c r="H5056" s="77" t="s">
        <v>5</v>
      </c>
      <c r="I5056" s="76" t="s">
        <v>53</v>
      </c>
      <c r="J5056" s="77" t="s">
        <v>8516</v>
      </c>
      <c r="K5056" s="77" t="s">
        <v>8520</v>
      </c>
      <c r="L5056" s="76"/>
      <c r="M5056" s="76" t="s">
        <v>36</v>
      </c>
      <c r="N5056" s="76" t="s">
        <v>39</v>
      </c>
      <c r="O5056" s="76">
        <v>0</v>
      </c>
      <c r="P5056" s="76"/>
      <c r="Q5056" s="76" t="s">
        <v>9165</v>
      </c>
      <c r="R5056" s="76"/>
      <c r="S5056" s="76"/>
      <c r="BD5056" s="99">
        <f t="shared" si="164"/>
        <v>0</v>
      </c>
      <c r="CC5056" s="99"/>
      <c r="CV5056" s="99"/>
      <c r="CW5056" s="63"/>
    </row>
    <row r="5057" spans="1:101" x14ac:dyDescent="0.15">
      <c r="A5057" s="76"/>
      <c r="B5057" s="74"/>
      <c r="C5057" s="74"/>
      <c r="D5057" s="85"/>
      <c r="E5057" s="74" t="s">
        <v>9115</v>
      </c>
      <c r="F5057" s="74"/>
      <c r="G5057" s="76"/>
      <c r="H5057" s="77" t="s">
        <v>5</v>
      </c>
      <c r="I5057" s="76" t="s">
        <v>53</v>
      </c>
      <c r="J5057" s="77" t="s">
        <v>8516</v>
      </c>
      <c r="K5057" s="77" t="s">
        <v>8520</v>
      </c>
      <c r="L5057" s="76"/>
      <c r="M5057" s="76" t="s">
        <v>36</v>
      </c>
      <c r="N5057" s="76" t="s">
        <v>39</v>
      </c>
      <c r="O5057" s="76">
        <v>0</v>
      </c>
      <c r="P5057" s="76"/>
      <c r="Q5057" s="76" t="s">
        <v>9165</v>
      </c>
      <c r="R5057" s="76"/>
      <c r="S5057" s="76"/>
      <c r="BD5057" s="99">
        <f t="shared" si="164"/>
        <v>0</v>
      </c>
      <c r="CC5057" s="99"/>
      <c r="CV5057" s="99"/>
      <c r="CW5057" s="63"/>
    </row>
    <row r="5058" spans="1:101" x14ac:dyDescent="0.15">
      <c r="A5058" s="76"/>
      <c r="B5058" s="74"/>
      <c r="C5058" s="74"/>
      <c r="D5058" s="85"/>
      <c r="E5058" s="74" t="s">
        <v>9116</v>
      </c>
      <c r="F5058" s="74"/>
      <c r="G5058" s="76"/>
      <c r="H5058" s="77" t="s">
        <v>5</v>
      </c>
      <c r="I5058" s="76" t="s">
        <v>53</v>
      </c>
      <c r="J5058" s="77" t="s">
        <v>8516</v>
      </c>
      <c r="K5058" s="77" t="s">
        <v>8520</v>
      </c>
      <c r="L5058" s="76"/>
      <c r="M5058" s="76" t="s">
        <v>36</v>
      </c>
      <c r="N5058" s="76" t="s">
        <v>39</v>
      </c>
      <c r="O5058" s="76">
        <v>0</v>
      </c>
      <c r="P5058" s="76"/>
      <c r="Q5058" s="76"/>
      <c r="R5058" s="76"/>
      <c r="S5058" s="76"/>
      <c r="BD5058" s="99">
        <f t="shared" si="164"/>
        <v>0</v>
      </c>
      <c r="CC5058" s="99"/>
      <c r="CV5058" s="99"/>
      <c r="CW5058" s="63"/>
    </row>
    <row r="5059" spans="1:101" x14ac:dyDescent="0.15">
      <c r="A5059" s="76"/>
      <c r="B5059" s="74"/>
      <c r="C5059" s="74"/>
      <c r="D5059" s="85"/>
      <c r="E5059" s="74" t="s">
        <v>9117</v>
      </c>
      <c r="F5059" s="74"/>
      <c r="G5059" s="76"/>
      <c r="H5059" s="77" t="s">
        <v>5</v>
      </c>
      <c r="I5059" s="76" t="s">
        <v>53</v>
      </c>
      <c r="J5059" s="77" t="s">
        <v>8516</v>
      </c>
      <c r="K5059" s="77" t="s">
        <v>8520</v>
      </c>
      <c r="L5059" s="76"/>
      <c r="M5059" s="76" t="s">
        <v>36</v>
      </c>
      <c r="N5059" s="76" t="s">
        <v>39</v>
      </c>
      <c r="O5059" s="76">
        <v>0</v>
      </c>
      <c r="P5059" s="76"/>
      <c r="Q5059" s="76"/>
      <c r="R5059" s="76"/>
      <c r="S5059" s="76"/>
      <c r="BD5059" s="99">
        <f t="shared" ref="BD5059:BD5122" si="165">CC5059+CV5059</f>
        <v>0</v>
      </c>
      <c r="CC5059" s="99"/>
      <c r="CV5059" s="99"/>
      <c r="CW5059" s="63"/>
    </row>
    <row r="5060" spans="1:101" x14ac:dyDescent="0.15">
      <c r="A5060" s="76"/>
      <c r="B5060" s="74"/>
      <c r="C5060" s="74"/>
      <c r="D5060" s="85"/>
      <c r="E5060" s="74" t="s">
        <v>9118</v>
      </c>
      <c r="F5060" s="74"/>
      <c r="G5060" s="76"/>
      <c r="H5060" s="77" t="s">
        <v>5</v>
      </c>
      <c r="I5060" s="76" t="s">
        <v>53</v>
      </c>
      <c r="J5060" s="77" t="s">
        <v>8516</v>
      </c>
      <c r="K5060" s="77" t="s">
        <v>8520</v>
      </c>
      <c r="L5060" s="76"/>
      <c r="M5060" s="76" t="s">
        <v>36</v>
      </c>
      <c r="N5060" s="76" t="s">
        <v>39</v>
      </c>
      <c r="O5060" s="76">
        <v>0</v>
      </c>
      <c r="P5060" s="76"/>
      <c r="Q5060" s="76"/>
      <c r="R5060" s="76"/>
      <c r="S5060" s="76"/>
      <c r="BD5060" s="99">
        <f t="shared" si="165"/>
        <v>0</v>
      </c>
      <c r="CC5060" s="99"/>
      <c r="CV5060" s="99"/>
      <c r="CW5060" s="63"/>
    </row>
    <row r="5061" spans="1:101" x14ac:dyDescent="0.15">
      <c r="A5061" s="76"/>
      <c r="B5061" s="74"/>
      <c r="C5061" s="74"/>
      <c r="D5061" s="85"/>
      <c r="E5061" s="74" t="s">
        <v>9119</v>
      </c>
      <c r="F5061" s="74"/>
      <c r="G5061" s="76"/>
      <c r="H5061" s="77" t="s">
        <v>5</v>
      </c>
      <c r="I5061" s="76" t="s">
        <v>53</v>
      </c>
      <c r="J5061" s="77" t="s">
        <v>8516</v>
      </c>
      <c r="K5061" s="77" t="s">
        <v>8520</v>
      </c>
      <c r="L5061" s="76"/>
      <c r="M5061" s="76" t="s">
        <v>36</v>
      </c>
      <c r="N5061" s="76" t="s">
        <v>39</v>
      </c>
      <c r="O5061" s="76">
        <v>0</v>
      </c>
      <c r="P5061" s="76"/>
      <c r="Q5061" s="76"/>
      <c r="R5061" s="76"/>
      <c r="S5061" s="76"/>
      <c r="BD5061" s="99">
        <f t="shared" si="165"/>
        <v>0</v>
      </c>
      <c r="CC5061" s="99"/>
      <c r="CV5061" s="99"/>
      <c r="CW5061" s="63"/>
    </row>
    <row r="5062" spans="1:101" x14ac:dyDescent="0.15">
      <c r="A5062" s="76"/>
      <c r="B5062" s="74"/>
      <c r="C5062" s="74"/>
      <c r="D5062" s="85"/>
      <c r="E5062" s="74" t="s">
        <v>9120</v>
      </c>
      <c r="F5062" s="74"/>
      <c r="G5062" s="76"/>
      <c r="H5062" s="77" t="s">
        <v>5</v>
      </c>
      <c r="I5062" s="76" t="s">
        <v>53</v>
      </c>
      <c r="J5062" s="77" t="s">
        <v>8516</v>
      </c>
      <c r="K5062" s="77" t="s">
        <v>8520</v>
      </c>
      <c r="L5062" s="76"/>
      <c r="M5062" s="76" t="s">
        <v>36</v>
      </c>
      <c r="N5062" s="76" t="s">
        <v>39</v>
      </c>
      <c r="O5062" s="76">
        <v>0</v>
      </c>
      <c r="P5062" s="76"/>
      <c r="Q5062" s="76" t="s">
        <v>9165</v>
      </c>
      <c r="R5062" s="76"/>
      <c r="S5062" s="76"/>
      <c r="BD5062" s="99">
        <f t="shared" si="165"/>
        <v>0</v>
      </c>
      <c r="CC5062" s="99"/>
      <c r="CV5062" s="99"/>
      <c r="CW5062" s="63"/>
    </row>
    <row r="5063" spans="1:101" x14ac:dyDescent="0.15">
      <c r="A5063" s="76"/>
      <c r="B5063" s="74"/>
      <c r="C5063" s="74"/>
      <c r="D5063" s="85"/>
      <c r="E5063" s="74" t="s">
        <v>9121</v>
      </c>
      <c r="F5063" s="74"/>
      <c r="G5063" s="76"/>
      <c r="H5063" s="77" t="s">
        <v>5</v>
      </c>
      <c r="I5063" s="76" t="s">
        <v>53</v>
      </c>
      <c r="J5063" s="77" t="s">
        <v>8516</v>
      </c>
      <c r="K5063" s="77" t="s">
        <v>8520</v>
      </c>
      <c r="L5063" s="76"/>
      <c r="M5063" s="76" t="s">
        <v>36</v>
      </c>
      <c r="N5063" s="76" t="s">
        <v>39</v>
      </c>
      <c r="O5063" s="76">
        <v>0</v>
      </c>
      <c r="P5063" s="76"/>
      <c r="Q5063" s="76" t="s">
        <v>9165</v>
      </c>
      <c r="R5063" s="76"/>
      <c r="S5063" s="76"/>
      <c r="BD5063" s="99">
        <f t="shared" si="165"/>
        <v>0</v>
      </c>
      <c r="CC5063" s="99"/>
      <c r="CV5063" s="99"/>
      <c r="CW5063" s="63"/>
    </row>
    <row r="5064" spans="1:101" x14ac:dyDescent="0.15">
      <c r="A5064" s="76"/>
      <c r="B5064" s="74"/>
      <c r="C5064" s="74"/>
      <c r="D5064" s="85"/>
      <c r="E5064" s="74" t="s">
        <v>9122</v>
      </c>
      <c r="F5064" s="74"/>
      <c r="G5064" s="76"/>
      <c r="H5064" s="77" t="s">
        <v>5</v>
      </c>
      <c r="I5064" s="76" t="s">
        <v>53</v>
      </c>
      <c r="J5064" s="77" t="s">
        <v>8516</v>
      </c>
      <c r="K5064" s="77" t="s">
        <v>8520</v>
      </c>
      <c r="L5064" s="76"/>
      <c r="M5064" s="76" t="s">
        <v>36</v>
      </c>
      <c r="N5064" s="76" t="s">
        <v>39</v>
      </c>
      <c r="O5064" s="76">
        <v>0</v>
      </c>
      <c r="P5064" s="76"/>
      <c r="Q5064" s="76"/>
      <c r="R5064" s="76"/>
      <c r="S5064" s="76"/>
      <c r="BD5064" s="99">
        <f t="shared" si="165"/>
        <v>0</v>
      </c>
      <c r="CC5064" s="99"/>
      <c r="CV5064" s="99"/>
      <c r="CW5064" s="63"/>
    </row>
    <row r="5065" spans="1:101" x14ac:dyDescent="0.15">
      <c r="A5065" s="76"/>
      <c r="B5065" s="74"/>
      <c r="C5065" s="74"/>
      <c r="D5065" s="85"/>
      <c r="E5065" s="74" t="s">
        <v>9123</v>
      </c>
      <c r="F5065" s="74"/>
      <c r="G5065" s="76"/>
      <c r="H5065" s="77" t="s">
        <v>5</v>
      </c>
      <c r="I5065" s="76" t="s">
        <v>53</v>
      </c>
      <c r="J5065" s="77" t="s">
        <v>8516</v>
      </c>
      <c r="K5065" s="77" t="s">
        <v>8520</v>
      </c>
      <c r="L5065" s="76"/>
      <c r="M5065" s="76" t="s">
        <v>36</v>
      </c>
      <c r="N5065" s="76" t="s">
        <v>39</v>
      </c>
      <c r="O5065" s="76">
        <v>0</v>
      </c>
      <c r="P5065" s="76"/>
      <c r="Q5065" s="76"/>
      <c r="R5065" s="76"/>
      <c r="S5065" s="76"/>
      <c r="BD5065" s="99">
        <f t="shared" si="165"/>
        <v>0</v>
      </c>
      <c r="CC5065" s="99"/>
      <c r="CV5065" s="99"/>
      <c r="CW5065" s="63"/>
    </row>
    <row r="5066" spans="1:101" x14ac:dyDescent="0.15">
      <c r="A5066" s="76"/>
      <c r="B5066" s="74"/>
      <c r="C5066" s="74"/>
      <c r="D5066" s="85"/>
      <c r="E5066" s="74" t="s">
        <v>9124</v>
      </c>
      <c r="F5066" s="74"/>
      <c r="G5066" s="76"/>
      <c r="H5066" s="77" t="s">
        <v>5</v>
      </c>
      <c r="I5066" s="76" t="s">
        <v>53</v>
      </c>
      <c r="J5066" s="77" t="s">
        <v>8516</v>
      </c>
      <c r="K5066" s="77" t="s">
        <v>8520</v>
      </c>
      <c r="L5066" s="76"/>
      <c r="M5066" s="76" t="s">
        <v>36</v>
      </c>
      <c r="N5066" s="76" t="s">
        <v>39</v>
      </c>
      <c r="O5066" s="76">
        <v>0</v>
      </c>
      <c r="P5066" s="76"/>
      <c r="Q5066" s="76"/>
      <c r="R5066" s="76"/>
      <c r="S5066" s="76"/>
      <c r="BD5066" s="99">
        <f t="shared" si="165"/>
        <v>0</v>
      </c>
      <c r="CC5066" s="99"/>
      <c r="CV5066" s="99"/>
      <c r="CW5066" s="63"/>
    </row>
    <row r="5067" spans="1:101" x14ac:dyDescent="0.15">
      <c r="A5067" s="76"/>
      <c r="B5067" s="74"/>
      <c r="C5067" s="74"/>
      <c r="D5067" s="85"/>
      <c r="E5067" s="74" t="s">
        <v>9125</v>
      </c>
      <c r="F5067" s="74"/>
      <c r="G5067" s="76"/>
      <c r="H5067" s="77" t="s">
        <v>5</v>
      </c>
      <c r="I5067" s="76" t="s">
        <v>53</v>
      </c>
      <c r="J5067" s="77" t="s">
        <v>8516</v>
      </c>
      <c r="K5067" s="77" t="s">
        <v>8520</v>
      </c>
      <c r="L5067" s="76"/>
      <c r="M5067" s="76" t="s">
        <v>36</v>
      </c>
      <c r="N5067" s="76" t="s">
        <v>39</v>
      </c>
      <c r="O5067" s="76">
        <v>0</v>
      </c>
      <c r="P5067" s="76"/>
      <c r="Q5067" s="76"/>
      <c r="R5067" s="76"/>
      <c r="S5067" s="76"/>
      <c r="BD5067" s="99">
        <f t="shared" si="165"/>
        <v>0</v>
      </c>
      <c r="CC5067" s="99"/>
      <c r="CV5067" s="99"/>
      <c r="CW5067" s="63"/>
    </row>
    <row r="5068" spans="1:101" x14ac:dyDescent="0.15">
      <c r="A5068" s="76"/>
      <c r="B5068" s="74"/>
      <c r="C5068" s="74"/>
      <c r="D5068" s="85"/>
      <c r="E5068" s="74" t="s">
        <v>9126</v>
      </c>
      <c r="F5068" s="74"/>
      <c r="G5068" s="76"/>
      <c r="H5068" s="77" t="s">
        <v>5</v>
      </c>
      <c r="I5068" s="76" t="s">
        <v>53</v>
      </c>
      <c r="J5068" s="77" t="s">
        <v>8516</v>
      </c>
      <c r="K5068" s="77" t="s">
        <v>8520</v>
      </c>
      <c r="L5068" s="76"/>
      <c r="M5068" s="76" t="s">
        <v>36</v>
      </c>
      <c r="N5068" s="76" t="s">
        <v>39</v>
      </c>
      <c r="O5068" s="76">
        <v>0</v>
      </c>
      <c r="P5068" s="76"/>
      <c r="Q5068" s="76"/>
      <c r="R5068" s="76"/>
      <c r="S5068" s="76"/>
      <c r="BD5068" s="99">
        <f t="shared" si="165"/>
        <v>0</v>
      </c>
      <c r="CC5068" s="99"/>
      <c r="CV5068" s="99"/>
      <c r="CW5068" s="63"/>
    </row>
    <row r="5069" spans="1:101" x14ac:dyDescent="0.15">
      <c r="A5069" s="76"/>
      <c r="B5069" s="74"/>
      <c r="C5069" s="74"/>
      <c r="D5069" s="85"/>
      <c r="E5069" s="74" t="s">
        <v>9127</v>
      </c>
      <c r="F5069" s="74"/>
      <c r="G5069" s="76"/>
      <c r="H5069" s="77" t="s">
        <v>5</v>
      </c>
      <c r="I5069" s="76" t="s">
        <v>53</v>
      </c>
      <c r="J5069" s="77" t="s">
        <v>8516</v>
      </c>
      <c r="K5069" s="77" t="s">
        <v>8520</v>
      </c>
      <c r="L5069" s="76"/>
      <c r="M5069" s="76" t="s">
        <v>36</v>
      </c>
      <c r="N5069" s="76" t="s">
        <v>39</v>
      </c>
      <c r="O5069" s="76">
        <v>0</v>
      </c>
      <c r="P5069" s="76"/>
      <c r="Q5069" s="76" t="s">
        <v>9165</v>
      </c>
      <c r="R5069" s="76"/>
      <c r="S5069" s="76"/>
      <c r="BD5069" s="99">
        <f t="shared" si="165"/>
        <v>0</v>
      </c>
      <c r="CC5069" s="99"/>
      <c r="CV5069" s="99"/>
      <c r="CW5069" s="63"/>
    </row>
    <row r="5070" spans="1:101" x14ac:dyDescent="0.15">
      <c r="A5070" s="76"/>
      <c r="B5070" s="74"/>
      <c r="C5070" s="74"/>
      <c r="D5070" s="85"/>
      <c r="E5070" s="74" t="s">
        <v>9128</v>
      </c>
      <c r="F5070" s="74"/>
      <c r="G5070" s="76"/>
      <c r="H5070" s="77" t="s">
        <v>5</v>
      </c>
      <c r="I5070" s="76" t="s">
        <v>53</v>
      </c>
      <c r="J5070" s="77" t="s">
        <v>8516</v>
      </c>
      <c r="K5070" s="77" t="s">
        <v>8520</v>
      </c>
      <c r="L5070" s="76"/>
      <c r="M5070" s="76" t="s">
        <v>36</v>
      </c>
      <c r="N5070" s="76" t="s">
        <v>39</v>
      </c>
      <c r="O5070" s="76">
        <v>0</v>
      </c>
      <c r="P5070" s="76"/>
      <c r="Q5070" s="76"/>
      <c r="R5070" s="76"/>
      <c r="S5070" s="76"/>
      <c r="BD5070" s="99">
        <f t="shared" si="165"/>
        <v>0</v>
      </c>
      <c r="CC5070" s="99"/>
      <c r="CV5070" s="99"/>
      <c r="CW5070" s="63"/>
    </row>
    <row r="5071" spans="1:101" x14ac:dyDescent="0.15">
      <c r="A5071" s="76"/>
      <c r="B5071" s="74"/>
      <c r="C5071" s="74"/>
      <c r="D5071" s="85"/>
      <c r="E5071" s="74" t="s">
        <v>9129</v>
      </c>
      <c r="F5071" s="74"/>
      <c r="G5071" s="76"/>
      <c r="H5071" s="77" t="s">
        <v>5</v>
      </c>
      <c r="I5071" s="76" t="s">
        <v>53</v>
      </c>
      <c r="J5071" s="77" t="s">
        <v>8516</v>
      </c>
      <c r="K5071" s="77" t="s">
        <v>8520</v>
      </c>
      <c r="L5071" s="76"/>
      <c r="M5071" s="76" t="s">
        <v>36</v>
      </c>
      <c r="N5071" s="76" t="s">
        <v>39</v>
      </c>
      <c r="O5071" s="76">
        <v>0</v>
      </c>
      <c r="P5071" s="76"/>
      <c r="Q5071" s="76" t="s">
        <v>9165</v>
      </c>
      <c r="R5071" s="76"/>
      <c r="S5071" s="76"/>
      <c r="BD5071" s="99">
        <f t="shared" si="165"/>
        <v>0</v>
      </c>
      <c r="CC5071" s="99"/>
      <c r="CV5071" s="99"/>
      <c r="CW5071" s="63"/>
    </row>
    <row r="5072" spans="1:101" x14ac:dyDescent="0.15">
      <c r="A5072" s="76"/>
      <c r="B5072" s="74"/>
      <c r="C5072" s="74"/>
      <c r="D5072" s="85"/>
      <c r="E5072" s="74" t="s">
        <v>9130</v>
      </c>
      <c r="F5072" s="74"/>
      <c r="G5072" s="76"/>
      <c r="H5072" s="77" t="s">
        <v>5</v>
      </c>
      <c r="I5072" s="76" t="s">
        <v>53</v>
      </c>
      <c r="J5072" s="77" t="s">
        <v>8516</v>
      </c>
      <c r="K5072" s="77" t="s">
        <v>8520</v>
      </c>
      <c r="L5072" s="76"/>
      <c r="M5072" s="76" t="s">
        <v>36</v>
      </c>
      <c r="N5072" s="76" t="s">
        <v>39</v>
      </c>
      <c r="O5072" s="76">
        <v>0</v>
      </c>
      <c r="P5072" s="76"/>
      <c r="Q5072" s="76"/>
      <c r="R5072" s="76"/>
      <c r="S5072" s="76"/>
      <c r="BD5072" s="99">
        <f t="shared" si="165"/>
        <v>0</v>
      </c>
      <c r="CC5072" s="99"/>
      <c r="CV5072" s="99"/>
      <c r="CW5072" s="63"/>
    </row>
    <row r="5073" spans="1:101" x14ac:dyDescent="0.15">
      <c r="A5073" s="76"/>
      <c r="B5073" s="74"/>
      <c r="C5073" s="74"/>
      <c r="D5073" s="85"/>
      <c r="E5073" s="74" t="s">
        <v>9131</v>
      </c>
      <c r="F5073" s="74"/>
      <c r="G5073" s="76"/>
      <c r="H5073" s="77" t="s">
        <v>5</v>
      </c>
      <c r="I5073" s="76" t="s">
        <v>53</v>
      </c>
      <c r="J5073" s="77" t="s">
        <v>8516</v>
      </c>
      <c r="K5073" s="77" t="s">
        <v>8520</v>
      </c>
      <c r="L5073" s="76"/>
      <c r="M5073" s="76" t="s">
        <v>36</v>
      </c>
      <c r="N5073" s="76" t="s">
        <v>39</v>
      </c>
      <c r="O5073" s="76">
        <v>0</v>
      </c>
      <c r="P5073" s="76"/>
      <c r="Q5073" s="76"/>
      <c r="R5073" s="76"/>
      <c r="S5073" s="76"/>
      <c r="BD5073" s="99">
        <f t="shared" si="165"/>
        <v>0</v>
      </c>
      <c r="CC5073" s="99"/>
      <c r="CV5073" s="99"/>
      <c r="CW5073" s="63"/>
    </row>
    <row r="5074" spans="1:101" x14ac:dyDescent="0.15">
      <c r="A5074" s="76"/>
      <c r="B5074" s="74"/>
      <c r="C5074" s="74"/>
      <c r="D5074" s="85"/>
      <c r="E5074" s="74" t="s">
        <v>9132</v>
      </c>
      <c r="F5074" s="74"/>
      <c r="G5074" s="76"/>
      <c r="H5074" s="77" t="s">
        <v>5</v>
      </c>
      <c r="I5074" s="76" t="s">
        <v>53</v>
      </c>
      <c r="J5074" s="77" t="s">
        <v>8516</v>
      </c>
      <c r="K5074" s="77" t="s">
        <v>8520</v>
      </c>
      <c r="L5074" s="76"/>
      <c r="M5074" s="76" t="s">
        <v>36</v>
      </c>
      <c r="N5074" s="76" t="s">
        <v>39</v>
      </c>
      <c r="O5074" s="76">
        <v>0</v>
      </c>
      <c r="P5074" s="76"/>
      <c r="Q5074" s="76" t="s">
        <v>9165</v>
      </c>
      <c r="R5074" s="76"/>
      <c r="S5074" s="76"/>
      <c r="BD5074" s="99">
        <f t="shared" si="165"/>
        <v>0</v>
      </c>
      <c r="CC5074" s="99"/>
      <c r="CV5074" s="99"/>
      <c r="CW5074" s="63"/>
    </row>
    <row r="5075" spans="1:101" x14ac:dyDescent="0.15">
      <c r="A5075" s="76"/>
      <c r="B5075" s="74"/>
      <c r="C5075" s="74"/>
      <c r="D5075" s="85"/>
      <c r="E5075" s="74" t="s">
        <v>9133</v>
      </c>
      <c r="F5075" s="74"/>
      <c r="G5075" s="76"/>
      <c r="H5075" s="77" t="s">
        <v>5</v>
      </c>
      <c r="I5075" s="76" t="s">
        <v>53</v>
      </c>
      <c r="J5075" s="77" t="s">
        <v>8516</v>
      </c>
      <c r="K5075" s="77" t="s">
        <v>8520</v>
      </c>
      <c r="L5075" s="76"/>
      <c r="M5075" s="76" t="s">
        <v>36</v>
      </c>
      <c r="N5075" s="76" t="s">
        <v>39</v>
      </c>
      <c r="O5075" s="76">
        <v>0</v>
      </c>
      <c r="P5075" s="76"/>
      <c r="Q5075" s="76"/>
      <c r="R5075" s="76"/>
      <c r="S5075" s="76"/>
      <c r="BD5075" s="99">
        <f t="shared" si="165"/>
        <v>0</v>
      </c>
      <c r="CC5075" s="99"/>
      <c r="CV5075" s="99"/>
      <c r="CW5075" s="63"/>
    </row>
    <row r="5076" spans="1:101" x14ac:dyDescent="0.15">
      <c r="A5076" s="76"/>
      <c r="B5076" s="74"/>
      <c r="C5076" s="74"/>
      <c r="D5076" s="85"/>
      <c r="E5076" s="74" t="s">
        <v>9134</v>
      </c>
      <c r="F5076" s="74"/>
      <c r="G5076" s="76"/>
      <c r="H5076" s="77" t="s">
        <v>5</v>
      </c>
      <c r="I5076" s="76" t="s">
        <v>53</v>
      </c>
      <c r="J5076" s="77" t="s">
        <v>8516</v>
      </c>
      <c r="K5076" s="77" t="s">
        <v>8520</v>
      </c>
      <c r="L5076" s="76"/>
      <c r="M5076" s="76" t="s">
        <v>36</v>
      </c>
      <c r="N5076" s="76" t="s">
        <v>39</v>
      </c>
      <c r="O5076" s="76">
        <v>0</v>
      </c>
      <c r="P5076" s="76"/>
      <c r="Q5076" s="76"/>
      <c r="R5076" s="76"/>
      <c r="S5076" s="76"/>
      <c r="BD5076" s="99">
        <f t="shared" si="165"/>
        <v>0</v>
      </c>
      <c r="CC5076" s="99"/>
      <c r="CV5076" s="99"/>
      <c r="CW5076" s="63"/>
    </row>
    <row r="5077" spans="1:101" x14ac:dyDescent="0.15">
      <c r="A5077" s="76"/>
      <c r="B5077" s="74"/>
      <c r="C5077" s="74"/>
      <c r="D5077" s="85"/>
      <c r="E5077" s="74" t="s">
        <v>9135</v>
      </c>
      <c r="F5077" s="74"/>
      <c r="G5077" s="76"/>
      <c r="H5077" s="77" t="s">
        <v>5</v>
      </c>
      <c r="I5077" s="76" t="s">
        <v>53</v>
      </c>
      <c r="J5077" s="77" t="s">
        <v>8516</v>
      </c>
      <c r="K5077" s="77" t="s">
        <v>8520</v>
      </c>
      <c r="L5077" s="76"/>
      <c r="M5077" s="76" t="s">
        <v>36</v>
      </c>
      <c r="N5077" s="76" t="s">
        <v>39</v>
      </c>
      <c r="O5077" s="76">
        <v>0</v>
      </c>
      <c r="P5077" s="76"/>
      <c r="Q5077" s="76"/>
      <c r="R5077" s="76"/>
      <c r="S5077" s="76"/>
      <c r="BD5077" s="99">
        <f t="shared" si="165"/>
        <v>0</v>
      </c>
      <c r="CC5077" s="99"/>
      <c r="CV5077" s="99"/>
      <c r="CW5077" s="63"/>
    </row>
    <row r="5078" spans="1:101" x14ac:dyDescent="0.15">
      <c r="A5078" s="76"/>
      <c r="B5078" s="74"/>
      <c r="C5078" s="74"/>
      <c r="D5078" s="85"/>
      <c r="E5078" s="74" t="s">
        <v>9136</v>
      </c>
      <c r="F5078" s="74"/>
      <c r="G5078" s="76"/>
      <c r="H5078" s="77" t="s">
        <v>5</v>
      </c>
      <c r="I5078" s="76" t="s">
        <v>53</v>
      </c>
      <c r="J5078" s="77" t="s">
        <v>8516</v>
      </c>
      <c r="K5078" s="77" t="s">
        <v>8520</v>
      </c>
      <c r="L5078" s="76"/>
      <c r="M5078" s="76" t="s">
        <v>36</v>
      </c>
      <c r="N5078" s="76" t="s">
        <v>39</v>
      </c>
      <c r="O5078" s="76">
        <v>0</v>
      </c>
      <c r="P5078" s="76"/>
      <c r="Q5078" s="76"/>
      <c r="R5078" s="76"/>
      <c r="S5078" s="76"/>
      <c r="BD5078" s="99">
        <f t="shared" si="165"/>
        <v>0</v>
      </c>
      <c r="CC5078" s="99"/>
      <c r="CV5078" s="99"/>
      <c r="CW5078" s="63"/>
    </row>
    <row r="5079" spans="1:101" x14ac:dyDescent="0.15">
      <c r="A5079" s="76"/>
      <c r="B5079" s="74"/>
      <c r="C5079" s="74"/>
      <c r="D5079" s="85"/>
      <c r="E5079" s="74" t="s">
        <v>9137</v>
      </c>
      <c r="F5079" s="74"/>
      <c r="G5079" s="76"/>
      <c r="H5079" s="77" t="s">
        <v>5</v>
      </c>
      <c r="I5079" s="76" t="s">
        <v>53</v>
      </c>
      <c r="J5079" s="77" t="s">
        <v>8516</v>
      </c>
      <c r="K5079" s="77" t="s">
        <v>8520</v>
      </c>
      <c r="L5079" s="76"/>
      <c r="M5079" s="76" t="s">
        <v>36</v>
      </c>
      <c r="N5079" s="76" t="s">
        <v>39</v>
      </c>
      <c r="O5079" s="76">
        <v>0</v>
      </c>
      <c r="P5079" s="76"/>
      <c r="Q5079" s="76"/>
      <c r="R5079" s="76"/>
      <c r="S5079" s="76"/>
      <c r="BD5079" s="99">
        <f t="shared" si="165"/>
        <v>0</v>
      </c>
      <c r="CC5079" s="99"/>
      <c r="CV5079" s="99"/>
      <c r="CW5079" s="63"/>
    </row>
    <row r="5080" spans="1:101" x14ac:dyDescent="0.15">
      <c r="A5080" s="76"/>
      <c r="B5080" s="74"/>
      <c r="C5080" s="74"/>
      <c r="D5080" s="85"/>
      <c r="E5080" s="74" t="s">
        <v>9138</v>
      </c>
      <c r="F5080" s="74"/>
      <c r="G5080" s="76"/>
      <c r="H5080" s="77" t="s">
        <v>5</v>
      </c>
      <c r="I5080" s="76" t="s">
        <v>53</v>
      </c>
      <c r="J5080" s="77" t="s">
        <v>8516</v>
      </c>
      <c r="K5080" s="77" t="s">
        <v>8520</v>
      </c>
      <c r="L5080" s="76"/>
      <c r="M5080" s="76" t="s">
        <v>36</v>
      </c>
      <c r="N5080" s="76" t="s">
        <v>39</v>
      </c>
      <c r="O5080" s="76">
        <v>0</v>
      </c>
      <c r="P5080" s="76"/>
      <c r="Q5080" s="76"/>
      <c r="R5080" s="76"/>
      <c r="S5080" s="76"/>
      <c r="BD5080" s="99">
        <f t="shared" si="165"/>
        <v>0</v>
      </c>
      <c r="CC5080" s="99"/>
      <c r="CV5080" s="99"/>
      <c r="CW5080" s="63"/>
    </row>
    <row r="5081" spans="1:101" x14ac:dyDescent="0.15">
      <c r="A5081" s="76"/>
      <c r="B5081" s="74"/>
      <c r="C5081" s="74"/>
      <c r="D5081" s="85"/>
      <c r="E5081" s="74" t="s">
        <v>9139</v>
      </c>
      <c r="F5081" s="74"/>
      <c r="G5081" s="76"/>
      <c r="H5081" s="77" t="s">
        <v>5</v>
      </c>
      <c r="I5081" s="76" t="s">
        <v>53</v>
      </c>
      <c r="J5081" s="77" t="s">
        <v>8516</v>
      </c>
      <c r="K5081" s="77" t="s">
        <v>8520</v>
      </c>
      <c r="L5081" s="76"/>
      <c r="M5081" s="76" t="s">
        <v>36</v>
      </c>
      <c r="N5081" s="76" t="s">
        <v>39</v>
      </c>
      <c r="O5081" s="76">
        <v>0</v>
      </c>
      <c r="P5081" s="76"/>
      <c r="Q5081" s="76"/>
      <c r="R5081" s="76"/>
      <c r="S5081" s="76"/>
      <c r="BD5081" s="99">
        <f t="shared" si="165"/>
        <v>0</v>
      </c>
      <c r="CC5081" s="99"/>
      <c r="CV5081" s="99"/>
      <c r="CW5081" s="63"/>
    </row>
    <row r="5082" spans="1:101" x14ac:dyDescent="0.15">
      <c r="A5082" s="76"/>
      <c r="B5082" s="74"/>
      <c r="C5082" s="74"/>
      <c r="D5082" s="85"/>
      <c r="E5082" s="74" t="s">
        <v>9140</v>
      </c>
      <c r="F5082" s="74"/>
      <c r="G5082" s="76"/>
      <c r="H5082" s="77" t="s">
        <v>5</v>
      </c>
      <c r="I5082" s="76" t="s">
        <v>53</v>
      </c>
      <c r="J5082" s="77" t="s">
        <v>8516</v>
      </c>
      <c r="K5082" s="77" t="s">
        <v>8520</v>
      </c>
      <c r="L5082" s="76"/>
      <c r="M5082" s="76" t="s">
        <v>36</v>
      </c>
      <c r="N5082" s="76" t="s">
        <v>39</v>
      </c>
      <c r="O5082" s="76">
        <v>0</v>
      </c>
      <c r="P5082" s="76"/>
      <c r="Q5082" s="76"/>
      <c r="R5082" s="76"/>
      <c r="S5082" s="76"/>
      <c r="BD5082" s="99">
        <f t="shared" si="165"/>
        <v>0</v>
      </c>
      <c r="CC5082" s="99"/>
      <c r="CV5082" s="99"/>
      <c r="CW5082" s="63"/>
    </row>
    <row r="5083" spans="1:101" x14ac:dyDescent="0.15">
      <c r="A5083" s="76"/>
      <c r="B5083" s="74"/>
      <c r="C5083" s="74"/>
      <c r="D5083" s="85"/>
      <c r="E5083" s="74" t="s">
        <v>9141</v>
      </c>
      <c r="F5083" s="74"/>
      <c r="G5083" s="76"/>
      <c r="H5083" s="77" t="s">
        <v>5</v>
      </c>
      <c r="I5083" s="76" t="s">
        <v>53</v>
      </c>
      <c r="J5083" s="77" t="s">
        <v>8516</v>
      </c>
      <c r="K5083" s="77" t="s">
        <v>8520</v>
      </c>
      <c r="L5083" s="76"/>
      <c r="M5083" s="76" t="s">
        <v>36</v>
      </c>
      <c r="N5083" s="76" t="s">
        <v>39</v>
      </c>
      <c r="O5083" s="76">
        <v>0</v>
      </c>
      <c r="P5083" s="76"/>
      <c r="Q5083" s="76"/>
      <c r="R5083" s="76"/>
      <c r="S5083" s="76"/>
      <c r="BD5083" s="99">
        <f t="shared" si="165"/>
        <v>0</v>
      </c>
      <c r="CC5083" s="99"/>
      <c r="CV5083" s="99"/>
      <c r="CW5083" s="63"/>
    </row>
    <row r="5084" spans="1:101" x14ac:dyDescent="0.15">
      <c r="A5084" s="76"/>
      <c r="B5084" s="74"/>
      <c r="C5084" s="74"/>
      <c r="D5084" s="85"/>
      <c r="E5084" s="74" t="s">
        <v>9142</v>
      </c>
      <c r="F5084" s="74"/>
      <c r="G5084" s="76"/>
      <c r="H5084" s="77" t="s">
        <v>5</v>
      </c>
      <c r="I5084" s="76" t="s">
        <v>53</v>
      </c>
      <c r="J5084" s="77" t="s">
        <v>8516</v>
      </c>
      <c r="K5084" s="77" t="s">
        <v>8520</v>
      </c>
      <c r="L5084" s="76"/>
      <c r="M5084" s="76" t="s">
        <v>36</v>
      </c>
      <c r="N5084" s="76" t="s">
        <v>39</v>
      </c>
      <c r="O5084" s="76">
        <v>0</v>
      </c>
      <c r="P5084" s="76"/>
      <c r="Q5084" s="76"/>
      <c r="R5084" s="76"/>
      <c r="S5084" s="76"/>
      <c r="BD5084" s="99">
        <f t="shared" si="165"/>
        <v>0</v>
      </c>
      <c r="CC5084" s="99"/>
      <c r="CV5084" s="99"/>
      <c r="CW5084" s="63"/>
    </row>
    <row r="5085" spans="1:101" x14ac:dyDescent="0.15">
      <c r="A5085" s="76"/>
      <c r="B5085" s="74"/>
      <c r="C5085" s="74"/>
      <c r="D5085" s="85"/>
      <c r="E5085" s="74" t="s">
        <v>9143</v>
      </c>
      <c r="F5085" s="74"/>
      <c r="G5085" s="76"/>
      <c r="H5085" s="77" t="s">
        <v>5</v>
      </c>
      <c r="I5085" s="76" t="s">
        <v>53</v>
      </c>
      <c r="J5085" s="77" t="s">
        <v>8516</v>
      </c>
      <c r="K5085" s="77" t="s">
        <v>8520</v>
      </c>
      <c r="L5085" s="76"/>
      <c r="M5085" s="76" t="s">
        <v>36</v>
      </c>
      <c r="N5085" s="76" t="s">
        <v>39</v>
      </c>
      <c r="O5085" s="76">
        <v>0</v>
      </c>
      <c r="P5085" s="76"/>
      <c r="Q5085" s="76"/>
      <c r="R5085" s="76"/>
      <c r="S5085" s="76"/>
      <c r="BD5085" s="99">
        <f t="shared" si="165"/>
        <v>0</v>
      </c>
      <c r="CC5085" s="99"/>
      <c r="CV5085" s="99"/>
      <c r="CW5085" s="63"/>
    </row>
    <row r="5086" spans="1:101" x14ac:dyDescent="0.15">
      <c r="A5086" s="76"/>
      <c r="B5086" s="74"/>
      <c r="C5086" s="74"/>
      <c r="D5086" s="85"/>
      <c r="E5086" s="74" t="s">
        <v>9144</v>
      </c>
      <c r="F5086" s="74"/>
      <c r="G5086" s="76"/>
      <c r="H5086" s="77" t="s">
        <v>5</v>
      </c>
      <c r="I5086" s="76" t="s">
        <v>53</v>
      </c>
      <c r="J5086" s="77" t="s">
        <v>8516</v>
      </c>
      <c r="K5086" s="77" t="s">
        <v>8520</v>
      </c>
      <c r="L5086" s="76"/>
      <c r="M5086" s="76" t="s">
        <v>36</v>
      </c>
      <c r="N5086" s="76" t="s">
        <v>39</v>
      </c>
      <c r="O5086" s="76">
        <v>0</v>
      </c>
      <c r="P5086" s="76"/>
      <c r="Q5086" s="76"/>
      <c r="R5086" s="76"/>
      <c r="S5086" s="76"/>
      <c r="BD5086" s="99">
        <f t="shared" si="165"/>
        <v>0</v>
      </c>
      <c r="CC5086" s="99"/>
      <c r="CV5086" s="99"/>
      <c r="CW5086" s="63"/>
    </row>
    <row r="5087" spans="1:101" x14ac:dyDescent="0.15">
      <c r="A5087" s="76"/>
      <c r="B5087" s="74"/>
      <c r="C5087" s="74"/>
      <c r="D5087" s="85"/>
      <c r="E5087" s="74" t="s">
        <v>9145</v>
      </c>
      <c r="F5087" s="74"/>
      <c r="G5087" s="76"/>
      <c r="H5087" s="77" t="s">
        <v>5</v>
      </c>
      <c r="I5087" s="76" t="s">
        <v>53</v>
      </c>
      <c r="J5087" s="77" t="s">
        <v>8516</v>
      </c>
      <c r="K5087" s="77" t="s">
        <v>8520</v>
      </c>
      <c r="L5087" s="76"/>
      <c r="M5087" s="76" t="s">
        <v>36</v>
      </c>
      <c r="N5087" s="76" t="s">
        <v>39</v>
      </c>
      <c r="O5087" s="76">
        <v>0</v>
      </c>
      <c r="P5087" s="76"/>
      <c r="Q5087" s="76"/>
      <c r="R5087" s="76"/>
      <c r="S5087" s="76"/>
      <c r="BD5087" s="99">
        <f t="shared" si="165"/>
        <v>0</v>
      </c>
      <c r="CC5087" s="99"/>
      <c r="CV5087" s="99"/>
      <c r="CW5087" s="63"/>
    </row>
    <row r="5088" spans="1:101" x14ac:dyDescent="0.15">
      <c r="A5088" s="76"/>
      <c r="B5088" s="74"/>
      <c r="C5088" s="74"/>
      <c r="D5088" s="85"/>
      <c r="E5088" s="74" t="s">
        <v>9146</v>
      </c>
      <c r="F5088" s="74"/>
      <c r="G5088" s="76"/>
      <c r="H5088" s="77" t="s">
        <v>5</v>
      </c>
      <c r="I5088" s="76" t="s">
        <v>53</v>
      </c>
      <c r="J5088" s="77" t="s">
        <v>8516</v>
      </c>
      <c r="K5088" s="77" t="s">
        <v>8520</v>
      </c>
      <c r="L5088" s="76"/>
      <c r="M5088" s="76" t="s">
        <v>36</v>
      </c>
      <c r="N5088" s="76" t="s">
        <v>39</v>
      </c>
      <c r="O5088" s="76">
        <v>0</v>
      </c>
      <c r="P5088" s="76"/>
      <c r="Q5088" s="76"/>
      <c r="R5088" s="76"/>
      <c r="S5088" s="76"/>
      <c r="BD5088" s="99">
        <f t="shared" si="165"/>
        <v>0</v>
      </c>
      <c r="CC5088" s="99"/>
      <c r="CV5088" s="99"/>
      <c r="CW5088" s="63"/>
    </row>
    <row r="5089" spans="1:101" x14ac:dyDescent="0.15">
      <c r="A5089" s="76"/>
      <c r="B5089" s="74"/>
      <c r="C5089" s="74"/>
      <c r="D5089" s="85"/>
      <c r="E5089" s="74" t="s">
        <v>9147</v>
      </c>
      <c r="F5089" s="74"/>
      <c r="G5089" s="76"/>
      <c r="H5089" s="77" t="s">
        <v>5</v>
      </c>
      <c r="I5089" s="76" t="s">
        <v>53</v>
      </c>
      <c r="J5089" s="77" t="s">
        <v>8516</v>
      </c>
      <c r="K5089" s="77" t="s">
        <v>8520</v>
      </c>
      <c r="L5089" s="76"/>
      <c r="M5089" s="76" t="s">
        <v>36</v>
      </c>
      <c r="N5089" s="76" t="s">
        <v>39</v>
      </c>
      <c r="O5089" s="76">
        <v>0</v>
      </c>
      <c r="P5089" s="76"/>
      <c r="Q5089" s="76"/>
      <c r="R5089" s="76"/>
      <c r="S5089" s="76"/>
      <c r="BD5089" s="99">
        <f t="shared" si="165"/>
        <v>0</v>
      </c>
      <c r="CC5089" s="99"/>
      <c r="CV5089" s="99"/>
      <c r="CW5089" s="63"/>
    </row>
    <row r="5090" spans="1:101" x14ac:dyDescent="0.15">
      <c r="A5090" s="76"/>
      <c r="B5090" s="74"/>
      <c r="C5090" s="74"/>
      <c r="D5090" s="85"/>
      <c r="E5090" s="74" t="s">
        <v>9148</v>
      </c>
      <c r="F5090" s="74"/>
      <c r="G5090" s="76"/>
      <c r="H5090" s="77" t="s">
        <v>5</v>
      </c>
      <c r="I5090" s="76" t="s">
        <v>53</v>
      </c>
      <c r="J5090" s="77" t="s">
        <v>8516</v>
      </c>
      <c r="K5090" s="77" t="s">
        <v>8520</v>
      </c>
      <c r="L5090" s="76"/>
      <c r="M5090" s="76" t="s">
        <v>36</v>
      </c>
      <c r="N5090" s="76" t="s">
        <v>39</v>
      </c>
      <c r="O5090" s="76">
        <v>0</v>
      </c>
      <c r="P5090" s="76"/>
      <c r="Q5090" s="76"/>
      <c r="R5090" s="76"/>
      <c r="S5090" s="76"/>
      <c r="BD5090" s="99">
        <f t="shared" si="165"/>
        <v>0</v>
      </c>
      <c r="CC5090" s="99"/>
      <c r="CV5090" s="99"/>
      <c r="CW5090" s="63"/>
    </row>
    <row r="5091" spans="1:101" x14ac:dyDescent="0.15">
      <c r="A5091" s="76"/>
      <c r="B5091" s="74"/>
      <c r="C5091" s="74"/>
      <c r="D5091" s="85"/>
      <c r="E5091" s="74" t="s">
        <v>9149</v>
      </c>
      <c r="F5091" s="74"/>
      <c r="G5091" s="76"/>
      <c r="H5091" s="77" t="s">
        <v>5</v>
      </c>
      <c r="I5091" s="76" t="s">
        <v>53</v>
      </c>
      <c r="J5091" s="77" t="s">
        <v>8516</v>
      </c>
      <c r="K5091" s="77" t="s">
        <v>8520</v>
      </c>
      <c r="L5091" s="76"/>
      <c r="M5091" s="76" t="s">
        <v>36</v>
      </c>
      <c r="N5091" s="76" t="s">
        <v>39</v>
      </c>
      <c r="O5091" s="76">
        <v>0</v>
      </c>
      <c r="P5091" s="76"/>
      <c r="Q5091" s="76"/>
      <c r="R5091" s="76"/>
      <c r="S5091" s="76"/>
      <c r="BD5091" s="99">
        <f t="shared" si="165"/>
        <v>0</v>
      </c>
      <c r="CC5091" s="99"/>
      <c r="CV5091" s="99"/>
      <c r="CW5091" s="63"/>
    </row>
    <row r="5092" spans="1:101" x14ac:dyDescent="0.15">
      <c r="A5092" s="76"/>
      <c r="B5092" s="74"/>
      <c r="C5092" s="74"/>
      <c r="D5092" s="85"/>
      <c r="E5092" s="74" t="s">
        <v>9150</v>
      </c>
      <c r="F5092" s="74"/>
      <c r="G5092" s="76"/>
      <c r="H5092" s="77" t="s">
        <v>5</v>
      </c>
      <c r="I5092" s="76" t="s">
        <v>53</v>
      </c>
      <c r="J5092" s="77" t="s">
        <v>8516</v>
      </c>
      <c r="K5092" s="77" t="s">
        <v>8520</v>
      </c>
      <c r="L5092" s="76"/>
      <c r="M5092" s="76" t="s">
        <v>36</v>
      </c>
      <c r="N5092" s="76" t="s">
        <v>39</v>
      </c>
      <c r="O5092" s="76">
        <v>0</v>
      </c>
      <c r="P5092" s="76"/>
      <c r="Q5092" s="76" t="s">
        <v>9165</v>
      </c>
      <c r="R5092" s="76"/>
      <c r="S5092" s="76"/>
      <c r="BD5092" s="99">
        <f t="shared" si="165"/>
        <v>0</v>
      </c>
      <c r="CC5092" s="99"/>
      <c r="CV5092" s="99"/>
      <c r="CW5092" s="63"/>
    </row>
    <row r="5093" spans="1:101" x14ac:dyDescent="0.15">
      <c r="A5093" s="76"/>
      <c r="B5093" s="74"/>
      <c r="C5093" s="74"/>
      <c r="D5093" s="85"/>
      <c r="E5093" s="74" t="s">
        <v>9151</v>
      </c>
      <c r="F5093" s="74"/>
      <c r="G5093" s="76"/>
      <c r="H5093" s="77" t="s">
        <v>5</v>
      </c>
      <c r="I5093" s="76" t="s">
        <v>53</v>
      </c>
      <c r="J5093" s="77" t="s">
        <v>8516</v>
      </c>
      <c r="K5093" s="77" t="s">
        <v>8520</v>
      </c>
      <c r="L5093" s="76"/>
      <c r="M5093" s="76" t="s">
        <v>36</v>
      </c>
      <c r="N5093" s="76" t="s">
        <v>39</v>
      </c>
      <c r="O5093" s="76">
        <v>0</v>
      </c>
      <c r="P5093" s="76"/>
      <c r="Q5093" s="76"/>
      <c r="R5093" s="76"/>
      <c r="S5093" s="76"/>
      <c r="BD5093" s="99">
        <f t="shared" si="165"/>
        <v>0</v>
      </c>
      <c r="CC5093" s="99"/>
      <c r="CV5093" s="99"/>
      <c r="CW5093" s="63"/>
    </row>
    <row r="5094" spans="1:101" x14ac:dyDescent="0.15">
      <c r="A5094" s="76"/>
      <c r="B5094" s="74"/>
      <c r="C5094" s="74"/>
      <c r="D5094" s="85"/>
      <c r="E5094" s="74" t="s">
        <v>9152</v>
      </c>
      <c r="F5094" s="74"/>
      <c r="G5094" s="76"/>
      <c r="H5094" s="77" t="s">
        <v>5</v>
      </c>
      <c r="I5094" s="76" t="s">
        <v>53</v>
      </c>
      <c r="J5094" s="77" t="s">
        <v>8516</v>
      </c>
      <c r="K5094" s="77" t="s">
        <v>8520</v>
      </c>
      <c r="L5094" s="76"/>
      <c r="M5094" s="76" t="s">
        <v>36</v>
      </c>
      <c r="N5094" s="76" t="s">
        <v>39</v>
      </c>
      <c r="O5094" s="76">
        <v>0</v>
      </c>
      <c r="P5094" s="76"/>
      <c r="Q5094" s="76"/>
      <c r="R5094" s="76"/>
      <c r="S5094" s="76"/>
      <c r="BD5094" s="99">
        <f t="shared" si="165"/>
        <v>0</v>
      </c>
      <c r="CC5094" s="99"/>
      <c r="CV5094" s="99"/>
      <c r="CW5094" s="63"/>
    </row>
    <row r="5095" spans="1:101" x14ac:dyDescent="0.15">
      <c r="A5095" s="76"/>
      <c r="B5095" s="74"/>
      <c r="C5095" s="74"/>
      <c r="D5095" s="85"/>
      <c r="E5095" s="74" t="s">
        <v>9153</v>
      </c>
      <c r="F5095" s="74"/>
      <c r="G5095" s="76"/>
      <c r="H5095" s="77" t="s">
        <v>5</v>
      </c>
      <c r="I5095" s="76" t="s">
        <v>53</v>
      </c>
      <c r="J5095" s="77" t="s">
        <v>8516</v>
      </c>
      <c r="K5095" s="77" t="s">
        <v>8520</v>
      </c>
      <c r="L5095" s="76"/>
      <c r="M5095" s="76" t="s">
        <v>36</v>
      </c>
      <c r="N5095" s="76" t="s">
        <v>39</v>
      </c>
      <c r="O5095" s="76">
        <v>0</v>
      </c>
      <c r="P5095" s="76"/>
      <c r="Q5095" s="76"/>
      <c r="R5095" s="76"/>
      <c r="S5095" s="76"/>
      <c r="BD5095" s="99">
        <f t="shared" si="165"/>
        <v>0</v>
      </c>
      <c r="CC5095" s="99"/>
      <c r="CV5095" s="99"/>
      <c r="CW5095" s="63"/>
    </row>
    <row r="5096" spans="1:101" x14ac:dyDescent="0.15">
      <c r="A5096" s="76"/>
      <c r="B5096" s="74"/>
      <c r="C5096" s="74"/>
      <c r="D5096" s="85"/>
      <c r="E5096" s="74" t="s">
        <v>9154</v>
      </c>
      <c r="F5096" s="74"/>
      <c r="G5096" s="76"/>
      <c r="H5096" s="77" t="s">
        <v>5</v>
      </c>
      <c r="I5096" s="76" t="s">
        <v>53</v>
      </c>
      <c r="J5096" s="77" t="s">
        <v>8516</v>
      </c>
      <c r="K5096" s="77" t="s">
        <v>8520</v>
      </c>
      <c r="L5096" s="76"/>
      <c r="M5096" s="76" t="s">
        <v>36</v>
      </c>
      <c r="N5096" s="76" t="s">
        <v>39</v>
      </c>
      <c r="O5096" s="76">
        <v>0</v>
      </c>
      <c r="P5096" s="76"/>
      <c r="Q5096" s="76"/>
      <c r="R5096" s="76"/>
      <c r="S5096" s="76"/>
      <c r="BD5096" s="99">
        <f t="shared" si="165"/>
        <v>0</v>
      </c>
      <c r="CC5096" s="99"/>
      <c r="CV5096" s="99"/>
      <c r="CW5096" s="63"/>
    </row>
    <row r="5097" spans="1:101" x14ac:dyDescent="0.15">
      <c r="A5097" s="76"/>
      <c r="B5097" s="74"/>
      <c r="C5097" s="74"/>
      <c r="D5097" s="85"/>
      <c r="E5097" s="74" t="s">
        <v>9155</v>
      </c>
      <c r="F5097" s="74"/>
      <c r="G5097" s="76"/>
      <c r="H5097" s="77" t="s">
        <v>5</v>
      </c>
      <c r="I5097" s="76" t="s">
        <v>53</v>
      </c>
      <c r="J5097" s="77" t="s">
        <v>8516</v>
      </c>
      <c r="K5097" s="77" t="s">
        <v>8520</v>
      </c>
      <c r="L5097" s="76"/>
      <c r="M5097" s="76" t="s">
        <v>36</v>
      </c>
      <c r="N5097" s="76" t="s">
        <v>39</v>
      </c>
      <c r="O5097" s="76">
        <v>0</v>
      </c>
      <c r="P5097" s="76"/>
      <c r="Q5097" s="76"/>
      <c r="R5097" s="76"/>
      <c r="S5097" s="76"/>
      <c r="BD5097" s="99">
        <f t="shared" si="165"/>
        <v>0</v>
      </c>
      <c r="CC5097" s="99"/>
      <c r="CV5097" s="99"/>
      <c r="CW5097" s="63"/>
    </row>
    <row r="5098" spans="1:101" x14ac:dyDescent="0.15">
      <c r="A5098" s="76"/>
      <c r="B5098" s="74"/>
      <c r="C5098" s="74"/>
      <c r="D5098" s="85"/>
      <c r="E5098" s="74" t="s">
        <v>9156</v>
      </c>
      <c r="F5098" s="74"/>
      <c r="G5098" s="76"/>
      <c r="H5098" s="77" t="s">
        <v>5</v>
      </c>
      <c r="I5098" s="76" t="s">
        <v>53</v>
      </c>
      <c r="J5098" s="77" t="s">
        <v>8516</v>
      </c>
      <c r="K5098" s="77" t="s">
        <v>8520</v>
      </c>
      <c r="L5098" s="76"/>
      <c r="M5098" s="76" t="s">
        <v>36</v>
      </c>
      <c r="N5098" s="76" t="s">
        <v>39</v>
      </c>
      <c r="O5098" s="76">
        <v>0</v>
      </c>
      <c r="P5098" s="76"/>
      <c r="Q5098" s="76"/>
      <c r="R5098" s="76"/>
      <c r="S5098" s="76"/>
      <c r="BD5098" s="99">
        <f t="shared" si="165"/>
        <v>0</v>
      </c>
      <c r="CC5098" s="99"/>
      <c r="CV5098" s="99"/>
      <c r="CW5098" s="63"/>
    </row>
    <row r="5099" spans="1:101" x14ac:dyDescent="0.15">
      <c r="A5099" s="76"/>
      <c r="B5099" s="74"/>
      <c r="C5099" s="74"/>
      <c r="D5099" s="85"/>
      <c r="E5099" s="74" t="s">
        <v>9157</v>
      </c>
      <c r="F5099" s="74"/>
      <c r="G5099" s="76"/>
      <c r="H5099" s="77" t="s">
        <v>5</v>
      </c>
      <c r="I5099" s="76" t="s">
        <v>53</v>
      </c>
      <c r="J5099" s="77" t="s">
        <v>8516</v>
      </c>
      <c r="K5099" s="77" t="s">
        <v>8520</v>
      </c>
      <c r="L5099" s="76"/>
      <c r="M5099" s="76" t="s">
        <v>36</v>
      </c>
      <c r="N5099" s="76" t="s">
        <v>39</v>
      </c>
      <c r="O5099" s="76">
        <v>0</v>
      </c>
      <c r="P5099" s="76"/>
      <c r="Q5099" s="76"/>
      <c r="R5099" s="76"/>
      <c r="S5099" s="76"/>
      <c r="BD5099" s="99">
        <f t="shared" si="165"/>
        <v>0</v>
      </c>
      <c r="CC5099" s="99"/>
      <c r="CV5099" s="99"/>
      <c r="CW5099" s="63"/>
    </row>
    <row r="5100" spans="1:101" x14ac:dyDescent="0.15">
      <c r="A5100" s="76"/>
      <c r="B5100" s="74"/>
      <c r="C5100" s="74"/>
      <c r="D5100" s="85"/>
      <c r="E5100" s="74" t="s">
        <v>9158</v>
      </c>
      <c r="F5100" s="74"/>
      <c r="G5100" s="76"/>
      <c r="H5100" s="77" t="s">
        <v>5</v>
      </c>
      <c r="I5100" s="76" t="s">
        <v>53</v>
      </c>
      <c r="J5100" s="77" t="s">
        <v>8516</v>
      </c>
      <c r="K5100" s="77" t="s">
        <v>8520</v>
      </c>
      <c r="L5100" s="76"/>
      <c r="M5100" s="76" t="s">
        <v>36</v>
      </c>
      <c r="N5100" s="76" t="s">
        <v>39</v>
      </c>
      <c r="O5100" s="76">
        <v>0</v>
      </c>
      <c r="P5100" s="76"/>
      <c r="Q5100" s="76"/>
      <c r="R5100" s="76"/>
      <c r="S5100" s="76"/>
      <c r="BD5100" s="99">
        <f t="shared" si="165"/>
        <v>0</v>
      </c>
      <c r="CC5100" s="99"/>
      <c r="CV5100" s="99"/>
      <c r="CW5100" s="63"/>
    </row>
    <row r="5101" spans="1:101" x14ac:dyDescent="0.15">
      <c r="A5101" s="76"/>
      <c r="B5101" s="74"/>
      <c r="C5101" s="74"/>
      <c r="D5101" s="85"/>
      <c r="E5101" s="74" t="s">
        <v>9159</v>
      </c>
      <c r="F5101" s="74"/>
      <c r="G5101" s="76"/>
      <c r="H5101" s="77" t="s">
        <v>5</v>
      </c>
      <c r="I5101" s="76" t="s">
        <v>53</v>
      </c>
      <c r="J5101" s="77" t="s">
        <v>8516</v>
      </c>
      <c r="K5101" s="77" t="s">
        <v>8520</v>
      </c>
      <c r="L5101" s="76"/>
      <c r="M5101" s="76" t="s">
        <v>36</v>
      </c>
      <c r="N5101" s="76" t="s">
        <v>39</v>
      </c>
      <c r="O5101" s="76">
        <v>0</v>
      </c>
      <c r="P5101" s="76"/>
      <c r="Q5101" s="76"/>
      <c r="R5101" s="76"/>
      <c r="S5101" s="76"/>
      <c r="BD5101" s="99">
        <f t="shared" si="165"/>
        <v>0</v>
      </c>
      <c r="CC5101" s="99"/>
      <c r="CV5101" s="99"/>
      <c r="CW5101" s="63"/>
    </row>
    <row r="5102" spans="1:101" x14ac:dyDescent="0.15">
      <c r="A5102" s="76"/>
      <c r="B5102" s="74"/>
      <c r="C5102" s="74"/>
      <c r="D5102" s="85"/>
      <c r="E5102" s="74" t="s">
        <v>9160</v>
      </c>
      <c r="F5102" s="74"/>
      <c r="G5102" s="76"/>
      <c r="H5102" s="77" t="s">
        <v>5</v>
      </c>
      <c r="I5102" s="76" t="s">
        <v>53</v>
      </c>
      <c r="J5102" s="77" t="s">
        <v>8516</v>
      </c>
      <c r="K5102" s="77" t="s">
        <v>8520</v>
      </c>
      <c r="L5102" s="76"/>
      <c r="M5102" s="76" t="s">
        <v>36</v>
      </c>
      <c r="N5102" s="76" t="s">
        <v>39</v>
      </c>
      <c r="O5102" s="76">
        <v>0</v>
      </c>
      <c r="P5102" s="76"/>
      <c r="Q5102" s="76"/>
      <c r="R5102" s="76"/>
      <c r="S5102" s="76"/>
      <c r="BD5102" s="99">
        <f t="shared" si="165"/>
        <v>0</v>
      </c>
      <c r="CC5102" s="99"/>
      <c r="CV5102" s="99"/>
      <c r="CW5102" s="63"/>
    </row>
    <row r="5103" spans="1:101" x14ac:dyDescent="0.15">
      <c r="A5103" s="76"/>
      <c r="B5103" s="74"/>
      <c r="C5103" s="74"/>
      <c r="D5103" s="85"/>
      <c r="E5103" s="74" t="s">
        <v>9161</v>
      </c>
      <c r="F5103" s="74"/>
      <c r="G5103" s="76"/>
      <c r="H5103" s="77" t="s">
        <v>5</v>
      </c>
      <c r="I5103" s="76" t="s">
        <v>53</v>
      </c>
      <c r="J5103" s="77" t="s">
        <v>8516</v>
      </c>
      <c r="K5103" s="77" t="s">
        <v>8520</v>
      </c>
      <c r="L5103" s="76"/>
      <c r="M5103" s="76" t="s">
        <v>36</v>
      </c>
      <c r="N5103" s="76" t="s">
        <v>39</v>
      </c>
      <c r="O5103" s="76">
        <v>0</v>
      </c>
      <c r="P5103" s="76"/>
      <c r="Q5103" s="76"/>
      <c r="R5103" s="76"/>
      <c r="S5103" s="76"/>
      <c r="BD5103" s="99">
        <f t="shared" si="165"/>
        <v>0</v>
      </c>
      <c r="CC5103" s="99"/>
      <c r="CV5103" s="99"/>
      <c r="CW5103" s="63"/>
    </row>
    <row r="5104" spans="1:101" x14ac:dyDescent="0.15">
      <c r="A5104" s="76"/>
      <c r="B5104" s="74"/>
      <c r="C5104" s="74"/>
      <c r="D5104" s="85"/>
      <c r="E5104" s="74" t="s">
        <v>9162</v>
      </c>
      <c r="F5104" s="74"/>
      <c r="G5104" s="76"/>
      <c r="H5104" s="77" t="s">
        <v>5</v>
      </c>
      <c r="I5104" s="76" t="s">
        <v>53</v>
      </c>
      <c r="J5104" s="77" t="s">
        <v>8516</v>
      </c>
      <c r="K5104" s="77" t="s">
        <v>8520</v>
      </c>
      <c r="L5104" s="76"/>
      <c r="M5104" s="76" t="s">
        <v>36</v>
      </c>
      <c r="N5104" s="76" t="s">
        <v>39</v>
      </c>
      <c r="O5104" s="76">
        <v>0</v>
      </c>
      <c r="P5104" s="76"/>
      <c r="Q5104" s="76"/>
      <c r="R5104" s="76"/>
      <c r="S5104" s="76"/>
      <c r="BD5104" s="99">
        <f t="shared" si="165"/>
        <v>0</v>
      </c>
      <c r="CC5104" s="99"/>
      <c r="CV5104" s="99"/>
      <c r="CW5104" s="63"/>
    </row>
    <row r="5105" spans="1:101" x14ac:dyDescent="0.15">
      <c r="A5105" s="76"/>
      <c r="B5105" s="74"/>
      <c r="C5105" s="74"/>
      <c r="D5105" s="85"/>
      <c r="E5105" s="74" t="s">
        <v>9163</v>
      </c>
      <c r="F5105" s="74"/>
      <c r="G5105" s="76"/>
      <c r="H5105" s="77" t="s">
        <v>5</v>
      </c>
      <c r="I5105" s="76" t="s">
        <v>53</v>
      </c>
      <c r="J5105" s="77" t="s">
        <v>8516</v>
      </c>
      <c r="K5105" s="77" t="s">
        <v>8520</v>
      </c>
      <c r="L5105" s="76"/>
      <c r="M5105" s="76" t="s">
        <v>36</v>
      </c>
      <c r="N5105" s="76" t="s">
        <v>39</v>
      </c>
      <c r="O5105" s="76">
        <v>0</v>
      </c>
      <c r="P5105" s="76"/>
      <c r="Q5105" s="76"/>
      <c r="R5105" s="76"/>
      <c r="S5105" s="76"/>
      <c r="BD5105" s="99">
        <f t="shared" si="165"/>
        <v>0</v>
      </c>
      <c r="CC5105" s="99"/>
      <c r="CV5105" s="99"/>
      <c r="CW5105" s="63"/>
    </row>
    <row r="5106" spans="1:101" x14ac:dyDescent="0.15">
      <c r="A5106" s="76"/>
      <c r="B5106" s="74"/>
      <c r="C5106" s="74"/>
      <c r="D5106" s="85"/>
      <c r="E5106" s="74" t="s">
        <v>9164</v>
      </c>
      <c r="F5106" s="74"/>
      <c r="G5106" s="76"/>
      <c r="H5106" s="77" t="s">
        <v>5</v>
      </c>
      <c r="I5106" s="76" t="s">
        <v>53</v>
      </c>
      <c r="J5106" s="77" t="s">
        <v>8516</v>
      </c>
      <c r="K5106" s="77" t="s">
        <v>8520</v>
      </c>
      <c r="L5106" s="76"/>
      <c r="M5106" s="76" t="s">
        <v>36</v>
      </c>
      <c r="N5106" s="76" t="s">
        <v>39</v>
      </c>
      <c r="O5106" s="76">
        <v>0</v>
      </c>
      <c r="P5106" s="76"/>
      <c r="Q5106" s="76"/>
      <c r="R5106" s="76"/>
      <c r="S5106" s="76"/>
      <c r="BD5106" s="99">
        <f t="shared" si="165"/>
        <v>0</v>
      </c>
      <c r="CC5106" s="99"/>
      <c r="CV5106" s="99"/>
      <c r="CW5106" s="63"/>
    </row>
    <row r="5107" spans="1:101" ht="22.5" x14ac:dyDescent="0.15">
      <c r="A5107" s="76"/>
      <c r="B5107" s="74"/>
      <c r="C5107" s="74"/>
      <c r="D5107" s="82"/>
      <c r="E5107" s="74" t="s">
        <v>9167</v>
      </c>
      <c r="F5107" s="74"/>
      <c r="G5107" s="76"/>
      <c r="H5107" s="77" t="s">
        <v>5</v>
      </c>
      <c r="I5107" s="76" t="s">
        <v>53</v>
      </c>
      <c r="J5107" s="77" t="s">
        <v>8516</v>
      </c>
      <c r="K5107" s="77" t="s">
        <v>8688</v>
      </c>
      <c r="L5107" s="76"/>
      <c r="M5107" s="76" t="s">
        <v>36</v>
      </c>
      <c r="N5107" s="76" t="s">
        <v>39</v>
      </c>
      <c r="O5107" s="76">
        <v>0</v>
      </c>
      <c r="P5107" s="76"/>
      <c r="Q5107" s="76"/>
      <c r="R5107" s="76"/>
      <c r="S5107" s="76"/>
      <c r="BD5107" s="99">
        <f t="shared" si="165"/>
        <v>0</v>
      </c>
      <c r="CC5107" s="99"/>
      <c r="CV5107" s="99"/>
      <c r="CW5107" s="63"/>
    </row>
    <row r="5108" spans="1:101" x14ac:dyDescent="0.15">
      <c r="A5108" s="76"/>
      <c r="B5108" s="74"/>
      <c r="C5108" s="74"/>
      <c r="D5108" s="82"/>
      <c r="E5108" s="74" t="s">
        <v>9168</v>
      </c>
      <c r="F5108" s="74"/>
      <c r="G5108" s="76"/>
      <c r="H5108" s="77" t="s">
        <v>5</v>
      </c>
      <c r="I5108" s="76" t="s">
        <v>53</v>
      </c>
      <c r="J5108" s="77" t="s">
        <v>8516</v>
      </c>
      <c r="K5108" s="77" t="s">
        <v>8520</v>
      </c>
      <c r="L5108" s="76"/>
      <c r="M5108" s="76" t="s">
        <v>36</v>
      </c>
      <c r="N5108" s="76" t="s">
        <v>39</v>
      </c>
      <c r="O5108" s="76">
        <v>0</v>
      </c>
      <c r="P5108" s="76"/>
      <c r="Q5108" s="76"/>
      <c r="R5108" s="76"/>
      <c r="S5108" s="76"/>
      <c r="BD5108" s="99">
        <f t="shared" si="165"/>
        <v>0</v>
      </c>
      <c r="CC5108" s="99"/>
      <c r="CV5108" s="99"/>
      <c r="CW5108" s="63"/>
    </row>
    <row r="5109" spans="1:101" x14ac:dyDescent="0.15">
      <c r="A5109" s="76"/>
      <c r="B5109" s="74"/>
      <c r="C5109" s="74"/>
      <c r="D5109" s="82"/>
      <c r="E5109" s="74" t="s">
        <v>9169</v>
      </c>
      <c r="F5109" s="74"/>
      <c r="G5109" s="76"/>
      <c r="H5109" s="77" t="s">
        <v>5</v>
      </c>
      <c r="I5109" s="76" t="s">
        <v>53</v>
      </c>
      <c r="J5109" s="77" t="s">
        <v>8516</v>
      </c>
      <c r="K5109" s="77" t="s">
        <v>8520</v>
      </c>
      <c r="L5109" s="76"/>
      <c r="M5109" s="76" t="s">
        <v>36</v>
      </c>
      <c r="N5109" s="76" t="s">
        <v>39</v>
      </c>
      <c r="O5109" s="76">
        <v>0</v>
      </c>
      <c r="P5109" s="76"/>
      <c r="Q5109" s="76"/>
      <c r="R5109" s="76"/>
      <c r="S5109" s="76"/>
      <c r="BD5109" s="99">
        <f t="shared" si="165"/>
        <v>0</v>
      </c>
      <c r="CC5109" s="99"/>
      <c r="CV5109" s="99"/>
      <c r="CW5109" s="63"/>
    </row>
    <row r="5110" spans="1:101" x14ac:dyDescent="0.15">
      <c r="A5110" s="76">
        <v>4754</v>
      </c>
      <c r="B5110" s="74" t="s">
        <v>2059</v>
      </c>
      <c r="C5110" s="74">
        <v>1002993903</v>
      </c>
      <c r="D5110" s="78" t="str">
        <f t="shared" ref="D5110:D5118" si="166">HYPERLINK(CONCATENATE("https://portal.dnb.de/opac.htm?method=simpleSearch&amp;cqlMode=true&amp;query=idn%3D",C5110))</f>
        <v>https://portal.dnb.de/opac.htm?method=simpleSearch&amp;cqlMode=true&amp;query=idn%3D1002993903</v>
      </c>
      <c r="E5110" s="74" t="s">
        <v>2058</v>
      </c>
      <c r="F5110" s="74"/>
      <c r="G5110" s="76"/>
      <c r="H5110" s="77"/>
      <c r="I5110" s="76"/>
      <c r="J5110" s="77"/>
      <c r="K5110" s="77"/>
      <c r="L5110" s="76"/>
      <c r="M5110" s="76"/>
      <c r="N5110" s="76"/>
      <c r="O5110" s="76"/>
      <c r="P5110" s="76"/>
      <c r="Q5110" s="76"/>
      <c r="R5110" s="76"/>
      <c r="S5110" s="76"/>
      <c r="BD5110" s="99">
        <f t="shared" si="165"/>
        <v>0</v>
      </c>
      <c r="CC5110" s="99"/>
      <c r="CV5110" s="99"/>
      <c r="CW5110" s="63"/>
    </row>
    <row r="5111" spans="1:101" x14ac:dyDescent="0.15">
      <c r="A5111" s="76">
        <v>4755</v>
      </c>
      <c r="B5111" s="74" t="s">
        <v>2060</v>
      </c>
      <c r="C5111" s="74">
        <v>1002993873</v>
      </c>
      <c r="D5111" s="78" t="str">
        <f t="shared" si="166"/>
        <v>https://portal.dnb.de/opac.htm?method=simpleSearch&amp;cqlMode=true&amp;query=idn%3D1002993873</v>
      </c>
      <c r="E5111" s="74" t="s">
        <v>2058</v>
      </c>
      <c r="F5111" s="74"/>
      <c r="G5111" s="76"/>
      <c r="H5111" s="77"/>
      <c r="I5111" s="76"/>
      <c r="J5111" s="77"/>
      <c r="K5111" s="77"/>
      <c r="L5111" s="76"/>
      <c r="M5111" s="76"/>
      <c r="N5111" s="76"/>
      <c r="O5111" s="76"/>
      <c r="P5111" s="76"/>
      <c r="Q5111" s="76"/>
      <c r="R5111" s="76"/>
      <c r="S5111" s="76"/>
      <c r="BD5111" s="99">
        <f t="shared" si="165"/>
        <v>0</v>
      </c>
      <c r="CC5111" s="99"/>
      <c r="CV5111" s="99"/>
      <c r="CW5111" s="63"/>
    </row>
    <row r="5112" spans="1:101" x14ac:dyDescent="0.15">
      <c r="A5112" s="76">
        <v>4756</v>
      </c>
      <c r="B5112" s="74" t="s">
        <v>2061</v>
      </c>
      <c r="C5112" s="74">
        <v>1132654858</v>
      </c>
      <c r="D5112" s="78" t="str">
        <f t="shared" si="166"/>
        <v>https://portal.dnb.de/opac.htm?method=simpleSearch&amp;cqlMode=true&amp;query=idn%3D1132654858</v>
      </c>
      <c r="E5112" s="74" t="s">
        <v>2062</v>
      </c>
      <c r="F5112" s="74"/>
      <c r="G5112" s="76" t="s">
        <v>8515</v>
      </c>
      <c r="H5112" s="77" t="s">
        <v>5</v>
      </c>
      <c r="I5112" s="76" t="s">
        <v>53</v>
      </c>
      <c r="J5112" s="77" t="s">
        <v>58</v>
      </c>
      <c r="K5112" s="77" t="s">
        <v>84</v>
      </c>
      <c r="L5112" s="76"/>
      <c r="M5112" s="76" t="s">
        <v>38</v>
      </c>
      <c r="N5112" s="76" t="s">
        <v>40</v>
      </c>
      <c r="O5112" s="76">
        <v>0</v>
      </c>
      <c r="P5112" s="76"/>
      <c r="Q5112" s="76" t="s">
        <v>8542</v>
      </c>
      <c r="R5112" s="76" t="s">
        <v>9170</v>
      </c>
      <c r="S5112" s="76"/>
      <c r="BD5112" s="99">
        <f t="shared" si="165"/>
        <v>0</v>
      </c>
      <c r="CC5112" s="99"/>
      <c r="CV5112" s="99"/>
      <c r="CW5112" s="63"/>
    </row>
    <row r="5113" spans="1:101" x14ac:dyDescent="0.15">
      <c r="A5113" s="76">
        <v>4757</v>
      </c>
      <c r="B5113" s="74" t="s">
        <v>2063</v>
      </c>
      <c r="C5113" s="74">
        <v>1132654866</v>
      </c>
      <c r="D5113" s="78" t="str">
        <f t="shared" si="166"/>
        <v>https://portal.dnb.de/opac.htm?method=simpleSearch&amp;cqlMode=true&amp;query=idn%3D1132654866</v>
      </c>
      <c r="E5113" s="74" t="s">
        <v>2062</v>
      </c>
      <c r="F5113" s="74"/>
      <c r="G5113" s="76"/>
      <c r="H5113" s="77"/>
      <c r="I5113" s="76"/>
      <c r="J5113" s="77"/>
      <c r="K5113" s="77"/>
      <c r="L5113" s="76"/>
      <c r="M5113" s="76"/>
      <c r="N5113" s="76"/>
      <c r="O5113" s="76"/>
      <c r="P5113" s="76"/>
      <c r="Q5113" s="76"/>
      <c r="R5113" s="76"/>
      <c r="S5113" s="76"/>
      <c r="BD5113" s="99">
        <f t="shared" si="165"/>
        <v>0</v>
      </c>
      <c r="CC5113" s="99"/>
      <c r="CV5113" s="99"/>
      <c r="CW5113" s="63"/>
    </row>
    <row r="5114" spans="1:101" x14ac:dyDescent="0.15">
      <c r="A5114" s="76">
        <v>4758</v>
      </c>
      <c r="B5114" s="74" t="s">
        <v>2077</v>
      </c>
      <c r="C5114" s="74">
        <v>993876951</v>
      </c>
      <c r="D5114" s="78" t="str">
        <f t="shared" si="166"/>
        <v>https://portal.dnb.de/opac.htm?method=simpleSearch&amp;cqlMode=true&amp;query=idn%3D993876951</v>
      </c>
      <c r="E5114" s="74" t="s">
        <v>2078</v>
      </c>
      <c r="F5114" s="74"/>
      <c r="G5114" s="76"/>
      <c r="H5114" s="77" t="s">
        <v>5</v>
      </c>
      <c r="I5114" s="76" t="s">
        <v>53</v>
      </c>
      <c r="J5114" s="77" t="s">
        <v>58</v>
      </c>
      <c r="K5114" s="77" t="s">
        <v>72</v>
      </c>
      <c r="L5114" s="76"/>
      <c r="M5114" s="76" t="s">
        <v>38</v>
      </c>
      <c r="N5114" s="76" t="s">
        <v>40</v>
      </c>
      <c r="O5114" s="76">
        <v>0</v>
      </c>
      <c r="P5114" s="76"/>
      <c r="Q5114" s="76"/>
      <c r="R5114" s="76"/>
      <c r="S5114" s="76"/>
      <c r="BD5114" s="99">
        <f t="shared" si="165"/>
        <v>0</v>
      </c>
      <c r="CC5114" s="99"/>
      <c r="CV5114" s="99"/>
      <c r="CW5114" s="63"/>
    </row>
    <row r="5115" spans="1:101" ht="22.5" x14ac:dyDescent="0.15">
      <c r="A5115" s="76">
        <v>4759</v>
      </c>
      <c r="B5115" s="74" t="s">
        <v>2143</v>
      </c>
      <c r="C5115" s="74">
        <v>1036943720</v>
      </c>
      <c r="D5115" s="78" t="str">
        <f t="shared" si="166"/>
        <v>https://portal.dnb.de/opac.htm?method=simpleSearch&amp;cqlMode=true&amp;query=idn%3D1036943720</v>
      </c>
      <c r="E5115" s="74" t="s">
        <v>2144</v>
      </c>
      <c r="F5115" s="74"/>
      <c r="G5115" s="76"/>
      <c r="H5115" s="77" t="s">
        <v>18</v>
      </c>
      <c r="I5115" s="76" t="s">
        <v>53</v>
      </c>
      <c r="J5115" s="77" t="s">
        <v>8516</v>
      </c>
      <c r="K5115" s="77" t="s">
        <v>87</v>
      </c>
      <c r="L5115" s="76"/>
      <c r="M5115" s="76" t="s">
        <v>36</v>
      </c>
      <c r="N5115" s="76" t="s">
        <v>40</v>
      </c>
      <c r="O5115" s="76">
        <v>0</v>
      </c>
      <c r="P5115" s="76"/>
      <c r="Q5115" s="76"/>
      <c r="R5115" s="76"/>
      <c r="S5115" s="76"/>
      <c r="Y5115" s="95" t="s">
        <v>9729</v>
      </c>
      <c r="AC5115" s="95" t="s">
        <v>9730</v>
      </c>
      <c r="AI5115" s="95" t="s">
        <v>9725</v>
      </c>
      <c r="AP5115" s="95" t="s">
        <v>8541</v>
      </c>
      <c r="AW5115" s="95">
        <v>110</v>
      </c>
      <c r="BC5115" s="96" t="s">
        <v>9726</v>
      </c>
      <c r="BD5115" s="99">
        <f t="shared" si="165"/>
        <v>2</v>
      </c>
      <c r="BJ5115" s="95" t="s">
        <v>9741</v>
      </c>
      <c r="BK5115" s="95" t="s">
        <v>8541</v>
      </c>
      <c r="CC5115" s="99"/>
      <c r="CJ5115" s="95" t="s">
        <v>8541</v>
      </c>
      <c r="CM5115" s="95" t="s">
        <v>8541</v>
      </c>
      <c r="CV5115" s="99">
        <v>2</v>
      </c>
      <c r="CW5115" s="90" t="s">
        <v>9837</v>
      </c>
    </row>
    <row r="5116" spans="1:101" x14ac:dyDescent="0.15">
      <c r="A5116" s="76">
        <v>4760</v>
      </c>
      <c r="B5116" s="74" t="s">
        <v>2263</v>
      </c>
      <c r="C5116" s="74" t="s">
        <v>2264</v>
      </c>
      <c r="D5116" s="78" t="str">
        <f t="shared" si="166"/>
        <v>https://portal.dnb.de/opac.htm?method=simpleSearch&amp;cqlMode=true&amp;query=idn%3D100373880X</v>
      </c>
      <c r="E5116" s="74" t="s">
        <v>8700</v>
      </c>
      <c r="F5116" s="74"/>
      <c r="G5116" s="76"/>
      <c r="H5116" s="77" t="s">
        <v>4</v>
      </c>
      <c r="I5116" s="76" t="s">
        <v>53</v>
      </c>
      <c r="J5116" s="77" t="s">
        <v>8516</v>
      </c>
      <c r="K5116" s="77"/>
      <c r="L5116" s="76"/>
      <c r="M5116" s="76"/>
      <c r="N5116" s="76" t="s">
        <v>8660</v>
      </c>
      <c r="O5116" s="76">
        <v>0</v>
      </c>
      <c r="P5116" s="76"/>
      <c r="Q5116" s="76"/>
      <c r="R5116" s="76"/>
      <c r="S5116" s="76"/>
      <c r="BD5116" s="99">
        <f t="shared" si="165"/>
        <v>0</v>
      </c>
      <c r="CC5116" s="99"/>
      <c r="CV5116" s="99"/>
      <c r="CW5116" s="63"/>
    </row>
    <row r="5117" spans="1:101" x14ac:dyDescent="0.15">
      <c r="A5117" s="76">
        <v>4761</v>
      </c>
      <c r="B5117" s="74" t="s">
        <v>2265</v>
      </c>
      <c r="C5117" s="74">
        <v>1003738702</v>
      </c>
      <c r="D5117" s="78" t="str">
        <f t="shared" si="166"/>
        <v>https://portal.dnb.de/opac.htm?method=simpleSearch&amp;cqlMode=true&amp;query=idn%3D1003738702</v>
      </c>
      <c r="E5117" s="74" t="s">
        <v>8701</v>
      </c>
      <c r="F5117" s="74"/>
      <c r="G5117" s="76"/>
      <c r="H5117" s="77" t="s">
        <v>4</v>
      </c>
      <c r="I5117" s="76" t="s">
        <v>53</v>
      </c>
      <c r="J5117" s="77" t="s">
        <v>8516</v>
      </c>
      <c r="K5117" s="77"/>
      <c r="L5117" s="76"/>
      <c r="M5117" s="76"/>
      <c r="N5117" s="76" t="s">
        <v>8660</v>
      </c>
      <c r="O5117" s="76">
        <v>0</v>
      </c>
      <c r="P5117" s="76"/>
      <c r="Q5117" s="76"/>
      <c r="R5117" s="76"/>
      <c r="S5117" s="76"/>
      <c r="BD5117" s="99">
        <f t="shared" si="165"/>
        <v>0</v>
      </c>
      <c r="CC5117" s="99"/>
      <c r="CV5117" s="99"/>
      <c r="CW5117" s="63"/>
    </row>
    <row r="5118" spans="1:101" x14ac:dyDescent="0.15">
      <c r="A5118" s="76">
        <v>4762</v>
      </c>
      <c r="B5118" s="74" t="s">
        <v>2266</v>
      </c>
      <c r="C5118" s="74">
        <v>999641255</v>
      </c>
      <c r="D5118" s="78" t="str">
        <f t="shared" si="166"/>
        <v>https://portal.dnb.de/opac.htm?method=simpleSearch&amp;cqlMode=true&amp;query=idn%3D999641255</v>
      </c>
      <c r="E5118" s="74" t="s">
        <v>2267</v>
      </c>
      <c r="F5118" s="74"/>
      <c r="G5118" s="76"/>
      <c r="H5118" s="77" t="s">
        <v>4</v>
      </c>
      <c r="I5118" s="76" t="s">
        <v>53</v>
      </c>
      <c r="J5118" s="77" t="s">
        <v>8516</v>
      </c>
      <c r="K5118" s="77" t="s">
        <v>72</v>
      </c>
      <c r="L5118" s="76"/>
      <c r="M5118" s="76"/>
      <c r="N5118" s="76" t="s">
        <v>8660</v>
      </c>
      <c r="O5118" s="76">
        <v>0</v>
      </c>
      <c r="P5118" s="76"/>
      <c r="Q5118" s="76"/>
      <c r="R5118" s="76"/>
      <c r="S5118" s="76"/>
      <c r="BD5118" s="99">
        <f t="shared" si="165"/>
        <v>0</v>
      </c>
      <c r="CC5118" s="99"/>
      <c r="CV5118" s="99"/>
      <c r="CW5118" s="63"/>
    </row>
    <row r="5119" spans="1:101" x14ac:dyDescent="0.15">
      <c r="A5119" s="76">
        <v>4763</v>
      </c>
      <c r="B5119" s="74" t="s">
        <v>90</v>
      </c>
      <c r="C5119" s="74">
        <v>16179404</v>
      </c>
      <c r="D5119" s="78" t="str">
        <f t="shared" ref="D5119:D5182" si="167">HYPERLINK(CONCATENATE("https://portal.dnb.de/opac.htm?method=simpleSearch&amp;cqlMode=true&amp;query=idn%3D",C5119))</f>
        <v>https://portal.dnb.de/opac.htm?method=simpleSearch&amp;cqlMode=true&amp;query=idn%3D16179404</v>
      </c>
      <c r="E5119" s="74" t="s">
        <v>91</v>
      </c>
      <c r="F5119" s="74"/>
      <c r="G5119" s="76"/>
      <c r="H5119" s="77"/>
      <c r="I5119" s="76"/>
      <c r="J5119" s="77"/>
      <c r="K5119" s="77"/>
      <c r="L5119" s="76"/>
      <c r="M5119" s="76"/>
      <c r="N5119" s="76"/>
      <c r="O5119" s="76"/>
      <c r="P5119" s="76"/>
      <c r="Q5119" s="76"/>
      <c r="R5119" s="76"/>
      <c r="S5119" s="76"/>
      <c r="BD5119" s="99">
        <f t="shared" si="165"/>
        <v>0</v>
      </c>
      <c r="CC5119" s="99"/>
      <c r="CV5119" s="99"/>
      <c r="CW5119" s="63"/>
    </row>
    <row r="5120" spans="1:101" x14ac:dyDescent="0.15">
      <c r="A5120" s="76">
        <v>4764</v>
      </c>
      <c r="B5120" s="74" t="s">
        <v>92</v>
      </c>
      <c r="C5120" s="74">
        <v>455169187</v>
      </c>
      <c r="D5120" s="78" t="str">
        <f t="shared" si="167"/>
        <v>https://portal.dnb.de/opac.htm?method=simpleSearch&amp;cqlMode=true&amp;query=idn%3D455169187</v>
      </c>
      <c r="E5120" s="74" t="s">
        <v>93</v>
      </c>
      <c r="F5120" s="74"/>
      <c r="G5120" s="76"/>
      <c r="H5120" s="77"/>
      <c r="I5120" s="76"/>
      <c r="J5120" s="77"/>
      <c r="K5120" s="77"/>
      <c r="L5120" s="76"/>
      <c r="M5120" s="76"/>
      <c r="N5120" s="76"/>
      <c r="O5120" s="76"/>
      <c r="P5120" s="76"/>
      <c r="Q5120" s="76"/>
      <c r="R5120" s="76"/>
      <c r="S5120" s="76"/>
      <c r="BD5120" s="99">
        <f t="shared" si="165"/>
        <v>0</v>
      </c>
      <c r="CC5120" s="99"/>
      <c r="CV5120" s="99"/>
      <c r="CW5120" s="63"/>
    </row>
    <row r="5121" spans="1:101" x14ac:dyDescent="0.15">
      <c r="A5121" s="76">
        <v>4765</v>
      </c>
      <c r="B5121" s="74" t="s">
        <v>94</v>
      </c>
      <c r="C5121" s="74">
        <v>455169195</v>
      </c>
      <c r="D5121" s="78" t="str">
        <f t="shared" si="167"/>
        <v>https://portal.dnb.de/opac.htm?method=simpleSearch&amp;cqlMode=true&amp;query=idn%3D455169195</v>
      </c>
      <c r="E5121" s="74" t="s">
        <v>93</v>
      </c>
      <c r="F5121" s="74"/>
      <c r="G5121" s="76"/>
      <c r="H5121" s="77"/>
      <c r="I5121" s="76"/>
      <c r="J5121" s="77"/>
      <c r="K5121" s="77"/>
      <c r="L5121" s="76"/>
      <c r="M5121" s="76"/>
      <c r="N5121" s="76"/>
      <c r="O5121" s="76"/>
      <c r="P5121" s="76"/>
      <c r="Q5121" s="76"/>
      <c r="R5121" s="76"/>
      <c r="S5121" s="76"/>
      <c r="BD5121" s="99">
        <f t="shared" si="165"/>
        <v>0</v>
      </c>
      <c r="CC5121" s="99"/>
      <c r="CV5121" s="99"/>
      <c r="CW5121" s="63"/>
    </row>
    <row r="5122" spans="1:101" x14ac:dyDescent="0.15">
      <c r="A5122" s="76">
        <v>4766</v>
      </c>
      <c r="B5122" s="74" t="s">
        <v>3640</v>
      </c>
      <c r="C5122" s="74">
        <v>978991567</v>
      </c>
      <c r="D5122" s="82" t="str">
        <f>HYPERLINK(CONCATENATE("https://portal.dnb.de/opac.htm?method=simpleSearch&amp;cqlMode=true&amp;query=idn%3D",C5122))</f>
        <v>https://portal.dnb.de/opac.htm?method=simpleSearch&amp;cqlMode=true&amp;query=idn%3D978991567</v>
      </c>
      <c r="E5122" s="74" t="s">
        <v>3641</v>
      </c>
      <c r="F5122" s="74"/>
      <c r="G5122" s="76"/>
      <c r="H5122" s="77" t="s">
        <v>6</v>
      </c>
      <c r="I5122" s="76" t="s">
        <v>53</v>
      </c>
      <c r="J5122" s="77" t="s">
        <v>58</v>
      </c>
      <c r="K5122" s="77" t="s">
        <v>84</v>
      </c>
      <c r="L5122" s="76"/>
      <c r="M5122" s="76" t="s">
        <v>38</v>
      </c>
      <c r="N5122" s="76" t="s">
        <v>40</v>
      </c>
      <c r="O5122" s="76">
        <v>1</v>
      </c>
      <c r="P5122" s="76"/>
      <c r="Q5122" s="76"/>
      <c r="R5122" s="76"/>
      <c r="S5122" s="76"/>
      <c r="BD5122" s="99">
        <f t="shared" si="165"/>
        <v>0</v>
      </c>
      <c r="CC5122" s="99"/>
      <c r="CV5122" s="99"/>
      <c r="CW5122" s="63"/>
    </row>
    <row r="5123" spans="1:101" ht="22.5" x14ac:dyDescent="0.15">
      <c r="A5123" s="76">
        <v>4767</v>
      </c>
      <c r="B5123" s="74" t="s">
        <v>3664</v>
      </c>
      <c r="C5123" s="74">
        <v>1001599993</v>
      </c>
      <c r="D5123" s="78" t="str">
        <f t="shared" si="167"/>
        <v>https://portal.dnb.de/opac.htm?method=simpleSearch&amp;cqlMode=true&amp;query=idn%3D1001599993</v>
      </c>
      <c r="E5123" s="74" t="s">
        <v>3665</v>
      </c>
      <c r="F5123" s="74"/>
      <c r="G5123" s="76"/>
      <c r="H5123" s="77" t="s">
        <v>18</v>
      </c>
      <c r="I5123" s="76" t="s">
        <v>53</v>
      </c>
      <c r="J5123" s="77" t="s">
        <v>58</v>
      </c>
      <c r="K5123" s="77" t="s">
        <v>84</v>
      </c>
      <c r="L5123" s="76"/>
      <c r="M5123" s="76" t="s">
        <v>36</v>
      </c>
      <c r="N5123" s="76" t="s">
        <v>39</v>
      </c>
      <c r="O5123" s="76">
        <v>0</v>
      </c>
      <c r="P5123" s="76"/>
      <c r="Q5123" s="76"/>
      <c r="R5123" s="76"/>
      <c r="S5123" s="76"/>
      <c r="BD5123" s="99">
        <f t="shared" ref="BD5123:BD5186" si="168">CC5123+CV5123</f>
        <v>0</v>
      </c>
      <c r="CC5123" s="99"/>
      <c r="CV5123" s="99"/>
      <c r="CW5123" s="63"/>
    </row>
    <row r="5124" spans="1:101" x14ac:dyDescent="0.15">
      <c r="A5124" s="76">
        <v>4768</v>
      </c>
      <c r="B5124" s="74" t="s">
        <v>3666</v>
      </c>
      <c r="C5124" s="74">
        <v>1002255902</v>
      </c>
      <c r="D5124" s="78" t="str">
        <f t="shared" si="167"/>
        <v>https://portal.dnb.de/opac.htm?method=simpleSearch&amp;cqlMode=true&amp;query=idn%3D1002255902</v>
      </c>
      <c r="E5124" s="74" t="s">
        <v>3667</v>
      </c>
      <c r="F5124" s="74"/>
      <c r="G5124" s="76"/>
      <c r="H5124" s="77"/>
      <c r="I5124" s="76"/>
      <c r="J5124" s="77"/>
      <c r="K5124" s="77"/>
      <c r="L5124" s="76"/>
      <c r="M5124" s="76"/>
      <c r="N5124" s="76"/>
      <c r="O5124" s="76"/>
      <c r="P5124" s="76"/>
      <c r="Q5124" s="76"/>
      <c r="R5124" s="76"/>
      <c r="S5124" s="76"/>
      <c r="BD5124" s="99">
        <f t="shared" si="168"/>
        <v>0</v>
      </c>
      <c r="CC5124" s="99"/>
      <c r="CV5124" s="99"/>
      <c r="CW5124" s="63"/>
    </row>
    <row r="5125" spans="1:101" ht="11.25" customHeight="1" x14ac:dyDescent="0.15">
      <c r="A5125" s="76">
        <v>4769</v>
      </c>
      <c r="B5125" s="74" t="s">
        <v>3668</v>
      </c>
      <c r="C5125" s="74">
        <v>1002254809</v>
      </c>
      <c r="D5125" s="78" t="str">
        <f t="shared" si="167"/>
        <v>https://portal.dnb.de/opac.htm?method=simpleSearch&amp;cqlMode=true&amp;query=idn%3D1002254809</v>
      </c>
      <c r="E5125" s="74" t="s">
        <v>3669</v>
      </c>
      <c r="F5125" s="74"/>
      <c r="G5125" s="76"/>
      <c r="H5125" s="77"/>
      <c r="I5125" s="76"/>
      <c r="J5125" s="77"/>
      <c r="K5125" s="77"/>
      <c r="L5125" s="76"/>
      <c r="M5125" s="76"/>
      <c r="N5125" s="76"/>
      <c r="O5125" s="76"/>
      <c r="P5125" s="76"/>
      <c r="Q5125" s="76"/>
      <c r="R5125" s="76"/>
      <c r="S5125" s="76"/>
      <c r="BD5125" s="99">
        <f t="shared" si="168"/>
        <v>0</v>
      </c>
      <c r="CC5125" s="99"/>
      <c r="CV5125" s="99"/>
      <c r="CW5125" s="63"/>
    </row>
    <row r="5126" spans="1:101" ht="12" customHeight="1" x14ac:dyDescent="0.15">
      <c r="A5126" s="76">
        <v>4770</v>
      </c>
      <c r="B5126" s="74" t="s">
        <v>3670</v>
      </c>
      <c r="C5126" s="74">
        <v>997285435</v>
      </c>
      <c r="D5126" s="82" t="str">
        <f>HYPERLINK(CONCATENATE("https://portal.dnb.de/opac.htm?method=simpleSearch&amp;cqlMode=true&amp;query=idn%3D",C5126))</f>
        <v>https://portal.dnb.de/opac.htm?method=simpleSearch&amp;cqlMode=true&amp;query=idn%3D997285435</v>
      </c>
      <c r="E5126" s="74" t="s">
        <v>3671</v>
      </c>
      <c r="F5126" s="74"/>
      <c r="G5126" s="76"/>
      <c r="H5126" s="77" t="s">
        <v>48</v>
      </c>
      <c r="I5126" s="76" t="s">
        <v>53</v>
      </c>
      <c r="J5126" s="77" t="s">
        <v>58</v>
      </c>
      <c r="K5126" s="77" t="s">
        <v>87</v>
      </c>
      <c r="L5126" s="76"/>
      <c r="M5126" s="76"/>
      <c r="N5126" s="76"/>
      <c r="O5126" s="76">
        <v>0</v>
      </c>
      <c r="P5126" s="76"/>
      <c r="Q5126" s="76"/>
      <c r="R5126" s="76"/>
      <c r="S5126" s="76"/>
      <c r="BD5126" s="99">
        <f t="shared" si="168"/>
        <v>0</v>
      </c>
      <c r="CC5126" s="99"/>
      <c r="CV5126" s="99"/>
      <c r="CW5126" s="63"/>
    </row>
    <row r="5127" spans="1:101" ht="11.25" customHeight="1" x14ac:dyDescent="0.15">
      <c r="A5127" s="76">
        <v>4771</v>
      </c>
      <c r="B5127" s="74" t="s">
        <v>3672</v>
      </c>
      <c r="C5127" s="74">
        <v>999033131</v>
      </c>
      <c r="D5127" s="78" t="str">
        <f t="shared" si="167"/>
        <v>https://portal.dnb.de/opac.htm?method=simpleSearch&amp;cqlMode=true&amp;query=idn%3D999033131</v>
      </c>
      <c r="E5127" s="74" t="s">
        <v>9615</v>
      </c>
      <c r="F5127" s="74"/>
      <c r="G5127" s="76"/>
      <c r="H5127" s="77" t="s">
        <v>17</v>
      </c>
      <c r="I5127" s="76" t="s">
        <v>53</v>
      </c>
      <c r="J5127" s="77" t="s">
        <v>58</v>
      </c>
      <c r="K5127" s="77" t="s">
        <v>8522</v>
      </c>
      <c r="L5127" s="76"/>
      <c r="M5127" s="76"/>
      <c r="N5127" s="76"/>
      <c r="O5127" s="76">
        <v>0</v>
      </c>
      <c r="P5127" s="76"/>
      <c r="Q5127" s="76"/>
      <c r="R5127" s="76"/>
      <c r="S5127" s="76"/>
      <c r="BD5127" s="99">
        <f t="shared" si="168"/>
        <v>0</v>
      </c>
      <c r="CC5127" s="99"/>
      <c r="CV5127" s="99"/>
      <c r="CW5127" s="63"/>
    </row>
    <row r="5128" spans="1:101" x14ac:dyDescent="0.15">
      <c r="A5128" s="76">
        <v>4772</v>
      </c>
      <c r="B5128" s="74" t="s">
        <v>3673</v>
      </c>
      <c r="C5128" s="74">
        <v>999032941</v>
      </c>
      <c r="D5128" s="78" t="str">
        <f t="shared" si="167"/>
        <v>https://portal.dnb.de/opac.htm?method=simpleSearch&amp;cqlMode=true&amp;query=idn%3D999032941</v>
      </c>
      <c r="E5128" s="74" t="s">
        <v>9614</v>
      </c>
      <c r="F5128" s="74"/>
      <c r="G5128" s="76"/>
      <c r="H5128" s="77" t="s">
        <v>17</v>
      </c>
      <c r="I5128" s="76" t="s">
        <v>53</v>
      </c>
      <c r="J5128" s="77" t="s">
        <v>58</v>
      </c>
      <c r="K5128" s="77" t="s">
        <v>84</v>
      </c>
      <c r="L5128" s="76"/>
      <c r="M5128" s="76"/>
      <c r="N5128" s="76"/>
      <c r="O5128" s="76">
        <v>0</v>
      </c>
      <c r="P5128" s="76"/>
      <c r="Q5128" s="76"/>
      <c r="R5128" s="76"/>
      <c r="S5128" s="76"/>
      <c r="BD5128" s="99">
        <f t="shared" si="168"/>
        <v>0</v>
      </c>
      <c r="CC5128" s="99"/>
      <c r="CV5128" s="99"/>
      <c r="CW5128" s="63"/>
    </row>
    <row r="5129" spans="1:101" x14ac:dyDescent="0.15">
      <c r="A5129" s="76">
        <v>4773</v>
      </c>
      <c r="B5129" s="74" t="s">
        <v>3674</v>
      </c>
      <c r="C5129" s="74">
        <v>999033220</v>
      </c>
      <c r="D5129" s="82" t="str">
        <f>HYPERLINK(CONCATENATE("https://portal.dnb.de/opac.htm?method=simpleSearch&amp;cqlMode=true&amp;query=idn%3D",C5129))</f>
        <v>https://portal.dnb.de/opac.htm?method=simpleSearch&amp;cqlMode=true&amp;query=idn%3D999033220</v>
      </c>
      <c r="E5129" s="74" t="s">
        <v>9616</v>
      </c>
      <c r="F5129" s="74"/>
      <c r="G5129" s="76"/>
      <c r="H5129" s="77" t="s">
        <v>17</v>
      </c>
      <c r="I5129" s="76" t="s">
        <v>53</v>
      </c>
      <c r="J5129" s="77" t="s">
        <v>58</v>
      </c>
      <c r="K5129" s="77" t="s">
        <v>84</v>
      </c>
      <c r="L5129" s="76"/>
      <c r="M5129" s="76"/>
      <c r="N5129" s="76"/>
      <c r="O5129" s="76">
        <v>0</v>
      </c>
      <c r="P5129" s="76"/>
      <c r="Q5129" s="76"/>
      <c r="R5129" s="76"/>
      <c r="S5129" s="76"/>
      <c r="BD5129" s="99">
        <f t="shared" si="168"/>
        <v>0</v>
      </c>
      <c r="CC5129" s="99"/>
      <c r="CV5129" s="99"/>
      <c r="CW5129" s="63"/>
    </row>
    <row r="5130" spans="1:101" x14ac:dyDescent="0.15">
      <c r="A5130" s="76">
        <v>4774</v>
      </c>
      <c r="B5130" s="74" t="s">
        <v>3675</v>
      </c>
      <c r="C5130" s="74">
        <v>999033034</v>
      </c>
      <c r="D5130" s="82" t="str">
        <f>HYPERLINK(CONCATENATE("https://portal.dnb.de/opac.htm?method=simpleSearch&amp;cqlMode=true&amp;query=idn%3D",C5130))</f>
        <v>https://portal.dnb.de/opac.htm?method=simpleSearch&amp;cqlMode=true&amp;query=idn%3D999033034</v>
      </c>
      <c r="E5130" s="74" t="s">
        <v>9617</v>
      </c>
      <c r="F5130" s="74"/>
      <c r="G5130" s="76"/>
      <c r="H5130" s="77" t="s">
        <v>17</v>
      </c>
      <c r="I5130" s="76" t="s">
        <v>53</v>
      </c>
      <c r="J5130" s="77" t="s">
        <v>8516</v>
      </c>
      <c r="K5130" s="77" t="s">
        <v>84</v>
      </c>
      <c r="L5130" s="76"/>
      <c r="M5130" s="76"/>
      <c r="N5130" s="76"/>
      <c r="O5130" s="76">
        <v>0</v>
      </c>
      <c r="P5130" s="76"/>
      <c r="Q5130" s="76"/>
      <c r="R5130" s="76"/>
      <c r="S5130" s="76"/>
      <c r="BD5130" s="99">
        <f t="shared" si="168"/>
        <v>0</v>
      </c>
      <c r="CC5130" s="99"/>
      <c r="CV5130" s="99"/>
      <c r="CW5130" s="63"/>
    </row>
    <row r="5131" spans="1:101" x14ac:dyDescent="0.15">
      <c r="A5131" s="76">
        <v>4775</v>
      </c>
      <c r="B5131" s="74" t="s">
        <v>3676</v>
      </c>
      <c r="C5131" s="74">
        <v>993972527</v>
      </c>
      <c r="D5131" s="82" t="str">
        <f>HYPERLINK(CONCATENATE("https://portal.dnb.de/opac.htm?method=simpleSearch&amp;cqlMode=true&amp;query=idn%3D",C5131))</f>
        <v>https://portal.dnb.de/opac.htm?method=simpleSearch&amp;cqlMode=true&amp;query=idn%3D993972527</v>
      </c>
      <c r="E5131" s="74" t="s">
        <v>8535</v>
      </c>
      <c r="F5131" s="74"/>
      <c r="G5131" s="76" t="s">
        <v>8515</v>
      </c>
      <c r="H5131" s="77" t="s">
        <v>4</v>
      </c>
      <c r="I5131" s="76" t="s">
        <v>53</v>
      </c>
      <c r="J5131" s="77" t="s">
        <v>8516</v>
      </c>
      <c r="K5131" s="77" t="s">
        <v>84</v>
      </c>
      <c r="L5131" s="76"/>
      <c r="M5131" s="76" t="s">
        <v>36</v>
      </c>
      <c r="N5131" s="76" t="s">
        <v>39</v>
      </c>
      <c r="O5131" s="76">
        <v>0</v>
      </c>
      <c r="P5131" s="76"/>
      <c r="Q5131" s="76"/>
      <c r="R5131" s="76"/>
      <c r="S5131" s="76"/>
      <c r="BD5131" s="99">
        <f t="shared" si="168"/>
        <v>0</v>
      </c>
      <c r="CC5131" s="99"/>
      <c r="CV5131" s="99"/>
      <c r="CW5131" s="63"/>
    </row>
    <row r="5132" spans="1:101" x14ac:dyDescent="0.15">
      <c r="A5132" s="76">
        <v>4776</v>
      </c>
      <c r="B5132" s="74" t="s">
        <v>3677</v>
      </c>
      <c r="C5132" s="74">
        <v>996794263</v>
      </c>
      <c r="D5132" s="82" t="str">
        <f>HYPERLINK(CONCATENATE("https://portal.dnb.de/opac.htm?method=simpleSearch&amp;cqlMode=true&amp;query=idn%3D",C5132))</f>
        <v>https://portal.dnb.de/opac.htm?method=simpleSearch&amp;cqlMode=true&amp;query=idn%3D996794263</v>
      </c>
      <c r="E5132" s="74" t="s">
        <v>3678</v>
      </c>
      <c r="F5132" s="74"/>
      <c r="G5132" s="76" t="s">
        <v>8515</v>
      </c>
      <c r="H5132" s="77" t="s">
        <v>4</v>
      </c>
      <c r="I5132" s="76" t="s">
        <v>53</v>
      </c>
      <c r="J5132" s="77" t="s">
        <v>58</v>
      </c>
      <c r="K5132" s="77" t="s">
        <v>8520</v>
      </c>
      <c r="L5132" s="76"/>
      <c r="M5132" s="76"/>
      <c r="N5132" s="76"/>
      <c r="O5132" s="76">
        <v>1</v>
      </c>
      <c r="P5132" s="76"/>
      <c r="Q5132" s="76"/>
      <c r="R5132" s="76"/>
      <c r="S5132" s="76"/>
      <c r="BD5132" s="99">
        <f t="shared" si="168"/>
        <v>0</v>
      </c>
      <c r="CC5132" s="99"/>
      <c r="CV5132" s="99"/>
      <c r="CW5132" s="63"/>
    </row>
    <row r="5133" spans="1:101" x14ac:dyDescent="0.15">
      <c r="A5133" s="76">
        <v>4777</v>
      </c>
      <c r="B5133" s="74" t="s">
        <v>3951</v>
      </c>
      <c r="C5133" s="74">
        <v>998533769</v>
      </c>
      <c r="D5133" s="78" t="str">
        <f t="shared" si="167"/>
        <v>https://portal.dnb.de/opac.htm?method=simpleSearch&amp;cqlMode=true&amp;query=idn%3D998533769</v>
      </c>
      <c r="E5133" s="74" t="s">
        <v>3952</v>
      </c>
      <c r="F5133" s="74"/>
      <c r="G5133" s="76"/>
      <c r="H5133" s="77"/>
      <c r="I5133" s="76"/>
      <c r="J5133" s="77"/>
      <c r="K5133" s="77"/>
      <c r="L5133" s="76"/>
      <c r="M5133" s="76"/>
      <c r="N5133" s="76"/>
      <c r="O5133" s="76"/>
      <c r="P5133" s="76"/>
      <c r="Q5133" s="76"/>
      <c r="R5133" s="76"/>
      <c r="S5133" s="76"/>
      <c r="BD5133" s="99">
        <f t="shared" si="168"/>
        <v>0</v>
      </c>
      <c r="CC5133" s="99"/>
      <c r="CV5133" s="99"/>
      <c r="CW5133" s="63"/>
    </row>
    <row r="5134" spans="1:101" x14ac:dyDescent="0.15">
      <c r="A5134" s="76">
        <v>4778</v>
      </c>
      <c r="B5134" s="74" t="s">
        <v>3955</v>
      </c>
      <c r="C5134" s="74">
        <v>1002737680</v>
      </c>
      <c r="D5134" s="78" t="str">
        <f t="shared" si="167"/>
        <v>https://portal.dnb.de/opac.htm?method=simpleSearch&amp;cqlMode=true&amp;query=idn%3D1002737680</v>
      </c>
      <c r="E5134" s="74" t="s">
        <v>8536</v>
      </c>
      <c r="F5134" s="74"/>
      <c r="G5134" s="76"/>
      <c r="H5134" s="77"/>
      <c r="I5134" s="76"/>
      <c r="J5134" s="77"/>
      <c r="K5134" s="77"/>
      <c r="L5134" s="76"/>
      <c r="M5134" s="76"/>
      <c r="N5134" s="76"/>
      <c r="O5134" s="76"/>
      <c r="P5134" s="76"/>
      <c r="Q5134" s="76"/>
      <c r="R5134" s="76"/>
      <c r="S5134" s="76"/>
      <c r="BD5134" s="99">
        <f t="shared" si="168"/>
        <v>0</v>
      </c>
      <c r="CC5134" s="99"/>
      <c r="CV5134" s="99"/>
      <c r="CW5134" s="63"/>
    </row>
    <row r="5135" spans="1:101" x14ac:dyDescent="0.15">
      <c r="A5135" s="76">
        <v>4779</v>
      </c>
      <c r="B5135" s="74" t="s">
        <v>3956</v>
      </c>
      <c r="C5135" s="74">
        <v>1002737699</v>
      </c>
      <c r="D5135" s="78" t="str">
        <f t="shared" si="167"/>
        <v>https://portal.dnb.de/opac.htm?method=simpleSearch&amp;cqlMode=true&amp;query=idn%3D1002737699</v>
      </c>
      <c r="E5135" s="74" t="s">
        <v>8536</v>
      </c>
      <c r="F5135" s="74"/>
      <c r="G5135" s="76"/>
      <c r="H5135" s="77"/>
      <c r="I5135" s="76"/>
      <c r="J5135" s="77"/>
      <c r="K5135" s="77"/>
      <c r="L5135" s="76"/>
      <c r="M5135" s="76"/>
      <c r="N5135" s="76"/>
      <c r="O5135" s="76"/>
      <c r="P5135" s="76"/>
      <c r="Q5135" s="76"/>
      <c r="R5135" s="76"/>
      <c r="S5135" s="76"/>
      <c r="BD5135" s="99">
        <f t="shared" si="168"/>
        <v>0</v>
      </c>
      <c r="CC5135" s="99"/>
      <c r="CV5135" s="99"/>
      <c r="CW5135" s="63"/>
    </row>
    <row r="5136" spans="1:101" x14ac:dyDescent="0.15">
      <c r="A5136" s="76">
        <v>4780</v>
      </c>
      <c r="B5136" s="74" t="s">
        <v>3953</v>
      </c>
      <c r="C5136" s="74">
        <v>1001616979</v>
      </c>
      <c r="D5136" s="78" t="str">
        <f t="shared" si="167"/>
        <v>https://portal.dnb.de/opac.htm?method=simpleSearch&amp;cqlMode=true&amp;query=idn%3D1001616979</v>
      </c>
      <c r="E5136" s="74" t="s">
        <v>3954</v>
      </c>
      <c r="F5136" s="74"/>
      <c r="G5136" s="76"/>
      <c r="H5136" s="77"/>
      <c r="I5136" s="76"/>
      <c r="J5136" s="77"/>
      <c r="K5136" s="77"/>
      <c r="L5136" s="76"/>
      <c r="M5136" s="76"/>
      <c r="N5136" s="76"/>
      <c r="O5136" s="76"/>
      <c r="P5136" s="76"/>
      <c r="Q5136" s="76"/>
      <c r="R5136" s="76"/>
      <c r="S5136" s="76"/>
      <c r="BD5136" s="99">
        <f t="shared" si="168"/>
        <v>0</v>
      </c>
      <c r="CC5136" s="99"/>
      <c r="CV5136" s="99"/>
      <c r="CW5136" s="63"/>
    </row>
    <row r="5137" spans="1:101" x14ac:dyDescent="0.15">
      <c r="A5137" s="76">
        <v>4781</v>
      </c>
      <c r="B5137" s="74" t="s">
        <v>3961</v>
      </c>
      <c r="C5137" s="74">
        <v>996592814</v>
      </c>
      <c r="D5137" s="78" t="str">
        <f t="shared" si="167"/>
        <v>https://portal.dnb.de/opac.htm?method=simpleSearch&amp;cqlMode=true&amp;query=idn%3D996592814</v>
      </c>
      <c r="E5137" s="74" t="s">
        <v>3962</v>
      </c>
      <c r="F5137" s="74"/>
      <c r="G5137" s="76"/>
      <c r="H5137" s="77"/>
      <c r="I5137" s="76"/>
      <c r="J5137" s="77"/>
      <c r="K5137" s="77"/>
      <c r="L5137" s="76"/>
      <c r="M5137" s="76"/>
      <c r="N5137" s="76"/>
      <c r="O5137" s="76"/>
      <c r="P5137" s="76"/>
      <c r="Q5137" s="76"/>
      <c r="R5137" s="76"/>
      <c r="S5137" s="76"/>
      <c r="BD5137" s="99">
        <f t="shared" si="168"/>
        <v>0</v>
      </c>
      <c r="CC5137" s="99"/>
      <c r="CV5137" s="99"/>
      <c r="CW5137" s="63"/>
    </row>
    <row r="5138" spans="1:101" x14ac:dyDescent="0.15">
      <c r="A5138" s="76">
        <v>4782</v>
      </c>
      <c r="B5138" s="74" t="s">
        <v>3963</v>
      </c>
      <c r="C5138" s="74">
        <v>996592881</v>
      </c>
      <c r="D5138" s="78" t="str">
        <f t="shared" si="167"/>
        <v>https://portal.dnb.de/opac.htm?method=simpleSearch&amp;cqlMode=true&amp;query=idn%3D996592881</v>
      </c>
      <c r="E5138" s="74" t="s">
        <v>3962</v>
      </c>
      <c r="F5138" s="74"/>
      <c r="G5138" s="76"/>
      <c r="H5138" s="77"/>
      <c r="I5138" s="76"/>
      <c r="J5138" s="77"/>
      <c r="K5138" s="77"/>
      <c r="L5138" s="76"/>
      <c r="M5138" s="76"/>
      <c r="N5138" s="76"/>
      <c r="O5138" s="76"/>
      <c r="P5138" s="76"/>
      <c r="Q5138" s="76"/>
      <c r="R5138" s="76"/>
      <c r="S5138" s="76"/>
      <c r="BD5138" s="99">
        <f t="shared" si="168"/>
        <v>0</v>
      </c>
      <c r="CC5138" s="99"/>
      <c r="CV5138" s="99"/>
      <c r="CW5138" s="63"/>
    </row>
    <row r="5139" spans="1:101" x14ac:dyDescent="0.15">
      <c r="A5139" s="76">
        <v>4783</v>
      </c>
      <c r="B5139" s="74" t="s">
        <v>3964</v>
      </c>
      <c r="C5139" s="74">
        <v>995686297</v>
      </c>
      <c r="D5139" s="78" t="str">
        <f t="shared" si="167"/>
        <v>https://portal.dnb.de/opac.htm?method=simpleSearch&amp;cqlMode=true&amp;query=idn%3D995686297</v>
      </c>
      <c r="E5139" s="74" t="s">
        <v>3965</v>
      </c>
      <c r="F5139" s="74"/>
      <c r="G5139" s="76"/>
      <c r="H5139" s="77"/>
      <c r="I5139" s="76"/>
      <c r="J5139" s="77"/>
      <c r="K5139" s="77"/>
      <c r="L5139" s="76"/>
      <c r="M5139" s="76"/>
      <c r="N5139" s="76"/>
      <c r="O5139" s="76"/>
      <c r="P5139" s="76"/>
      <c r="Q5139" s="76"/>
      <c r="R5139" s="76"/>
      <c r="S5139" s="76"/>
      <c r="BD5139" s="99">
        <f t="shared" si="168"/>
        <v>0</v>
      </c>
      <c r="CC5139" s="99"/>
      <c r="CV5139" s="99"/>
      <c r="CW5139" s="63"/>
    </row>
    <row r="5140" spans="1:101" x14ac:dyDescent="0.15">
      <c r="A5140" s="76">
        <v>4784</v>
      </c>
      <c r="B5140" s="74" t="s">
        <v>4028</v>
      </c>
      <c r="C5140" s="74">
        <v>1000019306</v>
      </c>
      <c r="D5140" s="78" t="str">
        <f t="shared" si="167"/>
        <v>https://portal.dnb.de/opac.htm?method=simpleSearch&amp;cqlMode=true&amp;query=idn%3D1000019306</v>
      </c>
      <c r="E5140" s="74" t="s">
        <v>4029</v>
      </c>
      <c r="F5140" s="74"/>
      <c r="G5140" s="76"/>
      <c r="H5140" s="77"/>
      <c r="I5140" s="76"/>
      <c r="J5140" s="77"/>
      <c r="K5140" s="77"/>
      <c r="L5140" s="76"/>
      <c r="M5140" s="76"/>
      <c r="N5140" s="76"/>
      <c r="O5140" s="76"/>
      <c r="P5140" s="76"/>
      <c r="Q5140" s="76"/>
      <c r="R5140" s="76"/>
      <c r="S5140" s="76"/>
      <c r="BD5140" s="99">
        <f t="shared" si="168"/>
        <v>0</v>
      </c>
      <c r="CC5140" s="99"/>
      <c r="CV5140" s="99"/>
      <c r="CW5140" s="63"/>
    </row>
    <row r="5141" spans="1:101" x14ac:dyDescent="0.15">
      <c r="A5141" s="76">
        <v>4785</v>
      </c>
      <c r="B5141" s="74" t="s">
        <v>4137</v>
      </c>
      <c r="C5141" s="74">
        <v>999587595</v>
      </c>
      <c r="D5141" s="78" t="str">
        <f t="shared" si="167"/>
        <v>https://portal.dnb.de/opac.htm?method=simpleSearch&amp;cqlMode=true&amp;query=idn%3D999587595</v>
      </c>
      <c r="E5141" s="74" t="s">
        <v>4138</v>
      </c>
      <c r="F5141" s="74"/>
      <c r="G5141" s="76"/>
      <c r="H5141" s="77"/>
      <c r="I5141" s="76"/>
      <c r="J5141" s="77"/>
      <c r="K5141" s="77"/>
      <c r="L5141" s="76"/>
      <c r="M5141" s="76"/>
      <c r="N5141" s="76"/>
      <c r="O5141" s="76"/>
      <c r="P5141" s="76"/>
      <c r="Q5141" s="76"/>
      <c r="R5141" s="76"/>
      <c r="S5141" s="76"/>
      <c r="BD5141" s="99">
        <f t="shared" si="168"/>
        <v>0</v>
      </c>
      <c r="CC5141" s="99"/>
      <c r="CV5141" s="99"/>
      <c r="CW5141" s="63"/>
    </row>
    <row r="5142" spans="1:101" x14ac:dyDescent="0.15">
      <c r="A5142" s="76">
        <v>4786</v>
      </c>
      <c r="B5142" s="74" t="s">
        <v>4139</v>
      </c>
      <c r="C5142" s="74">
        <v>998682020</v>
      </c>
      <c r="D5142" s="78" t="str">
        <f t="shared" si="167"/>
        <v>https://portal.dnb.de/opac.htm?method=simpleSearch&amp;cqlMode=true&amp;query=idn%3D998682020</v>
      </c>
      <c r="E5142" s="74" t="s">
        <v>4140</v>
      </c>
      <c r="F5142" s="74"/>
      <c r="G5142" s="76"/>
      <c r="H5142" s="77"/>
      <c r="I5142" s="76"/>
      <c r="J5142" s="77"/>
      <c r="K5142" s="77"/>
      <c r="L5142" s="76"/>
      <c r="M5142" s="76"/>
      <c r="N5142" s="76"/>
      <c r="O5142" s="76"/>
      <c r="P5142" s="76"/>
      <c r="Q5142" s="76"/>
      <c r="R5142" s="76"/>
      <c r="S5142" s="76"/>
      <c r="BD5142" s="99">
        <f t="shared" si="168"/>
        <v>0</v>
      </c>
      <c r="CC5142" s="99"/>
      <c r="CV5142" s="99"/>
      <c r="CW5142" s="63"/>
    </row>
    <row r="5143" spans="1:101" x14ac:dyDescent="0.15">
      <c r="A5143" s="76">
        <v>4787</v>
      </c>
      <c r="B5143" s="74" t="s">
        <v>4175</v>
      </c>
      <c r="C5143" s="74">
        <v>994193777</v>
      </c>
      <c r="D5143" s="78" t="str">
        <f t="shared" si="167"/>
        <v>https://portal.dnb.de/opac.htm?method=simpleSearch&amp;cqlMode=true&amp;query=idn%3D994193777</v>
      </c>
      <c r="E5143" s="74" t="s">
        <v>4176</v>
      </c>
      <c r="F5143" s="74"/>
      <c r="G5143" s="76"/>
      <c r="H5143" s="77"/>
      <c r="I5143" s="76" t="s">
        <v>53</v>
      </c>
      <c r="J5143" s="77"/>
      <c r="K5143" s="77"/>
      <c r="L5143" s="76"/>
      <c r="M5143" s="76"/>
      <c r="N5143" s="76"/>
      <c r="O5143" s="76"/>
      <c r="P5143" s="76"/>
      <c r="Q5143" s="76"/>
      <c r="R5143" s="76"/>
      <c r="S5143" s="76"/>
      <c r="Y5143" s="95" t="s">
        <v>9723</v>
      </c>
      <c r="AC5143" s="95" t="s">
        <v>9730</v>
      </c>
      <c r="AI5143" s="95" t="s">
        <v>9725</v>
      </c>
      <c r="AU5143" s="95">
        <v>2</v>
      </c>
      <c r="AV5143" s="95" t="s">
        <v>8541</v>
      </c>
      <c r="AW5143" s="95">
        <v>45</v>
      </c>
      <c r="BC5143" s="96" t="s">
        <v>9734</v>
      </c>
      <c r="BD5143" s="99">
        <f t="shared" si="168"/>
        <v>0</v>
      </c>
      <c r="BF5143" s="95" t="s">
        <v>10005</v>
      </c>
      <c r="BL5143" s="70" t="s">
        <v>10015</v>
      </c>
      <c r="CC5143" s="99"/>
      <c r="CV5143" s="99"/>
      <c r="CW5143" s="63"/>
    </row>
    <row r="5144" spans="1:101" x14ac:dyDescent="0.15">
      <c r="A5144" s="76">
        <v>4788</v>
      </c>
      <c r="B5144" s="74" t="s">
        <v>4177</v>
      </c>
      <c r="C5144" s="74">
        <v>994193904</v>
      </c>
      <c r="D5144" s="78" t="str">
        <f t="shared" si="167"/>
        <v>https://portal.dnb.de/opac.htm?method=simpleSearch&amp;cqlMode=true&amp;query=idn%3D994193904</v>
      </c>
      <c r="E5144" s="74" t="s">
        <v>4178</v>
      </c>
      <c r="F5144" s="74"/>
      <c r="G5144" s="76"/>
      <c r="H5144" s="77"/>
      <c r="I5144" s="76" t="s">
        <v>53</v>
      </c>
      <c r="J5144" s="77"/>
      <c r="K5144" s="77"/>
      <c r="L5144" s="76"/>
      <c r="M5144" s="76"/>
      <c r="N5144" s="76"/>
      <c r="O5144" s="76"/>
      <c r="P5144" s="76"/>
      <c r="Q5144" s="76"/>
      <c r="R5144" s="76"/>
      <c r="S5144" s="76"/>
      <c r="Y5144" s="95" t="s">
        <v>9723</v>
      </c>
      <c r="AC5144" s="95" t="s">
        <v>9730</v>
      </c>
      <c r="AI5144" s="95" t="s">
        <v>9725</v>
      </c>
      <c r="AW5144" s="95">
        <v>60</v>
      </c>
      <c r="BC5144" s="96" t="s">
        <v>9726</v>
      </c>
      <c r="BD5144" s="99">
        <f t="shared" si="168"/>
        <v>2</v>
      </c>
      <c r="BF5144" s="95" t="s">
        <v>10005</v>
      </c>
      <c r="BP5144" s="69" t="s">
        <v>8541</v>
      </c>
      <c r="BQ5144" s="95" t="s">
        <v>8541</v>
      </c>
      <c r="BR5144" s="95" t="s">
        <v>8541</v>
      </c>
      <c r="CC5144" s="99">
        <v>2</v>
      </c>
      <c r="CV5144" s="99"/>
      <c r="CW5144" s="63"/>
    </row>
    <row r="5145" spans="1:101" x14ac:dyDescent="0.15">
      <c r="A5145" s="76">
        <v>4789</v>
      </c>
      <c r="B5145" s="74" t="s">
        <v>4179</v>
      </c>
      <c r="C5145" s="74">
        <v>994216351</v>
      </c>
      <c r="D5145" s="78" t="str">
        <f t="shared" si="167"/>
        <v>https://portal.dnb.de/opac.htm?method=simpleSearch&amp;cqlMode=true&amp;query=idn%3D994216351</v>
      </c>
      <c r="E5145" s="74" t="s">
        <v>4180</v>
      </c>
      <c r="F5145" s="74"/>
      <c r="G5145" s="76"/>
      <c r="H5145" s="77"/>
      <c r="I5145" s="76"/>
      <c r="J5145" s="77"/>
      <c r="K5145" s="77"/>
      <c r="L5145" s="76"/>
      <c r="M5145" s="76"/>
      <c r="N5145" s="76"/>
      <c r="O5145" s="76"/>
      <c r="P5145" s="76"/>
      <c r="Q5145" s="76"/>
      <c r="R5145" s="76"/>
      <c r="S5145" s="76"/>
      <c r="BD5145" s="99">
        <f t="shared" si="168"/>
        <v>0</v>
      </c>
      <c r="CC5145" s="99"/>
      <c r="CV5145" s="99"/>
      <c r="CW5145" s="63"/>
    </row>
    <row r="5146" spans="1:101" x14ac:dyDescent="0.15">
      <c r="A5146" s="76">
        <v>4790</v>
      </c>
      <c r="B5146" s="74" t="s">
        <v>4181</v>
      </c>
      <c r="C5146" s="74">
        <v>994216432</v>
      </c>
      <c r="D5146" s="78" t="str">
        <f t="shared" si="167"/>
        <v>https://portal.dnb.de/opac.htm?method=simpleSearch&amp;cqlMode=true&amp;query=idn%3D994216432</v>
      </c>
      <c r="E5146" s="74" t="s">
        <v>4180</v>
      </c>
      <c r="F5146" s="74"/>
      <c r="G5146" s="76"/>
      <c r="H5146" s="77"/>
      <c r="I5146" s="76"/>
      <c r="J5146" s="77"/>
      <c r="K5146" s="77"/>
      <c r="L5146" s="76"/>
      <c r="M5146" s="76"/>
      <c r="N5146" s="76"/>
      <c r="O5146" s="76"/>
      <c r="P5146" s="76"/>
      <c r="Q5146" s="76"/>
      <c r="R5146" s="76"/>
      <c r="S5146" s="76"/>
      <c r="BD5146" s="99">
        <f t="shared" si="168"/>
        <v>0</v>
      </c>
      <c r="CC5146" s="99"/>
      <c r="CV5146" s="99"/>
      <c r="CW5146" s="63"/>
    </row>
    <row r="5147" spans="1:101" x14ac:dyDescent="0.15">
      <c r="A5147" s="76">
        <v>4791</v>
      </c>
      <c r="B5147" s="74" t="s">
        <v>4182</v>
      </c>
      <c r="C5147" s="74">
        <v>994216483</v>
      </c>
      <c r="D5147" s="78" t="str">
        <f t="shared" si="167"/>
        <v>https://portal.dnb.de/opac.htm?method=simpleSearch&amp;cqlMode=true&amp;query=idn%3D994216483</v>
      </c>
      <c r="E5147" s="74" t="s">
        <v>4180</v>
      </c>
      <c r="F5147" s="74"/>
      <c r="G5147" s="76"/>
      <c r="H5147" s="77"/>
      <c r="I5147" s="76"/>
      <c r="J5147" s="77"/>
      <c r="K5147" s="77"/>
      <c r="L5147" s="76"/>
      <c r="M5147" s="76"/>
      <c r="N5147" s="76"/>
      <c r="O5147" s="76"/>
      <c r="P5147" s="76"/>
      <c r="Q5147" s="76"/>
      <c r="R5147" s="76"/>
      <c r="S5147" s="76"/>
      <c r="BD5147" s="99">
        <f t="shared" si="168"/>
        <v>0</v>
      </c>
      <c r="CC5147" s="99"/>
      <c r="CV5147" s="99"/>
      <c r="CW5147" s="63"/>
    </row>
    <row r="5148" spans="1:101" x14ac:dyDescent="0.15">
      <c r="A5148" s="76">
        <v>4792</v>
      </c>
      <c r="B5148" s="74" t="s">
        <v>4183</v>
      </c>
      <c r="C5148" s="74">
        <v>999995618</v>
      </c>
      <c r="D5148" s="78" t="str">
        <f t="shared" si="167"/>
        <v>https://portal.dnb.de/opac.htm?method=simpleSearch&amp;cqlMode=true&amp;query=idn%3D999995618</v>
      </c>
      <c r="E5148" s="74" t="s">
        <v>4180</v>
      </c>
      <c r="F5148" s="74"/>
      <c r="G5148" s="76"/>
      <c r="H5148" s="77"/>
      <c r="I5148" s="76"/>
      <c r="J5148" s="77"/>
      <c r="K5148" s="77"/>
      <c r="L5148" s="76"/>
      <c r="M5148" s="76"/>
      <c r="N5148" s="76"/>
      <c r="O5148" s="76"/>
      <c r="P5148" s="76"/>
      <c r="Q5148" s="76"/>
      <c r="R5148" s="76"/>
      <c r="S5148" s="76"/>
      <c r="BD5148" s="99">
        <f t="shared" si="168"/>
        <v>0</v>
      </c>
      <c r="CC5148" s="99"/>
      <c r="CV5148" s="99"/>
      <c r="CW5148" s="63"/>
    </row>
    <row r="5149" spans="1:101" x14ac:dyDescent="0.15">
      <c r="A5149" s="76">
        <v>4793</v>
      </c>
      <c r="B5149" s="74" t="s">
        <v>4184</v>
      </c>
      <c r="C5149" s="74">
        <v>994216513</v>
      </c>
      <c r="D5149" s="78" t="str">
        <f t="shared" si="167"/>
        <v>https://portal.dnb.de/opac.htm?method=simpleSearch&amp;cqlMode=true&amp;query=idn%3D994216513</v>
      </c>
      <c r="E5149" s="74" t="s">
        <v>4180</v>
      </c>
      <c r="F5149" s="74"/>
      <c r="G5149" s="76"/>
      <c r="H5149" s="77"/>
      <c r="I5149" s="76"/>
      <c r="J5149" s="77"/>
      <c r="K5149" s="77"/>
      <c r="L5149" s="76"/>
      <c r="M5149" s="76"/>
      <c r="N5149" s="76"/>
      <c r="O5149" s="76"/>
      <c r="P5149" s="76"/>
      <c r="Q5149" s="76"/>
      <c r="R5149" s="76"/>
      <c r="S5149" s="76"/>
      <c r="BD5149" s="99">
        <f t="shared" si="168"/>
        <v>0</v>
      </c>
      <c r="CC5149" s="99"/>
      <c r="CV5149" s="99"/>
      <c r="CW5149" s="63"/>
    </row>
    <row r="5150" spans="1:101" x14ac:dyDescent="0.15">
      <c r="A5150" s="76">
        <v>4794</v>
      </c>
      <c r="B5150" s="74" t="s">
        <v>4185</v>
      </c>
      <c r="C5150" s="74">
        <v>999583905</v>
      </c>
      <c r="D5150" s="78" t="str">
        <f t="shared" si="167"/>
        <v>https://portal.dnb.de/opac.htm?method=simpleSearch&amp;cqlMode=true&amp;query=idn%3D999583905</v>
      </c>
      <c r="E5150" s="74" t="s">
        <v>4180</v>
      </c>
      <c r="F5150" s="74"/>
      <c r="G5150" s="76"/>
      <c r="H5150" s="77"/>
      <c r="I5150" s="76"/>
      <c r="J5150" s="77"/>
      <c r="K5150" s="77"/>
      <c r="L5150" s="76"/>
      <c r="M5150" s="76"/>
      <c r="N5150" s="76"/>
      <c r="O5150" s="76"/>
      <c r="P5150" s="76"/>
      <c r="Q5150" s="76"/>
      <c r="R5150" s="76"/>
      <c r="S5150" s="76"/>
      <c r="BD5150" s="99">
        <f t="shared" si="168"/>
        <v>0</v>
      </c>
      <c r="CC5150" s="99"/>
      <c r="CV5150" s="99"/>
      <c r="CW5150" s="63"/>
    </row>
    <row r="5151" spans="1:101" x14ac:dyDescent="0.15">
      <c r="A5151" s="76">
        <v>4795</v>
      </c>
      <c r="B5151" s="74" t="s">
        <v>4186</v>
      </c>
      <c r="C5151" s="74">
        <v>996821287</v>
      </c>
      <c r="D5151" s="78" t="str">
        <f t="shared" si="167"/>
        <v>https://portal.dnb.de/opac.htm?method=simpleSearch&amp;cqlMode=true&amp;query=idn%3D996821287</v>
      </c>
      <c r="E5151" s="74" t="s">
        <v>4187</v>
      </c>
      <c r="F5151" s="74"/>
      <c r="G5151" s="76"/>
      <c r="H5151" s="77"/>
      <c r="I5151" s="76"/>
      <c r="J5151" s="77"/>
      <c r="K5151" s="77"/>
      <c r="L5151" s="76"/>
      <c r="M5151" s="76"/>
      <c r="N5151" s="76"/>
      <c r="O5151" s="76"/>
      <c r="P5151" s="76"/>
      <c r="Q5151" s="76"/>
      <c r="R5151" s="76"/>
      <c r="S5151" s="76"/>
      <c r="BD5151" s="99">
        <f t="shared" si="168"/>
        <v>0</v>
      </c>
      <c r="CC5151" s="99"/>
      <c r="CV5151" s="99"/>
      <c r="CW5151" s="63"/>
    </row>
    <row r="5152" spans="1:101" x14ac:dyDescent="0.15">
      <c r="A5152" s="76">
        <v>4796</v>
      </c>
      <c r="B5152" s="74" t="s">
        <v>4188</v>
      </c>
      <c r="C5152" s="74">
        <v>1000180689</v>
      </c>
      <c r="D5152" s="78" t="str">
        <f t="shared" si="167"/>
        <v>https://portal.dnb.de/opac.htm?method=simpleSearch&amp;cqlMode=true&amp;query=idn%3D1000180689</v>
      </c>
      <c r="E5152" s="74" t="s">
        <v>4187</v>
      </c>
      <c r="F5152" s="74"/>
      <c r="G5152" s="76"/>
      <c r="H5152" s="77"/>
      <c r="I5152" s="76"/>
      <c r="J5152" s="77"/>
      <c r="K5152" s="77"/>
      <c r="L5152" s="76"/>
      <c r="M5152" s="76"/>
      <c r="N5152" s="76"/>
      <c r="O5152" s="76"/>
      <c r="P5152" s="76"/>
      <c r="Q5152" s="76"/>
      <c r="R5152" s="76"/>
      <c r="S5152" s="76"/>
      <c r="BD5152" s="99">
        <f t="shared" si="168"/>
        <v>0</v>
      </c>
      <c r="CC5152" s="99"/>
      <c r="CV5152" s="99"/>
      <c r="CW5152" s="63"/>
    </row>
    <row r="5153" spans="1:101" x14ac:dyDescent="0.15">
      <c r="A5153" s="76">
        <v>4797</v>
      </c>
      <c r="B5153" s="74" t="s">
        <v>4199</v>
      </c>
      <c r="C5153" s="74">
        <v>1002317444</v>
      </c>
      <c r="D5153" s="78" t="str">
        <f t="shared" si="167"/>
        <v>https://portal.dnb.de/opac.htm?method=simpleSearch&amp;cqlMode=true&amp;query=idn%3D1002317444</v>
      </c>
      <c r="E5153" s="74" t="s">
        <v>4200</v>
      </c>
      <c r="F5153" s="74"/>
      <c r="G5153" s="76"/>
      <c r="H5153" s="77"/>
      <c r="I5153" s="76"/>
      <c r="J5153" s="77"/>
      <c r="K5153" s="77"/>
      <c r="L5153" s="76"/>
      <c r="M5153" s="76"/>
      <c r="N5153" s="76"/>
      <c r="O5153" s="76"/>
      <c r="P5153" s="76"/>
      <c r="Q5153" s="76"/>
      <c r="R5153" s="76"/>
      <c r="S5153" s="76"/>
      <c r="BD5153" s="99">
        <f t="shared" si="168"/>
        <v>0</v>
      </c>
      <c r="CC5153" s="99"/>
      <c r="CV5153" s="99"/>
      <c r="CW5153" s="63"/>
    </row>
    <row r="5154" spans="1:101" x14ac:dyDescent="0.15">
      <c r="A5154" s="76">
        <v>4798</v>
      </c>
      <c r="B5154" s="74" t="s">
        <v>4201</v>
      </c>
      <c r="C5154" s="74" t="s">
        <v>4202</v>
      </c>
      <c r="D5154" s="78" t="str">
        <f t="shared" si="167"/>
        <v>https://portal.dnb.de/opac.htm?method=simpleSearch&amp;cqlMode=true&amp;query=idn%3D100231738X</v>
      </c>
      <c r="E5154" s="74" t="s">
        <v>4200</v>
      </c>
      <c r="F5154" s="74"/>
      <c r="G5154" s="76"/>
      <c r="H5154" s="77"/>
      <c r="I5154" s="76"/>
      <c r="J5154" s="77"/>
      <c r="K5154" s="77"/>
      <c r="L5154" s="76"/>
      <c r="M5154" s="76"/>
      <c r="N5154" s="76"/>
      <c r="O5154" s="76"/>
      <c r="P5154" s="76"/>
      <c r="Q5154" s="76"/>
      <c r="R5154" s="76"/>
      <c r="S5154" s="76"/>
      <c r="BD5154" s="99">
        <f t="shared" si="168"/>
        <v>0</v>
      </c>
      <c r="CC5154" s="99"/>
      <c r="CV5154" s="99"/>
      <c r="CW5154" s="63"/>
    </row>
    <row r="5155" spans="1:101" x14ac:dyDescent="0.15">
      <c r="A5155" s="76">
        <v>4799</v>
      </c>
      <c r="B5155" s="74" t="s">
        <v>4222</v>
      </c>
      <c r="C5155" s="74">
        <v>994821662</v>
      </c>
      <c r="D5155" s="78" t="str">
        <f t="shared" si="167"/>
        <v>https://portal.dnb.de/opac.htm?method=simpleSearch&amp;cqlMode=true&amp;query=idn%3D994821662</v>
      </c>
      <c r="E5155" s="74" t="s">
        <v>4223</v>
      </c>
      <c r="F5155" s="74"/>
      <c r="G5155" s="76"/>
      <c r="H5155" s="77"/>
      <c r="I5155" s="76"/>
      <c r="J5155" s="77"/>
      <c r="K5155" s="77"/>
      <c r="L5155" s="76"/>
      <c r="M5155" s="76"/>
      <c r="N5155" s="76"/>
      <c r="O5155" s="76"/>
      <c r="P5155" s="76"/>
      <c r="Q5155" s="76"/>
      <c r="R5155" s="76"/>
      <c r="S5155" s="76"/>
      <c r="BD5155" s="99">
        <f t="shared" si="168"/>
        <v>0</v>
      </c>
      <c r="CC5155" s="99"/>
      <c r="CV5155" s="99"/>
      <c r="CW5155" s="63"/>
    </row>
    <row r="5156" spans="1:101" x14ac:dyDescent="0.15">
      <c r="A5156" s="76">
        <v>4800</v>
      </c>
      <c r="B5156" s="74" t="s">
        <v>4224</v>
      </c>
      <c r="C5156" s="74">
        <v>994821727</v>
      </c>
      <c r="D5156" s="78" t="str">
        <f t="shared" si="167"/>
        <v>https://portal.dnb.de/opac.htm?method=simpleSearch&amp;cqlMode=true&amp;query=idn%3D994821727</v>
      </c>
      <c r="E5156" s="74" t="s">
        <v>4223</v>
      </c>
      <c r="F5156" s="74"/>
      <c r="G5156" s="76"/>
      <c r="H5156" s="77"/>
      <c r="I5156" s="76"/>
      <c r="J5156" s="77"/>
      <c r="K5156" s="77"/>
      <c r="L5156" s="76"/>
      <c r="M5156" s="76"/>
      <c r="N5156" s="76"/>
      <c r="O5156" s="76"/>
      <c r="P5156" s="76"/>
      <c r="Q5156" s="76"/>
      <c r="R5156" s="76"/>
      <c r="S5156" s="76"/>
      <c r="BD5156" s="99">
        <f t="shared" si="168"/>
        <v>0</v>
      </c>
      <c r="CC5156" s="99"/>
      <c r="CV5156" s="99"/>
      <c r="CW5156" s="63"/>
    </row>
    <row r="5157" spans="1:101" x14ac:dyDescent="0.15">
      <c r="A5157" s="76">
        <v>4801</v>
      </c>
      <c r="B5157" s="74" t="s">
        <v>4225</v>
      </c>
      <c r="C5157" s="74">
        <v>994821603</v>
      </c>
      <c r="D5157" s="78" t="str">
        <f t="shared" si="167"/>
        <v>https://portal.dnb.de/opac.htm?method=simpleSearch&amp;cqlMode=true&amp;query=idn%3D994821603</v>
      </c>
      <c r="E5157" s="74" t="s">
        <v>4223</v>
      </c>
      <c r="F5157" s="74"/>
      <c r="G5157" s="76"/>
      <c r="H5157" s="77"/>
      <c r="I5157" s="76"/>
      <c r="J5157" s="77"/>
      <c r="K5157" s="77"/>
      <c r="L5157" s="76"/>
      <c r="M5157" s="76"/>
      <c r="N5157" s="76"/>
      <c r="O5157" s="76"/>
      <c r="P5157" s="76"/>
      <c r="Q5157" s="76"/>
      <c r="R5157" s="76"/>
      <c r="S5157" s="76"/>
      <c r="BD5157" s="99">
        <f t="shared" si="168"/>
        <v>0</v>
      </c>
      <c r="CC5157" s="99"/>
      <c r="CV5157" s="99"/>
      <c r="CW5157" s="63"/>
    </row>
    <row r="5158" spans="1:101" x14ac:dyDescent="0.15">
      <c r="A5158" s="76">
        <v>4802</v>
      </c>
      <c r="B5158" s="74" t="s">
        <v>4226</v>
      </c>
      <c r="C5158" s="74">
        <v>1000133818</v>
      </c>
      <c r="D5158" s="78" t="str">
        <f t="shared" si="167"/>
        <v>https://portal.dnb.de/opac.htm?method=simpleSearch&amp;cqlMode=true&amp;query=idn%3D1000133818</v>
      </c>
      <c r="E5158" s="74" t="s">
        <v>4227</v>
      </c>
      <c r="F5158" s="74"/>
      <c r="G5158" s="76"/>
      <c r="H5158" s="77"/>
      <c r="I5158" s="76"/>
      <c r="J5158" s="77"/>
      <c r="K5158" s="77"/>
      <c r="L5158" s="76"/>
      <c r="M5158" s="76"/>
      <c r="N5158" s="76"/>
      <c r="O5158" s="76"/>
      <c r="P5158" s="76"/>
      <c r="Q5158" s="76"/>
      <c r="R5158" s="76"/>
      <c r="S5158" s="76"/>
      <c r="BD5158" s="99">
        <f t="shared" si="168"/>
        <v>0</v>
      </c>
      <c r="CC5158" s="99"/>
      <c r="CV5158" s="99"/>
      <c r="CW5158" s="63"/>
    </row>
    <row r="5159" spans="1:101" x14ac:dyDescent="0.15">
      <c r="A5159" s="76">
        <v>4803</v>
      </c>
      <c r="B5159" s="74" t="s">
        <v>4228</v>
      </c>
      <c r="C5159" s="74">
        <v>1002322227</v>
      </c>
      <c r="D5159" s="78" t="str">
        <f t="shared" si="167"/>
        <v>https://portal.dnb.de/opac.htm?method=simpleSearch&amp;cqlMode=true&amp;query=idn%3D1002322227</v>
      </c>
      <c r="E5159" s="74" t="s">
        <v>4229</v>
      </c>
      <c r="F5159" s="74"/>
      <c r="G5159" s="76"/>
      <c r="H5159" s="77"/>
      <c r="I5159" s="76" t="s">
        <v>53</v>
      </c>
      <c r="J5159" s="77"/>
      <c r="K5159" s="77"/>
      <c r="L5159" s="76"/>
      <c r="M5159" s="76"/>
      <c r="N5159" s="76"/>
      <c r="O5159" s="76"/>
      <c r="P5159" s="76"/>
      <c r="Q5159" s="76"/>
      <c r="R5159" s="76"/>
      <c r="S5159" s="76"/>
      <c r="Y5159" s="95" t="s">
        <v>9735</v>
      </c>
      <c r="AB5159" s="95" t="s">
        <v>8541</v>
      </c>
      <c r="AC5159" s="95" t="s">
        <v>9730</v>
      </c>
      <c r="AI5159" s="95" t="s">
        <v>9725</v>
      </c>
      <c r="AU5159" s="95">
        <v>0</v>
      </c>
      <c r="AV5159" s="95" t="s">
        <v>8541</v>
      </c>
      <c r="AW5159" s="95">
        <v>0</v>
      </c>
      <c r="BC5159" s="96" t="s">
        <v>9734</v>
      </c>
      <c r="BD5159" s="99">
        <f t="shared" si="168"/>
        <v>0</v>
      </c>
      <c r="BF5159" s="95" t="s">
        <v>10005</v>
      </c>
      <c r="BL5159" s="70" t="s">
        <v>10015</v>
      </c>
      <c r="CC5159" s="99"/>
      <c r="CV5159" s="99"/>
      <c r="CW5159" s="63"/>
    </row>
    <row r="5160" spans="1:101" x14ac:dyDescent="0.15">
      <c r="A5160" s="76">
        <v>4804</v>
      </c>
      <c r="B5160" s="74" t="s">
        <v>4230</v>
      </c>
      <c r="C5160" s="74">
        <v>1066778248</v>
      </c>
      <c r="D5160" s="78" t="str">
        <f t="shared" si="167"/>
        <v>https://portal.dnb.de/opac.htm?method=simpleSearch&amp;cqlMode=true&amp;query=idn%3D1066778248</v>
      </c>
      <c r="E5160" s="74" t="s">
        <v>4231</v>
      </c>
      <c r="F5160" s="74"/>
      <c r="G5160" s="76"/>
      <c r="H5160" s="77"/>
      <c r="I5160" s="76"/>
      <c r="J5160" s="77"/>
      <c r="K5160" s="77"/>
      <c r="L5160" s="76"/>
      <c r="M5160" s="76"/>
      <c r="N5160" s="76"/>
      <c r="O5160" s="76"/>
      <c r="P5160" s="76"/>
      <c r="Q5160" s="76"/>
      <c r="R5160" s="76"/>
      <c r="S5160" s="76"/>
      <c r="BD5160" s="99">
        <f t="shared" si="168"/>
        <v>0</v>
      </c>
      <c r="CC5160" s="99"/>
      <c r="CV5160" s="99"/>
      <c r="CW5160" s="63"/>
    </row>
    <row r="5161" spans="1:101" x14ac:dyDescent="0.15">
      <c r="A5161" s="76">
        <v>4805</v>
      </c>
      <c r="B5161" s="74" t="s">
        <v>4242</v>
      </c>
      <c r="C5161" s="74">
        <v>1002332109</v>
      </c>
      <c r="D5161" s="78" t="str">
        <f t="shared" si="167"/>
        <v>https://portal.dnb.de/opac.htm?method=simpleSearch&amp;cqlMode=true&amp;query=idn%3D1002332109</v>
      </c>
      <c r="E5161" s="74" t="s">
        <v>4243</v>
      </c>
      <c r="F5161" s="74"/>
      <c r="G5161" s="76"/>
      <c r="H5161" s="77"/>
      <c r="I5161" s="76"/>
      <c r="J5161" s="77"/>
      <c r="K5161" s="77"/>
      <c r="L5161" s="76"/>
      <c r="M5161" s="76"/>
      <c r="N5161" s="76"/>
      <c r="O5161" s="76"/>
      <c r="P5161" s="76"/>
      <c r="Q5161" s="76"/>
      <c r="R5161" s="76"/>
      <c r="S5161" s="76"/>
      <c r="BD5161" s="99">
        <f t="shared" si="168"/>
        <v>0</v>
      </c>
      <c r="CC5161" s="99"/>
      <c r="CV5161" s="99"/>
      <c r="CW5161" s="63"/>
    </row>
    <row r="5162" spans="1:101" x14ac:dyDescent="0.15">
      <c r="A5162" s="76">
        <v>4806</v>
      </c>
      <c r="B5162" s="74" t="s">
        <v>4246</v>
      </c>
      <c r="C5162" s="74">
        <v>994877374</v>
      </c>
      <c r="D5162" s="78" t="str">
        <f t="shared" si="167"/>
        <v>https://portal.dnb.de/opac.htm?method=simpleSearch&amp;cqlMode=true&amp;query=idn%3D994877374</v>
      </c>
      <c r="E5162" s="74" t="s">
        <v>4247</v>
      </c>
      <c r="F5162" s="74"/>
      <c r="G5162" s="76"/>
      <c r="H5162" s="77"/>
      <c r="I5162" s="76"/>
      <c r="J5162" s="77"/>
      <c r="K5162" s="77"/>
      <c r="L5162" s="76"/>
      <c r="M5162" s="76"/>
      <c r="N5162" s="76"/>
      <c r="O5162" s="76"/>
      <c r="P5162" s="76"/>
      <c r="Q5162" s="76"/>
      <c r="R5162" s="76"/>
      <c r="S5162" s="76"/>
      <c r="BD5162" s="99">
        <f t="shared" si="168"/>
        <v>0</v>
      </c>
      <c r="CC5162" s="99"/>
      <c r="CV5162" s="99"/>
      <c r="CW5162" s="63"/>
    </row>
    <row r="5163" spans="1:101" x14ac:dyDescent="0.15">
      <c r="A5163" s="76">
        <v>4807</v>
      </c>
      <c r="B5163" s="74" t="s">
        <v>4248</v>
      </c>
      <c r="C5163" s="74">
        <v>997839880</v>
      </c>
      <c r="D5163" s="78" t="str">
        <f t="shared" si="167"/>
        <v>https://portal.dnb.de/opac.htm?method=simpleSearch&amp;cqlMode=true&amp;query=idn%3D997839880</v>
      </c>
      <c r="E5163" s="74" t="s">
        <v>4249</v>
      </c>
      <c r="F5163" s="74"/>
      <c r="G5163" s="76"/>
      <c r="H5163" s="77"/>
      <c r="I5163" s="76"/>
      <c r="J5163" s="77"/>
      <c r="K5163" s="77"/>
      <c r="L5163" s="76"/>
      <c r="M5163" s="76"/>
      <c r="N5163" s="76"/>
      <c r="O5163" s="76"/>
      <c r="P5163" s="76"/>
      <c r="Q5163" s="76"/>
      <c r="R5163" s="76"/>
      <c r="S5163" s="76"/>
      <c r="BD5163" s="99">
        <f t="shared" si="168"/>
        <v>0</v>
      </c>
      <c r="CC5163" s="99"/>
      <c r="CV5163" s="99"/>
      <c r="CW5163" s="63"/>
    </row>
    <row r="5164" spans="1:101" x14ac:dyDescent="0.15">
      <c r="A5164" s="76">
        <v>4808</v>
      </c>
      <c r="B5164" s="74" t="s">
        <v>4250</v>
      </c>
      <c r="C5164" s="74">
        <v>997839953</v>
      </c>
      <c r="D5164" s="78" t="str">
        <f t="shared" si="167"/>
        <v>https://portal.dnb.de/opac.htm?method=simpleSearch&amp;cqlMode=true&amp;query=idn%3D997839953</v>
      </c>
      <c r="E5164" s="74" t="s">
        <v>4249</v>
      </c>
      <c r="F5164" s="74"/>
      <c r="G5164" s="76"/>
      <c r="H5164" s="77"/>
      <c r="I5164" s="76"/>
      <c r="J5164" s="77"/>
      <c r="K5164" s="77"/>
      <c r="L5164" s="76"/>
      <c r="M5164" s="76"/>
      <c r="N5164" s="76"/>
      <c r="O5164" s="76"/>
      <c r="P5164" s="76"/>
      <c r="Q5164" s="76"/>
      <c r="R5164" s="76"/>
      <c r="S5164" s="76"/>
      <c r="BD5164" s="99">
        <f t="shared" si="168"/>
        <v>0</v>
      </c>
      <c r="CC5164" s="99"/>
      <c r="CV5164" s="99"/>
      <c r="CW5164" s="63"/>
    </row>
    <row r="5165" spans="1:101" x14ac:dyDescent="0.15">
      <c r="A5165" s="76">
        <v>4809</v>
      </c>
      <c r="B5165" s="74" t="s">
        <v>4244</v>
      </c>
      <c r="C5165" s="74">
        <v>1066864845</v>
      </c>
      <c r="D5165" s="78" t="str">
        <f t="shared" si="167"/>
        <v>https://portal.dnb.de/opac.htm?method=simpleSearch&amp;cqlMode=true&amp;query=idn%3D1066864845</v>
      </c>
      <c r="E5165" s="74" t="s">
        <v>4245</v>
      </c>
      <c r="F5165" s="74"/>
      <c r="G5165" s="76"/>
      <c r="H5165" s="77"/>
      <c r="I5165" s="76"/>
      <c r="J5165" s="77"/>
      <c r="K5165" s="77"/>
      <c r="L5165" s="76"/>
      <c r="M5165" s="76"/>
      <c r="N5165" s="76"/>
      <c r="O5165" s="76"/>
      <c r="P5165" s="76"/>
      <c r="Q5165" s="76"/>
      <c r="R5165" s="76"/>
      <c r="S5165" s="76"/>
      <c r="BD5165" s="99">
        <f t="shared" si="168"/>
        <v>0</v>
      </c>
      <c r="CC5165" s="99"/>
      <c r="CV5165" s="99"/>
      <c r="CW5165" s="63"/>
    </row>
    <row r="5166" spans="1:101" x14ac:dyDescent="0.15">
      <c r="A5166" s="76">
        <v>4810</v>
      </c>
      <c r="B5166" s="74" t="s">
        <v>4265</v>
      </c>
      <c r="C5166" s="74">
        <v>1002437407</v>
      </c>
      <c r="D5166" s="78" t="str">
        <f t="shared" si="167"/>
        <v>https://portal.dnb.de/opac.htm?method=simpleSearch&amp;cqlMode=true&amp;query=idn%3D1002437407</v>
      </c>
      <c r="E5166" s="74" t="s">
        <v>4266</v>
      </c>
      <c r="F5166" s="74"/>
      <c r="G5166" s="76"/>
      <c r="H5166" s="77"/>
      <c r="I5166" s="76"/>
      <c r="J5166" s="77"/>
      <c r="K5166" s="77"/>
      <c r="L5166" s="76"/>
      <c r="M5166" s="76"/>
      <c r="N5166" s="76"/>
      <c r="O5166" s="76"/>
      <c r="P5166" s="76"/>
      <c r="Q5166" s="76"/>
      <c r="R5166" s="76"/>
      <c r="S5166" s="76"/>
      <c r="BD5166" s="99">
        <f t="shared" si="168"/>
        <v>0</v>
      </c>
      <c r="CC5166" s="99"/>
      <c r="CV5166" s="99"/>
      <c r="CW5166" s="63"/>
    </row>
    <row r="5167" spans="1:101" x14ac:dyDescent="0.15">
      <c r="A5167" s="76">
        <v>4811</v>
      </c>
      <c r="B5167" s="74" t="s">
        <v>4267</v>
      </c>
      <c r="C5167" s="74">
        <v>1001399692</v>
      </c>
      <c r="D5167" s="78" t="str">
        <f t="shared" si="167"/>
        <v>https://portal.dnb.de/opac.htm?method=simpleSearch&amp;cqlMode=true&amp;query=idn%3D1001399692</v>
      </c>
      <c r="E5167" s="74" t="s">
        <v>4266</v>
      </c>
      <c r="F5167" s="74"/>
      <c r="G5167" s="76"/>
      <c r="H5167" s="77"/>
      <c r="I5167" s="76"/>
      <c r="J5167" s="77"/>
      <c r="K5167" s="77"/>
      <c r="L5167" s="76"/>
      <c r="M5167" s="76"/>
      <c r="N5167" s="76"/>
      <c r="O5167" s="76"/>
      <c r="P5167" s="76"/>
      <c r="Q5167" s="76"/>
      <c r="R5167" s="76"/>
      <c r="S5167" s="76"/>
      <c r="BD5167" s="99">
        <f t="shared" si="168"/>
        <v>0</v>
      </c>
      <c r="CC5167" s="99"/>
      <c r="CV5167" s="99"/>
      <c r="CW5167" s="63"/>
    </row>
    <row r="5168" spans="1:101" x14ac:dyDescent="0.15">
      <c r="A5168" s="76">
        <v>4812</v>
      </c>
      <c r="B5168" s="74" t="s">
        <v>4268</v>
      </c>
      <c r="C5168" s="74">
        <v>1002449057</v>
      </c>
      <c r="D5168" s="78" t="str">
        <f t="shared" si="167"/>
        <v>https://portal.dnb.de/opac.htm?method=simpleSearch&amp;cqlMode=true&amp;query=idn%3D1002449057</v>
      </c>
      <c r="E5168" s="74" t="s">
        <v>4266</v>
      </c>
      <c r="F5168" s="74"/>
      <c r="G5168" s="76" t="s">
        <v>8515</v>
      </c>
      <c r="H5168" s="77" t="s">
        <v>5</v>
      </c>
      <c r="I5168" s="76" t="s">
        <v>53</v>
      </c>
      <c r="J5168" s="77" t="s">
        <v>89</v>
      </c>
      <c r="K5168" s="77" t="s">
        <v>72</v>
      </c>
      <c r="L5168" s="76"/>
      <c r="M5168" s="76" t="s">
        <v>38</v>
      </c>
      <c r="N5168" s="76" t="s">
        <v>40</v>
      </c>
      <c r="O5168" s="76">
        <v>0</v>
      </c>
      <c r="P5168" s="76"/>
      <c r="Q5168" s="76"/>
      <c r="R5168" s="76"/>
      <c r="S5168" s="76"/>
      <c r="BD5168" s="99">
        <f t="shared" si="168"/>
        <v>0</v>
      </c>
      <c r="CC5168" s="99"/>
      <c r="CV5168" s="99"/>
      <c r="CW5168" s="63"/>
    </row>
    <row r="5169" spans="1:101" x14ac:dyDescent="0.15">
      <c r="A5169" s="76">
        <v>4813</v>
      </c>
      <c r="B5169" s="74" t="s">
        <v>4323</v>
      </c>
      <c r="C5169" s="74">
        <v>18885128</v>
      </c>
      <c r="D5169" s="78" t="str">
        <f t="shared" si="167"/>
        <v>https://portal.dnb.de/opac.htm?method=simpleSearch&amp;cqlMode=true&amp;query=idn%3D18885128</v>
      </c>
      <c r="E5169" s="74" t="s">
        <v>4324</v>
      </c>
      <c r="F5169" s="74"/>
      <c r="G5169" s="76"/>
      <c r="H5169" s="77"/>
      <c r="I5169" s="76"/>
      <c r="J5169" s="77"/>
      <c r="K5169" s="77"/>
      <c r="L5169" s="76"/>
      <c r="M5169" s="76"/>
      <c r="N5169" s="76"/>
      <c r="O5169" s="76"/>
      <c r="P5169" s="76"/>
      <c r="Q5169" s="76"/>
      <c r="R5169" s="76"/>
      <c r="S5169" s="76"/>
      <c r="BD5169" s="99">
        <f t="shared" si="168"/>
        <v>0</v>
      </c>
      <c r="CC5169" s="99"/>
      <c r="CV5169" s="99"/>
      <c r="CW5169" s="63"/>
    </row>
    <row r="5170" spans="1:101" ht="22.5" x14ac:dyDescent="0.15">
      <c r="A5170" s="76">
        <v>4814</v>
      </c>
      <c r="B5170" s="74" t="s">
        <v>4350</v>
      </c>
      <c r="C5170" s="74">
        <v>994644531</v>
      </c>
      <c r="D5170" s="78" t="str">
        <f t="shared" si="167"/>
        <v>https://portal.dnb.de/opac.htm?method=simpleSearch&amp;cqlMode=true&amp;query=idn%3D994644531</v>
      </c>
      <c r="E5170" s="74" t="s">
        <v>4351</v>
      </c>
      <c r="F5170" s="74"/>
      <c r="G5170" s="76" t="s">
        <v>8541</v>
      </c>
      <c r="H5170" s="77" t="s">
        <v>18</v>
      </c>
      <c r="I5170" s="76" t="s">
        <v>53</v>
      </c>
      <c r="J5170" s="77" t="s">
        <v>8516</v>
      </c>
      <c r="K5170" s="77" t="s">
        <v>84</v>
      </c>
      <c r="L5170" s="76"/>
      <c r="M5170" s="76" t="s">
        <v>38</v>
      </c>
      <c r="N5170" s="76" t="s">
        <v>40</v>
      </c>
      <c r="O5170" s="76">
        <v>0</v>
      </c>
      <c r="P5170" s="76"/>
      <c r="Q5170" s="76"/>
      <c r="R5170" s="76"/>
      <c r="S5170" s="76"/>
      <c r="BD5170" s="99">
        <f t="shared" si="168"/>
        <v>0</v>
      </c>
      <c r="CC5170" s="99"/>
      <c r="CV5170" s="99"/>
      <c r="CW5170" s="63"/>
    </row>
    <row r="5171" spans="1:101" x14ac:dyDescent="0.15">
      <c r="A5171" s="76">
        <v>4815</v>
      </c>
      <c r="B5171" s="74" t="s">
        <v>4352</v>
      </c>
      <c r="C5171" s="74">
        <v>1002369681</v>
      </c>
      <c r="D5171" s="78" t="str">
        <f t="shared" si="167"/>
        <v>https://portal.dnb.de/opac.htm?method=simpleSearch&amp;cqlMode=true&amp;query=idn%3D1002369681</v>
      </c>
      <c r="E5171" s="74" t="s">
        <v>4353</v>
      </c>
      <c r="F5171" s="74"/>
      <c r="G5171" s="76"/>
      <c r="H5171" s="77"/>
      <c r="I5171" s="76"/>
      <c r="J5171" s="77"/>
      <c r="K5171" s="77"/>
      <c r="L5171" s="76"/>
      <c r="M5171" s="76"/>
      <c r="N5171" s="76"/>
      <c r="O5171" s="76"/>
      <c r="P5171" s="76"/>
      <c r="Q5171" s="76"/>
      <c r="R5171" s="76"/>
      <c r="S5171" s="76"/>
      <c r="BD5171" s="99">
        <f t="shared" si="168"/>
        <v>0</v>
      </c>
      <c r="CC5171" s="99"/>
      <c r="CV5171" s="99"/>
      <c r="CW5171" s="63"/>
    </row>
    <row r="5172" spans="1:101" x14ac:dyDescent="0.15">
      <c r="A5172" s="76">
        <v>4816</v>
      </c>
      <c r="B5172" s="74" t="s">
        <v>4434</v>
      </c>
      <c r="C5172" s="74">
        <v>1000787842</v>
      </c>
      <c r="D5172" s="78" t="str">
        <f t="shared" si="167"/>
        <v>https://portal.dnb.de/opac.htm?method=simpleSearch&amp;cqlMode=true&amp;query=idn%3D1000787842</v>
      </c>
      <c r="E5172" s="74" t="s">
        <v>4435</v>
      </c>
      <c r="F5172" s="74"/>
      <c r="G5172" s="76"/>
      <c r="H5172" s="77"/>
      <c r="I5172" s="76"/>
      <c r="J5172" s="77"/>
      <c r="K5172" s="77"/>
      <c r="L5172" s="76"/>
      <c r="M5172" s="76"/>
      <c r="N5172" s="76"/>
      <c r="O5172" s="76"/>
      <c r="P5172" s="76"/>
      <c r="Q5172" s="76"/>
      <c r="R5172" s="76"/>
      <c r="S5172" s="76"/>
      <c r="BD5172" s="99">
        <f t="shared" si="168"/>
        <v>0</v>
      </c>
      <c r="CC5172" s="99"/>
      <c r="CV5172" s="99"/>
      <c r="CW5172" s="63"/>
    </row>
    <row r="5173" spans="1:101" x14ac:dyDescent="0.15">
      <c r="A5173" s="76">
        <v>4817</v>
      </c>
      <c r="B5173" s="74" t="s">
        <v>4436</v>
      </c>
      <c r="C5173" s="74">
        <v>1066696403</v>
      </c>
      <c r="D5173" s="78" t="str">
        <f t="shared" si="167"/>
        <v>https://portal.dnb.de/opac.htm?method=simpleSearch&amp;cqlMode=true&amp;query=idn%3D1066696403</v>
      </c>
      <c r="E5173" s="74" t="s">
        <v>4437</v>
      </c>
      <c r="F5173" s="74"/>
      <c r="G5173" s="76"/>
      <c r="H5173" s="77"/>
      <c r="I5173" s="76"/>
      <c r="J5173" s="77"/>
      <c r="K5173" s="77"/>
      <c r="L5173" s="76"/>
      <c r="M5173" s="76"/>
      <c r="N5173" s="76"/>
      <c r="O5173" s="76"/>
      <c r="P5173" s="76"/>
      <c r="Q5173" s="76"/>
      <c r="R5173" s="76"/>
      <c r="S5173" s="76"/>
      <c r="BD5173" s="99">
        <f t="shared" si="168"/>
        <v>0</v>
      </c>
      <c r="CC5173" s="99"/>
      <c r="CV5173" s="99"/>
      <c r="CW5173" s="63"/>
    </row>
    <row r="5174" spans="1:101" x14ac:dyDescent="0.15">
      <c r="A5174" s="76">
        <v>4818</v>
      </c>
      <c r="B5174" s="74" t="s">
        <v>4757</v>
      </c>
      <c r="C5174" s="74">
        <v>999722638</v>
      </c>
      <c r="D5174" s="78" t="str">
        <f t="shared" si="167"/>
        <v>https://portal.dnb.de/opac.htm?method=simpleSearch&amp;cqlMode=true&amp;query=idn%3D999722638</v>
      </c>
      <c r="E5174" s="74" t="s">
        <v>4758</v>
      </c>
      <c r="F5174" s="74"/>
      <c r="G5174" s="76"/>
      <c r="H5174" s="77"/>
      <c r="I5174" s="76"/>
      <c r="J5174" s="77"/>
      <c r="K5174" s="77"/>
      <c r="L5174" s="76"/>
      <c r="M5174" s="76"/>
      <c r="N5174" s="76"/>
      <c r="O5174" s="76"/>
      <c r="P5174" s="76"/>
      <c r="Q5174" s="76"/>
      <c r="R5174" s="76"/>
      <c r="S5174" s="76"/>
      <c r="BD5174" s="99">
        <f t="shared" si="168"/>
        <v>0</v>
      </c>
      <c r="CC5174" s="99"/>
      <c r="CV5174" s="99"/>
      <c r="CW5174" s="63"/>
    </row>
    <row r="5175" spans="1:101" x14ac:dyDescent="0.15">
      <c r="A5175" s="76">
        <v>4819</v>
      </c>
      <c r="B5175" s="74" t="s">
        <v>4759</v>
      </c>
      <c r="C5175" s="74">
        <v>999609513</v>
      </c>
      <c r="D5175" s="78" t="str">
        <f t="shared" si="167"/>
        <v>https://portal.dnb.de/opac.htm?method=simpleSearch&amp;cqlMode=true&amp;query=idn%3D999609513</v>
      </c>
      <c r="E5175" s="74" t="s">
        <v>4758</v>
      </c>
      <c r="F5175" s="74"/>
      <c r="G5175" s="76"/>
      <c r="H5175" s="77"/>
      <c r="I5175" s="76" t="s">
        <v>53</v>
      </c>
      <c r="J5175" s="77" t="s">
        <v>89</v>
      </c>
      <c r="K5175" s="77" t="s">
        <v>84</v>
      </c>
      <c r="L5175" s="76"/>
      <c r="M5175" s="76"/>
      <c r="N5175" s="76"/>
      <c r="O5175" s="76">
        <v>0</v>
      </c>
      <c r="P5175" s="76"/>
      <c r="Q5175" s="76"/>
      <c r="R5175" s="76"/>
      <c r="S5175" s="76"/>
      <c r="BD5175" s="99">
        <f t="shared" si="168"/>
        <v>0</v>
      </c>
      <c r="CC5175" s="99"/>
      <c r="CV5175" s="99"/>
      <c r="CW5175" s="63"/>
    </row>
    <row r="5176" spans="1:101" ht="22.5" x14ac:dyDescent="0.15">
      <c r="A5176" s="76">
        <v>4820</v>
      </c>
      <c r="B5176" s="74" t="s">
        <v>4782</v>
      </c>
      <c r="C5176" s="74">
        <v>1001450507</v>
      </c>
      <c r="D5176" s="78" t="str">
        <f t="shared" si="167"/>
        <v>https://portal.dnb.de/opac.htm?method=simpleSearch&amp;cqlMode=true&amp;query=idn%3D1001450507</v>
      </c>
      <c r="E5176" s="74" t="s">
        <v>4783</v>
      </c>
      <c r="F5176" s="74"/>
      <c r="G5176" s="76"/>
      <c r="H5176" s="77" t="s">
        <v>18</v>
      </c>
      <c r="I5176" s="76" t="s">
        <v>53</v>
      </c>
      <c r="J5176" s="77" t="s">
        <v>58</v>
      </c>
      <c r="K5176" s="77" t="s">
        <v>84</v>
      </c>
      <c r="L5176" s="76"/>
      <c r="M5176" s="76" t="s">
        <v>36</v>
      </c>
      <c r="N5176" s="76" t="s">
        <v>39</v>
      </c>
      <c r="O5176" s="76">
        <v>0</v>
      </c>
      <c r="P5176" s="76"/>
      <c r="Q5176" s="76"/>
      <c r="R5176" s="76"/>
      <c r="S5176" s="76"/>
      <c r="BD5176" s="99">
        <f t="shared" si="168"/>
        <v>0</v>
      </c>
      <c r="CC5176" s="99"/>
      <c r="CV5176" s="99"/>
      <c r="CW5176" s="63"/>
    </row>
    <row r="5177" spans="1:101" x14ac:dyDescent="0.15">
      <c r="A5177" s="76">
        <v>4821</v>
      </c>
      <c r="B5177" s="74" t="s">
        <v>4784</v>
      </c>
      <c r="C5177" s="74" t="s">
        <v>4785</v>
      </c>
      <c r="D5177" s="78" t="str">
        <f t="shared" si="167"/>
        <v>https://portal.dnb.de/opac.htm?method=simpleSearch&amp;cqlMode=true&amp;query=idn%3D100018840X</v>
      </c>
      <c r="E5177" s="74" t="s">
        <v>4786</v>
      </c>
      <c r="F5177" s="74"/>
      <c r="G5177" s="76"/>
      <c r="H5177" s="77" t="s">
        <v>49</v>
      </c>
      <c r="I5177" s="76" t="s">
        <v>53</v>
      </c>
      <c r="J5177" s="77" t="s">
        <v>8516</v>
      </c>
      <c r="K5177" s="77"/>
      <c r="L5177" s="76"/>
      <c r="M5177" s="76"/>
      <c r="N5177" s="76"/>
      <c r="O5177" s="76"/>
      <c r="P5177" s="76"/>
      <c r="Q5177" s="76"/>
      <c r="R5177" s="76"/>
      <c r="S5177" s="76"/>
      <c r="BD5177" s="99">
        <f t="shared" si="168"/>
        <v>0</v>
      </c>
      <c r="CC5177" s="99"/>
      <c r="CV5177" s="99"/>
      <c r="CW5177" s="63"/>
    </row>
    <row r="5178" spans="1:101" x14ac:dyDescent="0.15">
      <c r="A5178" s="76">
        <v>4822</v>
      </c>
      <c r="B5178" s="74" t="s">
        <v>4787</v>
      </c>
      <c r="C5178" s="74">
        <v>18970842</v>
      </c>
      <c r="D5178" s="78" t="str">
        <f t="shared" si="167"/>
        <v>https://portal.dnb.de/opac.htm?method=simpleSearch&amp;cqlMode=true&amp;query=idn%3D18970842</v>
      </c>
      <c r="E5178" s="74" t="s">
        <v>4788</v>
      </c>
      <c r="F5178" s="74"/>
      <c r="G5178" s="76"/>
      <c r="H5178" s="77" t="s">
        <v>4</v>
      </c>
      <c r="I5178" s="76" t="s">
        <v>53</v>
      </c>
      <c r="J5178" s="77" t="s">
        <v>8516</v>
      </c>
      <c r="K5178" s="77" t="s">
        <v>8520</v>
      </c>
      <c r="L5178" s="76"/>
      <c r="M5178" s="76" t="s">
        <v>38</v>
      </c>
      <c r="N5178" s="76" t="s">
        <v>40</v>
      </c>
      <c r="O5178" s="76">
        <v>0</v>
      </c>
      <c r="P5178" s="76"/>
      <c r="Q5178" s="76"/>
      <c r="R5178" s="76"/>
      <c r="S5178" s="76"/>
      <c r="BD5178" s="99">
        <f t="shared" si="168"/>
        <v>0</v>
      </c>
      <c r="CC5178" s="99"/>
      <c r="CV5178" s="99"/>
      <c r="CW5178" s="63"/>
    </row>
    <row r="5179" spans="1:101" x14ac:dyDescent="0.15">
      <c r="A5179" s="76">
        <v>4823</v>
      </c>
      <c r="B5179" s="74" t="s">
        <v>4789</v>
      </c>
      <c r="C5179" s="74">
        <v>999967118</v>
      </c>
      <c r="D5179" s="78" t="str">
        <f t="shared" si="167"/>
        <v>https://portal.dnb.de/opac.htm?method=simpleSearch&amp;cqlMode=true&amp;query=idn%3D999967118</v>
      </c>
      <c r="E5179" s="74" t="s">
        <v>4790</v>
      </c>
      <c r="F5179" s="74"/>
      <c r="G5179" s="76"/>
      <c r="H5179" s="77" t="s">
        <v>4</v>
      </c>
      <c r="I5179" s="76" t="s">
        <v>53</v>
      </c>
      <c r="J5179" s="77" t="s">
        <v>8516</v>
      </c>
      <c r="K5179" s="77" t="s">
        <v>72</v>
      </c>
      <c r="L5179" s="76"/>
      <c r="M5179" s="76"/>
      <c r="N5179" s="76"/>
      <c r="O5179" s="76">
        <v>0</v>
      </c>
      <c r="P5179" s="76"/>
      <c r="Q5179" s="76"/>
      <c r="R5179" s="76"/>
      <c r="S5179" s="76"/>
      <c r="BD5179" s="99">
        <f t="shared" si="168"/>
        <v>0</v>
      </c>
      <c r="CC5179" s="99"/>
      <c r="CV5179" s="99"/>
      <c r="CW5179" s="63"/>
    </row>
    <row r="5180" spans="1:101" x14ac:dyDescent="0.15">
      <c r="A5180" s="76">
        <v>4824</v>
      </c>
      <c r="B5180" s="74" t="s">
        <v>5538</v>
      </c>
      <c r="C5180" s="74">
        <v>996228632</v>
      </c>
      <c r="D5180" s="78" t="str">
        <f t="shared" si="167"/>
        <v>https://portal.dnb.de/opac.htm?method=simpleSearch&amp;cqlMode=true&amp;query=idn%3D996228632</v>
      </c>
      <c r="E5180" s="74" t="s">
        <v>5539</v>
      </c>
      <c r="F5180" s="74"/>
      <c r="G5180" s="76"/>
      <c r="H5180" s="77"/>
      <c r="I5180" s="76"/>
      <c r="J5180" s="77"/>
      <c r="K5180" s="77"/>
      <c r="L5180" s="76"/>
      <c r="M5180" s="76"/>
      <c r="N5180" s="76"/>
      <c r="O5180" s="76"/>
      <c r="P5180" s="76"/>
      <c r="Q5180" s="76"/>
      <c r="R5180" s="76"/>
      <c r="S5180" s="76"/>
      <c r="BD5180" s="99">
        <f t="shared" si="168"/>
        <v>0</v>
      </c>
      <c r="CC5180" s="99"/>
      <c r="CV5180" s="99"/>
      <c r="CW5180" s="63"/>
    </row>
    <row r="5181" spans="1:101" x14ac:dyDescent="0.15">
      <c r="A5181" s="76">
        <v>4825</v>
      </c>
      <c r="B5181" s="74" t="s">
        <v>5561</v>
      </c>
      <c r="C5181" s="74">
        <v>996250506</v>
      </c>
      <c r="D5181" s="78" t="str">
        <f t="shared" si="167"/>
        <v>https://portal.dnb.de/opac.htm?method=simpleSearch&amp;cqlMode=true&amp;query=idn%3D996250506</v>
      </c>
      <c r="E5181" s="74" t="s">
        <v>5562</v>
      </c>
      <c r="F5181" s="74"/>
      <c r="G5181" s="76"/>
      <c r="H5181" s="77"/>
      <c r="I5181" s="76"/>
      <c r="J5181" s="77"/>
      <c r="K5181" s="77"/>
      <c r="L5181" s="76"/>
      <c r="M5181" s="76"/>
      <c r="N5181" s="76"/>
      <c r="O5181" s="76"/>
      <c r="P5181" s="76"/>
      <c r="Q5181" s="76"/>
      <c r="R5181" s="76"/>
      <c r="S5181" s="76"/>
      <c r="BD5181" s="99">
        <f t="shared" si="168"/>
        <v>0</v>
      </c>
      <c r="CC5181" s="99"/>
      <c r="CV5181" s="99"/>
      <c r="CW5181" s="63"/>
    </row>
    <row r="5182" spans="1:101" x14ac:dyDescent="0.15">
      <c r="A5182" s="76">
        <v>4826</v>
      </c>
      <c r="B5182" s="74" t="s">
        <v>5563</v>
      </c>
      <c r="C5182" s="74">
        <v>996250352</v>
      </c>
      <c r="D5182" s="78" t="str">
        <f t="shared" si="167"/>
        <v>https://portal.dnb.de/opac.htm?method=simpleSearch&amp;cqlMode=true&amp;query=idn%3D996250352</v>
      </c>
      <c r="E5182" s="74" t="s">
        <v>5562</v>
      </c>
      <c r="F5182" s="74"/>
      <c r="G5182" s="76"/>
      <c r="H5182" s="77"/>
      <c r="I5182" s="76"/>
      <c r="J5182" s="77"/>
      <c r="K5182" s="77"/>
      <c r="L5182" s="76"/>
      <c r="M5182" s="76"/>
      <c r="N5182" s="76"/>
      <c r="O5182" s="76"/>
      <c r="P5182" s="76"/>
      <c r="Q5182" s="76"/>
      <c r="R5182" s="76"/>
      <c r="S5182" s="76"/>
      <c r="BD5182" s="99">
        <f t="shared" si="168"/>
        <v>0</v>
      </c>
      <c r="CC5182" s="99"/>
      <c r="CV5182" s="99"/>
      <c r="CW5182" s="63"/>
    </row>
    <row r="5183" spans="1:101" x14ac:dyDescent="0.15">
      <c r="A5183" s="76">
        <v>4827</v>
      </c>
      <c r="B5183" s="74" t="s">
        <v>5564</v>
      </c>
      <c r="C5183" s="74" t="s">
        <v>5565</v>
      </c>
      <c r="D5183" s="78" t="str">
        <f t="shared" ref="D5183:D5246" si="169">HYPERLINK(CONCATENATE("https://portal.dnb.de/opac.htm?method=simpleSearch&amp;cqlMode=true&amp;query=idn%3D",C5183))</f>
        <v>https://portal.dnb.de/opac.htm?method=simpleSearch&amp;cqlMode=true&amp;query=idn%3D99691417X</v>
      </c>
      <c r="E5183" s="74" t="s">
        <v>5566</v>
      </c>
      <c r="F5183" s="74"/>
      <c r="G5183" s="76"/>
      <c r="H5183" s="77"/>
      <c r="I5183" s="76"/>
      <c r="J5183" s="77"/>
      <c r="K5183" s="77"/>
      <c r="L5183" s="76"/>
      <c r="M5183" s="76"/>
      <c r="N5183" s="76"/>
      <c r="O5183" s="76"/>
      <c r="P5183" s="76"/>
      <c r="Q5183" s="76"/>
      <c r="R5183" s="76"/>
      <c r="S5183" s="76"/>
      <c r="BD5183" s="99">
        <f t="shared" si="168"/>
        <v>0</v>
      </c>
      <c r="CC5183" s="99"/>
      <c r="CV5183" s="99"/>
      <c r="CW5183" s="63"/>
    </row>
    <row r="5184" spans="1:101" x14ac:dyDescent="0.15">
      <c r="A5184" s="76">
        <v>4828</v>
      </c>
      <c r="B5184" s="74" t="s">
        <v>5567</v>
      </c>
      <c r="C5184" s="74">
        <v>1000239136</v>
      </c>
      <c r="D5184" s="78" t="str">
        <f t="shared" si="169"/>
        <v>https://portal.dnb.de/opac.htm?method=simpleSearch&amp;cqlMode=true&amp;query=idn%3D1000239136</v>
      </c>
      <c r="E5184" s="74" t="s">
        <v>5568</v>
      </c>
      <c r="F5184" s="74"/>
      <c r="G5184" s="76"/>
      <c r="H5184" s="77"/>
      <c r="I5184" s="76"/>
      <c r="J5184" s="77"/>
      <c r="K5184" s="77"/>
      <c r="L5184" s="76"/>
      <c r="M5184" s="76"/>
      <c r="N5184" s="76"/>
      <c r="O5184" s="76"/>
      <c r="P5184" s="76"/>
      <c r="Q5184" s="76"/>
      <c r="R5184" s="76"/>
      <c r="S5184" s="76"/>
      <c r="BD5184" s="99">
        <f t="shared" si="168"/>
        <v>0</v>
      </c>
      <c r="CC5184" s="99"/>
      <c r="CV5184" s="99"/>
      <c r="CW5184" s="63"/>
    </row>
    <row r="5185" spans="1:101" x14ac:dyDescent="0.15">
      <c r="A5185" s="76">
        <v>4829</v>
      </c>
      <c r="B5185" s="74" t="s">
        <v>5569</v>
      </c>
      <c r="C5185" s="74" t="s">
        <v>5570</v>
      </c>
      <c r="D5185" s="78" t="str">
        <f t="shared" si="169"/>
        <v>https://portal.dnb.de/opac.htm?method=simpleSearch&amp;cqlMode=true&amp;query=idn%3D99797334X</v>
      </c>
      <c r="E5185" s="74" t="s">
        <v>5571</v>
      </c>
      <c r="F5185" s="74"/>
      <c r="G5185" s="76"/>
      <c r="H5185" s="77"/>
      <c r="I5185" s="76"/>
      <c r="J5185" s="77"/>
      <c r="K5185" s="77"/>
      <c r="L5185" s="76"/>
      <c r="M5185" s="76"/>
      <c r="N5185" s="76"/>
      <c r="O5185" s="76"/>
      <c r="P5185" s="76"/>
      <c r="Q5185" s="76"/>
      <c r="R5185" s="76"/>
      <c r="S5185" s="76"/>
      <c r="BD5185" s="99">
        <f t="shared" si="168"/>
        <v>0</v>
      </c>
      <c r="CC5185" s="99"/>
      <c r="CV5185" s="99"/>
      <c r="CW5185" s="63"/>
    </row>
    <row r="5186" spans="1:101" x14ac:dyDescent="0.15">
      <c r="A5186" s="76">
        <v>4830</v>
      </c>
      <c r="B5186" s="74" t="s">
        <v>5572</v>
      </c>
      <c r="C5186" s="74">
        <v>997973366</v>
      </c>
      <c r="D5186" s="78" t="str">
        <f t="shared" si="169"/>
        <v>https://portal.dnb.de/opac.htm?method=simpleSearch&amp;cqlMode=true&amp;query=idn%3D997973366</v>
      </c>
      <c r="E5186" s="74" t="s">
        <v>5571</v>
      </c>
      <c r="F5186" s="74"/>
      <c r="G5186" s="76"/>
      <c r="H5186" s="77"/>
      <c r="I5186" s="76"/>
      <c r="J5186" s="77"/>
      <c r="K5186" s="77"/>
      <c r="L5186" s="76"/>
      <c r="M5186" s="76"/>
      <c r="N5186" s="76"/>
      <c r="O5186" s="76"/>
      <c r="P5186" s="76"/>
      <c r="Q5186" s="76"/>
      <c r="R5186" s="76"/>
      <c r="S5186" s="76"/>
      <c r="BD5186" s="99">
        <f t="shared" si="168"/>
        <v>0</v>
      </c>
      <c r="CC5186" s="99"/>
      <c r="CV5186" s="99"/>
      <c r="CW5186" s="63"/>
    </row>
    <row r="5187" spans="1:101" x14ac:dyDescent="0.15">
      <c r="A5187" s="76">
        <v>4831</v>
      </c>
      <c r="B5187" s="74" t="s">
        <v>5573</v>
      </c>
      <c r="C5187" s="74">
        <v>997976241</v>
      </c>
      <c r="D5187" s="78" t="str">
        <f t="shared" si="169"/>
        <v>https://portal.dnb.de/opac.htm?method=simpleSearch&amp;cqlMode=true&amp;query=idn%3D997976241</v>
      </c>
      <c r="E5187" s="74" t="s">
        <v>5574</v>
      </c>
      <c r="F5187" s="74"/>
      <c r="G5187" s="76"/>
      <c r="H5187" s="77"/>
      <c r="I5187" s="76"/>
      <c r="J5187" s="77"/>
      <c r="K5187" s="77"/>
      <c r="L5187" s="76"/>
      <c r="M5187" s="76"/>
      <c r="N5187" s="76"/>
      <c r="O5187" s="76"/>
      <c r="P5187" s="76"/>
      <c r="Q5187" s="76"/>
      <c r="R5187" s="76"/>
      <c r="S5187" s="76"/>
      <c r="BD5187" s="99">
        <f t="shared" ref="BD5187:BD5250" si="170">CC5187+CV5187</f>
        <v>0</v>
      </c>
      <c r="CC5187" s="99"/>
      <c r="CV5187" s="99"/>
      <c r="CW5187" s="63"/>
    </row>
    <row r="5188" spans="1:101" x14ac:dyDescent="0.15">
      <c r="A5188" s="76">
        <v>4832</v>
      </c>
      <c r="B5188" s="74" t="s">
        <v>5575</v>
      </c>
      <c r="C5188" s="74" t="s">
        <v>5576</v>
      </c>
      <c r="D5188" s="78" t="str">
        <f t="shared" si="169"/>
        <v>https://portal.dnb.de/opac.htm?method=simpleSearch&amp;cqlMode=true&amp;query=idn%3D99797673X</v>
      </c>
      <c r="E5188" s="74" t="s">
        <v>5574</v>
      </c>
      <c r="F5188" s="74"/>
      <c r="G5188" s="76"/>
      <c r="H5188" s="77"/>
      <c r="I5188" s="76"/>
      <c r="J5188" s="77"/>
      <c r="K5188" s="77"/>
      <c r="L5188" s="76"/>
      <c r="M5188" s="76"/>
      <c r="N5188" s="76"/>
      <c r="O5188" s="76"/>
      <c r="P5188" s="76"/>
      <c r="Q5188" s="76"/>
      <c r="R5188" s="76"/>
      <c r="S5188" s="76"/>
      <c r="BD5188" s="99">
        <f t="shared" si="170"/>
        <v>0</v>
      </c>
      <c r="CC5188" s="99"/>
      <c r="CV5188" s="99"/>
      <c r="CW5188" s="63"/>
    </row>
    <row r="5189" spans="1:101" x14ac:dyDescent="0.15">
      <c r="A5189" s="76">
        <v>4833</v>
      </c>
      <c r="B5189" s="74" t="s">
        <v>5577</v>
      </c>
      <c r="C5189" s="74">
        <v>997976691</v>
      </c>
      <c r="D5189" s="78" t="str">
        <f t="shared" si="169"/>
        <v>https://portal.dnb.de/opac.htm?method=simpleSearch&amp;cqlMode=true&amp;query=idn%3D997976691</v>
      </c>
      <c r="E5189" s="74" t="s">
        <v>5574</v>
      </c>
      <c r="F5189" s="74"/>
      <c r="G5189" s="76"/>
      <c r="H5189" s="77"/>
      <c r="I5189" s="76"/>
      <c r="J5189" s="77"/>
      <c r="K5189" s="77"/>
      <c r="L5189" s="76"/>
      <c r="M5189" s="76"/>
      <c r="N5189" s="76"/>
      <c r="O5189" s="76"/>
      <c r="P5189" s="76"/>
      <c r="Q5189" s="76"/>
      <c r="R5189" s="76"/>
      <c r="S5189" s="76"/>
      <c r="BD5189" s="99">
        <f t="shared" si="170"/>
        <v>0</v>
      </c>
      <c r="CC5189" s="99"/>
      <c r="CV5189" s="99"/>
      <c r="CW5189" s="63"/>
    </row>
    <row r="5190" spans="1:101" x14ac:dyDescent="0.15">
      <c r="A5190" s="76">
        <v>4834</v>
      </c>
      <c r="B5190" s="74" t="s">
        <v>5578</v>
      </c>
      <c r="C5190" s="74">
        <v>997976667</v>
      </c>
      <c r="D5190" s="78" t="str">
        <f t="shared" si="169"/>
        <v>https://portal.dnb.de/opac.htm?method=simpleSearch&amp;cqlMode=true&amp;query=idn%3D997976667</v>
      </c>
      <c r="E5190" s="74" t="s">
        <v>5574</v>
      </c>
      <c r="F5190" s="74"/>
      <c r="G5190" s="76"/>
      <c r="H5190" s="77"/>
      <c r="I5190" s="76"/>
      <c r="J5190" s="77"/>
      <c r="K5190" s="77"/>
      <c r="L5190" s="76"/>
      <c r="M5190" s="76"/>
      <c r="N5190" s="76"/>
      <c r="O5190" s="76"/>
      <c r="P5190" s="76"/>
      <c r="Q5190" s="76"/>
      <c r="R5190" s="76"/>
      <c r="S5190" s="76"/>
      <c r="BD5190" s="99">
        <f t="shared" si="170"/>
        <v>0</v>
      </c>
      <c r="CC5190" s="99"/>
      <c r="CV5190" s="99"/>
      <c r="CW5190" s="63"/>
    </row>
    <row r="5191" spans="1:101" x14ac:dyDescent="0.15">
      <c r="A5191" s="76">
        <v>4835</v>
      </c>
      <c r="B5191" s="74" t="s">
        <v>5719</v>
      </c>
      <c r="C5191" s="74">
        <v>1000399168</v>
      </c>
      <c r="D5191" s="78" t="str">
        <f t="shared" si="169"/>
        <v>https://portal.dnb.de/opac.htm?method=simpleSearch&amp;cqlMode=true&amp;query=idn%3D1000399168</v>
      </c>
      <c r="E5191" s="74" t="s">
        <v>5720</v>
      </c>
      <c r="F5191" s="74"/>
      <c r="G5191" s="76"/>
      <c r="H5191" s="77"/>
      <c r="I5191" s="76"/>
      <c r="J5191" s="77"/>
      <c r="K5191" s="77"/>
      <c r="L5191" s="76"/>
      <c r="M5191" s="76"/>
      <c r="N5191" s="76"/>
      <c r="O5191" s="76"/>
      <c r="P5191" s="76"/>
      <c r="Q5191" s="76"/>
      <c r="R5191" s="76"/>
      <c r="S5191" s="76"/>
      <c r="BD5191" s="99">
        <f t="shared" si="170"/>
        <v>0</v>
      </c>
      <c r="CC5191" s="99"/>
      <c r="CV5191" s="99"/>
      <c r="CW5191" s="63"/>
    </row>
    <row r="5192" spans="1:101" x14ac:dyDescent="0.15">
      <c r="A5192" s="76">
        <v>4836</v>
      </c>
      <c r="B5192" s="74" t="s">
        <v>5721</v>
      </c>
      <c r="C5192" s="74">
        <v>997759496</v>
      </c>
      <c r="D5192" s="78" t="str">
        <f t="shared" si="169"/>
        <v>https://portal.dnb.de/opac.htm?method=simpleSearch&amp;cqlMode=true&amp;query=idn%3D997759496</v>
      </c>
      <c r="E5192" s="74" t="s">
        <v>5722</v>
      </c>
      <c r="F5192" s="74"/>
      <c r="G5192" s="76"/>
      <c r="H5192" s="77"/>
      <c r="I5192" s="76"/>
      <c r="J5192" s="77"/>
      <c r="K5192" s="77"/>
      <c r="L5192" s="76"/>
      <c r="M5192" s="76"/>
      <c r="N5192" s="76"/>
      <c r="O5192" s="76"/>
      <c r="P5192" s="76"/>
      <c r="Q5192" s="76"/>
      <c r="R5192" s="76"/>
      <c r="S5192" s="76"/>
      <c r="BD5192" s="99">
        <f t="shared" si="170"/>
        <v>0</v>
      </c>
      <c r="CC5192" s="99"/>
      <c r="CV5192" s="99"/>
      <c r="CW5192" s="63"/>
    </row>
    <row r="5193" spans="1:101" x14ac:dyDescent="0.15">
      <c r="A5193" s="76">
        <v>4837</v>
      </c>
      <c r="B5193" s="74" t="s">
        <v>5723</v>
      </c>
      <c r="C5193" s="74">
        <v>997760362</v>
      </c>
      <c r="D5193" s="78" t="str">
        <f t="shared" si="169"/>
        <v>https://portal.dnb.de/opac.htm?method=simpleSearch&amp;cqlMode=true&amp;query=idn%3D997760362</v>
      </c>
      <c r="E5193" s="74" t="s">
        <v>5724</v>
      </c>
      <c r="F5193" s="74"/>
      <c r="G5193" s="76"/>
      <c r="H5193" s="77"/>
      <c r="I5193" s="76"/>
      <c r="J5193" s="77"/>
      <c r="K5193" s="77"/>
      <c r="L5193" s="76"/>
      <c r="M5193" s="76"/>
      <c r="N5193" s="76"/>
      <c r="O5193" s="76"/>
      <c r="P5193" s="76"/>
      <c r="Q5193" s="76"/>
      <c r="R5193" s="76"/>
      <c r="S5193" s="76"/>
      <c r="BD5193" s="99">
        <f t="shared" si="170"/>
        <v>0</v>
      </c>
      <c r="CC5193" s="99"/>
      <c r="CV5193" s="99"/>
      <c r="CW5193" s="63"/>
    </row>
    <row r="5194" spans="1:101" x14ac:dyDescent="0.15">
      <c r="A5194" s="76">
        <v>4838</v>
      </c>
      <c r="B5194" s="74" t="s">
        <v>5725</v>
      </c>
      <c r="C5194" s="74">
        <v>1003608752</v>
      </c>
      <c r="D5194" s="78" t="str">
        <f t="shared" si="169"/>
        <v>https://portal.dnb.de/opac.htm?method=simpleSearch&amp;cqlMode=true&amp;query=idn%3D1003608752</v>
      </c>
      <c r="E5194" s="74" t="s">
        <v>5726</v>
      </c>
      <c r="F5194" s="74"/>
      <c r="G5194" s="76"/>
      <c r="H5194" s="77"/>
      <c r="I5194" s="76"/>
      <c r="J5194" s="77"/>
      <c r="K5194" s="77"/>
      <c r="L5194" s="76"/>
      <c r="M5194" s="76"/>
      <c r="N5194" s="76"/>
      <c r="O5194" s="76"/>
      <c r="P5194" s="76"/>
      <c r="Q5194" s="76"/>
      <c r="R5194" s="76"/>
      <c r="S5194" s="76"/>
      <c r="BD5194" s="99">
        <f t="shared" si="170"/>
        <v>0</v>
      </c>
      <c r="CC5194" s="99"/>
      <c r="CV5194" s="99"/>
      <c r="CW5194" s="63"/>
    </row>
    <row r="5195" spans="1:101" x14ac:dyDescent="0.15">
      <c r="A5195" s="76">
        <v>4839</v>
      </c>
      <c r="B5195" s="74" t="s">
        <v>5727</v>
      </c>
      <c r="C5195" s="74">
        <v>1003608043</v>
      </c>
      <c r="D5195" s="78" t="str">
        <f t="shared" si="169"/>
        <v>https://portal.dnb.de/opac.htm?method=simpleSearch&amp;cqlMode=true&amp;query=idn%3D1003608043</v>
      </c>
      <c r="E5195" s="74" t="s">
        <v>5726</v>
      </c>
      <c r="F5195" s="74"/>
      <c r="G5195" s="76"/>
      <c r="H5195" s="77"/>
      <c r="I5195" s="76"/>
      <c r="J5195" s="77"/>
      <c r="K5195" s="77"/>
      <c r="L5195" s="76"/>
      <c r="M5195" s="76"/>
      <c r="N5195" s="76"/>
      <c r="O5195" s="76"/>
      <c r="P5195" s="76"/>
      <c r="Q5195" s="76"/>
      <c r="R5195" s="76"/>
      <c r="S5195" s="76"/>
      <c r="BD5195" s="99">
        <f t="shared" si="170"/>
        <v>0</v>
      </c>
      <c r="CC5195" s="99"/>
      <c r="CV5195" s="99"/>
      <c r="CW5195" s="63"/>
    </row>
    <row r="5196" spans="1:101" x14ac:dyDescent="0.15">
      <c r="A5196" s="76">
        <v>4840</v>
      </c>
      <c r="B5196" s="74" t="s">
        <v>5728</v>
      </c>
      <c r="C5196" s="74">
        <v>1003607497</v>
      </c>
      <c r="D5196" s="78" t="str">
        <f t="shared" si="169"/>
        <v>https://portal.dnb.de/opac.htm?method=simpleSearch&amp;cqlMode=true&amp;query=idn%3D1003607497</v>
      </c>
      <c r="E5196" s="74" t="s">
        <v>5726</v>
      </c>
      <c r="F5196" s="74"/>
      <c r="G5196" s="76"/>
      <c r="H5196" s="77"/>
      <c r="I5196" s="76"/>
      <c r="J5196" s="77"/>
      <c r="K5196" s="77"/>
      <c r="L5196" s="76"/>
      <c r="M5196" s="76"/>
      <c r="N5196" s="76"/>
      <c r="O5196" s="76"/>
      <c r="P5196" s="76"/>
      <c r="Q5196" s="76"/>
      <c r="R5196" s="76"/>
      <c r="S5196" s="76"/>
      <c r="BD5196" s="99">
        <f t="shared" si="170"/>
        <v>0</v>
      </c>
      <c r="CC5196" s="99"/>
      <c r="CV5196" s="99"/>
      <c r="CW5196" s="63"/>
    </row>
    <row r="5197" spans="1:101" x14ac:dyDescent="0.15">
      <c r="A5197" s="76">
        <v>4841</v>
      </c>
      <c r="B5197" s="74" t="s">
        <v>5729</v>
      </c>
      <c r="C5197" s="74">
        <v>1003605656</v>
      </c>
      <c r="D5197" s="78" t="str">
        <f t="shared" si="169"/>
        <v>https://portal.dnb.de/opac.htm?method=simpleSearch&amp;cqlMode=true&amp;query=idn%3D1003605656</v>
      </c>
      <c r="E5197" s="74" t="s">
        <v>5726</v>
      </c>
      <c r="F5197" s="74"/>
      <c r="G5197" s="76"/>
      <c r="H5197" s="77"/>
      <c r="I5197" s="76"/>
      <c r="J5197" s="77"/>
      <c r="K5197" s="77"/>
      <c r="L5197" s="76"/>
      <c r="M5197" s="76"/>
      <c r="N5197" s="76"/>
      <c r="O5197" s="76"/>
      <c r="P5197" s="76"/>
      <c r="Q5197" s="76"/>
      <c r="R5197" s="76"/>
      <c r="S5197" s="76"/>
      <c r="BD5197" s="99">
        <f t="shared" si="170"/>
        <v>0</v>
      </c>
      <c r="CC5197" s="99"/>
      <c r="CV5197" s="99"/>
      <c r="CW5197" s="63"/>
    </row>
    <row r="5198" spans="1:101" x14ac:dyDescent="0.15">
      <c r="A5198" s="76">
        <v>4842</v>
      </c>
      <c r="B5198" s="74" t="s">
        <v>5732</v>
      </c>
      <c r="C5198" s="74">
        <v>1001203062</v>
      </c>
      <c r="D5198" s="78" t="str">
        <f t="shared" si="169"/>
        <v>https://portal.dnb.de/opac.htm?method=simpleSearch&amp;cqlMode=true&amp;query=idn%3D1001203062</v>
      </c>
      <c r="E5198" s="74" t="s">
        <v>5733</v>
      </c>
      <c r="F5198" s="74"/>
      <c r="G5198" s="76"/>
      <c r="H5198" s="77"/>
      <c r="I5198" s="76"/>
      <c r="J5198" s="77"/>
      <c r="K5198" s="77"/>
      <c r="L5198" s="76"/>
      <c r="M5198" s="76"/>
      <c r="N5198" s="76"/>
      <c r="O5198" s="76"/>
      <c r="P5198" s="76"/>
      <c r="Q5198" s="76"/>
      <c r="R5198" s="76"/>
      <c r="S5198" s="76"/>
      <c r="BD5198" s="99">
        <f t="shared" si="170"/>
        <v>0</v>
      </c>
      <c r="CC5198" s="99"/>
      <c r="CV5198" s="99"/>
      <c r="CW5198" s="63"/>
    </row>
    <row r="5199" spans="1:101" x14ac:dyDescent="0.15">
      <c r="A5199" s="76">
        <v>4843</v>
      </c>
      <c r="B5199" s="74" t="s">
        <v>5730</v>
      </c>
      <c r="C5199" s="74">
        <v>1002396859</v>
      </c>
      <c r="D5199" s="78" t="str">
        <f t="shared" si="169"/>
        <v>https://portal.dnb.de/opac.htm?method=simpleSearch&amp;cqlMode=true&amp;query=idn%3D1002396859</v>
      </c>
      <c r="E5199" s="74" t="s">
        <v>5731</v>
      </c>
      <c r="F5199" s="74"/>
      <c r="G5199" s="76"/>
      <c r="H5199" s="77"/>
      <c r="I5199" s="76"/>
      <c r="J5199" s="77"/>
      <c r="K5199" s="77"/>
      <c r="L5199" s="76"/>
      <c r="M5199" s="76"/>
      <c r="N5199" s="76"/>
      <c r="O5199" s="76"/>
      <c r="P5199" s="76"/>
      <c r="Q5199" s="76"/>
      <c r="R5199" s="76"/>
      <c r="S5199" s="76"/>
      <c r="BD5199" s="99">
        <f t="shared" si="170"/>
        <v>0</v>
      </c>
      <c r="CC5199" s="99"/>
      <c r="CV5199" s="99"/>
      <c r="CW5199" s="63"/>
    </row>
    <row r="5200" spans="1:101" x14ac:dyDescent="0.15">
      <c r="A5200" s="76">
        <v>4844</v>
      </c>
      <c r="B5200" s="74" t="s">
        <v>6084</v>
      </c>
      <c r="C5200" s="74">
        <v>997126310</v>
      </c>
      <c r="D5200" s="78" t="str">
        <f t="shared" si="169"/>
        <v>https://portal.dnb.de/opac.htm?method=simpleSearch&amp;cqlMode=true&amp;query=idn%3D997126310</v>
      </c>
      <c r="E5200" s="74" t="s">
        <v>6085</v>
      </c>
      <c r="F5200" s="74"/>
      <c r="G5200" s="76"/>
      <c r="H5200" s="77"/>
      <c r="I5200" s="76"/>
      <c r="J5200" s="77"/>
      <c r="K5200" s="77"/>
      <c r="L5200" s="76"/>
      <c r="M5200" s="76"/>
      <c r="N5200" s="76"/>
      <c r="O5200" s="76"/>
      <c r="P5200" s="76"/>
      <c r="Q5200" s="76"/>
      <c r="R5200" s="76"/>
      <c r="S5200" s="76"/>
      <c r="BD5200" s="99">
        <f t="shared" si="170"/>
        <v>0</v>
      </c>
      <c r="CC5200" s="99"/>
      <c r="CV5200" s="99"/>
      <c r="CW5200" s="63"/>
    </row>
    <row r="5201" spans="1:101" x14ac:dyDescent="0.15">
      <c r="A5201" s="76">
        <v>4845</v>
      </c>
      <c r="B5201" s="74" t="s">
        <v>6125</v>
      </c>
      <c r="C5201" s="74">
        <v>1000828794</v>
      </c>
      <c r="D5201" s="78" t="str">
        <f t="shared" si="169"/>
        <v>https://portal.dnb.de/opac.htm?method=simpleSearch&amp;cqlMode=true&amp;query=idn%3D1000828794</v>
      </c>
      <c r="E5201" s="74" t="s">
        <v>6126</v>
      </c>
      <c r="F5201" s="74"/>
      <c r="G5201" s="76"/>
      <c r="H5201" s="77"/>
      <c r="I5201" s="76"/>
      <c r="J5201" s="77"/>
      <c r="K5201" s="77"/>
      <c r="L5201" s="76"/>
      <c r="M5201" s="76"/>
      <c r="N5201" s="76"/>
      <c r="O5201" s="76"/>
      <c r="P5201" s="76"/>
      <c r="Q5201" s="76"/>
      <c r="R5201" s="76"/>
      <c r="S5201" s="76"/>
      <c r="BD5201" s="99">
        <f t="shared" si="170"/>
        <v>0</v>
      </c>
      <c r="CC5201" s="99"/>
      <c r="CV5201" s="99"/>
      <c r="CW5201" s="63"/>
    </row>
    <row r="5202" spans="1:101" x14ac:dyDescent="0.15">
      <c r="A5202" s="76">
        <v>4846</v>
      </c>
      <c r="B5202" s="74" t="s">
        <v>6192</v>
      </c>
      <c r="C5202" s="74">
        <v>996861076</v>
      </c>
      <c r="D5202" s="78" t="str">
        <f t="shared" si="169"/>
        <v>https://portal.dnb.de/opac.htm?method=simpleSearch&amp;cqlMode=true&amp;query=idn%3D996861076</v>
      </c>
      <c r="E5202" s="74" t="s">
        <v>6193</v>
      </c>
      <c r="F5202" s="74"/>
      <c r="G5202" s="76"/>
      <c r="H5202" s="77"/>
      <c r="I5202" s="76"/>
      <c r="J5202" s="77"/>
      <c r="K5202" s="77"/>
      <c r="L5202" s="76"/>
      <c r="M5202" s="76"/>
      <c r="N5202" s="76"/>
      <c r="O5202" s="76"/>
      <c r="P5202" s="76"/>
      <c r="Q5202" s="76"/>
      <c r="R5202" s="76"/>
      <c r="S5202" s="76"/>
      <c r="BD5202" s="99">
        <f t="shared" si="170"/>
        <v>0</v>
      </c>
      <c r="CC5202" s="99"/>
      <c r="CV5202" s="99"/>
      <c r="CW5202" s="63"/>
    </row>
    <row r="5203" spans="1:101" x14ac:dyDescent="0.15">
      <c r="A5203" s="76">
        <v>4847</v>
      </c>
      <c r="B5203" s="74" t="s">
        <v>6194</v>
      </c>
      <c r="C5203" s="74">
        <v>1000901483</v>
      </c>
      <c r="D5203" s="78" t="str">
        <f t="shared" si="169"/>
        <v>https://portal.dnb.de/opac.htm?method=simpleSearch&amp;cqlMode=true&amp;query=idn%3D1000901483</v>
      </c>
      <c r="E5203" s="74" t="s">
        <v>6195</v>
      </c>
      <c r="F5203" s="74"/>
      <c r="G5203" s="76"/>
      <c r="H5203" s="77"/>
      <c r="I5203" s="76"/>
      <c r="J5203" s="77"/>
      <c r="K5203" s="77"/>
      <c r="L5203" s="76"/>
      <c r="M5203" s="76"/>
      <c r="N5203" s="76"/>
      <c r="O5203" s="76"/>
      <c r="P5203" s="76"/>
      <c r="Q5203" s="76"/>
      <c r="R5203" s="76"/>
      <c r="S5203" s="76"/>
      <c r="BD5203" s="99">
        <f t="shared" si="170"/>
        <v>0</v>
      </c>
      <c r="CC5203" s="99"/>
      <c r="CV5203" s="99"/>
      <c r="CW5203" s="63"/>
    </row>
    <row r="5204" spans="1:101" x14ac:dyDescent="0.15">
      <c r="A5204" s="76">
        <v>4848</v>
      </c>
      <c r="B5204" s="74" t="s">
        <v>6200</v>
      </c>
      <c r="C5204" s="74">
        <v>1001268822</v>
      </c>
      <c r="D5204" s="78" t="str">
        <f t="shared" si="169"/>
        <v>https://portal.dnb.de/opac.htm?method=simpleSearch&amp;cqlMode=true&amp;query=idn%3D1001268822</v>
      </c>
      <c r="E5204" s="74" t="s">
        <v>6201</v>
      </c>
      <c r="F5204" s="74"/>
      <c r="G5204" s="76"/>
      <c r="H5204" s="77"/>
      <c r="I5204" s="76"/>
      <c r="J5204" s="77"/>
      <c r="K5204" s="77"/>
      <c r="L5204" s="76"/>
      <c r="M5204" s="76"/>
      <c r="N5204" s="76"/>
      <c r="O5204" s="76"/>
      <c r="P5204" s="76"/>
      <c r="Q5204" s="76"/>
      <c r="R5204" s="76"/>
      <c r="S5204" s="76"/>
      <c r="BD5204" s="99">
        <f t="shared" si="170"/>
        <v>0</v>
      </c>
      <c r="CC5204" s="99"/>
      <c r="CV5204" s="99"/>
      <c r="CW5204" s="63"/>
    </row>
    <row r="5205" spans="1:101" x14ac:dyDescent="0.15">
      <c r="A5205" s="76">
        <v>4849</v>
      </c>
      <c r="B5205" s="74" t="s">
        <v>6244</v>
      </c>
      <c r="C5205" s="74">
        <v>994591934</v>
      </c>
      <c r="D5205" s="78" t="str">
        <f t="shared" si="169"/>
        <v>https://portal.dnb.de/opac.htm?method=simpleSearch&amp;cqlMode=true&amp;query=idn%3D994591934</v>
      </c>
      <c r="E5205" s="74" t="s">
        <v>6245</v>
      </c>
      <c r="F5205" s="74"/>
      <c r="G5205" s="76"/>
      <c r="H5205" s="77"/>
      <c r="I5205" s="76"/>
      <c r="J5205" s="77"/>
      <c r="K5205" s="77"/>
      <c r="L5205" s="76"/>
      <c r="M5205" s="76"/>
      <c r="N5205" s="76"/>
      <c r="O5205" s="76"/>
      <c r="P5205" s="76"/>
      <c r="Q5205" s="76"/>
      <c r="R5205" s="76"/>
      <c r="S5205" s="76"/>
      <c r="BD5205" s="99">
        <f t="shared" si="170"/>
        <v>0</v>
      </c>
      <c r="CC5205" s="99"/>
      <c r="CV5205" s="99"/>
      <c r="CW5205" s="63"/>
    </row>
    <row r="5206" spans="1:101" x14ac:dyDescent="0.15">
      <c r="A5206" s="76">
        <v>4850</v>
      </c>
      <c r="B5206" s="74" t="s">
        <v>6246</v>
      </c>
      <c r="C5206" s="74">
        <v>1066693501</v>
      </c>
      <c r="D5206" s="78" t="str">
        <f t="shared" si="169"/>
        <v>https://portal.dnb.de/opac.htm?method=simpleSearch&amp;cqlMode=true&amp;query=idn%3D1066693501</v>
      </c>
      <c r="E5206" s="74" t="s">
        <v>6247</v>
      </c>
      <c r="F5206" s="74"/>
      <c r="G5206" s="76"/>
      <c r="H5206" s="77"/>
      <c r="I5206" s="76"/>
      <c r="J5206" s="77"/>
      <c r="K5206" s="77"/>
      <c r="L5206" s="76"/>
      <c r="M5206" s="76"/>
      <c r="N5206" s="76"/>
      <c r="O5206" s="76"/>
      <c r="P5206" s="76"/>
      <c r="Q5206" s="76"/>
      <c r="R5206" s="76"/>
      <c r="S5206" s="76"/>
      <c r="BD5206" s="99">
        <f t="shared" si="170"/>
        <v>0</v>
      </c>
      <c r="CC5206" s="99"/>
      <c r="CV5206" s="99"/>
      <c r="CW5206" s="63"/>
    </row>
    <row r="5207" spans="1:101" x14ac:dyDescent="0.15">
      <c r="A5207" s="76">
        <v>4851</v>
      </c>
      <c r="B5207" s="74" t="s">
        <v>6259</v>
      </c>
      <c r="C5207" s="74" t="s">
        <v>6260</v>
      </c>
      <c r="D5207" s="78" t="str">
        <f t="shared" si="169"/>
        <v>https://portal.dnb.de/opac.htm?method=simpleSearch&amp;cqlMode=true&amp;query=idn%3D99544773X</v>
      </c>
      <c r="E5207" s="74" t="s">
        <v>6261</v>
      </c>
      <c r="F5207" s="74"/>
      <c r="G5207" s="76"/>
      <c r="H5207" s="77"/>
      <c r="I5207" s="76"/>
      <c r="J5207" s="77"/>
      <c r="K5207" s="77"/>
      <c r="L5207" s="76"/>
      <c r="M5207" s="76"/>
      <c r="N5207" s="76"/>
      <c r="O5207" s="76"/>
      <c r="P5207" s="76"/>
      <c r="Q5207" s="76"/>
      <c r="R5207" s="76"/>
      <c r="S5207" s="76"/>
      <c r="BD5207" s="99">
        <f t="shared" si="170"/>
        <v>0</v>
      </c>
      <c r="CC5207" s="99"/>
      <c r="CV5207" s="99"/>
      <c r="CW5207" s="63"/>
    </row>
    <row r="5208" spans="1:101" x14ac:dyDescent="0.15">
      <c r="A5208" s="76">
        <v>4852</v>
      </c>
      <c r="B5208" s="74" t="s">
        <v>6294</v>
      </c>
      <c r="C5208" s="74">
        <v>1066696640</v>
      </c>
      <c r="D5208" s="78" t="str">
        <f t="shared" si="169"/>
        <v>https://portal.dnb.de/opac.htm?method=simpleSearch&amp;cqlMode=true&amp;query=idn%3D1066696640</v>
      </c>
      <c r="E5208" s="74" t="s">
        <v>6295</v>
      </c>
      <c r="F5208" s="74"/>
      <c r="G5208" s="76"/>
      <c r="H5208" s="77"/>
      <c r="I5208" s="76"/>
      <c r="J5208" s="77"/>
      <c r="K5208" s="77"/>
      <c r="L5208" s="76"/>
      <c r="M5208" s="76"/>
      <c r="N5208" s="76"/>
      <c r="O5208" s="76"/>
      <c r="P5208" s="76"/>
      <c r="Q5208" s="76"/>
      <c r="R5208" s="76"/>
      <c r="S5208" s="76"/>
      <c r="BD5208" s="99">
        <f t="shared" si="170"/>
        <v>0</v>
      </c>
      <c r="CC5208" s="99"/>
      <c r="CV5208" s="99"/>
      <c r="CW5208" s="63"/>
    </row>
    <row r="5209" spans="1:101" x14ac:dyDescent="0.15">
      <c r="A5209" s="76">
        <v>4853</v>
      </c>
      <c r="B5209" s="74" t="s">
        <v>6292</v>
      </c>
      <c r="C5209" s="74">
        <v>1066696268</v>
      </c>
      <c r="D5209" s="78" t="str">
        <f t="shared" si="169"/>
        <v>https://portal.dnb.de/opac.htm?method=simpleSearch&amp;cqlMode=true&amp;query=idn%3D1066696268</v>
      </c>
      <c r="E5209" s="74" t="s">
        <v>6293</v>
      </c>
      <c r="F5209" s="74"/>
      <c r="G5209" s="76"/>
      <c r="H5209" s="77"/>
      <c r="I5209" s="76"/>
      <c r="J5209" s="77"/>
      <c r="K5209" s="77"/>
      <c r="L5209" s="76"/>
      <c r="M5209" s="76"/>
      <c r="N5209" s="76"/>
      <c r="O5209" s="76"/>
      <c r="P5209" s="76"/>
      <c r="Q5209" s="76"/>
      <c r="R5209" s="76"/>
      <c r="S5209" s="76"/>
      <c r="BD5209" s="99">
        <f t="shared" si="170"/>
        <v>0</v>
      </c>
      <c r="CC5209" s="99"/>
      <c r="CV5209" s="99"/>
      <c r="CW5209" s="63"/>
    </row>
    <row r="5210" spans="1:101" x14ac:dyDescent="0.15">
      <c r="A5210" s="76">
        <v>4854</v>
      </c>
      <c r="B5210" s="74" t="s">
        <v>6300</v>
      </c>
      <c r="C5210" s="74">
        <v>1066696659</v>
      </c>
      <c r="D5210" s="78" t="str">
        <f t="shared" si="169"/>
        <v>https://portal.dnb.de/opac.htm?method=simpleSearch&amp;cqlMode=true&amp;query=idn%3D1066696659</v>
      </c>
      <c r="E5210" s="74" t="s">
        <v>6301</v>
      </c>
      <c r="F5210" s="74"/>
      <c r="G5210" s="76"/>
      <c r="H5210" s="77"/>
      <c r="I5210" s="76"/>
      <c r="J5210" s="77"/>
      <c r="K5210" s="77"/>
      <c r="L5210" s="76"/>
      <c r="M5210" s="76"/>
      <c r="N5210" s="76"/>
      <c r="O5210" s="76"/>
      <c r="P5210" s="76"/>
      <c r="Q5210" s="76"/>
      <c r="R5210" s="76"/>
      <c r="S5210" s="76"/>
      <c r="BD5210" s="99">
        <f t="shared" si="170"/>
        <v>0</v>
      </c>
      <c r="CC5210" s="99"/>
      <c r="CV5210" s="99"/>
      <c r="CW5210" s="63"/>
    </row>
    <row r="5211" spans="1:101" x14ac:dyDescent="0.15">
      <c r="A5211" s="76">
        <v>4855</v>
      </c>
      <c r="B5211" s="74" t="s">
        <v>6296</v>
      </c>
      <c r="C5211" s="74">
        <v>1066695261</v>
      </c>
      <c r="D5211" s="78" t="str">
        <f t="shared" si="169"/>
        <v>https://portal.dnb.de/opac.htm?method=simpleSearch&amp;cqlMode=true&amp;query=idn%3D1066695261</v>
      </c>
      <c r="E5211" s="74" t="s">
        <v>6297</v>
      </c>
      <c r="F5211" s="74"/>
      <c r="G5211" s="76"/>
      <c r="H5211" s="77"/>
      <c r="I5211" s="76"/>
      <c r="J5211" s="77"/>
      <c r="K5211" s="77"/>
      <c r="L5211" s="76"/>
      <c r="M5211" s="76"/>
      <c r="N5211" s="76"/>
      <c r="O5211" s="76"/>
      <c r="P5211" s="76"/>
      <c r="Q5211" s="76"/>
      <c r="R5211" s="76"/>
      <c r="S5211" s="76"/>
      <c r="BD5211" s="99">
        <f t="shared" si="170"/>
        <v>0</v>
      </c>
      <c r="CC5211" s="99"/>
      <c r="CV5211" s="99"/>
      <c r="CW5211" s="63"/>
    </row>
    <row r="5212" spans="1:101" x14ac:dyDescent="0.15">
      <c r="A5212" s="76">
        <v>4856</v>
      </c>
      <c r="B5212" s="74" t="s">
        <v>6298</v>
      </c>
      <c r="C5212" s="74">
        <v>1066696349</v>
      </c>
      <c r="D5212" s="78" t="str">
        <f t="shared" si="169"/>
        <v>https://portal.dnb.de/opac.htm?method=simpleSearch&amp;cqlMode=true&amp;query=idn%3D1066696349</v>
      </c>
      <c r="E5212" s="74" t="s">
        <v>6299</v>
      </c>
      <c r="F5212" s="74"/>
      <c r="G5212" s="76"/>
      <c r="H5212" s="77"/>
      <c r="I5212" s="76"/>
      <c r="J5212" s="77"/>
      <c r="K5212" s="77"/>
      <c r="L5212" s="76"/>
      <c r="M5212" s="76"/>
      <c r="N5212" s="76"/>
      <c r="O5212" s="76"/>
      <c r="P5212" s="76"/>
      <c r="Q5212" s="76"/>
      <c r="R5212" s="76"/>
      <c r="S5212" s="76"/>
      <c r="BD5212" s="99">
        <f t="shared" si="170"/>
        <v>0</v>
      </c>
      <c r="CC5212" s="99"/>
      <c r="CV5212" s="99"/>
      <c r="CW5212" s="63"/>
    </row>
    <row r="5213" spans="1:101" x14ac:dyDescent="0.15">
      <c r="A5213" s="76">
        <v>4857</v>
      </c>
      <c r="B5213" s="74" t="s">
        <v>6318</v>
      </c>
      <c r="C5213" s="74">
        <v>1000201236</v>
      </c>
      <c r="D5213" s="78" t="str">
        <f t="shared" si="169"/>
        <v>https://portal.dnb.de/opac.htm?method=simpleSearch&amp;cqlMode=true&amp;query=idn%3D1000201236</v>
      </c>
      <c r="E5213" s="74" t="s">
        <v>6319</v>
      </c>
      <c r="F5213" s="74"/>
      <c r="G5213" s="76"/>
      <c r="H5213" s="77"/>
      <c r="I5213" s="76"/>
      <c r="J5213" s="77"/>
      <c r="K5213" s="77"/>
      <c r="L5213" s="76"/>
      <c r="M5213" s="76"/>
      <c r="N5213" s="76"/>
      <c r="O5213" s="76"/>
      <c r="P5213" s="76"/>
      <c r="Q5213" s="76"/>
      <c r="R5213" s="76"/>
      <c r="S5213" s="76"/>
      <c r="BD5213" s="99">
        <f t="shared" si="170"/>
        <v>0</v>
      </c>
      <c r="CC5213" s="99"/>
      <c r="CV5213" s="99"/>
      <c r="CW5213" s="63"/>
    </row>
    <row r="5214" spans="1:101" x14ac:dyDescent="0.15">
      <c r="A5214" s="76">
        <v>4858</v>
      </c>
      <c r="B5214" s="74" t="s">
        <v>6523</v>
      </c>
      <c r="C5214" s="74">
        <v>995838526</v>
      </c>
      <c r="D5214" s="78" t="str">
        <f t="shared" si="169"/>
        <v>https://portal.dnb.de/opac.htm?method=simpleSearch&amp;cqlMode=true&amp;query=idn%3D995838526</v>
      </c>
      <c r="E5214" s="74" t="s">
        <v>6524</v>
      </c>
      <c r="F5214" s="74"/>
      <c r="G5214" s="76"/>
      <c r="H5214" s="77"/>
      <c r="I5214" s="76"/>
      <c r="J5214" s="77"/>
      <c r="K5214" s="77"/>
      <c r="L5214" s="76"/>
      <c r="M5214" s="76"/>
      <c r="N5214" s="76"/>
      <c r="O5214" s="76"/>
      <c r="P5214" s="76"/>
      <c r="Q5214" s="76"/>
      <c r="R5214" s="76"/>
      <c r="S5214" s="76"/>
      <c r="BD5214" s="99">
        <f t="shared" si="170"/>
        <v>0</v>
      </c>
      <c r="CC5214" s="99"/>
      <c r="CV5214" s="99"/>
      <c r="CW5214" s="63"/>
    </row>
    <row r="5215" spans="1:101" x14ac:dyDescent="0.15">
      <c r="A5215" s="76">
        <v>4859</v>
      </c>
      <c r="B5215" s="74" t="s">
        <v>6676</v>
      </c>
      <c r="C5215" s="74">
        <v>1000833011</v>
      </c>
      <c r="D5215" s="78" t="str">
        <f t="shared" si="169"/>
        <v>https://portal.dnb.de/opac.htm?method=simpleSearch&amp;cqlMode=true&amp;query=idn%3D1000833011</v>
      </c>
      <c r="E5215" s="74" t="s">
        <v>6677</v>
      </c>
      <c r="F5215" s="74"/>
      <c r="G5215" s="76"/>
      <c r="H5215" s="77"/>
      <c r="I5215" s="76"/>
      <c r="J5215" s="77"/>
      <c r="K5215" s="77"/>
      <c r="L5215" s="76"/>
      <c r="M5215" s="76"/>
      <c r="N5215" s="76"/>
      <c r="O5215" s="76"/>
      <c r="P5215" s="76"/>
      <c r="Q5215" s="76"/>
      <c r="R5215" s="76"/>
      <c r="S5215" s="76"/>
      <c r="BD5215" s="99">
        <f t="shared" si="170"/>
        <v>0</v>
      </c>
      <c r="CC5215" s="99"/>
      <c r="CV5215" s="99"/>
      <c r="CW5215" s="63"/>
    </row>
    <row r="5216" spans="1:101" x14ac:dyDescent="0.15">
      <c r="A5216" s="76">
        <v>4860</v>
      </c>
      <c r="B5216" s="74" t="s">
        <v>6798</v>
      </c>
      <c r="C5216" s="74">
        <v>994543255</v>
      </c>
      <c r="D5216" s="78" t="str">
        <f t="shared" si="169"/>
        <v>https://portal.dnb.de/opac.htm?method=simpleSearch&amp;cqlMode=true&amp;query=idn%3D994543255</v>
      </c>
      <c r="E5216" s="74" t="s">
        <v>6799</v>
      </c>
      <c r="F5216" s="74"/>
      <c r="G5216" s="76"/>
      <c r="H5216" s="77"/>
      <c r="I5216" s="76"/>
      <c r="J5216" s="77"/>
      <c r="K5216" s="77"/>
      <c r="L5216" s="76"/>
      <c r="M5216" s="76"/>
      <c r="N5216" s="76"/>
      <c r="O5216" s="76"/>
      <c r="P5216" s="76"/>
      <c r="Q5216" s="76"/>
      <c r="R5216" s="76"/>
      <c r="S5216" s="76"/>
      <c r="BD5216" s="99">
        <f t="shared" si="170"/>
        <v>0</v>
      </c>
      <c r="CC5216" s="99"/>
      <c r="CV5216" s="99"/>
      <c r="CW5216" s="63"/>
    </row>
    <row r="5217" spans="1:101" x14ac:dyDescent="0.15">
      <c r="A5217" s="76">
        <v>4861</v>
      </c>
      <c r="B5217" s="74" t="s">
        <v>6813</v>
      </c>
      <c r="C5217" s="74">
        <v>1003921965</v>
      </c>
      <c r="D5217" s="78" t="str">
        <f t="shared" si="169"/>
        <v>https://portal.dnb.de/opac.htm?method=simpleSearch&amp;cqlMode=true&amp;query=idn%3D1003921965</v>
      </c>
      <c r="E5217" s="74" t="s">
        <v>6814</v>
      </c>
      <c r="F5217" s="74"/>
      <c r="G5217" s="76"/>
      <c r="H5217" s="77"/>
      <c r="I5217" s="76" t="s">
        <v>53</v>
      </c>
      <c r="J5217" s="77"/>
      <c r="K5217" s="77"/>
      <c r="L5217" s="76"/>
      <c r="M5217" s="76"/>
      <c r="N5217" s="76"/>
      <c r="O5217" s="76"/>
      <c r="P5217" s="76"/>
      <c r="Q5217" s="76"/>
      <c r="R5217" s="76"/>
      <c r="S5217" s="76"/>
      <c r="Y5217" s="95" t="s">
        <v>9723</v>
      </c>
      <c r="AC5217" s="95" t="s">
        <v>9739</v>
      </c>
      <c r="AG5217" s="95" t="s">
        <v>8541</v>
      </c>
      <c r="AI5217" s="95" t="s">
        <v>9725</v>
      </c>
      <c r="AW5217" s="95">
        <v>110</v>
      </c>
      <c r="AY5217" s="95" t="s">
        <v>8541</v>
      </c>
      <c r="BC5217" s="96" t="s">
        <v>9734</v>
      </c>
      <c r="BD5217" s="99">
        <f t="shared" si="170"/>
        <v>0</v>
      </c>
      <c r="BF5217" s="95" t="s">
        <v>10005</v>
      </c>
      <c r="CC5217" s="99"/>
      <c r="CV5217" s="99"/>
      <c r="CW5217" s="63"/>
    </row>
    <row r="5218" spans="1:101" x14ac:dyDescent="0.15">
      <c r="A5218" s="76">
        <v>4862</v>
      </c>
      <c r="B5218" s="74" t="s">
        <v>6821</v>
      </c>
      <c r="C5218" s="74">
        <v>1002240719</v>
      </c>
      <c r="D5218" s="78" t="str">
        <f t="shared" si="169"/>
        <v>https://portal.dnb.de/opac.htm?method=simpleSearch&amp;cqlMode=true&amp;query=idn%3D1002240719</v>
      </c>
      <c r="E5218" s="74" t="s">
        <v>6822</v>
      </c>
      <c r="F5218" s="74"/>
      <c r="G5218" s="76"/>
      <c r="H5218" s="77"/>
      <c r="I5218" s="76"/>
      <c r="J5218" s="77"/>
      <c r="K5218" s="77"/>
      <c r="L5218" s="76"/>
      <c r="M5218" s="76"/>
      <c r="N5218" s="76"/>
      <c r="O5218" s="76"/>
      <c r="P5218" s="76"/>
      <c r="Q5218" s="76"/>
      <c r="R5218" s="76"/>
      <c r="S5218" s="76"/>
      <c r="BD5218" s="99">
        <f t="shared" si="170"/>
        <v>0</v>
      </c>
      <c r="CC5218" s="99"/>
      <c r="CV5218" s="99"/>
      <c r="CW5218" s="63"/>
    </row>
    <row r="5219" spans="1:101" x14ac:dyDescent="0.15">
      <c r="A5219" s="76">
        <v>4863</v>
      </c>
      <c r="B5219" s="74" t="s">
        <v>6831</v>
      </c>
      <c r="C5219" s="74">
        <v>1002292956</v>
      </c>
      <c r="D5219" s="78" t="str">
        <f t="shared" si="169"/>
        <v>https://portal.dnb.de/opac.htm?method=simpleSearch&amp;cqlMode=true&amp;query=idn%3D1002292956</v>
      </c>
      <c r="E5219" s="74" t="s">
        <v>6832</v>
      </c>
      <c r="F5219" s="74"/>
      <c r="G5219" s="76"/>
      <c r="H5219" s="77"/>
      <c r="I5219" s="76"/>
      <c r="J5219" s="77"/>
      <c r="K5219" s="77"/>
      <c r="L5219" s="76"/>
      <c r="M5219" s="76"/>
      <c r="N5219" s="76"/>
      <c r="O5219" s="76"/>
      <c r="P5219" s="76"/>
      <c r="Q5219" s="76"/>
      <c r="R5219" s="76"/>
      <c r="S5219" s="76"/>
      <c r="BD5219" s="99">
        <f t="shared" si="170"/>
        <v>0</v>
      </c>
      <c r="CC5219" s="99"/>
      <c r="CV5219" s="99"/>
      <c r="CW5219" s="63"/>
    </row>
    <row r="5220" spans="1:101" x14ac:dyDescent="0.15">
      <c r="A5220" s="76">
        <v>4864</v>
      </c>
      <c r="B5220" s="74" t="s">
        <v>6833</v>
      </c>
      <c r="C5220" s="74">
        <v>997158352</v>
      </c>
      <c r="D5220" s="78" t="str">
        <f t="shared" si="169"/>
        <v>https://portal.dnb.de/opac.htm?method=simpleSearch&amp;cqlMode=true&amp;query=idn%3D997158352</v>
      </c>
      <c r="E5220" s="74" t="s">
        <v>6832</v>
      </c>
      <c r="F5220" s="74"/>
      <c r="G5220" s="76"/>
      <c r="H5220" s="77"/>
      <c r="I5220" s="76"/>
      <c r="J5220" s="77"/>
      <c r="K5220" s="77"/>
      <c r="L5220" s="76"/>
      <c r="M5220" s="76"/>
      <c r="N5220" s="76"/>
      <c r="O5220" s="76"/>
      <c r="P5220" s="76"/>
      <c r="Q5220" s="76"/>
      <c r="R5220" s="76"/>
      <c r="S5220" s="76"/>
      <c r="BD5220" s="99">
        <f t="shared" si="170"/>
        <v>0</v>
      </c>
      <c r="CC5220" s="99"/>
      <c r="CV5220" s="99"/>
      <c r="CW5220" s="63"/>
    </row>
    <row r="5221" spans="1:101" x14ac:dyDescent="0.15">
      <c r="A5221" s="76">
        <v>4865</v>
      </c>
      <c r="B5221" s="74" t="s">
        <v>6834</v>
      </c>
      <c r="C5221" s="74">
        <v>994526768</v>
      </c>
      <c r="D5221" s="78" t="str">
        <f t="shared" si="169"/>
        <v>https://portal.dnb.de/opac.htm?method=simpleSearch&amp;cqlMode=true&amp;query=idn%3D994526768</v>
      </c>
      <c r="E5221" s="74" t="s">
        <v>6835</v>
      </c>
      <c r="F5221" s="74"/>
      <c r="G5221" s="76"/>
      <c r="H5221" s="77"/>
      <c r="I5221" s="76"/>
      <c r="J5221" s="77"/>
      <c r="K5221" s="77"/>
      <c r="L5221" s="76"/>
      <c r="M5221" s="76"/>
      <c r="N5221" s="76"/>
      <c r="O5221" s="76"/>
      <c r="P5221" s="76"/>
      <c r="Q5221" s="76"/>
      <c r="R5221" s="76"/>
      <c r="S5221" s="76"/>
      <c r="BD5221" s="99">
        <f t="shared" si="170"/>
        <v>0</v>
      </c>
      <c r="CC5221" s="99"/>
      <c r="CV5221" s="99"/>
      <c r="CW5221" s="63"/>
    </row>
    <row r="5222" spans="1:101" x14ac:dyDescent="0.15">
      <c r="A5222" s="76">
        <v>4866</v>
      </c>
      <c r="B5222" s="74" t="s">
        <v>6836</v>
      </c>
      <c r="C5222" s="74">
        <v>994526784</v>
      </c>
      <c r="D5222" s="78" t="str">
        <f t="shared" si="169"/>
        <v>https://portal.dnb.de/opac.htm?method=simpleSearch&amp;cqlMode=true&amp;query=idn%3D994526784</v>
      </c>
      <c r="E5222" s="74" t="s">
        <v>6835</v>
      </c>
      <c r="F5222" s="74"/>
      <c r="G5222" s="76"/>
      <c r="H5222" s="77"/>
      <c r="I5222" s="76"/>
      <c r="J5222" s="77"/>
      <c r="K5222" s="77"/>
      <c r="L5222" s="76"/>
      <c r="M5222" s="76"/>
      <c r="N5222" s="76"/>
      <c r="O5222" s="76"/>
      <c r="P5222" s="76"/>
      <c r="Q5222" s="76"/>
      <c r="R5222" s="76"/>
      <c r="S5222" s="76"/>
      <c r="BD5222" s="99">
        <f t="shared" si="170"/>
        <v>0</v>
      </c>
      <c r="CC5222" s="99"/>
      <c r="CV5222" s="99"/>
      <c r="CW5222" s="63"/>
    </row>
    <row r="5223" spans="1:101" x14ac:dyDescent="0.15">
      <c r="A5223" s="76">
        <v>4867</v>
      </c>
      <c r="B5223" s="74" t="s">
        <v>6837</v>
      </c>
      <c r="C5223" s="74">
        <v>994526849</v>
      </c>
      <c r="D5223" s="78" t="str">
        <f t="shared" si="169"/>
        <v>https://portal.dnb.de/opac.htm?method=simpleSearch&amp;cqlMode=true&amp;query=idn%3D994526849</v>
      </c>
      <c r="E5223" s="74" t="s">
        <v>6835</v>
      </c>
      <c r="F5223" s="74"/>
      <c r="G5223" s="76"/>
      <c r="H5223" s="77"/>
      <c r="I5223" s="76"/>
      <c r="J5223" s="77"/>
      <c r="K5223" s="77"/>
      <c r="L5223" s="76"/>
      <c r="M5223" s="76"/>
      <c r="N5223" s="76"/>
      <c r="O5223" s="76"/>
      <c r="P5223" s="76"/>
      <c r="Q5223" s="76"/>
      <c r="R5223" s="76"/>
      <c r="S5223" s="76"/>
      <c r="BD5223" s="99">
        <f t="shared" si="170"/>
        <v>0</v>
      </c>
      <c r="CC5223" s="99"/>
      <c r="CV5223" s="99"/>
      <c r="CW5223" s="63"/>
    </row>
    <row r="5224" spans="1:101" x14ac:dyDescent="0.15">
      <c r="A5224" s="76">
        <v>4868</v>
      </c>
      <c r="B5224" s="74" t="s">
        <v>6838</v>
      </c>
      <c r="C5224" s="74">
        <v>994526806</v>
      </c>
      <c r="D5224" s="78" t="str">
        <f t="shared" si="169"/>
        <v>https://portal.dnb.de/opac.htm?method=simpleSearch&amp;cqlMode=true&amp;query=idn%3D994526806</v>
      </c>
      <c r="E5224" s="74" t="s">
        <v>6835</v>
      </c>
      <c r="F5224" s="74"/>
      <c r="G5224" s="76"/>
      <c r="H5224" s="77"/>
      <c r="I5224" s="76"/>
      <c r="J5224" s="77"/>
      <c r="K5224" s="77"/>
      <c r="L5224" s="76"/>
      <c r="M5224" s="76"/>
      <c r="N5224" s="76"/>
      <c r="O5224" s="76"/>
      <c r="P5224" s="76"/>
      <c r="Q5224" s="76"/>
      <c r="R5224" s="76"/>
      <c r="S5224" s="76"/>
      <c r="BD5224" s="99">
        <f t="shared" si="170"/>
        <v>0</v>
      </c>
      <c r="CC5224" s="99"/>
      <c r="CV5224" s="99"/>
      <c r="CW5224" s="63"/>
    </row>
    <row r="5225" spans="1:101" x14ac:dyDescent="0.15">
      <c r="A5225" s="76">
        <v>4869</v>
      </c>
      <c r="B5225" s="74" t="s">
        <v>6839</v>
      </c>
      <c r="C5225" s="74">
        <v>994526911</v>
      </c>
      <c r="D5225" s="78" t="str">
        <f t="shared" si="169"/>
        <v>https://portal.dnb.de/opac.htm?method=simpleSearch&amp;cqlMode=true&amp;query=idn%3D994526911</v>
      </c>
      <c r="E5225" s="74" t="s">
        <v>6835</v>
      </c>
      <c r="F5225" s="74"/>
      <c r="G5225" s="76"/>
      <c r="H5225" s="77"/>
      <c r="I5225" s="76"/>
      <c r="J5225" s="77"/>
      <c r="K5225" s="77"/>
      <c r="L5225" s="76"/>
      <c r="M5225" s="76"/>
      <c r="N5225" s="76"/>
      <c r="O5225" s="76"/>
      <c r="P5225" s="76"/>
      <c r="Q5225" s="76"/>
      <c r="R5225" s="76"/>
      <c r="S5225" s="76"/>
      <c r="BD5225" s="99">
        <f t="shared" si="170"/>
        <v>0</v>
      </c>
      <c r="CC5225" s="99"/>
      <c r="CV5225" s="99"/>
      <c r="CW5225" s="63"/>
    </row>
    <row r="5226" spans="1:101" x14ac:dyDescent="0.15">
      <c r="A5226" s="76">
        <v>4870</v>
      </c>
      <c r="B5226" s="74" t="s">
        <v>6840</v>
      </c>
      <c r="C5226" s="74">
        <v>994526938</v>
      </c>
      <c r="D5226" s="78" t="str">
        <f t="shared" si="169"/>
        <v>https://portal.dnb.de/opac.htm?method=simpleSearch&amp;cqlMode=true&amp;query=idn%3D994526938</v>
      </c>
      <c r="E5226" s="74" t="s">
        <v>6835</v>
      </c>
      <c r="F5226" s="74"/>
      <c r="G5226" s="76"/>
      <c r="H5226" s="77"/>
      <c r="I5226" s="76"/>
      <c r="J5226" s="77"/>
      <c r="K5226" s="77"/>
      <c r="L5226" s="76"/>
      <c r="M5226" s="76"/>
      <c r="N5226" s="76"/>
      <c r="O5226" s="76"/>
      <c r="P5226" s="76"/>
      <c r="Q5226" s="76"/>
      <c r="R5226" s="76"/>
      <c r="S5226" s="76"/>
      <c r="BD5226" s="99">
        <f t="shared" si="170"/>
        <v>0</v>
      </c>
      <c r="CC5226" s="99"/>
      <c r="CV5226" s="99"/>
      <c r="CW5226" s="63"/>
    </row>
    <row r="5227" spans="1:101" x14ac:dyDescent="0.15">
      <c r="A5227" s="76">
        <v>4871</v>
      </c>
      <c r="B5227" s="74" t="s">
        <v>6841</v>
      </c>
      <c r="C5227" s="74">
        <v>994526962</v>
      </c>
      <c r="D5227" s="78" t="str">
        <f t="shared" si="169"/>
        <v>https://portal.dnb.de/opac.htm?method=simpleSearch&amp;cqlMode=true&amp;query=idn%3D994526962</v>
      </c>
      <c r="E5227" s="74" t="s">
        <v>6835</v>
      </c>
      <c r="F5227" s="74"/>
      <c r="G5227" s="76"/>
      <c r="H5227" s="77"/>
      <c r="I5227" s="76"/>
      <c r="J5227" s="77"/>
      <c r="K5227" s="77"/>
      <c r="L5227" s="76"/>
      <c r="M5227" s="76"/>
      <c r="N5227" s="76"/>
      <c r="O5227" s="76"/>
      <c r="P5227" s="76"/>
      <c r="Q5227" s="76"/>
      <c r="R5227" s="76"/>
      <c r="S5227" s="76"/>
      <c r="BD5227" s="99">
        <f t="shared" si="170"/>
        <v>0</v>
      </c>
      <c r="CC5227" s="99"/>
      <c r="CV5227" s="99"/>
      <c r="CW5227" s="63"/>
    </row>
    <row r="5228" spans="1:101" x14ac:dyDescent="0.15">
      <c r="A5228" s="76">
        <v>4872</v>
      </c>
      <c r="B5228" s="74" t="s">
        <v>6901</v>
      </c>
      <c r="C5228" s="74">
        <v>1002161266</v>
      </c>
      <c r="D5228" s="78" t="str">
        <f t="shared" si="169"/>
        <v>https://portal.dnb.de/opac.htm?method=simpleSearch&amp;cqlMode=true&amp;query=idn%3D1002161266</v>
      </c>
      <c r="E5228" s="74" t="s">
        <v>6902</v>
      </c>
      <c r="F5228" s="74"/>
      <c r="G5228" s="76"/>
      <c r="H5228" s="77"/>
      <c r="I5228" s="76"/>
      <c r="J5228" s="77"/>
      <c r="K5228" s="77"/>
      <c r="L5228" s="76"/>
      <c r="M5228" s="76"/>
      <c r="N5228" s="76"/>
      <c r="O5228" s="76"/>
      <c r="P5228" s="76"/>
      <c r="Q5228" s="76"/>
      <c r="R5228" s="76"/>
      <c r="S5228" s="76"/>
      <c r="BD5228" s="99">
        <f t="shared" si="170"/>
        <v>0</v>
      </c>
      <c r="CC5228" s="99"/>
      <c r="CV5228" s="99"/>
      <c r="CW5228" s="63"/>
    </row>
    <row r="5229" spans="1:101" x14ac:dyDescent="0.15">
      <c r="A5229" s="76">
        <v>4873</v>
      </c>
      <c r="B5229" s="74" t="s">
        <v>6903</v>
      </c>
      <c r="C5229" s="74">
        <v>1002012678</v>
      </c>
      <c r="D5229" s="78" t="str">
        <f t="shared" si="169"/>
        <v>https://portal.dnb.de/opac.htm?method=simpleSearch&amp;cqlMode=true&amp;query=idn%3D1002012678</v>
      </c>
      <c r="E5229" s="74" t="s">
        <v>6902</v>
      </c>
      <c r="F5229" s="74"/>
      <c r="G5229" s="76"/>
      <c r="H5229" s="77"/>
      <c r="I5229" s="76"/>
      <c r="J5229" s="77"/>
      <c r="K5229" s="77"/>
      <c r="L5229" s="76"/>
      <c r="M5229" s="76"/>
      <c r="N5229" s="76"/>
      <c r="O5229" s="76"/>
      <c r="P5229" s="76"/>
      <c r="Q5229" s="76"/>
      <c r="R5229" s="76"/>
      <c r="S5229" s="76"/>
      <c r="BD5229" s="99">
        <f t="shared" si="170"/>
        <v>0</v>
      </c>
      <c r="CC5229" s="99"/>
      <c r="CV5229" s="99"/>
      <c r="CW5229" s="63"/>
    </row>
    <row r="5230" spans="1:101" x14ac:dyDescent="0.15">
      <c r="A5230" s="76">
        <v>4874</v>
      </c>
      <c r="B5230" s="74" t="s">
        <v>6904</v>
      </c>
      <c r="C5230" s="74">
        <v>1003304125</v>
      </c>
      <c r="D5230" s="78" t="str">
        <f t="shared" si="169"/>
        <v>https://portal.dnb.de/opac.htm?method=simpleSearch&amp;cqlMode=true&amp;query=idn%3D1003304125</v>
      </c>
      <c r="E5230" s="74" t="s">
        <v>6902</v>
      </c>
      <c r="F5230" s="74"/>
      <c r="G5230" s="76"/>
      <c r="H5230" s="77"/>
      <c r="I5230" s="76"/>
      <c r="J5230" s="77"/>
      <c r="K5230" s="77"/>
      <c r="L5230" s="76"/>
      <c r="M5230" s="76"/>
      <c r="N5230" s="76"/>
      <c r="O5230" s="76"/>
      <c r="P5230" s="76"/>
      <c r="Q5230" s="76"/>
      <c r="R5230" s="76"/>
      <c r="S5230" s="76"/>
      <c r="BD5230" s="99">
        <f t="shared" si="170"/>
        <v>0</v>
      </c>
      <c r="CC5230" s="99"/>
      <c r="CV5230" s="99"/>
      <c r="CW5230" s="63"/>
    </row>
    <row r="5231" spans="1:101" x14ac:dyDescent="0.15">
      <c r="A5231" s="76">
        <v>4875</v>
      </c>
      <c r="B5231" s="74" t="s">
        <v>7089</v>
      </c>
      <c r="C5231" s="74">
        <v>989207390</v>
      </c>
      <c r="D5231" s="78" t="str">
        <f t="shared" si="169"/>
        <v>https://portal.dnb.de/opac.htm?method=simpleSearch&amp;cqlMode=true&amp;query=idn%3D989207390</v>
      </c>
      <c r="E5231" s="74" t="s">
        <v>7090</v>
      </c>
      <c r="F5231" s="74"/>
      <c r="G5231" s="76"/>
      <c r="H5231" s="77"/>
      <c r="I5231" s="76"/>
      <c r="J5231" s="77"/>
      <c r="K5231" s="77"/>
      <c r="L5231" s="76"/>
      <c r="M5231" s="76"/>
      <c r="N5231" s="76"/>
      <c r="O5231" s="76"/>
      <c r="P5231" s="76"/>
      <c r="Q5231" s="76"/>
      <c r="R5231" s="76"/>
      <c r="S5231" s="76"/>
      <c r="BD5231" s="99">
        <f t="shared" si="170"/>
        <v>0</v>
      </c>
      <c r="CC5231" s="99"/>
      <c r="CV5231" s="99"/>
      <c r="CW5231" s="63"/>
    </row>
    <row r="5232" spans="1:101" x14ac:dyDescent="0.15">
      <c r="A5232" s="76">
        <v>4876</v>
      </c>
      <c r="B5232" s="74" t="s">
        <v>7086</v>
      </c>
      <c r="C5232" s="74">
        <v>1001042832</v>
      </c>
      <c r="D5232" s="78" t="str">
        <f t="shared" si="169"/>
        <v>https://portal.dnb.de/opac.htm?method=simpleSearch&amp;cqlMode=true&amp;query=idn%3D1001042832</v>
      </c>
      <c r="E5232" s="74" t="s">
        <v>7087</v>
      </c>
      <c r="F5232" s="74"/>
      <c r="G5232" s="76"/>
      <c r="H5232" s="77"/>
      <c r="I5232" s="76"/>
      <c r="J5232" s="77"/>
      <c r="K5232" s="77"/>
      <c r="L5232" s="76"/>
      <c r="M5232" s="76"/>
      <c r="N5232" s="76"/>
      <c r="O5232" s="76"/>
      <c r="P5232" s="76"/>
      <c r="Q5232" s="76"/>
      <c r="R5232" s="76"/>
      <c r="S5232" s="76"/>
      <c r="BD5232" s="99">
        <f t="shared" si="170"/>
        <v>0</v>
      </c>
      <c r="CC5232" s="99"/>
      <c r="CV5232" s="99"/>
      <c r="CW5232" s="63"/>
    </row>
    <row r="5233" spans="1:101" x14ac:dyDescent="0.15">
      <c r="A5233" s="76">
        <v>4877</v>
      </c>
      <c r="B5233" s="74" t="s">
        <v>7088</v>
      </c>
      <c r="C5233" s="74">
        <v>1001042727</v>
      </c>
      <c r="D5233" s="78" t="str">
        <f t="shared" si="169"/>
        <v>https://portal.dnb.de/opac.htm?method=simpleSearch&amp;cqlMode=true&amp;query=idn%3D1001042727</v>
      </c>
      <c r="E5233" s="74" t="s">
        <v>7087</v>
      </c>
      <c r="F5233" s="74"/>
      <c r="G5233" s="76"/>
      <c r="H5233" s="77"/>
      <c r="I5233" s="76"/>
      <c r="J5233" s="77"/>
      <c r="K5233" s="77"/>
      <c r="L5233" s="76"/>
      <c r="M5233" s="76"/>
      <c r="N5233" s="76"/>
      <c r="O5233" s="76"/>
      <c r="P5233" s="76"/>
      <c r="Q5233" s="76"/>
      <c r="R5233" s="76"/>
      <c r="S5233" s="76"/>
      <c r="BD5233" s="99">
        <f t="shared" si="170"/>
        <v>0</v>
      </c>
      <c r="CC5233" s="99"/>
      <c r="CV5233" s="99"/>
      <c r="CW5233" s="63"/>
    </row>
    <row r="5234" spans="1:101" ht="33.75" x14ac:dyDescent="0.15">
      <c r="A5234" s="76">
        <v>4878</v>
      </c>
      <c r="B5234" s="74" t="s">
        <v>7219</v>
      </c>
      <c r="C5234" s="74">
        <v>998790850</v>
      </c>
      <c r="D5234" s="78" t="str">
        <f t="shared" si="169"/>
        <v>https://portal.dnb.de/opac.htm?method=simpleSearch&amp;cqlMode=true&amp;query=idn%3D998790850</v>
      </c>
      <c r="E5234" s="74" t="s">
        <v>7220</v>
      </c>
      <c r="F5234" s="74"/>
      <c r="G5234" s="76"/>
      <c r="H5234" s="77" t="s">
        <v>5</v>
      </c>
      <c r="I5234" s="76" t="s">
        <v>53</v>
      </c>
      <c r="J5234" s="77" t="s">
        <v>58</v>
      </c>
      <c r="K5234" s="77" t="s">
        <v>8554</v>
      </c>
      <c r="L5234" s="76"/>
      <c r="M5234" s="76" t="s">
        <v>36</v>
      </c>
      <c r="N5234" s="76" t="s">
        <v>39</v>
      </c>
      <c r="O5234" s="76">
        <v>3</v>
      </c>
      <c r="P5234" s="76"/>
      <c r="Q5234" s="76"/>
      <c r="R5234" s="76"/>
      <c r="S5234" s="76"/>
      <c r="Y5234" s="95" t="s">
        <v>9723</v>
      </c>
      <c r="AC5234" s="95" t="s">
        <v>9739</v>
      </c>
      <c r="AI5234" s="95" t="s">
        <v>9725</v>
      </c>
      <c r="AP5234" s="95" t="s">
        <v>8541</v>
      </c>
      <c r="AQ5234" s="96" t="s">
        <v>10055</v>
      </c>
      <c r="AW5234" s="95" t="s">
        <v>9733</v>
      </c>
      <c r="BC5234" s="96" t="s">
        <v>9734</v>
      </c>
      <c r="BD5234" s="99">
        <f t="shared" si="170"/>
        <v>0</v>
      </c>
      <c r="BJ5234" s="95" t="s">
        <v>9741</v>
      </c>
      <c r="BK5234" s="95" t="s">
        <v>8541</v>
      </c>
      <c r="BL5234" s="70" t="s">
        <v>10057</v>
      </c>
      <c r="BM5234" s="69" t="s">
        <v>10007</v>
      </c>
      <c r="BO5234" s="70" t="s">
        <v>10056</v>
      </c>
      <c r="CC5234" s="99"/>
      <c r="CV5234" s="99"/>
      <c r="CW5234" s="63"/>
    </row>
    <row r="5235" spans="1:101" x14ac:dyDescent="0.15">
      <c r="A5235" s="76">
        <v>4879</v>
      </c>
      <c r="B5235" s="74" t="s">
        <v>7221</v>
      </c>
      <c r="C5235" s="74">
        <v>998399620</v>
      </c>
      <c r="D5235" s="78" t="str">
        <f t="shared" si="169"/>
        <v>https://portal.dnb.de/opac.htm?method=simpleSearch&amp;cqlMode=true&amp;query=idn%3D998399620</v>
      </c>
      <c r="E5235" s="74" t="s">
        <v>7222</v>
      </c>
      <c r="F5235" s="74"/>
      <c r="G5235" s="76"/>
      <c r="H5235" s="77" t="s">
        <v>5</v>
      </c>
      <c r="I5235" s="76" t="s">
        <v>53</v>
      </c>
      <c r="J5235" s="77" t="s">
        <v>58</v>
      </c>
      <c r="K5235" s="77"/>
      <c r="L5235" s="76"/>
      <c r="M5235" s="76" t="s">
        <v>36</v>
      </c>
      <c r="N5235" s="76" t="s">
        <v>39</v>
      </c>
      <c r="O5235" s="76">
        <v>3</v>
      </c>
      <c r="P5235" s="76"/>
      <c r="Q5235" s="76"/>
      <c r="R5235" s="76"/>
      <c r="S5235" s="76"/>
      <c r="BD5235" s="99">
        <f t="shared" si="170"/>
        <v>0</v>
      </c>
      <c r="CC5235" s="99"/>
      <c r="CV5235" s="99"/>
      <c r="CW5235" s="63"/>
    </row>
    <row r="5236" spans="1:101" x14ac:dyDescent="0.15">
      <c r="A5236" s="76">
        <v>4880</v>
      </c>
      <c r="B5236" s="74" t="s">
        <v>7232</v>
      </c>
      <c r="C5236" s="74">
        <v>997718625</v>
      </c>
      <c r="D5236" s="78" t="str">
        <f t="shared" si="169"/>
        <v>https://portal.dnb.de/opac.htm?method=simpleSearch&amp;cqlMode=true&amp;query=idn%3D997718625</v>
      </c>
      <c r="E5236" s="74" t="s">
        <v>7233</v>
      </c>
      <c r="F5236" s="74"/>
      <c r="G5236" s="76"/>
      <c r="H5236" s="77"/>
      <c r="I5236" s="76"/>
      <c r="J5236" s="77"/>
      <c r="K5236" s="77"/>
      <c r="L5236" s="76"/>
      <c r="M5236" s="76"/>
      <c r="N5236" s="76"/>
      <c r="O5236" s="76"/>
      <c r="P5236" s="76"/>
      <c r="Q5236" s="76"/>
      <c r="R5236" s="76"/>
      <c r="S5236" s="76"/>
      <c r="BD5236" s="99">
        <f t="shared" si="170"/>
        <v>0</v>
      </c>
      <c r="CC5236" s="99"/>
      <c r="CV5236" s="99"/>
      <c r="CW5236" s="63"/>
    </row>
    <row r="5237" spans="1:101" x14ac:dyDescent="0.15">
      <c r="A5237" s="76">
        <v>4881</v>
      </c>
      <c r="B5237" s="74" t="s">
        <v>7234</v>
      </c>
      <c r="C5237" s="74">
        <v>1000276945</v>
      </c>
      <c r="D5237" s="78" t="str">
        <f t="shared" si="169"/>
        <v>https://portal.dnb.de/opac.htm?method=simpleSearch&amp;cqlMode=true&amp;query=idn%3D1000276945</v>
      </c>
      <c r="E5237" s="74" t="s">
        <v>7233</v>
      </c>
      <c r="F5237" s="74"/>
      <c r="G5237" s="76"/>
      <c r="H5237" s="77"/>
      <c r="I5237" s="76"/>
      <c r="J5237" s="77"/>
      <c r="K5237" s="77"/>
      <c r="L5237" s="76"/>
      <c r="M5237" s="76"/>
      <c r="N5237" s="76"/>
      <c r="O5237" s="76"/>
      <c r="P5237" s="76"/>
      <c r="Q5237" s="76"/>
      <c r="R5237" s="76"/>
      <c r="S5237" s="76"/>
      <c r="BD5237" s="99">
        <f t="shared" si="170"/>
        <v>0</v>
      </c>
      <c r="CC5237" s="99"/>
      <c r="CV5237" s="99"/>
      <c r="CW5237" s="63"/>
    </row>
    <row r="5238" spans="1:101" x14ac:dyDescent="0.15">
      <c r="A5238" s="76">
        <v>4882</v>
      </c>
      <c r="B5238" s="74" t="s">
        <v>7237</v>
      </c>
      <c r="C5238" s="74">
        <v>999389416</v>
      </c>
      <c r="D5238" s="78" t="str">
        <f t="shared" si="169"/>
        <v>https://portal.dnb.de/opac.htm?method=simpleSearch&amp;cqlMode=true&amp;query=idn%3D999389416</v>
      </c>
      <c r="E5238" s="74" t="s">
        <v>7238</v>
      </c>
      <c r="F5238" s="74"/>
      <c r="G5238" s="76"/>
      <c r="H5238" s="77"/>
      <c r="I5238" s="76"/>
      <c r="J5238" s="77"/>
      <c r="K5238" s="77"/>
      <c r="L5238" s="76"/>
      <c r="M5238" s="76"/>
      <c r="N5238" s="76"/>
      <c r="O5238" s="76"/>
      <c r="P5238" s="76"/>
      <c r="Q5238" s="76"/>
      <c r="R5238" s="76"/>
      <c r="S5238" s="76"/>
      <c r="BD5238" s="99">
        <f t="shared" si="170"/>
        <v>0</v>
      </c>
      <c r="CC5238" s="99"/>
      <c r="CV5238" s="99"/>
      <c r="CW5238" s="63"/>
    </row>
    <row r="5239" spans="1:101" x14ac:dyDescent="0.15">
      <c r="A5239" s="76">
        <v>4883</v>
      </c>
      <c r="B5239" s="74" t="s">
        <v>7239</v>
      </c>
      <c r="C5239" s="74">
        <v>998891398</v>
      </c>
      <c r="D5239" s="78" t="str">
        <f t="shared" si="169"/>
        <v>https://portal.dnb.de/opac.htm?method=simpleSearch&amp;cqlMode=true&amp;query=idn%3D998891398</v>
      </c>
      <c r="E5239" s="74" t="s">
        <v>7240</v>
      </c>
      <c r="F5239" s="74"/>
      <c r="G5239" s="76"/>
      <c r="H5239" s="77"/>
      <c r="I5239" s="76"/>
      <c r="J5239" s="77"/>
      <c r="K5239" s="77"/>
      <c r="L5239" s="76"/>
      <c r="M5239" s="76"/>
      <c r="N5239" s="76"/>
      <c r="O5239" s="76"/>
      <c r="P5239" s="76"/>
      <c r="Q5239" s="76"/>
      <c r="R5239" s="76"/>
      <c r="S5239" s="76"/>
      <c r="BD5239" s="99">
        <f t="shared" si="170"/>
        <v>0</v>
      </c>
      <c r="CC5239" s="99"/>
      <c r="CV5239" s="99"/>
      <c r="CW5239" s="63"/>
    </row>
    <row r="5240" spans="1:101" x14ac:dyDescent="0.15">
      <c r="A5240" s="76">
        <v>4884</v>
      </c>
      <c r="B5240" s="74" t="s">
        <v>7235</v>
      </c>
      <c r="C5240" s="74">
        <v>999966936</v>
      </c>
      <c r="D5240" s="78" t="str">
        <f t="shared" si="169"/>
        <v>https://portal.dnb.de/opac.htm?method=simpleSearch&amp;cqlMode=true&amp;query=idn%3D999966936</v>
      </c>
      <c r="E5240" s="74" t="s">
        <v>7236</v>
      </c>
      <c r="F5240" s="74"/>
      <c r="G5240" s="76"/>
      <c r="H5240" s="77"/>
      <c r="I5240" s="76"/>
      <c r="J5240" s="77"/>
      <c r="K5240" s="77"/>
      <c r="L5240" s="76"/>
      <c r="M5240" s="76"/>
      <c r="N5240" s="76"/>
      <c r="O5240" s="76"/>
      <c r="P5240" s="76"/>
      <c r="Q5240" s="76"/>
      <c r="R5240" s="76"/>
      <c r="S5240" s="76"/>
      <c r="BD5240" s="99">
        <f t="shared" si="170"/>
        <v>0</v>
      </c>
      <c r="CC5240" s="99"/>
      <c r="CV5240" s="99"/>
      <c r="CW5240" s="63"/>
    </row>
    <row r="5241" spans="1:101" ht="22.5" x14ac:dyDescent="0.15">
      <c r="A5241" s="76">
        <v>4885</v>
      </c>
      <c r="B5241" s="74" t="s">
        <v>7867</v>
      </c>
      <c r="C5241" s="74">
        <v>1002338131</v>
      </c>
      <c r="D5241" s="78" t="str">
        <f t="shared" si="169"/>
        <v>https://portal.dnb.de/opac.htm?method=simpleSearch&amp;cqlMode=true&amp;query=idn%3D1002338131</v>
      </c>
      <c r="E5241" s="74" t="s">
        <v>7868</v>
      </c>
      <c r="F5241" s="74"/>
      <c r="G5241" s="76" t="s">
        <v>8515</v>
      </c>
      <c r="H5241" s="77" t="s">
        <v>18</v>
      </c>
      <c r="I5241" s="76" t="s">
        <v>53</v>
      </c>
      <c r="J5241" s="77" t="s">
        <v>58</v>
      </c>
      <c r="K5241" s="77" t="s">
        <v>8565</v>
      </c>
      <c r="L5241" s="76"/>
      <c r="M5241" s="76"/>
      <c r="N5241" s="76" t="s">
        <v>8660</v>
      </c>
      <c r="O5241" s="76">
        <v>0</v>
      </c>
      <c r="P5241" s="76"/>
      <c r="Q5241" s="76"/>
      <c r="R5241" s="76"/>
      <c r="S5241" s="76"/>
      <c r="BD5241" s="99">
        <f t="shared" si="170"/>
        <v>0</v>
      </c>
      <c r="CC5241" s="99"/>
      <c r="CV5241" s="99"/>
      <c r="CW5241" s="63"/>
    </row>
    <row r="5242" spans="1:101" ht="22.5" x14ac:dyDescent="0.15">
      <c r="A5242" s="76">
        <v>4886</v>
      </c>
      <c r="B5242" s="74" t="s">
        <v>7865</v>
      </c>
      <c r="C5242" s="74" t="s">
        <v>7866</v>
      </c>
      <c r="D5242" s="78" t="str">
        <f t="shared" si="169"/>
        <v>https://portal.dnb.de/opac.htm?method=simpleSearch&amp;cqlMode=true&amp;query=idn%3D99623277X</v>
      </c>
      <c r="E5242" s="74" t="s">
        <v>8537</v>
      </c>
      <c r="F5242" s="74"/>
      <c r="G5242" s="76" t="s">
        <v>8515</v>
      </c>
      <c r="H5242" s="77" t="s">
        <v>8547</v>
      </c>
      <c r="I5242" s="76" t="s">
        <v>53</v>
      </c>
      <c r="J5242" s="77" t="s">
        <v>8516</v>
      </c>
      <c r="K5242" s="77" t="s">
        <v>8565</v>
      </c>
      <c r="L5242" s="76"/>
      <c r="M5242" s="76" t="s">
        <v>37</v>
      </c>
      <c r="N5242" s="76" t="s">
        <v>8660</v>
      </c>
      <c r="O5242" s="76">
        <v>2</v>
      </c>
      <c r="P5242" s="76"/>
      <c r="Q5242" s="76"/>
      <c r="R5242" s="76"/>
      <c r="S5242" s="76"/>
      <c r="Y5242" s="95" t="s">
        <v>9763</v>
      </c>
      <c r="AC5242" s="95" t="s">
        <v>9730</v>
      </c>
      <c r="AI5242" s="95" t="s">
        <v>9725</v>
      </c>
      <c r="AU5242" s="95">
        <v>0</v>
      </c>
      <c r="AV5242" s="95" t="s">
        <v>8541</v>
      </c>
      <c r="AW5242" s="95">
        <v>110</v>
      </c>
      <c r="BC5242" s="96" t="s">
        <v>9726</v>
      </c>
      <c r="BD5242" s="99">
        <f t="shared" si="170"/>
        <v>2</v>
      </c>
      <c r="BH5242" s="95" t="s">
        <v>8541</v>
      </c>
      <c r="BP5242" s="69" t="s">
        <v>8541</v>
      </c>
      <c r="BR5242" s="95" t="s">
        <v>8541</v>
      </c>
      <c r="BT5242" s="95" t="s">
        <v>9737</v>
      </c>
      <c r="BX5242" s="95" t="s">
        <v>8541</v>
      </c>
      <c r="CC5242" s="99">
        <v>2</v>
      </c>
      <c r="CD5242" s="90" t="s">
        <v>10081</v>
      </c>
      <c r="CV5242" s="99"/>
      <c r="CW5242" s="63"/>
    </row>
    <row r="5243" spans="1:101" x14ac:dyDescent="0.15">
      <c r="A5243" s="76">
        <v>4887</v>
      </c>
      <c r="B5243" s="74" t="s">
        <v>7877</v>
      </c>
      <c r="C5243" s="74">
        <v>1003376258</v>
      </c>
      <c r="D5243" s="78" t="str">
        <f t="shared" si="169"/>
        <v>https://portal.dnb.de/opac.htm?method=simpleSearch&amp;cqlMode=true&amp;query=idn%3D1003376258</v>
      </c>
      <c r="E5243" s="74" t="s">
        <v>7878</v>
      </c>
      <c r="F5243" s="74"/>
      <c r="G5243" s="76" t="s">
        <v>8515</v>
      </c>
      <c r="H5243" s="77" t="s">
        <v>17</v>
      </c>
      <c r="I5243" s="76" t="s">
        <v>53</v>
      </c>
      <c r="J5243" s="77" t="s">
        <v>8516</v>
      </c>
      <c r="K5243" s="77"/>
      <c r="L5243" s="76"/>
      <c r="M5243" s="76" t="s">
        <v>36</v>
      </c>
      <c r="N5243" s="76" t="s">
        <v>39</v>
      </c>
      <c r="O5243" s="76">
        <v>0</v>
      </c>
      <c r="P5243" s="76"/>
      <c r="Q5243" s="76"/>
      <c r="R5243" s="76"/>
      <c r="S5243" s="76"/>
      <c r="BD5243" s="99">
        <f t="shared" si="170"/>
        <v>0</v>
      </c>
      <c r="CC5243" s="99"/>
      <c r="CV5243" s="99"/>
      <c r="CW5243" s="63"/>
    </row>
    <row r="5244" spans="1:101" x14ac:dyDescent="0.15">
      <c r="A5244" s="76">
        <v>4888</v>
      </c>
      <c r="B5244" s="74" t="s">
        <v>7879</v>
      </c>
      <c r="C5244" s="74">
        <v>1003376517</v>
      </c>
      <c r="D5244" s="78" t="str">
        <f t="shared" si="169"/>
        <v>https://portal.dnb.de/opac.htm?method=simpleSearch&amp;cqlMode=true&amp;query=idn%3D1003376517</v>
      </c>
      <c r="E5244" s="74" t="s">
        <v>7878</v>
      </c>
      <c r="F5244" s="74"/>
      <c r="G5244" s="76"/>
      <c r="H5244" s="77"/>
      <c r="I5244" s="76"/>
      <c r="J5244" s="77"/>
      <c r="K5244" s="77"/>
      <c r="L5244" s="76"/>
      <c r="M5244" s="76"/>
      <c r="N5244" s="76"/>
      <c r="O5244" s="76"/>
      <c r="P5244" s="76"/>
      <c r="Q5244" s="76"/>
      <c r="R5244" s="76"/>
      <c r="S5244" s="76"/>
      <c r="BD5244" s="99">
        <f t="shared" si="170"/>
        <v>0</v>
      </c>
      <c r="CC5244" s="99"/>
      <c r="CV5244" s="99"/>
      <c r="CW5244" s="63"/>
    </row>
    <row r="5245" spans="1:101" x14ac:dyDescent="0.15">
      <c r="A5245" s="76">
        <v>4889</v>
      </c>
      <c r="B5245" s="74" t="s">
        <v>8261</v>
      </c>
      <c r="C5245" s="74">
        <v>998511544</v>
      </c>
      <c r="D5245" s="78" t="str">
        <f t="shared" si="169"/>
        <v>https://portal.dnb.de/opac.htm?method=simpleSearch&amp;cqlMode=true&amp;query=idn%3D998511544</v>
      </c>
      <c r="E5245" s="74" t="s">
        <v>8262</v>
      </c>
      <c r="F5245" s="74"/>
      <c r="G5245" s="76"/>
      <c r="H5245" s="77"/>
      <c r="I5245" s="76"/>
      <c r="J5245" s="77"/>
      <c r="K5245" s="77"/>
      <c r="L5245" s="76"/>
      <c r="M5245" s="76"/>
      <c r="N5245" s="76"/>
      <c r="O5245" s="76"/>
      <c r="P5245" s="76"/>
      <c r="Q5245" s="76"/>
      <c r="R5245" s="76"/>
      <c r="S5245" s="76"/>
      <c r="BD5245" s="99">
        <f t="shared" si="170"/>
        <v>0</v>
      </c>
      <c r="CC5245" s="99"/>
      <c r="CV5245" s="99"/>
      <c r="CW5245" s="63"/>
    </row>
    <row r="5246" spans="1:101" x14ac:dyDescent="0.15">
      <c r="A5246" s="76">
        <v>4890</v>
      </c>
      <c r="B5246" s="74" t="s">
        <v>8263</v>
      </c>
      <c r="C5246" s="74">
        <v>998511528</v>
      </c>
      <c r="D5246" s="78" t="str">
        <f t="shared" si="169"/>
        <v>https://portal.dnb.de/opac.htm?method=simpleSearch&amp;cqlMode=true&amp;query=idn%3D998511528</v>
      </c>
      <c r="E5246" s="74" t="s">
        <v>8262</v>
      </c>
      <c r="F5246" s="74"/>
      <c r="G5246" s="76"/>
      <c r="H5246" s="77"/>
      <c r="I5246" s="76"/>
      <c r="J5246" s="77"/>
      <c r="K5246" s="77"/>
      <c r="L5246" s="76"/>
      <c r="M5246" s="76"/>
      <c r="N5246" s="76"/>
      <c r="O5246" s="76"/>
      <c r="P5246" s="76"/>
      <c r="Q5246" s="76"/>
      <c r="R5246" s="76"/>
      <c r="S5246" s="76"/>
      <c r="BD5246" s="99">
        <f t="shared" si="170"/>
        <v>0</v>
      </c>
      <c r="CC5246" s="99"/>
      <c r="CV5246" s="99"/>
      <c r="CW5246" s="63"/>
    </row>
    <row r="5247" spans="1:101" x14ac:dyDescent="0.15">
      <c r="A5247" s="76">
        <v>4891</v>
      </c>
      <c r="B5247" s="74" t="s">
        <v>8264</v>
      </c>
      <c r="C5247" s="74">
        <v>994083386</v>
      </c>
      <c r="D5247" s="78" t="str">
        <f t="shared" ref="D5247:D5256" si="171">HYPERLINK(CONCATENATE("https://portal.dnb.de/opac.htm?method=simpleSearch&amp;cqlMode=true&amp;query=idn%3D",C5247))</f>
        <v>https://portal.dnb.de/opac.htm?method=simpleSearch&amp;cqlMode=true&amp;query=idn%3D994083386</v>
      </c>
      <c r="E5247" s="74" t="s">
        <v>8265</v>
      </c>
      <c r="F5247" s="74"/>
      <c r="G5247" s="76"/>
      <c r="H5247" s="77"/>
      <c r="I5247" s="76"/>
      <c r="J5247" s="77"/>
      <c r="K5247" s="77"/>
      <c r="L5247" s="76"/>
      <c r="M5247" s="76"/>
      <c r="N5247" s="76"/>
      <c r="O5247" s="76"/>
      <c r="P5247" s="76"/>
      <c r="Q5247" s="76"/>
      <c r="R5247" s="76"/>
      <c r="S5247" s="76"/>
      <c r="BD5247" s="99">
        <f t="shared" si="170"/>
        <v>0</v>
      </c>
      <c r="CC5247" s="99"/>
      <c r="CV5247" s="99"/>
      <c r="CW5247" s="63"/>
    </row>
    <row r="5248" spans="1:101" ht="22.5" x14ac:dyDescent="0.15">
      <c r="A5248" s="76">
        <v>4892</v>
      </c>
      <c r="B5248" s="74" t="s">
        <v>8266</v>
      </c>
      <c r="C5248" s="74">
        <v>1002498546</v>
      </c>
      <c r="D5248" s="78" t="str">
        <f t="shared" si="171"/>
        <v>https://portal.dnb.de/opac.htm?method=simpleSearch&amp;cqlMode=true&amp;query=idn%3D1002498546</v>
      </c>
      <c r="E5248" s="74" t="s">
        <v>8267</v>
      </c>
      <c r="F5248" s="74"/>
      <c r="G5248" s="76" t="s">
        <v>8515</v>
      </c>
      <c r="H5248" s="77" t="s">
        <v>4</v>
      </c>
      <c r="I5248" s="76" t="s">
        <v>55</v>
      </c>
      <c r="J5248" s="77" t="s">
        <v>8516</v>
      </c>
      <c r="K5248" s="77" t="s">
        <v>87</v>
      </c>
      <c r="L5248" s="76"/>
      <c r="M5248" s="76" t="s">
        <v>36</v>
      </c>
      <c r="N5248" s="76" t="s">
        <v>39</v>
      </c>
      <c r="O5248" s="76">
        <v>0</v>
      </c>
      <c r="P5248" s="76"/>
      <c r="Q5248" s="76"/>
      <c r="R5248" s="76"/>
      <c r="S5248" s="76"/>
      <c r="Y5248" s="95" t="s">
        <v>9729</v>
      </c>
      <c r="AB5248" s="95" t="s">
        <v>8541</v>
      </c>
      <c r="AC5248" s="95" t="s">
        <v>9730</v>
      </c>
      <c r="AI5248" s="95" t="s">
        <v>9725</v>
      </c>
      <c r="AP5248" s="95" t="s">
        <v>8541</v>
      </c>
      <c r="AQ5248" s="96" t="s">
        <v>10370</v>
      </c>
      <c r="AW5248" s="95">
        <v>110</v>
      </c>
      <c r="BC5248" s="96" t="s">
        <v>9734</v>
      </c>
      <c r="BD5248" s="99">
        <f t="shared" si="170"/>
        <v>0</v>
      </c>
      <c r="BJ5248" s="95" t="s">
        <v>9741</v>
      </c>
      <c r="BK5248" s="95" t="s">
        <v>8541</v>
      </c>
      <c r="CC5248" s="99"/>
      <c r="CV5248" s="99"/>
      <c r="CW5248" s="63"/>
    </row>
    <row r="5249" spans="1:101" x14ac:dyDescent="0.15">
      <c r="A5249" s="76">
        <v>4893</v>
      </c>
      <c r="B5249" s="74" t="s">
        <v>8268</v>
      </c>
      <c r="C5249" s="74">
        <v>994063601</v>
      </c>
      <c r="D5249" s="78" t="str">
        <f t="shared" si="171"/>
        <v>https://portal.dnb.de/opac.htm?method=simpleSearch&amp;cqlMode=true&amp;query=idn%3D994063601</v>
      </c>
      <c r="E5249" s="74" t="s">
        <v>8269</v>
      </c>
      <c r="F5249" s="74"/>
      <c r="G5249" s="76"/>
      <c r="H5249" s="77"/>
      <c r="I5249" s="76"/>
      <c r="J5249" s="77"/>
      <c r="K5249" s="77"/>
      <c r="L5249" s="76"/>
      <c r="M5249" s="76"/>
      <c r="N5249" s="76"/>
      <c r="O5249" s="76"/>
      <c r="P5249" s="76"/>
      <c r="Q5249" s="76"/>
      <c r="R5249" s="76"/>
      <c r="S5249" s="76"/>
      <c r="BD5249" s="99">
        <f t="shared" si="170"/>
        <v>0</v>
      </c>
      <c r="CC5249" s="99"/>
      <c r="CV5249" s="99"/>
      <c r="CW5249" s="63"/>
    </row>
    <row r="5250" spans="1:101" x14ac:dyDescent="0.15">
      <c r="A5250" s="76">
        <v>4894</v>
      </c>
      <c r="B5250" s="74" t="s">
        <v>8270</v>
      </c>
      <c r="C5250" s="74">
        <v>994063571</v>
      </c>
      <c r="D5250" s="78" t="str">
        <f t="shared" si="171"/>
        <v>https://portal.dnb.de/opac.htm?method=simpleSearch&amp;cqlMode=true&amp;query=idn%3D994063571</v>
      </c>
      <c r="E5250" s="74" t="s">
        <v>8269</v>
      </c>
      <c r="F5250" s="74"/>
      <c r="G5250" s="76"/>
      <c r="H5250" s="77"/>
      <c r="I5250" s="76"/>
      <c r="J5250" s="77"/>
      <c r="K5250" s="77"/>
      <c r="L5250" s="76"/>
      <c r="M5250" s="76"/>
      <c r="N5250" s="76"/>
      <c r="O5250" s="76"/>
      <c r="P5250" s="76"/>
      <c r="Q5250" s="76"/>
      <c r="R5250" s="76"/>
      <c r="S5250" s="76"/>
      <c r="BD5250" s="99">
        <f t="shared" si="170"/>
        <v>0</v>
      </c>
      <c r="CC5250" s="99"/>
      <c r="CV5250" s="99"/>
      <c r="CW5250" s="63"/>
    </row>
    <row r="5251" spans="1:101" x14ac:dyDescent="0.15">
      <c r="A5251" s="76">
        <v>4895</v>
      </c>
      <c r="B5251" s="74" t="s">
        <v>8509</v>
      </c>
      <c r="C5251" s="74">
        <v>1191709469</v>
      </c>
      <c r="D5251" s="78" t="str">
        <f t="shared" si="171"/>
        <v>https://portal.dnb.de/opac.htm?method=simpleSearch&amp;cqlMode=true&amp;query=idn%3D1191709469</v>
      </c>
      <c r="E5251" s="74" t="s">
        <v>8538</v>
      </c>
      <c r="F5251" s="74"/>
      <c r="G5251" s="76"/>
      <c r="H5251" s="77"/>
      <c r="I5251" s="76"/>
      <c r="J5251" s="77"/>
      <c r="K5251" s="77"/>
      <c r="L5251" s="76"/>
      <c r="M5251" s="76"/>
      <c r="N5251" s="76"/>
      <c r="O5251" s="76"/>
      <c r="P5251" s="76"/>
      <c r="Q5251" s="76"/>
      <c r="R5251" s="76"/>
      <c r="S5251" s="76"/>
      <c r="BD5251" s="99">
        <f t="shared" ref="BD5251:BD5256" si="172">CC5251+CV5251</f>
        <v>0</v>
      </c>
      <c r="CC5251" s="99"/>
      <c r="CV5251" s="99"/>
      <c r="CW5251" s="63"/>
    </row>
    <row r="5252" spans="1:101" ht="22.5" x14ac:dyDescent="0.15">
      <c r="A5252" s="76">
        <v>4896</v>
      </c>
      <c r="B5252" s="74" t="s">
        <v>8304</v>
      </c>
      <c r="C5252" s="74">
        <v>1000191788</v>
      </c>
      <c r="D5252" s="78" t="str">
        <f t="shared" si="171"/>
        <v>https://portal.dnb.de/opac.htm?method=simpleSearch&amp;cqlMode=true&amp;query=idn%3D1000191788</v>
      </c>
      <c r="E5252" s="74" t="s">
        <v>8305</v>
      </c>
      <c r="F5252" s="74"/>
      <c r="G5252" s="76" t="s">
        <v>8515</v>
      </c>
      <c r="H5252" s="77" t="s">
        <v>18</v>
      </c>
      <c r="I5252" s="76" t="s">
        <v>53</v>
      </c>
      <c r="J5252" s="77" t="s">
        <v>8516</v>
      </c>
      <c r="K5252" s="77" t="s">
        <v>72</v>
      </c>
      <c r="L5252" s="76"/>
      <c r="M5252" s="76" t="s">
        <v>36</v>
      </c>
      <c r="N5252" s="76" t="s">
        <v>39</v>
      </c>
      <c r="O5252" s="76">
        <v>1</v>
      </c>
      <c r="P5252" s="76"/>
      <c r="Q5252" s="76"/>
      <c r="R5252" s="76"/>
      <c r="S5252" s="76"/>
      <c r="BD5252" s="99">
        <f t="shared" si="172"/>
        <v>0</v>
      </c>
      <c r="CC5252" s="99"/>
      <c r="CV5252" s="99"/>
      <c r="CW5252" s="63"/>
    </row>
    <row r="5253" spans="1:101" x14ac:dyDescent="0.15">
      <c r="A5253" s="76">
        <v>4897</v>
      </c>
      <c r="B5253" s="74" t="s">
        <v>8476</v>
      </c>
      <c r="C5253" s="74" t="s">
        <v>8477</v>
      </c>
      <c r="D5253" s="78" t="str">
        <f t="shared" si="171"/>
        <v>https://portal.dnb.de/opac.htm?method=simpleSearch&amp;cqlMode=true&amp;query=idn%3D100114855X</v>
      </c>
      <c r="E5253" s="74" t="s">
        <v>8478</v>
      </c>
      <c r="F5253" s="74"/>
      <c r="G5253" s="76"/>
      <c r="H5253" s="77"/>
      <c r="I5253" s="76"/>
      <c r="J5253" s="77"/>
      <c r="K5253" s="77"/>
      <c r="L5253" s="76"/>
      <c r="M5253" s="76"/>
      <c r="N5253" s="76"/>
      <c r="O5253" s="76"/>
      <c r="P5253" s="76"/>
      <c r="Q5253" s="76"/>
      <c r="R5253" s="76"/>
      <c r="S5253" s="76"/>
      <c r="BD5253" s="99">
        <f t="shared" si="172"/>
        <v>0</v>
      </c>
      <c r="CC5253" s="99"/>
      <c r="CV5253" s="99"/>
      <c r="CW5253" s="63"/>
    </row>
    <row r="5254" spans="1:101" ht="22.5" x14ac:dyDescent="0.15">
      <c r="A5254" s="76">
        <v>4898</v>
      </c>
      <c r="B5254" s="74" t="s">
        <v>8479</v>
      </c>
      <c r="C5254" s="74">
        <v>1001813073</v>
      </c>
      <c r="D5254" s="78" t="str">
        <f t="shared" si="171"/>
        <v>https://portal.dnb.de/opac.htm?method=simpleSearch&amp;cqlMode=true&amp;query=idn%3D1001813073</v>
      </c>
      <c r="E5254" s="74" t="s">
        <v>8478</v>
      </c>
      <c r="F5254" s="74"/>
      <c r="G5254" s="76" t="s">
        <v>8515</v>
      </c>
      <c r="H5254" s="77" t="s">
        <v>48</v>
      </c>
      <c r="I5254" s="76" t="s">
        <v>53</v>
      </c>
      <c r="J5254" s="77" t="s">
        <v>89</v>
      </c>
      <c r="K5254" s="77" t="s">
        <v>8552</v>
      </c>
      <c r="L5254" s="76"/>
      <c r="M5254" s="76" t="s">
        <v>38</v>
      </c>
      <c r="N5254" s="76" t="s">
        <v>40</v>
      </c>
      <c r="O5254" s="76">
        <v>0</v>
      </c>
      <c r="P5254" s="76"/>
      <c r="Q5254" s="76"/>
      <c r="R5254" s="76"/>
      <c r="S5254" s="76"/>
      <c r="BD5254" s="99">
        <f t="shared" si="172"/>
        <v>0</v>
      </c>
      <c r="CC5254" s="99"/>
      <c r="CV5254" s="99"/>
      <c r="CW5254" s="63"/>
    </row>
    <row r="5255" spans="1:101" x14ac:dyDescent="0.15">
      <c r="A5255" s="76">
        <v>4899</v>
      </c>
      <c r="B5255" s="74" t="s">
        <v>8480</v>
      </c>
      <c r="C5255" s="74">
        <v>1002482879</v>
      </c>
      <c r="D5255" s="82" t="str">
        <f>HYPERLINK(CONCATENATE("https://portal.dnb.de/opac.htm?method=simpleSearch&amp;cqlMode=true&amp;query=idn%3D",C5255))</f>
        <v>https://portal.dnb.de/opac.htm?method=simpleSearch&amp;cqlMode=true&amp;query=idn%3D1002482879</v>
      </c>
      <c r="E5255" s="74" t="s">
        <v>8478</v>
      </c>
      <c r="F5255" s="74"/>
      <c r="G5255" s="76"/>
      <c r="H5255" s="77"/>
      <c r="I5255" s="76"/>
      <c r="J5255" s="77"/>
      <c r="K5255" s="77"/>
      <c r="L5255" s="76"/>
      <c r="M5255" s="76"/>
      <c r="N5255" s="76"/>
      <c r="O5255" s="76"/>
      <c r="P5255" s="76"/>
      <c r="Q5255" s="76"/>
      <c r="R5255" s="76"/>
      <c r="S5255" s="76"/>
      <c r="BD5255" s="99">
        <f t="shared" si="172"/>
        <v>0</v>
      </c>
      <c r="CC5255" s="99"/>
      <c r="CV5255" s="99"/>
      <c r="CW5255" s="63"/>
    </row>
    <row r="5256" spans="1:101" ht="22.5" x14ac:dyDescent="0.15">
      <c r="A5256" s="76">
        <v>4900</v>
      </c>
      <c r="B5256" s="74" t="s">
        <v>8481</v>
      </c>
      <c r="C5256" s="74">
        <v>1034113097</v>
      </c>
      <c r="D5256" s="78" t="str">
        <f t="shared" si="171"/>
        <v>https://portal.dnb.de/opac.htm?method=simpleSearch&amp;cqlMode=true&amp;query=idn%3D1034113097</v>
      </c>
      <c r="E5256" s="74" t="s">
        <v>8482</v>
      </c>
      <c r="F5256" s="74"/>
      <c r="G5256" s="76"/>
      <c r="H5256" s="77" t="s">
        <v>18</v>
      </c>
      <c r="I5256" s="76" t="s">
        <v>53</v>
      </c>
      <c r="J5256" s="77" t="s">
        <v>8516</v>
      </c>
      <c r="K5256" s="77"/>
      <c r="L5256" s="76"/>
      <c r="M5256" s="76" t="s">
        <v>36</v>
      </c>
      <c r="N5256" s="76" t="s">
        <v>39</v>
      </c>
      <c r="O5256" s="76">
        <v>0</v>
      </c>
      <c r="P5256" s="76"/>
      <c r="Q5256" s="76" t="s">
        <v>9040</v>
      </c>
      <c r="R5256" s="76"/>
      <c r="S5256" s="76"/>
      <c r="BD5256" s="99">
        <f t="shared" si="172"/>
        <v>0</v>
      </c>
      <c r="CC5256" s="99"/>
      <c r="CV5256" s="99"/>
      <c r="CW5256" s="63"/>
    </row>
    <row r="5258" spans="1:101" s="63" customFormat="1" x14ac:dyDescent="0.15">
      <c r="A5258" s="100"/>
      <c r="B5258" s="91"/>
      <c r="C5258" s="91"/>
      <c r="D5258" s="101"/>
      <c r="E5258" s="102">
        <f>COUNTIF(E2:E5256,"&lt;&gt;")</f>
        <v>5253</v>
      </c>
      <c r="F5258" s="102"/>
      <c r="G5258" s="100"/>
      <c r="H5258" s="103"/>
      <c r="I5258" s="102">
        <f>COUNTIF(I$2:I$5256,"bis 25 cm")</f>
        <v>1927</v>
      </c>
      <c r="J5258" s="104"/>
      <c r="K5258" s="105"/>
      <c r="L5258" s="106"/>
      <c r="M5258" s="106"/>
      <c r="N5258" s="106"/>
      <c r="O5258" s="106"/>
      <c r="P5258" s="106"/>
      <c r="Q5258" s="106"/>
      <c r="R5258" s="106"/>
      <c r="S5258" s="106"/>
      <c r="T5258" s="102">
        <f>COUNTIF(T2:T5256,"*")</f>
        <v>0</v>
      </c>
      <c r="U5258" s="102">
        <f>COUNTIF(U2:U5256,"&lt;&gt;")</f>
        <v>46</v>
      </c>
      <c r="V5258" s="102">
        <f>COUNTIF(V2:V5256,"&lt;&gt;")</f>
        <v>1</v>
      </c>
      <c r="W5258" s="102">
        <f>COUNTIF(W2:W5256,"&lt;&gt;")</f>
        <v>4</v>
      </c>
      <c r="X5258" s="102">
        <f>COUNTIF(X2:X5256,"x")</f>
        <v>44</v>
      </c>
      <c r="Y5258" s="102">
        <f>COUNTIF(Y$2:Y$5256,"Pa")</f>
        <v>62</v>
      </c>
      <c r="Z5258" s="102"/>
      <c r="AA5258" s="102">
        <f>COUNTIF(AA2:AA5256,"x")</f>
        <v>103</v>
      </c>
      <c r="AB5258" s="102">
        <f>COUNTIF(AB2:AB5256,"x")</f>
        <v>76</v>
      </c>
      <c r="AC5258" s="102">
        <f>COUNTIF(AC$2:AC$5256,"f")</f>
        <v>83</v>
      </c>
      <c r="AD5258" s="102">
        <f>COUNTIF(AD2:AD5256,"x")</f>
        <v>22</v>
      </c>
      <c r="AE5258" s="102">
        <f>COUNTIF(AE$2:AE$5256,"x")</f>
        <v>16</v>
      </c>
      <c r="AF5258" s="102">
        <f>COUNTIF(AF2:AF5256,"x")</f>
        <v>8</v>
      </c>
      <c r="AG5258" s="102">
        <f>COUNTIF(AG2:AG5256,"x")</f>
        <v>1</v>
      </c>
      <c r="AH5258" s="102">
        <f>COUNTIF(AH2:AH5256,"x")</f>
        <v>2</v>
      </c>
      <c r="AI5258" s="102">
        <f>COUNTIF(AI$2:AI$5256,"Pa")</f>
        <v>573</v>
      </c>
      <c r="AJ5258" s="102">
        <f>COUNTIF(AJ2:AJ5256,"x")</f>
        <v>10</v>
      </c>
      <c r="AK5258" s="102">
        <f>COUNTIF(AK2:AK5256,"x")</f>
        <v>5</v>
      </c>
      <c r="AL5258" s="102">
        <f>COUNTIF(AL2:AL5256,"x")</f>
        <v>5</v>
      </c>
      <c r="AM5258" s="102">
        <f>COUNTIF(AM$2:AM$5256,"x")</f>
        <v>5</v>
      </c>
      <c r="AN5258" s="102">
        <f>COUNTIF(AN$2:AN$5256,"x")</f>
        <v>10</v>
      </c>
      <c r="AO5258" s="102">
        <f>COUNTIF(AO2:AO5256,"x")</f>
        <v>4</v>
      </c>
      <c r="AP5258" s="102">
        <f>COUNTIF(AP2:AP5256,"x")</f>
        <v>129</v>
      </c>
      <c r="AQ5258" s="102">
        <f>COUNTIF(AQ2:AQ5256,"&lt;&gt;")</f>
        <v>88</v>
      </c>
      <c r="AR5258" s="102">
        <f>COUNTIF(AR2:AR5256,"x")</f>
        <v>65</v>
      </c>
      <c r="AS5258" s="102">
        <f>COUNTIF(AS$2:AS$5256,"K")</f>
        <v>36</v>
      </c>
      <c r="AT5258" s="102">
        <f>COUNTIF(AT$2:AT$5256,"x")</f>
        <v>51</v>
      </c>
      <c r="AU5258" s="102">
        <f>COUNTIF(AU$2:AU$5256,"0")</f>
        <v>12</v>
      </c>
      <c r="AV5258" s="102">
        <f>COUNTIF(AV2:AV5256,"x")</f>
        <v>31</v>
      </c>
      <c r="AW5258" s="102">
        <f>COUNTIF(AW$2:AW$5256,"0")</f>
        <v>24</v>
      </c>
      <c r="AX5258" s="102"/>
      <c r="AY5258" s="102">
        <f>COUNTIF(AY2:AY5256,"&lt;&gt;")</f>
        <v>16</v>
      </c>
      <c r="AZ5258" s="102"/>
      <c r="BA5258" s="102">
        <f>COUNTIF(BA2:BA5256,"x")</f>
        <v>2</v>
      </c>
      <c r="BB5258" s="102">
        <f>COUNTIF(BB2:BB5256,"x")</f>
        <v>17</v>
      </c>
      <c r="BC5258" s="102">
        <f>COUNTIF(BC$2:BC$5256,"n")</f>
        <v>233</v>
      </c>
      <c r="BD5258" s="107"/>
      <c r="BE5258" s="102">
        <f>COUNTIF(BE2:BE5256,"x")</f>
        <v>0</v>
      </c>
      <c r="BF5258" s="102">
        <f>COUNTIF(BF$2:BF$5256,"Gewebe")</f>
        <v>63</v>
      </c>
      <c r="BG5258" s="102">
        <f>COUNTIF(BG$2:BG$5256,"x")</f>
        <v>23</v>
      </c>
      <c r="BH5258" s="102">
        <f>COUNTIF(BH2:BH5256,"x")</f>
        <v>110</v>
      </c>
      <c r="BI5258" s="102">
        <f>COUNTIF(BI$2:BI$5256,"x")</f>
        <v>12</v>
      </c>
      <c r="BJ5258" s="102">
        <f>COUNTIF(BJ$2:BJ$5256,"x")</f>
        <v>1</v>
      </c>
      <c r="BK5258" s="102">
        <f>COUNTIF(BK2:BK5256,"x")</f>
        <v>93</v>
      </c>
      <c r="BL5258" s="102">
        <f>COUNTIF(BL2:BL5256,"&lt;&gt;")</f>
        <v>109</v>
      </c>
      <c r="BM5258" s="102">
        <f>COUNTIF(BM2:BM5256,"x 45")</f>
        <v>8</v>
      </c>
      <c r="BN5258" s="102"/>
      <c r="BO5258" s="90"/>
      <c r="BQ5258" s="95"/>
      <c r="BR5258" s="95"/>
      <c r="BS5258" s="95"/>
      <c r="BT5258" s="95"/>
      <c r="BU5258" s="95"/>
      <c r="BV5258" s="95"/>
      <c r="BW5258" s="95"/>
      <c r="BX5258" s="95"/>
      <c r="BY5258" s="95"/>
      <c r="BZ5258" s="95"/>
      <c r="CA5258" s="95"/>
      <c r="CB5258" s="95"/>
      <c r="CC5258" s="98"/>
      <c r="CD5258" s="90"/>
      <c r="CE5258" s="102">
        <f>COUNTIF(CE2:CE5256,"x")</f>
        <v>41</v>
      </c>
      <c r="CF5258" s="102">
        <f>COUNTIF(CF2:CF5256,"x")</f>
        <v>2</v>
      </c>
      <c r="CG5258" s="95"/>
      <c r="CH5258" s="95"/>
      <c r="CI5258" s="95"/>
      <c r="CJ5258" s="95"/>
      <c r="CK5258" s="95"/>
      <c r="CL5258" s="95"/>
      <c r="CM5258" s="95"/>
      <c r="CN5258" s="95"/>
      <c r="CO5258" s="95"/>
      <c r="CP5258" s="95"/>
      <c r="CQ5258" s="95"/>
      <c r="CR5258" s="95"/>
      <c r="CS5258" s="95"/>
      <c r="CT5258" s="95"/>
      <c r="CU5258" s="95"/>
      <c r="CV5258" s="98"/>
      <c r="CW5258" s="90"/>
    </row>
    <row r="5259" spans="1:101" s="63" customFormat="1" x14ac:dyDescent="0.15">
      <c r="A5259" s="100"/>
      <c r="B5259" s="91"/>
      <c r="C5259" s="91"/>
      <c r="D5259" s="101"/>
      <c r="E5259" s="91"/>
      <c r="F5259" s="91"/>
      <c r="G5259" s="100"/>
      <c r="H5259" s="103"/>
      <c r="I5259" s="102">
        <f>COUNTIF(I$2:I$5256,"bis 35 cm")</f>
        <v>308</v>
      </c>
      <c r="J5259" s="104"/>
      <c r="K5259" s="105"/>
      <c r="L5259" s="106"/>
      <c r="M5259" s="106"/>
      <c r="N5259" s="106"/>
      <c r="O5259" s="106"/>
      <c r="P5259" s="106"/>
      <c r="Q5259" s="106"/>
      <c r="R5259" s="106"/>
      <c r="S5259" s="106"/>
      <c r="T5259" s="102"/>
      <c r="U5259" s="102"/>
      <c r="V5259" s="108"/>
      <c r="W5259" s="108"/>
      <c r="X5259" s="108"/>
      <c r="Y5259" s="102">
        <f>COUNTIF(Y$2:Y$5256,"Br")</f>
        <v>15</v>
      </c>
      <c r="Z5259" s="102"/>
      <c r="AA5259" s="109"/>
      <c r="AB5259" s="109"/>
      <c r="AC5259" s="102">
        <f>COUNTIF(AC$2:AC$5256,"f/E")</f>
        <v>1</v>
      </c>
      <c r="AD5259" s="110"/>
      <c r="AE5259" s="102">
        <f>COUNTIF(AE$2:AE$5256,"xx")</f>
        <v>4</v>
      </c>
      <c r="AF5259" s="110"/>
      <c r="AG5259" s="110"/>
      <c r="AH5259" s="110"/>
      <c r="AI5259" s="111">
        <f>COUNTIF(AI$2:AI$5256,"Pg")</f>
        <v>0</v>
      </c>
      <c r="AJ5259" s="108"/>
      <c r="AK5259" s="108"/>
      <c r="AL5259" s="108"/>
      <c r="AM5259" s="102">
        <f>COUNTIF(AM$2:AM$5256,"xx")</f>
        <v>0</v>
      </c>
      <c r="AN5259" s="102">
        <f>COUNTIF(AN$2:AN$5256,"xx")</f>
        <v>0</v>
      </c>
      <c r="AO5259" s="108"/>
      <c r="AP5259" s="102">
        <f>COUNTIF(AP2:AP5256,"x durchgehend")</f>
        <v>18</v>
      </c>
      <c r="AQ5259" s="108"/>
      <c r="AR5259" s="108"/>
      <c r="AS5259" s="102">
        <f>COUNTIF(AS$2:AS$5256,"B")</f>
        <v>0</v>
      </c>
      <c r="AT5259" s="102">
        <f>COUNTIF(AT$2:AT$5256,"xx")</f>
        <v>0</v>
      </c>
      <c r="AU5259" s="102">
        <f>COUNTIF(AU$2:AU$5256,"2")</f>
        <v>27</v>
      </c>
      <c r="AV5259" s="102"/>
      <c r="AW5259" s="102">
        <f>COUNTIF(AW$2:AW$5256,"45")</f>
        <v>181</v>
      </c>
      <c r="AX5259" s="102"/>
      <c r="AY5259" s="110"/>
      <c r="AZ5259" s="110"/>
      <c r="BA5259" s="108"/>
      <c r="BB5259" s="108"/>
      <c r="BC5259" s="102">
        <f>COUNTIF(BC$2:BC$5256,"ja vor")</f>
        <v>312</v>
      </c>
      <c r="BD5259" s="112"/>
      <c r="BE5259" s="109"/>
      <c r="BF5259" s="102">
        <f>COUNTIF(BF$2:BF$5256,"Wellpappe")</f>
        <v>4</v>
      </c>
      <c r="BG5259" s="102">
        <f>COUNTIF(BG$2:BG$5256,"historisch")</f>
        <v>0</v>
      </c>
      <c r="BH5259" s="108"/>
      <c r="BI5259" s="102">
        <f>COUNTIF(BI$2:BI$5256,"x sauer")</f>
        <v>3</v>
      </c>
      <c r="BJ5259" s="102">
        <f>COUNTIF(BJ$2:BJ$5256,"x sauer")</f>
        <v>90</v>
      </c>
      <c r="BK5259" s="108"/>
      <c r="BL5259" s="113"/>
      <c r="BM5259" s="102">
        <f>COUNTIF(BM2:BM5256,"x 110")</f>
        <v>9</v>
      </c>
      <c r="BN5259" s="102"/>
      <c r="BO5259" s="90"/>
      <c r="BQ5259" s="95"/>
      <c r="BR5259" s="95"/>
      <c r="BS5259" s="95"/>
      <c r="BT5259" s="95"/>
      <c r="BU5259" s="95"/>
      <c r="BV5259" s="95"/>
      <c r="BW5259" s="95"/>
      <c r="BX5259" s="95"/>
      <c r="BY5259" s="95"/>
      <c r="BZ5259" s="95"/>
      <c r="CA5259" s="95"/>
      <c r="CB5259" s="95"/>
      <c r="CC5259" s="98"/>
      <c r="CD5259" s="90"/>
      <c r="CE5259" s="108"/>
      <c r="CF5259" s="108"/>
      <c r="CG5259" s="95"/>
      <c r="CH5259" s="95"/>
      <c r="CI5259" s="95"/>
      <c r="CJ5259" s="95"/>
      <c r="CK5259" s="95"/>
      <c r="CL5259" s="95"/>
      <c r="CM5259" s="95"/>
      <c r="CN5259" s="95"/>
      <c r="CO5259" s="95"/>
      <c r="CP5259" s="95"/>
      <c r="CQ5259" s="95"/>
      <c r="CR5259" s="95"/>
      <c r="CS5259" s="95"/>
      <c r="CT5259" s="95"/>
      <c r="CU5259" s="95"/>
      <c r="CV5259" s="98"/>
      <c r="CW5259" s="90"/>
    </row>
    <row r="5260" spans="1:101" s="63" customFormat="1" x14ac:dyDescent="0.15">
      <c r="A5260" s="100"/>
      <c r="B5260" s="91"/>
      <c r="C5260" s="91"/>
      <c r="D5260" s="101"/>
      <c r="E5260" s="91"/>
      <c r="F5260" s="91"/>
      <c r="G5260" s="100"/>
      <c r="H5260" s="103"/>
      <c r="I5260" s="102">
        <f>COUNTIF(I$2:I$5256,"bis 42 cm")</f>
        <v>98</v>
      </c>
      <c r="J5260" s="104"/>
      <c r="K5260" s="105"/>
      <c r="L5260" s="106"/>
      <c r="M5260" s="106"/>
      <c r="N5260" s="106"/>
      <c r="O5260" s="106"/>
      <c r="P5260" s="106"/>
      <c r="Q5260" s="106"/>
      <c r="R5260" s="106"/>
      <c r="S5260" s="106"/>
      <c r="T5260" s="102"/>
      <c r="U5260" s="102"/>
      <c r="V5260" s="108"/>
      <c r="W5260" s="108"/>
      <c r="X5260" s="108"/>
      <c r="Y5260" s="102">
        <f>COUNTIF(Y$2:Y$5256,"G")</f>
        <v>27</v>
      </c>
      <c r="Z5260" s="102"/>
      <c r="AA5260" s="109"/>
      <c r="AB5260" s="109"/>
      <c r="AC5260" s="102">
        <f>COUNTIF(AC$2:AC$5256,"f/V")</f>
        <v>217</v>
      </c>
      <c r="AD5260" s="110"/>
      <c r="AE5260" s="110"/>
      <c r="AF5260" s="110"/>
      <c r="AG5260" s="110"/>
      <c r="AH5260" s="110"/>
      <c r="AI5260" s="108"/>
      <c r="AJ5260" s="108"/>
      <c r="AK5260" s="108"/>
      <c r="AL5260" s="108"/>
      <c r="AM5260" s="108"/>
      <c r="AN5260" s="108"/>
      <c r="AO5260" s="108"/>
      <c r="AP5260" s="108"/>
      <c r="AQ5260" s="108"/>
      <c r="AR5260" s="108"/>
      <c r="AS5260" s="102">
        <f>COUNTIF(AS$2:AS$5256,"I")</f>
        <v>0</v>
      </c>
      <c r="AT5260" s="108"/>
      <c r="AU5260" s="102">
        <f>COUNTIF(AU$2:AU$5256,"3")</f>
        <v>6</v>
      </c>
      <c r="AV5260" s="102"/>
      <c r="AW5260" s="102">
        <f>COUNTIF(AW$2:AW$5256,"max 45")</f>
        <v>4</v>
      </c>
      <c r="AX5260" s="102"/>
      <c r="AY5260" s="110"/>
      <c r="AZ5260" s="110"/>
      <c r="BA5260" s="108"/>
      <c r="BB5260" s="108"/>
      <c r="BC5260" s="102">
        <f>COUNTIF(BC$2:BC$5256,"ja nach")</f>
        <v>11</v>
      </c>
      <c r="BD5260" s="112"/>
      <c r="BE5260" s="109"/>
      <c r="BF5260" s="108"/>
      <c r="BG5260" s="102">
        <f>COUNTIF(BG$2:BG$5256,"x historisch?")</f>
        <v>1</v>
      </c>
      <c r="BH5260" s="108"/>
      <c r="BI5260" s="108"/>
      <c r="BJ5260" s="108"/>
      <c r="BK5260" s="108"/>
      <c r="BL5260" s="113"/>
      <c r="BM5260" s="102">
        <f>COUNTIF(BM2:BM5256,"x nur 110")</f>
        <v>0</v>
      </c>
      <c r="BN5260" s="102"/>
      <c r="BO5260" s="90"/>
      <c r="BQ5260" s="95"/>
      <c r="BR5260" s="95"/>
      <c r="BS5260" s="95"/>
      <c r="BT5260" s="95"/>
      <c r="BU5260" s="95"/>
      <c r="BV5260" s="95"/>
      <c r="BW5260" s="95"/>
      <c r="BX5260" s="95"/>
      <c r="BY5260" s="95"/>
      <c r="BZ5260" s="95"/>
      <c r="CA5260" s="95"/>
      <c r="CB5260" s="95"/>
      <c r="CC5260" s="98"/>
      <c r="CD5260" s="90"/>
      <c r="CE5260" s="108"/>
      <c r="CF5260" s="108"/>
      <c r="CG5260" s="95"/>
      <c r="CH5260" s="95"/>
      <c r="CI5260" s="95"/>
      <c r="CJ5260" s="95"/>
      <c r="CK5260" s="95"/>
      <c r="CL5260" s="95"/>
      <c r="CM5260" s="95"/>
      <c r="CN5260" s="95"/>
      <c r="CO5260" s="95"/>
      <c r="CP5260" s="95"/>
      <c r="CQ5260" s="95"/>
      <c r="CR5260" s="95"/>
      <c r="CS5260" s="95"/>
      <c r="CT5260" s="95"/>
      <c r="CU5260" s="95"/>
      <c r="CV5260" s="98"/>
      <c r="CW5260" s="90"/>
    </row>
    <row r="5261" spans="1:101" s="63" customFormat="1" x14ac:dyDescent="0.15">
      <c r="A5261" s="100"/>
      <c r="B5261" s="91"/>
      <c r="C5261" s="91"/>
      <c r="D5261" s="101"/>
      <c r="E5261" s="91"/>
      <c r="F5261" s="91"/>
      <c r="G5261" s="100"/>
      <c r="H5261" s="103"/>
      <c r="I5261" s="102">
        <f>COUNTIF(I$2:I$5256,"? 42 cm")</f>
        <v>88</v>
      </c>
      <c r="J5261" s="104"/>
      <c r="K5261" s="105"/>
      <c r="L5261" s="106"/>
      <c r="M5261" s="106"/>
      <c r="N5261" s="106"/>
      <c r="O5261" s="106"/>
      <c r="P5261" s="106"/>
      <c r="Q5261" s="106"/>
      <c r="R5261" s="106"/>
      <c r="S5261" s="106"/>
      <c r="T5261" s="102"/>
      <c r="U5261" s="102"/>
      <c r="V5261" s="108"/>
      <c r="W5261" s="108"/>
      <c r="X5261" s="108"/>
      <c r="Y5261" s="102">
        <f>COUNTIF(Y$2:Y$5256,"HG")</f>
        <v>5</v>
      </c>
      <c r="Z5261" s="102"/>
      <c r="AA5261" s="109"/>
      <c r="AB5261" s="109"/>
      <c r="AC5261" s="102">
        <f>COUNTIF(AC$2:AC$5256,"h")</f>
        <v>72</v>
      </c>
      <c r="AD5261" s="110"/>
      <c r="AE5261" s="110"/>
      <c r="AF5261" s="110"/>
      <c r="AG5261" s="110"/>
      <c r="AH5261" s="110"/>
      <c r="AI5261" s="108"/>
      <c r="AJ5261" s="108"/>
      <c r="AK5261" s="108"/>
      <c r="AL5261" s="108"/>
      <c r="AM5261" s="108"/>
      <c r="AN5261" s="108"/>
      <c r="AO5261" s="108"/>
      <c r="AP5261" s="108"/>
      <c r="AQ5261" s="108"/>
      <c r="AR5261" s="108"/>
      <c r="AS5261" s="102">
        <f>COUNTIF(AS$2:AS$5256,"R")</f>
        <v>0</v>
      </c>
      <c r="AT5261" s="108"/>
      <c r="AU5261" s="102">
        <f>COUNTIF(AU$2:AU$5256,"4")</f>
        <v>9</v>
      </c>
      <c r="AV5261" s="102"/>
      <c r="AW5261" s="102">
        <f>COUNTIF(AW$2:AW$5256,"60")</f>
        <v>91</v>
      </c>
      <c r="AX5261" s="102"/>
      <c r="AY5261" s="110"/>
      <c r="AZ5261" s="110"/>
      <c r="BA5261" s="108"/>
      <c r="BB5261" s="108"/>
      <c r="BC5261" s="102">
        <f>COUNTIF(BC$2:BC$5256,"ja vor und nach")</f>
        <v>3</v>
      </c>
      <c r="BD5261" s="112"/>
      <c r="BE5261" s="109"/>
      <c r="BF5261" s="108"/>
      <c r="BG5261" s="108"/>
      <c r="BH5261" s="108"/>
      <c r="BI5261" s="108"/>
      <c r="BJ5261" s="108"/>
      <c r="BK5261" s="108"/>
      <c r="BL5261" s="113"/>
      <c r="BO5261" s="90"/>
      <c r="BQ5261" s="95"/>
      <c r="BR5261" s="95"/>
      <c r="BS5261" s="95"/>
      <c r="BT5261" s="95"/>
      <c r="BU5261" s="95"/>
      <c r="BV5261" s="95"/>
      <c r="BW5261" s="95"/>
      <c r="BX5261" s="95"/>
      <c r="BY5261" s="95"/>
      <c r="BZ5261" s="95"/>
      <c r="CA5261" s="95"/>
      <c r="CB5261" s="95"/>
      <c r="CC5261" s="98"/>
      <c r="CD5261" s="90"/>
      <c r="CE5261" s="108"/>
      <c r="CF5261" s="108"/>
      <c r="CG5261" s="95"/>
      <c r="CH5261" s="95"/>
      <c r="CI5261" s="95"/>
      <c r="CJ5261" s="95"/>
      <c r="CK5261" s="95"/>
      <c r="CL5261" s="95"/>
      <c r="CM5261" s="95"/>
      <c r="CN5261" s="95"/>
      <c r="CO5261" s="95"/>
      <c r="CP5261" s="95"/>
      <c r="CQ5261" s="95"/>
      <c r="CR5261" s="95"/>
      <c r="CS5261" s="95"/>
      <c r="CT5261" s="95"/>
      <c r="CU5261" s="95"/>
      <c r="CV5261" s="98"/>
      <c r="CW5261" s="90"/>
    </row>
    <row r="5262" spans="1:101" s="63" customFormat="1" x14ac:dyDescent="0.15">
      <c r="A5262" s="100"/>
      <c r="B5262" s="91"/>
      <c r="C5262" s="91"/>
      <c r="D5262" s="101"/>
      <c r="E5262" s="91"/>
      <c r="F5262" s="91"/>
      <c r="G5262" s="100"/>
      <c r="H5262" s="103"/>
      <c r="I5262" s="100"/>
      <c r="J5262" s="104"/>
      <c r="K5262" s="105"/>
      <c r="L5262" s="106"/>
      <c r="M5262" s="106"/>
      <c r="N5262" s="106"/>
      <c r="O5262" s="106"/>
      <c r="P5262" s="106"/>
      <c r="Q5262" s="106"/>
      <c r="R5262" s="106"/>
      <c r="S5262" s="106"/>
      <c r="T5262" s="102"/>
      <c r="U5262" s="102"/>
      <c r="V5262" s="108"/>
      <c r="W5262" s="108"/>
      <c r="X5262" s="108"/>
      <c r="Y5262" s="102">
        <f>COUNTIF(Y$2:Y$5256,"HD")</f>
        <v>25</v>
      </c>
      <c r="Z5262" s="102"/>
      <c r="AA5262" s="109"/>
      <c r="AB5262" s="109"/>
      <c r="AC5262" s="102">
        <f>COUNTIF(AC$2:AC$5256,"h/E")</f>
        <v>192</v>
      </c>
      <c r="AD5262" s="110"/>
      <c r="AE5262" s="110"/>
      <c r="AF5262" s="110"/>
      <c r="AG5262" s="110"/>
      <c r="AH5262" s="110"/>
      <c r="AI5262" s="108"/>
      <c r="AJ5262" s="108"/>
      <c r="AK5262" s="108"/>
      <c r="AL5262" s="108"/>
      <c r="AM5262" s="108"/>
      <c r="AN5262" s="108"/>
      <c r="AO5262" s="108"/>
      <c r="AP5262" s="108"/>
      <c r="AQ5262" s="108"/>
      <c r="AR5262" s="108"/>
      <c r="AS5262" s="102">
        <f>COUNTIF(AS$2:AS$5256,"K/I")</f>
        <v>0</v>
      </c>
      <c r="AT5262" s="108"/>
      <c r="AU5262" s="102">
        <f>COUNTIF(AU$2:AU$5256,"0-2")</f>
        <v>0</v>
      </c>
      <c r="AV5262" s="102"/>
      <c r="AW5262" s="102">
        <f>COUNTIF(AW$2:AW$5256,"max 60")</f>
        <v>1</v>
      </c>
      <c r="AX5262" s="102"/>
      <c r="AY5262" s="110"/>
      <c r="AZ5262" s="110"/>
      <c r="BA5262" s="108"/>
      <c r="BB5262" s="108"/>
      <c r="BC5262" s="102">
        <f>COUNTIF(BC$2:BC$5256,"ja ÖW=0")</f>
        <v>14</v>
      </c>
      <c r="BD5262" s="112"/>
      <c r="BE5262" s="109"/>
      <c r="BF5262" s="108"/>
      <c r="BG5262" s="108"/>
      <c r="BH5262" s="108"/>
      <c r="BI5262" s="108"/>
      <c r="BJ5262" s="108"/>
      <c r="BK5262" s="108"/>
      <c r="BL5262" s="113"/>
      <c r="BO5262" s="90"/>
      <c r="BQ5262" s="95"/>
      <c r="BR5262" s="95"/>
      <c r="BS5262" s="95"/>
      <c r="BT5262" s="95"/>
      <c r="BU5262" s="95"/>
      <c r="BV5262" s="95"/>
      <c r="BW5262" s="95"/>
      <c r="BX5262" s="95"/>
      <c r="BY5262" s="95"/>
      <c r="BZ5262" s="95"/>
      <c r="CA5262" s="95"/>
      <c r="CB5262" s="95"/>
      <c r="CC5262" s="98"/>
      <c r="CD5262" s="90"/>
      <c r="CE5262" s="108"/>
      <c r="CF5262" s="108"/>
      <c r="CG5262" s="95"/>
      <c r="CH5262" s="95"/>
      <c r="CI5262" s="95"/>
      <c r="CJ5262" s="95"/>
      <c r="CK5262" s="95"/>
      <c r="CL5262" s="95"/>
      <c r="CM5262" s="95"/>
      <c r="CN5262" s="95"/>
      <c r="CO5262" s="95"/>
      <c r="CP5262" s="95"/>
      <c r="CQ5262" s="95"/>
      <c r="CR5262" s="95"/>
      <c r="CS5262" s="95"/>
      <c r="CT5262" s="95"/>
      <c r="CU5262" s="95"/>
      <c r="CV5262" s="98"/>
      <c r="CW5262" s="90"/>
    </row>
    <row r="5263" spans="1:101" s="63" customFormat="1" x14ac:dyDescent="0.15">
      <c r="A5263" s="100"/>
      <c r="B5263" s="91"/>
      <c r="C5263" s="91"/>
      <c r="D5263" s="101"/>
      <c r="E5263" s="91"/>
      <c r="F5263" s="91"/>
      <c r="G5263" s="100"/>
      <c r="H5263" s="103"/>
      <c r="I5263" s="100"/>
      <c r="J5263" s="104"/>
      <c r="K5263" s="105"/>
      <c r="L5263" s="106"/>
      <c r="M5263" s="106"/>
      <c r="N5263" s="106"/>
      <c r="O5263" s="106"/>
      <c r="P5263" s="106"/>
      <c r="Q5263" s="106"/>
      <c r="R5263" s="106"/>
      <c r="S5263" s="106"/>
      <c r="T5263" s="102"/>
      <c r="U5263" s="102"/>
      <c r="V5263" s="108"/>
      <c r="W5263" s="108"/>
      <c r="X5263" s="108"/>
      <c r="Y5263" s="102">
        <f>COUNTIF(Y$2:Y$5256,"L")</f>
        <v>225</v>
      </c>
      <c r="Z5263" s="102"/>
      <c r="AA5263" s="109"/>
      <c r="AB5263" s="109"/>
      <c r="AC5263" s="110"/>
      <c r="AD5263" s="110"/>
      <c r="AE5263" s="110"/>
      <c r="AF5263" s="110"/>
      <c r="AG5263" s="110"/>
      <c r="AH5263" s="110"/>
      <c r="AI5263" s="108"/>
      <c r="AJ5263" s="108"/>
      <c r="AK5263" s="108"/>
      <c r="AL5263" s="108"/>
      <c r="AM5263" s="108"/>
      <c r="AN5263" s="108"/>
      <c r="AO5263" s="108"/>
      <c r="AP5263" s="108"/>
      <c r="AQ5263" s="108"/>
      <c r="AR5263" s="108"/>
      <c r="AS5263" s="102">
        <f>COUNTIF(AS$2:AS$5256,"B/I/R")</f>
        <v>0</v>
      </c>
      <c r="AT5263" s="108"/>
      <c r="AU5263" s="102">
        <f>COUNTIF(AU$2:AU$5256,"0 (durchgängige Tafeln)")</f>
        <v>7</v>
      </c>
      <c r="AV5263" s="110"/>
      <c r="AW5263" s="102">
        <f>COUNTIF(AW$2:AW$5256,"80")</f>
        <v>17</v>
      </c>
      <c r="AX5263" s="102"/>
      <c r="AY5263" s="110"/>
      <c r="AZ5263" s="110"/>
      <c r="BA5263" s="108"/>
      <c r="BB5263" s="108"/>
      <c r="BC5263" s="110"/>
      <c r="BD5263" s="112"/>
      <c r="BE5263" s="109"/>
      <c r="BF5263" s="108"/>
      <c r="BG5263" s="108"/>
      <c r="BH5263" s="108"/>
      <c r="BI5263" s="108"/>
      <c r="BJ5263" s="108"/>
      <c r="BK5263" s="108"/>
      <c r="BL5263" s="113"/>
      <c r="BO5263" s="90"/>
      <c r="BQ5263" s="95"/>
      <c r="BR5263" s="95"/>
      <c r="BS5263" s="95"/>
      <c r="BT5263" s="95"/>
      <c r="BU5263" s="95"/>
      <c r="BV5263" s="95"/>
      <c r="BW5263" s="95"/>
      <c r="BX5263" s="95"/>
      <c r="BY5263" s="95"/>
      <c r="BZ5263" s="95"/>
      <c r="CA5263" s="95"/>
      <c r="CB5263" s="95"/>
      <c r="CC5263" s="98"/>
      <c r="CD5263" s="90"/>
      <c r="CE5263" s="108"/>
      <c r="CF5263" s="108"/>
      <c r="CG5263" s="95"/>
      <c r="CH5263" s="95"/>
      <c r="CI5263" s="95"/>
      <c r="CJ5263" s="95"/>
      <c r="CK5263" s="95"/>
      <c r="CL5263" s="95"/>
      <c r="CM5263" s="95"/>
      <c r="CN5263" s="95"/>
      <c r="CO5263" s="95"/>
      <c r="CP5263" s="95"/>
      <c r="CQ5263" s="95"/>
      <c r="CR5263" s="95"/>
      <c r="CS5263" s="95"/>
      <c r="CT5263" s="95"/>
      <c r="CU5263" s="95"/>
      <c r="CV5263" s="98"/>
      <c r="CW5263" s="90"/>
    </row>
    <row r="5264" spans="1:101" s="63" customFormat="1" x14ac:dyDescent="0.15">
      <c r="A5264" s="100"/>
      <c r="B5264" s="91"/>
      <c r="C5264" s="91"/>
      <c r="D5264" s="101"/>
      <c r="E5264" s="91"/>
      <c r="F5264" s="91"/>
      <c r="G5264" s="100"/>
      <c r="H5264" s="103"/>
      <c r="I5264" s="100"/>
      <c r="J5264" s="104"/>
      <c r="K5264" s="105"/>
      <c r="L5264" s="106"/>
      <c r="M5264" s="106"/>
      <c r="N5264" s="106"/>
      <c r="O5264" s="106"/>
      <c r="P5264" s="106"/>
      <c r="Q5264" s="106"/>
      <c r="R5264" s="106"/>
      <c r="S5264" s="106"/>
      <c r="T5264" s="102"/>
      <c r="U5264" s="102"/>
      <c r="V5264" s="108"/>
      <c r="W5264" s="108"/>
      <c r="X5264" s="108"/>
      <c r="Y5264" s="102">
        <f>COUNTIF(Y$2:Y$5256,"HL")</f>
        <v>124</v>
      </c>
      <c r="Z5264" s="102"/>
      <c r="AA5264" s="109"/>
      <c r="AB5264" s="109"/>
      <c r="AC5264" s="110"/>
      <c r="AD5264" s="110"/>
      <c r="AE5264" s="110"/>
      <c r="AF5264" s="110"/>
      <c r="AG5264" s="110"/>
      <c r="AH5264" s="110"/>
      <c r="AI5264" s="108"/>
      <c r="AJ5264" s="108"/>
      <c r="AK5264" s="108"/>
      <c r="AL5264" s="108"/>
      <c r="AM5264" s="108"/>
      <c r="AN5264" s="108"/>
      <c r="AO5264" s="108"/>
      <c r="AP5264" s="108"/>
      <c r="AQ5264" s="108"/>
      <c r="AR5264" s="108"/>
      <c r="AS5264" s="102">
        <f>COUNTIF(AS$2:AS$5256,"I/R")</f>
        <v>1</v>
      </c>
      <c r="AT5264" s="108"/>
      <c r="AU5264" s="110"/>
      <c r="AV5264" s="110"/>
      <c r="AW5264" s="102">
        <f>COUNTIF(AW$2:AW$5256,"max 80")</f>
        <v>0</v>
      </c>
      <c r="AX5264" s="102"/>
      <c r="AY5264" s="110"/>
      <c r="AZ5264" s="110"/>
      <c r="BA5264" s="108"/>
      <c r="BB5264" s="108"/>
      <c r="BC5264" s="110"/>
      <c r="BD5264" s="112"/>
      <c r="BE5264" s="109"/>
      <c r="BF5264" s="108"/>
      <c r="BG5264" s="108"/>
      <c r="BH5264" s="108"/>
      <c r="BI5264" s="108"/>
      <c r="BJ5264" s="108"/>
      <c r="BK5264" s="108"/>
      <c r="BL5264" s="113"/>
      <c r="BO5264" s="90"/>
      <c r="BQ5264" s="95"/>
      <c r="BR5264" s="95"/>
      <c r="BS5264" s="95"/>
      <c r="BT5264" s="95"/>
      <c r="BU5264" s="95"/>
      <c r="BV5264" s="95"/>
      <c r="BW5264" s="95"/>
      <c r="BX5264" s="95"/>
      <c r="BY5264" s="95"/>
      <c r="BZ5264" s="95"/>
      <c r="CA5264" s="95"/>
      <c r="CB5264" s="95"/>
      <c r="CC5264" s="98"/>
      <c r="CD5264" s="90"/>
      <c r="CE5264" s="108"/>
      <c r="CF5264" s="108"/>
      <c r="CG5264" s="95"/>
      <c r="CH5264" s="95"/>
      <c r="CI5264" s="95"/>
      <c r="CJ5264" s="95"/>
      <c r="CK5264" s="95"/>
      <c r="CL5264" s="95"/>
      <c r="CM5264" s="95"/>
      <c r="CN5264" s="95"/>
      <c r="CO5264" s="95"/>
      <c r="CP5264" s="95"/>
      <c r="CQ5264" s="95"/>
      <c r="CR5264" s="95"/>
      <c r="CS5264" s="95"/>
      <c r="CT5264" s="95"/>
      <c r="CU5264" s="95"/>
      <c r="CV5264" s="98"/>
      <c r="CW5264" s="90"/>
    </row>
    <row r="5265" spans="1:101" s="63" customFormat="1" x14ac:dyDescent="0.15">
      <c r="A5265" s="100"/>
      <c r="B5265" s="91"/>
      <c r="C5265" s="91"/>
      <c r="D5265" s="101"/>
      <c r="E5265" s="91"/>
      <c r="F5265" s="91"/>
      <c r="G5265" s="100"/>
      <c r="H5265" s="103"/>
      <c r="I5265" s="100"/>
      <c r="J5265" s="104"/>
      <c r="K5265" s="105"/>
      <c r="L5265" s="106"/>
      <c r="M5265" s="106"/>
      <c r="N5265" s="106"/>
      <c r="O5265" s="106"/>
      <c r="P5265" s="106"/>
      <c r="Q5265" s="106"/>
      <c r="R5265" s="106"/>
      <c r="S5265" s="106"/>
      <c r="T5265" s="102"/>
      <c r="U5265" s="102"/>
      <c r="V5265" s="108"/>
      <c r="W5265" s="108"/>
      <c r="X5265" s="108"/>
      <c r="Y5265" s="114">
        <f>COUNTIF(Y$2:Y$5256,"Pg")</f>
        <v>60</v>
      </c>
      <c r="Z5265" s="114"/>
      <c r="AA5265" s="109"/>
      <c r="AB5265" s="109"/>
      <c r="AC5265" s="110"/>
      <c r="AD5265" s="110"/>
      <c r="AE5265" s="110"/>
      <c r="AF5265" s="110"/>
      <c r="AG5265" s="110"/>
      <c r="AH5265" s="110"/>
      <c r="AI5265" s="108"/>
      <c r="AJ5265" s="108"/>
      <c r="AK5265" s="108"/>
      <c r="AL5265" s="108"/>
      <c r="AM5265" s="108"/>
      <c r="AN5265" s="108"/>
      <c r="AO5265" s="108"/>
      <c r="AP5265" s="108"/>
      <c r="AQ5265" s="108"/>
      <c r="AR5265" s="108"/>
      <c r="AS5265" s="108"/>
      <c r="AT5265" s="108"/>
      <c r="AU5265" s="110"/>
      <c r="AV5265" s="110"/>
      <c r="AW5265" s="102">
        <f>COUNTIF(AW$2:AW$5256,"110")</f>
        <v>155</v>
      </c>
      <c r="AX5265" s="102"/>
      <c r="AY5265" s="110"/>
      <c r="AZ5265" s="110"/>
      <c r="BA5265" s="108"/>
      <c r="BB5265" s="108"/>
      <c r="BC5265" s="110"/>
      <c r="BD5265" s="112"/>
      <c r="BE5265" s="109"/>
      <c r="BF5265" s="108"/>
      <c r="BG5265" s="108"/>
      <c r="BH5265" s="108"/>
      <c r="BI5265" s="108"/>
      <c r="BJ5265" s="108"/>
      <c r="BK5265" s="108"/>
      <c r="BL5265" s="113"/>
      <c r="BO5265" s="90"/>
      <c r="BQ5265" s="95"/>
      <c r="BR5265" s="95"/>
      <c r="BS5265" s="95"/>
      <c r="BT5265" s="95"/>
      <c r="BU5265" s="95"/>
      <c r="BV5265" s="95"/>
      <c r="BW5265" s="95"/>
      <c r="BX5265" s="95"/>
      <c r="BY5265" s="95"/>
      <c r="BZ5265" s="95"/>
      <c r="CA5265" s="95"/>
      <c r="CB5265" s="95"/>
      <c r="CC5265" s="98"/>
      <c r="CD5265" s="90"/>
      <c r="CE5265" s="108"/>
      <c r="CF5265" s="108"/>
      <c r="CG5265" s="95"/>
      <c r="CH5265" s="95"/>
      <c r="CI5265" s="95"/>
      <c r="CJ5265" s="95"/>
      <c r="CK5265" s="95"/>
      <c r="CL5265" s="95"/>
      <c r="CM5265" s="95"/>
      <c r="CN5265" s="95"/>
      <c r="CO5265" s="95"/>
      <c r="CP5265" s="95"/>
      <c r="CQ5265" s="95"/>
      <c r="CR5265" s="95"/>
      <c r="CS5265" s="95"/>
      <c r="CT5265" s="95"/>
      <c r="CU5265" s="95"/>
      <c r="CV5265" s="98"/>
      <c r="CW5265" s="90"/>
    </row>
    <row r="5266" spans="1:101" s="63" customFormat="1" x14ac:dyDescent="0.15">
      <c r="A5266" s="100"/>
      <c r="B5266" s="91"/>
      <c r="C5266" s="91"/>
      <c r="D5266" s="101"/>
      <c r="E5266" s="91"/>
      <c r="F5266" s="91"/>
      <c r="G5266" s="100"/>
      <c r="H5266" s="103"/>
      <c r="I5266" s="100"/>
      <c r="J5266" s="104"/>
      <c r="K5266" s="105"/>
      <c r="L5266" s="106"/>
      <c r="M5266" s="106"/>
      <c r="N5266" s="106"/>
      <c r="O5266" s="106"/>
      <c r="P5266" s="106"/>
      <c r="Q5266" s="106"/>
      <c r="R5266" s="106"/>
      <c r="S5266" s="106"/>
      <c r="T5266" s="102"/>
      <c r="U5266" s="102"/>
      <c r="V5266" s="108"/>
      <c r="W5266" s="108"/>
      <c r="X5266" s="108"/>
      <c r="Y5266" s="114">
        <f>COUNTIF(Y$2:Y$5256,"HPg")</f>
        <v>26</v>
      </c>
      <c r="Z5266" s="114"/>
      <c r="AA5266" s="109"/>
      <c r="AB5266" s="109"/>
      <c r="AC5266" s="110"/>
      <c r="AD5266" s="110"/>
      <c r="AE5266" s="110"/>
      <c r="AF5266" s="110"/>
      <c r="AG5266" s="110"/>
      <c r="AH5266" s="110"/>
      <c r="AI5266" s="108"/>
      <c r="AJ5266" s="108"/>
      <c r="AK5266" s="108"/>
      <c r="AL5266" s="108"/>
      <c r="AM5266" s="108"/>
      <c r="AN5266" s="108"/>
      <c r="AO5266" s="108"/>
      <c r="AP5266" s="108"/>
      <c r="AQ5266" s="108"/>
      <c r="AR5266" s="108"/>
      <c r="AS5266" s="108"/>
      <c r="AT5266" s="108"/>
      <c r="AU5266" s="110"/>
      <c r="AV5266" s="110"/>
      <c r="AW5266" s="102">
        <f>COUNTIF(AW$2:AW$5256,"max 110")</f>
        <v>42</v>
      </c>
      <c r="AX5266" s="102"/>
      <c r="AY5266" s="110"/>
      <c r="AZ5266" s="110"/>
      <c r="BA5266" s="108"/>
      <c r="BB5266" s="108"/>
      <c r="BC5266" s="110"/>
      <c r="BD5266" s="112"/>
      <c r="BE5266" s="109"/>
      <c r="BF5266" s="108"/>
      <c r="BG5266" s="108"/>
      <c r="BH5266" s="108"/>
      <c r="BI5266" s="108"/>
      <c r="BJ5266" s="108"/>
      <c r="BK5266" s="108"/>
      <c r="BL5266" s="113"/>
      <c r="BO5266" s="90"/>
      <c r="BQ5266" s="95"/>
      <c r="BR5266" s="95"/>
      <c r="BS5266" s="95"/>
      <c r="BT5266" s="95"/>
      <c r="BU5266" s="95"/>
      <c r="BV5266" s="95"/>
      <c r="BW5266" s="95"/>
      <c r="BX5266" s="95"/>
      <c r="BY5266" s="95"/>
      <c r="BZ5266" s="95"/>
      <c r="CA5266" s="95"/>
      <c r="CB5266" s="95"/>
      <c r="CC5266" s="98"/>
      <c r="CD5266" s="90"/>
      <c r="CE5266" s="108"/>
      <c r="CF5266" s="108"/>
      <c r="CG5266" s="95"/>
      <c r="CH5266" s="95"/>
      <c r="CI5266" s="95"/>
      <c r="CJ5266" s="95"/>
      <c r="CK5266" s="95"/>
      <c r="CL5266" s="95"/>
      <c r="CM5266" s="95"/>
      <c r="CN5266" s="95"/>
      <c r="CO5266" s="95"/>
      <c r="CP5266" s="95"/>
      <c r="CQ5266" s="95"/>
      <c r="CR5266" s="95"/>
      <c r="CS5266" s="95"/>
      <c r="CT5266" s="95"/>
      <c r="CU5266" s="95"/>
      <c r="CV5266" s="98"/>
      <c r="CW5266" s="90"/>
    </row>
    <row r="5267" spans="1:101" s="63" customFormat="1" x14ac:dyDescent="0.15">
      <c r="A5267" s="100"/>
      <c r="B5267" s="91"/>
      <c r="C5267" s="91"/>
      <c r="D5267" s="101"/>
      <c r="E5267" s="91"/>
      <c r="F5267" s="91"/>
      <c r="G5267" s="100"/>
      <c r="H5267" s="103"/>
      <c r="I5267" s="100"/>
      <c r="J5267" s="104"/>
      <c r="K5267" s="105"/>
      <c r="L5267" s="106"/>
      <c r="M5267" s="106"/>
      <c r="N5267" s="106"/>
      <c r="O5267" s="106"/>
      <c r="P5267" s="106"/>
      <c r="Q5267" s="106"/>
      <c r="R5267" s="106"/>
      <c r="S5267" s="106"/>
      <c r="T5267" s="102"/>
      <c r="U5267" s="102"/>
      <c r="V5267" s="108"/>
      <c r="W5267" s="108"/>
      <c r="X5267" s="108"/>
      <c r="Y5267" s="114">
        <f>COUNTIF(Y$2:Y$5256,"Pg (Mak.)")</f>
        <v>0</v>
      </c>
      <c r="Z5267" s="114"/>
      <c r="AA5267" s="109"/>
      <c r="AB5267" s="109"/>
      <c r="AC5267" s="110"/>
      <c r="AD5267" s="110"/>
      <c r="AE5267" s="110"/>
      <c r="AF5267" s="110"/>
      <c r="AG5267" s="110"/>
      <c r="AH5267" s="110"/>
      <c r="AI5267" s="108"/>
      <c r="AJ5267" s="108"/>
      <c r="AK5267" s="108"/>
      <c r="AL5267" s="108"/>
      <c r="AM5267" s="108"/>
      <c r="AN5267" s="108"/>
      <c r="AO5267" s="108"/>
      <c r="AP5267" s="108"/>
      <c r="AQ5267" s="108"/>
      <c r="AR5267" s="108"/>
      <c r="AS5267" s="108"/>
      <c r="AT5267" s="108"/>
      <c r="AU5267" s="110"/>
      <c r="AV5267" s="110"/>
      <c r="AW5267" s="102">
        <f>COUNTIF(AW$2:AW$5256,"nur 110")</f>
        <v>41</v>
      </c>
      <c r="AX5267" s="102"/>
      <c r="AY5267" s="110"/>
      <c r="AZ5267" s="110"/>
      <c r="BA5267" s="108"/>
      <c r="BB5267" s="108"/>
      <c r="BC5267" s="110"/>
      <c r="BD5267" s="112"/>
      <c r="BE5267" s="109"/>
      <c r="BF5267" s="108"/>
      <c r="BG5267" s="108"/>
      <c r="BH5267" s="108"/>
      <c r="BI5267" s="108"/>
      <c r="BJ5267" s="108"/>
      <c r="BK5267" s="108"/>
      <c r="BL5267" s="113"/>
      <c r="BO5267" s="90"/>
      <c r="BQ5267" s="95"/>
      <c r="BR5267" s="95"/>
      <c r="BS5267" s="95"/>
      <c r="BT5267" s="95"/>
      <c r="BU5267" s="95"/>
      <c r="BV5267" s="95"/>
      <c r="BW5267" s="95"/>
      <c r="BX5267" s="95"/>
      <c r="BY5267" s="95"/>
      <c r="BZ5267" s="95"/>
      <c r="CA5267" s="95"/>
      <c r="CB5267" s="95"/>
      <c r="CC5267" s="98"/>
      <c r="CD5267" s="90"/>
      <c r="CE5267" s="108"/>
      <c r="CF5267" s="108"/>
      <c r="CG5267" s="95"/>
      <c r="CH5267" s="95"/>
      <c r="CI5267" s="95"/>
      <c r="CJ5267" s="95"/>
      <c r="CK5267" s="95"/>
      <c r="CL5267" s="95"/>
      <c r="CM5267" s="95"/>
      <c r="CN5267" s="95"/>
      <c r="CO5267" s="95"/>
      <c r="CP5267" s="95"/>
      <c r="CQ5267" s="95"/>
      <c r="CR5267" s="95"/>
      <c r="CS5267" s="95"/>
      <c r="CT5267" s="95"/>
      <c r="CU5267" s="95"/>
      <c r="CV5267" s="98"/>
      <c r="CW5267" s="90"/>
    </row>
    <row r="5268" spans="1:101" s="63" customFormat="1" x14ac:dyDescent="0.15">
      <c r="A5268" s="100"/>
      <c r="B5268" s="91"/>
      <c r="C5268" s="91"/>
      <c r="D5268" s="101"/>
      <c r="E5268" s="91"/>
      <c r="F5268" s="91"/>
      <c r="G5268" s="100"/>
      <c r="H5268" s="103"/>
      <c r="J5268" s="104"/>
      <c r="K5268" s="105"/>
      <c r="L5268" s="106"/>
      <c r="M5268" s="106"/>
      <c r="N5268" s="106"/>
      <c r="O5268" s="106"/>
      <c r="P5268" s="106"/>
      <c r="Q5268" s="106"/>
      <c r="R5268" s="106"/>
      <c r="S5268" s="106"/>
      <c r="T5268" s="102"/>
      <c r="U5268" s="102"/>
      <c r="V5268" s="108"/>
      <c r="W5268" s="108"/>
      <c r="X5268" s="108"/>
      <c r="Y5268" s="102">
        <f>COUNTIF(Y$2:Y$5256,"oE")</f>
        <v>2</v>
      </c>
      <c r="Z5268" s="102"/>
      <c r="AA5268" s="109"/>
      <c r="AB5268" s="109"/>
      <c r="AC5268" s="110"/>
      <c r="AD5268" s="110"/>
      <c r="AE5268" s="95"/>
      <c r="AF5268" s="110"/>
      <c r="AG5268" s="110"/>
      <c r="AH5268" s="110"/>
      <c r="AI5268" s="108"/>
      <c r="AJ5268" s="108"/>
      <c r="AK5268" s="108"/>
      <c r="AL5268" s="108"/>
      <c r="AM5268" s="95"/>
      <c r="AN5268" s="95"/>
      <c r="AO5268" s="108"/>
      <c r="AP5268" s="108"/>
      <c r="AQ5268" s="108"/>
      <c r="AR5268" s="108"/>
      <c r="AS5268" s="95"/>
      <c r="AT5268" s="108"/>
      <c r="AU5268" s="110"/>
      <c r="AV5268" s="110"/>
      <c r="AW5268" s="102">
        <f>COUNTIF(AW$2:AW$5256,"180")</f>
        <v>7</v>
      </c>
      <c r="AX5268" s="102"/>
      <c r="AY5268" s="110"/>
      <c r="AZ5268" s="110"/>
      <c r="BA5268" s="108"/>
      <c r="BB5268" s="108"/>
      <c r="BC5268" s="110"/>
      <c r="BD5268" s="112"/>
      <c r="BE5268" s="109"/>
      <c r="BF5268" s="108"/>
      <c r="BG5268" s="108"/>
      <c r="BH5268" s="108"/>
      <c r="BI5268" s="108"/>
      <c r="BJ5268" s="108"/>
      <c r="BK5268" s="108"/>
      <c r="BL5268" s="113"/>
      <c r="BO5268" s="90"/>
      <c r="BQ5268" s="95"/>
      <c r="BR5268" s="95"/>
      <c r="BS5268" s="95"/>
      <c r="BT5268" s="95"/>
      <c r="BU5268" s="95"/>
      <c r="BV5268" s="95"/>
      <c r="BW5268" s="95"/>
      <c r="BX5268" s="95"/>
      <c r="BY5268" s="95"/>
      <c r="BZ5268" s="95"/>
      <c r="CA5268" s="95"/>
      <c r="CB5268" s="95"/>
      <c r="CC5268" s="98"/>
      <c r="CD5268" s="90"/>
      <c r="CE5268" s="108"/>
      <c r="CF5268" s="108"/>
      <c r="CG5268" s="95"/>
      <c r="CH5268" s="95"/>
      <c r="CI5268" s="95"/>
      <c r="CJ5268" s="95"/>
      <c r="CK5268" s="95"/>
      <c r="CL5268" s="95"/>
      <c r="CM5268" s="95"/>
      <c r="CN5268" s="95"/>
      <c r="CO5268" s="95"/>
      <c r="CP5268" s="95"/>
      <c r="CQ5268" s="95"/>
      <c r="CR5268" s="95"/>
      <c r="CS5268" s="95"/>
      <c r="CT5268" s="95"/>
      <c r="CU5268" s="95"/>
      <c r="CV5268" s="98"/>
      <c r="CW5268" s="90"/>
    </row>
    <row r="5269" spans="1:101" s="63" customFormat="1" x14ac:dyDescent="0.15">
      <c r="A5269" s="100"/>
      <c r="B5269" s="91"/>
      <c r="C5269" s="91"/>
      <c r="D5269" s="101"/>
      <c r="E5269" s="115"/>
      <c r="F5269" s="91"/>
      <c r="G5269" s="100"/>
      <c r="H5269" s="103"/>
      <c r="I5269" s="116"/>
      <c r="J5269" s="104"/>
      <c r="K5269" s="105"/>
      <c r="L5269" s="106"/>
      <c r="M5269" s="106"/>
      <c r="N5269" s="106"/>
      <c r="O5269" s="106"/>
      <c r="P5269" s="106"/>
      <c r="Q5269" s="106"/>
      <c r="R5269" s="106"/>
      <c r="S5269" s="106"/>
      <c r="T5269" s="117"/>
      <c r="U5269" s="117"/>
      <c r="V5269" s="118"/>
      <c r="W5269" s="118"/>
      <c r="X5269" s="118"/>
      <c r="Y5269" s="117">
        <f>COUNTIF(Y$2:Y$5256,"EB")</f>
        <v>3</v>
      </c>
      <c r="Z5269" s="117"/>
      <c r="AA5269" s="119"/>
      <c r="AB5269" s="119"/>
      <c r="AC5269" s="120"/>
      <c r="AD5269" s="120"/>
      <c r="AE5269" s="120"/>
      <c r="AF5269" s="120"/>
      <c r="AG5269" s="120"/>
      <c r="AH5269" s="120"/>
      <c r="AI5269" s="118"/>
      <c r="AJ5269" s="118"/>
      <c r="AK5269" s="118"/>
      <c r="AL5269" s="118"/>
      <c r="AM5269" s="118"/>
      <c r="AN5269" s="118"/>
      <c r="AO5269" s="118"/>
      <c r="AP5269" s="118"/>
      <c r="AQ5269" s="118"/>
      <c r="AR5269" s="118"/>
      <c r="AS5269" s="118"/>
      <c r="AT5269" s="118"/>
      <c r="AU5269" s="120"/>
      <c r="AV5269" s="120"/>
      <c r="AW5269" s="117">
        <f>COUNTIF(AW$2:AW$5256,"max 180")</f>
        <v>11</v>
      </c>
      <c r="AX5269" s="117"/>
      <c r="AY5269" s="120"/>
      <c r="AZ5269" s="120"/>
      <c r="BA5269" s="118"/>
      <c r="BB5269" s="118"/>
      <c r="BC5269" s="120"/>
      <c r="BD5269" s="121"/>
      <c r="BE5269" s="119"/>
      <c r="BF5269" s="118"/>
      <c r="BG5269" s="118"/>
      <c r="BH5269" s="118"/>
      <c r="BI5269" s="118"/>
      <c r="BJ5269" s="118"/>
      <c r="BK5269" s="118"/>
      <c r="BL5269" s="122"/>
      <c r="BM5269" s="138"/>
      <c r="BN5269" s="156"/>
      <c r="BO5269" s="90"/>
      <c r="BQ5269" s="95"/>
      <c r="BR5269" s="95"/>
      <c r="BS5269" s="95"/>
      <c r="BT5269" s="95"/>
      <c r="BU5269" s="95"/>
      <c r="BV5269" s="95"/>
      <c r="BW5269" s="95"/>
      <c r="BX5269" s="95"/>
      <c r="BY5269" s="95"/>
      <c r="BZ5269" s="95"/>
      <c r="CA5269" s="95"/>
      <c r="CB5269" s="95"/>
      <c r="CC5269" s="98"/>
      <c r="CD5269" s="90"/>
      <c r="CE5269" s="118"/>
      <c r="CF5269" s="118"/>
      <c r="CG5269" s="95"/>
      <c r="CH5269" s="95"/>
      <c r="CI5269" s="95"/>
      <c r="CJ5269" s="95"/>
      <c r="CK5269" s="95"/>
      <c r="CL5269" s="95"/>
      <c r="CM5269" s="95"/>
      <c r="CN5269" s="95"/>
      <c r="CO5269" s="95"/>
      <c r="CP5269" s="95"/>
      <c r="CQ5269" s="95"/>
      <c r="CR5269" s="95"/>
      <c r="CS5269" s="95"/>
      <c r="CT5269" s="95"/>
      <c r="CU5269" s="95"/>
      <c r="CV5269" s="98"/>
      <c r="CW5269" s="90"/>
    </row>
    <row r="5270" spans="1:101" s="63" customFormat="1" x14ac:dyDescent="0.15">
      <c r="A5270" s="100"/>
      <c r="B5270" s="91"/>
      <c r="C5270" s="91"/>
      <c r="D5270" s="101"/>
      <c r="E5270" s="123">
        <f>SUM(E5258:E5269)</f>
        <v>5253</v>
      </c>
      <c r="F5270" s="123"/>
      <c r="G5270" s="100"/>
      <c r="H5270" s="103"/>
      <c r="I5270" s="124">
        <f>SUM(I5258:I5269)</f>
        <v>2421</v>
      </c>
      <c r="J5270" s="125"/>
      <c r="K5270" s="126"/>
      <c r="L5270" s="127"/>
      <c r="M5270" s="127"/>
      <c r="N5270" s="127"/>
      <c r="O5270" s="127"/>
      <c r="P5270" s="127"/>
      <c r="Q5270" s="127"/>
      <c r="R5270" s="127"/>
      <c r="S5270" s="127"/>
      <c r="T5270" s="128">
        <f>SUM(T5258:T5269)</f>
        <v>0</v>
      </c>
      <c r="U5270" s="128">
        <f>SUM(U5258:U5269)</f>
        <v>46</v>
      </c>
      <c r="V5270" s="128">
        <f>SUM(V5258:V5269)</f>
        <v>1</v>
      </c>
      <c r="W5270" s="128">
        <f>SUM(W5258:W5269)</f>
        <v>4</v>
      </c>
      <c r="X5270" s="128">
        <f>SUM(X5258:X5269)</f>
        <v>44</v>
      </c>
      <c r="Y5270" s="128"/>
      <c r="Z5270" s="128"/>
      <c r="AA5270" s="128">
        <f>SUM(AA5258:AA5269)</f>
        <v>103</v>
      </c>
      <c r="AB5270" s="128">
        <f>SUM(AB5258:AB5269)</f>
        <v>76</v>
      </c>
      <c r="AC5270" s="128">
        <f>SUM(AC5258:AC5260)</f>
        <v>301</v>
      </c>
      <c r="AD5270" s="128">
        <f>SUM(AD5258:AD5269)</f>
        <v>22</v>
      </c>
      <c r="AE5270" s="123">
        <f>SUM(AE5258:AE5269)</f>
        <v>20</v>
      </c>
      <c r="AF5270" s="128">
        <f>SUM(AF5258:AF5269)</f>
        <v>8</v>
      </c>
      <c r="AG5270" s="128">
        <f>SUM(AG5258:AG5269)</f>
        <v>1</v>
      </c>
      <c r="AH5270" s="128">
        <f>SUM(AH5258:AH5269)</f>
        <v>2</v>
      </c>
      <c r="AI5270" s="111">
        <f>COUNTIF(AI$2:AI$736,"Pg")</f>
        <v>0</v>
      </c>
      <c r="AJ5270" s="128">
        <f t="shared" ref="AJ5270:BB5270" si="173">SUM(AJ5258:AJ5269)</f>
        <v>10</v>
      </c>
      <c r="AK5270" s="128">
        <f t="shared" si="173"/>
        <v>5</v>
      </c>
      <c r="AL5270" s="128">
        <f t="shared" si="173"/>
        <v>5</v>
      </c>
      <c r="AM5270" s="123">
        <f t="shared" si="173"/>
        <v>5</v>
      </c>
      <c r="AN5270" s="123">
        <f t="shared" si="173"/>
        <v>10</v>
      </c>
      <c r="AO5270" s="128">
        <f t="shared" si="173"/>
        <v>4</v>
      </c>
      <c r="AP5270" s="128">
        <f t="shared" si="173"/>
        <v>147</v>
      </c>
      <c r="AQ5270" s="128">
        <f t="shared" si="173"/>
        <v>88</v>
      </c>
      <c r="AR5270" s="128">
        <f t="shared" si="173"/>
        <v>65</v>
      </c>
      <c r="AS5270" s="123">
        <f t="shared" si="173"/>
        <v>37</v>
      </c>
      <c r="AT5270" s="123">
        <f t="shared" si="173"/>
        <v>51</v>
      </c>
      <c r="AU5270" s="123">
        <f t="shared" si="173"/>
        <v>61</v>
      </c>
      <c r="AV5270" s="128">
        <f t="shared" si="173"/>
        <v>31</v>
      </c>
      <c r="AW5270" s="128">
        <f t="shared" si="173"/>
        <v>574</v>
      </c>
      <c r="AX5270" s="128"/>
      <c r="AY5270" s="128">
        <f t="shared" si="173"/>
        <v>16</v>
      </c>
      <c r="AZ5270" s="128"/>
      <c r="BA5270" s="128">
        <f t="shared" si="173"/>
        <v>2</v>
      </c>
      <c r="BB5270" s="128">
        <f t="shared" si="173"/>
        <v>17</v>
      </c>
      <c r="BC5270" s="128">
        <f>SUM(BC5259:BC5262)</f>
        <v>340</v>
      </c>
      <c r="BD5270" s="129">
        <f>SUM(BD2:BD5256)</f>
        <v>1022.5</v>
      </c>
      <c r="BE5270" s="128">
        <f t="shared" ref="BE5270:BL5270" si="174">SUM(BE5258:BE5269)</f>
        <v>0</v>
      </c>
      <c r="BF5270" s="128">
        <f t="shared" si="174"/>
        <v>67</v>
      </c>
      <c r="BG5270" s="128">
        <f t="shared" si="174"/>
        <v>24</v>
      </c>
      <c r="BH5270" s="128">
        <f t="shared" si="174"/>
        <v>110</v>
      </c>
      <c r="BI5270" s="128">
        <f t="shared" si="174"/>
        <v>15</v>
      </c>
      <c r="BJ5270" s="128">
        <f t="shared" si="174"/>
        <v>91</v>
      </c>
      <c r="BK5270" s="128">
        <f t="shared" si="174"/>
        <v>93</v>
      </c>
      <c r="BL5270" s="128">
        <f t="shared" si="174"/>
        <v>109</v>
      </c>
      <c r="BM5270" s="95">
        <f>BM5258</f>
        <v>8</v>
      </c>
      <c r="BN5270" s="95"/>
      <c r="BO5270" s="90"/>
      <c r="BQ5270" s="95"/>
      <c r="BR5270" s="95"/>
      <c r="BS5270" s="95"/>
      <c r="BT5270" s="95"/>
      <c r="BU5270" s="95"/>
      <c r="BV5270" s="95"/>
      <c r="BW5270" s="95"/>
      <c r="BX5270" s="95"/>
      <c r="BY5270" s="95"/>
      <c r="BZ5270" s="95"/>
      <c r="CA5270" s="95"/>
      <c r="CB5270" s="95"/>
      <c r="CC5270" s="98"/>
      <c r="CD5270" s="90"/>
      <c r="CE5270" s="128">
        <f>SUM(CE5258:CE5269)</f>
        <v>41</v>
      </c>
      <c r="CF5270" s="128">
        <f>SUM(CF5258:CF5269)</f>
        <v>2</v>
      </c>
      <c r="CG5270" s="95"/>
      <c r="CH5270" s="95"/>
      <c r="CI5270" s="95"/>
      <c r="CJ5270" s="95"/>
      <c r="CK5270" s="95"/>
      <c r="CL5270" s="95"/>
      <c r="CM5270" s="95"/>
      <c r="CN5270" s="95"/>
      <c r="CO5270" s="95"/>
      <c r="CP5270" s="95"/>
      <c r="CQ5270" s="95"/>
      <c r="CR5270" s="95"/>
      <c r="CS5270" s="95"/>
      <c r="CT5270" s="95"/>
      <c r="CU5270" s="95"/>
      <c r="CV5270" s="98"/>
      <c r="CW5270" s="90"/>
    </row>
    <row r="5271" spans="1:101" x14ac:dyDescent="0.15">
      <c r="AC5271" s="128">
        <f>SUM(AC5261:AC5262)</f>
        <v>264</v>
      </c>
      <c r="BM5271" s="118">
        <f>BM5259+BM5260</f>
        <v>9</v>
      </c>
      <c r="BN5271" s="108"/>
    </row>
    <row r="5272" spans="1:101" x14ac:dyDescent="0.15">
      <c r="BM5272" s="128">
        <f>SUM(BM5258:BM5269)</f>
        <v>17</v>
      </c>
      <c r="BN5272" s="128"/>
    </row>
  </sheetData>
  <autoFilter ref="A1:BO5256"/>
  <sortState ref="A10:F85">
    <sortCondition ref="A10:A85"/>
  </sortState>
  <customSheetViews>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1"/>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2"/>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3"/>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4"/>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5"/>
    </customSheetView>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6"/>
    </customSheetView>
  </customSheetViews>
  <mergeCells count="1">
    <mergeCell ref="Q1593:Q1599"/>
  </mergeCells>
  <conditionalFormatting sqref="T652:AP652 T647:AP650 E2:F5256 AR652:AZ652 T651:AZ651 AR647:AZ650 T653:AZ5256 T2:AZ646 BA2:BL694 CE2:CF5256 BA696:BL5256 BA695:BK695">
    <cfRule type="expression" dxfId="8" priority="10">
      <formula>MOD(SUBTOTAL(103,$E$2:$E2),2)=0</formula>
    </cfRule>
  </conditionalFormatting>
  <conditionalFormatting sqref="AQ648">
    <cfRule type="expression" dxfId="7" priority="12">
      <formula>MOD(SUBTOTAL(103,$E$2:$E652),2)=0</formula>
    </cfRule>
  </conditionalFormatting>
  <conditionalFormatting sqref="AQ650">
    <cfRule type="expression" dxfId="6" priority="7">
      <formula>MOD(SUBTOTAL(103,$E$2:$E654),2)=0</formula>
    </cfRule>
  </conditionalFormatting>
  <conditionalFormatting sqref="AQ649">
    <cfRule type="expression" dxfId="5" priority="6">
      <formula>MOD(SUBTOTAL(103,$E$2:$E653),2)=0</formula>
    </cfRule>
  </conditionalFormatting>
  <conditionalFormatting sqref="AQ647">
    <cfRule type="expression" dxfId="4" priority="5">
      <formula>MOD(SUBTOTAL(103,$E$2:$E651),2)=0</formula>
    </cfRule>
  </conditionalFormatting>
  <conditionalFormatting sqref="BQ2:CD4830 BQ4832:CD5256 BQ4831:CB4831">
    <cfRule type="expression" dxfId="3" priority="4">
      <formula>MOD(SUBTOTAL(103,#REF!),2)=0</formula>
    </cfRule>
  </conditionalFormatting>
  <conditionalFormatting sqref="CG2:CW5256">
    <cfRule type="expression" dxfId="2" priority="3">
      <formula>MOD(SUBTOTAL(103,#REF!),2)=0</formula>
    </cfRule>
  </conditionalFormatting>
  <conditionalFormatting sqref="BL695">
    <cfRule type="expression" dxfId="1" priority="2">
      <formula>MOD(SUBTOTAL(103,$E$2:$E695),2)=0</formula>
    </cfRule>
  </conditionalFormatting>
  <conditionalFormatting sqref="CC4831:CD4831">
    <cfRule type="expression" dxfId="0" priority="1">
      <formula>MOD(SUBTOTAL(103,#REF!),2)=0</formula>
    </cfRule>
  </conditionalFormatting>
  <pageMargins left="0.7" right="0.7" top="0.78740157499999996" bottom="0.78740157499999996" header="0.3" footer="0.3"/>
  <pageSetup paperSize="9" scale="10" orientation="portrait" r:id="rId7"/>
  <ignoredErrors>
    <ignoredError sqref="AQ5258 AV5258 Y5258 AC5258 AE5258 AI5258 BH5258 AC5270:AC5271" formula="1"/>
  </ignoredErrors>
  <legacyDrawing r:id="rId8"/>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Legende!$F$20:$F$22</xm:f>
          </x14:formula1>
          <xm:sqref>J2:J1529 J1531:J1586 J5271:J1048576 J1588:J5257</xm:sqref>
        </x14:dataValidation>
        <x14:dataValidation type="list" allowBlank="1" showInputMessage="1" showErrorMessage="1">
          <x14:formula1>
            <xm:f>Legende!$D$50</xm:f>
          </x14:formula1>
          <xm:sqref>G1531:G1586 G1:G1529 G5271:G1048576 G1588:G5257</xm:sqref>
        </x14:dataValidation>
        <x14:dataValidation type="list" allowBlank="1" showInputMessage="1" showErrorMessage="1">
          <x14:formula1>
            <xm:f>Legende!$B$20:$B$32</xm:f>
          </x14:formula1>
          <xm:sqref>H1531:H1586 H1:H1529 H5271:H1048576 H1588:H5257</xm:sqref>
        </x14:dataValidation>
        <x14:dataValidation type="list" allowBlank="1" showInputMessage="1" showErrorMessage="1">
          <x14:formula1>
            <xm:f>Legende!$E$20:$E$23</xm:f>
          </x14:formula1>
          <xm:sqref>I1531:I1586 I1:I1529 I5271:I1048576 I1588:I5257</xm:sqref>
        </x14:dataValidation>
        <x14:dataValidation type="list" allowBlank="1" showInputMessage="1" showErrorMessage="1">
          <x14:formula1>
            <xm:f>Legende!$C$39:$C$40</xm:f>
          </x14:formula1>
          <xm:sqref>L1531:L1586 L1:L1529 L5271:L1048576 L1588:L5257</xm:sqref>
        </x14:dataValidation>
        <x14:dataValidation type="list" allowBlank="1" showInputMessage="1" showErrorMessage="1">
          <x14:formula1>
            <xm:f>Legende!$A$54:$A$57</xm:f>
          </x14:formula1>
          <xm:sqref>O1531:O1586 O1:O1529 O5271:O1048576 O1588:O5257</xm:sqref>
        </x14:dataValidation>
        <x14:dataValidation type="list" allowBlank="1" showInputMessage="1" showErrorMessage="1">
          <x14:formula1>
            <xm:f>Legende!$C$20:$C$37</xm:f>
          </x14:formula1>
          <xm:sqref>K1531:K1586 K1:K1529 K5271:K1048576 K1588:K5257</xm:sqref>
        </x14:dataValidation>
        <x14:dataValidation type="list" allowBlank="1" showInputMessage="1" showErrorMessage="1">
          <x14:formula1>
            <xm:f>Legende!$D$46:$D$49</xm:f>
          </x14:formula1>
          <xm:sqref>N1531:N1586 N1:N1529 N5271:N1048576 N1588:N5257</xm:sqref>
        </x14:dataValidation>
        <x14:dataValidation type="list" allowBlank="1" showInputMessage="1" showErrorMessage="1">
          <x14:formula1>
            <xm:f>Legende!$B$38:$B$50</xm:f>
          </x14:formula1>
          <xm:sqref>P1:P1586 P5271:P1048576 P1588:P5257</xm:sqref>
        </x14:dataValidation>
        <x14:dataValidation type="list" allowBlank="1" showInputMessage="1" showErrorMessage="1">
          <x14:formula1>
            <xm:f>Legende!$D$20:$D$28</xm:f>
          </x14:formula1>
          <xm:sqref>M1:M1586 M5271:M1048576 M1588:M5257</xm:sqref>
        </x14:dataValidation>
        <x14:dataValidation type="list" allowBlank="1" showInputMessage="1" showErrorMessage="1">
          <x14:formula1>
            <xm:f>'\\Dnbf-nsc1-p01\dnb-gesamt\02_FB_BB\007_BE1\006_Konservierung - Restaurierung\003 DBSM\003 Projekte\02_Klemm-Sammlung\02_Zustandserfassung\02_Zustandserfassungslisten_ab2022\[II_Inkunabeln+.xlsm]Legende'!#REF!</xm:f>
          </x14:formula1>
          <xm:sqref>G5258:H5270 I5262:I5267 I5269 J5258:P5270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85"/>
  <sheetViews>
    <sheetView workbookViewId="0">
      <selection activeCell="F88" sqref="F88"/>
    </sheetView>
  </sheetViews>
  <sheetFormatPr baseColWidth="10" defaultColWidth="11" defaultRowHeight="11.25" x14ac:dyDescent="0.15"/>
  <cols>
    <col min="1" max="1" width="16.75" style="90" customWidth="1"/>
    <col min="2" max="2" width="23.75" style="90" bestFit="1" customWidth="1"/>
    <col min="3" max="16384" width="11" style="90"/>
  </cols>
  <sheetData>
    <row r="1" spans="1:3" ht="33.75" customHeight="1" x14ac:dyDescent="0.15">
      <c r="A1" s="154" t="s">
        <v>10001</v>
      </c>
      <c r="B1" s="155"/>
    </row>
    <row r="2" spans="1:3" ht="22.5" x14ac:dyDescent="0.15">
      <c r="A2" s="90" t="s">
        <v>9951</v>
      </c>
      <c r="B2" s="130"/>
      <c r="C2" s="90">
        <f>Basis!E5270</f>
        <v>5253</v>
      </c>
    </row>
    <row r="3" spans="1:3" ht="22.5" x14ac:dyDescent="0.15">
      <c r="A3" s="90" t="s">
        <v>9952</v>
      </c>
      <c r="B3" s="130"/>
      <c r="C3" s="90">
        <f>Basis!I5270</f>
        <v>2421</v>
      </c>
    </row>
    <row r="4" spans="1:3" ht="33.75" x14ac:dyDescent="0.15">
      <c r="A4" s="90" t="s">
        <v>9953</v>
      </c>
      <c r="B4" s="130"/>
      <c r="C4" s="90">
        <f>Basis!AW5270</f>
        <v>574</v>
      </c>
    </row>
    <row r="5" spans="1:3" ht="22.5" x14ac:dyDescent="0.15">
      <c r="A5" s="90" t="s">
        <v>9954</v>
      </c>
      <c r="B5" s="130"/>
      <c r="C5" s="90">
        <f>Basis!T5270</f>
        <v>0</v>
      </c>
    </row>
    <row r="6" spans="1:3" x14ac:dyDescent="0.15">
      <c r="A6" s="90" t="s">
        <v>42</v>
      </c>
      <c r="B6" s="130" t="s">
        <v>53</v>
      </c>
      <c r="C6" s="90">
        <f>Basis!I5258</f>
        <v>1927</v>
      </c>
    </row>
    <row r="7" spans="1:3" x14ac:dyDescent="0.15">
      <c r="B7" s="130" t="s">
        <v>54</v>
      </c>
      <c r="C7" s="90">
        <f>Basis!I5259</f>
        <v>308</v>
      </c>
    </row>
    <row r="8" spans="1:3" x14ac:dyDescent="0.15">
      <c r="B8" s="130" t="s">
        <v>55</v>
      </c>
      <c r="C8" s="90">
        <f>Basis!I5260</f>
        <v>98</v>
      </c>
    </row>
    <row r="9" spans="1:3" x14ac:dyDescent="0.15">
      <c r="B9" s="130" t="s">
        <v>56</v>
      </c>
      <c r="C9" s="90">
        <f>Basis!I5261</f>
        <v>88</v>
      </c>
    </row>
    <row r="10" spans="1:3" x14ac:dyDescent="0.15">
      <c r="A10" s="90" t="s">
        <v>9955</v>
      </c>
      <c r="B10" s="130"/>
      <c r="C10" s="90">
        <f>Basis!U5270</f>
        <v>46</v>
      </c>
    </row>
    <row r="11" spans="1:3" x14ac:dyDescent="0.15">
      <c r="A11" s="90" t="s">
        <v>9956</v>
      </c>
      <c r="B11" s="130"/>
      <c r="C11" s="90">
        <f>Basis!V5270</f>
        <v>1</v>
      </c>
    </row>
    <row r="12" spans="1:3" ht="22.5" x14ac:dyDescent="0.15">
      <c r="A12" s="90" t="s">
        <v>9957</v>
      </c>
      <c r="B12" s="130"/>
      <c r="C12" s="90">
        <f>Basis!W5270</f>
        <v>4</v>
      </c>
    </row>
    <row r="13" spans="1:3" ht="22.5" x14ac:dyDescent="0.15">
      <c r="A13" s="90" t="s">
        <v>9958</v>
      </c>
      <c r="B13" s="130"/>
      <c r="C13" s="90">
        <f>Basis!X5270</f>
        <v>44</v>
      </c>
    </row>
    <row r="14" spans="1:3" x14ac:dyDescent="0.15">
      <c r="A14" s="90" t="s">
        <v>9702</v>
      </c>
      <c r="B14" s="131" t="s">
        <v>18</v>
      </c>
      <c r="C14" s="90">
        <f>Basis!Y5258</f>
        <v>62</v>
      </c>
    </row>
    <row r="15" spans="1:3" x14ac:dyDescent="0.15">
      <c r="B15" s="131" t="s">
        <v>47</v>
      </c>
      <c r="C15" s="90">
        <f>Basis!Y5259</f>
        <v>15</v>
      </c>
    </row>
    <row r="16" spans="1:3" x14ac:dyDescent="0.15">
      <c r="B16" s="131" t="s">
        <v>6</v>
      </c>
      <c r="C16" s="90">
        <f>Basis!Y5260</f>
        <v>27</v>
      </c>
    </row>
    <row r="17" spans="1:3" x14ac:dyDescent="0.15">
      <c r="B17" s="132" t="s">
        <v>17</v>
      </c>
      <c r="C17" s="90">
        <f>Basis!Y5261</f>
        <v>5</v>
      </c>
    </row>
    <row r="18" spans="1:3" x14ac:dyDescent="0.15">
      <c r="B18" s="133" t="s">
        <v>9866</v>
      </c>
      <c r="C18" s="90">
        <f>Basis!Y5262</f>
        <v>25</v>
      </c>
    </row>
    <row r="19" spans="1:3" x14ac:dyDescent="0.15">
      <c r="B19" s="131" t="s">
        <v>5</v>
      </c>
      <c r="C19" s="90">
        <f>Basis!Y5263</f>
        <v>225</v>
      </c>
    </row>
    <row r="20" spans="1:3" x14ac:dyDescent="0.15">
      <c r="B20" s="131" t="s">
        <v>4</v>
      </c>
      <c r="C20" s="90">
        <f>Basis!Y5264</f>
        <v>124</v>
      </c>
    </row>
    <row r="21" spans="1:3" x14ac:dyDescent="0.15">
      <c r="B21" s="132" t="s">
        <v>48</v>
      </c>
      <c r="C21" s="134">
        <f>Basis!Y5265</f>
        <v>60</v>
      </c>
    </row>
    <row r="22" spans="1:3" x14ac:dyDescent="0.15">
      <c r="B22" s="132" t="s">
        <v>49</v>
      </c>
      <c r="C22" s="134">
        <f>Basis!Y5266</f>
        <v>26</v>
      </c>
    </row>
    <row r="23" spans="1:3" x14ac:dyDescent="0.15">
      <c r="B23" s="132" t="s">
        <v>9944</v>
      </c>
      <c r="C23" s="134">
        <f>Basis!Y5267</f>
        <v>0</v>
      </c>
    </row>
    <row r="24" spans="1:3" x14ac:dyDescent="0.15">
      <c r="B24" s="132" t="s">
        <v>9867</v>
      </c>
      <c r="C24" s="90">
        <f>Basis!Y5268</f>
        <v>2</v>
      </c>
    </row>
    <row r="25" spans="1:3" x14ac:dyDescent="0.15">
      <c r="B25" s="133" t="s">
        <v>9825</v>
      </c>
      <c r="C25" s="90">
        <f>Basis!Y5269</f>
        <v>3</v>
      </c>
    </row>
    <row r="26" spans="1:3" x14ac:dyDescent="0.15">
      <c r="B26" s="133" t="s">
        <v>9959</v>
      </c>
    </row>
    <row r="27" spans="1:3" ht="22.5" x14ac:dyDescent="0.15">
      <c r="A27" s="90" t="s">
        <v>9960</v>
      </c>
      <c r="B27" s="130"/>
      <c r="C27" s="90">
        <f>Basis!AA5270</f>
        <v>103</v>
      </c>
    </row>
    <row r="28" spans="1:3" ht="22.5" x14ac:dyDescent="0.15">
      <c r="A28" s="90" t="s">
        <v>9961</v>
      </c>
      <c r="B28" s="130"/>
      <c r="C28" s="90">
        <f>Basis!AB5270</f>
        <v>76</v>
      </c>
    </row>
    <row r="29" spans="1:3" ht="33.75" x14ac:dyDescent="0.15">
      <c r="A29" s="135" t="s">
        <v>9962</v>
      </c>
      <c r="B29" s="130"/>
      <c r="C29" s="90">
        <f>Basis!AC5270</f>
        <v>301</v>
      </c>
    </row>
    <row r="30" spans="1:3" ht="22.5" x14ac:dyDescent="0.15">
      <c r="A30" s="135" t="s">
        <v>9963</v>
      </c>
      <c r="B30" s="130"/>
      <c r="C30" s="90">
        <f>Basis!AC5271</f>
        <v>264</v>
      </c>
    </row>
    <row r="31" spans="1:3" ht="22.5" x14ac:dyDescent="0.15">
      <c r="A31" s="90" t="s">
        <v>9964</v>
      </c>
      <c r="B31" s="130"/>
      <c r="C31" s="90">
        <f>Basis!AD5270</f>
        <v>22</v>
      </c>
    </row>
    <row r="32" spans="1:3" ht="33.75" x14ac:dyDescent="0.15">
      <c r="A32" s="90" t="s">
        <v>9965</v>
      </c>
      <c r="B32" s="130"/>
      <c r="C32" s="90">
        <f>Basis!AE5270</f>
        <v>20</v>
      </c>
    </row>
    <row r="33" spans="1:3" ht="22.5" x14ac:dyDescent="0.15">
      <c r="A33" s="90" t="s">
        <v>9966</v>
      </c>
      <c r="B33" s="130"/>
      <c r="C33" s="90">
        <f>Basis!AF5270</f>
        <v>8</v>
      </c>
    </row>
    <row r="34" spans="1:3" ht="22.5" x14ac:dyDescent="0.15">
      <c r="A34" s="90" t="s">
        <v>9967</v>
      </c>
      <c r="B34" s="130"/>
      <c r="C34" s="90">
        <f>Basis!AG5270</f>
        <v>1</v>
      </c>
    </row>
    <row r="35" spans="1:3" x14ac:dyDescent="0.15">
      <c r="A35" s="90" t="s">
        <v>9968</v>
      </c>
      <c r="B35" s="130"/>
      <c r="C35" s="90">
        <f>Basis!AH5270</f>
        <v>2</v>
      </c>
    </row>
    <row r="36" spans="1:3" x14ac:dyDescent="0.15">
      <c r="A36" s="90" t="s">
        <v>9969</v>
      </c>
      <c r="B36" s="130" t="s">
        <v>9970</v>
      </c>
      <c r="C36" s="90">
        <f>Basis!AI5258</f>
        <v>573</v>
      </c>
    </row>
    <row r="37" spans="1:3" x14ac:dyDescent="0.15">
      <c r="B37" s="130" t="s">
        <v>9971</v>
      </c>
      <c r="C37" s="134">
        <f>Basis!AI5259</f>
        <v>0</v>
      </c>
    </row>
    <row r="38" spans="1:3" ht="22.5" x14ac:dyDescent="0.15">
      <c r="A38" s="90" t="s">
        <v>9972</v>
      </c>
      <c r="B38" s="130"/>
      <c r="C38" s="90">
        <f>Basis!AJ5270</f>
        <v>10</v>
      </c>
    </row>
    <row r="39" spans="1:3" x14ac:dyDescent="0.15">
      <c r="A39" s="90" t="s">
        <v>9973</v>
      </c>
      <c r="B39" s="130"/>
      <c r="C39" s="90">
        <f>Basis!AK5270</f>
        <v>5</v>
      </c>
    </row>
    <row r="40" spans="1:3" x14ac:dyDescent="0.15">
      <c r="A40" s="90" t="s">
        <v>9704</v>
      </c>
      <c r="B40" s="130"/>
      <c r="C40" s="90">
        <f>Basis!AL5270</f>
        <v>5</v>
      </c>
    </row>
    <row r="41" spans="1:3" ht="22.5" x14ac:dyDescent="0.15">
      <c r="A41" s="90" t="s">
        <v>9974</v>
      </c>
      <c r="B41" s="130"/>
      <c r="C41" s="90">
        <f>Basis!AM5270</f>
        <v>5</v>
      </c>
    </row>
    <row r="42" spans="1:3" ht="22.5" x14ac:dyDescent="0.15">
      <c r="A42" s="90" t="s">
        <v>9975</v>
      </c>
      <c r="B42" s="130"/>
      <c r="C42" s="90">
        <f>Basis!AN5270</f>
        <v>10</v>
      </c>
    </row>
    <row r="43" spans="1:3" ht="22.5" x14ac:dyDescent="0.15">
      <c r="A43" s="90" t="s">
        <v>9976</v>
      </c>
      <c r="B43" s="130"/>
      <c r="C43" s="90">
        <f>Basis!AO5270</f>
        <v>4</v>
      </c>
    </row>
    <row r="44" spans="1:3" ht="22.5" x14ac:dyDescent="0.15">
      <c r="A44" s="90" t="s">
        <v>9977</v>
      </c>
      <c r="B44" s="130"/>
      <c r="C44" s="90">
        <f>Basis!AP5270</f>
        <v>147</v>
      </c>
    </row>
    <row r="45" spans="1:3" ht="22.5" x14ac:dyDescent="0.15">
      <c r="A45" s="90" t="s">
        <v>9978</v>
      </c>
      <c r="B45" s="130"/>
    </row>
    <row r="46" spans="1:3" x14ac:dyDescent="0.15">
      <c r="A46" s="90" t="s">
        <v>9979</v>
      </c>
      <c r="B46" s="130"/>
      <c r="C46" s="90">
        <f>Basis!AR5270</f>
        <v>65</v>
      </c>
    </row>
    <row r="47" spans="1:3" ht="45" x14ac:dyDescent="0.15">
      <c r="A47" s="90" t="s">
        <v>9980</v>
      </c>
      <c r="B47" s="130"/>
      <c r="C47" s="90">
        <f>Basis!AS5270</f>
        <v>37</v>
      </c>
    </row>
    <row r="48" spans="1:3" ht="22.5" x14ac:dyDescent="0.15">
      <c r="A48" s="90" t="s">
        <v>9981</v>
      </c>
      <c r="B48" s="130"/>
      <c r="C48" s="90">
        <f>Basis!AT5270</f>
        <v>51</v>
      </c>
    </row>
    <row r="49" spans="1:3" ht="33.75" x14ac:dyDescent="0.15">
      <c r="A49" s="90" t="s">
        <v>9982</v>
      </c>
      <c r="B49" s="130"/>
      <c r="C49" s="90">
        <f>Basis!AU5270</f>
        <v>61</v>
      </c>
    </row>
    <row r="50" spans="1:3" ht="33.75" x14ac:dyDescent="0.15">
      <c r="A50" s="90" t="s">
        <v>9983</v>
      </c>
      <c r="B50" s="130"/>
    </row>
    <row r="51" spans="1:3" ht="22.5" x14ac:dyDescent="0.15">
      <c r="A51" s="90" t="s">
        <v>9984</v>
      </c>
      <c r="B51" s="130">
        <v>0</v>
      </c>
      <c r="C51" s="90">
        <f>Basis!AW5258</f>
        <v>24</v>
      </c>
    </row>
    <row r="52" spans="1:3" x14ac:dyDescent="0.15">
      <c r="B52" s="130">
        <v>45</v>
      </c>
      <c r="C52" s="90">
        <f>Basis!AW5259</f>
        <v>181</v>
      </c>
    </row>
    <row r="53" spans="1:3" x14ac:dyDescent="0.15">
      <c r="B53" s="130" t="s">
        <v>9751</v>
      </c>
      <c r="C53" s="90">
        <f>Basis!AW5260</f>
        <v>4</v>
      </c>
    </row>
    <row r="54" spans="1:3" x14ac:dyDescent="0.15">
      <c r="B54" s="130">
        <v>60</v>
      </c>
      <c r="C54" s="90">
        <f>Basis!AW5261</f>
        <v>91</v>
      </c>
    </row>
    <row r="55" spans="1:3" x14ac:dyDescent="0.15">
      <c r="B55" s="130" t="s">
        <v>9770</v>
      </c>
      <c r="C55" s="90">
        <f>Basis!AW5262</f>
        <v>1</v>
      </c>
    </row>
    <row r="56" spans="1:3" x14ac:dyDescent="0.15">
      <c r="B56" s="130">
        <v>80</v>
      </c>
      <c r="C56" s="90">
        <f>Basis!AW5263</f>
        <v>17</v>
      </c>
    </row>
    <row r="57" spans="1:3" x14ac:dyDescent="0.15">
      <c r="B57" s="130" t="s">
        <v>9985</v>
      </c>
      <c r="C57" s="90">
        <f>Basis!AW5264</f>
        <v>0</v>
      </c>
    </row>
    <row r="58" spans="1:3" x14ac:dyDescent="0.15">
      <c r="B58" s="130">
        <v>110</v>
      </c>
      <c r="C58" s="90">
        <f>Basis!AW5265</f>
        <v>155</v>
      </c>
    </row>
    <row r="59" spans="1:3" x14ac:dyDescent="0.15">
      <c r="B59" s="130" t="s">
        <v>9764</v>
      </c>
      <c r="C59" s="90">
        <f>Basis!AW5266</f>
        <v>42</v>
      </c>
    </row>
    <row r="60" spans="1:3" x14ac:dyDescent="0.15">
      <c r="B60" s="130" t="s">
        <v>9733</v>
      </c>
      <c r="C60" s="90">
        <f>Basis!AW5267</f>
        <v>41</v>
      </c>
    </row>
    <row r="61" spans="1:3" x14ac:dyDescent="0.15">
      <c r="B61" s="130">
        <v>180</v>
      </c>
      <c r="C61" s="90">
        <f>Basis!AW5268</f>
        <v>7</v>
      </c>
    </row>
    <row r="62" spans="1:3" x14ac:dyDescent="0.15">
      <c r="B62" s="130" t="s">
        <v>9760</v>
      </c>
      <c r="C62" s="90">
        <f>Basis!AW5269</f>
        <v>11</v>
      </c>
    </row>
    <row r="63" spans="1:3" x14ac:dyDescent="0.15">
      <c r="A63" s="90" t="s">
        <v>9986</v>
      </c>
      <c r="B63" s="130"/>
      <c r="C63" s="90">
        <f>Basis!AY5270</f>
        <v>16</v>
      </c>
    </row>
    <row r="64" spans="1:3" ht="33.75" x14ac:dyDescent="0.15">
      <c r="A64" s="90" t="s">
        <v>9987</v>
      </c>
      <c r="B64" s="130"/>
      <c r="C64" s="90">
        <f>Basis!CE5270</f>
        <v>41</v>
      </c>
    </row>
    <row r="65" spans="1:4" x14ac:dyDescent="0.15">
      <c r="A65" s="90" t="s">
        <v>9988</v>
      </c>
      <c r="B65" s="130"/>
      <c r="C65" s="90">
        <f>Basis!CF5270</f>
        <v>2</v>
      </c>
    </row>
    <row r="66" spans="1:4" ht="22.5" x14ac:dyDescent="0.15">
      <c r="A66" s="90" t="s">
        <v>9989</v>
      </c>
      <c r="B66" s="130"/>
      <c r="C66" s="90">
        <f>Basis!BA5270</f>
        <v>2</v>
      </c>
    </row>
    <row r="67" spans="1:4" ht="33.75" x14ac:dyDescent="0.15">
      <c r="A67" s="90" t="s">
        <v>9950</v>
      </c>
      <c r="B67" s="130"/>
      <c r="C67" s="90">
        <f>Basis!BB5270</f>
        <v>17</v>
      </c>
    </row>
    <row r="68" spans="1:4" ht="22.5" x14ac:dyDescent="0.15">
      <c r="A68" s="90" t="s">
        <v>9990</v>
      </c>
      <c r="B68" s="130" t="s">
        <v>9991</v>
      </c>
      <c r="C68" s="90">
        <f>Basis!BC5270</f>
        <v>340</v>
      </c>
    </row>
    <row r="69" spans="1:4" x14ac:dyDescent="0.15">
      <c r="B69" s="130" t="s">
        <v>9992</v>
      </c>
      <c r="C69" s="90">
        <f>Basis!BC5259</f>
        <v>312</v>
      </c>
    </row>
    <row r="70" spans="1:4" x14ac:dyDescent="0.15">
      <c r="B70" s="130" t="s">
        <v>9993</v>
      </c>
      <c r="C70" s="90">
        <f>Basis!BC5260</f>
        <v>11</v>
      </c>
    </row>
    <row r="71" spans="1:4" x14ac:dyDescent="0.15">
      <c r="B71" s="130" t="s">
        <v>9994</v>
      </c>
      <c r="C71" s="90">
        <f>Basis!BC5261</f>
        <v>3</v>
      </c>
    </row>
    <row r="72" spans="1:4" x14ac:dyDescent="0.15">
      <c r="B72" s="130" t="s">
        <v>10503</v>
      </c>
      <c r="C72" s="90">
        <f>Basis!BC5262</f>
        <v>14</v>
      </c>
    </row>
    <row r="73" spans="1:4" ht="33.75" x14ac:dyDescent="0.15">
      <c r="A73" s="90" t="s">
        <v>9995</v>
      </c>
      <c r="B73" s="130"/>
      <c r="C73" s="136">
        <f>Basis!BD5270</f>
        <v>1022.5</v>
      </c>
    </row>
    <row r="74" spans="1:4" ht="22.5" x14ac:dyDescent="0.15">
      <c r="A74" s="90" t="s">
        <v>9996</v>
      </c>
      <c r="B74" s="130"/>
      <c r="C74" s="90">
        <f>Basis!BE5270</f>
        <v>0</v>
      </c>
    </row>
    <row r="75" spans="1:4" x14ac:dyDescent="0.15">
      <c r="A75" s="90" t="s">
        <v>38</v>
      </c>
      <c r="B75" s="130"/>
      <c r="C75" s="90">
        <f>Basis!BF5270</f>
        <v>67</v>
      </c>
    </row>
    <row r="76" spans="1:4" x14ac:dyDescent="0.15">
      <c r="A76" s="90" t="s">
        <v>32</v>
      </c>
      <c r="B76" s="130"/>
      <c r="C76" s="90">
        <f>Basis!BG5270</f>
        <v>24</v>
      </c>
    </row>
    <row r="77" spans="1:4" x14ac:dyDescent="0.15">
      <c r="A77" s="90" t="s">
        <v>37</v>
      </c>
      <c r="B77" s="130"/>
      <c r="C77" s="90">
        <f>Basis!BH5270</f>
        <v>110</v>
      </c>
    </row>
    <row r="78" spans="1:4" x14ac:dyDescent="0.15">
      <c r="A78" s="90" t="s">
        <v>9706</v>
      </c>
      <c r="B78" s="130"/>
      <c r="C78" s="90">
        <f>Basis!BI5270</f>
        <v>15</v>
      </c>
    </row>
    <row r="79" spans="1:4" x14ac:dyDescent="0.15">
      <c r="A79" s="90" t="s">
        <v>9997</v>
      </c>
      <c r="B79" s="130"/>
      <c r="C79" s="90">
        <f>Basis!BJ5270</f>
        <v>91</v>
      </c>
      <c r="D79" s="90">
        <f>C79-Basis!BJ5259</f>
        <v>1</v>
      </c>
    </row>
    <row r="80" spans="1:4" x14ac:dyDescent="0.15">
      <c r="A80" s="90" t="s">
        <v>9707</v>
      </c>
      <c r="B80" s="130"/>
      <c r="C80" s="90">
        <f>Basis!BK5270</f>
        <v>93</v>
      </c>
    </row>
    <row r="81" spans="1:3" ht="22.5" x14ac:dyDescent="0.15">
      <c r="A81" s="90" t="s">
        <v>9899</v>
      </c>
      <c r="B81" s="130"/>
      <c r="C81" s="90">
        <f>Basis!BL5270</f>
        <v>109</v>
      </c>
    </row>
    <row r="82" spans="1:3" ht="22.5" x14ac:dyDescent="0.15">
      <c r="A82" s="90" t="s">
        <v>9949</v>
      </c>
      <c r="B82" s="130" t="s">
        <v>9991</v>
      </c>
      <c r="C82" s="90">
        <f>Basis!BM5272</f>
        <v>17</v>
      </c>
    </row>
    <row r="83" spans="1:3" x14ac:dyDescent="0.15">
      <c r="B83" s="130" t="s">
        <v>9998</v>
      </c>
      <c r="C83" s="90">
        <f>Basis!BM5270</f>
        <v>8</v>
      </c>
    </row>
    <row r="84" spans="1:3" x14ac:dyDescent="0.15">
      <c r="B84" s="130" t="s">
        <v>9999</v>
      </c>
      <c r="C84" s="90">
        <f>Basis!BM5271</f>
        <v>9</v>
      </c>
    </row>
    <row r="85" spans="1:3" ht="22.5" x14ac:dyDescent="0.15">
      <c r="A85" s="90" t="s">
        <v>10000</v>
      </c>
      <c r="B85" s="130"/>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zoomScaleNormal="100" workbookViewId="0">
      <selection activeCell="B35" sqref="B35"/>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25</v>
      </c>
    </row>
    <row r="6" spans="1:1" x14ac:dyDescent="0.15">
      <c r="A6" t="s">
        <v>27</v>
      </c>
    </row>
    <row r="7" spans="1:1" x14ac:dyDescent="0.15">
      <c r="A7" t="s">
        <v>26</v>
      </c>
    </row>
    <row r="9" spans="1:1" x14ac:dyDescent="0.15">
      <c r="A9" s="2" t="s">
        <v>30</v>
      </c>
    </row>
    <row r="13" spans="1:1" x14ac:dyDescent="0.15">
      <c r="A13" t="s">
        <v>19</v>
      </c>
    </row>
    <row r="14" spans="1:1" x14ac:dyDescent="0.15">
      <c r="A14" t="s">
        <v>15</v>
      </c>
    </row>
    <row r="15" spans="1:1" x14ac:dyDescent="0.15">
      <c r="A15" t="s">
        <v>16</v>
      </c>
    </row>
    <row r="18" spans="1:6" x14ac:dyDescent="0.15">
      <c r="A18" s="6" t="s">
        <v>1</v>
      </c>
      <c r="B18" s="6"/>
    </row>
    <row r="19" spans="1:6" x14ac:dyDescent="0.15">
      <c r="A19" s="46" t="s">
        <v>2</v>
      </c>
      <c r="B19" s="46" t="s">
        <v>3</v>
      </c>
      <c r="C19" s="60" t="s">
        <v>61</v>
      </c>
      <c r="D19" s="46" t="s">
        <v>31</v>
      </c>
      <c r="E19" s="46" t="s">
        <v>42</v>
      </c>
      <c r="F19" s="46" t="s">
        <v>57</v>
      </c>
    </row>
    <row r="20" spans="1:6" x14ac:dyDescent="0.15">
      <c r="A20" s="49"/>
      <c r="B20" s="49" t="s">
        <v>18</v>
      </c>
      <c r="C20" s="5" t="s">
        <v>84</v>
      </c>
      <c r="D20" s="5" t="s">
        <v>32</v>
      </c>
      <c r="E20" s="7" t="s">
        <v>53</v>
      </c>
      <c r="F20" s="7" t="s">
        <v>58</v>
      </c>
    </row>
    <row r="21" spans="1:6" x14ac:dyDescent="0.15">
      <c r="A21" s="49"/>
      <c r="B21" s="49" t="s">
        <v>47</v>
      </c>
      <c r="C21" s="5" t="s">
        <v>8520</v>
      </c>
      <c r="D21" s="5" t="s">
        <v>33</v>
      </c>
      <c r="E21" s="7" t="s">
        <v>54</v>
      </c>
      <c r="F21" s="7" t="s">
        <v>8516</v>
      </c>
    </row>
    <row r="22" spans="1:6" x14ac:dyDescent="0.15">
      <c r="A22" s="49"/>
      <c r="B22" s="49" t="s">
        <v>4</v>
      </c>
      <c r="C22" s="5" t="s">
        <v>87</v>
      </c>
      <c r="D22" s="5" t="s">
        <v>36</v>
      </c>
      <c r="E22" s="7" t="s">
        <v>55</v>
      </c>
      <c r="F22" s="7" t="s">
        <v>89</v>
      </c>
    </row>
    <row r="23" spans="1:6" x14ac:dyDescent="0.15">
      <c r="A23" s="49"/>
      <c r="B23" s="49" t="s">
        <v>5</v>
      </c>
      <c r="C23" s="64" t="s">
        <v>62</v>
      </c>
      <c r="D23" s="5" t="s">
        <v>34</v>
      </c>
      <c r="E23" s="7" t="s">
        <v>56</v>
      </c>
    </row>
    <row r="24" spans="1:6" x14ac:dyDescent="0.15">
      <c r="A24" s="49"/>
      <c r="B24" s="49" t="s">
        <v>6</v>
      </c>
      <c r="C24" s="7" t="s">
        <v>72</v>
      </c>
      <c r="D24" s="5" t="s">
        <v>35</v>
      </c>
    </row>
    <row r="25" spans="1:6" x14ac:dyDescent="0.15">
      <c r="A25" s="50"/>
      <c r="B25" s="50" t="s">
        <v>17</v>
      </c>
      <c r="C25" s="5" t="s">
        <v>8518</v>
      </c>
      <c r="D25" s="5" t="s">
        <v>37</v>
      </c>
    </row>
    <row r="26" spans="1:6" x14ac:dyDescent="0.15">
      <c r="A26" s="50"/>
      <c r="B26" s="50" t="s">
        <v>49</v>
      </c>
      <c r="C26" s="5" t="s">
        <v>8522</v>
      </c>
      <c r="D26" s="5" t="s">
        <v>38</v>
      </c>
    </row>
    <row r="27" spans="1:6" x14ac:dyDescent="0.15">
      <c r="A27" s="50"/>
      <c r="B27" s="50" t="s">
        <v>48</v>
      </c>
      <c r="C27" s="65" t="s">
        <v>66</v>
      </c>
      <c r="D27" s="5" t="s">
        <v>8925</v>
      </c>
    </row>
    <row r="28" spans="1:6" x14ac:dyDescent="0.15">
      <c r="A28" s="50"/>
      <c r="B28" s="50" t="s">
        <v>43</v>
      </c>
      <c r="C28" s="5" t="s">
        <v>67</v>
      </c>
      <c r="D28" s="61" t="s">
        <v>8542</v>
      </c>
    </row>
    <row r="29" spans="1:6" x14ac:dyDescent="0.15">
      <c r="A29" s="59"/>
      <c r="B29" s="59" t="s">
        <v>44</v>
      </c>
      <c r="C29" s="65" t="s">
        <v>64</v>
      </c>
      <c r="D29" s="8"/>
    </row>
    <row r="30" spans="1:6" s="5" customFormat="1" x14ac:dyDescent="0.15">
      <c r="A30" s="50"/>
      <c r="B30" s="50" t="s">
        <v>50</v>
      </c>
      <c r="C30" s="5" t="s">
        <v>65</v>
      </c>
    </row>
    <row r="31" spans="1:6" s="8" customFormat="1" x14ac:dyDescent="0.15">
      <c r="A31" s="50"/>
      <c r="B31" s="50" t="s">
        <v>51</v>
      </c>
      <c r="C31" s="5" t="s">
        <v>86</v>
      </c>
    </row>
    <row r="32" spans="1:6" s="8" customFormat="1" x14ac:dyDescent="0.15">
      <c r="A32" s="50"/>
      <c r="B32" s="50" t="s">
        <v>8668</v>
      </c>
      <c r="C32" s="5" t="s">
        <v>63</v>
      </c>
    </row>
    <row r="33" spans="1:4" x14ac:dyDescent="0.15">
      <c r="A33" s="6"/>
      <c r="B33" s="6"/>
      <c r="C33" s="5" t="s">
        <v>8923</v>
      </c>
    </row>
    <row r="34" spans="1:4" x14ac:dyDescent="0.15">
      <c r="A34" s="6"/>
      <c r="B34" s="51"/>
      <c r="C34" s="65" t="s">
        <v>85</v>
      </c>
    </row>
    <row r="35" spans="1:4" x14ac:dyDescent="0.15">
      <c r="A35" s="6"/>
      <c r="B35" s="6"/>
      <c r="C35" s="5" t="s">
        <v>8521</v>
      </c>
    </row>
    <row r="36" spans="1:4" x14ac:dyDescent="0.15">
      <c r="A36" s="51" t="s">
        <v>7</v>
      </c>
      <c r="B36" s="6"/>
      <c r="C36" s="5" t="s">
        <v>8517</v>
      </c>
    </row>
    <row r="37" spans="1:4" x14ac:dyDescent="0.15">
      <c r="A37" s="46" t="s">
        <v>83</v>
      </c>
      <c r="B37" s="46" t="s">
        <v>8</v>
      </c>
      <c r="C37" s="5" t="s">
        <v>88</v>
      </c>
    </row>
    <row r="38" spans="1:4" x14ac:dyDescent="0.15">
      <c r="A38" s="62"/>
      <c r="B38" s="62" t="s">
        <v>73</v>
      </c>
      <c r="C38" s="46" t="s">
        <v>69</v>
      </c>
    </row>
    <row r="39" spans="1:4" x14ac:dyDescent="0.15">
      <c r="A39" s="49"/>
      <c r="B39" s="49" t="s">
        <v>74</v>
      </c>
      <c r="C39" s="5" t="s">
        <v>70</v>
      </c>
    </row>
    <row r="40" spans="1:4" x14ac:dyDescent="0.15">
      <c r="A40" s="49"/>
      <c r="B40" s="49" t="s">
        <v>9</v>
      </c>
      <c r="C40" s="5" t="s">
        <v>71</v>
      </c>
    </row>
    <row r="41" spans="1:4" x14ac:dyDescent="0.15">
      <c r="A41" s="49"/>
      <c r="B41" s="49" t="s">
        <v>75</v>
      </c>
      <c r="C41" s="5"/>
    </row>
    <row r="42" spans="1:4" x14ac:dyDescent="0.15">
      <c r="A42" s="49"/>
      <c r="B42" s="49" t="s">
        <v>76</v>
      </c>
      <c r="C42" s="5"/>
    </row>
    <row r="43" spans="1:4" x14ac:dyDescent="0.15">
      <c r="A43" s="49"/>
      <c r="B43" s="49" t="s">
        <v>77</v>
      </c>
      <c r="C43" s="8"/>
    </row>
    <row r="44" spans="1:4" x14ac:dyDescent="0.15">
      <c r="A44" s="49"/>
      <c r="B44" s="49" t="s">
        <v>78</v>
      </c>
    </row>
    <row r="45" spans="1:4" x14ac:dyDescent="0.15">
      <c r="A45" s="49"/>
      <c r="B45" s="49" t="s">
        <v>79</v>
      </c>
    </row>
    <row r="46" spans="1:4" x14ac:dyDescent="0.15">
      <c r="A46" s="50"/>
      <c r="B46" s="50" t="s">
        <v>46</v>
      </c>
      <c r="D46" s="5" t="s">
        <v>39</v>
      </c>
    </row>
    <row r="47" spans="1:4" x14ac:dyDescent="0.15">
      <c r="A47" s="50"/>
      <c r="B47" s="50"/>
      <c r="D47" s="5" t="s">
        <v>8660</v>
      </c>
    </row>
    <row r="48" spans="1:4" x14ac:dyDescent="0.15">
      <c r="A48" s="50"/>
      <c r="B48" s="50" t="s">
        <v>80</v>
      </c>
      <c r="D48" s="5" t="s">
        <v>40</v>
      </c>
    </row>
    <row r="49" spans="1:6" x14ac:dyDescent="0.15">
      <c r="A49" s="50"/>
      <c r="B49" s="50" t="s">
        <v>81</v>
      </c>
      <c r="D49" t="s">
        <v>8519</v>
      </c>
    </row>
    <row r="50" spans="1:6" x14ac:dyDescent="0.15">
      <c r="A50" s="50"/>
      <c r="B50" s="50" t="s">
        <v>82</v>
      </c>
      <c r="D50" t="s">
        <v>8515</v>
      </c>
    </row>
    <row r="51" spans="1:6" x14ac:dyDescent="0.15">
      <c r="A51" s="6"/>
      <c r="B51" s="6"/>
    </row>
    <row r="52" spans="1:6" x14ac:dyDescent="0.15">
      <c r="A52" s="51" t="s">
        <v>20</v>
      </c>
      <c r="B52" s="6"/>
    </row>
    <row r="53" spans="1:6" x14ac:dyDescent="0.15">
      <c r="A53" s="46" t="s">
        <v>21</v>
      </c>
      <c r="B53" s="46" t="s">
        <v>22</v>
      </c>
    </row>
    <row r="54" spans="1:6" ht="12.75" x14ac:dyDescent="0.15">
      <c r="A54" s="52">
        <v>0</v>
      </c>
      <c r="B54" s="53" t="s">
        <v>23</v>
      </c>
      <c r="D54" s="47"/>
      <c r="E54" s="47"/>
      <c r="F54" s="47"/>
    </row>
    <row r="55" spans="1:6" ht="12.75" customHeight="1" x14ac:dyDescent="0.15">
      <c r="A55" s="52">
        <v>1</v>
      </c>
      <c r="B55" s="53" t="s">
        <v>24</v>
      </c>
      <c r="D55" s="47"/>
      <c r="E55" s="47"/>
      <c r="F55" s="47"/>
    </row>
    <row r="56" spans="1:6" ht="27.75" customHeight="1" x14ac:dyDescent="0.15">
      <c r="A56" s="52">
        <v>2</v>
      </c>
      <c r="B56" s="53" t="s">
        <v>59</v>
      </c>
      <c r="D56" s="47"/>
      <c r="E56" s="47"/>
      <c r="F56" s="47"/>
    </row>
    <row r="57" spans="1:6" ht="24.75" customHeight="1" x14ac:dyDescent="0.15">
      <c r="A57" s="54">
        <v>3</v>
      </c>
      <c r="B57" s="53" t="s">
        <v>60</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2"/>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3"/>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4"/>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5"/>
    </customSheetView>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25</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Infos zu dieser Mappe</vt:lpstr>
      <vt:lpstr>Legende_Thomschke</vt:lpstr>
      <vt:lpstr>Basis</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2020-09-18T09:32:13Z</cp:lastPrinted>
  <dcterms:created xsi:type="dcterms:W3CDTF">2015-02-11T08:00:51Z</dcterms:created>
  <dcterms:modified xsi:type="dcterms:W3CDTF">2022-11-22T15:03:34Z</dcterms:modified>
  <cp:contentStatus/>
</cp:coreProperties>
</file>