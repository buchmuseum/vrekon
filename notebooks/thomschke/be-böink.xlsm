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wsl$\vrekon\home\vrekon\projekte\vrekon\notebooks\thomschke\"/>
    </mc:Choice>
  </mc:AlternateContent>
  <bookViews>
    <workbookView xWindow="480" yWindow="120" windowWidth="18195" windowHeight="11565" tabRatio="704" activeTab="2"/>
  </bookViews>
  <sheets>
    <sheet name="Infos zu dieser Mappe" sheetId="7" r:id="rId1"/>
    <sheet name="Legende_Thomschke" sheetId="9" r:id="rId2"/>
    <sheet name="Basis" sheetId="2" r:id="rId3"/>
    <sheet name="Datentransfer" sheetId="10" r:id="rId4"/>
    <sheet name="Legende" sheetId="1" r:id="rId5"/>
    <sheet name="Zusammenfassung" sheetId="3" r:id="rId6"/>
  </sheets>
  <externalReferences>
    <externalReference r:id="rId7"/>
    <externalReference r:id="rId8"/>
  </externalReferences>
  <definedNames>
    <definedName name="_xlnm._FilterDatabase" localSheetId="2" hidden="1">Basis!$A$1:$BP$1</definedName>
  </definedNames>
  <calcPr calcId="162913"/>
  <customWorkbookViews>
    <customWorkbookView name="Morgenstern, Andreas - Persönliche Ansicht" guid="{38B2E3C7-1DFA-4658-A758-B49C3FF0D76D}" mergeInterval="0" personalView="1" xWindow="85" windowWidth="1920" windowHeight="933" activeSheetId="2"/>
    <customWorkbookView name="Pauckert, Martina - Persönliche Ansicht" guid="{1FBC8F12-DC43-44D9-90D9-A91B72085471}" mergeInterval="0" personalView="1" maximized="1" xWindow="-11" yWindow="-11" windowWidth="1942" windowHeight="1042" activeSheetId="2"/>
    <customWorkbookView name="Preuss, Stephanie - Persönliche Ansicht" guid="{20DC5495-FE75-4D22-AD3C-8B82E591B4A2}" mergeInterval="0" personalView="1" yWindow="67" windowWidth="1920" windowHeight="953" activeSheetId="2"/>
    <customWorkbookView name="Wendler, André - Persönliche Ansicht" guid="{47C58E4F-4B0A-4F6D-9AC2-D5A8CE817A2D}" mergeInterval="0" personalView="1" windowWidth="1909" windowHeight="1080" activeSheetId="2"/>
    <customWorkbookView name="Meyer, Michael - Persönliche Ansicht" guid="{68C13D92-B8D6-49ED-87BD-F1D56A18DAE6}" mergeInterval="0" personalView="1" maximized="1" xWindow="-8" yWindow="-8" windowWidth="1936" windowHeight="1056" activeSheetId="2"/>
    <customWorkbookView name="Schmahl, Elke - Persönliche Ansicht" guid="{A07C3692-EABB-4B74-AB1D-882B5273FA86}" mergeInterval="0" personalView="1" maximized="1" xWindow="-8" yWindow="-8" windowWidth="1936" windowHeight="1056" activeSheetId="2"/>
  </customWorkbookViews>
</workbook>
</file>

<file path=xl/calcChain.xml><?xml version="1.0" encoding="utf-8"?>
<calcChain xmlns="http://schemas.openxmlformats.org/spreadsheetml/2006/main">
  <c r="T288" i="2" l="1"/>
  <c r="E288" i="2"/>
  <c r="C3" i="10"/>
  <c r="CF288" i="2" l="1"/>
  <c r="CF300" i="2" s="1"/>
  <c r="C65" i="10" s="1"/>
  <c r="CE288" i="2"/>
  <c r="CE300" i="2" s="1"/>
  <c r="C64" i="10" s="1"/>
  <c r="BD11" i="2"/>
  <c r="BD12" i="2"/>
  <c r="BD13" i="2"/>
  <c r="BD14" i="2"/>
  <c r="BD15" i="2"/>
  <c r="BD16" i="2"/>
  <c r="BD17" i="2"/>
  <c r="BD18" i="2"/>
  <c r="BD19" i="2"/>
  <c r="BD20" i="2"/>
  <c r="BD21" i="2"/>
  <c r="BD22" i="2"/>
  <c r="BD23" i="2"/>
  <c r="BD24" i="2"/>
  <c r="BD25" i="2"/>
  <c r="BD26" i="2"/>
  <c r="BD27" i="2"/>
  <c r="BD28" i="2"/>
  <c r="BD29" i="2"/>
  <c r="BD30" i="2"/>
  <c r="BD31" i="2"/>
  <c r="BD32" i="2"/>
  <c r="BD33" i="2"/>
  <c r="BD34" i="2"/>
  <c r="BD35" i="2"/>
  <c r="BD36" i="2"/>
  <c r="BD37" i="2"/>
  <c r="BD38" i="2"/>
  <c r="BD39" i="2"/>
  <c r="BD40" i="2"/>
  <c r="BD41" i="2"/>
  <c r="BD42" i="2"/>
  <c r="BD43" i="2"/>
  <c r="BD44" i="2"/>
  <c r="BD45" i="2"/>
  <c r="BD46" i="2"/>
  <c r="BD47" i="2"/>
  <c r="BD48" i="2"/>
  <c r="BD49" i="2"/>
  <c r="BD50" i="2"/>
  <c r="BD51" i="2"/>
  <c r="BD52" i="2"/>
  <c r="BD53" i="2"/>
  <c r="BD54" i="2"/>
  <c r="BD55" i="2"/>
  <c r="BD56" i="2"/>
  <c r="BD57" i="2"/>
  <c r="BD58" i="2"/>
  <c r="BD59" i="2"/>
  <c r="BD60" i="2"/>
  <c r="BD61" i="2"/>
  <c r="BD62" i="2"/>
  <c r="BD63" i="2"/>
  <c r="BD64" i="2"/>
  <c r="BD65" i="2"/>
  <c r="BD66" i="2"/>
  <c r="BD67" i="2"/>
  <c r="BD68" i="2"/>
  <c r="BD69" i="2"/>
  <c r="BD70" i="2"/>
  <c r="BD71" i="2"/>
  <c r="BD72" i="2"/>
  <c r="BD73" i="2"/>
  <c r="BD74" i="2"/>
  <c r="BD75" i="2"/>
  <c r="BD76" i="2"/>
  <c r="BD77" i="2"/>
  <c r="BD78" i="2"/>
  <c r="BD79" i="2"/>
  <c r="BD80" i="2"/>
  <c r="BD81" i="2"/>
  <c r="BD82" i="2"/>
  <c r="BD83" i="2"/>
  <c r="BD84" i="2"/>
  <c r="BD85" i="2"/>
  <c r="BD86" i="2"/>
  <c r="BD87" i="2"/>
  <c r="BD88" i="2"/>
  <c r="BD89" i="2"/>
  <c r="BD90" i="2"/>
  <c r="BD91" i="2"/>
  <c r="BD92" i="2"/>
  <c r="BD93" i="2"/>
  <c r="BD94" i="2"/>
  <c r="BD95" i="2"/>
  <c r="BD96" i="2"/>
  <c r="BD97" i="2"/>
  <c r="BD98" i="2"/>
  <c r="BD99" i="2"/>
  <c r="BD100" i="2"/>
  <c r="BD101" i="2"/>
  <c r="BD102" i="2"/>
  <c r="BD103" i="2"/>
  <c r="BD104" i="2"/>
  <c r="BD105" i="2"/>
  <c r="BD106" i="2"/>
  <c r="BD107" i="2"/>
  <c r="BD108" i="2"/>
  <c r="BD109" i="2"/>
  <c r="BD110" i="2"/>
  <c r="BD111" i="2"/>
  <c r="BD112" i="2"/>
  <c r="BD113" i="2"/>
  <c r="BD114" i="2"/>
  <c r="BD115" i="2"/>
  <c r="BD116" i="2"/>
  <c r="BD117" i="2"/>
  <c r="BD118" i="2"/>
  <c r="BD119" i="2"/>
  <c r="BD120" i="2"/>
  <c r="BD121" i="2"/>
  <c r="BD122" i="2"/>
  <c r="BD123" i="2"/>
  <c r="BD124" i="2"/>
  <c r="BD125" i="2"/>
  <c r="BD126" i="2"/>
  <c r="BD127" i="2"/>
  <c r="BD128" i="2"/>
  <c r="BD129" i="2"/>
  <c r="BD130" i="2"/>
  <c r="BD131" i="2"/>
  <c r="BD132" i="2"/>
  <c r="BD133" i="2"/>
  <c r="BD134" i="2"/>
  <c r="BD135" i="2"/>
  <c r="BD136" i="2"/>
  <c r="BD137" i="2"/>
  <c r="BD138" i="2"/>
  <c r="BD139" i="2"/>
  <c r="BD140" i="2"/>
  <c r="BD141" i="2"/>
  <c r="BD142" i="2"/>
  <c r="BD143" i="2"/>
  <c r="BD144" i="2"/>
  <c r="BD145" i="2"/>
  <c r="BD146" i="2"/>
  <c r="BD147" i="2"/>
  <c r="BD148" i="2"/>
  <c r="BD149" i="2"/>
  <c r="BD150" i="2"/>
  <c r="BD151" i="2"/>
  <c r="BD152" i="2"/>
  <c r="BD153" i="2"/>
  <c r="BD154" i="2"/>
  <c r="BD155" i="2"/>
  <c r="BD156" i="2"/>
  <c r="BD157" i="2"/>
  <c r="BD158" i="2"/>
  <c r="BD159" i="2"/>
  <c r="BD160" i="2"/>
  <c r="BD161" i="2"/>
  <c r="BD162" i="2"/>
  <c r="BD163" i="2"/>
  <c r="BD164" i="2"/>
  <c r="BD165" i="2"/>
  <c r="BD166" i="2"/>
  <c r="BD167" i="2"/>
  <c r="BD168" i="2"/>
  <c r="BD169" i="2"/>
  <c r="BD170" i="2"/>
  <c r="BD171" i="2"/>
  <c r="BD172" i="2"/>
  <c r="BD173" i="2"/>
  <c r="BD174" i="2"/>
  <c r="BD175" i="2"/>
  <c r="BD176" i="2"/>
  <c r="BD177" i="2"/>
  <c r="BD178" i="2"/>
  <c r="BD179" i="2"/>
  <c r="BD180" i="2"/>
  <c r="BD181" i="2"/>
  <c r="BD182" i="2"/>
  <c r="BD183" i="2"/>
  <c r="BD184" i="2"/>
  <c r="BD185" i="2"/>
  <c r="BD186" i="2"/>
  <c r="BD187" i="2"/>
  <c r="BD188" i="2"/>
  <c r="BD189" i="2"/>
  <c r="BD190" i="2"/>
  <c r="BD191" i="2"/>
  <c r="BD192" i="2"/>
  <c r="BD193" i="2"/>
  <c r="BD194" i="2"/>
  <c r="BD195" i="2"/>
  <c r="BD196" i="2"/>
  <c r="BD197" i="2"/>
  <c r="BD198" i="2"/>
  <c r="BD199" i="2"/>
  <c r="BD200" i="2"/>
  <c r="BD201" i="2"/>
  <c r="BD202" i="2"/>
  <c r="BD203" i="2"/>
  <c r="BD204" i="2"/>
  <c r="BD205" i="2"/>
  <c r="BD206" i="2"/>
  <c r="BD207" i="2"/>
  <c r="BD208" i="2"/>
  <c r="BD209" i="2"/>
  <c r="BD210" i="2"/>
  <c r="BD211" i="2"/>
  <c r="BD212" i="2"/>
  <c r="BD213" i="2"/>
  <c r="BD214" i="2"/>
  <c r="BD215" i="2"/>
  <c r="BD216" i="2"/>
  <c r="BD217" i="2"/>
  <c r="BD218" i="2"/>
  <c r="BD219" i="2"/>
  <c r="BD220" i="2"/>
  <c r="BD221" i="2"/>
  <c r="BD222" i="2"/>
  <c r="BD223" i="2"/>
  <c r="BD224" i="2"/>
  <c r="BD225" i="2"/>
  <c r="BD226" i="2"/>
  <c r="BD227" i="2"/>
  <c r="BD228" i="2"/>
  <c r="BD229" i="2"/>
  <c r="BD230" i="2"/>
  <c r="BD231" i="2"/>
  <c r="BD232" i="2"/>
  <c r="BD233" i="2"/>
  <c r="BD234" i="2"/>
  <c r="BD235" i="2"/>
  <c r="BD236" i="2"/>
  <c r="BD237" i="2"/>
  <c r="BD238" i="2"/>
  <c r="BD239" i="2"/>
  <c r="BD240" i="2"/>
  <c r="BD241" i="2"/>
  <c r="BD242" i="2"/>
  <c r="BD243" i="2"/>
  <c r="BD244" i="2"/>
  <c r="BD245" i="2"/>
  <c r="BD246" i="2"/>
  <c r="BD247" i="2"/>
  <c r="BD248" i="2"/>
  <c r="BD249" i="2"/>
  <c r="BD250" i="2"/>
  <c r="BD251" i="2"/>
  <c r="BD252" i="2"/>
  <c r="BD253" i="2"/>
  <c r="BD254" i="2"/>
  <c r="BD255" i="2"/>
  <c r="BD256" i="2"/>
  <c r="BD257" i="2"/>
  <c r="BD258" i="2"/>
  <c r="BD259" i="2"/>
  <c r="BD260" i="2"/>
  <c r="BD261" i="2"/>
  <c r="BD262" i="2"/>
  <c r="BD263" i="2"/>
  <c r="BD264" i="2"/>
  <c r="BD265" i="2"/>
  <c r="BD266" i="2"/>
  <c r="BD267" i="2"/>
  <c r="BD268" i="2"/>
  <c r="BD269" i="2"/>
  <c r="BD270" i="2"/>
  <c r="BD271" i="2"/>
  <c r="BD272" i="2"/>
  <c r="BD273" i="2"/>
  <c r="BD274" i="2"/>
  <c r="BD275" i="2"/>
  <c r="BD276" i="2"/>
  <c r="BD277" i="2"/>
  <c r="BD278" i="2"/>
  <c r="BD279" i="2"/>
  <c r="BD280" i="2"/>
  <c r="BD281" i="2"/>
  <c r="BD282" i="2"/>
  <c r="BD283" i="2"/>
  <c r="BD284" i="2"/>
  <c r="BD285" i="2"/>
  <c r="BD4" i="2"/>
  <c r="BD5" i="2"/>
  <c r="BD6" i="2"/>
  <c r="BD7" i="2"/>
  <c r="BD8" i="2"/>
  <c r="BD9" i="2"/>
  <c r="BD10" i="2"/>
  <c r="BD3" i="2"/>
  <c r="BD2" i="2"/>
  <c r="BC292" i="2" l="1"/>
  <c r="C72" i="10" s="1"/>
  <c r="BC291" i="2"/>
  <c r="C71" i="10" s="1"/>
  <c r="BM290" i="2" l="1"/>
  <c r="BM302" i="2" s="1"/>
  <c r="BM289" i="2"/>
  <c r="BM301" i="2" s="1"/>
  <c r="C84" i="10" s="1"/>
  <c r="BM288" i="2"/>
  <c r="BM303" i="2" l="1"/>
  <c r="C82" i="10" s="1"/>
  <c r="BM300" i="2"/>
  <c r="C83" i="10" s="1"/>
  <c r="BB288" i="2"/>
  <c r="BB300" i="2" s="1"/>
  <c r="C67" i="10" s="1"/>
  <c r="BI289" i="2" l="1"/>
  <c r="BI288" i="2"/>
  <c r="AI300" i="2" l="1"/>
  <c r="AW299" i="2"/>
  <c r="C62" i="10" s="1"/>
  <c r="Y299" i="2"/>
  <c r="C25" i="10" s="1"/>
  <c r="AW298" i="2"/>
  <c r="C61" i="10" s="1"/>
  <c r="Y298" i="2"/>
  <c r="C24" i="10" s="1"/>
  <c r="AW297" i="2"/>
  <c r="C60" i="10" s="1"/>
  <c r="Y297" i="2"/>
  <c r="C23" i="10" s="1"/>
  <c r="AW296" i="2"/>
  <c r="C59" i="10" s="1"/>
  <c r="Y296" i="2"/>
  <c r="C22" i="10" s="1"/>
  <c r="AW295" i="2"/>
  <c r="C58" i="10" s="1"/>
  <c r="Y295" i="2"/>
  <c r="C21" i="10" s="1"/>
  <c r="AW294" i="2"/>
  <c r="C57" i="10" s="1"/>
  <c r="AS294" i="2"/>
  <c r="Y294" i="2"/>
  <c r="C20" i="10" s="1"/>
  <c r="AW293" i="2"/>
  <c r="C56" i="10" s="1"/>
  <c r="AS293" i="2"/>
  <c r="Y293" i="2"/>
  <c r="C19" i="10" s="1"/>
  <c r="AW292" i="2"/>
  <c r="C55" i="10" s="1"/>
  <c r="AU292" i="2"/>
  <c r="AS292" i="2"/>
  <c r="AC292" i="2"/>
  <c r="Y292" i="2"/>
  <c r="C18" i="10" s="1"/>
  <c r="AW291" i="2"/>
  <c r="C54" i="10" s="1"/>
  <c r="AU291" i="2"/>
  <c r="AS291" i="2"/>
  <c r="AC291" i="2"/>
  <c r="Y291" i="2"/>
  <c r="C17" i="10" s="1"/>
  <c r="I291" i="2"/>
  <c r="C9" i="10" s="1"/>
  <c r="BC290" i="2"/>
  <c r="C70" i="10" s="1"/>
  <c r="AW290" i="2"/>
  <c r="C53" i="10" s="1"/>
  <c r="AU290" i="2"/>
  <c r="AS290" i="2"/>
  <c r="AC290" i="2"/>
  <c r="Y290" i="2"/>
  <c r="C16" i="10" s="1"/>
  <c r="I290" i="2"/>
  <c r="C8" i="10" s="1"/>
  <c r="BJ289" i="2"/>
  <c r="BG289" i="2"/>
  <c r="BF289" i="2"/>
  <c r="BC289" i="2"/>
  <c r="C69" i="10" s="1"/>
  <c r="AW289" i="2"/>
  <c r="C52" i="10" s="1"/>
  <c r="AU289" i="2"/>
  <c r="AT289" i="2"/>
  <c r="AS289" i="2"/>
  <c r="AN289" i="2"/>
  <c r="AM289" i="2"/>
  <c r="AI289" i="2"/>
  <c r="C37" i="10" s="1"/>
  <c r="AE289" i="2"/>
  <c r="AC289" i="2"/>
  <c r="Y289" i="2"/>
  <c r="C15" i="10" s="1"/>
  <c r="I289" i="2"/>
  <c r="C7" i="10" s="1"/>
  <c r="BL288" i="2"/>
  <c r="BL300" i="2" s="1"/>
  <c r="C81" i="10" s="1"/>
  <c r="BK288" i="2"/>
  <c r="BK300" i="2" s="1"/>
  <c r="C80" i="10" s="1"/>
  <c r="BJ288" i="2"/>
  <c r="BI300" i="2"/>
  <c r="C78" i="10" s="1"/>
  <c r="BH288" i="2"/>
  <c r="BH300" i="2" s="1"/>
  <c r="C77" i="10" s="1"/>
  <c r="BG288" i="2"/>
  <c r="BF288" i="2"/>
  <c r="BE288" i="2"/>
  <c r="BE300" i="2" s="1"/>
  <c r="C74" i="10" s="1"/>
  <c r="BC288" i="2"/>
  <c r="BA288" i="2"/>
  <c r="BA300" i="2" s="1"/>
  <c r="C66" i="10" s="1"/>
  <c r="AY288" i="2"/>
  <c r="AY300" i="2" s="1"/>
  <c r="C63" i="10" s="1"/>
  <c r="AW288" i="2"/>
  <c r="C51" i="10" s="1"/>
  <c r="AV288" i="2"/>
  <c r="AV300" i="2" s="1"/>
  <c r="AU288" i="2"/>
  <c r="AT288" i="2"/>
  <c r="AS288" i="2"/>
  <c r="AR288" i="2"/>
  <c r="AR300" i="2" s="1"/>
  <c r="C46" i="10" s="1"/>
  <c r="AQ288" i="2"/>
  <c r="AQ300" i="2" s="1"/>
  <c r="AP288" i="2"/>
  <c r="AP300" i="2" s="1"/>
  <c r="C44" i="10" s="1"/>
  <c r="AO288" i="2"/>
  <c r="AO300" i="2" s="1"/>
  <c r="C43" i="10" s="1"/>
  <c r="AN288" i="2"/>
  <c r="AM288" i="2"/>
  <c r="AL288" i="2"/>
  <c r="AL300" i="2" s="1"/>
  <c r="C40" i="10" s="1"/>
  <c r="AK288" i="2"/>
  <c r="AK300" i="2" s="1"/>
  <c r="C39" i="10" s="1"/>
  <c r="AJ288" i="2"/>
  <c r="AJ300" i="2" s="1"/>
  <c r="C38" i="10" s="1"/>
  <c r="AI288" i="2"/>
  <c r="C36" i="10" s="1"/>
  <c r="AH288" i="2"/>
  <c r="AH300" i="2" s="1"/>
  <c r="C35" i="10" s="1"/>
  <c r="AG288" i="2"/>
  <c r="AG300" i="2" s="1"/>
  <c r="AF288" i="2"/>
  <c r="AF300" i="2" s="1"/>
  <c r="AE288" i="2"/>
  <c r="AD288" i="2"/>
  <c r="AD300" i="2" s="1"/>
  <c r="C31" i="10" s="1"/>
  <c r="AC288" i="2"/>
  <c r="AB288" i="2"/>
  <c r="AB300" i="2" s="1"/>
  <c r="C28" i="10" s="1"/>
  <c r="AA288" i="2"/>
  <c r="AA300" i="2" s="1"/>
  <c r="C27" i="10" s="1"/>
  <c r="Y288" i="2"/>
  <c r="C14" i="10" s="1"/>
  <c r="X288" i="2"/>
  <c r="X300" i="2" s="1"/>
  <c r="C13" i="10" s="1"/>
  <c r="W288" i="2"/>
  <c r="W300" i="2" s="1"/>
  <c r="C12" i="10" s="1"/>
  <c r="V288" i="2"/>
  <c r="V300" i="2" s="1"/>
  <c r="C11" i="10" s="1"/>
  <c r="U288" i="2"/>
  <c r="U300" i="2" s="1"/>
  <c r="C10" i="10" s="1"/>
  <c r="T300" i="2"/>
  <c r="I288" i="2"/>
  <c r="C6" i="10" s="1"/>
  <c r="C5" i="10" l="1"/>
  <c r="AC301" i="2"/>
  <c r="C30" i="10" s="1"/>
  <c r="AC300" i="2"/>
  <c r="C29" i="10" s="1"/>
  <c r="C34" i="10"/>
  <c r="C33" i="10"/>
  <c r="I300" i="2"/>
  <c r="AN300" i="2"/>
  <c r="C42" i="10" s="1"/>
  <c r="AT300" i="2"/>
  <c r="C48" i="10" s="1"/>
  <c r="BF300" i="2"/>
  <c r="C75" i="10" s="1"/>
  <c r="AE300" i="2"/>
  <c r="C32" i="10" s="1"/>
  <c r="AM300" i="2"/>
  <c r="C41" i="10" s="1"/>
  <c r="AU300" i="2"/>
  <c r="C49" i="10" s="1"/>
  <c r="AW300" i="2"/>
  <c r="C4" i="10" s="1"/>
  <c r="BG300" i="2"/>
  <c r="C76" i="10" s="1"/>
  <c r="BC300" i="2"/>
  <c r="C68" i="10" s="1"/>
  <c r="BJ300" i="2"/>
  <c r="C79" i="10" s="1"/>
  <c r="D79" i="10" s="1"/>
  <c r="AS300" i="2"/>
  <c r="C47" i="10" s="1"/>
  <c r="BD300" i="2" l="1"/>
  <c r="C73" i="10" s="1"/>
  <c r="D89" i="2" l="1"/>
  <c r="D82" i="2"/>
  <c r="D3" i="2" l="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1" i="2"/>
  <c r="D62" i="2"/>
  <c r="D64" i="2"/>
  <c r="D65" i="2"/>
  <c r="D66" i="2"/>
  <c r="D68" i="2"/>
  <c r="D69" i="2"/>
  <c r="D70" i="2"/>
  <c r="D71" i="2"/>
  <c r="D72" i="2"/>
  <c r="D73" i="2"/>
  <c r="D74" i="2"/>
  <c r="D75" i="2"/>
  <c r="D76" i="2"/>
  <c r="D77" i="2"/>
  <c r="D78" i="2"/>
  <c r="D79" i="2"/>
  <c r="D80" i="2"/>
  <c r="D81" i="2"/>
  <c r="D83" i="2"/>
  <c r="D84" i="2"/>
  <c r="D85" i="2"/>
  <c r="D86" i="2"/>
  <c r="D87" i="2"/>
  <c r="D88" i="2"/>
  <c r="D90" i="2"/>
  <c r="D91" i="2"/>
  <c r="D92" i="2"/>
  <c r="D93" i="2"/>
  <c r="D94" i="2"/>
  <c r="D95" i="2"/>
  <c r="D96" i="2"/>
  <c r="D97"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 i="2"/>
  <c r="E300" i="2" l="1"/>
  <c r="C2" i="10" l="1"/>
</calcChain>
</file>

<file path=xl/comments1.xml><?xml version="1.0" encoding="utf-8"?>
<comments xmlns="http://schemas.openxmlformats.org/spreadsheetml/2006/main">
  <authors>
    <author>Thomschke, Friedrun</author>
  </authors>
  <commentList>
    <comment ref="U1" authorId="0" shapeId="0">
      <text>
        <r>
          <rPr>
            <b/>
            <sz val="9"/>
            <color indexed="81"/>
            <rFont val="Segoe UI"/>
            <family val="2"/>
          </rPr>
          <t>Thomschke, Friedrun:</t>
        </r>
        <r>
          <rPr>
            <sz val="9"/>
            <color indexed="81"/>
            <rFont val="Segoe UI"/>
            <family val="2"/>
          </rPr>
          <t xml:space="preserve">
Maße des geschlossenen Buches</t>
        </r>
      </text>
    </comment>
    <comment ref="AE1" authorId="0" shapeId="0">
      <text>
        <r>
          <rPr>
            <b/>
            <sz val="9"/>
            <color indexed="81"/>
            <rFont val="Segoe UI"/>
            <family val="2"/>
          </rPr>
          <t>Thomschke, Friedrun:</t>
        </r>
        <r>
          <rPr>
            <sz val="9"/>
            <color indexed="81"/>
            <rFont val="Segoe UI"/>
            <family val="2"/>
          </rPr>
          <t xml:space="preserve">
x = normaler Schaden
xx = extremer Schaden</t>
        </r>
      </text>
    </comment>
    <comment ref="AJ1" authorId="0" shapeId="0">
      <text>
        <r>
          <rPr>
            <b/>
            <sz val="9"/>
            <color indexed="81"/>
            <rFont val="Segoe UI"/>
            <family val="2"/>
          </rPr>
          <t>Thomschke, Friedrun:</t>
        </r>
        <r>
          <rPr>
            <sz val="9"/>
            <color indexed="81"/>
            <rFont val="Segoe UI"/>
            <family val="2"/>
          </rPr>
          <t xml:space="preserve">
dazugebundene, leere Seiten aus sauren Papier</t>
        </r>
      </text>
    </comment>
    <comment ref="AN1" authorId="0" shapeId="0">
      <text>
        <r>
          <rPr>
            <b/>
            <sz val="9"/>
            <color indexed="81"/>
            <rFont val="Segoe UI"/>
            <family val="2"/>
          </rPr>
          <t>Thomschke, Friedrun:</t>
        </r>
        <r>
          <rPr>
            <sz val="9"/>
            <color indexed="81"/>
            <rFont val="Segoe UI"/>
            <family val="2"/>
          </rPr>
          <t xml:space="preserve">
x = normaler Bauch
xx = extremer Bauch</t>
        </r>
      </text>
    </comment>
    <comment ref="AQ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R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T1" authorId="0" shapeId="0">
      <text>
        <r>
          <rPr>
            <b/>
            <sz val="9"/>
            <color indexed="81"/>
            <rFont val="Segoe UI"/>
            <family val="2"/>
          </rPr>
          <t>Thomschke, Friedrun:</t>
        </r>
        <r>
          <rPr>
            <sz val="9"/>
            <color indexed="81"/>
            <rFont val="Segoe UI"/>
            <family val="2"/>
          </rPr>
          <t xml:space="preserve">
x = wäre gut
xx = auf jeden Fall</t>
        </r>
      </text>
    </comment>
    <comment ref="AV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Y80" authorId="0" shapeId="0">
      <text>
        <r>
          <rPr>
            <b/>
            <sz val="9"/>
            <color indexed="81"/>
            <rFont val="Segoe UI"/>
            <family val="2"/>
          </rPr>
          <t>Thomschke, Friedrun:</t>
        </r>
        <r>
          <rPr>
            <sz val="9"/>
            <color indexed="81"/>
            <rFont val="Segoe UI"/>
            <family val="2"/>
          </rPr>
          <t xml:space="preserve">
flexibler Perg.band</t>
        </r>
      </text>
    </comment>
    <comment ref="Y91" authorId="0" shapeId="0">
      <text>
        <r>
          <rPr>
            <b/>
            <sz val="9"/>
            <color indexed="81"/>
            <rFont val="Segoe UI"/>
            <family val="2"/>
          </rPr>
          <t>Thomschke, Friedrun:</t>
        </r>
        <r>
          <rPr>
            <sz val="9"/>
            <color indexed="81"/>
            <rFont val="Segoe UI"/>
            <family val="2"/>
          </rPr>
          <t xml:space="preserve">
Pergamentumschlag</t>
        </r>
      </text>
    </comment>
  </commentList>
</comments>
</file>

<file path=xl/comments2.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 ref="C3" authorId="0" shapeId="0">
      <text>
        <r>
          <rPr>
            <b/>
            <sz val="9"/>
            <color indexed="81"/>
            <rFont val="Segoe UI"/>
          </rPr>
          <t>Thomschke, Friedrun:</t>
        </r>
        <r>
          <rPr>
            <sz val="9"/>
            <color indexed="81"/>
            <rFont val="Segoe UI"/>
          </rPr>
          <t xml:space="preserve">
plus 186 Fragmente</t>
        </r>
      </text>
    </comment>
    <comment ref="D79" authorId="0" shapeId="0">
      <text>
        <r>
          <rPr>
            <b/>
            <sz val="9"/>
            <color indexed="81"/>
            <rFont val="Segoe UI"/>
            <family val="2"/>
          </rPr>
          <t>Thomschke, Friedrun:</t>
        </r>
        <r>
          <rPr>
            <sz val="9"/>
            <color indexed="81"/>
            <rFont val="Segoe UI"/>
            <family val="2"/>
          </rPr>
          <t xml:space="preserve">
Gesamtsumme Umschläge minus säurehaltige Umschläge (die werden von uns entfernt)</t>
        </r>
      </text>
    </comment>
    <comment ref="C82" authorId="0" shapeId="0">
      <text>
        <r>
          <rPr>
            <b/>
            <sz val="9"/>
            <color indexed="81"/>
            <rFont val="Segoe UI"/>
            <family val="2"/>
          </rPr>
          <t>Thomschke, Friedrun:</t>
        </r>
        <r>
          <rPr>
            <sz val="9"/>
            <color indexed="81"/>
            <rFont val="Segoe UI"/>
            <family val="2"/>
          </rPr>
          <t xml:space="preserve">
inklusives eines separaten Einbandes</t>
        </r>
      </text>
    </comment>
  </commentList>
</comments>
</file>

<file path=xl/sharedStrings.xml><?xml version="1.0" encoding="utf-8"?>
<sst xmlns="http://schemas.openxmlformats.org/spreadsheetml/2006/main" count="2237" uniqueCount="928">
  <si>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</si>
  <si>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</si>
  <si>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</si>
  <si>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</si>
  <si>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</si>
  <si>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</si>
  <si>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</si>
  <si>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</si>
  <si>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</si>
  <si>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</si>
  <si>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</si>
  <si>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</si>
  <si>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</si>
  <si>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</si>
  <si>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</si>
  <si>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</si>
  <si>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</si>
  <si>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</si>
  <si>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</si>
  <si>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</si>
  <si>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</si>
  <si>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</si>
  <si>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</si>
  <si>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</si>
  <si>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</si>
  <si>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</si>
  <si>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</si>
  <si>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</si>
  <si>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</si>
  <si>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</si>
  <si>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</si>
  <si>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</si>
  <si>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</si>
  <si>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</si>
  <si>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</si>
  <si>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</si>
  <si>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</si>
  <si>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</si>
  <si>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</si>
  <si>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</si>
  <si>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</si>
  <si>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</si>
  <si>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</si>
  <si>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</si>
  <si>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</si>
  <si>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</si>
  <si>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</si>
  <si>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</si>
  <si>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</si>
  <si>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</si>
  <si>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</si>
  <si>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</si>
  <si>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</si>
  <si>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</si>
  <si>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</si>
  <si>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</si>
  <si>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</si>
  <si>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</si>
  <si>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</si>
  <si>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</si>
  <si>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</si>
  <si>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</si>
  <si>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</si>
  <si>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</si>
  <si>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</si>
  <si>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</si>
  <si>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</si>
  <si>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</si>
  <si>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</si>
  <si>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</si>
  <si>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</si>
  <si>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</si>
  <si>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</si>
  <si>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</si>
  <si>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</si>
  <si>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</si>
  <si>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</si>
  <si>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</si>
  <si>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</si>
  <si>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</si>
  <si>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</si>
  <si>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</si>
  <si>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</si>
  <si>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</si>
  <si>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</si>
  <si>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</si>
  <si>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</si>
  <si>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</si>
  <si>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</si>
  <si>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</si>
  <si>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</si>
  <si>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</si>
  <si>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</si>
  <si>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</si>
  <si>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</si>
  <si>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</si>
  <si>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</si>
  <si>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</si>
  <si>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</si>
  <si>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</si>
  <si>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</si>
  <si>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</si>
  <si>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</si>
  <si>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</si>
  <si>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</si>
  <si>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</si>
  <si>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</si>
  <si>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L-1495-327139064</t>
  </si>
  <si>
    <t>Bö Ink 1</t>
  </si>
  <si>
    <t>L-1488-315495324</t>
  </si>
  <si>
    <t>106696517X</t>
  </si>
  <si>
    <t>Bö Ink 2</t>
  </si>
  <si>
    <t>L-1492-31550031X</t>
  </si>
  <si>
    <t>Bö Ink 3</t>
  </si>
  <si>
    <t>L-1498-32713948X</t>
  </si>
  <si>
    <t>Bö Ink 4</t>
  </si>
  <si>
    <t>L-1478-315500344</t>
  </si>
  <si>
    <t>Bö Ink 5</t>
  </si>
  <si>
    <t>L-1483-315497890</t>
  </si>
  <si>
    <t>Bö Ink 6</t>
  </si>
  <si>
    <t>L-1472-315495847</t>
  </si>
  <si>
    <t>Bö Ink 7</t>
  </si>
  <si>
    <t>L-1499-315501170</t>
  </si>
  <si>
    <t>Bö Ink 8</t>
  </si>
  <si>
    <t>L-1490-315502320</t>
  </si>
  <si>
    <t>Bö Ink 9</t>
  </si>
  <si>
    <t>L-1499-31550126X</t>
  </si>
  <si>
    <t>Bö Ink 10</t>
  </si>
  <si>
    <t>L-1498-315499281</t>
  </si>
  <si>
    <t>Bö Ink 11</t>
  </si>
  <si>
    <t>L-1497-315327790</t>
  </si>
  <si>
    <t>Bö Ink 12</t>
  </si>
  <si>
    <t>L-1467-31549588X</t>
  </si>
  <si>
    <t>106696565X</t>
  </si>
  <si>
    <t>Bö Ink 13</t>
  </si>
  <si>
    <t>L-1491-315495731</t>
  </si>
  <si>
    <t>Bö Ink 14</t>
  </si>
  <si>
    <t>L-1473-31549719X</t>
  </si>
  <si>
    <t>Bö Ink 15</t>
  </si>
  <si>
    <t>L-1491-327139668</t>
  </si>
  <si>
    <t>Bö Ink 16</t>
  </si>
  <si>
    <t>L-1499-315502746</t>
  </si>
  <si>
    <t>Bö Ink 17 - 1</t>
  </si>
  <si>
    <t>L-1499-315502754</t>
  </si>
  <si>
    <t>Bö Ink 17 - 2</t>
  </si>
  <si>
    <t>L-1476-315503459</t>
  </si>
  <si>
    <t>Bö Ink 18</t>
  </si>
  <si>
    <t>L-1486-315501553</t>
  </si>
  <si>
    <t>Bö Ink 19</t>
  </si>
  <si>
    <t>L-1487-315502762</t>
  </si>
  <si>
    <t>106697232X</t>
  </si>
  <si>
    <t>L-1491-315500662</t>
  </si>
  <si>
    <t>Bö Ink 21</t>
  </si>
  <si>
    <t>L-1492-315495766</t>
  </si>
  <si>
    <t>L-1491-315493224</t>
  </si>
  <si>
    <t>L-1491-315500182</t>
  </si>
  <si>
    <t>Bö Ink 24</t>
  </si>
  <si>
    <t>L-1497-315499915</t>
  </si>
  <si>
    <t>Bö Ink 25</t>
  </si>
  <si>
    <t>L-1488-315212640</t>
  </si>
  <si>
    <t>Bö Ink 26</t>
  </si>
  <si>
    <t>L-1488-315496282</t>
  </si>
  <si>
    <t>Bö Ink 27</t>
  </si>
  <si>
    <t>L-1490-315495170</t>
  </si>
  <si>
    <t>106696503X</t>
  </si>
  <si>
    <t>Bö Ink 28</t>
  </si>
  <si>
    <t>L-1494-315503696</t>
  </si>
  <si>
    <t>Bö Ink 29</t>
  </si>
  <si>
    <t>L-1471-315500948</t>
  </si>
  <si>
    <t>Bö Ink 30</t>
  </si>
  <si>
    <t>L-1491-315497653</t>
  </si>
  <si>
    <t>Bö Ink 31</t>
  </si>
  <si>
    <t>L-1479-327139870</t>
  </si>
  <si>
    <t>Bö Ink 32</t>
  </si>
  <si>
    <t>L-1498-31550210X</t>
  </si>
  <si>
    <t>Bö Ink 33</t>
  </si>
  <si>
    <t>L-1501-315503645</t>
  </si>
  <si>
    <t>Bö Ink 34</t>
  </si>
  <si>
    <t>L-1493-315497386</t>
  </si>
  <si>
    <t>Bö Ink 35</t>
  </si>
  <si>
    <t>L-1483-315498366</t>
  </si>
  <si>
    <t>Bö Ink 36</t>
  </si>
  <si>
    <t>L-1498-315498935</t>
  </si>
  <si>
    <t>Bö Ink 37</t>
  </si>
  <si>
    <t>L-1500-327140046</t>
  </si>
  <si>
    <t>Bö Ink 38</t>
  </si>
  <si>
    <t>L-1486-327140232</t>
  </si>
  <si>
    <t>Bö Ink 39</t>
  </si>
  <si>
    <t>L-1480-31550319X</t>
  </si>
  <si>
    <t>Bö Ink 40</t>
  </si>
  <si>
    <t>L-1499-31550272X</t>
  </si>
  <si>
    <t>106697229X</t>
  </si>
  <si>
    <t>Bö Ink 41</t>
  </si>
  <si>
    <t>L-1472-327144874</t>
  </si>
  <si>
    <t>Bö Ink 42</t>
  </si>
  <si>
    <t>L-1476-315500921</t>
  </si>
  <si>
    <t>Bö Ink 43 - Fragm.</t>
  </si>
  <si>
    <t>L-1476-324039794</t>
  </si>
  <si>
    <t>Bö Ink 43 (angebunden)</t>
  </si>
  <si>
    <t>L-1500-315497688</t>
  </si>
  <si>
    <t>Bö Ink 44</t>
  </si>
  <si>
    <t>L-1470-315501758</t>
  </si>
  <si>
    <t>Bö Ink 45</t>
  </si>
  <si>
    <t>L-1494-315496258</t>
  </si>
  <si>
    <t>Bö Ink 46</t>
  </si>
  <si>
    <t>L-1496-315501707</t>
  </si>
  <si>
    <t>Bö Ink 47</t>
  </si>
  <si>
    <t>L-1494-327145145</t>
  </si>
  <si>
    <t>107224005X</t>
  </si>
  <si>
    <t>Bö Ink 48</t>
  </si>
  <si>
    <t>L-1481-315503149</t>
  </si>
  <si>
    <t>Bö Ink 49</t>
  </si>
  <si>
    <t>L-1488-315497130</t>
  </si>
  <si>
    <t>Bö Ink 50</t>
  </si>
  <si>
    <t>L-1484-31550269X</t>
  </si>
  <si>
    <t>Bö Ink 51</t>
  </si>
  <si>
    <t>L-1487-31550188X</t>
  </si>
  <si>
    <t>Bö Ink 52</t>
  </si>
  <si>
    <t>L-1487-315501871</t>
  </si>
  <si>
    <t>Bö Ink 53</t>
  </si>
  <si>
    <t>L-1493-31550255X</t>
  </si>
  <si>
    <t>Bö Ink 54</t>
  </si>
  <si>
    <t>L-1493-315487941</t>
  </si>
  <si>
    <t>Bö Ink 55</t>
  </si>
  <si>
    <t>L-1482-315494735</t>
  </si>
  <si>
    <t>L-1495-327145609</t>
  </si>
  <si>
    <t>Bö Ink 57</t>
  </si>
  <si>
    <t>L-1474-315498277</t>
  </si>
  <si>
    <t>L-1481-315502029</t>
  </si>
  <si>
    <t>Bö Ink 59</t>
  </si>
  <si>
    <t>L-1483-31549882X</t>
  </si>
  <si>
    <t>Bö Ink 60</t>
  </si>
  <si>
    <t>L-1478-315502088</t>
  </si>
  <si>
    <t>Bö Ink 61</t>
  </si>
  <si>
    <t>L-1483-315499753</t>
  </si>
  <si>
    <t>Bö Ink 62</t>
  </si>
  <si>
    <t>L-1474-315498617</t>
  </si>
  <si>
    <t>Bö Ink 63</t>
  </si>
  <si>
    <t>L-1487-292765975</t>
  </si>
  <si>
    <t>L-1473-315495790</t>
  </si>
  <si>
    <t>Bö Ink 65</t>
  </si>
  <si>
    <t>L-1476-315500913</t>
  </si>
  <si>
    <t>Bö Ink 66</t>
  </si>
  <si>
    <t>L-1484-315501359</t>
  </si>
  <si>
    <t>Bö Ink 67</t>
  </si>
  <si>
    <t>L-1491-315501960</t>
  </si>
  <si>
    <t>Bö Ink 68</t>
  </si>
  <si>
    <t>L-1488-315501413</t>
  </si>
  <si>
    <t>Bö Ink 69</t>
  </si>
  <si>
    <t>L-1472-315501642</t>
  </si>
  <si>
    <t>Bö Ink 70</t>
  </si>
  <si>
    <t>L-1497-315498439</t>
  </si>
  <si>
    <t>Bö Ink 71</t>
  </si>
  <si>
    <t>L-1494-327146052</t>
  </si>
  <si>
    <t>Bö Ink 72 - Fragm.</t>
  </si>
  <si>
    <t>L-1474-31550370X</t>
  </si>
  <si>
    <t>Bö Ink 73</t>
  </si>
  <si>
    <t>L-1490-315503157</t>
  </si>
  <si>
    <t>Bö Ink 74</t>
  </si>
  <si>
    <t>L-1485-315501480</t>
  </si>
  <si>
    <t>Bö Ink 75</t>
  </si>
  <si>
    <t>L-1475-315498374</t>
  </si>
  <si>
    <t>Bö Ink 76</t>
  </si>
  <si>
    <t>L-1476-327155469</t>
  </si>
  <si>
    <t>Bö Ink 77</t>
  </si>
  <si>
    <t>L-1500-315502134</t>
  </si>
  <si>
    <t>Bö Ink 78</t>
  </si>
  <si>
    <t>L-1497-315499222</t>
  </si>
  <si>
    <t>Bö Ink 79</t>
  </si>
  <si>
    <t>L-1499-315502819</t>
  </si>
  <si>
    <t>Bö Ink 80</t>
  </si>
  <si>
    <t>L-1493-315496452</t>
  </si>
  <si>
    <t>106696615X</t>
  </si>
  <si>
    <t>Bö Ink 81</t>
  </si>
  <si>
    <t>L-1496-315496924</t>
  </si>
  <si>
    <t>106696663X</t>
  </si>
  <si>
    <t>Bö Ink 82</t>
  </si>
  <si>
    <t>L-1513-32715960X</t>
  </si>
  <si>
    <t>Bö Ink 83</t>
  </si>
  <si>
    <t>L-1489-327160357</t>
  </si>
  <si>
    <t>Bö Ink 84</t>
  </si>
  <si>
    <t>L-1498-315497998</t>
  </si>
  <si>
    <t>Bö Ink 85</t>
  </si>
  <si>
    <t>L-1489-315496789</t>
  </si>
  <si>
    <t>Bö Ink 86</t>
  </si>
  <si>
    <t>L-1487-315495464</t>
  </si>
  <si>
    <t>Bö Ink 87</t>
  </si>
  <si>
    <t>L-1497-315498544</t>
  </si>
  <si>
    <t>Bö Ink 88</t>
  </si>
  <si>
    <t>L-1472-31550160X</t>
  </si>
  <si>
    <t>Bö Ink 89</t>
  </si>
  <si>
    <t>L-1473-315498889</t>
  </si>
  <si>
    <t>Bö Ink 90</t>
  </si>
  <si>
    <t>L-1483-287401766</t>
  </si>
  <si>
    <t>L-1499-315500794</t>
  </si>
  <si>
    <t>Bö Ink 92</t>
  </si>
  <si>
    <t>L-1499-315496657</t>
  </si>
  <si>
    <t>Bö Ink 93 - Fragm.</t>
  </si>
  <si>
    <t>L-1488-315494883</t>
  </si>
  <si>
    <t>Bö Ink 94 - Fragm.</t>
  </si>
  <si>
    <t>L-1493-315496908</t>
  </si>
  <si>
    <t>Bö Ink 95 - Fragm.</t>
  </si>
  <si>
    <t>L-1481-315500050</t>
  </si>
  <si>
    <t>106696971X</t>
  </si>
  <si>
    <t>Bö Ink 96 - Fragm.</t>
  </si>
  <si>
    <t>L-1487-315502835</t>
  </si>
  <si>
    <t>Bö Ink 97 - Fragm.</t>
  </si>
  <si>
    <t>L-1475-315500034</t>
  </si>
  <si>
    <t>Bö Ink 98 - Fragm.</t>
  </si>
  <si>
    <t>L-1479-315499443</t>
  </si>
  <si>
    <t>Bö Ink 99 - Fragm.</t>
  </si>
  <si>
    <t>L-1486-315496843</t>
  </si>
  <si>
    <t>Bö Ink 100 - Fragm.</t>
  </si>
  <si>
    <t>L-1480-315501634</t>
  </si>
  <si>
    <t>Bö Ink 101 - Fragm.</t>
  </si>
  <si>
    <t>L-1485-31550157X</t>
  </si>
  <si>
    <t>106697120X</t>
  </si>
  <si>
    <t>Bö Ink 102 - Fragm.</t>
  </si>
  <si>
    <t>L-1486-315501979</t>
  </si>
  <si>
    <t>Bö Ink 103 - Fragm.</t>
  </si>
  <si>
    <t>L-1486-315495596</t>
  </si>
  <si>
    <t>Bö Ink 104 - Fragm.</t>
  </si>
  <si>
    <t>L-1483-315499613</t>
  </si>
  <si>
    <t>Bö Ink 105 - Fragm.</t>
  </si>
  <si>
    <t>L-1478-315501405</t>
  </si>
  <si>
    <t>Bö Ink 106 - Fragm.</t>
  </si>
  <si>
    <t>L-1485-315503033</t>
  </si>
  <si>
    <t>Bö Ink 107 - Fragm.</t>
  </si>
  <si>
    <t>L-1483-327160934</t>
  </si>
  <si>
    <t>Bö Ink 108 - Fragm.</t>
  </si>
  <si>
    <t>L-1475-315500158</t>
  </si>
  <si>
    <t>Bö Ink 109 - Fragm.</t>
  </si>
  <si>
    <t>L-1489-315496495</t>
  </si>
  <si>
    <t>Bö Ink 110 - Fragm.</t>
  </si>
  <si>
    <t>L-1490-315502231</t>
  </si>
  <si>
    <t>Bö Ink 111 - Fragm.</t>
  </si>
  <si>
    <t>L-1477-315498218</t>
  </si>
  <si>
    <t>Bö Ink 112 - Fragm.</t>
  </si>
  <si>
    <t>L-1491-315501952</t>
  </si>
  <si>
    <t>Bö Ink 113 - Fragm.</t>
  </si>
  <si>
    <t>L-1476-315497947</t>
  </si>
  <si>
    <t>Bö Ink 114 - Fragm.</t>
  </si>
  <si>
    <t>L-1494-315500840</t>
  </si>
  <si>
    <t>Bö Ink 115 - Fragm.</t>
  </si>
  <si>
    <t>L-1488-315502576</t>
  </si>
  <si>
    <t>106697215X</t>
  </si>
  <si>
    <t>Bö Ink 116 - Fragm.</t>
  </si>
  <si>
    <t>L-1493-327161256</t>
  </si>
  <si>
    <t>Bö Ink 117 - Fragm.</t>
  </si>
  <si>
    <t>L-1487-31549560X</t>
  </si>
  <si>
    <t>Bö Ink 118 - Fragm.</t>
  </si>
  <si>
    <t>L-1482-315499532</t>
  </si>
  <si>
    <t>Bö Ink 119 - Fragm.</t>
  </si>
  <si>
    <t>L-1489-315498749</t>
  </si>
  <si>
    <t>Bö Ink 120 - Fragm.</t>
  </si>
  <si>
    <t>L-1489-315500638</t>
  </si>
  <si>
    <t>Bö Ink 121 - Fragm.</t>
  </si>
  <si>
    <t>L-1475-315494867</t>
  </si>
  <si>
    <t>Bö Ink 122 - Fragm.</t>
  </si>
  <si>
    <t>L-1484-315499362</t>
  </si>
  <si>
    <t>106696906X</t>
  </si>
  <si>
    <t>Bö Ink 123 - Fragm.</t>
  </si>
  <si>
    <t>L-1494-31550241X</t>
  </si>
  <si>
    <t>Bö Ink 124 - Fragm.</t>
  </si>
  <si>
    <t>L-1477-315495634</t>
  </si>
  <si>
    <t>Bö Ink 125 - Fragm.</t>
  </si>
  <si>
    <t>L-1491-315495502</t>
  </si>
  <si>
    <t>Bö Ink 126 - Fragm.</t>
  </si>
  <si>
    <t>L-1477-315496487</t>
  </si>
  <si>
    <t>Bö Ink 127 - Fragm.</t>
  </si>
  <si>
    <t>L-1481-315496584</t>
  </si>
  <si>
    <t>106696629X</t>
  </si>
  <si>
    <t>Bö Ink 128 - Fragm.</t>
  </si>
  <si>
    <t>L-1496-315501987</t>
  </si>
  <si>
    <t>Bö Ink 129 - Fragm.</t>
  </si>
  <si>
    <t>L-1494-315498250</t>
  </si>
  <si>
    <t>Bö Ink 130 - Fragm.</t>
  </si>
  <si>
    <t>L-1477-315495685</t>
  </si>
  <si>
    <t>Bö Ink 131 - Fragm.</t>
  </si>
  <si>
    <t>L-1484-315500980</t>
  </si>
  <si>
    <t>Bö Ink 132</t>
  </si>
  <si>
    <t>L-1478-315497424</t>
  </si>
  <si>
    <t>Bö Ink 133</t>
  </si>
  <si>
    <t>L-1478-327163062</t>
  </si>
  <si>
    <t>Bö Ink 133a</t>
  </si>
  <si>
    <t>L-1491-327162325</t>
  </si>
  <si>
    <t>Bö Ink 134</t>
  </si>
  <si>
    <t>L-1491-31549736X</t>
  </si>
  <si>
    <t>Bö Ink 135 - Fragm.</t>
  </si>
  <si>
    <t>L-1482-315499621</t>
  </si>
  <si>
    <t>Bö Ink 136 - Fragm.</t>
  </si>
  <si>
    <t>L-1495-315495308</t>
  </si>
  <si>
    <t>Bö Ink 137 - Fragm.</t>
  </si>
  <si>
    <t>L-1493-315497394</t>
  </si>
  <si>
    <t>106696713X</t>
  </si>
  <si>
    <t>Bö Ink 138 - Fragm.</t>
  </si>
  <si>
    <t>L-1500-315498773</t>
  </si>
  <si>
    <t>Bö Ink 139 - Fragm.</t>
  </si>
  <si>
    <t>L-1479-315497769</t>
  </si>
  <si>
    <t>Bö Ink 140 - Fragm.</t>
  </si>
  <si>
    <t>L-1493-315487925</t>
  </si>
  <si>
    <t>Bö Ink 141 - Fragm.</t>
  </si>
  <si>
    <t>L-1490-315496665</t>
  </si>
  <si>
    <t>Bö Ink 142 - Fragm.</t>
  </si>
  <si>
    <t>L-1494-315499079</t>
  </si>
  <si>
    <t>Bö Ink 143 - Fragm.</t>
  </si>
  <si>
    <t>L-1483-315503106</t>
  </si>
  <si>
    <t>Bö Ink 144 - Fragm.</t>
  </si>
  <si>
    <t>L-1498-315488077</t>
  </si>
  <si>
    <t>Bö Ink 145 - Fragm.</t>
  </si>
  <si>
    <t>L-1489-315501898</t>
  </si>
  <si>
    <t>106697151X</t>
  </si>
  <si>
    <t>Bö Ink 146 - Fragm.</t>
  </si>
  <si>
    <t>L-1487-315496185</t>
  </si>
  <si>
    <t>Bö Ink 147 - Fragm.</t>
  </si>
  <si>
    <t>L-1495-315496266</t>
  </si>
  <si>
    <t>Bö Ink 148 - Fragm.</t>
  </si>
  <si>
    <t>L-1490-315502614</t>
  </si>
  <si>
    <t>Bö Ink 149 - Fragm.</t>
  </si>
  <si>
    <t>L-1482-315499060</t>
  </si>
  <si>
    <t>Bö Ink 150 - Fragm.</t>
  </si>
  <si>
    <t>L-1496-315497874</t>
  </si>
  <si>
    <t>Bö Ink 151 - Fragm.</t>
  </si>
  <si>
    <t>L-1486-315503092</t>
  </si>
  <si>
    <t>Bö Ink 152 - Fragm.</t>
  </si>
  <si>
    <t>L-1486-315498285</t>
  </si>
  <si>
    <t>Bö Ink 153 - Fragm.</t>
  </si>
  <si>
    <t>L-1486-315496851</t>
  </si>
  <si>
    <t>Bö Ink 154 - Fragm.</t>
  </si>
  <si>
    <t>L-1476-315497750</t>
  </si>
  <si>
    <t>Bö Ink 155 - Fragm.</t>
  </si>
  <si>
    <t>L-1485-315503025</t>
  </si>
  <si>
    <t>Bö Ink 156 - Fragm.</t>
  </si>
  <si>
    <t>L-1484-315498838</t>
  </si>
  <si>
    <t>Bö Ink 157 - Fragm.</t>
  </si>
  <si>
    <t>L-1481-315499583</t>
  </si>
  <si>
    <t>Bö Ink 158 - Fragm.</t>
  </si>
  <si>
    <t>L-1496-327163305</t>
  </si>
  <si>
    <t>Bö Ink 159</t>
  </si>
  <si>
    <t>L-1479-315500611</t>
  </si>
  <si>
    <t>Bö Ink 160 - Fragm.</t>
  </si>
  <si>
    <t>L-1483-315500069</t>
  </si>
  <si>
    <t>Bö Ink 161 - Fragm.</t>
  </si>
  <si>
    <t>L-1494-315500646</t>
  </si>
  <si>
    <t>Bö Ink 162 - Fragm.</t>
  </si>
  <si>
    <t>L-1489-315496088</t>
  </si>
  <si>
    <t>Bö Ink 163 - Fragm.</t>
  </si>
  <si>
    <t>L-1493-315498854</t>
  </si>
  <si>
    <t>Bö Ink 164 - Fragm.</t>
  </si>
  <si>
    <t>L-1485-315501200</t>
  </si>
  <si>
    <t>106697084X</t>
  </si>
  <si>
    <t>Bö Ink 165 - Fragm.</t>
  </si>
  <si>
    <t>L-1492-315501545</t>
  </si>
  <si>
    <t>Bö Ink 166 - Fragm.</t>
  </si>
  <si>
    <t>L-1481-315499044</t>
  </si>
  <si>
    <t>Bö Ink 167 - Fragm.</t>
  </si>
  <si>
    <t>L-1485-315495588</t>
  </si>
  <si>
    <t>Bö Ink 168 - Fragm.</t>
  </si>
  <si>
    <t>L-1483-315500549</t>
  </si>
  <si>
    <t>Bö Ink 169 - Fragm.</t>
  </si>
  <si>
    <t>L-1497-315499257</t>
  </si>
  <si>
    <t>Bö Ink 170 - Fragm.</t>
  </si>
  <si>
    <t>L-1483-315500077</t>
  </si>
  <si>
    <t>Bö Ink 171 - Fragm.</t>
  </si>
  <si>
    <t>L-1494-315497327</t>
  </si>
  <si>
    <t>Bö Ink 172 - Fragm.</t>
  </si>
  <si>
    <t>L-1485-315495006</t>
  </si>
  <si>
    <t>Bö Ink 173 - Fragm.</t>
  </si>
  <si>
    <t>L-1482-31549963X</t>
  </si>
  <si>
    <t>Bö Ink 174 - Fragm.</t>
  </si>
  <si>
    <t>L-1489-315496096</t>
  </si>
  <si>
    <t>Bö Ink 175 - Fragm.</t>
  </si>
  <si>
    <t>L-1492-315495529</t>
  </si>
  <si>
    <t>Bö Ink 176 - Fragm.</t>
  </si>
  <si>
    <t>L-1493-315497440</t>
  </si>
  <si>
    <t>Bö Ink 177 - Fragm.</t>
  </si>
  <si>
    <t>L-1478-315501731</t>
  </si>
  <si>
    <t>Bö Ink 178 - Fragm.</t>
  </si>
  <si>
    <t>L-1483-315499826</t>
  </si>
  <si>
    <t>Bö Ink 179 - Fragm.</t>
  </si>
  <si>
    <t>L-1495-315497793</t>
  </si>
  <si>
    <t>Bö Ink 180 - Fragm.</t>
  </si>
  <si>
    <t>L-1493-315502398</t>
  </si>
  <si>
    <t>Bö Ink 181 - Fragm.</t>
  </si>
  <si>
    <t>L-1490-315496371</t>
  </si>
  <si>
    <t>Bö Ink 182 - Fragm.</t>
  </si>
  <si>
    <t>L-1489-315496029</t>
  </si>
  <si>
    <t>Bö Ink 183 - Fragm.</t>
  </si>
  <si>
    <t>L-1483-315500085</t>
  </si>
  <si>
    <t>Bö Ink 184 - Fragm.</t>
  </si>
  <si>
    <t>L-1497-315500883</t>
  </si>
  <si>
    <t>Bö Ink 185 - Fragm.</t>
  </si>
  <si>
    <t>L-1498-315500891</t>
  </si>
  <si>
    <t>106697053X</t>
  </si>
  <si>
    <t>Bö Ink 186 - Fragm.</t>
  </si>
  <si>
    <t>L-1488-315502843</t>
  </si>
  <si>
    <t>Bö Ink 187 - Fragm.</t>
  </si>
  <si>
    <t>L-1490-327163577</t>
  </si>
  <si>
    <t>Bö Ink 188 - Fragm.</t>
  </si>
  <si>
    <t>L-1479-315503068</t>
  </si>
  <si>
    <t>Bö Ink 189 - Fragm.</t>
  </si>
  <si>
    <t>L-1471-315498943</t>
  </si>
  <si>
    <t>Bö Ink 190 - Fragm.</t>
  </si>
  <si>
    <t>L-1480-327168676</t>
  </si>
  <si>
    <t>107226532X</t>
  </si>
  <si>
    <t>Bö Ink 191</t>
  </si>
  <si>
    <t>L-1480-327172649</t>
  </si>
  <si>
    <t>107226580X</t>
  </si>
  <si>
    <t>Bö Ink 192</t>
  </si>
  <si>
    <t>L-1476-315503432</t>
  </si>
  <si>
    <t>Bö Ink 193 - Fragm.</t>
  </si>
  <si>
    <t>L-1475-31549817X</t>
  </si>
  <si>
    <t>106696792X</t>
  </si>
  <si>
    <t>Bö Ink 194 - Fragm.</t>
  </si>
  <si>
    <t>L-1474-315495391</t>
  </si>
  <si>
    <t>Bö Ink 195 - Fragm.</t>
  </si>
  <si>
    <t>L-1498-315212659</t>
  </si>
  <si>
    <t>Bö Ink 196 - Fragm.</t>
  </si>
  <si>
    <t>L-1492-315495421</t>
  </si>
  <si>
    <t>Bö Ink 197 - Fragm.</t>
  </si>
  <si>
    <t>L-1486-315500557</t>
  </si>
  <si>
    <t>106697022X</t>
  </si>
  <si>
    <t>Bö Ink 198 - Fragm.</t>
  </si>
  <si>
    <t>L-1472-31550367X</t>
  </si>
  <si>
    <t>Bö Ink 199 - Fragm.</t>
  </si>
  <si>
    <t>L-1477-315497068</t>
  </si>
  <si>
    <t>Bö Ink 200 - Fragm.</t>
  </si>
  <si>
    <t>L-1499-315502193</t>
  </si>
  <si>
    <t>Bö Ink 201 - Fragm.</t>
  </si>
  <si>
    <t>L-1494-315502185</t>
  </si>
  <si>
    <t>106697179X</t>
  </si>
  <si>
    <t>Bö Ink 202 - Fragm.</t>
  </si>
  <si>
    <t>L-1487-292765967</t>
  </si>
  <si>
    <t>Bö Ink 203 - Fragm.</t>
  </si>
  <si>
    <t>L-1492-31549543X</t>
  </si>
  <si>
    <t>L-1480-315496967</t>
  </si>
  <si>
    <t>L-1486-315502223</t>
  </si>
  <si>
    <t>106697182X</t>
  </si>
  <si>
    <t>L-1483-31549834X</t>
  </si>
  <si>
    <t>L-1495-315497564</t>
  </si>
  <si>
    <t>106696730X</t>
  </si>
  <si>
    <t>L-1478-315498293</t>
  </si>
  <si>
    <t>L-1498-315502592</t>
  </si>
  <si>
    <t>L-1484-315494905</t>
  </si>
  <si>
    <t>L-1479-31549977X</t>
  </si>
  <si>
    <t>L-1483-315500220</t>
  </si>
  <si>
    <t>L-1493-315496800</t>
  </si>
  <si>
    <t>L-1477-315495642</t>
  </si>
  <si>
    <t>L-1485-315501510</t>
  </si>
  <si>
    <t>L-1487-315501219</t>
  </si>
  <si>
    <t>L-1497-315496991</t>
  </si>
  <si>
    <t>L-1493-327173564</t>
  </si>
  <si>
    <t>L-1477-315495650</t>
  </si>
  <si>
    <t>L-1497-315497009</t>
  </si>
  <si>
    <t>L-1483-315497084</t>
  </si>
  <si>
    <t>L-1489-31549686X</t>
  </si>
  <si>
    <t>L-1491-315497971</t>
  </si>
  <si>
    <t>L-1495-315496835</t>
  </si>
  <si>
    <t>L-1493-315496533</t>
  </si>
  <si>
    <t>L-1475-315501588</t>
  </si>
  <si>
    <t>L-1478-315501901</t>
  </si>
  <si>
    <t>L-1493-315487933</t>
  </si>
  <si>
    <t>L-1491-315498536</t>
  </si>
  <si>
    <t>L-1478-315497017</t>
  </si>
  <si>
    <t>L-1499-315500786</t>
  </si>
  <si>
    <t>L-1485-327174331</t>
  </si>
  <si>
    <t>107226661X</t>
  </si>
  <si>
    <t>L-1474-315502452</t>
  </si>
  <si>
    <t>L-1499-315499974</t>
  </si>
  <si>
    <t>L-1494-315498765</t>
  </si>
  <si>
    <t>L-1496-315498927</t>
  </si>
  <si>
    <t>L-1497-315498463</t>
  </si>
  <si>
    <t>L-1499-327175362</t>
  </si>
  <si>
    <t>L-1493-315498862</t>
  </si>
  <si>
    <t>L-1495-315496975</t>
  </si>
  <si>
    <t>L-1475-315496959</t>
  </si>
  <si>
    <t>L-1488-315497475</t>
  </si>
  <si>
    <t>L-1489-315498064</t>
  </si>
  <si>
    <t>L-1474-315496681</t>
  </si>
  <si>
    <t>L-1475-327176628</t>
  </si>
  <si>
    <t>L-1476-315500298</t>
  </si>
  <si>
    <t>L-1475-315501154</t>
  </si>
  <si>
    <t>L-1474-315502347</t>
  </si>
  <si>
    <t>L-1498-315501383</t>
  </si>
  <si>
    <t>L-1491-283710691</t>
  </si>
  <si>
    <t>L-1476-285513311</t>
  </si>
  <si>
    <t>L-1474-285623974</t>
  </si>
  <si>
    <t>L-1493-286685353</t>
  </si>
  <si>
    <t>L-1490-35325441X</t>
  </si>
  <si>
    <t>L-1495-286290367</t>
  </si>
  <si>
    <t>L-1496-286290782</t>
  </si>
  <si>
    <t>L-1499-28632282X</t>
  </si>
  <si>
    <t>L-1479-286784718</t>
  </si>
  <si>
    <t>104816313X</t>
  </si>
  <si>
    <t>L-1483-286785641</t>
  </si>
  <si>
    <t>L-1484-286786516</t>
  </si>
  <si>
    <t>L-1477-286786966</t>
  </si>
  <si>
    <t>L-1473-286787512</t>
  </si>
  <si>
    <t>L-1473-287114619</t>
  </si>
  <si>
    <t>L-1481-291482708</t>
  </si>
  <si>
    <t>L-1483-297892584</t>
  </si>
  <si>
    <t>L-1475-315067187</t>
  </si>
  <si>
    <t>106667857X</t>
  </si>
  <si>
    <t>L-1492-478736967</t>
  </si>
  <si>
    <t>L-1480-35430609X</t>
  </si>
  <si>
    <t>L-1483-354310992</t>
  </si>
  <si>
    <t>L-1480-371163129</t>
  </si>
  <si>
    <t>L-1476-373399480</t>
  </si>
  <si>
    <t>L-1478-375750975</t>
  </si>
  <si>
    <t>L-1472-376651903</t>
  </si>
  <si>
    <t>L-9999-37967601X</t>
  </si>
  <si>
    <t>L-1470-379676575</t>
  </si>
  <si>
    <t>L-1470-379676680</t>
  </si>
  <si>
    <t xml:space="preserve">Signaturgruppe Bö Ink </t>
  </si>
  <si>
    <t>Normalformate 4. OG R 43</t>
  </si>
  <si>
    <t>Großformate 4. OG R 37</t>
  </si>
  <si>
    <t>Überformate 4. OG R 42/6/4-5</t>
  </si>
  <si>
    <t>ausgebunden</t>
  </si>
  <si>
    <t>erhabene Illuminationen, hohler Rücken</t>
  </si>
  <si>
    <t>erhabene Illuminationen, fester Rücken mit Schmuckprägung</t>
  </si>
  <si>
    <t>Ledereinband, Schließen, erhabene Buchbeschläge</t>
  </si>
  <si>
    <t>Bö Ink 20 (angebunden)</t>
  </si>
  <si>
    <t>welliger Buchblock, fester Rücken mit Schmuckprägung, stark brüchiges Einbandmaterial</t>
  </si>
  <si>
    <t>Pergamentband, Schließen, erhabene Buchbeschläge</t>
  </si>
  <si>
    <t>hohler Rücken, Einband mit Schutz- oder Stoßkanten</t>
  </si>
  <si>
    <t>x</t>
  </si>
  <si>
    <t>hohler Rücken, erhabene Illuminationen</t>
  </si>
  <si>
    <t>fester Rücken mit Schmuckprägung, erhabene Illuminationen</t>
  </si>
  <si>
    <t>erhabene Illuminationen, stark brüchiges Einbandmaterial</t>
  </si>
  <si>
    <t>fester Rücken mit Schmuckprägung, stark brüchiges Einbandmaterial, erhabene Illuminationen</t>
  </si>
  <si>
    <t>hohler Rücken, welliger Buchblock, erhabene Illuminationen</t>
  </si>
  <si>
    <t>fester Rücken mit Schmuckprägung, welliger Buchblock, erhabene Illuminationen</t>
  </si>
  <si>
    <t>fester Rücken mit Schmuckprägung, Schrift bis in den Falz, erhabene Illuminationen</t>
  </si>
  <si>
    <t>hohler Rücken, welliger Buchblock, Schrift bis in den Falz</t>
  </si>
  <si>
    <t>Nein, Signaturfahne austauschen</t>
  </si>
  <si>
    <t>welliger Buchblock, erhabene Illuminationen</t>
  </si>
  <si>
    <t>erhabene Illuminationen, welliger Buchblock</t>
  </si>
  <si>
    <t>erhabene Illuminationen, welliger Buchblock, stark brüchiges Einbandmaterial</t>
  </si>
  <si>
    <t>Holzdeckel</t>
  </si>
  <si>
    <t>in DA</t>
  </si>
  <si>
    <t>erhabene Illuminationen, hohler Rücken, stark brüchiges Einbandmaterial</t>
  </si>
  <si>
    <t>Bö Ink 56 - 1</t>
  </si>
  <si>
    <t>Bö Ink 56 - 2</t>
  </si>
  <si>
    <t>erhabene Illuminationen, Einband mit Schutz- oder Stoßkanten</t>
  </si>
  <si>
    <t>Bö Ink 58 - 1</t>
  </si>
  <si>
    <t>Bö Ink 58 - 2</t>
  </si>
  <si>
    <t>erhabene Illuminationen, welliger Buchblock, fester Rücken mit Schmuckprägung</t>
  </si>
  <si>
    <t>Blindband</t>
  </si>
  <si>
    <t>Bö Ink 64 - 2</t>
  </si>
  <si>
    <t>erhabene Illuminationen, welliger Buchblock, Schrift bis in den Falz</t>
  </si>
  <si>
    <t>Bö Ink 91 - 1</t>
  </si>
  <si>
    <t>Bö Ink 91 - 2</t>
  </si>
  <si>
    <t>hohler Rücken, erhabene Illuminationen, Einband mit Schutz- oder Stoßkanten</t>
  </si>
  <si>
    <t>gereinigt</t>
  </si>
  <si>
    <t>Spitze Nägel im Einband, daher Verpackung angefertigt</t>
  </si>
  <si>
    <t>hohler Rücken, welliger Buchblock</t>
  </si>
  <si>
    <t>Ja, Signaturfahne austauschen</t>
  </si>
  <si>
    <t>fester Rücken mit Schmuckprägung, welliger Buchblock</t>
  </si>
  <si>
    <t>hinterer Holzdeckel gebrochen</t>
  </si>
  <si>
    <t>hohler Rücken, erhabene Illuminationen, welliger Buchblock</t>
  </si>
  <si>
    <t>S. 96 herausgerissen</t>
  </si>
  <si>
    <t>fester Rücken mit Schmuckprägung, welliger Buchblock, erhabene Illuminationen, stark brüchiges Einbandmaterial</t>
  </si>
  <si>
    <t>Schrift bis in den Falz, hohler Rücken</t>
  </si>
  <si>
    <t>fester Rücken mit Schmuckprägung, Schrift bis in den Falz</t>
  </si>
  <si>
    <t>Bö Ink 22 ( angebunden)</t>
  </si>
  <si>
    <t>Bö Ink 23 (angebunden)</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</si>
  <si>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</si>
  <si>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</si>
  <si>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</si>
  <si>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</si>
  <si>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</si>
  <si>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</si>
  <si>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</si>
  <si>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</si>
  <si>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 xml:space="preserve"> </t>
  </si>
  <si>
    <t>Standorte</t>
  </si>
  <si>
    <t>Informationen zu dieser Mappe</t>
  </si>
  <si>
    <t>Veränderungen an dieser Mappe:</t>
  </si>
  <si>
    <t>wann</t>
  </si>
  <si>
    <t>wer</t>
  </si>
  <si>
    <t>was</t>
  </si>
  <si>
    <t>F. Thomschke</t>
  </si>
  <si>
    <t>zusätzlich Zebra in Signaturspalte eingefügt</t>
  </si>
  <si>
    <t>Narben spaltet sich ab</t>
  </si>
  <si>
    <t>Heftung zerstört</t>
  </si>
  <si>
    <t>Risse am Rand</t>
  </si>
  <si>
    <t>Falten / Knicke</t>
  </si>
  <si>
    <t>Register-marken fragil</t>
  </si>
  <si>
    <t>relative Zellbezüge eingefügt (auf Bö_Ink, Schäden_Einband, Schäden_Buchblock)</t>
  </si>
  <si>
    <t>nur 110</t>
  </si>
  <si>
    <t>Übersicht über Vollstänigkeit der Inkunabeln (Schuber mit loser Blattsammlung, die in säurehaltiges Papier gehüllt ist) --&gt; bessere Verpackung!</t>
  </si>
  <si>
    <t>K</t>
  </si>
  <si>
    <t>I/R</t>
  </si>
  <si>
    <t>I</t>
  </si>
  <si>
    <t>Gewebe</t>
  </si>
  <si>
    <t>h</t>
  </si>
  <si>
    <t>f</t>
  </si>
  <si>
    <t>f/V</t>
  </si>
  <si>
    <t>RD</t>
  </si>
  <si>
    <t>Pa</t>
  </si>
  <si>
    <t>ja vor</t>
  </si>
  <si>
    <t>G</t>
  </si>
  <si>
    <t>Einband lose dabei stehend, beides in ein Schutzbehältnis?</t>
  </si>
  <si>
    <t>Farbschicht pudert teilweise leicht</t>
  </si>
  <si>
    <t>110  ist grenzwertig, andere Technik weg. Schließe nicht möglich</t>
  </si>
  <si>
    <t>ist bereits vollrestauriert</t>
  </si>
  <si>
    <t>ist vollrestauriert</t>
  </si>
  <si>
    <t>Schachtel ist zu groß</t>
  </si>
  <si>
    <t>ist vollrest.</t>
  </si>
  <si>
    <t>ist vollrest. und sehr steif im Rücken</t>
  </si>
  <si>
    <t>ist vollrest., macht in der Mitte "Bauch" --&gt; geringere Öffnungswinkel günstiger für verzerrungsfreie Aufnahme?</t>
  </si>
  <si>
    <t>48x63</t>
  </si>
  <si>
    <t>n</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</si>
  <si>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</si>
  <si>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</si>
  <si>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</si>
  <si>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</si>
  <si>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</si>
  <si>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</si>
  <si>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</si>
  <si>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</si>
  <si>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</si>
  <si>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</si>
  <si>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</si>
  <si>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</si>
  <si>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</si>
  <si>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</si>
  <si>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</si>
  <si>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</si>
  <si>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</si>
  <si>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</si>
  <si>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</si>
  <si>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</si>
  <si>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</si>
  <si>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</si>
  <si>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</si>
  <si>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</si>
  <si>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</si>
  <si>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</si>
  <si>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</si>
  <si>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</si>
  <si>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</si>
  <si>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</si>
  <si>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</si>
  <si>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</si>
  <si>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</si>
  <si>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</si>
  <si>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</si>
  <si>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</si>
  <si>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</si>
  <si>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</si>
  <si>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</si>
  <si>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</si>
  <si>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</si>
  <si>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</si>
  <si>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</si>
  <si>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</si>
  <si>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</si>
  <si>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t>Farb-schicht pudert</t>
  </si>
  <si>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</si>
  <si>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</si>
  <si>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</si>
  <si>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</si>
  <si>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</si>
  <si>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</si>
  <si>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</si>
  <si>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</si>
  <si>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</si>
  <si>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</si>
  <si>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Die Mappe basiert auf der Excelliste, die 2020 erstellt worde. Veränderungen/Ergänzungen ab 2022 sind unten aufgeführt.</t>
  </si>
  <si>
    <t>Wichtig! Bitte alle relevanten Veränderungen (Einfügen von Zellbezügen, neuen Spalten...) ergänzen, da verschiedene Leute mit der Tabelle arbeiten!!!</t>
  </si>
  <si>
    <t>neue Tabellenblätter in die Mappe eingefügt (Infos zu dieser Mappe, Legende_Thomschke, Schäden_Einband, Schäden_Buchblock)</t>
  </si>
  <si>
    <t>grundsätzlich alle Spalten ausgeblendet, die F. Thomschke für die Erfassung nicht benötigt</t>
  </si>
  <si>
    <t>Abkürzung</t>
  </si>
  <si>
    <t>Auflösung</t>
  </si>
  <si>
    <t>allg.</t>
  </si>
  <si>
    <t>ÜF</t>
  </si>
  <si>
    <t>Überformat</t>
  </si>
  <si>
    <t>SB</t>
  </si>
  <si>
    <t>Schutzbehältnis</t>
  </si>
  <si>
    <t>Br</t>
  </si>
  <si>
    <t>HG</t>
  </si>
  <si>
    <t>HD</t>
  </si>
  <si>
    <t>Holzdeckelband</t>
  </si>
  <si>
    <t>L</t>
  </si>
  <si>
    <t>HL</t>
  </si>
  <si>
    <t>Pg</t>
  </si>
  <si>
    <t>HPg</t>
  </si>
  <si>
    <t>oE</t>
  </si>
  <si>
    <t>ohne Einband (ungebunden)</t>
  </si>
  <si>
    <t>EB</t>
  </si>
  <si>
    <t>Einzelblätter</t>
  </si>
  <si>
    <t>Rücken</t>
  </si>
  <si>
    <t>fester Rücken</t>
  </si>
  <si>
    <t>fester Rücken mit Vergoldung</t>
  </si>
  <si>
    <t>h/E</t>
  </si>
  <si>
    <t>hohler Rücken mit Einlage</t>
  </si>
  <si>
    <t>Ausstattung</t>
  </si>
  <si>
    <t>Kolorierung</t>
  </si>
  <si>
    <t>B</t>
  </si>
  <si>
    <t>Buchmalerei</t>
  </si>
  <si>
    <t>Initalien</t>
  </si>
  <si>
    <t>R</t>
  </si>
  <si>
    <t>Rubrikation</t>
  </si>
  <si>
    <t>Schäden/
Restaurierung</t>
  </si>
  <si>
    <t>v</t>
  </si>
  <si>
    <t>vorn</t>
  </si>
  <si>
    <t>hinten</t>
  </si>
  <si>
    <t>VD</t>
  </si>
  <si>
    <t>Vorderdeckel</t>
  </si>
  <si>
    <t>Rückdeckel</t>
  </si>
  <si>
    <t>o</t>
  </si>
  <si>
    <t>oben</t>
  </si>
  <si>
    <t>u</t>
  </si>
  <si>
    <t>unten</t>
  </si>
  <si>
    <t>Einfügen neuer Spalten in das Hauptblatt "Bö_Ink". Diese worden mit Zebra versehen.</t>
  </si>
  <si>
    <t>Pg (Mak.)</t>
  </si>
  <si>
    <t>Pergamentband (Makulatur)</t>
  </si>
  <si>
    <t>Öffnungswinkel (ÖW)</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</si>
  <si>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</si>
  <si>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</si>
  <si>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</si>
  <si>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Pergamentumschlag</t>
  </si>
  <si>
    <t>max 80</t>
  </si>
  <si>
    <t>max 60</t>
  </si>
  <si>
    <t>max 180</t>
  </si>
  <si>
    <t>max 110</t>
  </si>
  <si>
    <t>Wellpappe</t>
  </si>
  <si>
    <t>x sauer</t>
  </si>
  <si>
    <t>v/h</t>
  </si>
  <si>
    <t>für Testphase
vorsehen</t>
  </si>
  <si>
    <t>HPa</t>
  </si>
  <si>
    <t>DA</t>
  </si>
  <si>
    <t>x 110</t>
  </si>
  <si>
    <t>Umschlag</t>
  </si>
  <si>
    <t>x 45</t>
  </si>
  <si>
    <t>Rücken sichern, Umschlag anfertigen</t>
  </si>
  <si>
    <t>Box</t>
  </si>
  <si>
    <t>Deckel sperren</t>
  </si>
  <si>
    <t>alter Schimmelschaden, hält sich in Grenzen, sollte keine Gefahr davon ausgehen</t>
  </si>
  <si>
    <t>gedruckte und handschriftliche Anmerkungen sehr weit im Falz</t>
  </si>
  <si>
    <t>RD an Ecke am Fuß mit Hausenblase festigen, loses Leder zurückkleben (keine Ergänzungen)</t>
  </si>
  <si>
    <t>1. Lage: Verklebung lösen und aufheften; Vorsatz hinten rest.</t>
  </si>
  <si>
    <t>K/I/R</t>
  </si>
  <si>
    <t>Rückenschaden für Digitalisierung nicht relevant</t>
  </si>
  <si>
    <t>Bünde verlängern, Gelenk mit JP-Gewebe-Laminat schließen, Ecken pasten</t>
  </si>
  <si>
    <t>Gelenke innen ggf. offen lassen</t>
  </si>
  <si>
    <t>xx</t>
  </si>
  <si>
    <t xml:space="preserve">x </t>
  </si>
  <si>
    <t>nur Ecke rechts oben, wo Gefährdung ist (Rest belassen)</t>
  </si>
  <si>
    <t>Bö Ink 61 (Blindband)</t>
  </si>
  <si>
    <t>nur Einband fotographieren</t>
  </si>
  <si>
    <t>x nur Einband</t>
  </si>
  <si>
    <t>B/I</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</si>
  <si>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</si>
  <si>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</si>
  <si>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</si>
  <si>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</si>
  <si>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</si>
  <si>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</si>
  <si>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</si>
  <si>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</si>
  <si>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</si>
  <si>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Besonderheiten (z.B. Perlen)</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</si>
  <si>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</si>
  <si>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</si>
  <si>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</si>
  <si>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</si>
  <si>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</si>
  <si>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</si>
  <si>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</si>
  <si>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</si>
  <si>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</si>
  <si>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</si>
  <si>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</si>
  <si>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</si>
  <si>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saures
Fülmaterial</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</si>
  <si>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</si>
  <si>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</si>
  <si>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</si>
  <si>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</si>
  <si>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</si>
  <si>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</si>
  <si>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</si>
  <si>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</si>
  <si>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</si>
  <si>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</si>
  <si>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</si>
  <si>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</si>
  <si>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45</t>
  </si>
  <si>
    <t>Digit. mit Begleitung</t>
  </si>
  <si>
    <t>Verschmutzung (Vorsatz / Ränder /
ges. BB)</t>
  </si>
  <si>
    <t>mikrobieller Befall</t>
  </si>
  <si>
    <t>Rest.-Bericht eingeklebt</t>
  </si>
  <si>
    <t>Rest.
notwendig</t>
  </si>
  <si>
    <t>gesamt</t>
  </si>
  <si>
    <t>vor Digit.</t>
  </si>
  <si>
    <t>nach Digit.</t>
  </si>
  <si>
    <t>vor und nach Digit.</t>
  </si>
  <si>
    <t>Rest.-Aufwand gesamt
(in Std.)</t>
  </si>
  <si>
    <t>Anzahl erfolgter Restaurierung</t>
  </si>
  <si>
    <t>Öffnungswinkel 45</t>
  </si>
  <si>
    <t>Öffnungswinkel 110</t>
  </si>
  <si>
    <t>Schutzbehältnis empfohlen</t>
  </si>
  <si>
    <t>=Bö_Ink!X29</t>
  </si>
  <si>
    <t>=Bö_Ink!BH30</t>
  </si>
  <si>
    <t>Datentransferblatt für Bö Ink</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</si>
  <si>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</si>
  <si>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</si>
  <si>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Bö Ink 135</t>
  </si>
  <si>
    <t>Bö Ink 160</t>
  </si>
  <si>
    <t>Umschlag (pudert)</t>
  </si>
  <si>
    <t>Foto für Erheb. Rest. angefertigt (ab August)</t>
  </si>
  <si>
    <r>
      <t xml:space="preserve">Rest.-Aufwand Einband 
</t>
    </r>
    <r>
      <rPr>
        <sz val="9"/>
        <color theme="1"/>
        <rFont val="Verdana"/>
        <family val="2"/>
      </rPr>
      <t>(in Std.)</t>
    </r>
  </si>
  <si>
    <t>Anmerkungen für die Restaurierung am Einband</t>
  </si>
  <si>
    <r>
      <t xml:space="preserve">Rest.-Aufwand Buchblock
</t>
    </r>
    <r>
      <rPr>
        <sz val="9"/>
        <color theme="1"/>
        <rFont val="Verdana"/>
        <family val="2"/>
      </rPr>
      <t>(in Std.)</t>
    </r>
  </si>
  <si>
    <t>Anmerkungen für die Restaurierung am Buchblock</t>
  </si>
  <si>
    <t>ja ÖW=0</t>
  </si>
  <si>
    <t>GF</t>
  </si>
  <si>
    <t xml:space="preserve">ursprünglicher Einband umfasst einen Blindband (Leerband) --&gt; nur Einband fotographieren </t>
  </si>
  <si>
    <t xml:space="preserve">alle Fragmente sind auf einen Karton montiert; teilweise sind sie mehrseitig, auch aus Perg. ws. (hab nicht alle angeschaut), alle sind vermutlich bei 180° digitalisierbar. Größe der Montagekartons (alle sauer!!) 32x48. Sie werden in insgesamt 13 Gewebekassetten aufbewahrt und liegen in R42A/6/2-4 </t>
  </si>
  <si>
    <t>von FT aufgenommen, steht am Ende von Bö Ink Normalformaten</t>
  </si>
  <si>
    <t>Kasten aus Gewebe mit Stülpdeckel, Kasten ist schlecht zum Rausnehmen, v.a. bei dem Schaden und zu knapp in der Höhe</t>
  </si>
  <si>
    <t>steht bei
/ Anm.
zur
Signatur</t>
  </si>
  <si>
    <t>Einband-
art Kommentar</t>
  </si>
  <si>
    <t>max. Öffnungs-winkel Kommentar</t>
  </si>
  <si>
    <t>Digit. mit Begleit-ung Kommentar</t>
  </si>
  <si>
    <t>für Testphase
vorsehen Kommentar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</si>
</sst>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8"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font>
    <font>
      <b/>
      <sz val="9"/>
      <color indexed="81"/>
      <name val="Segoe UI"/>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theme="2" tint="-9.9978637043366805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9">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0" xfId="0" applyFill="1" applyBorder="1"/>
    <xf numFmtId="0" fontId="0" fillId="0" borderId="6" xfId="0" applyFill="1" applyBorder="1"/>
    <xf numFmtId="49" fontId="0" fillId="0" borderId="0" xfId="0" applyNumberFormat="1" applyAlignment="1">
      <alignment vertical="top"/>
    </xf>
    <xf numFmtId="0" fontId="8" fillId="0" borderId="0" xfId="2" applyFill="1" applyBorder="1" applyAlignment="1" applyProtection="1">
      <alignment vertical="top"/>
    </xf>
    <xf numFmtId="0" fontId="0" fillId="0" borderId="1" xfId="0" applyFill="1" applyBorder="1" applyAlignment="1">
      <alignment vertical="top"/>
    </xf>
    <xf numFmtId="0" fontId="0" fillId="0" borderId="1" xfId="0" applyFill="1" applyBorder="1" applyAlignment="1">
      <alignment vertical="top" wrapText="1"/>
    </xf>
    <xf numFmtId="0" fontId="0" fillId="0" borderId="0" xfId="0" applyAlignment="1">
      <alignment vertical="top"/>
    </xf>
    <xf numFmtId="0" fontId="4" fillId="0" borderId="1" xfId="0" applyFont="1" applyFill="1" applyBorder="1" applyAlignment="1">
      <alignment vertical="top"/>
    </xf>
    <xf numFmtId="0" fontId="0" fillId="0" borderId="0" xfId="0" applyAlignment="1">
      <alignment vertical="top" wrapText="1"/>
    </xf>
    <xf numFmtId="49" fontId="0" fillId="0" borderId="0" xfId="0" applyNumberFormat="1" applyAlignment="1">
      <alignmen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2" fillId="0" borderId="0" xfId="0" applyFont="1" applyAlignment="1">
      <alignment horizontal="left" vertical="top" wrapText="1"/>
    </xf>
    <xf numFmtId="0" fontId="2" fillId="0" borderId="0" xfId="0" applyFont="1" applyAlignment="1">
      <alignment horizontal="left" vertical="top"/>
    </xf>
    <xf numFmtId="0" fontId="13" fillId="0" borderId="0" xfId="0" applyFont="1" applyAlignment="1">
      <alignment horizontal="left" vertical="top"/>
    </xf>
    <xf numFmtId="0" fontId="0" fillId="0" borderId="0" xfId="0" applyFont="1" applyBorder="1"/>
    <xf numFmtId="0" fontId="13" fillId="0" borderId="0" xfId="0" applyFont="1" applyAlignment="1">
      <alignment horizontal="left" vertical="top" wrapText="1"/>
    </xf>
    <xf numFmtId="0" fontId="3" fillId="2" borderId="1" xfId="0" applyFont="1" applyFill="1" applyBorder="1" applyAlignment="1">
      <alignment horizontal="center" vertical="top"/>
    </xf>
    <xf numFmtId="0" fontId="0" fillId="0" borderId="0" xfId="0" applyAlignment="1">
      <alignment horizontal="center" vertical="top"/>
    </xf>
    <xf numFmtId="0" fontId="0" fillId="0" borderId="0" xfId="0" applyAlignment="1">
      <alignment horizontal="center" vertical="top" wrapText="1"/>
    </xf>
    <xf numFmtId="49" fontId="0" fillId="0" borderId="0" xfId="0" applyNumberFormat="1" applyAlignment="1">
      <alignment horizontal="center" vertical="top" wrapText="1"/>
    </xf>
    <xf numFmtId="0" fontId="0" fillId="0" borderId="0" xfId="0" applyAlignment="1">
      <alignment horizontal="right" vertical="top"/>
    </xf>
    <xf numFmtId="0" fontId="0" fillId="0" borderId="0" xfId="0" applyAlignment="1">
      <alignment horizontal="lef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8" fillId="0" borderId="0" xfId="2" applyFill="1" applyBorder="1" applyAlignment="1">
      <alignment horizontal="left" vertical="top"/>
    </xf>
    <xf numFmtId="0" fontId="0" fillId="0" borderId="0"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5" xfId="0" applyFill="1" applyBorder="1" applyAlignment="1">
      <alignment horizontal="left" vertical="top" wrapText="1"/>
    </xf>
    <xf numFmtId="0" fontId="0" fillId="0" borderId="1" xfId="0" applyFill="1" applyBorder="1" applyAlignment="1">
      <alignment horizontal="left" vertical="top" wrapText="1"/>
    </xf>
    <xf numFmtId="0" fontId="0" fillId="0" borderId="1" xfId="0" applyFill="1" applyBorder="1" applyAlignment="1">
      <alignment horizontal="left" vertical="top"/>
    </xf>
    <xf numFmtId="0" fontId="0" fillId="0" borderId="0" xfId="0" applyBorder="1" applyAlignment="1">
      <alignment horizontal="center" vertical="top"/>
    </xf>
    <xf numFmtId="2" fontId="0" fillId="0" borderId="0" xfId="0" applyNumberFormat="1" applyBorder="1" applyAlignment="1">
      <alignment horizontal="center" vertical="top"/>
    </xf>
    <xf numFmtId="0" fontId="0" fillId="0" borderId="0" xfId="0" applyBorder="1" applyAlignment="1">
      <alignment horizontal="center" vertical="top" wrapText="1"/>
    </xf>
    <xf numFmtId="0" fontId="12" fillId="0" borderId="0" xfId="0" applyFont="1" applyFill="1" applyBorder="1" applyAlignment="1">
      <alignment horizontal="center" vertical="top" wrapText="1"/>
    </xf>
    <xf numFmtId="0" fontId="0" fillId="0" borderId="0" xfId="0" applyBorder="1" applyAlignment="1">
      <alignment horizontal="left" vertical="top" wrapText="1"/>
    </xf>
    <xf numFmtId="0" fontId="14" fillId="0" borderId="0" xfId="0" applyFont="1" applyFill="1" applyBorder="1" applyAlignment="1">
      <alignment horizontal="center" vertical="top" wrapText="1"/>
    </xf>
    <xf numFmtId="0" fontId="0" fillId="0" borderId="9" xfId="0" applyFont="1" applyFill="1" applyBorder="1" applyAlignment="1">
      <alignment horizontal="left" vertical="top"/>
    </xf>
    <xf numFmtId="0" fontId="0" fillId="0" borderId="9" xfId="0" applyFill="1" applyBorder="1" applyAlignment="1">
      <alignment horizontal="left" vertical="top"/>
    </xf>
    <xf numFmtId="0" fontId="0" fillId="0" borderId="9" xfId="0" applyFont="1" applyFill="1" applyBorder="1" applyAlignment="1">
      <alignment horizontal="center" vertical="top" wrapText="1"/>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0" fontId="0" fillId="0" borderId="9" xfId="0" applyBorder="1" applyAlignment="1">
      <alignment horizontal="left" vertical="top" wrapText="1"/>
    </xf>
    <xf numFmtId="0" fontId="2" fillId="0" borderId="0" xfId="0" applyFont="1" applyBorder="1" applyAlignment="1">
      <alignment horizontal="center" vertical="top"/>
    </xf>
    <xf numFmtId="0" fontId="7" fillId="0" borderId="0" xfId="0" applyFont="1" applyFill="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165" fontId="0" fillId="0" borderId="0" xfId="0" applyNumberFormat="1" applyAlignment="1">
      <alignment horizontal="right" vertical="top"/>
    </xf>
    <xf numFmtId="165" fontId="0" fillId="0" borderId="0" xfId="0" applyNumberFormat="1" applyFont="1" applyFill="1" applyBorder="1" applyAlignment="1">
      <alignment horizontal="right" vertical="top" wrapText="1"/>
    </xf>
    <xf numFmtId="165" fontId="0" fillId="0" borderId="0" xfId="0" applyNumberFormat="1" applyBorder="1" applyAlignment="1">
      <alignment horizontal="right" vertical="top"/>
    </xf>
    <xf numFmtId="165" fontId="0" fillId="0" borderId="9" xfId="0" applyNumberFormat="1" applyBorder="1" applyAlignment="1">
      <alignment horizontal="right" vertical="top"/>
    </xf>
    <xf numFmtId="165" fontId="2" fillId="0" borderId="0" xfId="0" applyNumberFormat="1" applyFont="1" applyBorder="1" applyAlignment="1">
      <alignment horizontal="right" vertical="top"/>
    </xf>
    <xf numFmtId="49" fontId="0" fillId="0" borderId="0" xfId="0" applyNumberFormat="1" applyFill="1" applyAlignment="1">
      <alignment vertical="top"/>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4"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0" fontId="0" fillId="0" borderId="14" xfId="0" applyBorder="1" applyAlignment="1">
      <alignment horizontal="center" vertical="top"/>
    </xf>
    <xf numFmtId="0" fontId="2" fillId="0" borderId="14" xfId="0" applyFont="1" applyBorder="1" applyAlignment="1">
      <alignment horizontal="center" vertical="top" wrapText="1"/>
    </xf>
    <xf numFmtId="0" fontId="1" fillId="0" borderId="0" xfId="0" applyFont="1" applyAlignment="1">
      <alignment vertical="top"/>
    </xf>
    <xf numFmtId="0" fontId="2" fillId="0" borderId="0" xfId="0" applyFont="1" applyAlignment="1">
      <alignment vertical="top"/>
    </xf>
    <xf numFmtId="0" fontId="3" fillId="0" borderId="0" xfId="0" applyFont="1" applyAlignment="1">
      <alignment vertical="top"/>
    </xf>
    <xf numFmtId="0" fontId="11" fillId="0" borderId="0" xfId="0" applyFont="1" applyAlignment="1">
      <alignment vertical="top"/>
    </xf>
    <xf numFmtId="0" fontId="12" fillId="0" borderId="0" xfId="0" applyFont="1" applyAlignment="1">
      <alignment vertical="top"/>
    </xf>
    <xf numFmtId="14" fontId="0" fillId="0" borderId="0" xfId="0" applyNumberFormat="1" applyAlignment="1">
      <alignment horizontal="left" vertical="top"/>
    </xf>
    <xf numFmtId="0" fontId="0" fillId="0" borderId="0" xfId="0" applyFont="1" applyFill="1" applyBorder="1" applyAlignment="1">
      <alignment horizontal="left" vertical="top" wrapText="1"/>
    </xf>
    <xf numFmtId="0" fontId="3" fillId="0" borderId="1" xfId="0" applyFont="1" applyFill="1" applyBorder="1" applyAlignment="1">
      <alignment horizontal="center" vertical="top"/>
    </xf>
    <xf numFmtId="0" fontId="3" fillId="5" borderId="1" xfId="0" applyFont="1" applyFill="1" applyBorder="1" applyAlignment="1">
      <alignment horizontal="center" vertical="top" wrapText="1"/>
    </xf>
    <xf numFmtId="0" fontId="3" fillId="5" borderId="6" xfId="0" applyFont="1" applyFill="1" applyBorder="1" applyAlignment="1">
      <alignment horizontal="center" vertical="top" wrapText="1"/>
    </xf>
    <xf numFmtId="0" fontId="3" fillId="4" borderId="1" xfId="0" applyFont="1" applyFill="1" applyBorder="1" applyAlignment="1">
      <alignment horizontal="center" vertical="top" wrapText="1"/>
    </xf>
    <xf numFmtId="0" fontId="3" fillId="4" borderId="6"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1" xfId="0" applyFont="1" applyFill="1" applyBorder="1" applyAlignment="1">
      <alignment horizontal="center" vertical="top" wrapText="1"/>
    </xf>
    <xf numFmtId="0" fontId="3" fillId="0" borderId="11" xfId="0" applyFont="1" applyFill="1" applyBorder="1" applyAlignment="1">
      <alignment horizontal="center" vertical="top"/>
    </xf>
    <xf numFmtId="0" fontId="0" fillId="0" borderId="0" xfId="0" applyFill="1" applyAlignment="1">
      <alignment vertical="top"/>
    </xf>
    <xf numFmtId="0" fontId="0" fillId="0" borderId="0" xfId="0" applyFill="1" applyAlignment="1">
      <alignmen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123825</xdr:colOff>
      <xdr:row>1</xdr:row>
      <xdr:rowOff>9525</xdr:rowOff>
    </xdr:from>
    <xdr:to>
      <xdr:col>10</xdr:col>
      <xdr:colOff>134625</xdr:colOff>
      <xdr:row>4</xdr:row>
      <xdr:rowOff>269400</xdr:rowOff>
    </xdr:to>
    <xdr:sp macro="" textlink="">
      <xdr:nvSpPr>
        <xdr:cNvPr id="2" name="Textfeld 1"/>
        <xdr:cNvSpPr txBox="1"/>
      </xdr:nvSpPr>
      <xdr:spPr>
        <a:xfrm>
          <a:off x="48863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02_FB_BB\007_BE1\006_Konservierung%20-%20Restaurierung\003%20DBSM\003%20Projekte\02_Klemm-Sammlung\02_Zustandserfssung\01_Zustandserfassungslisten%20in%20Bearbeitung\B&#246;_Ink_Kopi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nbf-nsc1-p01\DNB-Gesamt\02_FB_BB\007_BE1\006_Konservierung%20-%20Restaurierung\003%20DBSM\003%20Projekte\02_Klemm-Sammlung\02_Zustandserfassung\02_Zustandserfassungslisten_ab2022\II_Inkunabel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 zu dieser Mappe"/>
      <sheetName val="Legende_Thomschke"/>
      <sheetName val="II_Inkunabeln+"/>
      <sheetName val="Datentransfer"/>
      <sheetName val="Tabelle1"/>
      <sheetName val="Legende"/>
      <sheetName val="Zusammenfassung"/>
      <sheetName val="Schäden_Einband"/>
      <sheetName val="Schäden_Buchblock"/>
    </sheetNames>
    <sheetDataSet>
      <sheetData sheetId="0"/>
      <sheetData sheetId="1"/>
      <sheetData sheetId="2"/>
      <sheetData sheetId="3"/>
      <sheetData sheetId="4"/>
      <sheetData sheetId="5"/>
      <sheetData sheetId="6"/>
      <sheetData sheetId="7" refreshError="1"/>
      <sheetData sheetId="8"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2.bin"/><Relationship Id="rId7" Type="http://schemas.openxmlformats.org/officeDocument/2006/relationships/printerSettings" Target="../printerSettings/printerSettings16.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printerSettings" Target="../printerSettings/printerSettings15.bin"/><Relationship Id="rId5" Type="http://schemas.openxmlformats.org/officeDocument/2006/relationships/printerSettings" Target="../printerSettings/printerSettings14.bin"/><Relationship Id="rId4" Type="http://schemas.openxmlformats.org/officeDocument/2006/relationships/printerSettings" Target="../printerSettings/printerSettings1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2:C30"/>
  <sheetViews>
    <sheetView workbookViewId="0">
      <selection activeCell="C32" sqref="C32"/>
    </sheetView>
  </sheetViews>
  <sheetFormatPr baseColWidth="10" defaultRowHeight="11.25" x14ac:dyDescent="0.15"/>
  <cols>
    <col min="1" max="2" width="13.625" style="70" customWidth="1"/>
    <col min="3" max="3" width="155.625" style="70" customWidth="1"/>
    <col min="4" max="16384" width="11" style="70"/>
  </cols>
  <sheetData>
    <row r="2" spans="1:3" ht="14.25" x14ac:dyDescent="0.15">
      <c r="A2" s="130" t="s">
        <v>42</v>
      </c>
      <c r="B2" s="63"/>
      <c r="C2" s="63"/>
    </row>
    <row r="3" spans="1:3" x14ac:dyDescent="0.15">
      <c r="B3" s="63"/>
      <c r="C3" s="63" t="s">
        <v>674</v>
      </c>
    </row>
    <row r="4" spans="1:3" x14ac:dyDescent="0.15">
      <c r="A4" s="131" t="s">
        <v>613</v>
      </c>
      <c r="B4" s="63"/>
      <c r="C4" s="63"/>
    </row>
    <row r="5" spans="1:3" x14ac:dyDescent="0.15">
      <c r="B5" s="63"/>
      <c r="C5" s="63"/>
    </row>
    <row r="6" spans="1:3" x14ac:dyDescent="0.15">
      <c r="A6" s="70" t="s">
        <v>675</v>
      </c>
      <c r="B6" s="63"/>
      <c r="C6" s="63"/>
    </row>
    <row r="7" spans="1:3" x14ac:dyDescent="0.15">
      <c r="A7" s="70" t="s">
        <v>614</v>
      </c>
      <c r="B7" s="63"/>
      <c r="C7" s="63"/>
    </row>
    <row r="8" spans="1:3" x14ac:dyDescent="0.15">
      <c r="B8" s="63"/>
      <c r="C8" s="63"/>
    </row>
    <row r="9" spans="1:3" x14ac:dyDescent="0.15">
      <c r="A9" s="70" t="s">
        <v>615</v>
      </c>
      <c r="B9" s="63"/>
      <c r="C9" s="63"/>
    </row>
    <row r="10" spans="1:3" x14ac:dyDescent="0.15">
      <c r="A10" s="70" t="s">
        <v>616</v>
      </c>
      <c r="B10" s="63"/>
      <c r="C10" s="63"/>
    </row>
    <row r="15" spans="1:3" ht="12.75" x14ac:dyDescent="0.15">
      <c r="A15" s="132" t="s">
        <v>676</v>
      </c>
    </row>
    <row r="17" spans="1:3" x14ac:dyDescent="0.15">
      <c r="A17" s="70" t="s">
        <v>769</v>
      </c>
    </row>
    <row r="19" spans="1:3" x14ac:dyDescent="0.15">
      <c r="A19" s="133" t="s">
        <v>677</v>
      </c>
    </row>
    <row r="20" spans="1:3" s="134" customFormat="1" x14ac:dyDescent="0.15">
      <c r="A20" s="134" t="s">
        <v>770</v>
      </c>
    </row>
    <row r="22" spans="1:3" x14ac:dyDescent="0.15">
      <c r="A22" s="70" t="s">
        <v>678</v>
      </c>
      <c r="B22" s="70" t="s">
        <v>679</v>
      </c>
      <c r="C22" s="70" t="s">
        <v>680</v>
      </c>
    </row>
    <row r="24" spans="1:3" x14ac:dyDescent="0.15">
      <c r="A24" s="135">
        <v>44595</v>
      </c>
      <c r="B24" s="70" t="s">
        <v>681</v>
      </c>
      <c r="C24" s="70" t="s">
        <v>815</v>
      </c>
    </row>
    <row r="25" spans="1:3" x14ac:dyDescent="0.15">
      <c r="A25" s="135"/>
      <c r="C25" s="70" t="s">
        <v>682</v>
      </c>
    </row>
    <row r="26" spans="1:3" x14ac:dyDescent="0.15">
      <c r="A26" s="135"/>
      <c r="C26" s="70" t="s">
        <v>771</v>
      </c>
    </row>
    <row r="27" spans="1:3" x14ac:dyDescent="0.15">
      <c r="A27" s="135"/>
      <c r="C27" s="70" t="s">
        <v>688</v>
      </c>
    </row>
    <row r="28" spans="1:3" x14ac:dyDescent="0.15">
      <c r="C28" s="70" t="s">
        <v>772</v>
      </c>
    </row>
    <row r="29" spans="1:3" ht="24" customHeight="1" x14ac:dyDescent="0.15">
      <c r="C29" s="72" t="s">
        <v>907</v>
      </c>
    </row>
    <row r="30" spans="1:3" ht="33.75" x14ac:dyDescent="0.15">
      <c r="A30" s="135">
        <v>44734</v>
      </c>
      <c r="B30" s="70" t="s">
        <v>681</v>
      </c>
      <c r="C30" s="72" t="s">
        <v>908</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43"/>
  <sheetViews>
    <sheetView workbookViewId="0">
      <selection activeCell="F42" sqref="F42"/>
    </sheetView>
  </sheetViews>
  <sheetFormatPr baseColWidth="10" defaultColWidth="10.875" defaultRowHeight="11.25" x14ac:dyDescent="0.15"/>
  <cols>
    <col min="1" max="1" width="17.5" style="63" bestFit="1" customWidth="1"/>
    <col min="2" max="2" width="75.25" style="63" bestFit="1" customWidth="1"/>
    <col min="3" max="16384" width="10.875" style="63"/>
  </cols>
  <sheetData>
    <row r="1" spans="1:2" s="78" customFormat="1" x14ac:dyDescent="0.15">
      <c r="A1" s="77" t="s">
        <v>773</v>
      </c>
      <c r="B1" s="78" t="s">
        <v>774</v>
      </c>
    </row>
    <row r="3" spans="1:2" x14ac:dyDescent="0.15">
      <c r="A3" s="79" t="s">
        <v>775</v>
      </c>
    </row>
    <row r="4" spans="1:2" x14ac:dyDescent="0.15">
      <c r="A4" s="63" t="s">
        <v>776</v>
      </c>
      <c r="B4" s="63" t="s">
        <v>777</v>
      </c>
    </row>
    <row r="5" spans="1:2" x14ac:dyDescent="0.15">
      <c r="A5" s="63" t="s">
        <v>778</v>
      </c>
      <c r="B5" s="63" t="s">
        <v>779</v>
      </c>
    </row>
    <row r="7" spans="1:2" x14ac:dyDescent="0.15">
      <c r="A7" s="79" t="s">
        <v>668</v>
      </c>
    </row>
    <row r="8" spans="1:2" x14ac:dyDescent="0.15">
      <c r="A8" s="63" t="s">
        <v>699</v>
      </c>
      <c r="B8" s="80" t="s">
        <v>17</v>
      </c>
    </row>
    <row r="9" spans="1:2" x14ac:dyDescent="0.15">
      <c r="A9" s="63" t="s">
        <v>780</v>
      </c>
      <c r="B9" s="80" t="s">
        <v>44</v>
      </c>
    </row>
    <row r="10" spans="1:2" x14ac:dyDescent="0.15">
      <c r="A10" s="63" t="s">
        <v>701</v>
      </c>
      <c r="B10" s="80" t="s">
        <v>5</v>
      </c>
    </row>
    <row r="11" spans="1:2" x14ac:dyDescent="0.15">
      <c r="A11" s="63" t="s">
        <v>781</v>
      </c>
      <c r="B11" s="51" t="s">
        <v>16</v>
      </c>
    </row>
    <row r="12" spans="1:2" x14ac:dyDescent="0.15">
      <c r="A12" s="63" t="s">
        <v>782</v>
      </c>
      <c r="B12" s="63" t="s">
        <v>783</v>
      </c>
    </row>
    <row r="13" spans="1:2" x14ac:dyDescent="0.15">
      <c r="A13" s="63" t="s">
        <v>784</v>
      </c>
      <c r="B13" s="80" t="s">
        <v>4</v>
      </c>
    </row>
    <row r="14" spans="1:2" x14ac:dyDescent="0.15">
      <c r="A14" s="63" t="s">
        <v>785</v>
      </c>
      <c r="B14" s="80" t="s">
        <v>3</v>
      </c>
    </row>
    <row r="15" spans="1:2" x14ac:dyDescent="0.15">
      <c r="A15" s="63" t="s">
        <v>786</v>
      </c>
      <c r="B15" s="51" t="s">
        <v>45</v>
      </c>
    </row>
    <row r="16" spans="1:2" x14ac:dyDescent="0.15">
      <c r="A16" s="63" t="s">
        <v>787</v>
      </c>
      <c r="B16" s="51" t="s">
        <v>46</v>
      </c>
    </row>
    <row r="17" spans="1:2" x14ac:dyDescent="0.15">
      <c r="A17" s="63" t="s">
        <v>816</v>
      </c>
      <c r="B17" s="51" t="s">
        <v>817</v>
      </c>
    </row>
    <row r="18" spans="1:2" x14ac:dyDescent="0.15">
      <c r="A18" s="63" t="s">
        <v>788</v>
      </c>
      <c r="B18" s="51" t="s">
        <v>789</v>
      </c>
    </row>
    <row r="19" spans="1:2" x14ac:dyDescent="0.15">
      <c r="A19" s="63" t="s">
        <v>790</v>
      </c>
      <c r="B19" s="63" t="s">
        <v>791</v>
      </c>
    </row>
    <row r="21" spans="1:2" x14ac:dyDescent="0.15">
      <c r="A21" s="79" t="s">
        <v>792</v>
      </c>
    </row>
    <row r="22" spans="1:2" x14ac:dyDescent="0.15">
      <c r="A22" s="63" t="s">
        <v>696</v>
      </c>
      <c r="B22" s="63" t="s">
        <v>793</v>
      </c>
    </row>
    <row r="23" spans="1:2" x14ac:dyDescent="0.15">
      <c r="A23" s="63" t="s">
        <v>697</v>
      </c>
      <c r="B23" s="63" t="s">
        <v>794</v>
      </c>
    </row>
    <row r="24" spans="1:2" x14ac:dyDescent="0.15">
      <c r="A24" s="63" t="s">
        <v>695</v>
      </c>
      <c r="B24" s="63" t="s">
        <v>81</v>
      </c>
    </row>
    <row r="25" spans="1:2" x14ac:dyDescent="0.15">
      <c r="A25" s="63" t="s">
        <v>795</v>
      </c>
      <c r="B25" s="63" t="s">
        <v>796</v>
      </c>
    </row>
    <row r="27" spans="1:2" x14ac:dyDescent="0.15">
      <c r="A27" s="79" t="s">
        <v>797</v>
      </c>
    </row>
    <row r="28" spans="1:2" x14ac:dyDescent="0.15">
      <c r="A28" s="63" t="s">
        <v>691</v>
      </c>
      <c r="B28" s="63" t="s">
        <v>798</v>
      </c>
    </row>
    <row r="29" spans="1:2" x14ac:dyDescent="0.15">
      <c r="A29" s="63" t="s">
        <v>799</v>
      </c>
      <c r="B29" s="63" t="s">
        <v>800</v>
      </c>
    </row>
    <row r="30" spans="1:2" x14ac:dyDescent="0.15">
      <c r="A30" s="63" t="s">
        <v>693</v>
      </c>
      <c r="B30" s="63" t="s">
        <v>801</v>
      </c>
    </row>
    <row r="31" spans="1:2" x14ac:dyDescent="0.15">
      <c r="A31" s="63" t="s">
        <v>802</v>
      </c>
      <c r="B31" s="63" t="s">
        <v>803</v>
      </c>
    </row>
    <row r="33" spans="1:2" x14ac:dyDescent="0.15">
      <c r="A33" s="79" t="s">
        <v>818</v>
      </c>
    </row>
    <row r="34" spans="1:2" x14ac:dyDescent="0.15">
      <c r="A34" s="63" t="s">
        <v>689</v>
      </c>
      <c r="B34" s="63" t="s">
        <v>819</v>
      </c>
    </row>
    <row r="35" spans="1:2" ht="45" x14ac:dyDescent="0.15">
      <c r="A35" s="63" t="s">
        <v>820</v>
      </c>
      <c r="B35" s="87" t="s">
        <v>821</v>
      </c>
    </row>
    <row r="37" spans="1:2" ht="22.5" x14ac:dyDescent="0.15">
      <c r="A37" s="81" t="s">
        <v>804</v>
      </c>
    </row>
    <row r="38" spans="1:2" x14ac:dyDescent="0.15">
      <c r="A38" s="63" t="s">
        <v>805</v>
      </c>
      <c r="B38" s="63" t="s">
        <v>806</v>
      </c>
    </row>
    <row r="39" spans="1:2" x14ac:dyDescent="0.15">
      <c r="A39" s="63" t="s">
        <v>695</v>
      </c>
      <c r="B39" s="63" t="s">
        <v>807</v>
      </c>
    </row>
    <row r="40" spans="1:2" x14ac:dyDescent="0.15">
      <c r="A40" s="63" t="s">
        <v>808</v>
      </c>
      <c r="B40" s="63" t="s">
        <v>809</v>
      </c>
    </row>
    <row r="41" spans="1:2" x14ac:dyDescent="0.15">
      <c r="A41" s="63" t="s">
        <v>698</v>
      </c>
      <c r="B41" s="63" t="s">
        <v>810</v>
      </c>
    </row>
    <row r="42" spans="1:2" x14ac:dyDescent="0.15">
      <c r="A42" s="63" t="s">
        <v>811</v>
      </c>
      <c r="B42" s="63" t="s">
        <v>812</v>
      </c>
    </row>
    <row r="43" spans="1:2" x14ac:dyDescent="0.15">
      <c r="A43" s="63" t="s">
        <v>813</v>
      </c>
      <c r="B43" s="63" t="s">
        <v>814</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CX303"/>
  <sheetViews>
    <sheetView tabSelected="1" topLeftCell="AS1" zoomScale="90" zoomScaleNormal="90" workbookViewId="0">
      <pane ySplit="1" topLeftCell="A2" activePane="bottomLeft" state="frozen"/>
      <selection activeCell="BR1" sqref="BR1"/>
      <selection pane="bottomLeft" activeCell="BH5" sqref="BH5"/>
    </sheetView>
  </sheetViews>
  <sheetFormatPr baseColWidth="10" defaultColWidth="11" defaultRowHeight="11.25" x14ac:dyDescent="0.15"/>
  <cols>
    <col min="1" max="1" width="7.5" style="70" customWidth="1"/>
    <col min="2" max="2" width="16.125" style="70" bestFit="1" customWidth="1"/>
    <col min="3" max="3" width="12.625" style="70" bestFit="1" customWidth="1"/>
    <col min="4" max="4" width="20.25" style="70" customWidth="1"/>
    <col min="5" max="5" width="20.625" style="70" customWidth="1"/>
    <col min="6" max="6" width="9.25" style="70" customWidth="1"/>
    <col min="7" max="7" width="11.875" style="70" hidden="1" customWidth="1"/>
    <col min="8" max="8" width="21.875" style="72" hidden="1" customWidth="1"/>
    <col min="9" max="9" width="11.75" style="70" customWidth="1"/>
    <col min="10" max="10" width="30.875" style="146" hidden="1" customWidth="1"/>
    <col min="11" max="11" width="24.5" style="146" hidden="1" customWidth="1"/>
    <col min="12" max="12" width="12.75" style="145" hidden="1" customWidth="1"/>
    <col min="13" max="13" width="13.375" style="145" hidden="1" customWidth="1"/>
    <col min="14" max="14" width="16.25" style="145" hidden="1" customWidth="1"/>
    <col min="15" max="15" width="15.375" style="145" hidden="1" customWidth="1"/>
    <col min="16" max="16" width="25" style="145" hidden="1" customWidth="1"/>
    <col min="17" max="17" width="30.125" style="145" hidden="1" customWidth="1"/>
    <col min="18" max="18" width="28.125" style="145" hidden="1" customWidth="1"/>
    <col min="19" max="19" width="21.75" style="145" hidden="1" customWidth="1"/>
    <col min="20" max="21" width="9.25" style="83" customWidth="1"/>
    <col min="22" max="22" width="9.125" style="83" customWidth="1"/>
    <col min="23" max="24" width="8" style="83" customWidth="1"/>
    <col min="25" max="26" width="10.875" style="83" customWidth="1"/>
    <col min="27" max="37" width="11" style="83" customWidth="1"/>
    <col min="38" max="38" width="10.5" style="83" customWidth="1"/>
    <col min="39" max="41" width="11" style="83" customWidth="1"/>
    <col min="42" max="42" width="10.875" style="83" customWidth="1"/>
    <col min="43" max="43" width="10.875" style="84" customWidth="1"/>
    <col min="44" max="44" width="10.875" style="83" customWidth="1"/>
    <col min="45" max="45" width="11" style="83" customWidth="1"/>
    <col min="46" max="46" width="10.875" style="83" customWidth="1"/>
    <col min="47" max="48" width="9.125" style="83" customWidth="1"/>
    <col min="49" max="50" width="10.625" style="83" customWidth="1"/>
    <col min="51" max="52" width="9.125" style="83" customWidth="1"/>
    <col min="53" max="54" width="11" style="83" customWidth="1"/>
    <col min="55" max="55" width="11" style="84" customWidth="1"/>
    <col min="56" max="56" width="11" style="86" customWidth="1"/>
    <col min="57" max="63" width="11" style="83" customWidth="1"/>
    <col min="64" max="64" width="33.625" style="87" customWidth="1"/>
    <col min="65" max="68" width="11" style="70"/>
    <col min="69" max="69" width="11" style="83" customWidth="1"/>
    <col min="70" max="70" width="11.125" style="83" customWidth="1"/>
    <col min="71" max="71" width="11" style="83" customWidth="1"/>
    <col min="72" max="72" width="11.125" style="83" customWidth="1"/>
    <col min="73" max="80" width="11" style="83" customWidth="1"/>
    <col min="81" max="81" width="11" style="86" customWidth="1"/>
    <col min="82" max="82" width="33.625" style="87" customWidth="1"/>
    <col min="83" max="84" width="11" style="83" customWidth="1"/>
    <col min="85" max="99" width="11" style="83"/>
    <col min="100" max="100" width="11" style="86"/>
    <col min="101" max="101" width="33.625" style="87" customWidth="1"/>
    <col min="102" max="102" width="10.875" customWidth="1"/>
    <col min="103" max="16384" width="11" style="70"/>
  </cols>
  <sheetData>
    <row r="1" spans="1:102" s="83" customFormat="1" ht="113.25" customHeight="1" x14ac:dyDescent="0.15">
      <c r="A1" s="82" t="s">
        <v>9</v>
      </c>
      <c r="B1" s="82" t="s">
        <v>87</v>
      </c>
      <c r="C1" s="82" t="s">
        <v>88</v>
      </c>
      <c r="D1" s="82" t="s">
        <v>100</v>
      </c>
      <c r="E1" s="82" t="s">
        <v>10</v>
      </c>
      <c r="F1" s="75" t="s">
        <v>923</v>
      </c>
      <c r="G1" s="142" t="s">
        <v>38</v>
      </c>
      <c r="H1" s="142" t="s">
        <v>12</v>
      </c>
      <c r="I1" s="82" t="s">
        <v>39</v>
      </c>
      <c r="J1" s="142" t="s">
        <v>99</v>
      </c>
      <c r="K1" s="142" t="s">
        <v>58</v>
      </c>
      <c r="L1" s="137" t="s">
        <v>65</v>
      </c>
      <c r="M1" s="137" t="s">
        <v>28</v>
      </c>
      <c r="N1" s="142" t="s">
        <v>103</v>
      </c>
      <c r="O1" s="137" t="s">
        <v>11</v>
      </c>
      <c r="P1" s="142" t="s">
        <v>104</v>
      </c>
      <c r="Q1" s="137" t="s">
        <v>13</v>
      </c>
      <c r="R1" s="143" t="s">
        <v>98</v>
      </c>
      <c r="S1" s="144" t="s">
        <v>49</v>
      </c>
      <c r="T1" s="74" t="s">
        <v>713</v>
      </c>
      <c r="U1" s="74" t="s">
        <v>714</v>
      </c>
      <c r="V1" s="75" t="s">
        <v>666</v>
      </c>
      <c r="W1" s="75" t="s">
        <v>667</v>
      </c>
      <c r="X1" s="75" t="s">
        <v>715</v>
      </c>
      <c r="Y1" s="75" t="s">
        <v>716</v>
      </c>
      <c r="Z1" s="75" t="s">
        <v>924</v>
      </c>
      <c r="AA1" s="75" t="s">
        <v>717</v>
      </c>
      <c r="AB1" s="75" t="s">
        <v>718</v>
      </c>
      <c r="AC1" s="75" t="s">
        <v>719</v>
      </c>
      <c r="AD1" s="75" t="s">
        <v>720</v>
      </c>
      <c r="AE1" s="75" t="s">
        <v>721</v>
      </c>
      <c r="AF1" s="75" t="s">
        <v>722</v>
      </c>
      <c r="AG1" s="75" t="s">
        <v>723</v>
      </c>
      <c r="AH1" s="75" t="s">
        <v>724</v>
      </c>
      <c r="AI1" s="75" t="s">
        <v>725</v>
      </c>
      <c r="AJ1" s="75" t="s">
        <v>726</v>
      </c>
      <c r="AK1" s="75" t="s">
        <v>669</v>
      </c>
      <c r="AL1" s="75" t="s">
        <v>670</v>
      </c>
      <c r="AM1" s="75" t="s">
        <v>727</v>
      </c>
      <c r="AN1" s="75" t="s">
        <v>728</v>
      </c>
      <c r="AO1" s="75" t="s">
        <v>729</v>
      </c>
      <c r="AP1" s="75" t="s">
        <v>671</v>
      </c>
      <c r="AQ1" s="75" t="s">
        <v>730</v>
      </c>
      <c r="AR1" s="75" t="s">
        <v>731</v>
      </c>
      <c r="AS1" s="75" t="s">
        <v>732</v>
      </c>
      <c r="AT1" s="75" t="s">
        <v>733</v>
      </c>
      <c r="AU1" s="75" t="s">
        <v>734</v>
      </c>
      <c r="AV1" s="75" t="s">
        <v>735</v>
      </c>
      <c r="AW1" s="75" t="s">
        <v>736</v>
      </c>
      <c r="AX1" s="75" t="s">
        <v>925</v>
      </c>
      <c r="AY1" s="75" t="s">
        <v>737</v>
      </c>
      <c r="AZ1" s="75" t="s">
        <v>926</v>
      </c>
      <c r="BA1" s="75" t="s">
        <v>740</v>
      </c>
      <c r="BB1" s="75" t="s">
        <v>854</v>
      </c>
      <c r="BC1" s="75" t="s">
        <v>741</v>
      </c>
      <c r="BD1" s="75" t="s">
        <v>742</v>
      </c>
      <c r="BE1" s="76" t="s">
        <v>743</v>
      </c>
      <c r="BF1" s="75" t="s">
        <v>35</v>
      </c>
      <c r="BG1" s="75" t="s">
        <v>29</v>
      </c>
      <c r="BH1" s="75" t="s">
        <v>744</v>
      </c>
      <c r="BI1" s="75" t="s">
        <v>672</v>
      </c>
      <c r="BJ1" s="75" t="s">
        <v>745</v>
      </c>
      <c r="BK1" s="75" t="s">
        <v>673</v>
      </c>
      <c r="BL1" s="75" t="s">
        <v>746</v>
      </c>
      <c r="BM1" s="84" t="s">
        <v>830</v>
      </c>
      <c r="BN1" s="84" t="s">
        <v>927</v>
      </c>
      <c r="BO1" s="87" t="s">
        <v>903</v>
      </c>
      <c r="BP1" s="136" t="s">
        <v>912</v>
      </c>
      <c r="BQ1" s="138" t="s">
        <v>747</v>
      </c>
      <c r="BR1" s="138" t="s">
        <v>748</v>
      </c>
      <c r="BS1" s="138" t="s">
        <v>683</v>
      </c>
      <c r="BT1" s="138" t="s">
        <v>749</v>
      </c>
      <c r="BU1" s="138" t="s">
        <v>750</v>
      </c>
      <c r="BV1" s="138" t="s">
        <v>751</v>
      </c>
      <c r="BW1" s="138" t="s">
        <v>752</v>
      </c>
      <c r="BX1" s="138" t="s">
        <v>753</v>
      </c>
      <c r="BY1" s="138" t="s">
        <v>754</v>
      </c>
      <c r="BZ1" s="138" t="s">
        <v>755</v>
      </c>
      <c r="CA1" s="138" t="s">
        <v>756</v>
      </c>
      <c r="CB1" s="138" t="s">
        <v>757</v>
      </c>
      <c r="CC1" s="138" t="s">
        <v>913</v>
      </c>
      <c r="CD1" s="139" t="s">
        <v>914</v>
      </c>
      <c r="CE1" s="140" t="s">
        <v>738</v>
      </c>
      <c r="CF1" s="140" t="s">
        <v>739</v>
      </c>
      <c r="CG1" s="140" t="s">
        <v>758</v>
      </c>
      <c r="CH1" s="140" t="s">
        <v>759</v>
      </c>
      <c r="CI1" s="140" t="s">
        <v>760</v>
      </c>
      <c r="CJ1" s="140" t="s">
        <v>761</v>
      </c>
      <c r="CK1" s="140" t="s">
        <v>684</v>
      </c>
      <c r="CL1" s="140" t="s">
        <v>762</v>
      </c>
      <c r="CM1" s="140" t="s">
        <v>763</v>
      </c>
      <c r="CN1" s="140" t="s">
        <v>685</v>
      </c>
      <c r="CO1" s="140" t="s">
        <v>764</v>
      </c>
      <c r="CP1" s="140" t="s">
        <v>765</v>
      </c>
      <c r="CQ1" s="140" t="s">
        <v>686</v>
      </c>
      <c r="CR1" s="140" t="s">
        <v>766</v>
      </c>
      <c r="CS1" s="140" t="s">
        <v>767</v>
      </c>
      <c r="CT1" s="140" t="s">
        <v>687</v>
      </c>
      <c r="CU1" s="140" t="s">
        <v>768</v>
      </c>
      <c r="CV1" s="140" t="s">
        <v>915</v>
      </c>
      <c r="CW1" s="141" t="s">
        <v>916</v>
      </c>
      <c r="CX1"/>
    </row>
    <row r="2" spans="1:102" ht="22.5" x14ac:dyDescent="0.15">
      <c r="A2" s="68">
        <v>1</v>
      </c>
      <c r="B2" s="66" t="s">
        <v>107</v>
      </c>
      <c r="C2" s="66">
        <v>1072233045</v>
      </c>
      <c r="D2" s="67" t="str">
        <f>HYPERLINK(CONCATENATE("https://portal.dnb.de/opac.htm?method=simpleSearch&amp;cqlMode=true&amp;query=idn%3D",C2))</f>
        <v>https://portal.dnb.de/opac.htm?method=simpleSearch&amp;cqlMode=true&amp;query=idn%3D1072233045</v>
      </c>
      <c r="E2" s="66" t="s">
        <v>108</v>
      </c>
      <c r="F2" s="66"/>
      <c r="G2" s="68" t="s">
        <v>89</v>
      </c>
      <c r="H2" s="69" t="s">
        <v>44</v>
      </c>
      <c r="I2" s="68" t="s">
        <v>50</v>
      </c>
      <c r="J2" s="69" t="s">
        <v>90</v>
      </c>
      <c r="K2" s="69"/>
      <c r="L2" s="68"/>
      <c r="M2" s="68" t="s">
        <v>30</v>
      </c>
      <c r="N2" s="68" t="s">
        <v>37</v>
      </c>
      <c r="O2" s="68">
        <v>0</v>
      </c>
      <c r="P2" s="68"/>
      <c r="Q2" s="68" t="s">
        <v>617</v>
      </c>
      <c r="R2" s="68"/>
      <c r="S2" s="68"/>
      <c r="Y2" s="84" t="s">
        <v>788</v>
      </c>
      <c r="Z2" s="84"/>
      <c r="AC2" s="84"/>
      <c r="AI2" s="83" t="s">
        <v>699</v>
      </c>
      <c r="AW2" s="84" t="s">
        <v>689</v>
      </c>
      <c r="AX2" s="84"/>
      <c r="BC2" s="84" t="s">
        <v>712</v>
      </c>
      <c r="BD2" s="115">
        <f t="shared" ref="BD2:BD65" si="0">CC2+CV2</f>
        <v>0</v>
      </c>
      <c r="BI2" s="83" t="s">
        <v>625</v>
      </c>
      <c r="BL2" s="87" t="s">
        <v>702</v>
      </c>
      <c r="BR2" s="84"/>
      <c r="BT2" s="84"/>
      <c r="BU2" s="84"/>
      <c r="CC2" s="115"/>
      <c r="CV2" s="115"/>
    </row>
    <row r="3" spans="1:102" ht="22.5" x14ac:dyDescent="0.15">
      <c r="A3" s="68">
        <v>2</v>
      </c>
      <c r="B3" s="66" t="s">
        <v>109</v>
      </c>
      <c r="C3" s="66" t="s">
        <v>110</v>
      </c>
      <c r="D3" s="67" t="str">
        <f t="shared" ref="D3:D69" si="1">HYPERLINK(CONCATENATE("https://portal.dnb.de/opac.htm?method=simpleSearch&amp;cqlMode=true&amp;query=idn%3D",C3))</f>
        <v>https://portal.dnb.de/opac.htm?method=simpleSearch&amp;cqlMode=true&amp;query=idn%3D106696517X</v>
      </c>
      <c r="E3" s="66" t="s">
        <v>111</v>
      </c>
      <c r="F3" s="66"/>
      <c r="G3" s="68" t="s">
        <v>89</v>
      </c>
      <c r="H3" s="69" t="s">
        <v>17</v>
      </c>
      <c r="I3" s="68" t="s">
        <v>50</v>
      </c>
      <c r="J3" s="69" t="s">
        <v>90</v>
      </c>
      <c r="K3" s="69" t="s">
        <v>626</v>
      </c>
      <c r="L3" s="68" t="s">
        <v>67</v>
      </c>
      <c r="M3" s="68"/>
      <c r="N3" s="68" t="s">
        <v>101</v>
      </c>
      <c r="O3" s="68">
        <v>0</v>
      </c>
      <c r="P3" s="68"/>
      <c r="Q3" s="68"/>
      <c r="R3" s="68"/>
      <c r="S3" s="68"/>
      <c r="Y3" s="84" t="s">
        <v>699</v>
      </c>
      <c r="Z3" s="84"/>
      <c r="AC3" s="84" t="s">
        <v>695</v>
      </c>
      <c r="AI3" s="83" t="s">
        <v>699</v>
      </c>
      <c r="AS3" s="83" t="s">
        <v>691</v>
      </c>
      <c r="AT3" s="83" t="s">
        <v>625</v>
      </c>
      <c r="AW3" s="84" t="s">
        <v>689</v>
      </c>
      <c r="AX3" s="84"/>
      <c r="BC3" s="84" t="s">
        <v>712</v>
      </c>
      <c r="BD3" s="115">
        <f t="shared" si="0"/>
        <v>0</v>
      </c>
      <c r="BR3" s="84"/>
      <c r="BT3" s="84"/>
      <c r="BU3" s="84"/>
      <c r="CC3" s="115"/>
      <c r="CV3" s="115"/>
    </row>
    <row r="4" spans="1:102" x14ac:dyDescent="0.15">
      <c r="A4" s="68">
        <v>3</v>
      </c>
      <c r="B4" s="66" t="s">
        <v>112</v>
      </c>
      <c r="C4" s="66">
        <v>1066969973</v>
      </c>
      <c r="D4" s="67" t="str">
        <f t="shared" si="1"/>
        <v>https://portal.dnb.de/opac.htm?method=simpleSearch&amp;cqlMode=true&amp;query=idn%3D1066969973</v>
      </c>
      <c r="E4" s="66" t="s">
        <v>113</v>
      </c>
      <c r="F4" s="66"/>
      <c r="G4" s="68" t="s">
        <v>89</v>
      </c>
      <c r="H4" s="69" t="s">
        <v>16</v>
      </c>
      <c r="I4" s="68" t="s">
        <v>50</v>
      </c>
      <c r="J4" s="69" t="s">
        <v>55</v>
      </c>
      <c r="K4" s="69" t="s">
        <v>60</v>
      </c>
      <c r="L4" s="68" t="s">
        <v>67</v>
      </c>
      <c r="M4" s="68"/>
      <c r="N4" s="68" t="s">
        <v>101</v>
      </c>
      <c r="O4" s="68">
        <v>1</v>
      </c>
      <c r="P4" s="68"/>
      <c r="Q4" s="68"/>
      <c r="R4" s="68"/>
      <c r="S4" s="68"/>
      <c r="Y4" s="84" t="s">
        <v>781</v>
      </c>
      <c r="Z4" s="84"/>
      <c r="AC4" s="84" t="s">
        <v>696</v>
      </c>
      <c r="AI4" s="83" t="s">
        <v>699</v>
      </c>
      <c r="AS4" s="83" t="s">
        <v>691</v>
      </c>
      <c r="AT4" s="83" t="s">
        <v>625</v>
      </c>
      <c r="AW4" s="84" t="s">
        <v>689</v>
      </c>
      <c r="AX4" s="84"/>
      <c r="BC4" s="84" t="s">
        <v>712</v>
      </c>
      <c r="BD4" s="115">
        <f t="shared" si="0"/>
        <v>0</v>
      </c>
      <c r="BR4" s="84"/>
      <c r="BT4" s="84"/>
      <c r="BU4" s="84"/>
      <c r="CC4" s="115"/>
      <c r="CV4" s="115"/>
    </row>
    <row r="5" spans="1:102" ht="22.5" x14ac:dyDescent="0.15">
      <c r="A5" s="68">
        <v>4</v>
      </c>
      <c r="B5" s="66" t="s">
        <v>114</v>
      </c>
      <c r="C5" s="66">
        <v>1072233584</v>
      </c>
      <c r="D5" s="67" t="str">
        <f t="shared" si="1"/>
        <v>https://portal.dnb.de/opac.htm?method=simpleSearch&amp;cqlMode=true&amp;query=idn%3D1072233584</v>
      </c>
      <c r="E5" s="66" t="s">
        <v>115</v>
      </c>
      <c r="F5" s="66"/>
      <c r="G5" s="68" t="s">
        <v>89</v>
      </c>
      <c r="H5" s="69" t="s">
        <v>17</v>
      </c>
      <c r="I5" s="68" t="s">
        <v>50</v>
      </c>
      <c r="J5" s="69" t="s">
        <v>90</v>
      </c>
      <c r="K5" s="69" t="s">
        <v>655</v>
      </c>
      <c r="L5" s="68"/>
      <c r="M5" s="68"/>
      <c r="N5" s="68" t="s">
        <v>101</v>
      </c>
      <c r="O5" s="68">
        <v>0</v>
      </c>
      <c r="P5" s="68"/>
      <c r="Q5" s="68"/>
      <c r="R5" s="68"/>
      <c r="S5" s="68"/>
      <c r="Y5" s="84" t="s">
        <v>699</v>
      </c>
      <c r="Z5" s="84"/>
      <c r="AC5" s="84" t="s">
        <v>695</v>
      </c>
      <c r="AI5" s="83" t="s">
        <v>699</v>
      </c>
      <c r="AW5" s="84">
        <v>110</v>
      </c>
      <c r="AX5" s="84"/>
      <c r="BC5" s="84" t="s">
        <v>712</v>
      </c>
      <c r="BD5" s="115">
        <f t="shared" si="0"/>
        <v>0</v>
      </c>
      <c r="BR5" s="84"/>
      <c r="BT5" s="84"/>
      <c r="BU5" s="84"/>
      <c r="CC5" s="115"/>
      <c r="CV5" s="115"/>
    </row>
    <row r="6" spans="1:102" x14ac:dyDescent="0.15">
      <c r="A6" s="68">
        <v>5</v>
      </c>
      <c r="B6" s="66" t="s">
        <v>116</v>
      </c>
      <c r="C6" s="66">
        <v>1066970009</v>
      </c>
      <c r="D6" s="67" t="str">
        <f t="shared" si="1"/>
        <v>https://portal.dnb.de/opac.htm?method=simpleSearch&amp;cqlMode=true&amp;query=idn%3D1066970009</v>
      </c>
      <c r="E6" s="66" t="s">
        <v>117</v>
      </c>
      <c r="F6" s="66"/>
      <c r="G6" s="68" t="s">
        <v>89</v>
      </c>
      <c r="H6" s="69" t="s">
        <v>46</v>
      </c>
      <c r="I6" s="68" t="s">
        <v>50</v>
      </c>
      <c r="J6" s="69" t="s">
        <v>55</v>
      </c>
      <c r="K6" s="69"/>
      <c r="L6" s="68"/>
      <c r="M6" s="68"/>
      <c r="N6" s="68" t="s">
        <v>101</v>
      </c>
      <c r="O6" s="68">
        <v>0</v>
      </c>
      <c r="P6" s="68"/>
      <c r="Q6" s="68"/>
      <c r="R6" s="68"/>
      <c r="S6" s="68"/>
      <c r="Y6" s="84" t="s">
        <v>787</v>
      </c>
      <c r="Z6" s="84"/>
      <c r="AC6" s="84" t="s">
        <v>695</v>
      </c>
      <c r="AI6" s="83" t="s">
        <v>699</v>
      </c>
      <c r="AW6" s="84">
        <v>110</v>
      </c>
      <c r="AX6" s="84"/>
      <c r="BC6" s="84" t="s">
        <v>712</v>
      </c>
      <c r="BD6" s="115">
        <f t="shared" si="0"/>
        <v>0</v>
      </c>
      <c r="BR6" s="84"/>
      <c r="BT6" s="84"/>
      <c r="BU6" s="84"/>
      <c r="CC6" s="115"/>
      <c r="CV6" s="115"/>
    </row>
    <row r="7" spans="1:102" ht="33.75" x14ac:dyDescent="0.15">
      <c r="A7" s="68">
        <v>6</v>
      </c>
      <c r="B7" s="66" t="s">
        <v>118</v>
      </c>
      <c r="C7" s="66">
        <v>1066967644</v>
      </c>
      <c r="D7" s="67" t="str">
        <f t="shared" si="1"/>
        <v>https://portal.dnb.de/opac.htm?method=simpleSearch&amp;cqlMode=true&amp;query=idn%3D1066967644</v>
      </c>
      <c r="E7" s="66" t="s">
        <v>119</v>
      </c>
      <c r="F7" s="66"/>
      <c r="G7" s="68" t="s">
        <v>89</v>
      </c>
      <c r="H7" s="69" t="s">
        <v>17</v>
      </c>
      <c r="I7" s="68" t="s">
        <v>50</v>
      </c>
      <c r="J7" s="69" t="s">
        <v>90</v>
      </c>
      <c r="K7" s="69" t="s">
        <v>630</v>
      </c>
      <c r="L7" s="68" t="s">
        <v>67</v>
      </c>
      <c r="M7" s="68"/>
      <c r="N7" s="68" t="s">
        <v>101</v>
      </c>
      <c r="O7" s="68">
        <v>1</v>
      </c>
      <c r="P7" s="68"/>
      <c r="Q7" s="68"/>
      <c r="R7" s="68"/>
      <c r="S7" s="68"/>
      <c r="Y7" s="84" t="s">
        <v>699</v>
      </c>
      <c r="Z7" s="84"/>
      <c r="AC7" s="84" t="s">
        <v>695</v>
      </c>
      <c r="AI7" s="83" t="s">
        <v>699</v>
      </c>
      <c r="AS7" s="83" t="s">
        <v>692</v>
      </c>
      <c r="AT7" s="83" t="s">
        <v>625</v>
      </c>
      <c r="AW7" s="84">
        <v>110</v>
      </c>
      <c r="AX7" s="84"/>
      <c r="BC7" s="84" t="s">
        <v>712</v>
      </c>
      <c r="BD7" s="115">
        <f t="shared" si="0"/>
        <v>0</v>
      </c>
      <c r="BL7" s="87" t="s">
        <v>703</v>
      </c>
      <c r="BR7" s="84"/>
      <c r="BT7" s="84"/>
      <c r="BU7" s="84"/>
      <c r="CC7" s="115"/>
      <c r="CV7" s="115"/>
    </row>
    <row r="8" spans="1:102" ht="22.5" x14ac:dyDescent="0.15">
      <c r="A8" s="68">
        <v>7</v>
      </c>
      <c r="B8" s="66" t="s">
        <v>120</v>
      </c>
      <c r="C8" s="66">
        <v>1066965625</v>
      </c>
      <c r="D8" s="67" t="str">
        <f t="shared" si="1"/>
        <v>https://portal.dnb.de/opac.htm?method=simpleSearch&amp;cqlMode=true&amp;query=idn%3D1066965625</v>
      </c>
      <c r="E8" s="66" t="s">
        <v>121</v>
      </c>
      <c r="F8" s="66"/>
      <c r="G8" s="68" t="s">
        <v>89</v>
      </c>
      <c r="H8" s="69" t="s">
        <v>17</v>
      </c>
      <c r="I8" s="68" t="s">
        <v>50</v>
      </c>
      <c r="J8" s="69" t="s">
        <v>55</v>
      </c>
      <c r="K8" s="69" t="s">
        <v>618</v>
      </c>
      <c r="L8" s="68" t="s">
        <v>67</v>
      </c>
      <c r="M8" s="68"/>
      <c r="N8" s="68"/>
      <c r="O8" s="68">
        <v>0</v>
      </c>
      <c r="P8" s="68"/>
      <c r="Q8" s="68"/>
      <c r="R8" s="68"/>
      <c r="S8" s="68"/>
      <c r="Y8" s="84" t="s">
        <v>699</v>
      </c>
      <c r="Z8" s="84"/>
      <c r="AC8" s="84" t="s">
        <v>695</v>
      </c>
      <c r="AI8" s="83" t="s">
        <v>699</v>
      </c>
      <c r="AS8" s="83" t="s">
        <v>692</v>
      </c>
      <c r="AT8" s="83" t="s">
        <v>625</v>
      </c>
      <c r="AW8" s="84">
        <v>110</v>
      </c>
      <c r="AX8" s="84"/>
      <c r="BC8" s="84" t="s">
        <v>712</v>
      </c>
      <c r="BD8" s="115">
        <f t="shared" si="0"/>
        <v>0</v>
      </c>
      <c r="BR8" s="84"/>
      <c r="BT8" s="84"/>
      <c r="BU8" s="84"/>
      <c r="CC8" s="115"/>
      <c r="CV8" s="115"/>
    </row>
    <row r="9" spans="1:102" x14ac:dyDescent="0.15">
      <c r="A9" s="68">
        <v>8</v>
      </c>
      <c r="B9" s="66" t="s">
        <v>122</v>
      </c>
      <c r="C9" s="66">
        <v>1066970815</v>
      </c>
      <c r="D9" s="67" t="str">
        <f t="shared" si="1"/>
        <v>https://portal.dnb.de/opac.htm?method=simpleSearch&amp;cqlMode=true&amp;query=idn%3D1066970815</v>
      </c>
      <c r="E9" s="66" t="s">
        <v>123</v>
      </c>
      <c r="F9" s="66"/>
      <c r="G9" s="68" t="s">
        <v>89</v>
      </c>
      <c r="H9" s="69" t="s">
        <v>17</v>
      </c>
      <c r="I9" s="68" t="s">
        <v>50</v>
      </c>
      <c r="J9" s="69" t="s">
        <v>55</v>
      </c>
      <c r="K9" s="69" t="s">
        <v>81</v>
      </c>
      <c r="L9" s="68"/>
      <c r="M9" s="68"/>
      <c r="N9" s="68" t="s">
        <v>101</v>
      </c>
      <c r="O9" s="68">
        <v>0</v>
      </c>
      <c r="P9" s="68"/>
      <c r="Q9" s="68"/>
      <c r="R9" s="68"/>
      <c r="S9" s="68"/>
      <c r="Y9" s="84" t="s">
        <v>699</v>
      </c>
      <c r="Z9" s="84"/>
      <c r="AC9" s="84" t="s">
        <v>695</v>
      </c>
      <c r="AI9" s="83" t="s">
        <v>699</v>
      </c>
      <c r="AW9" s="84">
        <v>110</v>
      </c>
      <c r="AX9" s="84"/>
      <c r="BC9" s="84" t="s">
        <v>712</v>
      </c>
      <c r="BD9" s="115">
        <f t="shared" si="0"/>
        <v>0</v>
      </c>
      <c r="BR9" s="84"/>
      <c r="BT9" s="84"/>
      <c r="BU9" s="84"/>
      <c r="CC9" s="115"/>
      <c r="CV9" s="115"/>
    </row>
    <row r="10" spans="1:102" x14ac:dyDescent="0.15">
      <c r="A10" s="68">
        <v>9</v>
      </c>
      <c r="B10" s="66" t="s">
        <v>124</v>
      </c>
      <c r="C10" s="66">
        <v>1066971927</v>
      </c>
      <c r="D10" s="67" t="str">
        <f t="shared" si="1"/>
        <v>https://portal.dnb.de/opac.htm?method=simpleSearch&amp;cqlMode=true&amp;query=idn%3D1066971927</v>
      </c>
      <c r="E10" s="66" t="s">
        <v>125</v>
      </c>
      <c r="F10" s="66"/>
      <c r="G10" s="68" t="s">
        <v>89</v>
      </c>
      <c r="H10" s="69" t="s">
        <v>45</v>
      </c>
      <c r="I10" s="68" t="s">
        <v>50</v>
      </c>
      <c r="J10" s="69" t="s">
        <v>90</v>
      </c>
      <c r="K10" s="69"/>
      <c r="L10" s="68"/>
      <c r="M10" s="68" t="s">
        <v>35</v>
      </c>
      <c r="N10" s="68" t="s">
        <v>37</v>
      </c>
      <c r="O10" s="68">
        <v>0</v>
      </c>
      <c r="P10" s="68"/>
      <c r="Q10" s="68"/>
      <c r="R10" s="68"/>
      <c r="S10" s="68"/>
      <c r="Y10" s="84" t="s">
        <v>786</v>
      </c>
      <c r="Z10" s="84"/>
      <c r="AC10" s="84" t="s">
        <v>695</v>
      </c>
      <c r="AI10" s="83" t="s">
        <v>699</v>
      </c>
      <c r="AW10" s="84">
        <v>110</v>
      </c>
      <c r="AX10" s="84"/>
      <c r="BC10" s="84" t="s">
        <v>712</v>
      </c>
      <c r="BD10" s="115">
        <f t="shared" si="0"/>
        <v>0</v>
      </c>
      <c r="BR10" s="84"/>
      <c r="BT10" s="84"/>
      <c r="BU10" s="84"/>
      <c r="CC10" s="115"/>
      <c r="CV10" s="115"/>
    </row>
    <row r="11" spans="1:102" x14ac:dyDescent="0.15">
      <c r="A11" s="68">
        <v>10</v>
      </c>
      <c r="B11" s="66" t="s">
        <v>126</v>
      </c>
      <c r="C11" s="66">
        <v>1066970904</v>
      </c>
      <c r="D11" s="67" t="str">
        <f t="shared" si="1"/>
        <v>https://portal.dnb.de/opac.htm?method=simpleSearch&amp;cqlMode=true&amp;query=idn%3D1066970904</v>
      </c>
      <c r="E11" s="66" t="s">
        <v>127</v>
      </c>
      <c r="F11" s="66"/>
      <c r="G11" s="68"/>
      <c r="H11" s="69" t="s">
        <v>46</v>
      </c>
      <c r="I11" s="68" t="s">
        <v>50</v>
      </c>
      <c r="J11" s="69" t="s">
        <v>90</v>
      </c>
      <c r="K11" s="69" t="s">
        <v>81</v>
      </c>
      <c r="L11" s="68"/>
      <c r="M11" s="68"/>
      <c r="N11" s="68" t="s">
        <v>101</v>
      </c>
      <c r="O11" s="68">
        <v>0</v>
      </c>
      <c r="P11" s="68"/>
      <c r="Q11" s="68"/>
      <c r="R11" s="68"/>
      <c r="S11" s="68"/>
      <c r="Y11" s="84" t="s">
        <v>787</v>
      </c>
      <c r="Z11" s="84"/>
      <c r="AC11" s="84" t="s">
        <v>695</v>
      </c>
      <c r="AI11" s="83" t="s">
        <v>699</v>
      </c>
      <c r="AW11" s="84">
        <v>110</v>
      </c>
      <c r="AX11" s="84"/>
      <c r="BC11" s="84" t="s">
        <v>712</v>
      </c>
      <c r="BD11" s="115">
        <f t="shared" si="0"/>
        <v>0</v>
      </c>
      <c r="BR11" s="84"/>
      <c r="BT11" s="84"/>
      <c r="BU11" s="84"/>
      <c r="CC11" s="115"/>
      <c r="CV11" s="115"/>
    </row>
    <row r="12" spans="1:102" x14ac:dyDescent="0.15">
      <c r="A12" s="68">
        <v>11</v>
      </c>
      <c r="B12" s="66" t="s">
        <v>128</v>
      </c>
      <c r="C12" s="66">
        <v>1066969019</v>
      </c>
      <c r="D12" s="67" t="str">
        <f t="shared" si="1"/>
        <v>https://portal.dnb.de/opac.htm?method=simpleSearch&amp;cqlMode=true&amp;query=idn%3D1066969019</v>
      </c>
      <c r="E12" s="66" t="s">
        <v>129</v>
      </c>
      <c r="F12" s="66"/>
      <c r="G12" s="68" t="s">
        <v>89</v>
      </c>
      <c r="H12" s="69" t="s">
        <v>46</v>
      </c>
      <c r="I12" s="68" t="s">
        <v>50</v>
      </c>
      <c r="J12" s="69" t="s">
        <v>55</v>
      </c>
      <c r="K12" s="69" t="s">
        <v>81</v>
      </c>
      <c r="L12" s="68"/>
      <c r="M12" s="68"/>
      <c r="N12" s="68" t="s">
        <v>101</v>
      </c>
      <c r="O12" s="68">
        <v>0</v>
      </c>
      <c r="P12" s="68"/>
      <c r="Q12" s="68"/>
      <c r="R12" s="68"/>
      <c r="S12" s="68"/>
      <c r="Y12" s="84" t="s">
        <v>787</v>
      </c>
      <c r="Z12" s="84"/>
      <c r="AC12" s="84" t="s">
        <v>695</v>
      </c>
      <c r="AI12" s="83" t="s">
        <v>699</v>
      </c>
      <c r="AW12" s="84">
        <v>110</v>
      </c>
      <c r="AX12" s="84"/>
      <c r="BC12" s="84" t="s">
        <v>712</v>
      </c>
      <c r="BD12" s="115">
        <f t="shared" si="0"/>
        <v>0</v>
      </c>
      <c r="BR12" s="84"/>
      <c r="BT12" s="84"/>
      <c r="BU12" s="84"/>
      <c r="CC12" s="115"/>
      <c r="CV12" s="115"/>
    </row>
    <row r="13" spans="1:102" ht="22.5" x14ac:dyDescent="0.15">
      <c r="A13" s="68">
        <v>12</v>
      </c>
      <c r="B13" s="66" t="s">
        <v>130</v>
      </c>
      <c r="C13" s="66">
        <v>1066869855</v>
      </c>
      <c r="D13" s="67" t="str">
        <f t="shared" si="1"/>
        <v>https://portal.dnb.de/opac.htm?method=simpleSearch&amp;cqlMode=true&amp;query=idn%3D1066869855</v>
      </c>
      <c r="E13" s="66" t="s">
        <v>131</v>
      </c>
      <c r="F13" s="66"/>
      <c r="G13" s="68" t="s">
        <v>89</v>
      </c>
      <c r="H13" s="69" t="s">
        <v>17</v>
      </c>
      <c r="I13" s="68" t="s">
        <v>50</v>
      </c>
      <c r="J13" s="69" t="s">
        <v>55</v>
      </c>
      <c r="K13" s="69" t="s">
        <v>626</v>
      </c>
      <c r="L13" s="68"/>
      <c r="M13" s="68" t="s">
        <v>33</v>
      </c>
      <c r="N13" s="68" t="s">
        <v>656</v>
      </c>
      <c r="O13" s="68">
        <v>0</v>
      </c>
      <c r="P13" s="68"/>
      <c r="Q13" s="68"/>
      <c r="R13" s="68"/>
      <c r="S13" s="68"/>
      <c r="Y13" s="84" t="s">
        <v>699</v>
      </c>
      <c r="Z13" s="84"/>
      <c r="AC13" s="84" t="s">
        <v>695</v>
      </c>
      <c r="AI13" s="83" t="s">
        <v>699</v>
      </c>
      <c r="AS13" s="83" t="s">
        <v>692</v>
      </c>
      <c r="AT13" s="83" t="s">
        <v>625</v>
      </c>
      <c r="AW13" s="84">
        <v>110</v>
      </c>
      <c r="AX13" s="84"/>
      <c r="BC13" s="84" t="s">
        <v>712</v>
      </c>
      <c r="BD13" s="115">
        <f t="shared" si="0"/>
        <v>0</v>
      </c>
      <c r="BR13" s="84"/>
      <c r="BT13" s="84"/>
      <c r="BU13" s="84"/>
      <c r="CC13" s="115"/>
      <c r="CV13" s="115"/>
    </row>
    <row r="14" spans="1:102" x14ac:dyDescent="0.15">
      <c r="A14" s="68">
        <v>13</v>
      </c>
      <c r="B14" s="66" t="s">
        <v>132</v>
      </c>
      <c r="C14" s="66" t="s">
        <v>133</v>
      </c>
      <c r="D14" s="67" t="str">
        <f t="shared" si="1"/>
        <v>https://portal.dnb.de/opac.htm?method=simpleSearch&amp;cqlMode=true&amp;query=idn%3D106696565X</v>
      </c>
      <c r="E14" s="66" t="s">
        <v>134</v>
      </c>
      <c r="F14" s="66"/>
      <c r="G14" s="68" t="s">
        <v>89</v>
      </c>
      <c r="H14" s="69" t="s">
        <v>46</v>
      </c>
      <c r="I14" s="68" t="s">
        <v>51</v>
      </c>
      <c r="J14" s="69" t="s">
        <v>55</v>
      </c>
      <c r="K14" s="69" t="s">
        <v>60</v>
      </c>
      <c r="L14" s="68" t="s">
        <v>67</v>
      </c>
      <c r="M14" s="68" t="s">
        <v>33</v>
      </c>
      <c r="N14" s="68" t="s">
        <v>36</v>
      </c>
      <c r="O14" s="68">
        <v>0</v>
      </c>
      <c r="P14" s="68"/>
      <c r="Q14" s="68"/>
      <c r="R14" s="68"/>
      <c r="S14" s="68"/>
      <c r="Y14" s="84" t="s">
        <v>787</v>
      </c>
      <c r="Z14" s="84"/>
      <c r="AC14" s="84" t="s">
        <v>695</v>
      </c>
      <c r="AI14" s="83" t="s">
        <v>699</v>
      </c>
      <c r="AW14" s="84">
        <v>110</v>
      </c>
      <c r="AX14" s="84"/>
      <c r="BC14" s="84" t="s">
        <v>712</v>
      </c>
      <c r="BD14" s="115">
        <f t="shared" si="0"/>
        <v>0</v>
      </c>
      <c r="BJ14" s="83" t="s">
        <v>828</v>
      </c>
      <c r="BK14" s="83" t="s">
        <v>625</v>
      </c>
      <c r="BR14" s="84"/>
      <c r="BT14" s="84"/>
      <c r="BU14" s="84"/>
      <c r="CC14" s="115"/>
      <c r="CV14" s="115"/>
    </row>
    <row r="15" spans="1:102" x14ac:dyDescent="0.15">
      <c r="A15" s="68">
        <v>14</v>
      </c>
      <c r="B15" s="66" t="s">
        <v>135</v>
      </c>
      <c r="C15" s="66">
        <v>1066965501</v>
      </c>
      <c r="D15" s="67" t="str">
        <f t="shared" si="1"/>
        <v>https://portal.dnb.de/opac.htm?method=simpleSearch&amp;cqlMode=true&amp;query=idn%3D1066965501</v>
      </c>
      <c r="E15" s="66" t="s">
        <v>136</v>
      </c>
      <c r="F15" s="66"/>
      <c r="G15" s="68"/>
      <c r="H15" s="69"/>
      <c r="I15" s="68"/>
      <c r="J15" s="69"/>
      <c r="K15" s="69"/>
      <c r="L15" s="68"/>
      <c r="M15" s="68"/>
      <c r="N15" s="68"/>
      <c r="O15" s="68"/>
      <c r="P15" s="68"/>
      <c r="Q15" s="68"/>
      <c r="R15" s="68"/>
      <c r="S15" s="68"/>
      <c r="T15" s="83" t="s">
        <v>832</v>
      </c>
      <c r="Y15" s="84"/>
      <c r="Z15" s="84"/>
      <c r="AC15" s="84"/>
      <c r="AW15" s="84"/>
      <c r="AX15" s="84"/>
      <c r="BD15" s="115">
        <f t="shared" si="0"/>
        <v>0</v>
      </c>
      <c r="BR15" s="84"/>
      <c r="BT15" s="84"/>
      <c r="BU15" s="84"/>
      <c r="CC15" s="115"/>
      <c r="CV15" s="115"/>
    </row>
    <row r="16" spans="1:102" ht="33.75" x14ac:dyDescent="0.15">
      <c r="A16" s="68">
        <v>15</v>
      </c>
      <c r="B16" s="66" t="s">
        <v>137</v>
      </c>
      <c r="C16" s="66">
        <v>1066966893</v>
      </c>
      <c r="D16" s="67" t="str">
        <f t="shared" si="1"/>
        <v>https://portal.dnb.de/opac.htm?method=simpleSearch&amp;cqlMode=true&amp;query=idn%3D1066966893</v>
      </c>
      <c r="E16" s="66" t="s">
        <v>138</v>
      </c>
      <c r="F16" s="66"/>
      <c r="G16" s="68" t="s">
        <v>89</v>
      </c>
      <c r="H16" s="69" t="s">
        <v>46</v>
      </c>
      <c r="I16" s="68" t="s">
        <v>51</v>
      </c>
      <c r="J16" s="69" t="s">
        <v>90</v>
      </c>
      <c r="K16" s="69" t="s">
        <v>630</v>
      </c>
      <c r="L16" s="68" t="s">
        <v>67</v>
      </c>
      <c r="M16" s="68"/>
      <c r="N16" s="68" t="s">
        <v>101</v>
      </c>
      <c r="O16" s="68">
        <v>0</v>
      </c>
      <c r="P16" s="68"/>
      <c r="Q16" s="68" t="s">
        <v>653</v>
      </c>
      <c r="R16" s="68"/>
      <c r="S16" s="68"/>
      <c r="Y16" s="84" t="s">
        <v>831</v>
      </c>
      <c r="Z16" s="84"/>
      <c r="AC16" s="84" t="s">
        <v>695</v>
      </c>
      <c r="AI16" s="83" t="s">
        <v>699</v>
      </c>
      <c r="AS16" s="83" t="s">
        <v>693</v>
      </c>
      <c r="AT16" s="83" t="s">
        <v>625</v>
      </c>
      <c r="AW16" s="84">
        <v>110</v>
      </c>
      <c r="AX16" s="84"/>
      <c r="BC16" s="84" t="s">
        <v>712</v>
      </c>
      <c r="BD16" s="115">
        <f t="shared" si="0"/>
        <v>0</v>
      </c>
      <c r="BR16" s="84"/>
      <c r="BT16" s="84"/>
      <c r="BU16" s="84"/>
      <c r="CC16" s="115"/>
      <c r="CV16" s="115"/>
    </row>
    <row r="17" spans="1:101" ht="33.75" x14ac:dyDescent="0.15">
      <c r="A17" s="68">
        <v>16</v>
      </c>
      <c r="B17" s="66" t="s">
        <v>139</v>
      </c>
      <c r="C17" s="66">
        <v>1072233924</v>
      </c>
      <c r="D17" s="67" t="str">
        <f t="shared" si="1"/>
        <v>https://portal.dnb.de/opac.htm?method=simpleSearch&amp;cqlMode=true&amp;query=idn%3D1072233924</v>
      </c>
      <c r="E17" s="66" t="s">
        <v>140</v>
      </c>
      <c r="F17" s="66"/>
      <c r="G17" s="68" t="s">
        <v>89</v>
      </c>
      <c r="H17" s="69" t="s">
        <v>4</v>
      </c>
      <c r="I17" s="68" t="s">
        <v>51</v>
      </c>
      <c r="J17" s="69" t="s">
        <v>55</v>
      </c>
      <c r="K17" s="69" t="s">
        <v>619</v>
      </c>
      <c r="L17" s="68" t="s">
        <v>67</v>
      </c>
      <c r="M17" s="68"/>
      <c r="N17" s="68" t="s">
        <v>101</v>
      </c>
      <c r="O17" s="68">
        <v>1</v>
      </c>
      <c r="P17" s="68" t="s">
        <v>43</v>
      </c>
      <c r="Q17" s="68"/>
      <c r="R17" s="68"/>
      <c r="S17" s="68"/>
      <c r="Y17" s="84" t="s">
        <v>784</v>
      </c>
      <c r="Z17" s="84"/>
      <c r="AC17" s="84" t="s">
        <v>697</v>
      </c>
      <c r="AI17" s="83" t="s">
        <v>699</v>
      </c>
      <c r="AW17" s="84">
        <v>60</v>
      </c>
      <c r="AX17" s="84"/>
      <c r="BC17" s="84" t="s">
        <v>700</v>
      </c>
      <c r="BD17" s="115">
        <f t="shared" si="0"/>
        <v>4</v>
      </c>
      <c r="BR17" s="84"/>
      <c r="BT17" s="84" t="s">
        <v>625</v>
      </c>
      <c r="BU17" s="84">
        <v>6</v>
      </c>
      <c r="CB17" s="83" t="s">
        <v>625</v>
      </c>
      <c r="CC17" s="115">
        <v>4</v>
      </c>
      <c r="CV17" s="115"/>
    </row>
    <row r="18" spans="1:101" ht="33.75" x14ac:dyDescent="0.15">
      <c r="A18" s="68">
        <v>17</v>
      </c>
      <c r="B18" s="66" t="s">
        <v>141</v>
      </c>
      <c r="C18" s="66">
        <v>1066972303</v>
      </c>
      <c r="D18" s="67" t="str">
        <f t="shared" si="1"/>
        <v>https://portal.dnb.de/opac.htm?method=simpleSearch&amp;cqlMode=true&amp;query=idn%3D1066972303</v>
      </c>
      <c r="E18" s="66" t="s">
        <v>142</v>
      </c>
      <c r="F18" s="66"/>
      <c r="G18" s="68" t="s">
        <v>89</v>
      </c>
      <c r="H18" s="69" t="s">
        <v>4</v>
      </c>
      <c r="I18" s="68" t="s">
        <v>51</v>
      </c>
      <c r="J18" s="69" t="s">
        <v>90</v>
      </c>
      <c r="K18" s="69" t="s">
        <v>657</v>
      </c>
      <c r="L18" s="68"/>
      <c r="M18" s="68"/>
      <c r="N18" s="68" t="s">
        <v>101</v>
      </c>
      <c r="O18" s="68">
        <v>0</v>
      </c>
      <c r="P18" s="68"/>
      <c r="Q18" s="68"/>
      <c r="R18" s="68"/>
      <c r="S18" s="68"/>
      <c r="Y18" s="84" t="s">
        <v>784</v>
      </c>
      <c r="Z18" s="84"/>
      <c r="AC18" s="84" t="s">
        <v>697</v>
      </c>
      <c r="AI18" s="83" t="s">
        <v>699</v>
      </c>
      <c r="AW18" s="84">
        <v>60</v>
      </c>
      <c r="AX18" s="84"/>
      <c r="BC18" s="84" t="s">
        <v>712</v>
      </c>
      <c r="BD18" s="115">
        <f t="shared" si="0"/>
        <v>0</v>
      </c>
      <c r="BR18" s="84"/>
      <c r="BT18" s="84"/>
      <c r="BU18" s="84"/>
      <c r="CC18" s="115"/>
      <c r="CV18" s="115"/>
    </row>
    <row r="19" spans="1:101" ht="33.75" x14ac:dyDescent="0.15">
      <c r="A19" s="68">
        <v>18</v>
      </c>
      <c r="B19" s="66" t="s">
        <v>143</v>
      </c>
      <c r="C19" s="66">
        <v>1066972303</v>
      </c>
      <c r="D19" s="67" t="str">
        <f t="shared" si="1"/>
        <v>https://portal.dnb.de/opac.htm?method=simpleSearch&amp;cqlMode=true&amp;query=idn%3D1066972303</v>
      </c>
      <c r="E19" s="66" t="s">
        <v>144</v>
      </c>
      <c r="F19" s="66"/>
      <c r="G19" s="68" t="s">
        <v>89</v>
      </c>
      <c r="H19" s="69" t="s">
        <v>4</v>
      </c>
      <c r="I19" s="68" t="s">
        <v>51</v>
      </c>
      <c r="J19" s="69" t="s">
        <v>90</v>
      </c>
      <c r="K19" s="69" t="s">
        <v>657</v>
      </c>
      <c r="L19" s="68"/>
      <c r="M19" s="68"/>
      <c r="N19" s="68" t="s">
        <v>101</v>
      </c>
      <c r="O19" s="68">
        <v>0</v>
      </c>
      <c r="P19" s="68"/>
      <c r="Q19" s="68"/>
      <c r="R19" s="68"/>
      <c r="S19" s="68"/>
      <c r="Y19" s="84" t="s">
        <v>784</v>
      </c>
      <c r="Z19" s="84"/>
      <c r="AC19" s="84" t="s">
        <v>697</v>
      </c>
      <c r="AI19" s="83" t="s">
        <v>699</v>
      </c>
      <c r="AW19" s="84">
        <v>60</v>
      </c>
      <c r="AX19" s="84"/>
      <c r="BC19" s="84" t="s">
        <v>712</v>
      </c>
      <c r="BD19" s="115">
        <f t="shared" si="0"/>
        <v>0</v>
      </c>
      <c r="BR19" s="84"/>
      <c r="BT19" s="84"/>
      <c r="BU19" s="84"/>
      <c r="CC19" s="115"/>
      <c r="CV19" s="115"/>
    </row>
    <row r="20" spans="1:101" ht="22.5" x14ac:dyDescent="0.15">
      <c r="A20" s="68">
        <v>19</v>
      </c>
      <c r="B20" s="66" t="s">
        <v>145</v>
      </c>
      <c r="C20" s="66">
        <v>1066973067</v>
      </c>
      <c r="D20" s="67" t="str">
        <f t="shared" si="1"/>
        <v>https://portal.dnb.de/opac.htm?method=simpleSearch&amp;cqlMode=true&amp;query=idn%3D1066973067</v>
      </c>
      <c r="E20" s="66" t="s">
        <v>146</v>
      </c>
      <c r="F20" s="66"/>
      <c r="G20" s="68" t="s">
        <v>89</v>
      </c>
      <c r="H20" s="69" t="s">
        <v>4</v>
      </c>
      <c r="I20" s="68" t="s">
        <v>52</v>
      </c>
      <c r="J20" s="69" t="s">
        <v>90</v>
      </c>
      <c r="K20" s="69" t="s">
        <v>626</v>
      </c>
      <c r="L20" s="68" t="s">
        <v>67</v>
      </c>
      <c r="M20" s="68"/>
      <c r="N20" s="68" t="s">
        <v>101</v>
      </c>
      <c r="O20" s="68">
        <v>2</v>
      </c>
      <c r="P20" s="68"/>
      <c r="Q20" s="68"/>
      <c r="R20" s="68"/>
      <c r="S20" s="68"/>
      <c r="Y20" s="84" t="s">
        <v>782</v>
      </c>
      <c r="Z20" s="84"/>
      <c r="AC20" s="84" t="s">
        <v>696</v>
      </c>
      <c r="AI20" s="83" t="s">
        <v>699</v>
      </c>
      <c r="AS20" s="83" t="s">
        <v>692</v>
      </c>
      <c r="AT20" s="83" t="s">
        <v>625</v>
      </c>
      <c r="AW20" s="84">
        <v>110</v>
      </c>
      <c r="AX20" s="84"/>
      <c r="BC20" s="84" t="s">
        <v>700</v>
      </c>
      <c r="BD20" s="115">
        <f t="shared" si="0"/>
        <v>2</v>
      </c>
      <c r="BL20" s="87" t="s">
        <v>844</v>
      </c>
      <c r="BR20" s="84"/>
      <c r="BT20" s="84"/>
      <c r="BU20" s="84"/>
      <c r="CC20" s="115"/>
      <c r="CE20" s="83" t="s">
        <v>625</v>
      </c>
      <c r="CI20" s="83" t="s">
        <v>625</v>
      </c>
      <c r="CL20" s="83" t="s">
        <v>625</v>
      </c>
      <c r="CV20" s="115">
        <v>2</v>
      </c>
    </row>
    <row r="21" spans="1:101" ht="22.5" x14ac:dyDescent="0.15">
      <c r="A21" s="68">
        <v>20</v>
      </c>
      <c r="B21" s="66" t="s">
        <v>147</v>
      </c>
      <c r="C21" s="66">
        <v>1066971188</v>
      </c>
      <c r="D21" s="67" t="str">
        <f t="shared" si="1"/>
        <v>https://portal.dnb.de/opac.htm?method=simpleSearch&amp;cqlMode=true&amp;query=idn%3D1066971188</v>
      </c>
      <c r="E21" s="66" t="s">
        <v>148</v>
      </c>
      <c r="F21" s="66"/>
      <c r="G21" s="68" t="s">
        <v>89</v>
      </c>
      <c r="H21" s="69" t="s">
        <v>620</v>
      </c>
      <c r="I21" s="68" t="s">
        <v>51</v>
      </c>
      <c r="J21" s="69" t="s">
        <v>90</v>
      </c>
      <c r="K21" s="69" t="s">
        <v>636</v>
      </c>
      <c r="L21" s="68" t="s">
        <v>67</v>
      </c>
      <c r="M21" s="68" t="s">
        <v>35</v>
      </c>
      <c r="N21" s="68" t="s">
        <v>37</v>
      </c>
      <c r="O21" s="68">
        <v>1</v>
      </c>
      <c r="P21" s="68"/>
      <c r="Q21" s="68"/>
      <c r="R21" s="68"/>
      <c r="S21" s="68"/>
      <c r="Y21" s="84" t="s">
        <v>782</v>
      </c>
      <c r="Z21" s="84"/>
      <c r="AC21" s="84" t="s">
        <v>696</v>
      </c>
      <c r="AH21" s="83" t="s">
        <v>625</v>
      </c>
      <c r="AI21" s="83" t="s">
        <v>699</v>
      </c>
      <c r="AS21" s="83" t="s">
        <v>692</v>
      </c>
      <c r="AT21" s="83" t="s">
        <v>625</v>
      </c>
      <c r="AW21" s="84" t="s">
        <v>826</v>
      </c>
      <c r="AX21" s="84"/>
      <c r="BC21" s="84" t="s">
        <v>712</v>
      </c>
      <c r="BD21" s="115">
        <f t="shared" si="0"/>
        <v>0</v>
      </c>
      <c r="BF21" s="83" t="s">
        <v>694</v>
      </c>
      <c r="BL21" s="87" t="s">
        <v>704</v>
      </c>
      <c r="BR21" s="84"/>
      <c r="BT21" s="84" t="s">
        <v>625</v>
      </c>
      <c r="BU21" s="84"/>
      <c r="CC21" s="115"/>
      <c r="CV21" s="115"/>
    </row>
    <row r="22" spans="1:101" x14ac:dyDescent="0.15">
      <c r="A22" s="68">
        <v>21</v>
      </c>
      <c r="B22" s="66" t="s">
        <v>149</v>
      </c>
      <c r="C22" s="66" t="s">
        <v>150</v>
      </c>
      <c r="D22" s="67" t="str">
        <f t="shared" si="1"/>
        <v>https://portal.dnb.de/opac.htm?method=simpleSearch&amp;cqlMode=true&amp;query=idn%3D106697232X</v>
      </c>
      <c r="E22" s="66" t="s">
        <v>621</v>
      </c>
      <c r="F22" s="66"/>
      <c r="G22" s="68"/>
      <c r="H22" s="69"/>
      <c r="I22" s="68"/>
      <c r="J22" s="69"/>
      <c r="K22" s="69"/>
      <c r="L22" s="68"/>
      <c r="M22" s="68"/>
      <c r="N22" s="68"/>
      <c r="O22" s="68"/>
      <c r="P22" s="68"/>
      <c r="Q22" s="68"/>
      <c r="R22" s="68"/>
      <c r="S22" s="68"/>
      <c r="Y22" s="84"/>
      <c r="Z22" s="84"/>
      <c r="AC22" s="84"/>
      <c r="AI22" s="83" t="s">
        <v>699</v>
      </c>
      <c r="AW22" s="84"/>
      <c r="AX22" s="84"/>
      <c r="BD22" s="115">
        <f t="shared" si="0"/>
        <v>0</v>
      </c>
      <c r="BR22" s="84"/>
      <c r="BT22" s="84"/>
      <c r="BU22" s="84"/>
      <c r="CC22" s="115"/>
      <c r="CV22" s="115"/>
    </row>
    <row r="23" spans="1:101" ht="33.75" x14ac:dyDescent="0.15">
      <c r="A23" s="68">
        <v>22</v>
      </c>
      <c r="B23" s="66" t="s">
        <v>151</v>
      </c>
      <c r="C23" s="66">
        <v>1066970327</v>
      </c>
      <c r="D23" s="67" t="str">
        <f t="shared" si="1"/>
        <v>https://portal.dnb.de/opac.htm?method=simpleSearch&amp;cqlMode=true&amp;query=idn%3D1066970327</v>
      </c>
      <c r="E23" s="66" t="s">
        <v>152</v>
      </c>
      <c r="F23" s="66"/>
      <c r="G23" s="68" t="s">
        <v>89</v>
      </c>
      <c r="H23" s="69" t="s">
        <v>620</v>
      </c>
      <c r="I23" s="68" t="s">
        <v>51</v>
      </c>
      <c r="J23" s="69" t="s">
        <v>90</v>
      </c>
      <c r="K23" s="69" t="s">
        <v>627</v>
      </c>
      <c r="L23" s="68" t="s">
        <v>67</v>
      </c>
      <c r="M23" s="68" t="s">
        <v>35</v>
      </c>
      <c r="N23" s="68" t="s">
        <v>37</v>
      </c>
      <c r="O23" s="68">
        <v>0</v>
      </c>
      <c r="P23" s="68"/>
      <c r="Q23" s="68"/>
      <c r="R23" s="68"/>
      <c r="S23" s="68"/>
      <c r="Y23" s="84" t="s">
        <v>782</v>
      </c>
      <c r="Z23" s="84"/>
      <c r="AB23" s="83" t="s">
        <v>625</v>
      </c>
      <c r="AC23" s="84" t="s">
        <v>696</v>
      </c>
      <c r="AI23" s="83" t="s">
        <v>699</v>
      </c>
      <c r="AS23" s="83" t="s">
        <v>692</v>
      </c>
      <c r="AT23" s="83" t="s">
        <v>625</v>
      </c>
      <c r="AW23" s="84">
        <v>110</v>
      </c>
      <c r="AX23" s="84"/>
      <c r="BC23" s="84" t="s">
        <v>712</v>
      </c>
      <c r="BD23" s="115">
        <f t="shared" si="0"/>
        <v>0</v>
      </c>
      <c r="BF23" s="83" t="s">
        <v>694</v>
      </c>
      <c r="BL23" s="87" t="s">
        <v>705</v>
      </c>
      <c r="BR23" s="84"/>
      <c r="BT23" s="84"/>
      <c r="BU23" s="84"/>
      <c r="CC23" s="115"/>
      <c r="CV23" s="115"/>
    </row>
    <row r="24" spans="1:101" x14ac:dyDescent="0.15">
      <c r="A24" s="68">
        <v>23</v>
      </c>
      <c r="B24" s="66" t="s">
        <v>153</v>
      </c>
      <c r="C24" s="66" t="s">
        <v>904</v>
      </c>
      <c r="D24" s="67" t="str">
        <f t="shared" si="1"/>
        <v>https://portal.dnb.de/opac.htm?method=simpleSearch&amp;cqlMode=true&amp;query=idn%3D=Bö_Ink!X29</v>
      </c>
      <c r="E24" s="66" t="s">
        <v>664</v>
      </c>
      <c r="F24" s="66"/>
      <c r="G24" s="68"/>
      <c r="H24" s="69"/>
      <c r="I24" s="68"/>
      <c r="J24" s="69"/>
      <c r="K24" s="69"/>
      <c r="L24" s="68"/>
      <c r="M24" s="68"/>
      <c r="N24" s="68"/>
      <c r="O24" s="68"/>
      <c r="P24" s="68"/>
      <c r="Q24" s="68"/>
      <c r="R24" s="68"/>
      <c r="S24" s="68"/>
      <c r="Y24" s="84"/>
      <c r="Z24" s="84"/>
      <c r="AC24" s="84"/>
      <c r="AI24" s="83" t="s">
        <v>699</v>
      </c>
      <c r="AW24" s="84"/>
      <c r="AX24" s="84"/>
      <c r="BD24" s="115">
        <f t="shared" si="0"/>
        <v>0</v>
      </c>
      <c r="BR24" s="84"/>
      <c r="BT24" s="84"/>
      <c r="BU24" s="84"/>
      <c r="CC24" s="115"/>
      <c r="CV24" s="115"/>
    </row>
    <row r="25" spans="1:101" x14ac:dyDescent="0.15">
      <c r="A25" s="68">
        <v>24</v>
      </c>
      <c r="B25" s="66" t="s">
        <v>154</v>
      </c>
      <c r="C25" s="66">
        <v>1066962952</v>
      </c>
      <c r="D25" s="67" t="str">
        <f t="shared" si="1"/>
        <v>https://portal.dnb.de/opac.htm?method=simpleSearch&amp;cqlMode=true&amp;query=idn%3D1066962952</v>
      </c>
      <c r="E25" s="66" t="s">
        <v>665</v>
      </c>
      <c r="F25" s="66"/>
      <c r="G25" s="68"/>
      <c r="H25" s="69"/>
      <c r="I25" s="68"/>
      <c r="J25" s="69"/>
      <c r="K25" s="69"/>
      <c r="L25" s="68"/>
      <c r="M25" s="68"/>
      <c r="N25" s="68"/>
      <c r="O25" s="68"/>
      <c r="P25" s="68"/>
      <c r="Q25" s="68"/>
      <c r="R25" s="68"/>
      <c r="S25" s="68"/>
      <c r="Y25" s="84"/>
      <c r="Z25" s="84"/>
      <c r="AC25" s="84"/>
      <c r="AI25" s="83" t="s">
        <v>699</v>
      </c>
      <c r="AW25" s="84"/>
      <c r="AX25" s="84"/>
      <c r="BD25" s="115">
        <f t="shared" si="0"/>
        <v>0</v>
      </c>
      <c r="BR25" s="84"/>
      <c r="BT25" s="84"/>
      <c r="BU25" s="84"/>
      <c r="CC25" s="115"/>
      <c r="CV25" s="115"/>
    </row>
    <row r="26" spans="1:101" ht="33.75" x14ac:dyDescent="0.15">
      <c r="A26" s="68">
        <v>25</v>
      </c>
      <c r="B26" s="66" t="s">
        <v>155</v>
      </c>
      <c r="C26" s="66">
        <v>1066969841</v>
      </c>
      <c r="D26" s="67" t="str">
        <f t="shared" si="1"/>
        <v>https://portal.dnb.de/opac.htm?method=simpleSearch&amp;cqlMode=true&amp;query=idn%3D1066969841</v>
      </c>
      <c r="E26" s="66" t="s">
        <v>156</v>
      </c>
      <c r="F26" s="66"/>
      <c r="G26" s="68" t="s">
        <v>89</v>
      </c>
      <c r="H26" s="69" t="s">
        <v>4</v>
      </c>
      <c r="I26" s="68" t="s">
        <v>53</v>
      </c>
      <c r="J26" s="69" t="s">
        <v>90</v>
      </c>
      <c r="K26" s="69" t="s">
        <v>637</v>
      </c>
      <c r="L26" s="68" t="s">
        <v>67</v>
      </c>
      <c r="M26" s="68"/>
      <c r="N26" s="68" t="s">
        <v>101</v>
      </c>
      <c r="O26" s="68">
        <v>3</v>
      </c>
      <c r="P26" s="68"/>
      <c r="Q26" s="68" t="s">
        <v>638</v>
      </c>
      <c r="R26" s="68"/>
      <c r="S26" s="68"/>
      <c r="Y26" s="84" t="s">
        <v>782</v>
      </c>
      <c r="Z26" s="84"/>
      <c r="AC26" s="84" t="s">
        <v>696</v>
      </c>
      <c r="AI26" s="83" t="s">
        <v>699</v>
      </c>
      <c r="AS26" s="83" t="s">
        <v>692</v>
      </c>
      <c r="AT26" s="83" t="s">
        <v>625</v>
      </c>
      <c r="AW26" s="84" t="s">
        <v>823</v>
      </c>
      <c r="AX26" s="84"/>
      <c r="BC26" s="84" t="s">
        <v>700</v>
      </c>
      <c r="BD26" s="115">
        <f t="shared" si="0"/>
        <v>10</v>
      </c>
      <c r="BQ26" s="83" t="s">
        <v>625</v>
      </c>
      <c r="BR26" s="84" t="s">
        <v>625</v>
      </c>
      <c r="BT26" s="84" t="s">
        <v>829</v>
      </c>
      <c r="BU26" s="84">
        <v>3</v>
      </c>
      <c r="BY26" s="83" t="s">
        <v>625</v>
      </c>
      <c r="CC26" s="115">
        <v>8</v>
      </c>
      <c r="CD26" s="87" t="s">
        <v>845</v>
      </c>
      <c r="CL26" s="83" t="s">
        <v>625</v>
      </c>
      <c r="CV26" s="115">
        <v>2</v>
      </c>
      <c r="CW26" s="87" t="s">
        <v>846</v>
      </c>
    </row>
    <row r="27" spans="1:101" x14ac:dyDescent="0.15">
      <c r="A27" s="68">
        <v>26</v>
      </c>
      <c r="B27" s="66" t="s">
        <v>157</v>
      </c>
      <c r="C27" s="66">
        <v>1066969590</v>
      </c>
      <c r="D27" s="67" t="str">
        <f t="shared" si="1"/>
        <v>https://portal.dnb.de/opac.htm?method=simpleSearch&amp;cqlMode=true&amp;query=idn%3D1066969590</v>
      </c>
      <c r="E27" s="66" t="s">
        <v>158</v>
      </c>
      <c r="F27" s="66"/>
      <c r="G27" s="68" t="s">
        <v>89</v>
      </c>
      <c r="H27" s="69" t="s">
        <v>17</v>
      </c>
      <c r="I27" s="68" t="s">
        <v>51</v>
      </c>
      <c r="J27" s="69" t="s">
        <v>55</v>
      </c>
      <c r="K27" s="69" t="s">
        <v>81</v>
      </c>
      <c r="L27" s="68"/>
      <c r="M27" s="68"/>
      <c r="N27" s="68" t="s">
        <v>101</v>
      </c>
      <c r="O27" s="68">
        <v>0</v>
      </c>
      <c r="P27" s="68"/>
      <c r="Q27" s="68"/>
      <c r="R27" s="68"/>
      <c r="S27" s="68"/>
      <c r="Y27" s="84" t="s">
        <v>699</v>
      </c>
      <c r="Z27" s="84"/>
      <c r="AC27" s="84" t="s">
        <v>695</v>
      </c>
      <c r="AI27" s="83" t="s">
        <v>699</v>
      </c>
      <c r="AW27" s="84">
        <v>110</v>
      </c>
      <c r="AX27" s="84"/>
      <c r="BC27" s="84" t="s">
        <v>700</v>
      </c>
      <c r="BD27" s="115">
        <f t="shared" si="0"/>
        <v>0.5</v>
      </c>
      <c r="BR27" s="84"/>
      <c r="BT27" s="84"/>
      <c r="BU27" s="84"/>
      <c r="CC27" s="115"/>
      <c r="CE27" s="83" t="s">
        <v>625</v>
      </c>
      <c r="CV27" s="115">
        <v>0.5</v>
      </c>
    </row>
    <row r="28" spans="1:101" ht="22.5" x14ac:dyDescent="0.15">
      <c r="A28" s="68">
        <v>27</v>
      </c>
      <c r="B28" s="66" t="s">
        <v>159</v>
      </c>
      <c r="C28" s="66">
        <v>1066791759</v>
      </c>
      <c r="D28" s="67" t="str">
        <f t="shared" si="1"/>
        <v>https://portal.dnb.de/opac.htm?method=simpleSearch&amp;cqlMode=true&amp;query=idn%3D1066791759</v>
      </c>
      <c r="E28" s="66" t="s">
        <v>160</v>
      </c>
      <c r="F28" s="66"/>
      <c r="G28" s="68" t="s">
        <v>89</v>
      </c>
      <c r="H28" s="69" t="s">
        <v>620</v>
      </c>
      <c r="I28" s="68" t="s">
        <v>51</v>
      </c>
      <c r="J28" s="69" t="s">
        <v>90</v>
      </c>
      <c r="K28" s="69" t="s">
        <v>60</v>
      </c>
      <c r="L28" s="68" t="s">
        <v>67</v>
      </c>
      <c r="M28" s="68" t="s">
        <v>35</v>
      </c>
      <c r="N28" s="68" t="s">
        <v>37</v>
      </c>
      <c r="O28" s="68">
        <v>0</v>
      </c>
      <c r="P28" s="68"/>
      <c r="Q28" s="68"/>
      <c r="R28" s="68"/>
      <c r="S28" s="68"/>
      <c r="Y28" s="84" t="s">
        <v>782</v>
      </c>
      <c r="Z28" s="84"/>
      <c r="AC28" s="84" t="s">
        <v>696</v>
      </c>
      <c r="AI28" s="83" t="s">
        <v>699</v>
      </c>
      <c r="AW28" s="84">
        <v>110</v>
      </c>
      <c r="AX28" s="84"/>
      <c r="BC28" s="84" t="s">
        <v>712</v>
      </c>
      <c r="BD28" s="115">
        <f t="shared" si="0"/>
        <v>0</v>
      </c>
      <c r="BR28" s="84"/>
      <c r="BT28" s="84"/>
      <c r="BU28" s="84"/>
      <c r="CC28" s="115"/>
      <c r="CV28" s="115"/>
    </row>
    <row r="29" spans="1:101" ht="45" x14ac:dyDescent="0.15">
      <c r="A29" s="68">
        <v>28</v>
      </c>
      <c r="B29" s="66" t="s">
        <v>161</v>
      </c>
      <c r="C29" s="66">
        <v>1066965986</v>
      </c>
      <c r="D29" s="67" t="str">
        <f t="shared" si="1"/>
        <v>https://portal.dnb.de/opac.htm?method=simpleSearch&amp;cqlMode=true&amp;query=idn%3D1066965986</v>
      </c>
      <c r="E29" s="66" t="s">
        <v>162</v>
      </c>
      <c r="F29" s="66"/>
      <c r="G29" s="68" t="s">
        <v>89</v>
      </c>
      <c r="H29" s="69" t="s">
        <v>3</v>
      </c>
      <c r="I29" s="68" t="s">
        <v>51</v>
      </c>
      <c r="J29" s="69" t="s">
        <v>90</v>
      </c>
      <c r="K29" s="69" t="s">
        <v>631</v>
      </c>
      <c r="L29" s="68" t="s">
        <v>67</v>
      </c>
      <c r="M29" s="68" t="s">
        <v>35</v>
      </c>
      <c r="N29" s="68" t="s">
        <v>37</v>
      </c>
      <c r="O29" s="68">
        <v>3</v>
      </c>
      <c r="P29" s="68"/>
      <c r="Q29" s="68" t="s">
        <v>658</v>
      </c>
      <c r="R29" s="68"/>
      <c r="S29" s="68"/>
      <c r="Y29" s="84" t="s">
        <v>782</v>
      </c>
      <c r="Z29" s="84"/>
      <c r="AC29" s="84" t="s">
        <v>696</v>
      </c>
      <c r="AI29" s="83" t="s">
        <v>699</v>
      </c>
      <c r="AW29" s="84">
        <v>60</v>
      </c>
      <c r="AX29" s="84"/>
      <c r="BC29" s="84" t="s">
        <v>700</v>
      </c>
      <c r="BD29" s="115">
        <f t="shared" si="0"/>
        <v>8</v>
      </c>
      <c r="BF29" s="85" t="s">
        <v>694</v>
      </c>
      <c r="BK29" s="83" t="s">
        <v>625</v>
      </c>
      <c r="BL29" s="87" t="s">
        <v>922</v>
      </c>
      <c r="BR29" s="84"/>
      <c r="BT29" s="84" t="s">
        <v>829</v>
      </c>
      <c r="BU29" s="84">
        <v>2</v>
      </c>
      <c r="BZ29" s="83" t="s">
        <v>698</v>
      </c>
      <c r="CC29" s="115">
        <v>4</v>
      </c>
      <c r="CJ29" s="83" t="s">
        <v>625</v>
      </c>
      <c r="CM29" s="83" t="s">
        <v>625</v>
      </c>
      <c r="CO29" s="83" t="s">
        <v>625</v>
      </c>
      <c r="CV29" s="115">
        <v>4</v>
      </c>
    </row>
    <row r="30" spans="1:101" ht="22.5" x14ac:dyDescent="0.15">
      <c r="A30" s="68">
        <v>29</v>
      </c>
      <c r="B30" s="66" t="s">
        <v>163</v>
      </c>
      <c r="C30" s="66" t="s">
        <v>164</v>
      </c>
      <c r="D30" s="67" t="str">
        <f t="shared" si="1"/>
        <v>https://portal.dnb.de/opac.htm?method=simpleSearch&amp;cqlMode=true&amp;query=idn%3D106696503X</v>
      </c>
      <c r="E30" s="66" t="s">
        <v>165</v>
      </c>
      <c r="F30" s="66"/>
      <c r="G30" s="68" t="s">
        <v>89</v>
      </c>
      <c r="H30" s="69" t="s">
        <v>17</v>
      </c>
      <c r="I30" s="68" t="s">
        <v>51</v>
      </c>
      <c r="J30" s="69" t="s">
        <v>90</v>
      </c>
      <c r="K30" s="69" t="s">
        <v>655</v>
      </c>
      <c r="L30" s="68"/>
      <c r="M30" s="68" t="s">
        <v>33</v>
      </c>
      <c r="N30" s="68" t="s">
        <v>36</v>
      </c>
      <c r="O30" s="68">
        <v>0</v>
      </c>
      <c r="P30" s="68"/>
      <c r="R30" s="68"/>
      <c r="S30" s="68"/>
      <c r="Y30" s="84" t="s">
        <v>699</v>
      </c>
      <c r="Z30" s="84"/>
      <c r="AC30" s="84" t="s">
        <v>695</v>
      </c>
      <c r="AI30" s="83" t="s">
        <v>699</v>
      </c>
      <c r="AW30" s="84">
        <v>110</v>
      </c>
      <c r="AX30" s="84"/>
      <c r="BC30" s="84" t="s">
        <v>712</v>
      </c>
      <c r="BD30" s="115">
        <f t="shared" si="0"/>
        <v>0</v>
      </c>
      <c r="BR30" s="84"/>
      <c r="BT30" s="84"/>
      <c r="BU30" s="84"/>
      <c r="CC30" s="115"/>
      <c r="CV30" s="115"/>
    </row>
    <row r="31" spans="1:101" ht="22.5" x14ac:dyDescent="0.15">
      <c r="A31" s="68">
        <v>30</v>
      </c>
      <c r="B31" s="66" t="s">
        <v>166</v>
      </c>
      <c r="C31" s="66">
        <v>1066973326</v>
      </c>
      <c r="D31" s="67" t="str">
        <f t="shared" si="1"/>
        <v>https://portal.dnb.de/opac.htm?method=simpleSearch&amp;cqlMode=true&amp;query=idn%3D1066973326</v>
      </c>
      <c r="E31" s="66" t="s">
        <v>167</v>
      </c>
      <c r="F31" s="66"/>
      <c r="G31" s="68" t="s">
        <v>89</v>
      </c>
      <c r="H31" s="69" t="s">
        <v>46</v>
      </c>
      <c r="I31" s="68" t="s">
        <v>51</v>
      </c>
      <c r="J31" s="69" t="s">
        <v>90</v>
      </c>
      <c r="K31" s="69" t="s">
        <v>655</v>
      </c>
      <c r="L31" s="68"/>
      <c r="M31" s="68"/>
      <c r="N31" s="68" t="s">
        <v>101</v>
      </c>
      <c r="O31" s="68">
        <v>0</v>
      </c>
      <c r="P31" s="68"/>
      <c r="Q31" s="68"/>
      <c r="R31" s="68"/>
      <c r="S31" s="68"/>
      <c r="Y31" s="84" t="s">
        <v>787</v>
      </c>
      <c r="Z31" s="84"/>
      <c r="AC31" s="84" t="s">
        <v>695</v>
      </c>
      <c r="AI31" s="83" t="s">
        <v>699</v>
      </c>
      <c r="AW31" s="84">
        <v>110</v>
      </c>
      <c r="AX31" s="84"/>
      <c r="BC31" s="84" t="s">
        <v>712</v>
      </c>
      <c r="BD31" s="115">
        <f t="shared" si="0"/>
        <v>0</v>
      </c>
      <c r="BR31" s="84"/>
      <c r="BT31" s="84"/>
      <c r="BU31" s="84"/>
      <c r="CC31" s="115"/>
      <c r="CV31" s="115"/>
    </row>
    <row r="32" spans="1:101" ht="33.75" x14ac:dyDescent="0.15">
      <c r="A32" s="68">
        <v>31</v>
      </c>
      <c r="B32" s="66" t="s">
        <v>168</v>
      </c>
      <c r="C32" s="66">
        <v>1066970580</v>
      </c>
      <c r="D32" s="67" t="str">
        <f t="shared" si="1"/>
        <v>https://portal.dnb.de/opac.htm?method=simpleSearch&amp;cqlMode=true&amp;query=idn%3D1066970580</v>
      </c>
      <c r="E32" s="66" t="s">
        <v>169</v>
      </c>
      <c r="F32" s="66"/>
      <c r="G32" s="68" t="s">
        <v>89</v>
      </c>
      <c r="H32" s="69" t="s">
        <v>620</v>
      </c>
      <c r="I32" s="68" t="s">
        <v>51</v>
      </c>
      <c r="J32" s="69" t="s">
        <v>90</v>
      </c>
      <c r="K32" s="69" t="s">
        <v>627</v>
      </c>
      <c r="L32" s="68" t="s">
        <v>67</v>
      </c>
      <c r="M32" s="68" t="s">
        <v>35</v>
      </c>
      <c r="N32" s="68" t="s">
        <v>634</v>
      </c>
      <c r="O32" s="68">
        <v>0</v>
      </c>
      <c r="P32" s="68"/>
      <c r="Q32" s="68"/>
      <c r="R32" s="68"/>
      <c r="S32" s="68"/>
      <c r="Y32" s="84" t="s">
        <v>782</v>
      </c>
      <c r="Z32" s="84"/>
      <c r="AC32" s="84" t="s">
        <v>696</v>
      </c>
      <c r="AI32" s="83" t="s">
        <v>699</v>
      </c>
      <c r="AW32" s="84">
        <v>110</v>
      </c>
      <c r="AX32" s="84"/>
      <c r="BC32" s="84" t="s">
        <v>712</v>
      </c>
      <c r="BD32" s="115">
        <f t="shared" si="0"/>
        <v>0</v>
      </c>
      <c r="BF32" s="83" t="s">
        <v>694</v>
      </c>
      <c r="BL32" s="87" t="s">
        <v>706</v>
      </c>
      <c r="BR32" s="84"/>
      <c r="BT32" s="84"/>
      <c r="BU32" s="84"/>
      <c r="CC32" s="115"/>
      <c r="CV32" s="115"/>
    </row>
    <row r="33" spans="1:100" ht="22.5" x14ac:dyDescent="0.15">
      <c r="A33" s="68">
        <v>32</v>
      </c>
      <c r="B33" s="66" t="s">
        <v>170</v>
      </c>
      <c r="C33" s="66">
        <v>1066967407</v>
      </c>
      <c r="D33" s="67" t="str">
        <f t="shared" si="1"/>
        <v>https://portal.dnb.de/opac.htm?method=simpleSearch&amp;cqlMode=true&amp;query=idn%3D1066967407</v>
      </c>
      <c r="E33" s="66" t="s">
        <v>171</v>
      </c>
      <c r="F33" s="66"/>
      <c r="G33" s="68" t="s">
        <v>89</v>
      </c>
      <c r="H33" s="69" t="s">
        <v>620</v>
      </c>
      <c r="I33" s="68" t="s">
        <v>51</v>
      </c>
      <c r="J33" s="69" t="s">
        <v>90</v>
      </c>
      <c r="K33" s="69" t="s">
        <v>60</v>
      </c>
      <c r="L33" s="68" t="s">
        <v>67</v>
      </c>
      <c r="M33" s="68" t="s">
        <v>35</v>
      </c>
      <c r="N33" s="68" t="s">
        <v>37</v>
      </c>
      <c r="O33" s="68">
        <v>0</v>
      </c>
      <c r="P33" s="68"/>
      <c r="Q33" s="68"/>
      <c r="R33" s="68"/>
      <c r="S33" s="68"/>
      <c r="Y33" s="84" t="s">
        <v>782</v>
      </c>
      <c r="Z33" s="84"/>
      <c r="AC33" s="84" t="s">
        <v>696</v>
      </c>
      <c r="AI33" s="83" t="s">
        <v>699</v>
      </c>
      <c r="AU33" s="83">
        <v>0</v>
      </c>
      <c r="AV33" s="83" t="s">
        <v>625</v>
      </c>
      <c r="AW33" s="84">
        <v>60</v>
      </c>
      <c r="AX33" s="84"/>
      <c r="BC33" s="84" t="s">
        <v>712</v>
      </c>
      <c r="BD33" s="115">
        <f t="shared" si="0"/>
        <v>0</v>
      </c>
      <c r="BF33" s="83" t="s">
        <v>694</v>
      </c>
      <c r="BL33" s="87" t="s">
        <v>706</v>
      </c>
      <c r="BR33" s="84"/>
      <c r="BT33" s="84"/>
      <c r="BU33" s="84"/>
      <c r="CC33" s="115"/>
      <c r="CV33" s="115"/>
    </row>
    <row r="34" spans="1:100" ht="45" x14ac:dyDescent="0.15">
      <c r="A34" s="68">
        <v>33</v>
      </c>
      <c r="B34" s="66" t="s">
        <v>172</v>
      </c>
      <c r="C34" s="66">
        <v>1072234246</v>
      </c>
      <c r="D34" s="67" t="str">
        <f t="shared" si="1"/>
        <v>https://portal.dnb.de/opac.htm?method=simpleSearch&amp;cqlMode=true&amp;query=idn%3D1072234246</v>
      </c>
      <c r="E34" s="66" t="s">
        <v>173</v>
      </c>
      <c r="F34" s="66"/>
      <c r="G34" s="68" t="s">
        <v>89</v>
      </c>
      <c r="H34" s="69" t="s">
        <v>4</v>
      </c>
      <c r="I34" s="68" t="s">
        <v>51</v>
      </c>
      <c r="J34" s="69" t="s">
        <v>90</v>
      </c>
      <c r="K34" s="69" t="s">
        <v>622</v>
      </c>
      <c r="L34" s="68"/>
      <c r="M34" s="68" t="s">
        <v>30</v>
      </c>
      <c r="N34" s="68" t="s">
        <v>101</v>
      </c>
      <c r="O34" s="68">
        <v>3</v>
      </c>
      <c r="P34" s="68"/>
      <c r="Q34" s="68" t="s">
        <v>654</v>
      </c>
      <c r="R34" s="68"/>
      <c r="S34" s="68"/>
      <c r="Y34" s="84" t="s">
        <v>782</v>
      </c>
      <c r="Z34" s="84"/>
      <c r="AC34" s="84" t="s">
        <v>696</v>
      </c>
      <c r="AI34" s="83" t="s">
        <v>699</v>
      </c>
      <c r="AS34" s="83" t="s">
        <v>692</v>
      </c>
      <c r="AT34" s="83" t="s">
        <v>625</v>
      </c>
      <c r="AW34" s="84">
        <v>45</v>
      </c>
      <c r="AX34" s="84"/>
      <c r="BC34" s="84" t="s">
        <v>712</v>
      </c>
      <c r="BD34" s="115">
        <f t="shared" si="0"/>
        <v>0</v>
      </c>
      <c r="BF34" s="83" t="s">
        <v>827</v>
      </c>
      <c r="BK34" s="83" t="s">
        <v>625</v>
      </c>
      <c r="BL34" s="87" t="s">
        <v>707</v>
      </c>
      <c r="BR34" s="84"/>
      <c r="BT34" s="84"/>
      <c r="BU34" s="84">
        <v>4</v>
      </c>
      <c r="CC34" s="115"/>
      <c r="CV34" s="115"/>
    </row>
    <row r="35" spans="1:100" x14ac:dyDescent="0.15">
      <c r="A35" s="68">
        <v>34</v>
      </c>
      <c r="B35" s="66" t="s">
        <v>174</v>
      </c>
      <c r="C35" s="66">
        <v>1066971714</v>
      </c>
      <c r="D35" s="67" t="str">
        <f t="shared" si="1"/>
        <v>https://portal.dnb.de/opac.htm?method=simpleSearch&amp;cqlMode=true&amp;query=idn%3D1066971714</v>
      </c>
      <c r="E35" s="66" t="s">
        <v>175</v>
      </c>
      <c r="F35" s="66"/>
      <c r="G35" s="68" t="s">
        <v>89</v>
      </c>
      <c r="H35" s="69" t="s">
        <v>4</v>
      </c>
      <c r="I35" s="68" t="s">
        <v>51</v>
      </c>
      <c r="J35" s="69" t="s">
        <v>90</v>
      </c>
      <c r="K35" s="69" t="s">
        <v>81</v>
      </c>
      <c r="L35" s="68"/>
      <c r="M35" s="68"/>
      <c r="N35" s="68" t="s">
        <v>101</v>
      </c>
      <c r="O35" s="68">
        <v>1</v>
      </c>
      <c r="P35" s="68"/>
      <c r="Q35" s="68"/>
      <c r="R35" s="68"/>
      <c r="S35" s="68"/>
      <c r="Y35" s="84" t="s">
        <v>786</v>
      </c>
      <c r="Z35" s="84"/>
      <c r="AC35" s="84" t="s">
        <v>695</v>
      </c>
      <c r="AI35" s="83" t="s">
        <v>699</v>
      </c>
      <c r="AW35" s="84" t="s">
        <v>823</v>
      </c>
      <c r="AX35" s="84"/>
      <c r="BC35" s="84" t="s">
        <v>712</v>
      </c>
      <c r="BD35" s="115">
        <f t="shared" si="0"/>
        <v>0</v>
      </c>
      <c r="BR35" s="84"/>
      <c r="BT35" s="84"/>
      <c r="BU35" s="84"/>
      <c r="CC35" s="115"/>
      <c r="CV35" s="115"/>
    </row>
    <row r="36" spans="1:100" x14ac:dyDescent="0.15">
      <c r="A36" s="68">
        <v>35</v>
      </c>
      <c r="B36" s="66" t="s">
        <v>176</v>
      </c>
      <c r="C36" s="66">
        <v>1066973253</v>
      </c>
      <c r="D36" s="67" t="str">
        <f t="shared" si="1"/>
        <v>https://portal.dnb.de/opac.htm?method=simpleSearch&amp;cqlMode=true&amp;query=idn%3D1066973253</v>
      </c>
      <c r="E36" s="66" t="s">
        <v>177</v>
      </c>
      <c r="F36" s="66"/>
      <c r="G36" s="68" t="s">
        <v>89</v>
      </c>
      <c r="H36" s="69" t="s">
        <v>3</v>
      </c>
      <c r="I36" s="68" t="s">
        <v>51</v>
      </c>
      <c r="J36" s="69" t="s">
        <v>55</v>
      </c>
      <c r="K36" s="69" t="s">
        <v>81</v>
      </c>
      <c r="L36" s="68"/>
      <c r="M36" s="68"/>
      <c r="N36" s="68" t="s">
        <v>101</v>
      </c>
      <c r="O36" s="68">
        <v>0</v>
      </c>
      <c r="P36" s="68"/>
      <c r="Q36" s="68"/>
      <c r="R36" s="68"/>
      <c r="S36" s="68"/>
      <c r="Y36" s="84" t="s">
        <v>787</v>
      </c>
      <c r="Z36" s="84"/>
      <c r="AC36" s="84" t="s">
        <v>695</v>
      </c>
      <c r="AI36" s="83" t="s">
        <v>699</v>
      </c>
      <c r="AW36" s="83">
        <v>110</v>
      </c>
      <c r="BC36" s="84" t="s">
        <v>712</v>
      </c>
      <c r="BD36" s="115">
        <f t="shared" si="0"/>
        <v>0</v>
      </c>
      <c r="BR36" s="84"/>
      <c r="BT36" s="84"/>
      <c r="BU36" s="84"/>
      <c r="CC36" s="115"/>
      <c r="CV36" s="115"/>
    </row>
    <row r="37" spans="1:100" ht="22.5" x14ac:dyDescent="0.15">
      <c r="A37" s="68">
        <v>36</v>
      </c>
      <c r="B37" s="66" t="s">
        <v>178</v>
      </c>
      <c r="C37" s="66">
        <v>1066967121</v>
      </c>
      <c r="D37" s="67" t="str">
        <f t="shared" si="1"/>
        <v>https://portal.dnb.de/opac.htm?method=simpleSearch&amp;cqlMode=true&amp;query=idn%3D1066967121</v>
      </c>
      <c r="E37" s="66" t="s">
        <v>179</v>
      </c>
      <c r="F37" s="66"/>
      <c r="G37" s="68" t="s">
        <v>89</v>
      </c>
      <c r="H37" s="69" t="s">
        <v>4</v>
      </c>
      <c r="I37" s="68" t="s">
        <v>50</v>
      </c>
      <c r="J37" s="69" t="s">
        <v>90</v>
      </c>
      <c r="K37" s="69" t="s">
        <v>94</v>
      </c>
      <c r="L37" s="68"/>
      <c r="M37" s="68"/>
      <c r="N37" s="68" t="s">
        <v>101</v>
      </c>
      <c r="O37" s="68">
        <v>0</v>
      </c>
      <c r="P37" s="68"/>
      <c r="Q37" s="68"/>
      <c r="R37" s="68"/>
      <c r="S37" s="68"/>
      <c r="Y37" s="84" t="s">
        <v>782</v>
      </c>
      <c r="Z37" s="84"/>
      <c r="AC37" s="84" t="s">
        <v>696</v>
      </c>
      <c r="AI37" s="83" t="s">
        <v>699</v>
      </c>
      <c r="AW37" s="84" t="s">
        <v>824</v>
      </c>
      <c r="AX37" s="84"/>
      <c r="BC37" s="84" t="s">
        <v>712</v>
      </c>
      <c r="BD37" s="115">
        <f t="shared" si="0"/>
        <v>0</v>
      </c>
      <c r="BR37" s="84"/>
      <c r="BT37" s="84"/>
      <c r="BU37" s="84"/>
      <c r="CC37" s="115"/>
      <c r="CV37" s="115"/>
    </row>
    <row r="38" spans="1:100" ht="33.75" x14ac:dyDescent="0.15">
      <c r="A38" s="68">
        <v>37</v>
      </c>
      <c r="B38" s="66" t="s">
        <v>180</v>
      </c>
      <c r="C38" s="66">
        <v>1066968098</v>
      </c>
      <c r="D38" s="67" t="str">
        <f t="shared" si="1"/>
        <v>https://portal.dnb.de/opac.htm?method=simpleSearch&amp;cqlMode=true&amp;query=idn%3D1066968098</v>
      </c>
      <c r="E38" s="66" t="s">
        <v>181</v>
      </c>
      <c r="F38" s="66"/>
      <c r="G38" s="68" t="s">
        <v>89</v>
      </c>
      <c r="H38" s="69" t="s">
        <v>623</v>
      </c>
      <c r="I38" s="68" t="s">
        <v>50</v>
      </c>
      <c r="J38" s="69" t="s">
        <v>90</v>
      </c>
      <c r="K38" s="69" t="s">
        <v>624</v>
      </c>
      <c r="L38" s="68"/>
      <c r="M38" s="68" t="s">
        <v>35</v>
      </c>
      <c r="N38" s="68" t="s">
        <v>37</v>
      </c>
      <c r="O38" s="68">
        <v>0</v>
      </c>
      <c r="P38" s="68"/>
      <c r="Q38" s="68"/>
      <c r="R38" s="68"/>
      <c r="S38" s="68"/>
      <c r="Y38" s="84" t="s">
        <v>786</v>
      </c>
      <c r="Z38" s="84"/>
      <c r="AC38" s="84" t="s">
        <v>695</v>
      </c>
      <c r="AI38" s="83" t="s">
        <v>699</v>
      </c>
      <c r="AW38" s="84">
        <v>110</v>
      </c>
      <c r="AX38" s="84"/>
      <c r="BC38" s="84" t="s">
        <v>712</v>
      </c>
      <c r="BD38" s="115">
        <f t="shared" si="0"/>
        <v>0</v>
      </c>
      <c r="BF38" s="83" t="s">
        <v>694</v>
      </c>
      <c r="BL38" s="87" t="s">
        <v>708</v>
      </c>
      <c r="BR38" s="84"/>
      <c r="BT38" s="84"/>
      <c r="BU38" s="84"/>
      <c r="CC38" s="115"/>
      <c r="CV38" s="115"/>
    </row>
    <row r="39" spans="1:100" x14ac:dyDescent="0.15">
      <c r="A39" s="68">
        <v>38</v>
      </c>
      <c r="B39" s="66" t="s">
        <v>182</v>
      </c>
      <c r="C39" s="66">
        <v>1066968691</v>
      </c>
      <c r="D39" s="67" t="str">
        <f t="shared" si="1"/>
        <v>https://portal.dnb.de/opac.htm?method=simpleSearch&amp;cqlMode=true&amp;query=idn%3D1066968691</v>
      </c>
      <c r="E39" s="66" t="s">
        <v>183</v>
      </c>
      <c r="F39" s="66"/>
      <c r="G39" s="68" t="s">
        <v>89</v>
      </c>
      <c r="H39" s="69" t="s">
        <v>3</v>
      </c>
      <c r="I39" s="68" t="s">
        <v>50</v>
      </c>
      <c r="J39" s="69" t="s">
        <v>90</v>
      </c>
      <c r="K39" s="69" t="s">
        <v>69</v>
      </c>
      <c r="L39" s="68"/>
      <c r="M39" s="68" t="s">
        <v>35</v>
      </c>
      <c r="N39" s="68" t="s">
        <v>37</v>
      </c>
      <c r="O39" s="68">
        <v>0</v>
      </c>
      <c r="P39" s="68"/>
      <c r="Q39" s="68"/>
      <c r="R39" s="68"/>
      <c r="S39" s="68"/>
      <c r="Y39" s="84" t="s">
        <v>782</v>
      </c>
      <c r="Z39" s="84"/>
      <c r="AC39" s="84" t="s">
        <v>696</v>
      </c>
      <c r="AI39" s="83" t="s">
        <v>699</v>
      </c>
      <c r="AU39" s="83">
        <v>0</v>
      </c>
      <c r="AV39" s="83" t="s">
        <v>625</v>
      </c>
      <c r="AW39" s="84">
        <v>45</v>
      </c>
      <c r="AX39" s="84"/>
      <c r="BC39" s="84" t="s">
        <v>712</v>
      </c>
      <c r="BD39" s="115">
        <f t="shared" si="0"/>
        <v>0</v>
      </c>
      <c r="BF39" s="83" t="s">
        <v>694</v>
      </c>
      <c r="BL39" s="87" t="s">
        <v>709</v>
      </c>
      <c r="BR39" s="84"/>
      <c r="BT39" s="84"/>
      <c r="BU39" s="84"/>
      <c r="CC39" s="115"/>
      <c r="CV39" s="115"/>
    </row>
    <row r="40" spans="1:100" x14ac:dyDescent="0.15">
      <c r="A40" s="68">
        <v>39</v>
      </c>
      <c r="B40" s="66" t="s">
        <v>184</v>
      </c>
      <c r="C40" s="66">
        <v>1072234556</v>
      </c>
      <c r="D40" s="67" t="str">
        <f t="shared" si="1"/>
        <v>https://portal.dnb.de/opac.htm?method=simpleSearch&amp;cqlMode=true&amp;query=idn%3D1072234556</v>
      </c>
      <c r="E40" s="66" t="s">
        <v>185</v>
      </c>
      <c r="F40" s="66"/>
      <c r="G40" s="68" t="s">
        <v>89</v>
      </c>
      <c r="H40" s="69" t="s">
        <v>45</v>
      </c>
      <c r="I40" s="68" t="s">
        <v>50</v>
      </c>
      <c r="J40" s="69" t="s">
        <v>90</v>
      </c>
      <c r="K40" s="69" t="s">
        <v>81</v>
      </c>
      <c r="L40" s="68"/>
      <c r="M40" s="68" t="s">
        <v>35</v>
      </c>
      <c r="N40" s="68" t="s">
        <v>37</v>
      </c>
      <c r="O40" s="68">
        <v>0</v>
      </c>
      <c r="P40" s="68"/>
      <c r="Q40" s="68"/>
      <c r="R40" s="68"/>
      <c r="S40" s="68"/>
      <c r="Y40" s="84" t="s">
        <v>816</v>
      </c>
      <c r="Z40" s="84"/>
      <c r="AC40" s="84" t="s">
        <v>695</v>
      </c>
      <c r="AI40" s="83" t="s">
        <v>699</v>
      </c>
      <c r="AW40" s="84" t="s">
        <v>823</v>
      </c>
      <c r="AX40" s="84"/>
      <c r="BC40" s="84" t="s">
        <v>712</v>
      </c>
      <c r="BD40" s="115">
        <f t="shared" si="0"/>
        <v>0</v>
      </c>
      <c r="BF40" s="83" t="s">
        <v>694</v>
      </c>
      <c r="BL40" s="87" t="s">
        <v>706</v>
      </c>
      <c r="BR40" s="84"/>
      <c r="BT40" s="84"/>
      <c r="BU40" s="84"/>
      <c r="CC40" s="115"/>
      <c r="CV40" s="115"/>
    </row>
    <row r="41" spans="1:100" ht="22.5" x14ac:dyDescent="0.15">
      <c r="A41" s="68">
        <v>40</v>
      </c>
      <c r="B41" s="66" t="s">
        <v>186</v>
      </c>
      <c r="C41" s="66">
        <v>1072234912</v>
      </c>
      <c r="D41" s="67" t="str">
        <f t="shared" si="1"/>
        <v>https://portal.dnb.de/opac.htm?method=simpleSearch&amp;cqlMode=true&amp;query=idn%3D1072234912</v>
      </c>
      <c r="E41" s="66" t="s">
        <v>187</v>
      </c>
      <c r="F41" s="66"/>
      <c r="G41" s="68" t="s">
        <v>89</v>
      </c>
      <c r="H41" s="69" t="s">
        <v>4</v>
      </c>
      <c r="I41" s="68" t="s">
        <v>50</v>
      </c>
      <c r="J41" s="69" t="s">
        <v>55</v>
      </c>
      <c r="K41" s="69" t="s">
        <v>94</v>
      </c>
      <c r="L41" s="68"/>
      <c r="M41" s="68"/>
      <c r="N41" s="68" t="s">
        <v>101</v>
      </c>
      <c r="O41" s="68">
        <v>1</v>
      </c>
      <c r="P41" s="68"/>
      <c r="Q41" s="68"/>
      <c r="R41" s="68"/>
      <c r="S41" s="68"/>
      <c r="Y41" s="84" t="s">
        <v>784</v>
      </c>
      <c r="Z41" s="84"/>
      <c r="AC41" s="84" t="s">
        <v>697</v>
      </c>
      <c r="AI41" s="83" t="s">
        <v>699</v>
      </c>
      <c r="AW41" s="83">
        <v>60</v>
      </c>
      <c r="BC41" s="84" t="s">
        <v>712</v>
      </c>
      <c r="BD41" s="115">
        <f t="shared" si="0"/>
        <v>0</v>
      </c>
      <c r="BR41" s="84"/>
      <c r="BT41" s="84"/>
      <c r="BU41" s="84"/>
      <c r="CC41" s="115"/>
      <c r="CV41" s="115"/>
    </row>
    <row r="42" spans="1:100" x14ac:dyDescent="0.15">
      <c r="A42" s="68">
        <v>41</v>
      </c>
      <c r="B42" s="66" t="s">
        <v>188</v>
      </c>
      <c r="C42" s="66">
        <v>1066972796</v>
      </c>
      <c r="D42" s="67" t="str">
        <f t="shared" si="1"/>
        <v>https://portal.dnb.de/opac.htm?method=simpleSearch&amp;cqlMode=true&amp;query=idn%3D1066972796</v>
      </c>
      <c r="E42" s="66" t="s">
        <v>189</v>
      </c>
      <c r="F42" s="66"/>
      <c r="G42" s="68" t="s">
        <v>89</v>
      </c>
      <c r="H42" s="69" t="s">
        <v>17</v>
      </c>
      <c r="I42" s="68" t="s">
        <v>50</v>
      </c>
      <c r="J42" s="69" t="s">
        <v>55</v>
      </c>
      <c r="K42" s="69"/>
      <c r="L42" s="68"/>
      <c r="M42" s="68"/>
      <c r="N42" s="68" t="s">
        <v>101</v>
      </c>
      <c r="O42" s="68">
        <v>0</v>
      </c>
      <c r="P42" s="68"/>
      <c r="Q42" s="68"/>
      <c r="R42" s="68"/>
      <c r="S42" s="68"/>
      <c r="Y42" s="84" t="s">
        <v>699</v>
      </c>
      <c r="Z42" s="84"/>
      <c r="AC42" s="84" t="s">
        <v>695</v>
      </c>
      <c r="AI42" s="83" t="s">
        <v>699</v>
      </c>
      <c r="AW42" s="83">
        <v>180</v>
      </c>
      <c r="BC42" s="84" t="s">
        <v>712</v>
      </c>
      <c r="BD42" s="115">
        <f t="shared" si="0"/>
        <v>0</v>
      </c>
      <c r="BR42" s="84"/>
      <c r="BT42" s="84"/>
      <c r="BU42" s="84"/>
      <c r="CC42" s="115"/>
      <c r="CV42" s="115"/>
    </row>
    <row r="43" spans="1:100" x14ac:dyDescent="0.15">
      <c r="A43" s="68">
        <v>42</v>
      </c>
      <c r="B43" s="66" t="s">
        <v>190</v>
      </c>
      <c r="C43" s="66" t="s">
        <v>191</v>
      </c>
      <c r="D43" s="67" t="str">
        <f t="shared" si="1"/>
        <v>https://portal.dnb.de/opac.htm?method=simpleSearch&amp;cqlMode=true&amp;query=idn%3D106697229X</v>
      </c>
      <c r="E43" s="66" t="s">
        <v>192</v>
      </c>
      <c r="F43" s="66"/>
      <c r="G43" s="68" t="s">
        <v>89</v>
      </c>
      <c r="H43" s="69" t="s">
        <v>17</v>
      </c>
      <c r="I43" s="68" t="s">
        <v>50</v>
      </c>
      <c r="J43" s="69" t="s">
        <v>55</v>
      </c>
      <c r="K43" s="69"/>
      <c r="L43" s="68"/>
      <c r="M43" s="68"/>
      <c r="N43" s="68"/>
      <c r="O43" s="68">
        <v>0</v>
      </c>
      <c r="P43" s="68"/>
      <c r="Q43" s="68"/>
      <c r="R43" s="68"/>
      <c r="S43" s="68"/>
      <c r="Y43" s="84" t="s">
        <v>699</v>
      </c>
      <c r="Z43" s="84"/>
      <c r="AC43" s="84" t="s">
        <v>695</v>
      </c>
      <c r="AI43" s="83" t="s">
        <v>699</v>
      </c>
      <c r="AW43" s="83">
        <v>180</v>
      </c>
      <c r="BC43" s="84" t="s">
        <v>712</v>
      </c>
      <c r="BD43" s="115">
        <f t="shared" si="0"/>
        <v>0</v>
      </c>
      <c r="BR43" s="84"/>
      <c r="BT43" s="84"/>
      <c r="BU43" s="84"/>
      <c r="CC43" s="115"/>
      <c r="CV43" s="115"/>
    </row>
    <row r="44" spans="1:100" x14ac:dyDescent="0.15">
      <c r="A44" s="68">
        <v>43</v>
      </c>
      <c r="B44" s="66" t="s">
        <v>193</v>
      </c>
      <c r="C44" s="66">
        <v>1072239671</v>
      </c>
      <c r="D44" s="67" t="str">
        <f t="shared" si="1"/>
        <v>https://portal.dnb.de/opac.htm?method=simpleSearch&amp;cqlMode=true&amp;query=idn%3D1072239671</v>
      </c>
      <c r="E44" s="66" t="s">
        <v>194</v>
      </c>
      <c r="F44" s="66"/>
      <c r="G44" s="68" t="s">
        <v>89</v>
      </c>
      <c r="H44" s="69" t="s">
        <v>17</v>
      </c>
      <c r="I44" s="68" t="s">
        <v>50</v>
      </c>
      <c r="J44" s="69" t="s">
        <v>55</v>
      </c>
      <c r="K44" s="69" t="s">
        <v>81</v>
      </c>
      <c r="L44" s="68"/>
      <c r="M44" s="68"/>
      <c r="N44" s="68" t="s">
        <v>101</v>
      </c>
      <c r="O44" s="68">
        <v>0</v>
      </c>
      <c r="P44" s="68"/>
      <c r="Q44" s="68"/>
      <c r="R44" s="68"/>
      <c r="S44" s="68"/>
      <c r="Y44" s="84" t="s">
        <v>699</v>
      </c>
      <c r="Z44" s="84"/>
      <c r="AC44" s="84" t="s">
        <v>695</v>
      </c>
      <c r="AI44" s="83" t="s">
        <v>699</v>
      </c>
      <c r="AS44" s="83" t="s">
        <v>692</v>
      </c>
      <c r="AT44" s="83" t="s">
        <v>625</v>
      </c>
      <c r="AW44" s="83">
        <v>180</v>
      </c>
      <c r="BC44" s="84" t="s">
        <v>712</v>
      </c>
      <c r="BD44" s="115">
        <f t="shared" si="0"/>
        <v>0</v>
      </c>
      <c r="BR44" s="84"/>
      <c r="BT44" s="84"/>
      <c r="BU44" s="84"/>
      <c r="CC44" s="115"/>
      <c r="CV44" s="115"/>
    </row>
    <row r="45" spans="1:100" x14ac:dyDescent="0.15">
      <c r="A45" s="68">
        <v>44</v>
      </c>
      <c r="B45" s="66" t="s">
        <v>195</v>
      </c>
      <c r="C45" s="66">
        <v>1066970564</v>
      </c>
      <c r="D45" s="67" t="str">
        <f t="shared" si="1"/>
        <v>https://portal.dnb.de/opac.htm?method=simpleSearch&amp;cqlMode=true&amp;query=idn%3D1066970564</v>
      </c>
      <c r="E45" s="66" t="s">
        <v>196</v>
      </c>
      <c r="F45" s="66"/>
      <c r="G45" s="68" t="s">
        <v>89</v>
      </c>
      <c r="H45" s="69" t="s">
        <v>16</v>
      </c>
      <c r="I45" s="68" t="s">
        <v>50</v>
      </c>
      <c r="J45" s="69" t="s">
        <v>55</v>
      </c>
      <c r="K45" s="69"/>
      <c r="L45" s="68"/>
      <c r="M45" s="68"/>
      <c r="N45" s="68" t="s">
        <v>101</v>
      </c>
      <c r="O45" s="68">
        <v>1</v>
      </c>
      <c r="P45" s="68"/>
      <c r="Q45" s="68"/>
      <c r="R45" s="68"/>
      <c r="S45" s="68"/>
      <c r="Y45" s="84" t="s">
        <v>781</v>
      </c>
      <c r="Z45" s="84"/>
      <c r="AC45" s="84" t="s">
        <v>696</v>
      </c>
      <c r="AI45" s="83" t="s">
        <v>699</v>
      </c>
      <c r="AS45" s="83" t="s">
        <v>692</v>
      </c>
      <c r="AT45" s="83" t="s">
        <v>625</v>
      </c>
      <c r="AW45" s="83">
        <v>110</v>
      </c>
      <c r="BC45" s="84" t="s">
        <v>712</v>
      </c>
      <c r="BD45" s="115">
        <f t="shared" si="0"/>
        <v>0</v>
      </c>
      <c r="BR45" s="84"/>
      <c r="BT45" s="84"/>
      <c r="BU45" s="84"/>
      <c r="CC45" s="115"/>
      <c r="CV45" s="115"/>
    </row>
    <row r="46" spans="1:100" x14ac:dyDescent="0.15">
      <c r="A46" s="68">
        <v>45</v>
      </c>
      <c r="B46" s="66" t="s">
        <v>197</v>
      </c>
      <c r="C46" s="66">
        <v>1070954241</v>
      </c>
      <c r="D46" s="67" t="str">
        <f t="shared" si="1"/>
        <v>https://portal.dnb.de/opac.htm?method=simpleSearch&amp;cqlMode=true&amp;query=idn%3D1070954241</v>
      </c>
      <c r="E46" s="66" t="s">
        <v>198</v>
      </c>
      <c r="F46" s="66"/>
      <c r="G46" s="68"/>
      <c r="H46" s="69"/>
      <c r="I46" s="68"/>
      <c r="J46" s="69"/>
      <c r="K46" s="69"/>
      <c r="L46" s="68"/>
      <c r="M46" s="68"/>
      <c r="N46" s="68"/>
      <c r="O46" s="68"/>
      <c r="P46" s="68"/>
      <c r="Q46" s="68"/>
      <c r="R46" s="68"/>
      <c r="S46" s="68"/>
      <c r="Y46" s="84"/>
      <c r="Z46" s="84"/>
      <c r="AC46" s="84"/>
      <c r="BD46" s="115">
        <f t="shared" si="0"/>
        <v>0</v>
      </c>
      <c r="BR46" s="84"/>
      <c r="BT46" s="84"/>
      <c r="BU46" s="84"/>
      <c r="CC46" s="115"/>
      <c r="CV46" s="115"/>
    </row>
    <row r="47" spans="1:100" x14ac:dyDescent="0.15">
      <c r="A47" s="68">
        <v>46</v>
      </c>
      <c r="B47" s="66" t="s">
        <v>199</v>
      </c>
      <c r="C47" s="66">
        <v>1066967423</v>
      </c>
      <c r="D47" s="67" t="str">
        <f t="shared" si="1"/>
        <v>https://portal.dnb.de/opac.htm?method=simpleSearch&amp;cqlMode=true&amp;query=idn%3D1066967423</v>
      </c>
      <c r="E47" s="66" t="s">
        <v>200</v>
      </c>
      <c r="F47" s="66"/>
      <c r="G47" s="68" t="s">
        <v>625</v>
      </c>
      <c r="H47" s="69" t="s">
        <v>17</v>
      </c>
      <c r="I47" s="68" t="s">
        <v>50</v>
      </c>
      <c r="J47" s="69" t="s">
        <v>55</v>
      </c>
      <c r="K47" s="69" t="s">
        <v>81</v>
      </c>
      <c r="L47" s="68"/>
      <c r="M47" s="68"/>
      <c r="N47" s="68" t="s">
        <v>101</v>
      </c>
      <c r="O47" s="68">
        <v>0</v>
      </c>
      <c r="P47" s="68"/>
      <c r="Q47" s="68"/>
      <c r="R47" s="68"/>
      <c r="S47" s="68"/>
      <c r="Y47" s="84" t="s">
        <v>699</v>
      </c>
      <c r="Z47" s="84"/>
      <c r="AC47" s="84" t="s">
        <v>695</v>
      </c>
      <c r="AI47" s="83" t="s">
        <v>699</v>
      </c>
      <c r="AW47" s="83">
        <v>180</v>
      </c>
      <c r="BC47" s="84" t="s">
        <v>712</v>
      </c>
      <c r="BD47" s="115">
        <f t="shared" si="0"/>
        <v>0</v>
      </c>
      <c r="BR47" s="84"/>
      <c r="BT47" s="84"/>
      <c r="BU47" s="84"/>
      <c r="CC47" s="115"/>
      <c r="CV47" s="115"/>
    </row>
    <row r="48" spans="1:100" x14ac:dyDescent="0.15">
      <c r="A48" s="68">
        <v>47</v>
      </c>
      <c r="B48" s="66" t="s">
        <v>201</v>
      </c>
      <c r="C48" s="66">
        <v>1066971382</v>
      </c>
      <c r="D48" s="67" t="str">
        <f t="shared" si="1"/>
        <v>https://portal.dnb.de/opac.htm?method=simpleSearch&amp;cqlMode=true&amp;query=idn%3D1066971382</v>
      </c>
      <c r="E48" s="66" t="s">
        <v>202</v>
      </c>
      <c r="F48" s="66"/>
      <c r="G48" s="68" t="s">
        <v>625</v>
      </c>
      <c r="H48" s="69" t="s">
        <v>17</v>
      </c>
      <c r="I48" s="68" t="s">
        <v>50</v>
      </c>
      <c r="J48" s="69" t="s">
        <v>55</v>
      </c>
      <c r="K48" s="69" t="s">
        <v>81</v>
      </c>
      <c r="L48" s="68"/>
      <c r="M48" s="68"/>
      <c r="N48" s="68" t="s">
        <v>101</v>
      </c>
      <c r="O48" s="68">
        <v>0</v>
      </c>
      <c r="P48" s="68"/>
      <c r="Q48" s="68"/>
      <c r="R48" s="68"/>
      <c r="S48" s="68"/>
      <c r="Y48" s="84" t="s">
        <v>699</v>
      </c>
      <c r="Z48" s="84"/>
      <c r="AC48" s="84" t="s">
        <v>695</v>
      </c>
      <c r="AI48" s="83" t="s">
        <v>699</v>
      </c>
      <c r="AS48" s="83" t="s">
        <v>692</v>
      </c>
      <c r="AT48" s="83" t="s">
        <v>625</v>
      </c>
      <c r="AW48" s="83">
        <v>180</v>
      </c>
      <c r="BC48" s="84" t="s">
        <v>712</v>
      </c>
      <c r="BD48" s="115">
        <f t="shared" si="0"/>
        <v>0</v>
      </c>
      <c r="BR48" s="84"/>
      <c r="BT48" s="84"/>
      <c r="BU48" s="84"/>
      <c r="CC48" s="115"/>
      <c r="CV48" s="115"/>
    </row>
    <row r="49" spans="1:101" ht="22.5" x14ac:dyDescent="0.15">
      <c r="A49" s="68">
        <v>48</v>
      </c>
      <c r="B49" s="66" t="s">
        <v>203</v>
      </c>
      <c r="C49" s="66">
        <v>1066965951</v>
      </c>
      <c r="D49" s="67" t="str">
        <f t="shared" si="1"/>
        <v>https://portal.dnb.de/opac.htm?method=simpleSearch&amp;cqlMode=true&amp;query=idn%3D1066965951</v>
      </c>
      <c r="E49" s="66" t="s">
        <v>204</v>
      </c>
      <c r="F49" s="66"/>
      <c r="G49" s="68"/>
      <c r="H49" s="69" t="s">
        <v>17</v>
      </c>
      <c r="I49" s="68" t="s">
        <v>50</v>
      </c>
      <c r="J49" s="69" t="s">
        <v>55</v>
      </c>
      <c r="K49" s="69" t="s">
        <v>626</v>
      </c>
      <c r="L49" s="68" t="s">
        <v>67</v>
      </c>
      <c r="M49" s="68" t="s">
        <v>33</v>
      </c>
      <c r="N49" s="68" t="s">
        <v>36</v>
      </c>
      <c r="O49" s="68">
        <v>0</v>
      </c>
      <c r="P49" s="68"/>
      <c r="Q49" s="68"/>
      <c r="R49" s="68"/>
      <c r="S49" s="68"/>
      <c r="Y49" s="84" t="s">
        <v>699</v>
      </c>
      <c r="Z49" s="84"/>
      <c r="AB49" s="83" t="s">
        <v>625</v>
      </c>
      <c r="AC49" s="84" t="s">
        <v>695</v>
      </c>
      <c r="AI49" s="83" t="s">
        <v>699</v>
      </c>
      <c r="AS49" s="83" t="s">
        <v>692</v>
      </c>
      <c r="AT49" s="83" t="s">
        <v>625</v>
      </c>
      <c r="AW49" s="83">
        <v>110</v>
      </c>
      <c r="BC49" s="84" t="s">
        <v>712</v>
      </c>
      <c r="BD49" s="115">
        <f t="shared" si="0"/>
        <v>0</v>
      </c>
      <c r="BR49" s="84"/>
      <c r="BT49" s="84"/>
      <c r="BU49" s="84"/>
      <c r="CC49" s="115"/>
      <c r="CV49" s="115"/>
    </row>
    <row r="50" spans="1:101" x14ac:dyDescent="0.15">
      <c r="A50" s="68">
        <v>49</v>
      </c>
      <c r="B50" s="66" t="s">
        <v>205</v>
      </c>
      <c r="C50" s="66">
        <v>1066971331</v>
      </c>
      <c r="D50" s="67" t="str">
        <f t="shared" si="1"/>
        <v>https://portal.dnb.de/opac.htm?method=simpleSearch&amp;cqlMode=true&amp;query=idn%3D1066971331</v>
      </c>
      <c r="E50" s="66" t="s">
        <v>206</v>
      </c>
      <c r="F50" s="66"/>
      <c r="G50" s="68" t="s">
        <v>625</v>
      </c>
      <c r="H50" s="69" t="s">
        <v>46</v>
      </c>
      <c r="I50" s="68" t="s">
        <v>51</v>
      </c>
      <c r="J50" s="69" t="s">
        <v>90</v>
      </c>
      <c r="K50" s="69" t="s">
        <v>81</v>
      </c>
      <c r="L50" s="68"/>
      <c r="M50" s="68"/>
      <c r="N50" s="68"/>
      <c r="O50" s="68">
        <v>0</v>
      </c>
      <c r="P50" s="68"/>
      <c r="Q50" s="68"/>
      <c r="R50" s="68"/>
      <c r="S50" s="68"/>
      <c r="Y50" s="84" t="s">
        <v>787</v>
      </c>
      <c r="Z50" s="84"/>
      <c r="AC50" s="84" t="s">
        <v>695</v>
      </c>
      <c r="AI50" s="83" t="s">
        <v>699</v>
      </c>
      <c r="AW50" s="84">
        <v>110</v>
      </c>
      <c r="AX50" s="84"/>
      <c r="BC50" s="84" t="s">
        <v>712</v>
      </c>
      <c r="BD50" s="115">
        <f t="shared" si="0"/>
        <v>0</v>
      </c>
      <c r="BR50" s="84"/>
      <c r="BT50" s="84"/>
      <c r="BU50" s="84"/>
      <c r="CC50" s="115"/>
      <c r="CV50" s="115"/>
    </row>
    <row r="51" spans="1:101" x14ac:dyDescent="0.15">
      <c r="A51" s="68">
        <v>50</v>
      </c>
      <c r="B51" s="66" t="s">
        <v>207</v>
      </c>
      <c r="C51" s="66" t="s">
        <v>208</v>
      </c>
      <c r="D51" s="67" t="str">
        <f t="shared" si="1"/>
        <v>https://portal.dnb.de/opac.htm?method=simpleSearch&amp;cqlMode=true&amp;query=idn%3D107224005X</v>
      </c>
      <c r="E51" s="66" t="s">
        <v>209</v>
      </c>
      <c r="F51" s="66"/>
      <c r="G51" s="68" t="s">
        <v>625</v>
      </c>
      <c r="H51" s="69" t="s">
        <v>46</v>
      </c>
      <c r="I51" s="68" t="s">
        <v>51</v>
      </c>
      <c r="J51" s="69" t="s">
        <v>90</v>
      </c>
      <c r="K51" s="69" t="s">
        <v>81</v>
      </c>
      <c r="L51" s="68"/>
      <c r="M51" s="68"/>
      <c r="N51" s="68"/>
      <c r="O51" s="68">
        <v>0</v>
      </c>
      <c r="P51" s="68"/>
      <c r="Q51" s="68"/>
      <c r="R51" s="68"/>
      <c r="S51" s="68"/>
      <c r="Y51" s="84" t="s">
        <v>787</v>
      </c>
      <c r="Z51" s="84"/>
      <c r="AC51" s="84" t="s">
        <v>695</v>
      </c>
      <c r="AI51" s="83" t="s">
        <v>699</v>
      </c>
      <c r="AW51" s="84">
        <v>110</v>
      </c>
      <c r="AX51" s="84"/>
      <c r="BC51" s="84" t="s">
        <v>712</v>
      </c>
      <c r="BD51" s="115">
        <f t="shared" si="0"/>
        <v>0</v>
      </c>
      <c r="BR51" s="84"/>
      <c r="BT51" s="84"/>
      <c r="BU51" s="84"/>
      <c r="CC51" s="115"/>
      <c r="CV51" s="115"/>
    </row>
    <row r="52" spans="1:101" ht="33.75" x14ac:dyDescent="0.15">
      <c r="A52" s="68">
        <v>51</v>
      </c>
      <c r="B52" s="66" t="s">
        <v>210</v>
      </c>
      <c r="C52" s="66">
        <v>1066972737</v>
      </c>
      <c r="D52" s="67" t="str">
        <f t="shared" si="1"/>
        <v>https://portal.dnb.de/opac.htm?method=simpleSearch&amp;cqlMode=true&amp;query=idn%3D1066972737</v>
      </c>
      <c r="E52" s="66" t="s">
        <v>211</v>
      </c>
      <c r="F52" s="66"/>
      <c r="G52" s="68" t="s">
        <v>625</v>
      </c>
      <c r="H52" s="69" t="s">
        <v>620</v>
      </c>
      <c r="I52" s="68" t="s">
        <v>51</v>
      </c>
      <c r="J52" s="69" t="s">
        <v>86</v>
      </c>
      <c r="K52" s="69" t="s">
        <v>60</v>
      </c>
      <c r="L52" s="68" t="s">
        <v>67</v>
      </c>
      <c r="M52" s="68" t="s">
        <v>35</v>
      </c>
      <c r="N52" s="68" t="s">
        <v>37</v>
      </c>
      <c r="O52" s="68">
        <v>0</v>
      </c>
      <c r="P52" s="68"/>
      <c r="Q52" s="68"/>
      <c r="R52" s="68"/>
      <c r="S52" s="68"/>
      <c r="Y52" s="84" t="s">
        <v>782</v>
      </c>
      <c r="Z52" s="84"/>
      <c r="AC52" s="84" t="s">
        <v>696</v>
      </c>
      <c r="AI52" s="83" t="s">
        <v>699</v>
      </c>
      <c r="AW52" s="84">
        <v>110</v>
      </c>
      <c r="AX52" s="84"/>
      <c r="BC52" s="84" t="s">
        <v>712</v>
      </c>
      <c r="BD52" s="115">
        <f t="shared" si="0"/>
        <v>0</v>
      </c>
      <c r="BF52" s="83" t="s">
        <v>694</v>
      </c>
      <c r="BL52" s="87" t="s">
        <v>710</v>
      </c>
      <c r="BR52" s="84"/>
      <c r="BT52" s="84"/>
      <c r="BU52" s="84"/>
      <c r="CC52" s="115"/>
      <c r="CV52" s="115"/>
    </row>
    <row r="53" spans="1:101" ht="33.75" x14ac:dyDescent="0.15">
      <c r="A53" s="68">
        <v>52</v>
      </c>
      <c r="B53" s="66" t="s">
        <v>212</v>
      </c>
      <c r="C53" s="66">
        <v>1066966834</v>
      </c>
      <c r="D53" s="67" t="str">
        <f t="shared" si="1"/>
        <v>https://portal.dnb.de/opac.htm?method=simpleSearch&amp;cqlMode=true&amp;query=idn%3D1066966834</v>
      </c>
      <c r="E53" s="66" t="s">
        <v>213</v>
      </c>
      <c r="F53" s="66"/>
      <c r="G53" s="68" t="s">
        <v>89</v>
      </c>
      <c r="H53" s="69" t="s">
        <v>17</v>
      </c>
      <c r="I53" s="68" t="s">
        <v>51</v>
      </c>
      <c r="J53" s="69" t="s">
        <v>55</v>
      </c>
      <c r="K53" s="69" t="s">
        <v>659</v>
      </c>
      <c r="L53" s="68" t="s">
        <v>67</v>
      </c>
      <c r="M53" s="68"/>
      <c r="N53" s="68"/>
      <c r="O53" s="68">
        <v>1</v>
      </c>
      <c r="P53" s="68"/>
      <c r="Q53" s="68" t="s">
        <v>660</v>
      </c>
      <c r="R53" s="68"/>
      <c r="S53" s="68"/>
      <c r="Y53" s="84" t="s">
        <v>787</v>
      </c>
      <c r="Z53" s="84"/>
      <c r="AC53" s="84" t="s">
        <v>695</v>
      </c>
      <c r="AI53" s="83" t="s">
        <v>699</v>
      </c>
      <c r="AS53" s="83" t="s">
        <v>692</v>
      </c>
      <c r="AT53" s="83" t="s">
        <v>625</v>
      </c>
      <c r="AW53" s="84" t="s">
        <v>825</v>
      </c>
      <c r="AX53" s="84"/>
      <c r="BC53" s="84" t="s">
        <v>712</v>
      </c>
      <c r="BD53" s="115">
        <f t="shared" si="0"/>
        <v>0</v>
      </c>
      <c r="BR53" s="84"/>
      <c r="BT53" s="84"/>
      <c r="BU53" s="84"/>
      <c r="CC53" s="115"/>
      <c r="CV53" s="115"/>
    </row>
    <row r="54" spans="1:101" ht="22.5" x14ac:dyDescent="0.15">
      <c r="A54" s="68">
        <v>53</v>
      </c>
      <c r="B54" s="66" t="s">
        <v>214</v>
      </c>
      <c r="C54" s="66">
        <v>1066972273</v>
      </c>
      <c r="D54" s="67" t="str">
        <f t="shared" si="1"/>
        <v>https://portal.dnb.de/opac.htm?method=simpleSearch&amp;cqlMode=true&amp;query=idn%3D1066972273</v>
      </c>
      <c r="E54" s="66" t="s">
        <v>215</v>
      </c>
      <c r="F54" s="66"/>
      <c r="G54" s="68" t="s">
        <v>89</v>
      </c>
      <c r="H54" s="69" t="s">
        <v>620</v>
      </c>
      <c r="I54" s="68" t="s">
        <v>51</v>
      </c>
      <c r="J54" s="69" t="s">
        <v>86</v>
      </c>
      <c r="K54" s="69" t="s">
        <v>60</v>
      </c>
      <c r="L54" s="68" t="s">
        <v>67</v>
      </c>
      <c r="M54" s="68" t="s">
        <v>35</v>
      </c>
      <c r="N54" s="68" t="s">
        <v>37</v>
      </c>
      <c r="O54" s="68">
        <v>0</v>
      </c>
      <c r="P54" s="68"/>
      <c r="Q54" s="68"/>
      <c r="R54" s="68"/>
      <c r="S54" s="68"/>
      <c r="Y54" s="84" t="s">
        <v>782</v>
      </c>
      <c r="Z54" s="84"/>
      <c r="AC54" s="84" t="s">
        <v>696</v>
      </c>
      <c r="AI54" s="83" t="s">
        <v>699</v>
      </c>
      <c r="AW54" s="84">
        <v>110</v>
      </c>
      <c r="AX54" s="84"/>
      <c r="BC54" s="84" t="s">
        <v>712</v>
      </c>
      <c r="BD54" s="115">
        <f t="shared" si="0"/>
        <v>0</v>
      </c>
      <c r="BF54" s="83" t="s">
        <v>694</v>
      </c>
      <c r="BL54" s="87" t="s">
        <v>708</v>
      </c>
      <c r="BR54" s="84"/>
      <c r="BT54" s="84"/>
      <c r="BU54" s="84"/>
      <c r="CC54" s="115"/>
      <c r="CV54" s="115"/>
    </row>
    <row r="55" spans="1:101" ht="33.75" x14ac:dyDescent="0.15">
      <c r="A55" s="68">
        <v>54</v>
      </c>
      <c r="B55" s="66" t="s">
        <v>216</v>
      </c>
      <c r="C55" s="66">
        <v>1066971498</v>
      </c>
      <c r="D55" s="67" t="str">
        <f t="shared" si="1"/>
        <v>https://portal.dnb.de/opac.htm?method=simpleSearch&amp;cqlMode=true&amp;query=idn%3D1066971498</v>
      </c>
      <c r="E55" s="66" t="s">
        <v>217</v>
      </c>
      <c r="F55" s="66"/>
      <c r="G55" s="68"/>
      <c r="H55" s="69" t="s">
        <v>620</v>
      </c>
      <c r="I55" s="68" t="s">
        <v>51</v>
      </c>
      <c r="J55" s="69" t="s">
        <v>86</v>
      </c>
      <c r="K55" s="69" t="s">
        <v>627</v>
      </c>
      <c r="L55" s="68" t="s">
        <v>67</v>
      </c>
      <c r="M55" s="68"/>
      <c r="N55" s="68" t="s">
        <v>101</v>
      </c>
      <c r="O55" s="68">
        <v>0</v>
      </c>
      <c r="P55" s="68"/>
      <c r="Q55" s="68"/>
      <c r="R55" s="68"/>
      <c r="S55" s="68"/>
      <c r="Y55" s="84" t="s">
        <v>782</v>
      </c>
      <c r="Z55" s="84"/>
      <c r="AC55" s="84" t="s">
        <v>696</v>
      </c>
      <c r="AI55" s="83" t="s">
        <v>699</v>
      </c>
      <c r="AW55" s="84" t="s">
        <v>824</v>
      </c>
      <c r="AX55" s="84"/>
      <c r="BC55" s="84" t="s">
        <v>712</v>
      </c>
      <c r="BD55" s="115">
        <f t="shared" si="0"/>
        <v>0</v>
      </c>
      <c r="BR55" s="84"/>
      <c r="BT55" s="84"/>
      <c r="BU55" s="84"/>
      <c r="CC55" s="115"/>
      <c r="CV55" s="115"/>
    </row>
    <row r="56" spans="1:101" ht="33.75" x14ac:dyDescent="0.15">
      <c r="A56" s="68">
        <v>55</v>
      </c>
      <c r="B56" s="66" t="s">
        <v>218</v>
      </c>
      <c r="C56" s="66">
        <v>1066971498</v>
      </c>
      <c r="D56" s="67" t="str">
        <f t="shared" si="1"/>
        <v>https://portal.dnb.de/opac.htm?method=simpleSearch&amp;cqlMode=true&amp;query=idn%3D1066971498</v>
      </c>
      <c r="E56" s="66" t="s">
        <v>219</v>
      </c>
      <c r="F56" s="66"/>
      <c r="G56" s="68" t="s">
        <v>625</v>
      </c>
      <c r="H56" s="69" t="s">
        <v>620</v>
      </c>
      <c r="I56" s="68" t="s">
        <v>51</v>
      </c>
      <c r="J56" s="69" t="s">
        <v>90</v>
      </c>
      <c r="K56" s="69" t="s">
        <v>628</v>
      </c>
      <c r="L56" s="68" t="s">
        <v>67</v>
      </c>
      <c r="M56" s="68"/>
      <c r="N56" s="68"/>
      <c r="O56" s="68">
        <v>3</v>
      </c>
      <c r="P56" s="68"/>
      <c r="Q56" s="68"/>
      <c r="R56" s="68"/>
      <c r="S56" s="68"/>
      <c r="Y56" s="84" t="s">
        <v>782</v>
      </c>
      <c r="Z56" s="84"/>
      <c r="AC56" s="84" t="s">
        <v>696</v>
      </c>
      <c r="AI56" s="83" t="s">
        <v>699</v>
      </c>
      <c r="AS56" s="83" t="s">
        <v>692</v>
      </c>
      <c r="AT56" s="83" t="s">
        <v>625</v>
      </c>
      <c r="AW56" s="84">
        <v>110</v>
      </c>
      <c r="AX56" s="84"/>
      <c r="BC56" s="84" t="s">
        <v>700</v>
      </c>
      <c r="BD56" s="115">
        <f t="shared" si="0"/>
        <v>2</v>
      </c>
      <c r="BR56" s="84" t="s">
        <v>625</v>
      </c>
      <c r="BT56" s="84"/>
      <c r="BU56" s="84"/>
      <c r="CC56" s="115">
        <v>0.5</v>
      </c>
      <c r="CJ56" s="83" t="s">
        <v>625</v>
      </c>
      <c r="CN56" s="83" t="s">
        <v>625</v>
      </c>
      <c r="CV56" s="115">
        <v>1.5</v>
      </c>
    </row>
    <row r="57" spans="1:101" x14ac:dyDescent="0.15">
      <c r="A57" s="68">
        <v>56</v>
      </c>
      <c r="B57" s="66" t="s">
        <v>220</v>
      </c>
      <c r="C57" s="66">
        <v>1066972141</v>
      </c>
      <c r="D57" s="67" t="str">
        <f t="shared" si="1"/>
        <v>https://portal.dnb.de/opac.htm?method=simpleSearch&amp;cqlMode=true&amp;query=idn%3D1066972141</v>
      </c>
      <c r="E57" s="66" t="s">
        <v>221</v>
      </c>
      <c r="F57" s="66" t="s">
        <v>918</v>
      </c>
      <c r="G57" s="68"/>
      <c r="H57" s="69"/>
      <c r="I57" s="68"/>
      <c r="J57" s="69"/>
      <c r="K57" s="69"/>
      <c r="L57" s="68"/>
      <c r="M57" s="68" t="s">
        <v>35</v>
      </c>
      <c r="N57" s="68" t="s">
        <v>37</v>
      </c>
      <c r="O57" s="68"/>
      <c r="P57" s="68"/>
      <c r="Q57" s="68" t="s">
        <v>639</v>
      </c>
      <c r="R57" s="68"/>
      <c r="S57" s="68"/>
      <c r="T57" s="83" t="s">
        <v>832</v>
      </c>
      <c r="Y57" s="84"/>
      <c r="Z57" s="84"/>
      <c r="AC57" s="84"/>
      <c r="BD57" s="115">
        <f t="shared" si="0"/>
        <v>0</v>
      </c>
      <c r="BF57" s="83" t="s">
        <v>694</v>
      </c>
      <c r="BR57" s="84"/>
      <c r="BT57" s="84"/>
      <c r="BU57" s="84"/>
      <c r="CC57" s="115"/>
      <c r="CV57" s="115"/>
    </row>
    <row r="58" spans="1:101" ht="33.75" x14ac:dyDescent="0.15">
      <c r="A58" s="68">
        <v>57</v>
      </c>
      <c r="B58" s="66" t="s">
        <v>222</v>
      </c>
      <c r="C58" s="66">
        <v>1066957290</v>
      </c>
      <c r="D58" s="67" t="str">
        <f t="shared" si="1"/>
        <v>https://portal.dnb.de/opac.htm?method=simpleSearch&amp;cqlMode=true&amp;query=idn%3D1066957290</v>
      </c>
      <c r="E58" s="66" t="s">
        <v>223</v>
      </c>
      <c r="F58" s="66"/>
      <c r="G58" s="68" t="s">
        <v>89</v>
      </c>
      <c r="H58" s="69" t="s">
        <v>4</v>
      </c>
      <c r="I58" s="68" t="s">
        <v>53</v>
      </c>
      <c r="J58" s="69" t="s">
        <v>90</v>
      </c>
      <c r="K58" s="69" t="s">
        <v>640</v>
      </c>
      <c r="L58" s="68" t="s">
        <v>67</v>
      </c>
      <c r="M58" s="68"/>
      <c r="N58" s="68"/>
      <c r="O58" s="68">
        <v>3</v>
      </c>
      <c r="P58" s="68"/>
      <c r="Q58" s="68"/>
      <c r="R58" s="68"/>
      <c r="S58" s="68"/>
      <c r="Y58" s="84" t="s">
        <v>784</v>
      </c>
      <c r="Z58" s="84"/>
      <c r="AC58" s="84" t="s">
        <v>795</v>
      </c>
      <c r="AI58" s="83" t="s">
        <v>699</v>
      </c>
      <c r="AS58" s="83" t="s">
        <v>843</v>
      </c>
      <c r="AT58" s="83" t="s">
        <v>847</v>
      </c>
      <c r="AW58" s="83">
        <v>110</v>
      </c>
      <c r="BC58" s="84" t="s">
        <v>712</v>
      </c>
      <c r="BD58" s="115">
        <f t="shared" si="0"/>
        <v>0</v>
      </c>
      <c r="BR58" s="84"/>
      <c r="BT58" s="84"/>
      <c r="BU58" s="84"/>
      <c r="CC58" s="115"/>
      <c r="CV58" s="115"/>
    </row>
    <row r="59" spans="1:101" ht="22.5" x14ac:dyDescent="0.15">
      <c r="A59" s="68">
        <v>58</v>
      </c>
      <c r="B59" s="66" t="s">
        <v>224</v>
      </c>
      <c r="C59" s="66">
        <v>1066964505</v>
      </c>
      <c r="D59" s="67" t="str">
        <f t="shared" si="1"/>
        <v>https://portal.dnb.de/opac.htm?method=simpleSearch&amp;cqlMode=true&amp;query=idn%3D1066964505</v>
      </c>
      <c r="E59" s="66" t="s">
        <v>641</v>
      </c>
      <c r="F59" s="66"/>
      <c r="G59" s="68" t="s">
        <v>89</v>
      </c>
      <c r="H59" s="69" t="s">
        <v>620</v>
      </c>
      <c r="I59" s="68" t="s">
        <v>52</v>
      </c>
      <c r="J59" s="69" t="s">
        <v>90</v>
      </c>
      <c r="K59" s="69" t="s">
        <v>60</v>
      </c>
      <c r="L59" s="68" t="s">
        <v>67</v>
      </c>
      <c r="M59" s="68" t="s">
        <v>35</v>
      </c>
      <c r="N59" s="68" t="s">
        <v>37</v>
      </c>
      <c r="O59" s="68">
        <v>0</v>
      </c>
      <c r="P59" s="68"/>
      <c r="Q59" s="68"/>
      <c r="R59" s="68"/>
      <c r="S59" s="68"/>
      <c r="Y59" s="84" t="s">
        <v>782</v>
      </c>
      <c r="Z59" s="84"/>
      <c r="AB59" s="83" t="s">
        <v>625</v>
      </c>
      <c r="AC59" s="84" t="s">
        <v>696</v>
      </c>
      <c r="AI59" s="83" t="s">
        <v>699</v>
      </c>
      <c r="AS59" s="83" t="s">
        <v>692</v>
      </c>
      <c r="AT59" s="83" t="s">
        <v>848</v>
      </c>
      <c r="AW59" s="83">
        <v>110</v>
      </c>
      <c r="BC59" s="84" t="s">
        <v>712</v>
      </c>
      <c r="BD59" s="115">
        <f t="shared" si="0"/>
        <v>0</v>
      </c>
      <c r="BF59" s="83" t="s">
        <v>694</v>
      </c>
      <c r="BR59" s="84"/>
      <c r="BT59" s="84"/>
      <c r="BU59" s="84"/>
      <c r="CC59" s="115"/>
      <c r="CV59" s="115"/>
    </row>
    <row r="60" spans="1:101" ht="33.75" x14ac:dyDescent="0.15">
      <c r="A60" s="68"/>
      <c r="B60" s="66"/>
      <c r="C60" s="66"/>
      <c r="D60" s="67"/>
      <c r="E60" s="66" t="s">
        <v>642</v>
      </c>
      <c r="F60" s="66"/>
      <c r="G60" s="68" t="s">
        <v>89</v>
      </c>
      <c r="H60" s="69" t="s">
        <v>620</v>
      </c>
      <c r="I60" s="68" t="s">
        <v>52</v>
      </c>
      <c r="J60" s="69" t="s">
        <v>90</v>
      </c>
      <c r="K60" s="69" t="s">
        <v>643</v>
      </c>
      <c r="L60" s="68" t="s">
        <v>67</v>
      </c>
      <c r="M60" s="68" t="s">
        <v>29</v>
      </c>
      <c r="N60" s="68" t="s">
        <v>37</v>
      </c>
      <c r="O60" s="68">
        <v>0</v>
      </c>
      <c r="P60" s="68"/>
      <c r="Q60" s="68"/>
      <c r="R60" s="68"/>
      <c r="S60" s="68"/>
      <c r="Y60" s="84" t="s">
        <v>782</v>
      </c>
      <c r="Z60" s="84"/>
      <c r="AB60" s="83" t="s">
        <v>625</v>
      </c>
      <c r="AC60" s="84" t="s">
        <v>696</v>
      </c>
      <c r="AI60" s="83" t="s">
        <v>699</v>
      </c>
      <c r="AS60" s="83" t="s">
        <v>692</v>
      </c>
      <c r="AT60" s="83" t="s">
        <v>625</v>
      </c>
      <c r="AW60" s="83">
        <v>110</v>
      </c>
      <c r="BA60" s="83" t="s">
        <v>625</v>
      </c>
      <c r="BC60" s="84" t="s">
        <v>712</v>
      </c>
      <c r="BD60" s="115">
        <f t="shared" si="0"/>
        <v>0</v>
      </c>
      <c r="BG60" s="83" t="s">
        <v>625</v>
      </c>
      <c r="BR60" s="84"/>
      <c r="BT60" s="84"/>
      <c r="BU60" s="84"/>
      <c r="CC60" s="115"/>
      <c r="CV60" s="115"/>
    </row>
    <row r="61" spans="1:101" ht="33.75" x14ac:dyDescent="0.15">
      <c r="A61" s="68">
        <v>59</v>
      </c>
      <c r="B61" s="66" t="s">
        <v>225</v>
      </c>
      <c r="C61" s="66">
        <v>1072240653</v>
      </c>
      <c r="D61" s="67" t="str">
        <f t="shared" si="1"/>
        <v>https://portal.dnb.de/opac.htm?method=simpleSearch&amp;cqlMode=true&amp;query=idn%3D1072240653</v>
      </c>
      <c r="E61" s="66" t="s">
        <v>226</v>
      </c>
      <c r="F61" s="66"/>
      <c r="G61" s="68" t="s">
        <v>89</v>
      </c>
      <c r="H61" s="69" t="s">
        <v>17</v>
      </c>
      <c r="I61" s="68" t="s">
        <v>52</v>
      </c>
      <c r="J61" s="69" t="s">
        <v>90</v>
      </c>
      <c r="K61" s="69" t="s">
        <v>633</v>
      </c>
      <c r="L61" s="68"/>
      <c r="M61" s="68"/>
      <c r="N61" s="68" t="s">
        <v>101</v>
      </c>
      <c r="O61" s="68">
        <v>1</v>
      </c>
      <c r="P61" s="68"/>
      <c r="Q61" s="68"/>
      <c r="R61" s="68"/>
      <c r="S61" s="68"/>
      <c r="Y61" s="84" t="s">
        <v>787</v>
      </c>
      <c r="Z61" s="84"/>
      <c r="AC61" s="84" t="s">
        <v>795</v>
      </c>
      <c r="AI61" s="83" t="s">
        <v>699</v>
      </c>
      <c r="AW61" s="83">
        <v>110</v>
      </c>
      <c r="BC61" s="84" t="s">
        <v>700</v>
      </c>
      <c r="BD61" s="115">
        <f t="shared" si="0"/>
        <v>3</v>
      </c>
      <c r="BR61" s="84"/>
      <c r="BT61" s="84"/>
      <c r="BU61" s="84"/>
      <c r="CC61" s="115"/>
      <c r="CE61" s="83" t="s">
        <v>625</v>
      </c>
      <c r="CP61" s="83" t="s">
        <v>625</v>
      </c>
      <c r="CV61" s="115">
        <v>3</v>
      </c>
      <c r="CW61" s="87" t="s">
        <v>849</v>
      </c>
    </row>
    <row r="62" spans="1:101" ht="22.5" x14ac:dyDescent="0.15">
      <c r="A62" s="68">
        <v>60</v>
      </c>
      <c r="B62" s="66" t="s">
        <v>227</v>
      </c>
      <c r="C62" s="66">
        <v>1066968004</v>
      </c>
      <c r="D62" s="67" t="str">
        <f t="shared" si="1"/>
        <v>https://portal.dnb.de/opac.htm?method=simpleSearch&amp;cqlMode=true&amp;query=idn%3D1066968004</v>
      </c>
      <c r="E62" s="66" t="s">
        <v>644</v>
      </c>
      <c r="F62" s="66"/>
      <c r="G62" s="68"/>
      <c r="H62" s="69" t="s">
        <v>4</v>
      </c>
      <c r="I62" s="68" t="s">
        <v>52</v>
      </c>
      <c r="J62" s="69" t="s">
        <v>90</v>
      </c>
      <c r="K62" s="69" t="s">
        <v>636</v>
      </c>
      <c r="L62" s="68" t="s">
        <v>67</v>
      </c>
      <c r="M62" s="68"/>
      <c r="N62" s="68" t="s">
        <v>101</v>
      </c>
      <c r="O62" s="68">
        <v>1</v>
      </c>
      <c r="P62" s="68"/>
      <c r="Q62" s="68"/>
      <c r="R62" s="68"/>
      <c r="S62" s="68"/>
      <c r="Y62" s="84" t="s">
        <v>782</v>
      </c>
      <c r="Z62" s="84"/>
      <c r="AC62" s="84" t="s">
        <v>696</v>
      </c>
      <c r="AI62" s="83" t="s">
        <v>699</v>
      </c>
      <c r="AS62" s="83" t="s">
        <v>692</v>
      </c>
      <c r="AT62" s="83" t="s">
        <v>625</v>
      </c>
      <c r="AW62" s="83">
        <v>45</v>
      </c>
      <c r="BC62" s="84" t="s">
        <v>712</v>
      </c>
      <c r="BD62" s="115">
        <f t="shared" si="0"/>
        <v>0</v>
      </c>
      <c r="BR62" s="84"/>
      <c r="BT62" s="84"/>
      <c r="BU62" s="84"/>
      <c r="CC62" s="115"/>
      <c r="CV62" s="115"/>
    </row>
    <row r="63" spans="1:101" x14ac:dyDescent="0.15">
      <c r="A63" s="68"/>
      <c r="B63" s="66"/>
      <c r="C63" s="66"/>
      <c r="D63" s="67"/>
      <c r="E63" s="66" t="s">
        <v>645</v>
      </c>
      <c r="F63" s="66"/>
      <c r="G63" s="68" t="s">
        <v>89</v>
      </c>
      <c r="H63" s="69" t="s">
        <v>4</v>
      </c>
      <c r="I63" s="68" t="s">
        <v>52</v>
      </c>
      <c r="J63" s="69" t="s">
        <v>90</v>
      </c>
      <c r="K63" s="69" t="s">
        <v>60</v>
      </c>
      <c r="L63" s="68" t="s">
        <v>67</v>
      </c>
      <c r="M63" s="68"/>
      <c r="N63" s="68" t="s">
        <v>101</v>
      </c>
      <c r="O63" s="68">
        <v>0</v>
      </c>
      <c r="P63" s="68"/>
      <c r="Q63" s="68"/>
      <c r="R63" s="68"/>
      <c r="S63" s="68"/>
      <c r="Y63" s="84" t="s">
        <v>782</v>
      </c>
      <c r="Z63" s="84"/>
      <c r="AC63" s="84" t="s">
        <v>696</v>
      </c>
      <c r="AI63" s="83" t="s">
        <v>699</v>
      </c>
      <c r="AS63" s="83" t="s">
        <v>692</v>
      </c>
      <c r="AT63" s="83" t="s">
        <v>847</v>
      </c>
      <c r="AW63" s="83" t="s">
        <v>826</v>
      </c>
      <c r="BC63" s="84" t="s">
        <v>700</v>
      </c>
      <c r="BD63" s="115">
        <f t="shared" si="0"/>
        <v>1</v>
      </c>
      <c r="BR63" s="84" t="s">
        <v>625</v>
      </c>
      <c r="BT63" s="84"/>
      <c r="BU63" s="84"/>
      <c r="CC63" s="115">
        <v>0.5</v>
      </c>
      <c r="CJ63" s="83" t="s">
        <v>625</v>
      </c>
      <c r="CV63" s="115">
        <v>0.5</v>
      </c>
    </row>
    <row r="64" spans="1:101" x14ac:dyDescent="0.15">
      <c r="A64" s="68">
        <v>61</v>
      </c>
      <c r="B64" s="66" t="s">
        <v>228</v>
      </c>
      <c r="C64" s="66">
        <v>1066971641</v>
      </c>
      <c r="D64" s="67" t="str">
        <f t="shared" si="1"/>
        <v>https://portal.dnb.de/opac.htm?method=simpleSearch&amp;cqlMode=true&amp;query=idn%3D1066971641</v>
      </c>
      <c r="E64" s="66" t="s">
        <v>229</v>
      </c>
      <c r="F64" s="66"/>
      <c r="G64" s="68" t="s">
        <v>89</v>
      </c>
      <c r="H64" s="69" t="s">
        <v>17</v>
      </c>
      <c r="I64" s="68" t="s">
        <v>52</v>
      </c>
      <c r="J64" s="69" t="s">
        <v>90</v>
      </c>
      <c r="K64" s="69"/>
      <c r="L64" s="68"/>
      <c r="M64" s="68"/>
      <c r="N64" s="68" t="s">
        <v>101</v>
      </c>
      <c r="O64" s="68">
        <v>1</v>
      </c>
      <c r="P64" s="68"/>
      <c r="Q64" s="68"/>
      <c r="R64" s="68"/>
      <c r="S64" s="68"/>
      <c r="Y64" s="84" t="s">
        <v>787</v>
      </c>
      <c r="Z64" s="84"/>
      <c r="AC64" s="84" t="s">
        <v>795</v>
      </c>
      <c r="AI64" s="83" t="s">
        <v>699</v>
      </c>
      <c r="AW64" s="83">
        <v>110</v>
      </c>
      <c r="BC64" s="84" t="s">
        <v>712</v>
      </c>
      <c r="BD64" s="115">
        <f t="shared" si="0"/>
        <v>0</v>
      </c>
      <c r="BR64" s="84"/>
      <c r="BT64" s="84"/>
      <c r="BU64" s="84"/>
      <c r="CC64" s="115"/>
      <c r="CV64" s="115"/>
    </row>
    <row r="65" spans="1:100" ht="33.75" x14ac:dyDescent="0.15">
      <c r="A65" s="68">
        <v>62</v>
      </c>
      <c r="B65" s="66" t="s">
        <v>230</v>
      </c>
      <c r="C65" s="66">
        <v>1066968578</v>
      </c>
      <c r="D65" s="67" t="str">
        <f t="shared" si="1"/>
        <v>https://portal.dnb.de/opac.htm?method=simpleSearch&amp;cqlMode=true&amp;query=idn%3D1066968578</v>
      </c>
      <c r="E65" s="66" t="s">
        <v>231</v>
      </c>
      <c r="F65" s="66"/>
      <c r="G65" s="68"/>
      <c r="H65" s="69" t="s">
        <v>620</v>
      </c>
      <c r="I65" s="68" t="s">
        <v>52</v>
      </c>
      <c r="J65" s="69" t="s">
        <v>86</v>
      </c>
      <c r="K65" s="69" t="s">
        <v>646</v>
      </c>
      <c r="L65" s="68" t="s">
        <v>67</v>
      </c>
      <c r="M65" s="68" t="s">
        <v>35</v>
      </c>
      <c r="N65" s="68" t="s">
        <v>37</v>
      </c>
      <c r="O65" s="68">
        <v>1</v>
      </c>
      <c r="P65" s="68"/>
      <c r="Q65" s="68"/>
      <c r="R65" s="68"/>
      <c r="S65" s="68"/>
      <c r="Y65" s="84" t="s">
        <v>782</v>
      </c>
      <c r="Z65" s="84"/>
      <c r="AB65" s="83" t="s">
        <v>625</v>
      </c>
      <c r="AC65" s="84" t="s">
        <v>696</v>
      </c>
      <c r="AI65" s="83" t="s">
        <v>699</v>
      </c>
      <c r="AW65" s="83">
        <v>110</v>
      </c>
      <c r="BC65" s="84" t="s">
        <v>712</v>
      </c>
      <c r="BD65" s="115">
        <f t="shared" si="0"/>
        <v>0</v>
      </c>
      <c r="BF65" s="83" t="s">
        <v>694</v>
      </c>
      <c r="BR65" s="84"/>
      <c r="BT65" s="84"/>
      <c r="BU65" s="84"/>
      <c r="CC65" s="115"/>
      <c r="CV65" s="115"/>
    </row>
    <row r="66" spans="1:100" ht="22.5" x14ac:dyDescent="0.15">
      <c r="A66" s="68">
        <v>63</v>
      </c>
      <c r="B66" s="66" t="s">
        <v>232</v>
      </c>
      <c r="C66" s="66">
        <v>1066971692</v>
      </c>
      <c r="D66" s="67" t="str">
        <f t="shared" si="1"/>
        <v>https://portal.dnb.de/opac.htm?method=simpleSearch&amp;cqlMode=true&amp;query=idn%3D1066971692</v>
      </c>
      <c r="E66" s="66" t="s">
        <v>233</v>
      </c>
      <c r="F66" s="66"/>
      <c r="G66" s="68" t="s">
        <v>89</v>
      </c>
      <c r="H66" s="69" t="s">
        <v>620</v>
      </c>
      <c r="I66" s="68" t="s">
        <v>52</v>
      </c>
      <c r="J66" s="69" t="s">
        <v>86</v>
      </c>
      <c r="K66" s="69"/>
      <c r="L66" s="68"/>
      <c r="M66" s="68" t="s">
        <v>35</v>
      </c>
      <c r="N66" s="68" t="s">
        <v>37</v>
      </c>
      <c r="O66" s="68">
        <v>0</v>
      </c>
      <c r="P66" s="68"/>
      <c r="Q66" s="68"/>
      <c r="R66" s="68"/>
      <c r="S66" s="68"/>
      <c r="Y66" s="84" t="s">
        <v>782</v>
      </c>
      <c r="Z66" s="84"/>
      <c r="AB66" s="83" t="s">
        <v>625</v>
      </c>
      <c r="AC66" s="84" t="s">
        <v>696</v>
      </c>
      <c r="AI66" s="83" t="s">
        <v>699</v>
      </c>
      <c r="AN66" s="83" t="s">
        <v>625</v>
      </c>
      <c r="AW66" s="83">
        <v>110</v>
      </c>
      <c r="BC66" s="84" t="s">
        <v>712</v>
      </c>
      <c r="BD66" s="115">
        <f t="shared" ref="BD66:BD129" si="2">CC66+CV66</f>
        <v>0</v>
      </c>
      <c r="BF66" s="83" t="s">
        <v>694</v>
      </c>
      <c r="BM66" s="70" t="s">
        <v>833</v>
      </c>
      <c r="BR66" s="84"/>
      <c r="BT66" s="84"/>
      <c r="BU66" s="84"/>
      <c r="CC66" s="115"/>
      <c r="CV66" s="115"/>
    </row>
    <row r="67" spans="1:100" ht="33.75" x14ac:dyDescent="0.15">
      <c r="A67" s="68"/>
      <c r="B67" s="66"/>
      <c r="C67" s="66"/>
      <c r="D67" s="67"/>
      <c r="E67" s="66" t="s">
        <v>850</v>
      </c>
      <c r="F67" s="66"/>
      <c r="G67" s="68" t="s">
        <v>89</v>
      </c>
      <c r="H67" s="69"/>
      <c r="I67" s="68" t="s">
        <v>52</v>
      </c>
      <c r="J67" s="69"/>
      <c r="K67" s="69" t="s">
        <v>94</v>
      </c>
      <c r="L67" s="68"/>
      <c r="M67" s="68" t="s">
        <v>35</v>
      </c>
      <c r="N67" s="68" t="s">
        <v>37</v>
      </c>
      <c r="O67" s="68">
        <v>1</v>
      </c>
      <c r="P67" s="68"/>
      <c r="Q67" s="68" t="s">
        <v>647</v>
      </c>
      <c r="R67" s="68"/>
      <c r="S67" s="68"/>
      <c r="Y67" s="84" t="s">
        <v>784</v>
      </c>
      <c r="Z67" s="84"/>
      <c r="AC67" s="84"/>
      <c r="AW67" s="84" t="s">
        <v>851</v>
      </c>
      <c r="AX67" s="84"/>
      <c r="BC67" s="84" t="s">
        <v>700</v>
      </c>
      <c r="BD67" s="115">
        <f t="shared" si="2"/>
        <v>1</v>
      </c>
      <c r="BF67" s="83" t="s">
        <v>694</v>
      </c>
      <c r="BL67" s="87" t="s">
        <v>919</v>
      </c>
      <c r="BM67" s="72" t="s">
        <v>852</v>
      </c>
      <c r="BN67" s="72"/>
      <c r="BR67" s="84" t="s">
        <v>625</v>
      </c>
      <c r="BT67" s="84"/>
      <c r="BU67" s="84"/>
      <c r="CC67" s="115">
        <v>1</v>
      </c>
      <c r="CV67" s="115"/>
    </row>
    <row r="68" spans="1:100" ht="56.25" x14ac:dyDescent="0.15">
      <c r="A68" s="68">
        <v>64</v>
      </c>
      <c r="B68" s="66" t="s">
        <v>234</v>
      </c>
      <c r="C68" s="66">
        <v>1066969434</v>
      </c>
      <c r="D68" s="67" t="str">
        <f t="shared" si="1"/>
        <v>https://portal.dnb.de/opac.htm?method=simpleSearch&amp;cqlMode=true&amp;query=idn%3D1066969434</v>
      </c>
      <c r="E68" s="66" t="s">
        <v>235</v>
      </c>
      <c r="F68" s="66"/>
      <c r="G68" s="68" t="s">
        <v>89</v>
      </c>
      <c r="H68" s="69" t="s">
        <v>3</v>
      </c>
      <c r="I68" s="68" t="s">
        <v>51</v>
      </c>
      <c r="J68" s="69" t="s">
        <v>90</v>
      </c>
      <c r="K68" s="69" t="s">
        <v>661</v>
      </c>
      <c r="L68" s="68" t="s">
        <v>67</v>
      </c>
      <c r="M68" s="68"/>
      <c r="N68" s="68" t="s">
        <v>101</v>
      </c>
      <c r="O68" s="68">
        <v>2</v>
      </c>
      <c r="P68" s="68"/>
      <c r="Q68" s="68"/>
      <c r="R68" s="68"/>
      <c r="S68" s="68"/>
      <c r="Y68" s="84" t="s">
        <v>785</v>
      </c>
      <c r="Z68" s="84"/>
      <c r="AC68" s="84" t="s">
        <v>696</v>
      </c>
      <c r="AI68" s="83" t="s">
        <v>699</v>
      </c>
      <c r="AW68" s="83">
        <v>80</v>
      </c>
      <c r="BC68" s="84" t="s">
        <v>700</v>
      </c>
      <c r="BD68" s="115">
        <f t="shared" si="2"/>
        <v>1</v>
      </c>
      <c r="BL68" s="87" t="s">
        <v>839</v>
      </c>
      <c r="BR68" s="84" t="s">
        <v>625</v>
      </c>
      <c r="BT68" s="84"/>
      <c r="BU68" s="84"/>
      <c r="CC68" s="115">
        <v>1</v>
      </c>
      <c r="CF68" s="83" t="s">
        <v>625</v>
      </c>
      <c r="CV68" s="115"/>
    </row>
    <row r="69" spans="1:100" ht="33.75" x14ac:dyDescent="0.15">
      <c r="A69" s="68">
        <v>65</v>
      </c>
      <c r="B69" s="66" t="s">
        <v>236</v>
      </c>
      <c r="C69" s="66">
        <v>1066968365</v>
      </c>
      <c r="D69" s="67" t="str">
        <f t="shared" si="1"/>
        <v>https://portal.dnb.de/opac.htm?method=simpleSearch&amp;cqlMode=true&amp;query=idn%3D1066968365</v>
      </c>
      <c r="E69" s="66" t="s">
        <v>237</v>
      </c>
      <c r="F69" s="66"/>
      <c r="G69" s="68" t="s">
        <v>625</v>
      </c>
      <c r="H69" s="69" t="s">
        <v>4</v>
      </c>
      <c r="I69" s="68" t="s">
        <v>50</v>
      </c>
      <c r="J69" s="69" t="s">
        <v>90</v>
      </c>
      <c r="K69" s="69" t="s">
        <v>627</v>
      </c>
      <c r="L69" s="68" t="s">
        <v>67</v>
      </c>
      <c r="M69" s="68"/>
      <c r="N69" s="68" t="s">
        <v>101</v>
      </c>
      <c r="O69" s="68">
        <v>0</v>
      </c>
      <c r="P69" s="68"/>
      <c r="Q69" s="68"/>
      <c r="R69" s="68"/>
      <c r="S69" s="68"/>
      <c r="Y69" s="84" t="s">
        <v>784</v>
      </c>
      <c r="Z69" s="84"/>
      <c r="AC69" s="84" t="s">
        <v>697</v>
      </c>
      <c r="AI69" s="83" t="s">
        <v>699</v>
      </c>
      <c r="AS69" s="83" t="s">
        <v>692</v>
      </c>
      <c r="AT69" s="83" t="s">
        <v>625</v>
      </c>
      <c r="AW69" s="83">
        <v>110</v>
      </c>
      <c r="BC69" s="84" t="s">
        <v>712</v>
      </c>
      <c r="BD69" s="115">
        <f t="shared" si="2"/>
        <v>0</v>
      </c>
      <c r="BR69" s="84"/>
      <c r="BT69" s="84"/>
      <c r="BU69" s="84"/>
      <c r="CC69" s="115"/>
      <c r="CV69" s="115"/>
    </row>
    <row r="70" spans="1:100" ht="22.5" x14ac:dyDescent="0.15">
      <c r="A70" s="68">
        <v>66</v>
      </c>
      <c r="B70" s="66" t="s">
        <v>238</v>
      </c>
      <c r="C70" s="66">
        <v>1052249787</v>
      </c>
      <c r="D70" s="67" t="str">
        <f t="shared" ref="D70:D134" si="3">HYPERLINK(CONCATENATE("https://portal.dnb.de/opac.htm?method=simpleSearch&amp;cqlMode=true&amp;query=idn%3D",C70))</f>
        <v>https://portal.dnb.de/opac.htm?method=simpleSearch&amp;cqlMode=true&amp;query=idn%3D1052249787</v>
      </c>
      <c r="E70" s="66" t="s">
        <v>648</v>
      </c>
      <c r="F70" s="66"/>
      <c r="G70" s="68"/>
      <c r="H70" s="69" t="s">
        <v>620</v>
      </c>
      <c r="I70" s="68" t="s">
        <v>51</v>
      </c>
      <c r="J70" s="69" t="s">
        <v>90</v>
      </c>
      <c r="K70" s="69" t="s">
        <v>60</v>
      </c>
      <c r="L70" s="68" t="s">
        <v>67</v>
      </c>
      <c r="M70" s="68" t="s">
        <v>35</v>
      </c>
      <c r="N70" s="68" t="s">
        <v>37</v>
      </c>
      <c r="O70" s="68">
        <v>0</v>
      </c>
      <c r="P70" s="68"/>
      <c r="Q70" s="68"/>
      <c r="R70" s="68"/>
      <c r="S70" s="68"/>
      <c r="Y70" s="84" t="s">
        <v>782</v>
      </c>
      <c r="Z70" s="84"/>
      <c r="AB70" s="83" t="s">
        <v>625</v>
      </c>
      <c r="AC70" s="84" t="s">
        <v>696</v>
      </c>
      <c r="AI70" s="83" t="s">
        <v>699</v>
      </c>
      <c r="AS70" s="83" t="s">
        <v>853</v>
      </c>
      <c r="AT70" s="83" t="s">
        <v>847</v>
      </c>
      <c r="AW70" s="83">
        <v>110</v>
      </c>
      <c r="BC70" s="84" t="s">
        <v>712</v>
      </c>
      <c r="BD70" s="115">
        <f t="shared" si="2"/>
        <v>0</v>
      </c>
      <c r="BF70" s="83" t="s">
        <v>694</v>
      </c>
      <c r="BR70" s="84"/>
      <c r="BT70" s="84"/>
      <c r="BU70" s="84"/>
      <c r="CC70" s="115"/>
      <c r="CV70" s="115"/>
    </row>
    <row r="71" spans="1:100" x14ac:dyDescent="0.15">
      <c r="A71" s="68">
        <v>67</v>
      </c>
      <c r="B71" s="66" t="s">
        <v>239</v>
      </c>
      <c r="C71" s="66">
        <v>1066965579</v>
      </c>
      <c r="D71" s="67" t="str">
        <f t="shared" si="3"/>
        <v>https://portal.dnb.de/opac.htm?method=simpleSearch&amp;cqlMode=true&amp;query=idn%3D1066965579</v>
      </c>
      <c r="E71" s="66" t="s">
        <v>240</v>
      </c>
      <c r="F71" s="66"/>
      <c r="G71" s="68" t="s">
        <v>89</v>
      </c>
      <c r="H71" s="69" t="s">
        <v>17</v>
      </c>
      <c r="I71" s="68" t="s">
        <v>51</v>
      </c>
      <c r="J71" s="69" t="s">
        <v>55</v>
      </c>
      <c r="K71" s="69" t="s">
        <v>60</v>
      </c>
      <c r="L71" s="68" t="s">
        <v>67</v>
      </c>
      <c r="M71" s="68"/>
      <c r="N71" s="68" t="s">
        <v>101</v>
      </c>
      <c r="O71" s="68">
        <v>1</v>
      </c>
      <c r="P71" s="68"/>
      <c r="Q71" s="68"/>
      <c r="R71" s="68"/>
      <c r="S71" s="68"/>
      <c r="Y71" s="84" t="s">
        <v>787</v>
      </c>
      <c r="Z71" s="84"/>
      <c r="AC71" s="84" t="s">
        <v>695</v>
      </c>
      <c r="AI71" s="83" t="s">
        <v>699</v>
      </c>
      <c r="AS71" s="83" t="s">
        <v>693</v>
      </c>
      <c r="AT71" s="83" t="s">
        <v>625</v>
      </c>
      <c r="AW71" s="83">
        <v>110</v>
      </c>
      <c r="BC71" s="84" t="s">
        <v>712</v>
      </c>
      <c r="BD71" s="115">
        <f t="shared" si="2"/>
        <v>0</v>
      </c>
      <c r="BR71" s="84"/>
      <c r="BT71" s="84"/>
      <c r="BU71" s="84"/>
      <c r="CC71" s="115"/>
      <c r="CV71" s="115"/>
    </row>
    <row r="72" spans="1:100" ht="22.5" x14ac:dyDescent="0.15">
      <c r="A72" s="68">
        <v>68</v>
      </c>
      <c r="B72" s="66" t="s">
        <v>241</v>
      </c>
      <c r="C72" s="66">
        <v>1066970556</v>
      </c>
      <c r="D72" s="67" t="str">
        <f t="shared" si="3"/>
        <v>https://portal.dnb.de/opac.htm?method=simpleSearch&amp;cqlMode=true&amp;query=idn%3D1066970556</v>
      </c>
      <c r="E72" s="66" t="s">
        <v>242</v>
      </c>
      <c r="F72" s="66"/>
      <c r="G72" s="68"/>
      <c r="H72" s="69" t="s">
        <v>17</v>
      </c>
      <c r="I72" s="68" t="s">
        <v>51</v>
      </c>
      <c r="J72" s="69" t="s">
        <v>90</v>
      </c>
      <c r="K72" s="69" t="s">
        <v>626</v>
      </c>
      <c r="L72" s="68" t="s">
        <v>67</v>
      </c>
      <c r="M72" s="68"/>
      <c r="N72" s="68"/>
      <c r="O72" s="68">
        <v>2</v>
      </c>
      <c r="P72" s="68"/>
      <c r="Q72" s="68"/>
      <c r="R72" s="68"/>
      <c r="S72" s="68"/>
      <c r="Y72" s="84" t="s">
        <v>699</v>
      </c>
      <c r="Z72" s="84"/>
      <c r="AC72" s="84" t="s">
        <v>795</v>
      </c>
      <c r="AI72" s="83" t="s">
        <v>699</v>
      </c>
      <c r="AS72" s="83" t="s">
        <v>692</v>
      </c>
      <c r="AT72" s="83" t="s">
        <v>625</v>
      </c>
      <c r="AW72" s="83" t="s">
        <v>689</v>
      </c>
      <c r="BC72" s="84" t="s">
        <v>712</v>
      </c>
      <c r="BD72" s="115">
        <f t="shared" si="2"/>
        <v>0</v>
      </c>
      <c r="BR72" s="84"/>
      <c r="BT72" s="84"/>
      <c r="BU72" s="84"/>
      <c r="CC72" s="115"/>
      <c r="CV72" s="115"/>
    </row>
    <row r="73" spans="1:100" ht="22.5" x14ac:dyDescent="0.15">
      <c r="A73" s="68">
        <v>69</v>
      </c>
      <c r="B73" s="120" t="s">
        <v>243</v>
      </c>
      <c r="C73" s="120">
        <v>1066970998</v>
      </c>
      <c r="D73" s="67" t="str">
        <f t="shared" si="3"/>
        <v>https://portal.dnb.de/opac.htm?method=simpleSearch&amp;cqlMode=true&amp;query=idn%3D1066970998</v>
      </c>
      <c r="E73" s="66" t="s">
        <v>244</v>
      </c>
      <c r="F73" s="66"/>
      <c r="G73" s="68" t="s">
        <v>89</v>
      </c>
      <c r="H73" s="69" t="s">
        <v>45</v>
      </c>
      <c r="I73" s="68" t="s">
        <v>51</v>
      </c>
      <c r="J73" s="69" t="s">
        <v>86</v>
      </c>
      <c r="K73" s="69" t="s">
        <v>636</v>
      </c>
      <c r="L73" s="68" t="s">
        <v>67</v>
      </c>
      <c r="M73" s="68"/>
      <c r="N73" s="68" t="s">
        <v>101</v>
      </c>
      <c r="O73" s="68">
        <v>2</v>
      </c>
      <c r="P73" s="68"/>
      <c r="Q73" s="68" t="s">
        <v>638</v>
      </c>
      <c r="R73" s="68"/>
      <c r="S73" s="68"/>
      <c r="Y73" s="84" t="s">
        <v>782</v>
      </c>
      <c r="Z73" s="84"/>
      <c r="AC73" s="84" t="s">
        <v>696</v>
      </c>
      <c r="AI73" s="83" t="s">
        <v>699</v>
      </c>
      <c r="AS73" s="83" t="s">
        <v>802</v>
      </c>
      <c r="AT73" s="83" t="s">
        <v>625</v>
      </c>
      <c r="AW73" s="83">
        <v>45</v>
      </c>
      <c r="BC73" s="84" t="s">
        <v>712</v>
      </c>
      <c r="BD73" s="115">
        <f t="shared" si="2"/>
        <v>0</v>
      </c>
      <c r="BR73" s="84"/>
      <c r="BT73" s="84"/>
      <c r="BU73" s="84"/>
      <c r="CC73" s="115"/>
      <c r="CV73" s="115"/>
    </row>
    <row r="74" spans="1:100" ht="22.5" x14ac:dyDescent="0.15">
      <c r="A74" s="68">
        <v>70</v>
      </c>
      <c r="B74" s="66" t="s">
        <v>245</v>
      </c>
      <c r="C74" s="66">
        <v>1066971595</v>
      </c>
      <c r="D74" s="67" t="str">
        <f t="shared" si="3"/>
        <v>https://portal.dnb.de/opac.htm?method=simpleSearch&amp;cqlMode=true&amp;query=idn%3D1066971595</v>
      </c>
      <c r="E74" s="66" t="s">
        <v>246</v>
      </c>
      <c r="F74" s="66"/>
      <c r="G74" s="68" t="s">
        <v>625</v>
      </c>
      <c r="H74" s="69" t="s">
        <v>4</v>
      </c>
      <c r="I74" s="68" t="s">
        <v>50</v>
      </c>
      <c r="J74" s="69" t="s">
        <v>90</v>
      </c>
      <c r="K74" s="69" t="s">
        <v>94</v>
      </c>
      <c r="L74" s="68"/>
      <c r="M74" s="68"/>
      <c r="N74" s="68" t="s">
        <v>36</v>
      </c>
      <c r="O74" s="68">
        <v>0</v>
      </c>
      <c r="P74" s="68"/>
      <c r="Q74" s="68"/>
      <c r="R74" s="68"/>
      <c r="S74" s="68"/>
      <c r="Y74" s="84" t="s">
        <v>786</v>
      </c>
      <c r="Z74" s="84"/>
      <c r="AC74" s="84" t="s">
        <v>695</v>
      </c>
      <c r="AI74" s="83" t="s">
        <v>699</v>
      </c>
      <c r="AN74" s="83" t="s">
        <v>625</v>
      </c>
      <c r="AW74" s="83">
        <v>110</v>
      </c>
      <c r="BC74" s="84" t="s">
        <v>712</v>
      </c>
      <c r="BD74" s="115">
        <f t="shared" si="2"/>
        <v>0</v>
      </c>
      <c r="BM74" s="70" t="s">
        <v>833</v>
      </c>
      <c r="BR74" s="84"/>
      <c r="BT74" s="84"/>
      <c r="BU74" s="84"/>
      <c r="CC74" s="115"/>
      <c r="CV74" s="115"/>
    </row>
    <row r="75" spans="1:100" ht="45" x14ac:dyDescent="0.15">
      <c r="A75" s="68">
        <v>71</v>
      </c>
      <c r="B75" s="66" t="s">
        <v>247</v>
      </c>
      <c r="C75" s="66">
        <v>1066971056</v>
      </c>
      <c r="D75" s="67" t="str">
        <f t="shared" si="3"/>
        <v>https://portal.dnb.de/opac.htm?method=simpleSearch&amp;cqlMode=true&amp;query=idn%3D1066971056</v>
      </c>
      <c r="E75" s="66" t="s">
        <v>248</v>
      </c>
      <c r="F75" s="66"/>
      <c r="G75" s="68"/>
      <c r="H75" s="69" t="s">
        <v>4</v>
      </c>
      <c r="I75" s="68" t="s">
        <v>50</v>
      </c>
      <c r="J75" s="69" t="s">
        <v>86</v>
      </c>
      <c r="K75" s="69" t="s">
        <v>629</v>
      </c>
      <c r="L75" s="68" t="s">
        <v>67</v>
      </c>
      <c r="M75" s="68"/>
      <c r="N75" s="68" t="s">
        <v>36</v>
      </c>
      <c r="O75" s="68">
        <v>3</v>
      </c>
      <c r="P75" s="68"/>
      <c r="Q75" s="68"/>
      <c r="R75" s="68"/>
      <c r="S75" s="68"/>
      <c r="Y75" s="84" t="s">
        <v>784</v>
      </c>
      <c r="Z75" s="84"/>
      <c r="AC75" s="84" t="s">
        <v>697</v>
      </c>
      <c r="AE75" s="83" t="s">
        <v>625</v>
      </c>
      <c r="AI75" s="83" t="s">
        <v>699</v>
      </c>
      <c r="AS75" s="83" t="s">
        <v>692</v>
      </c>
      <c r="AT75" s="83" t="s">
        <v>625</v>
      </c>
      <c r="AW75" s="83">
        <v>45</v>
      </c>
      <c r="BC75" s="84" t="s">
        <v>700</v>
      </c>
      <c r="BD75" s="115">
        <f t="shared" si="2"/>
        <v>2</v>
      </c>
      <c r="BK75" s="83" t="s">
        <v>834</v>
      </c>
      <c r="BM75" s="70" t="s">
        <v>835</v>
      </c>
      <c r="BO75" s="72" t="s">
        <v>911</v>
      </c>
      <c r="BQ75" s="83" t="s">
        <v>625</v>
      </c>
      <c r="BR75" s="84" t="s">
        <v>625</v>
      </c>
      <c r="BS75" s="83" t="s">
        <v>625</v>
      </c>
      <c r="BT75" s="84"/>
      <c r="BU75" s="84"/>
      <c r="CC75" s="115">
        <v>2</v>
      </c>
      <c r="CD75" s="87" t="s">
        <v>836</v>
      </c>
      <c r="CV75" s="115"/>
    </row>
    <row r="76" spans="1:100" ht="22.5" x14ac:dyDescent="0.15">
      <c r="A76" s="68">
        <v>72</v>
      </c>
      <c r="B76" s="66" t="s">
        <v>249</v>
      </c>
      <c r="C76" s="66">
        <v>1066971277</v>
      </c>
      <c r="D76" s="67" t="str">
        <f t="shared" si="3"/>
        <v>https://portal.dnb.de/opac.htm?method=simpleSearch&amp;cqlMode=true&amp;query=idn%3D1066971277</v>
      </c>
      <c r="E76" s="66" t="s">
        <v>250</v>
      </c>
      <c r="F76" s="66"/>
      <c r="G76" s="68" t="s">
        <v>89</v>
      </c>
      <c r="H76" s="69" t="s">
        <v>3</v>
      </c>
      <c r="I76" s="68" t="s">
        <v>51</v>
      </c>
      <c r="J76" s="69" t="s">
        <v>55</v>
      </c>
      <c r="K76" s="69" t="s">
        <v>626</v>
      </c>
      <c r="L76" s="68"/>
      <c r="M76" s="68"/>
      <c r="N76" s="68" t="s">
        <v>101</v>
      </c>
      <c r="O76" s="68">
        <v>0</v>
      </c>
      <c r="P76" s="68"/>
      <c r="Q76" s="68"/>
      <c r="R76" s="68"/>
      <c r="S76" s="68"/>
      <c r="Y76" s="84" t="s">
        <v>785</v>
      </c>
      <c r="Z76" s="84"/>
      <c r="AC76" s="84" t="s">
        <v>795</v>
      </c>
      <c r="AI76" s="83" t="s">
        <v>699</v>
      </c>
      <c r="AS76" s="83" t="s">
        <v>692</v>
      </c>
      <c r="AT76" s="83" t="s">
        <v>625</v>
      </c>
      <c r="AW76" s="83">
        <v>45</v>
      </c>
      <c r="BC76" s="84" t="s">
        <v>712</v>
      </c>
      <c r="BD76" s="115">
        <f t="shared" si="2"/>
        <v>0</v>
      </c>
      <c r="BR76" s="84"/>
      <c r="BT76" s="84"/>
      <c r="BU76" s="84"/>
      <c r="CC76" s="115"/>
      <c r="CV76" s="115"/>
    </row>
    <row r="77" spans="1:100" ht="33.75" x14ac:dyDescent="0.15">
      <c r="A77" s="68">
        <v>73</v>
      </c>
      <c r="B77" s="66" t="s">
        <v>251</v>
      </c>
      <c r="C77" s="66">
        <v>1066968160</v>
      </c>
      <c r="D77" s="67" t="str">
        <f t="shared" si="3"/>
        <v>https://portal.dnb.de/opac.htm?method=simpleSearch&amp;cqlMode=true&amp;query=idn%3D1066968160</v>
      </c>
      <c r="E77" s="66" t="s">
        <v>252</v>
      </c>
      <c r="F77" s="66"/>
      <c r="G77" s="68" t="s">
        <v>89</v>
      </c>
      <c r="H77" s="69" t="s">
        <v>4</v>
      </c>
      <c r="I77" s="68" t="s">
        <v>50</v>
      </c>
      <c r="J77" s="69" t="s">
        <v>90</v>
      </c>
      <c r="K77" s="69" t="s">
        <v>630</v>
      </c>
      <c r="L77" s="68" t="s">
        <v>67</v>
      </c>
      <c r="M77" s="68"/>
      <c r="N77" s="68" t="s">
        <v>101</v>
      </c>
      <c r="O77" s="68">
        <v>2</v>
      </c>
      <c r="P77" s="68"/>
      <c r="Q77" s="68"/>
      <c r="R77" s="68"/>
      <c r="S77" s="68"/>
      <c r="Y77" s="84" t="s">
        <v>782</v>
      </c>
      <c r="Z77" s="84"/>
      <c r="AC77" s="84" t="s">
        <v>696</v>
      </c>
      <c r="AI77" s="83" t="s">
        <v>699</v>
      </c>
      <c r="AS77" s="83" t="s">
        <v>692</v>
      </c>
      <c r="AT77" s="83" t="s">
        <v>625</v>
      </c>
      <c r="AU77" s="83">
        <v>2</v>
      </c>
      <c r="AW77" s="83" t="s">
        <v>689</v>
      </c>
      <c r="BC77" s="84" t="s">
        <v>712</v>
      </c>
      <c r="BD77" s="115">
        <f t="shared" si="2"/>
        <v>0</v>
      </c>
      <c r="BR77" s="84"/>
      <c r="BT77" s="84"/>
      <c r="BU77" s="84"/>
      <c r="CC77" s="115"/>
      <c r="CV77" s="115"/>
    </row>
    <row r="78" spans="1:100" x14ac:dyDescent="0.15">
      <c r="A78" s="68">
        <v>74</v>
      </c>
      <c r="B78" s="66" t="s">
        <v>253</v>
      </c>
      <c r="C78" s="66">
        <v>1072241498</v>
      </c>
      <c r="D78" s="67" t="str">
        <f t="shared" si="3"/>
        <v>https://portal.dnb.de/opac.htm?method=simpleSearch&amp;cqlMode=true&amp;query=idn%3D1072241498</v>
      </c>
      <c r="E78" s="66" t="s">
        <v>254</v>
      </c>
      <c r="F78" s="66"/>
      <c r="G78" s="68" t="s">
        <v>89</v>
      </c>
      <c r="H78" s="69" t="s">
        <v>17</v>
      </c>
      <c r="I78" s="68" t="s">
        <v>50</v>
      </c>
      <c r="J78" s="69" t="s">
        <v>55</v>
      </c>
      <c r="K78" s="69" t="s">
        <v>81</v>
      </c>
      <c r="L78" s="68"/>
      <c r="M78" s="68"/>
      <c r="N78" s="68" t="s">
        <v>101</v>
      </c>
      <c r="O78" s="68">
        <v>0</v>
      </c>
      <c r="P78" s="68"/>
      <c r="Q78" s="68"/>
      <c r="R78" s="68"/>
      <c r="S78" s="68"/>
      <c r="Y78" s="84" t="s">
        <v>699</v>
      </c>
      <c r="Z78" s="84"/>
      <c r="AC78" s="84" t="s">
        <v>795</v>
      </c>
      <c r="AI78" s="83" t="s">
        <v>699</v>
      </c>
      <c r="AW78" s="83">
        <v>180</v>
      </c>
      <c r="BC78" s="84" t="s">
        <v>712</v>
      </c>
      <c r="BD78" s="115">
        <f t="shared" si="2"/>
        <v>0</v>
      </c>
      <c r="BR78" s="84"/>
      <c r="BT78" s="84"/>
      <c r="BU78" s="84"/>
      <c r="CC78" s="115"/>
      <c r="CV78" s="115"/>
    </row>
    <row r="79" spans="1:100" x14ac:dyDescent="0.15">
      <c r="A79" s="68">
        <v>75</v>
      </c>
      <c r="B79" s="66" t="s">
        <v>255</v>
      </c>
      <c r="C79" s="66" t="s">
        <v>905</v>
      </c>
      <c r="D79" s="67" t="str">
        <f t="shared" si="3"/>
        <v>https://portal.dnb.de/opac.htm?method=simpleSearch&amp;cqlMode=true&amp;query=idn%3D=Bö_Ink!BH30</v>
      </c>
      <c r="E79" s="66" t="s">
        <v>256</v>
      </c>
      <c r="F79" s="66"/>
      <c r="G79" s="68" t="s">
        <v>89</v>
      </c>
      <c r="H79" s="69" t="s">
        <v>3</v>
      </c>
      <c r="I79" s="68" t="s">
        <v>50</v>
      </c>
      <c r="J79" s="69" t="s">
        <v>55</v>
      </c>
      <c r="K79" s="69"/>
      <c r="L79" s="68"/>
      <c r="M79" s="68"/>
      <c r="N79" s="68" t="s">
        <v>101</v>
      </c>
      <c r="O79" s="68">
        <v>0</v>
      </c>
      <c r="P79" s="68"/>
      <c r="Q79" s="68"/>
      <c r="R79" s="68"/>
      <c r="S79" s="68"/>
      <c r="Y79" s="84" t="s">
        <v>785</v>
      </c>
      <c r="Z79" s="84"/>
      <c r="AC79" s="84" t="s">
        <v>696</v>
      </c>
      <c r="AI79" s="83" t="s">
        <v>699</v>
      </c>
      <c r="AW79" s="83">
        <v>60</v>
      </c>
      <c r="BC79" s="84" t="s">
        <v>700</v>
      </c>
      <c r="BD79" s="115">
        <f t="shared" si="2"/>
        <v>1</v>
      </c>
      <c r="BQ79" s="83" t="s">
        <v>625</v>
      </c>
      <c r="BR79" s="84" t="s">
        <v>625</v>
      </c>
      <c r="BS79" s="83" t="s">
        <v>625</v>
      </c>
      <c r="BT79" s="84"/>
      <c r="BU79" s="84"/>
      <c r="CC79" s="115">
        <v>1</v>
      </c>
      <c r="CV79" s="115"/>
    </row>
    <row r="80" spans="1:100" ht="22.5" x14ac:dyDescent="0.15">
      <c r="A80" s="68">
        <v>76</v>
      </c>
      <c r="B80" s="66" t="s">
        <v>257</v>
      </c>
      <c r="C80" s="66">
        <v>1066972745</v>
      </c>
      <c r="D80" s="67" t="str">
        <f t="shared" si="3"/>
        <v>https://portal.dnb.de/opac.htm?method=simpleSearch&amp;cqlMode=true&amp;query=idn%3D1066972745</v>
      </c>
      <c r="E80" s="66" t="s">
        <v>258</v>
      </c>
      <c r="F80" s="66"/>
      <c r="G80" s="68"/>
      <c r="H80" s="69" t="s">
        <v>45</v>
      </c>
      <c r="I80" s="68" t="s">
        <v>50</v>
      </c>
      <c r="J80" s="69" t="s">
        <v>90</v>
      </c>
      <c r="K80" s="69" t="s">
        <v>662</v>
      </c>
      <c r="L80" s="68"/>
      <c r="M80" s="68"/>
      <c r="N80" s="68" t="s">
        <v>101</v>
      </c>
      <c r="O80" s="68">
        <v>0</v>
      </c>
      <c r="P80" s="68"/>
      <c r="Q80" s="68"/>
      <c r="R80" s="68"/>
      <c r="S80" s="68"/>
      <c r="Y80" s="84" t="s">
        <v>786</v>
      </c>
      <c r="Z80" s="84"/>
      <c r="AC80" s="84" t="s">
        <v>695</v>
      </c>
      <c r="AI80" s="83" t="s">
        <v>699</v>
      </c>
      <c r="AW80" s="83">
        <v>45</v>
      </c>
      <c r="BC80" s="84" t="s">
        <v>712</v>
      </c>
      <c r="BD80" s="115">
        <f t="shared" si="2"/>
        <v>0</v>
      </c>
      <c r="BR80" s="84"/>
      <c r="BT80" s="84"/>
      <c r="BU80" s="84"/>
      <c r="CC80" s="115"/>
      <c r="CV80" s="115"/>
    </row>
    <row r="81" spans="1:101" ht="33.75" x14ac:dyDescent="0.15">
      <c r="A81" s="68">
        <v>77</v>
      </c>
      <c r="B81" s="66" t="s">
        <v>259</v>
      </c>
      <c r="C81" s="66">
        <v>1072494159</v>
      </c>
      <c r="D81" s="67" t="str">
        <f t="shared" si="3"/>
        <v>https://portal.dnb.de/opac.htm?method=simpleSearch&amp;cqlMode=true&amp;query=idn%3D1072494159</v>
      </c>
      <c r="E81" s="66" t="s">
        <v>260</v>
      </c>
      <c r="F81" s="66"/>
      <c r="G81" s="71" t="s">
        <v>89</v>
      </c>
      <c r="H81" s="69" t="s">
        <v>620</v>
      </c>
      <c r="I81" s="68" t="s">
        <v>51</v>
      </c>
      <c r="J81" s="69" t="s">
        <v>86</v>
      </c>
      <c r="K81" s="69" t="s">
        <v>649</v>
      </c>
      <c r="L81" s="68" t="s">
        <v>67</v>
      </c>
      <c r="M81" s="68" t="s">
        <v>35</v>
      </c>
      <c r="N81" s="68" t="s">
        <v>37</v>
      </c>
      <c r="O81" s="68">
        <v>0</v>
      </c>
      <c r="P81" s="68"/>
      <c r="Q81" s="68"/>
      <c r="R81" s="68"/>
      <c r="S81" s="68"/>
      <c r="Y81" s="84" t="s">
        <v>782</v>
      </c>
      <c r="Z81" s="84"/>
      <c r="AB81" s="83" t="s">
        <v>625</v>
      </c>
      <c r="AC81" s="84" t="s">
        <v>696</v>
      </c>
      <c r="AI81" s="83" t="s">
        <v>699</v>
      </c>
      <c r="AM81" s="83" t="s">
        <v>625</v>
      </c>
      <c r="AS81" s="83" t="s">
        <v>692</v>
      </c>
      <c r="AT81" s="83" t="s">
        <v>625</v>
      </c>
      <c r="AW81" s="83">
        <v>45</v>
      </c>
      <c r="BA81" s="83" t="s">
        <v>625</v>
      </c>
      <c r="BC81" s="84" t="s">
        <v>712</v>
      </c>
      <c r="BD81" s="115">
        <f t="shared" si="2"/>
        <v>0</v>
      </c>
      <c r="BF81" s="83" t="s">
        <v>694</v>
      </c>
      <c r="BM81" s="70" t="s">
        <v>835</v>
      </c>
      <c r="BR81" s="84"/>
      <c r="BT81" s="84"/>
      <c r="BU81" s="84"/>
      <c r="CC81" s="115"/>
      <c r="CV81" s="115"/>
    </row>
    <row r="82" spans="1:101" ht="45" x14ac:dyDescent="0.15">
      <c r="A82" s="68">
        <v>78</v>
      </c>
      <c r="B82" s="66" t="s">
        <v>261</v>
      </c>
      <c r="C82" s="66">
        <v>1066968101</v>
      </c>
      <c r="D82" s="67" t="str">
        <f>HYPERLINK(CONCATENATE("https://portal.dnb.de/opac.htm?method=simpleSearch&amp;cqlMode=true&amp;query=idn%3D",C82))</f>
        <v>https://portal.dnb.de/opac.htm?method=simpleSearch&amp;cqlMode=true&amp;query=idn%3D1066968101</v>
      </c>
      <c r="E82" s="66" t="s">
        <v>262</v>
      </c>
      <c r="F82" s="66"/>
      <c r="G82" s="71" t="s">
        <v>89</v>
      </c>
      <c r="H82" s="69" t="s">
        <v>4</v>
      </c>
      <c r="I82" s="68" t="s">
        <v>51</v>
      </c>
      <c r="J82" s="69" t="s">
        <v>90</v>
      </c>
      <c r="K82" s="69" t="s">
        <v>631</v>
      </c>
      <c r="L82" s="68" t="s">
        <v>67</v>
      </c>
      <c r="M82" s="68"/>
      <c r="N82" s="68" t="s">
        <v>101</v>
      </c>
      <c r="O82" s="68">
        <v>1</v>
      </c>
      <c r="P82" s="68"/>
      <c r="Q82" s="68"/>
      <c r="R82" s="68"/>
      <c r="S82" s="68"/>
      <c r="Y82" s="84" t="s">
        <v>785</v>
      </c>
      <c r="Z82" s="84"/>
      <c r="AC82" s="84" t="s">
        <v>697</v>
      </c>
      <c r="AI82" s="83" t="s">
        <v>699</v>
      </c>
      <c r="AK82" s="83" t="s">
        <v>625</v>
      </c>
      <c r="AS82" s="83" t="s">
        <v>692</v>
      </c>
      <c r="AT82" s="83" t="s">
        <v>625</v>
      </c>
      <c r="AW82" s="83">
        <v>45</v>
      </c>
      <c r="BC82" s="84" t="s">
        <v>712</v>
      </c>
      <c r="BD82" s="115">
        <f t="shared" si="2"/>
        <v>0</v>
      </c>
      <c r="BR82" s="84"/>
      <c r="BT82" s="84"/>
      <c r="BU82" s="84"/>
      <c r="CC82" s="115"/>
      <c r="CV82" s="115"/>
    </row>
    <row r="83" spans="1:101" ht="22.5" x14ac:dyDescent="0.15">
      <c r="A83" s="68">
        <v>79</v>
      </c>
      <c r="B83" s="66" t="s">
        <v>263</v>
      </c>
      <c r="C83" s="66">
        <v>1072254964</v>
      </c>
      <c r="D83" s="67" t="str">
        <f t="shared" si="3"/>
        <v>https://portal.dnb.de/opac.htm?method=simpleSearch&amp;cqlMode=true&amp;query=idn%3D1072254964</v>
      </c>
      <c r="E83" s="66" t="s">
        <v>264</v>
      </c>
      <c r="F83" s="66"/>
      <c r="G83" s="68" t="s">
        <v>89</v>
      </c>
      <c r="H83" s="69" t="s">
        <v>4</v>
      </c>
      <c r="I83" s="68" t="s">
        <v>51</v>
      </c>
      <c r="J83" s="69" t="s">
        <v>90</v>
      </c>
      <c r="K83" s="69" t="s">
        <v>94</v>
      </c>
      <c r="L83" s="68"/>
      <c r="M83" s="68" t="s">
        <v>35</v>
      </c>
      <c r="N83" s="68" t="s">
        <v>37</v>
      </c>
      <c r="O83" s="68">
        <v>0</v>
      </c>
      <c r="P83" s="68"/>
      <c r="Q83" s="68"/>
      <c r="R83" s="68"/>
      <c r="S83" s="68"/>
      <c r="Y83" s="84" t="s">
        <v>784</v>
      </c>
      <c r="Z83" s="84"/>
      <c r="AB83" s="83" t="s">
        <v>625</v>
      </c>
      <c r="AC83" s="84" t="s">
        <v>795</v>
      </c>
      <c r="AI83" s="83" t="s">
        <v>699</v>
      </c>
      <c r="AW83" s="83">
        <v>110</v>
      </c>
      <c r="BC83" s="84" t="s">
        <v>700</v>
      </c>
      <c r="BD83" s="115">
        <f t="shared" si="2"/>
        <v>0.5</v>
      </c>
      <c r="BR83" s="84" t="s">
        <v>625</v>
      </c>
      <c r="BT83" s="84"/>
      <c r="BU83" s="84"/>
      <c r="CC83" s="115">
        <v>0.5</v>
      </c>
      <c r="CV83" s="115"/>
    </row>
    <row r="84" spans="1:101" ht="33.75" x14ac:dyDescent="0.15">
      <c r="A84" s="68">
        <v>80</v>
      </c>
      <c r="B84" s="66" t="s">
        <v>265</v>
      </c>
      <c r="C84" s="66">
        <v>1066971757</v>
      </c>
      <c r="D84" s="67" t="str">
        <f t="shared" si="3"/>
        <v>https://portal.dnb.de/opac.htm?method=simpleSearch&amp;cqlMode=true&amp;query=idn%3D1066971757</v>
      </c>
      <c r="E84" s="66" t="s">
        <v>266</v>
      </c>
      <c r="F84" s="66"/>
      <c r="G84" s="68" t="s">
        <v>89</v>
      </c>
      <c r="H84" s="69" t="s">
        <v>45</v>
      </c>
      <c r="I84" s="68" t="s">
        <v>51</v>
      </c>
      <c r="J84" s="69" t="s">
        <v>90</v>
      </c>
      <c r="K84" s="69" t="s">
        <v>663</v>
      </c>
      <c r="L84" s="68"/>
      <c r="M84" s="68"/>
      <c r="N84" s="68" t="s">
        <v>101</v>
      </c>
      <c r="O84" s="68">
        <v>0</v>
      </c>
      <c r="P84" s="68"/>
      <c r="Q84" s="68"/>
      <c r="R84" s="68"/>
      <c r="S84" s="68"/>
      <c r="Y84" s="84" t="s">
        <v>786</v>
      </c>
      <c r="Z84" s="84"/>
      <c r="AC84" s="84" t="s">
        <v>795</v>
      </c>
      <c r="AI84" s="83" t="s">
        <v>699</v>
      </c>
      <c r="AN84" s="83" t="s">
        <v>625</v>
      </c>
      <c r="AU84" s="83">
        <v>0</v>
      </c>
      <c r="AV84" s="83" t="s">
        <v>625</v>
      </c>
      <c r="AW84" s="83">
        <v>110</v>
      </c>
      <c r="BC84" s="84" t="s">
        <v>712</v>
      </c>
      <c r="BD84" s="115">
        <f t="shared" si="2"/>
        <v>0</v>
      </c>
      <c r="BK84" s="83" t="s">
        <v>837</v>
      </c>
      <c r="BL84" s="87" t="s">
        <v>838</v>
      </c>
      <c r="BR84" s="84"/>
      <c r="BT84" s="84"/>
      <c r="BU84" s="84"/>
      <c r="CC84" s="115"/>
      <c r="CV84" s="115"/>
    </row>
    <row r="85" spans="1:101" x14ac:dyDescent="0.15">
      <c r="A85" s="68">
        <v>81</v>
      </c>
      <c r="B85" s="66" t="s">
        <v>267</v>
      </c>
      <c r="C85" s="66">
        <v>1066968942</v>
      </c>
      <c r="D85" s="67" t="str">
        <f t="shared" si="3"/>
        <v>https://portal.dnb.de/opac.htm?method=simpleSearch&amp;cqlMode=true&amp;query=idn%3D1066968942</v>
      </c>
      <c r="E85" s="66" t="s">
        <v>268</v>
      </c>
      <c r="F85" s="66"/>
      <c r="G85" s="68" t="s">
        <v>89</v>
      </c>
      <c r="H85" s="69" t="s">
        <v>46</v>
      </c>
      <c r="I85" s="68" t="s">
        <v>50</v>
      </c>
      <c r="J85" s="69" t="s">
        <v>90</v>
      </c>
      <c r="K85" s="69" t="s">
        <v>81</v>
      </c>
      <c r="L85" s="68"/>
      <c r="M85" s="68"/>
      <c r="N85" s="68" t="s">
        <v>101</v>
      </c>
      <c r="O85" s="68">
        <v>0</v>
      </c>
      <c r="P85" s="68"/>
      <c r="Q85" s="68"/>
      <c r="R85" s="68"/>
      <c r="S85" s="68"/>
      <c r="X85" s="83" t="s">
        <v>625</v>
      </c>
      <c r="Y85" s="84" t="s">
        <v>787</v>
      </c>
      <c r="Z85" s="84"/>
      <c r="AC85" s="84" t="s">
        <v>795</v>
      </c>
      <c r="AI85" s="83" t="s">
        <v>699</v>
      </c>
      <c r="AW85" s="83">
        <v>110</v>
      </c>
      <c r="BC85" s="84" t="s">
        <v>712</v>
      </c>
      <c r="BD85" s="115">
        <f t="shared" si="2"/>
        <v>0</v>
      </c>
      <c r="BR85" s="84"/>
      <c r="BT85" s="84"/>
      <c r="BU85" s="84"/>
      <c r="CC85" s="115"/>
      <c r="CV85" s="115"/>
    </row>
    <row r="86" spans="1:101" ht="22.5" x14ac:dyDescent="0.15">
      <c r="A86" s="68">
        <v>82</v>
      </c>
      <c r="B86" s="66" t="s">
        <v>269</v>
      </c>
      <c r="C86" s="66">
        <v>1066972397</v>
      </c>
      <c r="D86" s="67" t="str">
        <f t="shared" si="3"/>
        <v>https://portal.dnb.de/opac.htm?method=simpleSearch&amp;cqlMode=true&amp;query=idn%3D1066972397</v>
      </c>
      <c r="E86" s="66" t="s">
        <v>270</v>
      </c>
      <c r="F86" s="66"/>
      <c r="G86" s="68" t="s">
        <v>89</v>
      </c>
      <c r="H86" s="69" t="s">
        <v>17</v>
      </c>
      <c r="I86" s="68" t="s">
        <v>50</v>
      </c>
      <c r="J86" s="69" t="s">
        <v>90</v>
      </c>
      <c r="K86" s="69" t="s">
        <v>626</v>
      </c>
      <c r="L86" s="68" t="s">
        <v>67</v>
      </c>
      <c r="M86" s="68"/>
      <c r="N86" s="68" t="s">
        <v>101</v>
      </c>
      <c r="O86" s="68">
        <v>0</v>
      </c>
      <c r="P86" s="68"/>
      <c r="Q86" s="68"/>
      <c r="R86" s="68"/>
      <c r="S86" s="68"/>
      <c r="X86" s="83" t="s">
        <v>625</v>
      </c>
      <c r="Y86" s="84" t="s">
        <v>787</v>
      </c>
      <c r="Z86" s="84"/>
      <c r="AC86" s="84" t="s">
        <v>795</v>
      </c>
      <c r="AI86" s="83" t="s">
        <v>699</v>
      </c>
      <c r="AS86" s="83" t="s">
        <v>692</v>
      </c>
      <c r="AT86" s="83" t="s">
        <v>625</v>
      </c>
      <c r="AW86" s="83">
        <v>110</v>
      </c>
      <c r="BC86" s="84" t="s">
        <v>712</v>
      </c>
      <c r="BD86" s="115">
        <f t="shared" si="2"/>
        <v>0</v>
      </c>
      <c r="BR86" s="84"/>
      <c r="BT86" s="84"/>
      <c r="BU86" s="84"/>
      <c r="CC86" s="115"/>
      <c r="CV86" s="115"/>
    </row>
    <row r="87" spans="1:101" ht="33.75" x14ac:dyDescent="0.15">
      <c r="A87" s="68">
        <v>83</v>
      </c>
      <c r="B87" s="66" t="s">
        <v>271</v>
      </c>
      <c r="C87" s="66" t="s">
        <v>272</v>
      </c>
      <c r="D87" s="67" t="str">
        <f t="shared" si="3"/>
        <v>https://portal.dnb.de/opac.htm?method=simpleSearch&amp;cqlMode=true&amp;query=idn%3D106696615X</v>
      </c>
      <c r="E87" s="66" t="s">
        <v>273</v>
      </c>
      <c r="F87" s="66"/>
      <c r="G87" s="68" t="s">
        <v>89</v>
      </c>
      <c r="H87" s="69" t="s">
        <v>4</v>
      </c>
      <c r="I87" s="68" t="s">
        <v>50</v>
      </c>
      <c r="J87" s="69" t="s">
        <v>90</v>
      </c>
      <c r="K87" s="69" t="s">
        <v>627</v>
      </c>
      <c r="L87" s="68"/>
      <c r="M87" s="68"/>
      <c r="N87" s="68" t="s">
        <v>101</v>
      </c>
      <c r="O87" s="68">
        <v>0</v>
      </c>
      <c r="P87" s="68"/>
      <c r="Q87" s="68"/>
      <c r="R87" s="68"/>
      <c r="S87" s="68"/>
      <c r="X87" s="83" t="s">
        <v>625</v>
      </c>
      <c r="Y87" s="84" t="s">
        <v>782</v>
      </c>
      <c r="Z87" s="84"/>
      <c r="AC87" s="84" t="s">
        <v>696</v>
      </c>
      <c r="AI87" s="83" t="s">
        <v>699</v>
      </c>
      <c r="AS87" s="83" t="s">
        <v>692</v>
      </c>
      <c r="AT87" s="83" t="s">
        <v>625</v>
      </c>
      <c r="AU87" s="83">
        <v>4</v>
      </c>
      <c r="AW87" s="83" t="s">
        <v>826</v>
      </c>
      <c r="BC87" s="84" t="s">
        <v>712</v>
      </c>
      <c r="BD87" s="115">
        <f t="shared" si="2"/>
        <v>0</v>
      </c>
      <c r="BR87" s="84"/>
      <c r="BT87" s="84"/>
      <c r="BU87" s="84"/>
      <c r="CC87" s="115"/>
      <c r="CV87" s="115"/>
    </row>
    <row r="88" spans="1:101" ht="45" x14ac:dyDescent="0.15">
      <c r="A88" s="68">
        <v>84</v>
      </c>
      <c r="B88" s="66" t="s">
        <v>274</v>
      </c>
      <c r="C88" s="66" t="s">
        <v>275</v>
      </c>
      <c r="D88" s="67" t="str">
        <f t="shared" si="3"/>
        <v>https://portal.dnb.de/opac.htm?method=simpleSearch&amp;cqlMode=true&amp;query=idn%3D106696663X</v>
      </c>
      <c r="E88" s="66" t="s">
        <v>276</v>
      </c>
      <c r="F88" s="66"/>
      <c r="G88" s="68" t="s">
        <v>89</v>
      </c>
      <c r="H88" s="69" t="s">
        <v>4</v>
      </c>
      <c r="I88" s="68" t="s">
        <v>50</v>
      </c>
      <c r="J88" s="69" t="s">
        <v>90</v>
      </c>
      <c r="K88" s="69" t="s">
        <v>632</v>
      </c>
      <c r="L88" s="68" t="s">
        <v>67</v>
      </c>
      <c r="M88" s="68"/>
      <c r="N88" s="68" t="s">
        <v>101</v>
      </c>
      <c r="O88" s="68">
        <v>1</v>
      </c>
      <c r="P88" s="68"/>
      <c r="Q88" s="68"/>
      <c r="R88" s="68"/>
      <c r="S88" s="68"/>
      <c r="Y88" s="84" t="s">
        <v>782</v>
      </c>
      <c r="Z88" s="84"/>
      <c r="AC88" s="84" t="s">
        <v>696</v>
      </c>
      <c r="AI88" s="83" t="s">
        <v>699</v>
      </c>
      <c r="AK88" s="83" t="s">
        <v>625</v>
      </c>
      <c r="AN88" s="83" t="s">
        <v>625</v>
      </c>
      <c r="AS88" s="83" t="s">
        <v>693</v>
      </c>
      <c r="AT88" s="83" t="s">
        <v>625</v>
      </c>
      <c r="AU88" s="83">
        <v>0</v>
      </c>
      <c r="AV88" s="83" t="s">
        <v>625</v>
      </c>
      <c r="AW88" s="83">
        <v>80</v>
      </c>
      <c r="BC88" s="84" t="s">
        <v>712</v>
      </c>
      <c r="BD88" s="115">
        <f t="shared" si="2"/>
        <v>0</v>
      </c>
      <c r="BL88" s="87" t="s">
        <v>840</v>
      </c>
      <c r="BR88" s="84"/>
      <c r="BT88" s="84"/>
      <c r="BU88" s="84"/>
      <c r="CC88" s="115"/>
      <c r="CV88" s="115"/>
    </row>
    <row r="89" spans="1:101" ht="33.75" x14ac:dyDescent="0.15">
      <c r="A89" s="68">
        <v>85</v>
      </c>
      <c r="B89" s="66" t="s">
        <v>277</v>
      </c>
      <c r="C89" s="66">
        <v>1072260050</v>
      </c>
      <c r="D89" s="67" t="str">
        <f>HYPERLINK(CONCATENATE("https://portal.dnb.de/opac.htm?method=simpleSearch&amp;cqlMode=true&amp;query=idn%3D",C89))</f>
        <v>https://portal.dnb.de/opac.htm?method=simpleSearch&amp;cqlMode=true&amp;query=idn%3D1072260050</v>
      </c>
      <c r="E89" s="66" t="s">
        <v>278</v>
      </c>
      <c r="F89" s="66"/>
      <c r="G89" s="68" t="s">
        <v>89</v>
      </c>
      <c r="H89" s="69" t="s">
        <v>17</v>
      </c>
      <c r="I89" s="68" t="s">
        <v>50</v>
      </c>
      <c r="J89" s="69" t="s">
        <v>90</v>
      </c>
      <c r="K89" s="69" t="s">
        <v>633</v>
      </c>
      <c r="L89" s="68"/>
      <c r="M89" s="68"/>
      <c r="N89" s="68" t="s">
        <v>101</v>
      </c>
      <c r="O89" s="68">
        <v>0</v>
      </c>
      <c r="P89" s="68"/>
      <c r="Q89" s="68"/>
      <c r="R89" s="68"/>
      <c r="S89" s="68"/>
      <c r="X89" s="83" t="s">
        <v>625</v>
      </c>
      <c r="Y89" s="84" t="s">
        <v>699</v>
      </c>
      <c r="Z89" s="84"/>
      <c r="AC89" s="84" t="s">
        <v>795</v>
      </c>
      <c r="AI89" s="83" t="s">
        <v>699</v>
      </c>
      <c r="AW89" s="83">
        <v>110</v>
      </c>
      <c r="BC89" s="84" t="s">
        <v>712</v>
      </c>
      <c r="BD89" s="115">
        <f t="shared" si="2"/>
        <v>0</v>
      </c>
      <c r="BR89" s="84"/>
      <c r="BT89" s="84"/>
      <c r="BU89" s="84"/>
      <c r="CC89" s="115"/>
      <c r="CV89" s="115"/>
    </row>
    <row r="90" spans="1:101" ht="33.75" x14ac:dyDescent="0.15">
      <c r="A90" s="68">
        <v>86</v>
      </c>
      <c r="B90" s="66" t="s">
        <v>279</v>
      </c>
      <c r="C90" s="66">
        <v>1072051486</v>
      </c>
      <c r="D90" s="67" t="str">
        <f t="shared" si="3"/>
        <v>https://portal.dnb.de/opac.htm?method=simpleSearch&amp;cqlMode=true&amp;query=idn%3D1072051486</v>
      </c>
      <c r="E90" s="66" t="s">
        <v>280</v>
      </c>
      <c r="F90" s="66"/>
      <c r="G90" s="68"/>
      <c r="H90" s="69" t="s">
        <v>17</v>
      </c>
      <c r="I90" s="68" t="s">
        <v>50</v>
      </c>
      <c r="J90" s="69" t="s">
        <v>90</v>
      </c>
      <c r="K90" s="69" t="s">
        <v>652</v>
      </c>
      <c r="L90" s="68" t="s">
        <v>67</v>
      </c>
      <c r="M90" s="68" t="s">
        <v>35</v>
      </c>
      <c r="N90" s="68" t="s">
        <v>634</v>
      </c>
      <c r="O90" s="68">
        <v>0</v>
      </c>
      <c r="P90" s="68"/>
      <c r="Q90" s="68" t="s">
        <v>653</v>
      </c>
      <c r="R90" s="68"/>
      <c r="S90" s="68"/>
      <c r="X90" s="83" t="s">
        <v>625</v>
      </c>
      <c r="Y90" s="84" t="s">
        <v>816</v>
      </c>
      <c r="Z90" s="84"/>
      <c r="AC90" s="84" t="s">
        <v>696</v>
      </c>
      <c r="AI90" s="83" t="s">
        <v>699</v>
      </c>
      <c r="AS90" s="83" t="s">
        <v>692</v>
      </c>
      <c r="AT90" s="83" t="s">
        <v>625</v>
      </c>
      <c r="AW90" s="84">
        <v>110</v>
      </c>
      <c r="AX90" s="84"/>
      <c r="BC90" s="84" t="s">
        <v>700</v>
      </c>
      <c r="BD90" s="115">
        <f t="shared" si="2"/>
        <v>0.5</v>
      </c>
      <c r="BF90" s="83" t="s">
        <v>694</v>
      </c>
      <c r="BR90" s="84" t="s">
        <v>625</v>
      </c>
      <c r="BT90" s="84"/>
      <c r="BU90" s="84"/>
      <c r="CC90" s="115">
        <v>0.5</v>
      </c>
      <c r="CV90" s="115"/>
    </row>
    <row r="91" spans="1:101" x14ac:dyDescent="0.15">
      <c r="A91" s="68">
        <v>87</v>
      </c>
      <c r="B91" s="66" t="s">
        <v>281</v>
      </c>
      <c r="C91" s="66">
        <v>1066967733</v>
      </c>
      <c r="D91" s="67" t="str">
        <f t="shared" si="3"/>
        <v>https://portal.dnb.de/opac.htm?method=simpleSearch&amp;cqlMode=true&amp;query=idn%3D1066967733</v>
      </c>
      <c r="E91" s="66" t="s">
        <v>282</v>
      </c>
      <c r="F91" s="66"/>
      <c r="G91" s="68" t="s">
        <v>89</v>
      </c>
      <c r="H91" s="69" t="s">
        <v>45</v>
      </c>
      <c r="I91" s="68" t="s">
        <v>50</v>
      </c>
      <c r="J91" s="69" t="s">
        <v>90</v>
      </c>
      <c r="K91" s="69" t="s">
        <v>60</v>
      </c>
      <c r="L91" s="68"/>
      <c r="M91" s="68" t="s">
        <v>35</v>
      </c>
      <c r="N91" s="68" t="s">
        <v>37</v>
      </c>
      <c r="O91" s="68">
        <v>1</v>
      </c>
      <c r="P91" s="68"/>
      <c r="Q91" s="68"/>
      <c r="R91" s="68"/>
      <c r="S91" s="68"/>
      <c r="X91" s="83" t="s">
        <v>625</v>
      </c>
      <c r="Y91" s="84" t="s">
        <v>786</v>
      </c>
      <c r="Z91" s="84"/>
      <c r="AC91" s="84" t="s">
        <v>695</v>
      </c>
      <c r="AI91" s="83" t="s">
        <v>699</v>
      </c>
      <c r="AS91" s="83" t="s">
        <v>692</v>
      </c>
      <c r="AT91" s="83" t="s">
        <v>625</v>
      </c>
      <c r="AW91" s="84">
        <v>110</v>
      </c>
      <c r="AX91" s="84"/>
      <c r="BC91" s="84" t="s">
        <v>712</v>
      </c>
      <c r="BD91" s="115">
        <f t="shared" si="2"/>
        <v>0</v>
      </c>
      <c r="BF91" s="83" t="s">
        <v>694</v>
      </c>
      <c r="BL91" s="87" t="s">
        <v>822</v>
      </c>
      <c r="BR91" s="84"/>
      <c r="BT91" s="84"/>
      <c r="BU91" s="84"/>
      <c r="CC91" s="115"/>
      <c r="CV91" s="115"/>
    </row>
    <row r="92" spans="1:101" ht="45" x14ac:dyDescent="0.15">
      <c r="A92" s="68">
        <v>88</v>
      </c>
      <c r="B92" s="66" t="s">
        <v>283</v>
      </c>
      <c r="C92" s="66">
        <v>1066966494</v>
      </c>
      <c r="D92" s="67" t="str">
        <f t="shared" si="3"/>
        <v>https://portal.dnb.de/opac.htm?method=simpleSearch&amp;cqlMode=true&amp;query=idn%3D1066966494</v>
      </c>
      <c r="E92" s="66" t="s">
        <v>284</v>
      </c>
      <c r="F92" s="66"/>
      <c r="G92" s="68" t="s">
        <v>89</v>
      </c>
      <c r="H92" s="69" t="s">
        <v>4</v>
      </c>
      <c r="I92" s="68" t="s">
        <v>51</v>
      </c>
      <c r="J92" s="69"/>
      <c r="K92" s="69" t="s">
        <v>631</v>
      </c>
      <c r="L92" s="68" t="s">
        <v>67</v>
      </c>
      <c r="M92" s="68"/>
      <c r="N92" s="68" t="s">
        <v>101</v>
      </c>
      <c r="O92" s="68">
        <v>1</v>
      </c>
      <c r="P92" s="68"/>
      <c r="Q92" s="68"/>
      <c r="R92" s="68"/>
      <c r="S92" s="68"/>
      <c r="Y92" s="84" t="s">
        <v>782</v>
      </c>
      <c r="Z92" s="84"/>
      <c r="AC92" s="84" t="s">
        <v>696</v>
      </c>
      <c r="AI92" s="83" t="s">
        <v>699</v>
      </c>
      <c r="AS92" s="83" t="s">
        <v>693</v>
      </c>
      <c r="AT92" s="83" t="s">
        <v>625</v>
      </c>
      <c r="AW92" s="84" t="s">
        <v>823</v>
      </c>
      <c r="AX92" s="84"/>
      <c r="BC92" s="84" t="s">
        <v>700</v>
      </c>
      <c r="BD92" s="115">
        <f t="shared" si="2"/>
        <v>1</v>
      </c>
      <c r="BR92" s="84" t="s">
        <v>625</v>
      </c>
      <c r="BT92" s="84"/>
      <c r="BU92" s="84"/>
      <c r="CC92" s="115">
        <v>0.5</v>
      </c>
      <c r="CM92" s="83" t="s">
        <v>625</v>
      </c>
      <c r="CV92" s="115">
        <v>0.5</v>
      </c>
    </row>
    <row r="93" spans="1:101" ht="22.5" x14ac:dyDescent="0.15">
      <c r="A93" s="68">
        <v>89</v>
      </c>
      <c r="B93" s="66" t="s">
        <v>285</v>
      </c>
      <c r="C93" s="66">
        <v>1066965285</v>
      </c>
      <c r="D93" s="67" t="str">
        <f t="shared" si="3"/>
        <v>https://portal.dnb.de/opac.htm?method=simpleSearch&amp;cqlMode=true&amp;query=idn%3D1066965285</v>
      </c>
      <c r="E93" s="66" t="s">
        <v>286</v>
      </c>
      <c r="F93" s="66"/>
      <c r="G93" s="68" t="s">
        <v>89</v>
      </c>
      <c r="H93" s="69" t="s">
        <v>16</v>
      </c>
      <c r="I93" s="68" t="s">
        <v>50</v>
      </c>
      <c r="J93" s="69" t="s">
        <v>90</v>
      </c>
      <c r="K93" s="69" t="s">
        <v>626</v>
      </c>
      <c r="L93" s="68"/>
      <c r="M93" s="68"/>
      <c r="N93" s="68" t="s">
        <v>101</v>
      </c>
      <c r="O93" s="68">
        <v>0</v>
      </c>
      <c r="P93" s="68"/>
      <c r="Q93" s="68"/>
      <c r="R93" s="68"/>
      <c r="S93" s="68"/>
      <c r="Y93" s="84" t="s">
        <v>781</v>
      </c>
      <c r="Z93" s="84"/>
      <c r="AC93" s="84" t="s">
        <v>795</v>
      </c>
      <c r="AI93" s="83" t="s">
        <v>699</v>
      </c>
      <c r="AS93" s="83" t="s">
        <v>692</v>
      </c>
      <c r="AT93" s="83" t="s">
        <v>625</v>
      </c>
      <c r="AW93" s="83" t="s">
        <v>826</v>
      </c>
      <c r="BC93" s="84" t="s">
        <v>712</v>
      </c>
      <c r="BD93" s="115">
        <f t="shared" si="2"/>
        <v>0</v>
      </c>
      <c r="BR93" s="84"/>
      <c r="BT93" s="84"/>
      <c r="BU93" s="84"/>
      <c r="CC93" s="115"/>
      <c r="CV93" s="115"/>
    </row>
    <row r="94" spans="1:101" x14ac:dyDescent="0.15">
      <c r="A94" s="68">
        <v>90</v>
      </c>
      <c r="B94" s="66" t="s">
        <v>287</v>
      </c>
      <c r="C94" s="66">
        <v>1066968284</v>
      </c>
      <c r="D94" s="67" t="str">
        <f t="shared" si="3"/>
        <v>https://portal.dnb.de/opac.htm?method=simpleSearch&amp;cqlMode=true&amp;query=idn%3D1066968284</v>
      </c>
      <c r="E94" s="66" t="s">
        <v>288</v>
      </c>
      <c r="F94" s="66"/>
      <c r="G94" s="68" t="s">
        <v>89</v>
      </c>
      <c r="H94" s="69" t="s">
        <v>46</v>
      </c>
      <c r="I94" s="68" t="s">
        <v>51</v>
      </c>
      <c r="J94" s="69" t="s">
        <v>90</v>
      </c>
      <c r="K94" s="69" t="s">
        <v>81</v>
      </c>
      <c r="L94" s="68"/>
      <c r="M94" s="68"/>
      <c r="N94" s="68" t="s">
        <v>101</v>
      </c>
      <c r="O94" s="68">
        <v>0</v>
      </c>
      <c r="P94" s="68"/>
      <c r="Q94" s="68"/>
      <c r="R94" s="68"/>
      <c r="S94" s="68"/>
      <c r="Y94" s="84" t="s">
        <v>787</v>
      </c>
      <c r="Z94" s="84"/>
      <c r="AC94" s="84" t="s">
        <v>795</v>
      </c>
      <c r="AI94" s="83" t="s">
        <v>699</v>
      </c>
      <c r="AW94" s="83">
        <v>110</v>
      </c>
      <c r="BC94" s="84" t="s">
        <v>712</v>
      </c>
      <c r="BD94" s="115">
        <f t="shared" si="2"/>
        <v>0</v>
      </c>
      <c r="BR94" s="84"/>
      <c r="BT94" s="84"/>
      <c r="BU94" s="84"/>
      <c r="CC94" s="115"/>
      <c r="CV94" s="115"/>
    </row>
    <row r="95" spans="1:101" ht="33.75" x14ac:dyDescent="0.15">
      <c r="A95" s="68">
        <v>91</v>
      </c>
      <c r="B95" s="66" t="s">
        <v>289</v>
      </c>
      <c r="C95" s="66">
        <v>1066971234</v>
      </c>
      <c r="D95" s="67" t="str">
        <f t="shared" si="3"/>
        <v>https://portal.dnb.de/opac.htm?method=simpleSearch&amp;cqlMode=true&amp;query=idn%3D1066971234</v>
      </c>
      <c r="E95" s="66" t="s">
        <v>290</v>
      </c>
      <c r="F95" s="66"/>
      <c r="G95" s="68"/>
      <c r="H95" s="69" t="s">
        <v>620</v>
      </c>
      <c r="I95" s="68" t="s">
        <v>51</v>
      </c>
      <c r="J95" s="69" t="s">
        <v>90</v>
      </c>
      <c r="K95" s="69" t="s">
        <v>635</v>
      </c>
      <c r="L95" s="68" t="s">
        <v>67</v>
      </c>
      <c r="M95" s="68"/>
      <c r="N95" s="68" t="s">
        <v>101</v>
      </c>
      <c r="O95" s="68">
        <v>1</v>
      </c>
      <c r="P95" s="68"/>
      <c r="Q95" s="68"/>
      <c r="R95" s="68"/>
      <c r="S95" s="68"/>
      <c r="Y95" s="84" t="s">
        <v>782</v>
      </c>
      <c r="Z95" s="84"/>
      <c r="AC95" s="84" t="s">
        <v>696</v>
      </c>
      <c r="AI95" s="83" t="s">
        <v>699</v>
      </c>
      <c r="AK95" s="83" t="s">
        <v>625</v>
      </c>
      <c r="AS95" s="83" t="s">
        <v>692</v>
      </c>
      <c r="AT95" s="83" t="s">
        <v>625</v>
      </c>
      <c r="AW95" s="83">
        <v>45</v>
      </c>
      <c r="BC95" s="84" t="s">
        <v>700</v>
      </c>
      <c r="BD95" s="115">
        <f t="shared" si="2"/>
        <v>4</v>
      </c>
      <c r="BR95" s="84" t="s">
        <v>625</v>
      </c>
      <c r="BT95" s="84"/>
      <c r="BU95" s="84"/>
      <c r="CC95" s="115">
        <v>1</v>
      </c>
      <c r="CD95" s="87" t="s">
        <v>841</v>
      </c>
      <c r="CI95" s="83" t="s">
        <v>625</v>
      </c>
      <c r="CL95" s="83" t="s">
        <v>625</v>
      </c>
      <c r="CV95" s="115">
        <v>3</v>
      </c>
      <c r="CW95" s="87" t="s">
        <v>842</v>
      </c>
    </row>
    <row r="96" spans="1:101" ht="22.5" x14ac:dyDescent="0.15">
      <c r="A96" s="68">
        <v>92</v>
      </c>
      <c r="B96" s="66" t="s">
        <v>291</v>
      </c>
      <c r="C96" s="66">
        <v>1066968624</v>
      </c>
      <c r="D96" s="67" t="str">
        <f t="shared" si="3"/>
        <v>https://portal.dnb.de/opac.htm?method=simpleSearch&amp;cqlMode=true&amp;query=idn%3D1066968624</v>
      </c>
      <c r="E96" s="66" t="s">
        <v>292</v>
      </c>
      <c r="F96" s="66"/>
      <c r="G96" s="68" t="s">
        <v>89</v>
      </c>
      <c r="H96" s="69" t="s">
        <v>620</v>
      </c>
      <c r="I96" s="68" t="s">
        <v>51</v>
      </c>
      <c r="J96" s="69" t="s">
        <v>90</v>
      </c>
      <c r="K96" s="69" t="s">
        <v>60</v>
      </c>
      <c r="L96" s="68"/>
      <c r="M96" s="68" t="s">
        <v>35</v>
      </c>
      <c r="N96" s="68" t="s">
        <v>37</v>
      </c>
      <c r="O96" s="68">
        <v>0</v>
      </c>
      <c r="P96" s="68"/>
      <c r="Q96" s="68"/>
      <c r="R96" s="68"/>
      <c r="S96" s="68"/>
      <c r="Y96" s="84" t="s">
        <v>782</v>
      </c>
      <c r="Z96" s="84"/>
      <c r="AB96" s="83" t="s">
        <v>625</v>
      </c>
      <c r="AC96" s="84" t="s">
        <v>696</v>
      </c>
      <c r="AI96" s="83" t="s">
        <v>699</v>
      </c>
      <c r="AS96" s="83" t="s">
        <v>692</v>
      </c>
      <c r="AT96" s="83" t="s">
        <v>625</v>
      </c>
      <c r="AW96" s="83">
        <v>110</v>
      </c>
      <c r="BC96" s="84" t="s">
        <v>712</v>
      </c>
      <c r="BD96" s="115">
        <f t="shared" si="2"/>
        <v>0</v>
      </c>
      <c r="BF96" s="83" t="s">
        <v>694</v>
      </c>
      <c r="BR96" s="84"/>
      <c r="BT96" s="84"/>
      <c r="BU96" s="84"/>
      <c r="CC96" s="115"/>
      <c r="CV96" s="115"/>
    </row>
    <row r="97" spans="1:100" ht="22.5" x14ac:dyDescent="0.15">
      <c r="A97" s="68">
        <v>93</v>
      </c>
      <c r="B97" s="66" t="s">
        <v>293</v>
      </c>
      <c r="C97" s="66">
        <v>1048164535</v>
      </c>
      <c r="D97" s="67" t="str">
        <f t="shared" si="3"/>
        <v>https://portal.dnb.de/opac.htm?method=simpleSearch&amp;cqlMode=true&amp;query=idn%3D1048164535</v>
      </c>
      <c r="E97" s="66" t="s">
        <v>650</v>
      </c>
      <c r="F97" s="66"/>
      <c r="G97" s="68"/>
      <c r="H97" s="69" t="s">
        <v>620</v>
      </c>
      <c r="I97" s="68" t="s">
        <v>52</v>
      </c>
      <c r="J97" s="69" t="s">
        <v>90</v>
      </c>
      <c r="K97" s="69" t="s">
        <v>60</v>
      </c>
      <c r="L97" s="68" t="s">
        <v>67</v>
      </c>
      <c r="M97" s="68" t="s">
        <v>35</v>
      </c>
      <c r="N97" s="68" t="s">
        <v>37</v>
      </c>
      <c r="O97" s="68">
        <v>0</v>
      </c>
      <c r="P97" s="68"/>
      <c r="Q97" s="68"/>
      <c r="R97" s="68"/>
      <c r="S97" s="68"/>
      <c r="Y97" s="84" t="s">
        <v>782</v>
      </c>
      <c r="Z97" s="84"/>
      <c r="AB97" s="83" t="s">
        <v>625</v>
      </c>
      <c r="AC97" s="84" t="s">
        <v>696</v>
      </c>
      <c r="AI97" s="83" t="s">
        <v>699</v>
      </c>
      <c r="AS97" s="83" t="s">
        <v>843</v>
      </c>
      <c r="AT97" s="83" t="s">
        <v>847</v>
      </c>
      <c r="AW97" s="83">
        <v>110</v>
      </c>
      <c r="BC97" s="84" t="s">
        <v>712</v>
      </c>
      <c r="BD97" s="115">
        <f t="shared" si="2"/>
        <v>0</v>
      </c>
      <c r="BF97" s="83" t="s">
        <v>694</v>
      </c>
      <c r="BR97" s="84"/>
      <c r="BT97" s="84"/>
      <c r="BU97" s="84"/>
      <c r="CC97" s="115"/>
      <c r="CV97" s="115"/>
    </row>
    <row r="98" spans="1:100" ht="22.5" x14ac:dyDescent="0.15">
      <c r="A98" s="68"/>
      <c r="B98" s="66"/>
      <c r="C98" s="66"/>
      <c r="D98" s="67"/>
      <c r="E98" s="66" t="s">
        <v>651</v>
      </c>
      <c r="F98" s="66"/>
      <c r="G98" s="68" t="s">
        <v>89</v>
      </c>
      <c r="H98" s="69" t="s">
        <v>620</v>
      </c>
      <c r="I98" s="68" t="s">
        <v>52</v>
      </c>
      <c r="J98" s="69" t="s">
        <v>90</v>
      </c>
      <c r="K98" s="69" t="s">
        <v>618</v>
      </c>
      <c r="L98" s="68" t="s">
        <v>67</v>
      </c>
      <c r="M98" s="68" t="s">
        <v>35</v>
      </c>
      <c r="N98" s="68" t="s">
        <v>37</v>
      </c>
      <c r="O98" s="68">
        <v>0</v>
      </c>
      <c r="P98" s="68"/>
      <c r="Q98" s="68"/>
      <c r="R98" s="68"/>
      <c r="S98" s="68"/>
      <c r="Y98" s="84" t="s">
        <v>782</v>
      </c>
      <c r="Z98" s="84"/>
      <c r="AB98" s="83" t="s">
        <v>625</v>
      </c>
      <c r="AC98" s="84" t="s">
        <v>696</v>
      </c>
      <c r="AI98" s="83" t="s">
        <v>699</v>
      </c>
      <c r="AN98" s="83" t="s">
        <v>625</v>
      </c>
      <c r="AS98" s="83" t="s">
        <v>843</v>
      </c>
      <c r="AT98" s="83" t="s">
        <v>847</v>
      </c>
      <c r="AW98" s="83">
        <v>110</v>
      </c>
      <c r="BA98" s="83" t="s">
        <v>625</v>
      </c>
      <c r="BC98" s="84" t="s">
        <v>712</v>
      </c>
      <c r="BD98" s="115">
        <f t="shared" si="2"/>
        <v>0</v>
      </c>
      <c r="BF98" s="83" t="s">
        <v>694</v>
      </c>
      <c r="BR98" s="84"/>
      <c r="BT98" s="84"/>
      <c r="BU98" s="84"/>
      <c r="CC98" s="115"/>
      <c r="CV98" s="115"/>
    </row>
    <row r="99" spans="1:100" ht="22.5" x14ac:dyDescent="0.15">
      <c r="A99" s="68">
        <v>94</v>
      </c>
      <c r="B99" s="66" t="s">
        <v>294</v>
      </c>
      <c r="C99" s="66">
        <v>1066970432</v>
      </c>
      <c r="D99" s="67" t="str">
        <f t="shared" si="3"/>
        <v>https://portal.dnb.de/opac.htm?method=simpleSearch&amp;cqlMode=true&amp;query=idn%3D1066970432</v>
      </c>
      <c r="E99" s="66" t="s">
        <v>295</v>
      </c>
      <c r="F99" s="66"/>
      <c r="G99" s="68" t="s">
        <v>89</v>
      </c>
      <c r="H99" s="69" t="s">
        <v>46</v>
      </c>
      <c r="I99" s="68" t="s">
        <v>51</v>
      </c>
      <c r="J99" s="69" t="s">
        <v>90</v>
      </c>
      <c r="K99" s="69" t="s">
        <v>626</v>
      </c>
      <c r="L99" s="68" t="s">
        <v>67</v>
      </c>
      <c r="M99" s="68" t="s">
        <v>33</v>
      </c>
      <c r="N99" s="68" t="s">
        <v>36</v>
      </c>
      <c r="O99" s="68">
        <v>0</v>
      </c>
      <c r="P99" s="68"/>
      <c r="Q99" s="68"/>
      <c r="R99" s="68"/>
      <c r="S99" s="68"/>
      <c r="Y99" s="84" t="s">
        <v>787</v>
      </c>
      <c r="Z99" s="84"/>
      <c r="AB99" s="83" t="s">
        <v>625</v>
      </c>
      <c r="AC99" s="84" t="s">
        <v>795</v>
      </c>
      <c r="AI99" s="83" t="s">
        <v>699</v>
      </c>
      <c r="AN99" s="83" t="s">
        <v>625</v>
      </c>
      <c r="AS99" s="83" t="s">
        <v>843</v>
      </c>
      <c r="AT99" s="83" t="s">
        <v>625</v>
      </c>
      <c r="AW99" s="83">
        <v>110</v>
      </c>
      <c r="BC99" s="84" t="s">
        <v>712</v>
      </c>
      <c r="BD99" s="115">
        <f t="shared" si="2"/>
        <v>0</v>
      </c>
      <c r="BR99" s="84"/>
      <c r="BT99" s="84"/>
      <c r="BU99" s="84"/>
      <c r="CC99" s="115"/>
      <c r="CV99" s="115"/>
    </row>
    <row r="100" spans="1:100" ht="405" x14ac:dyDescent="0.15">
      <c r="A100" s="68">
        <v>95</v>
      </c>
      <c r="B100" s="66" t="s">
        <v>296</v>
      </c>
      <c r="C100" s="66">
        <v>1066966370</v>
      </c>
      <c r="D100" s="67" t="str">
        <f t="shared" si="3"/>
        <v>https://portal.dnb.de/opac.htm?method=simpleSearch&amp;cqlMode=true&amp;query=idn%3D1066966370</v>
      </c>
      <c r="E100" s="66" t="s">
        <v>297</v>
      </c>
      <c r="F100" s="73" t="s">
        <v>920</v>
      </c>
      <c r="G100" s="68"/>
      <c r="H100" s="69"/>
      <c r="I100" s="68"/>
      <c r="J100" s="69"/>
      <c r="K100" s="69"/>
      <c r="L100" s="68"/>
      <c r="M100" s="68"/>
      <c r="N100" s="68"/>
      <c r="O100" s="68"/>
      <c r="P100" s="68"/>
      <c r="Q100" s="68"/>
      <c r="R100" s="68"/>
      <c r="S100" s="68"/>
      <c r="BD100" s="115">
        <f t="shared" si="2"/>
        <v>0</v>
      </c>
      <c r="CC100" s="115"/>
      <c r="CV100" s="115"/>
    </row>
    <row r="101" spans="1:100" x14ac:dyDescent="0.15">
      <c r="A101" s="68">
        <v>96</v>
      </c>
      <c r="B101" s="66" t="s">
        <v>298</v>
      </c>
      <c r="C101" s="66">
        <v>1066964653</v>
      </c>
      <c r="D101" s="67" t="str">
        <f t="shared" si="3"/>
        <v>https://portal.dnb.de/opac.htm?method=simpleSearch&amp;cqlMode=true&amp;query=idn%3D1066964653</v>
      </c>
      <c r="E101" s="66" t="s">
        <v>299</v>
      </c>
      <c r="F101" s="66"/>
      <c r="G101" s="68"/>
      <c r="H101" s="69"/>
      <c r="I101" s="68"/>
      <c r="J101" s="69"/>
      <c r="K101" s="69"/>
      <c r="L101" s="68"/>
      <c r="M101" s="68"/>
      <c r="N101" s="68"/>
      <c r="O101" s="68"/>
      <c r="P101" s="68"/>
      <c r="Q101" s="68"/>
      <c r="R101" s="68"/>
      <c r="S101" s="68"/>
      <c r="BD101" s="115">
        <f t="shared" si="2"/>
        <v>0</v>
      </c>
      <c r="CC101" s="115"/>
      <c r="CV101" s="115"/>
    </row>
    <row r="102" spans="1:100" x14ac:dyDescent="0.15">
      <c r="A102" s="68">
        <v>97</v>
      </c>
      <c r="B102" s="66" t="s">
        <v>300</v>
      </c>
      <c r="C102" s="66">
        <v>1066966613</v>
      </c>
      <c r="D102" s="67" t="str">
        <f t="shared" si="3"/>
        <v>https://portal.dnb.de/opac.htm?method=simpleSearch&amp;cqlMode=true&amp;query=idn%3D1066966613</v>
      </c>
      <c r="E102" s="66" t="s">
        <v>301</v>
      </c>
      <c r="F102" s="66"/>
      <c r="G102" s="68"/>
      <c r="H102" s="69"/>
      <c r="I102" s="68"/>
      <c r="J102" s="69"/>
      <c r="K102" s="69"/>
      <c r="L102" s="68"/>
      <c r="M102" s="68"/>
      <c r="N102" s="68"/>
      <c r="O102" s="68"/>
      <c r="P102" s="68"/>
      <c r="Q102" s="68"/>
      <c r="R102" s="68"/>
      <c r="S102" s="68"/>
      <c r="BD102" s="115">
        <f t="shared" si="2"/>
        <v>0</v>
      </c>
      <c r="CC102" s="115"/>
      <c r="CV102" s="115"/>
    </row>
    <row r="103" spans="1:100" x14ac:dyDescent="0.15">
      <c r="A103" s="68">
        <v>98</v>
      </c>
      <c r="B103" s="66" t="s">
        <v>302</v>
      </c>
      <c r="C103" s="66" t="s">
        <v>303</v>
      </c>
      <c r="D103" s="67" t="str">
        <f t="shared" si="3"/>
        <v>https://portal.dnb.de/opac.htm?method=simpleSearch&amp;cqlMode=true&amp;query=idn%3D106696971X</v>
      </c>
      <c r="E103" s="66" t="s">
        <v>304</v>
      </c>
      <c r="F103" s="66"/>
      <c r="G103" s="68"/>
      <c r="H103" s="69"/>
      <c r="I103" s="68"/>
      <c r="J103" s="69"/>
      <c r="K103" s="69"/>
      <c r="L103" s="68"/>
      <c r="M103" s="68"/>
      <c r="N103" s="68"/>
      <c r="O103" s="68"/>
      <c r="P103" s="68"/>
      <c r="Q103" s="68"/>
      <c r="R103" s="68"/>
      <c r="S103" s="68"/>
      <c r="BD103" s="115">
        <f t="shared" si="2"/>
        <v>0</v>
      </c>
      <c r="CC103" s="115"/>
      <c r="CV103" s="115"/>
    </row>
    <row r="104" spans="1:100" x14ac:dyDescent="0.15">
      <c r="A104" s="68">
        <v>99</v>
      </c>
      <c r="B104" s="66" t="s">
        <v>305</v>
      </c>
      <c r="C104" s="66">
        <v>1066972419</v>
      </c>
      <c r="D104" s="67" t="str">
        <f t="shared" si="3"/>
        <v>https://portal.dnb.de/opac.htm?method=simpleSearch&amp;cqlMode=true&amp;query=idn%3D1066972419</v>
      </c>
      <c r="E104" s="66" t="s">
        <v>306</v>
      </c>
      <c r="F104" s="66"/>
      <c r="G104" s="68"/>
      <c r="H104" s="69"/>
      <c r="I104" s="68"/>
      <c r="J104" s="69"/>
      <c r="K104" s="69"/>
      <c r="L104" s="68"/>
      <c r="M104" s="68"/>
      <c r="N104" s="68"/>
      <c r="O104" s="68"/>
      <c r="P104" s="68"/>
      <c r="Q104" s="68"/>
      <c r="R104" s="68"/>
      <c r="S104" s="68"/>
      <c r="BD104" s="115">
        <f t="shared" si="2"/>
        <v>0</v>
      </c>
      <c r="CC104" s="115"/>
      <c r="CV104" s="115"/>
    </row>
    <row r="105" spans="1:100" x14ac:dyDescent="0.15">
      <c r="A105" s="68">
        <v>100</v>
      </c>
      <c r="B105" s="66" t="s">
        <v>307</v>
      </c>
      <c r="C105" s="66">
        <v>1066969698</v>
      </c>
      <c r="D105" s="67" t="str">
        <f t="shared" si="3"/>
        <v>https://portal.dnb.de/opac.htm?method=simpleSearch&amp;cqlMode=true&amp;query=idn%3D1066969698</v>
      </c>
      <c r="E105" s="66" t="s">
        <v>308</v>
      </c>
      <c r="F105" s="66"/>
      <c r="G105" s="68"/>
      <c r="H105" s="69"/>
      <c r="I105" s="68"/>
      <c r="J105" s="69"/>
      <c r="K105" s="69"/>
      <c r="L105" s="68"/>
      <c r="M105" s="68"/>
      <c r="N105" s="68"/>
      <c r="O105" s="68"/>
      <c r="P105" s="68"/>
      <c r="Q105" s="68"/>
      <c r="R105" s="68"/>
      <c r="S105" s="68"/>
      <c r="BD105" s="115">
        <f t="shared" si="2"/>
        <v>0</v>
      </c>
      <c r="CC105" s="115"/>
      <c r="CV105" s="115"/>
    </row>
    <row r="106" spans="1:100" x14ac:dyDescent="0.15">
      <c r="A106" s="68">
        <v>101</v>
      </c>
      <c r="B106" s="66" t="s">
        <v>309</v>
      </c>
      <c r="C106" s="66">
        <v>1066969140</v>
      </c>
      <c r="D106" s="67" t="str">
        <f t="shared" si="3"/>
        <v>https://portal.dnb.de/opac.htm?method=simpleSearch&amp;cqlMode=true&amp;query=idn%3D1066969140</v>
      </c>
      <c r="E106" s="66" t="s">
        <v>310</v>
      </c>
      <c r="F106" s="66"/>
      <c r="G106" s="68"/>
      <c r="H106" s="69"/>
      <c r="I106" s="68"/>
      <c r="J106" s="69"/>
      <c r="K106" s="69"/>
      <c r="L106" s="68"/>
      <c r="M106" s="68"/>
      <c r="N106" s="68"/>
      <c r="O106" s="68"/>
      <c r="P106" s="68"/>
      <c r="Q106" s="68"/>
      <c r="R106" s="68"/>
      <c r="S106" s="68"/>
      <c r="BD106" s="115">
        <f t="shared" si="2"/>
        <v>0</v>
      </c>
      <c r="CC106" s="115"/>
      <c r="CV106" s="115"/>
    </row>
    <row r="107" spans="1:100" x14ac:dyDescent="0.15">
      <c r="A107" s="68">
        <v>102</v>
      </c>
      <c r="B107" s="66" t="s">
        <v>311</v>
      </c>
      <c r="C107" s="66">
        <v>1066966567</v>
      </c>
      <c r="D107" s="67" t="str">
        <f t="shared" si="3"/>
        <v>https://portal.dnb.de/opac.htm?method=simpleSearch&amp;cqlMode=true&amp;query=idn%3D1066966567</v>
      </c>
      <c r="E107" s="66" t="s">
        <v>312</v>
      </c>
      <c r="F107" s="66"/>
      <c r="G107" s="68"/>
      <c r="H107" s="69"/>
      <c r="I107" s="68"/>
      <c r="J107" s="69"/>
      <c r="K107" s="69"/>
      <c r="L107" s="68"/>
      <c r="M107" s="68"/>
      <c r="N107" s="68"/>
      <c r="O107" s="68"/>
      <c r="P107" s="68"/>
      <c r="Q107" s="68"/>
      <c r="R107" s="68"/>
      <c r="S107" s="68"/>
      <c r="BD107" s="115">
        <f t="shared" si="2"/>
        <v>0</v>
      </c>
      <c r="CC107" s="115"/>
      <c r="CV107" s="115"/>
    </row>
    <row r="108" spans="1:100" x14ac:dyDescent="0.15">
      <c r="A108" s="68">
        <v>103</v>
      </c>
      <c r="B108" s="66" t="s">
        <v>313</v>
      </c>
      <c r="C108" s="66">
        <v>1066971269</v>
      </c>
      <c r="D108" s="67" t="str">
        <f t="shared" si="3"/>
        <v>https://portal.dnb.de/opac.htm?method=simpleSearch&amp;cqlMode=true&amp;query=idn%3D1066971269</v>
      </c>
      <c r="E108" s="66" t="s">
        <v>314</v>
      </c>
      <c r="F108" s="66"/>
      <c r="G108" s="68"/>
      <c r="H108" s="69"/>
      <c r="I108" s="68"/>
      <c r="J108" s="69"/>
      <c r="K108" s="69"/>
      <c r="L108" s="68"/>
      <c r="M108" s="68"/>
      <c r="N108" s="68"/>
      <c r="O108" s="68"/>
      <c r="P108" s="68"/>
      <c r="Q108" s="68"/>
      <c r="R108" s="68"/>
      <c r="S108" s="68"/>
      <c r="BD108" s="115">
        <f t="shared" si="2"/>
        <v>0</v>
      </c>
      <c r="CC108" s="115"/>
      <c r="CV108" s="115"/>
    </row>
    <row r="109" spans="1:100" x14ac:dyDescent="0.15">
      <c r="A109" s="68">
        <v>104</v>
      </c>
      <c r="B109" s="66" t="s">
        <v>315</v>
      </c>
      <c r="C109" s="66" t="s">
        <v>316</v>
      </c>
      <c r="D109" s="67" t="str">
        <f t="shared" si="3"/>
        <v>https://portal.dnb.de/opac.htm?method=simpleSearch&amp;cqlMode=true&amp;query=idn%3D106697120X</v>
      </c>
      <c r="E109" s="66" t="s">
        <v>317</v>
      </c>
      <c r="F109" s="66"/>
      <c r="G109" s="68"/>
      <c r="H109" s="69"/>
      <c r="I109" s="68"/>
      <c r="J109" s="69"/>
      <c r="K109" s="69"/>
      <c r="L109" s="68"/>
      <c r="M109" s="68"/>
      <c r="N109" s="68"/>
      <c r="O109" s="68"/>
      <c r="P109" s="68"/>
      <c r="Q109" s="68"/>
      <c r="R109" s="68"/>
      <c r="S109" s="68"/>
      <c r="BD109" s="115">
        <f t="shared" si="2"/>
        <v>0</v>
      </c>
      <c r="CC109" s="115"/>
      <c r="CV109" s="115"/>
    </row>
    <row r="110" spans="1:100" x14ac:dyDescent="0.15">
      <c r="A110" s="68">
        <v>105</v>
      </c>
      <c r="B110" s="66" t="s">
        <v>318</v>
      </c>
      <c r="C110" s="66">
        <v>1066971609</v>
      </c>
      <c r="D110" s="67" t="str">
        <f t="shared" si="3"/>
        <v>https://portal.dnb.de/opac.htm?method=simpleSearch&amp;cqlMode=true&amp;query=idn%3D1066971609</v>
      </c>
      <c r="E110" s="66" t="s">
        <v>319</v>
      </c>
      <c r="F110" s="66"/>
      <c r="G110" s="68"/>
      <c r="H110" s="69"/>
      <c r="I110" s="68"/>
      <c r="J110" s="69"/>
      <c r="K110" s="69"/>
      <c r="L110" s="68"/>
      <c r="M110" s="68"/>
      <c r="N110" s="68"/>
      <c r="O110" s="68"/>
      <c r="P110" s="68"/>
      <c r="Q110" s="68"/>
      <c r="R110" s="68"/>
      <c r="S110" s="68"/>
      <c r="BD110" s="115">
        <f t="shared" si="2"/>
        <v>0</v>
      </c>
      <c r="CC110" s="115"/>
      <c r="CV110" s="115"/>
    </row>
    <row r="111" spans="1:100" x14ac:dyDescent="0.15">
      <c r="A111" s="68">
        <v>106</v>
      </c>
      <c r="B111" s="66" t="s">
        <v>320</v>
      </c>
      <c r="C111" s="66">
        <v>1066965382</v>
      </c>
      <c r="D111" s="67" t="str">
        <f t="shared" si="3"/>
        <v>https://portal.dnb.de/opac.htm?method=simpleSearch&amp;cqlMode=true&amp;query=idn%3D1066965382</v>
      </c>
      <c r="E111" s="66" t="s">
        <v>321</v>
      </c>
      <c r="F111" s="66"/>
      <c r="G111" s="68"/>
      <c r="H111" s="69"/>
      <c r="I111" s="68"/>
      <c r="J111" s="69"/>
      <c r="K111" s="69"/>
      <c r="L111" s="68"/>
      <c r="M111" s="68"/>
      <c r="N111" s="68"/>
      <c r="O111" s="68"/>
      <c r="P111" s="68"/>
      <c r="Q111" s="68"/>
      <c r="R111" s="68"/>
      <c r="S111" s="68"/>
      <c r="BD111" s="115">
        <f t="shared" si="2"/>
        <v>0</v>
      </c>
      <c r="CC111" s="115"/>
      <c r="CV111" s="115"/>
    </row>
    <row r="112" spans="1:100" x14ac:dyDescent="0.15">
      <c r="A112" s="68">
        <v>107</v>
      </c>
      <c r="B112" s="66" t="s">
        <v>322</v>
      </c>
      <c r="C112" s="66">
        <v>1066969302</v>
      </c>
      <c r="D112" s="67" t="str">
        <f t="shared" si="3"/>
        <v>https://portal.dnb.de/opac.htm?method=simpleSearch&amp;cqlMode=true&amp;query=idn%3D1066969302</v>
      </c>
      <c r="E112" s="66" t="s">
        <v>323</v>
      </c>
      <c r="F112" s="66"/>
      <c r="G112" s="68"/>
      <c r="H112" s="69"/>
      <c r="I112" s="68"/>
      <c r="J112" s="69"/>
      <c r="K112" s="69"/>
      <c r="L112" s="68"/>
      <c r="M112" s="68"/>
      <c r="N112" s="68"/>
      <c r="O112" s="68"/>
      <c r="P112" s="68"/>
      <c r="Q112" s="68"/>
      <c r="R112" s="68"/>
      <c r="S112" s="68"/>
      <c r="BD112" s="115">
        <f t="shared" si="2"/>
        <v>0</v>
      </c>
      <c r="CC112" s="115"/>
      <c r="CV112" s="115"/>
    </row>
    <row r="113" spans="1:100" x14ac:dyDescent="0.15">
      <c r="A113" s="68">
        <v>108</v>
      </c>
      <c r="B113" s="66" t="s">
        <v>324</v>
      </c>
      <c r="C113" s="66">
        <v>1066971048</v>
      </c>
      <c r="D113" s="67" t="str">
        <f t="shared" si="3"/>
        <v>https://portal.dnb.de/opac.htm?method=simpleSearch&amp;cqlMode=true&amp;query=idn%3D1066971048</v>
      </c>
      <c r="E113" s="66" t="s">
        <v>325</v>
      </c>
      <c r="F113" s="66"/>
      <c r="G113" s="68"/>
      <c r="H113" s="69"/>
      <c r="I113" s="68"/>
      <c r="J113" s="69"/>
      <c r="K113" s="69"/>
      <c r="L113" s="68"/>
      <c r="M113" s="68"/>
      <c r="N113" s="68"/>
      <c r="O113" s="68"/>
      <c r="P113" s="68"/>
      <c r="Q113" s="68"/>
      <c r="R113" s="68"/>
      <c r="S113" s="68"/>
      <c r="BD113" s="115">
        <f t="shared" si="2"/>
        <v>0</v>
      </c>
      <c r="CC113" s="115"/>
      <c r="CV113" s="115"/>
    </row>
    <row r="114" spans="1:100" x14ac:dyDescent="0.15">
      <c r="A114" s="68">
        <v>109</v>
      </c>
      <c r="B114" s="66" t="s">
        <v>326</v>
      </c>
      <c r="C114" s="66">
        <v>1066972605</v>
      </c>
      <c r="D114" s="67" t="str">
        <f t="shared" si="3"/>
        <v>https://portal.dnb.de/opac.htm?method=simpleSearch&amp;cqlMode=true&amp;query=idn%3D1066972605</v>
      </c>
      <c r="E114" s="66" t="s">
        <v>327</v>
      </c>
      <c r="F114" s="66"/>
      <c r="G114" s="68"/>
      <c r="H114" s="69"/>
      <c r="I114" s="68"/>
      <c r="J114" s="69"/>
      <c r="K114" s="69"/>
      <c r="L114" s="68"/>
      <c r="M114" s="68"/>
      <c r="N114" s="68"/>
      <c r="O114" s="68"/>
      <c r="P114" s="68"/>
      <c r="Q114" s="68"/>
      <c r="R114" s="68"/>
      <c r="S114" s="68"/>
      <c r="BD114" s="115">
        <f t="shared" si="2"/>
        <v>0</v>
      </c>
      <c r="CC114" s="115"/>
      <c r="CV114" s="115"/>
    </row>
    <row r="115" spans="1:100" x14ac:dyDescent="0.15">
      <c r="A115" s="68">
        <v>110</v>
      </c>
      <c r="B115" s="66" t="s">
        <v>328</v>
      </c>
      <c r="C115" s="66">
        <v>1072261766</v>
      </c>
      <c r="D115" s="67" t="str">
        <f t="shared" si="3"/>
        <v>https://portal.dnb.de/opac.htm?method=simpleSearch&amp;cqlMode=true&amp;query=idn%3D1072261766</v>
      </c>
      <c r="E115" s="66" t="s">
        <v>329</v>
      </c>
      <c r="F115" s="66"/>
      <c r="G115" s="68"/>
      <c r="H115" s="69"/>
      <c r="I115" s="68"/>
      <c r="J115" s="69"/>
      <c r="K115" s="69"/>
      <c r="L115" s="68"/>
      <c r="M115" s="68"/>
      <c r="N115" s="68"/>
      <c r="O115" s="68"/>
      <c r="P115" s="68"/>
      <c r="Q115" s="68"/>
      <c r="R115" s="68"/>
      <c r="S115" s="68"/>
      <c r="BD115" s="115">
        <f t="shared" si="2"/>
        <v>0</v>
      </c>
      <c r="CC115" s="115"/>
      <c r="CV115" s="115"/>
    </row>
    <row r="116" spans="1:100" x14ac:dyDescent="0.15">
      <c r="A116" s="68">
        <v>111</v>
      </c>
      <c r="B116" s="66" t="s">
        <v>330</v>
      </c>
      <c r="C116" s="66">
        <v>1066969817</v>
      </c>
      <c r="D116" s="67" t="str">
        <f t="shared" si="3"/>
        <v>https://portal.dnb.de/opac.htm?method=simpleSearch&amp;cqlMode=true&amp;query=idn%3D1066969817</v>
      </c>
      <c r="E116" s="66" t="s">
        <v>331</v>
      </c>
      <c r="F116" s="66"/>
      <c r="G116" s="68"/>
      <c r="H116" s="69"/>
      <c r="I116" s="68"/>
      <c r="J116" s="69"/>
      <c r="K116" s="69"/>
      <c r="L116" s="68"/>
      <c r="M116" s="68"/>
      <c r="N116" s="68"/>
      <c r="O116" s="68"/>
      <c r="P116" s="68"/>
      <c r="Q116" s="68"/>
      <c r="R116" s="68"/>
      <c r="S116" s="68"/>
      <c r="BD116" s="115">
        <f t="shared" si="2"/>
        <v>0</v>
      </c>
      <c r="CC116" s="115"/>
      <c r="CV116" s="115"/>
    </row>
    <row r="117" spans="1:100" x14ac:dyDescent="0.15">
      <c r="A117" s="68">
        <v>112</v>
      </c>
      <c r="B117" s="66" t="s">
        <v>332</v>
      </c>
      <c r="C117" s="66">
        <v>1066966206</v>
      </c>
      <c r="D117" s="67" t="str">
        <f t="shared" si="3"/>
        <v>https://portal.dnb.de/opac.htm?method=simpleSearch&amp;cqlMode=true&amp;query=idn%3D1066966206</v>
      </c>
      <c r="E117" s="66" t="s">
        <v>333</v>
      </c>
      <c r="F117" s="66"/>
      <c r="G117" s="68"/>
      <c r="H117" s="69"/>
      <c r="I117" s="68"/>
      <c r="J117" s="69"/>
      <c r="K117" s="69"/>
      <c r="L117" s="68"/>
      <c r="M117" s="68"/>
      <c r="N117" s="68"/>
      <c r="O117" s="68"/>
      <c r="P117" s="68"/>
      <c r="Q117" s="68"/>
      <c r="R117" s="68"/>
      <c r="S117" s="68"/>
      <c r="BD117" s="115">
        <f t="shared" si="2"/>
        <v>0</v>
      </c>
      <c r="CC117" s="115"/>
      <c r="CV117" s="115"/>
    </row>
    <row r="118" spans="1:100" x14ac:dyDescent="0.15">
      <c r="A118" s="68">
        <v>113</v>
      </c>
      <c r="B118" s="66" t="s">
        <v>334</v>
      </c>
      <c r="C118" s="66">
        <v>1066971838</v>
      </c>
      <c r="D118" s="67" t="str">
        <f t="shared" si="3"/>
        <v>https://portal.dnb.de/opac.htm?method=simpleSearch&amp;cqlMode=true&amp;query=idn%3D1066971838</v>
      </c>
      <c r="E118" s="66" t="s">
        <v>335</v>
      </c>
      <c r="F118" s="66"/>
      <c r="G118" s="68"/>
      <c r="H118" s="69"/>
      <c r="I118" s="68"/>
      <c r="J118" s="69"/>
      <c r="K118" s="69"/>
      <c r="L118" s="68"/>
      <c r="M118" s="68"/>
      <c r="N118" s="68"/>
      <c r="O118" s="68"/>
      <c r="P118" s="68"/>
      <c r="Q118" s="68"/>
      <c r="R118" s="68"/>
      <c r="S118" s="68"/>
      <c r="BD118" s="115">
        <f t="shared" si="2"/>
        <v>0</v>
      </c>
      <c r="CC118" s="115"/>
      <c r="CV118" s="115"/>
    </row>
    <row r="119" spans="1:100" x14ac:dyDescent="0.15">
      <c r="A119" s="68">
        <v>114</v>
      </c>
      <c r="B119" s="66" t="s">
        <v>336</v>
      </c>
      <c r="C119" s="66">
        <v>1066967946</v>
      </c>
      <c r="D119" s="67" t="str">
        <f t="shared" si="3"/>
        <v>https://portal.dnb.de/opac.htm?method=simpleSearch&amp;cqlMode=true&amp;query=idn%3D1066967946</v>
      </c>
      <c r="E119" s="66" t="s">
        <v>337</v>
      </c>
      <c r="F119" s="66"/>
      <c r="G119" s="68"/>
      <c r="H119" s="69"/>
      <c r="I119" s="68"/>
      <c r="J119" s="69"/>
      <c r="K119" s="69"/>
      <c r="L119" s="68"/>
      <c r="M119" s="68"/>
      <c r="N119" s="68"/>
      <c r="O119" s="68"/>
      <c r="P119" s="68"/>
      <c r="Q119" s="68"/>
      <c r="R119" s="68"/>
      <c r="S119" s="68"/>
      <c r="BD119" s="115">
        <f t="shared" si="2"/>
        <v>0</v>
      </c>
      <c r="CC119" s="115"/>
      <c r="CV119" s="115"/>
    </row>
    <row r="120" spans="1:100" x14ac:dyDescent="0.15">
      <c r="A120" s="68">
        <v>115</v>
      </c>
      <c r="B120" s="66" t="s">
        <v>338</v>
      </c>
      <c r="C120" s="66">
        <v>1066971579</v>
      </c>
      <c r="D120" s="67" t="str">
        <f t="shared" si="3"/>
        <v>https://portal.dnb.de/opac.htm?method=simpleSearch&amp;cqlMode=true&amp;query=idn%3D1066971579</v>
      </c>
      <c r="E120" s="66" t="s">
        <v>339</v>
      </c>
      <c r="F120" s="66"/>
      <c r="G120" s="68"/>
      <c r="H120" s="69"/>
      <c r="I120" s="68"/>
      <c r="J120" s="69"/>
      <c r="K120" s="69"/>
      <c r="L120" s="68"/>
      <c r="M120" s="68"/>
      <c r="N120" s="68"/>
      <c r="O120" s="68"/>
      <c r="P120" s="68"/>
      <c r="Q120" s="68"/>
      <c r="R120" s="68"/>
      <c r="S120" s="68"/>
      <c r="BD120" s="115">
        <f t="shared" si="2"/>
        <v>0</v>
      </c>
      <c r="CC120" s="115"/>
      <c r="CV120" s="115"/>
    </row>
    <row r="121" spans="1:100" x14ac:dyDescent="0.15">
      <c r="A121" s="68">
        <v>116</v>
      </c>
      <c r="B121" s="66" t="s">
        <v>340</v>
      </c>
      <c r="C121" s="66">
        <v>1066967687</v>
      </c>
      <c r="D121" s="67" t="str">
        <f t="shared" si="3"/>
        <v>https://portal.dnb.de/opac.htm?method=simpleSearch&amp;cqlMode=true&amp;query=idn%3D1066967687</v>
      </c>
      <c r="E121" s="66" t="s">
        <v>341</v>
      </c>
      <c r="F121" s="66"/>
      <c r="G121" s="68"/>
      <c r="H121" s="69"/>
      <c r="I121" s="68"/>
      <c r="J121" s="69"/>
      <c r="K121" s="69"/>
      <c r="L121" s="68"/>
      <c r="M121" s="68"/>
      <c r="N121" s="68"/>
      <c r="O121" s="68"/>
      <c r="P121" s="68"/>
      <c r="Q121" s="68"/>
      <c r="R121" s="68"/>
      <c r="S121" s="68"/>
      <c r="BD121" s="115">
        <f t="shared" si="2"/>
        <v>0</v>
      </c>
      <c r="CC121" s="115"/>
      <c r="CV121" s="115"/>
    </row>
    <row r="122" spans="1:100" x14ac:dyDescent="0.15">
      <c r="A122" s="68">
        <v>117</v>
      </c>
      <c r="B122" s="66" t="s">
        <v>342</v>
      </c>
      <c r="C122" s="66">
        <v>1066970483</v>
      </c>
      <c r="D122" s="67" t="str">
        <f t="shared" si="3"/>
        <v>https://portal.dnb.de/opac.htm?method=simpleSearch&amp;cqlMode=true&amp;query=idn%3D1066970483</v>
      </c>
      <c r="E122" s="66" t="s">
        <v>343</v>
      </c>
      <c r="F122" s="66"/>
      <c r="G122" s="68"/>
      <c r="H122" s="69"/>
      <c r="I122" s="68"/>
      <c r="J122" s="69"/>
      <c r="K122" s="69"/>
      <c r="L122" s="68"/>
      <c r="M122" s="68"/>
      <c r="N122" s="68"/>
      <c r="O122" s="68"/>
      <c r="P122" s="68"/>
      <c r="Q122" s="68"/>
      <c r="R122" s="68"/>
      <c r="S122" s="68"/>
      <c r="BD122" s="115">
        <f t="shared" si="2"/>
        <v>0</v>
      </c>
      <c r="CC122" s="115"/>
      <c r="CV122" s="115"/>
    </row>
    <row r="123" spans="1:100" x14ac:dyDescent="0.15">
      <c r="A123" s="68">
        <v>118</v>
      </c>
      <c r="B123" s="66" t="s">
        <v>344</v>
      </c>
      <c r="C123" s="66" t="s">
        <v>345</v>
      </c>
      <c r="D123" s="67" t="str">
        <f t="shared" si="3"/>
        <v>https://portal.dnb.de/opac.htm?method=simpleSearch&amp;cqlMode=true&amp;query=idn%3D106697215X</v>
      </c>
      <c r="E123" s="66" t="s">
        <v>346</v>
      </c>
      <c r="F123" s="66"/>
      <c r="G123" s="68"/>
      <c r="H123" s="69"/>
      <c r="I123" s="68"/>
      <c r="J123" s="69"/>
      <c r="K123" s="69"/>
      <c r="L123" s="68"/>
      <c r="M123" s="68"/>
      <c r="N123" s="68"/>
      <c r="O123" s="68"/>
      <c r="P123" s="68"/>
      <c r="Q123" s="68"/>
      <c r="R123" s="68"/>
      <c r="S123" s="68"/>
      <c r="BD123" s="115">
        <f t="shared" si="2"/>
        <v>0</v>
      </c>
      <c r="CC123" s="115"/>
      <c r="CV123" s="115"/>
    </row>
    <row r="124" spans="1:100" x14ac:dyDescent="0.15">
      <c r="A124" s="68">
        <v>119</v>
      </c>
      <c r="B124" s="66" t="s">
        <v>347</v>
      </c>
      <c r="C124" s="66">
        <v>1072262169</v>
      </c>
      <c r="D124" s="67" t="str">
        <f t="shared" si="3"/>
        <v>https://portal.dnb.de/opac.htm?method=simpleSearch&amp;cqlMode=true&amp;query=idn%3D1072262169</v>
      </c>
      <c r="E124" s="66" t="s">
        <v>348</v>
      </c>
      <c r="F124" s="66"/>
      <c r="G124" s="68"/>
      <c r="H124" s="69"/>
      <c r="I124" s="68"/>
      <c r="J124" s="69"/>
      <c r="K124" s="69"/>
      <c r="L124" s="68"/>
      <c r="M124" s="68"/>
      <c r="N124" s="68"/>
      <c r="O124" s="68"/>
      <c r="P124" s="68"/>
      <c r="Q124" s="68"/>
      <c r="R124" s="68"/>
      <c r="S124" s="68"/>
      <c r="BD124" s="115">
        <f t="shared" si="2"/>
        <v>0</v>
      </c>
      <c r="CC124" s="115"/>
      <c r="CV124" s="115"/>
    </row>
    <row r="125" spans="1:100" x14ac:dyDescent="0.15">
      <c r="A125" s="68">
        <v>120</v>
      </c>
      <c r="B125" s="66" t="s">
        <v>349</v>
      </c>
      <c r="C125" s="66">
        <v>1066965390</v>
      </c>
      <c r="D125" s="67" t="str">
        <f t="shared" si="3"/>
        <v>https://portal.dnb.de/opac.htm?method=simpleSearch&amp;cqlMode=true&amp;query=idn%3D1066965390</v>
      </c>
      <c r="E125" s="66" t="s">
        <v>350</v>
      </c>
      <c r="F125" s="66"/>
      <c r="G125" s="68"/>
      <c r="H125" s="69"/>
      <c r="I125" s="68"/>
      <c r="J125" s="69"/>
      <c r="K125" s="69"/>
      <c r="L125" s="68"/>
      <c r="M125" s="68"/>
      <c r="N125" s="68"/>
      <c r="O125" s="68"/>
      <c r="P125" s="68"/>
      <c r="Q125" s="68"/>
      <c r="R125" s="68"/>
      <c r="S125" s="68"/>
      <c r="BD125" s="115">
        <f t="shared" si="2"/>
        <v>0</v>
      </c>
      <c r="CC125" s="115"/>
      <c r="CV125" s="115"/>
    </row>
    <row r="126" spans="1:100" x14ac:dyDescent="0.15">
      <c r="A126" s="68">
        <v>121</v>
      </c>
      <c r="B126" s="66" t="s">
        <v>351</v>
      </c>
      <c r="C126" s="66">
        <v>1066969221</v>
      </c>
      <c r="D126" s="67" t="str">
        <f t="shared" si="3"/>
        <v>https://portal.dnb.de/opac.htm?method=simpleSearch&amp;cqlMode=true&amp;query=idn%3D1066969221</v>
      </c>
      <c r="E126" s="66" t="s">
        <v>352</v>
      </c>
      <c r="F126" s="66"/>
      <c r="G126" s="68"/>
      <c r="H126" s="69"/>
      <c r="I126" s="68"/>
      <c r="J126" s="69"/>
      <c r="K126" s="69"/>
      <c r="L126" s="68"/>
      <c r="M126" s="68"/>
      <c r="N126" s="68"/>
      <c r="O126" s="68"/>
      <c r="P126" s="68"/>
      <c r="Q126" s="68"/>
      <c r="R126" s="68"/>
      <c r="S126" s="68"/>
      <c r="BD126" s="115">
        <f t="shared" si="2"/>
        <v>0</v>
      </c>
      <c r="CC126" s="115"/>
      <c r="CV126" s="115"/>
    </row>
    <row r="127" spans="1:100" x14ac:dyDescent="0.15">
      <c r="A127" s="68">
        <v>122</v>
      </c>
      <c r="B127" s="66" t="s">
        <v>353</v>
      </c>
      <c r="C127" s="66">
        <v>1066968489</v>
      </c>
      <c r="D127" s="67" t="str">
        <f t="shared" si="3"/>
        <v>https://portal.dnb.de/opac.htm?method=simpleSearch&amp;cqlMode=true&amp;query=idn%3D1066968489</v>
      </c>
      <c r="E127" s="66" t="s">
        <v>354</v>
      </c>
      <c r="F127" s="66"/>
      <c r="G127" s="68"/>
      <c r="H127" s="69"/>
      <c r="I127" s="68"/>
      <c r="J127" s="69"/>
      <c r="K127" s="69"/>
      <c r="L127" s="68"/>
      <c r="M127" s="68"/>
      <c r="N127" s="68"/>
      <c r="O127" s="68"/>
      <c r="P127" s="68"/>
      <c r="Q127" s="68"/>
      <c r="R127" s="68"/>
      <c r="S127" s="68"/>
      <c r="BD127" s="115">
        <f t="shared" si="2"/>
        <v>0</v>
      </c>
      <c r="CC127" s="115"/>
      <c r="CV127" s="115"/>
    </row>
    <row r="128" spans="1:100" x14ac:dyDescent="0.15">
      <c r="A128" s="68">
        <v>123</v>
      </c>
      <c r="B128" s="66" t="s">
        <v>355</v>
      </c>
      <c r="C128" s="66">
        <v>1066970289</v>
      </c>
      <c r="D128" s="67" t="str">
        <f t="shared" si="3"/>
        <v>https://portal.dnb.de/opac.htm?method=simpleSearch&amp;cqlMode=true&amp;query=idn%3D1066970289</v>
      </c>
      <c r="E128" s="66" t="s">
        <v>356</v>
      </c>
      <c r="F128" s="66"/>
      <c r="G128" s="68"/>
      <c r="H128" s="69"/>
      <c r="I128" s="68"/>
      <c r="J128" s="69"/>
      <c r="K128" s="69"/>
      <c r="L128" s="68"/>
      <c r="M128" s="68"/>
      <c r="N128" s="68"/>
      <c r="O128" s="68"/>
      <c r="P128" s="68"/>
      <c r="Q128" s="68"/>
      <c r="R128" s="68"/>
      <c r="S128" s="68"/>
      <c r="BD128" s="115">
        <f t="shared" si="2"/>
        <v>0</v>
      </c>
      <c r="CC128" s="115"/>
      <c r="CV128" s="115"/>
    </row>
    <row r="129" spans="1:100" x14ac:dyDescent="0.15">
      <c r="A129" s="68">
        <v>124</v>
      </c>
      <c r="B129" s="66" t="s">
        <v>357</v>
      </c>
      <c r="C129" s="66">
        <v>1066964645</v>
      </c>
      <c r="D129" s="67" t="str">
        <f t="shared" si="3"/>
        <v>https://portal.dnb.de/opac.htm?method=simpleSearch&amp;cqlMode=true&amp;query=idn%3D1066964645</v>
      </c>
      <c r="E129" s="66" t="s">
        <v>358</v>
      </c>
      <c r="F129" s="66"/>
      <c r="G129" s="68"/>
      <c r="H129" s="69"/>
      <c r="I129" s="68"/>
      <c r="J129" s="69"/>
      <c r="K129" s="69"/>
      <c r="L129" s="68"/>
      <c r="M129" s="68"/>
      <c r="N129" s="68"/>
      <c r="O129" s="68"/>
      <c r="P129" s="68"/>
      <c r="Q129" s="68"/>
      <c r="R129" s="68"/>
      <c r="S129" s="68"/>
      <c r="BD129" s="115">
        <f t="shared" si="2"/>
        <v>0</v>
      </c>
      <c r="CC129" s="115"/>
      <c r="CV129" s="115"/>
    </row>
    <row r="130" spans="1:100" x14ac:dyDescent="0.15">
      <c r="A130" s="68">
        <v>125</v>
      </c>
      <c r="B130" s="66" t="s">
        <v>359</v>
      </c>
      <c r="C130" s="66" t="s">
        <v>360</v>
      </c>
      <c r="D130" s="67" t="str">
        <f t="shared" si="3"/>
        <v>https://portal.dnb.de/opac.htm?method=simpleSearch&amp;cqlMode=true&amp;query=idn%3D106696906X</v>
      </c>
      <c r="E130" s="66" t="s">
        <v>361</v>
      </c>
      <c r="F130" s="66"/>
      <c r="G130" s="68"/>
      <c r="H130" s="69"/>
      <c r="I130" s="68"/>
      <c r="J130" s="69"/>
      <c r="K130" s="69"/>
      <c r="L130" s="68"/>
      <c r="M130" s="68"/>
      <c r="N130" s="68"/>
      <c r="O130" s="68"/>
      <c r="P130" s="68"/>
      <c r="Q130" s="68"/>
      <c r="R130" s="68"/>
      <c r="S130" s="68"/>
      <c r="BD130" s="115">
        <f t="shared" ref="BD130:BD193" si="4">CC130+CV130</f>
        <v>0</v>
      </c>
      <c r="CC130" s="115"/>
      <c r="CV130" s="115"/>
    </row>
    <row r="131" spans="1:100" x14ac:dyDescent="0.15">
      <c r="A131" s="68">
        <v>126</v>
      </c>
      <c r="B131" s="66" t="s">
        <v>362</v>
      </c>
      <c r="C131" s="66">
        <v>1066972001</v>
      </c>
      <c r="D131" s="67" t="str">
        <f t="shared" si="3"/>
        <v>https://portal.dnb.de/opac.htm?method=simpleSearch&amp;cqlMode=true&amp;query=idn%3D1066972001</v>
      </c>
      <c r="E131" s="66" t="s">
        <v>363</v>
      </c>
      <c r="F131" s="66"/>
      <c r="G131" s="68"/>
      <c r="H131" s="69"/>
      <c r="I131" s="68"/>
      <c r="J131" s="69"/>
      <c r="K131" s="69"/>
      <c r="L131" s="68"/>
      <c r="M131" s="68"/>
      <c r="N131" s="68"/>
      <c r="O131" s="68"/>
      <c r="P131" s="68"/>
      <c r="Q131" s="68"/>
      <c r="R131" s="68"/>
      <c r="S131" s="68"/>
      <c r="BD131" s="115">
        <f t="shared" si="4"/>
        <v>0</v>
      </c>
      <c r="CC131" s="115"/>
      <c r="CV131" s="115"/>
    </row>
    <row r="132" spans="1:100" x14ac:dyDescent="0.15">
      <c r="A132" s="68">
        <v>127</v>
      </c>
      <c r="B132" s="66" t="s">
        <v>364</v>
      </c>
      <c r="C132" s="66">
        <v>1173179100</v>
      </c>
      <c r="D132" s="67" t="str">
        <f t="shared" si="3"/>
        <v>https://portal.dnb.de/opac.htm?method=simpleSearch&amp;cqlMode=true&amp;query=idn%3D1173179100</v>
      </c>
      <c r="E132" s="66" t="s">
        <v>365</v>
      </c>
      <c r="F132" s="66"/>
      <c r="G132" s="68"/>
      <c r="H132" s="69"/>
      <c r="I132" s="68"/>
      <c r="J132" s="69"/>
      <c r="K132" s="69"/>
      <c r="L132" s="68"/>
      <c r="M132" s="68"/>
      <c r="N132" s="68"/>
      <c r="O132" s="68"/>
      <c r="P132" s="68"/>
      <c r="Q132" s="68"/>
      <c r="R132" s="68"/>
      <c r="S132" s="68"/>
      <c r="BD132" s="115">
        <f t="shared" si="4"/>
        <v>0</v>
      </c>
      <c r="CC132" s="115"/>
      <c r="CV132" s="115"/>
    </row>
    <row r="133" spans="1:100" x14ac:dyDescent="0.15">
      <c r="A133" s="68">
        <v>128</v>
      </c>
      <c r="B133" s="66" t="s">
        <v>366</v>
      </c>
      <c r="C133" s="66">
        <v>1066965331</v>
      </c>
      <c r="D133" s="67" t="str">
        <f t="shared" si="3"/>
        <v>https://portal.dnb.de/opac.htm?method=simpleSearch&amp;cqlMode=true&amp;query=idn%3D1066965331</v>
      </c>
      <c r="E133" s="66" t="s">
        <v>367</v>
      </c>
      <c r="F133" s="66"/>
      <c r="G133" s="68"/>
      <c r="H133" s="69"/>
      <c r="I133" s="68"/>
      <c r="J133" s="69"/>
      <c r="K133" s="69"/>
      <c r="L133" s="68"/>
      <c r="M133" s="68"/>
      <c r="N133" s="68"/>
      <c r="O133" s="68"/>
      <c r="P133" s="68"/>
      <c r="Q133" s="68"/>
      <c r="R133" s="68"/>
      <c r="S133" s="68"/>
      <c r="BD133" s="115">
        <f t="shared" si="4"/>
        <v>0</v>
      </c>
      <c r="CC133" s="115"/>
      <c r="CV133" s="115"/>
    </row>
    <row r="134" spans="1:100" x14ac:dyDescent="0.15">
      <c r="A134" s="68">
        <v>129</v>
      </c>
      <c r="B134" s="66" t="s">
        <v>368</v>
      </c>
      <c r="C134" s="66">
        <v>1066966184</v>
      </c>
      <c r="D134" s="67" t="str">
        <f t="shared" si="3"/>
        <v>https://portal.dnb.de/opac.htm?method=simpleSearch&amp;cqlMode=true&amp;query=idn%3D1066966184</v>
      </c>
      <c r="E134" s="66" t="s">
        <v>369</v>
      </c>
      <c r="F134" s="66"/>
      <c r="G134" s="68"/>
      <c r="H134" s="69"/>
      <c r="I134" s="68"/>
      <c r="J134" s="69"/>
      <c r="K134" s="69"/>
      <c r="L134" s="68"/>
      <c r="M134" s="68"/>
      <c r="N134" s="68"/>
      <c r="O134" s="68"/>
      <c r="P134" s="68"/>
      <c r="Q134" s="68"/>
      <c r="R134" s="68"/>
      <c r="S134" s="68"/>
      <c r="BD134" s="115">
        <f t="shared" si="4"/>
        <v>0</v>
      </c>
      <c r="CC134" s="115"/>
      <c r="CV134" s="115"/>
    </row>
    <row r="135" spans="1:100" x14ac:dyDescent="0.15">
      <c r="A135" s="68">
        <v>130</v>
      </c>
      <c r="B135" s="66" t="s">
        <v>370</v>
      </c>
      <c r="C135" s="66" t="s">
        <v>371</v>
      </c>
      <c r="D135" s="67" t="str">
        <f t="shared" ref="D135:D198" si="5">HYPERLINK(CONCATENATE("https://portal.dnb.de/opac.htm?method=simpleSearch&amp;cqlMode=true&amp;query=idn%3D",C135))</f>
        <v>https://portal.dnb.de/opac.htm?method=simpleSearch&amp;cqlMode=true&amp;query=idn%3D106696629X</v>
      </c>
      <c r="E135" s="66" t="s">
        <v>372</v>
      </c>
      <c r="F135" s="66"/>
      <c r="G135" s="68"/>
      <c r="H135" s="69"/>
      <c r="I135" s="68"/>
      <c r="J135" s="69"/>
      <c r="K135" s="69"/>
      <c r="L135" s="68"/>
      <c r="M135" s="68"/>
      <c r="N135" s="68"/>
      <c r="O135" s="68"/>
      <c r="P135" s="68"/>
      <c r="Q135" s="68"/>
      <c r="R135" s="68"/>
      <c r="S135" s="68"/>
      <c r="BD135" s="115">
        <f t="shared" si="4"/>
        <v>0</v>
      </c>
      <c r="CC135" s="115"/>
      <c r="CV135" s="115"/>
    </row>
    <row r="136" spans="1:100" x14ac:dyDescent="0.15">
      <c r="A136" s="68">
        <v>131</v>
      </c>
      <c r="B136" s="66" t="s">
        <v>373</v>
      </c>
      <c r="C136" s="66">
        <v>1066971617</v>
      </c>
      <c r="D136" s="67" t="str">
        <f t="shared" si="5"/>
        <v>https://portal.dnb.de/opac.htm?method=simpleSearch&amp;cqlMode=true&amp;query=idn%3D1066971617</v>
      </c>
      <c r="E136" s="66" t="s">
        <v>374</v>
      </c>
      <c r="F136" s="66"/>
      <c r="G136" s="68"/>
      <c r="H136" s="69"/>
      <c r="I136" s="68"/>
      <c r="J136" s="69"/>
      <c r="K136" s="69"/>
      <c r="L136" s="68"/>
      <c r="M136" s="68"/>
      <c r="N136" s="68"/>
      <c r="O136" s="68"/>
      <c r="P136" s="68"/>
      <c r="Q136" s="68"/>
      <c r="R136" s="68"/>
      <c r="S136" s="68"/>
      <c r="BD136" s="115">
        <f t="shared" si="4"/>
        <v>0</v>
      </c>
      <c r="CC136" s="115"/>
      <c r="CV136" s="115"/>
    </row>
    <row r="137" spans="1:100" x14ac:dyDescent="0.15">
      <c r="A137" s="68">
        <v>132</v>
      </c>
      <c r="B137" s="66" t="s">
        <v>375</v>
      </c>
      <c r="C137" s="66">
        <v>1066967989</v>
      </c>
      <c r="D137" s="67" t="str">
        <f t="shared" si="5"/>
        <v>https://portal.dnb.de/opac.htm?method=simpleSearch&amp;cqlMode=true&amp;query=idn%3D1066967989</v>
      </c>
      <c r="E137" s="66" t="s">
        <v>376</v>
      </c>
      <c r="F137" s="66"/>
      <c r="G137" s="68"/>
      <c r="H137" s="69"/>
      <c r="I137" s="68"/>
      <c r="J137" s="69"/>
      <c r="K137" s="69"/>
      <c r="L137" s="68"/>
      <c r="M137" s="68"/>
      <c r="N137" s="68"/>
      <c r="O137" s="68"/>
      <c r="P137" s="68"/>
      <c r="Q137" s="68"/>
      <c r="R137" s="68"/>
      <c r="S137" s="68"/>
      <c r="BD137" s="115">
        <f t="shared" si="4"/>
        <v>0</v>
      </c>
      <c r="CC137" s="115"/>
      <c r="CV137" s="115"/>
    </row>
    <row r="138" spans="1:100" x14ac:dyDescent="0.15">
      <c r="A138" s="68">
        <v>133</v>
      </c>
      <c r="B138" s="66" t="s">
        <v>377</v>
      </c>
      <c r="C138" s="66">
        <v>1066965447</v>
      </c>
      <c r="D138" s="67" t="str">
        <f t="shared" si="5"/>
        <v>https://portal.dnb.de/opac.htm?method=simpleSearch&amp;cqlMode=true&amp;query=idn%3D1066965447</v>
      </c>
      <c r="E138" s="66" t="s">
        <v>378</v>
      </c>
      <c r="F138" s="66"/>
      <c r="G138" s="68"/>
      <c r="H138" s="69"/>
      <c r="I138" s="68"/>
      <c r="J138" s="69"/>
      <c r="K138" s="69"/>
      <c r="L138" s="68"/>
      <c r="M138" s="68"/>
      <c r="N138" s="68"/>
      <c r="O138" s="68"/>
      <c r="P138" s="68"/>
      <c r="Q138" s="68"/>
      <c r="R138" s="68"/>
      <c r="S138" s="68"/>
      <c r="BD138" s="115">
        <f t="shared" si="4"/>
        <v>0</v>
      </c>
      <c r="CC138" s="115"/>
      <c r="CV138" s="115"/>
    </row>
    <row r="139" spans="1:100" x14ac:dyDescent="0.15">
      <c r="A139" s="68">
        <v>134</v>
      </c>
      <c r="B139" s="66" t="s">
        <v>379</v>
      </c>
      <c r="C139" s="66">
        <v>1066970629</v>
      </c>
      <c r="D139" s="67" t="str">
        <f t="shared" si="5"/>
        <v>https://portal.dnb.de/opac.htm?method=simpleSearch&amp;cqlMode=true&amp;query=idn%3D1066970629</v>
      </c>
      <c r="E139" s="66" t="s">
        <v>380</v>
      </c>
      <c r="F139" s="66"/>
      <c r="G139" s="68"/>
      <c r="H139" s="69"/>
      <c r="I139" s="68"/>
      <c r="J139" s="69"/>
      <c r="K139" s="69"/>
      <c r="L139" s="68"/>
      <c r="M139" s="68"/>
      <c r="N139" s="68"/>
      <c r="O139" s="68"/>
      <c r="P139" s="68"/>
      <c r="Q139" s="68"/>
      <c r="R139" s="68"/>
      <c r="S139" s="68"/>
      <c r="BD139" s="115">
        <f t="shared" si="4"/>
        <v>0</v>
      </c>
      <c r="CC139" s="115"/>
      <c r="CV139" s="115"/>
    </row>
    <row r="140" spans="1:100" x14ac:dyDescent="0.15">
      <c r="A140" s="68">
        <v>135</v>
      </c>
      <c r="B140" s="66" t="s">
        <v>381</v>
      </c>
      <c r="C140" s="66">
        <v>1066967164</v>
      </c>
      <c r="D140" s="67" t="str">
        <f t="shared" si="5"/>
        <v>https://portal.dnb.de/opac.htm?method=simpleSearch&amp;cqlMode=true&amp;query=idn%3D1066967164</v>
      </c>
      <c r="E140" s="66" t="s">
        <v>382</v>
      </c>
      <c r="F140" s="66"/>
      <c r="G140" s="68"/>
      <c r="H140" s="69"/>
      <c r="I140" s="68"/>
      <c r="J140" s="69"/>
      <c r="K140" s="69"/>
      <c r="L140" s="68"/>
      <c r="M140" s="68"/>
      <c r="N140" s="68"/>
      <c r="O140" s="68"/>
      <c r="P140" s="68"/>
      <c r="Q140" s="68"/>
      <c r="R140" s="68"/>
      <c r="S140" s="68"/>
      <c r="BD140" s="115">
        <f t="shared" si="4"/>
        <v>0</v>
      </c>
      <c r="CC140" s="115"/>
      <c r="CV140" s="115"/>
    </row>
    <row r="141" spans="1:100" x14ac:dyDescent="0.15">
      <c r="A141" s="68">
        <v>136</v>
      </c>
      <c r="B141" s="66" t="s">
        <v>383</v>
      </c>
      <c r="C141" s="66">
        <v>1072264366</v>
      </c>
      <c r="D141" s="67" t="str">
        <f t="shared" si="5"/>
        <v>https://portal.dnb.de/opac.htm?method=simpleSearch&amp;cqlMode=true&amp;query=idn%3D1072264366</v>
      </c>
      <c r="E141" s="66" t="s">
        <v>384</v>
      </c>
      <c r="F141" s="66"/>
      <c r="G141" s="68"/>
      <c r="H141" s="69"/>
      <c r="I141" s="68"/>
      <c r="J141" s="69"/>
      <c r="K141" s="69"/>
      <c r="L141" s="68"/>
      <c r="M141" s="68"/>
      <c r="N141" s="68"/>
      <c r="O141" s="68"/>
      <c r="P141" s="68"/>
      <c r="Q141" s="68"/>
      <c r="R141" s="68"/>
      <c r="S141" s="68"/>
      <c r="BD141" s="115">
        <f t="shared" si="4"/>
        <v>0</v>
      </c>
      <c r="CC141" s="115"/>
      <c r="CV141" s="115"/>
    </row>
    <row r="142" spans="1:100" x14ac:dyDescent="0.15">
      <c r="A142" s="68">
        <v>137</v>
      </c>
      <c r="B142" s="66" t="s">
        <v>385</v>
      </c>
      <c r="C142" s="66">
        <v>1072263327</v>
      </c>
      <c r="D142" s="67" t="str">
        <f t="shared" si="5"/>
        <v>https://portal.dnb.de/opac.htm?method=simpleSearch&amp;cqlMode=true&amp;query=idn%3D1072263327</v>
      </c>
      <c r="E142" s="66" t="s">
        <v>386</v>
      </c>
      <c r="F142" s="66"/>
      <c r="G142" s="68"/>
      <c r="H142" s="69"/>
      <c r="I142" s="68"/>
      <c r="J142" s="69"/>
      <c r="K142" s="69"/>
      <c r="L142" s="68"/>
      <c r="M142" s="68"/>
      <c r="N142" s="68"/>
      <c r="O142" s="68"/>
      <c r="P142" s="68"/>
      <c r="Q142" s="68"/>
      <c r="R142" s="68"/>
      <c r="S142" s="68"/>
      <c r="BD142" s="115">
        <f t="shared" si="4"/>
        <v>0</v>
      </c>
      <c r="CC142" s="115"/>
      <c r="CV142" s="115"/>
    </row>
    <row r="143" spans="1:100" x14ac:dyDescent="0.15">
      <c r="A143" s="68">
        <v>138</v>
      </c>
      <c r="B143" s="66" t="s">
        <v>387</v>
      </c>
      <c r="C143" s="66">
        <v>1066967105</v>
      </c>
      <c r="D143" s="67" t="str">
        <f t="shared" si="5"/>
        <v>https://portal.dnb.de/opac.htm?method=simpleSearch&amp;cqlMode=true&amp;query=idn%3D1066967105</v>
      </c>
      <c r="E143" s="66" t="s">
        <v>388</v>
      </c>
      <c r="F143" s="66"/>
      <c r="G143" s="68"/>
      <c r="H143" s="69"/>
      <c r="I143" s="68"/>
      <c r="J143" s="69"/>
      <c r="K143" s="69"/>
      <c r="L143" s="68"/>
      <c r="M143" s="68"/>
      <c r="N143" s="68"/>
      <c r="O143" s="68"/>
      <c r="P143" s="68"/>
      <c r="Q143" s="68"/>
      <c r="R143" s="68"/>
      <c r="S143" s="68"/>
      <c r="BD143" s="115">
        <f t="shared" si="4"/>
        <v>0</v>
      </c>
      <c r="CC143" s="115"/>
      <c r="CV143" s="115"/>
    </row>
    <row r="144" spans="1:100" x14ac:dyDescent="0.15">
      <c r="A144" s="68">
        <v>139</v>
      </c>
      <c r="B144" s="66" t="s">
        <v>389</v>
      </c>
      <c r="C144" s="66">
        <v>1066969310</v>
      </c>
      <c r="D144" s="67" t="str">
        <f t="shared" si="5"/>
        <v>https://portal.dnb.de/opac.htm?method=simpleSearch&amp;cqlMode=true&amp;query=idn%3D1066969310</v>
      </c>
      <c r="E144" s="66" t="s">
        <v>390</v>
      </c>
      <c r="F144" s="66"/>
      <c r="G144" s="68"/>
      <c r="H144" s="69"/>
      <c r="I144" s="68"/>
      <c r="J144" s="69"/>
      <c r="K144" s="69"/>
      <c r="L144" s="68"/>
      <c r="M144" s="68"/>
      <c r="N144" s="68"/>
      <c r="O144" s="68"/>
      <c r="P144" s="68"/>
      <c r="Q144" s="68"/>
      <c r="R144" s="68"/>
      <c r="S144" s="68"/>
      <c r="BD144" s="115">
        <f t="shared" si="4"/>
        <v>0</v>
      </c>
      <c r="CC144" s="115"/>
      <c r="CV144" s="115"/>
    </row>
    <row r="145" spans="1:100" x14ac:dyDescent="0.15">
      <c r="A145" s="68">
        <v>140</v>
      </c>
      <c r="B145" s="66" t="s">
        <v>391</v>
      </c>
      <c r="C145" s="66">
        <v>1066965153</v>
      </c>
      <c r="D145" s="67" t="str">
        <f t="shared" si="5"/>
        <v>https://portal.dnb.de/opac.htm?method=simpleSearch&amp;cqlMode=true&amp;query=idn%3D1066965153</v>
      </c>
      <c r="E145" s="66" t="s">
        <v>392</v>
      </c>
      <c r="F145" s="66"/>
      <c r="G145" s="68"/>
      <c r="H145" s="69"/>
      <c r="I145" s="68"/>
      <c r="J145" s="69"/>
      <c r="K145" s="69"/>
      <c r="L145" s="68"/>
      <c r="M145" s="68"/>
      <c r="N145" s="68"/>
      <c r="O145" s="68"/>
      <c r="P145" s="68"/>
      <c r="Q145" s="68"/>
      <c r="R145" s="68"/>
      <c r="S145" s="68"/>
      <c r="BD145" s="115">
        <f t="shared" si="4"/>
        <v>0</v>
      </c>
      <c r="CC145" s="115"/>
      <c r="CV145" s="115"/>
    </row>
    <row r="146" spans="1:100" x14ac:dyDescent="0.15">
      <c r="A146" s="68">
        <v>141</v>
      </c>
      <c r="B146" s="66" t="s">
        <v>393</v>
      </c>
      <c r="C146" s="66" t="s">
        <v>394</v>
      </c>
      <c r="D146" s="67" t="str">
        <f t="shared" si="5"/>
        <v>https://portal.dnb.de/opac.htm?method=simpleSearch&amp;cqlMode=true&amp;query=idn%3D106696713X</v>
      </c>
      <c r="E146" s="66" t="s">
        <v>395</v>
      </c>
      <c r="F146" s="66"/>
      <c r="G146" s="68"/>
      <c r="H146" s="69"/>
      <c r="I146" s="68"/>
      <c r="J146" s="69"/>
      <c r="K146" s="69"/>
      <c r="L146" s="68"/>
      <c r="M146" s="68"/>
      <c r="N146" s="68"/>
      <c r="O146" s="68"/>
      <c r="P146" s="68"/>
      <c r="Q146" s="68"/>
      <c r="R146" s="68"/>
      <c r="S146" s="68"/>
      <c r="BD146" s="115">
        <f t="shared" si="4"/>
        <v>0</v>
      </c>
      <c r="CC146" s="115"/>
      <c r="CV146" s="115"/>
    </row>
    <row r="147" spans="1:100" x14ac:dyDescent="0.15">
      <c r="A147" s="68">
        <v>142</v>
      </c>
      <c r="B147" s="66" t="s">
        <v>396</v>
      </c>
      <c r="C147" s="66">
        <v>1066968519</v>
      </c>
      <c r="D147" s="67" t="str">
        <f t="shared" si="5"/>
        <v>https://portal.dnb.de/opac.htm?method=simpleSearch&amp;cqlMode=true&amp;query=idn%3D1066968519</v>
      </c>
      <c r="E147" s="66" t="s">
        <v>397</v>
      </c>
      <c r="F147" s="66"/>
      <c r="G147" s="68"/>
      <c r="H147" s="69"/>
      <c r="I147" s="68"/>
      <c r="J147" s="69"/>
      <c r="K147" s="69"/>
      <c r="L147" s="68"/>
      <c r="M147" s="68"/>
      <c r="N147" s="68"/>
      <c r="O147" s="68"/>
      <c r="P147" s="68"/>
      <c r="Q147" s="68"/>
      <c r="R147" s="68"/>
      <c r="S147" s="68"/>
      <c r="BD147" s="115">
        <f t="shared" si="4"/>
        <v>0</v>
      </c>
      <c r="CC147" s="115"/>
      <c r="CV147" s="115"/>
    </row>
    <row r="148" spans="1:100" x14ac:dyDescent="0.15">
      <c r="A148" s="68">
        <v>143</v>
      </c>
      <c r="B148" s="66" t="s">
        <v>398</v>
      </c>
      <c r="C148" s="66">
        <v>1066967512</v>
      </c>
      <c r="D148" s="67" t="str">
        <f t="shared" si="5"/>
        <v>https://portal.dnb.de/opac.htm?method=simpleSearch&amp;cqlMode=true&amp;query=idn%3D1066967512</v>
      </c>
      <c r="E148" s="66" t="s">
        <v>399</v>
      </c>
      <c r="F148" s="66"/>
      <c r="G148" s="68"/>
      <c r="H148" s="69"/>
      <c r="I148" s="68"/>
      <c r="J148" s="69"/>
      <c r="K148" s="69"/>
      <c r="L148" s="68"/>
      <c r="M148" s="68"/>
      <c r="N148" s="68"/>
      <c r="O148" s="68"/>
      <c r="P148" s="68"/>
      <c r="Q148" s="68"/>
      <c r="R148" s="68"/>
      <c r="S148" s="68"/>
      <c r="BD148" s="115">
        <f t="shared" si="4"/>
        <v>0</v>
      </c>
      <c r="CC148" s="115"/>
      <c r="CV148" s="115"/>
    </row>
    <row r="149" spans="1:100" x14ac:dyDescent="0.15">
      <c r="A149" s="68">
        <v>144</v>
      </c>
      <c r="B149" s="66" t="s">
        <v>400</v>
      </c>
      <c r="C149" s="66">
        <v>1066957290</v>
      </c>
      <c r="D149" s="67" t="str">
        <f t="shared" si="5"/>
        <v>https://portal.dnb.de/opac.htm?method=simpleSearch&amp;cqlMode=true&amp;query=idn%3D1066957290</v>
      </c>
      <c r="E149" s="66" t="s">
        <v>401</v>
      </c>
      <c r="F149" s="66"/>
      <c r="G149" s="68"/>
      <c r="H149" s="69"/>
      <c r="I149" s="68"/>
      <c r="J149" s="69"/>
      <c r="K149" s="69"/>
      <c r="L149" s="68"/>
      <c r="M149" s="68"/>
      <c r="N149" s="68"/>
      <c r="O149" s="68"/>
      <c r="P149" s="68"/>
      <c r="Q149" s="68"/>
      <c r="R149" s="68"/>
      <c r="S149" s="68"/>
      <c r="BD149" s="115">
        <f t="shared" si="4"/>
        <v>0</v>
      </c>
      <c r="CC149" s="115"/>
      <c r="CV149" s="115"/>
    </row>
    <row r="150" spans="1:100" x14ac:dyDescent="0.15">
      <c r="A150" s="68">
        <v>145</v>
      </c>
      <c r="B150" s="66" t="s">
        <v>402</v>
      </c>
      <c r="C150" s="66">
        <v>1066966389</v>
      </c>
      <c r="D150" s="67" t="str">
        <f t="shared" si="5"/>
        <v>https://portal.dnb.de/opac.htm?method=simpleSearch&amp;cqlMode=true&amp;query=idn%3D1066966389</v>
      </c>
      <c r="E150" s="66" t="s">
        <v>403</v>
      </c>
      <c r="F150" s="66"/>
      <c r="G150" s="68"/>
      <c r="H150" s="69"/>
      <c r="I150" s="68"/>
      <c r="J150" s="69"/>
      <c r="K150" s="69"/>
      <c r="L150" s="68"/>
      <c r="M150" s="68"/>
      <c r="N150" s="68"/>
      <c r="O150" s="68"/>
      <c r="P150" s="68"/>
      <c r="Q150" s="68"/>
      <c r="R150" s="68"/>
      <c r="S150" s="68"/>
      <c r="BD150" s="115">
        <f t="shared" si="4"/>
        <v>0</v>
      </c>
      <c r="CC150" s="115"/>
      <c r="CV150" s="115"/>
    </row>
    <row r="151" spans="1:100" x14ac:dyDescent="0.15">
      <c r="A151" s="68">
        <v>146</v>
      </c>
      <c r="B151" s="66" t="s">
        <v>404</v>
      </c>
      <c r="C151" s="66">
        <v>1066968802</v>
      </c>
      <c r="D151" s="67" t="str">
        <f t="shared" si="5"/>
        <v>https://portal.dnb.de/opac.htm?method=simpleSearch&amp;cqlMode=true&amp;query=idn%3D1066968802</v>
      </c>
      <c r="E151" s="66" t="s">
        <v>405</v>
      </c>
      <c r="F151" s="66"/>
      <c r="G151" s="68"/>
      <c r="H151" s="69"/>
      <c r="I151" s="68"/>
      <c r="J151" s="69"/>
      <c r="K151" s="69"/>
      <c r="L151" s="68"/>
      <c r="M151" s="68"/>
      <c r="N151" s="68"/>
      <c r="O151" s="68"/>
      <c r="P151" s="68"/>
      <c r="Q151" s="68"/>
      <c r="R151" s="68"/>
      <c r="S151" s="68"/>
      <c r="BD151" s="115">
        <f t="shared" si="4"/>
        <v>0</v>
      </c>
      <c r="CC151" s="115"/>
      <c r="CV151" s="115"/>
    </row>
    <row r="152" spans="1:100" x14ac:dyDescent="0.15">
      <c r="A152" s="68">
        <v>147</v>
      </c>
      <c r="B152" s="66" t="s">
        <v>406</v>
      </c>
      <c r="C152" s="66">
        <v>1066972699</v>
      </c>
      <c r="D152" s="67" t="str">
        <f t="shared" si="5"/>
        <v>https://portal.dnb.de/opac.htm?method=simpleSearch&amp;cqlMode=true&amp;query=idn%3D1066972699</v>
      </c>
      <c r="E152" s="66" t="s">
        <v>407</v>
      </c>
      <c r="F152" s="66"/>
      <c r="G152" s="68"/>
      <c r="H152" s="69"/>
      <c r="I152" s="68"/>
      <c r="J152" s="69"/>
      <c r="K152" s="69"/>
      <c r="L152" s="68"/>
      <c r="M152" s="68"/>
      <c r="N152" s="68"/>
      <c r="O152" s="68"/>
      <c r="P152" s="68"/>
      <c r="Q152" s="68"/>
      <c r="R152" s="68"/>
      <c r="S152" s="68"/>
      <c r="BD152" s="115">
        <f t="shared" si="4"/>
        <v>0</v>
      </c>
      <c r="CC152" s="115"/>
      <c r="CV152" s="115"/>
    </row>
    <row r="153" spans="1:100" x14ac:dyDescent="0.15">
      <c r="A153" s="68">
        <v>148</v>
      </c>
      <c r="B153" s="66" t="s">
        <v>408</v>
      </c>
      <c r="C153" s="66">
        <v>1173452044</v>
      </c>
      <c r="D153" s="67" t="str">
        <f t="shared" si="5"/>
        <v>https://portal.dnb.de/opac.htm?method=simpleSearch&amp;cqlMode=true&amp;query=idn%3D1173452044</v>
      </c>
      <c r="E153" s="66" t="s">
        <v>409</v>
      </c>
      <c r="F153" s="66"/>
      <c r="G153" s="68"/>
      <c r="H153" s="69"/>
      <c r="I153" s="68"/>
      <c r="J153" s="69"/>
      <c r="K153" s="69"/>
      <c r="L153" s="68"/>
      <c r="M153" s="68"/>
      <c r="N153" s="68"/>
      <c r="O153" s="68"/>
      <c r="P153" s="68"/>
      <c r="Q153" s="68"/>
      <c r="R153" s="68"/>
      <c r="S153" s="68"/>
      <c r="BD153" s="115">
        <f t="shared" si="4"/>
        <v>0</v>
      </c>
      <c r="CC153" s="115"/>
      <c r="CV153" s="115"/>
    </row>
    <row r="154" spans="1:100" x14ac:dyDescent="0.15">
      <c r="A154" s="68">
        <v>149</v>
      </c>
      <c r="B154" s="66" t="s">
        <v>410</v>
      </c>
      <c r="C154" s="66" t="s">
        <v>411</v>
      </c>
      <c r="D154" s="67" t="str">
        <f t="shared" si="5"/>
        <v>https://portal.dnb.de/opac.htm?method=simpleSearch&amp;cqlMode=true&amp;query=idn%3D106697151X</v>
      </c>
      <c r="E154" s="66" t="s">
        <v>412</v>
      </c>
      <c r="F154" s="66"/>
      <c r="G154" s="68"/>
      <c r="H154" s="69"/>
      <c r="I154" s="68"/>
      <c r="J154" s="69"/>
      <c r="K154" s="69"/>
      <c r="L154" s="68"/>
      <c r="M154" s="68"/>
      <c r="N154" s="68"/>
      <c r="O154" s="68"/>
      <c r="P154" s="68"/>
      <c r="Q154" s="68"/>
      <c r="R154" s="68"/>
      <c r="S154" s="68"/>
      <c r="BD154" s="115">
        <f t="shared" si="4"/>
        <v>0</v>
      </c>
      <c r="CC154" s="115"/>
      <c r="CV154" s="115"/>
    </row>
    <row r="155" spans="1:100" x14ac:dyDescent="0.15">
      <c r="A155" s="68">
        <v>150</v>
      </c>
      <c r="B155" s="66" t="s">
        <v>413</v>
      </c>
      <c r="C155" s="66">
        <v>1066965900</v>
      </c>
      <c r="D155" s="67" t="str">
        <f t="shared" si="5"/>
        <v>https://portal.dnb.de/opac.htm?method=simpleSearch&amp;cqlMode=true&amp;query=idn%3D1066965900</v>
      </c>
      <c r="E155" s="66" t="s">
        <v>414</v>
      </c>
      <c r="F155" s="66"/>
      <c r="G155" s="68"/>
      <c r="H155" s="69"/>
      <c r="I155" s="68"/>
      <c r="J155" s="69"/>
      <c r="K155" s="69"/>
      <c r="L155" s="68"/>
      <c r="M155" s="68"/>
      <c r="N155" s="68"/>
      <c r="O155" s="68"/>
      <c r="P155" s="68"/>
      <c r="Q155" s="68"/>
      <c r="R155" s="68"/>
      <c r="S155" s="68"/>
      <c r="BD155" s="115">
        <f t="shared" si="4"/>
        <v>0</v>
      </c>
      <c r="CC155" s="115"/>
      <c r="CV155" s="115"/>
    </row>
    <row r="156" spans="1:100" x14ac:dyDescent="0.15">
      <c r="A156" s="68">
        <v>151</v>
      </c>
      <c r="B156" s="66" t="s">
        <v>415</v>
      </c>
      <c r="C156" s="66">
        <v>1066965978</v>
      </c>
      <c r="D156" s="67" t="str">
        <f t="shared" si="5"/>
        <v>https://portal.dnb.de/opac.htm?method=simpleSearch&amp;cqlMode=true&amp;query=idn%3D1066965978</v>
      </c>
      <c r="E156" s="66" t="s">
        <v>416</v>
      </c>
      <c r="F156" s="66"/>
      <c r="G156" s="68"/>
      <c r="H156" s="69"/>
      <c r="I156" s="68"/>
      <c r="J156" s="69"/>
      <c r="K156" s="69"/>
      <c r="L156" s="68"/>
      <c r="M156" s="68"/>
      <c r="N156" s="68"/>
      <c r="O156" s="68"/>
      <c r="P156" s="68"/>
      <c r="Q156" s="68"/>
      <c r="R156" s="68"/>
      <c r="S156" s="68"/>
      <c r="BD156" s="115">
        <f t="shared" si="4"/>
        <v>0</v>
      </c>
      <c r="CC156" s="115"/>
      <c r="CV156" s="115"/>
    </row>
    <row r="157" spans="1:100" x14ac:dyDescent="0.15">
      <c r="A157" s="68">
        <v>152</v>
      </c>
      <c r="B157" s="66" t="s">
        <v>417</v>
      </c>
      <c r="C157" s="66">
        <v>1066972192</v>
      </c>
      <c r="D157" s="67" t="str">
        <f t="shared" si="5"/>
        <v>https://portal.dnb.de/opac.htm?method=simpleSearch&amp;cqlMode=true&amp;query=idn%3D1066972192</v>
      </c>
      <c r="E157" s="66" t="s">
        <v>418</v>
      </c>
      <c r="F157" s="66"/>
      <c r="G157" s="68"/>
      <c r="H157" s="69"/>
      <c r="I157" s="68"/>
      <c r="J157" s="69"/>
      <c r="K157" s="69"/>
      <c r="L157" s="68"/>
      <c r="M157" s="68"/>
      <c r="N157" s="68"/>
      <c r="O157" s="68"/>
      <c r="P157" s="68"/>
      <c r="Q157" s="68"/>
      <c r="R157" s="68"/>
      <c r="S157" s="68"/>
      <c r="BD157" s="115">
        <f t="shared" si="4"/>
        <v>0</v>
      </c>
      <c r="CC157" s="115"/>
      <c r="CV157" s="115"/>
    </row>
    <row r="158" spans="1:100" x14ac:dyDescent="0.15">
      <c r="A158" s="68">
        <v>153</v>
      </c>
      <c r="B158" s="66" t="s">
        <v>419</v>
      </c>
      <c r="C158" s="66">
        <v>1066968799</v>
      </c>
      <c r="D158" s="67" t="str">
        <f t="shared" si="5"/>
        <v>https://portal.dnb.de/opac.htm?method=simpleSearch&amp;cqlMode=true&amp;query=idn%3D1066968799</v>
      </c>
      <c r="E158" s="66" t="s">
        <v>420</v>
      </c>
      <c r="F158" s="66"/>
      <c r="G158" s="68"/>
      <c r="H158" s="69"/>
      <c r="I158" s="68"/>
      <c r="J158" s="69"/>
      <c r="K158" s="69"/>
      <c r="L158" s="68"/>
      <c r="M158" s="68"/>
      <c r="N158" s="68"/>
      <c r="O158" s="68"/>
      <c r="P158" s="68"/>
      <c r="Q158" s="68"/>
      <c r="R158" s="68"/>
      <c r="S158" s="68"/>
      <c r="BD158" s="115">
        <f t="shared" si="4"/>
        <v>0</v>
      </c>
      <c r="CC158" s="115"/>
      <c r="CV158" s="115"/>
    </row>
    <row r="159" spans="1:100" x14ac:dyDescent="0.15">
      <c r="A159" s="68">
        <v>154</v>
      </c>
      <c r="B159" s="66" t="s">
        <v>421</v>
      </c>
      <c r="C159" s="66">
        <v>1066967628</v>
      </c>
      <c r="D159" s="67" t="str">
        <f t="shared" si="5"/>
        <v>https://portal.dnb.de/opac.htm?method=simpleSearch&amp;cqlMode=true&amp;query=idn%3D1066967628</v>
      </c>
      <c r="E159" s="66" t="s">
        <v>422</v>
      </c>
      <c r="F159" s="66"/>
      <c r="G159" s="68"/>
      <c r="H159" s="69"/>
      <c r="I159" s="68"/>
      <c r="J159" s="69"/>
      <c r="K159" s="69"/>
      <c r="L159" s="68"/>
      <c r="M159" s="68"/>
      <c r="N159" s="68"/>
      <c r="O159" s="68"/>
      <c r="P159" s="68"/>
      <c r="Q159" s="68"/>
      <c r="R159" s="68"/>
      <c r="S159" s="68"/>
      <c r="BD159" s="115">
        <f t="shared" si="4"/>
        <v>0</v>
      </c>
      <c r="CC159" s="115"/>
      <c r="CV159" s="115"/>
    </row>
    <row r="160" spans="1:100" x14ac:dyDescent="0.15">
      <c r="A160" s="68">
        <v>155</v>
      </c>
      <c r="B160" s="66" t="s">
        <v>423</v>
      </c>
      <c r="C160" s="66">
        <v>1066972664</v>
      </c>
      <c r="D160" s="67" t="str">
        <f t="shared" si="5"/>
        <v>https://portal.dnb.de/opac.htm?method=simpleSearch&amp;cqlMode=true&amp;query=idn%3D1066972664</v>
      </c>
      <c r="E160" s="66" t="s">
        <v>424</v>
      </c>
      <c r="F160" s="66"/>
      <c r="G160" s="68"/>
      <c r="H160" s="69"/>
      <c r="I160" s="68"/>
      <c r="J160" s="69"/>
      <c r="K160" s="69"/>
      <c r="L160" s="68"/>
      <c r="M160" s="68"/>
      <c r="N160" s="68"/>
      <c r="O160" s="68"/>
      <c r="P160" s="68"/>
      <c r="Q160" s="68"/>
      <c r="R160" s="68"/>
      <c r="S160" s="68"/>
      <c r="BD160" s="115">
        <f t="shared" si="4"/>
        <v>0</v>
      </c>
      <c r="CC160" s="115"/>
      <c r="CV160" s="115"/>
    </row>
    <row r="161" spans="1:100" x14ac:dyDescent="0.15">
      <c r="A161" s="68">
        <v>156</v>
      </c>
      <c r="B161" s="66" t="s">
        <v>425</v>
      </c>
      <c r="C161" s="66">
        <v>1066968012</v>
      </c>
      <c r="D161" s="67" t="str">
        <f t="shared" si="5"/>
        <v>https://portal.dnb.de/opac.htm?method=simpleSearch&amp;cqlMode=true&amp;query=idn%3D1066968012</v>
      </c>
      <c r="E161" s="66" t="s">
        <v>426</v>
      </c>
      <c r="F161" s="66"/>
      <c r="G161" s="68"/>
      <c r="H161" s="69"/>
      <c r="I161" s="68"/>
      <c r="J161" s="69"/>
      <c r="K161" s="69"/>
      <c r="L161" s="68"/>
      <c r="M161" s="68"/>
      <c r="N161" s="68"/>
      <c r="O161" s="68"/>
      <c r="P161" s="68"/>
      <c r="Q161" s="68"/>
      <c r="R161" s="68"/>
      <c r="S161" s="68"/>
      <c r="BD161" s="115">
        <f t="shared" si="4"/>
        <v>0</v>
      </c>
      <c r="CC161" s="115"/>
      <c r="CV161" s="115"/>
    </row>
    <row r="162" spans="1:100" x14ac:dyDescent="0.15">
      <c r="A162" s="68">
        <v>157</v>
      </c>
      <c r="B162" s="66" t="s">
        <v>427</v>
      </c>
      <c r="C162" s="66">
        <v>1066966567</v>
      </c>
      <c r="D162" s="67" t="str">
        <f t="shared" si="5"/>
        <v>https://portal.dnb.de/opac.htm?method=simpleSearch&amp;cqlMode=true&amp;query=idn%3D1066966567</v>
      </c>
      <c r="E162" s="66" t="s">
        <v>428</v>
      </c>
      <c r="F162" s="66"/>
      <c r="G162" s="68"/>
      <c r="H162" s="69"/>
      <c r="I162" s="68"/>
      <c r="J162" s="69"/>
      <c r="K162" s="69"/>
      <c r="L162" s="68"/>
      <c r="M162" s="68"/>
      <c r="N162" s="68"/>
      <c r="O162" s="68"/>
      <c r="P162" s="68"/>
      <c r="Q162" s="68"/>
      <c r="R162" s="68"/>
      <c r="S162" s="68"/>
      <c r="BD162" s="115">
        <f t="shared" si="4"/>
        <v>0</v>
      </c>
      <c r="CC162" s="115"/>
      <c r="CV162" s="115"/>
    </row>
    <row r="163" spans="1:100" x14ac:dyDescent="0.15">
      <c r="A163" s="68">
        <v>158</v>
      </c>
      <c r="B163" s="66" t="s">
        <v>429</v>
      </c>
      <c r="C163" s="66">
        <v>1066967482</v>
      </c>
      <c r="D163" s="67" t="str">
        <f t="shared" si="5"/>
        <v>https://portal.dnb.de/opac.htm?method=simpleSearch&amp;cqlMode=true&amp;query=idn%3D1066967482</v>
      </c>
      <c r="E163" s="66" t="s">
        <v>430</v>
      </c>
      <c r="F163" s="66"/>
      <c r="G163" s="68"/>
      <c r="H163" s="69"/>
      <c r="I163" s="68"/>
      <c r="J163" s="69"/>
      <c r="K163" s="69"/>
      <c r="L163" s="68"/>
      <c r="M163" s="68"/>
      <c r="N163" s="68"/>
      <c r="O163" s="68"/>
      <c r="P163" s="68"/>
      <c r="Q163" s="68"/>
      <c r="R163" s="68"/>
      <c r="S163" s="68"/>
      <c r="BD163" s="115">
        <f t="shared" si="4"/>
        <v>0</v>
      </c>
      <c r="CC163" s="115"/>
      <c r="CV163" s="115"/>
    </row>
    <row r="164" spans="1:100" x14ac:dyDescent="0.15">
      <c r="A164" s="68">
        <v>159</v>
      </c>
      <c r="B164" s="66" t="s">
        <v>431</v>
      </c>
      <c r="C164" s="66">
        <v>1066972605</v>
      </c>
      <c r="D164" s="67" t="str">
        <f t="shared" si="5"/>
        <v>https://portal.dnb.de/opac.htm?method=simpleSearch&amp;cqlMode=true&amp;query=idn%3D1066972605</v>
      </c>
      <c r="E164" s="66" t="s">
        <v>432</v>
      </c>
      <c r="F164" s="66"/>
      <c r="G164" s="68"/>
      <c r="H164" s="69"/>
      <c r="I164" s="68"/>
      <c r="J164" s="69"/>
      <c r="K164" s="69"/>
      <c r="L164" s="68"/>
      <c r="M164" s="68"/>
      <c r="N164" s="68"/>
      <c r="O164" s="68"/>
      <c r="P164" s="68"/>
      <c r="Q164" s="68"/>
      <c r="R164" s="68"/>
      <c r="S164" s="68"/>
      <c r="BD164" s="115">
        <f t="shared" si="4"/>
        <v>0</v>
      </c>
      <c r="CC164" s="115"/>
      <c r="CV164" s="115"/>
    </row>
    <row r="165" spans="1:100" x14ac:dyDescent="0.15">
      <c r="A165" s="68">
        <v>160</v>
      </c>
      <c r="B165" s="66" t="s">
        <v>433</v>
      </c>
      <c r="C165" s="66">
        <v>1066968586</v>
      </c>
      <c r="D165" s="67" t="str">
        <f t="shared" si="5"/>
        <v>https://portal.dnb.de/opac.htm?method=simpleSearch&amp;cqlMode=true&amp;query=idn%3D1066968586</v>
      </c>
      <c r="E165" s="66" t="s">
        <v>434</v>
      </c>
      <c r="F165" s="66"/>
      <c r="G165" s="68"/>
      <c r="H165" s="69"/>
      <c r="I165" s="68"/>
      <c r="J165" s="69"/>
      <c r="K165" s="69"/>
      <c r="L165" s="68"/>
      <c r="M165" s="68"/>
      <c r="N165" s="68"/>
      <c r="O165" s="68"/>
      <c r="P165" s="68"/>
      <c r="Q165" s="68"/>
      <c r="R165" s="68"/>
      <c r="S165" s="68"/>
      <c r="BD165" s="115">
        <f t="shared" si="4"/>
        <v>0</v>
      </c>
      <c r="CC165" s="115"/>
      <c r="CV165" s="115"/>
    </row>
    <row r="166" spans="1:100" x14ac:dyDescent="0.15">
      <c r="A166" s="68">
        <v>161</v>
      </c>
      <c r="B166" s="66" t="s">
        <v>435</v>
      </c>
      <c r="C166" s="66">
        <v>1066969272</v>
      </c>
      <c r="D166" s="67" t="str">
        <f t="shared" si="5"/>
        <v>https://portal.dnb.de/opac.htm?method=simpleSearch&amp;cqlMode=true&amp;query=idn%3D1066969272</v>
      </c>
      <c r="E166" s="66" t="s">
        <v>436</v>
      </c>
      <c r="F166" s="66"/>
      <c r="G166" s="68"/>
      <c r="H166" s="69"/>
      <c r="I166" s="68"/>
      <c r="J166" s="69"/>
      <c r="K166" s="69"/>
      <c r="L166" s="68"/>
      <c r="M166" s="68"/>
      <c r="N166" s="68"/>
      <c r="O166" s="68"/>
      <c r="P166" s="68"/>
      <c r="Q166" s="68"/>
      <c r="R166" s="68"/>
      <c r="S166" s="68"/>
      <c r="BD166" s="115">
        <f t="shared" si="4"/>
        <v>0</v>
      </c>
      <c r="CC166" s="115"/>
      <c r="CV166" s="115"/>
    </row>
    <row r="167" spans="1:100" x14ac:dyDescent="0.15">
      <c r="A167" s="68">
        <v>162</v>
      </c>
      <c r="B167" s="66" t="s">
        <v>437</v>
      </c>
      <c r="C167" s="66">
        <v>1072264676</v>
      </c>
      <c r="D167" s="67" t="str">
        <f t="shared" si="5"/>
        <v>https://portal.dnb.de/opac.htm?method=simpleSearch&amp;cqlMode=true&amp;query=idn%3D1072264676</v>
      </c>
      <c r="E167" s="66" t="s">
        <v>438</v>
      </c>
      <c r="F167" s="66"/>
      <c r="G167" s="68"/>
      <c r="H167" s="69"/>
      <c r="I167" s="68"/>
      <c r="J167" s="69"/>
      <c r="K167" s="69"/>
      <c r="L167" s="68"/>
      <c r="M167" s="68"/>
      <c r="N167" s="68"/>
      <c r="O167" s="68"/>
      <c r="P167" s="68"/>
      <c r="Q167" s="68"/>
      <c r="R167" s="68"/>
      <c r="S167" s="68"/>
      <c r="BD167" s="115">
        <f t="shared" si="4"/>
        <v>0</v>
      </c>
      <c r="CC167" s="115"/>
      <c r="CV167" s="115"/>
    </row>
    <row r="168" spans="1:100" x14ac:dyDescent="0.15">
      <c r="A168" s="68">
        <v>163</v>
      </c>
      <c r="B168" s="66" t="s">
        <v>439</v>
      </c>
      <c r="C168" s="66">
        <v>1066970270</v>
      </c>
      <c r="D168" s="67" t="str">
        <f t="shared" si="5"/>
        <v>https://portal.dnb.de/opac.htm?method=simpleSearch&amp;cqlMode=true&amp;query=idn%3D1066970270</v>
      </c>
      <c r="E168" s="66" t="s">
        <v>440</v>
      </c>
      <c r="F168" s="66"/>
      <c r="G168" s="68"/>
      <c r="H168" s="69"/>
      <c r="I168" s="68"/>
      <c r="J168" s="69"/>
      <c r="K168" s="69"/>
      <c r="L168" s="68"/>
      <c r="M168" s="68"/>
      <c r="N168" s="68"/>
      <c r="O168" s="68"/>
      <c r="P168" s="68"/>
      <c r="Q168" s="68"/>
      <c r="R168" s="68"/>
      <c r="S168" s="68"/>
      <c r="BD168" s="115">
        <f t="shared" si="4"/>
        <v>0</v>
      </c>
      <c r="CC168" s="115"/>
      <c r="CV168" s="115"/>
    </row>
    <row r="169" spans="1:100" x14ac:dyDescent="0.15">
      <c r="A169" s="68">
        <v>164</v>
      </c>
      <c r="B169" s="66" t="s">
        <v>441</v>
      </c>
      <c r="C169" s="66">
        <v>1066969728</v>
      </c>
      <c r="D169" s="67" t="str">
        <f t="shared" si="5"/>
        <v>https://portal.dnb.de/opac.htm?method=simpleSearch&amp;cqlMode=true&amp;query=idn%3D1066969728</v>
      </c>
      <c r="E169" s="66" t="s">
        <v>442</v>
      </c>
      <c r="F169" s="66"/>
      <c r="G169" s="68"/>
      <c r="H169" s="69"/>
      <c r="I169" s="68"/>
      <c r="J169" s="69"/>
      <c r="K169" s="69"/>
      <c r="L169" s="68"/>
      <c r="M169" s="68"/>
      <c r="N169" s="68"/>
      <c r="O169" s="68"/>
      <c r="P169" s="68"/>
      <c r="Q169" s="68"/>
      <c r="R169" s="68"/>
      <c r="S169" s="68"/>
      <c r="BD169" s="115">
        <f t="shared" si="4"/>
        <v>0</v>
      </c>
      <c r="CC169" s="115"/>
      <c r="CV169" s="115"/>
    </row>
    <row r="170" spans="1:100" x14ac:dyDescent="0.15">
      <c r="A170" s="68">
        <v>165</v>
      </c>
      <c r="B170" s="66" t="s">
        <v>443</v>
      </c>
      <c r="C170" s="66">
        <v>1066970300</v>
      </c>
      <c r="D170" s="67" t="str">
        <f t="shared" si="5"/>
        <v>https://portal.dnb.de/opac.htm?method=simpleSearch&amp;cqlMode=true&amp;query=idn%3D1066970300</v>
      </c>
      <c r="E170" s="66" t="s">
        <v>444</v>
      </c>
      <c r="F170" s="66"/>
      <c r="G170" s="68"/>
      <c r="H170" s="69"/>
      <c r="I170" s="68"/>
      <c r="J170" s="69"/>
      <c r="K170" s="69"/>
      <c r="L170" s="68"/>
      <c r="M170" s="68"/>
      <c r="N170" s="68"/>
      <c r="O170" s="68"/>
      <c r="P170" s="68"/>
      <c r="Q170" s="68"/>
      <c r="R170" s="68"/>
      <c r="S170" s="68"/>
      <c r="BD170" s="115">
        <f t="shared" si="4"/>
        <v>0</v>
      </c>
      <c r="CC170" s="115"/>
      <c r="CV170" s="115"/>
    </row>
    <row r="171" spans="1:100" x14ac:dyDescent="0.15">
      <c r="A171" s="68">
        <v>166</v>
      </c>
      <c r="B171" s="66" t="s">
        <v>445</v>
      </c>
      <c r="C171" s="66">
        <v>1066965838</v>
      </c>
      <c r="D171" s="67" t="str">
        <f t="shared" si="5"/>
        <v>https://portal.dnb.de/opac.htm?method=simpleSearch&amp;cqlMode=true&amp;query=idn%3D1066965838</v>
      </c>
      <c r="E171" s="66" t="s">
        <v>446</v>
      </c>
      <c r="F171" s="66"/>
      <c r="G171" s="68"/>
      <c r="H171" s="69"/>
      <c r="I171" s="68"/>
      <c r="J171" s="69"/>
      <c r="K171" s="69"/>
      <c r="L171" s="68"/>
      <c r="M171" s="68"/>
      <c r="N171" s="68"/>
      <c r="O171" s="68"/>
      <c r="P171" s="68"/>
      <c r="Q171" s="68"/>
      <c r="R171" s="68"/>
      <c r="S171" s="68"/>
      <c r="BD171" s="115">
        <f t="shared" si="4"/>
        <v>0</v>
      </c>
      <c r="CC171" s="115"/>
      <c r="CV171" s="115"/>
    </row>
    <row r="172" spans="1:100" x14ac:dyDescent="0.15">
      <c r="A172" s="68">
        <v>167</v>
      </c>
      <c r="B172" s="66" t="s">
        <v>447</v>
      </c>
      <c r="C172" s="66">
        <v>1066968608</v>
      </c>
      <c r="D172" s="67" t="str">
        <f t="shared" si="5"/>
        <v>https://portal.dnb.de/opac.htm?method=simpleSearch&amp;cqlMode=true&amp;query=idn%3D1066968608</v>
      </c>
      <c r="E172" s="66" t="s">
        <v>448</v>
      </c>
      <c r="F172" s="66"/>
      <c r="G172" s="68"/>
      <c r="H172" s="69"/>
      <c r="I172" s="68"/>
      <c r="J172" s="69"/>
      <c r="K172" s="69"/>
      <c r="L172" s="68"/>
      <c r="M172" s="68"/>
      <c r="N172" s="68"/>
      <c r="O172" s="68"/>
      <c r="P172" s="68"/>
      <c r="Q172" s="68"/>
      <c r="R172" s="68"/>
      <c r="S172" s="68"/>
      <c r="BD172" s="115">
        <f t="shared" si="4"/>
        <v>0</v>
      </c>
      <c r="CC172" s="115"/>
      <c r="CV172" s="115"/>
    </row>
    <row r="173" spans="1:100" x14ac:dyDescent="0.15">
      <c r="A173" s="68">
        <v>168</v>
      </c>
      <c r="B173" s="66" t="s">
        <v>449</v>
      </c>
      <c r="C173" s="66" t="s">
        <v>450</v>
      </c>
      <c r="D173" s="67" t="str">
        <f t="shared" si="5"/>
        <v>https://portal.dnb.de/opac.htm?method=simpleSearch&amp;cqlMode=true&amp;query=idn%3D106697084X</v>
      </c>
      <c r="E173" s="66" t="s">
        <v>451</v>
      </c>
      <c r="F173" s="66"/>
      <c r="G173" s="68"/>
      <c r="H173" s="69"/>
      <c r="I173" s="68"/>
      <c r="J173" s="69"/>
      <c r="K173" s="69"/>
      <c r="L173" s="68"/>
      <c r="M173" s="68"/>
      <c r="N173" s="68"/>
      <c r="O173" s="68"/>
      <c r="P173" s="68"/>
      <c r="Q173" s="68"/>
      <c r="R173" s="68"/>
      <c r="S173" s="68"/>
      <c r="BD173" s="115">
        <f t="shared" si="4"/>
        <v>0</v>
      </c>
      <c r="CC173" s="115"/>
      <c r="CV173" s="115"/>
    </row>
    <row r="174" spans="1:100" x14ac:dyDescent="0.15">
      <c r="A174" s="68">
        <v>169</v>
      </c>
      <c r="B174" s="66" t="s">
        <v>452</v>
      </c>
      <c r="C174" s="66">
        <v>1066971161</v>
      </c>
      <c r="D174" s="67" t="str">
        <f t="shared" si="5"/>
        <v>https://portal.dnb.de/opac.htm?method=simpleSearch&amp;cqlMode=true&amp;query=idn%3D1066971161</v>
      </c>
      <c r="E174" s="66" t="s">
        <v>453</v>
      </c>
      <c r="F174" s="66"/>
      <c r="G174" s="68"/>
      <c r="H174" s="69"/>
      <c r="I174" s="68"/>
      <c r="J174" s="69"/>
      <c r="K174" s="69"/>
      <c r="L174" s="68"/>
      <c r="M174" s="68"/>
      <c r="N174" s="68"/>
      <c r="O174" s="68"/>
      <c r="P174" s="68"/>
      <c r="Q174" s="68"/>
      <c r="R174" s="68"/>
      <c r="S174" s="68"/>
      <c r="BD174" s="115">
        <f t="shared" si="4"/>
        <v>0</v>
      </c>
      <c r="CC174" s="115"/>
      <c r="CV174" s="115"/>
    </row>
    <row r="175" spans="1:100" x14ac:dyDescent="0.15">
      <c r="A175" s="68">
        <v>170</v>
      </c>
      <c r="B175" s="66" t="s">
        <v>454</v>
      </c>
      <c r="C175" s="66">
        <v>1066968780</v>
      </c>
      <c r="D175" s="67" t="str">
        <f t="shared" si="5"/>
        <v>https://portal.dnb.de/opac.htm?method=simpleSearch&amp;cqlMode=true&amp;query=idn%3D1066968780</v>
      </c>
      <c r="E175" s="66" t="s">
        <v>455</v>
      </c>
      <c r="F175" s="66"/>
      <c r="G175" s="68"/>
      <c r="H175" s="69"/>
      <c r="I175" s="68"/>
      <c r="J175" s="69"/>
      <c r="K175" s="69"/>
      <c r="L175" s="68"/>
      <c r="M175" s="68"/>
      <c r="N175" s="68"/>
      <c r="O175" s="68"/>
      <c r="P175" s="68"/>
      <c r="Q175" s="68"/>
      <c r="R175" s="68"/>
      <c r="S175" s="68"/>
      <c r="BD175" s="115">
        <f t="shared" si="4"/>
        <v>0</v>
      </c>
      <c r="CC175" s="115"/>
      <c r="CV175" s="115"/>
    </row>
    <row r="176" spans="1:100" x14ac:dyDescent="0.15">
      <c r="A176" s="68">
        <v>171</v>
      </c>
      <c r="B176" s="66" t="s">
        <v>456</v>
      </c>
      <c r="C176" s="66">
        <v>1066965374</v>
      </c>
      <c r="D176" s="67" t="str">
        <f t="shared" si="5"/>
        <v>https://portal.dnb.de/opac.htm?method=simpleSearch&amp;cqlMode=true&amp;query=idn%3D1066965374</v>
      </c>
      <c r="E176" s="66" t="s">
        <v>457</v>
      </c>
      <c r="F176" s="66"/>
      <c r="G176" s="68"/>
      <c r="H176" s="69"/>
      <c r="I176" s="68"/>
      <c r="J176" s="69"/>
      <c r="K176" s="69"/>
      <c r="L176" s="68"/>
      <c r="M176" s="68"/>
      <c r="N176" s="68"/>
      <c r="O176" s="68"/>
      <c r="P176" s="68"/>
      <c r="Q176" s="68"/>
      <c r="R176" s="68"/>
      <c r="S176" s="68"/>
      <c r="BD176" s="115">
        <f t="shared" si="4"/>
        <v>0</v>
      </c>
      <c r="CC176" s="115"/>
      <c r="CV176" s="115"/>
    </row>
    <row r="177" spans="1:100" x14ac:dyDescent="0.15">
      <c r="A177" s="68">
        <v>172</v>
      </c>
      <c r="B177" s="66" t="s">
        <v>458</v>
      </c>
      <c r="C177" s="66">
        <v>1066970211</v>
      </c>
      <c r="D177" s="67" t="str">
        <f t="shared" si="5"/>
        <v>https://portal.dnb.de/opac.htm?method=simpleSearch&amp;cqlMode=true&amp;query=idn%3D1066970211</v>
      </c>
      <c r="E177" s="66" t="s">
        <v>459</v>
      </c>
      <c r="F177" s="66"/>
      <c r="G177" s="68"/>
      <c r="H177" s="69"/>
      <c r="I177" s="68"/>
      <c r="J177" s="69"/>
      <c r="K177" s="69"/>
      <c r="L177" s="68"/>
      <c r="M177" s="68"/>
      <c r="N177" s="68"/>
      <c r="O177" s="68"/>
      <c r="P177" s="68"/>
      <c r="Q177" s="68"/>
      <c r="R177" s="68"/>
      <c r="S177" s="68"/>
      <c r="BD177" s="115">
        <f t="shared" si="4"/>
        <v>0</v>
      </c>
      <c r="CC177" s="115"/>
      <c r="CV177" s="115"/>
    </row>
    <row r="178" spans="1:100" x14ac:dyDescent="0.15">
      <c r="A178" s="68">
        <v>173</v>
      </c>
      <c r="B178" s="66" t="s">
        <v>460</v>
      </c>
      <c r="C178" s="66">
        <v>1066968985</v>
      </c>
      <c r="D178" s="67" t="str">
        <f t="shared" si="5"/>
        <v>https://portal.dnb.de/opac.htm?method=simpleSearch&amp;cqlMode=true&amp;query=idn%3D1066968985</v>
      </c>
      <c r="E178" s="66" t="s">
        <v>461</v>
      </c>
      <c r="F178" s="66"/>
      <c r="G178" s="68"/>
      <c r="H178" s="69"/>
      <c r="I178" s="68"/>
      <c r="J178" s="69"/>
      <c r="K178" s="69"/>
      <c r="L178" s="68"/>
      <c r="M178" s="68"/>
      <c r="N178" s="68"/>
      <c r="O178" s="68"/>
      <c r="P178" s="68"/>
      <c r="Q178" s="68"/>
      <c r="R178" s="68"/>
      <c r="S178" s="68"/>
      <c r="BD178" s="115">
        <f t="shared" si="4"/>
        <v>0</v>
      </c>
      <c r="CC178" s="115"/>
      <c r="CV178" s="115"/>
    </row>
    <row r="179" spans="1:100" x14ac:dyDescent="0.15">
      <c r="A179" s="68">
        <v>174</v>
      </c>
      <c r="B179" s="66" t="s">
        <v>462</v>
      </c>
      <c r="C179" s="66">
        <v>1066969736</v>
      </c>
      <c r="D179" s="67" t="str">
        <f t="shared" si="5"/>
        <v>https://portal.dnb.de/opac.htm?method=simpleSearch&amp;cqlMode=true&amp;query=idn%3D1066969736</v>
      </c>
      <c r="E179" s="66" t="s">
        <v>463</v>
      </c>
      <c r="F179" s="66"/>
      <c r="G179" s="68"/>
      <c r="H179" s="69"/>
      <c r="I179" s="68"/>
      <c r="J179" s="69"/>
      <c r="K179" s="69"/>
      <c r="L179" s="68"/>
      <c r="M179" s="68"/>
      <c r="N179" s="68"/>
      <c r="O179" s="68"/>
      <c r="P179" s="68"/>
      <c r="Q179" s="68"/>
      <c r="R179" s="68"/>
      <c r="S179" s="68"/>
      <c r="BD179" s="115">
        <f t="shared" si="4"/>
        <v>0</v>
      </c>
      <c r="CC179" s="115"/>
      <c r="CV179" s="115"/>
    </row>
    <row r="180" spans="1:100" x14ac:dyDescent="0.15">
      <c r="A180" s="68">
        <v>175</v>
      </c>
      <c r="B180" s="66" t="s">
        <v>464</v>
      </c>
      <c r="C180" s="66">
        <v>1066967024</v>
      </c>
      <c r="D180" s="67" t="str">
        <f t="shared" si="5"/>
        <v>https://portal.dnb.de/opac.htm?method=simpleSearch&amp;cqlMode=true&amp;query=idn%3D1066967024</v>
      </c>
      <c r="E180" s="66" t="s">
        <v>465</v>
      </c>
      <c r="F180" s="66"/>
      <c r="G180" s="68"/>
      <c r="H180" s="69"/>
      <c r="I180" s="68"/>
      <c r="J180" s="69"/>
      <c r="K180" s="69"/>
      <c r="L180" s="68"/>
      <c r="M180" s="68"/>
      <c r="N180" s="68"/>
      <c r="O180" s="68"/>
      <c r="P180" s="68"/>
      <c r="Q180" s="68"/>
      <c r="R180" s="68"/>
      <c r="S180" s="68"/>
      <c r="BD180" s="115">
        <f t="shared" si="4"/>
        <v>0</v>
      </c>
      <c r="CC180" s="115"/>
      <c r="CV180" s="115"/>
    </row>
    <row r="181" spans="1:100" x14ac:dyDescent="0.15">
      <c r="A181" s="68">
        <v>176</v>
      </c>
      <c r="B181" s="66" t="s">
        <v>466</v>
      </c>
      <c r="C181" s="66">
        <v>1066964823</v>
      </c>
      <c r="D181" s="67" t="str">
        <f t="shared" si="5"/>
        <v>https://portal.dnb.de/opac.htm?method=simpleSearch&amp;cqlMode=true&amp;query=idn%3D1066964823</v>
      </c>
      <c r="E181" s="66" t="s">
        <v>467</v>
      </c>
      <c r="F181" s="66"/>
      <c r="G181" s="68"/>
      <c r="H181" s="69"/>
      <c r="I181" s="68"/>
      <c r="J181" s="69"/>
      <c r="K181" s="69"/>
      <c r="L181" s="68"/>
      <c r="M181" s="68"/>
      <c r="N181" s="68"/>
      <c r="O181" s="68"/>
      <c r="P181" s="68"/>
      <c r="Q181" s="68"/>
      <c r="R181" s="68"/>
      <c r="S181" s="68"/>
      <c r="BD181" s="115">
        <f t="shared" si="4"/>
        <v>0</v>
      </c>
      <c r="CC181" s="115"/>
      <c r="CV181" s="115"/>
    </row>
    <row r="182" spans="1:100" x14ac:dyDescent="0.15">
      <c r="A182" s="68">
        <v>177</v>
      </c>
      <c r="B182" s="66" t="s">
        <v>468</v>
      </c>
      <c r="C182" s="66">
        <v>1066969310</v>
      </c>
      <c r="D182" s="67" t="str">
        <f t="shared" si="5"/>
        <v>https://portal.dnb.de/opac.htm?method=simpleSearch&amp;cqlMode=true&amp;query=idn%3D1066969310</v>
      </c>
      <c r="E182" s="66" t="s">
        <v>469</v>
      </c>
      <c r="F182" s="66"/>
      <c r="G182" s="68"/>
      <c r="H182" s="69"/>
      <c r="I182" s="68"/>
      <c r="J182" s="69"/>
      <c r="K182" s="69"/>
      <c r="L182" s="68"/>
      <c r="M182" s="68"/>
      <c r="N182" s="68"/>
      <c r="O182" s="68"/>
      <c r="P182" s="68"/>
      <c r="Q182" s="68"/>
      <c r="R182" s="68"/>
      <c r="S182" s="68"/>
      <c r="BD182" s="115">
        <f t="shared" si="4"/>
        <v>0</v>
      </c>
      <c r="CC182" s="115"/>
      <c r="CV182" s="115"/>
    </row>
    <row r="183" spans="1:100" x14ac:dyDescent="0.15">
      <c r="A183" s="68">
        <v>178</v>
      </c>
      <c r="B183" s="66" t="s">
        <v>470</v>
      </c>
      <c r="C183" s="66">
        <v>1066965838</v>
      </c>
      <c r="D183" s="67" t="str">
        <f t="shared" si="5"/>
        <v>https://portal.dnb.de/opac.htm?method=simpleSearch&amp;cqlMode=true&amp;query=idn%3D1066965838</v>
      </c>
      <c r="E183" s="66" t="s">
        <v>471</v>
      </c>
      <c r="F183" s="66"/>
      <c r="G183" s="68"/>
      <c r="H183" s="69"/>
      <c r="I183" s="68"/>
      <c r="J183" s="69"/>
      <c r="K183" s="69"/>
      <c r="L183" s="68"/>
      <c r="M183" s="68"/>
      <c r="N183" s="68"/>
      <c r="O183" s="68"/>
      <c r="P183" s="68"/>
      <c r="Q183" s="68"/>
      <c r="R183" s="68"/>
      <c r="S183" s="68"/>
      <c r="BD183" s="115">
        <f t="shared" si="4"/>
        <v>0</v>
      </c>
      <c r="CC183" s="115"/>
      <c r="CV183" s="115"/>
    </row>
    <row r="184" spans="1:100" x14ac:dyDescent="0.15">
      <c r="A184" s="68">
        <v>179</v>
      </c>
      <c r="B184" s="66" t="s">
        <v>472</v>
      </c>
      <c r="C184" s="66">
        <v>1066965358</v>
      </c>
      <c r="D184" s="67" t="str">
        <f t="shared" si="5"/>
        <v>https://portal.dnb.de/opac.htm?method=simpleSearch&amp;cqlMode=true&amp;query=idn%3D1066965358</v>
      </c>
      <c r="E184" s="66" t="s">
        <v>473</v>
      </c>
      <c r="F184" s="66"/>
      <c r="G184" s="68"/>
      <c r="H184" s="69"/>
      <c r="I184" s="68"/>
      <c r="J184" s="69"/>
      <c r="K184" s="69"/>
      <c r="L184" s="68"/>
      <c r="M184" s="68"/>
      <c r="N184" s="68"/>
      <c r="O184" s="68"/>
      <c r="P184" s="68"/>
      <c r="Q184" s="68"/>
      <c r="R184" s="68"/>
      <c r="S184" s="68"/>
      <c r="BD184" s="115">
        <f t="shared" si="4"/>
        <v>0</v>
      </c>
      <c r="CC184" s="115"/>
      <c r="CV184" s="115"/>
    </row>
    <row r="185" spans="1:100" x14ac:dyDescent="0.15">
      <c r="A185" s="68">
        <v>180</v>
      </c>
      <c r="B185" s="66" t="s">
        <v>474</v>
      </c>
      <c r="C185" s="66">
        <v>1066967180</v>
      </c>
      <c r="D185" s="67" t="str">
        <f t="shared" si="5"/>
        <v>https://portal.dnb.de/opac.htm?method=simpleSearch&amp;cqlMode=true&amp;query=idn%3D1066967180</v>
      </c>
      <c r="E185" s="66" t="s">
        <v>475</v>
      </c>
      <c r="F185" s="66"/>
      <c r="G185" s="68"/>
      <c r="H185" s="69"/>
      <c r="I185" s="68"/>
      <c r="J185" s="69"/>
      <c r="K185" s="69"/>
      <c r="L185" s="68"/>
      <c r="M185" s="68"/>
      <c r="N185" s="68"/>
      <c r="O185" s="68"/>
      <c r="P185" s="68"/>
      <c r="Q185" s="68"/>
      <c r="R185" s="68"/>
      <c r="S185" s="68"/>
      <c r="BD185" s="115">
        <f t="shared" si="4"/>
        <v>0</v>
      </c>
      <c r="CC185" s="115"/>
      <c r="CV185" s="115"/>
    </row>
    <row r="186" spans="1:100" x14ac:dyDescent="0.15">
      <c r="A186" s="68">
        <v>181</v>
      </c>
      <c r="B186" s="66" t="s">
        <v>476</v>
      </c>
      <c r="C186" s="66">
        <v>1066971366</v>
      </c>
      <c r="D186" s="67" t="str">
        <f t="shared" si="5"/>
        <v>https://portal.dnb.de/opac.htm?method=simpleSearch&amp;cqlMode=true&amp;query=idn%3D1066971366</v>
      </c>
      <c r="E186" s="66" t="s">
        <v>477</v>
      </c>
      <c r="F186" s="66"/>
      <c r="G186" s="68"/>
      <c r="H186" s="69"/>
      <c r="I186" s="68"/>
      <c r="J186" s="69"/>
      <c r="K186" s="69"/>
      <c r="L186" s="68"/>
      <c r="M186" s="68"/>
      <c r="N186" s="68"/>
      <c r="O186" s="68"/>
      <c r="P186" s="68"/>
      <c r="Q186" s="68"/>
      <c r="R186" s="68"/>
      <c r="S186" s="68"/>
      <c r="BD186" s="115">
        <f t="shared" si="4"/>
        <v>0</v>
      </c>
      <c r="CC186" s="115"/>
      <c r="CV186" s="115"/>
    </row>
    <row r="187" spans="1:100" x14ac:dyDescent="0.15">
      <c r="A187" s="68">
        <v>182</v>
      </c>
      <c r="B187" s="66" t="s">
        <v>478</v>
      </c>
      <c r="C187" s="66">
        <v>1066969485</v>
      </c>
      <c r="D187" s="67" t="str">
        <f t="shared" si="5"/>
        <v>https://portal.dnb.de/opac.htm?method=simpleSearch&amp;cqlMode=true&amp;query=idn%3D1066969485</v>
      </c>
      <c r="E187" s="66" t="s">
        <v>479</v>
      </c>
      <c r="F187" s="66"/>
      <c r="G187" s="68"/>
      <c r="H187" s="69"/>
      <c r="I187" s="68"/>
      <c r="J187" s="69"/>
      <c r="K187" s="69"/>
      <c r="L187" s="68"/>
      <c r="M187" s="68"/>
      <c r="N187" s="68"/>
      <c r="O187" s="68"/>
      <c r="P187" s="68"/>
      <c r="Q187" s="68"/>
      <c r="R187" s="68"/>
      <c r="S187" s="68"/>
      <c r="BD187" s="115">
        <f t="shared" si="4"/>
        <v>0</v>
      </c>
      <c r="CC187" s="115"/>
      <c r="CV187" s="115"/>
    </row>
    <row r="188" spans="1:100" x14ac:dyDescent="0.15">
      <c r="A188" s="68">
        <v>183</v>
      </c>
      <c r="B188" s="66" t="s">
        <v>480</v>
      </c>
      <c r="C188" s="66">
        <v>1066967547</v>
      </c>
      <c r="D188" s="67" t="str">
        <f t="shared" si="5"/>
        <v>https://portal.dnb.de/opac.htm?method=simpleSearch&amp;cqlMode=true&amp;query=idn%3D1066967547</v>
      </c>
      <c r="E188" s="66" t="s">
        <v>481</v>
      </c>
      <c r="F188" s="66"/>
      <c r="G188" s="68"/>
      <c r="H188" s="69"/>
      <c r="I188" s="68"/>
      <c r="J188" s="69"/>
      <c r="K188" s="69"/>
      <c r="L188" s="68"/>
      <c r="M188" s="68"/>
      <c r="N188" s="68"/>
      <c r="O188" s="68"/>
      <c r="P188" s="68"/>
      <c r="Q188" s="68"/>
      <c r="R188" s="68"/>
      <c r="S188" s="68"/>
      <c r="BD188" s="115">
        <f t="shared" si="4"/>
        <v>0</v>
      </c>
      <c r="CC188" s="115"/>
      <c r="CV188" s="115"/>
    </row>
    <row r="189" spans="1:100" x14ac:dyDescent="0.15">
      <c r="A189" s="68">
        <v>184</v>
      </c>
      <c r="B189" s="66" t="s">
        <v>482</v>
      </c>
      <c r="C189" s="66">
        <v>1066971978</v>
      </c>
      <c r="D189" s="67" t="str">
        <f t="shared" si="5"/>
        <v>https://portal.dnb.de/opac.htm?method=simpleSearch&amp;cqlMode=true&amp;query=idn%3D1066971978</v>
      </c>
      <c r="E189" s="66" t="s">
        <v>483</v>
      </c>
      <c r="F189" s="66"/>
      <c r="G189" s="68"/>
      <c r="H189" s="69"/>
      <c r="I189" s="68"/>
      <c r="J189" s="69"/>
      <c r="K189" s="69"/>
      <c r="L189" s="68"/>
      <c r="M189" s="68"/>
      <c r="N189" s="68"/>
      <c r="O189" s="68"/>
      <c r="P189" s="68"/>
      <c r="Q189" s="68"/>
      <c r="R189" s="68"/>
      <c r="S189" s="68"/>
      <c r="BD189" s="115">
        <f t="shared" si="4"/>
        <v>0</v>
      </c>
      <c r="CC189" s="115"/>
      <c r="CV189" s="115"/>
    </row>
    <row r="190" spans="1:100" x14ac:dyDescent="0.15">
      <c r="A190" s="68">
        <v>185</v>
      </c>
      <c r="B190" s="66" t="s">
        <v>484</v>
      </c>
      <c r="C190" s="66">
        <v>1066966079</v>
      </c>
      <c r="D190" s="67" t="str">
        <f t="shared" si="5"/>
        <v>https://portal.dnb.de/opac.htm?method=simpleSearch&amp;cqlMode=true&amp;query=idn%3D1066966079</v>
      </c>
      <c r="E190" s="66" t="s">
        <v>485</v>
      </c>
      <c r="F190" s="66"/>
      <c r="G190" s="68"/>
      <c r="H190" s="69"/>
      <c r="I190" s="68"/>
      <c r="J190" s="69"/>
      <c r="K190" s="69"/>
      <c r="L190" s="68"/>
      <c r="M190" s="68"/>
      <c r="N190" s="68"/>
      <c r="O190" s="68"/>
      <c r="P190" s="68"/>
      <c r="Q190" s="68"/>
      <c r="R190" s="68"/>
      <c r="S190" s="68"/>
      <c r="BD190" s="115">
        <f t="shared" si="4"/>
        <v>0</v>
      </c>
      <c r="CC190" s="115"/>
      <c r="CV190" s="115"/>
    </row>
    <row r="191" spans="1:100" x14ac:dyDescent="0.15">
      <c r="A191" s="68">
        <v>186</v>
      </c>
      <c r="B191" s="66" t="s">
        <v>486</v>
      </c>
      <c r="C191" s="66">
        <v>1066965781</v>
      </c>
      <c r="D191" s="67" t="str">
        <f t="shared" si="5"/>
        <v>https://portal.dnb.de/opac.htm?method=simpleSearch&amp;cqlMode=true&amp;query=idn%3D1066965781</v>
      </c>
      <c r="E191" s="66" t="s">
        <v>487</v>
      </c>
      <c r="F191" s="66"/>
      <c r="G191" s="68"/>
      <c r="H191" s="69"/>
      <c r="I191" s="68"/>
      <c r="J191" s="69"/>
      <c r="K191" s="69"/>
      <c r="L191" s="68"/>
      <c r="M191" s="68"/>
      <c r="N191" s="68"/>
      <c r="O191" s="68"/>
      <c r="P191" s="68"/>
      <c r="Q191" s="68"/>
      <c r="R191" s="68"/>
      <c r="S191" s="68"/>
      <c r="BD191" s="115">
        <f t="shared" si="4"/>
        <v>0</v>
      </c>
      <c r="CC191" s="115"/>
      <c r="CV191" s="115"/>
    </row>
    <row r="192" spans="1:100" x14ac:dyDescent="0.15">
      <c r="A192" s="68">
        <v>187</v>
      </c>
      <c r="B192" s="66" t="s">
        <v>488</v>
      </c>
      <c r="C192" s="66">
        <v>1066969744</v>
      </c>
      <c r="D192" s="67" t="str">
        <f t="shared" si="5"/>
        <v>https://portal.dnb.de/opac.htm?method=simpleSearch&amp;cqlMode=true&amp;query=idn%3D1066969744</v>
      </c>
      <c r="E192" s="66" t="s">
        <v>489</v>
      </c>
      <c r="F192" s="66"/>
      <c r="G192" s="68"/>
      <c r="H192" s="69"/>
      <c r="I192" s="68"/>
      <c r="J192" s="69"/>
      <c r="K192" s="69"/>
      <c r="L192" s="68"/>
      <c r="M192" s="68"/>
      <c r="N192" s="68"/>
      <c r="O192" s="68"/>
      <c r="P192" s="68"/>
      <c r="Q192" s="68"/>
      <c r="R192" s="68"/>
      <c r="S192" s="68"/>
      <c r="BD192" s="115">
        <f t="shared" si="4"/>
        <v>0</v>
      </c>
      <c r="CC192" s="115"/>
      <c r="CV192" s="115"/>
    </row>
    <row r="193" spans="1:100" x14ac:dyDescent="0.15">
      <c r="A193" s="68">
        <v>188</v>
      </c>
      <c r="B193" s="66" t="s">
        <v>490</v>
      </c>
      <c r="C193" s="66">
        <v>1066970521</v>
      </c>
      <c r="D193" s="67" t="str">
        <f t="shared" si="5"/>
        <v>https://portal.dnb.de/opac.htm?method=simpleSearch&amp;cqlMode=true&amp;query=idn%3D1066970521</v>
      </c>
      <c r="E193" s="66" t="s">
        <v>491</v>
      </c>
      <c r="F193" s="66"/>
      <c r="G193" s="68"/>
      <c r="H193" s="69"/>
      <c r="I193" s="68"/>
      <c r="J193" s="69"/>
      <c r="K193" s="69"/>
      <c r="L193" s="68"/>
      <c r="M193" s="68"/>
      <c r="N193" s="68"/>
      <c r="O193" s="68"/>
      <c r="P193" s="68"/>
      <c r="Q193" s="68"/>
      <c r="R193" s="68"/>
      <c r="S193" s="68"/>
      <c r="BD193" s="115">
        <f t="shared" si="4"/>
        <v>0</v>
      </c>
      <c r="CC193" s="115"/>
      <c r="CV193" s="115"/>
    </row>
    <row r="194" spans="1:100" x14ac:dyDescent="0.15">
      <c r="A194" s="68">
        <v>189</v>
      </c>
      <c r="B194" s="66" t="s">
        <v>492</v>
      </c>
      <c r="C194" s="66" t="s">
        <v>493</v>
      </c>
      <c r="D194" s="67" t="str">
        <f t="shared" si="5"/>
        <v>https://portal.dnb.de/opac.htm?method=simpleSearch&amp;cqlMode=true&amp;query=idn%3D106697053X</v>
      </c>
      <c r="E194" s="66" t="s">
        <v>494</v>
      </c>
      <c r="F194" s="66"/>
      <c r="G194" s="68"/>
      <c r="H194" s="69"/>
      <c r="I194" s="68"/>
      <c r="J194" s="69"/>
      <c r="K194" s="69"/>
      <c r="L194" s="68"/>
      <c r="M194" s="68"/>
      <c r="N194" s="68"/>
      <c r="O194" s="68"/>
      <c r="P194" s="68"/>
      <c r="Q194" s="68"/>
      <c r="R194" s="68"/>
      <c r="S194" s="68"/>
      <c r="BD194" s="115">
        <f t="shared" ref="BD194:BD257" si="6">CC194+CV194</f>
        <v>0</v>
      </c>
      <c r="CC194" s="115"/>
      <c r="CV194" s="115"/>
    </row>
    <row r="195" spans="1:100" x14ac:dyDescent="0.15">
      <c r="A195" s="68">
        <v>190</v>
      </c>
      <c r="B195" s="66" t="s">
        <v>495</v>
      </c>
      <c r="C195" s="66">
        <v>1066972427</v>
      </c>
      <c r="D195" s="67" t="str">
        <f t="shared" si="5"/>
        <v>https://portal.dnb.de/opac.htm?method=simpleSearch&amp;cqlMode=true&amp;query=idn%3D1066972427</v>
      </c>
      <c r="E195" s="66" t="s">
        <v>496</v>
      </c>
      <c r="F195" s="66"/>
      <c r="G195" s="68"/>
      <c r="H195" s="69"/>
      <c r="I195" s="68"/>
      <c r="J195" s="69"/>
      <c r="K195" s="69"/>
      <c r="L195" s="68"/>
      <c r="M195" s="68"/>
      <c r="N195" s="68"/>
      <c r="O195" s="68"/>
      <c r="P195" s="68"/>
      <c r="Q195" s="68"/>
      <c r="R195" s="68"/>
      <c r="S195" s="68"/>
      <c r="BD195" s="115">
        <f t="shared" si="6"/>
        <v>0</v>
      </c>
      <c r="CC195" s="115"/>
      <c r="CV195" s="115"/>
    </row>
    <row r="196" spans="1:100" x14ac:dyDescent="0.15">
      <c r="A196" s="68">
        <v>191</v>
      </c>
      <c r="B196" s="66" t="s">
        <v>497</v>
      </c>
      <c r="C196" s="66">
        <v>1072264986</v>
      </c>
      <c r="D196" s="67" t="str">
        <f t="shared" si="5"/>
        <v>https://portal.dnb.de/opac.htm?method=simpleSearch&amp;cqlMode=true&amp;query=idn%3D1072264986</v>
      </c>
      <c r="E196" s="66" t="s">
        <v>498</v>
      </c>
      <c r="F196" s="66"/>
      <c r="G196" s="68"/>
      <c r="H196" s="69"/>
      <c r="I196" s="68"/>
      <c r="J196" s="69"/>
      <c r="K196" s="69"/>
      <c r="L196" s="68"/>
      <c r="M196" s="68"/>
      <c r="N196" s="68"/>
      <c r="O196" s="68"/>
      <c r="P196" s="68"/>
      <c r="Q196" s="68"/>
      <c r="R196" s="68"/>
      <c r="S196" s="68"/>
      <c r="BD196" s="115">
        <f t="shared" si="6"/>
        <v>0</v>
      </c>
      <c r="CC196" s="115"/>
      <c r="CV196" s="115"/>
    </row>
    <row r="197" spans="1:100" x14ac:dyDescent="0.15">
      <c r="A197" s="68">
        <v>192</v>
      </c>
      <c r="B197" s="66" t="s">
        <v>499</v>
      </c>
      <c r="C197" s="66">
        <v>1066972648</v>
      </c>
      <c r="D197" s="67" t="str">
        <f t="shared" si="5"/>
        <v>https://portal.dnb.de/opac.htm?method=simpleSearch&amp;cqlMode=true&amp;query=idn%3D1066972648</v>
      </c>
      <c r="E197" s="66" t="s">
        <v>500</v>
      </c>
      <c r="F197" s="66"/>
      <c r="G197" s="68"/>
      <c r="H197" s="69"/>
      <c r="I197" s="68"/>
      <c r="J197" s="69"/>
      <c r="K197" s="69"/>
      <c r="L197" s="68"/>
      <c r="M197" s="68"/>
      <c r="N197" s="68"/>
      <c r="O197" s="68"/>
      <c r="P197" s="68"/>
      <c r="Q197" s="68"/>
      <c r="R197" s="68"/>
      <c r="S197" s="68"/>
      <c r="BD197" s="115">
        <f t="shared" si="6"/>
        <v>0</v>
      </c>
      <c r="CC197" s="115"/>
      <c r="CV197" s="115"/>
    </row>
    <row r="198" spans="1:100" x14ac:dyDescent="0.15">
      <c r="A198" s="68">
        <v>193</v>
      </c>
      <c r="B198" s="66" t="s">
        <v>501</v>
      </c>
      <c r="C198" s="66">
        <v>1066968705</v>
      </c>
      <c r="D198" s="67" t="str">
        <f t="shared" si="5"/>
        <v>https://portal.dnb.de/opac.htm?method=simpleSearch&amp;cqlMode=true&amp;query=idn%3D1066968705</v>
      </c>
      <c r="E198" s="66" t="s">
        <v>502</v>
      </c>
      <c r="F198" s="66"/>
      <c r="G198" s="68"/>
      <c r="H198" s="69"/>
      <c r="I198" s="68"/>
      <c r="J198" s="69"/>
      <c r="K198" s="69"/>
      <c r="L198" s="68"/>
      <c r="M198" s="68"/>
      <c r="N198" s="68"/>
      <c r="O198" s="68"/>
      <c r="P198" s="68"/>
      <c r="Q198" s="68"/>
      <c r="R198" s="68"/>
      <c r="S198" s="68"/>
      <c r="BD198" s="115">
        <f t="shared" si="6"/>
        <v>0</v>
      </c>
      <c r="CC198" s="115"/>
      <c r="CV198" s="115"/>
    </row>
    <row r="199" spans="1:100" x14ac:dyDescent="0.15">
      <c r="A199" s="68">
        <v>194</v>
      </c>
      <c r="B199" s="66" t="s">
        <v>503</v>
      </c>
      <c r="C199" s="66" t="s">
        <v>504</v>
      </c>
      <c r="D199" s="67" t="str">
        <f t="shared" ref="D199:D262" si="7">HYPERLINK(CONCATENATE("https://portal.dnb.de/opac.htm?method=simpleSearch&amp;cqlMode=true&amp;query=idn%3D",C199))</f>
        <v>https://portal.dnb.de/opac.htm?method=simpleSearch&amp;cqlMode=true&amp;query=idn%3D107226532X</v>
      </c>
      <c r="E199" s="66" t="s">
        <v>505</v>
      </c>
      <c r="F199" s="66"/>
      <c r="G199" s="68"/>
      <c r="H199" s="69"/>
      <c r="I199" s="68" t="s">
        <v>53</v>
      </c>
      <c r="J199" s="69"/>
      <c r="K199" s="69"/>
      <c r="L199" s="68"/>
      <c r="M199" s="68"/>
      <c r="N199" s="68"/>
      <c r="O199" s="68"/>
      <c r="P199" s="68"/>
      <c r="Q199" s="68"/>
      <c r="R199" s="68"/>
      <c r="S199" s="68"/>
      <c r="U199" s="83" t="s">
        <v>711</v>
      </c>
      <c r="AI199" s="83" t="s">
        <v>699</v>
      </c>
      <c r="AW199" s="83">
        <v>180</v>
      </c>
      <c r="BC199" s="84" t="s">
        <v>712</v>
      </c>
      <c r="BD199" s="115">
        <f t="shared" si="6"/>
        <v>0</v>
      </c>
      <c r="BI199" s="83" t="s">
        <v>625</v>
      </c>
      <c r="CC199" s="115"/>
      <c r="CV199" s="115"/>
    </row>
    <row r="200" spans="1:100" x14ac:dyDescent="0.15">
      <c r="A200" s="68">
        <v>195</v>
      </c>
      <c r="B200" s="66" t="s">
        <v>506</v>
      </c>
      <c r="C200" s="66" t="s">
        <v>507</v>
      </c>
      <c r="D200" s="67" t="str">
        <f t="shared" si="7"/>
        <v>https://portal.dnb.de/opac.htm?method=simpleSearch&amp;cqlMode=true&amp;query=idn%3D107226580X</v>
      </c>
      <c r="E200" s="66" t="s">
        <v>508</v>
      </c>
      <c r="F200" s="66"/>
      <c r="G200" s="68"/>
      <c r="H200" s="69"/>
      <c r="I200" s="68" t="s">
        <v>53</v>
      </c>
      <c r="J200" s="69"/>
      <c r="K200" s="69"/>
      <c r="L200" s="68"/>
      <c r="M200" s="68"/>
      <c r="N200" s="68"/>
      <c r="O200" s="68"/>
      <c r="P200" s="68"/>
      <c r="Q200" s="68"/>
      <c r="R200" s="68"/>
      <c r="S200" s="68"/>
      <c r="U200" s="83" t="s">
        <v>711</v>
      </c>
      <c r="AI200" s="83" t="s">
        <v>699</v>
      </c>
      <c r="AW200" s="83">
        <v>180</v>
      </c>
      <c r="BC200" s="84" t="s">
        <v>712</v>
      </c>
      <c r="BD200" s="115">
        <f t="shared" si="6"/>
        <v>0</v>
      </c>
      <c r="BI200" s="83" t="s">
        <v>625</v>
      </c>
      <c r="CC200" s="115"/>
      <c r="CV200" s="115"/>
    </row>
    <row r="201" spans="1:100" x14ac:dyDescent="0.15">
      <c r="A201" s="68">
        <v>196</v>
      </c>
      <c r="B201" s="66" t="s">
        <v>509</v>
      </c>
      <c r="C201" s="66">
        <v>1066973067</v>
      </c>
      <c r="D201" s="67" t="str">
        <f t="shared" si="7"/>
        <v>https://portal.dnb.de/opac.htm?method=simpleSearch&amp;cqlMode=true&amp;query=idn%3D1066973067</v>
      </c>
      <c r="E201" s="66" t="s">
        <v>510</v>
      </c>
      <c r="F201" s="66"/>
      <c r="G201" s="68"/>
      <c r="H201" s="69"/>
      <c r="I201" s="68" t="s">
        <v>53</v>
      </c>
      <c r="J201" s="69"/>
      <c r="K201" s="69"/>
      <c r="L201" s="68"/>
      <c r="M201" s="68"/>
      <c r="N201" s="68"/>
      <c r="O201" s="68"/>
      <c r="P201" s="68"/>
      <c r="Q201" s="68"/>
      <c r="R201" s="68"/>
      <c r="S201" s="68"/>
      <c r="U201" s="83" t="s">
        <v>711</v>
      </c>
      <c r="AI201" s="83" t="s">
        <v>699</v>
      </c>
      <c r="AW201" s="83">
        <v>180</v>
      </c>
      <c r="BC201" s="84" t="s">
        <v>712</v>
      </c>
      <c r="BD201" s="115">
        <f t="shared" si="6"/>
        <v>0</v>
      </c>
      <c r="BI201" s="83" t="s">
        <v>625</v>
      </c>
      <c r="CC201" s="115"/>
      <c r="CV201" s="115"/>
    </row>
    <row r="202" spans="1:100" x14ac:dyDescent="0.15">
      <c r="A202" s="68">
        <v>197</v>
      </c>
      <c r="B202" s="66" t="s">
        <v>511</v>
      </c>
      <c r="C202" s="66" t="s">
        <v>512</v>
      </c>
      <c r="D202" s="67" t="str">
        <f t="shared" si="7"/>
        <v>https://portal.dnb.de/opac.htm?method=simpleSearch&amp;cqlMode=true&amp;query=idn%3D106696792X</v>
      </c>
      <c r="E202" s="66" t="s">
        <v>513</v>
      </c>
      <c r="F202" s="66"/>
      <c r="G202" s="68"/>
      <c r="H202" s="69"/>
      <c r="I202" s="68" t="s">
        <v>53</v>
      </c>
      <c r="J202" s="69"/>
      <c r="K202" s="69"/>
      <c r="L202" s="68"/>
      <c r="M202" s="68"/>
      <c r="N202" s="68"/>
      <c r="O202" s="68"/>
      <c r="P202" s="68"/>
      <c r="Q202" s="68"/>
      <c r="R202" s="68"/>
      <c r="S202" s="68"/>
      <c r="U202" s="83" t="s">
        <v>711</v>
      </c>
      <c r="AI202" s="83" t="s">
        <v>699</v>
      </c>
      <c r="AW202" s="83">
        <v>180</v>
      </c>
      <c r="BC202" s="84" t="s">
        <v>712</v>
      </c>
      <c r="BD202" s="115">
        <f t="shared" si="6"/>
        <v>0</v>
      </c>
      <c r="BI202" s="83" t="s">
        <v>625</v>
      </c>
      <c r="CC202" s="115"/>
      <c r="CV202" s="115"/>
    </row>
    <row r="203" spans="1:100" x14ac:dyDescent="0.15">
      <c r="A203" s="68">
        <v>198</v>
      </c>
      <c r="B203" s="66" t="s">
        <v>514</v>
      </c>
      <c r="C203" s="66">
        <v>1066965242</v>
      </c>
      <c r="D203" s="67" t="str">
        <f t="shared" si="7"/>
        <v>https://portal.dnb.de/opac.htm?method=simpleSearch&amp;cqlMode=true&amp;query=idn%3D1066965242</v>
      </c>
      <c r="E203" s="66" t="s">
        <v>515</v>
      </c>
      <c r="F203" s="66"/>
      <c r="G203" s="68"/>
      <c r="H203" s="69"/>
      <c r="I203" s="68" t="s">
        <v>53</v>
      </c>
      <c r="J203" s="69"/>
      <c r="K203" s="69"/>
      <c r="L203" s="68"/>
      <c r="M203" s="68"/>
      <c r="N203" s="68"/>
      <c r="O203" s="68"/>
      <c r="P203" s="68"/>
      <c r="Q203" s="68"/>
      <c r="R203" s="68"/>
      <c r="S203" s="68"/>
      <c r="U203" s="83" t="s">
        <v>711</v>
      </c>
      <c r="AI203" s="83" t="s">
        <v>699</v>
      </c>
      <c r="AW203" s="83">
        <v>180</v>
      </c>
      <c r="BC203" s="84" t="s">
        <v>712</v>
      </c>
      <c r="BD203" s="115">
        <f t="shared" si="6"/>
        <v>0</v>
      </c>
      <c r="BI203" s="83" t="s">
        <v>625</v>
      </c>
      <c r="CC203" s="115"/>
      <c r="CV203" s="115"/>
    </row>
    <row r="204" spans="1:100" x14ac:dyDescent="0.15">
      <c r="A204" s="68">
        <v>199</v>
      </c>
      <c r="B204" s="66" t="s">
        <v>516</v>
      </c>
      <c r="C204" s="66">
        <v>1173459332</v>
      </c>
      <c r="D204" s="67" t="str">
        <f t="shared" si="7"/>
        <v>https://portal.dnb.de/opac.htm?method=simpleSearch&amp;cqlMode=true&amp;query=idn%3D1173459332</v>
      </c>
      <c r="E204" s="66" t="s">
        <v>517</v>
      </c>
      <c r="F204" s="66"/>
      <c r="G204" s="68"/>
      <c r="H204" s="69"/>
      <c r="I204" s="68"/>
      <c r="J204" s="69"/>
      <c r="K204" s="69"/>
      <c r="L204" s="68"/>
      <c r="M204" s="68"/>
      <c r="N204" s="68"/>
      <c r="O204" s="68"/>
      <c r="P204" s="68"/>
      <c r="Q204" s="68"/>
      <c r="R204" s="68"/>
      <c r="S204" s="68"/>
      <c r="BD204" s="115">
        <f t="shared" si="6"/>
        <v>0</v>
      </c>
      <c r="CC204" s="115"/>
      <c r="CV204" s="115"/>
    </row>
    <row r="205" spans="1:100" x14ac:dyDescent="0.15">
      <c r="A205" s="68">
        <v>200</v>
      </c>
      <c r="B205" s="66" t="s">
        <v>518</v>
      </c>
      <c r="C205" s="66">
        <v>1085177750</v>
      </c>
      <c r="D205" s="67" t="str">
        <f t="shared" si="7"/>
        <v>https://portal.dnb.de/opac.htm?method=simpleSearch&amp;cqlMode=true&amp;query=idn%3D1085177750</v>
      </c>
      <c r="E205" s="66" t="s">
        <v>519</v>
      </c>
      <c r="F205" s="66"/>
      <c r="G205" s="68"/>
      <c r="H205" s="69"/>
      <c r="I205" s="68"/>
      <c r="J205" s="69"/>
      <c r="K205" s="69"/>
      <c r="L205" s="68"/>
      <c r="M205" s="68"/>
      <c r="N205" s="68"/>
      <c r="O205" s="68"/>
      <c r="P205" s="68"/>
      <c r="Q205" s="68"/>
      <c r="R205" s="68"/>
      <c r="S205" s="68"/>
      <c r="BD205" s="115">
        <f t="shared" si="6"/>
        <v>0</v>
      </c>
      <c r="CC205" s="115"/>
      <c r="CV205" s="115"/>
    </row>
    <row r="206" spans="1:100" x14ac:dyDescent="0.15">
      <c r="A206" s="68">
        <v>201</v>
      </c>
      <c r="B206" s="66" t="s">
        <v>520</v>
      </c>
      <c r="C206" s="66" t="s">
        <v>521</v>
      </c>
      <c r="D206" s="67" t="str">
        <f t="shared" si="7"/>
        <v>https://portal.dnb.de/opac.htm?method=simpleSearch&amp;cqlMode=true&amp;query=idn%3D106697022X</v>
      </c>
      <c r="E206" s="66" t="s">
        <v>522</v>
      </c>
      <c r="F206" s="66"/>
      <c r="G206" s="68"/>
      <c r="H206" s="69"/>
      <c r="I206" s="68"/>
      <c r="J206" s="69"/>
      <c r="K206" s="69"/>
      <c r="L206" s="68"/>
      <c r="M206" s="68"/>
      <c r="N206" s="68"/>
      <c r="O206" s="68"/>
      <c r="P206" s="68"/>
      <c r="Q206" s="68"/>
      <c r="R206" s="68"/>
      <c r="S206" s="68"/>
      <c r="BD206" s="115">
        <f t="shared" si="6"/>
        <v>0</v>
      </c>
      <c r="CC206" s="115"/>
      <c r="CV206" s="115"/>
    </row>
    <row r="207" spans="1:100" x14ac:dyDescent="0.15">
      <c r="A207" s="68">
        <v>202</v>
      </c>
      <c r="B207" s="66" t="s">
        <v>523</v>
      </c>
      <c r="C207" s="66">
        <v>1066973296</v>
      </c>
      <c r="D207" s="67" t="str">
        <f t="shared" si="7"/>
        <v>https://portal.dnb.de/opac.htm?method=simpleSearch&amp;cqlMode=true&amp;query=idn%3D1066973296</v>
      </c>
      <c r="E207" s="66" t="s">
        <v>524</v>
      </c>
      <c r="F207" s="66"/>
      <c r="G207" s="68"/>
      <c r="H207" s="69"/>
      <c r="I207" s="68"/>
      <c r="J207" s="69"/>
      <c r="K207" s="69"/>
      <c r="L207" s="68"/>
      <c r="M207" s="68"/>
      <c r="N207" s="68"/>
      <c r="O207" s="68"/>
      <c r="P207" s="68"/>
      <c r="Q207" s="68"/>
      <c r="R207" s="68"/>
      <c r="S207" s="68"/>
      <c r="BD207" s="115">
        <f t="shared" si="6"/>
        <v>0</v>
      </c>
      <c r="CC207" s="115"/>
      <c r="CV207" s="115"/>
    </row>
    <row r="208" spans="1:100" x14ac:dyDescent="0.15">
      <c r="A208" s="68">
        <v>203</v>
      </c>
      <c r="B208" s="66" t="s">
        <v>525</v>
      </c>
      <c r="C208" s="66">
        <v>1066966761</v>
      </c>
      <c r="D208" s="67" t="str">
        <f t="shared" si="7"/>
        <v>https://portal.dnb.de/opac.htm?method=simpleSearch&amp;cqlMode=true&amp;query=idn%3D1066966761</v>
      </c>
      <c r="E208" s="66" t="s">
        <v>526</v>
      </c>
      <c r="F208" s="66"/>
      <c r="G208" s="68"/>
      <c r="H208" s="69"/>
      <c r="I208" s="68"/>
      <c r="J208" s="69"/>
      <c r="K208" s="69"/>
      <c r="L208" s="68"/>
      <c r="M208" s="68"/>
      <c r="N208" s="68"/>
      <c r="O208" s="68"/>
      <c r="P208" s="68"/>
      <c r="Q208" s="68"/>
      <c r="R208" s="68"/>
      <c r="S208" s="68"/>
      <c r="BD208" s="115">
        <f t="shared" si="6"/>
        <v>0</v>
      </c>
      <c r="CC208" s="115"/>
      <c r="CV208" s="115"/>
    </row>
    <row r="209" spans="1:100" x14ac:dyDescent="0.15">
      <c r="A209" s="68">
        <v>204</v>
      </c>
      <c r="B209" s="66" t="s">
        <v>527</v>
      </c>
      <c r="C209" s="66">
        <v>1066971803</v>
      </c>
      <c r="D209" s="67" t="str">
        <f t="shared" si="7"/>
        <v>https://portal.dnb.de/opac.htm?method=simpleSearch&amp;cqlMode=true&amp;query=idn%3D1066971803</v>
      </c>
      <c r="E209" s="66" t="s">
        <v>528</v>
      </c>
      <c r="F209" s="66"/>
      <c r="G209" s="68"/>
      <c r="H209" s="69"/>
      <c r="I209" s="68"/>
      <c r="J209" s="69"/>
      <c r="K209" s="69"/>
      <c r="L209" s="68"/>
      <c r="M209" s="68"/>
      <c r="N209" s="68"/>
      <c r="O209" s="68"/>
      <c r="P209" s="68"/>
      <c r="Q209" s="68"/>
      <c r="R209" s="68"/>
      <c r="S209" s="68"/>
      <c r="BD209" s="115">
        <f t="shared" si="6"/>
        <v>0</v>
      </c>
      <c r="CC209" s="115"/>
      <c r="CV209" s="115"/>
    </row>
    <row r="210" spans="1:100" x14ac:dyDescent="0.15">
      <c r="A210" s="68">
        <v>205</v>
      </c>
      <c r="B210" s="66" t="s">
        <v>529</v>
      </c>
      <c r="C210" s="66" t="s">
        <v>530</v>
      </c>
      <c r="D210" s="67" t="str">
        <f t="shared" si="7"/>
        <v>https://portal.dnb.de/opac.htm?method=simpleSearch&amp;cqlMode=true&amp;query=idn%3D106697179X</v>
      </c>
      <c r="E210" s="66" t="s">
        <v>531</v>
      </c>
      <c r="F210" s="66"/>
      <c r="G210" s="68"/>
      <c r="H210" s="69"/>
      <c r="I210" s="68"/>
      <c r="J210" s="69"/>
      <c r="K210" s="69"/>
      <c r="L210" s="68"/>
      <c r="M210" s="68"/>
      <c r="N210" s="68"/>
      <c r="O210" s="68"/>
      <c r="P210" s="68"/>
      <c r="Q210" s="68"/>
      <c r="R210" s="68"/>
      <c r="S210" s="68"/>
      <c r="BD210" s="115">
        <f t="shared" si="6"/>
        <v>0</v>
      </c>
      <c r="CC210" s="115"/>
      <c r="CV210" s="115"/>
    </row>
    <row r="211" spans="1:100" x14ac:dyDescent="0.15">
      <c r="A211" s="68">
        <v>206</v>
      </c>
      <c r="B211" s="66" t="s">
        <v>532</v>
      </c>
      <c r="C211" s="66">
        <v>1052249787</v>
      </c>
      <c r="D211" s="67" t="str">
        <f t="shared" si="7"/>
        <v>https://portal.dnb.de/opac.htm?method=simpleSearch&amp;cqlMode=true&amp;query=idn%3D1052249787</v>
      </c>
      <c r="E211" s="66" t="s">
        <v>533</v>
      </c>
      <c r="F211" s="66"/>
      <c r="G211" s="68"/>
      <c r="H211" s="69"/>
      <c r="I211" s="68"/>
      <c r="J211" s="69"/>
      <c r="K211" s="69"/>
      <c r="L211" s="68"/>
      <c r="M211" s="68"/>
      <c r="N211" s="68"/>
      <c r="O211" s="68"/>
      <c r="P211" s="68"/>
      <c r="Q211" s="68"/>
      <c r="R211" s="68"/>
      <c r="S211" s="68"/>
      <c r="BD211" s="115">
        <f t="shared" si="6"/>
        <v>0</v>
      </c>
      <c r="CC211" s="115"/>
      <c r="CV211" s="115"/>
    </row>
    <row r="212" spans="1:100" x14ac:dyDescent="0.15">
      <c r="A212" s="68">
        <v>207</v>
      </c>
      <c r="B212" s="66" t="s">
        <v>534</v>
      </c>
      <c r="C212" s="66">
        <v>1085177238</v>
      </c>
      <c r="D212" s="67" t="str">
        <f t="shared" si="7"/>
        <v>https://portal.dnb.de/opac.htm?method=simpleSearch&amp;cqlMode=true&amp;query=idn%3D1085177238</v>
      </c>
      <c r="E212" s="66" t="s">
        <v>297</v>
      </c>
      <c r="F212" s="66"/>
      <c r="G212" s="68"/>
      <c r="H212" s="69"/>
      <c r="I212" s="68"/>
      <c r="J212" s="69"/>
      <c r="K212" s="69"/>
      <c r="L212" s="68"/>
      <c r="M212" s="68"/>
      <c r="N212" s="68"/>
      <c r="O212" s="68"/>
      <c r="P212" s="68"/>
      <c r="Q212" s="68"/>
      <c r="R212" s="68"/>
      <c r="S212" s="68"/>
      <c r="BD212" s="115">
        <f t="shared" si="6"/>
        <v>0</v>
      </c>
      <c r="CC212" s="115"/>
      <c r="CV212" s="115"/>
    </row>
    <row r="213" spans="1:100" x14ac:dyDescent="0.15">
      <c r="A213" s="68">
        <v>208</v>
      </c>
      <c r="B213" s="66" t="s">
        <v>535</v>
      </c>
      <c r="C213" s="66">
        <v>1066966672</v>
      </c>
      <c r="D213" s="67" t="str">
        <f t="shared" si="7"/>
        <v>https://portal.dnb.de/opac.htm?method=simpleSearch&amp;cqlMode=true&amp;query=idn%3D1066966672</v>
      </c>
      <c r="E213" s="66" t="s">
        <v>299</v>
      </c>
      <c r="F213" s="66"/>
      <c r="G213" s="68"/>
      <c r="H213" s="69"/>
      <c r="I213" s="68"/>
      <c r="J213" s="69"/>
      <c r="K213" s="69"/>
      <c r="L213" s="68"/>
      <c r="M213" s="68"/>
      <c r="N213" s="68"/>
      <c r="O213" s="68"/>
      <c r="P213" s="68"/>
      <c r="Q213" s="68"/>
      <c r="R213" s="68"/>
      <c r="S213" s="68"/>
      <c r="BD213" s="115">
        <f t="shared" si="6"/>
        <v>0</v>
      </c>
      <c r="CC213" s="115"/>
      <c r="CV213" s="115"/>
    </row>
    <row r="214" spans="1:100" x14ac:dyDescent="0.15">
      <c r="A214" s="68">
        <v>209</v>
      </c>
      <c r="B214" s="66" t="s">
        <v>536</v>
      </c>
      <c r="C214" s="66" t="s">
        <v>537</v>
      </c>
      <c r="D214" s="67" t="str">
        <f t="shared" si="7"/>
        <v>https://portal.dnb.de/opac.htm?method=simpleSearch&amp;cqlMode=true&amp;query=idn%3D106697182X</v>
      </c>
      <c r="E214" s="66" t="s">
        <v>301</v>
      </c>
      <c r="F214" s="66"/>
      <c r="G214" s="68"/>
      <c r="H214" s="69"/>
      <c r="I214" s="68"/>
      <c r="J214" s="69"/>
      <c r="K214" s="69"/>
      <c r="L214" s="68"/>
      <c r="M214" s="68"/>
      <c r="N214" s="68"/>
      <c r="O214" s="68"/>
      <c r="P214" s="68"/>
      <c r="Q214" s="68"/>
      <c r="R214" s="68"/>
      <c r="S214" s="68"/>
      <c r="BD214" s="115">
        <f t="shared" si="6"/>
        <v>0</v>
      </c>
      <c r="CC214" s="115"/>
      <c r="CV214" s="115"/>
    </row>
    <row r="215" spans="1:100" x14ac:dyDescent="0.15">
      <c r="A215" s="68">
        <v>210</v>
      </c>
      <c r="B215" s="66" t="s">
        <v>538</v>
      </c>
      <c r="C215" s="66">
        <v>1066968063</v>
      </c>
      <c r="D215" s="67" t="str">
        <f t="shared" si="7"/>
        <v>https://portal.dnb.de/opac.htm?method=simpleSearch&amp;cqlMode=true&amp;query=idn%3D1066968063</v>
      </c>
      <c r="E215" s="66" t="s">
        <v>304</v>
      </c>
      <c r="F215" s="66"/>
      <c r="G215" s="68"/>
      <c r="H215" s="69"/>
      <c r="I215" s="68"/>
      <c r="J215" s="69"/>
      <c r="K215" s="69"/>
      <c r="L215" s="68"/>
      <c r="M215" s="68"/>
      <c r="N215" s="68"/>
      <c r="O215" s="68"/>
      <c r="P215" s="68"/>
      <c r="Q215" s="68"/>
      <c r="R215" s="68"/>
      <c r="S215" s="68"/>
      <c r="BD215" s="115">
        <f t="shared" si="6"/>
        <v>0</v>
      </c>
      <c r="CC215" s="115"/>
      <c r="CV215" s="115"/>
    </row>
    <row r="216" spans="1:100" x14ac:dyDescent="0.15">
      <c r="A216" s="68">
        <v>211</v>
      </c>
      <c r="B216" s="66" t="s">
        <v>539</v>
      </c>
      <c r="C216" s="66" t="s">
        <v>540</v>
      </c>
      <c r="D216" s="67" t="str">
        <f t="shared" si="7"/>
        <v>https://portal.dnb.de/opac.htm?method=simpleSearch&amp;cqlMode=true&amp;query=idn%3D106696730X</v>
      </c>
      <c r="E216" s="66" t="s">
        <v>306</v>
      </c>
      <c r="F216" s="66"/>
      <c r="G216" s="68"/>
      <c r="H216" s="69"/>
      <c r="I216" s="68"/>
      <c r="J216" s="69"/>
      <c r="K216" s="69"/>
      <c r="L216" s="68"/>
      <c r="M216" s="68"/>
      <c r="N216" s="68"/>
      <c r="O216" s="68"/>
      <c r="P216" s="68"/>
      <c r="Q216" s="68"/>
      <c r="R216" s="68"/>
      <c r="S216" s="68"/>
      <c r="BD216" s="115">
        <f t="shared" si="6"/>
        <v>0</v>
      </c>
      <c r="CC216" s="115"/>
      <c r="CV216" s="115"/>
    </row>
    <row r="217" spans="1:100" x14ac:dyDescent="0.15">
      <c r="A217" s="68">
        <v>212</v>
      </c>
      <c r="B217" s="66" t="s">
        <v>541</v>
      </c>
      <c r="C217" s="66">
        <v>1066968020</v>
      </c>
      <c r="D217" s="67" t="str">
        <f t="shared" si="7"/>
        <v>https://portal.dnb.de/opac.htm?method=simpleSearch&amp;cqlMode=true&amp;query=idn%3D1066968020</v>
      </c>
      <c r="E217" s="66" t="s">
        <v>308</v>
      </c>
      <c r="F217" s="66"/>
      <c r="G217" s="68"/>
      <c r="H217" s="69"/>
      <c r="I217" s="68"/>
      <c r="J217" s="69"/>
      <c r="K217" s="69"/>
      <c r="L217" s="68"/>
      <c r="M217" s="68"/>
      <c r="N217" s="68"/>
      <c r="O217" s="68"/>
      <c r="P217" s="68"/>
      <c r="Q217" s="68"/>
      <c r="R217" s="68"/>
      <c r="S217" s="68"/>
      <c r="BD217" s="115">
        <f t="shared" si="6"/>
        <v>0</v>
      </c>
      <c r="CC217" s="115"/>
      <c r="CV217" s="115"/>
    </row>
    <row r="218" spans="1:100" x14ac:dyDescent="0.15">
      <c r="A218" s="68">
        <v>213</v>
      </c>
      <c r="B218" s="66" t="s">
        <v>542</v>
      </c>
      <c r="C218" s="66">
        <v>1066972176</v>
      </c>
      <c r="D218" s="67" t="str">
        <f t="shared" si="7"/>
        <v>https://portal.dnb.de/opac.htm?method=simpleSearch&amp;cqlMode=true&amp;query=idn%3D1066972176</v>
      </c>
      <c r="E218" s="66" t="s">
        <v>310</v>
      </c>
      <c r="F218" s="66"/>
      <c r="G218" s="68"/>
      <c r="H218" s="69"/>
      <c r="I218" s="68"/>
      <c r="J218" s="69"/>
      <c r="K218" s="69"/>
      <c r="L218" s="68"/>
      <c r="M218" s="68"/>
      <c r="N218" s="68"/>
      <c r="O218" s="68"/>
      <c r="P218" s="68"/>
      <c r="Q218" s="68"/>
      <c r="R218" s="68"/>
      <c r="S218" s="68"/>
      <c r="BD218" s="115">
        <f t="shared" si="6"/>
        <v>0</v>
      </c>
      <c r="CC218" s="115"/>
      <c r="CV218" s="115"/>
    </row>
    <row r="219" spans="1:100" x14ac:dyDescent="0.15">
      <c r="A219" s="68">
        <v>214</v>
      </c>
      <c r="B219" s="66" t="s">
        <v>543</v>
      </c>
      <c r="C219" s="66">
        <v>1066964688</v>
      </c>
      <c r="D219" s="67" t="str">
        <f t="shared" si="7"/>
        <v>https://portal.dnb.de/opac.htm?method=simpleSearch&amp;cqlMode=true&amp;query=idn%3D1066964688</v>
      </c>
      <c r="E219" s="66" t="s">
        <v>312</v>
      </c>
      <c r="F219" s="66"/>
      <c r="G219" s="68"/>
      <c r="H219" s="69"/>
      <c r="I219" s="68"/>
      <c r="J219" s="69"/>
      <c r="K219" s="69"/>
      <c r="L219" s="68"/>
      <c r="M219" s="68"/>
      <c r="N219" s="68"/>
      <c r="O219" s="68"/>
      <c r="P219" s="68"/>
      <c r="Q219" s="68"/>
      <c r="R219" s="68"/>
      <c r="S219" s="68"/>
      <c r="BD219" s="115">
        <f t="shared" si="6"/>
        <v>0</v>
      </c>
      <c r="CC219" s="115"/>
      <c r="CV219" s="115"/>
    </row>
    <row r="220" spans="1:100" x14ac:dyDescent="0.15">
      <c r="A220" s="68">
        <v>215</v>
      </c>
      <c r="B220" s="66" t="s">
        <v>544</v>
      </c>
      <c r="C220" s="66">
        <v>1066969442</v>
      </c>
      <c r="D220" s="67" t="str">
        <f t="shared" si="7"/>
        <v>https://portal.dnb.de/opac.htm?method=simpleSearch&amp;cqlMode=true&amp;query=idn%3D1066969442</v>
      </c>
      <c r="E220" s="66" t="s">
        <v>314</v>
      </c>
      <c r="F220" s="66"/>
      <c r="G220" s="68"/>
      <c r="H220" s="69"/>
      <c r="I220" s="68"/>
      <c r="J220" s="69"/>
      <c r="K220" s="69"/>
      <c r="L220" s="68"/>
      <c r="M220" s="68"/>
      <c r="N220" s="68"/>
      <c r="O220" s="68"/>
      <c r="P220" s="68"/>
      <c r="Q220" s="68"/>
      <c r="R220" s="68"/>
      <c r="S220" s="68"/>
      <c r="BD220" s="115">
        <f t="shared" si="6"/>
        <v>0</v>
      </c>
      <c r="CC220" s="115"/>
      <c r="CV220" s="115"/>
    </row>
    <row r="221" spans="1:100" x14ac:dyDescent="0.15">
      <c r="A221" s="68">
        <v>216</v>
      </c>
      <c r="B221" s="66" t="s">
        <v>545</v>
      </c>
      <c r="C221" s="66">
        <v>1066969892</v>
      </c>
      <c r="D221" s="67" t="str">
        <f t="shared" si="7"/>
        <v>https://portal.dnb.de/opac.htm?method=simpleSearch&amp;cqlMode=true&amp;query=idn%3D1066969892</v>
      </c>
      <c r="E221" s="66" t="s">
        <v>317</v>
      </c>
      <c r="F221" s="66"/>
      <c r="G221" s="68"/>
      <c r="H221" s="69"/>
      <c r="I221" s="68"/>
      <c r="J221" s="69"/>
      <c r="K221" s="69"/>
      <c r="L221" s="68"/>
      <c r="M221" s="68"/>
      <c r="N221" s="68"/>
      <c r="O221" s="68"/>
      <c r="P221" s="68"/>
      <c r="Q221" s="68"/>
      <c r="R221" s="68"/>
      <c r="S221" s="68"/>
      <c r="BD221" s="115">
        <f t="shared" si="6"/>
        <v>0</v>
      </c>
      <c r="CC221" s="115"/>
      <c r="CV221" s="115"/>
    </row>
    <row r="222" spans="1:100" x14ac:dyDescent="0.15">
      <c r="A222" s="68">
        <v>217</v>
      </c>
      <c r="B222" s="66" t="s">
        <v>546</v>
      </c>
      <c r="C222" s="66">
        <v>1066966516</v>
      </c>
      <c r="D222" s="67" t="str">
        <f t="shared" si="7"/>
        <v>https://portal.dnb.de/opac.htm?method=simpleSearch&amp;cqlMode=true&amp;query=idn%3D1066966516</v>
      </c>
      <c r="E222" s="66" t="s">
        <v>319</v>
      </c>
      <c r="F222" s="66"/>
      <c r="G222" s="68"/>
      <c r="H222" s="69"/>
      <c r="I222" s="68"/>
      <c r="J222" s="69"/>
      <c r="K222" s="69"/>
      <c r="L222" s="68"/>
      <c r="M222" s="68"/>
      <c r="N222" s="68"/>
      <c r="O222" s="68"/>
      <c r="P222" s="68"/>
      <c r="Q222" s="68"/>
      <c r="R222" s="68"/>
      <c r="S222" s="68"/>
      <c r="BD222" s="115">
        <f t="shared" si="6"/>
        <v>0</v>
      </c>
      <c r="CC222" s="115"/>
      <c r="CV222" s="115"/>
    </row>
    <row r="223" spans="1:100" x14ac:dyDescent="0.15">
      <c r="A223" s="68">
        <v>218</v>
      </c>
      <c r="B223" s="66" t="s">
        <v>547</v>
      </c>
      <c r="C223" s="66">
        <v>1173179313</v>
      </c>
      <c r="D223" s="67" t="str">
        <f t="shared" si="7"/>
        <v>https://portal.dnb.de/opac.htm?method=simpleSearch&amp;cqlMode=true&amp;query=idn%3D1173179313</v>
      </c>
      <c r="E223" s="66" t="s">
        <v>321</v>
      </c>
      <c r="F223" s="66"/>
      <c r="G223" s="68"/>
      <c r="H223" s="69"/>
      <c r="I223" s="68"/>
      <c r="J223" s="69"/>
      <c r="K223" s="69"/>
      <c r="L223" s="68"/>
      <c r="M223" s="68"/>
      <c r="N223" s="68"/>
      <c r="O223" s="68"/>
      <c r="P223" s="68"/>
      <c r="Q223" s="68"/>
      <c r="R223" s="68"/>
      <c r="S223" s="68"/>
      <c r="BD223" s="115">
        <f t="shared" si="6"/>
        <v>0</v>
      </c>
      <c r="CC223" s="115"/>
      <c r="CV223" s="115"/>
    </row>
    <row r="224" spans="1:100" x14ac:dyDescent="0.15">
      <c r="A224" s="68">
        <v>219</v>
      </c>
      <c r="B224" s="66" t="s">
        <v>548</v>
      </c>
      <c r="C224" s="66">
        <v>1072494159</v>
      </c>
      <c r="D224" s="67" t="str">
        <f t="shared" si="7"/>
        <v>https://portal.dnb.de/opac.htm?method=simpleSearch&amp;cqlMode=true&amp;query=idn%3D1072494159</v>
      </c>
      <c r="E224" s="66" t="s">
        <v>323</v>
      </c>
      <c r="F224" s="66"/>
      <c r="G224" s="68"/>
      <c r="H224" s="69"/>
      <c r="I224" s="68"/>
      <c r="J224" s="69"/>
      <c r="K224" s="69"/>
      <c r="L224" s="68"/>
      <c r="M224" s="68"/>
      <c r="N224" s="68"/>
      <c r="O224" s="68"/>
      <c r="P224" s="68"/>
      <c r="Q224" s="68"/>
      <c r="R224" s="68"/>
      <c r="S224" s="68"/>
      <c r="BD224" s="115">
        <f t="shared" si="6"/>
        <v>0</v>
      </c>
      <c r="CC224" s="115"/>
      <c r="CV224" s="115"/>
    </row>
    <row r="225" spans="1:100" x14ac:dyDescent="0.15">
      <c r="A225" s="68">
        <v>220</v>
      </c>
      <c r="B225" s="66" t="s">
        <v>549</v>
      </c>
      <c r="C225" s="66">
        <v>1066970858</v>
      </c>
      <c r="D225" s="67" t="str">
        <f t="shared" si="7"/>
        <v>https://portal.dnb.de/opac.htm?method=simpleSearch&amp;cqlMode=true&amp;query=idn%3D1066970858</v>
      </c>
      <c r="E225" s="66" t="s">
        <v>325</v>
      </c>
      <c r="F225" s="66"/>
      <c r="G225" s="68"/>
      <c r="H225" s="69"/>
      <c r="I225" s="68"/>
      <c r="J225" s="69"/>
      <c r="K225" s="69"/>
      <c r="L225" s="68"/>
      <c r="M225" s="68"/>
      <c r="N225" s="68"/>
      <c r="O225" s="68"/>
      <c r="P225" s="68"/>
      <c r="Q225" s="68"/>
      <c r="R225" s="68"/>
      <c r="S225" s="68"/>
      <c r="BD225" s="115">
        <f t="shared" si="6"/>
        <v>0</v>
      </c>
      <c r="CC225" s="115"/>
      <c r="CV225" s="115"/>
    </row>
    <row r="226" spans="1:100" x14ac:dyDescent="0.15">
      <c r="A226" s="68">
        <v>221</v>
      </c>
      <c r="B226" s="66" t="s">
        <v>550</v>
      </c>
      <c r="C226" s="66">
        <v>1066966699</v>
      </c>
      <c r="D226" s="67" t="str">
        <f t="shared" si="7"/>
        <v>https://portal.dnb.de/opac.htm?method=simpleSearch&amp;cqlMode=true&amp;query=idn%3D1066966699</v>
      </c>
      <c r="E226" s="66" t="s">
        <v>327</v>
      </c>
      <c r="F226" s="66"/>
      <c r="G226" s="68"/>
      <c r="H226" s="69"/>
      <c r="I226" s="68"/>
      <c r="J226" s="69"/>
      <c r="K226" s="69"/>
      <c r="L226" s="68"/>
      <c r="M226" s="68"/>
      <c r="N226" s="68"/>
      <c r="O226" s="68"/>
      <c r="P226" s="68"/>
      <c r="Q226" s="68"/>
      <c r="R226" s="68"/>
      <c r="S226" s="68"/>
      <c r="BD226" s="115">
        <f t="shared" si="6"/>
        <v>0</v>
      </c>
      <c r="CC226" s="115"/>
      <c r="CV226" s="115"/>
    </row>
    <row r="227" spans="1:100" x14ac:dyDescent="0.15">
      <c r="A227" s="68">
        <v>222</v>
      </c>
      <c r="B227" s="66" t="s">
        <v>551</v>
      </c>
      <c r="C227" s="66">
        <v>1072266288</v>
      </c>
      <c r="D227" s="67" t="str">
        <f t="shared" si="7"/>
        <v>https://portal.dnb.de/opac.htm?method=simpleSearch&amp;cqlMode=true&amp;query=idn%3D1072266288</v>
      </c>
      <c r="E227" s="66" t="s">
        <v>329</v>
      </c>
      <c r="F227" s="66"/>
      <c r="G227" s="68"/>
      <c r="H227" s="69"/>
      <c r="I227" s="68"/>
      <c r="J227" s="69"/>
      <c r="K227" s="69"/>
      <c r="L227" s="68"/>
      <c r="M227" s="68"/>
      <c r="N227" s="68"/>
      <c r="O227" s="68"/>
      <c r="P227" s="68"/>
      <c r="Q227" s="68"/>
      <c r="R227" s="68"/>
      <c r="S227" s="68"/>
      <c r="BD227" s="115">
        <f t="shared" si="6"/>
        <v>0</v>
      </c>
      <c r="CC227" s="115"/>
      <c r="CV227" s="115"/>
    </row>
    <row r="228" spans="1:100" x14ac:dyDescent="0.15">
      <c r="A228" s="68">
        <v>223</v>
      </c>
      <c r="B228" s="66" t="s">
        <v>552</v>
      </c>
      <c r="C228" s="66">
        <v>1173179313</v>
      </c>
      <c r="D228" s="67" t="str">
        <f t="shared" si="7"/>
        <v>https://portal.dnb.de/opac.htm?method=simpleSearch&amp;cqlMode=true&amp;query=idn%3D1173179313</v>
      </c>
      <c r="E228" s="66" t="s">
        <v>331</v>
      </c>
      <c r="F228" s="66"/>
      <c r="G228" s="68"/>
      <c r="H228" s="69"/>
      <c r="I228" s="68"/>
      <c r="J228" s="69"/>
      <c r="K228" s="69"/>
      <c r="L228" s="68"/>
      <c r="M228" s="68"/>
      <c r="N228" s="68"/>
      <c r="O228" s="68"/>
      <c r="P228" s="68"/>
      <c r="Q228" s="68"/>
      <c r="R228" s="68"/>
      <c r="S228" s="68"/>
      <c r="BD228" s="115">
        <f t="shared" si="6"/>
        <v>0</v>
      </c>
      <c r="CC228" s="115"/>
      <c r="CV228" s="115"/>
    </row>
    <row r="229" spans="1:100" x14ac:dyDescent="0.15">
      <c r="A229" s="68">
        <v>224</v>
      </c>
      <c r="B229" s="66" t="s">
        <v>553</v>
      </c>
      <c r="C229" s="66">
        <v>1066966699</v>
      </c>
      <c r="D229" s="67" t="str">
        <f t="shared" si="7"/>
        <v>https://portal.dnb.de/opac.htm?method=simpleSearch&amp;cqlMode=true&amp;query=idn%3D1066966699</v>
      </c>
      <c r="E229" s="66" t="s">
        <v>333</v>
      </c>
      <c r="F229" s="66"/>
      <c r="G229" s="68"/>
      <c r="H229" s="69"/>
      <c r="I229" s="68"/>
      <c r="J229" s="69"/>
      <c r="K229" s="69"/>
      <c r="L229" s="68"/>
      <c r="M229" s="68"/>
      <c r="N229" s="68"/>
      <c r="O229" s="68"/>
      <c r="P229" s="68"/>
      <c r="Q229" s="68"/>
      <c r="R229" s="68"/>
      <c r="S229" s="68"/>
      <c r="BD229" s="115">
        <f t="shared" si="6"/>
        <v>0</v>
      </c>
      <c r="CC229" s="115"/>
      <c r="CV229" s="115"/>
    </row>
    <row r="230" spans="1:100" x14ac:dyDescent="0.15">
      <c r="A230" s="68">
        <v>225</v>
      </c>
      <c r="B230" s="66" t="s">
        <v>554</v>
      </c>
      <c r="C230" s="66">
        <v>1066966788</v>
      </c>
      <c r="D230" s="67" t="str">
        <f t="shared" si="7"/>
        <v>https://portal.dnb.de/opac.htm?method=simpleSearch&amp;cqlMode=true&amp;query=idn%3D1066966788</v>
      </c>
      <c r="E230" s="66" t="s">
        <v>335</v>
      </c>
      <c r="F230" s="66"/>
      <c r="G230" s="68"/>
      <c r="H230" s="69"/>
      <c r="I230" s="68"/>
      <c r="J230" s="69"/>
      <c r="K230" s="69"/>
      <c r="L230" s="68"/>
      <c r="M230" s="68"/>
      <c r="N230" s="68"/>
      <c r="O230" s="68"/>
      <c r="P230" s="68"/>
      <c r="Q230" s="68"/>
      <c r="R230" s="68"/>
      <c r="S230" s="68"/>
      <c r="BD230" s="115">
        <f t="shared" si="6"/>
        <v>0</v>
      </c>
      <c r="CC230" s="115"/>
      <c r="CV230" s="115"/>
    </row>
    <row r="231" spans="1:100" x14ac:dyDescent="0.15">
      <c r="A231" s="68">
        <v>226</v>
      </c>
      <c r="B231" s="66" t="s">
        <v>555</v>
      </c>
      <c r="C231" s="66">
        <v>1066966575</v>
      </c>
      <c r="D231" s="67" t="str">
        <f t="shared" si="7"/>
        <v>https://portal.dnb.de/opac.htm?method=simpleSearch&amp;cqlMode=true&amp;query=idn%3D1066966575</v>
      </c>
      <c r="E231" s="66" t="s">
        <v>337</v>
      </c>
      <c r="F231" s="66"/>
      <c r="G231" s="68"/>
      <c r="H231" s="69"/>
      <c r="I231" s="68"/>
      <c r="J231" s="69"/>
      <c r="K231" s="69"/>
      <c r="L231" s="68"/>
      <c r="M231" s="68"/>
      <c r="N231" s="68"/>
      <c r="O231" s="68"/>
      <c r="P231" s="68"/>
      <c r="Q231" s="68"/>
      <c r="R231" s="68"/>
      <c r="S231" s="68"/>
      <c r="BD231" s="115">
        <f t="shared" si="6"/>
        <v>0</v>
      </c>
      <c r="CC231" s="115"/>
      <c r="CV231" s="115"/>
    </row>
    <row r="232" spans="1:100" x14ac:dyDescent="0.15">
      <c r="A232" s="68">
        <v>227</v>
      </c>
      <c r="B232" s="66" t="s">
        <v>556</v>
      </c>
      <c r="C232" s="66">
        <v>1066967717</v>
      </c>
      <c r="D232" s="67" t="str">
        <f t="shared" si="7"/>
        <v>https://portal.dnb.de/opac.htm?method=simpleSearch&amp;cqlMode=true&amp;query=idn%3D1066967717</v>
      </c>
      <c r="E232" s="66" t="s">
        <v>339</v>
      </c>
      <c r="F232" s="66"/>
      <c r="G232" s="68"/>
      <c r="H232" s="69"/>
      <c r="I232" s="68"/>
      <c r="J232" s="69"/>
      <c r="K232" s="69"/>
      <c r="L232" s="68"/>
      <c r="M232" s="68"/>
      <c r="N232" s="68"/>
      <c r="O232" s="68"/>
      <c r="P232" s="68"/>
      <c r="Q232" s="68"/>
      <c r="R232" s="68"/>
      <c r="S232" s="68"/>
      <c r="BD232" s="115">
        <f t="shared" si="6"/>
        <v>0</v>
      </c>
      <c r="CC232" s="115"/>
      <c r="CV232" s="115"/>
    </row>
    <row r="233" spans="1:100" x14ac:dyDescent="0.15">
      <c r="A233" s="68">
        <v>228</v>
      </c>
      <c r="B233" s="66" t="s">
        <v>557</v>
      </c>
      <c r="C233" s="66">
        <v>1066966559</v>
      </c>
      <c r="D233" s="67" t="str">
        <f t="shared" si="7"/>
        <v>https://portal.dnb.de/opac.htm?method=simpleSearch&amp;cqlMode=true&amp;query=idn%3D1066966559</v>
      </c>
      <c r="E233" s="66" t="s">
        <v>341</v>
      </c>
      <c r="F233" s="66"/>
      <c r="G233" s="68"/>
      <c r="H233" s="69"/>
      <c r="I233" s="68"/>
      <c r="J233" s="69"/>
      <c r="K233" s="69"/>
      <c r="L233" s="68"/>
      <c r="M233" s="68"/>
      <c r="N233" s="68"/>
      <c r="O233" s="68"/>
      <c r="P233" s="68"/>
      <c r="Q233" s="68"/>
      <c r="R233" s="68"/>
      <c r="S233" s="68"/>
      <c r="BD233" s="115">
        <f t="shared" si="6"/>
        <v>0</v>
      </c>
      <c r="CC233" s="115"/>
      <c r="CV233" s="115"/>
    </row>
    <row r="234" spans="1:100" x14ac:dyDescent="0.15">
      <c r="A234" s="68">
        <v>229</v>
      </c>
      <c r="B234" s="66" t="s">
        <v>558</v>
      </c>
      <c r="C234" s="66">
        <v>1066966249</v>
      </c>
      <c r="D234" s="67" t="str">
        <f t="shared" si="7"/>
        <v>https://portal.dnb.de/opac.htm?method=simpleSearch&amp;cqlMode=true&amp;query=idn%3D1066966249</v>
      </c>
      <c r="E234" s="66" t="s">
        <v>343</v>
      </c>
      <c r="F234" s="66"/>
      <c r="G234" s="68"/>
      <c r="H234" s="69"/>
      <c r="I234" s="68"/>
      <c r="J234" s="69"/>
      <c r="K234" s="69"/>
      <c r="L234" s="68"/>
      <c r="M234" s="68"/>
      <c r="N234" s="68"/>
      <c r="O234" s="68"/>
      <c r="P234" s="68"/>
      <c r="Q234" s="68"/>
      <c r="R234" s="68"/>
      <c r="S234" s="68"/>
      <c r="BD234" s="115">
        <f t="shared" si="6"/>
        <v>0</v>
      </c>
      <c r="CC234" s="115"/>
      <c r="CV234" s="115"/>
    </row>
    <row r="235" spans="1:100" x14ac:dyDescent="0.15">
      <c r="A235" s="68">
        <v>230</v>
      </c>
      <c r="B235" s="66" t="s">
        <v>559</v>
      </c>
      <c r="C235" s="66">
        <v>1066971218</v>
      </c>
      <c r="D235" s="67" t="str">
        <f t="shared" si="7"/>
        <v>https://portal.dnb.de/opac.htm?method=simpleSearch&amp;cqlMode=true&amp;query=idn%3D1066971218</v>
      </c>
      <c r="E235" s="66" t="s">
        <v>346</v>
      </c>
      <c r="F235" s="66"/>
      <c r="G235" s="68"/>
      <c r="H235" s="69"/>
      <c r="I235" s="68"/>
      <c r="J235" s="69"/>
      <c r="K235" s="69"/>
      <c r="L235" s="68"/>
      <c r="M235" s="68"/>
      <c r="N235" s="68"/>
      <c r="O235" s="68"/>
      <c r="P235" s="68"/>
      <c r="Q235" s="68"/>
      <c r="R235" s="68"/>
      <c r="S235" s="68"/>
      <c r="BD235" s="115">
        <f t="shared" si="6"/>
        <v>0</v>
      </c>
      <c r="CC235" s="115"/>
      <c r="CV235" s="115"/>
    </row>
    <row r="236" spans="1:100" x14ac:dyDescent="0.15">
      <c r="A236" s="68">
        <v>231</v>
      </c>
      <c r="B236" s="66" t="s">
        <v>560</v>
      </c>
      <c r="C236" s="66">
        <v>1066971528</v>
      </c>
      <c r="D236" s="67" t="str">
        <f t="shared" si="7"/>
        <v>https://portal.dnb.de/opac.htm?method=simpleSearch&amp;cqlMode=true&amp;query=idn%3D1066971528</v>
      </c>
      <c r="E236" s="66" t="s">
        <v>348</v>
      </c>
      <c r="F236" s="66"/>
      <c r="G236" s="68"/>
      <c r="H236" s="69"/>
      <c r="I236" s="68"/>
      <c r="J236" s="69"/>
      <c r="K236" s="69"/>
      <c r="L236" s="68"/>
      <c r="M236" s="68"/>
      <c r="N236" s="68"/>
      <c r="O236" s="68"/>
      <c r="P236" s="68"/>
      <c r="Q236" s="68"/>
      <c r="R236" s="68"/>
      <c r="S236" s="68"/>
      <c r="BD236" s="115">
        <f t="shared" si="6"/>
        <v>0</v>
      </c>
      <c r="CC236" s="115"/>
      <c r="CV236" s="115"/>
    </row>
    <row r="237" spans="1:100" x14ac:dyDescent="0.15">
      <c r="A237" s="68">
        <v>232</v>
      </c>
      <c r="B237" s="66" t="s">
        <v>561</v>
      </c>
      <c r="C237" s="66">
        <v>1066957290</v>
      </c>
      <c r="D237" s="67" t="str">
        <f t="shared" si="7"/>
        <v>https://portal.dnb.de/opac.htm?method=simpleSearch&amp;cqlMode=true&amp;query=idn%3D1066957290</v>
      </c>
      <c r="E237" s="66" t="s">
        <v>350</v>
      </c>
      <c r="F237" s="66"/>
      <c r="G237" s="68"/>
      <c r="H237" s="69"/>
      <c r="I237" s="68"/>
      <c r="J237" s="69"/>
      <c r="K237" s="69"/>
      <c r="L237" s="68"/>
      <c r="M237" s="68"/>
      <c r="N237" s="68"/>
      <c r="O237" s="68"/>
      <c r="P237" s="68"/>
      <c r="Q237" s="68"/>
      <c r="R237" s="68"/>
      <c r="S237" s="68"/>
      <c r="BD237" s="115">
        <f t="shared" si="6"/>
        <v>0</v>
      </c>
      <c r="CC237" s="115"/>
      <c r="CV237" s="115"/>
    </row>
    <row r="238" spans="1:100" x14ac:dyDescent="0.15">
      <c r="A238" s="68">
        <v>233</v>
      </c>
      <c r="B238" s="66" t="s">
        <v>562</v>
      </c>
      <c r="C238" s="66">
        <v>1066968276</v>
      </c>
      <c r="D238" s="67" t="str">
        <f t="shared" si="7"/>
        <v>https://portal.dnb.de/opac.htm?method=simpleSearch&amp;cqlMode=true&amp;query=idn%3D1066968276</v>
      </c>
      <c r="E238" s="66" t="s">
        <v>352</v>
      </c>
      <c r="F238" s="66"/>
      <c r="G238" s="68"/>
      <c r="H238" s="69"/>
      <c r="I238" s="68"/>
      <c r="J238" s="69"/>
      <c r="K238" s="69"/>
      <c r="L238" s="68"/>
      <c r="M238" s="68"/>
      <c r="N238" s="68"/>
      <c r="O238" s="68"/>
      <c r="P238" s="68"/>
      <c r="Q238" s="68"/>
      <c r="R238" s="68"/>
      <c r="S238" s="68"/>
      <c r="BD238" s="115">
        <f t="shared" si="6"/>
        <v>0</v>
      </c>
      <c r="CC238" s="115"/>
      <c r="CV238" s="115"/>
    </row>
    <row r="239" spans="1:100" x14ac:dyDescent="0.15">
      <c r="A239" s="68">
        <v>234</v>
      </c>
      <c r="B239" s="66" t="s">
        <v>563</v>
      </c>
      <c r="C239" s="66">
        <v>1066966710</v>
      </c>
      <c r="D239" s="67" t="str">
        <f t="shared" si="7"/>
        <v>https://portal.dnb.de/opac.htm?method=simpleSearch&amp;cqlMode=true&amp;query=idn%3D1066966710</v>
      </c>
      <c r="E239" s="66" t="s">
        <v>354</v>
      </c>
      <c r="F239" s="66"/>
      <c r="G239" s="68"/>
      <c r="H239" s="69"/>
      <c r="I239" s="68"/>
      <c r="J239" s="69"/>
      <c r="K239" s="69"/>
      <c r="L239" s="68"/>
      <c r="M239" s="68"/>
      <c r="N239" s="68"/>
      <c r="O239" s="68"/>
      <c r="P239" s="68"/>
      <c r="Q239" s="68"/>
      <c r="R239" s="68"/>
      <c r="S239" s="68"/>
      <c r="BD239" s="115">
        <f t="shared" si="6"/>
        <v>0</v>
      </c>
      <c r="CC239" s="115"/>
      <c r="CV239" s="115"/>
    </row>
    <row r="240" spans="1:100" x14ac:dyDescent="0.15">
      <c r="A240" s="68">
        <v>235</v>
      </c>
      <c r="B240" s="66" t="s">
        <v>564</v>
      </c>
      <c r="C240" s="66">
        <v>1066970432</v>
      </c>
      <c r="D240" s="67" t="str">
        <f t="shared" si="7"/>
        <v>https://portal.dnb.de/opac.htm?method=simpleSearch&amp;cqlMode=true&amp;query=idn%3D1066970432</v>
      </c>
      <c r="E240" s="66" t="s">
        <v>356</v>
      </c>
      <c r="F240" s="66"/>
      <c r="G240" s="68"/>
      <c r="H240" s="69"/>
      <c r="I240" s="68"/>
      <c r="J240" s="69"/>
      <c r="K240" s="69"/>
      <c r="L240" s="68"/>
      <c r="M240" s="68"/>
      <c r="N240" s="68"/>
      <c r="O240" s="68"/>
      <c r="P240" s="68"/>
      <c r="Q240" s="68"/>
      <c r="R240" s="68"/>
      <c r="S240" s="68"/>
      <c r="BD240" s="115">
        <f t="shared" si="6"/>
        <v>0</v>
      </c>
      <c r="CC240" s="115"/>
      <c r="CV240" s="115"/>
    </row>
    <row r="241" spans="1:100" x14ac:dyDescent="0.15">
      <c r="A241" s="68">
        <v>236</v>
      </c>
      <c r="B241" s="66" t="s">
        <v>565</v>
      </c>
      <c r="C241" s="66" t="s">
        <v>566</v>
      </c>
      <c r="D241" s="67" t="str">
        <f t="shared" si="7"/>
        <v>https://portal.dnb.de/opac.htm?method=simpleSearch&amp;cqlMode=true&amp;query=idn%3D107226661X</v>
      </c>
      <c r="E241" s="66" t="s">
        <v>358</v>
      </c>
      <c r="F241" s="66"/>
      <c r="G241" s="68"/>
      <c r="H241" s="69"/>
      <c r="I241" s="68"/>
      <c r="J241" s="69"/>
      <c r="K241" s="69"/>
      <c r="L241" s="68"/>
      <c r="M241" s="68"/>
      <c r="N241" s="68"/>
      <c r="O241" s="68"/>
      <c r="P241" s="68"/>
      <c r="Q241" s="68"/>
      <c r="R241" s="68"/>
      <c r="S241" s="68"/>
      <c r="BD241" s="115">
        <f t="shared" si="6"/>
        <v>0</v>
      </c>
      <c r="CC241" s="115"/>
      <c r="CV241" s="115"/>
    </row>
    <row r="242" spans="1:100" x14ac:dyDescent="0.15">
      <c r="A242" s="68">
        <v>237</v>
      </c>
      <c r="B242" s="66" t="s">
        <v>567</v>
      </c>
      <c r="C242" s="66">
        <v>1066972036</v>
      </c>
      <c r="D242" s="67" t="str">
        <f t="shared" si="7"/>
        <v>https://portal.dnb.de/opac.htm?method=simpleSearch&amp;cqlMode=true&amp;query=idn%3D1066972036</v>
      </c>
      <c r="E242" s="66" t="s">
        <v>361</v>
      </c>
      <c r="F242" s="66"/>
      <c r="G242" s="68"/>
      <c r="H242" s="69"/>
      <c r="I242" s="68"/>
      <c r="J242" s="69"/>
      <c r="K242" s="69"/>
      <c r="L242" s="68"/>
      <c r="M242" s="68"/>
      <c r="N242" s="68"/>
      <c r="O242" s="68"/>
      <c r="P242" s="68"/>
      <c r="Q242" s="68"/>
      <c r="R242" s="68"/>
      <c r="S242" s="68"/>
      <c r="BD242" s="115">
        <f t="shared" si="6"/>
        <v>0</v>
      </c>
      <c r="CC242" s="115"/>
      <c r="CV242" s="115"/>
    </row>
    <row r="243" spans="1:100" x14ac:dyDescent="0.15">
      <c r="A243" s="68">
        <v>238</v>
      </c>
      <c r="B243" s="66" t="s">
        <v>568</v>
      </c>
      <c r="C243" s="66">
        <v>1066969647</v>
      </c>
      <c r="D243" s="67" t="str">
        <f t="shared" si="7"/>
        <v>https://portal.dnb.de/opac.htm?method=simpleSearch&amp;cqlMode=true&amp;query=idn%3D1066969647</v>
      </c>
      <c r="E243" s="66" t="s">
        <v>363</v>
      </c>
      <c r="F243" s="66"/>
      <c r="G243" s="68"/>
      <c r="H243" s="69"/>
      <c r="I243" s="68"/>
      <c r="J243" s="69"/>
      <c r="K243" s="69"/>
      <c r="L243" s="68"/>
      <c r="M243" s="68"/>
      <c r="N243" s="68"/>
      <c r="O243" s="68"/>
      <c r="P243" s="68"/>
      <c r="Q243" s="68"/>
      <c r="R243" s="68"/>
      <c r="S243" s="68"/>
      <c r="BD243" s="115">
        <f t="shared" si="6"/>
        <v>0</v>
      </c>
      <c r="CC243" s="115"/>
      <c r="CV243" s="115"/>
    </row>
    <row r="244" spans="1:100" x14ac:dyDescent="0.15">
      <c r="A244" s="68">
        <v>239</v>
      </c>
      <c r="B244" s="66" t="s">
        <v>569</v>
      </c>
      <c r="C244" s="66">
        <v>1066968500</v>
      </c>
      <c r="D244" s="67" t="str">
        <f t="shared" si="7"/>
        <v>https://portal.dnb.de/opac.htm?method=simpleSearch&amp;cqlMode=true&amp;query=idn%3D1066968500</v>
      </c>
      <c r="E244" s="66" t="s">
        <v>365</v>
      </c>
      <c r="F244" s="66"/>
      <c r="G244" s="68"/>
      <c r="H244" s="69"/>
      <c r="I244" s="68"/>
      <c r="J244" s="69"/>
      <c r="K244" s="69"/>
      <c r="L244" s="68"/>
      <c r="M244" s="68"/>
      <c r="N244" s="68"/>
      <c r="O244" s="68"/>
      <c r="P244" s="68"/>
      <c r="Q244" s="68"/>
      <c r="R244" s="68"/>
      <c r="S244" s="68"/>
      <c r="BD244" s="115">
        <f t="shared" si="6"/>
        <v>0</v>
      </c>
      <c r="CC244" s="115"/>
      <c r="CV244" s="115"/>
    </row>
    <row r="245" spans="1:100" x14ac:dyDescent="0.15">
      <c r="A245" s="68">
        <v>240</v>
      </c>
      <c r="B245" s="66" t="s">
        <v>570</v>
      </c>
      <c r="C245" s="66">
        <v>1066968683</v>
      </c>
      <c r="D245" s="67" t="str">
        <f t="shared" si="7"/>
        <v>https://portal.dnb.de/opac.htm?method=simpleSearch&amp;cqlMode=true&amp;query=idn%3D1066968683</v>
      </c>
      <c r="E245" s="66" t="s">
        <v>367</v>
      </c>
      <c r="F245" s="66"/>
      <c r="G245" s="68"/>
      <c r="H245" s="69"/>
      <c r="I245" s="68"/>
      <c r="J245" s="69"/>
      <c r="K245" s="69"/>
      <c r="L245" s="68"/>
      <c r="M245" s="68"/>
      <c r="N245" s="68"/>
      <c r="O245" s="68"/>
      <c r="P245" s="68"/>
      <c r="Q245" s="68"/>
      <c r="R245" s="68"/>
      <c r="S245" s="68"/>
      <c r="BD245" s="115">
        <f t="shared" si="6"/>
        <v>0</v>
      </c>
      <c r="CC245" s="115"/>
      <c r="CV245" s="115"/>
    </row>
    <row r="246" spans="1:100" x14ac:dyDescent="0.15">
      <c r="A246" s="68">
        <v>241</v>
      </c>
      <c r="B246" s="66" t="s">
        <v>571</v>
      </c>
      <c r="C246" s="66">
        <v>1066968195</v>
      </c>
      <c r="D246" s="67" t="str">
        <f t="shared" si="7"/>
        <v>https://portal.dnb.de/opac.htm?method=simpleSearch&amp;cqlMode=true&amp;query=idn%3D1066968195</v>
      </c>
      <c r="E246" s="66" t="s">
        <v>369</v>
      </c>
      <c r="F246" s="66"/>
      <c r="G246" s="68"/>
      <c r="H246" s="69"/>
      <c r="I246" s="68"/>
      <c r="J246" s="69"/>
      <c r="K246" s="69"/>
      <c r="L246" s="68"/>
      <c r="M246" s="68"/>
      <c r="N246" s="68"/>
      <c r="O246" s="68"/>
      <c r="P246" s="68"/>
      <c r="Q246" s="68"/>
      <c r="R246" s="68"/>
      <c r="S246" s="68"/>
      <c r="BD246" s="115">
        <f t="shared" si="6"/>
        <v>0</v>
      </c>
      <c r="CC246" s="115"/>
      <c r="CV246" s="115"/>
    </row>
    <row r="247" spans="1:100" x14ac:dyDescent="0.15">
      <c r="A247" s="68">
        <v>242</v>
      </c>
      <c r="B247" s="66" t="s">
        <v>572</v>
      </c>
      <c r="C247" s="66">
        <v>1072267047</v>
      </c>
      <c r="D247" s="67" t="str">
        <f t="shared" si="7"/>
        <v>https://portal.dnb.de/opac.htm?method=simpleSearch&amp;cqlMode=true&amp;query=idn%3D1072267047</v>
      </c>
      <c r="E247" s="66" t="s">
        <v>372</v>
      </c>
      <c r="F247" s="66"/>
      <c r="G247" s="68"/>
      <c r="H247" s="69"/>
      <c r="I247" s="68"/>
      <c r="J247" s="69"/>
      <c r="K247" s="69"/>
      <c r="L247" s="68"/>
      <c r="M247" s="68"/>
      <c r="N247" s="68"/>
      <c r="O247" s="68"/>
      <c r="P247" s="68"/>
      <c r="Q247" s="68"/>
      <c r="R247" s="68"/>
      <c r="S247" s="68"/>
      <c r="BD247" s="115">
        <f t="shared" si="6"/>
        <v>0</v>
      </c>
      <c r="CC247" s="115"/>
      <c r="CV247" s="115"/>
    </row>
    <row r="248" spans="1:100" x14ac:dyDescent="0.15">
      <c r="A248" s="68">
        <v>243</v>
      </c>
      <c r="B248" s="66" t="s">
        <v>573</v>
      </c>
      <c r="C248" s="66">
        <v>1066968608</v>
      </c>
      <c r="D248" s="67" t="str">
        <f t="shared" si="7"/>
        <v>https://portal.dnb.de/opac.htm?method=simpleSearch&amp;cqlMode=true&amp;query=idn%3D1066968608</v>
      </c>
      <c r="E248" s="66" t="s">
        <v>374</v>
      </c>
      <c r="F248" s="66"/>
      <c r="G248" s="68"/>
      <c r="H248" s="69"/>
      <c r="I248" s="68"/>
      <c r="J248" s="69"/>
      <c r="K248" s="69"/>
      <c r="L248" s="68"/>
      <c r="M248" s="68"/>
      <c r="N248" s="68"/>
      <c r="O248" s="68"/>
      <c r="P248" s="68"/>
      <c r="Q248" s="68"/>
      <c r="R248" s="68"/>
      <c r="S248" s="68"/>
      <c r="BD248" s="115">
        <f t="shared" si="6"/>
        <v>0</v>
      </c>
      <c r="CC248" s="115"/>
      <c r="CV248" s="115"/>
    </row>
    <row r="249" spans="1:100" x14ac:dyDescent="0.15">
      <c r="A249" s="68">
        <v>244</v>
      </c>
      <c r="B249" s="66" t="s">
        <v>574</v>
      </c>
      <c r="C249" s="66">
        <v>1066966680</v>
      </c>
      <c r="D249" s="67" t="str">
        <f t="shared" si="7"/>
        <v>https://portal.dnb.de/opac.htm?method=simpleSearch&amp;cqlMode=true&amp;query=idn%3D1066966680</v>
      </c>
      <c r="E249" s="66" t="s">
        <v>376</v>
      </c>
      <c r="F249" s="66"/>
      <c r="G249" s="68"/>
      <c r="H249" s="69"/>
      <c r="I249" s="68"/>
      <c r="J249" s="69"/>
      <c r="K249" s="69"/>
      <c r="L249" s="68"/>
      <c r="M249" s="68"/>
      <c r="N249" s="68"/>
      <c r="O249" s="68"/>
      <c r="P249" s="68"/>
      <c r="Q249" s="68"/>
      <c r="R249" s="68"/>
      <c r="S249" s="68"/>
      <c r="BD249" s="115">
        <f t="shared" si="6"/>
        <v>0</v>
      </c>
      <c r="CC249" s="115"/>
      <c r="CV249" s="115"/>
    </row>
    <row r="250" spans="1:100" x14ac:dyDescent="0.15">
      <c r="A250" s="68">
        <v>245</v>
      </c>
      <c r="B250" s="66" t="s">
        <v>575</v>
      </c>
      <c r="C250" s="66">
        <v>1066966664</v>
      </c>
      <c r="D250" s="67" t="str">
        <f t="shared" si="7"/>
        <v>https://portal.dnb.de/opac.htm?method=simpleSearch&amp;cqlMode=true&amp;query=idn%3D1066966664</v>
      </c>
      <c r="E250" s="66" t="s">
        <v>378</v>
      </c>
      <c r="F250" s="66"/>
      <c r="G250" s="68"/>
      <c r="H250" s="69"/>
      <c r="I250" s="68"/>
      <c r="J250" s="69"/>
      <c r="K250" s="69"/>
      <c r="L250" s="68"/>
      <c r="M250" s="68"/>
      <c r="N250" s="68"/>
      <c r="O250" s="68"/>
      <c r="P250" s="68"/>
      <c r="Q250" s="68"/>
      <c r="R250" s="68"/>
      <c r="S250" s="68"/>
      <c r="BD250" s="115">
        <f t="shared" si="6"/>
        <v>0</v>
      </c>
      <c r="CC250" s="115"/>
      <c r="CV250" s="115"/>
    </row>
    <row r="251" spans="1:100" x14ac:dyDescent="0.15">
      <c r="A251" s="68">
        <v>246</v>
      </c>
      <c r="B251" s="66" t="s">
        <v>576</v>
      </c>
      <c r="C251" s="66">
        <v>1066967210</v>
      </c>
      <c r="D251" s="67" t="str">
        <f t="shared" si="7"/>
        <v>https://portal.dnb.de/opac.htm?method=simpleSearch&amp;cqlMode=true&amp;query=idn%3D1066967210</v>
      </c>
      <c r="E251" s="66" t="s">
        <v>386</v>
      </c>
      <c r="F251" s="66"/>
      <c r="G251" s="68"/>
      <c r="H251" s="69"/>
      <c r="I251" s="68"/>
      <c r="J251" s="69"/>
      <c r="K251" s="69"/>
      <c r="L251" s="68"/>
      <c r="M251" s="68"/>
      <c r="N251" s="68"/>
      <c r="O251" s="68"/>
      <c r="P251" s="68"/>
      <c r="Q251" s="68"/>
      <c r="R251" s="68"/>
      <c r="S251" s="68"/>
      <c r="BD251" s="115">
        <f t="shared" si="6"/>
        <v>0</v>
      </c>
      <c r="CC251" s="115"/>
      <c r="CV251" s="115"/>
    </row>
    <row r="252" spans="1:100" x14ac:dyDescent="0.15">
      <c r="A252" s="68">
        <v>247</v>
      </c>
      <c r="B252" s="66" t="s">
        <v>577</v>
      </c>
      <c r="C252" s="66">
        <v>1066967792</v>
      </c>
      <c r="D252" s="67" t="str">
        <f t="shared" si="7"/>
        <v>https://portal.dnb.de/opac.htm?method=simpleSearch&amp;cqlMode=true&amp;query=idn%3D1066967792</v>
      </c>
      <c r="E252" s="66" t="s">
        <v>909</v>
      </c>
      <c r="F252" s="66"/>
      <c r="G252" s="68"/>
      <c r="H252" s="69"/>
      <c r="I252" s="68"/>
      <c r="J252" s="69"/>
      <c r="K252" s="69"/>
      <c r="L252" s="68"/>
      <c r="M252" s="68"/>
      <c r="N252" s="68"/>
      <c r="O252" s="68"/>
      <c r="P252" s="68"/>
      <c r="Q252" s="68"/>
      <c r="R252" s="68"/>
      <c r="S252" s="68"/>
      <c r="BD252" s="115">
        <f t="shared" si="6"/>
        <v>0</v>
      </c>
      <c r="CC252" s="115"/>
      <c r="CV252" s="115"/>
    </row>
    <row r="253" spans="1:100" x14ac:dyDescent="0.15">
      <c r="A253" s="68">
        <v>248</v>
      </c>
      <c r="B253" s="66" t="s">
        <v>578</v>
      </c>
      <c r="C253" s="66">
        <v>1066966400</v>
      </c>
      <c r="D253" s="67" t="str">
        <f t="shared" si="7"/>
        <v>https://portal.dnb.de/opac.htm?method=simpleSearch&amp;cqlMode=true&amp;query=idn%3D1066966400</v>
      </c>
      <c r="E253" s="66" t="s">
        <v>384</v>
      </c>
      <c r="F253" s="66"/>
      <c r="G253" s="68"/>
      <c r="H253" s="69"/>
      <c r="I253" s="68"/>
      <c r="J253" s="69"/>
      <c r="K253" s="69"/>
      <c r="L253" s="68"/>
      <c r="M253" s="68"/>
      <c r="N253" s="68"/>
      <c r="O253" s="68"/>
      <c r="P253" s="68"/>
      <c r="Q253" s="68"/>
      <c r="R253" s="68"/>
      <c r="S253" s="68"/>
      <c r="BD253" s="115">
        <f t="shared" si="6"/>
        <v>0</v>
      </c>
      <c r="CC253" s="115"/>
      <c r="CV253" s="115"/>
    </row>
    <row r="254" spans="1:100" x14ac:dyDescent="0.15">
      <c r="A254" s="68">
        <v>249</v>
      </c>
      <c r="B254" s="66" t="s">
        <v>579</v>
      </c>
      <c r="C254" s="66">
        <v>1072267322</v>
      </c>
      <c r="D254" s="67" t="str">
        <f t="shared" si="7"/>
        <v>https://portal.dnb.de/opac.htm?method=simpleSearch&amp;cqlMode=true&amp;query=idn%3D1072267322</v>
      </c>
      <c r="E254" s="66" t="s">
        <v>909</v>
      </c>
      <c r="F254" s="66"/>
      <c r="G254" s="68"/>
      <c r="H254" s="69"/>
      <c r="I254" s="68"/>
      <c r="J254" s="69"/>
      <c r="K254" s="69"/>
      <c r="L254" s="68"/>
      <c r="M254" s="68"/>
      <c r="N254" s="68"/>
      <c r="O254" s="68"/>
      <c r="P254" s="68"/>
      <c r="Q254" s="68"/>
      <c r="R254" s="68"/>
      <c r="S254" s="68"/>
      <c r="BD254" s="115">
        <f t="shared" si="6"/>
        <v>0</v>
      </c>
      <c r="CC254" s="115"/>
      <c r="CV254" s="115"/>
    </row>
    <row r="255" spans="1:100" x14ac:dyDescent="0.15">
      <c r="A255" s="68">
        <v>250</v>
      </c>
      <c r="B255" s="66" t="s">
        <v>580</v>
      </c>
      <c r="C255" s="66">
        <v>1066969957</v>
      </c>
      <c r="D255" s="67" t="str">
        <f t="shared" si="7"/>
        <v>https://portal.dnb.de/opac.htm?method=simpleSearch&amp;cqlMode=true&amp;query=idn%3D1066969957</v>
      </c>
      <c r="E255" s="66" t="s">
        <v>388</v>
      </c>
      <c r="F255" s="66"/>
      <c r="G255" s="68"/>
      <c r="H255" s="69"/>
      <c r="I255" s="68"/>
      <c r="J255" s="69"/>
      <c r="K255" s="69"/>
      <c r="L255" s="68"/>
      <c r="M255" s="68"/>
      <c r="N255" s="68"/>
      <c r="O255" s="68"/>
      <c r="P255" s="68"/>
      <c r="Q255" s="68"/>
      <c r="R255" s="68"/>
      <c r="S255" s="68"/>
      <c r="BD255" s="115">
        <f t="shared" si="6"/>
        <v>0</v>
      </c>
      <c r="CC255" s="115"/>
      <c r="CV255" s="115"/>
    </row>
    <row r="256" spans="1:100" x14ac:dyDescent="0.15">
      <c r="A256" s="68">
        <v>251</v>
      </c>
      <c r="B256" s="66" t="s">
        <v>581</v>
      </c>
      <c r="C256" s="66">
        <v>1066970793</v>
      </c>
      <c r="D256" s="67" t="str">
        <f t="shared" si="7"/>
        <v>https://portal.dnb.de/opac.htm?method=simpleSearch&amp;cqlMode=true&amp;query=idn%3D1066970793</v>
      </c>
      <c r="E256" s="66" t="s">
        <v>390</v>
      </c>
      <c r="F256" s="66"/>
      <c r="G256" s="68"/>
      <c r="H256" s="69"/>
      <c r="I256" s="68"/>
      <c r="J256" s="69"/>
      <c r="K256" s="69"/>
      <c r="L256" s="68"/>
      <c r="M256" s="68"/>
      <c r="N256" s="68"/>
      <c r="O256" s="68"/>
      <c r="P256" s="68"/>
      <c r="Q256" s="68"/>
      <c r="R256" s="68"/>
      <c r="S256" s="68"/>
      <c r="BD256" s="115">
        <f t="shared" si="6"/>
        <v>0</v>
      </c>
      <c r="CC256" s="115"/>
      <c r="CV256" s="115"/>
    </row>
    <row r="257" spans="1:100" x14ac:dyDescent="0.15">
      <c r="A257" s="68">
        <v>252</v>
      </c>
      <c r="B257" s="66" t="s">
        <v>582</v>
      </c>
      <c r="C257" s="66">
        <v>1066971943</v>
      </c>
      <c r="D257" s="67" t="str">
        <f t="shared" si="7"/>
        <v>https://portal.dnb.de/opac.htm?method=simpleSearch&amp;cqlMode=true&amp;query=idn%3D1066971943</v>
      </c>
      <c r="E257" s="66" t="s">
        <v>392</v>
      </c>
      <c r="F257" s="66"/>
      <c r="G257" s="68"/>
      <c r="H257" s="69"/>
      <c r="I257" s="68"/>
      <c r="J257" s="69"/>
      <c r="K257" s="69"/>
      <c r="L257" s="68"/>
      <c r="M257" s="68"/>
      <c r="N257" s="68"/>
      <c r="O257" s="68"/>
      <c r="P257" s="68"/>
      <c r="Q257" s="68"/>
      <c r="R257" s="68"/>
      <c r="S257" s="68"/>
      <c r="BD257" s="115">
        <f t="shared" si="6"/>
        <v>0</v>
      </c>
      <c r="CC257" s="115"/>
      <c r="CV257" s="115"/>
    </row>
    <row r="258" spans="1:100" ht="22.5" x14ac:dyDescent="0.15">
      <c r="A258" s="68">
        <v>253</v>
      </c>
      <c r="B258" s="66" t="s">
        <v>583</v>
      </c>
      <c r="C258" s="66">
        <v>1066971021</v>
      </c>
      <c r="D258" s="67" t="str">
        <f t="shared" si="7"/>
        <v>https://portal.dnb.de/opac.htm?method=simpleSearch&amp;cqlMode=true&amp;query=idn%3D1066971021</v>
      </c>
      <c r="E258" s="66" t="s">
        <v>395</v>
      </c>
      <c r="F258" s="66"/>
      <c r="G258" s="68" t="s">
        <v>89</v>
      </c>
      <c r="H258" s="69" t="s">
        <v>620</v>
      </c>
      <c r="I258" s="68" t="s">
        <v>51</v>
      </c>
      <c r="J258" s="69" t="s">
        <v>55</v>
      </c>
      <c r="K258" s="69" t="s">
        <v>59</v>
      </c>
      <c r="L258" s="68"/>
      <c r="M258" s="68" t="s">
        <v>35</v>
      </c>
      <c r="N258" s="68" t="s">
        <v>37</v>
      </c>
      <c r="O258" s="68">
        <v>0</v>
      </c>
      <c r="P258" s="68"/>
      <c r="Q258" s="68"/>
      <c r="R258" s="68"/>
      <c r="S258" s="68"/>
      <c r="Y258" s="84" t="s">
        <v>782</v>
      </c>
      <c r="Z258" s="84"/>
      <c r="AC258" s="83" t="s">
        <v>696</v>
      </c>
      <c r="AI258" s="83" t="s">
        <v>699</v>
      </c>
      <c r="AW258" s="84">
        <v>110</v>
      </c>
      <c r="AX258" s="84"/>
      <c r="BC258" s="84" t="s">
        <v>712</v>
      </c>
      <c r="BD258" s="115">
        <f t="shared" ref="BD258:BD285" si="8">CC258+CV258</f>
        <v>0</v>
      </c>
      <c r="CC258" s="115"/>
      <c r="CV258" s="115"/>
    </row>
    <row r="259" spans="1:100" x14ac:dyDescent="0.15">
      <c r="A259" s="68">
        <v>254</v>
      </c>
      <c r="B259" s="66" t="s">
        <v>584</v>
      </c>
      <c r="C259" s="66">
        <v>1047218887</v>
      </c>
      <c r="D259" s="67" t="str">
        <f t="shared" si="7"/>
        <v>https://portal.dnb.de/opac.htm?method=simpleSearch&amp;cqlMode=true&amp;query=idn%3D1047218887</v>
      </c>
      <c r="E259" s="66" t="s">
        <v>397</v>
      </c>
      <c r="F259" s="66"/>
      <c r="G259" s="68" t="s">
        <v>89</v>
      </c>
      <c r="H259" s="69" t="s">
        <v>17</v>
      </c>
      <c r="I259" s="68" t="s">
        <v>50</v>
      </c>
      <c r="J259" s="69" t="s">
        <v>55</v>
      </c>
      <c r="K259" s="69" t="s">
        <v>81</v>
      </c>
      <c r="L259" s="68"/>
      <c r="M259" s="68"/>
      <c r="N259" s="68" t="s">
        <v>101</v>
      </c>
      <c r="O259" s="68">
        <v>0</v>
      </c>
      <c r="P259" s="68"/>
      <c r="Q259" s="68"/>
      <c r="R259" s="68"/>
      <c r="S259" s="68"/>
      <c r="Y259" s="83" t="s">
        <v>699</v>
      </c>
      <c r="AC259" s="83" t="s">
        <v>795</v>
      </c>
      <c r="AI259" s="83" t="s">
        <v>699</v>
      </c>
      <c r="AW259" s="83">
        <v>180</v>
      </c>
      <c r="BC259" s="84" t="s">
        <v>712</v>
      </c>
      <c r="BD259" s="115">
        <f t="shared" si="8"/>
        <v>0</v>
      </c>
      <c r="CC259" s="115"/>
      <c r="CV259" s="115"/>
    </row>
    <row r="260" spans="1:100" x14ac:dyDescent="0.15">
      <c r="A260" s="68">
        <v>255</v>
      </c>
      <c r="B260" s="66" t="s">
        <v>585</v>
      </c>
      <c r="C260" s="66">
        <v>1047477246</v>
      </c>
      <c r="D260" s="67" t="str">
        <f t="shared" si="7"/>
        <v>https://portal.dnb.de/opac.htm?method=simpleSearch&amp;cqlMode=true&amp;query=idn%3D1047477246</v>
      </c>
      <c r="E260" s="66" t="s">
        <v>399</v>
      </c>
      <c r="F260" s="66"/>
      <c r="G260" s="68"/>
      <c r="H260" s="69"/>
      <c r="I260" s="68"/>
      <c r="J260" s="69"/>
      <c r="K260" s="69"/>
      <c r="L260" s="68"/>
      <c r="M260" s="68"/>
      <c r="N260" s="68"/>
      <c r="O260" s="68"/>
      <c r="P260" s="68"/>
      <c r="Q260" s="68"/>
      <c r="R260" s="68"/>
      <c r="S260" s="68"/>
      <c r="BD260" s="115">
        <f t="shared" si="8"/>
        <v>0</v>
      </c>
      <c r="CC260" s="115"/>
      <c r="CV260" s="115"/>
    </row>
    <row r="261" spans="1:100" x14ac:dyDescent="0.15">
      <c r="A261" s="68">
        <v>256</v>
      </c>
      <c r="B261" s="66" t="s">
        <v>586</v>
      </c>
      <c r="C261" s="66">
        <v>1047569779</v>
      </c>
      <c r="D261" s="67" t="str">
        <f t="shared" si="7"/>
        <v>https://portal.dnb.de/opac.htm?method=simpleSearch&amp;cqlMode=true&amp;query=idn%3D1047569779</v>
      </c>
      <c r="E261" s="66" t="s">
        <v>401</v>
      </c>
      <c r="F261" s="66"/>
      <c r="G261" s="68"/>
      <c r="H261" s="69"/>
      <c r="I261" s="68"/>
      <c r="J261" s="69"/>
      <c r="K261" s="69"/>
      <c r="L261" s="68"/>
      <c r="M261" s="68"/>
      <c r="N261" s="68"/>
      <c r="O261" s="68"/>
      <c r="P261" s="68"/>
      <c r="Q261" s="68"/>
      <c r="R261" s="68"/>
      <c r="S261" s="68"/>
      <c r="BD261" s="115">
        <f t="shared" si="8"/>
        <v>0</v>
      </c>
      <c r="CC261" s="115"/>
      <c r="CV261" s="115"/>
    </row>
    <row r="262" spans="1:100" x14ac:dyDescent="0.15">
      <c r="A262" s="68">
        <v>257</v>
      </c>
      <c r="B262" s="66" t="s">
        <v>587</v>
      </c>
      <c r="C262" s="66">
        <v>1048059340</v>
      </c>
      <c r="D262" s="67" t="str">
        <f t="shared" si="7"/>
        <v>https://portal.dnb.de/opac.htm?method=simpleSearch&amp;cqlMode=true&amp;query=idn%3D1048059340</v>
      </c>
      <c r="E262" s="66" t="s">
        <v>403</v>
      </c>
      <c r="F262" s="66"/>
      <c r="G262" s="68"/>
      <c r="H262" s="69"/>
      <c r="I262" s="68"/>
      <c r="J262" s="69"/>
      <c r="K262" s="69"/>
      <c r="L262" s="68"/>
      <c r="M262" s="68"/>
      <c r="N262" s="68"/>
      <c r="O262" s="68"/>
      <c r="P262" s="68"/>
      <c r="Q262" s="68"/>
      <c r="R262" s="68"/>
      <c r="S262" s="68"/>
      <c r="BD262" s="115">
        <f t="shared" si="8"/>
        <v>0</v>
      </c>
      <c r="CC262" s="115"/>
      <c r="CV262" s="115"/>
    </row>
    <row r="263" spans="1:100" x14ac:dyDescent="0.15">
      <c r="A263" s="68">
        <v>258</v>
      </c>
      <c r="B263" s="66" t="s">
        <v>588</v>
      </c>
      <c r="C263" s="66">
        <v>1088451101</v>
      </c>
      <c r="D263" s="67" t="str">
        <f t="shared" ref="D263:D285" si="9">HYPERLINK(CONCATENATE("https://portal.dnb.de/opac.htm?method=simpleSearch&amp;cqlMode=true&amp;query=idn%3D",C263))</f>
        <v>https://portal.dnb.de/opac.htm?method=simpleSearch&amp;cqlMode=true&amp;query=idn%3D1088451101</v>
      </c>
      <c r="E263" s="66" t="s">
        <v>405</v>
      </c>
      <c r="F263" s="66"/>
      <c r="G263" s="68"/>
      <c r="H263" s="69"/>
      <c r="I263" s="68"/>
      <c r="J263" s="69"/>
      <c r="K263" s="69"/>
      <c r="L263" s="68"/>
      <c r="M263" s="68"/>
      <c r="N263" s="68"/>
      <c r="O263" s="68"/>
      <c r="P263" s="68"/>
      <c r="Q263" s="68"/>
      <c r="R263" s="68"/>
      <c r="S263" s="68"/>
      <c r="BD263" s="115">
        <f t="shared" si="8"/>
        <v>0</v>
      </c>
      <c r="CC263" s="115"/>
      <c r="CV263" s="115"/>
    </row>
    <row r="264" spans="1:100" x14ac:dyDescent="0.15">
      <c r="A264" s="68">
        <v>259</v>
      </c>
      <c r="B264" s="66" t="s">
        <v>589</v>
      </c>
      <c r="C264" s="66">
        <v>1047877775</v>
      </c>
      <c r="D264" s="67" t="str">
        <f t="shared" si="9"/>
        <v>https://portal.dnb.de/opac.htm?method=simpleSearch&amp;cqlMode=true&amp;query=idn%3D1047877775</v>
      </c>
      <c r="E264" s="66" t="s">
        <v>407</v>
      </c>
      <c r="F264" s="66"/>
      <c r="G264" s="68"/>
      <c r="H264" s="69"/>
      <c r="I264" s="68"/>
      <c r="J264" s="69"/>
      <c r="K264" s="69"/>
      <c r="L264" s="68"/>
      <c r="M264" s="68"/>
      <c r="N264" s="68"/>
      <c r="O264" s="68"/>
      <c r="P264" s="68"/>
      <c r="Q264" s="68"/>
      <c r="R264" s="68"/>
      <c r="S264" s="68"/>
      <c r="BD264" s="115">
        <f t="shared" si="8"/>
        <v>0</v>
      </c>
      <c r="CC264" s="115"/>
      <c r="CV264" s="115"/>
    </row>
    <row r="265" spans="1:100" x14ac:dyDescent="0.15">
      <c r="A265" s="68">
        <v>260</v>
      </c>
      <c r="B265" s="66" t="s">
        <v>590</v>
      </c>
      <c r="C265" s="66">
        <v>1047878534</v>
      </c>
      <c r="D265" s="67" t="str">
        <f t="shared" si="9"/>
        <v>https://portal.dnb.de/opac.htm?method=simpleSearch&amp;cqlMode=true&amp;query=idn%3D1047878534</v>
      </c>
      <c r="E265" s="66" t="s">
        <v>409</v>
      </c>
      <c r="F265" s="66"/>
      <c r="G265" s="68"/>
      <c r="H265" s="69"/>
      <c r="I265" s="68"/>
      <c r="J265" s="69"/>
      <c r="K265" s="69"/>
      <c r="L265" s="68"/>
      <c r="M265" s="68"/>
      <c r="N265" s="68"/>
      <c r="O265" s="68"/>
      <c r="P265" s="68"/>
      <c r="Q265" s="68"/>
      <c r="R265" s="68"/>
      <c r="S265" s="68"/>
      <c r="BD265" s="115">
        <f t="shared" si="8"/>
        <v>0</v>
      </c>
      <c r="CC265" s="115"/>
      <c r="CV265" s="115"/>
    </row>
    <row r="266" spans="1:100" x14ac:dyDescent="0.15">
      <c r="A266" s="68">
        <v>261</v>
      </c>
      <c r="B266" s="66" t="s">
        <v>591</v>
      </c>
      <c r="C266" s="66">
        <v>1047897032</v>
      </c>
      <c r="D266" s="67" t="str">
        <f t="shared" si="9"/>
        <v>https://portal.dnb.de/opac.htm?method=simpleSearch&amp;cqlMode=true&amp;query=idn%3D1047897032</v>
      </c>
      <c r="E266" s="66" t="s">
        <v>412</v>
      </c>
      <c r="F266" s="66"/>
      <c r="G266" s="68"/>
      <c r="H266" s="69"/>
      <c r="I266" s="68"/>
      <c r="J266" s="69"/>
      <c r="K266" s="69"/>
      <c r="L266" s="68"/>
      <c r="M266" s="68"/>
      <c r="N266" s="68"/>
      <c r="O266" s="68"/>
      <c r="P266" s="68"/>
      <c r="Q266" s="68"/>
      <c r="R266" s="68"/>
      <c r="S266" s="68"/>
      <c r="BD266" s="115">
        <f t="shared" si="8"/>
        <v>0</v>
      </c>
      <c r="CC266" s="115"/>
      <c r="CV266" s="115"/>
    </row>
    <row r="267" spans="1:100" x14ac:dyDescent="0.15">
      <c r="A267" s="68">
        <v>262</v>
      </c>
      <c r="B267" s="66" t="s">
        <v>592</v>
      </c>
      <c r="C267" s="66" t="s">
        <v>593</v>
      </c>
      <c r="D267" s="67" t="str">
        <f t="shared" si="9"/>
        <v>https://portal.dnb.de/opac.htm?method=simpleSearch&amp;cqlMode=true&amp;query=idn%3D104816313X</v>
      </c>
      <c r="E267" s="66" t="s">
        <v>414</v>
      </c>
      <c r="F267" s="66"/>
      <c r="G267" s="68"/>
      <c r="H267" s="69"/>
      <c r="I267" s="68"/>
      <c r="J267" s="69"/>
      <c r="K267" s="69"/>
      <c r="L267" s="68"/>
      <c r="M267" s="68"/>
      <c r="N267" s="68"/>
      <c r="O267" s="68"/>
      <c r="P267" s="68"/>
      <c r="Q267" s="68"/>
      <c r="R267" s="68"/>
      <c r="S267" s="68"/>
      <c r="BD267" s="115">
        <f t="shared" si="8"/>
        <v>0</v>
      </c>
      <c r="CC267" s="115"/>
      <c r="CV267" s="115"/>
    </row>
    <row r="268" spans="1:100" x14ac:dyDescent="0.15">
      <c r="A268" s="68">
        <v>263</v>
      </c>
      <c r="B268" s="66" t="s">
        <v>594</v>
      </c>
      <c r="C268" s="66">
        <v>1048164535</v>
      </c>
      <c r="D268" s="67" t="str">
        <f t="shared" si="9"/>
        <v>https://portal.dnb.de/opac.htm?method=simpleSearch&amp;cqlMode=true&amp;query=idn%3D1048164535</v>
      </c>
      <c r="E268" s="66" t="s">
        <v>416</v>
      </c>
      <c r="F268" s="66"/>
      <c r="G268" s="68"/>
      <c r="H268" s="69"/>
      <c r="I268" s="68"/>
      <c r="J268" s="69"/>
      <c r="K268" s="69"/>
      <c r="L268" s="68"/>
      <c r="M268" s="68"/>
      <c r="N268" s="68"/>
      <c r="O268" s="68"/>
      <c r="P268" s="68"/>
      <c r="Q268" s="68"/>
      <c r="R268" s="68"/>
      <c r="S268" s="68"/>
      <c r="BD268" s="115">
        <f t="shared" si="8"/>
        <v>0</v>
      </c>
      <c r="CC268" s="115"/>
      <c r="CV268" s="115"/>
    </row>
    <row r="269" spans="1:100" x14ac:dyDescent="0.15">
      <c r="A269" s="68">
        <v>264</v>
      </c>
      <c r="B269" s="66" t="s">
        <v>595</v>
      </c>
      <c r="C269" s="66">
        <v>1048166694</v>
      </c>
      <c r="D269" s="67" t="str">
        <f t="shared" si="9"/>
        <v>https://portal.dnb.de/opac.htm?method=simpleSearch&amp;cqlMode=true&amp;query=idn%3D1048166694</v>
      </c>
      <c r="E269" s="66" t="s">
        <v>418</v>
      </c>
      <c r="F269" s="66"/>
      <c r="G269" s="68"/>
      <c r="H269" s="69"/>
      <c r="I269" s="68"/>
      <c r="J269" s="69"/>
      <c r="K269" s="69"/>
      <c r="L269" s="68"/>
      <c r="M269" s="68"/>
      <c r="N269" s="68"/>
      <c r="O269" s="68"/>
      <c r="P269" s="68"/>
      <c r="Q269" s="68"/>
      <c r="R269" s="68"/>
      <c r="S269" s="68"/>
      <c r="BD269" s="115">
        <f t="shared" si="8"/>
        <v>0</v>
      </c>
      <c r="CC269" s="115"/>
      <c r="CV269" s="115"/>
    </row>
    <row r="270" spans="1:100" x14ac:dyDescent="0.15">
      <c r="A270" s="68">
        <v>265</v>
      </c>
      <c r="B270" s="66" t="s">
        <v>596</v>
      </c>
      <c r="C270" s="66">
        <v>1048168069</v>
      </c>
      <c r="D270" s="67" t="str">
        <f t="shared" si="9"/>
        <v>https://portal.dnb.de/opac.htm?method=simpleSearch&amp;cqlMode=true&amp;query=idn%3D1048168069</v>
      </c>
      <c r="E270" s="66" t="s">
        <v>420</v>
      </c>
      <c r="F270" s="66"/>
      <c r="G270" s="68"/>
      <c r="H270" s="69"/>
      <c r="I270" s="68"/>
      <c r="J270" s="69"/>
      <c r="K270" s="69"/>
      <c r="L270" s="68"/>
      <c r="M270" s="68"/>
      <c r="N270" s="68"/>
      <c r="O270" s="68"/>
      <c r="P270" s="68"/>
      <c r="Q270" s="68"/>
      <c r="R270" s="68"/>
      <c r="S270" s="68"/>
      <c r="BD270" s="115">
        <f t="shared" si="8"/>
        <v>0</v>
      </c>
      <c r="CC270" s="115"/>
      <c r="CV270" s="115"/>
    </row>
    <row r="271" spans="1:100" x14ac:dyDescent="0.15">
      <c r="A271" s="68">
        <v>266</v>
      </c>
      <c r="B271" s="66" t="s">
        <v>597</v>
      </c>
      <c r="C271" s="66">
        <v>1048169669</v>
      </c>
      <c r="D271" s="67" t="str">
        <f t="shared" si="9"/>
        <v>https://portal.dnb.de/opac.htm?method=simpleSearch&amp;cqlMode=true&amp;query=idn%3D1048169669</v>
      </c>
      <c r="E271" s="66" t="s">
        <v>422</v>
      </c>
      <c r="F271" s="66"/>
      <c r="G271" s="68"/>
      <c r="H271" s="69"/>
      <c r="I271" s="68"/>
      <c r="J271" s="69"/>
      <c r="K271" s="69"/>
      <c r="L271" s="68"/>
      <c r="M271" s="68"/>
      <c r="N271" s="68"/>
      <c r="O271" s="68"/>
      <c r="P271" s="68"/>
      <c r="Q271" s="68"/>
      <c r="R271" s="68"/>
      <c r="S271" s="68"/>
      <c r="BD271" s="115">
        <f t="shared" si="8"/>
        <v>0</v>
      </c>
      <c r="CC271" s="115"/>
      <c r="CV271" s="115"/>
    </row>
    <row r="272" spans="1:100" x14ac:dyDescent="0.15">
      <c r="A272" s="68">
        <v>267</v>
      </c>
      <c r="B272" s="66" t="s">
        <v>598</v>
      </c>
      <c r="C272" s="66">
        <v>1048306054</v>
      </c>
      <c r="D272" s="67" t="str">
        <f t="shared" si="9"/>
        <v>https://portal.dnb.de/opac.htm?method=simpleSearch&amp;cqlMode=true&amp;query=idn%3D1048306054</v>
      </c>
      <c r="E272" s="66" t="s">
        <v>424</v>
      </c>
      <c r="F272" s="66"/>
      <c r="G272" s="68"/>
      <c r="H272" s="69"/>
      <c r="I272" s="68"/>
      <c r="J272" s="69"/>
      <c r="K272" s="69"/>
      <c r="L272" s="68"/>
      <c r="M272" s="68"/>
      <c r="N272" s="68"/>
      <c r="O272" s="68"/>
      <c r="P272" s="68"/>
      <c r="Q272" s="68"/>
      <c r="R272" s="68"/>
      <c r="S272" s="68"/>
      <c r="BD272" s="115">
        <f t="shared" si="8"/>
        <v>0</v>
      </c>
      <c r="CC272" s="115"/>
      <c r="CV272" s="115"/>
    </row>
    <row r="273" spans="1:102" x14ac:dyDescent="0.15">
      <c r="A273" s="68">
        <v>268</v>
      </c>
      <c r="B273" s="66" t="s">
        <v>599</v>
      </c>
      <c r="C273" s="66">
        <v>1051419549</v>
      </c>
      <c r="D273" s="67" t="str">
        <f t="shared" si="9"/>
        <v>https://portal.dnb.de/opac.htm?method=simpleSearch&amp;cqlMode=true&amp;query=idn%3D1051419549</v>
      </c>
      <c r="E273" s="66" t="s">
        <v>426</v>
      </c>
      <c r="F273" s="66"/>
      <c r="G273" s="68"/>
      <c r="H273" s="69"/>
      <c r="I273" s="68"/>
      <c r="J273" s="69"/>
      <c r="K273" s="69"/>
      <c r="L273" s="68"/>
      <c r="M273" s="68"/>
      <c r="N273" s="68"/>
      <c r="O273" s="68"/>
      <c r="P273" s="68"/>
      <c r="Q273" s="68"/>
      <c r="R273" s="68"/>
      <c r="S273" s="68"/>
      <c r="BD273" s="115">
        <f t="shared" si="8"/>
        <v>0</v>
      </c>
      <c r="CC273" s="115"/>
      <c r="CV273" s="115"/>
    </row>
    <row r="274" spans="1:102" x14ac:dyDescent="0.15">
      <c r="A274" s="68">
        <v>269</v>
      </c>
      <c r="B274" s="66" t="s">
        <v>600</v>
      </c>
      <c r="C274" s="66">
        <v>1056050667</v>
      </c>
      <c r="D274" s="67" t="str">
        <f t="shared" si="9"/>
        <v>https://portal.dnb.de/opac.htm?method=simpleSearch&amp;cqlMode=true&amp;query=idn%3D1056050667</v>
      </c>
      <c r="E274" s="66" t="s">
        <v>428</v>
      </c>
      <c r="F274" s="66"/>
      <c r="G274" s="68"/>
      <c r="H274" s="69"/>
      <c r="I274" s="68"/>
      <c r="J274" s="69"/>
      <c r="K274" s="69"/>
      <c r="L274" s="68"/>
      <c r="M274" s="68"/>
      <c r="N274" s="68"/>
      <c r="O274" s="68"/>
      <c r="P274" s="68"/>
      <c r="Q274" s="68"/>
      <c r="R274" s="68"/>
      <c r="S274" s="68"/>
      <c r="BD274" s="115">
        <f t="shared" si="8"/>
        <v>0</v>
      </c>
      <c r="CC274" s="115"/>
      <c r="CV274" s="115"/>
    </row>
    <row r="275" spans="1:102" x14ac:dyDescent="0.15">
      <c r="A275" s="68">
        <v>270</v>
      </c>
      <c r="B275" s="66" t="s">
        <v>601</v>
      </c>
      <c r="C275" s="66" t="s">
        <v>602</v>
      </c>
      <c r="D275" s="67" t="str">
        <f t="shared" si="9"/>
        <v>https://portal.dnb.de/opac.htm?method=simpleSearch&amp;cqlMode=true&amp;query=idn%3D106667857X</v>
      </c>
      <c r="E275" s="66" t="s">
        <v>430</v>
      </c>
      <c r="F275" s="66"/>
      <c r="G275" s="68"/>
      <c r="H275" s="69"/>
      <c r="I275" s="68"/>
      <c r="J275" s="69"/>
      <c r="K275" s="69"/>
      <c r="L275" s="68"/>
      <c r="M275" s="68"/>
      <c r="N275" s="68"/>
      <c r="O275" s="68"/>
      <c r="P275" s="68"/>
      <c r="Q275" s="68"/>
      <c r="R275" s="68"/>
      <c r="S275" s="68"/>
      <c r="BD275" s="115">
        <f t="shared" si="8"/>
        <v>0</v>
      </c>
      <c r="CC275" s="115"/>
      <c r="CV275" s="115"/>
    </row>
    <row r="276" spans="1:102" x14ac:dyDescent="0.15">
      <c r="A276" s="68">
        <v>271</v>
      </c>
      <c r="B276" s="66" t="s">
        <v>603</v>
      </c>
      <c r="C276" s="66">
        <v>1173831592</v>
      </c>
      <c r="D276" s="67" t="str">
        <f t="shared" si="9"/>
        <v>https://portal.dnb.de/opac.htm?method=simpleSearch&amp;cqlMode=true&amp;query=idn%3D1173831592</v>
      </c>
      <c r="E276" s="66" t="s">
        <v>432</v>
      </c>
      <c r="F276" s="66"/>
      <c r="G276" s="68"/>
      <c r="H276" s="69"/>
      <c r="I276" s="68"/>
      <c r="J276" s="69"/>
      <c r="K276" s="69"/>
      <c r="L276" s="68"/>
      <c r="M276" s="68"/>
      <c r="N276" s="68"/>
      <c r="O276" s="68"/>
      <c r="P276" s="68"/>
      <c r="Q276" s="68"/>
      <c r="R276" s="68"/>
      <c r="S276" s="68"/>
      <c r="BD276" s="115">
        <f t="shared" si="8"/>
        <v>0</v>
      </c>
      <c r="CC276" s="115"/>
      <c r="CV276" s="115"/>
    </row>
    <row r="277" spans="1:102" ht="21.75" customHeight="1" x14ac:dyDescent="0.15">
      <c r="A277" s="68">
        <v>272</v>
      </c>
      <c r="B277" s="66" t="s">
        <v>604</v>
      </c>
      <c r="C277" s="66">
        <v>1091088985</v>
      </c>
      <c r="D277" s="67" t="str">
        <f t="shared" si="9"/>
        <v>https://portal.dnb.de/opac.htm?method=simpleSearch&amp;cqlMode=true&amp;query=idn%3D1091088985</v>
      </c>
      <c r="E277" s="66" t="s">
        <v>434</v>
      </c>
      <c r="F277" s="66"/>
      <c r="G277" s="68"/>
      <c r="H277" s="69"/>
      <c r="I277" s="68"/>
      <c r="J277" s="69"/>
      <c r="K277" s="69"/>
      <c r="L277" s="68"/>
      <c r="M277" s="68"/>
      <c r="N277" s="68"/>
      <c r="O277" s="68"/>
      <c r="P277" s="68"/>
      <c r="Q277" s="69"/>
      <c r="R277" s="68"/>
      <c r="S277" s="68"/>
      <c r="BD277" s="115">
        <f t="shared" si="8"/>
        <v>0</v>
      </c>
      <c r="CC277" s="115"/>
      <c r="CV277" s="115"/>
    </row>
    <row r="278" spans="1:102" ht="32.25" customHeight="1" x14ac:dyDescent="0.15">
      <c r="A278" s="68">
        <v>273</v>
      </c>
      <c r="B278" s="66" t="s">
        <v>605</v>
      </c>
      <c r="C278" s="66">
        <v>1091097410</v>
      </c>
      <c r="D278" s="67" t="str">
        <f t="shared" si="9"/>
        <v>https://portal.dnb.de/opac.htm?method=simpleSearch&amp;cqlMode=true&amp;query=idn%3D1091097410</v>
      </c>
      <c r="E278" s="66" t="s">
        <v>436</v>
      </c>
      <c r="F278" s="66"/>
      <c r="G278" s="68"/>
      <c r="H278" s="69"/>
      <c r="I278" s="68"/>
      <c r="J278" s="69"/>
      <c r="K278" s="69"/>
      <c r="L278" s="68"/>
      <c r="M278" s="68"/>
      <c r="N278" s="68"/>
      <c r="O278" s="68"/>
      <c r="P278" s="68"/>
      <c r="Q278" s="68"/>
      <c r="R278" s="69"/>
      <c r="S278" s="68"/>
      <c r="BD278" s="115">
        <f t="shared" si="8"/>
        <v>0</v>
      </c>
      <c r="CC278" s="115"/>
      <c r="CV278" s="115"/>
    </row>
    <row r="279" spans="1:102" x14ac:dyDescent="0.15">
      <c r="A279" s="68">
        <v>274</v>
      </c>
      <c r="B279" s="66" t="s">
        <v>606</v>
      </c>
      <c r="C279" s="66">
        <v>1106570480</v>
      </c>
      <c r="D279" s="67" t="str">
        <f t="shared" si="9"/>
        <v>https://portal.dnb.de/opac.htm?method=simpleSearch&amp;cqlMode=true&amp;query=idn%3D1106570480</v>
      </c>
      <c r="E279" s="66" t="s">
        <v>910</v>
      </c>
      <c r="F279" s="66"/>
      <c r="G279" s="68"/>
      <c r="H279" s="69"/>
      <c r="I279" s="68"/>
      <c r="J279" s="69"/>
      <c r="K279" s="69"/>
      <c r="L279" s="68"/>
      <c r="M279" s="68"/>
      <c r="N279" s="68"/>
      <c r="O279" s="68"/>
      <c r="P279" s="68"/>
      <c r="Q279" s="68"/>
      <c r="R279" s="68"/>
      <c r="S279" s="68"/>
      <c r="BD279" s="115">
        <f t="shared" si="8"/>
        <v>0</v>
      </c>
      <c r="CC279" s="115"/>
      <c r="CV279" s="115"/>
    </row>
    <row r="280" spans="1:102" x14ac:dyDescent="0.15">
      <c r="A280" s="68">
        <v>275</v>
      </c>
      <c r="B280" s="66" t="s">
        <v>607</v>
      </c>
      <c r="C280" s="66">
        <v>1108322905</v>
      </c>
      <c r="D280" s="67" t="str">
        <f t="shared" si="9"/>
        <v>https://portal.dnb.de/opac.htm?method=simpleSearch&amp;cqlMode=true&amp;query=idn%3D1108322905</v>
      </c>
      <c r="E280" s="66" t="s">
        <v>440</v>
      </c>
      <c r="F280" s="66"/>
      <c r="G280" s="68"/>
      <c r="H280" s="69"/>
      <c r="I280" s="68"/>
      <c r="J280" s="69"/>
      <c r="K280" s="69"/>
      <c r="L280" s="68"/>
      <c r="M280" s="68"/>
      <c r="N280" s="68"/>
      <c r="O280" s="68"/>
      <c r="P280" s="68"/>
      <c r="Q280" s="68"/>
      <c r="R280" s="68"/>
      <c r="S280" s="68"/>
      <c r="BD280" s="115">
        <f t="shared" si="8"/>
        <v>0</v>
      </c>
      <c r="CC280" s="115"/>
      <c r="CV280" s="115"/>
    </row>
    <row r="281" spans="1:102" x14ac:dyDescent="0.15">
      <c r="A281" s="68">
        <v>276</v>
      </c>
      <c r="B281" s="66" t="s">
        <v>608</v>
      </c>
      <c r="C281" s="66">
        <v>1066966710</v>
      </c>
      <c r="D281" s="67" t="str">
        <f t="shared" si="9"/>
        <v>https://portal.dnb.de/opac.htm?method=simpleSearch&amp;cqlMode=true&amp;query=idn%3D1066966710</v>
      </c>
      <c r="E281" s="66" t="s">
        <v>442</v>
      </c>
      <c r="F281" s="66"/>
      <c r="G281" s="68"/>
      <c r="H281" s="69"/>
      <c r="I281" s="68"/>
      <c r="J281" s="69"/>
      <c r="K281" s="69"/>
      <c r="L281" s="68"/>
      <c r="M281" s="68"/>
      <c r="N281" s="68"/>
      <c r="O281" s="68"/>
      <c r="P281" s="68"/>
      <c r="Q281" s="68"/>
      <c r="R281" s="68"/>
      <c r="S281" s="68"/>
      <c r="BD281" s="115">
        <f t="shared" si="8"/>
        <v>0</v>
      </c>
      <c r="CC281" s="115"/>
      <c r="CV281" s="115"/>
    </row>
    <row r="282" spans="1:102" x14ac:dyDescent="0.15">
      <c r="A282" s="68">
        <v>277</v>
      </c>
      <c r="B282" s="66" t="s">
        <v>609</v>
      </c>
      <c r="C282" s="66">
        <v>1110919883</v>
      </c>
      <c r="D282" s="67" t="str">
        <f t="shared" si="9"/>
        <v>https://portal.dnb.de/opac.htm?method=simpleSearch&amp;cqlMode=true&amp;query=idn%3D1110919883</v>
      </c>
      <c r="E282" s="66" t="s">
        <v>444</v>
      </c>
      <c r="F282" s="66"/>
      <c r="G282" s="68"/>
      <c r="H282" s="69"/>
      <c r="I282" s="68"/>
      <c r="J282" s="69"/>
      <c r="K282" s="69"/>
      <c r="L282" s="68"/>
      <c r="M282" s="68"/>
      <c r="N282" s="68"/>
      <c r="O282" s="68"/>
      <c r="P282" s="68"/>
      <c r="Q282" s="68"/>
      <c r="R282" s="68"/>
      <c r="S282" s="68"/>
      <c r="BD282" s="115">
        <f t="shared" si="8"/>
        <v>0</v>
      </c>
      <c r="CC282" s="115"/>
      <c r="CV282" s="115"/>
    </row>
    <row r="283" spans="1:102" x14ac:dyDescent="0.15">
      <c r="A283" s="68">
        <v>278</v>
      </c>
      <c r="B283" s="66" t="s">
        <v>610</v>
      </c>
      <c r="C283" s="66">
        <v>1113034386</v>
      </c>
      <c r="D283" s="67" t="str">
        <f t="shared" si="9"/>
        <v>https://portal.dnb.de/opac.htm?method=simpleSearch&amp;cqlMode=true&amp;query=idn%3D1113034386</v>
      </c>
      <c r="E283" s="66" t="s">
        <v>446</v>
      </c>
      <c r="F283" s="66"/>
      <c r="G283" s="68"/>
      <c r="H283" s="69"/>
      <c r="I283" s="68"/>
      <c r="J283" s="69"/>
      <c r="K283" s="69"/>
      <c r="L283" s="68"/>
      <c r="M283" s="68"/>
      <c r="N283" s="68"/>
      <c r="O283" s="68"/>
      <c r="P283" s="68"/>
      <c r="Q283" s="68"/>
      <c r="R283" s="68"/>
      <c r="S283" s="68"/>
      <c r="BD283" s="115">
        <f t="shared" si="8"/>
        <v>0</v>
      </c>
      <c r="CC283" s="115"/>
      <c r="CV283" s="115"/>
    </row>
    <row r="284" spans="1:102" x14ac:dyDescent="0.15">
      <c r="A284" s="68">
        <v>279</v>
      </c>
      <c r="B284" s="66" t="s">
        <v>611</v>
      </c>
      <c r="C284" s="66">
        <v>1079551522</v>
      </c>
      <c r="D284" s="67" t="str">
        <f t="shared" si="9"/>
        <v>https://portal.dnb.de/opac.htm?method=simpleSearch&amp;cqlMode=true&amp;query=idn%3D1079551522</v>
      </c>
      <c r="E284" s="66" t="s">
        <v>448</v>
      </c>
      <c r="F284" s="66"/>
      <c r="G284" s="68"/>
      <c r="H284" s="69"/>
      <c r="I284" s="68"/>
      <c r="J284" s="69"/>
      <c r="K284" s="69"/>
      <c r="L284" s="68"/>
      <c r="M284" s="68"/>
      <c r="N284" s="68"/>
      <c r="O284" s="68"/>
      <c r="P284" s="68"/>
      <c r="Q284" s="68"/>
      <c r="R284" s="68"/>
      <c r="S284" s="68"/>
      <c r="BD284" s="115">
        <f t="shared" si="8"/>
        <v>0</v>
      </c>
      <c r="CC284" s="115"/>
      <c r="CV284" s="115"/>
    </row>
    <row r="285" spans="1:102" x14ac:dyDescent="0.15">
      <c r="A285" s="68">
        <v>280</v>
      </c>
      <c r="B285" s="66" t="s">
        <v>612</v>
      </c>
      <c r="C285" s="66">
        <v>1079550437</v>
      </c>
      <c r="D285" s="67" t="str">
        <f t="shared" si="9"/>
        <v>https://portal.dnb.de/opac.htm?method=simpleSearch&amp;cqlMode=true&amp;query=idn%3D1079550437</v>
      </c>
      <c r="E285" s="66" t="s">
        <v>451</v>
      </c>
      <c r="F285" s="66"/>
      <c r="G285" s="68"/>
      <c r="H285" s="69"/>
      <c r="I285" s="68"/>
      <c r="J285" s="69"/>
      <c r="K285" s="69"/>
      <c r="L285" s="68"/>
      <c r="M285" s="68"/>
      <c r="N285" s="68"/>
      <c r="O285" s="68"/>
      <c r="P285" s="68"/>
      <c r="Q285" s="68"/>
      <c r="R285" s="68"/>
      <c r="S285" s="68"/>
      <c r="BD285" s="115">
        <f t="shared" si="8"/>
        <v>0</v>
      </c>
      <c r="CC285" s="115"/>
      <c r="CV285" s="115"/>
    </row>
    <row r="286" spans="1:102" ht="96" customHeight="1" x14ac:dyDescent="0.15">
      <c r="E286" s="73" t="s">
        <v>690</v>
      </c>
      <c r="F286" s="73" t="s">
        <v>921</v>
      </c>
      <c r="BD286" s="115"/>
    </row>
    <row r="287" spans="1:102" x14ac:dyDescent="0.15">
      <c r="BD287" s="115"/>
    </row>
    <row r="288" spans="1:102" s="63" customFormat="1" x14ac:dyDescent="0.15">
      <c r="A288" s="88"/>
      <c r="B288" s="89"/>
      <c r="C288" s="89"/>
      <c r="D288" s="90"/>
      <c r="E288" s="91">
        <f>COUNTIF(E$2:E$285,"&lt;&gt;")</f>
        <v>284</v>
      </c>
      <c r="F288" s="91"/>
      <c r="G288" s="88"/>
      <c r="H288" s="92"/>
      <c r="I288" s="91">
        <f>COUNTIF(I$2:I$287,"bis 25 cm")</f>
        <v>40</v>
      </c>
      <c r="J288" s="93"/>
      <c r="K288" s="94"/>
      <c r="L288" s="95"/>
      <c r="M288" s="95"/>
      <c r="N288" s="95"/>
      <c r="O288" s="95"/>
      <c r="P288" s="95"/>
      <c r="Q288" s="95"/>
      <c r="R288" s="95"/>
      <c r="S288" s="95"/>
      <c r="T288" s="91">
        <f>COUNTIF(T2:T287,"*")</f>
        <v>2</v>
      </c>
      <c r="U288" s="91">
        <f>COUNTIF(U2:U287,"&lt;&gt;")</f>
        <v>5</v>
      </c>
      <c r="V288" s="91">
        <f>COUNTIF(V2:V287,"&lt;&gt;")</f>
        <v>0</v>
      </c>
      <c r="W288" s="91">
        <f>COUNTIF(W2:W287,"&lt;&gt;")</f>
        <v>0</v>
      </c>
      <c r="X288" s="91">
        <f>COUNTIF(X2:X287,"x")</f>
        <v>6</v>
      </c>
      <c r="Y288" s="91">
        <f>COUNTIF(Y$2:Y$287,"Pa")</f>
        <v>18</v>
      </c>
      <c r="Z288" s="91"/>
      <c r="AA288" s="91">
        <f>COUNTIF(AA2:AA287,"x")</f>
        <v>0</v>
      </c>
      <c r="AB288" s="91">
        <f>COUNTIF(AB2:AB287,"x")</f>
        <v>13</v>
      </c>
      <c r="AC288" s="91">
        <f>COUNTIF(AC$2:AC$287,"f")</f>
        <v>38</v>
      </c>
      <c r="AD288" s="91">
        <f>COUNTIF(AD2:AD287,"x")</f>
        <v>0</v>
      </c>
      <c r="AE288" s="91">
        <f>COUNTIF(AE$2:AE$287,"x")</f>
        <v>1</v>
      </c>
      <c r="AF288" s="91">
        <f>COUNTIF(AF2:AF287,"x")</f>
        <v>0</v>
      </c>
      <c r="AG288" s="91">
        <f>COUNTIF(AG2:AG287,"x")</f>
        <v>0</v>
      </c>
      <c r="AH288" s="91">
        <f>COUNTIF(AH2:AH287,"x")</f>
        <v>1</v>
      </c>
      <c r="AI288" s="91">
        <f>COUNTIF(AI$2:AI$287,"Pa")</f>
        <v>101</v>
      </c>
      <c r="AJ288" s="91">
        <f>COUNTIF(AJ2:AJ287,"x")</f>
        <v>0</v>
      </c>
      <c r="AK288" s="91">
        <f>COUNTIF(AK2:AK287,"x")</f>
        <v>3</v>
      </c>
      <c r="AL288" s="91">
        <f>COUNTIF(AL2:AL287,"x")</f>
        <v>0</v>
      </c>
      <c r="AM288" s="91">
        <f>COUNTIF(AM$2:AM$287,"x")</f>
        <v>1</v>
      </c>
      <c r="AN288" s="91">
        <f>COUNTIF(AN$2:AN$287,"x")</f>
        <v>6</v>
      </c>
      <c r="AO288" s="91">
        <f>COUNTIF(AO2:AO287,"x")</f>
        <v>0</v>
      </c>
      <c r="AP288" s="91">
        <f>COUNTIF(AP2:AP287,"x")</f>
        <v>0</v>
      </c>
      <c r="AQ288" s="91">
        <f>COUNTIF(AQ2:AQ287,"&lt;&gt;")</f>
        <v>0</v>
      </c>
      <c r="AR288" s="91">
        <f>COUNTIF(AR2:AR287,"x")</f>
        <v>0</v>
      </c>
      <c r="AS288" s="91">
        <f>COUNTIF(AS$2:AS$287,"K")</f>
        <v>2</v>
      </c>
      <c r="AT288" s="91">
        <f>COUNTIF(AT$2:AT$287,"x")</f>
        <v>38</v>
      </c>
      <c r="AU288" s="91">
        <f>COUNTIF(AU$2:AU$287,"0")</f>
        <v>4</v>
      </c>
      <c r="AV288" s="91">
        <f>COUNTIF(AV2:AV287,"x")</f>
        <v>4</v>
      </c>
      <c r="AW288" s="91">
        <f>COUNTIF(AW$2:AW$287,"0")</f>
        <v>0</v>
      </c>
      <c r="AX288" s="91"/>
      <c r="AY288" s="91">
        <f>COUNTIF(AY2:AY287,"&lt;&gt;")</f>
        <v>0</v>
      </c>
      <c r="AZ288" s="91"/>
      <c r="BA288" s="91">
        <f>COUNTIF(BA2:BA287,"x")</f>
        <v>3</v>
      </c>
      <c r="BB288" s="91">
        <f>COUNTIF(BB2:BB287,"x")</f>
        <v>0</v>
      </c>
      <c r="BC288" s="91">
        <f>COUNTIF(BC$2:BC$287,"n")</f>
        <v>83</v>
      </c>
      <c r="BD288" s="116"/>
      <c r="BE288" s="91">
        <f>COUNTIF(BE2:BE287,"x")</f>
        <v>0</v>
      </c>
      <c r="BF288" s="91">
        <f>COUNTIF(BF$2:BF$287,"Gewebe")</f>
        <v>22</v>
      </c>
      <c r="BG288" s="91">
        <f>COUNTIF(BG$2:BG$287,"x")</f>
        <v>1</v>
      </c>
      <c r="BH288" s="91">
        <f>COUNTIF(BH2:BH287,"x")</f>
        <v>0</v>
      </c>
      <c r="BI288" s="91">
        <f>COUNTIF(BI$2:BI$287,"x")</f>
        <v>6</v>
      </c>
      <c r="BJ288" s="91">
        <f>COUNTIF(BJ$2:BJ$287,"x")</f>
        <v>0</v>
      </c>
      <c r="BK288" s="91">
        <f>COUNTIF(BK2:BK287,"x")</f>
        <v>3</v>
      </c>
      <c r="BL288" s="91">
        <f>COUNTIF(BL2:BL287,"&lt;&gt;")</f>
        <v>19</v>
      </c>
      <c r="BM288" s="91">
        <f>COUNTIF(BM2:BM287,"x 45")</f>
        <v>2</v>
      </c>
      <c r="BN288" s="91"/>
      <c r="BQ288" s="83"/>
      <c r="BR288" s="83"/>
      <c r="BS288" s="83"/>
      <c r="BT288" s="83"/>
      <c r="BU288" s="83"/>
      <c r="BV288" s="83"/>
      <c r="BW288" s="83"/>
      <c r="BX288" s="83"/>
      <c r="BY288" s="83"/>
      <c r="BZ288" s="83"/>
      <c r="CA288" s="83"/>
      <c r="CB288" s="83"/>
      <c r="CC288" s="86"/>
      <c r="CD288" s="87"/>
      <c r="CE288" s="91">
        <f>COUNTIF(CE2:CE287,"x")</f>
        <v>3</v>
      </c>
      <c r="CF288" s="91">
        <f>COUNTIF(CF2:CF287,"x")</f>
        <v>1</v>
      </c>
      <c r="CG288" s="83"/>
      <c r="CH288" s="83"/>
      <c r="CI288" s="83"/>
      <c r="CJ288" s="83"/>
      <c r="CK288" s="83"/>
      <c r="CL288" s="83"/>
      <c r="CM288" s="83"/>
      <c r="CN288" s="83"/>
      <c r="CO288" s="83"/>
      <c r="CP288" s="83"/>
      <c r="CQ288" s="83"/>
      <c r="CR288" s="83"/>
      <c r="CS288" s="83"/>
      <c r="CT288" s="83"/>
      <c r="CU288" s="83"/>
      <c r="CV288" s="86"/>
      <c r="CW288" s="87"/>
      <c r="CX288"/>
    </row>
    <row r="289" spans="1:102" s="63" customFormat="1" x14ac:dyDescent="0.15">
      <c r="A289" s="88"/>
      <c r="B289" s="89"/>
      <c r="C289" s="89"/>
      <c r="D289" s="90"/>
      <c r="E289" s="89"/>
      <c r="F289" s="89"/>
      <c r="G289" s="88"/>
      <c r="H289" s="92"/>
      <c r="I289" s="91">
        <f>COUNTIF(I$2:I$287,"bis 35 cm")</f>
        <v>40</v>
      </c>
      <c r="J289" s="93"/>
      <c r="K289" s="94"/>
      <c r="L289" s="95"/>
      <c r="M289" s="95"/>
      <c r="N289" s="95"/>
      <c r="O289" s="95"/>
      <c r="P289" s="95"/>
      <c r="Q289" s="95"/>
      <c r="R289" s="95"/>
      <c r="S289" s="95"/>
      <c r="T289" s="91"/>
      <c r="U289" s="91"/>
      <c r="V289" s="96"/>
      <c r="W289" s="96"/>
      <c r="X289" s="96"/>
      <c r="Y289" s="91">
        <f>COUNTIF(Y$2:Y$287,"Br")</f>
        <v>0</v>
      </c>
      <c r="Z289" s="91"/>
      <c r="AA289" s="97"/>
      <c r="AB289" s="97"/>
      <c r="AC289" s="91">
        <f>COUNTIF(AC$2:AC$287,"f/E")</f>
        <v>0</v>
      </c>
      <c r="AD289" s="98"/>
      <c r="AE289" s="91">
        <f>COUNTIF(AE$2:AE$287,"xx")</f>
        <v>0</v>
      </c>
      <c r="AF289" s="98"/>
      <c r="AG289" s="98"/>
      <c r="AH289" s="98"/>
      <c r="AI289" s="99">
        <f>COUNTIF(AI$2:AI$287,"Pg")</f>
        <v>0</v>
      </c>
      <c r="AJ289" s="96"/>
      <c r="AK289" s="96"/>
      <c r="AL289" s="96"/>
      <c r="AM289" s="91">
        <f>COUNTIF(AM$2:AM$287,"xx")</f>
        <v>0</v>
      </c>
      <c r="AN289" s="91">
        <f>COUNTIF(AN$2:AN$287,"xx")</f>
        <v>0</v>
      </c>
      <c r="AO289" s="96"/>
      <c r="AP289" s="96"/>
      <c r="AQ289" s="96"/>
      <c r="AR289" s="96"/>
      <c r="AS289" s="91">
        <f>COUNTIF(AS$2:AS$287,"B")</f>
        <v>0</v>
      </c>
      <c r="AT289" s="91">
        <f>COUNTIF(AT$2:AT$287,"xx")</f>
        <v>5</v>
      </c>
      <c r="AU289" s="91">
        <f>COUNTIF(AU$2:AU$287,"2")</f>
        <v>1</v>
      </c>
      <c r="AV289" s="91"/>
      <c r="AW289" s="91">
        <f>COUNTIF(AW$2:AW$287,"45")</f>
        <v>10</v>
      </c>
      <c r="AX289" s="91"/>
      <c r="AY289" s="98"/>
      <c r="AZ289" s="98"/>
      <c r="BA289" s="96"/>
      <c r="BB289" s="96"/>
      <c r="BC289" s="91">
        <f>COUNTIF(BC$2:BC$287,"ja vor")</f>
        <v>16</v>
      </c>
      <c r="BD289" s="117"/>
      <c r="BE289" s="97"/>
      <c r="BF289" s="91">
        <f>COUNTIF(BF$2:BF$287,"Wellpappe")</f>
        <v>1</v>
      </c>
      <c r="BG289" s="91">
        <f>COUNTIF(BG$2:BG$287,"historisch")</f>
        <v>0</v>
      </c>
      <c r="BH289" s="96"/>
      <c r="BI289" s="91">
        <f>COUNTIF(BI$2:BI$287,"x sauer")</f>
        <v>0</v>
      </c>
      <c r="BJ289" s="91">
        <f>COUNTIF(BJ$2:BJ$287,"x sauer")</f>
        <v>1</v>
      </c>
      <c r="BK289" s="96"/>
      <c r="BL289" s="100"/>
      <c r="BM289" s="91">
        <f>COUNTIF(BM2:BM287,"x 110")</f>
        <v>2</v>
      </c>
      <c r="BN289" s="91"/>
      <c r="BQ289" s="83"/>
      <c r="BR289" s="83"/>
      <c r="BS289" s="83"/>
      <c r="BT289" s="83"/>
      <c r="BU289" s="83"/>
      <c r="BV289" s="83"/>
      <c r="BW289" s="83"/>
      <c r="BX289" s="83"/>
      <c r="BY289" s="83"/>
      <c r="BZ289" s="83"/>
      <c r="CA289" s="83"/>
      <c r="CB289" s="83"/>
      <c r="CC289" s="86"/>
      <c r="CD289" s="87"/>
      <c r="CE289" s="96"/>
      <c r="CF289" s="96"/>
      <c r="CG289" s="83"/>
      <c r="CH289" s="83"/>
      <c r="CI289" s="83"/>
      <c r="CJ289" s="83"/>
      <c r="CK289" s="83"/>
      <c r="CL289" s="83"/>
      <c r="CM289" s="83"/>
      <c r="CN289" s="83"/>
      <c r="CO289" s="83"/>
      <c r="CP289" s="83"/>
      <c r="CQ289" s="83"/>
      <c r="CR289" s="83"/>
      <c r="CS289" s="83"/>
      <c r="CT289" s="83"/>
      <c r="CU289" s="83"/>
      <c r="CV289" s="86"/>
      <c r="CW289" s="87"/>
      <c r="CX289"/>
    </row>
    <row r="290" spans="1:102" s="63" customFormat="1" x14ac:dyDescent="0.15">
      <c r="A290" s="88"/>
      <c r="B290" s="89"/>
      <c r="C290" s="89"/>
      <c r="D290" s="90"/>
      <c r="E290" s="89"/>
      <c r="F290" s="89"/>
      <c r="G290" s="88"/>
      <c r="H290" s="92"/>
      <c r="I290" s="91">
        <f>COUNTIF(I$2:I$287,"bis 42 cm")</f>
        <v>12</v>
      </c>
      <c r="J290" s="93"/>
      <c r="K290" s="94"/>
      <c r="L290" s="95"/>
      <c r="M290" s="95"/>
      <c r="N290" s="95"/>
      <c r="O290" s="95"/>
      <c r="P290" s="95"/>
      <c r="Q290" s="95"/>
      <c r="R290" s="95"/>
      <c r="S290" s="95"/>
      <c r="T290" s="91"/>
      <c r="U290" s="91"/>
      <c r="V290" s="96"/>
      <c r="W290" s="96"/>
      <c r="X290" s="96"/>
      <c r="Y290" s="91">
        <f>COUNTIF(Y$2:Y$287,"G")</f>
        <v>0</v>
      </c>
      <c r="Z290" s="91"/>
      <c r="AA290" s="97"/>
      <c r="AB290" s="97"/>
      <c r="AC290" s="91">
        <f>COUNTIF(AC$2:AC$287,"f/V")</f>
        <v>7</v>
      </c>
      <c r="AD290" s="98"/>
      <c r="AE290" s="98"/>
      <c r="AF290" s="98"/>
      <c r="AG290" s="98"/>
      <c r="AH290" s="98"/>
      <c r="AI290" s="96"/>
      <c r="AJ290" s="96"/>
      <c r="AK290" s="96"/>
      <c r="AL290" s="96"/>
      <c r="AM290" s="96"/>
      <c r="AN290" s="96"/>
      <c r="AO290" s="96"/>
      <c r="AP290" s="96"/>
      <c r="AQ290" s="96"/>
      <c r="AR290" s="96"/>
      <c r="AS290" s="91">
        <f>COUNTIF(AS$2:AS$287,"I")</f>
        <v>4</v>
      </c>
      <c r="AT290" s="96"/>
      <c r="AU290" s="91">
        <f>COUNTIF(AU$2:AU$287,"3")</f>
        <v>0</v>
      </c>
      <c r="AV290" s="91"/>
      <c r="AW290" s="91">
        <f>COUNTIF(AW$2:AW$287,"max 45")</f>
        <v>0</v>
      </c>
      <c r="AX290" s="91"/>
      <c r="AY290" s="98"/>
      <c r="AZ290" s="98"/>
      <c r="BA290" s="96"/>
      <c r="BB290" s="96"/>
      <c r="BC290" s="91">
        <f>COUNTIF(BC$2:BC$287,"ja nach")</f>
        <v>0</v>
      </c>
      <c r="BD290" s="117"/>
      <c r="BE290" s="97"/>
      <c r="BF290" s="96"/>
      <c r="BG290" s="96"/>
      <c r="BH290" s="96"/>
      <c r="BI290" s="96"/>
      <c r="BJ290" s="96"/>
      <c r="BK290" s="96"/>
      <c r="BL290" s="100"/>
      <c r="BM290" s="91">
        <f>COUNTIF(BM2:BM287,"x nur Einband")</f>
        <v>1</v>
      </c>
      <c r="BN290" s="91"/>
      <c r="BQ290" s="83"/>
      <c r="BR290" s="83"/>
      <c r="BS290" s="83"/>
      <c r="BT290" s="83"/>
      <c r="BU290" s="83"/>
      <c r="BV290" s="83"/>
      <c r="BW290" s="83"/>
      <c r="BX290" s="83"/>
      <c r="BY290" s="83"/>
      <c r="BZ290" s="83"/>
      <c r="CA290" s="83"/>
      <c r="CB290" s="83"/>
      <c r="CC290" s="86"/>
      <c r="CD290" s="87"/>
      <c r="CE290" s="96"/>
      <c r="CF290" s="96"/>
      <c r="CG290" s="83"/>
      <c r="CH290" s="83"/>
      <c r="CI290" s="83"/>
      <c r="CJ290" s="83"/>
      <c r="CK290" s="83"/>
      <c r="CL290" s="83"/>
      <c r="CM290" s="83"/>
      <c r="CN290" s="83"/>
      <c r="CO290" s="83"/>
      <c r="CP290" s="83"/>
      <c r="CQ290" s="83"/>
      <c r="CR290" s="83"/>
      <c r="CS290" s="83"/>
      <c r="CT290" s="83"/>
      <c r="CU290" s="83"/>
      <c r="CV290" s="86"/>
      <c r="CW290" s="87"/>
      <c r="CX290"/>
    </row>
    <row r="291" spans="1:102" s="63" customFormat="1" x14ac:dyDescent="0.15">
      <c r="A291" s="88"/>
      <c r="B291" s="89"/>
      <c r="C291" s="89"/>
      <c r="D291" s="90"/>
      <c r="E291" s="89"/>
      <c r="F291" s="89"/>
      <c r="G291" s="88"/>
      <c r="H291" s="92"/>
      <c r="I291" s="91">
        <f>COUNTIF(I$2:I$287,"? 42 cm")</f>
        <v>7</v>
      </c>
      <c r="J291" s="93"/>
      <c r="K291" s="94"/>
      <c r="L291" s="95"/>
      <c r="M291" s="95"/>
      <c r="N291" s="95"/>
      <c r="O291" s="95"/>
      <c r="P291" s="95"/>
      <c r="Q291" s="95"/>
      <c r="R291" s="95"/>
      <c r="S291" s="95"/>
      <c r="T291" s="91"/>
      <c r="U291" s="91"/>
      <c r="V291" s="96"/>
      <c r="W291" s="96"/>
      <c r="X291" s="96"/>
      <c r="Y291" s="91">
        <f>COUNTIF(Y$2:Y$287,"HG")</f>
        <v>3</v>
      </c>
      <c r="Z291" s="91"/>
      <c r="AA291" s="97"/>
      <c r="AB291" s="97"/>
      <c r="AC291" s="91">
        <f>COUNTIF(AC$2:AC$287,"h")</f>
        <v>32</v>
      </c>
      <c r="AD291" s="98"/>
      <c r="AE291" s="98"/>
      <c r="AF291" s="98"/>
      <c r="AG291" s="98"/>
      <c r="AH291" s="98"/>
      <c r="AI291" s="96"/>
      <c r="AJ291" s="96"/>
      <c r="AK291" s="96"/>
      <c r="AL291" s="96"/>
      <c r="AM291" s="96"/>
      <c r="AN291" s="96"/>
      <c r="AO291" s="96"/>
      <c r="AP291" s="96"/>
      <c r="AQ291" s="96"/>
      <c r="AR291" s="96"/>
      <c r="AS291" s="91">
        <f>COUNTIF(AS$2:AS$287,"R")</f>
        <v>1</v>
      </c>
      <c r="AT291" s="96"/>
      <c r="AU291" s="91">
        <f>COUNTIF(AU$2:AU$287,"4")</f>
        <v>1</v>
      </c>
      <c r="AV291" s="91"/>
      <c r="AW291" s="91">
        <f>COUNTIF(AW$2:AW$287,"60")</f>
        <v>7</v>
      </c>
      <c r="AX291" s="91"/>
      <c r="AY291" s="98"/>
      <c r="AZ291" s="98"/>
      <c r="BA291" s="96"/>
      <c r="BB291" s="96"/>
      <c r="BC291" s="91">
        <f>COUNTIF(BC$2:BC$287,"ja vor und nach")</f>
        <v>0</v>
      </c>
      <c r="BD291" s="117"/>
      <c r="BE291" s="97"/>
      <c r="BF291" s="96"/>
      <c r="BG291" s="96"/>
      <c r="BH291" s="96"/>
      <c r="BI291" s="96"/>
      <c r="BJ291" s="96"/>
      <c r="BK291" s="96"/>
      <c r="BL291" s="100"/>
      <c r="BQ291" s="83"/>
      <c r="BR291" s="83"/>
      <c r="BS291" s="83"/>
      <c r="BT291" s="83"/>
      <c r="BU291" s="83"/>
      <c r="BV291" s="83"/>
      <c r="BW291" s="83"/>
      <c r="BX291" s="83"/>
      <c r="BY291" s="83"/>
      <c r="BZ291" s="83"/>
      <c r="CA291" s="83"/>
      <c r="CB291" s="83"/>
      <c r="CC291" s="86"/>
      <c r="CD291" s="87"/>
      <c r="CE291" s="96"/>
      <c r="CF291" s="96"/>
      <c r="CG291" s="83"/>
      <c r="CH291" s="83"/>
      <c r="CI291" s="83"/>
      <c r="CJ291" s="83"/>
      <c r="CK291" s="83"/>
      <c r="CL291" s="83"/>
      <c r="CM291" s="83"/>
      <c r="CN291" s="83"/>
      <c r="CO291" s="83"/>
      <c r="CP291" s="83"/>
      <c r="CQ291" s="83"/>
      <c r="CR291" s="83"/>
      <c r="CS291" s="83"/>
      <c r="CT291" s="83"/>
      <c r="CU291" s="83"/>
      <c r="CV291" s="86"/>
      <c r="CW291" s="87"/>
      <c r="CX291"/>
    </row>
    <row r="292" spans="1:102" s="63" customFormat="1" x14ac:dyDescent="0.15">
      <c r="A292" s="88"/>
      <c r="B292" s="89"/>
      <c r="C292" s="89"/>
      <c r="D292" s="90"/>
      <c r="E292" s="89"/>
      <c r="F292" s="89"/>
      <c r="G292" s="88"/>
      <c r="H292" s="92"/>
      <c r="I292" s="88"/>
      <c r="J292" s="93"/>
      <c r="K292" s="94"/>
      <c r="L292" s="95"/>
      <c r="M292" s="95"/>
      <c r="N292" s="95"/>
      <c r="O292" s="95"/>
      <c r="P292" s="95"/>
      <c r="Q292" s="95"/>
      <c r="R292" s="95"/>
      <c r="S292" s="95"/>
      <c r="T292" s="91"/>
      <c r="U292" s="91"/>
      <c r="V292" s="96"/>
      <c r="W292" s="96"/>
      <c r="X292" s="96"/>
      <c r="Y292" s="91">
        <f>COUNTIF(Y$2:Y$287,"HD")</f>
        <v>33</v>
      </c>
      <c r="Z292" s="91"/>
      <c r="AA292" s="97"/>
      <c r="AB292" s="97"/>
      <c r="AC292" s="91">
        <f>COUNTIF(AC$2:AC$287,"h/E")</f>
        <v>15</v>
      </c>
      <c r="AD292" s="98"/>
      <c r="AE292" s="98"/>
      <c r="AF292" s="98"/>
      <c r="AG292" s="98"/>
      <c r="AH292" s="98"/>
      <c r="AI292" s="96"/>
      <c r="AJ292" s="96"/>
      <c r="AK292" s="96"/>
      <c r="AL292" s="96"/>
      <c r="AM292" s="96"/>
      <c r="AN292" s="96"/>
      <c r="AO292" s="96"/>
      <c r="AP292" s="96"/>
      <c r="AQ292" s="96"/>
      <c r="AR292" s="96"/>
      <c r="AS292" s="91">
        <f>COUNTIF(AS$2:AS$287,"K/I")</f>
        <v>0</v>
      </c>
      <c r="AT292" s="96"/>
      <c r="AU292" s="91">
        <f>COUNTIF(AU$2:AU$287,"0-2")</f>
        <v>0</v>
      </c>
      <c r="AV292" s="91"/>
      <c r="AW292" s="91">
        <f>COUNTIF(AW$2:AW$287,"max 60")</f>
        <v>2</v>
      </c>
      <c r="AX292" s="91"/>
      <c r="AY292" s="98"/>
      <c r="AZ292" s="98"/>
      <c r="BA292" s="96"/>
      <c r="BB292" s="96"/>
      <c r="BC292" s="91">
        <f>COUNTIF(BC$2:BC$287,"ja ÖW=0")</f>
        <v>0</v>
      </c>
      <c r="BD292" s="117"/>
      <c r="BE292" s="97"/>
      <c r="BF292" s="96"/>
      <c r="BG292" s="96"/>
      <c r="BH292" s="96"/>
      <c r="BI292" s="96"/>
      <c r="BJ292" s="96"/>
      <c r="BK292" s="96"/>
      <c r="BL292" s="100"/>
      <c r="BQ292" s="83"/>
      <c r="BR292" s="83"/>
      <c r="BS292" s="83"/>
      <c r="BT292" s="83"/>
      <c r="BU292" s="83"/>
      <c r="BV292" s="83"/>
      <c r="BW292" s="83"/>
      <c r="BX292" s="83"/>
      <c r="BY292" s="83"/>
      <c r="BZ292" s="83"/>
      <c r="CA292" s="83"/>
      <c r="CB292" s="83"/>
      <c r="CC292" s="86"/>
      <c r="CD292" s="87"/>
      <c r="CE292" s="96"/>
      <c r="CF292" s="96"/>
      <c r="CG292" s="83"/>
      <c r="CH292" s="83"/>
      <c r="CI292" s="83"/>
      <c r="CJ292" s="83"/>
      <c r="CK292" s="83"/>
      <c r="CL292" s="83"/>
      <c r="CM292" s="83"/>
      <c r="CN292" s="83"/>
      <c r="CO292" s="83"/>
      <c r="CP292" s="83"/>
      <c r="CQ292" s="83"/>
      <c r="CR292" s="83"/>
      <c r="CS292" s="83"/>
      <c r="CT292" s="83"/>
      <c r="CU292" s="83"/>
      <c r="CV292" s="86"/>
      <c r="CW292" s="87"/>
      <c r="CX292"/>
    </row>
    <row r="293" spans="1:102" s="63" customFormat="1" x14ac:dyDescent="0.15">
      <c r="A293" s="88"/>
      <c r="B293" s="89"/>
      <c r="C293" s="89"/>
      <c r="D293" s="90"/>
      <c r="E293" s="89"/>
      <c r="F293" s="89"/>
      <c r="G293" s="88"/>
      <c r="H293" s="92"/>
      <c r="I293" s="88"/>
      <c r="J293" s="93"/>
      <c r="K293" s="94"/>
      <c r="L293" s="95"/>
      <c r="M293" s="95"/>
      <c r="N293" s="95"/>
      <c r="O293" s="95"/>
      <c r="P293" s="95"/>
      <c r="Q293" s="95"/>
      <c r="R293" s="95"/>
      <c r="S293" s="95"/>
      <c r="T293" s="91"/>
      <c r="U293" s="91"/>
      <c r="V293" s="96"/>
      <c r="W293" s="96"/>
      <c r="X293" s="96"/>
      <c r="Y293" s="91">
        <f>COUNTIF(Y$2:Y$287,"L")</f>
        <v>9</v>
      </c>
      <c r="Z293" s="91"/>
      <c r="AA293" s="97"/>
      <c r="AB293" s="97"/>
      <c r="AC293" s="98"/>
      <c r="AD293" s="98"/>
      <c r="AE293" s="98"/>
      <c r="AF293" s="98"/>
      <c r="AG293" s="98"/>
      <c r="AH293" s="98"/>
      <c r="AI293" s="96"/>
      <c r="AJ293" s="96"/>
      <c r="AK293" s="96"/>
      <c r="AL293" s="96"/>
      <c r="AM293" s="96"/>
      <c r="AN293" s="96"/>
      <c r="AO293" s="96"/>
      <c r="AP293" s="96"/>
      <c r="AQ293" s="96"/>
      <c r="AR293" s="96"/>
      <c r="AS293" s="91">
        <f>COUNTIF(AS$2:AS$287,"B/I/R")</f>
        <v>0</v>
      </c>
      <c r="AT293" s="96"/>
      <c r="AU293" s="98"/>
      <c r="AV293" s="98"/>
      <c r="AW293" s="91">
        <f>COUNTIF(AW$2:AW$287,"80")</f>
        <v>2</v>
      </c>
      <c r="AX293" s="91"/>
      <c r="AY293" s="98"/>
      <c r="AZ293" s="98"/>
      <c r="BA293" s="96"/>
      <c r="BB293" s="96"/>
      <c r="BD293" s="117"/>
      <c r="BE293" s="97"/>
      <c r="BF293" s="96"/>
      <c r="BG293" s="96"/>
      <c r="BH293" s="96"/>
      <c r="BI293" s="96"/>
      <c r="BJ293" s="96"/>
      <c r="BK293" s="96"/>
      <c r="BL293" s="100"/>
      <c r="BQ293" s="83"/>
      <c r="BR293" s="83"/>
      <c r="BS293" s="83"/>
      <c r="BT293" s="83"/>
      <c r="BU293" s="83"/>
      <c r="BV293" s="83"/>
      <c r="BW293" s="83"/>
      <c r="BX293" s="83"/>
      <c r="BY293" s="83"/>
      <c r="BZ293" s="83"/>
      <c r="CA293" s="83"/>
      <c r="CB293" s="83"/>
      <c r="CC293" s="86"/>
      <c r="CD293" s="87"/>
      <c r="CE293" s="96"/>
      <c r="CF293" s="96"/>
      <c r="CG293" s="83"/>
      <c r="CH293" s="83"/>
      <c r="CI293" s="83"/>
      <c r="CJ293" s="83"/>
      <c r="CK293" s="83"/>
      <c r="CL293" s="83"/>
      <c r="CM293" s="83"/>
      <c r="CN293" s="83"/>
      <c r="CO293" s="83"/>
      <c r="CP293" s="83"/>
      <c r="CQ293" s="83"/>
      <c r="CR293" s="83"/>
      <c r="CS293" s="83"/>
      <c r="CT293" s="83"/>
      <c r="CU293" s="83"/>
      <c r="CV293" s="86"/>
      <c r="CW293" s="87"/>
      <c r="CX293"/>
    </row>
    <row r="294" spans="1:102" s="63" customFormat="1" x14ac:dyDescent="0.15">
      <c r="A294" s="88"/>
      <c r="B294" s="89"/>
      <c r="C294" s="89"/>
      <c r="D294" s="90"/>
      <c r="E294" s="89"/>
      <c r="F294" s="89"/>
      <c r="G294" s="88"/>
      <c r="H294" s="92"/>
      <c r="I294" s="88"/>
      <c r="J294" s="93"/>
      <c r="K294" s="94"/>
      <c r="L294" s="95"/>
      <c r="M294" s="95"/>
      <c r="N294" s="95"/>
      <c r="O294" s="95"/>
      <c r="P294" s="95"/>
      <c r="Q294" s="95"/>
      <c r="R294" s="95"/>
      <c r="S294" s="95"/>
      <c r="T294" s="91"/>
      <c r="U294" s="91"/>
      <c r="V294" s="96"/>
      <c r="W294" s="96"/>
      <c r="X294" s="96"/>
      <c r="Y294" s="91">
        <f>COUNTIF(Y$2:Y$287,"HL")</f>
        <v>4</v>
      </c>
      <c r="Z294" s="91"/>
      <c r="AA294" s="97"/>
      <c r="AB294" s="97"/>
      <c r="AC294" s="98"/>
      <c r="AD294" s="98"/>
      <c r="AE294" s="98"/>
      <c r="AF294" s="98"/>
      <c r="AG294" s="98"/>
      <c r="AH294" s="98"/>
      <c r="AI294" s="96"/>
      <c r="AJ294" s="96"/>
      <c r="AK294" s="96"/>
      <c r="AL294" s="96"/>
      <c r="AM294" s="96"/>
      <c r="AN294" s="96"/>
      <c r="AO294" s="96"/>
      <c r="AP294" s="96"/>
      <c r="AQ294" s="96"/>
      <c r="AR294" s="96"/>
      <c r="AS294" s="91">
        <f>COUNTIF(AS$2:AS$287,"I/R")</f>
        <v>32</v>
      </c>
      <c r="AT294" s="96"/>
      <c r="AU294" s="98"/>
      <c r="AV294" s="98"/>
      <c r="AW294" s="91">
        <f>COUNTIF(AW$2:AW$287,"max 80")</f>
        <v>4</v>
      </c>
      <c r="AX294" s="91"/>
      <c r="AY294" s="98"/>
      <c r="AZ294" s="98"/>
      <c r="BA294" s="96"/>
      <c r="BB294" s="96"/>
      <c r="BC294" s="98"/>
      <c r="BD294" s="117"/>
      <c r="BE294" s="97"/>
      <c r="BF294" s="96"/>
      <c r="BG294" s="96"/>
      <c r="BH294" s="96"/>
      <c r="BI294" s="96"/>
      <c r="BJ294" s="96"/>
      <c r="BK294" s="96"/>
      <c r="BL294" s="100"/>
      <c r="BQ294" s="83"/>
      <c r="BR294" s="83"/>
      <c r="BS294" s="83"/>
      <c r="BT294" s="83"/>
      <c r="BU294" s="83"/>
      <c r="BV294" s="83"/>
      <c r="BW294" s="83"/>
      <c r="BX294" s="83"/>
      <c r="BY294" s="83"/>
      <c r="BZ294" s="83"/>
      <c r="CA294" s="83"/>
      <c r="CB294" s="83"/>
      <c r="CC294" s="86"/>
      <c r="CD294" s="87"/>
      <c r="CE294" s="96"/>
      <c r="CF294" s="96"/>
      <c r="CG294" s="83"/>
      <c r="CH294" s="83"/>
      <c r="CI294" s="83"/>
      <c r="CJ294" s="83"/>
      <c r="CK294" s="83"/>
      <c r="CL294" s="83"/>
      <c r="CM294" s="83"/>
      <c r="CN294" s="83"/>
      <c r="CO294" s="83"/>
      <c r="CP294" s="83"/>
      <c r="CQ294" s="83"/>
      <c r="CR294" s="83"/>
      <c r="CS294" s="83"/>
      <c r="CT294" s="83"/>
      <c r="CU294" s="83"/>
      <c r="CV294" s="86"/>
      <c r="CW294" s="87"/>
      <c r="CX294"/>
    </row>
    <row r="295" spans="1:102" s="63" customFormat="1" x14ac:dyDescent="0.15">
      <c r="A295" s="88"/>
      <c r="B295" s="89"/>
      <c r="C295" s="89"/>
      <c r="D295" s="90"/>
      <c r="E295" s="89"/>
      <c r="F295" s="89"/>
      <c r="G295" s="88"/>
      <c r="H295" s="92"/>
      <c r="I295" s="88"/>
      <c r="J295" s="93"/>
      <c r="K295" s="94"/>
      <c r="L295" s="95"/>
      <c r="M295" s="95"/>
      <c r="N295" s="95"/>
      <c r="O295" s="95"/>
      <c r="P295" s="95"/>
      <c r="Q295" s="95"/>
      <c r="R295" s="95"/>
      <c r="S295" s="95"/>
      <c r="T295" s="91"/>
      <c r="U295" s="91"/>
      <c r="V295" s="96"/>
      <c r="W295" s="96"/>
      <c r="X295" s="96"/>
      <c r="Y295" s="101">
        <f>COUNTIF(Y$2:Y$287,"Pg")</f>
        <v>7</v>
      </c>
      <c r="Z295" s="101"/>
      <c r="AA295" s="97"/>
      <c r="AB295" s="97"/>
      <c r="AC295" s="98"/>
      <c r="AD295" s="98"/>
      <c r="AE295" s="98"/>
      <c r="AF295" s="98"/>
      <c r="AG295" s="98"/>
      <c r="AH295" s="98"/>
      <c r="AI295" s="96"/>
      <c r="AJ295" s="96"/>
      <c r="AK295" s="96"/>
      <c r="AL295" s="96"/>
      <c r="AM295" s="96"/>
      <c r="AN295" s="96"/>
      <c r="AO295" s="96"/>
      <c r="AP295" s="96"/>
      <c r="AQ295" s="96"/>
      <c r="AR295" s="96"/>
      <c r="AS295" s="96"/>
      <c r="AT295" s="96"/>
      <c r="AU295" s="98"/>
      <c r="AV295" s="98"/>
      <c r="AW295" s="91">
        <f>COUNTIF(AW$2:AW$287,"110")</f>
        <v>51</v>
      </c>
      <c r="AX295" s="91"/>
      <c r="AY295" s="98"/>
      <c r="AZ295" s="98"/>
      <c r="BA295" s="96"/>
      <c r="BB295" s="96"/>
      <c r="BC295" s="98"/>
      <c r="BD295" s="117"/>
      <c r="BE295" s="97"/>
      <c r="BF295" s="96"/>
      <c r="BG295" s="96"/>
      <c r="BH295" s="96"/>
      <c r="BI295" s="96"/>
      <c r="BJ295" s="96"/>
      <c r="BK295" s="96"/>
      <c r="BL295" s="100"/>
      <c r="BQ295" s="83"/>
      <c r="BR295" s="83"/>
      <c r="BS295" s="83"/>
      <c r="BT295" s="83"/>
      <c r="BU295" s="83"/>
      <c r="BV295" s="83"/>
      <c r="BW295" s="83"/>
      <c r="BX295" s="83"/>
      <c r="BY295" s="83"/>
      <c r="BZ295" s="83"/>
      <c r="CA295" s="83"/>
      <c r="CB295" s="83"/>
      <c r="CC295" s="86"/>
      <c r="CD295" s="87"/>
      <c r="CE295" s="96"/>
      <c r="CF295" s="96"/>
      <c r="CG295" s="83"/>
      <c r="CH295" s="83"/>
      <c r="CI295" s="83"/>
      <c r="CJ295" s="83"/>
      <c r="CK295" s="83"/>
      <c r="CL295" s="83"/>
      <c r="CM295" s="83"/>
      <c r="CN295" s="83"/>
      <c r="CO295" s="83"/>
      <c r="CP295" s="83"/>
      <c r="CQ295" s="83"/>
      <c r="CR295" s="83"/>
      <c r="CS295" s="83"/>
      <c r="CT295" s="83"/>
      <c r="CU295" s="83"/>
      <c r="CV295" s="86"/>
      <c r="CW295" s="87"/>
      <c r="CX295"/>
    </row>
    <row r="296" spans="1:102" s="63" customFormat="1" x14ac:dyDescent="0.15">
      <c r="A296" s="88"/>
      <c r="B296" s="89"/>
      <c r="C296" s="89"/>
      <c r="D296" s="90"/>
      <c r="E296" s="89"/>
      <c r="F296" s="89"/>
      <c r="G296" s="88"/>
      <c r="H296" s="92"/>
      <c r="I296" s="88"/>
      <c r="J296" s="93"/>
      <c r="K296" s="94"/>
      <c r="L296" s="95"/>
      <c r="M296" s="95"/>
      <c r="N296" s="95"/>
      <c r="O296" s="95"/>
      <c r="P296" s="95"/>
      <c r="Q296" s="95"/>
      <c r="R296" s="95"/>
      <c r="S296" s="95"/>
      <c r="T296" s="91"/>
      <c r="U296" s="91"/>
      <c r="V296" s="96"/>
      <c r="W296" s="96"/>
      <c r="X296" s="96"/>
      <c r="Y296" s="101">
        <f>COUNTIF(Y$2:Y$287,"HPg")</f>
        <v>16</v>
      </c>
      <c r="Z296" s="101"/>
      <c r="AA296" s="97"/>
      <c r="AB296" s="97"/>
      <c r="AC296" s="98"/>
      <c r="AD296" s="98"/>
      <c r="AE296" s="98"/>
      <c r="AF296" s="98"/>
      <c r="AG296" s="98"/>
      <c r="AH296" s="98"/>
      <c r="AI296" s="96"/>
      <c r="AJ296" s="96"/>
      <c r="AK296" s="96"/>
      <c r="AL296" s="96"/>
      <c r="AM296" s="96"/>
      <c r="AN296" s="96"/>
      <c r="AO296" s="96"/>
      <c r="AP296" s="96"/>
      <c r="AQ296" s="96"/>
      <c r="AR296" s="96"/>
      <c r="AS296" s="96"/>
      <c r="AT296" s="96"/>
      <c r="AU296" s="98"/>
      <c r="AV296" s="98"/>
      <c r="AW296" s="91">
        <f>COUNTIF(AW$2:AW$287,"max 110")</f>
        <v>4</v>
      </c>
      <c r="AX296" s="91"/>
      <c r="AY296" s="98"/>
      <c r="AZ296" s="98"/>
      <c r="BA296" s="96"/>
      <c r="BB296" s="96"/>
      <c r="BC296" s="98"/>
      <c r="BD296" s="117"/>
      <c r="BE296" s="97"/>
      <c r="BF296" s="96"/>
      <c r="BG296" s="96"/>
      <c r="BH296" s="96"/>
      <c r="BI296" s="96"/>
      <c r="BJ296" s="96"/>
      <c r="BK296" s="96"/>
      <c r="BL296" s="100"/>
      <c r="BQ296" s="83"/>
      <c r="BR296" s="83"/>
      <c r="BS296" s="83"/>
      <c r="BT296" s="83"/>
      <c r="BU296" s="83"/>
      <c r="BV296" s="83"/>
      <c r="BW296" s="83"/>
      <c r="BX296" s="83"/>
      <c r="BY296" s="83"/>
      <c r="BZ296" s="83"/>
      <c r="CA296" s="83"/>
      <c r="CB296" s="83"/>
      <c r="CC296" s="86"/>
      <c r="CD296" s="87"/>
      <c r="CE296" s="96"/>
      <c r="CF296" s="96"/>
      <c r="CG296" s="83"/>
      <c r="CH296" s="83"/>
      <c r="CI296" s="83"/>
      <c r="CJ296" s="83"/>
      <c r="CK296" s="83"/>
      <c r="CL296" s="83"/>
      <c r="CM296" s="83"/>
      <c r="CN296" s="83"/>
      <c r="CO296" s="83"/>
      <c r="CP296" s="83"/>
      <c r="CQ296" s="83"/>
      <c r="CR296" s="83"/>
      <c r="CS296" s="83"/>
      <c r="CT296" s="83"/>
      <c r="CU296" s="83"/>
      <c r="CV296" s="86"/>
      <c r="CW296" s="87"/>
      <c r="CX296"/>
    </row>
    <row r="297" spans="1:102" s="63" customFormat="1" x14ac:dyDescent="0.15">
      <c r="A297" s="88"/>
      <c r="B297" s="89"/>
      <c r="C297" s="89"/>
      <c r="D297" s="90"/>
      <c r="E297" s="89"/>
      <c r="F297" s="89"/>
      <c r="G297" s="88"/>
      <c r="H297" s="92"/>
      <c r="I297" s="88"/>
      <c r="J297" s="93"/>
      <c r="K297" s="94"/>
      <c r="L297" s="95"/>
      <c r="M297" s="95"/>
      <c r="N297" s="95"/>
      <c r="O297" s="95"/>
      <c r="P297" s="95"/>
      <c r="Q297" s="95"/>
      <c r="R297" s="95"/>
      <c r="S297" s="95"/>
      <c r="T297" s="91"/>
      <c r="U297" s="91"/>
      <c r="V297" s="96"/>
      <c r="W297" s="96"/>
      <c r="X297" s="96"/>
      <c r="Y297" s="101">
        <f>COUNTIF(Y$2:Y$287,"Pg (Mak.)")</f>
        <v>2</v>
      </c>
      <c r="Z297" s="101"/>
      <c r="AA297" s="97"/>
      <c r="AB297" s="97"/>
      <c r="AC297" s="98"/>
      <c r="AD297" s="98"/>
      <c r="AE297" s="98"/>
      <c r="AF297" s="98"/>
      <c r="AG297" s="98"/>
      <c r="AH297" s="98"/>
      <c r="AI297" s="96"/>
      <c r="AJ297" s="96"/>
      <c r="AK297" s="96"/>
      <c r="AL297" s="96"/>
      <c r="AM297" s="96"/>
      <c r="AN297" s="96"/>
      <c r="AO297" s="96"/>
      <c r="AP297" s="96"/>
      <c r="AQ297" s="96"/>
      <c r="AR297" s="96"/>
      <c r="AS297" s="96"/>
      <c r="AT297" s="96"/>
      <c r="AU297" s="98"/>
      <c r="AV297" s="98"/>
      <c r="AW297" s="91">
        <f>COUNTIF(AW$2:AW$287,"nur 110")</f>
        <v>5</v>
      </c>
      <c r="AX297" s="91"/>
      <c r="AY297" s="98"/>
      <c r="AZ297" s="98"/>
      <c r="BA297" s="96"/>
      <c r="BB297" s="96"/>
      <c r="BC297" s="98"/>
      <c r="BD297" s="117"/>
      <c r="BE297" s="97"/>
      <c r="BF297" s="96"/>
      <c r="BG297" s="96"/>
      <c r="BH297" s="96"/>
      <c r="BI297" s="96"/>
      <c r="BJ297" s="96"/>
      <c r="BK297" s="96"/>
      <c r="BL297" s="100"/>
      <c r="BQ297" s="83"/>
      <c r="BR297" s="83"/>
      <c r="BS297" s="83"/>
      <c r="BT297" s="83"/>
      <c r="BU297" s="83"/>
      <c r="BV297" s="83"/>
      <c r="BW297" s="83"/>
      <c r="BX297" s="83"/>
      <c r="BY297" s="83"/>
      <c r="BZ297" s="83"/>
      <c r="CA297" s="83"/>
      <c r="CB297" s="83"/>
      <c r="CC297" s="86"/>
      <c r="CD297" s="87"/>
      <c r="CE297" s="96"/>
      <c r="CF297" s="96"/>
      <c r="CG297" s="83"/>
      <c r="CH297" s="83"/>
      <c r="CI297" s="83"/>
      <c r="CJ297" s="83"/>
      <c r="CK297" s="83"/>
      <c r="CL297" s="83"/>
      <c r="CM297" s="83"/>
      <c r="CN297" s="83"/>
      <c r="CO297" s="83"/>
      <c r="CP297" s="83"/>
      <c r="CQ297" s="83"/>
      <c r="CR297" s="83"/>
      <c r="CS297" s="83"/>
      <c r="CT297" s="83"/>
      <c r="CU297" s="83"/>
      <c r="CV297" s="86"/>
      <c r="CW297" s="87"/>
      <c r="CX297"/>
    </row>
    <row r="298" spans="1:102" s="63" customFormat="1" x14ac:dyDescent="0.15">
      <c r="A298" s="88"/>
      <c r="B298" s="89"/>
      <c r="C298" s="89"/>
      <c r="D298" s="90"/>
      <c r="E298" s="89"/>
      <c r="F298" s="89"/>
      <c r="G298" s="88"/>
      <c r="H298" s="92"/>
      <c r="J298" s="93"/>
      <c r="K298" s="94"/>
      <c r="L298" s="95"/>
      <c r="M298" s="95"/>
      <c r="N298" s="95"/>
      <c r="O298" s="95"/>
      <c r="P298" s="95"/>
      <c r="Q298" s="95"/>
      <c r="R298" s="95"/>
      <c r="S298" s="95"/>
      <c r="T298" s="91"/>
      <c r="U298" s="91"/>
      <c r="V298" s="96"/>
      <c r="W298" s="96"/>
      <c r="X298" s="96"/>
      <c r="Y298" s="91">
        <f>COUNTIF(Y$2:Y$287,"oE")</f>
        <v>1</v>
      </c>
      <c r="Z298" s="91"/>
      <c r="AA298" s="97"/>
      <c r="AB298" s="97"/>
      <c r="AC298" s="98"/>
      <c r="AD298" s="98"/>
      <c r="AE298" s="83"/>
      <c r="AF298" s="98"/>
      <c r="AG298" s="98"/>
      <c r="AH298" s="98"/>
      <c r="AI298" s="96"/>
      <c r="AJ298" s="96"/>
      <c r="AK298" s="96"/>
      <c r="AL298" s="96"/>
      <c r="AM298" s="83"/>
      <c r="AN298" s="83"/>
      <c r="AO298" s="96"/>
      <c r="AP298" s="96"/>
      <c r="AQ298" s="96"/>
      <c r="AR298" s="96"/>
      <c r="AS298" s="83"/>
      <c r="AT298" s="96"/>
      <c r="AU298" s="98"/>
      <c r="AV298" s="98"/>
      <c r="AW298" s="91">
        <f>COUNTIF(AW$2:AW$287,"180")</f>
        <v>12</v>
      </c>
      <c r="AX298" s="91"/>
      <c r="AY298" s="98"/>
      <c r="AZ298" s="98"/>
      <c r="BA298" s="96"/>
      <c r="BB298" s="96"/>
      <c r="BC298" s="98"/>
      <c r="BD298" s="117"/>
      <c r="BE298" s="97"/>
      <c r="BF298" s="96"/>
      <c r="BG298" s="96"/>
      <c r="BH298" s="96"/>
      <c r="BI298" s="96"/>
      <c r="BJ298" s="96"/>
      <c r="BK298" s="96"/>
      <c r="BL298" s="100"/>
      <c r="BQ298" s="83"/>
      <c r="BR298" s="83"/>
      <c r="BS298" s="83"/>
      <c r="BT298" s="83"/>
      <c r="BU298" s="83"/>
      <c r="BV298" s="83"/>
      <c r="BW298" s="83"/>
      <c r="BX298" s="83"/>
      <c r="BY298" s="83"/>
      <c r="BZ298" s="83"/>
      <c r="CA298" s="83"/>
      <c r="CB298" s="83"/>
      <c r="CC298" s="86"/>
      <c r="CD298" s="87"/>
      <c r="CE298" s="96"/>
      <c r="CF298" s="96"/>
      <c r="CG298" s="83"/>
      <c r="CH298" s="83"/>
      <c r="CI298" s="83"/>
      <c r="CJ298" s="83"/>
      <c r="CK298" s="83"/>
      <c r="CL298" s="83"/>
      <c r="CM298" s="83"/>
      <c r="CN298" s="83"/>
      <c r="CO298" s="83"/>
      <c r="CP298" s="83"/>
      <c r="CQ298" s="83"/>
      <c r="CR298" s="83"/>
      <c r="CS298" s="83"/>
      <c r="CT298" s="83"/>
      <c r="CU298" s="83"/>
      <c r="CV298" s="86"/>
      <c r="CW298" s="87"/>
      <c r="CX298"/>
    </row>
    <row r="299" spans="1:102" s="63" customFormat="1" x14ac:dyDescent="0.15">
      <c r="A299" s="88"/>
      <c r="B299" s="89"/>
      <c r="C299" s="89"/>
      <c r="D299" s="90"/>
      <c r="E299" s="102"/>
      <c r="F299" s="89"/>
      <c r="G299" s="88"/>
      <c r="H299" s="92"/>
      <c r="I299" s="103"/>
      <c r="J299" s="93"/>
      <c r="K299" s="94"/>
      <c r="L299" s="95"/>
      <c r="M299" s="95"/>
      <c r="N299" s="95"/>
      <c r="O299" s="95"/>
      <c r="P299" s="95"/>
      <c r="Q299" s="95"/>
      <c r="R299" s="95"/>
      <c r="S299" s="95"/>
      <c r="T299" s="104"/>
      <c r="U299" s="104"/>
      <c r="V299" s="105"/>
      <c r="W299" s="105"/>
      <c r="X299" s="105"/>
      <c r="Y299" s="104">
        <f>COUNTIF(Y$2:Y$287,"EB")</f>
        <v>0</v>
      </c>
      <c r="Z299" s="104"/>
      <c r="AA299" s="106"/>
      <c r="AB299" s="106"/>
      <c r="AC299" s="107"/>
      <c r="AD299" s="107"/>
      <c r="AE299" s="107"/>
      <c r="AF299" s="107"/>
      <c r="AG299" s="107"/>
      <c r="AH299" s="107"/>
      <c r="AI299" s="105"/>
      <c r="AJ299" s="105"/>
      <c r="AK299" s="105"/>
      <c r="AL299" s="105"/>
      <c r="AM299" s="105"/>
      <c r="AN299" s="105"/>
      <c r="AO299" s="105"/>
      <c r="AP299" s="105"/>
      <c r="AQ299" s="105"/>
      <c r="AR299" s="105"/>
      <c r="AS299" s="105"/>
      <c r="AT299" s="105"/>
      <c r="AU299" s="107"/>
      <c r="AV299" s="107"/>
      <c r="AW299" s="104">
        <f>COUNTIF(AW$2:AW$287,"max 180")</f>
        <v>1</v>
      </c>
      <c r="AX299" s="104"/>
      <c r="AY299" s="107"/>
      <c r="AZ299" s="107"/>
      <c r="BA299" s="105"/>
      <c r="BB299" s="105"/>
      <c r="BC299" s="107"/>
      <c r="BD299" s="118"/>
      <c r="BE299" s="106"/>
      <c r="BF299" s="105"/>
      <c r="BG299" s="105"/>
      <c r="BH299" s="105"/>
      <c r="BI299" s="105"/>
      <c r="BJ299" s="105"/>
      <c r="BK299" s="105"/>
      <c r="BL299" s="108"/>
      <c r="BQ299" s="83"/>
      <c r="BR299" s="83"/>
      <c r="BS299" s="83"/>
      <c r="BT299" s="83"/>
      <c r="BU299" s="83"/>
      <c r="BV299" s="83"/>
      <c r="BW299" s="83"/>
      <c r="BX299" s="83"/>
      <c r="BY299" s="83"/>
      <c r="BZ299" s="83"/>
      <c r="CA299" s="83"/>
      <c r="CB299" s="83"/>
      <c r="CC299" s="86"/>
      <c r="CD299" s="87"/>
      <c r="CE299" s="105"/>
      <c r="CF299" s="105"/>
      <c r="CG299" s="83"/>
      <c r="CH299" s="83"/>
      <c r="CI299" s="83"/>
      <c r="CJ299" s="83"/>
      <c r="CK299" s="83"/>
      <c r="CL299" s="83"/>
      <c r="CM299" s="83"/>
      <c r="CN299" s="83"/>
      <c r="CO299" s="83"/>
      <c r="CP299" s="83"/>
      <c r="CQ299" s="83"/>
      <c r="CR299" s="83"/>
      <c r="CS299" s="83"/>
      <c r="CT299" s="83"/>
      <c r="CU299" s="83"/>
      <c r="CV299" s="86"/>
      <c r="CW299" s="87"/>
      <c r="CX299"/>
    </row>
    <row r="300" spans="1:102" s="63" customFormat="1" x14ac:dyDescent="0.15">
      <c r="A300" s="88"/>
      <c r="B300" s="89"/>
      <c r="C300" s="89"/>
      <c r="D300" s="90"/>
      <c r="E300" s="109">
        <f>SUM(E288:E299)</f>
        <v>284</v>
      </c>
      <c r="F300" s="109"/>
      <c r="G300" s="88"/>
      <c r="H300" s="92"/>
      <c r="I300" s="110">
        <f>SUM(I288:I299)</f>
        <v>99</v>
      </c>
      <c r="J300" s="111"/>
      <c r="K300" s="112"/>
      <c r="L300" s="113"/>
      <c r="M300" s="113"/>
      <c r="N300" s="113"/>
      <c r="O300" s="113"/>
      <c r="P300" s="113"/>
      <c r="Q300" s="113"/>
      <c r="R300" s="113"/>
      <c r="S300" s="113"/>
      <c r="T300" s="114">
        <f>SUM(T288:T299)</f>
        <v>2</v>
      </c>
      <c r="U300" s="114">
        <f>SUM(U288:U299)</f>
        <v>5</v>
      </c>
      <c r="V300" s="114">
        <f>SUM(V288:V299)</f>
        <v>0</v>
      </c>
      <c r="W300" s="114">
        <f>SUM(W288:W299)</f>
        <v>0</v>
      </c>
      <c r="X300" s="114">
        <f>SUM(X288:X299)</f>
        <v>6</v>
      </c>
      <c r="Y300" s="114"/>
      <c r="Z300" s="114"/>
      <c r="AA300" s="114">
        <f>SUM(AA288:AA299)</f>
        <v>0</v>
      </c>
      <c r="AB300" s="114">
        <f>SUM(AB288:AB299)</f>
        <v>13</v>
      </c>
      <c r="AC300" s="114">
        <f>SUM(AC288:AC290)</f>
        <v>45</v>
      </c>
      <c r="AD300" s="114">
        <f>SUM(AD288:AD299)</f>
        <v>0</v>
      </c>
      <c r="AE300" s="109">
        <f>SUM(AE288:AE299)</f>
        <v>1</v>
      </c>
      <c r="AF300" s="114">
        <f>SUM(AF288:AF299)</f>
        <v>0</v>
      </c>
      <c r="AG300" s="114">
        <f>SUM(AG288:AG299)</f>
        <v>0</v>
      </c>
      <c r="AH300" s="114">
        <f>SUM(AH288:AH299)</f>
        <v>1</v>
      </c>
      <c r="AI300" s="99">
        <f>COUNTIF(AI$2:AI$287,"Pg")</f>
        <v>0</v>
      </c>
      <c r="AJ300" s="114">
        <f t="shared" ref="AJ300:BB300" si="10">SUM(AJ288:AJ299)</f>
        <v>0</v>
      </c>
      <c r="AK300" s="114">
        <f t="shared" si="10"/>
        <v>3</v>
      </c>
      <c r="AL300" s="114">
        <f t="shared" si="10"/>
        <v>0</v>
      </c>
      <c r="AM300" s="109">
        <f t="shared" si="10"/>
        <v>1</v>
      </c>
      <c r="AN300" s="109">
        <f t="shared" si="10"/>
        <v>6</v>
      </c>
      <c r="AO300" s="114">
        <f t="shared" si="10"/>
        <v>0</v>
      </c>
      <c r="AP300" s="114">
        <f t="shared" si="10"/>
        <v>0</v>
      </c>
      <c r="AQ300" s="114">
        <f t="shared" si="10"/>
        <v>0</v>
      </c>
      <c r="AR300" s="114">
        <f t="shared" si="10"/>
        <v>0</v>
      </c>
      <c r="AS300" s="109">
        <f t="shared" si="10"/>
        <v>39</v>
      </c>
      <c r="AT300" s="109">
        <f t="shared" si="10"/>
        <v>43</v>
      </c>
      <c r="AU300" s="109">
        <f t="shared" si="10"/>
        <v>6</v>
      </c>
      <c r="AV300" s="114">
        <f t="shared" si="10"/>
        <v>4</v>
      </c>
      <c r="AW300" s="114">
        <f t="shared" si="10"/>
        <v>98</v>
      </c>
      <c r="AX300" s="114"/>
      <c r="AY300" s="114">
        <f t="shared" si="10"/>
        <v>0</v>
      </c>
      <c r="AZ300" s="114"/>
      <c r="BA300" s="114">
        <f t="shared" si="10"/>
        <v>3</v>
      </c>
      <c r="BB300" s="114">
        <f t="shared" si="10"/>
        <v>0</v>
      </c>
      <c r="BC300" s="114">
        <f>SUM(BC289:BC292)</f>
        <v>16</v>
      </c>
      <c r="BD300" s="119">
        <f>SUM(BD2:BD287)</f>
        <v>41.5</v>
      </c>
      <c r="BE300" s="114">
        <f t="shared" ref="BE300:BL300" si="11">SUM(BE288:BE299)</f>
        <v>0</v>
      </c>
      <c r="BF300" s="114">
        <f t="shared" si="11"/>
        <v>23</v>
      </c>
      <c r="BG300" s="114">
        <f t="shared" si="11"/>
        <v>1</v>
      </c>
      <c r="BH300" s="114">
        <f t="shared" si="11"/>
        <v>0</v>
      </c>
      <c r="BI300" s="114">
        <f t="shared" si="11"/>
        <v>6</v>
      </c>
      <c r="BJ300" s="114">
        <f t="shared" si="11"/>
        <v>1</v>
      </c>
      <c r="BK300" s="114">
        <f t="shared" si="11"/>
        <v>3</v>
      </c>
      <c r="BL300" s="114">
        <f t="shared" si="11"/>
        <v>19</v>
      </c>
      <c r="BM300" s="128">
        <f>BM288</f>
        <v>2</v>
      </c>
      <c r="BN300" s="96"/>
      <c r="BQ300" s="83"/>
      <c r="BR300" s="83"/>
      <c r="BS300" s="83"/>
      <c r="BT300" s="83"/>
      <c r="BU300" s="83"/>
      <c r="BV300" s="83"/>
      <c r="BW300" s="83"/>
      <c r="BX300" s="83"/>
      <c r="BY300" s="83"/>
      <c r="BZ300" s="83"/>
      <c r="CA300" s="83"/>
      <c r="CB300" s="83"/>
      <c r="CC300" s="86"/>
      <c r="CD300" s="87"/>
      <c r="CE300" s="114">
        <f t="shared" ref="CE300:CF300" si="12">SUM(CE288:CE299)</f>
        <v>3</v>
      </c>
      <c r="CF300" s="114">
        <f t="shared" si="12"/>
        <v>1</v>
      </c>
      <c r="CG300" s="83"/>
      <c r="CH300" s="83"/>
      <c r="CI300" s="83"/>
      <c r="CJ300" s="83"/>
      <c r="CK300" s="83"/>
      <c r="CL300" s="83"/>
      <c r="CM300" s="83"/>
      <c r="CN300" s="83"/>
      <c r="CO300" s="83"/>
      <c r="CP300" s="83"/>
      <c r="CQ300" s="83"/>
      <c r="CR300" s="83"/>
      <c r="CS300" s="83"/>
      <c r="CT300" s="83"/>
      <c r="CU300" s="83"/>
      <c r="CV300" s="86"/>
      <c r="CW300" s="87"/>
      <c r="CX300"/>
    </row>
    <row r="301" spans="1:102" x14ac:dyDescent="0.15">
      <c r="AC301" s="114">
        <f>SUM(AC291:AC292)</f>
        <v>47</v>
      </c>
      <c r="BM301" s="83">
        <f>BM289</f>
        <v>2</v>
      </c>
      <c r="BN301" s="83"/>
    </row>
    <row r="302" spans="1:102" x14ac:dyDescent="0.15">
      <c r="BM302" s="83">
        <f>BM290</f>
        <v>1</v>
      </c>
      <c r="BN302" s="83"/>
    </row>
    <row r="303" spans="1:102" x14ac:dyDescent="0.15">
      <c r="BM303" s="129">
        <f>SUM(BM288:BM299)</f>
        <v>5</v>
      </c>
      <c r="BN303" s="114"/>
    </row>
  </sheetData>
  <autoFilter ref="A1:BP1"/>
  <sortState ref="A10:F85">
    <sortCondition ref="A10:A85"/>
  </sortState>
  <customSheetViews>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1"/>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2"/>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3"/>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4"/>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5"/>
    </customSheetView>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6"/>
    </customSheetView>
  </customSheetViews>
  <conditionalFormatting sqref="E2:F286 T2:BL286">
    <cfRule type="expression" dxfId="3" priority="8">
      <formula>MOD(SUBTOTAL(103,$E$2:$E2),2)=0</formula>
    </cfRule>
  </conditionalFormatting>
  <conditionalFormatting sqref="BQ2:CD285">
    <cfRule type="expression" dxfId="2" priority="3">
      <formula>MOD(SUBTOTAL(103,$E$2:$E2),2)=0</formula>
    </cfRule>
  </conditionalFormatting>
  <conditionalFormatting sqref="CG2:CW286">
    <cfRule type="expression" dxfId="1" priority="2">
      <formula>MOD(SUBTOTAL(103,$E$2:$E2),2)=0</formula>
    </cfRule>
  </conditionalFormatting>
  <conditionalFormatting sqref="CE2:CF286">
    <cfRule type="expression" dxfId="0" priority="1">
      <formula>MOD(SUBTOTAL(103,$E$2:$E2),2)=0</formula>
    </cfRule>
  </conditionalFormatting>
  <pageMargins left="0.7" right="0.7" top="0.78740157499999996" bottom="0.78740157499999996" header="0.3" footer="0.3"/>
  <pageSetup paperSize="9" scale="10" orientation="portrait" r:id="rId7"/>
  <ignoredErrors>
    <ignoredError sqref="Y288 AC288 AE288 AI288 AQ288 AV288 BJ288 BH288 AC300 BM289" formula="1"/>
  </ignoredErrors>
  <legacyDrawing r:id="rId8"/>
  <extLst>
    <ext xmlns:x14="http://schemas.microsoft.com/office/spreadsheetml/2009/9/main" uri="{CCE6A557-97BC-4b89-ADB6-D9C93CAAB3DF}">
      <x14:dataValidations xmlns:xm="http://schemas.microsoft.com/office/excel/2006/main" count="12">
        <x14:dataValidation type="list" allowBlank="1" showInputMessage="1" showErrorMessage="1">
          <x14:formula1>
            <xm:f>Legende!$F$20:$F$22</xm:f>
          </x14:formula1>
          <xm:sqref>J2 J4 J6 J8 J10 J12 J14:J15 J17 J20:J22 J24:J26 J34:J52 J55:J67 J69:J70 J72 J74:J75 J77 J81:J82 J85:J86 J88:J90 J92 J95 J97:J257 J259:J287 J301:J1048576</xm:sqref>
        </x14:dataValidation>
        <x14:dataValidation type="list" allowBlank="1" showInputMessage="1" showErrorMessage="1">
          <x14:formula1>
            <xm:f>Legende!$D$50</xm:f>
          </x14:formula1>
          <xm:sqref>G4 G6 G8 G10 G12 G14:G15 G17 G20:G22 G24:G26 G34:G52 G55:G67 G69:G70 G72 G74:G75 G77 G81:G82 G85:G86 G88:G90 G92 G95 G97:G257 G1:G2 G259:G287 G301:G1048576</xm:sqref>
        </x14:dataValidation>
        <x14:dataValidation type="list" allowBlank="1" showInputMessage="1" showErrorMessage="1">
          <x14:formula1>
            <xm:f>Legende!$B$20:$B$32</xm:f>
          </x14:formula1>
          <xm:sqref>H4 H6 H8 H10 H12 H14:H15 H17 H20:H22 H24:H26 H34:H52 H55:H67 H69:H70 H72 H74:H75 H77 H81:H82 H85:H86 H88:H90 H92 H95 H97:H257 H1:H2 H259:H287 H301:H1048576</xm:sqref>
        </x14:dataValidation>
        <x14:dataValidation type="list" allowBlank="1" showInputMessage="1" showErrorMessage="1">
          <x14:formula1>
            <xm:f>Legende!$E$20:$E$23</xm:f>
          </x14:formula1>
          <xm:sqref>I4 I6 I8 I10 I12 I14:I15 I17 I20:I22 I24:I26 I34:I52 I301:I1048576 I69:I70 I72 I74:I75 I77 I81:I82 I85:I86 I88:I90 I92 I95 I1:I2 I97:I257 I259:I287 I55:I67</xm:sqref>
        </x14:dataValidation>
        <x14:dataValidation type="list" allowBlank="1" showInputMessage="1" showErrorMessage="1">
          <x14:formula1>
            <xm:f>Legende!$C$39:$C$40</xm:f>
          </x14:formula1>
          <xm:sqref>L4 L6 L8 L10 L12 L14:L15 L17 L20:L22 L24:L26 L34:L52 L55:L67 L69:L70 L72 L74:L75 L77 L81:L82 L85:L86 L88:L90 L92 L95 L97:L257 L1:L2 L259:L287 L301:L1048576</xm:sqref>
        </x14:dataValidation>
        <x14:dataValidation type="list" allowBlank="1" showInputMessage="1" showErrorMessage="1">
          <x14:formula1>
            <xm:f>Legende!$A$54:$A$57</xm:f>
          </x14:formula1>
          <xm:sqref>O4 O6 O8 O10 O12 O14:O15 O17 O20:O22 O24:O26 O34:O52 O55:O67 O69:O70 O72 O74:O75 O77 O81:O82 O85:O86 O88:O90 O92 O95 O97:O257 O1:O2 O259:O287 O301:O1048576</xm:sqref>
        </x14:dataValidation>
        <x14:dataValidation type="list" allowBlank="1" showInputMessage="1" showErrorMessage="1">
          <x14:formula1>
            <xm:f>Legende!$C$20:$C$37</xm:f>
          </x14:formula1>
          <xm:sqref>K4 K6 K8 K10 K12 K14:K15 K17 K20:K22 K24:K26 K34:K52 K55:K67 K69:K70 K72 K74:K75 K77 K81:K82 K85:K86 K88:K90 K92 K95 K97:K257 K1:K2 K259:K287 K301:K1048576</xm:sqref>
        </x14:dataValidation>
        <x14:dataValidation type="list" allowBlank="1" showInputMessage="1" showErrorMessage="1">
          <x14:formula1>
            <xm:f>Legende!$D$46:$D$49</xm:f>
          </x14:formula1>
          <xm:sqref>N4 N6 N8 N10 N12 N14:N15 N17 N20:N22 N24:N26 N34:N52 N55:N67 N69:N70 N72 N74:N75 N77 N81:N82 N85:N86 N88:N90 N92 N95 N97:N257 N1:N2 N259:N287 N301:N1048576</xm:sqref>
        </x14:dataValidation>
        <x14:dataValidation type="list" allowBlank="1" showInputMessage="1" showErrorMessage="1">
          <x14:formula1>
            <xm:f>Legende!$B$38:$B$50</xm:f>
          </x14:formula1>
          <xm:sqref>P17 P20:P22 P24:P26 P34:P52 P55:P67 P69:P70 P72 P74:P75 P77 P81:P82 P85:P86 P88:P90 P92 P95 P97:P257 P1:P15 P259:P287 P301:P1048576</xm:sqref>
        </x14:dataValidation>
        <x14:dataValidation type="list" allowBlank="1" showInputMessage="1" showErrorMessage="1">
          <x14:formula1>
            <xm:f>Legende!$D$20:$D$28</xm:f>
          </x14:formula1>
          <xm:sqref>M4 M6 M8 M10 M12 M14:M15 M17 M20:M22 M24:M26 M34:M52 M55:M67 M69:M70 M72 M74:M75 M77 M81:M82 M85:M86 M88:M90 M92 M95 M97:M257 M1:M2 M259:M287 M301:M1048576</xm:sqref>
        </x14:dataValidation>
        <x14:dataValidation type="list" allowBlank="1" showInputMessage="1" showErrorMessage="1">
          <x14:formula1>
            <xm:f>'V:\02_FB_BB\007_BE1\006_Konservierung - Restaurierung\003 DBSM\003 Projekte\02_Klemm-Sammlung\02_Zustandserfssung\01_Zustandserfassungslisten in Bearbeitung\[Bö_Ink_Kopie.xlsm]Legende'!#REF!</xm:f>
          </x14:formula1>
          <xm:sqref>G5:O5 G7:O7 G9:O9 G11:O11 G13:O13 G16:P16 G18:P19 G23:P23 G27:P33 G53:P54 G68:P68 G71:P71 G73:P73 G76:P76 G78:P80 G83:P84 G87:P87 G91:P91 G93:P94 G96:P96 G258:P258 G3:O3</xm:sqref>
        </x14:dataValidation>
        <x14:dataValidation type="list" allowBlank="1" showInputMessage="1" showErrorMessage="1">
          <x14:formula1>
            <xm:f>'\\Dnbf-nsc1-p01\DNB-Gesamt\02_FB_BB\007_BE1\006_Konservierung - Restaurierung\003 DBSM\003 Projekte\02_Klemm-Sammlung\02_Zustandserfassung\02_Zustandserfassungslisten_ab2022\[II_Inkunabeln+.xlsm]Legende'!#REF!</xm:f>
          </x14:formula1>
          <xm:sqref>G288:H300 I292:I297 I299 J288:P300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D85"/>
  <sheetViews>
    <sheetView workbookViewId="0">
      <selection activeCell="C2" sqref="C2"/>
    </sheetView>
  </sheetViews>
  <sheetFormatPr baseColWidth="10" defaultColWidth="11" defaultRowHeight="11.25" x14ac:dyDescent="0.15"/>
  <cols>
    <col min="1" max="1" width="16.75" style="87" customWidth="1"/>
    <col min="2" max="2" width="23.75" style="87" bestFit="1" customWidth="1"/>
    <col min="3" max="16384" width="11" style="87"/>
  </cols>
  <sheetData>
    <row r="1" spans="1:3" ht="33.75" customHeight="1" x14ac:dyDescent="0.15">
      <c r="A1" s="147" t="s">
        <v>906</v>
      </c>
      <c r="B1" s="148"/>
    </row>
    <row r="2" spans="1:3" ht="22.5" x14ac:dyDescent="0.15">
      <c r="A2" s="87" t="s">
        <v>855</v>
      </c>
      <c r="B2" s="121"/>
      <c r="C2" s="87">
        <f>Basis!E300</f>
        <v>284</v>
      </c>
    </row>
    <row r="3" spans="1:3" ht="22.5" x14ac:dyDescent="0.15">
      <c r="A3" s="87" t="s">
        <v>856</v>
      </c>
      <c r="B3" s="121"/>
      <c r="C3" s="87">
        <f>Basis!I300</f>
        <v>99</v>
      </c>
    </row>
    <row r="4" spans="1:3" ht="33.75" x14ac:dyDescent="0.15">
      <c r="A4" s="87" t="s">
        <v>857</v>
      </c>
      <c r="B4" s="121"/>
      <c r="C4" s="87">
        <f>Basis!AW300</f>
        <v>98</v>
      </c>
    </row>
    <row r="5" spans="1:3" ht="22.5" x14ac:dyDescent="0.15">
      <c r="A5" s="87" t="s">
        <v>858</v>
      </c>
      <c r="B5" s="121"/>
      <c r="C5" s="87">
        <f>Basis!T300</f>
        <v>2</v>
      </c>
    </row>
    <row r="6" spans="1:3" x14ac:dyDescent="0.15">
      <c r="A6" s="87" t="s">
        <v>39</v>
      </c>
      <c r="B6" s="121" t="s">
        <v>50</v>
      </c>
      <c r="C6" s="87">
        <f>Basis!I288</f>
        <v>40</v>
      </c>
    </row>
    <row r="7" spans="1:3" x14ac:dyDescent="0.15">
      <c r="B7" s="121" t="s">
        <v>51</v>
      </c>
      <c r="C7" s="87">
        <f>Basis!I289</f>
        <v>40</v>
      </c>
    </row>
    <row r="8" spans="1:3" x14ac:dyDescent="0.15">
      <c r="B8" s="121" t="s">
        <v>52</v>
      </c>
      <c r="C8" s="87">
        <f>Basis!I290</f>
        <v>12</v>
      </c>
    </row>
    <row r="9" spans="1:3" x14ac:dyDescent="0.15">
      <c r="B9" s="121" t="s">
        <v>53</v>
      </c>
      <c r="C9" s="87">
        <f>Basis!I291</f>
        <v>7</v>
      </c>
    </row>
    <row r="10" spans="1:3" x14ac:dyDescent="0.15">
      <c r="A10" s="87" t="s">
        <v>859</v>
      </c>
      <c r="B10" s="121"/>
      <c r="C10" s="87">
        <f>Basis!U300</f>
        <v>5</v>
      </c>
    </row>
    <row r="11" spans="1:3" x14ac:dyDescent="0.15">
      <c r="A11" s="87" t="s">
        <v>860</v>
      </c>
      <c r="B11" s="121"/>
      <c r="C11" s="87">
        <f>Basis!V300</f>
        <v>0</v>
      </c>
    </row>
    <row r="12" spans="1:3" ht="22.5" x14ac:dyDescent="0.15">
      <c r="A12" s="87" t="s">
        <v>861</v>
      </c>
      <c r="B12" s="121"/>
      <c r="C12" s="87">
        <f>Basis!W300</f>
        <v>0</v>
      </c>
    </row>
    <row r="13" spans="1:3" ht="22.5" x14ac:dyDescent="0.15">
      <c r="A13" s="87" t="s">
        <v>862</v>
      </c>
      <c r="B13" s="121"/>
      <c r="C13" s="87">
        <f>Basis!X300</f>
        <v>6</v>
      </c>
    </row>
    <row r="14" spans="1:3" x14ac:dyDescent="0.15">
      <c r="A14" s="87" t="s">
        <v>668</v>
      </c>
      <c r="B14" s="122" t="s">
        <v>17</v>
      </c>
      <c r="C14" s="87">
        <f>Basis!Y288</f>
        <v>18</v>
      </c>
    </row>
    <row r="15" spans="1:3" x14ac:dyDescent="0.15">
      <c r="B15" s="122" t="s">
        <v>44</v>
      </c>
      <c r="C15" s="87">
        <f>Basis!Y289</f>
        <v>0</v>
      </c>
    </row>
    <row r="16" spans="1:3" x14ac:dyDescent="0.15">
      <c r="B16" s="122" t="s">
        <v>5</v>
      </c>
      <c r="C16" s="87">
        <f>Basis!Y290</f>
        <v>0</v>
      </c>
    </row>
    <row r="17" spans="1:3" x14ac:dyDescent="0.15">
      <c r="B17" s="123" t="s">
        <v>16</v>
      </c>
      <c r="C17" s="87">
        <f>Basis!Y291</f>
        <v>3</v>
      </c>
    </row>
    <row r="18" spans="1:3" x14ac:dyDescent="0.15">
      <c r="B18" s="124" t="s">
        <v>783</v>
      </c>
      <c r="C18" s="87">
        <f>Basis!Y292</f>
        <v>33</v>
      </c>
    </row>
    <row r="19" spans="1:3" x14ac:dyDescent="0.15">
      <c r="B19" s="122" t="s">
        <v>4</v>
      </c>
      <c r="C19" s="87">
        <f>Basis!Y293</f>
        <v>9</v>
      </c>
    </row>
    <row r="20" spans="1:3" x14ac:dyDescent="0.15">
      <c r="B20" s="122" t="s">
        <v>3</v>
      </c>
      <c r="C20" s="87">
        <f>Basis!Y294</f>
        <v>4</v>
      </c>
    </row>
    <row r="21" spans="1:3" x14ac:dyDescent="0.15">
      <c r="B21" s="123" t="s">
        <v>45</v>
      </c>
      <c r="C21" s="125">
        <f>Basis!Y295</f>
        <v>7</v>
      </c>
    </row>
    <row r="22" spans="1:3" x14ac:dyDescent="0.15">
      <c r="B22" s="123" t="s">
        <v>46</v>
      </c>
      <c r="C22" s="125">
        <f>Basis!Y296</f>
        <v>16</v>
      </c>
    </row>
    <row r="23" spans="1:3" x14ac:dyDescent="0.15">
      <c r="B23" s="123" t="s">
        <v>817</v>
      </c>
      <c r="C23" s="125">
        <f>Basis!Y297</f>
        <v>2</v>
      </c>
    </row>
    <row r="24" spans="1:3" x14ac:dyDescent="0.15">
      <c r="B24" s="123" t="s">
        <v>789</v>
      </c>
      <c r="C24" s="87">
        <f>Basis!Y298</f>
        <v>1</v>
      </c>
    </row>
    <row r="25" spans="1:3" x14ac:dyDescent="0.15">
      <c r="B25" s="124" t="s">
        <v>791</v>
      </c>
      <c r="C25" s="87">
        <f>Basis!Y299</f>
        <v>0</v>
      </c>
    </row>
    <row r="26" spans="1:3" x14ac:dyDescent="0.15">
      <c r="B26" s="124" t="s">
        <v>863</v>
      </c>
    </row>
    <row r="27" spans="1:3" ht="22.5" x14ac:dyDescent="0.15">
      <c r="A27" s="87" t="s">
        <v>864</v>
      </c>
      <c r="B27" s="121"/>
      <c r="C27" s="87">
        <f>Basis!AA300</f>
        <v>0</v>
      </c>
    </row>
    <row r="28" spans="1:3" ht="22.5" x14ac:dyDescent="0.15">
      <c r="A28" s="87" t="s">
        <v>865</v>
      </c>
      <c r="B28" s="121"/>
      <c r="C28" s="87">
        <f>Basis!AB300</f>
        <v>13</v>
      </c>
    </row>
    <row r="29" spans="1:3" ht="33.75" x14ac:dyDescent="0.15">
      <c r="A29" s="126" t="s">
        <v>866</v>
      </c>
      <c r="B29" s="121"/>
      <c r="C29" s="87">
        <f>Basis!AC300</f>
        <v>45</v>
      </c>
    </row>
    <row r="30" spans="1:3" ht="22.5" x14ac:dyDescent="0.15">
      <c r="A30" s="126" t="s">
        <v>867</v>
      </c>
      <c r="B30" s="121"/>
      <c r="C30" s="87">
        <f>Basis!AC301</f>
        <v>47</v>
      </c>
    </row>
    <row r="31" spans="1:3" ht="22.5" x14ac:dyDescent="0.15">
      <c r="A31" s="87" t="s">
        <v>868</v>
      </c>
      <c r="B31" s="121"/>
      <c r="C31" s="87">
        <f>Basis!AD300</f>
        <v>0</v>
      </c>
    </row>
    <row r="32" spans="1:3" ht="33.75" x14ac:dyDescent="0.15">
      <c r="A32" s="87" t="s">
        <v>869</v>
      </c>
      <c r="B32" s="121"/>
      <c r="C32" s="87">
        <f>Basis!AE300</f>
        <v>1</v>
      </c>
    </row>
    <row r="33" spans="1:3" ht="22.5" x14ac:dyDescent="0.15">
      <c r="A33" s="87" t="s">
        <v>870</v>
      </c>
      <c r="B33" s="121"/>
      <c r="C33" s="87">
        <f>Basis!AF300</f>
        <v>0</v>
      </c>
    </row>
    <row r="34" spans="1:3" ht="22.5" x14ac:dyDescent="0.15">
      <c r="A34" s="87" t="s">
        <v>871</v>
      </c>
      <c r="B34" s="121"/>
      <c r="C34" s="87">
        <f>Basis!AF300</f>
        <v>0</v>
      </c>
    </row>
    <row r="35" spans="1:3" x14ac:dyDescent="0.15">
      <c r="A35" s="87" t="s">
        <v>872</v>
      </c>
      <c r="B35" s="121"/>
      <c r="C35" s="87">
        <f>Basis!AH300</f>
        <v>1</v>
      </c>
    </row>
    <row r="36" spans="1:3" x14ac:dyDescent="0.15">
      <c r="A36" s="87" t="s">
        <v>873</v>
      </c>
      <c r="B36" s="121" t="s">
        <v>874</v>
      </c>
      <c r="C36" s="87">
        <f>Basis!AI288</f>
        <v>101</v>
      </c>
    </row>
    <row r="37" spans="1:3" x14ac:dyDescent="0.15">
      <c r="B37" s="121" t="s">
        <v>875</v>
      </c>
      <c r="C37" s="125">
        <f>Basis!AI289</f>
        <v>0</v>
      </c>
    </row>
    <row r="38" spans="1:3" ht="22.5" x14ac:dyDescent="0.15">
      <c r="A38" s="87" t="s">
        <v>876</v>
      </c>
      <c r="B38" s="121"/>
      <c r="C38" s="87">
        <f>Basis!AJ300</f>
        <v>0</v>
      </c>
    </row>
    <row r="39" spans="1:3" x14ac:dyDescent="0.15">
      <c r="A39" s="87" t="s">
        <v>877</v>
      </c>
      <c r="B39" s="121"/>
      <c r="C39" s="87">
        <f>Basis!AK300</f>
        <v>3</v>
      </c>
    </row>
    <row r="40" spans="1:3" x14ac:dyDescent="0.15">
      <c r="A40" s="87" t="s">
        <v>670</v>
      </c>
      <c r="B40" s="121"/>
      <c r="C40" s="87">
        <f>Basis!AL300</f>
        <v>0</v>
      </c>
    </row>
    <row r="41" spans="1:3" ht="22.5" x14ac:dyDescent="0.15">
      <c r="A41" s="87" t="s">
        <v>878</v>
      </c>
      <c r="B41" s="121"/>
      <c r="C41" s="87">
        <f>Basis!AM300</f>
        <v>1</v>
      </c>
    </row>
    <row r="42" spans="1:3" ht="22.5" x14ac:dyDescent="0.15">
      <c r="A42" s="87" t="s">
        <v>879</v>
      </c>
      <c r="B42" s="121"/>
      <c r="C42" s="87">
        <f>Basis!AN300</f>
        <v>6</v>
      </c>
    </row>
    <row r="43" spans="1:3" ht="22.5" x14ac:dyDescent="0.15">
      <c r="A43" s="87" t="s">
        <v>880</v>
      </c>
      <c r="B43" s="121"/>
      <c r="C43" s="87">
        <f>Basis!AO300</f>
        <v>0</v>
      </c>
    </row>
    <row r="44" spans="1:3" ht="22.5" x14ac:dyDescent="0.15">
      <c r="A44" s="87" t="s">
        <v>881</v>
      </c>
      <c r="B44" s="121"/>
      <c r="C44" s="87">
        <f>Basis!AP300</f>
        <v>0</v>
      </c>
    </row>
    <row r="45" spans="1:3" ht="22.5" x14ac:dyDescent="0.15">
      <c r="A45" s="87" t="s">
        <v>882</v>
      </c>
      <c r="B45" s="121"/>
    </row>
    <row r="46" spans="1:3" x14ac:dyDescent="0.15">
      <c r="A46" s="87" t="s">
        <v>883</v>
      </c>
      <c r="B46" s="121"/>
      <c r="C46" s="87">
        <f>Basis!AR300</f>
        <v>0</v>
      </c>
    </row>
    <row r="47" spans="1:3" ht="45" x14ac:dyDescent="0.15">
      <c r="A47" s="87" t="s">
        <v>884</v>
      </c>
      <c r="B47" s="121"/>
      <c r="C47" s="87">
        <f>Basis!AS300</f>
        <v>39</v>
      </c>
    </row>
    <row r="48" spans="1:3" ht="22.5" x14ac:dyDescent="0.15">
      <c r="A48" s="87" t="s">
        <v>885</v>
      </c>
      <c r="B48" s="121"/>
      <c r="C48" s="87">
        <f>Basis!AT300</f>
        <v>43</v>
      </c>
    </row>
    <row r="49" spans="1:3" ht="33.75" x14ac:dyDescent="0.15">
      <c r="A49" s="87" t="s">
        <v>886</v>
      </c>
      <c r="B49" s="121"/>
      <c r="C49" s="87">
        <f>Basis!AU300</f>
        <v>6</v>
      </c>
    </row>
    <row r="50" spans="1:3" ht="33.75" x14ac:dyDescent="0.15">
      <c r="A50" s="87" t="s">
        <v>887</v>
      </c>
      <c r="B50" s="121"/>
    </row>
    <row r="51" spans="1:3" ht="22.5" x14ac:dyDescent="0.15">
      <c r="A51" s="87" t="s">
        <v>888</v>
      </c>
      <c r="B51" s="121">
        <v>0</v>
      </c>
      <c r="C51" s="87">
        <f>Basis!AW288</f>
        <v>0</v>
      </c>
    </row>
    <row r="52" spans="1:3" x14ac:dyDescent="0.15">
      <c r="B52" s="121">
        <v>45</v>
      </c>
      <c r="C52" s="87">
        <f>Basis!AW289</f>
        <v>10</v>
      </c>
    </row>
    <row r="53" spans="1:3" x14ac:dyDescent="0.15">
      <c r="B53" s="121" t="s">
        <v>889</v>
      </c>
      <c r="C53" s="87">
        <f>Basis!AW290</f>
        <v>0</v>
      </c>
    </row>
    <row r="54" spans="1:3" x14ac:dyDescent="0.15">
      <c r="B54" s="121">
        <v>60</v>
      </c>
      <c r="C54" s="87">
        <f>Basis!AW291</f>
        <v>7</v>
      </c>
    </row>
    <row r="55" spans="1:3" x14ac:dyDescent="0.15">
      <c r="B55" s="121" t="s">
        <v>824</v>
      </c>
      <c r="C55" s="87">
        <f>Basis!AW292</f>
        <v>2</v>
      </c>
    </row>
    <row r="56" spans="1:3" x14ac:dyDescent="0.15">
      <c r="B56" s="121">
        <v>80</v>
      </c>
      <c r="C56" s="87">
        <f>Basis!AW293</f>
        <v>2</v>
      </c>
    </row>
    <row r="57" spans="1:3" x14ac:dyDescent="0.15">
      <c r="B57" s="121" t="s">
        <v>823</v>
      </c>
      <c r="C57" s="87">
        <f>Basis!AW294</f>
        <v>4</v>
      </c>
    </row>
    <row r="58" spans="1:3" x14ac:dyDescent="0.15">
      <c r="B58" s="121">
        <v>110</v>
      </c>
      <c r="C58" s="87">
        <f>Basis!AW295</f>
        <v>51</v>
      </c>
    </row>
    <row r="59" spans="1:3" x14ac:dyDescent="0.15">
      <c r="B59" s="121" t="s">
        <v>826</v>
      </c>
      <c r="C59" s="87">
        <f>Basis!AW296</f>
        <v>4</v>
      </c>
    </row>
    <row r="60" spans="1:3" x14ac:dyDescent="0.15">
      <c r="B60" s="121" t="s">
        <v>689</v>
      </c>
      <c r="C60" s="87">
        <f>Basis!AW297</f>
        <v>5</v>
      </c>
    </row>
    <row r="61" spans="1:3" x14ac:dyDescent="0.15">
      <c r="B61" s="121">
        <v>180</v>
      </c>
      <c r="C61" s="87">
        <f>Basis!AW298</f>
        <v>12</v>
      </c>
    </row>
    <row r="62" spans="1:3" x14ac:dyDescent="0.15">
      <c r="B62" s="121" t="s">
        <v>825</v>
      </c>
      <c r="C62" s="87">
        <f>Basis!AW299</f>
        <v>1</v>
      </c>
    </row>
    <row r="63" spans="1:3" x14ac:dyDescent="0.15">
      <c r="A63" s="87" t="s">
        <v>890</v>
      </c>
      <c r="B63" s="121"/>
      <c r="C63" s="87">
        <f>Basis!AY300</f>
        <v>0</v>
      </c>
    </row>
    <row r="64" spans="1:3" ht="33.75" x14ac:dyDescent="0.15">
      <c r="A64" s="87" t="s">
        <v>891</v>
      </c>
      <c r="B64" s="121"/>
      <c r="C64" s="87">
        <f>Basis!CE300</f>
        <v>3</v>
      </c>
    </row>
    <row r="65" spans="1:4" x14ac:dyDescent="0.15">
      <c r="A65" s="87" t="s">
        <v>892</v>
      </c>
      <c r="B65" s="121"/>
      <c r="C65" s="87">
        <f>Basis!CF300</f>
        <v>1</v>
      </c>
    </row>
    <row r="66" spans="1:4" ht="22.5" x14ac:dyDescent="0.15">
      <c r="A66" s="87" t="s">
        <v>893</v>
      </c>
      <c r="B66" s="121"/>
      <c r="C66" s="87">
        <f>Basis!BA300</f>
        <v>3</v>
      </c>
    </row>
    <row r="67" spans="1:4" ht="33.75" x14ac:dyDescent="0.15">
      <c r="A67" s="87" t="s">
        <v>854</v>
      </c>
      <c r="B67" s="121"/>
      <c r="C67" s="87">
        <f>Basis!BB300</f>
        <v>0</v>
      </c>
    </row>
    <row r="68" spans="1:4" ht="22.5" x14ac:dyDescent="0.15">
      <c r="A68" s="87" t="s">
        <v>894</v>
      </c>
      <c r="B68" s="121" t="s">
        <v>895</v>
      </c>
      <c r="C68" s="87">
        <f>Basis!BC300</f>
        <v>16</v>
      </c>
    </row>
    <row r="69" spans="1:4" x14ac:dyDescent="0.15">
      <c r="B69" s="121" t="s">
        <v>896</v>
      </c>
      <c r="C69" s="87">
        <f>Basis!BC289</f>
        <v>16</v>
      </c>
    </row>
    <row r="70" spans="1:4" x14ac:dyDescent="0.15">
      <c r="B70" s="121" t="s">
        <v>897</v>
      </c>
      <c r="C70" s="87">
        <f>Basis!BC290</f>
        <v>0</v>
      </c>
    </row>
    <row r="71" spans="1:4" x14ac:dyDescent="0.15">
      <c r="B71" s="121" t="s">
        <v>898</v>
      </c>
      <c r="C71" s="87">
        <f>Basis!BC291</f>
        <v>0</v>
      </c>
    </row>
    <row r="72" spans="1:4" x14ac:dyDescent="0.15">
      <c r="B72" s="121" t="s">
        <v>917</v>
      </c>
      <c r="C72" s="87">
        <f>Basis!BC292</f>
        <v>0</v>
      </c>
    </row>
    <row r="73" spans="1:4" ht="33.75" x14ac:dyDescent="0.15">
      <c r="A73" s="87" t="s">
        <v>899</v>
      </c>
      <c r="B73" s="121"/>
      <c r="C73" s="127">
        <f>Basis!BD300</f>
        <v>41.5</v>
      </c>
    </row>
    <row r="74" spans="1:4" ht="22.5" x14ac:dyDescent="0.15">
      <c r="A74" s="87" t="s">
        <v>900</v>
      </c>
      <c r="B74" s="121"/>
      <c r="C74" s="87">
        <f>Basis!BE300</f>
        <v>0</v>
      </c>
    </row>
    <row r="75" spans="1:4" x14ac:dyDescent="0.15">
      <c r="A75" s="87" t="s">
        <v>35</v>
      </c>
      <c r="B75" s="121"/>
      <c r="C75" s="87">
        <f>Basis!BF300</f>
        <v>23</v>
      </c>
    </row>
    <row r="76" spans="1:4" x14ac:dyDescent="0.15">
      <c r="A76" s="87" t="s">
        <v>29</v>
      </c>
      <c r="B76" s="121"/>
      <c r="C76" s="87">
        <f>Basis!BG300</f>
        <v>1</v>
      </c>
    </row>
    <row r="77" spans="1:4" x14ac:dyDescent="0.15">
      <c r="A77" s="87" t="s">
        <v>34</v>
      </c>
      <c r="B77" s="121"/>
      <c r="C77" s="87">
        <f>Basis!BH300</f>
        <v>0</v>
      </c>
    </row>
    <row r="78" spans="1:4" x14ac:dyDescent="0.15">
      <c r="A78" s="87" t="s">
        <v>672</v>
      </c>
      <c r="B78" s="121"/>
      <c r="C78" s="87">
        <f>Basis!BI300</f>
        <v>6</v>
      </c>
    </row>
    <row r="79" spans="1:4" x14ac:dyDescent="0.15">
      <c r="A79" s="87" t="s">
        <v>834</v>
      </c>
      <c r="B79" s="121"/>
      <c r="C79" s="87">
        <f>Basis!BJ300</f>
        <v>1</v>
      </c>
      <c r="D79" s="87">
        <f>C79-Basis!BJ289</f>
        <v>0</v>
      </c>
    </row>
    <row r="80" spans="1:4" x14ac:dyDescent="0.15">
      <c r="A80" s="87" t="s">
        <v>673</v>
      </c>
      <c r="B80" s="121"/>
      <c r="C80" s="87">
        <f>Basis!BK300</f>
        <v>3</v>
      </c>
    </row>
    <row r="81" spans="1:3" ht="22.5" x14ac:dyDescent="0.15">
      <c r="A81" s="87" t="s">
        <v>746</v>
      </c>
      <c r="B81" s="121"/>
      <c r="C81" s="87">
        <f>Basis!BL300</f>
        <v>19</v>
      </c>
    </row>
    <row r="82" spans="1:3" ht="22.5" x14ac:dyDescent="0.15">
      <c r="A82" s="87" t="s">
        <v>830</v>
      </c>
      <c r="B82" s="121" t="s">
        <v>895</v>
      </c>
      <c r="C82" s="87">
        <f>Basis!BM303</f>
        <v>5</v>
      </c>
    </row>
    <row r="83" spans="1:3" x14ac:dyDescent="0.15">
      <c r="B83" s="121" t="s">
        <v>901</v>
      </c>
      <c r="C83" s="87">
        <f>Basis!BM300</f>
        <v>2</v>
      </c>
    </row>
    <row r="84" spans="1:3" x14ac:dyDescent="0.15">
      <c r="B84" s="121" t="s">
        <v>902</v>
      </c>
      <c r="C84" s="87">
        <f>Basis!BM301</f>
        <v>2</v>
      </c>
    </row>
    <row r="85" spans="1:3" ht="22.5" x14ac:dyDescent="0.15">
      <c r="A85" s="87" t="s">
        <v>903</v>
      </c>
      <c r="B85" s="121"/>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D28" sqref="D28"/>
    </sheetView>
  </sheetViews>
  <sheetFormatPr baseColWidth="10" defaultRowHeight="11.25" x14ac:dyDescent="0.15"/>
  <cols>
    <col min="2" max="2" width="62.25" customWidth="1"/>
    <col min="3" max="3" width="44.625" customWidth="1"/>
    <col min="4" max="4" width="34.375" customWidth="1"/>
    <col min="6" max="6" width="36.25" customWidth="1"/>
  </cols>
  <sheetData>
    <row r="1" spans="1:1" ht="14.25" x14ac:dyDescent="0.2">
      <c r="A1" s="1" t="s">
        <v>24</v>
      </c>
    </row>
    <row r="6" spans="1:1" x14ac:dyDescent="0.15">
      <c r="A6" t="s">
        <v>26</v>
      </c>
    </row>
    <row r="7" spans="1:1" x14ac:dyDescent="0.15">
      <c r="A7" t="s">
        <v>25</v>
      </c>
    </row>
    <row r="9" spans="1:1" x14ac:dyDescent="0.15">
      <c r="A9" s="2" t="s">
        <v>27</v>
      </c>
    </row>
    <row r="13" spans="1:1" x14ac:dyDescent="0.15">
      <c r="A13" t="s">
        <v>18</v>
      </c>
    </row>
    <row r="14" spans="1:1" x14ac:dyDescent="0.15">
      <c r="A14" t="s">
        <v>14</v>
      </c>
    </row>
    <row r="15" spans="1:1" x14ac:dyDescent="0.15">
      <c r="A15" t="s">
        <v>15</v>
      </c>
    </row>
    <row r="18" spans="1:6" x14ac:dyDescent="0.15">
      <c r="A18" s="6" t="s">
        <v>0</v>
      </c>
      <c r="B18" s="6"/>
    </row>
    <row r="19" spans="1:6" x14ac:dyDescent="0.15">
      <c r="A19" s="46" t="s">
        <v>1</v>
      </c>
      <c r="B19" s="46" t="s">
        <v>2</v>
      </c>
      <c r="C19" s="60" t="s">
        <v>58</v>
      </c>
      <c r="D19" s="46" t="s">
        <v>28</v>
      </c>
      <c r="E19" s="46" t="s">
        <v>39</v>
      </c>
      <c r="F19" s="46" t="s">
        <v>54</v>
      </c>
    </row>
    <row r="20" spans="1:6" x14ac:dyDescent="0.15">
      <c r="A20" s="49"/>
      <c r="B20" s="49" t="s">
        <v>17</v>
      </c>
      <c r="C20" s="5" t="s">
        <v>81</v>
      </c>
      <c r="D20" s="5" t="s">
        <v>29</v>
      </c>
      <c r="E20" s="7" t="s">
        <v>50</v>
      </c>
      <c r="F20" s="7" t="s">
        <v>55</v>
      </c>
    </row>
    <row r="21" spans="1:6" x14ac:dyDescent="0.15">
      <c r="A21" s="49"/>
      <c r="B21" s="49" t="s">
        <v>44</v>
      </c>
      <c r="C21" s="5" t="s">
        <v>94</v>
      </c>
      <c r="D21" s="5" t="s">
        <v>30</v>
      </c>
      <c r="E21" s="7" t="s">
        <v>51</v>
      </c>
      <c r="F21" s="7" t="s">
        <v>90</v>
      </c>
    </row>
    <row r="22" spans="1:6" x14ac:dyDescent="0.15">
      <c r="A22" s="49"/>
      <c r="B22" s="49" t="s">
        <v>3</v>
      </c>
      <c r="C22" s="5" t="s">
        <v>84</v>
      </c>
      <c r="D22" s="5" t="s">
        <v>33</v>
      </c>
      <c r="E22" s="7" t="s">
        <v>52</v>
      </c>
      <c r="F22" s="7" t="s">
        <v>86</v>
      </c>
    </row>
    <row r="23" spans="1:6" x14ac:dyDescent="0.15">
      <c r="A23" s="49"/>
      <c r="B23" s="49" t="s">
        <v>4</v>
      </c>
      <c r="C23" s="64" t="s">
        <v>59</v>
      </c>
      <c r="D23" s="5" t="s">
        <v>31</v>
      </c>
      <c r="E23" s="7" t="s">
        <v>53</v>
      </c>
    </row>
    <row r="24" spans="1:6" x14ac:dyDescent="0.15">
      <c r="A24" s="49"/>
      <c r="B24" s="49" t="s">
        <v>5</v>
      </c>
      <c r="C24" s="7" t="s">
        <v>69</v>
      </c>
      <c r="D24" s="5" t="s">
        <v>32</v>
      </c>
    </row>
    <row r="25" spans="1:6" x14ac:dyDescent="0.15">
      <c r="A25" s="50"/>
      <c r="B25" s="50" t="s">
        <v>16</v>
      </c>
      <c r="C25" s="5" t="s">
        <v>92</v>
      </c>
      <c r="D25" s="5" t="s">
        <v>34</v>
      </c>
    </row>
    <row r="26" spans="1:6" x14ac:dyDescent="0.15">
      <c r="A26" s="50"/>
      <c r="B26" s="50" t="s">
        <v>46</v>
      </c>
      <c r="C26" s="5" t="s">
        <v>96</v>
      </c>
      <c r="D26" s="5" t="s">
        <v>35</v>
      </c>
    </row>
    <row r="27" spans="1:6" x14ac:dyDescent="0.15">
      <c r="A27" s="50"/>
      <c r="B27" s="50" t="s">
        <v>45</v>
      </c>
      <c r="C27" s="65" t="s">
        <v>63</v>
      </c>
      <c r="D27" s="5" t="s">
        <v>106</v>
      </c>
    </row>
    <row r="28" spans="1:6" x14ac:dyDescent="0.15">
      <c r="A28" s="50"/>
      <c r="B28" s="50" t="s">
        <v>40</v>
      </c>
      <c r="C28" s="5" t="s">
        <v>64</v>
      </c>
      <c r="D28" s="61" t="s">
        <v>97</v>
      </c>
    </row>
    <row r="29" spans="1:6" x14ac:dyDescent="0.15">
      <c r="A29" s="59"/>
      <c r="B29" s="59" t="s">
        <v>41</v>
      </c>
      <c r="C29" s="65" t="s">
        <v>61</v>
      </c>
      <c r="D29" s="8"/>
    </row>
    <row r="30" spans="1:6" s="5" customFormat="1" x14ac:dyDescent="0.15">
      <c r="A30" s="50"/>
      <c r="B30" s="50" t="s">
        <v>47</v>
      </c>
      <c r="C30" s="5" t="s">
        <v>62</v>
      </c>
    </row>
    <row r="31" spans="1:6" s="8" customFormat="1" x14ac:dyDescent="0.15">
      <c r="A31" s="50"/>
      <c r="B31" s="50" t="s">
        <v>48</v>
      </c>
      <c r="C31" s="5" t="s">
        <v>83</v>
      </c>
    </row>
    <row r="32" spans="1:6" s="8" customFormat="1" x14ac:dyDescent="0.15">
      <c r="A32" s="50"/>
      <c r="B32" s="50" t="s">
        <v>102</v>
      </c>
      <c r="C32" s="5" t="s">
        <v>60</v>
      </c>
    </row>
    <row r="33" spans="1:4" x14ac:dyDescent="0.15">
      <c r="A33" s="6"/>
      <c r="B33" s="6"/>
      <c r="C33" s="5" t="s">
        <v>105</v>
      </c>
    </row>
    <row r="34" spans="1:4" x14ac:dyDescent="0.15">
      <c r="A34" s="6"/>
      <c r="B34" s="51"/>
      <c r="C34" s="65" t="s">
        <v>82</v>
      </c>
    </row>
    <row r="35" spans="1:4" x14ac:dyDescent="0.15">
      <c r="A35" s="6"/>
      <c r="B35" s="6"/>
      <c r="C35" s="5" t="s">
        <v>95</v>
      </c>
    </row>
    <row r="36" spans="1:4" x14ac:dyDescent="0.15">
      <c r="A36" s="51" t="s">
        <v>6</v>
      </c>
      <c r="B36" s="6"/>
      <c r="C36" s="5" t="s">
        <v>91</v>
      </c>
    </row>
    <row r="37" spans="1:4" x14ac:dyDescent="0.15">
      <c r="A37" s="46" t="s">
        <v>80</v>
      </c>
      <c r="B37" s="46" t="s">
        <v>7</v>
      </c>
      <c r="C37" s="5" t="s">
        <v>85</v>
      </c>
    </row>
    <row r="38" spans="1:4" x14ac:dyDescent="0.15">
      <c r="A38" s="62"/>
      <c r="B38" s="62" t="s">
        <v>70</v>
      </c>
      <c r="C38" s="46" t="s">
        <v>66</v>
      </c>
    </row>
    <row r="39" spans="1:4" x14ac:dyDescent="0.15">
      <c r="A39" s="49"/>
      <c r="B39" s="49" t="s">
        <v>71</v>
      </c>
      <c r="C39" s="5" t="s">
        <v>67</v>
      </c>
    </row>
    <row r="40" spans="1:4" x14ac:dyDescent="0.15">
      <c r="A40" s="49"/>
      <c r="B40" s="49" t="s">
        <v>8</v>
      </c>
      <c r="C40" s="5" t="s">
        <v>68</v>
      </c>
    </row>
    <row r="41" spans="1:4" x14ac:dyDescent="0.15">
      <c r="A41" s="49"/>
      <c r="B41" s="49" t="s">
        <v>72</v>
      </c>
      <c r="C41" s="5"/>
    </row>
    <row r="42" spans="1:4" x14ac:dyDescent="0.15">
      <c r="A42" s="49"/>
      <c r="B42" s="49" t="s">
        <v>73</v>
      </c>
      <c r="C42" s="5"/>
    </row>
    <row r="43" spans="1:4" x14ac:dyDescent="0.15">
      <c r="A43" s="49"/>
      <c r="B43" s="49" t="s">
        <v>74</v>
      </c>
      <c r="C43" s="8"/>
    </row>
    <row r="44" spans="1:4" x14ac:dyDescent="0.15">
      <c r="A44" s="49"/>
      <c r="B44" s="49" t="s">
        <v>75</v>
      </c>
    </row>
    <row r="45" spans="1:4" x14ac:dyDescent="0.15">
      <c r="A45" s="49"/>
      <c r="B45" s="49" t="s">
        <v>76</v>
      </c>
    </row>
    <row r="46" spans="1:4" x14ac:dyDescent="0.15">
      <c r="A46" s="50"/>
      <c r="B46" s="50" t="s">
        <v>43</v>
      </c>
      <c r="D46" s="5" t="s">
        <v>36</v>
      </c>
    </row>
    <row r="47" spans="1:4" x14ac:dyDescent="0.15">
      <c r="A47" s="50"/>
      <c r="B47" s="50"/>
      <c r="D47" s="5" t="s">
        <v>101</v>
      </c>
    </row>
    <row r="48" spans="1:4" x14ac:dyDescent="0.15">
      <c r="A48" s="50"/>
      <c r="B48" s="50" t="s">
        <v>77</v>
      </c>
      <c r="D48" s="5" t="s">
        <v>37</v>
      </c>
    </row>
    <row r="49" spans="1:6" x14ac:dyDescent="0.15">
      <c r="A49" s="50"/>
      <c r="B49" s="50" t="s">
        <v>78</v>
      </c>
      <c r="D49" t="s">
        <v>93</v>
      </c>
    </row>
    <row r="50" spans="1:6" x14ac:dyDescent="0.15">
      <c r="A50" s="50"/>
      <c r="B50" s="50" t="s">
        <v>79</v>
      </c>
      <c r="D50" t="s">
        <v>89</v>
      </c>
    </row>
    <row r="51" spans="1:6" x14ac:dyDescent="0.15">
      <c r="A51" s="6"/>
      <c r="B51" s="6"/>
    </row>
    <row r="52" spans="1:6" x14ac:dyDescent="0.15">
      <c r="A52" s="51" t="s">
        <v>19</v>
      </c>
      <c r="B52" s="6"/>
    </row>
    <row r="53" spans="1:6" x14ac:dyDescent="0.15">
      <c r="A53" s="46" t="s">
        <v>20</v>
      </c>
      <c r="B53" s="46" t="s">
        <v>21</v>
      </c>
    </row>
    <row r="54" spans="1:6" ht="12.75" x14ac:dyDescent="0.15">
      <c r="A54" s="52">
        <v>0</v>
      </c>
      <c r="B54" s="53" t="s">
        <v>22</v>
      </c>
      <c r="D54" s="47"/>
      <c r="E54" s="47"/>
      <c r="F54" s="47"/>
    </row>
    <row r="55" spans="1:6" ht="12.75" customHeight="1" x14ac:dyDescent="0.15">
      <c r="A55" s="52">
        <v>1</v>
      </c>
      <c r="B55" s="53" t="s">
        <v>23</v>
      </c>
      <c r="D55" s="47"/>
      <c r="E55" s="47"/>
      <c r="F55" s="47"/>
    </row>
    <row r="56" spans="1:6" ht="27.75" customHeight="1" x14ac:dyDescent="0.15">
      <c r="A56" s="52">
        <v>2</v>
      </c>
      <c r="B56" s="53" t="s">
        <v>56</v>
      </c>
      <c r="D56" s="47"/>
      <c r="E56" s="47"/>
      <c r="F56" s="47"/>
    </row>
    <row r="57" spans="1:6" ht="24.75" customHeight="1" x14ac:dyDescent="0.15">
      <c r="A57" s="54">
        <v>3</v>
      </c>
      <c r="B57" s="53" t="s">
        <v>57</v>
      </c>
      <c r="D57" s="47"/>
      <c r="E57" s="47"/>
      <c r="F57" s="47"/>
    </row>
    <row r="60" spans="1:6" x14ac:dyDescent="0.15">
      <c r="A60" s="55"/>
      <c r="B60" s="56"/>
    </row>
    <row r="61" spans="1:6" x14ac:dyDescent="0.15">
      <c r="A61" s="5"/>
      <c r="B61" s="57"/>
    </row>
    <row r="62" spans="1:6" x14ac:dyDescent="0.15">
      <c r="A62" s="5"/>
      <c r="B62" s="57"/>
    </row>
    <row r="63" spans="1:6" ht="12.75" x14ac:dyDescent="0.15">
      <c r="A63" s="5"/>
      <c r="B63" s="5"/>
      <c r="C63" s="48"/>
    </row>
    <row r="64" spans="1:6" ht="12.75" x14ac:dyDescent="0.15">
      <c r="A64" s="7"/>
      <c r="B64" s="57"/>
      <c r="C64" s="48"/>
    </row>
    <row r="65" spans="3:3" ht="12.75" x14ac:dyDescent="0.15">
      <c r="C65" s="48"/>
    </row>
    <row r="66" spans="3:3" ht="12.75" x14ac:dyDescent="0.15">
      <c r="C66" s="48"/>
    </row>
    <row r="69" spans="3:3" x14ac:dyDescent="0.15">
      <c r="C69" s="46"/>
    </row>
    <row r="70" spans="3:3" x14ac:dyDescent="0.15">
      <c r="C70" s="58"/>
    </row>
    <row r="71" spans="3:3" x14ac:dyDescent="0.15">
      <c r="C71" s="58"/>
    </row>
    <row r="72" spans="3:3" x14ac:dyDescent="0.15">
      <c r="C72" s="58"/>
    </row>
    <row r="73" spans="3:3" x14ac:dyDescent="0.15">
      <c r="C73" s="58"/>
    </row>
  </sheetData>
  <customSheetViews>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2"/>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3"/>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4"/>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5"/>
    </customSheetView>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25" x14ac:dyDescent="0.15"/>
  <cols>
    <col min="1" max="1" width="16" customWidth="1"/>
    <col min="2" max="3" width="11" style="16"/>
    <col min="4" max="4" width="12.25" style="16" customWidth="1"/>
    <col min="5" max="5" width="11" style="16"/>
    <col min="6" max="6" width="28.125" style="21" customWidth="1"/>
    <col min="7" max="7" width="4.75" customWidth="1"/>
    <col min="13" max="13" width="2.5" customWidth="1"/>
  </cols>
  <sheetData>
    <row r="1" spans="1:6" ht="14.25" x14ac:dyDescent="0.2">
      <c r="A1" s="1" t="s">
        <v>24</v>
      </c>
    </row>
    <row r="3" spans="1:6" x14ac:dyDescent="0.15">
      <c r="A3" s="36"/>
      <c r="B3" s="37"/>
      <c r="C3" s="37"/>
      <c r="D3" s="38"/>
      <c r="E3"/>
      <c r="F3"/>
    </row>
    <row r="4" spans="1:6" x14ac:dyDescent="0.15">
      <c r="A4" s="5"/>
      <c r="B4" s="15"/>
      <c r="C4" s="14"/>
      <c r="D4" s="13"/>
      <c r="E4"/>
      <c r="F4"/>
    </row>
    <row r="5" spans="1:6" x14ac:dyDescent="0.15">
      <c r="A5" s="8"/>
      <c r="B5" s="20"/>
      <c r="C5" s="18"/>
      <c r="D5" s="21"/>
      <c r="E5"/>
      <c r="F5"/>
    </row>
    <row r="6" spans="1:6" x14ac:dyDescent="0.15">
      <c r="A6" s="39"/>
      <c r="B6" s="37"/>
      <c r="C6" s="40"/>
      <c r="D6" s="41"/>
      <c r="E6"/>
      <c r="F6"/>
    </row>
    <row r="7" spans="1:6" x14ac:dyDescent="0.15">
      <c r="A7" s="3"/>
      <c r="B7" s="23"/>
      <c r="C7" s="33"/>
      <c r="D7" s="30"/>
      <c r="E7"/>
      <c r="F7"/>
    </row>
    <row r="8" spans="1:6" x14ac:dyDescent="0.15">
      <c r="A8" s="3"/>
      <c r="B8" s="23"/>
      <c r="C8" s="33"/>
      <c r="D8" s="31"/>
      <c r="E8"/>
      <c r="F8"/>
    </row>
    <row r="9" spans="1:6" x14ac:dyDescent="0.15">
      <c r="A9" s="3"/>
      <c r="B9" s="23"/>
      <c r="C9" s="33"/>
      <c r="D9" s="31"/>
      <c r="E9"/>
      <c r="F9"/>
    </row>
    <row r="10" spans="1:6" x14ac:dyDescent="0.15">
      <c r="A10" s="4"/>
      <c r="B10" s="24"/>
      <c r="C10" s="34"/>
      <c r="D10" s="32"/>
      <c r="E10"/>
      <c r="F10"/>
    </row>
    <row r="11" spans="1:6" x14ac:dyDescent="0.15">
      <c r="B11" s="25"/>
      <c r="C11" s="35"/>
      <c r="D11" s="21"/>
      <c r="E11"/>
      <c r="F11"/>
    </row>
    <row r="12" spans="1:6" x14ac:dyDescent="0.15">
      <c r="A12" s="36"/>
      <c r="B12" s="42"/>
      <c r="C12" s="43"/>
      <c r="D12" s="41"/>
      <c r="E12"/>
      <c r="F12"/>
    </row>
    <row r="13" spans="1:6" x14ac:dyDescent="0.15">
      <c r="A13" s="3"/>
      <c r="B13" s="26"/>
      <c r="C13" s="33"/>
      <c r="D13" s="30"/>
      <c r="E13"/>
      <c r="F13"/>
    </row>
    <row r="14" spans="1:6" x14ac:dyDescent="0.15">
      <c r="A14" s="3"/>
      <c r="B14" s="23"/>
      <c r="C14" s="33"/>
      <c r="D14" s="31"/>
      <c r="E14"/>
      <c r="F14"/>
    </row>
    <row r="15" spans="1:6" x14ac:dyDescent="0.15">
      <c r="A15" s="4"/>
      <c r="B15" s="24"/>
      <c r="C15" s="34"/>
      <c r="D15" s="32"/>
      <c r="E15"/>
      <c r="F15"/>
    </row>
    <row r="16" spans="1:6" x14ac:dyDescent="0.15">
      <c r="B16" s="25"/>
      <c r="C16" s="25"/>
      <c r="D16" s="21"/>
      <c r="E16"/>
      <c r="F16"/>
    </row>
    <row r="17" spans="1:6" x14ac:dyDescent="0.15">
      <c r="A17" s="36"/>
      <c r="B17" s="42"/>
      <c r="C17" s="44"/>
      <c r="D17" s="41"/>
      <c r="E17"/>
      <c r="F17"/>
    </row>
    <row r="18" spans="1:6" ht="12.75" x14ac:dyDescent="0.2">
      <c r="A18" s="9"/>
      <c r="B18" s="27"/>
      <c r="C18" s="26"/>
      <c r="D18" s="30"/>
      <c r="E18"/>
      <c r="F18"/>
    </row>
    <row r="19" spans="1:6" ht="12.75" x14ac:dyDescent="0.2">
      <c r="A19" s="10"/>
      <c r="B19" s="28"/>
      <c r="C19" s="23"/>
      <c r="D19" s="31"/>
      <c r="E19"/>
      <c r="F19"/>
    </row>
    <row r="20" spans="1:6" ht="12.75" x14ac:dyDescent="0.2">
      <c r="A20" s="10"/>
      <c r="B20" s="28"/>
      <c r="C20" s="23"/>
      <c r="D20" s="31"/>
      <c r="E20"/>
      <c r="F20"/>
    </row>
    <row r="21" spans="1:6" ht="12.75" x14ac:dyDescent="0.2">
      <c r="A21" s="10"/>
      <c r="B21" s="28"/>
      <c r="C21" s="23"/>
      <c r="D21" s="31"/>
      <c r="E21"/>
      <c r="F21"/>
    </row>
    <row r="22" spans="1:6" ht="12.75" x14ac:dyDescent="0.2">
      <c r="A22" s="10"/>
      <c r="B22" s="28"/>
      <c r="C22" s="23"/>
      <c r="D22" s="31"/>
      <c r="E22"/>
      <c r="F22"/>
    </row>
    <row r="23" spans="1:6" ht="12.75" x14ac:dyDescent="0.2">
      <c r="A23" s="10"/>
      <c r="B23" s="28"/>
      <c r="C23" s="23"/>
      <c r="D23" s="31"/>
      <c r="E23"/>
      <c r="F23"/>
    </row>
    <row r="24" spans="1:6" ht="12.75" x14ac:dyDescent="0.2">
      <c r="A24" s="11"/>
      <c r="B24" s="28"/>
      <c r="C24" s="23"/>
      <c r="D24" s="31"/>
      <c r="E24"/>
      <c r="F24"/>
    </row>
    <row r="25" spans="1:6" ht="12.75" x14ac:dyDescent="0.2">
      <c r="A25" s="11"/>
      <c r="B25" s="28"/>
      <c r="C25" s="23"/>
      <c r="D25" s="31"/>
      <c r="E25"/>
      <c r="F25"/>
    </row>
    <row r="26" spans="1:6" ht="12.75" x14ac:dyDescent="0.2">
      <c r="A26" s="12"/>
      <c r="B26" s="29"/>
      <c r="C26" s="24"/>
      <c r="D26" s="32"/>
      <c r="E26"/>
      <c r="F26"/>
    </row>
    <row r="27" spans="1:6" x14ac:dyDescent="0.15">
      <c r="B27" s="25"/>
      <c r="C27" s="25"/>
      <c r="D27" s="21"/>
      <c r="E27"/>
      <c r="F27"/>
    </row>
    <row r="28" spans="1:6" x14ac:dyDescent="0.15">
      <c r="A28" s="45"/>
      <c r="B28" s="42"/>
      <c r="C28" s="44"/>
      <c r="D28" s="41"/>
      <c r="E28"/>
      <c r="F28"/>
    </row>
    <row r="29" spans="1:6" ht="12.75" x14ac:dyDescent="0.2">
      <c r="A29" s="9"/>
      <c r="B29" s="27"/>
      <c r="C29" s="26"/>
      <c r="D29" s="30"/>
      <c r="E29"/>
      <c r="F29"/>
    </row>
    <row r="30" spans="1:6" ht="12.75" x14ac:dyDescent="0.2">
      <c r="A30" s="10"/>
      <c r="B30" s="28"/>
      <c r="C30" s="23"/>
      <c r="D30" s="31"/>
      <c r="E30"/>
      <c r="F30"/>
    </row>
    <row r="31" spans="1:6" ht="12.75" x14ac:dyDescent="0.2">
      <c r="A31" s="10"/>
      <c r="B31" s="28"/>
      <c r="C31" s="23"/>
      <c r="D31" s="31"/>
      <c r="E31"/>
      <c r="F31"/>
    </row>
    <row r="32" spans="1:6" ht="12.75" x14ac:dyDescent="0.2">
      <c r="A32" s="10"/>
      <c r="B32" s="28"/>
      <c r="C32" s="23"/>
      <c r="D32" s="31"/>
      <c r="E32"/>
      <c r="F32"/>
    </row>
    <row r="33" spans="1:6" ht="12.75" x14ac:dyDescent="0.2">
      <c r="A33" s="10"/>
      <c r="B33" s="28"/>
      <c r="C33" s="23"/>
      <c r="D33" s="31"/>
      <c r="E33"/>
      <c r="F33"/>
    </row>
    <row r="34" spans="1:6" ht="12.75" x14ac:dyDescent="0.2">
      <c r="A34" s="10"/>
      <c r="B34" s="28"/>
      <c r="C34" s="23"/>
      <c r="D34" s="31"/>
      <c r="E34"/>
      <c r="F34"/>
    </row>
    <row r="35" spans="1:6" ht="12.75" x14ac:dyDescent="0.2">
      <c r="A35" s="11"/>
      <c r="B35" s="28"/>
      <c r="C35" s="23"/>
      <c r="D35" s="31"/>
      <c r="E35"/>
      <c r="F35"/>
    </row>
    <row r="36" spans="1:6" ht="12.75" x14ac:dyDescent="0.2">
      <c r="A36" s="11"/>
      <c r="B36" s="28"/>
      <c r="C36" s="23"/>
      <c r="D36" s="31"/>
      <c r="E36"/>
      <c r="F36"/>
    </row>
    <row r="37" spans="1:6" ht="12.75" x14ac:dyDescent="0.2">
      <c r="A37" s="12"/>
      <c r="B37" s="19"/>
      <c r="C37" s="17"/>
      <c r="D37" s="32"/>
      <c r="E37"/>
      <c r="F37"/>
    </row>
    <row r="40" spans="1:6" x14ac:dyDescent="0.15">
      <c r="B40" s="22"/>
    </row>
    <row r="41" spans="1:6" x14ac:dyDescent="0.15">
      <c r="B41" s="22"/>
    </row>
  </sheetData>
  <customSheetViews>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Infos zu dieser Mappe</vt:lpstr>
      <vt:lpstr>Legende_Thomschke</vt:lpstr>
      <vt:lpstr>Basis</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Wendler, André</cp:lastModifiedBy>
  <cp:lastPrinted>2020-09-18T09:32:13Z</cp:lastPrinted>
  <dcterms:created xsi:type="dcterms:W3CDTF">2015-02-11T08:00:51Z</dcterms:created>
  <dcterms:modified xsi:type="dcterms:W3CDTF">2022-11-17T14:27:23Z</dcterms:modified>
</cp:coreProperties>
</file>